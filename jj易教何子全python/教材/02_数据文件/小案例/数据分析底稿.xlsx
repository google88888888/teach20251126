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8"/>
  <workbookPr/>
  <mc:AlternateContent xmlns:mc="http://schemas.openxmlformats.org/markup-compatibility/2006">
    <mc:Choice Requires="x15">
      <x15ac:absPath xmlns:x15ac="http://schemas.microsoft.com/office/spreadsheetml/2010/11/ac" url="E:\常用\Python\Jupyter\06_课程\问题\"/>
    </mc:Choice>
  </mc:AlternateContent>
  <xr:revisionPtr revIDLastSave="0" documentId="13_ncr:1_{09BBDC79-95EA-4D2D-B582-46966A7359D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1" r:id="rId1"/>
    <sheet name="表处理" sheetId="2" r:id="rId2"/>
    <sheet name="正常项目" sheetId="4" r:id="rId3"/>
    <sheet name="正常项目-在建在售" sheetId="7" r:id="rId4"/>
    <sheet name="正常项目-待开发" sheetId="8" r:id="rId5"/>
    <sheet name="困难项目" sheetId="5" r:id="rId6"/>
    <sheet name="困难项目-滞销" sheetId="9" r:id="rId7"/>
    <sheet name="困难项目-缓建" sheetId="10" r:id="rId8"/>
  </sheets>
  <definedNames>
    <definedName name="_______TB5">#REF!</definedName>
    <definedName name="_______TB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1" l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W20" i="1"/>
  <c r="V20" i="1"/>
  <c r="U20" i="1"/>
  <c r="T20" i="1"/>
  <c r="S20" i="1"/>
  <c r="R20" i="1"/>
  <c r="K20" i="1"/>
  <c r="J20" i="1"/>
  <c r="I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W18" i="1"/>
  <c r="V18" i="1"/>
  <c r="U18" i="1"/>
  <c r="T18" i="1"/>
  <c r="S18" i="1"/>
  <c r="R18" i="1"/>
  <c r="K18" i="1"/>
  <c r="J18" i="1"/>
  <c r="I18" i="1"/>
  <c r="W17" i="1"/>
  <c r="V17" i="1"/>
  <c r="U17" i="1"/>
  <c r="T17" i="1"/>
  <c r="S17" i="1"/>
  <c r="R17" i="1"/>
  <c r="K17" i="1"/>
  <c r="J17" i="1"/>
  <c r="I17" i="1"/>
  <c r="W16" i="1"/>
  <c r="V16" i="1"/>
  <c r="U16" i="1"/>
  <c r="T16" i="1"/>
  <c r="S16" i="1"/>
  <c r="R16" i="1"/>
  <c r="K16" i="1"/>
  <c r="J16" i="1"/>
  <c r="I16" i="1"/>
  <c r="W15" i="1"/>
  <c r="V15" i="1"/>
  <c r="U15" i="1"/>
  <c r="T15" i="1"/>
  <c r="S15" i="1"/>
  <c r="R15" i="1"/>
  <c r="K15" i="1"/>
  <c r="J15" i="1"/>
  <c r="I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W13" i="1"/>
  <c r="V13" i="1"/>
  <c r="U13" i="1"/>
  <c r="T13" i="1"/>
  <c r="S13" i="1"/>
  <c r="R13" i="1"/>
  <c r="K13" i="1"/>
  <c r="J13" i="1"/>
  <c r="I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W11" i="1"/>
  <c r="V11" i="1"/>
  <c r="U11" i="1"/>
  <c r="T11" i="1"/>
  <c r="S11" i="1"/>
  <c r="R11" i="1"/>
  <c r="K11" i="1"/>
  <c r="J11" i="1"/>
  <c r="I11" i="1"/>
  <c r="W10" i="1"/>
  <c r="V10" i="1"/>
  <c r="U10" i="1"/>
  <c r="T10" i="1"/>
  <c r="S10" i="1"/>
  <c r="R10" i="1"/>
  <c r="K10" i="1"/>
  <c r="J10" i="1"/>
  <c r="I10" i="1"/>
  <c r="W9" i="1"/>
  <c r="V9" i="1"/>
  <c r="U9" i="1"/>
  <c r="T9" i="1"/>
  <c r="S9" i="1"/>
  <c r="R9" i="1"/>
  <c r="K9" i="1"/>
  <c r="J9" i="1"/>
  <c r="I9" i="1"/>
  <c r="W8" i="1"/>
  <c r="V8" i="1"/>
  <c r="U8" i="1"/>
  <c r="T8" i="1"/>
  <c r="S8" i="1"/>
  <c r="R8" i="1"/>
  <c r="K8" i="1"/>
  <c r="J8" i="1"/>
  <c r="I8" i="1"/>
  <c r="W7" i="1"/>
  <c r="V7" i="1"/>
  <c r="U7" i="1"/>
  <c r="T7" i="1"/>
  <c r="S7" i="1"/>
  <c r="R7" i="1"/>
  <c r="K7" i="1"/>
  <c r="J7" i="1"/>
  <c r="I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<sst xmlns="http://schemas.openxmlformats.org/spreadsheetml/2006/main" count="208" uniqueCount="27">
  <si>
    <t>地区</t>
  </si>
  <si>
    <t>业态</t>
  </si>
  <si>
    <t>正常项目</t>
  </si>
  <si>
    <t>困难项目</t>
  </si>
  <si>
    <t>合计</t>
  </si>
  <si>
    <t>在建在售</t>
  </si>
  <si>
    <t>待开发</t>
  </si>
  <si>
    <t>小计</t>
  </si>
  <si>
    <t>滞销</t>
  </si>
  <si>
    <t>缓建</t>
  </si>
  <si>
    <t>面积</t>
  </si>
  <si>
    <t>货量</t>
  </si>
  <si>
    <t>利润</t>
  </si>
  <si>
    <t>长沙</t>
  </si>
  <si>
    <t>珠海</t>
  </si>
  <si>
    <t>住宅</t>
  </si>
  <si>
    <t>商铺</t>
  </si>
  <si>
    <t>公寓</t>
  </si>
  <si>
    <t>写字楼</t>
  </si>
  <si>
    <t>配套物业</t>
  </si>
  <si>
    <t>商业及其他小计</t>
  </si>
  <si>
    <t>车位</t>
  </si>
  <si>
    <t> 小计</t>
  </si>
  <si>
    <t>正常项目</t>
    <phoneticPr fontId="9" type="noConversion"/>
  </si>
  <si>
    <t>困难项目</t>
    <phoneticPr fontId="9" type="noConversion"/>
  </si>
  <si>
    <t>地区</t>
    <phoneticPr fontId="9" type="noConversion"/>
  </si>
  <si>
    <t>业态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</si>
</sst>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-F800]dddd\,\ mmmm\ dd\,\ yyyy"/>
    <numFmt numFmtId="179" formatCode="_ * #,##0.0_ ;_ * \-#,##0.0_ ;_ * &quot;-&quot;??_ ;_ @_ "/>
  </numFmts>
  <fonts count="13" x14ac:knownFonts="1">
    <font>
      <sz val="11"/>
      <color theme="1"/>
      <name val="宋体"/>
      <charset val="134"/>
      <scheme val="minor"/>
    </font>
    <font>
      <b/>
      <sz val="9"/>
      <color rgb="FFFFFFFF"/>
      <name val="微软雅黑"/>
      <charset val="134"/>
    </font>
    <font>
      <b/>
      <sz val="9"/>
      <color theme="0"/>
      <name val="微软雅黑"/>
      <charset val="134"/>
    </font>
    <font>
      <b/>
      <sz val="10"/>
      <color theme="0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b/>
      <sz val="10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rgb="FFFFFFF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right" vertical="center" wrapText="1"/>
    </xf>
    <xf numFmtId="179" fontId="5" fillId="4" borderId="1" xfId="0" applyNumberFormat="1" applyFont="1" applyFill="1" applyBorder="1" applyAlignment="1">
      <alignment horizontal="right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 applyAlignment="1">
      <alignment horizontal="right" vertical="center" wrapText="1"/>
    </xf>
    <xf numFmtId="179" fontId="6" fillId="0" borderId="1" xfId="0" applyNumberFormat="1" applyFont="1" applyBorder="1" applyAlignment="1">
      <alignment horizontal="right" vertical="center" wrapText="1"/>
    </xf>
    <xf numFmtId="179" fontId="4" fillId="3" borderId="1" xfId="0" applyNumberFormat="1" applyFont="1" applyFill="1" applyBorder="1" applyAlignment="1">
      <alignment horizontal="right" vertical="center" wrapText="1"/>
    </xf>
    <xf numFmtId="178" fontId="7" fillId="6" borderId="1" xfId="0" applyNumberFormat="1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8" fontId="3" fillId="2" borderId="3" xfId="0" applyNumberFormat="1" applyFont="1" applyFill="1" applyBorder="1" applyAlignment="1">
      <alignment horizontal="center"/>
    </xf>
    <xf numFmtId="178" fontId="3" fillId="2" borderId="2" xfId="0" applyNumberFormat="1" applyFont="1" applyFill="1" applyBorder="1" applyAlignment="1">
      <alignment horizontal="center"/>
    </xf>
    <xf numFmtId="178" fontId="3" fillId="2" borderId="4" xfId="0" applyNumberFormat="1" applyFont="1" applyFill="1" applyBorder="1" applyAlignment="1">
      <alignment horizontal="center"/>
    </xf>
    <xf numFmtId="178" fontId="7" fillId="6" borderId="3" xfId="0" applyNumberFormat="1" applyFont="1" applyFill="1" applyBorder="1" applyAlignment="1">
      <alignment horizontal="center" vertical="center"/>
    </xf>
    <xf numFmtId="178" fontId="7" fillId="6" borderId="2" xfId="0" applyNumberFormat="1" applyFont="1" applyFill="1" applyBorder="1" applyAlignment="1">
      <alignment horizontal="center" vertical="center"/>
    </xf>
    <xf numFmtId="178" fontId="7" fillId="6" borderId="4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3" fillId="2" borderId="5" xfId="0" applyNumberFormat="1" applyFont="1" applyFill="1" applyBorder="1" applyAlignment="1">
      <alignment horizontal="center" vertical="center"/>
    </xf>
    <xf numFmtId="178" fontId="3" fillId="2" borderId="6" xfId="0" applyNumberFormat="1" applyFont="1" applyFill="1" applyBorder="1" applyAlignment="1">
      <alignment horizontal="center" vertical="center"/>
    </xf>
    <xf numFmtId="178" fontId="3" fillId="2" borderId="7" xfId="0" applyNumberFormat="1" applyFont="1" applyFill="1" applyBorder="1" applyAlignment="1">
      <alignment horizontal="center" vertical="center"/>
    </xf>
    <xf numFmtId="178" fontId="3" fillId="2" borderId="8" xfId="0" applyNumberFormat="1" applyFont="1" applyFill="1" applyBorder="1" applyAlignment="1">
      <alignment horizontal="center" vertical="center"/>
    </xf>
    <xf numFmtId="178" fontId="3" fillId="2" borderId="9" xfId="0" applyNumberFormat="1" applyFont="1" applyFill="1" applyBorder="1" applyAlignment="1">
      <alignment horizontal="center" vertical="center"/>
    </xf>
    <xf numFmtId="178" fontId="3" fillId="2" borderId="10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178" fontId="11" fillId="2" borderId="2" xfId="0" applyNumberFormat="1" applyFont="1" applyFill="1" applyBorder="1" applyAlignment="1">
      <alignment horizontal="center" vertical="center" wrapText="1"/>
    </xf>
    <xf numFmtId="178" fontId="12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workbookViewId="0">
      <selection activeCell="K8" sqref="K8"/>
    </sheetView>
  </sheetViews>
  <sheetFormatPr defaultColWidth="9" defaultRowHeight="13.5" x14ac:dyDescent="0.15"/>
  <sheetData>
    <row r="1" spans="1:23" ht="14.25" x14ac:dyDescent="0.15">
      <c r="A1" s="21" t="s">
        <v>0</v>
      </c>
      <c r="B1" s="21" t="s">
        <v>1</v>
      </c>
      <c r="C1" s="11" t="s">
        <v>2</v>
      </c>
      <c r="D1" s="11"/>
      <c r="E1" s="11"/>
      <c r="F1" s="11"/>
      <c r="G1" s="11"/>
      <c r="H1" s="11"/>
      <c r="I1" s="11"/>
      <c r="J1" s="11"/>
      <c r="K1" s="12"/>
      <c r="L1" s="11" t="s">
        <v>3</v>
      </c>
      <c r="M1" s="11"/>
      <c r="N1" s="11"/>
      <c r="O1" s="11"/>
      <c r="P1" s="11"/>
      <c r="Q1" s="11"/>
      <c r="R1" s="11"/>
      <c r="S1" s="11"/>
      <c r="T1" s="12"/>
      <c r="U1" s="23" t="s">
        <v>4</v>
      </c>
      <c r="V1" s="24"/>
      <c r="W1" s="25"/>
    </row>
    <row r="2" spans="1:23" ht="16.5" x14ac:dyDescent="0.35">
      <c r="A2" s="21"/>
      <c r="B2" s="21"/>
      <c r="C2" s="13" t="s">
        <v>5</v>
      </c>
      <c r="D2" s="14"/>
      <c r="E2" s="15"/>
      <c r="F2" s="13" t="s">
        <v>6</v>
      </c>
      <c r="G2" s="14"/>
      <c r="H2" s="15"/>
      <c r="I2" s="16" t="s">
        <v>7</v>
      </c>
      <c r="J2" s="17"/>
      <c r="K2" s="18"/>
      <c r="L2" s="13" t="s">
        <v>8</v>
      </c>
      <c r="M2" s="14"/>
      <c r="N2" s="15"/>
      <c r="O2" s="13" t="s">
        <v>9</v>
      </c>
      <c r="P2" s="14"/>
      <c r="Q2" s="15"/>
      <c r="R2" s="16" t="s">
        <v>7</v>
      </c>
      <c r="S2" s="17"/>
      <c r="T2" s="18"/>
      <c r="U2" s="26"/>
      <c r="V2" s="27"/>
      <c r="W2" s="28"/>
    </row>
    <row r="3" spans="1:23" ht="16.5" x14ac:dyDescent="0.15">
      <c r="A3" s="21"/>
      <c r="B3" s="21"/>
      <c r="C3" s="1" t="s">
        <v>10</v>
      </c>
      <c r="D3" s="1" t="s">
        <v>11</v>
      </c>
      <c r="E3" s="1" t="s">
        <v>12</v>
      </c>
      <c r="F3" s="1" t="s">
        <v>10</v>
      </c>
      <c r="G3" s="1" t="s">
        <v>11</v>
      </c>
      <c r="H3" s="1" t="s">
        <v>12</v>
      </c>
      <c r="I3" s="10" t="s">
        <v>10</v>
      </c>
      <c r="J3" s="10" t="s">
        <v>11</v>
      </c>
      <c r="K3" s="10" t="s">
        <v>12</v>
      </c>
      <c r="L3" s="1" t="s">
        <v>10</v>
      </c>
      <c r="M3" s="1" t="s">
        <v>11</v>
      </c>
      <c r="N3" s="1" t="s">
        <v>12</v>
      </c>
      <c r="O3" s="1" t="s">
        <v>10</v>
      </c>
      <c r="P3" s="1" t="s">
        <v>11</v>
      </c>
      <c r="Q3" s="1" t="s">
        <v>12</v>
      </c>
      <c r="R3" s="10" t="s">
        <v>10</v>
      </c>
      <c r="S3" s="10" t="s">
        <v>11</v>
      </c>
      <c r="T3" s="10" t="s">
        <v>12</v>
      </c>
      <c r="U3" s="1" t="s">
        <v>10</v>
      </c>
      <c r="V3" s="1" t="s">
        <v>11</v>
      </c>
      <c r="W3" s="1" t="s">
        <v>12</v>
      </c>
    </row>
    <row r="4" spans="1:23" ht="14.25" x14ac:dyDescent="0.15">
      <c r="A4" s="19" t="s">
        <v>7</v>
      </c>
      <c r="B4" s="19"/>
      <c r="C4" s="3">
        <f t="shared" ref="C4:H4" si="0">C5+C6</f>
        <v>26</v>
      </c>
      <c r="D4" s="3">
        <f t="shared" si="0"/>
        <v>44</v>
      </c>
      <c r="E4" s="3">
        <f t="shared" si="0"/>
        <v>55</v>
      </c>
      <c r="F4" s="3">
        <f t="shared" si="0"/>
        <v>53</v>
      </c>
      <c r="G4" s="3">
        <f t="shared" si="0"/>
        <v>77</v>
      </c>
      <c r="H4" s="3">
        <f t="shared" si="0"/>
        <v>7</v>
      </c>
      <c r="I4" s="3">
        <f t="shared" ref="I4:K4" si="1">C4+F4</f>
        <v>79</v>
      </c>
      <c r="J4" s="3">
        <f t="shared" si="1"/>
        <v>121</v>
      </c>
      <c r="K4" s="3">
        <f t="shared" si="1"/>
        <v>62</v>
      </c>
      <c r="L4" s="3">
        <f t="shared" ref="L4:Q4" si="2">L5+L6</f>
        <v>29</v>
      </c>
      <c r="M4" s="3">
        <f t="shared" si="2"/>
        <v>61</v>
      </c>
      <c r="N4" s="3">
        <f t="shared" si="2"/>
        <v>86</v>
      </c>
      <c r="O4" s="3">
        <f t="shared" si="2"/>
        <v>98</v>
      </c>
      <c r="P4" s="3">
        <f t="shared" si="2"/>
        <v>136</v>
      </c>
      <c r="Q4" s="3">
        <f t="shared" si="2"/>
        <v>161</v>
      </c>
      <c r="R4" s="3">
        <f t="shared" ref="R4:T4" si="3">L4+O4</f>
        <v>127</v>
      </c>
      <c r="S4" s="3">
        <f t="shared" si="3"/>
        <v>197</v>
      </c>
      <c r="T4" s="3">
        <f t="shared" si="3"/>
        <v>247</v>
      </c>
      <c r="U4" s="3">
        <f t="shared" ref="U4:W4" si="4">F4+O4+L4+C4</f>
        <v>206</v>
      </c>
      <c r="V4" s="3">
        <f t="shared" si="4"/>
        <v>318</v>
      </c>
      <c r="W4" s="3">
        <f t="shared" si="4"/>
        <v>309</v>
      </c>
    </row>
    <row r="5" spans="1:23" ht="14.25" x14ac:dyDescent="0.15">
      <c r="A5" s="20" t="s">
        <v>13</v>
      </c>
      <c r="B5" s="20"/>
      <c r="C5" s="4">
        <f t="shared" ref="C5:H5" si="5">C14</f>
        <v>14</v>
      </c>
      <c r="D5" s="4">
        <f t="shared" si="5"/>
        <v>24</v>
      </c>
      <c r="E5" s="4">
        <f t="shared" si="5"/>
        <v>30</v>
      </c>
      <c r="F5" s="4">
        <f t="shared" si="5"/>
        <v>29</v>
      </c>
      <c r="G5" s="4">
        <f t="shared" si="5"/>
        <v>42</v>
      </c>
      <c r="H5" s="4">
        <f t="shared" si="5"/>
        <v>0</v>
      </c>
      <c r="I5" s="4">
        <f t="shared" ref="I5:K5" si="6">C5+F5</f>
        <v>43</v>
      </c>
      <c r="J5" s="4">
        <f t="shared" si="6"/>
        <v>66</v>
      </c>
      <c r="K5" s="4">
        <f t="shared" si="6"/>
        <v>30</v>
      </c>
      <c r="L5" s="4">
        <f t="shared" ref="L5:Q5" si="7">L14</f>
        <v>17</v>
      </c>
      <c r="M5" s="4">
        <f t="shared" si="7"/>
        <v>35</v>
      </c>
      <c r="N5" s="4">
        <f t="shared" si="7"/>
        <v>49</v>
      </c>
      <c r="O5" s="4">
        <f t="shared" si="7"/>
        <v>56</v>
      </c>
      <c r="P5" s="4">
        <f t="shared" si="7"/>
        <v>77</v>
      </c>
      <c r="Q5" s="4">
        <f t="shared" si="7"/>
        <v>91</v>
      </c>
      <c r="R5" s="4">
        <f t="shared" ref="R5:T5" si="8">L5+O5</f>
        <v>73</v>
      </c>
      <c r="S5" s="4">
        <f t="shared" si="8"/>
        <v>112</v>
      </c>
      <c r="T5" s="4">
        <f t="shared" si="8"/>
        <v>140</v>
      </c>
      <c r="U5" s="4">
        <f t="shared" ref="U5:W5" si="9">F5+O5+L5+C5</f>
        <v>116</v>
      </c>
      <c r="V5" s="4">
        <f t="shared" si="9"/>
        <v>178</v>
      </c>
      <c r="W5" s="4">
        <f t="shared" si="9"/>
        <v>170</v>
      </c>
    </row>
    <row r="6" spans="1:23" ht="14.25" x14ac:dyDescent="0.15">
      <c r="A6" s="20" t="s">
        <v>14</v>
      </c>
      <c r="B6" s="20"/>
      <c r="C6" s="4">
        <f t="shared" ref="C6:H6" si="10">C21</f>
        <v>12</v>
      </c>
      <c r="D6" s="4">
        <f t="shared" si="10"/>
        <v>20</v>
      </c>
      <c r="E6" s="4">
        <f t="shared" si="10"/>
        <v>25</v>
      </c>
      <c r="F6" s="4">
        <f t="shared" si="10"/>
        <v>24</v>
      </c>
      <c r="G6" s="4">
        <f t="shared" si="10"/>
        <v>35</v>
      </c>
      <c r="H6" s="4">
        <f t="shared" si="10"/>
        <v>7</v>
      </c>
      <c r="I6" s="4">
        <f t="shared" ref="I6:K6" si="11">C6+F6</f>
        <v>36</v>
      </c>
      <c r="J6" s="4">
        <f t="shared" si="11"/>
        <v>55</v>
      </c>
      <c r="K6" s="4">
        <f t="shared" si="11"/>
        <v>32</v>
      </c>
      <c r="L6" s="4">
        <f t="shared" ref="L6:Q6" si="12">L21</f>
        <v>12</v>
      </c>
      <c r="M6" s="4">
        <f t="shared" si="12"/>
        <v>26</v>
      </c>
      <c r="N6" s="4">
        <f t="shared" si="12"/>
        <v>37</v>
      </c>
      <c r="O6" s="4">
        <f t="shared" si="12"/>
        <v>42</v>
      </c>
      <c r="P6" s="4">
        <f t="shared" si="12"/>
        <v>59</v>
      </c>
      <c r="Q6" s="4">
        <f t="shared" si="12"/>
        <v>70</v>
      </c>
      <c r="R6" s="4">
        <f t="shared" ref="R6:T6" si="13">L6+O6</f>
        <v>54</v>
      </c>
      <c r="S6" s="4">
        <f t="shared" si="13"/>
        <v>85</v>
      </c>
      <c r="T6" s="4">
        <f t="shared" si="13"/>
        <v>107</v>
      </c>
      <c r="U6" s="4">
        <f t="shared" ref="U6:W6" si="14">F6+O6+L6+C6</f>
        <v>90</v>
      </c>
      <c r="V6" s="4">
        <f t="shared" si="14"/>
        <v>140</v>
      </c>
      <c r="W6" s="4">
        <f t="shared" si="14"/>
        <v>139</v>
      </c>
    </row>
    <row r="7" spans="1:23" ht="14.25" x14ac:dyDescent="0.15">
      <c r="A7" s="22" t="s">
        <v>13</v>
      </c>
      <c r="B7" s="6" t="s">
        <v>15</v>
      </c>
      <c r="C7" s="7">
        <v>4</v>
      </c>
      <c r="D7" s="7">
        <v>5</v>
      </c>
      <c r="E7" s="7">
        <v>6</v>
      </c>
      <c r="F7" s="7">
        <v>7</v>
      </c>
      <c r="G7" s="7">
        <v>8</v>
      </c>
      <c r="H7" s="7">
        <v>9</v>
      </c>
      <c r="I7" s="7">
        <f t="shared" ref="I7:K7" si="15">C7+F7</f>
        <v>11</v>
      </c>
      <c r="J7" s="7">
        <f t="shared" si="15"/>
        <v>13</v>
      </c>
      <c r="K7" s="7">
        <f t="shared" si="15"/>
        <v>15</v>
      </c>
      <c r="L7" s="7">
        <v>4</v>
      </c>
      <c r="M7" s="7">
        <v>5</v>
      </c>
      <c r="N7" s="7">
        <v>6</v>
      </c>
      <c r="O7" s="7">
        <v>7</v>
      </c>
      <c r="P7" s="7">
        <v>8</v>
      </c>
      <c r="Q7" s="7">
        <v>9</v>
      </c>
      <c r="R7" s="7">
        <f t="shared" ref="R7:T7" si="16">L7+O7</f>
        <v>11</v>
      </c>
      <c r="S7" s="7">
        <f t="shared" si="16"/>
        <v>13</v>
      </c>
      <c r="T7" s="7">
        <f t="shared" si="16"/>
        <v>15</v>
      </c>
      <c r="U7" s="7">
        <f t="shared" ref="U7:W7" si="17">F7+O7+L7+C7</f>
        <v>22</v>
      </c>
      <c r="V7" s="7">
        <f t="shared" si="17"/>
        <v>26</v>
      </c>
      <c r="W7" s="7">
        <f t="shared" si="17"/>
        <v>30</v>
      </c>
    </row>
    <row r="8" spans="1:23" ht="14.25" x14ac:dyDescent="0.15">
      <c r="A8" s="22"/>
      <c r="B8" s="5" t="s">
        <v>16</v>
      </c>
      <c r="C8" s="8">
        <v>1</v>
      </c>
      <c r="D8" s="8">
        <v>2</v>
      </c>
      <c r="E8" s="8">
        <v>3</v>
      </c>
      <c r="F8" s="8">
        <v>4</v>
      </c>
      <c r="G8" s="8">
        <v>5</v>
      </c>
      <c r="H8" s="8">
        <v>-6</v>
      </c>
      <c r="I8" s="8">
        <f t="shared" ref="I8:K8" si="18">C8+F8</f>
        <v>5</v>
      </c>
      <c r="J8" s="8">
        <f t="shared" si="18"/>
        <v>7</v>
      </c>
      <c r="K8" s="8">
        <f t="shared" si="18"/>
        <v>-3</v>
      </c>
      <c r="L8" s="8">
        <v>2</v>
      </c>
      <c r="M8" s="8">
        <v>5</v>
      </c>
      <c r="N8" s="8">
        <v>8</v>
      </c>
      <c r="O8" s="8">
        <v>11</v>
      </c>
      <c r="P8" s="8">
        <v>14</v>
      </c>
      <c r="Q8" s="8">
        <v>17</v>
      </c>
      <c r="R8" s="8">
        <f t="shared" ref="R8:T8" si="19">L8+O8</f>
        <v>13</v>
      </c>
      <c r="S8" s="8">
        <f t="shared" si="19"/>
        <v>19</v>
      </c>
      <c r="T8" s="8">
        <f t="shared" si="19"/>
        <v>25</v>
      </c>
      <c r="U8" s="8">
        <f t="shared" ref="U8:W8" si="20">F8+O8+L8+C8</f>
        <v>18</v>
      </c>
      <c r="V8" s="8">
        <f t="shared" si="20"/>
        <v>26</v>
      </c>
      <c r="W8" s="8">
        <f t="shared" si="20"/>
        <v>22</v>
      </c>
    </row>
    <row r="9" spans="1:23" ht="14.25" x14ac:dyDescent="0.15">
      <c r="A9" s="22"/>
      <c r="B9" s="5" t="s">
        <v>17</v>
      </c>
      <c r="C9" s="8">
        <v>2</v>
      </c>
      <c r="D9" s="8">
        <v>3</v>
      </c>
      <c r="E9" s="8">
        <v>4</v>
      </c>
      <c r="F9" s="8">
        <v>5</v>
      </c>
      <c r="G9" s="8">
        <v>6</v>
      </c>
      <c r="H9" s="8">
        <v>-5</v>
      </c>
      <c r="I9" s="8">
        <f t="shared" ref="I9:K9" si="21">C9+F9</f>
        <v>7</v>
      </c>
      <c r="J9" s="8">
        <f t="shared" si="21"/>
        <v>9</v>
      </c>
      <c r="K9" s="8">
        <f t="shared" si="21"/>
        <v>-1</v>
      </c>
      <c r="L9" s="8">
        <v>3</v>
      </c>
      <c r="M9" s="8">
        <v>6</v>
      </c>
      <c r="N9" s="8">
        <v>9</v>
      </c>
      <c r="O9" s="8">
        <v>12</v>
      </c>
      <c r="P9" s="8">
        <v>15</v>
      </c>
      <c r="Q9" s="8">
        <v>18</v>
      </c>
      <c r="R9" s="8">
        <f t="shared" ref="R9:T9" si="22">L9+O9</f>
        <v>15</v>
      </c>
      <c r="S9" s="8">
        <f t="shared" si="22"/>
        <v>21</v>
      </c>
      <c r="T9" s="8">
        <f t="shared" si="22"/>
        <v>27</v>
      </c>
      <c r="U9" s="8">
        <f t="shared" ref="U9:W9" si="23">F9+O9+L9+C9</f>
        <v>22</v>
      </c>
      <c r="V9" s="8">
        <f t="shared" si="23"/>
        <v>30</v>
      </c>
      <c r="W9" s="8">
        <f t="shared" si="23"/>
        <v>26</v>
      </c>
    </row>
    <row r="10" spans="1:23" ht="14.25" x14ac:dyDescent="0.15">
      <c r="A10" s="22"/>
      <c r="B10" s="5" t="s">
        <v>18</v>
      </c>
      <c r="C10" s="8">
        <v>3</v>
      </c>
      <c r="D10" s="8">
        <v>4</v>
      </c>
      <c r="E10" s="8">
        <v>5</v>
      </c>
      <c r="F10" s="8">
        <v>6</v>
      </c>
      <c r="G10" s="8">
        <v>7</v>
      </c>
      <c r="H10" s="8">
        <v>-4</v>
      </c>
      <c r="I10" s="8">
        <f t="shared" ref="I10:K10" si="24">C10+F10</f>
        <v>9</v>
      </c>
      <c r="J10" s="8">
        <f t="shared" si="24"/>
        <v>11</v>
      </c>
      <c r="K10" s="8">
        <f t="shared" si="24"/>
        <v>1</v>
      </c>
      <c r="L10" s="8">
        <v>3</v>
      </c>
      <c r="M10" s="8">
        <v>6</v>
      </c>
      <c r="N10" s="8">
        <v>9</v>
      </c>
      <c r="O10" s="8">
        <v>12</v>
      </c>
      <c r="P10" s="8">
        <v>15</v>
      </c>
      <c r="Q10" s="8">
        <v>18</v>
      </c>
      <c r="R10" s="8">
        <f t="shared" ref="R10:T10" si="25">L10+O10</f>
        <v>15</v>
      </c>
      <c r="S10" s="8">
        <f t="shared" si="25"/>
        <v>21</v>
      </c>
      <c r="T10" s="8">
        <f t="shared" si="25"/>
        <v>27</v>
      </c>
      <c r="U10" s="8">
        <f t="shared" ref="U10:W10" si="26">F10+O10+L10+C10</f>
        <v>24</v>
      </c>
      <c r="V10" s="8">
        <f t="shared" si="26"/>
        <v>32</v>
      </c>
      <c r="W10" s="8">
        <f t="shared" si="26"/>
        <v>28</v>
      </c>
    </row>
    <row r="11" spans="1:23" ht="14.25" x14ac:dyDescent="0.15">
      <c r="A11" s="22"/>
      <c r="B11" s="5" t="s">
        <v>19</v>
      </c>
      <c r="C11" s="8">
        <v>4</v>
      </c>
      <c r="D11" s="8">
        <v>5</v>
      </c>
      <c r="E11" s="8">
        <v>6</v>
      </c>
      <c r="F11" s="8">
        <v>7</v>
      </c>
      <c r="G11" s="8">
        <v>8</v>
      </c>
      <c r="H11" s="8">
        <v>-3</v>
      </c>
      <c r="I11" s="8">
        <f t="shared" ref="I11:K11" si="27">C11+F11</f>
        <v>11</v>
      </c>
      <c r="J11" s="8">
        <f t="shared" si="27"/>
        <v>13</v>
      </c>
      <c r="K11" s="8">
        <f t="shared" si="27"/>
        <v>3</v>
      </c>
      <c r="L11" s="8">
        <v>5</v>
      </c>
      <c r="M11" s="8">
        <v>8</v>
      </c>
      <c r="N11" s="8">
        <v>11</v>
      </c>
      <c r="O11" s="8">
        <v>14</v>
      </c>
      <c r="P11" s="8">
        <v>17</v>
      </c>
      <c r="Q11" s="8">
        <v>20</v>
      </c>
      <c r="R11" s="8">
        <f t="shared" ref="R11:T11" si="28">L11+O11</f>
        <v>19</v>
      </c>
      <c r="S11" s="8">
        <f t="shared" si="28"/>
        <v>25</v>
      </c>
      <c r="T11" s="8">
        <f t="shared" si="28"/>
        <v>31</v>
      </c>
      <c r="U11" s="8">
        <f t="shared" ref="U11:W11" si="29">F11+O11+L11+C11</f>
        <v>30</v>
      </c>
      <c r="V11" s="8">
        <f t="shared" si="29"/>
        <v>38</v>
      </c>
      <c r="W11" s="8">
        <f t="shared" si="29"/>
        <v>34</v>
      </c>
    </row>
    <row r="12" spans="1:23" ht="28.5" x14ac:dyDescent="0.15">
      <c r="A12" s="22"/>
      <c r="B12" s="6" t="s">
        <v>20</v>
      </c>
      <c r="C12" s="7">
        <f>SUM(C8:C11)</f>
        <v>10</v>
      </c>
      <c r="D12" s="7">
        <f t="shared" ref="D12:T12" si="30">SUM(D8:D11)</f>
        <v>14</v>
      </c>
      <c r="E12" s="7">
        <f t="shared" si="30"/>
        <v>18</v>
      </c>
      <c r="F12" s="7">
        <f t="shared" si="30"/>
        <v>22</v>
      </c>
      <c r="G12" s="7">
        <f t="shared" si="30"/>
        <v>26</v>
      </c>
      <c r="H12" s="7">
        <f t="shared" si="30"/>
        <v>-18</v>
      </c>
      <c r="I12" s="7">
        <f t="shared" si="30"/>
        <v>32</v>
      </c>
      <c r="J12" s="7">
        <f t="shared" si="30"/>
        <v>40</v>
      </c>
      <c r="K12" s="7">
        <f t="shared" si="30"/>
        <v>0</v>
      </c>
      <c r="L12" s="7">
        <f t="shared" si="30"/>
        <v>13</v>
      </c>
      <c r="M12" s="7">
        <f t="shared" si="30"/>
        <v>25</v>
      </c>
      <c r="N12" s="7">
        <f t="shared" si="30"/>
        <v>37</v>
      </c>
      <c r="O12" s="7">
        <f t="shared" si="30"/>
        <v>49</v>
      </c>
      <c r="P12" s="7">
        <f t="shared" si="30"/>
        <v>61</v>
      </c>
      <c r="Q12" s="7">
        <f t="shared" si="30"/>
        <v>73</v>
      </c>
      <c r="R12" s="7">
        <f t="shared" si="30"/>
        <v>62</v>
      </c>
      <c r="S12" s="7">
        <f t="shared" si="30"/>
        <v>86</v>
      </c>
      <c r="T12" s="7">
        <f t="shared" si="30"/>
        <v>110</v>
      </c>
      <c r="U12" s="7">
        <f t="shared" ref="U12:W12" si="31">F12+O12+L12+C12</f>
        <v>94</v>
      </c>
      <c r="V12" s="7">
        <f t="shared" si="31"/>
        <v>126</v>
      </c>
      <c r="W12" s="7">
        <f t="shared" si="31"/>
        <v>110</v>
      </c>
    </row>
    <row r="13" spans="1:23" ht="14.25" x14ac:dyDescent="0.15">
      <c r="A13" s="22"/>
      <c r="B13" s="6" t="s">
        <v>21</v>
      </c>
      <c r="C13" s="7">
        <v>4</v>
      </c>
      <c r="D13" s="7">
        <v>5</v>
      </c>
      <c r="E13" s="7">
        <v>6</v>
      </c>
      <c r="F13" s="7">
        <v>7</v>
      </c>
      <c r="G13" s="7">
        <v>8</v>
      </c>
      <c r="H13" s="7">
        <v>9</v>
      </c>
      <c r="I13" s="7">
        <f t="shared" ref="I13:K13" si="32">C13+F13</f>
        <v>11</v>
      </c>
      <c r="J13" s="7">
        <f t="shared" si="32"/>
        <v>13</v>
      </c>
      <c r="K13" s="7">
        <f t="shared" si="32"/>
        <v>15</v>
      </c>
      <c r="L13" s="7">
        <v>4</v>
      </c>
      <c r="M13" s="7">
        <v>5</v>
      </c>
      <c r="N13" s="7">
        <v>6</v>
      </c>
      <c r="O13" s="7">
        <v>7</v>
      </c>
      <c r="P13" s="7">
        <v>8</v>
      </c>
      <c r="Q13" s="7">
        <v>9</v>
      </c>
      <c r="R13" s="7">
        <f t="shared" ref="R13:T13" si="33">L13+O13</f>
        <v>11</v>
      </c>
      <c r="S13" s="7">
        <f t="shared" si="33"/>
        <v>13</v>
      </c>
      <c r="T13" s="7">
        <f t="shared" si="33"/>
        <v>15</v>
      </c>
      <c r="U13" s="7">
        <f t="shared" ref="U13:W13" si="34">F13+O13+L13+C13</f>
        <v>22</v>
      </c>
      <c r="V13" s="7">
        <f t="shared" si="34"/>
        <v>26</v>
      </c>
      <c r="W13" s="7">
        <f t="shared" si="34"/>
        <v>30</v>
      </c>
    </row>
    <row r="14" spans="1:23" ht="14.25" x14ac:dyDescent="0.15">
      <c r="A14" s="22"/>
      <c r="B14" s="2" t="s">
        <v>22</v>
      </c>
      <c r="C14" s="9">
        <f>C7+C12</f>
        <v>14</v>
      </c>
      <c r="D14" s="9">
        <f t="shared" ref="D14:H14" si="35">D13+D12+D7</f>
        <v>24</v>
      </c>
      <c r="E14" s="9">
        <f t="shared" si="35"/>
        <v>30</v>
      </c>
      <c r="F14" s="9">
        <f>F7+F12</f>
        <v>29</v>
      </c>
      <c r="G14" s="9">
        <f t="shared" si="35"/>
        <v>42</v>
      </c>
      <c r="H14" s="9">
        <f t="shared" si="35"/>
        <v>0</v>
      </c>
      <c r="I14" s="9">
        <f>I7+I12</f>
        <v>43</v>
      </c>
      <c r="J14" s="9">
        <f t="shared" ref="J14:K14" si="36">J13+J12+J7</f>
        <v>66</v>
      </c>
      <c r="K14" s="9">
        <f t="shared" si="36"/>
        <v>30</v>
      </c>
      <c r="L14" s="9">
        <f>L7+L12</f>
        <v>17</v>
      </c>
      <c r="M14" s="9">
        <f t="shared" ref="M14:Q14" si="37">M13+M12+M7</f>
        <v>35</v>
      </c>
      <c r="N14" s="9">
        <f t="shared" si="37"/>
        <v>49</v>
      </c>
      <c r="O14" s="9">
        <f>O7+O12</f>
        <v>56</v>
      </c>
      <c r="P14" s="9">
        <f t="shared" si="37"/>
        <v>77</v>
      </c>
      <c r="Q14" s="9">
        <f t="shared" si="37"/>
        <v>91</v>
      </c>
      <c r="R14" s="9">
        <f>R7+R12</f>
        <v>73</v>
      </c>
      <c r="S14" s="9">
        <f>S13+S12+S7</f>
        <v>112</v>
      </c>
      <c r="T14" s="9">
        <f>T13+T12+T7</f>
        <v>140</v>
      </c>
      <c r="U14" s="9">
        <f>U7+U12</f>
        <v>116</v>
      </c>
      <c r="V14" s="9">
        <f>V13+V12+V7</f>
        <v>178</v>
      </c>
      <c r="W14" s="9">
        <f>W13+W12+W7</f>
        <v>170</v>
      </c>
    </row>
    <row r="15" spans="1:23" ht="14.25" x14ac:dyDescent="0.15">
      <c r="A15" s="22" t="s">
        <v>14</v>
      </c>
      <c r="B15" s="6" t="s">
        <v>15</v>
      </c>
      <c r="C15" s="7">
        <v>3</v>
      </c>
      <c r="D15" s="7">
        <v>4</v>
      </c>
      <c r="E15" s="7">
        <v>5</v>
      </c>
      <c r="F15" s="7">
        <v>6</v>
      </c>
      <c r="G15" s="7">
        <v>7</v>
      </c>
      <c r="H15" s="7">
        <v>8</v>
      </c>
      <c r="I15" s="7">
        <f t="shared" ref="I15:K15" si="38">C15+F15</f>
        <v>9</v>
      </c>
      <c r="J15" s="7">
        <f t="shared" si="38"/>
        <v>11</v>
      </c>
      <c r="K15" s="7">
        <f t="shared" si="38"/>
        <v>13</v>
      </c>
      <c r="L15" s="7">
        <v>3</v>
      </c>
      <c r="M15" s="7">
        <v>4</v>
      </c>
      <c r="N15" s="7">
        <v>5</v>
      </c>
      <c r="O15" s="7">
        <v>6</v>
      </c>
      <c r="P15" s="7">
        <v>7</v>
      </c>
      <c r="Q15" s="7">
        <v>8</v>
      </c>
      <c r="R15" s="7">
        <f t="shared" ref="R15:T15" si="39">L15+O15</f>
        <v>9</v>
      </c>
      <c r="S15" s="7">
        <f t="shared" si="39"/>
        <v>11</v>
      </c>
      <c r="T15" s="7">
        <f t="shared" si="39"/>
        <v>13</v>
      </c>
      <c r="U15" s="7">
        <f t="shared" ref="U15:W15" si="40">F15+O15+L15+C15</f>
        <v>18</v>
      </c>
      <c r="V15" s="7">
        <f t="shared" si="40"/>
        <v>22</v>
      </c>
      <c r="W15" s="7">
        <f t="shared" si="40"/>
        <v>26</v>
      </c>
    </row>
    <row r="16" spans="1:23" ht="14.25" x14ac:dyDescent="0.15">
      <c r="A16" s="22"/>
      <c r="B16" s="5" t="s">
        <v>16</v>
      </c>
      <c r="C16" s="8">
        <v>2</v>
      </c>
      <c r="D16" s="8">
        <v>3</v>
      </c>
      <c r="E16" s="8">
        <v>4</v>
      </c>
      <c r="F16" s="8">
        <v>5</v>
      </c>
      <c r="G16" s="8">
        <v>6</v>
      </c>
      <c r="H16" s="8">
        <v>-3</v>
      </c>
      <c r="I16" s="8">
        <f>C16+F16</f>
        <v>7</v>
      </c>
      <c r="J16" s="8">
        <f>D16+G16</f>
        <v>9</v>
      </c>
      <c r="K16" s="8">
        <f>E16+H16</f>
        <v>1</v>
      </c>
      <c r="L16" s="8">
        <v>3</v>
      </c>
      <c r="M16" s="8">
        <v>6</v>
      </c>
      <c r="N16" s="8">
        <v>9</v>
      </c>
      <c r="O16" s="8">
        <v>12</v>
      </c>
      <c r="P16" s="8">
        <v>15</v>
      </c>
      <c r="Q16" s="8">
        <v>18</v>
      </c>
      <c r="R16" s="8">
        <f t="shared" ref="R16:T16" si="41">L16+O16</f>
        <v>15</v>
      </c>
      <c r="S16" s="8">
        <f t="shared" si="41"/>
        <v>21</v>
      </c>
      <c r="T16" s="8">
        <f t="shared" si="41"/>
        <v>27</v>
      </c>
      <c r="U16" s="8">
        <f t="shared" ref="U16:W16" si="42">F16+O16+L16+C16</f>
        <v>22</v>
      </c>
      <c r="V16" s="8">
        <f t="shared" si="42"/>
        <v>30</v>
      </c>
      <c r="W16" s="8">
        <f t="shared" si="42"/>
        <v>28</v>
      </c>
    </row>
    <row r="17" spans="1:23" ht="14.25" x14ac:dyDescent="0.15">
      <c r="A17" s="22"/>
      <c r="B17" s="5" t="s">
        <v>17</v>
      </c>
      <c r="C17" s="8">
        <v>3</v>
      </c>
      <c r="D17" s="8">
        <v>4</v>
      </c>
      <c r="E17" s="8">
        <v>5</v>
      </c>
      <c r="F17" s="8">
        <v>6</v>
      </c>
      <c r="G17" s="8">
        <v>7</v>
      </c>
      <c r="H17" s="8">
        <v>-3</v>
      </c>
      <c r="I17" s="8">
        <f t="shared" ref="I17:K17" si="43">C17+F17</f>
        <v>9</v>
      </c>
      <c r="J17" s="8">
        <f t="shared" si="43"/>
        <v>11</v>
      </c>
      <c r="K17" s="8">
        <f t="shared" si="43"/>
        <v>2</v>
      </c>
      <c r="L17" s="8">
        <v>3</v>
      </c>
      <c r="M17" s="8">
        <v>6</v>
      </c>
      <c r="N17" s="8">
        <v>9</v>
      </c>
      <c r="O17" s="8">
        <v>12</v>
      </c>
      <c r="P17" s="8">
        <v>15</v>
      </c>
      <c r="Q17" s="8">
        <v>18</v>
      </c>
      <c r="R17" s="8">
        <f t="shared" ref="R17:T17" si="44">L17+O17</f>
        <v>15</v>
      </c>
      <c r="S17" s="8">
        <f t="shared" si="44"/>
        <v>21</v>
      </c>
      <c r="T17" s="8">
        <f t="shared" si="44"/>
        <v>27</v>
      </c>
      <c r="U17" s="8">
        <f t="shared" ref="U17:W17" si="45">F17+O17+L17+C17</f>
        <v>24</v>
      </c>
      <c r="V17" s="8">
        <f t="shared" si="45"/>
        <v>32</v>
      </c>
      <c r="W17" s="8">
        <f t="shared" si="45"/>
        <v>29</v>
      </c>
    </row>
    <row r="18" spans="1:23" ht="14.25" x14ac:dyDescent="0.15">
      <c r="A18" s="22"/>
      <c r="B18" s="5" t="s">
        <v>19</v>
      </c>
      <c r="C18" s="8">
        <v>4</v>
      </c>
      <c r="D18" s="8">
        <v>5</v>
      </c>
      <c r="E18" s="8">
        <v>6</v>
      </c>
      <c r="F18" s="8">
        <v>7</v>
      </c>
      <c r="G18" s="8">
        <v>8</v>
      </c>
      <c r="H18" s="8">
        <v>-3</v>
      </c>
      <c r="I18" s="8">
        <f t="shared" ref="I18:K18" si="46">C18+F18</f>
        <v>11</v>
      </c>
      <c r="J18" s="8">
        <f t="shared" si="46"/>
        <v>13</v>
      </c>
      <c r="K18" s="8">
        <f t="shared" si="46"/>
        <v>3</v>
      </c>
      <c r="L18" s="8">
        <v>3</v>
      </c>
      <c r="M18" s="8">
        <v>6</v>
      </c>
      <c r="N18" s="8">
        <v>9</v>
      </c>
      <c r="O18" s="8">
        <v>12</v>
      </c>
      <c r="P18" s="8">
        <v>15</v>
      </c>
      <c r="Q18" s="8">
        <v>18</v>
      </c>
      <c r="R18" s="8">
        <f t="shared" ref="R18:T18" si="47">L18+O18</f>
        <v>15</v>
      </c>
      <c r="S18" s="8">
        <f t="shared" si="47"/>
        <v>21</v>
      </c>
      <c r="T18" s="8">
        <f t="shared" si="47"/>
        <v>27</v>
      </c>
      <c r="U18" s="8">
        <f t="shared" ref="U18:W18" si="48">F18+O18+L18+C18</f>
        <v>26</v>
      </c>
      <c r="V18" s="8">
        <f t="shared" si="48"/>
        <v>34</v>
      </c>
      <c r="W18" s="8">
        <f t="shared" si="48"/>
        <v>30</v>
      </c>
    </row>
    <row r="19" spans="1:23" ht="28.5" x14ac:dyDescent="0.15">
      <c r="A19" s="22"/>
      <c r="B19" s="6" t="s">
        <v>20</v>
      </c>
      <c r="C19" s="7">
        <f>SUM(C16:C18)</f>
        <v>9</v>
      </c>
      <c r="D19" s="7">
        <f>SUM(D16:D18)</f>
        <v>12</v>
      </c>
      <c r="E19" s="7">
        <f>SUM(E16:E18)</f>
        <v>15</v>
      </c>
      <c r="F19" s="7">
        <f>SUM(F16:F18)</f>
        <v>18</v>
      </c>
      <c r="G19" s="7">
        <f t="shared" ref="G19:Q19" si="49">SUM(G16:G18)</f>
        <v>21</v>
      </c>
      <c r="H19" s="7">
        <f t="shared" si="49"/>
        <v>-9</v>
      </c>
      <c r="I19" s="7">
        <f t="shared" ref="I19:K19" si="50">C19+F19</f>
        <v>27</v>
      </c>
      <c r="J19" s="7">
        <f t="shared" si="50"/>
        <v>33</v>
      </c>
      <c r="K19" s="7">
        <f t="shared" si="50"/>
        <v>6</v>
      </c>
      <c r="L19" s="7">
        <f t="shared" si="49"/>
        <v>9</v>
      </c>
      <c r="M19" s="7">
        <f t="shared" si="49"/>
        <v>18</v>
      </c>
      <c r="N19" s="7">
        <f t="shared" si="49"/>
        <v>27</v>
      </c>
      <c r="O19" s="7">
        <f t="shared" si="49"/>
        <v>36</v>
      </c>
      <c r="P19" s="7">
        <f t="shared" si="49"/>
        <v>45</v>
      </c>
      <c r="Q19" s="7">
        <f t="shared" si="49"/>
        <v>54</v>
      </c>
      <c r="R19" s="7">
        <f t="shared" ref="R19:T19" si="51">L19+O19</f>
        <v>45</v>
      </c>
      <c r="S19" s="7">
        <f t="shared" si="51"/>
        <v>63</v>
      </c>
      <c r="T19" s="7">
        <f t="shared" si="51"/>
        <v>81</v>
      </c>
      <c r="U19" s="7">
        <f t="shared" ref="U19:W19" si="52">F19+O19+L19+C19</f>
        <v>72</v>
      </c>
      <c r="V19" s="7">
        <f t="shared" si="52"/>
        <v>96</v>
      </c>
      <c r="W19" s="7">
        <f t="shared" si="52"/>
        <v>87</v>
      </c>
    </row>
    <row r="20" spans="1:23" ht="14.25" x14ac:dyDescent="0.15">
      <c r="A20" s="22"/>
      <c r="B20" s="6" t="s">
        <v>21</v>
      </c>
      <c r="C20" s="7">
        <v>3</v>
      </c>
      <c r="D20" s="7">
        <v>4</v>
      </c>
      <c r="E20" s="7">
        <v>5</v>
      </c>
      <c r="F20" s="7">
        <v>6</v>
      </c>
      <c r="G20" s="7">
        <v>7</v>
      </c>
      <c r="H20" s="7">
        <v>8</v>
      </c>
      <c r="I20" s="7">
        <f t="shared" ref="I20:K20" si="53">C20+F20</f>
        <v>9</v>
      </c>
      <c r="J20" s="7">
        <f t="shared" si="53"/>
        <v>11</v>
      </c>
      <c r="K20" s="7">
        <f t="shared" si="53"/>
        <v>13</v>
      </c>
      <c r="L20" s="7">
        <v>3</v>
      </c>
      <c r="M20" s="7">
        <v>4</v>
      </c>
      <c r="N20" s="7">
        <v>5</v>
      </c>
      <c r="O20" s="7">
        <v>6</v>
      </c>
      <c r="P20" s="7">
        <v>7</v>
      </c>
      <c r="Q20" s="7">
        <v>8</v>
      </c>
      <c r="R20" s="7">
        <f t="shared" ref="R20:T20" si="54">L20+O20</f>
        <v>9</v>
      </c>
      <c r="S20" s="7">
        <f t="shared" si="54"/>
        <v>11</v>
      </c>
      <c r="T20" s="7">
        <f t="shared" si="54"/>
        <v>13</v>
      </c>
      <c r="U20" s="7">
        <f t="shared" ref="U20:W20" si="55">F20+O20+L20+C20</f>
        <v>18</v>
      </c>
      <c r="V20" s="7">
        <f t="shared" si="55"/>
        <v>22</v>
      </c>
      <c r="W20" s="7">
        <f t="shared" si="55"/>
        <v>26</v>
      </c>
    </row>
    <row r="21" spans="1:23" ht="14.25" x14ac:dyDescent="0.15">
      <c r="A21" s="22"/>
      <c r="B21" s="2" t="s">
        <v>22</v>
      </c>
      <c r="C21" s="9">
        <f>C15+C19</f>
        <v>12</v>
      </c>
      <c r="D21" s="9">
        <f t="shared" ref="D21:H21" si="56">D20+D19+D15</f>
        <v>20</v>
      </c>
      <c r="E21" s="9">
        <f t="shared" si="56"/>
        <v>25</v>
      </c>
      <c r="F21" s="9">
        <f>F15+F19</f>
        <v>24</v>
      </c>
      <c r="G21" s="9">
        <f t="shared" si="56"/>
        <v>35</v>
      </c>
      <c r="H21" s="9">
        <f t="shared" si="56"/>
        <v>7</v>
      </c>
      <c r="I21" s="9">
        <f>I15+I19</f>
        <v>36</v>
      </c>
      <c r="J21" s="9">
        <f t="shared" ref="J21:K21" si="57">J20+J19+J15</f>
        <v>55</v>
      </c>
      <c r="K21" s="9">
        <f t="shared" si="57"/>
        <v>32</v>
      </c>
      <c r="L21" s="9">
        <f>L15+L19</f>
        <v>12</v>
      </c>
      <c r="M21" s="9">
        <f t="shared" ref="M21:Q21" si="58">M20+M19+M15</f>
        <v>26</v>
      </c>
      <c r="N21" s="9">
        <f t="shared" si="58"/>
        <v>37</v>
      </c>
      <c r="O21" s="9">
        <f>O15+O19</f>
        <v>42</v>
      </c>
      <c r="P21" s="9">
        <f t="shared" si="58"/>
        <v>59</v>
      </c>
      <c r="Q21" s="9">
        <f t="shared" si="58"/>
        <v>70</v>
      </c>
      <c r="R21" s="9">
        <f>R15+R19</f>
        <v>54</v>
      </c>
      <c r="S21" s="9">
        <f>S20+S19+S15</f>
        <v>85</v>
      </c>
      <c r="T21" s="9">
        <f>T20+T19+T15</f>
        <v>107</v>
      </c>
      <c r="U21" s="9">
        <f>U15+U19</f>
        <v>90</v>
      </c>
      <c r="V21" s="9">
        <f>V20+V19+V15</f>
        <v>140</v>
      </c>
      <c r="W21" s="9">
        <f>W20+W19+W15</f>
        <v>139</v>
      </c>
    </row>
    <row r="22" spans="1:23" ht="14.25" x14ac:dyDescent="0.15">
      <c r="A22" s="22" t="s">
        <v>4</v>
      </c>
      <c r="B22" s="6" t="s">
        <v>15</v>
      </c>
      <c r="C22" s="7">
        <f t="shared" ref="C22:T22" si="59">C7+C15</f>
        <v>7</v>
      </c>
      <c r="D22" s="7">
        <f t="shared" si="59"/>
        <v>9</v>
      </c>
      <c r="E22" s="7">
        <f t="shared" si="59"/>
        <v>11</v>
      </c>
      <c r="F22" s="7">
        <f t="shared" si="59"/>
        <v>13</v>
      </c>
      <c r="G22" s="7">
        <f t="shared" si="59"/>
        <v>15</v>
      </c>
      <c r="H22" s="7">
        <f t="shared" si="59"/>
        <v>17</v>
      </c>
      <c r="I22" s="7">
        <f t="shared" si="59"/>
        <v>20</v>
      </c>
      <c r="J22" s="7">
        <f t="shared" si="59"/>
        <v>24</v>
      </c>
      <c r="K22" s="7">
        <f t="shared" si="59"/>
        <v>28</v>
      </c>
      <c r="L22" s="7">
        <f t="shared" si="59"/>
        <v>7</v>
      </c>
      <c r="M22" s="7">
        <f t="shared" si="59"/>
        <v>9</v>
      </c>
      <c r="N22" s="7">
        <f t="shared" si="59"/>
        <v>11</v>
      </c>
      <c r="O22" s="7">
        <f t="shared" si="59"/>
        <v>13</v>
      </c>
      <c r="P22" s="7">
        <f t="shared" si="59"/>
        <v>15</v>
      </c>
      <c r="Q22" s="7">
        <f t="shared" si="59"/>
        <v>17</v>
      </c>
      <c r="R22" s="7">
        <f t="shared" si="59"/>
        <v>20</v>
      </c>
      <c r="S22" s="7">
        <f t="shared" si="59"/>
        <v>24</v>
      </c>
      <c r="T22" s="7">
        <f t="shared" si="59"/>
        <v>28</v>
      </c>
      <c r="U22" s="7">
        <f t="shared" ref="U22:W22" si="60">F22+O22+L22+C22</f>
        <v>40</v>
      </c>
      <c r="V22" s="7">
        <f t="shared" si="60"/>
        <v>48</v>
      </c>
      <c r="W22" s="7">
        <f t="shared" si="60"/>
        <v>56</v>
      </c>
    </row>
    <row r="23" spans="1:23" ht="14.25" x14ac:dyDescent="0.15">
      <c r="A23" s="22"/>
      <c r="B23" s="5" t="s">
        <v>16</v>
      </c>
      <c r="C23" s="8">
        <f t="shared" ref="C23:T23" si="61">C8+C16</f>
        <v>3</v>
      </c>
      <c r="D23" s="8">
        <f t="shared" si="61"/>
        <v>5</v>
      </c>
      <c r="E23" s="8">
        <f t="shared" si="61"/>
        <v>7</v>
      </c>
      <c r="F23" s="8">
        <f t="shared" si="61"/>
        <v>9</v>
      </c>
      <c r="G23" s="8">
        <f t="shared" si="61"/>
        <v>11</v>
      </c>
      <c r="H23" s="8">
        <f t="shared" si="61"/>
        <v>-9</v>
      </c>
      <c r="I23" s="8">
        <f t="shared" si="61"/>
        <v>12</v>
      </c>
      <c r="J23" s="8">
        <f t="shared" si="61"/>
        <v>16</v>
      </c>
      <c r="K23" s="8">
        <f t="shared" si="61"/>
        <v>-2</v>
      </c>
      <c r="L23" s="8">
        <f t="shared" si="61"/>
        <v>5</v>
      </c>
      <c r="M23" s="8">
        <f t="shared" si="61"/>
        <v>11</v>
      </c>
      <c r="N23" s="8">
        <f t="shared" si="61"/>
        <v>17</v>
      </c>
      <c r="O23" s="8">
        <f t="shared" si="61"/>
        <v>23</v>
      </c>
      <c r="P23" s="8">
        <f t="shared" si="61"/>
        <v>29</v>
      </c>
      <c r="Q23" s="8">
        <f t="shared" si="61"/>
        <v>35</v>
      </c>
      <c r="R23" s="8">
        <f t="shared" si="61"/>
        <v>28</v>
      </c>
      <c r="S23" s="8">
        <f t="shared" si="61"/>
        <v>40</v>
      </c>
      <c r="T23" s="8">
        <f t="shared" si="61"/>
        <v>52</v>
      </c>
      <c r="U23" s="8">
        <f t="shared" ref="U23:W23" si="62">F23+O23+L23+C23</f>
        <v>40</v>
      </c>
      <c r="V23" s="8">
        <f t="shared" si="62"/>
        <v>56</v>
      </c>
      <c r="W23" s="8">
        <f t="shared" si="62"/>
        <v>50</v>
      </c>
    </row>
    <row r="24" spans="1:23" ht="14.25" x14ac:dyDescent="0.15">
      <c r="A24" s="22"/>
      <c r="B24" s="5" t="s">
        <v>17</v>
      </c>
      <c r="C24" s="8">
        <f t="shared" ref="C24:T24" si="63">C9+C17</f>
        <v>5</v>
      </c>
      <c r="D24" s="8">
        <f t="shared" si="63"/>
        <v>7</v>
      </c>
      <c r="E24" s="8">
        <f t="shared" si="63"/>
        <v>9</v>
      </c>
      <c r="F24" s="8">
        <f t="shared" si="63"/>
        <v>11</v>
      </c>
      <c r="G24" s="8">
        <f t="shared" si="63"/>
        <v>13</v>
      </c>
      <c r="H24" s="8">
        <f t="shared" si="63"/>
        <v>-8</v>
      </c>
      <c r="I24" s="8">
        <f t="shared" si="63"/>
        <v>16</v>
      </c>
      <c r="J24" s="8">
        <f t="shared" si="63"/>
        <v>20</v>
      </c>
      <c r="K24" s="8">
        <f t="shared" si="63"/>
        <v>1</v>
      </c>
      <c r="L24" s="8">
        <f t="shared" si="63"/>
        <v>6</v>
      </c>
      <c r="M24" s="8">
        <f t="shared" si="63"/>
        <v>12</v>
      </c>
      <c r="N24" s="8">
        <f t="shared" si="63"/>
        <v>18</v>
      </c>
      <c r="O24" s="8">
        <f t="shared" si="63"/>
        <v>24</v>
      </c>
      <c r="P24" s="8">
        <f t="shared" si="63"/>
        <v>30</v>
      </c>
      <c r="Q24" s="8">
        <f t="shared" si="63"/>
        <v>36</v>
      </c>
      <c r="R24" s="8">
        <f t="shared" si="63"/>
        <v>30</v>
      </c>
      <c r="S24" s="8">
        <f t="shared" si="63"/>
        <v>42</v>
      </c>
      <c r="T24" s="8">
        <f t="shared" si="63"/>
        <v>54</v>
      </c>
      <c r="U24" s="8">
        <f t="shared" ref="U24:W24" si="64">F24+O24+L24+C24</f>
        <v>46</v>
      </c>
      <c r="V24" s="8">
        <f t="shared" si="64"/>
        <v>62</v>
      </c>
      <c r="W24" s="8">
        <f t="shared" si="64"/>
        <v>55</v>
      </c>
    </row>
    <row r="25" spans="1:23" ht="14.25" x14ac:dyDescent="0.15">
      <c r="A25" s="22"/>
      <c r="B25" s="5" t="s">
        <v>18</v>
      </c>
      <c r="C25" s="8">
        <f t="shared" ref="C25:T25" si="65">C10</f>
        <v>3</v>
      </c>
      <c r="D25" s="8">
        <f t="shared" si="65"/>
        <v>4</v>
      </c>
      <c r="E25" s="8">
        <f t="shared" si="65"/>
        <v>5</v>
      </c>
      <c r="F25" s="8">
        <f t="shared" si="65"/>
        <v>6</v>
      </c>
      <c r="G25" s="8">
        <f t="shared" si="65"/>
        <v>7</v>
      </c>
      <c r="H25" s="8">
        <f t="shared" si="65"/>
        <v>-4</v>
      </c>
      <c r="I25" s="8">
        <f t="shared" si="65"/>
        <v>9</v>
      </c>
      <c r="J25" s="8">
        <f t="shared" si="65"/>
        <v>11</v>
      </c>
      <c r="K25" s="8">
        <f t="shared" si="65"/>
        <v>1</v>
      </c>
      <c r="L25" s="8">
        <f t="shared" si="65"/>
        <v>3</v>
      </c>
      <c r="M25" s="8">
        <f t="shared" si="65"/>
        <v>6</v>
      </c>
      <c r="N25" s="8">
        <f t="shared" si="65"/>
        <v>9</v>
      </c>
      <c r="O25" s="8">
        <f t="shared" si="65"/>
        <v>12</v>
      </c>
      <c r="P25" s="8">
        <f t="shared" si="65"/>
        <v>15</v>
      </c>
      <c r="Q25" s="8">
        <f t="shared" si="65"/>
        <v>18</v>
      </c>
      <c r="R25" s="8">
        <f t="shared" si="65"/>
        <v>15</v>
      </c>
      <c r="S25" s="8">
        <f t="shared" si="65"/>
        <v>21</v>
      </c>
      <c r="T25" s="8">
        <f t="shared" si="65"/>
        <v>27</v>
      </c>
      <c r="U25" s="8">
        <f t="shared" ref="U25:W25" si="66">F25+O25+L25+C25</f>
        <v>24</v>
      </c>
      <c r="V25" s="8">
        <f t="shared" si="66"/>
        <v>32</v>
      </c>
      <c r="W25" s="8">
        <f t="shared" si="66"/>
        <v>28</v>
      </c>
    </row>
    <row r="26" spans="1:23" ht="14.25" x14ac:dyDescent="0.15">
      <c r="A26" s="22"/>
      <c r="B26" s="5" t="s">
        <v>19</v>
      </c>
      <c r="C26" s="8">
        <f t="shared" ref="C26:T26" si="67">C11+C18</f>
        <v>8</v>
      </c>
      <c r="D26" s="8">
        <f t="shared" si="67"/>
        <v>10</v>
      </c>
      <c r="E26" s="8">
        <f t="shared" si="67"/>
        <v>12</v>
      </c>
      <c r="F26" s="8">
        <f t="shared" si="67"/>
        <v>14</v>
      </c>
      <c r="G26" s="8">
        <f t="shared" si="67"/>
        <v>16</v>
      </c>
      <c r="H26" s="8">
        <f t="shared" si="67"/>
        <v>-6</v>
      </c>
      <c r="I26" s="8">
        <f t="shared" si="67"/>
        <v>22</v>
      </c>
      <c r="J26" s="8">
        <f t="shared" si="67"/>
        <v>26</v>
      </c>
      <c r="K26" s="8">
        <f t="shared" si="67"/>
        <v>6</v>
      </c>
      <c r="L26" s="8">
        <f t="shared" si="67"/>
        <v>8</v>
      </c>
      <c r="M26" s="8">
        <f t="shared" si="67"/>
        <v>14</v>
      </c>
      <c r="N26" s="8">
        <f t="shared" si="67"/>
        <v>20</v>
      </c>
      <c r="O26" s="8">
        <f t="shared" si="67"/>
        <v>26</v>
      </c>
      <c r="P26" s="8">
        <f t="shared" si="67"/>
        <v>32</v>
      </c>
      <c r="Q26" s="8">
        <f t="shared" si="67"/>
        <v>38</v>
      </c>
      <c r="R26" s="8">
        <f t="shared" si="67"/>
        <v>34</v>
      </c>
      <c r="S26" s="8">
        <f t="shared" si="67"/>
        <v>46</v>
      </c>
      <c r="T26" s="8">
        <f t="shared" si="67"/>
        <v>58</v>
      </c>
      <c r="U26" s="8">
        <f t="shared" ref="U26:W26" si="68">F26+O26+L26+C26</f>
        <v>56</v>
      </c>
      <c r="V26" s="8">
        <f t="shared" si="68"/>
        <v>72</v>
      </c>
      <c r="W26" s="8">
        <f t="shared" si="68"/>
        <v>64</v>
      </c>
    </row>
    <row r="27" spans="1:23" ht="28.5" x14ac:dyDescent="0.15">
      <c r="A27" s="22"/>
      <c r="B27" s="6" t="s">
        <v>20</v>
      </c>
      <c r="C27" s="7">
        <f t="shared" ref="C27:T27" si="69">C23+C24+C25+C26</f>
        <v>19</v>
      </c>
      <c r="D27" s="7">
        <f t="shared" si="69"/>
        <v>26</v>
      </c>
      <c r="E27" s="7">
        <f t="shared" si="69"/>
        <v>33</v>
      </c>
      <c r="F27" s="7">
        <f t="shared" si="69"/>
        <v>40</v>
      </c>
      <c r="G27" s="7">
        <f t="shared" si="69"/>
        <v>47</v>
      </c>
      <c r="H27" s="7">
        <f t="shared" si="69"/>
        <v>-27</v>
      </c>
      <c r="I27" s="7">
        <f t="shared" si="69"/>
        <v>59</v>
      </c>
      <c r="J27" s="7">
        <f t="shared" si="69"/>
        <v>73</v>
      </c>
      <c r="K27" s="7">
        <f t="shared" si="69"/>
        <v>6</v>
      </c>
      <c r="L27" s="7">
        <f t="shared" si="69"/>
        <v>22</v>
      </c>
      <c r="M27" s="7">
        <f t="shared" si="69"/>
        <v>43</v>
      </c>
      <c r="N27" s="7">
        <f t="shared" si="69"/>
        <v>64</v>
      </c>
      <c r="O27" s="7">
        <f t="shared" si="69"/>
        <v>85</v>
      </c>
      <c r="P27" s="7">
        <f t="shared" si="69"/>
        <v>106</v>
      </c>
      <c r="Q27" s="7">
        <f t="shared" si="69"/>
        <v>127</v>
      </c>
      <c r="R27" s="7">
        <f t="shared" si="69"/>
        <v>107</v>
      </c>
      <c r="S27" s="7">
        <f t="shared" si="69"/>
        <v>149</v>
      </c>
      <c r="T27" s="7">
        <f t="shared" si="69"/>
        <v>191</v>
      </c>
      <c r="U27" s="7">
        <f t="shared" ref="U27:W27" si="70">F27+O27+L27+C27</f>
        <v>166</v>
      </c>
      <c r="V27" s="7">
        <f t="shared" si="70"/>
        <v>222</v>
      </c>
      <c r="W27" s="7">
        <f t="shared" si="70"/>
        <v>197</v>
      </c>
    </row>
    <row r="28" spans="1:23" ht="14.25" x14ac:dyDescent="0.15">
      <c r="A28" s="22"/>
      <c r="B28" s="6" t="s">
        <v>21</v>
      </c>
      <c r="C28" s="7">
        <f t="shared" ref="C28:T28" si="71">C20+C13</f>
        <v>7</v>
      </c>
      <c r="D28" s="7">
        <f t="shared" si="71"/>
        <v>9</v>
      </c>
      <c r="E28" s="7">
        <f t="shared" si="71"/>
        <v>11</v>
      </c>
      <c r="F28" s="7">
        <f t="shared" si="71"/>
        <v>13</v>
      </c>
      <c r="G28" s="7">
        <f t="shared" si="71"/>
        <v>15</v>
      </c>
      <c r="H28" s="7">
        <f t="shared" si="71"/>
        <v>17</v>
      </c>
      <c r="I28" s="7">
        <f t="shared" si="71"/>
        <v>20</v>
      </c>
      <c r="J28" s="7">
        <f t="shared" si="71"/>
        <v>24</v>
      </c>
      <c r="K28" s="7">
        <f t="shared" si="71"/>
        <v>28</v>
      </c>
      <c r="L28" s="7">
        <f t="shared" si="71"/>
        <v>7</v>
      </c>
      <c r="M28" s="7">
        <f t="shared" si="71"/>
        <v>9</v>
      </c>
      <c r="N28" s="7">
        <f t="shared" si="71"/>
        <v>11</v>
      </c>
      <c r="O28" s="7">
        <f t="shared" si="71"/>
        <v>13</v>
      </c>
      <c r="P28" s="7">
        <f t="shared" si="71"/>
        <v>15</v>
      </c>
      <c r="Q28" s="7">
        <f t="shared" si="71"/>
        <v>17</v>
      </c>
      <c r="R28" s="7">
        <f t="shared" si="71"/>
        <v>20</v>
      </c>
      <c r="S28" s="7">
        <f t="shared" si="71"/>
        <v>24</v>
      </c>
      <c r="T28" s="7">
        <f t="shared" si="71"/>
        <v>28</v>
      </c>
      <c r="U28" s="7">
        <f t="shared" ref="U28:W28" si="72">F28+O28+L28+C28</f>
        <v>40</v>
      </c>
      <c r="V28" s="7">
        <f t="shared" si="72"/>
        <v>48</v>
      </c>
      <c r="W28" s="7">
        <f t="shared" si="72"/>
        <v>56</v>
      </c>
    </row>
    <row r="29" spans="1:23" ht="14.25" x14ac:dyDescent="0.15">
      <c r="A29" s="22"/>
      <c r="B29" s="2" t="s">
        <v>22</v>
      </c>
      <c r="C29" s="9">
        <f>C22+C27</f>
        <v>26</v>
      </c>
      <c r="D29" s="9">
        <f t="shared" ref="D29:H29" si="73">D28+D27+D22</f>
        <v>44</v>
      </c>
      <c r="E29" s="9">
        <f t="shared" si="73"/>
        <v>55</v>
      </c>
      <c r="F29" s="9">
        <f>F22+F27</f>
        <v>53</v>
      </c>
      <c r="G29" s="9">
        <f t="shared" si="73"/>
        <v>77</v>
      </c>
      <c r="H29" s="9">
        <f t="shared" si="73"/>
        <v>7</v>
      </c>
      <c r="I29" s="9">
        <f>I22+I27</f>
        <v>79</v>
      </c>
      <c r="J29" s="9">
        <f t="shared" ref="J29:K29" si="74">J28+J27+J22</f>
        <v>121</v>
      </c>
      <c r="K29" s="9">
        <f t="shared" si="74"/>
        <v>62</v>
      </c>
      <c r="L29" s="9">
        <f>L22+L27</f>
        <v>29</v>
      </c>
      <c r="M29" s="9">
        <f t="shared" ref="M29:Q29" si="75">M28+M27+M22</f>
        <v>61</v>
      </c>
      <c r="N29" s="9">
        <f t="shared" si="75"/>
        <v>86</v>
      </c>
      <c r="O29" s="9">
        <f>O22+O27</f>
        <v>98</v>
      </c>
      <c r="P29" s="9">
        <f t="shared" si="75"/>
        <v>136</v>
      </c>
      <c r="Q29" s="9">
        <f t="shared" si="75"/>
        <v>161</v>
      </c>
      <c r="R29" s="9">
        <f>R22+R27</f>
        <v>127</v>
      </c>
      <c r="S29" s="9">
        <f>S28+S27+S22</f>
        <v>197</v>
      </c>
      <c r="T29" s="9">
        <f>T28+T27+T22</f>
        <v>247</v>
      </c>
      <c r="U29" s="9">
        <f>U22+U27</f>
        <v>206</v>
      </c>
      <c r="V29" s="9">
        <f>V28+V27+V22</f>
        <v>318</v>
      </c>
      <c r="W29" s="9">
        <f>W28+W27+W22</f>
        <v>309</v>
      </c>
    </row>
  </sheetData>
  <mergeCells count="17">
    <mergeCell ref="A15:A21"/>
    <mergeCell ref="A22:A29"/>
    <mergeCell ref="B1:B3"/>
    <mergeCell ref="U1:W2"/>
    <mergeCell ref="A4:B4"/>
    <mergeCell ref="A5:B5"/>
    <mergeCell ref="A6:B6"/>
    <mergeCell ref="A1:A3"/>
    <mergeCell ref="A7:A14"/>
    <mergeCell ref="C1:K1"/>
    <mergeCell ref="L1:T1"/>
    <mergeCell ref="C2:E2"/>
    <mergeCell ref="F2:H2"/>
    <mergeCell ref="I2:K2"/>
    <mergeCell ref="L2:N2"/>
    <mergeCell ref="O2:Q2"/>
    <mergeCell ref="R2:T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D320-95E5-4D83-81D2-BC41D3B226ED}">
  <sheetPr>
    <tabColor rgb="FFFFC000"/>
  </sheetPr>
  <dimension ref="A1:N14"/>
  <sheetViews>
    <sheetView workbookViewId="0">
      <selection activeCell="H35" sqref="H35"/>
    </sheetView>
  </sheetViews>
  <sheetFormatPr defaultColWidth="9" defaultRowHeight="13.5" x14ac:dyDescent="0.15"/>
  <sheetData>
    <row r="1" spans="1:14" ht="14.25" x14ac:dyDescent="0.15">
      <c r="A1" s="21" t="s">
        <v>0</v>
      </c>
      <c r="B1" s="21" t="s">
        <v>1</v>
      </c>
      <c r="C1" s="31" t="s">
        <v>23</v>
      </c>
      <c r="D1" s="11"/>
      <c r="E1" s="11"/>
      <c r="F1" s="11"/>
      <c r="G1" s="11"/>
      <c r="H1" s="11"/>
      <c r="I1" s="31" t="s">
        <v>24</v>
      </c>
      <c r="J1" s="11"/>
      <c r="K1" s="11"/>
      <c r="L1" s="11"/>
      <c r="M1" s="11"/>
      <c r="N1" s="11"/>
    </row>
    <row r="2" spans="1:14" ht="16.5" x14ac:dyDescent="0.35">
      <c r="A2" s="21"/>
      <c r="B2" s="21"/>
      <c r="C2" s="13" t="s">
        <v>5</v>
      </c>
      <c r="D2" s="14"/>
      <c r="E2" s="15"/>
      <c r="F2" s="13" t="s">
        <v>6</v>
      </c>
      <c r="G2" s="14"/>
      <c r="H2" s="15"/>
      <c r="I2" s="13" t="s">
        <v>8</v>
      </c>
      <c r="J2" s="14"/>
      <c r="K2" s="15"/>
      <c r="L2" s="13" t="s">
        <v>9</v>
      </c>
      <c r="M2" s="14"/>
      <c r="N2" s="15"/>
    </row>
    <row r="3" spans="1:14" ht="16.5" x14ac:dyDescent="0.15">
      <c r="A3" s="21"/>
      <c r="B3" s="21"/>
      <c r="C3" s="1" t="s">
        <v>10</v>
      </c>
      <c r="D3" s="1" t="s">
        <v>11</v>
      </c>
      <c r="E3" s="1" t="s">
        <v>12</v>
      </c>
      <c r="F3" s="1" t="s">
        <v>10</v>
      </c>
      <c r="G3" s="1" t="s">
        <v>11</v>
      </c>
      <c r="H3" s="1" t="s">
        <v>12</v>
      </c>
      <c r="I3" s="1" t="s">
        <v>10</v>
      </c>
      <c r="J3" s="1" t="s">
        <v>11</v>
      </c>
      <c r="K3" s="1" t="s">
        <v>12</v>
      </c>
      <c r="L3" s="1" t="s">
        <v>10</v>
      </c>
      <c r="M3" s="1" t="s">
        <v>11</v>
      </c>
      <c r="N3" s="1" t="s">
        <v>12</v>
      </c>
    </row>
    <row r="4" spans="1:14" ht="14.25" x14ac:dyDescent="0.15">
      <c r="A4" s="22" t="s">
        <v>13</v>
      </c>
      <c r="B4" s="29" t="s">
        <v>15</v>
      </c>
      <c r="C4" s="7">
        <v>4</v>
      </c>
      <c r="D4" s="7">
        <v>5</v>
      </c>
      <c r="E4" s="7">
        <v>6</v>
      </c>
      <c r="F4" s="7">
        <v>7</v>
      </c>
      <c r="G4" s="7">
        <v>8</v>
      </c>
      <c r="H4" s="7">
        <v>9</v>
      </c>
      <c r="I4" s="7">
        <v>4</v>
      </c>
      <c r="J4" s="7">
        <v>5</v>
      </c>
      <c r="K4" s="7">
        <v>6</v>
      </c>
      <c r="L4" s="7">
        <v>7</v>
      </c>
      <c r="M4" s="7">
        <v>8</v>
      </c>
      <c r="N4" s="7">
        <v>9</v>
      </c>
    </row>
    <row r="5" spans="1:14" ht="14.25" x14ac:dyDescent="0.15">
      <c r="A5" s="22"/>
      <c r="B5" s="30" t="s">
        <v>16</v>
      </c>
      <c r="C5" s="8">
        <v>1</v>
      </c>
      <c r="D5" s="8">
        <v>2</v>
      </c>
      <c r="E5" s="8">
        <v>3</v>
      </c>
      <c r="F5" s="8">
        <v>4</v>
      </c>
      <c r="G5" s="8">
        <v>5</v>
      </c>
      <c r="H5" s="8">
        <v>-6</v>
      </c>
      <c r="I5" s="8">
        <v>2</v>
      </c>
      <c r="J5" s="8">
        <v>5</v>
      </c>
      <c r="K5" s="8">
        <v>8</v>
      </c>
      <c r="L5" s="8">
        <v>11</v>
      </c>
      <c r="M5" s="8">
        <v>14</v>
      </c>
      <c r="N5" s="8">
        <v>17</v>
      </c>
    </row>
    <row r="6" spans="1:14" ht="14.25" x14ac:dyDescent="0.15">
      <c r="A6" s="22"/>
      <c r="B6" s="30" t="s">
        <v>17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-5</v>
      </c>
      <c r="I6" s="8">
        <v>3</v>
      </c>
      <c r="J6" s="8">
        <v>6</v>
      </c>
      <c r="K6" s="8">
        <v>9</v>
      </c>
      <c r="L6" s="8">
        <v>12</v>
      </c>
      <c r="M6" s="8">
        <v>15</v>
      </c>
      <c r="N6" s="8">
        <v>18</v>
      </c>
    </row>
    <row r="7" spans="1:14" ht="14.25" x14ac:dyDescent="0.15">
      <c r="A7" s="22"/>
      <c r="B7" s="30" t="s">
        <v>18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-4</v>
      </c>
      <c r="I7" s="8">
        <v>3</v>
      </c>
      <c r="J7" s="8">
        <v>6</v>
      </c>
      <c r="K7" s="8">
        <v>9</v>
      </c>
      <c r="L7" s="8">
        <v>12</v>
      </c>
      <c r="M7" s="8">
        <v>15</v>
      </c>
      <c r="N7" s="8">
        <v>18</v>
      </c>
    </row>
    <row r="8" spans="1:14" ht="14.25" x14ac:dyDescent="0.15">
      <c r="A8" s="22"/>
      <c r="B8" s="30" t="s">
        <v>19</v>
      </c>
      <c r="C8" s="8">
        <v>4</v>
      </c>
      <c r="D8" s="8">
        <v>5</v>
      </c>
      <c r="E8" s="8">
        <v>6</v>
      </c>
      <c r="F8" s="8">
        <v>7</v>
      </c>
      <c r="G8" s="8">
        <v>8</v>
      </c>
      <c r="H8" s="8">
        <v>-3</v>
      </c>
      <c r="I8" s="8">
        <v>5</v>
      </c>
      <c r="J8" s="8">
        <v>8</v>
      </c>
      <c r="K8" s="8">
        <v>11</v>
      </c>
      <c r="L8" s="8">
        <v>14</v>
      </c>
      <c r="M8" s="8">
        <v>17</v>
      </c>
      <c r="N8" s="8">
        <v>20</v>
      </c>
    </row>
    <row r="9" spans="1:14" ht="14.25" x14ac:dyDescent="0.15">
      <c r="A9" s="22"/>
      <c r="B9" s="29" t="s">
        <v>21</v>
      </c>
      <c r="C9" s="7">
        <v>4</v>
      </c>
      <c r="D9" s="7">
        <v>5</v>
      </c>
      <c r="E9" s="7">
        <v>6</v>
      </c>
      <c r="F9" s="7">
        <v>7</v>
      </c>
      <c r="G9" s="7">
        <v>8</v>
      </c>
      <c r="H9" s="7">
        <v>9</v>
      </c>
      <c r="I9" s="7">
        <v>4</v>
      </c>
      <c r="J9" s="7">
        <v>5</v>
      </c>
      <c r="K9" s="7">
        <v>6</v>
      </c>
      <c r="L9" s="7">
        <v>7</v>
      </c>
      <c r="M9" s="7">
        <v>8</v>
      </c>
      <c r="N9" s="7">
        <v>9</v>
      </c>
    </row>
    <row r="10" spans="1:14" ht="14.25" x14ac:dyDescent="0.15">
      <c r="A10" s="22" t="s">
        <v>14</v>
      </c>
      <c r="B10" s="6" t="s">
        <v>15</v>
      </c>
      <c r="C10" s="7">
        <v>3</v>
      </c>
      <c r="D10" s="7">
        <v>4</v>
      </c>
      <c r="E10" s="7">
        <v>5</v>
      </c>
      <c r="F10" s="7">
        <v>6</v>
      </c>
      <c r="G10" s="7">
        <v>7</v>
      </c>
      <c r="H10" s="7">
        <v>8</v>
      </c>
      <c r="I10" s="7">
        <v>3</v>
      </c>
      <c r="J10" s="7">
        <v>4</v>
      </c>
      <c r="K10" s="7">
        <v>5</v>
      </c>
      <c r="L10" s="7">
        <v>6</v>
      </c>
      <c r="M10" s="7">
        <v>7</v>
      </c>
      <c r="N10" s="7">
        <v>8</v>
      </c>
    </row>
    <row r="11" spans="1:14" ht="14.25" x14ac:dyDescent="0.15">
      <c r="A11" s="22"/>
      <c r="B11" s="5" t="s">
        <v>16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-3</v>
      </c>
      <c r="I11" s="8">
        <v>3</v>
      </c>
      <c r="J11" s="8">
        <v>6</v>
      </c>
      <c r="K11" s="8">
        <v>9</v>
      </c>
      <c r="L11" s="8">
        <v>12</v>
      </c>
      <c r="M11" s="8">
        <v>15</v>
      </c>
      <c r="N11" s="8">
        <v>18</v>
      </c>
    </row>
    <row r="12" spans="1:14" ht="14.25" x14ac:dyDescent="0.15">
      <c r="A12" s="22"/>
      <c r="B12" s="5" t="s">
        <v>17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-3</v>
      </c>
      <c r="I12" s="8">
        <v>3</v>
      </c>
      <c r="J12" s="8">
        <v>6</v>
      </c>
      <c r="K12" s="8">
        <v>9</v>
      </c>
      <c r="L12" s="8">
        <v>12</v>
      </c>
      <c r="M12" s="8">
        <v>15</v>
      </c>
      <c r="N12" s="8">
        <v>18</v>
      </c>
    </row>
    <row r="13" spans="1:14" ht="14.25" x14ac:dyDescent="0.15">
      <c r="A13" s="22"/>
      <c r="B13" s="5" t="s">
        <v>19</v>
      </c>
      <c r="C13" s="8">
        <v>4</v>
      </c>
      <c r="D13" s="8">
        <v>5</v>
      </c>
      <c r="E13" s="8">
        <v>6</v>
      </c>
      <c r="F13" s="8">
        <v>7</v>
      </c>
      <c r="G13" s="8">
        <v>8</v>
      </c>
      <c r="H13" s="8">
        <v>-3</v>
      </c>
      <c r="I13" s="8">
        <v>3</v>
      </c>
      <c r="J13" s="8">
        <v>6</v>
      </c>
      <c r="K13" s="8">
        <v>9</v>
      </c>
      <c r="L13" s="8">
        <v>12</v>
      </c>
      <c r="M13" s="8">
        <v>15</v>
      </c>
      <c r="N13" s="8">
        <v>18</v>
      </c>
    </row>
    <row r="14" spans="1:14" ht="14.25" x14ac:dyDescent="0.15">
      <c r="A14" s="22"/>
      <c r="B14" s="6" t="s">
        <v>21</v>
      </c>
      <c r="C14" s="7">
        <v>3</v>
      </c>
      <c r="D14" s="7">
        <v>4</v>
      </c>
      <c r="E14" s="7">
        <v>5</v>
      </c>
      <c r="F14" s="7">
        <v>6</v>
      </c>
      <c r="G14" s="7">
        <v>7</v>
      </c>
      <c r="H14" s="7">
        <v>8</v>
      </c>
      <c r="I14" s="7">
        <v>3</v>
      </c>
      <c r="J14" s="7">
        <v>4</v>
      </c>
      <c r="K14" s="7">
        <v>5</v>
      </c>
      <c r="L14" s="7">
        <v>6</v>
      </c>
      <c r="M14" s="7">
        <v>7</v>
      </c>
      <c r="N14" s="7">
        <v>8</v>
      </c>
    </row>
  </sheetData>
  <mergeCells count="10">
    <mergeCell ref="A4:A9"/>
    <mergeCell ref="A10:A14"/>
    <mergeCell ref="A1:A3"/>
    <mergeCell ref="B1:B3"/>
    <mergeCell ref="C1:H1"/>
    <mergeCell ref="I1:N1"/>
    <mergeCell ref="C2:E2"/>
    <mergeCell ref="F2:H2"/>
    <mergeCell ref="I2:K2"/>
    <mergeCell ref="L2:N2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0482-6CB9-43C4-9333-F9EE95FD0AA5}">
  <sheetPr>
    <tabColor rgb="FFFFFF00"/>
  </sheetPr>
  <dimension ref="A1:H13"/>
  <sheetViews>
    <sheetView workbookViewId="0">
      <selection sqref="A1:A2"/>
    </sheetView>
  </sheetViews>
  <sheetFormatPr defaultColWidth="9" defaultRowHeight="13.5" x14ac:dyDescent="0.15"/>
  <sheetData>
    <row r="1" spans="1:8" ht="16.5" x14ac:dyDescent="0.35">
      <c r="A1" s="21"/>
      <c r="B1" s="21"/>
      <c r="C1" s="13" t="s">
        <v>5</v>
      </c>
      <c r="D1" s="14"/>
      <c r="E1" s="15"/>
      <c r="F1" s="13" t="s">
        <v>6</v>
      </c>
      <c r="G1" s="14"/>
      <c r="H1" s="15"/>
    </row>
    <row r="2" spans="1:8" ht="16.5" x14ac:dyDescent="0.15">
      <c r="A2" s="21"/>
      <c r="B2" s="21"/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12</v>
      </c>
    </row>
    <row r="3" spans="1:8" ht="14.25" x14ac:dyDescent="0.15">
      <c r="A3" s="22" t="s">
        <v>13</v>
      </c>
      <c r="B3" s="29" t="s">
        <v>15</v>
      </c>
      <c r="C3" s="7">
        <v>4</v>
      </c>
      <c r="D3" s="7">
        <v>5</v>
      </c>
      <c r="E3" s="7">
        <v>6</v>
      </c>
      <c r="F3" s="7">
        <v>7</v>
      </c>
      <c r="G3" s="7">
        <v>8</v>
      </c>
      <c r="H3" s="7">
        <v>9</v>
      </c>
    </row>
    <row r="4" spans="1:8" ht="14.25" x14ac:dyDescent="0.15">
      <c r="A4" s="22"/>
      <c r="B4" s="30" t="s">
        <v>16</v>
      </c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-6</v>
      </c>
    </row>
    <row r="5" spans="1:8" ht="14.25" x14ac:dyDescent="0.15">
      <c r="A5" s="22"/>
      <c r="B5" s="30" t="s">
        <v>17</v>
      </c>
      <c r="C5" s="8">
        <v>2</v>
      </c>
      <c r="D5" s="8">
        <v>3</v>
      </c>
      <c r="E5" s="8">
        <v>4</v>
      </c>
      <c r="F5" s="8">
        <v>5</v>
      </c>
      <c r="G5" s="8">
        <v>6</v>
      </c>
      <c r="H5" s="8">
        <v>-5</v>
      </c>
    </row>
    <row r="6" spans="1:8" ht="14.25" x14ac:dyDescent="0.15">
      <c r="A6" s="22"/>
      <c r="B6" s="30" t="s">
        <v>18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-4</v>
      </c>
    </row>
    <row r="7" spans="1:8" ht="14.25" x14ac:dyDescent="0.15">
      <c r="A7" s="22"/>
      <c r="B7" s="30" t="s">
        <v>19</v>
      </c>
      <c r="C7" s="8">
        <v>4</v>
      </c>
      <c r="D7" s="8">
        <v>5</v>
      </c>
      <c r="E7" s="8">
        <v>6</v>
      </c>
      <c r="F7" s="8">
        <v>7</v>
      </c>
      <c r="G7" s="8">
        <v>8</v>
      </c>
      <c r="H7" s="8">
        <v>-3</v>
      </c>
    </row>
    <row r="8" spans="1:8" ht="14.25" x14ac:dyDescent="0.15">
      <c r="A8" s="22"/>
      <c r="B8" s="29" t="s">
        <v>21</v>
      </c>
      <c r="C8" s="7">
        <v>4</v>
      </c>
      <c r="D8" s="7">
        <v>5</v>
      </c>
      <c r="E8" s="7">
        <v>6</v>
      </c>
      <c r="F8" s="7">
        <v>7</v>
      </c>
      <c r="G8" s="7">
        <v>8</v>
      </c>
      <c r="H8" s="7">
        <v>9</v>
      </c>
    </row>
    <row r="9" spans="1:8" ht="14.25" x14ac:dyDescent="0.15">
      <c r="A9" s="22" t="s">
        <v>14</v>
      </c>
      <c r="B9" s="6" t="s">
        <v>15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</row>
    <row r="10" spans="1:8" ht="14.25" x14ac:dyDescent="0.15">
      <c r="A10" s="22"/>
      <c r="B10" s="5" t="s">
        <v>16</v>
      </c>
      <c r="C10" s="8">
        <v>2</v>
      </c>
      <c r="D10" s="8">
        <v>3</v>
      </c>
      <c r="E10" s="8">
        <v>4</v>
      </c>
      <c r="F10" s="8">
        <v>5</v>
      </c>
      <c r="G10" s="8">
        <v>6</v>
      </c>
      <c r="H10" s="8">
        <v>-3</v>
      </c>
    </row>
    <row r="11" spans="1:8" ht="14.25" x14ac:dyDescent="0.15">
      <c r="A11" s="22"/>
      <c r="B11" s="5" t="s">
        <v>17</v>
      </c>
      <c r="C11" s="8">
        <v>3</v>
      </c>
      <c r="D11" s="8">
        <v>4</v>
      </c>
      <c r="E11" s="8">
        <v>5</v>
      </c>
      <c r="F11" s="8">
        <v>6</v>
      </c>
      <c r="G11" s="8">
        <v>7</v>
      </c>
      <c r="H11" s="8">
        <v>-3</v>
      </c>
    </row>
    <row r="12" spans="1:8" ht="14.25" x14ac:dyDescent="0.15">
      <c r="A12" s="22"/>
      <c r="B12" s="5" t="s">
        <v>19</v>
      </c>
      <c r="C12" s="8">
        <v>4</v>
      </c>
      <c r="D12" s="8">
        <v>5</v>
      </c>
      <c r="E12" s="8">
        <v>6</v>
      </c>
      <c r="F12" s="8">
        <v>7</v>
      </c>
      <c r="G12" s="8">
        <v>8</v>
      </c>
      <c r="H12" s="8">
        <v>-3</v>
      </c>
    </row>
    <row r="13" spans="1:8" ht="14.25" x14ac:dyDescent="0.15">
      <c r="A13" s="22"/>
      <c r="B13" s="6" t="s">
        <v>21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</row>
  </sheetData>
  <mergeCells count="6">
    <mergeCell ref="A3:A8"/>
    <mergeCell ref="A9:A13"/>
    <mergeCell ref="A1:A2"/>
    <mergeCell ref="B1:B2"/>
    <mergeCell ref="C1:E1"/>
    <mergeCell ref="F1:H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E49E-87D1-45AC-893E-68F35A4574F2}">
  <sheetPr>
    <tabColor rgb="FF92D050"/>
  </sheetPr>
  <dimension ref="A1:E12"/>
  <sheetViews>
    <sheetView tabSelected="1" workbookViewId="0"/>
  </sheetViews>
  <sheetFormatPr defaultColWidth="9" defaultRowHeight="13.5" x14ac:dyDescent="0.15"/>
  <sheetData>
    <row r="1" spans="1:5" ht="16.5" x14ac:dyDescent="0.15">
      <c r="A1" s="32" t="s">
        <v>25</v>
      </c>
      <c r="B1" s="32" t="s">
        <v>26</v>
      </c>
      <c r="C1" s="1" t="s">
        <v>10</v>
      </c>
      <c r="D1" s="1" t="s">
        <v>11</v>
      </c>
      <c r="E1" s="1" t="s">
        <v>12</v>
      </c>
    </row>
    <row r="2" spans="1:5" ht="14.25" x14ac:dyDescent="0.15">
      <c r="A2" s="22" t="s">
        <v>13</v>
      </c>
      <c r="B2" s="29" t="s">
        <v>15</v>
      </c>
      <c r="C2" s="7">
        <v>4</v>
      </c>
      <c r="D2" s="7">
        <v>5</v>
      </c>
      <c r="E2" s="7">
        <v>6</v>
      </c>
    </row>
    <row r="3" spans="1:5" ht="14.25" x14ac:dyDescent="0.15">
      <c r="A3" s="22"/>
      <c r="B3" s="30" t="s">
        <v>16</v>
      </c>
      <c r="C3" s="8">
        <v>1</v>
      </c>
      <c r="D3" s="8">
        <v>2</v>
      </c>
      <c r="E3" s="8">
        <v>3</v>
      </c>
    </row>
    <row r="4" spans="1:5" ht="14.25" x14ac:dyDescent="0.15">
      <c r="A4" s="22"/>
      <c r="B4" s="30" t="s">
        <v>17</v>
      </c>
      <c r="C4" s="8">
        <v>2</v>
      </c>
      <c r="D4" s="8">
        <v>3</v>
      </c>
      <c r="E4" s="8">
        <v>4</v>
      </c>
    </row>
    <row r="5" spans="1:5" ht="14.25" x14ac:dyDescent="0.15">
      <c r="A5" s="22"/>
      <c r="B5" s="30" t="s">
        <v>18</v>
      </c>
      <c r="C5" s="8">
        <v>3</v>
      </c>
      <c r="D5" s="8">
        <v>4</v>
      </c>
      <c r="E5" s="8">
        <v>5</v>
      </c>
    </row>
    <row r="6" spans="1:5" ht="14.25" x14ac:dyDescent="0.15">
      <c r="A6" s="22"/>
      <c r="B6" s="30" t="s">
        <v>19</v>
      </c>
      <c r="C6" s="8">
        <v>4</v>
      </c>
      <c r="D6" s="8">
        <v>5</v>
      </c>
      <c r="E6" s="8">
        <v>6</v>
      </c>
    </row>
    <row r="7" spans="1:5" ht="14.25" x14ac:dyDescent="0.15">
      <c r="A7" s="22"/>
      <c r="B7" s="29" t="s">
        <v>21</v>
      </c>
      <c r="C7" s="7">
        <v>4</v>
      </c>
      <c r="D7" s="7">
        <v>5</v>
      </c>
      <c r="E7" s="7">
        <v>6</v>
      </c>
    </row>
    <row r="8" spans="1:5" ht="14.25" x14ac:dyDescent="0.15">
      <c r="A8" s="22" t="s">
        <v>14</v>
      </c>
      <c r="B8" s="6" t="s">
        <v>15</v>
      </c>
      <c r="C8" s="7">
        <v>3</v>
      </c>
      <c r="D8" s="7">
        <v>4</v>
      </c>
      <c r="E8" s="7">
        <v>5</v>
      </c>
    </row>
    <row r="9" spans="1:5" ht="14.25" x14ac:dyDescent="0.15">
      <c r="A9" s="22"/>
      <c r="B9" s="5" t="s">
        <v>16</v>
      </c>
      <c r="C9" s="8">
        <v>2</v>
      </c>
      <c r="D9" s="8">
        <v>3</v>
      </c>
      <c r="E9" s="8">
        <v>4</v>
      </c>
    </row>
    <row r="10" spans="1:5" ht="14.25" x14ac:dyDescent="0.15">
      <c r="A10" s="22"/>
      <c r="B10" s="5" t="s">
        <v>17</v>
      </c>
      <c r="C10" s="8">
        <v>3</v>
      </c>
      <c r="D10" s="8">
        <v>4</v>
      </c>
      <c r="E10" s="8">
        <v>5</v>
      </c>
    </row>
    <row r="11" spans="1:5" ht="14.25" x14ac:dyDescent="0.15">
      <c r="A11" s="22"/>
      <c r="B11" s="5" t="s">
        <v>19</v>
      </c>
      <c r="C11" s="8">
        <v>4</v>
      </c>
      <c r="D11" s="8">
        <v>5</v>
      </c>
      <c r="E11" s="8">
        <v>6</v>
      </c>
    </row>
    <row r="12" spans="1:5" ht="14.25" x14ac:dyDescent="0.15">
      <c r="A12" s="22"/>
      <c r="B12" s="6" t="s">
        <v>21</v>
      </c>
      <c r="C12" s="7">
        <v>3</v>
      </c>
      <c r="D12" s="7">
        <v>4</v>
      </c>
      <c r="E12" s="7">
        <v>5</v>
      </c>
    </row>
  </sheetData>
  <mergeCells count="2">
    <mergeCell ref="A2:A7"/>
    <mergeCell ref="A8:A1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F65D-F36E-4C65-9D7B-468DDD204633}">
  <sheetPr>
    <tabColor rgb="FF92D050"/>
  </sheetPr>
  <dimension ref="A1:E12"/>
  <sheetViews>
    <sheetView workbookViewId="0">
      <selection activeCell="B1" sqref="A1:B1"/>
    </sheetView>
  </sheetViews>
  <sheetFormatPr defaultColWidth="9" defaultRowHeight="13.5" x14ac:dyDescent="0.15"/>
  <sheetData>
    <row r="1" spans="1:5" ht="16.5" x14ac:dyDescent="0.15">
      <c r="A1" s="32" t="s">
        <v>25</v>
      </c>
      <c r="B1" s="32" t="s">
        <v>26</v>
      </c>
      <c r="C1" s="1" t="s">
        <v>10</v>
      </c>
      <c r="D1" s="1" t="s">
        <v>11</v>
      </c>
      <c r="E1" s="1" t="s">
        <v>12</v>
      </c>
    </row>
    <row r="2" spans="1:5" ht="14.25" x14ac:dyDescent="0.15">
      <c r="A2" s="22" t="s">
        <v>13</v>
      </c>
      <c r="B2" s="29" t="s">
        <v>15</v>
      </c>
      <c r="C2" s="7">
        <v>7</v>
      </c>
      <c r="D2" s="7">
        <v>8</v>
      </c>
      <c r="E2" s="7">
        <v>9</v>
      </c>
    </row>
    <row r="3" spans="1:5" ht="14.25" x14ac:dyDescent="0.15">
      <c r="A3" s="22"/>
      <c r="B3" s="30" t="s">
        <v>16</v>
      </c>
      <c r="C3" s="8">
        <v>4</v>
      </c>
      <c r="D3" s="8">
        <v>5</v>
      </c>
      <c r="E3" s="8">
        <v>-6</v>
      </c>
    </row>
    <row r="4" spans="1:5" ht="14.25" x14ac:dyDescent="0.15">
      <c r="A4" s="22"/>
      <c r="B4" s="30" t="s">
        <v>17</v>
      </c>
      <c r="C4" s="8">
        <v>5</v>
      </c>
      <c r="D4" s="8">
        <v>6</v>
      </c>
      <c r="E4" s="8">
        <v>-5</v>
      </c>
    </row>
    <row r="5" spans="1:5" ht="14.25" x14ac:dyDescent="0.15">
      <c r="A5" s="22"/>
      <c r="B5" s="30" t="s">
        <v>18</v>
      </c>
      <c r="C5" s="8">
        <v>6</v>
      </c>
      <c r="D5" s="8">
        <v>7</v>
      </c>
      <c r="E5" s="8">
        <v>-4</v>
      </c>
    </row>
    <row r="6" spans="1:5" ht="14.25" x14ac:dyDescent="0.15">
      <c r="A6" s="22"/>
      <c r="B6" s="30" t="s">
        <v>19</v>
      </c>
      <c r="C6" s="8">
        <v>7</v>
      </c>
      <c r="D6" s="8">
        <v>8</v>
      </c>
      <c r="E6" s="8">
        <v>-3</v>
      </c>
    </row>
    <row r="7" spans="1:5" ht="14.25" x14ac:dyDescent="0.15">
      <c r="A7" s="22"/>
      <c r="B7" s="29" t="s">
        <v>21</v>
      </c>
      <c r="C7" s="7">
        <v>7</v>
      </c>
      <c r="D7" s="7">
        <v>8</v>
      </c>
      <c r="E7" s="7">
        <v>9</v>
      </c>
    </row>
    <row r="8" spans="1:5" ht="14.25" x14ac:dyDescent="0.15">
      <c r="A8" s="22" t="s">
        <v>14</v>
      </c>
      <c r="B8" s="6" t="s">
        <v>15</v>
      </c>
      <c r="C8" s="7">
        <v>6</v>
      </c>
      <c r="D8" s="7">
        <v>7</v>
      </c>
      <c r="E8" s="7">
        <v>8</v>
      </c>
    </row>
    <row r="9" spans="1:5" ht="14.25" x14ac:dyDescent="0.15">
      <c r="A9" s="22"/>
      <c r="B9" s="5" t="s">
        <v>16</v>
      </c>
      <c r="C9" s="8">
        <v>5</v>
      </c>
      <c r="D9" s="8">
        <v>6</v>
      </c>
      <c r="E9" s="8">
        <v>-3</v>
      </c>
    </row>
    <row r="10" spans="1:5" ht="14.25" x14ac:dyDescent="0.15">
      <c r="A10" s="22"/>
      <c r="B10" s="5" t="s">
        <v>17</v>
      </c>
      <c r="C10" s="8">
        <v>6</v>
      </c>
      <c r="D10" s="8">
        <v>7</v>
      </c>
      <c r="E10" s="8">
        <v>-3</v>
      </c>
    </row>
    <row r="11" spans="1:5" ht="14.25" x14ac:dyDescent="0.15">
      <c r="A11" s="22"/>
      <c r="B11" s="5" t="s">
        <v>19</v>
      </c>
      <c r="C11" s="8">
        <v>7</v>
      </c>
      <c r="D11" s="8">
        <v>8</v>
      </c>
      <c r="E11" s="8">
        <v>-3</v>
      </c>
    </row>
    <row r="12" spans="1:5" ht="14.25" x14ac:dyDescent="0.15">
      <c r="A12" s="22"/>
      <c r="B12" s="6" t="s">
        <v>21</v>
      </c>
      <c r="C12" s="7">
        <v>6</v>
      </c>
      <c r="D12" s="7">
        <v>7</v>
      </c>
      <c r="E12" s="7">
        <v>8</v>
      </c>
    </row>
  </sheetData>
  <mergeCells count="2">
    <mergeCell ref="A2:A7"/>
    <mergeCell ref="A8:A1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B8DC-3362-459B-B9B6-A9DF8E9C2CFD}">
  <sheetPr>
    <tabColor rgb="FFFFFF00"/>
  </sheetPr>
  <dimension ref="A1:H13"/>
  <sheetViews>
    <sheetView workbookViewId="0">
      <selection activeCell="I1" sqref="I1"/>
    </sheetView>
  </sheetViews>
  <sheetFormatPr defaultColWidth="9" defaultRowHeight="13.5" x14ac:dyDescent="0.15"/>
  <sheetData>
    <row r="1" spans="1:8" ht="16.5" x14ac:dyDescent="0.35">
      <c r="A1" s="21"/>
      <c r="B1" s="21"/>
      <c r="C1" s="13" t="s">
        <v>8</v>
      </c>
      <c r="D1" s="14"/>
      <c r="E1" s="15"/>
      <c r="F1" s="13" t="s">
        <v>9</v>
      </c>
      <c r="G1" s="14"/>
      <c r="H1" s="15"/>
    </row>
    <row r="2" spans="1:8" ht="16.5" x14ac:dyDescent="0.15">
      <c r="A2" s="21"/>
      <c r="B2" s="21"/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12</v>
      </c>
    </row>
    <row r="3" spans="1:8" ht="14.25" x14ac:dyDescent="0.15">
      <c r="A3" s="22" t="s">
        <v>13</v>
      </c>
      <c r="B3" s="29" t="s">
        <v>15</v>
      </c>
      <c r="C3" s="7">
        <v>4</v>
      </c>
      <c r="D3" s="7">
        <v>5</v>
      </c>
      <c r="E3" s="7">
        <v>6</v>
      </c>
      <c r="F3" s="7">
        <v>7</v>
      </c>
      <c r="G3" s="7">
        <v>8</v>
      </c>
      <c r="H3" s="7">
        <v>9</v>
      </c>
    </row>
    <row r="4" spans="1:8" ht="14.25" x14ac:dyDescent="0.15">
      <c r="A4" s="22"/>
      <c r="B4" s="30" t="s">
        <v>16</v>
      </c>
      <c r="C4" s="8">
        <v>2</v>
      </c>
      <c r="D4" s="8">
        <v>5</v>
      </c>
      <c r="E4" s="8">
        <v>8</v>
      </c>
      <c r="F4" s="8">
        <v>11</v>
      </c>
      <c r="G4" s="8">
        <v>14</v>
      </c>
      <c r="H4" s="8">
        <v>17</v>
      </c>
    </row>
    <row r="5" spans="1:8" ht="14.25" x14ac:dyDescent="0.15">
      <c r="A5" s="22"/>
      <c r="B5" s="30" t="s">
        <v>17</v>
      </c>
      <c r="C5" s="8">
        <v>3</v>
      </c>
      <c r="D5" s="8">
        <v>6</v>
      </c>
      <c r="E5" s="8">
        <v>9</v>
      </c>
      <c r="F5" s="8">
        <v>12</v>
      </c>
      <c r="G5" s="8">
        <v>15</v>
      </c>
      <c r="H5" s="8">
        <v>18</v>
      </c>
    </row>
    <row r="6" spans="1:8" ht="14.25" x14ac:dyDescent="0.15">
      <c r="A6" s="22"/>
      <c r="B6" s="30" t="s">
        <v>18</v>
      </c>
      <c r="C6" s="8">
        <v>3</v>
      </c>
      <c r="D6" s="8">
        <v>6</v>
      </c>
      <c r="E6" s="8">
        <v>9</v>
      </c>
      <c r="F6" s="8">
        <v>12</v>
      </c>
      <c r="G6" s="8">
        <v>15</v>
      </c>
      <c r="H6" s="8">
        <v>18</v>
      </c>
    </row>
    <row r="7" spans="1:8" ht="14.25" x14ac:dyDescent="0.15">
      <c r="A7" s="22"/>
      <c r="B7" s="30" t="s">
        <v>19</v>
      </c>
      <c r="C7" s="8">
        <v>5</v>
      </c>
      <c r="D7" s="8">
        <v>8</v>
      </c>
      <c r="E7" s="8">
        <v>11</v>
      </c>
      <c r="F7" s="8">
        <v>14</v>
      </c>
      <c r="G7" s="8">
        <v>17</v>
      </c>
      <c r="H7" s="8">
        <v>20</v>
      </c>
    </row>
    <row r="8" spans="1:8" ht="14.25" x14ac:dyDescent="0.15">
      <c r="A8" s="22"/>
      <c r="B8" s="29" t="s">
        <v>21</v>
      </c>
      <c r="C8" s="7">
        <v>4</v>
      </c>
      <c r="D8" s="7">
        <v>5</v>
      </c>
      <c r="E8" s="7">
        <v>6</v>
      </c>
      <c r="F8" s="7">
        <v>7</v>
      </c>
      <c r="G8" s="7">
        <v>8</v>
      </c>
      <c r="H8" s="7">
        <v>9</v>
      </c>
    </row>
    <row r="9" spans="1:8" ht="14.25" x14ac:dyDescent="0.15">
      <c r="A9" s="22" t="s">
        <v>14</v>
      </c>
      <c r="B9" s="6" t="s">
        <v>15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</row>
    <row r="10" spans="1:8" ht="14.25" x14ac:dyDescent="0.15">
      <c r="A10" s="22"/>
      <c r="B10" s="5" t="s">
        <v>16</v>
      </c>
      <c r="C10" s="8">
        <v>3</v>
      </c>
      <c r="D10" s="8">
        <v>6</v>
      </c>
      <c r="E10" s="8">
        <v>9</v>
      </c>
      <c r="F10" s="8">
        <v>12</v>
      </c>
      <c r="G10" s="8">
        <v>15</v>
      </c>
      <c r="H10" s="8">
        <v>18</v>
      </c>
    </row>
    <row r="11" spans="1:8" ht="14.25" x14ac:dyDescent="0.15">
      <c r="A11" s="22"/>
      <c r="B11" s="5" t="s">
        <v>17</v>
      </c>
      <c r="C11" s="8">
        <v>3</v>
      </c>
      <c r="D11" s="8">
        <v>6</v>
      </c>
      <c r="E11" s="8">
        <v>9</v>
      </c>
      <c r="F11" s="8">
        <v>12</v>
      </c>
      <c r="G11" s="8">
        <v>15</v>
      </c>
      <c r="H11" s="8">
        <v>18</v>
      </c>
    </row>
    <row r="12" spans="1:8" ht="14.25" x14ac:dyDescent="0.15">
      <c r="A12" s="22"/>
      <c r="B12" s="5" t="s">
        <v>19</v>
      </c>
      <c r="C12" s="8">
        <v>3</v>
      </c>
      <c r="D12" s="8">
        <v>6</v>
      </c>
      <c r="E12" s="8">
        <v>9</v>
      </c>
      <c r="F12" s="8">
        <v>12</v>
      </c>
      <c r="G12" s="8">
        <v>15</v>
      </c>
      <c r="H12" s="8">
        <v>18</v>
      </c>
    </row>
    <row r="13" spans="1:8" ht="14.25" x14ac:dyDescent="0.15">
      <c r="A13" s="22"/>
      <c r="B13" s="6" t="s">
        <v>21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</row>
  </sheetData>
  <mergeCells count="6">
    <mergeCell ref="A3:A8"/>
    <mergeCell ref="A9:A13"/>
    <mergeCell ref="A1:A2"/>
    <mergeCell ref="B1:B2"/>
    <mergeCell ref="C1:E1"/>
    <mergeCell ref="F1:H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CB5C-B471-4E92-838E-592ED8F747D4}">
  <sheetPr>
    <tabColor rgb="FF92D050"/>
  </sheetPr>
  <dimension ref="A1:E12"/>
  <sheetViews>
    <sheetView workbookViewId="0">
      <selection sqref="A1:B1"/>
    </sheetView>
  </sheetViews>
  <sheetFormatPr defaultColWidth="9" defaultRowHeight="13.5" x14ac:dyDescent="0.15"/>
  <sheetData>
    <row r="1" spans="1:5" ht="16.5" x14ac:dyDescent="0.15">
      <c r="A1" s="32" t="s">
        <v>25</v>
      </c>
      <c r="B1" s="32" t="s">
        <v>26</v>
      </c>
      <c r="C1" s="1" t="s">
        <v>10</v>
      </c>
      <c r="D1" s="1" t="s">
        <v>11</v>
      </c>
      <c r="E1" s="1" t="s">
        <v>12</v>
      </c>
    </row>
    <row r="2" spans="1:5" ht="14.25" x14ac:dyDescent="0.15">
      <c r="A2" s="22" t="s">
        <v>13</v>
      </c>
      <c r="B2" s="29" t="s">
        <v>15</v>
      </c>
      <c r="C2" s="7">
        <v>4</v>
      </c>
      <c r="D2" s="7">
        <v>5</v>
      </c>
      <c r="E2" s="7">
        <v>6</v>
      </c>
    </row>
    <row r="3" spans="1:5" ht="14.25" x14ac:dyDescent="0.15">
      <c r="A3" s="22"/>
      <c r="B3" s="30" t="s">
        <v>16</v>
      </c>
      <c r="C3" s="8">
        <v>2</v>
      </c>
      <c r="D3" s="8">
        <v>5</v>
      </c>
      <c r="E3" s="8">
        <v>8</v>
      </c>
    </row>
    <row r="4" spans="1:5" ht="14.25" x14ac:dyDescent="0.15">
      <c r="A4" s="22"/>
      <c r="B4" s="30" t="s">
        <v>17</v>
      </c>
      <c r="C4" s="8">
        <v>3</v>
      </c>
      <c r="D4" s="8">
        <v>6</v>
      </c>
      <c r="E4" s="8">
        <v>9</v>
      </c>
    </row>
    <row r="5" spans="1:5" ht="14.25" x14ac:dyDescent="0.15">
      <c r="A5" s="22"/>
      <c r="B5" s="30" t="s">
        <v>18</v>
      </c>
      <c r="C5" s="8">
        <v>3</v>
      </c>
      <c r="D5" s="8">
        <v>6</v>
      </c>
      <c r="E5" s="8">
        <v>9</v>
      </c>
    </row>
    <row r="6" spans="1:5" ht="14.25" x14ac:dyDescent="0.15">
      <c r="A6" s="22"/>
      <c r="B6" s="30" t="s">
        <v>19</v>
      </c>
      <c r="C6" s="8">
        <v>5</v>
      </c>
      <c r="D6" s="8">
        <v>8</v>
      </c>
      <c r="E6" s="8">
        <v>11</v>
      </c>
    </row>
    <row r="7" spans="1:5" ht="14.25" x14ac:dyDescent="0.15">
      <c r="A7" s="22"/>
      <c r="B7" s="29" t="s">
        <v>21</v>
      </c>
      <c r="C7" s="7">
        <v>4</v>
      </c>
      <c r="D7" s="7">
        <v>5</v>
      </c>
      <c r="E7" s="7">
        <v>6</v>
      </c>
    </row>
    <row r="8" spans="1:5" ht="14.25" x14ac:dyDescent="0.15">
      <c r="A8" s="22" t="s">
        <v>14</v>
      </c>
      <c r="B8" s="6" t="s">
        <v>15</v>
      </c>
      <c r="C8" s="7">
        <v>3</v>
      </c>
      <c r="D8" s="7">
        <v>4</v>
      </c>
      <c r="E8" s="7">
        <v>5</v>
      </c>
    </row>
    <row r="9" spans="1:5" ht="14.25" x14ac:dyDescent="0.15">
      <c r="A9" s="22"/>
      <c r="B9" s="5" t="s">
        <v>16</v>
      </c>
      <c r="C9" s="8">
        <v>3</v>
      </c>
      <c r="D9" s="8">
        <v>6</v>
      </c>
      <c r="E9" s="8">
        <v>9</v>
      </c>
    </row>
    <row r="10" spans="1:5" ht="14.25" x14ac:dyDescent="0.15">
      <c r="A10" s="22"/>
      <c r="B10" s="5" t="s">
        <v>17</v>
      </c>
      <c r="C10" s="8">
        <v>3</v>
      </c>
      <c r="D10" s="8">
        <v>6</v>
      </c>
      <c r="E10" s="8">
        <v>9</v>
      </c>
    </row>
    <row r="11" spans="1:5" ht="14.25" x14ac:dyDescent="0.15">
      <c r="A11" s="22"/>
      <c r="B11" s="5" t="s">
        <v>19</v>
      </c>
      <c r="C11" s="8">
        <v>3</v>
      </c>
      <c r="D11" s="8">
        <v>6</v>
      </c>
      <c r="E11" s="8">
        <v>9</v>
      </c>
    </row>
    <row r="12" spans="1:5" ht="14.25" x14ac:dyDescent="0.15">
      <c r="A12" s="22"/>
      <c r="B12" s="6" t="s">
        <v>21</v>
      </c>
      <c r="C12" s="7">
        <v>3</v>
      </c>
      <c r="D12" s="7">
        <v>4</v>
      </c>
      <c r="E12" s="7">
        <v>5</v>
      </c>
    </row>
  </sheetData>
  <mergeCells count="2">
    <mergeCell ref="A2:A7"/>
    <mergeCell ref="A8:A12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8CCC-5A3C-43FE-A566-0A3EA7374D06}">
  <sheetPr>
    <tabColor rgb="FF92D050"/>
  </sheetPr>
  <dimension ref="A1:E12"/>
  <sheetViews>
    <sheetView workbookViewId="0">
      <selection sqref="A1:B1"/>
    </sheetView>
  </sheetViews>
  <sheetFormatPr defaultColWidth="9" defaultRowHeight="13.5" x14ac:dyDescent="0.15"/>
  <sheetData>
    <row r="1" spans="1:5" ht="16.5" x14ac:dyDescent="0.15">
      <c r="A1" s="32" t="s">
        <v>25</v>
      </c>
      <c r="B1" s="32" t="s">
        <v>26</v>
      </c>
      <c r="C1" s="1" t="s">
        <v>10</v>
      </c>
      <c r="D1" s="1" t="s">
        <v>11</v>
      </c>
      <c r="E1" s="1" t="s">
        <v>12</v>
      </c>
    </row>
    <row r="2" spans="1:5" ht="14.25" x14ac:dyDescent="0.15">
      <c r="A2" s="22" t="s">
        <v>13</v>
      </c>
      <c r="B2" s="29" t="s">
        <v>15</v>
      </c>
      <c r="C2" s="7">
        <v>7</v>
      </c>
      <c r="D2" s="7">
        <v>8</v>
      </c>
      <c r="E2" s="7">
        <v>9</v>
      </c>
    </row>
    <row r="3" spans="1:5" ht="14.25" x14ac:dyDescent="0.15">
      <c r="A3" s="22"/>
      <c r="B3" s="30" t="s">
        <v>16</v>
      </c>
      <c r="C3" s="8">
        <v>11</v>
      </c>
      <c r="D3" s="8">
        <v>14</v>
      </c>
      <c r="E3" s="8">
        <v>17</v>
      </c>
    </row>
    <row r="4" spans="1:5" ht="14.25" x14ac:dyDescent="0.15">
      <c r="A4" s="22"/>
      <c r="B4" s="30" t="s">
        <v>17</v>
      </c>
      <c r="C4" s="8">
        <v>12</v>
      </c>
      <c r="D4" s="8">
        <v>15</v>
      </c>
      <c r="E4" s="8">
        <v>18</v>
      </c>
    </row>
    <row r="5" spans="1:5" ht="14.25" x14ac:dyDescent="0.15">
      <c r="A5" s="22"/>
      <c r="B5" s="30" t="s">
        <v>18</v>
      </c>
      <c r="C5" s="8">
        <v>12</v>
      </c>
      <c r="D5" s="8">
        <v>15</v>
      </c>
      <c r="E5" s="8">
        <v>18</v>
      </c>
    </row>
    <row r="6" spans="1:5" ht="14.25" x14ac:dyDescent="0.15">
      <c r="A6" s="22"/>
      <c r="B6" s="30" t="s">
        <v>19</v>
      </c>
      <c r="C6" s="8">
        <v>14</v>
      </c>
      <c r="D6" s="8">
        <v>17</v>
      </c>
      <c r="E6" s="8">
        <v>20</v>
      </c>
    </row>
    <row r="7" spans="1:5" ht="14.25" x14ac:dyDescent="0.15">
      <c r="A7" s="22"/>
      <c r="B7" s="29" t="s">
        <v>21</v>
      </c>
      <c r="C7" s="7">
        <v>7</v>
      </c>
      <c r="D7" s="7">
        <v>8</v>
      </c>
      <c r="E7" s="7">
        <v>9</v>
      </c>
    </row>
    <row r="8" spans="1:5" ht="14.25" x14ac:dyDescent="0.15">
      <c r="A8" s="22" t="s">
        <v>14</v>
      </c>
      <c r="B8" s="6" t="s">
        <v>15</v>
      </c>
      <c r="C8" s="7">
        <v>6</v>
      </c>
      <c r="D8" s="7">
        <v>7</v>
      </c>
      <c r="E8" s="7">
        <v>8</v>
      </c>
    </row>
    <row r="9" spans="1:5" ht="14.25" x14ac:dyDescent="0.15">
      <c r="A9" s="22"/>
      <c r="B9" s="5" t="s">
        <v>16</v>
      </c>
      <c r="C9" s="8">
        <v>12</v>
      </c>
      <c r="D9" s="8">
        <v>15</v>
      </c>
      <c r="E9" s="8">
        <v>18</v>
      </c>
    </row>
    <row r="10" spans="1:5" ht="14.25" x14ac:dyDescent="0.15">
      <c r="A10" s="22"/>
      <c r="B10" s="5" t="s">
        <v>17</v>
      </c>
      <c r="C10" s="8">
        <v>12</v>
      </c>
      <c r="D10" s="8">
        <v>15</v>
      </c>
      <c r="E10" s="8">
        <v>18</v>
      </c>
    </row>
    <row r="11" spans="1:5" ht="14.25" x14ac:dyDescent="0.15">
      <c r="A11" s="22"/>
      <c r="B11" s="5" t="s">
        <v>19</v>
      </c>
      <c r="C11" s="8">
        <v>12</v>
      </c>
      <c r="D11" s="8">
        <v>15</v>
      </c>
      <c r="E11" s="8">
        <v>18</v>
      </c>
    </row>
    <row r="12" spans="1:5" ht="14.25" x14ac:dyDescent="0.15">
      <c r="A12" s="22"/>
      <c r="B12" s="6" t="s">
        <v>21</v>
      </c>
      <c r="C12" s="7">
        <v>6</v>
      </c>
      <c r="D12" s="7">
        <v>7</v>
      </c>
      <c r="E12" s="7">
        <v>8</v>
      </c>
    </row>
  </sheetData>
  <mergeCells count="2">
    <mergeCell ref="A2:A7"/>
    <mergeCell ref="A8:A12"/>
  </mergeCells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广佛公司2025年在手利润测算-底稿-20250224-2月预估底稿.xlsx" FileId="373630959644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表处理</vt:lpstr>
      <vt:lpstr>正常项目</vt:lpstr>
      <vt:lpstr>正常项目-在建在售</vt:lpstr>
      <vt:lpstr>正常项目-待开发</vt:lpstr>
      <vt:lpstr>困难项目</vt:lpstr>
      <vt:lpstr>困难项目-滞销</vt:lpstr>
      <vt:lpstr>困难项目-缓建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xuyingn</dc:creator>
  <cp:lastModifiedBy>猴猴 徐</cp:lastModifiedBy>
  <dcterms:created xsi:type="dcterms:W3CDTF">2025-03-06T05:35:17Z</dcterms:created>
  <dcterms:modified xsi:type="dcterms:W3CDTF">2025-03-13T07:28:00Z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AC8D72CF1DC34AAC8D6D2E8E3A2116CC_11</vt:lpwstr>
  </property>
  <property fmtid="{D5CDD505-2E9C-101B-9397-08002B2CF9AE}" pid="3" name="KSOProductBuildVer">
    <vt:lpwstr>2052-12.1.0.20305</vt:lpwstr>
  </property>
</Properties>
</file>