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OOD\GD备份\国大集团\1、财务报表\2025年报表\202512\日常\"/>
    </mc:Choice>
  </mc:AlternateContent>
  <xr:revisionPtr revIDLastSave="0" documentId="13_ncr:1_{228E6868-A606-403F-BE39-B45F7EA81E9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X项目" sheetId="1" r:id="rId1"/>
  </sheets>
  <definedNames>
    <definedName name="_xlnm._FilterDatabase" localSheetId="0" hidden="1">X项目!$A$1:$AQ$59</definedName>
    <definedName name="_xlnm.Print_Area" localSheetId="0">X项目!$A$1:$AQ$42</definedName>
    <definedName name="_xlnm.Print_Titles" localSheetId="0">X项目!$A:$B,X项目!$1:$3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1" l="1"/>
  <c r="W10" i="1"/>
  <c r="AM10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AQ10" i="1"/>
  <c r="AN10" i="1"/>
  <c r="AA10" i="1"/>
  <c r="X10" i="1"/>
  <c r="K10" i="1"/>
  <c r="AL10" i="1"/>
  <c r="AK10" i="1"/>
  <c r="AI10" i="1"/>
  <c r="AE10" i="1"/>
  <c r="AD10" i="1"/>
  <c r="AC10" i="1"/>
  <c r="AB10" i="1"/>
  <c r="V10" i="1"/>
  <c r="U10" i="1"/>
  <c r="P10" i="1"/>
  <c r="O10" i="1"/>
  <c r="N10" i="1"/>
  <c r="M10" i="1"/>
  <c r="L10" i="1"/>
  <c r="AP2" i="1"/>
  <c r="AN2" i="1"/>
  <c r="AM2" i="1"/>
  <c r="AJ2" i="1"/>
  <c r="AK2" i="1" s="1"/>
  <c r="AD2" i="1"/>
  <c r="AF10" i="1" l="1"/>
  <c r="AG10" i="1"/>
  <c r="AH10" i="1"/>
  <c r="Q10" i="1"/>
  <c r="Q11" i="1" s="1"/>
  <c r="R10" i="1"/>
  <c r="T10" i="1"/>
  <c r="AJ10" i="1"/>
  <c r="AJ11" i="1" s="1"/>
  <c r="I10" i="1"/>
  <c r="Y10" i="1"/>
  <c r="AO10" i="1"/>
  <c r="Z10" i="1"/>
  <c r="J10" i="1"/>
  <c r="AP10" i="1"/>
  <c r="F10" i="1" s="1"/>
  <c r="H10" i="1"/>
  <c r="E10" i="1" s="1"/>
  <c r="U58" i="1"/>
  <c r="E55" i="1"/>
  <c r="V58" i="1"/>
  <c r="AL58" i="1"/>
  <c r="AM58" i="1"/>
  <c r="AJ58" i="1"/>
  <c r="AQ11" i="1"/>
  <c r="E56" i="1"/>
  <c r="S58" i="1"/>
  <c r="E52" i="1"/>
  <c r="E49" i="1"/>
  <c r="E48" i="1"/>
  <c r="E53" i="1"/>
  <c r="W58" i="1"/>
  <c r="AI58" i="1"/>
  <c r="T58" i="1"/>
  <c r="AK58" i="1"/>
  <c r="L58" i="1"/>
  <c r="AB58" i="1"/>
  <c r="X58" i="1"/>
  <c r="AN58" i="1"/>
  <c r="E50" i="1"/>
  <c r="E51" i="1"/>
  <c r="E54" i="1"/>
  <c r="E46" i="1"/>
  <c r="E47" i="1"/>
  <c r="P58" i="1"/>
  <c r="AF58" i="1"/>
  <c r="M58" i="1"/>
  <c r="AC58" i="1"/>
  <c r="I58" i="1"/>
  <c r="Y58" i="1"/>
  <c r="AO58" i="1"/>
  <c r="Q58" i="1"/>
  <c r="AG58" i="1"/>
  <c r="E57" i="1"/>
  <c r="O58" i="1"/>
  <c r="AE58" i="1"/>
  <c r="K58" i="1"/>
  <c r="AA58" i="1"/>
  <c r="AQ58" i="1"/>
  <c r="AD58" i="1"/>
  <c r="AH58" i="1"/>
  <c r="Z58" i="1"/>
  <c r="J58" i="1"/>
  <c r="N58" i="1"/>
  <c r="R58" i="1"/>
  <c r="AP58" i="1"/>
  <c r="E45" i="1"/>
  <c r="AM41" i="1"/>
  <c r="E27" i="1"/>
  <c r="E36" i="1"/>
  <c r="H58" i="1"/>
  <c r="E29" i="1"/>
  <c r="I41" i="1"/>
  <c r="Y41" i="1"/>
  <c r="AO41" i="1"/>
  <c r="W41" i="1"/>
  <c r="Z41" i="1"/>
  <c r="AP41" i="1"/>
  <c r="N41" i="1"/>
  <c r="J41" i="1"/>
  <c r="L41" i="1"/>
  <c r="AB41" i="1"/>
  <c r="E28" i="1"/>
  <c r="E13" i="1"/>
  <c r="AD41" i="1"/>
  <c r="E25" i="1"/>
  <c r="Q41" i="1"/>
  <c r="AG41" i="1"/>
  <c r="AN41" i="1"/>
  <c r="AE11" i="1"/>
  <c r="S41" i="1"/>
  <c r="E15" i="1"/>
  <c r="E20" i="1"/>
  <c r="E26" i="1"/>
  <c r="E38" i="1"/>
  <c r="P41" i="1"/>
  <c r="O11" i="1"/>
  <c r="AI41" i="1"/>
  <c r="AA41" i="1"/>
  <c r="E22" i="1"/>
  <c r="E30" i="1"/>
  <c r="E40" i="1"/>
  <c r="AF11" i="1"/>
  <c r="T41" i="1"/>
  <c r="AJ41" i="1"/>
  <c r="E19" i="1"/>
  <c r="E23" i="1"/>
  <c r="E35" i="1"/>
  <c r="E39" i="1"/>
  <c r="E17" i="1"/>
  <c r="K11" i="1"/>
  <c r="E14" i="1"/>
  <c r="AQ41" i="1"/>
  <c r="E18" i="1"/>
  <c r="E31" i="1"/>
  <c r="E34" i="1"/>
  <c r="P11" i="1"/>
  <c r="E43" i="1"/>
  <c r="AG11" i="1"/>
  <c r="U41" i="1"/>
  <c r="AK41" i="1"/>
  <c r="M41" i="1"/>
  <c r="AC41" i="1"/>
  <c r="E33" i="1"/>
  <c r="E37" i="1"/>
  <c r="R11" i="1"/>
  <c r="AH11" i="1"/>
  <c r="V41" i="1"/>
  <c r="AL41" i="1"/>
  <c r="R41" i="1"/>
  <c r="AH41" i="1"/>
  <c r="E12" i="1"/>
  <c r="H41" i="1"/>
  <c r="E21" i="1"/>
  <c r="E16" i="1"/>
  <c r="E24" i="1"/>
  <c r="E32" i="1"/>
  <c r="X41" i="1"/>
  <c r="AF41" i="1"/>
  <c r="AA11" i="1"/>
  <c r="O41" i="1"/>
  <c r="AE41" i="1"/>
  <c r="E4" i="1"/>
  <c r="S11" i="1"/>
  <c r="AI11" i="1"/>
  <c r="E8" i="1"/>
  <c r="L11" i="1"/>
  <c r="AB11" i="1"/>
  <c r="E5" i="1"/>
  <c r="X11" i="1"/>
  <c r="AN11" i="1"/>
  <c r="E9" i="1"/>
  <c r="M11" i="1"/>
  <c r="AO11" i="1"/>
  <c r="AO42" i="1" s="1"/>
  <c r="AC11" i="1"/>
  <c r="AC42" i="1" s="1"/>
  <c r="I11" i="1"/>
  <c r="Y11" i="1"/>
  <c r="N11" i="1"/>
  <c r="AD11" i="1"/>
  <c r="J11" i="1"/>
  <c r="Z11" i="1"/>
  <c r="AP11" i="1"/>
  <c r="V11" i="1"/>
  <c r="AL11" i="1"/>
  <c r="K41" i="1"/>
  <c r="E6" i="1"/>
  <c r="T11" i="1"/>
  <c r="E7" i="1"/>
  <c r="AK11" i="1"/>
  <c r="U11" i="1"/>
  <c r="W11" i="1"/>
  <c r="AM11" i="1"/>
  <c r="F6" i="1"/>
  <c r="F57" i="1"/>
  <c r="E44" i="1"/>
  <c r="F44" i="1"/>
  <c r="F52" i="1"/>
  <c r="F35" i="1"/>
  <c r="F43" i="1"/>
  <c r="F47" i="1"/>
  <c r="AQ2" i="1"/>
  <c r="F24" i="1"/>
  <c r="F19" i="1"/>
  <c r="F23" i="1"/>
  <c r="F4" i="1"/>
  <c r="F40" i="1"/>
  <c r="F14" i="1"/>
  <c r="F30" i="1"/>
  <c r="F5" i="1"/>
  <c r="F25" i="1"/>
  <c r="F53" i="1"/>
  <c r="F36" i="1"/>
  <c r="F48" i="1"/>
  <c r="F54" i="1"/>
  <c r="F37" i="1"/>
  <c r="F49" i="1"/>
  <c r="F55" i="1"/>
  <c r="F50" i="1"/>
  <c r="F18" i="1"/>
  <c r="F9" i="1"/>
  <c r="F13" i="1"/>
  <c r="F29" i="1"/>
  <c r="F20" i="1"/>
  <c r="F26" i="1"/>
  <c r="F21" i="1"/>
  <c r="AE2" i="1"/>
  <c r="F32" i="1"/>
  <c r="F27" i="1"/>
  <c r="F38" i="1"/>
  <c r="F17" i="1"/>
  <c r="F33" i="1"/>
  <c r="F45" i="1"/>
  <c r="F39" i="1"/>
  <c r="F34" i="1"/>
  <c r="F46" i="1"/>
  <c r="F15" i="1"/>
  <c r="F31" i="1"/>
  <c r="F16" i="1"/>
  <c r="F7" i="1"/>
  <c r="F22" i="1"/>
  <c r="F8" i="1"/>
  <c r="F12" i="1"/>
  <c r="F28" i="1"/>
  <c r="F56" i="1"/>
  <c r="F51" i="1"/>
  <c r="AI42" i="1" l="1"/>
  <c r="AI59" i="1" s="1"/>
  <c r="N42" i="1"/>
  <c r="AG42" i="1"/>
  <c r="AG59" i="1" s="1"/>
  <c r="AJ42" i="1"/>
  <c r="AJ59" i="1" s="1"/>
  <c r="H11" i="1"/>
  <c r="AE42" i="1"/>
  <c r="AE59" i="1" s="1"/>
  <c r="W42" i="1"/>
  <c r="W59" i="1" s="1"/>
  <c r="Y42" i="1"/>
  <c r="Y59" i="1" s="1"/>
  <c r="U42" i="1"/>
  <c r="U59" i="1" s="1"/>
  <c r="I42" i="1"/>
  <c r="I59" i="1" s="1"/>
  <c r="F58" i="1"/>
  <c r="R42" i="1"/>
  <c r="R59" i="1" s="1"/>
  <c r="Z42" i="1"/>
  <c r="Z59" i="1" s="1"/>
  <c r="S42" i="1"/>
  <c r="S59" i="1" s="1"/>
  <c r="AQ42" i="1"/>
  <c r="AQ59" i="1" s="1"/>
  <c r="AN42" i="1"/>
  <c r="AN59" i="1" s="1"/>
  <c r="M42" i="1"/>
  <c r="M59" i="1" s="1"/>
  <c r="AF42" i="1"/>
  <c r="AF59" i="1" s="1"/>
  <c r="E58" i="1"/>
  <c r="J42" i="1"/>
  <c r="J59" i="1" s="1"/>
  <c r="O42" i="1"/>
  <c r="O59" i="1" s="1"/>
  <c r="F41" i="1"/>
  <c r="E41" i="1"/>
  <c r="AM42" i="1"/>
  <c r="AM59" i="1" s="1"/>
  <c r="N59" i="1"/>
  <c r="AD42" i="1"/>
  <c r="AD59" i="1" s="1"/>
  <c r="AL42" i="1"/>
  <c r="AL59" i="1" s="1"/>
  <c r="AH42" i="1"/>
  <c r="AH59" i="1" s="1"/>
  <c r="AC59" i="1"/>
  <c r="AO59" i="1"/>
  <c r="E11" i="1"/>
  <c r="T42" i="1"/>
  <c r="T59" i="1" s="1"/>
  <c r="K42" i="1"/>
  <c r="K59" i="1" s="1"/>
  <c r="AA42" i="1"/>
  <c r="AA59" i="1" s="1"/>
  <c r="X42" i="1"/>
  <c r="X59" i="1" s="1"/>
  <c r="Q42" i="1"/>
  <c r="Q59" i="1" s="1"/>
  <c r="V42" i="1"/>
  <c r="V59" i="1" s="1"/>
  <c r="L42" i="1"/>
  <c r="L59" i="1" s="1"/>
  <c r="P42" i="1"/>
  <c r="P59" i="1" s="1"/>
  <c r="AB42" i="1"/>
  <c r="AB59" i="1" s="1"/>
  <c r="AP42" i="1"/>
  <c r="AP59" i="1" s="1"/>
  <c r="AK42" i="1"/>
  <c r="AK59" i="1" s="1"/>
  <c r="H42" i="1"/>
  <c r="H59" i="1" s="1"/>
  <c r="F11" i="1"/>
  <c r="G56" i="1"/>
  <c r="G45" i="1"/>
  <c r="G33" i="1"/>
  <c r="G17" i="1"/>
  <c r="G27" i="1"/>
  <c r="G16" i="1"/>
  <c r="G37" i="1"/>
  <c r="G21" i="1"/>
  <c r="G6" i="1"/>
  <c r="G15" i="1"/>
  <c r="G20" i="1"/>
  <c r="G5" i="1"/>
  <c r="G46" i="1"/>
  <c r="G50" i="1"/>
  <c r="G38" i="1"/>
  <c r="G22" i="1"/>
  <c r="G7" i="1"/>
  <c r="G32" i="1"/>
  <c r="G49" i="1"/>
  <c r="G26" i="1"/>
  <c r="G31" i="1"/>
  <c r="G48" i="1"/>
  <c r="G36" i="1"/>
  <c r="G25" i="1"/>
  <c r="G51" i="1"/>
  <c r="G39" i="1"/>
  <c r="G23" i="1"/>
  <c r="G28" i="1"/>
  <c r="G12" i="1"/>
  <c r="G8" i="1"/>
  <c r="G55" i="1"/>
  <c r="G54" i="1"/>
  <c r="G53" i="1"/>
  <c r="G30" i="1"/>
  <c r="G14" i="1"/>
  <c r="G10" i="1"/>
  <c r="G19" i="1"/>
  <c r="G13" i="1"/>
  <c r="G9" i="1"/>
  <c r="G47" i="1"/>
  <c r="G43" i="1"/>
  <c r="G35" i="1"/>
  <c r="G24" i="1"/>
  <c r="G4" i="1"/>
  <c r="G29" i="1"/>
  <c r="G34" i="1"/>
  <c r="G18" i="1"/>
  <c r="G52" i="1"/>
  <c r="G40" i="1"/>
  <c r="G57" i="1"/>
  <c r="G44" i="1"/>
  <c r="G11" i="1"/>
  <c r="G41" i="1"/>
  <c r="G58" i="1"/>
  <c r="F59" i="1" l="1"/>
  <c r="E59" i="1"/>
  <c r="G59" i="1"/>
  <c r="E42" i="1"/>
  <c r="F42" i="1"/>
  <c r="G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20210904</author>
    <author>Unknown User</author>
  </authors>
  <commentList>
    <comment ref="B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20210904:</t>
        </r>
        <r>
          <rPr>
            <sz val="9"/>
            <rFont val="宋体"/>
            <family val="3"/>
            <charset val="134"/>
          </rPr>
          <t xml:space="preserve">
总部需填写
，市场不用填。
</t>
        </r>
      </text>
    </comment>
    <comment ref="B1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20210904:</t>
        </r>
        <r>
          <rPr>
            <sz val="9"/>
            <rFont val="宋体"/>
            <family val="3"/>
            <charset val="134"/>
          </rPr>
          <t xml:space="preserve">
总部需填写
，市场不用填。
</t>
        </r>
      </text>
    </comment>
    <comment ref="B14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20210904:</t>
        </r>
        <r>
          <rPr>
            <sz val="9"/>
            <rFont val="宋体"/>
            <family val="3"/>
            <charset val="134"/>
          </rPr>
          <t xml:space="preserve">
总部需填写
，市场不用填。</t>
        </r>
      </text>
    </comment>
    <comment ref="G47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ying:</t>
        </r>
        <r>
          <rPr>
            <sz val="9"/>
            <rFont val="宋体"/>
            <family val="3"/>
            <charset val="134"/>
          </rPr>
          <t xml:space="preserve">
其中101068.4是付五楼消防隔墙工程二次整改结算款（四川古野）</t>
        </r>
      </text>
    </comment>
    <comment ref="AB47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ying:</t>
        </r>
        <r>
          <rPr>
            <sz val="9"/>
            <rFont val="宋体"/>
            <family val="3"/>
            <charset val="134"/>
          </rPr>
          <t xml:space="preserve">
付五楼消防、508拆除工程结算,付五楼旧办公室增加喷淋工程结算款（永盈建设）</t>
        </r>
      </text>
    </comment>
  </commentList>
</comments>
</file>

<file path=xl/sharedStrings.xml><?xml version="1.0" encoding="utf-8"?>
<sst xmlns="http://schemas.openxmlformats.org/spreadsheetml/2006/main" count="230" uniqueCount="88">
  <si>
    <t>2月</t>
  </si>
  <si>
    <t>项目序号</t>
  </si>
  <si>
    <t>项目名称</t>
  </si>
  <si>
    <t>项目分类</t>
  </si>
  <si>
    <t>累计数</t>
  </si>
  <si>
    <t>1月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</si>
  <si>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</si>
  <si>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</si>
  <si>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</si>
  <si>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</si>
  <si>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</si>
  <si>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</si>
  <si>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</si>
  <si>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</si>
  <si>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</si>
  <si>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</si>
  <si>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去年实际数</t>
  </si>
  <si>
    <t>预算数</t>
  </si>
  <si>
    <t>实际数</t>
  </si>
  <si>
    <t>租金收入</t>
  </si>
  <si>
    <t>考核收入</t>
  </si>
  <si>
    <t>管理费收入</t>
  </si>
  <si>
    <t>其他收入</t>
  </si>
  <si>
    <t>创收收入</t>
  </si>
  <si>
    <t>收水电费</t>
  </si>
  <si>
    <t>支付水电费</t>
  </si>
  <si>
    <t>水电费盈余（7=5-6）</t>
  </si>
  <si>
    <t>考核收入小计（1+2+3+4+5-6）</t>
  </si>
  <si>
    <t>水电费</t>
  </si>
  <si>
    <t>物业管理费</t>
  </si>
  <si>
    <t>会议费</t>
  </si>
  <si>
    <t>卫生费</t>
  </si>
  <si>
    <t>保安费</t>
  </si>
  <si>
    <t>消防费用</t>
  </si>
  <si>
    <t>日常维修费</t>
  </si>
  <si>
    <t>其他营业费用</t>
  </si>
  <si>
    <t>广告宣传费(含开业费)</t>
  </si>
  <si>
    <t>免费车费用</t>
  </si>
  <si>
    <t>差旅费</t>
  </si>
  <si>
    <t>营销提成</t>
  </si>
  <si>
    <t>工资</t>
  </si>
  <si>
    <t>福利费</t>
  </si>
  <si>
    <t>社保费</t>
  </si>
  <si>
    <t>住房公积金</t>
  </si>
  <si>
    <t>工会经费</t>
  </si>
  <si>
    <t>办公费</t>
  </si>
  <si>
    <t>电话费</t>
  </si>
  <si>
    <t>差旅费/运杂费</t>
  </si>
  <si>
    <t>汽车费</t>
  </si>
  <si>
    <t>低值易耗品</t>
  </si>
  <si>
    <t>职工教育经费</t>
  </si>
  <si>
    <t>残疾人员保障金</t>
  </si>
  <si>
    <t>劳动保护费</t>
  </si>
  <si>
    <t>诉讼费</t>
  </si>
  <si>
    <t>保险费</t>
  </si>
  <si>
    <t>其他管理费用</t>
  </si>
  <si>
    <t>银行手续费</t>
  </si>
  <si>
    <t>考核费用小计</t>
  </si>
  <si>
    <t>考核利润</t>
  </si>
  <si>
    <t>非考核收入小计</t>
  </si>
  <si>
    <t>租金</t>
  </si>
  <si>
    <t>会员费</t>
  </si>
  <si>
    <t>改扩建维修</t>
  </si>
  <si>
    <t>折旧费</t>
  </si>
  <si>
    <t>税金</t>
  </si>
  <si>
    <t>摊销费用</t>
  </si>
  <si>
    <t>劳务咨询费</t>
  </si>
  <si>
    <t>审计费</t>
  </si>
  <si>
    <t>业务招待费</t>
  </si>
  <si>
    <t>利息</t>
  </si>
  <si>
    <t>管理费</t>
  </si>
  <si>
    <t>融资费用</t>
  </si>
  <si>
    <t>其他费用</t>
  </si>
  <si>
    <t>非考核费用合计</t>
  </si>
  <si>
    <t>盈余</t>
  </si>
  <si>
    <t>运营成本</t>
  </si>
  <si>
    <t>项目属性</t>
    <phoneticPr fontId="12" type="noConversion"/>
  </si>
  <si>
    <t>考核费用</t>
    <phoneticPr fontId="12" type="noConversion"/>
  </si>
  <si>
    <t>营业收入</t>
    <phoneticPr fontId="12" type="noConversion"/>
  </si>
  <si>
    <t>销售费用</t>
  </si>
  <si>
    <t>人员成本</t>
  </si>
  <si>
    <t>管理费用</t>
  </si>
  <si>
    <t>财务费用</t>
  </si>
  <si>
    <t>财务费用</t>
    <phoneticPr fontId="12" type="noConversion"/>
  </si>
  <si>
    <t>非考核收入</t>
    <phoneticPr fontId="12" type="noConversion"/>
  </si>
  <si>
    <t>非考核费用</t>
    <phoneticPr fontId="12" type="noConversion"/>
  </si>
  <si>
    <t>直接成本</t>
    <phoneticPr fontId="12" type="noConversion"/>
  </si>
  <si>
    <t>X项目预算量化执行表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</si>
</sst>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#,##0.00_ "/>
    <numFmt numFmtId="177" formatCode="0.00_ "/>
  </numFmts>
  <fonts count="15" x14ac:knownFonts="1">
    <font>
      <sz val="12"/>
      <name val="宋体"/>
      <charset val="134"/>
    </font>
    <font>
      <b/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9"/>
      <name val="宋体"/>
      <family val="3"/>
      <charset val="134"/>
    </font>
    <font>
      <b/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/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Protection="1">
      <alignment vertical="center"/>
      <protection hidden="1"/>
    </xf>
    <xf numFmtId="0" fontId="3" fillId="0" borderId="0" xfId="0" applyFont="1" applyProtection="1">
      <alignment vertical="center"/>
      <protection hidden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center" vertical="center"/>
    </xf>
    <xf numFmtId="177" fontId="3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77" fontId="3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3" fontId="8" fillId="0" borderId="1" xfId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43" fontId="8" fillId="0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3" fontId="2" fillId="0" borderId="1" xfId="1" applyFont="1" applyFill="1" applyBorder="1" applyAlignment="1">
      <alignment horizontal="right" vertical="center"/>
    </xf>
    <xf numFmtId="43" fontId="2" fillId="0" borderId="1" xfId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43" fontId="8" fillId="2" borderId="1" xfId="1" applyFont="1" applyFill="1" applyBorder="1" applyAlignment="1">
      <alignment horizontal="right" vertical="center"/>
    </xf>
    <xf numFmtId="43" fontId="8" fillId="2" borderId="1" xfId="1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176" fontId="7" fillId="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 applyProtection="1">
      <alignment horizontal="center" vertical="center"/>
      <protection hidden="1"/>
    </xf>
    <xf numFmtId="43" fontId="8" fillId="2" borderId="1" xfId="1" applyFont="1" applyFill="1" applyBorder="1" applyAlignment="1" applyProtection="1">
      <alignment horizontal="right" vertical="center"/>
      <protection hidden="1"/>
    </xf>
    <xf numFmtId="43" fontId="8" fillId="2" borderId="1" xfId="1" applyFont="1" applyFill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horizontal="left" vertical="center"/>
      <protection hidden="1"/>
    </xf>
    <xf numFmtId="43" fontId="2" fillId="0" borderId="1" xfId="1" applyFont="1" applyFill="1" applyBorder="1" applyAlignment="1" applyProtection="1">
      <alignment horizontal="right" vertical="center"/>
      <protection hidden="1"/>
    </xf>
    <xf numFmtId="43" fontId="2" fillId="0" borderId="1" xfId="1" applyFont="1" applyFill="1" applyBorder="1" applyAlignment="1" applyProtection="1">
      <alignment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177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>
      <alignment vertical="center"/>
    </xf>
    <xf numFmtId="43" fontId="2" fillId="0" borderId="1" xfId="1" applyFont="1" applyFill="1" applyBorder="1" applyAlignment="1" applyProtection="1">
      <alignment vertical="center"/>
    </xf>
    <xf numFmtId="43" fontId="2" fillId="3" borderId="1" xfId="1" applyFont="1" applyFill="1" applyBorder="1" applyAlignment="1">
      <alignment vertical="center"/>
    </xf>
    <xf numFmtId="43" fontId="2" fillId="3" borderId="1" xfId="1" applyFont="1" applyFill="1" applyBorder="1" applyAlignment="1" applyProtection="1">
      <alignment vertical="center"/>
    </xf>
    <xf numFmtId="177" fontId="4" fillId="0" borderId="1" xfId="0" applyNumberFormat="1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Alignment="1">
      <alignment horizontal="center" vertical="center"/>
    </xf>
  </cellXfs>
  <cellStyles count="3">
    <cellStyle name="常规" xfId="0" builtinId="0"/>
    <cellStyle name="常规 13" xfId="2" xr:uid="{00000000-0005-0000-0000-000031000000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19050</xdr:rowOff>
    </xdr:from>
    <xdr:to>
      <xdr:col>4</xdr:col>
      <xdr:colOff>12700</xdr:colOff>
      <xdr:row>3</xdr:row>
      <xdr:rowOff>0</xdr:rowOff>
    </xdr:to>
    <xdr:cxnSp macro="">
      <xdr:nvCxnSpPr>
        <xdr:cNvPr id="2" name="直接连接符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8194675" y="247650"/>
          <a:ext cx="3175" cy="590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1</xdr:row>
      <xdr:rowOff>28575</xdr:rowOff>
    </xdr:from>
    <xdr:to>
      <xdr:col>4</xdr:col>
      <xdr:colOff>142875</xdr:colOff>
      <xdr:row>1</xdr:row>
      <xdr:rowOff>149225</xdr:rowOff>
    </xdr:to>
    <xdr:cxnSp macro="">
      <xdr:nvCxnSpPr>
        <xdr:cNvPr id="3" name="直接连接符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8328025" y="257175"/>
          <a:ext cx="0" cy="120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</xdr:row>
      <xdr:rowOff>19050</xdr:rowOff>
    </xdr:from>
    <xdr:to>
      <xdr:col>4</xdr:col>
      <xdr:colOff>12700</xdr:colOff>
      <xdr:row>1</xdr:row>
      <xdr:rowOff>19050</xdr:rowOff>
    </xdr:to>
    <xdr:cxnSp macro="">
      <xdr:nvCxnSpPr>
        <xdr:cNvPr id="4" name="直接连接符 3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8194675" y="247650"/>
          <a:ext cx="3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2</xdr:row>
      <xdr:rowOff>28575</xdr:rowOff>
    </xdr:from>
    <xdr:to>
      <xdr:col>4</xdr:col>
      <xdr:colOff>142875</xdr:colOff>
      <xdr:row>2</xdr:row>
      <xdr:rowOff>149225</xdr:rowOff>
    </xdr:to>
    <xdr:cxnSp macro="">
      <xdr:nvCxnSpPr>
        <xdr:cNvPr id="5" name="直接连接符 4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8328025" y="676275"/>
          <a:ext cx="0" cy="120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9"/>
  <sheetViews>
    <sheetView tabSelected="1" zoomScaleNormal="100" workbookViewId="0">
      <selection activeCell="I7" sqref="A7:I8"/>
    </sheetView>
  </sheetViews>
  <sheetFormatPr defaultColWidth="9" defaultRowHeight="15" customHeight="1" x14ac:dyDescent="0.25"/>
  <cols>
    <col min="1" max="1" width="10.1640625" style="6" customWidth="1"/>
    <col min="2" max="2" width="32.4140625" style="6" customWidth="1"/>
    <col min="3" max="3" width="9.9140625" style="6" customWidth="1"/>
    <col min="4" max="4" width="8" style="6" bestFit="1" customWidth="1"/>
    <col min="5" max="5" width="16.58203125" style="7" customWidth="1"/>
    <col min="6" max="7" width="16.58203125" style="8" customWidth="1"/>
    <col min="8" max="8" width="16.58203125" style="7" customWidth="1"/>
    <col min="9" max="10" width="16.58203125" style="9" customWidth="1"/>
    <col min="11" max="34" width="16.58203125" style="10" customWidth="1"/>
    <col min="35" max="37" width="16.58203125" style="11" customWidth="1"/>
    <col min="38" max="43" width="16.58203125" style="10" customWidth="1"/>
  </cols>
  <sheetData>
    <row r="1" spans="1:43" ht="18" customHeight="1" x14ac:dyDescent="0.25">
      <c r="A1" s="12" t="s">
        <v>11</v>
      </c>
      <c r="B1" s="47" t="s">
        <v>87</v>
      </c>
      <c r="C1" s="13"/>
      <c r="D1" s="13"/>
      <c r="E1" s="14"/>
      <c r="F1" s="15"/>
      <c r="G1" s="15"/>
      <c r="H1" s="14"/>
      <c r="I1" s="37"/>
      <c r="J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42"/>
      <c r="AJ1" s="42"/>
      <c r="AK1" s="42"/>
      <c r="AL1" s="38"/>
      <c r="AM1" s="38"/>
      <c r="AN1" s="38"/>
      <c r="AO1" s="38"/>
      <c r="AP1" s="38"/>
      <c r="AQ1" s="38"/>
    </row>
    <row r="2" spans="1:43" s="1" customFormat="1" ht="33" customHeight="1" x14ac:dyDescent="0.25">
      <c r="A2" s="16" t="s">
        <v>1</v>
      </c>
      <c r="B2" s="17" t="s">
        <v>2</v>
      </c>
      <c r="C2" s="17" t="s">
        <v>3</v>
      </c>
      <c r="D2" s="43" t="s">
        <v>76</v>
      </c>
      <c r="E2" s="18" t="s">
        <v>4</v>
      </c>
      <c r="F2" s="18" t="s">
        <v>4</v>
      </c>
      <c r="G2" s="18" t="s">
        <v>4</v>
      </c>
      <c r="H2" s="19" t="s">
        <v>5</v>
      </c>
      <c r="I2" s="18" t="s">
        <v>5</v>
      </c>
      <c r="J2" s="18" t="s">
        <v>5</v>
      </c>
      <c r="K2" s="18" t="s">
        <v>0</v>
      </c>
      <c r="L2" s="18" t="s">
        <v>0</v>
      </c>
      <c r="M2" s="18" t="s">
        <v>0</v>
      </c>
      <c r="N2" s="18" t="s">
        <v>6</v>
      </c>
      <c r="O2" s="18" t="s">
        <v>6</v>
      </c>
      <c r="P2" s="18" t="s">
        <v>6</v>
      </c>
      <c r="Q2" s="18" t="s">
        <v>7</v>
      </c>
      <c r="R2" s="18" t="s">
        <v>7</v>
      </c>
      <c r="S2" s="18" t="s">
        <v>7</v>
      </c>
      <c r="T2" s="18" t="s">
        <v>8</v>
      </c>
      <c r="U2" s="18" t="s">
        <v>8</v>
      </c>
      <c r="V2" s="18" t="s">
        <v>8</v>
      </c>
      <c r="W2" s="18" t="s">
        <v>9</v>
      </c>
      <c r="X2" s="18" t="s">
        <v>9</v>
      </c>
      <c r="Y2" s="18" t="s">
        <v>9</v>
      </c>
      <c r="Z2" s="18" t="s">
        <v>10</v>
      </c>
      <c r="AA2" s="18" t="s">
        <v>10</v>
      </c>
      <c r="AB2" s="18" t="s">
        <v>10</v>
      </c>
      <c r="AC2" s="18" t="s">
        <v>11</v>
      </c>
      <c r="AD2" s="18" t="str">
        <f>AC2</f>
        <v>8月</v>
      </c>
      <c r="AE2" s="18" t="str">
        <f>AD2</f>
        <v>8月</v>
      </c>
      <c r="AF2" s="18" t="s">
        <v>12</v>
      </c>
      <c r="AG2" s="18" t="s">
        <v>12</v>
      </c>
      <c r="AH2" s="18" t="s">
        <v>12</v>
      </c>
      <c r="AI2" s="18" t="s">
        <v>13</v>
      </c>
      <c r="AJ2" s="18" t="str">
        <f t="shared" ref="AJ2:AN2" si="0">AI2</f>
        <v>10月</v>
      </c>
      <c r="AK2" s="18" t="str">
        <f t="shared" si="0"/>
        <v>10月</v>
      </c>
      <c r="AL2" s="18" t="s">
        <v>14</v>
      </c>
      <c r="AM2" s="18" t="str">
        <f t="shared" si="0"/>
        <v>11月</v>
      </c>
      <c r="AN2" s="18" t="str">
        <f t="shared" si="0"/>
        <v>11月</v>
      </c>
      <c r="AO2" s="18" t="s">
        <v>15</v>
      </c>
      <c r="AP2" s="18" t="str">
        <f>AO2</f>
        <v>12月</v>
      </c>
      <c r="AQ2" s="18" t="str">
        <f>AP2</f>
        <v>12月</v>
      </c>
    </row>
    <row r="3" spans="1:43" s="1" customFormat="1" ht="15" customHeight="1" x14ac:dyDescent="0.25">
      <c r="A3" s="16"/>
      <c r="B3" s="17"/>
      <c r="C3" s="17"/>
      <c r="D3" s="17"/>
      <c r="E3" s="20" t="s">
        <v>16</v>
      </c>
      <c r="F3" s="20" t="s">
        <v>17</v>
      </c>
      <c r="G3" s="20" t="s">
        <v>18</v>
      </c>
      <c r="H3" s="20" t="s">
        <v>16</v>
      </c>
      <c r="I3" s="20" t="s">
        <v>17</v>
      </c>
      <c r="J3" s="20" t="s">
        <v>18</v>
      </c>
      <c r="K3" s="20" t="s">
        <v>16</v>
      </c>
      <c r="L3" s="20" t="s">
        <v>17</v>
      </c>
      <c r="M3" s="20" t="s">
        <v>18</v>
      </c>
      <c r="N3" s="20" t="s">
        <v>16</v>
      </c>
      <c r="O3" s="20" t="s">
        <v>17</v>
      </c>
      <c r="P3" s="20" t="s">
        <v>18</v>
      </c>
      <c r="Q3" s="20" t="s">
        <v>16</v>
      </c>
      <c r="R3" s="20" t="s">
        <v>17</v>
      </c>
      <c r="S3" s="20" t="s">
        <v>18</v>
      </c>
      <c r="T3" s="20" t="s">
        <v>16</v>
      </c>
      <c r="U3" s="20" t="s">
        <v>17</v>
      </c>
      <c r="V3" s="20" t="s">
        <v>18</v>
      </c>
      <c r="W3" s="20" t="s">
        <v>16</v>
      </c>
      <c r="X3" s="20" t="s">
        <v>17</v>
      </c>
      <c r="Y3" s="20" t="s">
        <v>18</v>
      </c>
      <c r="Z3" s="20" t="s">
        <v>16</v>
      </c>
      <c r="AA3" s="20" t="s">
        <v>17</v>
      </c>
      <c r="AB3" s="20" t="s">
        <v>18</v>
      </c>
      <c r="AC3" s="20" t="s">
        <v>16</v>
      </c>
      <c r="AD3" s="20" t="s">
        <v>17</v>
      </c>
      <c r="AE3" s="20" t="s">
        <v>18</v>
      </c>
      <c r="AF3" s="20" t="s">
        <v>16</v>
      </c>
      <c r="AG3" s="20" t="s">
        <v>17</v>
      </c>
      <c r="AH3" s="20" t="s">
        <v>18</v>
      </c>
      <c r="AI3" s="20" t="s">
        <v>16</v>
      </c>
      <c r="AJ3" s="20" t="s">
        <v>17</v>
      </c>
      <c r="AK3" s="20" t="s">
        <v>18</v>
      </c>
      <c r="AL3" s="20" t="s">
        <v>16</v>
      </c>
      <c r="AM3" s="20" t="s">
        <v>17</v>
      </c>
      <c r="AN3" s="20" t="s">
        <v>18</v>
      </c>
      <c r="AO3" s="20" t="s">
        <v>16</v>
      </c>
      <c r="AP3" s="20" t="s">
        <v>17</v>
      </c>
      <c r="AQ3" s="20" t="s">
        <v>18</v>
      </c>
    </row>
    <row r="4" spans="1:43" s="2" customFormat="1" ht="15" customHeight="1" x14ac:dyDescent="0.25">
      <c r="A4" s="21">
        <v>1</v>
      </c>
      <c r="B4" s="22" t="s">
        <v>19</v>
      </c>
      <c r="C4" s="21" t="s">
        <v>20</v>
      </c>
      <c r="D4" s="44" t="s">
        <v>78</v>
      </c>
      <c r="E4" s="23">
        <f t="shared" ref="E4:G59" si="1">_xlfn.IFS($A$1=H$2,H4,$A$1=K$2,H4+K4,$A$1=N$2,H4+K4+N4,$A$1=Q$2,H4+K4+N4+Q4,$A$1=T$2,H4+K4+N4+Q4+T4,$A$1=W$2,H4+K4+N4+Q4+T4+W4,$A$1=Z$2,H4+K4+N4+Q4+T4+W4+Z4,$A$1=AC$2,H4+K4+N4+Q4+T4+W4+Z4+AC4,$A$1=AF$2,H4+K4+N4+Q4+T4+W4+Z4+AC4+AF4,$A$1=AI$2,H4+K4+N4+Q4+T4+W4+Z4+AC4+AF4+AI4,$A$1=AL$2,H4+K4+N4+Q4+T4+W4+Z4+AC4+AF4+AI4+AL4,$A$1=AO$2,H4+K4+N4+Q4+T4+W4+Z4+AC4+AF4+AI4+AL4+AO4)</f>
        <v>35705</v>
      </c>
      <c r="F4" s="23">
        <f t="shared" si="1"/>
        <v>31920</v>
      </c>
      <c r="G4" s="23">
        <f t="shared" si="1"/>
        <v>49407</v>
      </c>
      <c r="H4" s="24">
        <v>7814</v>
      </c>
      <c r="I4" s="39">
        <v>6439</v>
      </c>
      <c r="J4" s="24">
        <v>2338</v>
      </c>
      <c r="K4" s="24">
        <v>5351</v>
      </c>
      <c r="L4" s="24">
        <v>5542</v>
      </c>
      <c r="M4" s="24">
        <v>6886</v>
      </c>
      <c r="N4" s="24">
        <v>1054</v>
      </c>
      <c r="O4" s="24">
        <v>1210</v>
      </c>
      <c r="P4" s="24">
        <v>1738</v>
      </c>
      <c r="Q4" s="24">
        <v>2429</v>
      </c>
      <c r="R4" s="24">
        <v>3996</v>
      </c>
      <c r="S4" s="24">
        <v>8817</v>
      </c>
      <c r="T4" s="24">
        <v>873</v>
      </c>
      <c r="U4" s="24">
        <v>2835</v>
      </c>
      <c r="V4" s="24">
        <v>9756</v>
      </c>
      <c r="W4" s="24">
        <v>5225</v>
      </c>
      <c r="X4" s="24">
        <v>7102</v>
      </c>
      <c r="Y4" s="24">
        <v>9330</v>
      </c>
      <c r="Z4" s="24">
        <v>3063</v>
      </c>
      <c r="AA4" s="24">
        <v>3539</v>
      </c>
      <c r="AB4" s="24">
        <v>7819</v>
      </c>
      <c r="AC4" s="24">
        <v>9896</v>
      </c>
      <c r="AD4" s="24">
        <v>1257</v>
      </c>
      <c r="AE4" s="24">
        <v>2723</v>
      </c>
      <c r="AF4" s="24">
        <v>2176</v>
      </c>
      <c r="AG4" s="24">
        <v>4037</v>
      </c>
      <c r="AH4" s="24">
        <v>8854</v>
      </c>
      <c r="AI4" s="24">
        <v>4683</v>
      </c>
      <c r="AJ4" s="24">
        <v>9084</v>
      </c>
      <c r="AK4" s="24">
        <v>3832</v>
      </c>
      <c r="AL4" s="24">
        <v>360</v>
      </c>
      <c r="AM4" s="24">
        <v>7737</v>
      </c>
      <c r="AN4" s="24">
        <v>9238</v>
      </c>
      <c r="AO4" s="24">
        <v>1671</v>
      </c>
      <c r="AP4" s="24">
        <v>6030</v>
      </c>
      <c r="AQ4" s="24">
        <v>3787</v>
      </c>
    </row>
    <row r="5" spans="1:43" s="2" customFormat="1" ht="15" customHeight="1" x14ac:dyDescent="0.25">
      <c r="A5" s="21">
        <v>2</v>
      </c>
      <c r="B5" s="22" t="s">
        <v>21</v>
      </c>
      <c r="C5" s="21" t="s">
        <v>20</v>
      </c>
      <c r="D5" s="44" t="s">
        <v>78</v>
      </c>
      <c r="E5" s="23">
        <f t="shared" si="1"/>
        <v>25544</v>
      </c>
      <c r="F5" s="23">
        <f t="shared" si="1"/>
        <v>41255</v>
      </c>
      <c r="G5" s="23">
        <f t="shared" si="1"/>
        <v>39741</v>
      </c>
      <c r="H5" s="24">
        <v>6825</v>
      </c>
      <c r="I5" s="39">
        <v>5465</v>
      </c>
      <c r="J5" s="24">
        <v>9368</v>
      </c>
      <c r="K5" s="24">
        <v>1801</v>
      </c>
      <c r="L5" s="24">
        <v>1056</v>
      </c>
      <c r="M5" s="24">
        <v>3392</v>
      </c>
      <c r="N5" s="24">
        <v>7026</v>
      </c>
      <c r="O5" s="24">
        <v>8801</v>
      </c>
      <c r="P5" s="24">
        <v>5329</v>
      </c>
      <c r="Q5" s="24">
        <v>1608</v>
      </c>
      <c r="R5" s="24">
        <v>6400</v>
      </c>
      <c r="S5" s="24">
        <v>5850</v>
      </c>
      <c r="T5" s="24">
        <v>396</v>
      </c>
      <c r="U5" s="24">
        <v>4305</v>
      </c>
      <c r="V5" s="24">
        <v>509</v>
      </c>
      <c r="W5" s="24">
        <v>3912</v>
      </c>
      <c r="X5" s="24">
        <v>225</v>
      </c>
      <c r="Y5" s="24">
        <v>6161</v>
      </c>
      <c r="Z5" s="24">
        <v>1555</v>
      </c>
      <c r="AA5" s="24">
        <v>8786</v>
      </c>
      <c r="AB5" s="24">
        <v>5851</v>
      </c>
      <c r="AC5" s="24">
        <v>2421</v>
      </c>
      <c r="AD5" s="24">
        <v>6217</v>
      </c>
      <c r="AE5" s="24">
        <v>3281</v>
      </c>
      <c r="AF5" s="24">
        <v>6051</v>
      </c>
      <c r="AG5" s="24">
        <v>4423</v>
      </c>
      <c r="AH5" s="24">
        <v>5105</v>
      </c>
      <c r="AI5" s="24">
        <v>2942</v>
      </c>
      <c r="AJ5" s="24">
        <v>4162</v>
      </c>
      <c r="AK5" s="24">
        <v>6200</v>
      </c>
      <c r="AL5" s="24">
        <v>7228</v>
      </c>
      <c r="AM5" s="24">
        <v>1472</v>
      </c>
      <c r="AN5" s="24">
        <v>5986</v>
      </c>
      <c r="AO5" s="24">
        <v>7155</v>
      </c>
      <c r="AP5" s="24">
        <v>8279</v>
      </c>
      <c r="AQ5" s="24">
        <v>6561</v>
      </c>
    </row>
    <row r="6" spans="1:43" s="2" customFormat="1" ht="15" customHeight="1" x14ac:dyDescent="0.25">
      <c r="A6" s="21">
        <v>3</v>
      </c>
      <c r="B6" s="22" t="s">
        <v>22</v>
      </c>
      <c r="C6" s="21" t="s">
        <v>20</v>
      </c>
      <c r="D6" s="44" t="s">
        <v>78</v>
      </c>
      <c r="E6" s="23">
        <f t="shared" si="1"/>
        <v>59941</v>
      </c>
      <c r="F6" s="23">
        <f t="shared" si="1"/>
        <v>35781</v>
      </c>
      <c r="G6" s="23">
        <f t="shared" si="1"/>
        <v>50097</v>
      </c>
      <c r="H6" s="24">
        <v>9175</v>
      </c>
      <c r="I6" s="39">
        <v>3321</v>
      </c>
      <c r="J6" s="24">
        <v>6280</v>
      </c>
      <c r="K6" s="24">
        <v>9288</v>
      </c>
      <c r="L6" s="24">
        <v>5338</v>
      </c>
      <c r="M6" s="24">
        <v>6880</v>
      </c>
      <c r="N6" s="24">
        <v>328</v>
      </c>
      <c r="O6" s="24">
        <v>5700</v>
      </c>
      <c r="P6" s="24">
        <v>7761</v>
      </c>
      <c r="Q6" s="24">
        <v>5237</v>
      </c>
      <c r="R6" s="24">
        <v>2385</v>
      </c>
      <c r="S6" s="24">
        <v>4146</v>
      </c>
      <c r="T6" s="24">
        <v>7962</v>
      </c>
      <c r="U6" s="24">
        <v>3458</v>
      </c>
      <c r="V6" s="24">
        <v>4927</v>
      </c>
      <c r="W6" s="24">
        <v>8980</v>
      </c>
      <c r="X6" s="24">
        <v>6540</v>
      </c>
      <c r="Y6" s="24">
        <v>6093</v>
      </c>
      <c r="Z6" s="24">
        <v>9944</v>
      </c>
      <c r="AA6" s="24">
        <v>3388</v>
      </c>
      <c r="AB6" s="24">
        <v>4014</v>
      </c>
      <c r="AC6" s="24">
        <v>9027</v>
      </c>
      <c r="AD6" s="24">
        <v>5651</v>
      </c>
      <c r="AE6" s="24">
        <v>9996</v>
      </c>
      <c r="AF6" s="24">
        <v>5421</v>
      </c>
      <c r="AG6" s="24">
        <v>5721</v>
      </c>
      <c r="AH6" s="24">
        <v>2789</v>
      </c>
      <c r="AI6" s="24">
        <v>730</v>
      </c>
      <c r="AJ6" s="24">
        <v>9192</v>
      </c>
      <c r="AK6" s="24">
        <v>731</v>
      </c>
      <c r="AL6" s="24">
        <v>8774</v>
      </c>
      <c r="AM6" s="24">
        <v>8105</v>
      </c>
      <c r="AN6" s="24">
        <v>2161</v>
      </c>
      <c r="AO6" s="24">
        <v>669</v>
      </c>
      <c r="AP6" s="24">
        <v>8709</v>
      </c>
      <c r="AQ6" s="24">
        <v>441</v>
      </c>
    </row>
    <row r="7" spans="1:43" s="2" customFormat="1" ht="15" customHeight="1" x14ac:dyDescent="0.25">
      <c r="A7" s="21">
        <v>4</v>
      </c>
      <c r="B7" s="22" t="s">
        <v>23</v>
      </c>
      <c r="C7" s="21" t="s">
        <v>20</v>
      </c>
      <c r="D7" s="44" t="s">
        <v>78</v>
      </c>
      <c r="E7" s="23">
        <f t="shared" si="1"/>
        <v>34366</v>
      </c>
      <c r="F7" s="23">
        <f t="shared" si="1"/>
        <v>38348</v>
      </c>
      <c r="G7" s="23">
        <f t="shared" si="1"/>
        <v>37281</v>
      </c>
      <c r="H7" s="24">
        <v>4213</v>
      </c>
      <c r="I7" s="39">
        <v>2810</v>
      </c>
      <c r="J7" s="24">
        <v>8123</v>
      </c>
      <c r="K7" s="24">
        <v>4292</v>
      </c>
      <c r="L7" s="24">
        <v>901</v>
      </c>
      <c r="M7" s="24">
        <v>3201</v>
      </c>
      <c r="N7" s="24">
        <v>7482</v>
      </c>
      <c r="O7" s="24">
        <v>8651</v>
      </c>
      <c r="P7" s="24">
        <v>3240</v>
      </c>
      <c r="Q7" s="24">
        <v>2205</v>
      </c>
      <c r="R7" s="24">
        <v>5950</v>
      </c>
      <c r="S7" s="24">
        <v>6744</v>
      </c>
      <c r="T7" s="24">
        <v>5686</v>
      </c>
      <c r="U7" s="24">
        <v>4249</v>
      </c>
      <c r="V7" s="24">
        <v>3515</v>
      </c>
      <c r="W7" s="24">
        <v>5900</v>
      </c>
      <c r="X7" s="24">
        <v>4915</v>
      </c>
      <c r="Y7" s="24">
        <v>6107</v>
      </c>
      <c r="Z7" s="24">
        <v>3627</v>
      </c>
      <c r="AA7" s="24">
        <v>6690</v>
      </c>
      <c r="AB7" s="24">
        <v>4039</v>
      </c>
      <c r="AC7" s="24">
        <v>961</v>
      </c>
      <c r="AD7" s="24">
        <v>4182</v>
      </c>
      <c r="AE7" s="24">
        <v>2312</v>
      </c>
      <c r="AF7" s="24">
        <v>9502</v>
      </c>
      <c r="AG7" s="24">
        <v>554</v>
      </c>
      <c r="AH7" s="24">
        <v>8227</v>
      </c>
      <c r="AI7" s="24">
        <v>8066</v>
      </c>
      <c r="AJ7" s="24">
        <v>9167</v>
      </c>
      <c r="AK7" s="24">
        <v>4586</v>
      </c>
      <c r="AL7" s="24">
        <v>2856</v>
      </c>
      <c r="AM7" s="24">
        <v>3650</v>
      </c>
      <c r="AN7" s="24">
        <v>7082</v>
      </c>
      <c r="AO7" s="24">
        <v>1902</v>
      </c>
      <c r="AP7" s="24">
        <v>8678</v>
      </c>
      <c r="AQ7" s="24">
        <v>4124</v>
      </c>
    </row>
    <row r="8" spans="1:43" s="2" customFormat="1" ht="15" customHeight="1" x14ac:dyDescent="0.25">
      <c r="A8" s="21">
        <v>5</v>
      </c>
      <c r="B8" s="22" t="s">
        <v>24</v>
      </c>
      <c r="C8" s="21" t="s">
        <v>20</v>
      </c>
      <c r="D8" s="44" t="s">
        <v>78</v>
      </c>
      <c r="E8" s="23">
        <f t="shared" si="1"/>
        <v>37743</v>
      </c>
      <c r="F8" s="23">
        <f t="shared" si="1"/>
        <v>49254</v>
      </c>
      <c r="G8" s="23">
        <f t="shared" si="1"/>
        <v>24205</v>
      </c>
      <c r="H8" s="24">
        <v>6937</v>
      </c>
      <c r="I8" s="39">
        <v>5930</v>
      </c>
      <c r="J8" s="24">
        <v>2134</v>
      </c>
      <c r="K8" s="24">
        <v>5191</v>
      </c>
      <c r="L8" s="24">
        <v>8221</v>
      </c>
      <c r="M8" s="24">
        <v>3789</v>
      </c>
      <c r="N8" s="24">
        <v>8456</v>
      </c>
      <c r="O8" s="24">
        <v>9637</v>
      </c>
      <c r="P8" s="24">
        <v>2302</v>
      </c>
      <c r="Q8" s="24">
        <v>719</v>
      </c>
      <c r="R8" s="24">
        <v>6649</v>
      </c>
      <c r="S8" s="24">
        <v>2813</v>
      </c>
      <c r="T8" s="24">
        <v>1462</v>
      </c>
      <c r="U8" s="24">
        <v>645</v>
      </c>
      <c r="V8" s="24">
        <v>295</v>
      </c>
      <c r="W8" s="24">
        <v>8276</v>
      </c>
      <c r="X8" s="24">
        <v>3903</v>
      </c>
      <c r="Y8" s="24">
        <v>4453</v>
      </c>
      <c r="Z8" s="24">
        <v>1460</v>
      </c>
      <c r="AA8" s="24">
        <v>7691</v>
      </c>
      <c r="AB8" s="24">
        <v>924</v>
      </c>
      <c r="AC8" s="24">
        <v>5242</v>
      </c>
      <c r="AD8" s="24">
        <v>6578</v>
      </c>
      <c r="AE8" s="24">
        <v>7495</v>
      </c>
      <c r="AF8" s="24">
        <v>1065</v>
      </c>
      <c r="AG8" s="24">
        <v>6140</v>
      </c>
      <c r="AH8" s="24">
        <v>5140</v>
      </c>
      <c r="AI8" s="24">
        <v>6998</v>
      </c>
      <c r="AJ8" s="24">
        <v>9094</v>
      </c>
      <c r="AK8" s="24">
        <v>9290</v>
      </c>
      <c r="AL8" s="24">
        <v>8770</v>
      </c>
      <c r="AM8" s="24">
        <v>6479</v>
      </c>
      <c r="AN8" s="24">
        <v>7825</v>
      </c>
      <c r="AO8" s="24">
        <v>2957</v>
      </c>
      <c r="AP8" s="24">
        <v>9987</v>
      </c>
      <c r="AQ8" s="24">
        <v>2235</v>
      </c>
    </row>
    <row r="9" spans="1:43" s="2" customFormat="1" ht="15" customHeight="1" x14ac:dyDescent="0.25">
      <c r="A9" s="21">
        <v>6</v>
      </c>
      <c r="B9" s="22" t="s">
        <v>25</v>
      </c>
      <c r="C9" s="21" t="s">
        <v>20</v>
      </c>
      <c r="D9" s="21" t="s">
        <v>75</v>
      </c>
      <c r="E9" s="23">
        <f t="shared" si="1"/>
        <v>52611</v>
      </c>
      <c r="F9" s="23">
        <f t="shared" si="1"/>
        <v>43105</v>
      </c>
      <c r="G9" s="23">
        <f t="shared" si="1"/>
        <v>47055</v>
      </c>
      <c r="H9" s="24">
        <v>80</v>
      </c>
      <c r="I9" s="39">
        <v>1677</v>
      </c>
      <c r="J9" s="24">
        <v>7580</v>
      </c>
      <c r="K9" s="24">
        <v>9622</v>
      </c>
      <c r="L9" s="24">
        <v>477</v>
      </c>
      <c r="M9" s="24">
        <v>6152</v>
      </c>
      <c r="N9" s="24">
        <v>2179</v>
      </c>
      <c r="O9" s="24">
        <v>9876</v>
      </c>
      <c r="P9" s="24">
        <v>8905</v>
      </c>
      <c r="Q9" s="24">
        <v>9099</v>
      </c>
      <c r="R9" s="24">
        <v>9671</v>
      </c>
      <c r="S9" s="24">
        <v>3471</v>
      </c>
      <c r="T9" s="24">
        <v>9950</v>
      </c>
      <c r="U9" s="24">
        <v>3038</v>
      </c>
      <c r="V9" s="24">
        <v>4946</v>
      </c>
      <c r="W9" s="24">
        <v>7736</v>
      </c>
      <c r="X9" s="24">
        <v>5839</v>
      </c>
      <c r="Y9" s="24">
        <v>3489</v>
      </c>
      <c r="Z9" s="24">
        <v>8158</v>
      </c>
      <c r="AA9" s="24">
        <v>6227</v>
      </c>
      <c r="AB9" s="24">
        <v>4567</v>
      </c>
      <c r="AC9" s="24">
        <v>5787</v>
      </c>
      <c r="AD9" s="24">
        <v>6300</v>
      </c>
      <c r="AE9" s="24">
        <v>7945</v>
      </c>
      <c r="AF9" s="24">
        <v>9945</v>
      </c>
      <c r="AG9" s="24">
        <v>6336</v>
      </c>
      <c r="AH9" s="24">
        <v>2137</v>
      </c>
      <c r="AI9" s="24">
        <v>9111</v>
      </c>
      <c r="AJ9" s="24">
        <v>2183</v>
      </c>
      <c r="AK9" s="24">
        <v>2656</v>
      </c>
      <c r="AL9" s="24">
        <v>9807</v>
      </c>
      <c r="AM9" s="24">
        <v>8285</v>
      </c>
      <c r="AN9" s="24">
        <v>6512</v>
      </c>
      <c r="AO9" s="24">
        <v>5019</v>
      </c>
      <c r="AP9" s="24">
        <v>6632</v>
      </c>
      <c r="AQ9" s="24">
        <v>6943</v>
      </c>
    </row>
    <row r="10" spans="1:43" s="2" customFormat="1" ht="15" customHeight="1" x14ac:dyDescent="0.25">
      <c r="A10" s="21">
        <v>7</v>
      </c>
      <c r="B10" s="22" t="s">
        <v>26</v>
      </c>
      <c r="C10" s="21"/>
      <c r="D10" s="21"/>
      <c r="E10" s="23">
        <f t="shared" si="1"/>
        <v>-14868</v>
      </c>
      <c r="F10" s="23">
        <f t="shared" si="1"/>
        <v>6149</v>
      </c>
      <c r="G10" s="23">
        <f t="shared" si="1"/>
        <v>-22850</v>
      </c>
      <c r="H10" s="24">
        <f>H8-H9</f>
        <v>6857</v>
      </c>
      <c r="I10" s="24">
        <f t="shared" ref="I10:AQ10" si="2">I8-I9</f>
        <v>4253</v>
      </c>
      <c r="J10" s="24">
        <f t="shared" si="2"/>
        <v>-5446</v>
      </c>
      <c r="K10" s="24">
        <f t="shared" si="2"/>
        <v>-4431</v>
      </c>
      <c r="L10" s="24">
        <f t="shared" si="2"/>
        <v>7744</v>
      </c>
      <c r="M10" s="24">
        <f t="shared" si="2"/>
        <v>-2363</v>
      </c>
      <c r="N10" s="24">
        <f t="shared" si="2"/>
        <v>6277</v>
      </c>
      <c r="O10" s="24">
        <f t="shared" si="2"/>
        <v>-239</v>
      </c>
      <c r="P10" s="24">
        <f t="shared" si="2"/>
        <v>-6603</v>
      </c>
      <c r="Q10" s="24">
        <f t="shared" si="2"/>
        <v>-8380</v>
      </c>
      <c r="R10" s="24">
        <f t="shared" si="2"/>
        <v>-3022</v>
      </c>
      <c r="S10" s="24">
        <f t="shared" si="2"/>
        <v>-658</v>
      </c>
      <c r="T10" s="24">
        <f t="shared" si="2"/>
        <v>-8488</v>
      </c>
      <c r="U10" s="24">
        <f t="shared" si="2"/>
        <v>-2393</v>
      </c>
      <c r="V10" s="24">
        <f t="shared" si="2"/>
        <v>-4651</v>
      </c>
      <c r="W10" s="24">
        <f t="shared" si="2"/>
        <v>540</v>
      </c>
      <c r="X10" s="24">
        <f t="shared" si="2"/>
        <v>-1936</v>
      </c>
      <c r="Y10" s="24">
        <f t="shared" si="2"/>
        <v>964</v>
      </c>
      <c r="Z10" s="24">
        <f t="shared" si="2"/>
        <v>-6698</v>
      </c>
      <c r="AA10" s="24">
        <f t="shared" si="2"/>
        <v>1464</v>
      </c>
      <c r="AB10" s="24">
        <f t="shared" si="2"/>
        <v>-3643</v>
      </c>
      <c r="AC10" s="24">
        <f t="shared" si="2"/>
        <v>-545</v>
      </c>
      <c r="AD10" s="24">
        <f t="shared" si="2"/>
        <v>278</v>
      </c>
      <c r="AE10" s="24">
        <f t="shared" si="2"/>
        <v>-450</v>
      </c>
      <c r="AF10" s="24">
        <f t="shared" si="2"/>
        <v>-8880</v>
      </c>
      <c r="AG10" s="24">
        <f t="shared" si="2"/>
        <v>-196</v>
      </c>
      <c r="AH10" s="24">
        <f t="shared" si="2"/>
        <v>3003</v>
      </c>
      <c r="AI10" s="24">
        <f t="shared" si="2"/>
        <v>-2113</v>
      </c>
      <c r="AJ10" s="24">
        <f t="shared" si="2"/>
        <v>6911</v>
      </c>
      <c r="AK10" s="24">
        <f t="shared" si="2"/>
        <v>6634</v>
      </c>
      <c r="AL10" s="24">
        <f t="shared" si="2"/>
        <v>-1037</v>
      </c>
      <c r="AM10" s="24">
        <f t="shared" si="2"/>
        <v>-1806</v>
      </c>
      <c r="AN10" s="24">
        <f t="shared" si="2"/>
        <v>1313</v>
      </c>
      <c r="AO10" s="24">
        <f t="shared" si="2"/>
        <v>-2062</v>
      </c>
      <c r="AP10" s="24">
        <f t="shared" si="2"/>
        <v>3355</v>
      </c>
      <c r="AQ10" s="24">
        <f t="shared" si="2"/>
        <v>-4708</v>
      </c>
    </row>
    <row r="11" spans="1:43" s="3" customFormat="1" ht="15" customHeight="1" x14ac:dyDescent="0.25">
      <c r="A11" s="21">
        <v>8</v>
      </c>
      <c r="B11" s="25" t="s">
        <v>27</v>
      </c>
      <c r="C11" s="25"/>
      <c r="D11" s="25"/>
      <c r="E11" s="26">
        <f t="shared" si="1"/>
        <v>140688</v>
      </c>
      <c r="F11" s="26">
        <f t="shared" si="1"/>
        <v>153453</v>
      </c>
      <c r="G11" s="26">
        <f t="shared" si="1"/>
        <v>153676</v>
      </c>
      <c r="H11" s="27">
        <f t="shared" ref="H11:AQ11" si="3">SUM(H4:H7)+H10</f>
        <v>34884</v>
      </c>
      <c r="I11" s="27">
        <f t="shared" si="3"/>
        <v>22288</v>
      </c>
      <c r="J11" s="27">
        <f t="shared" si="3"/>
        <v>20663</v>
      </c>
      <c r="K11" s="27">
        <f t="shared" si="3"/>
        <v>16301</v>
      </c>
      <c r="L11" s="27">
        <f t="shared" si="3"/>
        <v>20581</v>
      </c>
      <c r="M11" s="27">
        <f t="shared" si="3"/>
        <v>17996</v>
      </c>
      <c r="N11" s="27">
        <f t="shared" si="3"/>
        <v>22167</v>
      </c>
      <c r="O11" s="27">
        <f t="shared" si="3"/>
        <v>24123</v>
      </c>
      <c r="P11" s="27">
        <f t="shared" si="3"/>
        <v>11465</v>
      </c>
      <c r="Q11" s="27">
        <f t="shared" si="3"/>
        <v>3099</v>
      </c>
      <c r="R11" s="27">
        <f t="shared" si="3"/>
        <v>15709</v>
      </c>
      <c r="S11" s="27">
        <f t="shared" si="3"/>
        <v>24899</v>
      </c>
      <c r="T11" s="27">
        <f t="shared" si="3"/>
        <v>6429</v>
      </c>
      <c r="U11" s="27">
        <f t="shared" si="3"/>
        <v>12454</v>
      </c>
      <c r="V11" s="27">
        <f t="shared" si="3"/>
        <v>14056</v>
      </c>
      <c r="W11" s="27">
        <f t="shared" si="3"/>
        <v>24557</v>
      </c>
      <c r="X11" s="27">
        <f t="shared" si="3"/>
        <v>16846</v>
      </c>
      <c r="Y11" s="27">
        <f t="shared" si="3"/>
        <v>28655</v>
      </c>
      <c r="Z11" s="27">
        <f t="shared" si="3"/>
        <v>11491</v>
      </c>
      <c r="AA11" s="27">
        <f t="shared" si="3"/>
        <v>23867</v>
      </c>
      <c r="AB11" s="27">
        <f t="shared" si="3"/>
        <v>18080</v>
      </c>
      <c r="AC11" s="27">
        <f t="shared" si="3"/>
        <v>21760</v>
      </c>
      <c r="AD11" s="27">
        <f t="shared" si="3"/>
        <v>17585</v>
      </c>
      <c r="AE11" s="27">
        <f t="shared" si="3"/>
        <v>17862</v>
      </c>
      <c r="AF11" s="27">
        <f t="shared" si="3"/>
        <v>14270</v>
      </c>
      <c r="AG11" s="27">
        <f t="shared" si="3"/>
        <v>14539</v>
      </c>
      <c r="AH11" s="27">
        <f t="shared" si="3"/>
        <v>27978</v>
      </c>
      <c r="AI11" s="27">
        <f t="shared" si="3"/>
        <v>14308</v>
      </c>
      <c r="AJ11" s="27">
        <f t="shared" si="3"/>
        <v>38516</v>
      </c>
      <c r="AK11" s="27">
        <f t="shared" si="3"/>
        <v>21983</v>
      </c>
      <c r="AL11" s="27">
        <f t="shared" si="3"/>
        <v>18181</v>
      </c>
      <c r="AM11" s="27">
        <f t="shared" si="3"/>
        <v>19158</v>
      </c>
      <c r="AN11" s="27">
        <f t="shared" si="3"/>
        <v>25780</v>
      </c>
      <c r="AO11" s="27">
        <f t="shared" si="3"/>
        <v>9335</v>
      </c>
      <c r="AP11" s="27">
        <f t="shared" si="3"/>
        <v>35051</v>
      </c>
      <c r="AQ11" s="27">
        <f t="shared" si="3"/>
        <v>10205</v>
      </c>
    </row>
    <row r="12" spans="1:43" s="2" customFormat="1" ht="15" customHeight="1" x14ac:dyDescent="0.25">
      <c r="A12" s="21">
        <v>9</v>
      </c>
      <c r="B12" s="22" t="s">
        <v>28</v>
      </c>
      <c r="C12" s="44" t="s">
        <v>77</v>
      </c>
      <c r="D12" s="21" t="s">
        <v>75</v>
      </c>
      <c r="E12" s="23">
        <f t="shared" si="1"/>
        <v>39266</v>
      </c>
      <c r="F12" s="23">
        <f t="shared" si="1"/>
        <v>62505</v>
      </c>
      <c r="G12" s="23">
        <f t="shared" si="1"/>
        <v>41655</v>
      </c>
      <c r="H12" s="24">
        <v>6085</v>
      </c>
      <c r="I12" s="39">
        <v>6436</v>
      </c>
      <c r="J12" s="24">
        <v>6739</v>
      </c>
      <c r="K12" s="24">
        <v>1248</v>
      </c>
      <c r="L12" s="24">
        <v>5840</v>
      </c>
      <c r="M12" s="24">
        <v>4364</v>
      </c>
      <c r="N12" s="24">
        <v>8860</v>
      </c>
      <c r="O12" s="24">
        <v>7721</v>
      </c>
      <c r="P12" s="24">
        <v>7040</v>
      </c>
      <c r="Q12" s="24">
        <v>2146</v>
      </c>
      <c r="R12" s="24">
        <v>6709</v>
      </c>
      <c r="S12" s="24">
        <v>6367</v>
      </c>
      <c r="T12" s="24">
        <v>6367</v>
      </c>
      <c r="U12" s="24">
        <v>9833</v>
      </c>
      <c r="V12" s="24">
        <v>2944</v>
      </c>
      <c r="W12" s="24">
        <v>6714</v>
      </c>
      <c r="X12" s="24">
        <v>8727</v>
      </c>
      <c r="Y12" s="24">
        <v>6018</v>
      </c>
      <c r="Z12" s="24">
        <v>356</v>
      </c>
      <c r="AA12" s="24">
        <v>7727</v>
      </c>
      <c r="AB12" s="24">
        <v>3267</v>
      </c>
      <c r="AC12" s="24">
        <v>7490</v>
      </c>
      <c r="AD12" s="24">
        <v>9512</v>
      </c>
      <c r="AE12" s="24">
        <v>4916</v>
      </c>
      <c r="AF12" s="24">
        <v>2717</v>
      </c>
      <c r="AG12" s="24">
        <v>8697</v>
      </c>
      <c r="AH12" s="24">
        <v>4955</v>
      </c>
      <c r="AI12" s="24">
        <v>1375</v>
      </c>
      <c r="AJ12" s="24">
        <v>8465</v>
      </c>
      <c r="AK12" s="24">
        <v>5968</v>
      </c>
      <c r="AL12" s="24">
        <v>1818</v>
      </c>
      <c r="AM12" s="24">
        <v>8803</v>
      </c>
      <c r="AN12" s="24">
        <v>727</v>
      </c>
      <c r="AO12" s="24">
        <v>989</v>
      </c>
      <c r="AP12" s="24">
        <v>3467</v>
      </c>
      <c r="AQ12" s="24">
        <v>3929</v>
      </c>
    </row>
    <row r="13" spans="1:43" s="2" customFormat="1" ht="15" customHeight="1" x14ac:dyDescent="0.25">
      <c r="A13" s="21">
        <v>10</v>
      </c>
      <c r="B13" s="22" t="s">
        <v>29</v>
      </c>
      <c r="C13" s="44" t="s">
        <v>77</v>
      </c>
      <c r="D13" s="21" t="s">
        <v>75</v>
      </c>
      <c r="E13" s="23">
        <f t="shared" si="1"/>
        <v>40478</v>
      </c>
      <c r="F13" s="23">
        <f t="shared" si="1"/>
        <v>22444</v>
      </c>
      <c r="G13" s="23">
        <f t="shared" si="1"/>
        <v>31947</v>
      </c>
      <c r="H13" s="24">
        <v>1639</v>
      </c>
      <c r="I13" s="39">
        <v>482</v>
      </c>
      <c r="J13" s="24">
        <v>5716</v>
      </c>
      <c r="K13" s="24">
        <v>6490</v>
      </c>
      <c r="L13" s="24">
        <v>1238</v>
      </c>
      <c r="M13" s="24">
        <v>2340</v>
      </c>
      <c r="N13" s="24">
        <v>4252</v>
      </c>
      <c r="O13" s="24">
        <v>7194</v>
      </c>
      <c r="P13" s="24">
        <v>1454</v>
      </c>
      <c r="Q13" s="24">
        <v>518</v>
      </c>
      <c r="R13" s="24">
        <v>2751</v>
      </c>
      <c r="S13" s="24">
        <v>7074</v>
      </c>
      <c r="T13" s="24">
        <v>458</v>
      </c>
      <c r="U13" s="24">
        <v>3142</v>
      </c>
      <c r="V13" s="24">
        <v>1592</v>
      </c>
      <c r="W13" s="24">
        <v>9899</v>
      </c>
      <c r="X13" s="24">
        <v>490</v>
      </c>
      <c r="Y13" s="24">
        <v>5224</v>
      </c>
      <c r="Z13" s="24">
        <v>7517</v>
      </c>
      <c r="AA13" s="24">
        <v>3515</v>
      </c>
      <c r="AB13" s="24">
        <v>4619</v>
      </c>
      <c r="AC13" s="24">
        <v>9705</v>
      </c>
      <c r="AD13" s="24">
        <v>3632</v>
      </c>
      <c r="AE13" s="24">
        <v>3928</v>
      </c>
      <c r="AF13" s="24">
        <v>1479</v>
      </c>
      <c r="AG13" s="24">
        <v>4662</v>
      </c>
      <c r="AH13" s="24">
        <v>5517</v>
      </c>
      <c r="AI13" s="24">
        <v>4062</v>
      </c>
      <c r="AJ13" s="24">
        <v>1976</v>
      </c>
      <c r="AK13" s="24">
        <v>3490</v>
      </c>
      <c r="AL13" s="24">
        <v>2446</v>
      </c>
      <c r="AM13" s="24">
        <v>5648</v>
      </c>
      <c r="AN13" s="24">
        <v>7056</v>
      </c>
      <c r="AO13" s="24">
        <v>9174</v>
      </c>
      <c r="AP13" s="24">
        <v>8885</v>
      </c>
      <c r="AQ13" s="24">
        <v>4683</v>
      </c>
    </row>
    <row r="14" spans="1:43" s="2" customFormat="1" ht="15" customHeight="1" x14ac:dyDescent="0.25">
      <c r="A14" s="21">
        <v>11</v>
      </c>
      <c r="B14" s="22" t="s">
        <v>30</v>
      </c>
      <c r="C14" s="44" t="s">
        <v>77</v>
      </c>
      <c r="D14" s="21" t="s">
        <v>75</v>
      </c>
      <c r="E14" s="23">
        <f t="shared" si="1"/>
        <v>21712</v>
      </c>
      <c r="F14" s="23">
        <f t="shared" si="1"/>
        <v>39387</v>
      </c>
      <c r="G14" s="23">
        <f t="shared" si="1"/>
        <v>45540</v>
      </c>
      <c r="H14" s="24">
        <v>1207</v>
      </c>
      <c r="I14" s="39">
        <v>4096</v>
      </c>
      <c r="J14" s="24">
        <v>8545</v>
      </c>
      <c r="K14" s="24">
        <v>1035</v>
      </c>
      <c r="L14" s="24">
        <v>9585</v>
      </c>
      <c r="M14" s="24">
        <v>6564</v>
      </c>
      <c r="N14" s="24">
        <v>7828</v>
      </c>
      <c r="O14" s="24">
        <v>3514</v>
      </c>
      <c r="P14" s="24">
        <v>6540</v>
      </c>
      <c r="Q14" s="24">
        <v>2130</v>
      </c>
      <c r="R14" s="24">
        <v>5602</v>
      </c>
      <c r="S14" s="24">
        <v>5384</v>
      </c>
      <c r="T14" s="24">
        <v>1427</v>
      </c>
      <c r="U14" s="24">
        <v>1162</v>
      </c>
      <c r="V14" s="24">
        <v>6514</v>
      </c>
      <c r="W14" s="24">
        <v>230</v>
      </c>
      <c r="X14" s="24">
        <v>4359</v>
      </c>
      <c r="Y14" s="24">
        <v>503</v>
      </c>
      <c r="Z14" s="24">
        <v>1601</v>
      </c>
      <c r="AA14" s="24">
        <v>1904</v>
      </c>
      <c r="AB14" s="24">
        <v>6629</v>
      </c>
      <c r="AC14" s="24">
        <v>6254</v>
      </c>
      <c r="AD14" s="24">
        <v>9165</v>
      </c>
      <c r="AE14" s="24">
        <v>4861</v>
      </c>
      <c r="AF14" s="24">
        <v>1929</v>
      </c>
      <c r="AG14" s="24">
        <v>7410</v>
      </c>
      <c r="AH14" s="24">
        <v>6713</v>
      </c>
      <c r="AI14" s="24">
        <v>2610</v>
      </c>
      <c r="AJ14" s="24">
        <v>9673</v>
      </c>
      <c r="AK14" s="24">
        <v>4364</v>
      </c>
      <c r="AL14" s="24">
        <v>1754</v>
      </c>
      <c r="AM14" s="24">
        <v>8111</v>
      </c>
      <c r="AN14" s="24">
        <v>3929</v>
      </c>
      <c r="AO14" s="24">
        <v>8297</v>
      </c>
      <c r="AP14" s="24">
        <v>4055</v>
      </c>
      <c r="AQ14" s="24">
        <v>4832</v>
      </c>
    </row>
    <row r="15" spans="1:43" s="2" customFormat="1" ht="15" customHeight="1" x14ac:dyDescent="0.25">
      <c r="A15" s="21">
        <v>12</v>
      </c>
      <c r="B15" s="22" t="s">
        <v>31</v>
      </c>
      <c r="C15" s="44" t="s">
        <v>77</v>
      </c>
      <c r="D15" s="21" t="s">
        <v>75</v>
      </c>
      <c r="E15" s="23">
        <f t="shared" si="1"/>
        <v>45568</v>
      </c>
      <c r="F15" s="23">
        <f t="shared" si="1"/>
        <v>32199</v>
      </c>
      <c r="G15" s="23">
        <f t="shared" si="1"/>
        <v>16992</v>
      </c>
      <c r="H15" s="24">
        <v>3141</v>
      </c>
      <c r="I15" s="39">
        <v>8219</v>
      </c>
      <c r="J15" s="24">
        <v>635</v>
      </c>
      <c r="K15" s="24">
        <v>7295</v>
      </c>
      <c r="L15" s="24">
        <v>9231</v>
      </c>
      <c r="M15" s="24">
        <v>8263</v>
      </c>
      <c r="N15" s="24">
        <v>2357</v>
      </c>
      <c r="O15" s="24">
        <v>194</v>
      </c>
      <c r="P15" s="24">
        <v>1950</v>
      </c>
      <c r="Q15" s="24">
        <v>2254</v>
      </c>
      <c r="R15" s="24">
        <v>2402</v>
      </c>
      <c r="S15" s="24">
        <v>638</v>
      </c>
      <c r="T15" s="24">
        <v>9806</v>
      </c>
      <c r="U15" s="24">
        <v>5892</v>
      </c>
      <c r="V15" s="24">
        <v>1648</v>
      </c>
      <c r="W15" s="24">
        <v>9414</v>
      </c>
      <c r="X15" s="24">
        <v>2837</v>
      </c>
      <c r="Y15" s="24">
        <v>783</v>
      </c>
      <c r="Z15" s="24">
        <v>7838</v>
      </c>
      <c r="AA15" s="24">
        <v>2903</v>
      </c>
      <c r="AB15" s="24">
        <v>2306</v>
      </c>
      <c r="AC15" s="24">
        <v>3463</v>
      </c>
      <c r="AD15" s="24">
        <v>521</v>
      </c>
      <c r="AE15" s="24">
        <v>769</v>
      </c>
      <c r="AF15" s="24">
        <v>1548</v>
      </c>
      <c r="AG15" s="24">
        <v>2155</v>
      </c>
      <c r="AH15" s="24">
        <v>200</v>
      </c>
      <c r="AI15" s="24">
        <v>3330</v>
      </c>
      <c r="AJ15" s="24">
        <v>5984</v>
      </c>
      <c r="AK15" s="24">
        <v>2442</v>
      </c>
      <c r="AL15" s="24">
        <v>3774</v>
      </c>
      <c r="AM15" s="24">
        <v>9022</v>
      </c>
      <c r="AN15" s="24">
        <v>8541</v>
      </c>
      <c r="AO15" s="24">
        <v>6623</v>
      </c>
      <c r="AP15" s="24">
        <v>2485</v>
      </c>
      <c r="AQ15" s="24">
        <v>4777</v>
      </c>
    </row>
    <row r="16" spans="1:43" s="2" customFormat="1" ht="15" customHeight="1" x14ac:dyDescent="0.25">
      <c r="A16" s="21">
        <v>13</v>
      </c>
      <c r="B16" s="22" t="s">
        <v>32</v>
      </c>
      <c r="C16" s="44" t="s">
        <v>77</v>
      </c>
      <c r="D16" s="21" t="s">
        <v>75</v>
      </c>
      <c r="E16" s="23">
        <f t="shared" si="1"/>
        <v>45185</v>
      </c>
      <c r="F16" s="23">
        <f t="shared" si="1"/>
        <v>29765</v>
      </c>
      <c r="G16" s="23">
        <f t="shared" si="1"/>
        <v>27594</v>
      </c>
      <c r="H16" s="24">
        <v>6009</v>
      </c>
      <c r="I16" s="39">
        <v>1589</v>
      </c>
      <c r="J16" s="24">
        <v>3036</v>
      </c>
      <c r="K16" s="24">
        <v>5341</v>
      </c>
      <c r="L16" s="24">
        <v>135</v>
      </c>
      <c r="M16" s="24">
        <v>933</v>
      </c>
      <c r="N16" s="24">
        <v>8604</v>
      </c>
      <c r="O16" s="24">
        <v>2859</v>
      </c>
      <c r="P16" s="24">
        <v>8948</v>
      </c>
      <c r="Q16" s="24">
        <v>3923</v>
      </c>
      <c r="R16" s="24">
        <v>7868</v>
      </c>
      <c r="S16" s="24">
        <v>116</v>
      </c>
      <c r="T16" s="24">
        <v>7976</v>
      </c>
      <c r="U16" s="24">
        <v>3388</v>
      </c>
      <c r="V16" s="24">
        <v>5809</v>
      </c>
      <c r="W16" s="24">
        <v>7930</v>
      </c>
      <c r="X16" s="24">
        <v>330</v>
      </c>
      <c r="Y16" s="24">
        <v>2068</v>
      </c>
      <c r="Z16" s="24">
        <v>1682</v>
      </c>
      <c r="AA16" s="24">
        <v>9028</v>
      </c>
      <c r="AB16" s="24">
        <v>1014</v>
      </c>
      <c r="AC16" s="24">
        <v>3720</v>
      </c>
      <c r="AD16" s="24">
        <v>4568</v>
      </c>
      <c r="AE16" s="24">
        <v>5670</v>
      </c>
      <c r="AF16" s="24">
        <v>1522</v>
      </c>
      <c r="AG16" s="24">
        <v>6516</v>
      </c>
      <c r="AH16" s="24">
        <v>4347</v>
      </c>
      <c r="AI16" s="24">
        <v>7928</v>
      </c>
      <c r="AJ16" s="24">
        <v>8353</v>
      </c>
      <c r="AK16" s="24">
        <v>5516</v>
      </c>
      <c r="AL16" s="24">
        <v>6028</v>
      </c>
      <c r="AM16" s="24">
        <v>2462</v>
      </c>
      <c r="AN16" s="24">
        <v>778</v>
      </c>
      <c r="AO16" s="24">
        <v>8182</v>
      </c>
      <c r="AP16" s="24">
        <v>9367</v>
      </c>
      <c r="AQ16" s="24">
        <v>6864</v>
      </c>
    </row>
    <row r="17" spans="1:43" s="2" customFormat="1" ht="15" customHeight="1" x14ac:dyDescent="0.25">
      <c r="A17" s="21">
        <v>14</v>
      </c>
      <c r="B17" s="22" t="s">
        <v>33</v>
      </c>
      <c r="C17" s="44" t="s">
        <v>77</v>
      </c>
      <c r="D17" s="21" t="s">
        <v>75</v>
      </c>
      <c r="E17" s="23">
        <f t="shared" si="1"/>
        <v>46411</v>
      </c>
      <c r="F17" s="23">
        <f t="shared" si="1"/>
        <v>34769</v>
      </c>
      <c r="G17" s="23">
        <f t="shared" si="1"/>
        <v>29685</v>
      </c>
      <c r="H17" s="24">
        <v>8154</v>
      </c>
      <c r="I17" s="39">
        <v>6595</v>
      </c>
      <c r="J17" s="24">
        <v>2093</v>
      </c>
      <c r="K17" s="24">
        <v>8030</v>
      </c>
      <c r="L17" s="24">
        <v>4516</v>
      </c>
      <c r="M17" s="24">
        <v>977</v>
      </c>
      <c r="N17" s="24">
        <v>9906</v>
      </c>
      <c r="O17" s="24">
        <v>8589</v>
      </c>
      <c r="P17" s="24">
        <v>129</v>
      </c>
      <c r="Q17" s="24">
        <v>204</v>
      </c>
      <c r="R17" s="24">
        <v>4610</v>
      </c>
      <c r="S17" s="24">
        <v>4070</v>
      </c>
      <c r="T17" s="24">
        <v>200</v>
      </c>
      <c r="U17" s="24">
        <v>146</v>
      </c>
      <c r="V17" s="24">
        <v>4064</v>
      </c>
      <c r="W17" s="24">
        <v>9127</v>
      </c>
      <c r="X17" s="24">
        <v>5460</v>
      </c>
      <c r="Y17" s="24">
        <v>8491</v>
      </c>
      <c r="Z17" s="24">
        <v>8248</v>
      </c>
      <c r="AA17" s="24">
        <v>1893</v>
      </c>
      <c r="AB17" s="24">
        <v>3045</v>
      </c>
      <c r="AC17" s="24">
        <v>2542</v>
      </c>
      <c r="AD17" s="24">
        <v>2960</v>
      </c>
      <c r="AE17" s="24">
        <v>6816</v>
      </c>
      <c r="AF17" s="24">
        <v>8312</v>
      </c>
      <c r="AG17" s="24">
        <v>5707</v>
      </c>
      <c r="AH17" s="24">
        <v>8263</v>
      </c>
      <c r="AI17" s="24">
        <v>2132</v>
      </c>
      <c r="AJ17" s="24">
        <v>7261</v>
      </c>
      <c r="AK17" s="24">
        <v>6731</v>
      </c>
      <c r="AL17" s="24">
        <v>5590</v>
      </c>
      <c r="AM17" s="24">
        <v>1049</v>
      </c>
      <c r="AN17" s="24">
        <v>6427</v>
      </c>
      <c r="AO17" s="24">
        <v>8953</v>
      </c>
      <c r="AP17" s="24">
        <v>9218</v>
      </c>
      <c r="AQ17" s="24">
        <v>940</v>
      </c>
    </row>
    <row r="18" spans="1:43" s="2" customFormat="1" ht="15" customHeight="1" x14ac:dyDescent="0.25">
      <c r="A18" s="21">
        <v>15</v>
      </c>
      <c r="B18" s="22" t="s">
        <v>34</v>
      </c>
      <c r="C18" s="44" t="s">
        <v>77</v>
      </c>
      <c r="D18" s="21" t="s">
        <v>75</v>
      </c>
      <c r="E18" s="23">
        <f t="shared" si="1"/>
        <v>46093</v>
      </c>
      <c r="F18" s="23">
        <f t="shared" si="1"/>
        <v>40560</v>
      </c>
      <c r="G18" s="23">
        <f t="shared" si="1"/>
        <v>39537</v>
      </c>
      <c r="H18" s="24">
        <v>7648</v>
      </c>
      <c r="I18" s="39">
        <v>2503</v>
      </c>
      <c r="J18" s="24">
        <v>7919</v>
      </c>
      <c r="K18" s="24">
        <v>761</v>
      </c>
      <c r="L18" s="24">
        <v>4004</v>
      </c>
      <c r="M18" s="24">
        <v>2441</v>
      </c>
      <c r="N18" s="24">
        <v>1970</v>
      </c>
      <c r="O18" s="24">
        <v>753</v>
      </c>
      <c r="P18" s="24">
        <v>3176</v>
      </c>
      <c r="Q18" s="24">
        <v>9295</v>
      </c>
      <c r="R18" s="24">
        <v>6333</v>
      </c>
      <c r="S18" s="40">
        <v>6957</v>
      </c>
      <c r="T18" s="24">
        <v>9227</v>
      </c>
      <c r="U18" s="24">
        <v>4868</v>
      </c>
      <c r="V18" s="40">
        <v>5244</v>
      </c>
      <c r="W18" s="24">
        <v>2639</v>
      </c>
      <c r="X18" s="24">
        <v>3307</v>
      </c>
      <c r="Y18" s="40">
        <v>5781</v>
      </c>
      <c r="Z18" s="24">
        <v>6203</v>
      </c>
      <c r="AA18" s="24">
        <v>9507</v>
      </c>
      <c r="AB18" s="40">
        <v>6142</v>
      </c>
      <c r="AC18" s="24">
        <v>8350</v>
      </c>
      <c r="AD18" s="24">
        <v>9285</v>
      </c>
      <c r="AE18" s="24">
        <v>1877</v>
      </c>
      <c r="AF18" s="24">
        <v>805</v>
      </c>
      <c r="AG18" s="24">
        <v>7473</v>
      </c>
      <c r="AH18" s="24">
        <v>7164</v>
      </c>
      <c r="AI18" s="24">
        <v>1841</v>
      </c>
      <c r="AJ18" s="24">
        <v>1992</v>
      </c>
      <c r="AK18" s="24">
        <v>7843</v>
      </c>
      <c r="AL18" s="24">
        <v>9902</v>
      </c>
      <c r="AM18" s="24">
        <v>7192</v>
      </c>
      <c r="AN18" s="24">
        <v>1706</v>
      </c>
      <c r="AO18" s="24">
        <v>2508</v>
      </c>
      <c r="AP18" s="24">
        <v>1186</v>
      </c>
      <c r="AQ18" s="24">
        <v>6569</v>
      </c>
    </row>
    <row r="19" spans="1:43" s="2" customFormat="1" ht="15" customHeight="1" x14ac:dyDescent="0.25">
      <c r="A19" s="21">
        <v>16</v>
      </c>
      <c r="B19" s="22" t="s">
        <v>35</v>
      </c>
      <c r="C19" s="44" t="s">
        <v>77</v>
      </c>
      <c r="D19" s="21" t="s">
        <v>79</v>
      </c>
      <c r="E19" s="23">
        <f t="shared" si="1"/>
        <v>28280</v>
      </c>
      <c r="F19" s="23">
        <f t="shared" si="1"/>
        <v>47519</v>
      </c>
      <c r="G19" s="23">
        <f t="shared" si="1"/>
        <v>41013</v>
      </c>
      <c r="H19" s="24">
        <v>459</v>
      </c>
      <c r="I19" s="39">
        <v>6755</v>
      </c>
      <c r="J19" s="24">
        <v>3013</v>
      </c>
      <c r="K19" s="24">
        <v>5143</v>
      </c>
      <c r="L19" s="24">
        <v>5207</v>
      </c>
      <c r="M19" s="24">
        <v>6054</v>
      </c>
      <c r="N19" s="24">
        <v>4588</v>
      </c>
      <c r="O19" s="24">
        <v>7454</v>
      </c>
      <c r="P19" s="24">
        <v>4977</v>
      </c>
      <c r="Q19" s="24">
        <v>1531</v>
      </c>
      <c r="R19" s="24">
        <v>9555</v>
      </c>
      <c r="S19" s="24">
        <v>8946</v>
      </c>
      <c r="T19" s="24">
        <v>1317</v>
      </c>
      <c r="U19" s="24">
        <v>4281</v>
      </c>
      <c r="V19" s="24">
        <v>5973</v>
      </c>
      <c r="W19" s="24">
        <v>3320</v>
      </c>
      <c r="X19" s="24">
        <v>4963</v>
      </c>
      <c r="Y19" s="24">
        <v>2980</v>
      </c>
      <c r="Z19" s="24">
        <v>5227</v>
      </c>
      <c r="AA19" s="24">
        <v>5356</v>
      </c>
      <c r="AB19" s="24">
        <v>5283</v>
      </c>
      <c r="AC19" s="24">
        <v>6695</v>
      </c>
      <c r="AD19" s="24">
        <v>3948</v>
      </c>
      <c r="AE19" s="24">
        <v>3787</v>
      </c>
      <c r="AF19" s="24">
        <v>113</v>
      </c>
      <c r="AG19" s="24">
        <v>1826</v>
      </c>
      <c r="AH19" s="24">
        <v>2812</v>
      </c>
      <c r="AI19" s="24">
        <v>5593</v>
      </c>
      <c r="AJ19" s="24">
        <v>7088</v>
      </c>
      <c r="AK19" s="24">
        <v>5739</v>
      </c>
      <c r="AL19" s="24">
        <v>6148</v>
      </c>
      <c r="AM19" s="24">
        <v>4722</v>
      </c>
      <c r="AN19" s="24">
        <v>9411</v>
      </c>
      <c r="AO19" s="24">
        <v>3917</v>
      </c>
      <c r="AP19" s="24">
        <v>359</v>
      </c>
      <c r="AQ19" s="24">
        <v>6202</v>
      </c>
    </row>
    <row r="20" spans="1:43" s="2" customFormat="1" ht="15" customHeight="1" x14ac:dyDescent="0.25">
      <c r="A20" s="21">
        <v>17</v>
      </c>
      <c r="B20" s="22" t="s">
        <v>36</v>
      </c>
      <c r="C20" s="44" t="s">
        <v>77</v>
      </c>
      <c r="D20" s="21" t="s">
        <v>79</v>
      </c>
      <c r="E20" s="23">
        <f t="shared" si="1"/>
        <v>42451</v>
      </c>
      <c r="F20" s="23">
        <f t="shared" si="1"/>
        <v>33008</v>
      </c>
      <c r="G20" s="23">
        <f t="shared" si="1"/>
        <v>46167</v>
      </c>
      <c r="H20" s="24">
        <v>7253</v>
      </c>
      <c r="I20" s="39">
        <v>8407</v>
      </c>
      <c r="J20" s="24">
        <v>7735</v>
      </c>
      <c r="K20" s="24">
        <v>2162</v>
      </c>
      <c r="L20" s="24">
        <v>392</v>
      </c>
      <c r="M20" s="24">
        <v>7529</v>
      </c>
      <c r="N20" s="24">
        <v>3935</v>
      </c>
      <c r="O20" s="24">
        <v>310</v>
      </c>
      <c r="P20" s="24">
        <v>9497</v>
      </c>
      <c r="Q20" s="24">
        <v>3109</v>
      </c>
      <c r="R20" s="24">
        <v>345</v>
      </c>
      <c r="S20" s="24">
        <v>5450</v>
      </c>
      <c r="T20" s="24">
        <v>4146</v>
      </c>
      <c r="U20" s="24">
        <v>9934</v>
      </c>
      <c r="V20" s="24">
        <v>625</v>
      </c>
      <c r="W20" s="24">
        <v>9363</v>
      </c>
      <c r="X20" s="24">
        <v>7514</v>
      </c>
      <c r="Y20" s="24">
        <v>7689</v>
      </c>
      <c r="Z20" s="24">
        <v>9317</v>
      </c>
      <c r="AA20" s="24">
        <v>3277</v>
      </c>
      <c r="AB20" s="24">
        <v>7537</v>
      </c>
      <c r="AC20" s="24">
        <v>3166</v>
      </c>
      <c r="AD20" s="24">
        <v>2829</v>
      </c>
      <c r="AE20" s="24">
        <v>105</v>
      </c>
      <c r="AF20" s="24">
        <v>6614</v>
      </c>
      <c r="AG20" s="24">
        <v>2108</v>
      </c>
      <c r="AH20" s="24">
        <v>3718</v>
      </c>
      <c r="AI20" s="24">
        <v>1121</v>
      </c>
      <c r="AJ20" s="24">
        <v>6366</v>
      </c>
      <c r="AK20" s="24">
        <v>1852</v>
      </c>
      <c r="AL20" s="24">
        <v>7997</v>
      </c>
      <c r="AM20" s="24">
        <v>5603</v>
      </c>
      <c r="AN20" s="24">
        <v>3742</v>
      </c>
      <c r="AO20" s="24">
        <v>4701</v>
      </c>
      <c r="AP20" s="24">
        <v>4324</v>
      </c>
      <c r="AQ20" s="24">
        <v>9267</v>
      </c>
    </row>
    <row r="21" spans="1:43" s="2" customFormat="1" ht="15" customHeight="1" x14ac:dyDescent="0.25">
      <c r="A21" s="21">
        <v>18</v>
      </c>
      <c r="B21" s="22" t="s">
        <v>37</v>
      </c>
      <c r="C21" s="44" t="s">
        <v>77</v>
      </c>
      <c r="D21" s="21" t="s">
        <v>79</v>
      </c>
      <c r="E21" s="23">
        <f t="shared" si="1"/>
        <v>43317</v>
      </c>
      <c r="F21" s="23">
        <f t="shared" si="1"/>
        <v>35342</v>
      </c>
      <c r="G21" s="23">
        <f t="shared" si="1"/>
        <v>23926</v>
      </c>
      <c r="H21" s="24">
        <v>9811</v>
      </c>
      <c r="I21" s="39">
        <v>3234</v>
      </c>
      <c r="J21" s="24">
        <v>1150</v>
      </c>
      <c r="K21" s="24">
        <v>5370</v>
      </c>
      <c r="L21" s="24">
        <v>1554</v>
      </c>
      <c r="M21" s="24">
        <v>6676</v>
      </c>
      <c r="N21" s="24">
        <v>779</v>
      </c>
      <c r="O21" s="24">
        <v>2357</v>
      </c>
      <c r="P21" s="24">
        <v>2890</v>
      </c>
      <c r="Q21" s="24">
        <v>7833</v>
      </c>
      <c r="R21" s="24">
        <v>7391</v>
      </c>
      <c r="S21" s="24">
        <v>1838</v>
      </c>
      <c r="T21" s="24">
        <v>3299</v>
      </c>
      <c r="U21" s="24">
        <v>4413</v>
      </c>
      <c r="V21" s="24">
        <v>2798</v>
      </c>
      <c r="W21" s="24">
        <v>2478</v>
      </c>
      <c r="X21" s="24">
        <v>9922</v>
      </c>
      <c r="Y21" s="24">
        <v>75</v>
      </c>
      <c r="Z21" s="24">
        <v>4393</v>
      </c>
      <c r="AA21" s="24">
        <v>3692</v>
      </c>
      <c r="AB21" s="24">
        <v>1031</v>
      </c>
      <c r="AC21" s="24">
        <v>9354</v>
      </c>
      <c r="AD21" s="24">
        <v>2779</v>
      </c>
      <c r="AE21" s="24">
        <v>7468</v>
      </c>
      <c r="AF21" s="24">
        <v>6470</v>
      </c>
      <c r="AG21" s="24">
        <v>5192</v>
      </c>
      <c r="AH21" s="24">
        <v>8216</v>
      </c>
      <c r="AI21" s="24">
        <v>8700</v>
      </c>
      <c r="AJ21" s="24">
        <v>5564</v>
      </c>
      <c r="AK21" s="24">
        <v>6935</v>
      </c>
      <c r="AL21" s="24">
        <v>6767</v>
      </c>
      <c r="AM21" s="24">
        <v>7759</v>
      </c>
      <c r="AN21" s="24">
        <v>2957</v>
      </c>
      <c r="AO21" s="24">
        <v>754</v>
      </c>
      <c r="AP21" s="24">
        <v>4819</v>
      </c>
      <c r="AQ21" s="24">
        <v>7641</v>
      </c>
    </row>
    <row r="22" spans="1:43" s="2" customFormat="1" ht="15" customHeight="1" x14ac:dyDescent="0.25">
      <c r="A22" s="21">
        <v>19</v>
      </c>
      <c r="B22" s="22" t="s">
        <v>38</v>
      </c>
      <c r="C22" s="44" t="s">
        <v>77</v>
      </c>
      <c r="D22" s="21" t="s">
        <v>79</v>
      </c>
      <c r="E22" s="23">
        <f t="shared" si="1"/>
        <v>44513</v>
      </c>
      <c r="F22" s="23">
        <f t="shared" si="1"/>
        <v>44453</v>
      </c>
      <c r="G22" s="23">
        <f t="shared" si="1"/>
        <v>54913</v>
      </c>
      <c r="H22" s="24">
        <v>6585</v>
      </c>
      <c r="I22" s="39">
        <v>902</v>
      </c>
      <c r="J22" s="24">
        <v>8908</v>
      </c>
      <c r="K22" s="24">
        <v>3844</v>
      </c>
      <c r="L22" s="24">
        <v>5663</v>
      </c>
      <c r="M22" s="24">
        <v>8163</v>
      </c>
      <c r="N22" s="24">
        <v>4102</v>
      </c>
      <c r="O22" s="24">
        <v>8042</v>
      </c>
      <c r="P22" s="24">
        <v>7997</v>
      </c>
      <c r="Q22" s="24">
        <v>5175</v>
      </c>
      <c r="R22" s="24">
        <v>3043</v>
      </c>
      <c r="S22" s="24">
        <v>9285</v>
      </c>
      <c r="T22" s="24">
        <v>2877</v>
      </c>
      <c r="U22" s="24">
        <v>6568</v>
      </c>
      <c r="V22" s="24">
        <v>8816</v>
      </c>
      <c r="W22" s="24">
        <v>6189</v>
      </c>
      <c r="X22" s="24">
        <v>8762</v>
      </c>
      <c r="Y22" s="24">
        <v>4652</v>
      </c>
      <c r="Z22" s="24">
        <v>6775</v>
      </c>
      <c r="AA22" s="24">
        <v>4071</v>
      </c>
      <c r="AB22" s="24">
        <v>3850</v>
      </c>
      <c r="AC22" s="24">
        <v>8966</v>
      </c>
      <c r="AD22" s="24">
        <v>7402</v>
      </c>
      <c r="AE22" s="24">
        <v>3242</v>
      </c>
      <c r="AF22" s="24">
        <v>7196</v>
      </c>
      <c r="AG22" s="24">
        <v>324</v>
      </c>
      <c r="AH22" s="24">
        <v>451</v>
      </c>
      <c r="AI22" s="24">
        <v>8379</v>
      </c>
      <c r="AJ22" s="24">
        <v>8037</v>
      </c>
      <c r="AK22" s="24">
        <v>7963</v>
      </c>
      <c r="AL22" s="24">
        <v>8557</v>
      </c>
      <c r="AM22" s="24">
        <v>1630</v>
      </c>
      <c r="AN22" s="24">
        <v>4350</v>
      </c>
      <c r="AO22" s="24">
        <v>3113</v>
      </c>
      <c r="AP22" s="24">
        <v>7696</v>
      </c>
      <c r="AQ22" s="24">
        <v>5358</v>
      </c>
    </row>
    <row r="23" spans="1:43" s="2" customFormat="1" ht="15" customHeight="1" x14ac:dyDescent="0.25">
      <c r="A23" s="21">
        <v>20</v>
      </c>
      <c r="B23" s="28" t="s">
        <v>39</v>
      </c>
      <c r="C23" s="44" t="s">
        <v>77</v>
      </c>
      <c r="D23" s="21" t="s">
        <v>79</v>
      </c>
      <c r="E23" s="23">
        <f t="shared" si="1"/>
        <v>38986</v>
      </c>
      <c r="F23" s="23">
        <f t="shared" si="1"/>
        <v>41439</v>
      </c>
      <c r="G23" s="23">
        <f t="shared" si="1"/>
        <v>47796</v>
      </c>
      <c r="H23" s="24">
        <v>8496</v>
      </c>
      <c r="I23" s="39">
        <v>7365</v>
      </c>
      <c r="J23" s="24">
        <v>2459</v>
      </c>
      <c r="K23" s="24">
        <v>6386</v>
      </c>
      <c r="L23" s="24">
        <v>5316</v>
      </c>
      <c r="M23" s="24">
        <v>6049</v>
      </c>
      <c r="N23" s="24">
        <v>8919</v>
      </c>
      <c r="O23" s="24">
        <v>4816</v>
      </c>
      <c r="P23" s="24">
        <v>9016</v>
      </c>
      <c r="Q23" s="24">
        <v>2323</v>
      </c>
      <c r="R23" s="24">
        <v>3155</v>
      </c>
      <c r="S23" s="24">
        <v>7407</v>
      </c>
      <c r="T23" s="24">
        <v>4268</v>
      </c>
      <c r="U23" s="24">
        <v>9663</v>
      </c>
      <c r="V23" s="24">
        <v>4054</v>
      </c>
      <c r="W23" s="24">
        <v>1017</v>
      </c>
      <c r="X23" s="24">
        <v>3652</v>
      </c>
      <c r="Y23" s="24">
        <v>3682</v>
      </c>
      <c r="Z23" s="24">
        <v>6239</v>
      </c>
      <c r="AA23" s="24">
        <v>150</v>
      </c>
      <c r="AB23" s="24">
        <v>9076</v>
      </c>
      <c r="AC23" s="24">
        <v>1338</v>
      </c>
      <c r="AD23" s="24">
        <v>7322</v>
      </c>
      <c r="AE23" s="24">
        <v>6053</v>
      </c>
      <c r="AF23" s="24">
        <v>979</v>
      </c>
      <c r="AG23" s="24">
        <v>2956</v>
      </c>
      <c r="AH23" s="24">
        <v>5642</v>
      </c>
      <c r="AI23" s="24">
        <v>4983</v>
      </c>
      <c r="AJ23" s="24">
        <v>8861</v>
      </c>
      <c r="AK23" s="24">
        <v>2058</v>
      </c>
      <c r="AL23" s="24">
        <v>2460</v>
      </c>
      <c r="AM23" s="24">
        <v>1364</v>
      </c>
      <c r="AN23" s="24">
        <v>3155</v>
      </c>
      <c r="AO23" s="24">
        <v>9835</v>
      </c>
      <c r="AP23" s="24">
        <v>7462</v>
      </c>
      <c r="AQ23" s="24">
        <v>7328</v>
      </c>
    </row>
    <row r="24" spans="1:43" s="2" customFormat="1" ht="15" customHeight="1" x14ac:dyDescent="0.25">
      <c r="A24" s="21">
        <v>21</v>
      </c>
      <c r="B24" s="22" t="s">
        <v>40</v>
      </c>
      <c r="C24" s="44" t="s">
        <v>77</v>
      </c>
      <c r="D24" s="21" t="s">
        <v>80</v>
      </c>
      <c r="E24" s="23">
        <f t="shared" si="1"/>
        <v>39522</v>
      </c>
      <c r="F24" s="23">
        <f t="shared" si="1"/>
        <v>33376</v>
      </c>
      <c r="G24" s="23">
        <f t="shared" si="1"/>
        <v>37912</v>
      </c>
      <c r="H24" s="24">
        <v>7391</v>
      </c>
      <c r="I24" s="39">
        <v>5226</v>
      </c>
      <c r="J24" s="24">
        <v>3478</v>
      </c>
      <c r="K24" s="24">
        <v>4044</v>
      </c>
      <c r="L24" s="24">
        <v>789</v>
      </c>
      <c r="M24" s="24">
        <v>6395</v>
      </c>
      <c r="N24" s="24">
        <v>395</v>
      </c>
      <c r="O24" s="24">
        <v>924</v>
      </c>
      <c r="P24" s="24">
        <v>3108</v>
      </c>
      <c r="Q24" s="24">
        <v>8520</v>
      </c>
      <c r="R24" s="24">
        <v>6229</v>
      </c>
      <c r="S24" s="24">
        <v>8275</v>
      </c>
      <c r="T24" s="24">
        <v>3514</v>
      </c>
      <c r="U24" s="24">
        <v>5304</v>
      </c>
      <c r="V24" s="24">
        <v>7151</v>
      </c>
      <c r="W24" s="24">
        <v>1997</v>
      </c>
      <c r="X24" s="24">
        <v>6700</v>
      </c>
      <c r="Y24" s="24">
        <v>1405</v>
      </c>
      <c r="Z24" s="24">
        <v>5215</v>
      </c>
      <c r="AA24" s="24">
        <v>2438</v>
      </c>
      <c r="AB24" s="24">
        <v>834</v>
      </c>
      <c r="AC24" s="24">
        <v>8446</v>
      </c>
      <c r="AD24" s="24">
        <v>5766</v>
      </c>
      <c r="AE24" s="24">
        <v>7266</v>
      </c>
      <c r="AF24" s="24">
        <v>6854</v>
      </c>
      <c r="AG24" s="24">
        <v>7985</v>
      </c>
      <c r="AH24" s="24">
        <v>3557</v>
      </c>
      <c r="AI24" s="24">
        <v>1386</v>
      </c>
      <c r="AJ24" s="24">
        <v>4877</v>
      </c>
      <c r="AK24" s="24">
        <v>7900</v>
      </c>
      <c r="AL24" s="24">
        <v>8492</v>
      </c>
      <c r="AM24" s="24">
        <v>7731</v>
      </c>
      <c r="AN24" s="24">
        <v>1498</v>
      </c>
      <c r="AO24" s="24">
        <v>5999</v>
      </c>
      <c r="AP24" s="24">
        <v>212</v>
      </c>
      <c r="AQ24" s="24">
        <v>1482</v>
      </c>
    </row>
    <row r="25" spans="1:43" s="2" customFormat="1" ht="15" customHeight="1" x14ac:dyDescent="0.25">
      <c r="A25" s="21">
        <v>22</v>
      </c>
      <c r="B25" s="22" t="s">
        <v>41</v>
      </c>
      <c r="C25" s="44" t="s">
        <v>77</v>
      </c>
      <c r="D25" s="21" t="s">
        <v>80</v>
      </c>
      <c r="E25" s="23">
        <f t="shared" si="1"/>
        <v>34730</v>
      </c>
      <c r="F25" s="23">
        <f t="shared" si="1"/>
        <v>28799</v>
      </c>
      <c r="G25" s="23">
        <f t="shared" si="1"/>
        <v>29521</v>
      </c>
      <c r="H25" s="24">
        <v>1805</v>
      </c>
      <c r="I25" s="39">
        <v>3284</v>
      </c>
      <c r="J25" s="24">
        <v>5710</v>
      </c>
      <c r="K25" s="24">
        <v>2514</v>
      </c>
      <c r="L25" s="24">
        <v>9678</v>
      </c>
      <c r="M25" s="24">
        <v>1080</v>
      </c>
      <c r="N25" s="24">
        <v>1047</v>
      </c>
      <c r="O25" s="24">
        <v>1058</v>
      </c>
      <c r="P25" s="24">
        <v>5812</v>
      </c>
      <c r="Q25" s="24">
        <v>3286</v>
      </c>
      <c r="R25" s="24">
        <v>5747</v>
      </c>
      <c r="S25" s="24">
        <v>184</v>
      </c>
      <c r="T25" s="24">
        <v>4038</v>
      </c>
      <c r="U25" s="24">
        <v>587</v>
      </c>
      <c r="V25" s="24">
        <v>1910</v>
      </c>
      <c r="W25" s="24">
        <v>7898</v>
      </c>
      <c r="X25" s="24">
        <v>5284</v>
      </c>
      <c r="Y25" s="24">
        <v>7780</v>
      </c>
      <c r="Z25" s="24">
        <v>7897</v>
      </c>
      <c r="AA25" s="24">
        <v>1280</v>
      </c>
      <c r="AB25" s="24">
        <v>458</v>
      </c>
      <c r="AC25" s="24">
        <v>6245</v>
      </c>
      <c r="AD25" s="24">
        <v>1881</v>
      </c>
      <c r="AE25" s="24">
        <v>6587</v>
      </c>
      <c r="AF25" s="24">
        <v>8650</v>
      </c>
      <c r="AG25" s="24">
        <v>9423</v>
      </c>
      <c r="AH25" s="24">
        <v>4524</v>
      </c>
      <c r="AI25" s="24">
        <v>9269</v>
      </c>
      <c r="AJ25" s="24">
        <v>9844</v>
      </c>
      <c r="AK25" s="24">
        <v>5161</v>
      </c>
      <c r="AL25" s="24">
        <v>849</v>
      </c>
      <c r="AM25" s="24">
        <v>112</v>
      </c>
      <c r="AN25" s="24">
        <v>9642</v>
      </c>
      <c r="AO25" s="24">
        <v>8715</v>
      </c>
      <c r="AP25" s="24">
        <v>6097</v>
      </c>
      <c r="AQ25" s="24">
        <v>2819</v>
      </c>
    </row>
    <row r="26" spans="1:43" s="2" customFormat="1" ht="15" customHeight="1" x14ac:dyDescent="0.25">
      <c r="A26" s="21">
        <v>23</v>
      </c>
      <c r="B26" s="22" t="s">
        <v>42</v>
      </c>
      <c r="C26" s="44" t="s">
        <v>77</v>
      </c>
      <c r="D26" s="21" t="s">
        <v>80</v>
      </c>
      <c r="E26" s="23">
        <f t="shared" si="1"/>
        <v>29745</v>
      </c>
      <c r="F26" s="23">
        <f t="shared" si="1"/>
        <v>24676</v>
      </c>
      <c r="G26" s="23">
        <f t="shared" si="1"/>
        <v>26031</v>
      </c>
      <c r="H26" s="24">
        <v>567</v>
      </c>
      <c r="I26" s="39">
        <v>7073</v>
      </c>
      <c r="J26" s="24">
        <v>5194</v>
      </c>
      <c r="K26" s="24">
        <v>657</v>
      </c>
      <c r="L26" s="24">
        <v>6353</v>
      </c>
      <c r="M26" s="24">
        <v>4744</v>
      </c>
      <c r="N26" s="24">
        <v>3862</v>
      </c>
      <c r="O26" s="24">
        <v>940</v>
      </c>
      <c r="P26" s="24">
        <v>3693</v>
      </c>
      <c r="Q26" s="24">
        <v>9833</v>
      </c>
      <c r="R26" s="24">
        <v>1213</v>
      </c>
      <c r="S26" s="24">
        <v>1304</v>
      </c>
      <c r="T26" s="24">
        <v>333</v>
      </c>
      <c r="U26" s="24">
        <v>730</v>
      </c>
      <c r="V26" s="24">
        <v>3793</v>
      </c>
      <c r="W26" s="24">
        <v>1630</v>
      </c>
      <c r="X26" s="24">
        <v>2999</v>
      </c>
      <c r="Y26" s="24">
        <v>2002</v>
      </c>
      <c r="Z26" s="24">
        <v>6674</v>
      </c>
      <c r="AA26" s="24">
        <v>385</v>
      </c>
      <c r="AB26" s="24">
        <v>1187</v>
      </c>
      <c r="AC26" s="24">
        <v>6189</v>
      </c>
      <c r="AD26" s="24">
        <v>4983</v>
      </c>
      <c r="AE26" s="24">
        <v>4114</v>
      </c>
      <c r="AF26" s="24">
        <v>4606</v>
      </c>
      <c r="AG26" s="24">
        <v>8984</v>
      </c>
      <c r="AH26" s="24">
        <v>3525</v>
      </c>
      <c r="AI26" s="24">
        <v>537</v>
      </c>
      <c r="AJ26" s="24">
        <v>6274</v>
      </c>
      <c r="AK26" s="24">
        <v>9768</v>
      </c>
      <c r="AL26" s="24">
        <v>302</v>
      </c>
      <c r="AM26" s="24">
        <v>4768</v>
      </c>
      <c r="AN26" s="24">
        <v>5253</v>
      </c>
      <c r="AO26" s="24">
        <v>9577</v>
      </c>
      <c r="AP26" s="24">
        <v>3803</v>
      </c>
      <c r="AQ26" s="24">
        <v>4209</v>
      </c>
    </row>
    <row r="27" spans="1:43" s="2" customFormat="1" ht="15" customHeight="1" x14ac:dyDescent="0.25">
      <c r="A27" s="21">
        <v>24</v>
      </c>
      <c r="B27" s="22" t="s">
        <v>43</v>
      </c>
      <c r="C27" s="44" t="s">
        <v>77</v>
      </c>
      <c r="D27" s="21" t="s">
        <v>80</v>
      </c>
      <c r="E27" s="23">
        <f t="shared" si="1"/>
        <v>31380</v>
      </c>
      <c r="F27" s="23">
        <f t="shared" si="1"/>
        <v>36855</v>
      </c>
      <c r="G27" s="23">
        <f t="shared" si="1"/>
        <v>40646</v>
      </c>
      <c r="H27" s="24">
        <v>1812</v>
      </c>
      <c r="I27" s="39">
        <v>1756</v>
      </c>
      <c r="J27" s="24">
        <v>2120</v>
      </c>
      <c r="K27" s="24">
        <v>1611</v>
      </c>
      <c r="L27" s="24">
        <v>7392</v>
      </c>
      <c r="M27" s="24">
        <v>3251</v>
      </c>
      <c r="N27" s="24">
        <v>2995</v>
      </c>
      <c r="O27" s="24">
        <v>6745</v>
      </c>
      <c r="P27" s="24">
        <v>1718</v>
      </c>
      <c r="Q27" s="24">
        <v>2021</v>
      </c>
      <c r="R27" s="24">
        <v>9216</v>
      </c>
      <c r="S27" s="24">
        <v>3288</v>
      </c>
      <c r="T27" s="24">
        <v>9663</v>
      </c>
      <c r="U27" s="24">
        <v>2015</v>
      </c>
      <c r="V27" s="24">
        <v>7279</v>
      </c>
      <c r="W27" s="24">
        <v>9170</v>
      </c>
      <c r="X27" s="24">
        <v>6168</v>
      </c>
      <c r="Y27" s="24">
        <v>9626</v>
      </c>
      <c r="Z27" s="24">
        <v>224</v>
      </c>
      <c r="AA27" s="24">
        <v>179</v>
      </c>
      <c r="AB27" s="24">
        <v>4169</v>
      </c>
      <c r="AC27" s="24">
        <v>3884</v>
      </c>
      <c r="AD27" s="24">
        <v>3384</v>
      </c>
      <c r="AE27" s="24">
        <v>9195</v>
      </c>
      <c r="AF27" s="24">
        <v>1688</v>
      </c>
      <c r="AG27" s="24">
        <v>7477</v>
      </c>
      <c r="AH27" s="24">
        <v>7673</v>
      </c>
      <c r="AI27" s="24">
        <v>9197</v>
      </c>
      <c r="AJ27" s="24">
        <v>2376</v>
      </c>
      <c r="AK27" s="24">
        <v>7190</v>
      </c>
      <c r="AL27" s="24">
        <v>8146</v>
      </c>
      <c r="AM27" s="24">
        <v>8744</v>
      </c>
      <c r="AN27" s="24">
        <v>4827</v>
      </c>
      <c r="AO27" s="24">
        <v>4935</v>
      </c>
      <c r="AP27" s="24">
        <v>4459</v>
      </c>
      <c r="AQ27" s="24">
        <v>7218</v>
      </c>
    </row>
    <row r="28" spans="1:43" s="2" customFormat="1" ht="15" customHeight="1" x14ac:dyDescent="0.25">
      <c r="A28" s="21">
        <v>25</v>
      </c>
      <c r="B28" s="22" t="s">
        <v>44</v>
      </c>
      <c r="C28" s="44" t="s">
        <v>77</v>
      </c>
      <c r="D28" s="21" t="s">
        <v>80</v>
      </c>
      <c r="E28" s="23">
        <f t="shared" si="1"/>
        <v>30965</v>
      </c>
      <c r="F28" s="23">
        <f t="shared" si="1"/>
        <v>35762</v>
      </c>
      <c r="G28" s="23">
        <f t="shared" si="1"/>
        <v>42694</v>
      </c>
      <c r="H28" s="24">
        <v>9289</v>
      </c>
      <c r="I28" s="39">
        <v>6583</v>
      </c>
      <c r="J28" s="24">
        <v>1245</v>
      </c>
      <c r="K28" s="24">
        <v>7248</v>
      </c>
      <c r="L28" s="24">
        <v>8114</v>
      </c>
      <c r="M28" s="24">
        <v>7620</v>
      </c>
      <c r="N28" s="24">
        <v>1576</v>
      </c>
      <c r="O28" s="24">
        <v>99</v>
      </c>
      <c r="P28" s="24">
        <v>7267</v>
      </c>
      <c r="Q28" s="24">
        <v>6689</v>
      </c>
      <c r="R28" s="24">
        <v>6531</v>
      </c>
      <c r="S28" s="24">
        <v>5589</v>
      </c>
      <c r="T28" s="24">
        <v>239</v>
      </c>
      <c r="U28" s="24">
        <v>1730</v>
      </c>
      <c r="V28" s="24">
        <v>2620</v>
      </c>
      <c r="W28" s="24">
        <v>3471</v>
      </c>
      <c r="X28" s="24">
        <v>740</v>
      </c>
      <c r="Y28" s="24">
        <v>9309</v>
      </c>
      <c r="Z28" s="24">
        <v>2240</v>
      </c>
      <c r="AA28" s="24">
        <v>7602</v>
      </c>
      <c r="AB28" s="24">
        <v>7944</v>
      </c>
      <c r="AC28" s="24">
        <v>213</v>
      </c>
      <c r="AD28" s="24">
        <v>4363</v>
      </c>
      <c r="AE28" s="24">
        <v>1100</v>
      </c>
      <c r="AF28" s="24">
        <v>3382</v>
      </c>
      <c r="AG28" s="24">
        <v>7623</v>
      </c>
      <c r="AH28" s="24">
        <v>7651</v>
      </c>
      <c r="AI28" s="24">
        <v>3680</v>
      </c>
      <c r="AJ28" s="24">
        <v>4258</v>
      </c>
      <c r="AK28" s="24">
        <v>9398</v>
      </c>
      <c r="AL28" s="24">
        <v>2010</v>
      </c>
      <c r="AM28" s="24">
        <v>1468</v>
      </c>
      <c r="AN28" s="24">
        <v>9289</v>
      </c>
      <c r="AO28" s="24">
        <v>1390</v>
      </c>
      <c r="AP28" s="24">
        <v>5455</v>
      </c>
      <c r="AQ28" s="24">
        <v>8816</v>
      </c>
    </row>
    <row r="29" spans="1:43" s="2" customFormat="1" ht="15" customHeight="1" x14ac:dyDescent="0.25">
      <c r="A29" s="21">
        <v>26</v>
      </c>
      <c r="B29" s="22" t="s">
        <v>45</v>
      </c>
      <c r="C29" s="44" t="s">
        <v>77</v>
      </c>
      <c r="D29" s="21" t="s">
        <v>81</v>
      </c>
      <c r="E29" s="23">
        <f t="shared" si="1"/>
        <v>35565</v>
      </c>
      <c r="F29" s="23">
        <f t="shared" si="1"/>
        <v>42345</v>
      </c>
      <c r="G29" s="23">
        <f t="shared" si="1"/>
        <v>37060</v>
      </c>
      <c r="H29" s="24">
        <v>2636</v>
      </c>
      <c r="I29" s="39">
        <v>1889</v>
      </c>
      <c r="J29" s="24">
        <v>7556</v>
      </c>
      <c r="K29" s="24">
        <v>5247</v>
      </c>
      <c r="L29" s="24">
        <v>7519</v>
      </c>
      <c r="M29" s="24">
        <v>3575</v>
      </c>
      <c r="N29" s="24">
        <v>401</v>
      </c>
      <c r="O29" s="24">
        <v>1157</v>
      </c>
      <c r="P29" s="24">
        <v>9317</v>
      </c>
      <c r="Q29" s="24">
        <v>5376</v>
      </c>
      <c r="R29" s="24">
        <v>334</v>
      </c>
      <c r="S29" s="24">
        <v>5897</v>
      </c>
      <c r="T29" s="24">
        <v>9935</v>
      </c>
      <c r="U29" s="24">
        <v>9718</v>
      </c>
      <c r="V29" s="24">
        <v>384</v>
      </c>
      <c r="W29" s="24">
        <v>4314</v>
      </c>
      <c r="X29" s="24">
        <v>9530</v>
      </c>
      <c r="Y29" s="24">
        <v>5966</v>
      </c>
      <c r="Z29" s="24">
        <v>1504</v>
      </c>
      <c r="AA29" s="24">
        <v>9973</v>
      </c>
      <c r="AB29" s="24">
        <v>4231</v>
      </c>
      <c r="AC29" s="24">
        <v>6152</v>
      </c>
      <c r="AD29" s="24">
        <v>2225</v>
      </c>
      <c r="AE29" s="24">
        <v>134</v>
      </c>
      <c r="AF29" s="24">
        <v>4910</v>
      </c>
      <c r="AG29" s="24">
        <v>3500</v>
      </c>
      <c r="AH29" s="24">
        <v>2192</v>
      </c>
      <c r="AI29" s="24">
        <v>3367</v>
      </c>
      <c r="AJ29" s="24">
        <v>9077</v>
      </c>
      <c r="AK29" s="24">
        <v>9759</v>
      </c>
      <c r="AL29" s="24">
        <v>785</v>
      </c>
      <c r="AM29" s="24">
        <v>1685</v>
      </c>
      <c r="AN29" s="24">
        <v>568</v>
      </c>
      <c r="AO29" s="24">
        <v>186</v>
      </c>
      <c r="AP29" s="24">
        <v>7556</v>
      </c>
      <c r="AQ29" s="24">
        <v>4156</v>
      </c>
    </row>
    <row r="30" spans="1:43" s="2" customFormat="1" ht="15" customHeight="1" x14ac:dyDescent="0.25">
      <c r="A30" s="21">
        <v>27</v>
      </c>
      <c r="B30" s="22" t="s">
        <v>46</v>
      </c>
      <c r="C30" s="44" t="s">
        <v>77</v>
      </c>
      <c r="D30" s="21" t="s">
        <v>81</v>
      </c>
      <c r="E30" s="23">
        <f t="shared" si="1"/>
        <v>45362</v>
      </c>
      <c r="F30" s="23">
        <f t="shared" si="1"/>
        <v>46851</v>
      </c>
      <c r="G30" s="23">
        <f t="shared" si="1"/>
        <v>52060</v>
      </c>
      <c r="H30" s="24">
        <v>6563</v>
      </c>
      <c r="I30" s="39">
        <v>4841</v>
      </c>
      <c r="J30" s="24">
        <v>583</v>
      </c>
      <c r="K30" s="24">
        <v>6863</v>
      </c>
      <c r="L30" s="24">
        <v>8389</v>
      </c>
      <c r="M30" s="24">
        <v>8440</v>
      </c>
      <c r="N30" s="24">
        <v>8431</v>
      </c>
      <c r="O30" s="24">
        <v>4518</v>
      </c>
      <c r="P30" s="24">
        <v>9434</v>
      </c>
      <c r="Q30" s="24">
        <v>6772</v>
      </c>
      <c r="R30" s="24">
        <v>6965</v>
      </c>
      <c r="S30" s="24">
        <v>8813</v>
      </c>
      <c r="T30" s="24">
        <v>1266</v>
      </c>
      <c r="U30" s="24">
        <v>1551</v>
      </c>
      <c r="V30" s="24">
        <v>7871</v>
      </c>
      <c r="W30" s="24">
        <v>4806</v>
      </c>
      <c r="X30" s="24">
        <v>7993</v>
      </c>
      <c r="Y30" s="24">
        <v>2466</v>
      </c>
      <c r="Z30" s="24">
        <v>3415</v>
      </c>
      <c r="AA30" s="24">
        <v>9803</v>
      </c>
      <c r="AB30" s="24">
        <v>8359</v>
      </c>
      <c r="AC30" s="24">
        <v>7246</v>
      </c>
      <c r="AD30" s="24">
        <v>2791</v>
      </c>
      <c r="AE30" s="24">
        <v>6094</v>
      </c>
      <c r="AF30" s="24">
        <v>7660</v>
      </c>
      <c r="AG30" s="24">
        <v>9907</v>
      </c>
      <c r="AH30" s="24">
        <v>5732</v>
      </c>
      <c r="AI30" s="24">
        <v>5379</v>
      </c>
      <c r="AJ30" s="24">
        <v>9837</v>
      </c>
      <c r="AK30" s="24">
        <v>5431</v>
      </c>
      <c r="AL30" s="24">
        <v>2422</v>
      </c>
      <c r="AM30" s="24">
        <v>249</v>
      </c>
      <c r="AN30" s="24">
        <v>400</v>
      </c>
      <c r="AO30" s="24">
        <v>4957</v>
      </c>
      <c r="AP30" s="24">
        <v>170</v>
      </c>
      <c r="AQ30" s="24">
        <v>2240</v>
      </c>
    </row>
    <row r="31" spans="1:43" s="2" customFormat="1" ht="15" customHeight="1" x14ac:dyDescent="0.25">
      <c r="A31" s="21">
        <v>28</v>
      </c>
      <c r="B31" s="22" t="s">
        <v>47</v>
      </c>
      <c r="C31" s="44" t="s">
        <v>77</v>
      </c>
      <c r="D31" s="21" t="s">
        <v>81</v>
      </c>
      <c r="E31" s="23">
        <f t="shared" si="1"/>
        <v>46687</v>
      </c>
      <c r="F31" s="23">
        <f t="shared" si="1"/>
        <v>43263</v>
      </c>
      <c r="G31" s="23">
        <f t="shared" si="1"/>
        <v>35001</v>
      </c>
      <c r="H31" s="24">
        <v>8138</v>
      </c>
      <c r="I31" s="39">
        <v>6485</v>
      </c>
      <c r="J31" s="24">
        <v>5616</v>
      </c>
      <c r="K31" s="24">
        <v>9522</v>
      </c>
      <c r="L31" s="24">
        <v>4878</v>
      </c>
      <c r="M31" s="24">
        <v>9750</v>
      </c>
      <c r="N31" s="24">
        <v>4129</v>
      </c>
      <c r="O31" s="24">
        <v>7798</v>
      </c>
      <c r="P31" s="24">
        <v>2354</v>
      </c>
      <c r="Q31" s="24">
        <v>5230</v>
      </c>
      <c r="R31" s="24">
        <v>7391</v>
      </c>
      <c r="S31" s="24">
        <v>3032</v>
      </c>
      <c r="T31" s="24">
        <v>6231</v>
      </c>
      <c r="U31" s="24">
        <v>5244</v>
      </c>
      <c r="V31" s="24">
        <v>3779</v>
      </c>
      <c r="W31" s="24">
        <v>2334</v>
      </c>
      <c r="X31" s="24">
        <v>13</v>
      </c>
      <c r="Y31" s="24">
        <v>5651</v>
      </c>
      <c r="Z31" s="24">
        <v>2709</v>
      </c>
      <c r="AA31" s="24">
        <v>6168</v>
      </c>
      <c r="AB31" s="24">
        <v>2917</v>
      </c>
      <c r="AC31" s="24">
        <v>8394</v>
      </c>
      <c r="AD31" s="24">
        <v>5286</v>
      </c>
      <c r="AE31" s="24">
        <v>1902</v>
      </c>
      <c r="AF31" s="24">
        <v>6398</v>
      </c>
      <c r="AG31" s="24">
        <v>7670</v>
      </c>
      <c r="AH31" s="24">
        <v>1</v>
      </c>
      <c r="AI31" s="24">
        <v>202</v>
      </c>
      <c r="AJ31" s="24">
        <v>3304</v>
      </c>
      <c r="AK31" s="24">
        <v>2075</v>
      </c>
      <c r="AL31" s="24">
        <v>1775</v>
      </c>
      <c r="AM31" s="24">
        <v>9479</v>
      </c>
      <c r="AN31" s="24">
        <v>3275</v>
      </c>
      <c r="AO31" s="24">
        <v>2276</v>
      </c>
      <c r="AP31" s="24">
        <v>7199</v>
      </c>
      <c r="AQ31" s="24">
        <v>2677</v>
      </c>
    </row>
    <row r="32" spans="1:43" s="2" customFormat="1" ht="15" customHeight="1" x14ac:dyDescent="0.25">
      <c r="A32" s="21">
        <v>29</v>
      </c>
      <c r="B32" s="22" t="s">
        <v>48</v>
      </c>
      <c r="C32" s="44" t="s">
        <v>77</v>
      </c>
      <c r="D32" s="21" t="s">
        <v>81</v>
      </c>
      <c r="E32" s="23">
        <f t="shared" si="1"/>
        <v>39615</v>
      </c>
      <c r="F32" s="23">
        <f t="shared" si="1"/>
        <v>44351</v>
      </c>
      <c r="G32" s="23">
        <f t="shared" si="1"/>
        <v>31368</v>
      </c>
      <c r="H32" s="24">
        <v>4093</v>
      </c>
      <c r="I32" s="39">
        <v>3138</v>
      </c>
      <c r="J32" s="24">
        <v>2593</v>
      </c>
      <c r="K32" s="24">
        <v>4246</v>
      </c>
      <c r="L32" s="24">
        <v>620</v>
      </c>
      <c r="M32" s="24">
        <v>5941</v>
      </c>
      <c r="N32" s="24">
        <v>2027</v>
      </c>
      <c r="O32" s="24">
        <v>9916</v>
      </c>
      <c r="P32" s="24">
        <v>1397</v>
      </c>
      <c r="Q32" s="24">
        <v>8975</v>
      </c>
      <c r="R32" s="24">
        <v>8769</v>
      </c>
      <c r="S32" s="24">
        <v>2773</v>
      </c>
      <c r="T32" s="24">
        <v>4368</v>
      </c>
      <c r="U32" s="24">
        <v>8420</v>
      </c>
      <c r="V32" s="24">
        <v>528</v>
      </c>
      <c r="W32" s="24">
        <v>6159</v>
      </c>
      <c r="X32" s="24">
        <v>9477</v>
      </c>
      <c r="Y32" s="24">
        <v>8128</v>
      </c>
      <c r="Z32" s="24">
        <v>5471</v>
      </c>
      <c r="AA32" s="24">
        <v>2153</v>
      </c>
      <c r="AB32" s="24">
        <v>1778</v>
      </c>
      <c r="AC32" s="24">
        <v>4276</v>
      </c>
      <c r="AD32" s="24">
        <v>1858</v>
      </c>
      <c r="AE32" s="24">
        <v>8230</v>
      </c>
      <c r="AF32" s="24">
        <v>2993</v>
      </c>
      <c r="AG32" s="24">
        <v>3638</v>
      </c>
      <c r="AH32" s="24">
        <v>1971</v>
      </c>
      <c r="AI32" s="24">
        <v>2327</v>
      </c>
      <c r="AJ32" s="24">
        <v>3595</v>
      </c>
      <c r="AK32" s="24">
        <v>616</v>
      </c>
      <c r="AL32" s="24">
        <v>5583</v>
      </c>
      <c r="AM32" s="24">
        <v>3352</v>
      </c>
      <c r="AN32" s="24">
        <v>5502</v>
      </c>
      <c r="AO32" s="24">
        <v>6654</v>
      </c>
      <c r="AP32" s="24">
        <v>3249</v>
      </c>
      <c r="AQ32" s="24">
        <v>6854</v>
      </c>
    </row>
    <row r="33" spans="1:43" s="2" customFormat="1" ht="15" customHeight="1" x14ac:dyDescent="0.25">
      <c r="A33" s="21">
        <v>30</v>
      </c>
      <c r="B33" s="22" t="s">
        <v>49</v>
      </c>
      <c r="C33" s="44" t="s">
        <v>77</v>
      </c>
      <c r="D33" s="21" t="s">
        <v>81</v>
      </c>
      <c r="E33" s="23">
        <f t="shared" si="1"/>
        <v>40211</v>
      </c>
      <c r="F33" s="23">
        <f t="shared" si="1"/>
        <v>35311</v>
      </c>
      <c r="G33" s="23">
        <f t="shared" si="1"/>
        <v>46844</v>
      </c>
      <c r="H33" s="24">
        <v>8559</v>
      </c>
      <c r="I33" s="39">
        <v>1999</v>
      </c>
      <c r="J33" s="24">
        <v>7262</v>
      </c>
      <c r="K33" s="24">
        <v>5535</v>
      </c>
      <c r="L33" s="24">
        <v>6728</v>
      </c>
      <c r="M33" s="24">
        <v>6866</v>
      </c>
      <c r="N33" s="24">
        <v>123</v>
      </c>
      <c r="O33" s="24">
        <v>8936</v>
      </c>
      <c r="P33" s="24">
        <v>8452</v>
      </c>
      <c r="Q33" s="24">
        <v>4600</v>
      </c>
      <c r="R33" s="24">
        <v>24</v>
      </c>
      <c r="S33" s="24">
        <v>7003</v>
      </c>
      <c r="T33" s="24">
        <v>8614</v>
      </c>
      <c r="U33" s="24">
        <v>4448</v>
      </c>
      <c r="V33" s="24">
        <v>7407</v>
      </c>
      <c r="W33" s="24">
        <v>9895</v>
      </c>
      <c r="X33" s="24">
        <v>5793</v>
      </c>
      <c r="Y33" s="24">
        <v>7902</v>
      </c>
      <c r="Z33" s="24">
        <v>1517</v>
      </c>
      <c r="AA33" s="24">
        <v>5137</v>
      </c>
      <c r="AB33" s="24">
        <v>109</v>
      </c>
      <c r="AC33" s="24">
        <v>1368</v>
      </c>
      <c r="AD33" s="24">
        <v>2246</v>
      </c>
      <c r="AE33" s="24">
        <v>1843</v>
      </c>
      <c r="AF33" s="24">
        <v>2959</v>
      </c>
      <c r="AG33" s="24">
        <v>6176</v>
      </c>
      <c r="AH33" s="24">
        <v>4672</v>
      </c>
      <c r="AI33" s="24">
        <v>442</v>
      </c>
      <c r="AJ33" s="24">
        <v>1455</v>
      </c>
      <c r="AK33" s="24">
        <v>7976</v>
      </c>
      <c r="AL33" s="24">
        <v>8528</v>
      </c>
      <c r="AM33" s="24">
        <v>3218</v>
      </c>
      <c r="AN33" s="24">
        <v>5658</v>
      </c>
      <c r="AO33" s="24">
        <v>7146</v>
      </c>
      <c r="AP33" s="24">
        <v>9872</v>
      </c>
      <c r="AQ33" s="24">
        <v>4420</v>
      </c>
    </row>
    <row r="34" spans="1:43" s="2" customFormat="1" ht="15" customHeight="1" x14ac:dyDescent="0.25">
      <c r="A34" s="21">
        <v>31</v>
      </c>
      <c r="B34" s="22" t="s">
        <v>50</v>
      </c>
      <c r="C34" s="44" t="s">
        <v>77</v>
      </c>
      <c r="D34" s="21" t="s">
        <v>81</v>
      </c>
      <c r="E34" s="23">
        <f t="shared" si="1"/>
        <v>50210</v>
      </c>
      <c r="F34" s="23">
        <f t="shared" si="1"/>
        <v>41275</v>
      </c>
      <c r="G34" s="23">
        <f t="shared" si="1"/>
        <v>20481</v>
      </c>
      <c r="H34" s="24">
        <v>8614</v>
      </c>
      <c r="I34" s="39">
        <v>4337</v>
      </c>
      <c r="J34" s="24">
        <v>3834</v>
      </c>
      <c r="K34" s="24">
        <v>3131</v>
      </c>
      <c r="L34" s="24">
        <v>4240</v>
      </c>
      <c r="M34" s="24">
        <v>123</v>
      </c>
      <c r="N34" s="24">
        <v>2684</v>
      </c>
      <c r="O34" s="24">
        <v>2999</v>
      </c>
      <c r="P34" s="24">
        <v>743</v>
      </c>
      <c r="Q34" s="24">
        <v>5422</v>
      </c>
      <c r="R34" s="24">
        <v>3643</v>
      </c>
      <c r="S34" s="24">
        <v>1088</v>
      </c>
      <c r="T34" s="24">
        <v>5329</v>
      </c>
      <c r="U34" s="24">
        <v>1643</v>
      </c>
      <c r="V34" s="24">
        <v>5893</v>
      </c>
      <c r="W34" s="24">
        <v>8773</v>
      </c>
      <c r="X34" s="24">
        <v>8174</v>
      </c>
      <c r="Y34" s="24">
        <v>1520</v>
      </c>
      <c r="Z34" s="24">
        <v>6642</v>
      </c>
      <c r="AA34" s="24">
        <v>6245</v>
      </c>
      <c r="AB34" s="24">
        <v>469</v>
      </c>
      <c r="AC34" s="24">
        <v>9615</v>
      </c>
      <c r="AD34" s="24">
        <v>9994</v>
      </c>
      <c r="AE34" s="24">
        <v>6811</v>
      </c>
      <c r="AF34" s="24">
        <v>7475</v>
      </c>
      <c r="AG34" s="24">
        <v>3170</v>
      </c>
      <c r="AH34" s="24">
        <v>6758</v>
      </c>
      <c r="AI34" s="24">
        <v>7976</v>
      </c>
      <c r="AJ34" s="24">
        <v>6186</v>
      </c>
      <c r="AK34" s="24">
        <v>6713</v>
      </c>
      <c r="AL34" s="24">
        <v>122</v>
      </c>
      <c r="AM34" s="24">
        <v>3216</v>
      </c>
      <c r="AN34" s="24">
        <v>3669</v>
      </c>
      <c r="AO34" s="24">
        <v>4091</v>
      </c>
      <c r="AP34" s="24">
        <v>9540</v>
      </c>
      <c r="AQ34" s="24">
        <v>143</v>
      </c>
    </row>
    <row r="35" spans="1:43" s="2" customFormat="1" ht="15" customHeight="1" x14ac:dyDescent="0.25">
      <c r="A35" s="21">
        <v>32</v>
      </c>
      <c r="B35" s="22" t="s">
        <v>51</v>
      </c>
      <c r="C35" s="44" t="s">
        <v>77</v>
      </c>
      <c r="D35" s="21" t="s">
        <v>81</v>
      </c>
      <c r="E35" s="23">
        <f t="shared" si="1"/>
        <v>51637</v>
      </c>
      <c r="F35" s="23">
        <f t="shared" si="1"/>
        <v>31919</v>
      </c>
      <c r="G35" s="23">
        <f t="shared" si="1"/>
        <v>43920</v>
      </c>
      <c r="H35" s="24">
        <v>207</v>
      </c>
      <c r="I35" s="39">
        <v>8925</v>
      </c>
      <c r="J35" s="24">
        <v>3760</v>
      </c>
      <c r="K35" s="24">
        <v>9199</v>
      </c>
      <c r="L35" s="24">
        <v>5474</v>
      </c>
      <c r="M35" s="24">
        <v>9138</v>
      </c>
      <c r="N35" s="24">
        <v>9860</v>
      </c>
      <c r="O35" s="24">
        <v>792</v>
      </c>
      <c r="P35" s="24">
        <v>8107</v>
      </c>
      <c r="Q35" s="24">
        <v>8165</v>
      </c>
      <c r="R35" s="24">
        <v>4813</v>
      </c>
      <c r="S35" s="24">
        <v>5400</v>
      </c>
      <c r="T35" s="24">
        <v>6533</v>
      </c>
      <c r="U35" s="24">
        <v>6529</v>
      </c>
      <c r="V35" s="24">
        <v>8123</v>
      </c>
      <c r="W35" s="24">
        <v>6544</v>
      </c>
      <c r="X35" s="24">
        <v>1286</v>
      </c>
      <c r="Y35" s="24">
        <v>5628</v>
      </c>
      <c r="Z35" s="24">
        <v>3262</v>
      </c>
      <c r="AA35" s="24">
        <v>1551</v>
      </c>
      <c r="AB35" s="24">
        <v>2595</v>
      </c>
      <c r="AC35" s="24">
        <v>7867</v>
      </c>
      <c r="AD35" s="24">
        <v>2549</v>
      </c>
      <c r="AE35" s="24">
        <v>1169</v>
      </c>
      <c r="AF35" s="24">
        <v>3639</v>
      </c>
      <c r="AG35" s="24">
        <v>3345</v>
      </c>
      <c r="AH35" s="24">
        <v>2139</v>
      </c>
      <c r="AI35" s="24">
        <v>3060</v>
      </c>
      <c r="AJ35" s="24">
        <v>2109</v>
      </c>
      <c r="AK35" s="24">
        <v>1226</v>
      </c>
      <c r="AL35" s="24">
        <v>668</v>
      </c>
      <c r="AM35" s="24">
        <v>6050</v>
      </c>
      <c r="AN35" s="24">
        <v>9798</v>
      </c>
      <c r="AO35" s="24">
        <v>6759</v>
      </c>
      <c r="AP35" s="24">
        <v>1007</v>
      </c>
      <c r="AQ35" s="24">
        <v>6023</v>
      </c>
    </row>
    <row r="36" spans="1:43" s="2" customFormat="1" ht="15" customHeight="1" x14ac:dyDescent="0.25">
      <c r="A36" s="21">
        <v>33</v>
      </c>
      <c r="B36" s="22" t="s">
        <v>52</v>
      </c>
      <c r="C36" s="44" t="s">
        <v>77</v>
      </c>
      <c r="D36" s="21" t="s">
        <v>81</v>
      </c>
      <c r="E36" s="23">
        <f t="shared" si="1"/>
        <v>27063</v>
      </c>
      <c r="F36" s="23">
        <f t="shared" si="1"/>
        <v>42455</v>
      </c>
      <c r="G36" s="23">
        <f t="shared" si="1"/>
        <v>42369</v>
      </c>
      <c r="H36" s="24">
        <v>2448</v>
      </c>
      <c r="I36" s="39">
        <v>273</v>
      </c>
      <c r="J36" s="24">
        <v>6090</v>
      </c>
      <c r="K36" s="24">
        <v>2369</v>
      </c>
      <c r="L36" s="24">
        <v>5834</v>
      </c>
      <c r="M36" s="24">
        <v>8575</v>
      </c>
      <c r="N36" s="24">
        <v>6321</v>
      </c>
      <c r="O36" s="24">
        <v>199</v>
      </c>
      <c r="P36" s="24">
        <v>4851</v>
      </c>
      <c r="Q36" s="24">
        <v>7901</v>
      </c>
      <c r="R36" s="24">
        <v>2586</v>
      </c>
      <c r="S36" s="24">
        <v>2738</v>
      </c>
      <c r="T36" s="24">
        <v>356</v>
      </c>
      <c r="U36" s="24">
        <v>9805</v>
      </c>
      <c r="V36" s="24">
        <v>5165</v>
      </c>
      <c r="W36" s="24">
        <v>1462</v>
      </c>
      <c r="X36" s="24">
        <v>5086</v>
      </c>
      <c r="Y36" s="24">
        <v>9574</v>
      </c>
      <c r="Z36" s="24">
        <v>2115</v>
      </c>
      <c r="AA36" s="24">
        <v>9681</v>
      </c>
      <c r="AB36" s="24">
        <v>3817</v>
      </c>
      <c r="AC36" s="24">
        <v>4091</v>
      </c>
      <c r="AD36" s="24">
        <v>8991</v>
      </c>
      <c r="AE36" s="24">
        <v>1559</v>
      </c>
      <c r="AF36" s="24">
        <v>3634</v>
      </c>
      <c r="AG36" s="24">
        <v>419</v>
      </c>
      <c r="AH36" s="24">
        <v>1980</v>
      </c>
      <c r="AI36" s="24">
        <v>5592</v>
      </c>
      <c r="AJ36" s="24">
        <v>2997</v>
      </c>
      <c r="AK36" s="24">
        <v>5010</v>
      </c>
      <c r="AL36" s="24">
        <v>1984</v>
      </c>
      <c r="AM36" s="24">
        <v>813</v>
      </c>
      <c r="AN36" s="24">
        <v>7154</v>
      </c>
      <c r="AO36" s="24">
        <v>422</v>
      </c>
      <c r="AP36" s="24">
        <v>4614</v>
      </c>
      <c r="AQ36" s="24">
        <v>2944</v>
      </c>
    </row>
    <row r="37" spans="1:43" s="2" customFormat="1" ht="15" customHeight="1" x14ac:dyDescent="0.25">
      <c r="A37" s="21">
        <v>34</v>
      </c>
      <c r="B37" s="22" t="s">
        <v>53</v>
      </c>
      <c r="C37" s="44" t="s">
        <v>77</v>
      </c>
      <c r="D37" s="21" t="s">
        <v>81</v>
      </c>
      <c r="E37" s="23">
        <f t="shared" si="1"/>
        <v>50546</v>
      </c>
      <c r="F37" s="23">
        <f t="shared" si="1"/>
        <v>48148</v>
      </c>
      <c r="G37" s="23">
        <f t="shared" si="1"/>
        <v>41178</v>
      </c>
      <c r="H37" s="24">
        <v>2615</v>
      </c>
      <c r="I37" s="39">
        <v>7021</v>
      </c>
      <c r="J37" s="24">
        <v>8370</v>
      </c>
      <c r="K37" s="24">
        <v>4648</v>
      </c>
      <c r="L37" s="24">
        <v>727</v>
      </c>
      <c r="M37" s="24">
        <v>1929</v>
      </c>
      <c r="N37" s="24">
        <v>8569</v>
      </c>
      <c r="O37" s="24">
        <v>9670</v>
      </c>
      <c r="P37" s="24">
        <v>7359</v>
      </c>
      <c r="Q37" s="24">
        <v>1782</v>
      </c>
      <c r="R37" s="24">
        <v>4141</v>
      </c>
      <c r="S37" s="24">
        <v>5228</v>
      </c>
      <c r="T37" s="24">
        <v>9728</v>
      </c>
      <c r="U37" s="24">
        <v>3628</v>
      </c>
      <c r="V37" s="24">
        <v>2675</v>
      </c>
      <c r="W37" s="24">
        <v>7967</v>
      </c>
      <c r="X37" s="24">
        <v>9738</v>
      </c>
      <c r="Y37" s="24">
        <v>8528</v>
      </c>
      <c r="Z37" s="24">
        <v>7072</v>
      </c>
      <c r="AA37" s="24">
        <v>3965</v>
      </c>
      <c r="AB37" s="24">
        <v>6736</v>
      </c>
      <c r="AC37" s="24">
        <v>8165</v>
      </c>
      <c r="AD37" s="24">
        <v>9258</v>
      </c>
      <c r="AE37" s="24">
        <v>353</v>
      </c>
      <c r="AF37" s="24">
        <v>6165</v>
      </c>
      <c r="AG37" s="24">
        <v>5822</v>
      </c>
      <c r="AH37" s="24">
        <v>3518</v>
      </c>
      <c r="AI37" s="24">
        <v>2865</v>
      </c>
      <c r="AJ37" s="24">
        <v>9754</v>
      </c>
      <c r="AK37" s="24">
        <v>8310</v>
      </c>
      <c r="AL37" s="24">
        <v>7678</v>
      </c>
      <c r="AM37" s="24">
        <v>3304</v>
      </c>
      <c r="AN37" s="24">
        <v>1105</v>
      </c>
      <c r="AO37" s="24">
        <v>1047</v>
      </c>
      <c r="AP37" s="24">
        <v>9506</v>
      </c>
      <c r="AQ37" s="24">
        <v>7547</v>
      </c>
    </row>
    <row r="38" spans="1:43" s="2" customFormat="1" ht="15" customHeight="1" x14ac:dyDescent="0.25">
      <c r="A38" s="21">
        <v>35</v>
      </c>
      <c r="B38" s="22" t="s">
        <v>54</v>
      </c>
      <c r="C38" s="44" t="s">
        <v>77</v>
      </c>
      <c r="D38" s="21" t="s">
        <v>81</v>
      </c>
      <c r="E38" s="23">
        <f t="shared" si="1"/>
        <v>50657</v>
      </c>
      <c r="F38" s="23">
        <f t="shared" si="1"/>
        <v>24243</v>
      </c>
      <c r="G38" s="23">
        <f t="shared" si="1"/>
        <v>48077</v>
      </c>
      <c r="H38" s="24">
        <v>8357</v>
      </c>
      <c r="I38" s="39">
        <v>4197</v>
      </c>
      <c r="J38" s="24">
        <v>7759</v>
      </c>
      <c r="K38" s="24">
        <v>9095</v>
      </c>
      <c r="L38" s="24">
        <v>573</v>
      </c>
      <c r="M38" s="24">
        <v>5184</v>
      </c>
      <c r="N38" s="24">
        <v>7143</v>
      </c>
      <c r="O38" s="24">
        <v>1108</v>
      </c>
      <c r="P38" s="24">
        <v>5717</v>
      </c>
      <c r="Q38" s="24">
        <v>6474</v>
      </c>
      <c r="R38" s="24">
        <v>277</v>
      </c>
      <c r="S38" s="24">
        <v>943</v>
      </c>
      <c r="T38" s="24">
        <v>5944</v>
      </c>
      <c r="U38" s="24">
        <v>9890</v>
      </c>
      <c r="V38" s="24">
        <v>7219</v>
      </c>
      <c r="W38" s="24">
        <v>3406</v>
      </c>
      <c r="X38" s="24">
        <v>157</v>
      </c>
      <c r="Y38" s="24">
        <v>6083</v>
      </c>
      <c r="Z38" s="24">
        <v>3387</v>
      </c>
      <c r="AA38" s="24">
        <v>6491</v>
      </c>
      <c r="AB38" s="24">
        <v>7452</v>
      </c>
      <c r="AC38" s="24">
        <v>6851</v>
      </c>
      <c r="AD38" s="24">
        <v>1550</v>
      </c>
      <c r="AE38" s="24">
        <v>7720</v>
      </c>
      <c r="AF38" s="24">
        <v>6331</v>
      </c>
      <c r="AG38" s="24">
        <v>394</v>
      </c>
      <c r="AH38" s="24">
        <v>6978</v>
      </c>
      <c r="AI38" s="24">
        <v>3027</v>
      </c>
      <c r="AJ38" s="24">
        <v>8630</v>
      </c>
      <c r="AK38" s="24">
        <v>7720</v>
      </c>
      <c r="AL38" s="24">
        <v>637</v>
      </c>
      <c r="AM38" s="24">
        <v>8726</v>
      </c>
      <c r="AN38" s="24">
        <v>1521</v>
      </c>
      <c r="AO38" s="24">
        <v>5616</v>
      </c>
      <c r="AP38" s="24">
        <v>3900</v>
      </c>
      <c r="AQ38" s="24">
        <v>6815</v>
      </c>
    </row>
    <row r="39" spans="1:43" s="2" customFormat="1" ht="15" customHeight="1" x14ac:dyDescent="0.25">
      <c r="A39" s="21">
        <v>36</v>
      </c>
      <c r="B39" s="22" t="s">
        <v>55</v>
      </c>
      <c r="C39" s="44" t="s">
        <v>77</v>
      </c>
      <c r="D39" s="21" t="s">
        <v>81</v>
      </c>
      <c r="E39" s="23">
        <f t="shared" si="1"/>
        <v>42204</v>
      </c>
      <c r="F39" s="23">
        <f t="shared" si="1"/>
        <v>47516</v>
      </c>
      <c r="G39" s="23">
        <f t="shared" si="1"/>
        <v>27112</v>
      </c>
      <c r="H39" s="24">
        <v>2128</v>
      </c>
      <c r="I39" s="39">
        <v>8349</v>
      </c>
      <c r="J39" s="24">
        <v>3026</v>
      </c>
      <c r="K39" s="24">
        <v>9292</v>
      </c>
      <c r="L39" s="24">
        <v>663</v>
      </c>
      <c r="M39" s="24">
        <v>2328</v>
      </c>
      <c r="N39" s="24">
        <v>6113</v>
      </c>
      <c r="O39" s="24">
        <v>9936</v>
      </c>
      <c r="P39" s="24">
        <v>2544</v>
      </c>
      <c r="Q39" s="24">
        <v>336</v>
      </c>
      <c r="R39" s="24">
        <v>4711</v>
      </c>
      <c r="S39" s="24">
        <v>1016</v>
      </c>
      <c r="T39" s="24">
        <v>428</v>
      </c>
      <c r="U39" s="24">
        <v>1891</v>
      </c>
      <c r="V39" s="24">
        <v>1533</v>
      </c>
      <c r="W39" s="24">
        <v>8037</v>
      </c>
      <c r="X39" s="24">
        <v>5484</v>
      </c>
      <c r="Y39" s="24">
        <v>3871</v>
      </c>
      <c r="Z39" s="24">
        <v>8535</v>
      </c>
      <c r="AA39" s="24">
        <v>9880</v>
      </c>
      <c r="AB39" s="24">
        <v>9106</v>
      </c>
      <c r="AC39" s="24">
        <v>7335</v>
      </c>
      <c r="AD39" s="24">
        <v>6602</v>
      </c>
      <c r="AE39" s="24">
        <v>3688</v>
      </c>
      <c r="AF39" s="24">
        <v>7946</v>
      </c>
      <c r="AG39" s="24">
        <v>779</v>
      </c>
      <c r="AH39" s="24">
        <v>7932</v>
      </c>
      <c r="AI39" s="24">
        <v>6031</v>
      </c>
      <c r="AJ39" s="24">
        <v>1230</v>
      </c>
      <c r="AK39" s="24">
        <v>7501</v>
      </c>
      <c r="AL39" s="24">
        <v>8568</v>
      </c>
      <c r="AM39" s="24">
        <v>3927</v>
      </c>
      <c r="AN39" s="24">
        <v>2094</v>
      </c>
      <c r="AO39" s="24">
        <v>341</v>
      </c>
      <c r="AP39" s="24">
        <v>9356</v>
      </c>
      <c r="AQ39" s="24">
        <v>5769</v>
      </c>
    </row>
    <row r="40" spans="1:43" s="2" customFormat="1" ht="15" customHeight="1" x14ac:dyDescent="0.25">
      <c r="A40" s="21">
        <v>37</v>
      </c>
      <c r="B40" s="22" t="s">
        <v>56</v>
      </c>
      <c r="C40" s="44" t="s">
        <v>77</v>
      </c>
      <c r="D40" s="44" t="s">
        <v>83</v>
      </c>
      <c r="E40" s="23">
        <f t="shared" si="1"/>
        <v>44494</v>
      </c>
      <c r="F40" s="23">
        <f t="shared" si="1"/>
        <v>35255</v>
      </c>
      <c r="G40" s="23">
        <f t="shared" si="1"/>
        <v>38059</v>
      </c>
      <c r="H40" s="24">
        <v>9980</v>
      </c>
      <c r="I40" s="39">
        <v>3586</v>
      </c>
      <c r="J40" s="24">
        <v>5754</v>
      </c>
      <c r="K40" s="24">
        <v>4125</v>
      </c>
      <c r="L40" s="24">
        <v>3458</v>
      </c>
      <c r="M40" s="24">
        <v>3023</v>
      </c>
      <c r="N40" s="24">
        <v>2201</v>
      </c>
      <c r="O40" s="24">
        <v>2434</v>
      </c>
      <c r="P40" s="24">
        <v>4953</v>
      </c>
      <c r="Q40" s="24">
        <v>8138</v>
      </c>
      <c r="R40" s="24">
        <v>8573</v>
      </c>
      <c r="S40" s="24">
        <v>451</v>
      </c>
      <c r="T40" s="24">
        <v>436</v>
      </c>
      <c r="U40" s="24">
        <v>7947</v>
      </c>
      <c r="V40" s="24">
        <v>8881</v>
      </c>
      <c r="W40" s="24">
        <v>4398</v>
      </c>
      <c r="X40" s="24">
        <v>1195</v>
      </c>
      <c r="Y40" s="24">
        <v>8565</v>
      </c>
      <c r="Z40" s="24">
        <v>7191</v>
      </c>
      <c r="AA40" s="24">
        <v>641</v>
      </c>
      <c r="AB40" s="24">
        <v>492</v>
      </c>
      <c r="AC40" s="24">
        <v>8025</v>
      </c>
      <c r="AD40" s="24">
        <v>7421</v>
      </c>
      <c r="AE40" s="24">
        <v>5940</v>
      </c>
      <c r="AF40" s="24">
        <v>423</v>
      </c>
      <c r="AG40" s="24">
        <v>3445</v>
      </c>
      <c r="AH40" s="24">
        <v>7296</v>
      </c>
      <c r="AI40" s="24">
        <v>5963</v>
      </c>
      <c r="AJ40" s="24">
        <v>2734</v>
      </c>
      <c r="AK40" s="24">
        <v>5919</v>
      </c>
      <c r="AL40" s="24">
        <v>2680</v>
      </c>
      <c r="AM40" s="24">
        <v>9314</v>
      </c>
      <c r="AN40" s="24">
        <v>9258</v>
      </c>
      <c r="AO40" s="24">
        <v>6011</v>
      </c>
      <c r="AP40" s="24">
        <v>6565</v>
      </c>
      <c r="AQ40" s="24">
        <v>6107</v>
      </c>
    </row>
    <row r="41" spans="1:43" s="3" customFormat="1" ht="15" customHeight="1" x14ac:dyDescent="0.25">
      <c r="A41" s="21">
        <v>38</v>
      </c>
      <c r="B41" s="29" t="s">
        <v>57</v>
      </c>
      <c r="C41" s="29"/>
      <c r="D41" s="29"/>
      <c r="E41" s="26">
        <f t="shared" si="1"/>
        <v>1172853</v>
      </c>
      <c r="F41" s="26">
        <f t="shared" si="1"/>
        <v>1105790</v>
      </c>
      <c r="G41" s="26">
        <f t="shared" si="1"/>
        <v>1087098</v>
      </c>
      <c r="H41" s="27">
        <f t="shared" ref="H41:AQ41" si="4">SUM(H12:H40)</f>
        <v>151689</v>
      </c>
      <c r="I41" s="27">
        <f t="shared" si="4"/>
        <v>135545</v>
      </c>
      <c r="J41" s="27">
        <f t="shared" si="4"/>
        <v>137898</v>
      </c>
      <c r="K41" s="27">
        <f t="shared" si="4"/>
        <v>142451</v>
      </c>
      <c r="L41" s="27">
        <f t="shared" si="4"/>
        <v>134110</v>
      </c>
      <c r="M41" s="27">
        <f t="shared" si="4"/>
        <v>148315</v>
      </c>
      <c r="N41" s="27">
        <f t="shared" si="4"/>
        <v>133977</v>
      </c>
      <c r="O41" s="27">
        <f t="shared" si="4"/>
        <v>123032</v>
      </c>
      <c r="P41" s="27">
        <f t="shared" si="4"/>
        <v>150440</v>
      </c>
      <c r="Q41" s="27">
        <f t="shared" si="4"/>
        <v>139961</v>
      </c>
      <c r="R41" s="27">
        <f t="shared" si="4"/>
        <v>140927</v>
      </c>
      <c r="S41" s="27">
        <f t="shared" si="4"/>
        <v>126554</v>
      </c>
      <c r="T41" s="27">
        <f t="shared" si="4"/>
        <v>128323</v>
      </c>
      <c r="U41" s="27">
        <f t="shared" si="4"/>
        <v>144370</v>
      </c>
      <c r="V41" s="27">
        <f t="shared" si="4"/>
        <v>132292</v>
      </c>
      <c r="W41" s="27">
        <f t="shared" si="4"/>
        <v>160581</v>
      </c>
      <c r="X41" s="27">
        <f t="shared" si="4"/>
        <v>146140</v>
      </c>
      <c r="Y41" s="27">
        <f t="shared" si="4"/>
        <v>151950</v>
      </c>
      <c r="Z41" s="27">
        <f t="shared" si="4"/>
        <v>140466</v>
      </c>
      <c r="AA41" s="27">
        <f t="shared" si="4"/>
        <v>136595</v>
      </c>
      <c r="AB41" s="27">
        <f t="shared" si="4"/>
        <v>116452</v>
      </c>
      <c r="AC41" s="27">
        <f t="shared" si="4"/>
        <v>175405</v>
      </c>
      <c r="AD41" s="27">
        <f t="shared" si="4"/>
        <v>145071</v>
      </c>
      <c r="AE41" s="27">
        <f t="shared" si="4"/>
        <v>123197</v>
      </c>
      <c r="AF41" s="27">
        <f t="shared" si="4"/>
        <v>125397</v>
      </c>
      <c r="AG41" s="27">
        <f t="shared" si="4"/>
        <v>144783</v>
      </c>
      <c r="AH41" s="27">
        <f t="shared" si="4"/>
        <v>136097</v>
      </c>
      <c r="AI41" s="27">
        <f t="shared" si="4"/>
        <v>122354</v>
      </c>
      <c r="AJ41" s="27">
        <f t="shared" si="4"/>
        <v>168157</v>
      </c>
      <c r="AK41" s="27">
        <f t="shared" si="4"/>
        <v>168574</v>
      </c>
      <c r="AL41" s="27">
        <f t="shared" si="4"/>
        <v>124470</v>
      </c>
      <c r="AM41" s="27">
        <f t="shared" si="4"/>
        <v>139521</v>
      </c>
      <c r="AN41" s="27">
        <f t="shared" si="4"/>
        <v>133290</v>
      </c>
      <c r="AO41" s="27">
        <f t="shared" si="4"/>
        <v>143168</v>
      </c>
      <c r="AP41" s="27">
        <f t="shared" si="4"/>
        <v>155883</v>
      </c>
      <c r="AQ41" s="27">
        <f t="shared" si="4"/>
        <v>148629</v>
      </c>
    </row>
    <row r="42" spans="1:43" s="4" customFormat="1" ht="15" customHeight="1" x14ac:dyDescent="0.25">
      <c r="A42" s="21">
        <v>39</v>
      </c>
      <c r="B42" s="30" t="s">
        <v>58</v>
      </c>
      <c r="C42" s="30"/>
      <c r="D42" s="30"/>
      <c r="E42" s="31">
        <f t="shared" si="1"/>
        <v>-1032165</v>
      </c>
      <c r="F42" s="31">
        <f t="shared" si="1"/>
        <v>-952337</v>
      </c>
      <c r="G42" s="31">
        <f t="shared" si="1"/>
        <v>-933422</v>
      </c>
      <c r="H42" s="32">
        <f t="shared" ref="H42:AQ42" si="5">H11-H41</f>
        <v>-116805</v>
      </c>
      <c r="I42" s="32">
        <f t="shared" si="5"/>
        <v>-113257</v>
      </c>
      <c r="J42" s="32">
        <f t="shared" si="5"/>
        <v>-117235</v>
      </c>
      <c r="K42" s="32">
        <f t="shared" si="5"/>
        <v>-126150</v>
      </c>
      <c r="L42" s="32">
        <f t="shared" si="5"/>
        <v>-113529</v>
      </c>
      <c r="M42" s="32">
        <f t="shared" si="5"/>
        <v>-130319</v>
      </c>
      <c r="N42" s="32">
        <f t="shared" si="5"/>
        <v>-111810</v>
      </c>
      <c r="O42" s="32">
        <f t="shared" si="5"/>
        <v>-98909</v>
      </c>
      <c r="P42" s="32">
        <f t="shared" si="5"/>
        <v>-138975</v>
      </c>
      <c r="Q42" s="32">
        <f t="shared" si="5"/>
        <v>-136862</v>
      </c>
      <c r="R42" s="32">
        <f t="shared" si="5"/>
        <v>-125218</v>
      </c>
      <c r="S42" s="32">
        <f t="shared" si="5"/>
        <v>-101655</v>
      </c>
      <c r="T42" s="32">
        <f t="shared" si="5"/>
        <v>-121894</v>
      </c>
      <c r="U42" s="32">
        <f t="shared" si="5"/>
        <v>-131916</v>
      </c>
      <c r="V42" s="32">
        <f t="shared" si="5"/>
        <v>-118236</v>
      </c>
      <c r="W42" s="32">
        <f t="shared" si="5"/>
        <v>-136024</v>
      </c>
      <c r="X42" s="32">
        <f t="shared" si="5"/>
        <v>-129294</v>
      </c>
      <c r="Y42" s="32">
        <f t="shared" si="5"/>
        <v>-123295</v>
      </c>
      <c r="Z42" s="32">
        <f t="shared" si="5"/>
        <v>-128975</v>
      </c>
      <c r="AA42" s="32">
        <f t="shared" si="5"/>
        <v>-112728</v>
      </c>
      <c r="AB42" s="32">
        <f t="shared" si="5"/>
        <v>-98372</v>
      </c>
      <c r="AC42" s="32">
        <f t="shared" si="5"/>
        <v>-153645</v>
      </c>
      <c r="AD42" s="32">
        <f t="shared" si="5"/>
        <v>-127486</v>
      </c>
      <c r="AE42" s="32">
        <f t="shared" si="5"/>
        <v>-105335</v>
      </c>
      <c r="AF42" s="32">
        <f t="shared" si="5"/>
        <v>-111127</v>
      </c>
      <c r="AG42" s="32">
        <f t="shared" si="5"/>
        <v>-130244</v>
      </c>
      <c r="AH42" s="32">
        <f t="shared" si="5"/>
        <v>-108119</v>
      </c>
      <c r="AI42" s="32">
        <f t="shared" si="5"/>
        <v>-108046</v>
      </c>
      <c r="AJ42" s="32">
        <f t="shared" si="5"/>
        <v>-129641</v>
      </c>
      <c r="AK42" s="32">
        <f t="shared" si="5"/>
        <v>-146591</v>
      </c>
      <c r="AL42" s="32">
        <f t="shared" si="5"/>
        <v>-106289</v>
      </c>
      <c r="AM42" s="32">
        <f t="shared" si="5"/>
        <v>-120363</v>
      </c>
      <c r="AN42" s="32">
        <f t="shared" si="5"/>
        <v>-107510</v>
      </c>
      <c r="AO42" s="32">
        <f t="shared" si="5"/>
        <v>-133833</v>
      </c>
      <c r="AP42" s="32">
        <f t="shared" si="5"/>
        <v>-120832</v>
      </c>
      <c r="AQ42" s="32">
        <f t="shared" si="5"/>
        <v>-138424</v>
      </c>
    </row>
    <row r="43" spans="1:43" s="2" customFormat="1" ht="15" customHeight="1" x14ac:dyDescent="0.25">
      <c r="A43" s="21">
        <v>40</v>
      </c>
      <c r="B43" s="22" t="s">
        <v>23</v>
      </c>
      <c r="C43" s="44" t="s">
        <v>84</v>
      </c>
      <c r="D43" s="44" t="s">
        <v>78</v>
      </c>
      <c r="E43" s="23">
        <f t="shared" si="1"/>
        <v>48741</v>
      </c>
      <c r="F43" s="23">
        <f t="shared" si="1"/>
        <v>39167</v>
      </c>
      <c r="G43" s="23">
        <f t="shared" si="1"/>
        <v>45782</v>
      </c>
      <c r="H43" s="24">
        <v>2616</v>
      </c>
      <c r="I43" s="39">
        <v>7788</v>
      </c>
      <c r="J43" s="24">
        <v>8228</v>
      </c>
      <c r="K43" s="24">
        <v>7754</v>
      </c>
      <c r="L43" s="24">
        <v>5188</v>
      </c>
      <c r="M43" s="24">
        <v>8951</v>
      </c>
      <c r="N43" s="24">
        <v>9284</v>
      </c>
      <c r="O43" s="24">
        <v>5689</v>
      </c>
      <c r="P43" s="24">
        <v>5043</v>
      </c>
      <c r="Q43" s="24">
        <v>8623</v>
      </c>
      <c r="R43" s="24">
        <v>5283</v>
      </c>
      <c r="S43" s="24">
        <v>992</v>
      </c>
      <c r="T43" s="24">
        <v>4402</v>
      </c>
      <c r="U43" s="24">
        <v>8132</v>
      </c>
      <c r="V43" s="24">
        <v>4819</v>
      </c>
      <c r="W43" s="24">
        <v>3049</v>
      </c>
      <c r="X43" s="24">
        <v>4929</v>
      </c>
      <c r="Y43" s="24">
        <v>2697</v>
      </c>
      <c r="Z43" s="24">
        <v>7826</v>
      </c>
      <c r="AA43" s="24">
        <v>296</v>
      </c>
      <c r="AB43" s="24">
        <v>5650</v>
      </c>
      <c r="AC43" s="24">
        <v>5187</v>
      </c>
      <c r="AD43" s="24">
        <v>1862</v>
      </c>
      <c r="AE43" s="24">
        <v>9402</v>
      </c>
      <c r="AF43" s="24">
        <v>6737</v>
      </c>
      <c r="AG43" s="24">
        <v>7837</v>
      </c>
      <c r="AH43" s="24">
        <v>3857</v>
      </c>
      <c r="AI43" s="24">
        <v>5933</v>
      </c>
      <c r="AJ43" s="24">
        <v>1322</v>
      </c>
      <c r="AK43" s="24">
        <v>5364</v>
      </c>
      <c r="AL43" s="24">
        <v>6470</v>
      </c>
      <c r="AM43" s="24">
        <v>2952</v>
      </c>
      <c r="AN43" s="24">
        <v>6099</v>
      </c>
      <c r="AO43" s="24">
        <v>2207</v>
      </c>
      <c r="AP43" s="24">
        <v>1924</v>
      </c>
      <c r="AQ43" s="24">
        <v>3482</v>
      </c>
    </row>
    <row r="44" spans="1:43" s="3" customFormat="1" ht="15" customHeight="1" x14ac:dyDescent="0.25">
      <c r="A44" s="21">
        <v>41</v>
      </c>
      <c r="B44" s="25" t="s">
        <v>59</v>
      </c>
      <c r="C44" s="25"/>
      <c r="D44" s="25"/>
      <c r="E44" s="26">
        <f t="shared" si="1"/>
        <v>48741</v>
      </c>
      <c r="F44" s="26">
        <f t="shared" si="1"/>
        <v>39167</v>
      </c>
      <c r="G44" s="26">
        <f t="shared" si="1"/>
        <v>45782</v>
      </c>
      <c r="H44" s="27">
        <f>SUM(H43)</f>
        <v>2616</v>
      </c>
      <c r="I44" s="27">
        <f t="shared" ref="I44:AQ44" si="6">SUM(I43)</f>
        <v>7788</v>
      </c>
      <c r="J44" s="27">
        <f t="shared" si="6"/>
        <v>8228</v>
      </c>
      <c r="K44" s="27">
        <f t="shared" si="6"/>
        <v>7754</v>
      </c>
      <c r="L44" s="27">
        <f t="shared" si="6"/>
        <v>5188</v>
      </c>
      <c r="M44" s="27">
        <f t="shared" si="6"/>
        <v>8951</v>
      </c>
      <c r="N44" s="27">
        <f t="shared" si="6"/>
        <v>9284</v>
      </c>
      <c r="O44" s="27">
        <f t="shared" si="6"/>
        <v>5689</v>
      </c>
      <c r="P44" s="27">
        <f t="shared" si="6"/>
        <v>5043</v>
      </c>
      <c r="Q44" s="27">
        <f t="shared" si="6"/>
        <v>8623</v>
      </c>
      <c r="R44" s="27">
        <f t="shared" si="6"/>
        <v>5283</v>
      </c>
      <c r="S44" s="27">
        <f t="shared" si="6"/>
        <v>992</v>
      </c>
      <c r="T44" s="27">
        <f t="shared" si="6"/>
        <v>4402</v>
      </c>
      <c r="U44" s="27">
        <f t="shared" si="6"/>
        <v>8132</v>
      </c>
      <c r="V44" s="27">
        <f t="shared" si="6"/>
        <v>4819</v>
      </c>
      <c r="W44" s="27">
        <f t="shared" si="6"/>
        <v>3049</v>
      </c>
      <c r="X44" s="27">
        <f t="shared" si="6"/>
        <v>4929</v>
      </c>
      <c r="Y44" s="27">
        <f t="shared" si="6"/>
        <v>2697</v>
      </c>
      <c r="Z44" s="27">
        <f t="shared" si="6"/>
        <v>7826</v>
      </c>
      <c r="AA44" s="27">
        <f t="shared" si="6"/>
        <v>296</v>
      </c>
      <c r="AB44" s="27">
        <f t="shared" si="6"/>
        <v>5650</v>
      </c>
      <c r="AC44" s="27">
        <f t="shared" si="6"/>
        <v>5187</v>
      </c>
      <c r="AD44" s="27">
        <f t="shared" si="6"/>
        <v>1862</v>
      </c>
      <c r="AE44" s="27">
        <f t="shared" si="6"/>
        <v>9402</v>
      </c>
      <c r="AF44" s="27">
        <f t="shared" si="6"/>
        <v>6737</v>
      </c>
      <c r="AG44" s="27">
        <f t="shared" si="6"/>
        <v>7837</v>
      </c>
      <c r="AH44" s="27">
        <f t="shared" si="6"/>
        <v>3857</v>
      </c>
      <c r="AI44" s="27">
        <f t="shared" si="6"/>
        <v>5933</v>
      </c>
      <c r="AJ44" s="27">
        <f t="shared" si="6"/>
        <v>1322</v>
      </c>
      <c r="AK44" s="27">
        <f t="shared" si="6"/>
        <v>5364</v>
      </c>
      <c r="AL44" s="27">
        <f t="shared" si="6"/>
        <v>6470</v>
      </c>
      <c r="AM44" s="27">
        <f t="shared" si="6"/>
        <v>2952</v>
      </c>
      <c r="AN44" s="27">
        <f t="shared" si="6"/>
        <v>6099</v>
      </c>
      <c r="AO44" s="27">
        <f t="shared" si="6"/>
        <v>2207</v>
      </c>
      <c r="AP44" s="27">
        <f t="shared" si="6"/>
        <v>1924</v>
      </c>
      <c r="AQ44" s="27">
        <f t="shared" si="6"/>
        <v>3482</v>
      </c>
    </row>
    <row r="45" spans="1:43" s="5" customFormat="1" ht="15" customHeight="1" x14ac:dyDescent="0.25">
      <c r="A45" s="21">
        <v>42</v>
      </c>
      <c r="B45" s="33" t="s">
        <v>60</v>
      </c>
      <c r="C45" s="46" t="s">
        <v>85</v>
      </c>
      <c r="D45" s="46" t="s">
        <v>86</v>
      </c>
      <c r="E45" s="34">
        <f t="shared" si="1"/>
        <v>36318</v>
      </c>
      <c r="F45" s="34">
        <f t="shared" si="1"/>
        <v>38109</v>
      </c>
      <c r="G45" s="34">
        <f t="shared" si="1"/>
        <v>48691</v>
      </c>
      <c r="H45" s="35">
        <v>5561</v>
      </c>
      <c r="I45" s="35">
        <v>1047</v>
      </c>
      <c r="J45" s="39">
        <v>5967</v>
      </c>
      <c r="K45" s="35">
        <v>2119</v>
      </c>
      <c r="L45" s="35">
        <v>6867</v>
      </c>
      <c r="M45" s="39">
        <v>7335</v>
      </c>
      <c r="N45" s="35">
        <v>2197</v>
      </c>
      <c r="O45" s="35">
        <v>5878</v>
      </c>
      <c r="P45" s="39">
        <v>9564</v>
      </c>
      <c r="Q45" s="35">
        <v>7324</v>
      </c>
      <c r="R45" s="35">
        <v>6015</v>
      </c>
      <c r="S45" s="39">
        <v>2452</v>
      </c>
      <c r="T45" s="35">
        <v>2031</v>
      </c>
      <c r="U45" s="35">
        <v>1039</v>
      </c>
      <c r="V45" s="39">
        <v>1313</v>
      </c>
      <c r="W45" s="35">
        <v>3911</v>
      </c>
      <c r="X45" s="35">
        <v>9445</v>
      </c>
      <c r="Y45" s="39">
        <v>8687</v>
      </c>
      <c r="Z45" s="35">
        <v>6059</v>
      </c>
      <c r="AA45" s="35">
        <v>2675</v>
      </c>
      <c r="AB45" s="39">
        <v>6091</v>
      </c>
      <c r="AC45" s="35">
        <v>7116</v>
      </c>
      <c r="AD45" s="35">
        <v>5143</v>
      </c>
      <c r="AE45" s="39">
        <v>7282</v>
      </c>
      <c r="AF45" s="35">
        <v>5423</v>
      </c>
      <c r="AG45" s="35">
        <v>400</v>
      </c>
      <c r="AH45" s="39">
        <v>1922</v>
      </c>
      <c r="AI45" s="35">
        <v>4287</v>
      </c>
      <c r="AJ45" s="35">
        <v>8146</v>
      </c>
      <c r="AK45" s="39">
        <v>495</v>
      </c>
      <c r="AL45" s="35">
        <v>7443</v>
      </c>
      <c r="AM45" s="35">
        <v>2617</v>
      </c>
      <c r="AN45" s="39">
        <v>2372</v>
      </c>
      <c r="AO45" s="35">
        <v>276</v>
      </c>
      <c r="AP45" s="35">
        <v>2725</v>
      </c>
      <c r="AQ45" s="39">
        <v>1197</v>
      </c>
    </row>
    <row r="46" spans="1:43" s="5" customFormat="1" ht="15" customHeight="1" x14ac:dyDescent="0.25">
      <c r="A46" s="21">
        <v>43</v>
      </c>
      <c r="B46" s="33" t="s">
        <v>61</v>
      </c>
      <c r="C46" s="46" t="s">
        <v>85</v>
      </c>
      <c r="D46" s="45" t="s">
        <v>81</v>
      </c>
      <c r="E46" s="34">
        <f t="shared" si="1"/>
        <v>37966</v>
      </c>
      <c r="F46" s="34">
        <f t="shared" si="1"/>
        <v>39663</v>
      </c>
      <c r="G46" s="34">
        <f t="shared" si="1"/>
        <v>39852</v>
      </c>
      <c r="H46" s="35">
        <v>6708</v>
      </c>
      <c r="I46" s="35">
        <v>8474</v>
      </c>
      <c r="J46" s="39">
        <v>4189</v>
      </c>
      <c r="K46" s="35">
        <v>4883</v>
      </c>
      <c r="L46" s="35">
        <v>167</v>
      </c>
      <c r="M46" s="39">
        <v>9377</v>
      </c>
      <c r="N46" s="35">
        <v>2432</v>
      </c>
      <c r="O46" s="35">
        <v>5024</v>
      </c>
      <c r="P46" s="39">
        <v>4299</v>
      </c>
      <c r="Q46" s="35">
        <v>7339</v>
      </c>
      <c r="R46" s="35">
        <v>2083</v>
      </c>
      <c r="S46" s="39">
        <v>3598</v>
      </c>
      <c r="T46" s="35">
        <v>4886</v>
      </c>
      <c r="U46" s="35">
        <v>1836</v>
      </c>
      <c r="V46" s="39">
        <v>1500</v>
      </c>
      <c r="W46" s="35">
        <v>44</v>
      </c>
      <c r="X46" s="35">
        <v>5802</v>
      </c>
      <c r="Y46" s="39">
        <v>9052</v>
      </c>
      <c r="Z46" s="35">
        <v>9073</v>
      </c>
      <c r="AA46" s="35">
        <v>9655</v>
      </c>
      <c r="AB46" s="39">
        <v>391</v>
      </c>
      <c r="AC46" s="35">
        <v>2601</v>
      </c>
      <c r="AD46" s="35">
        <v>6622</v>
      </c>
      <c r="AE46" s="39">
        <v>7446</v>
      </c>
      <c r="AF46" s="35">
        <v>8747</v>
      </c>
      <c r="AG46" s="35">
        <v>9178</v>
      </c>
      <c r="AH46" s="39">
        <v>4345</v>
      </c>
      <c r="AI46" s="35">
        <v>8512</v>
      </c>
      <c r="AJ46" s="35">
        <v>3952</v>
      </c>
      <c r="AK46" s="39">
        <v>3141</v>
      </c>
      <c r="AL46" s="35">
        <v>8417</v>
      </c>
      <c r="AM46" s="35">
        <v>7601</v>
      </c>
      <c r="AN46" s="39">
        <v>8857</v>
      </c>
      <c r="AO46" s="35">
        <v>7218</v>
      </c>
      <c r="AP46" s="35">
        <v>6800</v>
      </c>
      <c r="AQ46" s="39">
        <v>42</v>
      </c>
    </row>
    <row r="47" spans="1:43" s="5" customFormat="1" ht="15" customHeight="1" x14ac:dyDescent="0.25">
      <c r="A47" s="21">
        <v>44</v>
      </c>
      <c r="B47" s="33" t="s">
        <v>62</v>
      </c>
      <c r="C47" s="46" t="s">
        <v>85</v>
      </c>
      <c r="D47" s="21" t="s">
        <v>75</v>
      </c>
      <c r="E47" s="34">
        <f t="shared" si="1"/>
        <v>29874</v>
      </c>
      <c r="F47" s="34">
        <f t="shared" si="1"/>
        <v>34741</v>
      </c>
      <c r="G47" s="34">
        <f t="shared" si="1"/>
        <v>30393</v>
      </c>
      <c r="H47" s="35">
        <v>2245</v>
      </c>
      <c r="I47" s="35">
        <v>825</v>
      </c>
      <c r="J47" s="39">
        <v>7889</v>
      </c>
      <c r="K47" s="35">
        <v>2431</v>
      </c>
      <c r="L47" s="35">
        <v>3240</v>
      </c>
      <c r="M47" s="39">
        <v>5912</v>
      </c>
      <c r="N47" s="35">
        <v>3826</v>
      </c>
      <c r="O47" s="35">
        <v>8307</v>
      </c>
      <c r="P47" s="39">
        <v>611</v>
      </c>
      <c r="Q47" s="35">
        <v>754</v>
      </c>
      <c r="R47" s="35">
        <v>2654</v>
      </c>
      <c r="S47" s="39">
        <v>3588</v>
      </c>
      <c r="T47" s="35">
        <v>899</v>
      </c>
      <c r="U47" s="35">
        <v>5820</v>
      </c>
      <c r="V47" s="39">
        <v>2067</v>
      </c>
      <c r="W47" s="35">
        <v>6945</v>
      </c>
      <c r="X47" s="35">
        <v>4998</v>
      </c>
      <c r="Y47" s="39">
        <v>2441</v>
      </c>
      <c r="Z47" s="35">
        <v>3133</v>
      </c>
      <c r="AA47" s="35">
        <v>4610</v>
      </c>
      <c r="AB47" s="41">
        <v>6767</v>
      </c>
      <c r="AC47" s="35">
        <v>9641</v>
      </c>
      <c r="AD47" s="35">
        <v>4287</v>
      </c>
      <c r="AE47" s="39">
        <v>1118</v>
      </c>
      <c r="AF47" s="35">
        <v>8483</v>
      </c>
      <c r="AG47" s="35">
        <v>5925</v>
      </c>
      <c r="AH47" s="39">
        <v>1015</v>
      </c>
      <c r="AI47" s="35">
        <v>3803</v>
      </c>
      <c r="AJ47" s="35">
        <v>1192</v>
      </c>
      <c r="AK47" s="39">
        <v>5014</v>
      </c>
      <c r="AL47" s="35">
        <v>950</v>
      </c>
      <c r="AM47" s="35">
        <v>9673</v>
      </c>
      <c r="AN47" s="39">
        <v>4218</v>
      </c>
      <c r="AO47" s="35">
        <v>7154</v>
      </c>
      <c r="AP47" s="35">
        <v>7307</v>
      </c>
      <c r="AQ47" s="39">
        <v>8247</v>
      </c>
    </row>
    <row r="48" spans="1:43" s="5" customFormat="1" ht="15" customHeight="1" x14ac:dyDescent="0.25">
      <c r="A48" s="21">
        <v>45</v>
      </c>
      <c r="B48" s="33" t="s">
        <v>63</v>
      </c>
      <c r="C48" s="46" t="s">
        <v>85</v>
      </c>
      <c r="D48" s="45" t="s">
        <v>81</v>
      </c>
      <c r="E48" s="34">
        <f t="shared" si="1"/>
        <v>22096</v>
      </c>
      <c r="F48" s="34">
        <f t="shared" si="1"/>
        <v>51728</v>
      </c>
      <c r="G48" s="34">
        <f t="shared" si="1"/>
        <v>51837</v>
      </c>
      <c r="H48" s="35">
        <v>215</v>
      </c>
      <c r="I48" s="35">
        <v>1773</v>
      </c>
      <c r="J48" s="35">
        <v>6365</v>
      </c>
      <c r="K48" s="35">
        <v>1953</v>
      </c>
      <c r="L48" s="35">
        <v>1893</v>
      </c>
      <c r="M48" s="35">
        <v>7974</v>
      </c>
      <c r="N48" s="35">
        <v>1972</v>
      </c>
      <c r="O48" s="35">
        <v>9087</v>
      </c>
      <c r="P48" s="35">
        <v>7983</v>
      </c>
      <c r="Q48" s="35">
        <v>4139</v>
      </c>
      <c r="R48" s="35">
        <v>9832</v>
      </c>
      <c r="S48" s="39">
        <v>604</v>
      </c>
      <c r="T48" s="35">
        <v>361</v>
      </c>
      <c r="U48" s="35">
        <v>8762</v>
      </c>
      <c r="V48" s="39">
        <v>758</v>
      </c>
      <c r="W48" s="35">
        <v>4320</v>
      </c>
      <c r="X48" s="35">
        <v>8992</v>
      </c>
      <c r="Y48" s="39">
        <v>9841</v>
      </c>
      <c r="Z48" s="35">
        <v>4090</v>
      </c>
      <c r="AA48" s="35">
        <v>1883</v>
      </c>
      <c r="AB48" s="39">
        <v>9477</v>
      </c>
      <c r="AC48" s="35">
        <v>5046</v>
      </c>
      <c r="AD48" s="35">
        <v>9506</v>
      </c>
      <c r="AE48" s="39">
        <v>8835</v>
      </c>
      <c r="AF48" s="35">
        <v>996</v>
      </c>
      <c r="AG48" s="35">
        <v>1672</v>
      </c>
      <c r="AH48" s="39">
        <v>3703</v>
      </c>
      <c r="AI48" s="35">
        <v>7166</v>
      </c>
      <c r="AJ48" s="35">
        <v>8988</v>
      </c>
      <c r="AK48" s="39">
        <v>2869</v>
      </c>
      <c r="AL48" s="35">
        <v>6469</v>
      </c>
      <c r="AM48" s="35">
        <v>9417</v>
      </c>
      <c r="AN48" s="39">
        <v>3740</v>
      </c>
      <c r="AO48" s="35">
        <v>7814</v>
      </c>
      <c r="AP48" s="35">
        <v>5975</v>
      </c>
      <c r="AQ48" s="39">
        <v>1194</v>
      </c>
    </row>
    <row r="49" spans="1:43" s="5" customFormat="1" ht="15" customHeight="1" x14ac:dyDescent="0.25">
      <c r="A49" s="21">
        <v>46</v>
      </c>
      <c r="B49" s="33" t="s">
        <v>64</v>
      </c>
      <c r="C49" s="46" t="s">
        <v>85</v>
      </c>
      <c r="D49" s="45" t="s">
        <v>81</v>
      </c>
      <c r="E49" s="34">
        <f t="shared" si="1"/>
        <v>31880</v>
      </c>
      <c r="F49" s="34">
        <f t="shared" si="1"/>
        <v>17133</v>
      </c>
      <c r="G49" s="34">
        <f t="shared" si="1"/>
        <v>39588</v>
      </c>
      <c r="H49" s="35">
        <v>2053</v>
      </c>
      <c r="I49" s="35">
        <v>979</v>
      </c>
      <c r="J49" s="35">
        <v>5735</v>
      </c>
      <c r="K49" s="35">
        <v>8632</v>
      </c>
      <c r="L49" s="35">
        <v>2406</v>
      </c>
      <c r="M49" s="35">
        <v>8665</v>
      </c>
      <c r="N49" s="35">
        <v>7335</v>
      </c>
      <c r="O49" s="35">
        <v>2146</v>
      </c>
      <c r="P49" s="35">
        <v>5820</v>
      </c>
      <c r="Q49" s="35">
        <v>563</v>
      </c>
      <c r="R49" s="35">
        <v>639</v>
      </c>
      <c r="S49" s="35">
        <v>4256</v>
      </c>
      <c r="T49" s="35">
        <v>2375</v>
      </c>
      <c r="U49" s="35">
        <v>6288</v>
      </c>
      <c r="V49" s="35">
        <v>3834</v>
      </c>
      <c r="W49" s="35">
        <v>4215</v>
      </c>
      <c r="X49" s="35">
        <v>1206</v>
      </c>
      <c r="Y49" s="35">
        <v>2326</v>
      </c>
      <c r="Z49" s="35">
        <v>3000</v>
      </c>
      <c r="AA49" s="35">
        <v>1144</v>
      </c>
      <c r="AB49" s="39">
        <v>682</v>
      </c>
      <c r="AC49" s="35">
        <v>3707</v>
      </c>
      <c r="AD49" s="35">
        <v>2325</v>
      </c>
      <c r="AE49" s="39">
        <v>8270</v>
      </c>
      <c r="AF49" s="35">
        <v>5641</v>
      </c>
      <c r="AG49" s="35">
        <v>3170</v>
      </c>
      <c r="AH49" s="39">
        <v>2570</v>
      </c>
      <c r="AI49" s="35">
        <v>1961</v>
      </c>
      <c r="AJ49" s="35">
        <v>827</v>
      </c>
      <c r="AK49" s="39">
        <v>4623</v>
      </c>
      <c r="AL49" s="35">
        <v>1119</v>
      </c>
      <c r="AM49" s="35">
        <v>650</v>
      </c>
      <c r="AN49" s="39">
        <v>3166</v>
      </c>
      <c r="AO49" s="35">
        <v>7026</v>
      </c>
      <c r="AP49" s="35">
        <v>9228</v>
      </c>
      <c r="AQ49" s="39">
        <v>7363</v>
      </c>
    </row>
    <row r="50" spans="1:43" s="5" customFormat="1" ht="15" customHeight="1" x14ac:dyDescent="0.25">
      <c r="A50" s="21">
        <v>47</v>
      </c>
      <c r="B50" s="33" t="s">
        <v>65</v>
      </c>
      <c r="C50" s="46" t="s">
        <v>85</v>
      </c>
      <c r="D50" s="45" t="s">
        <v>81</v>
      </c>
      <c r="E50" s="34">
        <f t="shared" si="1"/>
        <v>33001</v>
      </c>
      <c r="F50" s="34">
        <f t="shared" si="1"/>
        <v>40398</v>
      </c>
      <c r="G50" s="34">
        <f t="shared" si="1"/>
        <v>40653</v>
      </c>
      <c r="H50" s="35">
        <v>20</v>
      </c>
      <c r="I50" s="35">
        <v>2464</v>
      </c>
      <c r="J50" s="35">
        <v>2594</v>
      </c>
      <c r="K50" s="35">
        <v>3809</v>
      </c>
      <c r="L50" s="35">
        <v>6629</v>
      </c>
      <c r="M50" s="35">
        <v>1831</v>
      </c>
      <c r="N50" s="35">
        <v>6947</v>
      </c>
      <c r="O50" s="35">
        <v>1770</v>
      </c>
      <c r="P50" s="35">
        <v>9181</v>
      </c>
      <c r="Q50" s="35">
        <v>5474</v>
      </c>
      <c r="R50" s="35">
        <v>6376</v>
      </c>
      <c r="S50" s="35">
        <v>4312</v>
      </c>
      <c r="T50" s="35">
        <v>8790</v>
      </c>
      <c r="U50" s="35">
        <v>5468</v>
      </c>
      <c r="V50" s="35">
        <v>852</v>
      </c>
      <c r="W50" s="35">
        <v>27</v>
      </c>
      <c r="X50" s="35">
        <v>8429</v>
      </c>
      <c r="Y50" s="35">
        <v>8029</v>
      </c>
      <c r="Z50" s="35">
        <v>7387</v>
      </c>
      <c r="AA50" s="35">
        <v>8829</v>
      </c>
      <c r="AB50" s="35">
        <v>9085</v>
      </c>
      <c r="AC50" s="35">
        <v>547</v>
      </c>
      <c r="AD50" s="35">
        <v>433</v>
      </c>
      <c r="AE50" s="39">
        <v>4769</v>
      </c>
      <c r="AF50" s="35">
        <v>1531</v>
      </c>
      <c r="AG50" s="35">
        <v>5665</v>
      </c>
      <c r="AH50" s="39">
        <v>4293</v>
      </c>
      <c r="AI50" s="35">
        <v>9588</v>
      </c>
      <c r="AJ50" s="35">
        <v>5135</v>
      </c>
      <c r="AK50" s="39">
        <v>5454</v>
      </c>
      <c r="AL50" s="35">
        <v>3905</v>
      </c>
      <c r="AM50" s="35">
        <v>5538</v>
      </c>
      <c r="AN50" s="39">
        <v>3572</v>
      </c>
      <c r="AO50" s="35">
        <v>6169</v>
      </c>
      <c r="AP50" s="35">
        <v>2813</v>
      </c>
      <c r="AQ50" s="39">
        <v>4101</v>
      </c>
    </row>
    <row r="51" spans="1:43" s="5" customFormat="1" ht="15" customHeight="1" x14ac:dyDescent="0.25">
      <c r="A51" s="21">
        <v>48</v>
      </c>
      <c r="B51" s="33" t="s">
        <v>66</v>
      </c>
      <c r="C51" s="46" t="s">
        <v>85</v>
      </c>
      <c r="D51" s="45" t="s">
        <v>81</v>
      </c>
      <c r="E51" s="34">
        <f t="shared" si="1"/>
        <v>35021</v>
      </c>
      <c r="F51" s="34">
        <f t="shared" si="1"/>
        <v>37659</v>
      </c>
      <c r="G51" s="34">
        <f t="shared" si="1"/>
        <v>41265</v>
      </c>
      <c r="H51" s="35">
        <v>3726</v>
      </c>
      <c r="I51" s="35">
        <v>1504</v>
      </c>
      <c r="J51" s="35">
        <v>6935</v>
      </c>
      <c r="K51" s="35">
        <v>1104</v>
      </c>
      <c r="L51" s="35">
        <v>4549</v>
      </c>
      <c r="M51" s="35">
        <v>3593</v>
      </c>
      <c r="N51" s="35">
        <v>3062</v>
      </c>
      <c r="O51" s="35">
        <v>5789</v>
      </c>
      <c r="P51" s="35">
        <v>1353</v>
      </c>
      <c r="Q51" s="35">
        <v>226</v>
      </c>
      <c r="R51" s="35">
        <v>9963</v>
      </c>
      <c r="S51" s="35">
        <v>9504</v>
      </c>
      <c r="T51" s="35">
        <v>7596</v>
      </c>
      <c r="U51" s="35">
        <v>3054</v>
      </c>
      <c r="V51" s="35">
        <v>6520</v>
      </c>
      <c r="W51" s="35">
        <v>6329</v>
      </c>
      <c r="X51" s="35">
        <v>7651</v>
      </c>
      <c r="Y51" s="35">
        <v>139</v>
      </c>
      <c r="Z51" s="35">
        <v>7080</v>
      </c>
      <c r="AA51" s="35">
        <v>1607</v>
      </c>
      <c r="AB51" s="35">
        <v>6747</v>
      </c>
      <c r="AC51" s="35">
        <v>5898</v>
      </c>
      <c r="AD51" s="35">
        <v>3542</v>
      </c>
      <c r="AE51" s="35">
        <v>6474</v>
      </c>
      <c r="AF51" s="35">
        <v>5541</v>
      </c>
      <c r="AG51" s="35">
        <v>2468</v>
      </c>
      <c r="AH51" s="39">
        <v>2491</v>
      </c>
      <c r="AI51" s="35">
        <v>9961</v>
      </c>
      <c r="AJ51" s="35">
        <v>9397</v>
      </c>
      <c r="AK51" s="39">
        <v>1634</v>
      </c>
      <c r="AL51" s="35">
        <v>5866</v>
      </c>
      <c r="AM51" s="35">
        <v>4188</v>
      </c>
      <c r="AN51" s="39">
        <v>7175</v>
      </c>
      <c r="AO51" s="35">
        <v>4589</v>
      </c>
      <c r="AP51" s="35">
        <v>4702</v>
      </c>
      <c r="AQ51" s="35">
        <v>228</v>
      </c>
    </row>
    <row r="52" spans="1:43" s="5" customFormat="1" ht="15" customHeight="1" x14ac:dyDescent="0.25">
      <c r="A52" s="21">
        <v>49</v>
      </c>
      <c r="B52" s="33" t="s">
        <v>67</v>
      </c>
      <c r="C52" s="46" t="s">
        <v>85</v>
      </c>
      <c r="D52" s="45" t="s">
        <v>81</v>
      </c>
      <c r="E52" s="34">
        <f t="shared" si="1"/>
        <v>40898</v>
      </c>
      <c r="F52" s="34">
        <f t="shared" si="1"/>
        <v>35616</v>
      </c>
      <c r="G52" s="34">
        <f t="shared" si="1"/>
        <v>48626</v>
      </c>
      <c r="H52" s="35">
        <v>3498</v>
      </c>
      <c r="I52" s="35">
        <v>4595</v>
      </c>
      <c r="J52" s="35">
        <v>8633</v>
      </c>
      <c r="K52" s="35">
        <v>7528</v>
      </c>
      <c r="L52" s="35">
        <v>9848</v>
      </c>
      <c r="M52" s="35">
        <v>9993</v>
      </c>
      <c r="N52" s="35">
        <v>8119</v>
      </c>
      <c r="O52" s="35">
        <v>4430</v>
      </c>
      <c r="P52" s="35">
        <v>9285</v>
      </c>
      <c r="Q52" s="35">
        <v>8732</v>
      </c>
      <c r="R52" s="35">
        <v>6327</v>
      </c>
      <c r="S52" s="35">
        <v>8925</v>
      </c>
      <c r="T52" s="35">
        <v>4519</v>
      </c>
      <c r="U52" s="35">
        <v>3927</v>
      </c>
      <c r="V52" s="35">
        <v>545</v>
      </c>
      <c r="W52" s="35">
        <v>503</v>
      </c>
      <c r="X52" s="35">
        <v>1863</v>
      </c>
      <c r="Y52" s="35">
        <v>3643</v>
      </c>
      <c r="Z52" s="35">
        <v>5660</v>
      </c>
      <c r="AA52" s="35">
        <v>365</v>
      </c>
      <c r="AB52" s="35">
        <v>463</v>
      </c>
      <c r="AC52" s="35">
        <v>2339</v>
      </c>
      <c r="AD52" s="35">
        <v>4261</v>
      </c>
      <c r="AE52" s="35">
        <v>7139</v>
      </c>
      <c r="AF52" s="35">
        <v>9016</v>
      </c>
      <c r="AG52" s="35">
        <v>9314</v>
      </c>
      <c r="AH52" s="39">
        <v>355</v>
      </c>
      <c r="AI52" s="35">
        <v>361</v>
      </c>
      <c r="AJ52" s="35">
        <v>3509</v>
      </c>
      <c r="AK52" s="39">
        <v>4684</v>
      </c>
      <c r="AL52" s="35">
        <v>7148</v>
      </c>
      <c r="AM52" s="35">
        <v>2888</v>
      </c>
      <c r="AN52" s="35">
        <v>2349</v>
      </c>
      <c r="AO52" s="35">
        <v>5743</v>
      </c>
      <c r="AP52" s="35">
        <v>2006</v>
      </c>
      <c r="AQ52" s="35">
        <v>6809</v>
      </c>
    </row>
    <row r="53" spans="1:43" s="5" customFormat="1" ht="15" customHeight="1" x14ac:dyDescent="0.25">
      <c r="A53" s="21">
        <v>50</v>
      </c>
      <c r="B53" s="33" t="s">
        <v>68</v>
      </c>
      <c r="C53" s="46" t="s">
        <v>85</v>
      </c>
      <c r="D53" s="45" t="s">
        <v>81</v>
      </c>
      <c r="E53" s="34">
        <f t="shared" si="1"/>
        <v>49582</v>
      </c>
      <c r="F53" s="34">
        <f t="shared" si="1"/>
        <v>44520</v>
      </c>
      <c r="G53" s="34">
        <f t="shared" si="1"/>
        <v>36463</v>
      </c>
      <c r="H53" s="35">
        <v>5069</v>
      </c>
      <c r="I53" s="35">
        <v>2198</v>
      </c>
      <c r="J53" s="35">
        <v>194</v>
      </c>
      <c r="K53" s="35">
        <v>8221</v>
      </c>
      <c r="L53" s="35">
        <v>9817</v>
      </c>
      <c r="M53" s="35">
        <v>9954</v>
      </c>
      <c r="N53" s="35">
        <v>3017</v>
      </c>
      <c r="O53" s="35">
        <v>9309</v>
      </c>
      <c r="P53" s="35">
        <v>1022</v>
      </c>
      <c r="Q53" s="35">
        <v>9245</v>
      </c>
      <c r="R53" s="35">
        <v>7643</v>
      </c>
      <c r="S53" s="35">
        <v>1056</v>
      </c>
      <c r="T53" s="35">
        <v>9107</v>
      </c>
      <c r="U53" s="35">
        <v>1168</v>
      </c>
      <c r="V53" s="35">
        <v>6537</v>
      </c>
      <c r="W53" s="35">
        <v>857</v>
      </c>
      <c r="X53" s="35">
        <v>3718</v>
      </c>
      <c r="Y53" s="35">
        <v>4946</v>
      </c>
      <c r="Z53" s="35">
        <v>5724</v>
      </c>
      <c r="AA53" s="35">
        <v>3421</v>
      </c>
      <c r="AB53" s="35">
        <v>6108</v>
      </c>
      <c r="AC53" s="35">
        <v>8342</v>
      </c>
      <c r="AD53" s="35">
        <v>7246</v>
      </c>
      <c r="AE53" s="35">
        <v>6646</v>
      </c>
      <c r="AF53" s="35">
        <v>3153</v>
      </c>
      <c r="AG53" s="35">
        <v>8796</v>
      </c>
      <c r="AH53" s="39">
        <v>6814</v>
      </c>
      <c r="AI53" s="35">
        <v>5161</v>
      </c>
      <c r="AJ53" s="35">
        <v>3401</v>
      </c>
      <c r="AK53" s="39">
        <v>3227</v>
      </c>
      <c r="AL53" s="35">
        <v>2388</v>
      </c>
      <c r="AM53" s="35">
        <v>5142</v>
      </c>
      <c r="AN53" s="35">
        <v>932</v>
      </c>
      <c r="AO53" s="35">
        <v>1012</v>
      </c>
      <c r="AP53" s="35">
        <v>689</v>
      </c>
      <c r="AQ53" s="35">
        <v>8591</v>
      </c>
    </row>
    <row r="54" spans="1:43" s="5" customFormat="1" ht="15" customHeight="1" x14ac:dyDescent="0.25">
      <c r="A54" s="21">
        <v>51</v>
      </c>
      <c r="B54" s="33" t="s">
        <v>69</v>
      </c>
      <c r="C54" s="46" t="s">
        <v>85</v>
      </c>
      <c r="D54" s="45" t="s">
        <v>81</v>
      </c>
      <c r="E54" s="34">
        <f t="shared" si="1"/>
        <v>45377</v>
      </c>
      <c r="F54" s="34">
        <f t="shared" si="1"/>
        <v>36044</v>
      </c>
      <c r="G54" s="34">
        <f t="shared" si="1"/>
        <v>39180</v>
      </c>
      <c r="H54" s="35">
        <v>1574</v>
      </c>
      <c r="I54" s="35">
        <v>5112</v>
      </c>
      <c r="J54" s="35">
        <v>1910</v>
      </c>
      <c r="K54" s="35">
        <v>3346</v>
      </c>
      <c r="L54" s="35">
        <v>6617</v>
      </c>
      <c r="M54" s="35">
        <v>5359</v>
      </c>
      <c r="N54" s="35">
        <v>6263</v>
      </c>
      <c r="O54" s="35">
        <v>4388</v>
      </c>
      <c r="P54" s="35">
        <v>1157</v>
      </c>
      <c r="Q54" s="35">
        <v>4253</v>
      </c>
      <c r="R54" s="35">
        <v>5364</v>
      </c>
      <c r="S54" s="35">
        <v>6921</v>
      </c>
      <c r="T54" s="35">
        <v>9797</v>
      </c>
      <c r="U54" s="35">
        <v>813</v>
      </c>
      <c r="V54" s="35">
        <v>8206</v>
      </c>
      <c r="W54" s="35">
        <v>8423</v>
      </c>
      <c r="X54" s="35">
        <v>4262</v>
      </c>
      <c r="Y54" s="35">
        <v>8668</v>
      </c>
      <c r="Z54" s="35">
        <v>7046</v>
      </c>
      <c r="AA54" s="35">
        <v>8231</v>
      </c>
      <c r="AB54" s="35">
        <v>1112</v>
      </c>
      <c r="AC54" s="35">
        <v>4675</v>
      </c>
      <c r="AD54" s="35">
        <v>1257</v>
      </c>
      <c r="AE54" s="35">
        <v>5847</v>
      </c>
      <c r="AF54" s="35">
        <v>9089</v>
      </c>
      <c r="AG54" s="35">
        <v>414</v>
      </c>
      <c r="AH54" s="39">
        <v>5955</v>
      </c>
      <c r="AI54" s="35">
        <v>5799</v>
      </c>
      <c r="AJ54" s="35">
        <v>5630</v>
      </c>
      <c r="AK54" s="35">
        <v>3733</v>
      </c>
      <c r="AL54" s="35">
        <v>3146</v>
      </c>
      <c r="AM54" s="35">
        <v>24</v>
      </c>
      <c r="AN54" s="35">
        <v>2133</v>
      </c>
      <c r="AO54" s="35">
        <v>6289</v>
      </c>
      <c r="AP54" s="35">
        <v>3928</v>
      </c>
      <c r="AQ54" s="35">
        <v>9288</v>
      </c>
    </row>
    <row r="55" spans="1:43" s="5" customFormat="1" ht="15" customHeight="1" x14ac:dyDescent="0.25">
      <c r="A55" s="21">
        <v>52</v>
      </c>
      <c r="B55" s="33" t="s">
        <v>70</v>
      </c>
      <c r="C55" s="46" t="s">
        <v>85</v>
      </c>
      <c r="D55" s="45" t="s">
        <v>81</v>
      </c>
      <c r="E55" s="34">
        <f t="shared" si="1"/>
        <v>37905</v>
      </c>
      <c r="F55" s="34">
        <f t="shared" si="1"/>
        <v>45129</v>
      </c>
      <c r="G55" s="34">
        <f t="shared" si="1"/>
        <v>35147</v>
      </c>
      <c r="H55" s="35">
        <v>1419</v>
      </c>
      <c r="I55" s="35">
        <v>7355</v>
      </c>
      <c r="J55" s="35">
        <v>3843</v>
      </c>
      <c r="K55" s="35">
        <v>8390</v>
      </c>
      <c r="L55" s="35">
        <v>7113</v>
      </c>
      <c r="M55" s="35">
        <v>2088</v>
      </c>
      <c r="N55" s="35">
        <v>8575</v>
      </c>
      <c r="O55" s="35">
        <v>9869</v>
      </c>
      <c r="P55" s="35">
        <v>3650</v>
      </c>
      <c r="Q55" s="35">
        <v>2256</v>
      </c>
      <c r="R55" s="35">
        <v>397</v>
      </c>
      <c r="S55" s="35">
        <v>4772</v>
      </c>
      <c r="T55" s="35">
        <v>589</v>
      </c>
      <c r="U55" s="35">
        <v>5140</v>
      </c>
      <c r="V55" s="35">
        <v>4189</v>
      </c>
      <c r="W55" s="35">
        <v>7989</v>
      </c>
      <c r="X55" s="35">
        <v>5077</v>
      </c>
      <c r="Y55" s="35">
        <v>4702</v>
      </c>
      <c r="Z55" s="35">
        <v>5198</v>
      </c>
      <c r="AA55" s="35">
        <v>9432</v>
      </c>
      <c r="AB55" s="35">
        <v>5580</v>
      </c>
      <c r="AC55" s="35">
        <v>3489</v>
      </c>
      <c r="AD55" s="35">
        <v>746</v>
      </c>
      <c r="AE55" s="35">
        <v>6323</v>
      </c>
      <c r="AF55" s="35">
        <v>3621</v>
      </c>
      <c r="AG55" s="35">
        <v>5744</v>
      </c>
      <c r="AH55" s="35">
        <v>4508</v>
      </c>
      <c r="AI55" s="35">
        <v>893</v>
      </c>
      <c r="AJ55" s="35">
        <v>8100</v>
      </c>
      <c r="AK55" s="35">
        <v>8964</v>
      </c>
      <c r="AL55" s="35">
        <v>5347</v>
      </c>
      <c r="AM55" s="35">
        <v>1766</v>
      </c>
      <c r="AN55" s="35">
        <v>2649</v>
      </c>
      <c r="AO55" s="35">
        <v>5146</v>
      </c>
      <c r="AP55" s="35">
        <v>5289</v>
      </c>
      <c r="AQ55" s="35">
        <v>651</v>
      </c>
    </row>
    <row r="56" spans="1:43" s="5" customFormat="1" ht="15" customHeight="1" x14ac:dyDescent="0.25">
      <c r="A56" s="21">
        <v>53</v>
      </c>
      <c r="B56" s="33" t="s">
        <v>71</v>
      </c>
      <c r="C56" s="46" t="s">
        <v>85</v>
      </c>
      <c r="D56" s="45" t="s">
        <v>82</v>
      </c>
      <c r="E56" s="34">
        <f t="shared" si="1"/>
        <v>40724</v>
      </c>
      <c r="F56" s="34">
        <f t="shared" si="1"/>
        <v>52002</v>
      </c>
      <c r="G56" s="34">
        <f t="shared" si="1"/>
        <v>45493</v>
      </c>
      <c r="H56" s="35">
        <v>5804</v>
      </c>
      <c r="I56" s="35">
        <v>5210</v>
      </c>
      <c r="J56" s="35">
        <v>2419</v>
      </c>
      <c r="K56" s="35">
        <v>4286</v>
      </c>
      <c r="L56" s="35">
        <v>7974</v>
      </c>
      <c r="M56" s="35">
        <v>212</v>
      </c>
      <c r="N56" s="35">
        <v>622</v>
      </c>
      <c r="O56" s="35">
        <v>6729</v>
      </c>
      <c r="P56" s="35">
        <v>9598</v>
      </c>
      <c r="Q56" s="35">
        <v>716</v>
      </c>
      <c r="R56" s="35">
        <v>3018</v>
      </c>
      <c r="S56" s="35">
        <v>7008</v>
      </c>
      <c r="T56" s="35">
        <v>4047</v>
      </c>
      <c r="U56" s="35">
        <v>9287</v>
      </c>
      <c r="V56" s="35">
        <v>8138</v>
      </c>
      <c r="W56" s="35">
        <v>9793</v>
      </c>
      <c r="X56" s="35">
        <v>3856</v>
      </c>
      <c r="Y56" s="35">
        <v>7534</v>
      </c>
      <c r="Z56" s="35">
        <v>8905</v>
      </c>
      <c r="AA56" s="35">
        <v>6077</v>
      </c>
      <c r="AB56" s="35">
        <v>8764</v>
      </c>
      <c r="AC56" s="35">
        <v>6551</v>
      </c>
      <c r="AD56" s="35">
        <v>9851</v>
      </c>
      <c r="AE56" s="35">
        <v>1820</v>
      </c>
      <c r="AF56" s="35">
        <v>4463</v>
      </c>
      <c r="AG56" s="35">
        <v>2855</v>
      </c>
      <c r="AH56" s="35">
        <v>304</v>
      </c>
      <c r="AI56" s="35">
        <v>3877</v>
      </c>
      <c r="AJ56" s="35">
        <v>4973</v>
      </c>
      <c r="AK56" s="35">
        <v>4526</v>
      </c>
      <c r="AL56" s="35">
        <v>2801</v>
      </c>
      <c r="AM56" s="35">
        <v>6199</v>
      </c>
      <c r="AN56" s="35">
        <v>6218</v>
      </c>
      <c r="AO56" s="35">
        <v>8548</v>
      </c>
      <c r="AP56" s="35">
        <v>7140</v>
      </c>
      <c r="AQ56" s="35">
        <v>7337</v>
      </c>
    </row>
    <row r="57" spans="1:43" s="5" customFormat="1" ht="15" customHeight="1" x14ac:dyDescent="0.25">
      <c r="A57" s="21">
        <v>54</v>
      </c>
      <c r="B57" s="33" t="s">
        <v>72</v>
      </c>
      <c r="C57" s="46" t="s">
        <v>85</v>
      </c>
      <c r="D57" s="45" t="s">
        <v>81</v>
      </c>
      <c r="E57" s="34">
        <f t="shared" si="1"/>
        <v>31375</v>
      </c>
      <c r="F57" s="34">
        <f t="shared" si="1"/>
        <v>33669</v>
      </c>
      <c r="G57" s="34">
        <f t="shared" si="1"/>
        <v>44304</v>
      </c>
      <c r="H57" s="35">
        <v>4659</v>
      </c>
      <c r="I57" s="35">
        <v>2360</v>
      </c>
      <c r="J57" s="35">
        <v>1920</v>
      </c>
      <c r="K57" s="35">
        <v>3918</v>
      </c>
      <c r="L57" s="35">
        <v>7464</v>
      </c>
      <c r="M57" s="35">
        <v>2853</v>
      </c>
      <c r="N57" s="35">
        <v>1026</v>
      </c>
      <c r="O57" s="35">
        <v>3827</v>
      </c>
      <c r="P57" s="35">
        <v>8570</v>
      </c>
      <c r="Q57" s="35">
        <v>2198</v>
      </c>
      <c r="R57" s="35">
        <v>5881</v>
      </c>
      <c r="S57" s="35">
        <v>8084</v>
      </c>
      <c r="T57" s="35">
        <v>9812</v>
      </c>
      <c r="U57" s="35">
        <v>1102</v>
      </c>
      <c r="V57" s="35">
        <v>2991</v>
      </c>
      <c r="W57" s="35">
        <v>1540</v>
      </c>
      <c r="X57" s="35">
        <v>5614</v>
      </c>
      <c r="Y57" s="35">
        <v>4857</v>
      </c>
      <c r="Z57" s="35">
        <v>5070</v>
      </c>
      <c r="AA57" s="35">
        <v>4731</v>
      </c>
      <c r="AB57" s="35">
        <v>7459</v>
      </c>
      <c r="AC57" s="35">
        <v>3152</v>
      </c>
      <c r="AD57" s="35">
        <v>2690</v>
      </c>
      <c r="AE57" s="35">
        <v>7570</v>
      </c>
      <c r="AF57" s="35">
        <v>7971</v>
      </c>
      <c r="AG57" s="35">
        <v>1776</v>
      </c>
      <c r="AH57" s="35">
        <v>2839</v>
      </c>
      <c r="AI57" s="35">
        <v>3309</v>
      </c>
      <c r="AJ57" s="35">
        <v>1145</v>
      </c>
      <c r="AK57" s="35">
        <v>5183</v>
      </c>
      <c r="AL57" s="35">
        <v>3575</v>
      </c>
      <c r="AM57" s="35">
        <v>3701</v>
      </c>
      <c r="AN57" s="35">
        <v>2048</v>
      </c>
      <c r="AO57" s="35">
        <v>1429</v>
      </c>
      <c r="AP57" s="35">
        <v>6403</v>
      </c>
      <c r="AQ57" s="35">
        <v>5470</v>
      </c>
    </row>
    <row r="58" spans="1:43" s="4" customFormat="1" ht="15" customHeight="1" x14ac:dyDescent="0.25">
      <c r="A58" s="21">
        <v>55</v>
      </c>
      <c r="B58" s="36" t="s">
        <v>73</v>
      </c>
      <c r="C58" s="36"/>
      <c r="D58" s="36"/>
      <c r="E58" s="31">
        <f t="shared" si="1"/>
        <v>472017</v>
      </c>
      <c r="F58" s="31">
        <f t="shared" si="1"/>
        <v>506411</v>
      </c>
      <c r="G58" s="31">
        <f t="shared" si="1"/>
        <v>541492</v>
      </c>
      <c r="H58" s="32">
        <f t="shared" ref="H58:AQ58" si="7">SUM(H45:H57)</f>
        <v>42551</v>
      </c>
      <c r="I58" s="32">
        <f t="shared" si="7"/>
        <v>43896</v>
      </c>
      <c r="J58" s="32">
        <f t="shared" si="7"/>
        <v>58593</v>
      </c>
      <c r="K58" s="32">
        <f t="shared" si="7"/>
        <v>60620</v>
      </c>
      <c r="L58" s="32">
        <f t="shared" si="7"/>
        <v>74584</v>
      </c>
      <c r="M58" s="32">
        <f t="shared" si="7"/>
        <v>75146</v>
      </c>
      <c r="N58" s="32">
        <f t="shared" si="7"/>
        <v>55393</v>
      </c>
      <c r="O58" s="32">
        <f t="shared" si="7"/>
        <v>76553</v>
      </c>
      <c r="P58" s="32">
        <f t="shared" si="7"/>
        <v>72093</v>
      </c>
      <c r="Q58" s="32">
        <f t="shared" si="7"/>
        <v>53219</v>
      </c>
      <c r="R58" s="32">
        <f t="shared" si="7"/>
        <v>66192</v>
      </c>
      <c r="S58" s="32">
        <f t="shared" si="7"/>
        <v>65080</v>
      </c>
      <c r="T58" s="32">
        <f t="shared" si="7"/>
        <v>64809</v>
      </c>
      <c r="U58" s="32">
        <f t="shared" si="7"/>
        <v>53704</v>
      </c>
      <c r="V58" s="32">
        <f t="shared" si="7"/>
        <v>47450</v>
      </c>
      <c r="W58" s="32">
        <f t="shared" si="7"/>
        <v>54896</v>
      </c>
      <c r="X58" s="32">
        <f t="shared" si="7"/>
        <v>70913</v>
      </c>
      <c r="Y58" s="32">
        <f t="shared" si="7"/>
        <v>74865</v>
      </c>
      <c r="Z58" s="32">
        <f t="shared" si="7"/>
        <v>77425</v>
      </c>
      <c r="AA58" s="32">
        <f t="shared" si="7"/>
        <v>62660</v>
      </c>
      <c r="AB58" s="32">
        <f t="shared" si="7"/>
        <v>68726</v>
      </c>
      <c r="AC58" s="32">
        <f t="shared" si="7"/>
        <v>63104</v>
      </c>
      <c r="AD58" s="32">
        <f t="shared" si="7"/>
        <v>57909</v>
      </c>
      <c r="AE58" s="32">
        <f t="shared" si="7"/>
        <v>79539</v>
      </c>
      <c r="AF58" s="32">
        <f t="shared" si="7"/>
        <v>73675</v>
      </c>
      <c r="AG58" s="32">
        <f t="shared" si="7"/>
        <v>57377</v>
      </c>
      <c r="AH58" s="32">
        <f t="shared" si="7"/>
        <v>41114</v>
      </c>
      <c r="AI58" s="32">
        <f t="shared" si="7"/>
        <v>64678</v>
      </c>
      <c r="AJ58" s="32">
        <f t="shared" si="7"/>
        <v>64395</v>
      </c>
      <c r="AK58" s="32">
        <f t="shared" si="7"/>
        <v>53547</v>
      </c>
      <c r="AL58" s="32">
        <f t="shared" si="7"/>
        <v>58574</v>
      </c>
      <c r="AM58" s="32">
        <f t="shared" si="7"/>
        <v>59404</v>
      </c>
      <c r="AN58" s="32">
        <f t="shared" si="7"/>
        <v>49429</v>
      </c>
      <c r="AO58" s="32">
        <f t="shared" si="7"/>
        <v>68413</v>
      </c>
      <c r="AP58" s="32">
        <f t="shared" si="7"/>
        <v>65005</v>
      </c>
      <c r="AQ58" s="32">
        <f t="shared" si="7"/>
        <v>60518</v>
      </c>
    </row>
    <row r="59" spans="1:43" s="4" customFormat="1" ht="15" customHeight="1" x14ac:dyDescent="0.25">
      <c r="A59" s="21">
        <v>56</v>
      </c>
      <c r="B59" s="36" t="s">
        <v>74</v>
      </c>
      <c r="C59" s="36"/>
      <c r="D59" s="36"/>
      <c r="E59" s="31">
        <f t="shared" si="1"/>
        <v>-1455441</v>
      </c>
      <c r="F59" s="31">
        <f t="shared" si="1"/>
        <v>-1419581</v>
      </c>
      <c r="G59" s="31">
        <f t="shared" si="1"/>
        <v>-1429132</v>
      </c>
      <c r="H59" s="32">
        <f>H42+H44-H58</f>
        <v>-156740</v>
      </c>
      <c r="I59" s="32">
        <f t="shared" ref="I59:AQ59" si="8">I42+I44-I58</f>
        <v>-149365</v>
      </c>
      <c r="J59" s="32">
        <f t="shared" si="8"/>
        <v>-167600</v>
      </c>
      <c r="K59" s="32">
        <f t="shared" si="8"/>
        <v>-179016</v>
      </c>
      <c r="L59" s="32">
        <f t="shared" si="8"/>
        <v>-182925</v>
      </c>
      <c r="M59" s="32">
        <f t="shared" si="8"/>
        <v>-196514</v>
      </c>
      <c r="N59" s="32">
        <f t="shared" si="8"/>
        <v>-157919</v>
      </c>
      <c r="O59" s="32">
        <f t="shared" si="8"/>
        <v>-169773</v>
      </c>
      <c r="P59" s="32">
        <f t="shared" si="8"/>
        <v>-206025</v>
      </c>
      <c r="Q59" s="32">
        <f t="shared" si="8"/>
        <v>-181458</v>
      </c>
      <c r="R59" s="32">
        <f t="shared" si="8"/>
        <v>-186127</v>
      </c>
      <c r="S59" s="32">
        <f t="shared" si="8"/>
        <v>-165743</v>
      </c>
      <c r="T59" s="32">
        <f t="shared" si="8"/>
        <v>-182301</v>
      </c>
      <c r="U59" s="32">
        <f t="shared" si="8"/>
        <v>-177488</v>
      </c>
      <c r="V59" s="32">
        <f t="shared" si="8"/>
        <v>-160867</v>
      </c>
      <c r="W59" s="32">
        <f t="shared" si="8"/>
        <v>-187871</v>
      </c>
      <c r="X59" s="32">
        <f t="shared" si="8"/>
        <v>-195278</v>
      </c>
      <c r="Y59" s="32">
        <f t="shared" si="8"/>
        <v>-195463</v>
      </c>
      <c r="Z59" s="32">
        <f t="shared" si="8"/>
        <v>-198574</v>
      </c>
      <c r="AA59" s="32">
        <f t="shared" si="8"/>
        <v>-175092</v>
      </c>
      <c r="AB59" s="32">
        <f t="shared" si="8"/>
        <v>-161448</v>
      </c>
      <c r="AC59" s="32">
        <f t="shared" si="8"/>
        <v>-211562</v>
      </c>
      <c r="AD59" s="32">
        <f t="shared" si="8"/>
        <v>-183533</v>
      </c>
      <c r="AE59" s="32">
        <f t="shared" si="8"/>
        <v>-175472</v>
      </c>
      <c r="AF59" s="32">
        <f t="shared" si="8"/>
        <v>-178065</v>
      </c>
      <c r="AG59" s="32">
        <f t="shared" si="8"/>
        <v>-179784</v>
      </c>
      <c r="AH59" s="32">
        <f t="shared" si="8"/>
        <v>-145376</v>
      </c>
      <c r="AI59" s="32">
        <f t="shared" si="8"/>
        <v>-166791</v>
      </c>
      <c r="AJ59" s="32">
        <f t="shared" si="8"/>
        <v>-192714</v>
      </c>
      <c r="AK59" s="32">
        <f t="shared" si="8"/>
        <v>-194774</v>
      </c>
      <c r="AL59" s="32">
        <f t="shared" si="8"/>
        <v>-158393</v>
      </c>
      <c r="AM59" s="32">
        <f t="shared" si="8"/>
        <v>-176815</v>
      </c>
      <c r="AN59" s="32">
        <f t="shared" si="8"/>
        <v>-150840</v>
      </c>
      <c r="AO59" s="32">
        <f t="shared" si="8"/>
        <v>-200039</v>
      </c>
      <c r="AP59" s="32">
        <f t="shared" si="8"/>
        <v>-183913</v>
      </c>
      <c r="AQ59" s="32">
        <f t="shared" si="8"/>
        <v>-195460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A57 A45:XFD45 D57:AQ57 A46:B56 D46:XFD46 C46:C57 E47:XFD47 D48:XFD56 A58:XFD59" name="区域2"/>
    <protectedRange sqref="B57" name="区域2_1"/>
    <protectedRange sqref="A1:XFD59" name="Range3"/>
  </protectedRanges>
  <phoneticPr fontId="12" type="noConversion"/>
  <dataValidations count="1">
    <dataValidation type="list" allowBlank="1" showInputMessage="1" showErrorMessage="1" sqref="A1" xr:uid="{00000000-0002-0000-0000-000000000000}">
      <formula1>"1月,2月,3月,4月,5月,6月,7月,8月,9月,10月,11月,12月"</formula1>
    </dataValidation>
  </dataValidations>
  <printOptions horizontalCentered="1"/>
  <pageMargins left="0.156944444444444" right="0.156944444444444" top="0.40902777777777799" bottom="0.40902777777777799" header="0.50763888888888897" footer="0.50763888888888897"/>
  <pageSetup paperSize="9" scale="75" orientation="landscape"/>
  <headerFooter scaleWithDoc="0" alignWithMargins="0"/>
  <rowBreaks count="1" manualBreakCount="1">
    <brk id="42" max="16383" man="1"/>
  </rowBreak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X项目</vt:lpstr>
      <vt:lpstr>X项目!Print_Area</vt:lpstr>
      <vt:lpstr>X项目!Print_Titles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子全 何</dc:creator>
  <cp:lastModifiedBy>子全 何</cp:lastModifiedBy>
  <dcterms:created xsi:type="dcterms:W3CDTF">2025-12-07T14:53:00Z</dcterms:created>
  <dcterms:modified xsi:type="dcterms:W3CDTF">2025-12-10T01:15:17Z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