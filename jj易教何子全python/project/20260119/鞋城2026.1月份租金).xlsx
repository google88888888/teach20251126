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5220" yWindow="470" windowWidth="16800" windowHeight="9670" activeTab="1"/>
  </bookViews>
  <sheets>
    <sheet name="打印界面" sheetId="1" r:id="rId1"/>
    <sheet name="2026.01" sheetId="9" r:id="rId2"/>
    <sheet name="Sheet6" sheetId="22" r:id="rId3"/>
    <sheet name="Sheet7" sheetId="23" r:id="rId4"/>
    <sheet name="电表" sheetId="20" state="hidden" r:id="rId5"/>
    <sheet name="Sheet5" sheetId="21" state="hidden" r:id="rId6"/>
    <sheet name="Sheet2" sheetId="17" state="hidden" r:id="rId7"/>
    <sheet name="Sheet3" sheetId="18" state="hidden" r:id="rId8"/>
    <sheet name="Sheet4" sheetId="19" state="hidden" r:id="rId9"/>
    <sheet name="电表数" sheetId="10" state="hidden" r:id="rId10"/>
    <sheet name="空档数" sheetId="11" state="hidden" r:id="rId11"/>
    <sheet name="Sheet1" sheetId="16" state="hidden" r:id="rId12"/>
  </sheets>
  <definedNames>
    <definedName name="_xlnm._FilterDatabase" localSheetId="1" hidden="1">'2026.01'!$A$3:$AW$321</definedName>
    <definedName name="_xlnm._FilterDatabase" localSheetId="7" hidden="1">Sheet3!$A$2:$M$324</definedName>
    <definedName name="_xlnm._FilterDatabase" localSheetId="11" hidden="1">Sheet1!$A$4:$U$319</definedName>
    <definedName name="_xlnm.Print_Area" localSheetId="1">'2026.01'!$B$1:$AW$321</definedName>
    <definedName name="_xlnm.Print_Area" localSheetId="0">打印界面!$A$1:$G$4437</definedName>
    <definedName name="_xlnm.Print_Titles" localSheetId="1">'2026.01'!$1:$3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</author>
  </authors>
  <commentList>
    <comment ref="I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  <comment ref="U25" authorId="0">
      <text>
        <r>
          <rPr>
            <sz val="9"/>
            <rFont val="宋体"/>
            <charset val="134"/>
          </rPr>
          <t xml:space="preserve">2024/6/18日与总部财务沟通从7月份开始免“市场服务费2”公摊
</t>
        </r>
      </text>
    </comment>
    <comment ref="U162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</t>
        </r>
      </text>
    </comment>
    <comment ref="P221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不出空调公摊</t>
        </r>
      </text>
    </comment>
    <comment ref="U221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不收空调公摊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</commentList>
</comments>
</file>

<file path=xl/comments3.xml><?xml version="1.0" encoding="utf-8"?>
<comments xmlns="http://schemas.openxmlformats.org/spreadsheetml/2006/main">
  <authors>
    <author>admi</author>
  </authors>
  <commentList>
    <comment ref="C26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</author>
    <author>admin</author>
  </authors>
  <commentList>
    <comment ref="C5" authorId="0">
      <text>
        <r>
          <rPr>
            <sz val="9"/>
            <rFont val="宋体"/>
            <charset val="134"/>
          </rPr>
          <t>报告2206+250</t>
        </r>
      </text>
    </comment>
    <comment ref="G10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</author>
  </authors>
  <commentList>
    <comment ref="I8" authorId="0">
      <text>
        <r>
          <rPr>
            <sz val="9"/>
            <rFont val="宋体"/>
            <charset val="134"/>
          </rPr>
          <t>2014.7.5胡先利转名为陈强</t>
        </r>
      </text>
    </comment>
    <comment ref="I12" authorId="0">
      <text>
        <r>
          <rPr>
            <sz val="9"/>
            <rFont val="宋体"/>
            <charset val="134"/>
          </rPr>
          <t>2014.10.6谭玉琴转名为谭西西</t>
        </r>
      </text>
    </comment>
    <comment ref="F15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15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18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</commentList>
</comments>
</file>

<file path=xl/comments6.xml><?xml version="1.0" encoding="utf-8"?>
<comments xmlns="http://schemas.openxmlformats.org/spreadsheetml/2006/main">
  <authors>
    <author>admi</author>
    <author>admin</author>
    <author>Administrator</author>
  </authors>
  <commentList>
    <comment ref="D18" authorId="0">
      <text>
        <r>
          <rPr>
            <b/>
            <sz val="9"/>
            <rFont val="宋体"/>
            <charset val="134"/>
          </rPr>
          <t xml:space="preserve">admi:续签按照2000一个月 等报告
</t>
        </r>
      </text>
    </comment>
    <comment ref="I18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5" authorId="1">
      <text>
        <r>
          <rPr>
            <sz val="9"/>
            <rFont val="宋体"/>
            <charset val="134"/>
          </rPr>
          <t>admin:
2013.4.1:100
2014.4.1:100
2015.4.1:300</t>
        </r>
      </text>
    </comment>
    <comment ref="E38" authorId="0">
      <text>
        <r>
          <rPr>
            <sz val="9"/>
            <rFont val="宋体"/>
            <charset val="134"/>
          </rPr>
          <t xml:space="preserve">有报告，免管理费2022-4-2022-9月
</t>
        </r>
      </text>
    </comment>
    <comment ref="I66" authorId="2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4" authorId="1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5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79" authorId="2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1" authorId="1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2" authorId="1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6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E12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临租无管理费</t>
        </r>
      </text>
    </comment>
    <comment ref="I122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0" authorId="1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1" authorId="1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5" authorId="1">
      <text>
        <r>
          <rPr>
            <sz val="9"/>
            <rFont val="宋体"/>
            <charset val="134"/>
          </rPr>
          <t>2014.7.5胡先利转名为陈强</t>
        </r>
      </text>
    </comment>
    <comment ref="K179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4" authorId="1">
      <text>
        <r>
          <rPr>
            <sz val="9"/>
            <rFont val="宋体"/>
            <charset val="134"/>
          </rPr>
          <t>2014.8.7张光华转名为毛祖杰</t>
        </r>
      </text>
    </comment>
    <comment ref="I198" authorId="1">
      <text>
        <r>
          <rPr>
            <sz val="9"/>
            <rFont val="宋体"/>
            <charset val="134"/>
          </rPr>
          <t>2014.7.9黄春媛转名为李满盆</t>
        </r>
      </text>
    </comment>
    <comment ref="I206" authorId="1">
      <text>
        <r>
          <rPr>
            <sz val="9"/>
            <rFont val="宋体"/>
            <charset val="134"/>
          </rPr>
          <t>2014.7.29黄金龙转名为李康</t>
        </r>
      </text>
    </comment>
    <comment ref="E21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31" authorId="1">
      <text>
        <r>
          <rPr>
            <sz val="9"/>
            <rFont val="宋体"/>
            <charset val="134"/>
          </rPr>
          <t>2014.10.6谭玉琴转名为谭西西</t>
        </r>
      </text>
    </comment>
    <comment ref="I233" authorId="1">
      <text>
        <r>
          <rPr>
            <sz val="9"/>
            <rFont val="宋体"/>
            <charset val="134"/>
          </rPr>
          <t>2014.10.14尧春亮转名为赵其斌</t>
        </r>
      </text>
    </comment>
    <comment ref="E24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4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D245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报告 租金调整7896 调整到6622 合同期2022.6-2023.2</t>
        </r>
      </text>
    </comment>
    <comment ref="K25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254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  <comment ref="H255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以前的4035</t>
        </r>
      </text>
    </comment>
    <comment ref="D2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  <comment ref="E2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</commentList>
</comments>
</file>

<file path=xl/comments7.xml><?xml version="1.0" encoding="utf-8"?>
<comments xmlns="http://schemas.openxmlformats.org/spreadsheetml/2006/main">
  <authors>
    <author>admi</author>
    <author>admin</author>
    <author>Administrator</author>
  </authors>
  <commentList>
    <comment ref="I20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7" authorId="1">
      <text>
        <r>
          <rPr>
            <sz val="9"/>
            <rFont val="宋体"/>
            <charset val="134"/>
          </rPr>
          <t>admin:
2013.4.1:100
2014.4.1:100
2015.4.1:300</t>
        </r>
      </text>
    </comment>
    <comment ref="I68" authorId="2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6" authorId="1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7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81" authorId="2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3" authorId="1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3" authorId="1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8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I124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2" authorId="1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3" authorId="1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7" authorId="1">
      <text>
        <r>
          <rPr>
            <sz val="9"/>
            <rFont val="宋体"/>
            <charset val="134"/>
          </rPr>
          <t>2014.7.5胡先利转名为陈强</t>
        </r>
      </text>
    </comment>
    <comment ref="K1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6" authorId="1">
      <text>
        <r>
          <rPr>
            <sz val="9"/>
            <rFont val="宋体"/>
            <charset val="134"/>
          </rPr>
          <t>2014.8.7张光华转名为毛祖杰</t>
        </r>
      </text>
    </comment>
    <comment ref="I200" authorId="1">
      <text>
        <r>
          <rPr>
            <sz val="9"/>
            <rFont val="宋体"/>
            <charset val="134"/>
          </rPr>
          <t>2014.7.9黄春媛转名为李满盆</t>
        </r>
      </text>
    </comment>
    <comment ref="I208" authorId="1">
      <text>
        <r>
          <rPr>
            <sz val="9"/>
            <rFont val="宋体"/>
            <charset val="134"/>
          </rPr>
          <t>2014.7.29黄金龙转名为李康</t>
        </r>
      </text>
    </comment>
    <comment ref="F21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26" authorId="1">
      <text>
        <r>
          <rPr>
            <sz val="9"/>
            <rFont val="宋体"/>
            <charset val="134"/>
          </rPr>
          <t>Administrator:
2015.9.16刘志华更名为李凯</t>
        </r>
      </text>
    </comment>
    <comment ref="I233" authorId="1">
      <text>
        <r>
          <rPr>
            <sz val="9"/>
            <rFont val="宋体"/>
            <charset val="134"/>
          </rPr>
          <t>2014.10.6谭玉琴转名为谭西西</t>
        </r>
      </text>
    </comment>
    <comment ref="I235" authorId="1">
      <text>
        <r>
          <rPr>
            <sz val="9"/>
            <rFont val="宋体"/>
            <charset val="134"/>
          </rPr>
          <t>2014.10.14尧春亮转名为赵其斌</t>
        </r>
      </text>
    </comment>
    <comment ref="K24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5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</commentList>
</comments>
</file>

<file path=xl/sharedStrings.xml><?xml version="1.0" encoding="utf-8"?>
<sst xmlns="http://schemas.openxmlformats.org/spreadsheetml/2006/main" count="10933" uniqueCount="1054">
  <si>
    <t>鞋城商铺缴费收据</t>
  </si>
  <si>
    <t xml:space="preserve">         租金期间:2026.1.1-2026.1.31</t>
  </si>
  <si>
    <t>铺号</t>
  </si>
  <si>
    <t>铺主</t>
  </si>
  <si>
    <t>备注</t>
  </si>
  <si>
    <t>项目</t>
  </si>
  <si>
    <t>本月读数</t>
  </si>
  <si>
    <t>上月读数</t>
  </si>
  <si>
    <t>本月用量</t>
  </si>
  <si>
    <t>单价</t>
  </si>
  <si>
    <t>本月金额</t>
  </si>
  <si>
    <t xml:space="preserve"> 请各商户于当月10日前到管理处交费及换单。如有疑问，请致电：020-22250555</t>
  </si>
  <si>
    <t>电费</t>
  </si>
  <si>
    <t>水费</t>
  </si>
  <si>
    <t>垃圾费</t>
  </si>
  <si>
    <t>租金</t>
  </si>
  <si>
    <t>管理费</t>
  </si>
  <si>
    <t>管理费（设施服务费1）</t>
  </si>
  <si>
    <t>管理费（设施服务费2）</t>
  </si>
  <si>
    <t>应交合计</t>
  </si>
  <si>
    <t>金额大写</t>
  </si>
  <si>
    <t>收款人</t>
  </si>
  <si>
    <t>国大鞋城2026年1月份收费明细表</t>
  </si>
  <si>
    <t>1 2 3楼有中央空调 要分摊电费</t>
  </si>
  <si>
    <t xml:space="preserve"> </t>
  </si>
  <si>
    <t>序号</t>
  </si>
  <si>
    <t>楼层</t>
  </si>
  <si>
    <t>档口号</t>
  </si>
  <si>
    <t>商户名</t>
  </si>
  <si>
    <t>面积</t>
  </si>
  <si>
    <t>上月电表读数</t>
  </si>
  <si>
    <t>本月电表读数</t>
  </si>
  <si>
    <t>用电量</t>
  </si>
  <si>
    <t>电费分摊</t>
  </si>
  <si>
    <t>本月用电</t>
  </si>
  <si>
    <t>电费单价</t>
  </si>
  <si>
    <t>市场服务费</t>
  </si>
  <si>
    <t>用电金额</t>
  </si>
  <si>
    <t>照明+空调公摊</t>
  </si>
  <si>
    <t>金额</t>
  </si>
  <si>
    <t>水费公摊</t>
  </si>
  <si>
    <t>本月合计</t>
  </si>
  <si>
    <t>前期欠款</t>
  </si>
  <si>
    <t>折扣金额</t>
  </si>
  <si>
    <t>预交款</t>
  </si>
  <si>
    <t>滞纳金</t>
  </si>
  <si>
    <t>实收款</t>
  </si>
  <si>
    <t>其他折扣</t>
  </si>
  <si>
    <t>未交金额</t>
  </si>
  <si>
    <t>档口</t>
  </si>
  <si>
    <t>租金及管理费</t>
  </si>
  <si>
    <t>水电费</t>
  </si>
  <si>
    <t>小计</t>
  </si>
  <si>
    <t>期初</t>
  </si>
  <si>
    <t>本月预收</t>
  </si>
  <si>
    <t>本月抵扣</t>
  </si>
  <si>
    <t>期末（剩余未抵）</t>
  </si>
  <si>
    <t xml:space="preserve">收款日期 </t>
  </si>
  <si>
    <t>现金</t>
  </si>
  <si>
    <t>微信</t>
  </si>
  <si>
    <t>银行</t>
  </si>
  <si>
    <t>建行</t>
  </si>
  <si>
    <t>协议减免</t>
  </si>
  <si>
    <t>租金折扣</t>
  </si>
  <si>
    <t>空调折扣</t>
  </si>
  <si>
    <t>押金抵扣</t>
  </si>
  <si>
    <t>NO:001</t>
  </si>
  <si>
    <t>一楼商铺</t>
  </si>
  <si>
    <t>1001-01（临一）</t>
  </si>
  <si>
    <t>何具达</t>
  </si>
  <si>
    <t>NO:002</t>
  </si>
  <si>
    <t>邓凤强</t>
  </si>
  <si>
    <t>NO:003</t>
  </si>
  <si>
    <t>苏建柳</t>
  </si>
  <si>
    <t>NO:004</t>
  </si>
  <si>
    <t>1003-1004</t>
  </si>
  <si>
    <t>1003/1004</t>
  </si>
  <si>
    <t>李鹏飞</t>
  </si>
  <si>
    <t>NO:005</t>
  </si>
  <si>
    <t>黄腾凌</t>
  </si>
  <si>
    <t>NO:006</t>
  </si>
  <si>
    <t>刘展</t>
  </si>
  <si>
    <t>NO:007</t>
  </si>
  <si>
    <t>王正庚</t>
  </si>
  <si>
    <t>NO:008</t>
  </si>
  <si>
    <t>1008/1009</t>
  </si>
  <si>
    <t>潭日标</t>
  </si>
  <si>
    <t>NO:009</t>
  </si>
  <si>
    <t>NO:010</t>
  </si>
  <si>
    <t>王长梅</t>
  </si>
  <si>
    <t>NO:011</t>
  </si>
  <si>
    <t>段邦彦</t>
  </si>
  <si>
    <t>NO:012</t>
  </si>
  <si>
    <t>李文学</t>
  </si>
  <si>
    <t>NO:013</t>
  </si>
  <si>
    <t>揭英祥</t>
  </si>
  <si>
    <t>NO:014</t>
  </si>
  <si>
    <t>陈文彬</t>
  </si>
  <si>
    <t>NO:015</t>
  </si>
  <si>
    <t>张平君</t>
  </si>
  <si>
    <t>NO:016</t>
  </si>
  <si>
    <t>1016-1017</t>
  </si>
  <si>
    <t>1016/1017</t>
  </si>
  <si>
    <t>卢汉总</t>
  </si>
  <si>
    <t>NO:017</t>
  </si>
  <si>
    <t>白成滔</t>
  </si>
  <si>
    <t>NO:018</t>
  </si>
  <si>
    <t>NO:019</t>
  </si>
  <si>
    <t>张爱玲</t>
  </si>
  <si>
    <t>NO:020</t>
  </si>
  <si>
    <t>刘光全</t>
  </si>
  <si>
    <t>NO:021</t>
  </si>
  <si>
    <t>庄诗霖</t>
  </si>
  <si>
    <t>NO:022</t>
  </si>
  <si>
    <t>黎培健</t>
  </si>
  <si>
    <t>NO:023</t>
  </si>
  <si>
    <t>王小军</t>
  </si>
  <si>
    <t>NO:024</t>
  </si>
  <si>
    <t>李雄辉</t>
  </si>
  <si>
    <t>NO:025</t>
  </si>
  <si>
    <t>1025-A</t>
  </si>
  <si>
    <t>NO:026</t>
  </si>
  <si>
    <t>马旦</t>
  </si>
  <si>
    <t>NO:027</t>
  </si>
  <si>
    <t>范宏成</t>
  </si>
  <si>
    <t>NO:028</t>
  </si>
  <si>
    <t>阮文彬</t>
  </si>
  <si>
    <t>NO:029</t>
  </si>
  <si>
    <t>钟玲玲</t>
  </si>
  <si>
    <t>NO:030</t>
  </si>
  <si>
    <t>覃燕芬</t>
  </si>
  <si>
    <t>NO:031</t>
  </si>
  <si>
    <t>陈恳</t>
  </si>
  <si>
    <t>NO:032</t>
  </si>
  <si>
    <t>范琼静</t>
  </si>
  <si>
    <t>NO:033</t>
  </si>
  <si>
    <t>蔡安琦</t>
  </si>
  <si>
    <t>NO:034</t>
  </si>
  <si>
    <t>杨志鸿</t>
  </si>
  <si>
    <t>NO:035</t>
  </si>
  <si>
    <t>NO:036</t>
  </si>
  <si>
    <t>李耿坚</t>
  </si>
  <si>
    <t>NO:037</t>
  </si>
  <si>
    <t>范宏健</t>
  </si>
  <si>
    <t>NO:038</t>
  </si>
  <si>
    <t>杨义坤</t>
  </si>
  <si>
    <t>NO:039</t>
  </si>
  <si>
    <t>陈秋香</t>
  </si>
  <si>
    <t>NO:040</t>
  </si>
  <si>
    <t>陈少华</t>
  </si>
  <si>
    <t>NO:041</t>
  </si>
  <si>
    <t>林文浩</t>
  </si>
  <si>
    <t>NO:042</t>
  </si>
  <si>
    <t>陈俊炳</t>
  </si>
  <si>
    <t>NO:043</t>
  </si>
  <si>
    <t>曾丽</t>
  </si>
  <si>
    <t>NO:044</t>
  </si>
  <si>
    <t>杨要</t>
  </si>
  <si>
    <t>NO:045</t>
  </si>
  <si>
    <t>陈柳旋</t>
  </si>
  <si>
    <t>NO:046</t>
  </si>
  <si>
    <t>胡命礼</t>
  </si>
  <si>
    <t>NO:047</t>
  </si>
  <si>
    <t>黄廉颖</t>
  </si>
  <si>
    <t>NO:048</t>
  </si>
  <si>
    <t>李嘉格</t>
  </si>
  <si>
    <t>NO:049</t>
  </si>
  <si>
    <t>何飞</t>
  </si>
  <si>
    <t>NO:050</t>
  </si>
  <si>
    <t>刘玲</t>
  </si>
  <si>
    <t>NO:051</t>
  </si>
  <si>
    <t>陈慧芳</t>
  </si>
  <si>
    <t>NO:052</t>
  </si>
  <si>
    <t>李硕果</t>
  </si>
  <si>
    <t>NO:053</t>
  </si>
  <si>
    <t>黄文波</t>
  </si>
  <si>
    <t>NO:054</t>
  </si>
  <si>
    <t>沈飞艳</t>
  </si>
  <si>
    <t>NO:055</t>
  </si>
  <si>
    <t>梁中梅</t>
  </si>
  <si>
    <t>NO:056</t>
  </si>
  <si>
    <t>吴玉荡</t>
  </si>
  <si>
    <t>NO:057</t>
  </si>
  <si>
    <t>肖梓尧</t>
  </si>
  <si>
    <t>NO:058</t>
  </si>
  <si>
    <t>江朝</t>
  </si>
  <si>
    <t>NO:059</t>
  </si>
  <si>
    <t>温平</t>
  </si>
  <si>
    <t>NO:060</t>
  </si>
  <si>
    <t>戴晓怡</t>
  </si>
  <si>
    <t>NO:061</t>
  </si>
  <si>
    <t>李丽</t>
  </si>
  <si>
    <t>NO:062</t>
  </si>
  <si>
    <t>章芳琴</t>
  </si>
  <si>
    <t>NO:063</t>
  </si>
  <si>
    <t>余迎龙</t>
  </si>
  <si>
    <t>NO:064</t>
  </si>
  <si>
    <t>万军银</t>
  </si>
  <si>
    <t>NO:065</t>
  </si>
  <si>
    <t>卢永润</t>
  </si>
  <si>
    <t>NO:066</t>
  </si>
  <si>
    <t>一楼展柜</t>
  </si>
  <si>
    <t>1067展柜(全包）</t>
  </si>
  <si>
    <t>NO:067</t>
  </si>
  <si>
    <t>1068展柜/1069展柜</t>
  </si>
  <si>
    <t>黄伟慧</t>
  </si>
  <si>
    <t>NO:068</t>
  </si>
  <si>
    <t>大厅01</t>
  </si>
  <si>
    <t>张文英</t>
  </si>
  <si>
    <t>电费300</t>
  </si>
  <si>
    <t>NO:069</t>
  </si>
  <si>
    <t>大厅02</t>
  </si>
  <si>
    <t>黎鹏其</t>
  </si>
  <si>
    <t>NO:070</t>
  </si>
  <si>
    <t>二楼档口</t>
  </si>
  <si>
    <t>黄廉廷（临租）</t>
  </si>
  <si>
    <t>NO:071</t>
  </si>
  <si>
    <t>孙标然</t>
  </si>
  <si>
    <t>NO:072</t>
  </si>
  <si>
    <t>陆兆亮</t>
  </si>
  <si>
    <t>NO:073</t>
  </si>
  <si>
    <t>林翠侠</t>
  </si>
  <si>
    <t>NO:074</t>
  </si>
  <si>
    <t>徐忠琴</t>
  </si>
  <si>
    <t>NO:075</t>
  </si>
  <si>
    <t>周丽红</t>
  </si>
  <si>
    <t>NO:076</t>
  </si>
  <si>
    <t>2007/2008</t>
  </si>
  <si>
    <t>黄伟军</t>
  </si>
  <si>
    <t>NO:077</t>
  </si>
  <si>
    <t>NO:078</t>
  </si>
  <si>
    <t>冯世豪</t>
  </si>
  <si>
    <t>NO:079</t>
  </si>
  <si>
    <t>王既异</t>
  </si>
  <si>
    <t>NO:080</t>
  </si>
  <si>
    <t>颜艳军</t>
  </si>
  <si>
    <t>NO:081</t>
  </si>
  <si>
    <t>卢永永</t>
  </si>
  <si>
    <t>NO:082</t>
  </si>
  <si>
    <t>陈高俊</t>
  </si>
  <si>
    <t>NO:083</t>
  </si>
  <si>
    <t>张顶</t>
  </si>
  <si>
    <t>NO:084</t>
  </si>
  <si>
    <t>冯章权</t>
  </si>
  <si>
    <t>NO:085</t>
  </si>
  <si>
    <t>黎慧敏</t>
  </si>
  <si>
    <t>NO:086</t>
  </si>
  <si>
    <t>NO:087</t>
  </si>
  <si>
    <t>钟丽梅</t>
  </si>
  <si>
    <t>NO:088</t>
  </si>
  <si>
    <t>周欣雨</t>
  </si>
  <si>
    <t>NO:089</t>
  </si>
  <si>
    <t>朱楚帆</t>
  </si>
  <si>
    <t>NO:090</t>
  </si>
  <si>
    <t>吴桂华</t>
  </si>
  <si>
    <t>NO:091</t>
  </si>
  <si>
    <t>谭雯心</t>
  </si>
  <si>
    <t>NO:092</t>
  </si>
  <si>
    <t>张秀珠</t>
  </si>
  <si>
    <t>NO:093</t>
  </si>
  <si>
    <t>余小帆</t>
  </si>
  <si>
    <t>NO:094</t>
  </si>
  <si>
    <t>焦小峰</t>
  </si>
  <si>
    <t>NO:095</t>
  </si>
  <si>
    <t>办公室</t>
  </si>
  <si>
    <t>NO:096</t>
  </si>
  <si>
    <t>NO:097</t>
  </si>
  <si>
    <t>郭林红</t>
  </si>
  <si>
    <t>NO:098</t>
  </si>
  <si>
    <t>NO:099</t>
  </si>
  <si>
    <t>习国斌</t>
  </si>
  <si>
    <t>NO:100</t>
  </si>
  <si>
    <t>张明亮</t>
  </si>
  <si>
    <t>NO:101</t>
  </si>
  <si>
    <t>余芝玲</t>
  </si>
  <si>
    <t>创意园</t>
  </si>
  <si>
    <t>NO:102</t>
  </si>
  <si>
    <t>NO:103</t>
  </si>
  <si>
    <t>欧阳辉</t>
  </si>
  <si>
    <t>NO:104</t>
  </si>
  <si>
    <t>2035A</t>
  </si>
  <si>
    <t>邬水芬</t>
  </si>
  <si>
    <t>NO:105</t>
  </si>
  <si>
    <t>陈蓉</t>
  </si>
  <si>
    <t>NO:106</t>
  </si>
  <si>
    <t>NO:107</t>
  </si>
  <si>
    <t>徐介全</t>
  </si>
  <si>
    <t>NO:108</t>
  </si>
  <si>
    <t>NO:109</t>
  </si>
  <si>
    <t>蔡玉琴</t>
  </si>
  <si>
    <t>NO:110</t>
  </si>
  <si>
    <t>吕穗生</t>
  </si>
  <si>
    <t>NO:111</t>
  </si>
  <si>
    <t>NO:112</t>
  </si>
  <si>
    <t>吴礼娴</t>
  </si>
  <si>
    <t>NO:113</t>
  </si>
  <si>
    <t>2043/2044</t>
  </si>
  <si>
    <t>林晓玲</t>
  </si>
  <si>
    <t>NO:114</t>
  </si>
  <si>
    <t>NO:115</t>
  </si>
  <si>
    <t>柏云涛</t>
  </si>
  <si>
    <t>NO:116</t>
  </si>
  <si>
    <t>文林海</t>
  </si>
  <si>
    <t>NO:117</t>
  </si>
  <si>
    <t>郭红林</t>
  </si>
  <si>
    <t>NO:118</t>
  </si>
  <si>
    <t>赵野</t>
  </si>
  <si>
    <t>NO:119</t>
  </si>
  <si>
    <t>黄腾坡</t>
  </si>
  <si>
    <t>NO:120</t>
  </si>
  <si>
    <t>徐俊明</t>
  </si>
  <si>
    <t>NO:121</t>
  </si>
  <si>
    <t>黄廉勃</t>
  </si>
  <si>
    <t>NO:122</t>
  </si>
  <si>
    <t>阚显巍</t>
  </si>
  <si>
    <t>NO:123</t>
  </si>
  <si>
    <t>詹爱彩</t>
  </si>
  <si>
    <t>NO:124</t>
  </si>
  <si>
    <t>孙瑜</t>
  </si>
  <si>
    <t>NO:125</t>
  </si>
  <si>
    <t>NO:126</t>
  </si>
  <si>
    <t>黄裕国</t>
  </si>
  <si>
    <t>NO:127</t>
  </si>
  <si>
    <t>牟军</t>
  </si>
  <si>
    <t>NO:128</t>
  </si>
  <si>
    <t>NO:129</t>
  </si>
  <si>
    <t>陈惜萍</t>
  </si>
  <si>
    <t>NO:130</t>
  </si>
  <si>
    <t>刘光明</t>
  </si>
  <si>
    <t>NO:131</t>
  </si>
  <si>
    <t>刘远</t>
  </si>
  <si>
    <t>NO:132</t>
  </si>
  <si>
    <t>黄桂涛</t>
  </si>
  <si>
    <t>NO:133</t>
  </si>
  <si>
    <t>2063/2064</t>
  </si>
  <si>
    <t>吴彬辉</t>
  </si>
  <si>
    <t>NO:134</t>
  </si>
  <si>
    <t>NO:135</t>
  </si>
  <si>
    <t>NO:136</t>
  </si>
  <si>
    <t>王海亮</t>
  </si>
  <si>
    <t>NO:137</t>
  </si>
  <si>
    <t>郑美卿</t>
  </si>
  <si>
    <t>NO:138</t>
  </si>
  <si>
    <t>陈亚丽</t>
  </si>
  <si>
    <t>NO:139</t>
  </si>
  <si>
    <t>王名冲</t>
  </si>
  <si>
    <t>NO:140</t>
  </si>
  <si>
    <t>陈寿锋</t>
  </si>
  <si>
    <t>NO:141</t>
  </si>
  <si>
    <t>王琴</t>
  </si>
  <si>
    <t>NO:142</t>
  </si>
  <si>
    <t>林晓君</t>
  </si>
  <si>
    <t>NO:143</t>
  </si>
  <si>
    <t>2075A(2074)</t>
  </si>
  <si>
    <t>刘丽秀</t>
  </si>
  <si>
    <t>NO:144</t>
  </si>
  <si>
    <t>王楚红</t>
  </si>
  <si>
    <t>NO:145</t>
  </si>
  <si>
    <t>NO:146</t>
  </si>
  <si>
    <t>刘真辉</t>
  </si>
  <si>
    <t>NO:147</t>
  </si>
  <si>
    <t>2078/2079</t>
  </si>
  <si>
    <t>周代安</t>
  </si>
  <si>
    <t>NO:148</t>
  </si>
  <si>
    <t>NO:149</t>
  </si>
  <si>
    <t>邹其醒</t>
  </si>
  <si>
    <t>NO:150</t>
  </si>
  <si>
    <t>陈圣托</t>
  </si>
  <si>
    <t>NO:151</t>
  </si>
  <si>
    <t>叶雪梅</t>
  </si>
  <si>
    <t>NO:152</t>
  </si>
  <si>
    <t>温明珠</t>
  </si>
  <si>
    <t>NO:153</t>
  </si>
  <si>
    <t>梁彬</t>
  </si>
  <si>
    <t>NO:154</t>
  </si>
  <si>
    <t>NO:155</t>
  </si>
  <si>
    <t>张维原</t>
  </si>
  <si>
    <t>NO:156</t>
  </si>
  <si>
    <t>刘江红</t>
  </si>
  <si>
    <t>NO:157</t>
  </si>
  <si>
    <t>林香超</t>
  </si>
  <si>
    <t>NO:158</t>
  </si>
  <si>
    <t>陈娇雅</t>
  </si>
  <si>
    <t>NO:159</t>
  </si>
  <si>
    <t>NO:160</t>
  </si>
  <si>
    <t>二楼展柜</t>
  </si>
  <si>
    <t>2091展柜</t>
  </si>
  <si>
    <t>NO:161</t>
  </si>
  <si>
    <t>2092展柜</t>
  </si>
  <si>
    <t>NO:162</t>
  </si>
  <si>
    <t>2093展柜</t>
  </si>
  <si>
    <t>NO:163</t>
  </si>
  <si>
    <t>2093A展柜</t>
  </si>
  <si>
    <t>NO:164</t>
  </si>
  <si>
    <t>2096展柜</t>
  </si>
  <si>
    <t>NO:165</t>
  </si>
  <si>
    <t>2097展柜</t>
  </si>
  <si>
    <t>NO:166</t>
  </si>
  <si>
    <t>二楼中庭展柜</t>
  </si>
  <si>
    <t>杨琴琴</t>
  </si>
  <si>
    <t>NO:167</t>
  </si>
  <si>
    <t>三楼档口</t>
  </si>
  <si>
    <t>曹伟元</t>
  </si>
  <si>
    <t>NO:168</t>
  </si>
  <si>
    <t>揭丽萍</t>
  </si>
  <si>
    <t>NO:169</t>
  </si>
  <si>
    <t>刘熙</t>
  </si>
  <si>
    <t>NO:170</t>
  </si>
  <si>
    <t>钟伟</t>
  </si>
  <si>
    <t>NO:171</t>
  </si>
  <si>
    <t>谢边弟</t>
  </si>
  <si>
    <t>NO:172</t>
  </si>
  <si>
    <t>NO:173</t>
  </si>
  <si>
    <t>赵宏英</t>
  </si>
  <si>
    <t>NO:174</t>
  </si>
  <si>
    <t>陈坚实</t>
  </si>
  <si>
    <t>NO:175</t>
  </si>
  <si>
    <t>赵玉林</t>
  </si>
  <si>
    <t>NO:176</t>
  </si>
  <si>
    <t>NO:177</t>
  </si>
  <si>
    <t>NO:178</t>
  </si>
  <si>
    <t>李太焕</t>
  </si>
  <si>
    <t>NO:179</t>
  </si>
  <si>
    <t>陈超</t>
  </si>
  <si>
    <t>NO:180</t>
  </si>
  <si>
    <t>宋晓花</t>
  </si>
  <si>
    <t>NO:181</t>
  </si>
  <si>
    <t>陈广鹏</t>
  </si>
  <si>
    <t>NO:182</t>
  </si>
  <si>
    <t>吴登辉</t>
  </si>
  <si>
    <t>NO:183</t>
  </si>
  <si>
    <t>NO:184</t>
  </si>
  <si>
    <t>陈剑影</t>
  </si>
  <si>
    <t>NO:185</t>
  </si>
  <si>
    <t>潘程</t>
  </si>
  <si>
    <t>NO:186</t>
  </si>
  <si>
    <t>马润洲</t>
  </si>
  <si>
    <t>NO:187</t>
  </si>
  <si>
    <t>杨友明</t>
  </si>
  <si>
    <t>NO:188</t>
  </si>
  <si>
    <t>陈娇丽</t>
  </si>
  <si>
    <t>NO:189</t>
  </si>
  <si>
    <t>李丽如</t>
  </si>
  <si>
    <t>NO:190</t>
  </si>
  <si>
    <t>黄绍枝</t>
  </si>
  <si>
    <t>NO:191</t>
  </si>
  <si>
    <t>林俊成</t>
  </si>
  <si>
    <t>NO:192</t>
  </si>
  <si>
    <t>3026/3027</t>
  </si>
  <si>
    <t>周建明</t>
  </si>
  <si>
    <t>NO:193</t>
  </si>
  <si>
    <t>NO:194</t>
  </si>
  <si>
    <t>陈燕蕊</t>
  </si>
  <si>
    <t>NO:195</t>
  </si>
  <si>
    <t>祝梦雨</t>
  </si>
  <si>
    <t>NO:196</t>
  </si>
  <si>
    <t>陆游</t>
  </si>
  <si>
    <t>NO:197</t>
  </si>
  <si>
    <t>胡晓燕</t>
  </si>
  <si>
    <t>NO:198</t>
  </si>
  <si>
    <t>薛扬</t>
  </si>
  <si>
    <t>NO:199</t>
  </si>
  <si>
    <t>陈文彦</t>
  </si>
  <si>
    <t>NO:200</t>
  </si>
  <si>
    <t>陈家慧</t>
  </si>
  <si>
    <t>NO:201</t>
  </si>
  <si>
    <t>3037半档</t>
  </si>
  <si>
    <t>邱启平</t>
  </si>
  <si>
    <t>NO:202</t>
  </si>
  <si>
    <t>马铭瑞</t>
  </si>
  <si>
    <t>NO:203</t>
  </si>
  <si>
    <t>林茂</t>
  </si>
  <si>
    <t>NO:204</t>
  </si>
  <si>
    <t>黄维</t>
  </si>
  <si>
    <t>NO:205</t>
  </si>
  <si>
    <t>NO:206</t>
  </si>
  <si>
    <t>张春来</t>
  </si>
  <si>
    <t>NO:207</t>
  </si>
  <si>
    <t>NO:208</t>
  </si>
  <si>
    <t>3043A</t>
  </si>
  <si>
    <t>陈润升</t>
  </si>
  <si>
    <t>NO:209</t>
  </si>
  <si>
    <t>潘胤仿</t>
  </si>
  <si>
    <t>NO:210</t>
  </si>
  <si>
    <t>余伟锋</t>
  </si>
  <si>
    <t>NO:211</t>
  </si>
  <si>
    <t>陈秀军</t>
  </si>
  <si>
    <t>NO:212</t>
  </si>
  <si>
    <t>刘德政</t>
  </si>
  <si>
    <t>NO:213</t>
  </si>
  <si>
    <t>林香科</t>
  </si>
  <si>
    <t>NO:214</t>
  </si>
  <si>
    <t>杨焕如</t>
  </si>
  <si>
    <t>NO:215</t>
  </si>
  <si>
    <t>3050A</t>
  </si>
  <si>
    <t>揭英榴</t>
  </si>
  <si>
    <t>NO:216</t>
  </si>
  <si>
    <t>刘美欣</t>
  </si>
  <si>
    <t>NO:217</t>
  </si>
  <si>
    <t>梁谦志</t>
  </si>
  <si>
    <t>NO:218</t>
  </si>
  <si>
    <t>3028-3053-3054</t>
  </si>
  <si>
    <t>3028/3053/3054</t>
  </si>
  <si>
    <t>张智森</t>
  </si>
  <si>
    <t>NO:219</t>
  </si>
  <si>
    <t>胡敏</t>
  </si>
  <si>
    <t>NO:220</t>
  </si>
  <si>
    <t>三楼展柜</t>
  </si>
  <si>
    <t>三楼自编展柜</t>
  </si>
  <si>
    <t>NO:221</t>
  </si>
  <si>
    <t>3056展柜</t>
  </si>
  <si>
    <t>NO:222</t>
  </si>
  <si>
    <t>四楼档口</t>
  </si>
  <si>
    <t>王俊</t>
  </si>
  <si>
    <t>NO:223</t>
  </si>
  <si>
    <t>揭乐英</t>
  </si>
  <si>
    <t>NO:224</t>
  </si>
  <si>
    <t>卢世雍</t>
  </si>
  <si>
    <t>NO:225</t>
  </si>
  <si>
    <t>李春辉</t>
  </si>
  <si>
    <t>NO:226</t>
  </si>
  <si>
    <t>黄瑞凤</t>
  </si>
  <si>
    <t>NO:227</t>
  </si>
  <si>
    <t>李露露</t>
  </si>
  <si>
    <t>NO:228</t>
  </si>
  <si>
    <t>黄会中</t>
  </si>
  <si>
    <t>NO:229</t>
  </si>
  <si>
    <t>叶清菊</t>
  </si>
  <si>
    <t>NO:230</t>
  </si>
  <si>
    <t>屈峰</t>
  </si>
  <si>
    <t>NO:231</t>
  </si>
  <si>
    <t>刘楚飞</t>
  </si>
  <si>
    <t>NO:232</t>
  </si>
  <si>
    <t>郝文杰</t>
  </si>
  <si>
    <t>NO:233</t>
  </si>
  <si>
    <t>曾令阅</t>
  </si>
  <si>
    <t>NO:234</t>
  </si>
  <si>
    <t>刘俊芳</t>
  </si>
  <si>
    <t>NO:235</t>
  </si>
  <si>
    <t>NO:236</t>
  </si>
  <si>
    <t>陈秋凡</t>
  </si>
  <si>
    <t>NO:237</t>
  </si>
  <si>
    <t>刘林</t>
  </si>
  <si>
    <t>NO:238</t>
  </si>
  <si>
    <t>汪莉娜</t>
  </si>
  <si>
    <t>NO:239</t>
  </si>
  <si>
    <t>张丽凤</t>
  </si>
  <si>
    <t>NO:240</t>
  </si>
  <si>
    <t>颜黎明</t>
  </si>
  <si>
    <t>NO:241</t>
  </si>
  <si>
    <t>唐盛文</t>
  </si>
  <si>
    <t>NO:242</t>
  </si>
  <si>
    <t>张丽风</t>
  </si>
  <si>
    <t>NO:243</t>
  </si>
  <si>
    <t>孙博</t>
  </si>
  <si>
    <t>NO:244</t>
  </si>
  <si>
    <t>王奎</t>
  </si>
  <si>
    <t>NO:245</t>
  </si>
  <si>
    <t>NO:246</t>
  </si>
  <si>
    <t>黄保军</t>
  </si>
  <si>
    <t>NO:247</t>
  </si>
  <si>
    <t>余家欣</t>
  </si>
  <si>
    <t>NO:248</t>
  </si>
  <si>
    <t>方静</t>
  </si>
  <si>
    <t>NO:249</t>
  </si>
  <si>
    <t>姚桂珍</t>
  </si>
  <si>
    <t>NO:250</t>
  </si>
  <si>
    <t>黄慧杰</t>
  </si>
  <si>
    <t>NO:251</t>
  </si>
  <si>
    <t>NO:252</t>
  </si>
  <si>
    <t>NO:253</t>
  </si>
  <si>
    <t>刘敏</t>
  </si>
  <si>
    <t>NO:254</t>
  </si>
  <si>
    <t>NO:255</t>
  </si>
  <si>
    <t>黄廉兴</t>
  </si>
  <si>
    <t>NO:256</t>
  </si>
  <si>
    <t>4035A</t>
  </si>
  <si>
    <t>张禹</t>
  </si>
  <si>
    <t>NO:257</t>
  </si>
  <si>
    <t>谢强</t>
  </si>
  <si>
    <t>NO:258</t>
  </si>
  <si>
    <t>李佳航</t>
  </si>
  <si>
    <t>NO:259</t>
  </si>
  <si>
    <t>NO:260</t>
  </si>
  <si>
    <t>林双来</t>
  </si>
  <si>
    <t>NO:261</t>
  </si>
  <si>
    <t>陈振威</t>
  </si>
  <si>
    <t>NO:262</t>
  </si>
  <si>
    <t>高英</t>
  </si>
  <si>
    <t>NO:263</t>
  </si>
  <si>
    <t>林美容</t>
  </si>
  <si>
    <t>NO:264</t>
  </si>
  <si>
    <t>黄杰清</t>
  </si>
  <si>
    <t>NO:265</t>
  </si>
  <si>
    <t>谢梅</t>
  </si>
  <si>
    <t>NO:266</t>
  </si>
  <si>
    <t>沈贝娜</t>
  </si>
  <si>
    <t>NO:267</t>
  </si>
  <si>
    <t>NO:268</t>
  </si>
  <si>
    <t>4046A</t>
  </si>
  <si>
    <t>NO:269</t>
  </si>
  <si>
    <t>四楼展柜</t>
  </si>
  <si>
    <t>欧作贤</t>
  </si>
  <si>
    <t>NO:270</t>
  </si>
  <si>
    <t>五楼档口</t>
  </si>
  <si>
    <t>沈阳俊</t>
  </si>
  <si>
    <t>NO:271</t>
  </si>
  <si>
    <t>严生飞</t>
  </si>
  <si>
    <t>NO:272</t>
  </si>
  <si>
    <t>杨柳</t>
  </si>
  <si>
    <t>NO:273</t>
  </si>
  <si>
    <t>5005A</t>
  </si>
  <si>
    <t>秦福成</t>
  </si>
  <si>
    <t>NO:274</t>
  </si>
  <si>
    <t>王冬雪</t>
  </si>
  <si>
    <t>NO:275</t>
  </si>
  <si>
    <t>陈淡吟</t>
  </si>
  <si>
    <t>NO:276</t>
  </si>
  <si>
    <t>NO:277</t>
  </si>
  <si>
    <t>江瑞芝</t>
  </si>
  <si>
    <t>NO:278</t>
  </si>
  <si>
    <t>欧雅琴</t>
  </si>
  <si>
    <t>NO:279</t>
  </si>
  <si>
    <t>钟胜</t>
  </si>
  <si>
    <t>NO:280</t>
  </si>
  <si>
    <t>黄华清</t>
  </si>
  <si>
    <t>NO:281</t>
  </si>
  <si>
    <t>陈贤会</t>
  </si>
  <si>
    <t>NO:282</t>
  </si>
  <si>
    <t>NO:283</t>
  </si>
  <si>
    <t>5013A</t>
  </si>
  <si>
    <t>陈美丽</t>
  </si>
  <si>
    <t>NO:284</t>
  </si>
  <si>
    <t>韩宏霞</t>
  </si>
  <si>
    <t>NO:285</t>
  </si>
  <si>
    <t>刘福文</t>
  </si>
  <si>
    <t>NO:286</t>
  </si>
  <si>
    <t>何平</t>
  </si>
  <si>
    <t>NO:287</t>
  </si>
  <si>
    <t>杨艳艳</t>
  </si>
  <si>
    <t>NO:288</t>
  </si>
  <si>
    <t>赵忆文</t>
  </si>
  <si>
    <t>NO:289</t>
  </si>
  <si>
    <t>刘庆</t>
  </si>
  <si>
    <t>NO:290</t>
  </si>
  <si>
    <t>黄文俊</t>
  </si>
  <si>
    <t>NO:291</t>
  </si>
  <si>
    <t>NO:292</t>
  </si>
  <si>
    <t>王贵云</t>
  </si>
  <si>
    <t>NO:293</t>
  </si>
  <si>
    <t>NO:294</t>
  </si>
  <si>
    <t>钟兰</t>
  </si>
  <si>
    <t>NO:295</t>
  </si>
  <si>
    <t>李朝阳</t>
  </si>
  <si>
    <t>NO:296</t>
  </si>
  <si>
    <t>毛招娣</t>
  </si>
  <si>
    <t>NO:297</t>
  </si>
  <si>
    <t>NO:298</t>
  </si>
  <si>
    <t>郭梅</t>
  </si>
  <si>
    <t>NO:299</t>
  </si>
  <si>
    <t>NO:300</t>
  </si>
  <si>
    <t>周玉清</t>
  </si>
  <si>
    <t>NO:301</t>
  </si>
  <si>
    <t>陈家惠</t>
  </si>
  <si>
    <t>NO:302</t>
  </si>
  <si>
    <t>陈文艳</t>
  </si>
  <si>
    <t>NO:303</t>
  </si>
  <si>
    <t>吕泽强</t>
  </si>
  <si>
    <t>NO:304</t>
  </si>
  <si>
    <t>NO:305</t>
  </si>
  <si>
    <t>刘南</t>
  </si>
  <si>
    <t>NO:306</t>
  </si>
  <si>
    <t>高艳红</t>
  </si>
  <si>
    <t>NO:307</t>
  </si>
  <si>
    <t>陈汉真</t>
  </si>
  <si>
    <t>NO:308</t>
  </si>
  <si>
    <t>王林波</t>
  </si>
  <si>
    <t>NO:309</t>
  </si>
  <si>
    <t>张璐</t>
  </si>
  <si>
    <t>NO:310</t>
  </si>
  <si>
    <t>NO:311</t>
  </si>
  <si>
    <t>NO:312</t>
  </si>
  <si>
    <t>尹里云</t>
  </si>
  <si>
    <t>5043A</t>
  </si>
  <si>
    <t>刘建池</t>
  </si>
  <si>
    <t>NO:314</t>
  </si>
  <si>
    <t>冯彬彬</t>
  </si>
  <si>
    <t>NO:315</t>
  </si>
  <si>
    <t>5046-5047</t>
  </si>
  <si>
    <t>邓杰</t>
  </si>
  <si>
    <t>NO:316</t>
  </si>
  <si>
    <t>5046A</t>
  </si>
  <si>
    <t>陈如</t>
  </si>
  <si>
    <t>NO:317</t>
  </si>
  <si>
    <t>5楼展柜</t>
  </si>
  <si>
    <t>总电表读数</t>
  </si>
  <si>
    <t>上期</t>
  </si>
  <si>
    <t>本期</t>
  </si>
  <si>
    <t>倍数</t>
  </si>
  <si>
    <t>总水表读数</t>
  </si>
  <si>
    <t>一楼</t>
  </si>
  <si>
    <t>二楼</t>
  </si>
  <si>
    <t>三楼</t>
  </si>
  <si>
    <t>四楼</t>
  </si>
  <si>
    <t>五楼</t>
  </si>
  <si>
    <t>合计</t>
  </si>
  <si>
    <t>·</t>
  </si>
  <si>
    <t>合同</t>
  </si>
  <si>
    <t>档号</t>
  </si>
  <si>
    <t>档主名</t>
  </si>
  <si>
    <t>月租</t>
  </si>
  <si>
    <t>林小武</t>
  </si>
  <si>
    <t>廖文怀</t>
  </si>
  <si>
    <t>易金启</t>
  </si>
  <si>
    <t>余华生</t>
  </si>
  <si>
    <t>林思萍</t>
  </si>
  <si>
    <t>1067展柜</t>
  </si>
  <si>
    <t>1068展柜</t>
  </si>
  <si>
    <t>黄廉廷</t>
  </si>
  <si>
    <t>林樊杰</t>
  </si>
  <si>
    <t>焦红楼</t>
  </si>
  <si>
    <t xml:space="preserve"> 徐介全</t>
  </si>
  <si>
    <t>2054（2053A)</t>
  </si>
  <si>
    <t>黄小群</t>
  </si>
  <si>
    <t>2097档展柜</t>
  </si>
  <si>
    <t>三楼前电梯展柜</t>
  </si>
  <si>
    <t>赖文杰</t>
  </si>
  <si>
    <t>黄本聪</t>
  </si>
  <si>
    <t>薛赛</t>
  </si>
  <si>
    <t>周宏</t>
  </si>
  <si>
    <t>陈鑫</t>
  </si>
  <si>
    <t>五楼电梯口展柜</t>
  </si>
  <si>
    <t>商铺号</t>
  </si>
  <si>
    <t>11月份</t>
  </si>
  <si>
    <t>12月份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</si>
  <si>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</si>
  <si>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</si>
  <si>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</si>
  <si>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</si>
  <si>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</si>
  <si>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</si>
  <si>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</si>
  <si>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</si>
  <si>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</si>
  <si>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一楼前电梯展柜1069</t>
  </si>
  <si>
    <t>合同未给</t>
  </si>
  <si>
    <t>合同期不递增,有报告</t>
  </si>
  <si>
    <t>递增3.28</t>
  </si>
  <si>
    <t>白成涛</t>
  </si>
  <si>
    <t>钟日生</t>
  </si>
  <si>
    <t>3009半档</t>
  </si>
  <si>
    <t>罗春兰</t>
  </si>
  <si>
    <t>3040半档</t>
  </si>
  <si>
    <t>庄智杨</t>
  </si>
  <si>
    <t>3045半档</t>
  </si>
  <si>
    <t>张朝花</t>
  </si>
  <si>
    <t>4006半档</t>
  </si>
  <si>
    <t>4011半档</t>
  </si>
  <si>
    <t>4016半档</t>
  </si>
  <si>
    <t>蔡祖莹</t>
  </si>
  <si>
    <t>4018半档</t>
  </si>
  <si>
    <t>张朝帅</t>
  </si>
  <si>
    <t>4021半档</t>
  </si>
  <si>
    <t>4026半档</t>
  </si>
  <si>
    <t>张朝凯</t>
  </si>
  <si>
    <t>4030半档</t>
  </si>
  <si>
    <t>王丽枝</t>
  </si>
  <si>
    <t>4035半档</t>
  </si>
  <si>
    <t>4038半档</t>
  </si>
  <si>
    <t>4040半档</t>
  </si>
  <si>
    <t>刘航</t>
  </si>
  <si>
    <t>4043半档</t>
  </si>
  <si>
    <t>4044半档</t>
  </si>
  <si>
    <t>张虎</t>
  </si>
  <si>
    <t>4046半档</t>
  </si>
  <si>
    <t>李义中</t>
  </si>
  <si>
    <t>4046A半档</t>
  </si>
  <si>
    <t>递增日（2021）</t>
  </si>
  <si>
    <t>递增金额</t>
  </si>
  <si>
    <t>陈良伟</t>
  </si>
  <si>
    <t>陈汉真（临租）</t>
  </si>
  <si>
    <t>林丽情</t>
  </si>
  <si>
    <t>包君威</t>
  </si>
  <si>
    <t>赵德花</t>
  </si>
  <si>
    <t>陈金俊</t>
  </si>
  <si>
    <t>1014/1015</t>
  </si>
  <si>
    <t>王奎（临租）</t>
  </si>
  <si>
    <t>王燕华</t>
  </si>
  <si>
    <t>杨桂芹（临）</t>
  </si>
  <si>
    <t>杨桂芹</t>
  </si>
  <si>
    <t>林春铸</t>
  </si>
  <si>
    <t>庄诗霖（临租）</t>
  </si>
  <si>
    <t>赵德花（临仓）</t>
  </si>
  <si>
    <t>王小军（临仓）</t>
  </si>
  <si>
    <t>林百光</t>
  </si>
  <si>
    <t>阮文宾</t>
  </si>
  <si>
    <t>陈文超</t>
  </si>
  <si>
    <t>方海潮</t>
  </si>
  <si>
    <t>谢玲华</t>
  </si>
  <si>
    <t>黄夏琼</t>
  </si>
  <si>
    <t>刘怡</t>
  </si>
  <si>
    <t>黄金龙</t>
  </si>
  <si>
    <t>庄展锐</t>
  </si>
  <si>
    <t>刘云娇</t>
  </si>
  <si>
    <t>范琼妹</t>
  </si>
  <si>
    <t>肖勇</t>
  </si>
  <si>
    <t>林健辉</t>
  </si>
  <si>
    <t>赵东芳</t>
  </si>
  <si>
    <t>诸美华</t>
  </si>
  <si>
    <t>褚美华</t>
  </si>
  <si>
    <t>陈爱媛</t>
  </si>
  <si>
    <t>郭飞</t>
  </si>
  <si>
    <t>张小芳</t>
  </si>
  <si>
    <t>1068展柜(全包）</t>
  </si>
  <si>
    <t>1069展柜(全包）</t>
  </si>
  <si>
    <t>1069展柜</t>
  </si>
  <si>
    <t>孙标然(临)</t>
  </si>
  <si>
    <t>胡文英（临）</t>
  </si>
  <si>
    <t>胡文英</t>
  </si>
  <si>
    <t>张谷香</t>
  </si>
  <si>
    <t>卢永果</t>
  </si>
  <si>
    <t>杨斌</t>
  </si>
  <si>
    <t>白保倩</t>
  </si>
  <si>
    <t xml:space="preserve">王既异
</t>
  </si>
  <si>
    <t>孙建峰</t>
  </si>
  <si>
    <t>阎新萍（临租）</t>
  </si>
  <si>
    <t>阎新萍</t>
  </si>
  <si>
    <t>张明富（临租）</t>
  </si>
  <si>
    <t>张明富</t>
  </si>
  <si>
    <t>张顶（临）</t>
  </si>
  <si>
    <t>林建婵（临）</t>
  </si>
  <si>
    <t>林建婵</t>
  </si>
  <si>
    <t>张晓璇</t>
  </si>
  <si>
    <t>卢世聪</t>
  </si>
  <si>
    <t>高韦铃</t>
  </si>
  <si>
    <t>林樊杰（临仓）</t>
  </si>
  <si>
    <t>焦红楼（临仓全包）</t>
  </si>
  <si>
    <t>陈顺生</t>
  </si>
  <si>
    <t>陈华彬（临）</t>
  </si>
  <si>
    <t>陈华彬</t>
  </si>
  <si>
    <t>杨艳艳（临）</t>
  </si>
  <si>
    <t>邹勇忠</t>
  </si>
  <si>
    <t>杨扬</t>
  </si>
  <si>
    <t>王少昂（临租）</t>
  </si>
  <si>
    <t>王少昂</t>
  </si>
  <si>
    <t>卢永华</t>
  </si>
  <si>
    <t>林宇新</t>
  </si>
  <si>
    <t>张秋健</t>
  </si>
  <si>
    <t>张秋建</t>
  </si>
  <si>
    <t>郑晓英</t>
  </si>
  <si>
    <t>邓凤壮</t>
  </si>
  <si>
    <t>欧建峰</t>
  </si>
  <si>
    <t>陈水生</t>
  </si>
  <si>
    <t>黄裕萍</t>
  </si>
  <si>
    <t>黄铭亮</t>
  </si>
  <si>
    <t>岑晓莹</t>
  </si>
  <si>
    <t>陈亚丽（临）</t>
  </si>
  <si>
    <t>陈仲威（临）</t>
  </si>
  <si>
    <t>陈仲威</t>
  </si>
  <si>
    <t>杨玺全</t>
  </si>
  <si>
    <t>李小燕</t>
  </si>
  <si>
    <t>刘超珊</t>
  </si>
  <si>
    <t>刘真辉（临）</t>
  </si>
  <si>
    <t>李孟亮</t>
  </si>
  <si>
    <t>肖宇元</t>
  </si>
  <si>
    <t>黄信凯（临）</t>
  </si>
  <si>
    <t>黄信凯</t>
  </si>
  <si>
    <t>朱彪</t>
  </si>
  <si>
    <t>林香超（临）</t>
  </si>
  <si>
    <t>黄梦交</t>
  </si>
  <si>
    <t>王本玉</t>
  </si>
  <si>
    <t>白成涛（全包）</t>
  </si>
  <si>
    <t>2095展柜</t>
  </si>
  <si>
    <t>拆迁</t>
  </si>
  <si>
    <t>马绍章</t>
  </si>
  <si>
    <t>祖飒</t>
  </si>
  <si>
    <t>李辉</t>
  </si>
  <si>
    <t>李潘</t>
  </si>
  <si>
    <t>吴锦丽</t>
  </si>
  <si>
    <t>王南辉</t>
  </si>
  <si>
    <t>林泽妙</t>
  </si>
  <si>
    <t>刘琼</t>
  </si>
  <si>
    <t>3012半档</t>
  </si>
  <si>
    <t>文洪妙</t>
  </si>
  <si>
    <t>刘军</t>
  </si>
  <si>
    <t>江厚亮</t>
  </si>
  <si>
    <t>习亚林</t>
  </si>
  <si>
    <t>姜智宇</t>
  </si>
  <si>
    <t>唐秀兰</t>
  </si>
  <si>
    <t>尹鹏</t>
  </si>
  <si>
    <t>李满盆</t>
  </si>
  <si>
    <t>张瑞</t>
  </si>
  <si>
    <t>钟玉琴</t>
  </si>
  <si>
    <t>胡淑娟</t>
  </si>
  <si>
    <t>李康</t>
  </si>
  <si>
    <t>钟乾坤</t>
  </si>
  <si>
    <t>张锦鸿</t>
  </si>
  <si>
    <t>唐雄英</t>
  </si>
  <si>
    <t>3051（半档）</t>
  </si>
  <si>
    <t>刘国波</t>
  </si>
  <si>
    <t>3052（半档）</t>
  </si>
  <si>
    <t>吴彦霖</t>
  </si>
  <si>
    <t>王典</t>
  </si>
  <si>
    <t>李如花</t>
  </si>
  <si>
    <t>自编三楼展柜</t>
  </si>
  <si>
    <t>马展才</t>
  </si>
  <si>
    <t>杨世勤</t>
  </si>
  <si>
    <t>4004半档</t>
  </si>
  <si>
    <t>肖春得</t>
  </si>
  <si>
    <t>4007半档</t>
  </si>
  <si>
    <t>刘宁</t>
  </si>
  <si>
    <t>赵其斌</t>
  </si>
  <si>
    <t>方兴豹</t>
  </si>
  <si>
    <t>王鑫龙</t>
  </si>
  <si>
    <t>吴杰标</t>
  </si>
  <si>
    <t>刘健</t>
  </si>
  <si>
    <t>李炳抄</t>
  </si>
  <si>
    <t>周少鑫</t>
  </si>
  <si>
    <t>曾文萃</t>
  </si>
  <si>
    <t>郭齐杰</t>
  </si>
  <si>
    <t>郑美霞</t>
  </si>
  <si>
    <t>蔡林杰</t>
  </si>
  <si>
    <t>曹美桃</t>
  </si>
  <si>
    <t>潘金华</t>
  </si>
  <si>
    <t>廖飞珍</t>
  </si>
  <si>
    <t>陈余九</t>
  </si>
  <si>
    <t>郑安民</t>
  </si>
  <si>
    <t>杜国刚</t>
  </si>
  <si>
    <t>张进</t>
  </si>
  <si>
    <t>张社军</t>
  </si>
  <si>
    <t>5030半档</t>
  </si>
  <si>
    <t>张安琳</t>
  </si>
  <si>
    <t>林伟张安琳</t>
  </si>
  <si>
    <t>刘海彬</t>
  </si>
  <si>
    <t>叶汉森</t>
  </si>
  <si>
    <t>高伟铃</t>
  </si>
  <si>
    <t>姚润球</t>
  </si>
  <si>
    <t>4月</t>
  </si>
  <si>
    <t>5月</t>
  </si>
  <si>
    <t>6月</t>
  </si>
  <si>
    <t>7月</t>
  </si>
  <si>
    <t>实际折扣</t>
  </si>
  <si>
    <t>6折</t>
  </si>
  <si>
    <t>5折</t>
  </si>
  <si>
    <t>市场折扣</t>
  </si>
  <si>
    <t>8折</t>
  </si>
  <si>
    <t>7折</t>
  </si>
  <si>
    <t>差额</t>
  </si>
  <si>
    <t>截止空档数3.30</t>
  </si>
  <si>
    <t>被占用</t>
  </si>
  <si>
    <t>3.31号到期未续签</t>
  </si>
  <si>
    <t>-</t>
  </si>
  <si>
    <t>钟士梅</t>
  </si>
  <si>
    <t>赖鑫（临）</t>
  </si>
  <si>
    <t>王金保</t>
  </si>
  <si>
    <t>李恒耀</t>
  </si>
  <si>
    <t>陈强</t>
  </si>
  <si>
    <t>待定先不出</t>
  </si>
  <si>
    <t>刘艳霞</t>
  </si>
  <si>
    <t>李声亮</t>
  </si>
  <si>
    <t>申俊强</t>
  </si>
  <si>
    <t>罗银送</t>
  </si>
  <si>
    <t>黄叶乐</t>
  </si>
  <si>
    <t>余海城</t>
  </si>
  <si>
    <t>刘艳林</t>
  </si>
  <si>
    <t>宋丽丽</t>
  </si>
  <si>
    <t>7个展柜</t>
  </si>
  <si>
    <t>49档口  7个展柜</t>
  </si>
  <si>
    <t>计租日</t>
  </si>
  <si>
    <t>递增日（2022）</t>
  </si>
  <si>
    <t>总租金</t>
  </si>
  <si>
    <t>谢伟明</t>
  </si>
  <si>
    <t>苏碧兰</t>
  </si>
  <si>
    <t>魏丽绚</t>
  </si>
  <si>
    <t>唐丹凤</t>
  </si>
  <si>
    <t>1014-15</t>
  </si>
  <si>
    <t>1016-17</t>
  </si>
  <si>
    <t>吴建忠</t>
  </si>
  <si>
    <t>李晓彩</t>
  </si>
  <si>
    <t>文千红</t>
  </si>
  <si>
    <t>涂珍珍</t>
  </si>
  <si>
    <t>贺文清</t>
  </si>
  <si>
    <t>宋高杨</t>
  </si>
  <si>
    <t>白保辉（临）</t>
  </si>
  <si>
    <t>白保辉</t>
  </si>
  <si>
    <t>黎晓菲</t>
  </si>
  <si>
    <t>2022-2023</t>
  </si>
  <si>
    <t>余养康</t>
  </si>
  <si>
    <t>余康养</t>
  </si>
  <si>
    <t>2个电表</t>
  </si>
  <si>
    <t>余小页</t>
  </si>
  <si>
    <t>浓庭珍</t>
  </si>
  <si>
    <t>唐震</t>
  </si>
  <si>
    <t>钟志红</t>
  </si>
  <si>
    <t>刘飞祥（临）</t>
  </si>
  <si>
    <t>牟丹（临）</t>
  </si>
  <si>
    <t>王福保</t>
  </si>
  <si>
    <t>林汶鹏</t>
  </si>
  <si>
    <t>林汉鹏</t>
  </si>
  <si>
    <t>陈皓楠</t>
  </si>
  <si>
    <t>林泽凡</t>
  </si>
  <si>
    <t>陈湘</t>
  </si>
  <si>
    <t>顾培</t>
  </si>
  <si>
    <t>郭伟贤</t>
  </si>
  <si>
    <t>李军胜</t>
  </si>
  <si>
    <t>揭翠梅</t>
  </si>
  <si>
    <t>林桂满</t>
  </si>
  <si>
    <t>王以武</t>
  </si>
  <si>
    <t>毛祖杰</t>
  </si>
  <si>
    <t>梁跃辉</t>
  </si>
  <si>
    <t>王以强</t>
  </si>
  <si>
    <t>李素华</t>
  </si>
  <si>
    <t>陈丹彤</t>
  </si>
  <si>
    <t>邢香</t>
  </si>
  <si>
    <t>丁建清</t>
  </si>
  <si>
    <t>刘畅</t>
  </si>
  <si>
    <t>揭武英</t>
  </si>
  <si>
    <t>揭平英</t>
  </si>
  <si>
    <t>4034/35</t>
  </si>
  <si>
    <t>陈英</t>
  </si>
  <si>
    <t>4034-35</t>
  </si>
  <si>
    <t>黄绿平</t>
  </si>
  <si>
    <t>朱伟</t>
  </si>
  <si>
    <t>李春国</t>
  </si>
  <si>
    <t>毛祖德</t>
  </si>
  <si>
    <t>陈余久</t>
  </si>
  <si>
    <t>许少玲</t>
  </si>
  <si>
    <t>王坚</t>
  </si>
  <si>
    <t>施家文（半档）</t>
  </si>
  <si>
    <t>李俊辉/施家文</t>
  </si>
  <si>
    <t>刘志鑫</t>
  </si>
  <si>
    <t>向遂婷</t>
  </si>
  <si>
    <t>林伟/张安琳</t>
  </si>
  <si>
    <t>马启芳</t>
  </si>
  <si>
    <t>刘海飞</t>
  </si>
  <si>
    <t>罗文乐</t>
  </si>
  <si>
    <t>马晓晴</t>
  </si>
  <si>
    <t>朱国知</t>
  </si>
  <si>
    <t>王能铁</t>
  </si>
  <si>
    <t>王新发</t>
  </si>
  <si>
    <t>*1000</t>
  </si>
  <si>
    <t>水线损</t>
  </si>
  <si>
    <t>新签（合同未给）</t>
  </si>
  <si>
    <t>新签</t>
  </si>
  <si>
    <t>拆迁档口</t>
  </si>
  <si>
    <t>降租600 不递增</t>
  </si>
  <si>
    <t>上月弃档</t>
  </si>
  <si>
    <t>上月弃档，空档</t>
  </si>
  <si>
    <t>递增</t>
  </si>
  <si>
    <t>未给合同但是要出单</t>
  </si>
  <si>
    <t>合同重签</t>
  </si>
  <si>
    <t>杨艳艳新签</t>
  </si>
  <si>
    <t>1010押金条未换</t>
  </si>
  <si>
    <t>3015半档走流程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</si>
</sst>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);[Red]\(0\)"/>
    <numFmt numFmtId="178" formatCode="0.000_);[Red]\(0.000\)"/>
    <numFmt numFmtId="179" formatCode="0.000_ "/>
    <numFmt numFmtId="180" formatCode="0_ "/>
    <numFmt numFmtId="181" formatCode="0&quot;㎡&quot;"/>
    <numFmt numFmtId="182" formatCode="0.00_ "/>
    <numFmt numFmtId="183" formatCode="0.0_ "/>
    <numFmt numFmtId="184" formatCode="0_ ;[Red]\-0\ "/>
    <numFmt numFmtId="185" formatCode="[DBNum2]\(&quot;&quot;&quot;人&quot;&quot;民&quot;&quot;币&quot;&quot;&quot;\)General&quot;&quot;&quot;元&quot;&quot;&quot;"/>
  </numFmts>
  <fonts count="74">
    <font>
      <sz val="12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3"/>
      <name val="宋体"/>
      <charset val="134"/>
    </font>
    <font>
      <sz val="10"/>
      <color indexed="63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1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6"/>
      <color indexed="8"/>
      <name val="宋体"/>
      <charset val="134"/>
    </font>
    <font>
      <sz val="12"/>
      <color rgb="FFFF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name val="宋体"/>
      <charset val="134"/>
      <scheme val="major"/>
    </font>
    <font>
      <sz val="18"/>
      <name val="宋体"/>
      <charset val="134"/>
    </font>
    <font>
      <sz val="14"/>
      <name val="宋体"/>
      <charset val="134"/>
      <scheme val="maj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0"/>
      <name val="Arial"/>
      <charset val="134"/>
    </font>
    <font>
      <sz val="11"/>
      <color indexed="8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81">
    <xf numFmtId="0" fontId="0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16" borderId="2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7" borderId="23" applyNumberFormat="0" applyAlignment="0" applyProtection="0">
      <alignment vertical="center"/>
    </xf>
    <xf numFmtId="0" fontId="53" fillId="18" borderId="24" applyNumberFormat="0" applyAlignment="0" applyProtection="0">
      <alignment vertical="center"/>
    </xf>
    <xf numFmtId="0" fontId="54" fillId="18" borderId="23" applyNumberFormat="0" applyAlignment="0" applyProtection="0">
      <alignment vertical="center"/>
    </xf>
    <xf numFmtId="0" fontId="55" fillId="19" borderId="25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7" fillId="0" borderId="29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</cellStyleXfs>
  <cellXfs count="32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6" fillId="2" borderId="2" xfId="80" applyFont="1" applyFill="1" applyBorder="1">
      <alignment vertical="center"/>
    </xf>
    <xf numFmtId="0" fontId="7" fillId="2" borderId="3" xfId="25" applyFont="1" applyFill="1" applyBorder="1" applyAlignment="1">
      <alignment horizontal="center" vertical="center" wrapText="1"/>
    </xf>
    <xf numFmtId="0" fontId="7" fillId="2" borderId="0" xfId="25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7" fillId="2" borderId="1" xfId="25" applyNumberFormat="1" applyFont="1" applyFill="1" applyBorder="1" applyAlignment="1">
      <alignment horizontal="center" vertical="center" wrapText="1"/>
    </xf>
    <xf numFmtId="0" fontId="7" fillId="2" borderId="5" xfId="25" applyFont="1" applyFill="1" applyBorder="1" applyAlignment="1">
      <alignment horizontal="center" vertical="center" wrapText="1"/>
    </xf>
    <xf numFmtId="0" fontId="7" fillId="2" borderId="1" xfId="25" applyFont="1" applyFill="1" applyBorder="1" applyAlignment="1">
      <alignment horizontal="center" vertical="center" wrapText="1"/>
    </xf>
    <xf numFmtId="176" fontId="7" fillId="2" borderId="1" xfId="25" applyNumberFormat="1" applyFont="1" applyFill="1" applyBorder="1" applyAlignment="1">
      <alignment horizontal="center" vertical="center" shrinkToFit="1"/>
    </xf>
    <xf numFmtId="176" fontId="7" fillId="2" borderId="1" xfId="25" applyNumberFormat="1" applyFont="1" applyFill="1" applyBorder="1" applyAlignment="1">
      <alignment horizontal="center" vertical="center" wrapText="1"/>
    </xf>
    <xf numFmtId="0" fontId="7" fillId="2" borderId="1" xfId="25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2" fillId="2" borderId="1" xfId="76" applyFont="1" applyFill="1" applyBorder="1" applyAlignment="1">
      <alignment horizontal="center" vertical="center" wrapText="1"/>
    </xf>
    <xf numFmtId="0" fontId="11" fillId="2" borderId="1" xfId="76" applyFont="1" applyFill="1" applyBorder="1" applyAlignment="1">
      <alignment horizontal="center" vertical="center" wrapText="1"/>
    </xf>
    <xf numFmtId="0" fontId="11" fillId="2" borderId="5" xfId="7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1" fillId="2" borderId="1" xfId="77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76" fontId="10" fillId="2" borderId="1" xfId="77" applyNumberFormat="1" applyFont="1" applyFill="1" applyBorder="1" applyAlignment="1">
      <alignment horizontal="center" vertical="center"/>
    </xf>
    <xf numFmtId="0" fontId="11" fillId="2" borderId="5" xfId="76" applyFont="1" applyFill="1" applyBorder="1" applyAlignment="1">
      <alignment horizontal="center" vertical="center"/>
    </xf>
    <xf numFmtId="176" fontId="11" fillId="2" borderId="1" xfId="78" applyNumberFormat="1" applyFont="1" applyFill="1" applyBorder="1" applyAlignment="1">
      <alignment horizontal="center" vertical="center"/>
    </xf>
    <xf numFmtId="0" fontId="10" fillId="2" borderId="1" xfId="76" applyFont="1" applyFill="1" applyBorder="1" applyAlignment="1">
      <alignment horizontal="center" vertical="center" wrapText="1"/>
    </xf>
    <xf numFmtId="0" fontId="10" fillId="2" borderId="5" xfId="76" applyFont="1" applyFill="1" applyBorder="1" applyAlignment="1">
      <alignment horizontal="center" vertical="center"/>
    </xf>
    <xf numFmtId="176" fontId="10" fillId="2" borderId="1" xfId="78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2" fillId="2" borderId="1" xfId="76" applyFont="1" applyFill="1" applyBorder="1" applyAlignment="1">
      <alignment horizontal="center" vertical="center" wrapText="1"/>
    </xf>
    <xf numFmtId="0" fontId="12" fillId="2" borderId="5" xfId="76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12" fillId="2" borderId="1" xfId="78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76" applyFont="1" applyFill="1" applyBorder="1" applyAlignment="1">
      <alignment horizontal="center" vertical="center" wrapText="1"/>
    </xf>
    <xf numFmtId="0" fontId="7" fillId="2" borderId="1" xfId="78" applyFont="1" applyFill="1" applyBorder="1" applyAlignment="1">
      <alignment horizontal="center" vertical="center" wrapText="1"/>
    </xf>
    <xf numFmtId="0" fontId="10" fillId="2" borderId="1" xfId="78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7" fillId="2" borderId="5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79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79" applyFont="1" applyFill="1" applyBorder="1">
      <alignment vertical="center"/>
    </xf>
    <xf numFmtId="0" fontId="15" fillId="2" borderId="0" xfId="78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78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8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11" fillId="2" borderId="1" xfId="78" applyFont="1" applyFill="1" applyBorder="1" applyAlignment="1">
      <alignment horizontal="center" vertical="center"/>
    </xf>
    <xf numFmtId="0" fontId="11" fillId="2" borderId="1" xfId="77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2" borderId="1" xfId="76" applyFont="1" applyFill="1" applyBorder="1" applyAlignment="1">
      <alignment horizontal="center" vertical="center"/>
    </xf>
    <xf numFmtId="0" fontId="10" fillId="2" borderId="1" xfId="76" applyFont="1" applyFill="1" applyBorder="1" applyAlignment="1">
      <alignment horizontal="center" vertical="center"/>
    </xf>
    <xf numFmtId="0" fontId="10" fillId="2" borderId="1" xfId="78" applyFont="1" applyFill="1" applyBorder="1" applyAlignment="1">
      <alignment horizontal="center" vertical="center"/>
    </xf>
    <xf numFmtId="0" fontId="12" fillId="2" borderId="1" xfId="76" applyFont="1" applyFill="1" applyBorder="1" applyAlignment="1">
      <alignment horizontal="center" vertical="center"/>
    </xf>
    <xf numFmtId="0" fontId="12" fillId="2" borderId="1" xfId="78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177" fontId="10" fillId="8" borderId="1" xfId="0" applyNumberFormat="1" applyFont="1" applyFill="1" applyBorder="1" applyAlignment="1">
      <alignment horizontal="center" vertical="center"/>
    </xf>
    <xf numFmtId="177" fontId="10" fillId="9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2" borderId="1" xfId="78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78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23" fillId="0" borderId="3" xfId="25" applyNumberFormat="1" applyFont="1" applyFill="1" applyBorder="1" applyAlignment="1">
      <alignment horizontal="center" vertical="center" wrapText="1"/>
    </xf>
    <xf numFmtId="0" fontId="23" fillId="0" borderId="3" xfId="25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77" fontId="23" fillId="0" borderId="1" xfId="25" applyNumberFormat="1" applyFont="1" applyFill="1" applyBorder="1" applyAlignment="1">
      <alignment horizontal="center" vertical="center" wrapText="1"/>
    </xf>
    <xf numFmtId="0" fontId="23" fillId="0" borderId="1" xfId="2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78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76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0" fillId="2" borderId="1" xfId="76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2" fillId="7" borderId="1" xfId="76" applyFont="1" applyFill="1" applyBorder="1" applyAlignment="1">
      <alignment horizontal="center" vertical="center" wrapText="1"/>
    </xf>
    <xf numFmtId="0" fontId="2" fillId="11" borderId="1" xfId="76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/>
    </xf>
    <xf numFmtId="58" fontId="8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0" fillId="0" borderId="3" xfId="25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77" fontId="30" fillId="0" borderId="1" xfId="25" applyNumberFormat="1" applyFont="1" applyFill="1" applyBorder="1" applyAlignment="1">
      <alignment horizontal="center" vertical="center" wrapText="1"/>
    </xf>
    <xf numFmtId="0" fontId="30" fillId="0" borderId="1" xfId="25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0" fillId="0" borderId="1" xfId="76" applyFont="1" applyBorder="1" applyAlignment="1">
      <alignment horizontal="center" vertical="center" wrapText="1"/>
    </xf>
    <xf numFmtId="0" fontId="30" fillId="0" borderId="1" xfId="78" applyFont="1" applyBorder="1" applyAlignment="1">
      <alignment horizontal="center" vertical="center"/>
    </xf>
    <xf numFmtId="0" fontId="30" fillId="0" borderId="1" xfId="77" applyFont="1" applyBorder="1" applyAlignment="1">
      <alignment horizontal="center" vertical="center"/>
    </xf>
    <xf numFmtId="0" fontId="21" fillId="0" borderId="1" xfId="76" applyFont="1" applyBorder="1" applyAlignment="1">
      <alignment horizontal="center" vertical="center" wrapText="1"/>
    </xf>
    <xf numFmtId="0" fontId="30" fillId="0" borderId="1" xfId="76" applyFont="1" applyBorder="1" applyAlignment="1">
      <alignment horizontal="center" vertical="center"/>
    </xf>
    <xf numFmtId="0" fontId="33" fillId="0" borderId="1" xfId="76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30" fillId="0" borderId="1" xfId="78" applyFont="1" applyBorder="1" applyAlignment="1">
      <alignment horizontal="center" vertical="center" wrapText="1"/>
    </xf>
    <xf numFmtId="0" fontId="30" fillId="0" borderId="1" xfId="1" applyNumberFormat="1" applyFont="1" applyFill="1" applyBorder="1" applyAlignment="1">
      <alignment horizontal="center" vertical="center"/>
    </xf>
    <xf numFmtId="0" fontId="30" fillId="0" borderId="1" xfId="79" applyFont="1" applyBorder="1" applyAlignment="1">
      <alignment horizontal="center" vertical="center" wrapText="1"/>
    </xf>
    <xf numFmtId="58" fontId="2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12" borderId="6" xfId="0" applyFont="1" applyFill="1" applyBorder="1" applyAlignment="1">
      <alignment horizontal="center" vertical="center"/>
    </xf>
    <xf numFmtId="0" fontId="19" fillId="2" borderId="1" xfId="0" applyFont="1" applyFill="1" applyBorder="1">
      <alignment vertical="center"/>
    </xf>
    <xf numFmtId="178" fontId="2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6" fillId="2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178" fontId="22" fillId="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 applyProtection="1">
      <alignment horizontal="center" vertical="center"/>
      <protection locked="0"/>
    </xf>
    <xf numFmtId="0" fontId="19" fillId="11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/>
      <protection locked="0"/>
    </xf>
    <xf numFmtId="178" fontId="33" fillId="2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78" fontId="22" fillId="4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8" fontId="2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7" borderId="1" xfId="0" applyFont="1" applyFill="1" applyBorder="1" applyAlignment="1">
      <alignment horizontal="center" vertical="center"/>
    </xf>
    <xf numFmtId="178" fontId="19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178" fontId="22" fillId="9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37" fillId="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  <protection locked="0"/>
    </xf>
    <xf numFmtId="49" fontId="22" fillId="2" borderId="1" xfId="0" applyNumberFormat="1" applyFont="1" applyFill="1" applyBorder="1" applyAlignment="1">
      <alignment horizontal="center" vertical="center"/>
    </xf>
    <xf numFmtId="178" fontId="22" fillId="2" borderId="0" xfId="1" applyNumberFormat="1" applyFont="1" applyFill="1" applyAlignment="1">
      <alignment horizontal="center" vertical="center"/>
    </xf>
    <xf numFmtId="178" fontId="19" fillId="2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22" fillId="2" borderId="1" xfId="78" applyFont="1" applyFill="1" applyBorder="1" applyAlignment="1">
      <alignment horizontal="center" vertical="center" wrapText="1"/>
    </xf>
    <xf numFmtId="178" fontId="22" fillId="2" borderId="1" xfId="1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22" fillId="4" borderId="1" xfId="1" applyNumberFormat="1" applyFont="1" applyFill="1" applyBorder="1" applyAlignment="1">
      <alignment horizontal="center" vertical="center"/>
    </xf>
    <xf numFmtId="178" fontId="19" fillId="2" borderId="1" xfId="1" applyNumberFormat="1" applyFont="1" applyFill="1" applyBorder="1" applyAlignment="1">
      <alignment horizontal="center" vertical="center"/>
    </xf>
    <xf numFmtId="0" fontId="19" fillId="2" borderId="1" xfId="78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14" borderId="1" xfId="0" applyFont="1" applyFill="1" applyBorder="1" applyAlignment="1">
      <alignment horizontal="center" vertical="center" wrapText="1"/>
    </xf>
    <xf numFmtId="181" fontId="39" fillId="12" borderId="1" xfId="0" applyNumberFormat="1" applyFont="1" applyFill="1" applyBorder="1">
      <alignment vertical="center"/>
    </xf>
    <xf numFmtId="181" fontId="39" fillId="2" borderId="1" xfId="0" applyNumberFormat="1" applyFont="1" applyFill="1" applyBorder="1">
      <alignment vertical="center"/>
    </xf>
    <xf numFmtId="181" fontId="39" fillId="15" borderId="1" xfId="0" applyNumberFormat="1" applyFont="1" applyFill="1" applyBorder="1">
      <alignment vertical="center"/>
    </xf>
    <xf numFmtId="182" fontId="39" fillId="14" borderId="1" xfId="0" applyNumberFormat="1" applyFont="1" applyFill="1" applyBorder="1">
      <alignment vertical="center"/>
    </xf>
    <xf numFmtId="0" fontId="39" fillId="14" borderId="1" xfId="0" applyFont="1" applyFill="1" applyBorder="1">
      <alignment vertical="center"/>
    </xf>
    <xf numFmtId="10" fontId="39" fillId="12" borderId="1" xfId="0" applyNumberFormat="1" applyFont="1" applyFill="1" applyBorder="1">
      <alignment vertical="center"/>
    </xf>
    <xf numFmtId="10" fontId="39" fillId="2" borderId="1" xfId="0" applyNumberFormat="1" applyFont="1" applyFill="1" applyBorder="1">
      <alignment vertical="center"/>
    </xf>
    <xf numFmtId="10" fontId="39" fillId="15" borderId="1" xfId="0" applyNumberFormat="1" applyFont="1" applyFill="1" applyBorder="1">
      <alignment vertical="center"/>
    </xf>
    <xf numFmtId="10" fontId="39" fillId="14" borderId="1" xfId="0" applyNumberFormat="1" applyFont="1" applyFill="1" applyBorder="1">
      <alignment vertical="center"/>
    </xf>
    <xf numFmtId="0" fontId="40" fillId="0" borderId="0" xfId="0" applyFont="1" applyAlignment="1">
      <alignment horizont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49" fontId="43" fillId="0" borderId="13" xfId="0" applyNumberFormat="1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180" fontId="43" fillId="0" borderId="15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 wrapText="1"/>
    </xf>
    <xf numFmtId="183" fontId="43" fillId="0" borderId="15" xfId="0" applyNumberFormat="1" applyFont="1" applyBorder="1" applyAlignment="1">
      <alignment horizontal="center" vertical="center"/>
    </xf>
    <xf numFmtId="184" fontId="43" fillId="0" borderId="15" xfId="0" applyNumberFormat="1" applyFont="1" applyBorder="1" applyAlignment="1">
      <alignment horizontal="center" vertical="center"/>
    </xf>
    <xf numFmtId="7" fontId="43" fillId="0" borderId="15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85" fontId="43" fillId="0" borderId="18" xfId="0" applyNumberFormat="1" applyFont="1" applyBorder="1" applyAlignment="1">
      <alignment horizontal="center" vertical="center"/>
    </xf>
    <xf numFmtId="185" fontId="43" fillId="0" borderId="18" xfId="0" applyNumberFormat="1" applyFont="1" applyBorder="1">
      <alignment vertical="center"/>
    </xf>
    <xf numFmtId="180" fontId="43" fillId="0" borderId="18" xfId="0" applyNumberFormat="1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85" fontId="43" fillId="0" borderId="0" xfId="0" applyNumberFormat="1" applyFont="1" applyAlignment="1">
      <alignment horizontal="center" vertical="center"/>
    </xf>
    <xf numFmtId="180" fontId="4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 3 3 2 2" xfId="49"/>
    <cellStyle name="20% - 强调文字颜色 2 2 3 2 2 4 2 2" xfId="50"/>
    <cellStyle name="20% - 强调文字颜色 3 2 3 4 3 2 2" xfId="51"/>
    <cellStyle name="20% - 强调文字颜色 4 2 9 2 2" xfId="52"/>
    <cellStyle name="20% - 强调文字颜色 5 2 4 2 2 4" xfId="53"/>
    <cellStyle name="20% - 强调文字颜色 6 2 5 2 2 2" xfId="54"/>
    <cellStyle name="40% - 强调文字颜色 2 2 3 2 3 3 2" xfId="55"/>
    <cellStyle name="40% - 强调文字颜色 3 2 6 2 2 2" xfId="56"/>
    <cellStyle name="40% - 强调文字颜色 5 2 5 3 2" xfId="57"/>
    <cellStyle name="40% - 强调文字颜色 6 2 5 2 3 2" xfId="58"/>
    <cellStyle name="60% - 强调文字颜色 1 3" xfId="59"/>
    <cellStyle name="60% - 强调文字颜色 2 4 3" xfId="60"/>
    <cellStyle name="60% - 强调文字颜色 3 4 2" xfId="61"/>
    <cellStyle name="60% - 强调文字颜色 4 4 2" xfId="62"/>
    <cellStyle name="60% - 强调文字颜色 5 2 2 2" xfId="63"/>
    <cellStyle name="60% - 强调文字颜色 5 4 4" xfId="64"/>
    <cellStyle name="60% - 强调文字颜色 5 4 4 2" xfId="65"/>
    <cellStyle name="60% - 强调文字颜色 5 4 5" xfId="66"/>
    <cellStyle name="60% - 强调文字颜色 6 4 3" xfId="67"/>
    <cellStyle name="标题 1 2 2 4" xfId="68"/>
    <cellStyle name="标题 2 2 5" xfId="69"/>
    <cellStyle name="标题 3 2 2 4" xfId="70"/>
    <cellStyle name="标题 4 2 2 4" xfId="71"/>
    <cellStyle name="标题 5 2 4" xfId="72"/>
    <cellStyle name="差 2 3 2" xfId="73"/>
    <cellStyle name="常规 16" xfId="74"/>
    <cellStyle name="常规 19" xfId="75"/>
    <cellStyle name="常规 4" xfId="76"/>
    <cellStyle name="常规 5" xfId="77"/>
    <cellStyle name="常规 6" xfId="78"/>
    <cellStyle name="常规 7" xfId="79"/>
    <cellStyle name="常规_Sheet1" xfId="8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CC00"/>
      <color rgb="00339966"/>
      <color rgb="000066CC"/>
      <color rgb="00FF6600"/>
      <color rgb="00FFCC99"/>
      <color rgb="00ED7D31"/>
      <color rgb="00FFFF0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38"/>
  <sheetViews>
    <sheetView showGridLines="0" zoomScale="80" zoomScaleNormal="80" topLeftCell="A4044" workbookViewId="0">
      <selection activeCell="A4044" sqref="$A1:$XFD1048576"/>
    </sheetView>
  </sheetViews>
  <sheetFormatPr defaultColWidth="9" defaultRowHeight="14.25"/>
  <cols>
    <col min="1" max="1" width="21.3333333333333" customWidth="1"/>
    <col min="2" max="4" width="9.5" customWidth="1"/>
    <col min="5" max="5" width="11.0833333333333" customWidth="1"/>
    <col min="6" max="6" width="12.0833333333333" customWidth="1"/>
    <col min="7" max="7" width="20.25" customWidth="1"/>
    <col min="11" max="11" width="9" style="79"/>
  </cols>
  <sheetData>
    <row r="1" ht="27" customHeight="1" spans="1:11">
      <c r="A1" s="298" t="s">
        <v>0</v>
      </c>
      <c r="B1" s="298"/>
      <c r="C1" s="298"/>
      <c r="D1" s="298"/>
      <c r="E1" s="298"/>
      <c r="F1" s="298"/>
      <c r="G1" s="298"/>
      <c r="H1" s="299"/>
      <c r="I1" s="299"/>
      <c r="J1" s="299"/>
      <c r="K1" s="300">
        <v>1</v>
      </c>
    </row>
    <row r="2" ht="15" customHeight="1" spans="1:11">
      <c r="A2" s="301" t="s">
        <v>1</v>
      </c>
      <c r="B2" s="301"/>
      <c r="C2" s="301"/>
      <c r="D2" s="301"/>
      <c r="E2" s="301"/>
      <c r="F2" s="301"/>
      <c r="G2" s="302" t="str">
        <f>IFERROR(VLOOKUP(K1,'2026.01'!A:Y,2,0),0)</f>
        <v>NO:001</v>
      </c>
      <c r="K2" s="300"/>
    </row>
    <row r="3" ht="15" customHeight="1" spans="1:11">
      <c r="A3" s="303" t="s">
        <v>2</v>
      </c>
      <c r="B3" s="304" t="str">
        <f>IFERROR(VLOOKUP(K1,'2026.01'!A:Y,6,0),0)</f>
        <v>1001-01（临一）</v>
      </c>
      <c r="C3" s="304"/>
      <c r="D3" s="305" t="s">
        <v>3</v>
      </c>
      <c r="E3" s="305" t="str">
        <f>IFERROR(VLOOKUP(K1,'2026.01'!A:Y,7,0),0)</f>
        <v>何具达</v>
      </c>
      <c r="F3" s="305"/>
      <c r="G3" s="306" t="s">
        <v>4</v>
      </c>
      <c r="K3" s="300"/>
    </row>
    <row r="4" ht="15" customHeight="1" spans="1:11">
      <c r="A4" s="307" t="s">
        <v>5</v>
      </c>
      <c r="B4" s="308" t="s">
        <v>6</v>
      </c>
      <c r="C4" s="308" t="s">
        <v>7</v>
      </c>
      <c r="D4" s="308" t="s">
        <v>8</v>
      </c>
      <c r="E4" s="308" t="s">
        <v>9</v>
      </c>
      <c r="F4" s="309" t="s">
        <v>10</v>
      </c>
      <c r="G4" s="310" t="s">
        <v>11</v>
      </c>
      <c r="K4" s="300"/>
    </row>
    <row r="5" ht="15" customHeight="1" spans="1:11">
      <c r="A5" s="307" t="s">
        <v>12</v>
      </c>
      <c r="B5" s="308">
        <f>IFERROR(VLOOKUP(K1,'2026.01'!A:Y,14,0),0)</f>
        <v>21255</v>
      </c>
      <c r="C5" s="308">
        <f>IFERROR(VLOOKUP(K1,'2026.01'!A:Y,13,0),0)</f>
        <v>21125</v>
      </c>
      <c r="D5" s="308">
        <f>IFERROR(VLOOKUP(K1,'2026.01'!A:Y,15,0),0)</f>
        <v>130</v>
      </c>
      <c r="E5" s="311">
        <f>IFERROR(VLOOKUP(K1,'2026.01'!A:Y,18,0),0)</f>
        <v>0.8</v>
      </c>
      <c r="F5" s="309">
        <f>IFERROR(VLOOKUP(K1,'2026.01'!A:Y,20,0),0)</f>
        <v>104</v>
      </c>
      <c r="G5" s="310"/>
      <c r="K5" s="300"/>
    </row>
    <row r="6" ht="15" customHeight="1" spans="1:11">
      <c r="A6" s="307" t="s">
        <v>13</v>
      </c>
      <c r="B6" s="308"/>
      <c r="C6" s="308"/>
      <c r="D6" s="308"/>
      <c r="E6" s="311"/>
      <c r="F6" s="309">
        <f>IFERROR(VLOOKUP(K1,'2026.01'!A:Y,24,0),0)</f>
        <v>34</v>
      </c>
      <c r="G6" s="310"/>
      <c r="K6" s="300"/>
    </row>
    <row r="7" ht="15" customHeight="1" spans="1:11">
      <c r="A7" s="307" t="s">
        <v>14</v>
      </c>
      <c r="B7" s="308"/>
      <c r="C7" s="308"/>
      <c r="D7" s="308"/>
      <c r="E7" s="311"/>
      <c r="F7" s="309">
        <f>IFERROR(VLOOKUP(K1,'2026.01'!A:Y,12,0),0)</f>
        <v>160</v>
      </c>
      <c r="G7" s="310"/>
      <c r="K7" s="300"/>
    </row>
    <row r="8" ht="21" customHeight="1" spans="1:11">
      <c r="A8" s="307" t="s">
        <v>15</v>
      </c>
      <c r="B8" s="308"/>
      <c r="C8" s="308"/>
      <c r="D8" s="308"/>
      <c r="E8" s="311"/>
      <c r="F8" s="309">
        <f>IFERROR(VLOOKUP(K1,'2026.01'!A:Y,9,0),0)</f>
        <v>3052</v>
      </c>
      <c r="G8" s="310"/>
      <c r="K8" s="300"/>
    </row>
    <row r="9" ht="19" customHeight="1" spans="1:11">
      <c r="A9" s="307" t="s">
        <v>16</v>
      </c>
      <c r="B9" s="308"/>
      <c r="C9" s="308"/>
      <c r="D9" s="308"/>
      <c r="E9" s="308"/>
      <c r="F9" s="309">
        <f>IFERROR(VLOOKUP(K1,'2026.01'!A:Y,10,0),0)</f>
        <v>210</v>
      </c>
      <c r="G9" s="310"/>
      <c r="K9" s="300"/>
    </row>
    <row r="10" ht="21" customHeight="1" spans="1:11">
      <c r="A10" s="307" t="s">
        <v>17</v>
      </c>
      <c r="B10" s="308"/>
      <c r="C10" s="308"/>
      <c r="D10" s="308"/>
      <c r="E10" s="308"/>
      <c r="F10" s="309">
        <f>IFERROR(VLOOKUP(K1,'2026.01'!A:Y,19,0),0)</f>
        <v>91</v>
      </c>
      <c r="G10" s="310"/>
      <c r="K10" s="300"/>
    </row>
    <row r="11" ht="17.15" customHeight="1" spans="1:11">
      <c r="A11" s="307" t="s">
        <v>18</v>
      </c>
      <c r="B11" s="308"/>
      <c r="C11" s="308"/>
      <c r="D11" s="308"/>
      <c r="E11" s="308"/>
      <c r="F11" s="309">
        <f>IFERROR(VLOOKUP(K1,'2026.01'!A:Y,22,0),0)</f>
        <v>164</v>
      </c>
      <c r="G11" s="310"/>
      <c r="K11" s="300"/>
    </row>
    <row r="12" ht="17.15" customHeight="1" spans="1:11">
      <c r="A12" s="307" t="s">
        <v>19</v>
      </c>
      <c r="B12" s="312"/>
      <c r="C12" s="308"/>
      <c r="D12" s="313"/>
      <c r="E12" s="308"/>
      <c r="F12" s="309">
        <f>IFERROR(VLOOKUP(K1,'2026.01'!A:Y,25,0),0)</f>
        <v>3815</v>
      </c>
      <c r="G12" s="310"/>
      <c r="K12" s="300"/>
    </row>
    <row r="13" ht="15" customHeight="1" spans="1:11">
      <c r="A13" s="314" t="s">
        <v>20</v>
      </c>
      <c r="B13" s="315">
        <f>IF(F12&lt;0,"金额为负，无效",INT(F12))</f>
        <v>3815</v>
      </c>
      <c r="C13" s="315"/>
      <c r="D13" s="315"/>
      <c r="E13" s="316" t="s">
        <v>21</v>
      </c>
      <c r="F13" s="317"/>
      <c r="G13" s="318"/>
      <c r="K13" s="300"/>
    </row>
    <row r="14" ht="23" customHeight="1" spans="1:11">
      <c r="A14" s="319"/>
      <c r="B14" s="320"/>
      <c r="C14" s="320"/>
      <c r="D14" s="320"/>
      <c r="E14" s="319"/>
      <c r="F14" s="321"/>
      <c r="G14" s="322"/>
      <c r="K14" s="300"/>
    </row>
    <row r="15" ht="27" customHeight="1" spans="1:11">
      <c r="A15" s="298" t="s">
        <v>0</v>
      </c>
      <c r="B15" s="298"/>
      <c r="C15" s="298"/>
      <c r="D15" s="298"/>
      <c r="E15" s="298"/>
      <c r="F15" s="298"/>
      <c r="G15" s="298"/>
      <c r="H15" s="299"/>
      <c r="I15" s="299"/>
      <c r="J15" s="299"/>
      <c r="K15" s="300">
        <v>2</v>
      </c>
    </row>
    <row r="16" ht="15" customHeight="1" spans="1:11">
      <c r="A16" s="301" t="s">
        <v>1</v>
      </c>
      <c r="B16" s="301"/>
      <c r="C16" s="301"/>
      <c r="D16" s="301"/>
      <c r="E16" s="301"/>
      <c r="F16" s="301"/>
      <c r="G16" s="302" t="str">
        <f>IFERROR(VLOOKUP(K15,'2026.01'!A:Y,2,0),0)</f>
        <v>NO:002</v>
      </c>
      <c r="K16" s="300"/>
    </row>
    <row r="17" ht="15" customHeight="1" spans="1:11">
      <c r="A17" s="303" t="s">
        <v>2</v>
      </c>
      <c r="B17" s="304">
        <f>IFERROR(VLOOKUP(K15,'2026.01'!A:Y,6,0),0)</f>
        <v>1001</v>
      </c>
      <c r="C17" s="304"/>
      <c r="D17" s="305" t="s">
        <v>3</v>
      </c>
      <c r="E17" s="305" t="str">
        <f>IFERROR(VLOOKUP(K15,'2026.01'!A:Y,7,0),0)</f>
        <v>邓凤强</v>
      </c>
      <c r="F17" s="305"/>
      <c r="G17" s="306" t="s">
        <v>4</v>
      </c>
      <c r="K17" s="300"/>
    </row>
    <row r="18" ht="15" customHeight="1" spans="1:11">
      <c r="A18" s="307" t="s">
        <v>5</v>
      </c>
      <c r="B18" s="308" t="s">
        <v>6</v>
      </c>
      <c r="C18" s="308" t="s">
        <v>7</v>
      </c>
      <c r="D18" s="308" t="s">
        <v>8</v>
      </c>
      <c r="E18" s="308" t="s">
        <v>9</v>
      </c>
      <c r="F18" s="309" t="s">
        <v>10</v>
      </c>
      <c r="G18" s="310" t="s">
        <v>11</v>
      </c>
      <c r="K18" s="300"/>
    </row>
    <row r="19" ht="15" customHeight="1" spans="1:11">
      <c r="A19" s="307" t="s">
        <v>12</v>
      </c>
      <c r="B19" s="308">
        <f>IFERROR(VLOOKUP(K15,'2026.01'!A:Y,14,0),0)</f>
        <v>5545</v>
      </c>
      <c r="C19" s="308">
        <f>IFERROR(VLOOKUP(K15,'2026.01'!A:Y,13,0),0)</f>
        <v>5427</v>
      </c>
      <c r="D19" s="308">
        <f>IFERROR(VLOOKUP(K15,'2026.01'!A:Y,15,0),0)</f>
        <v>118</v>
      </c>
      <c r="E19" s="311">
        <f>IFERROR(VLOOKUP(K15,'2026.01'!A:Y,18,0),0)</f>
        <v>0.8</v>
      </c>
      <c r="F19" s="309">
        <f>IFERROR(VLOOKUP(K15,'2026.01'!A:Y,20,0),0)</f>
        <v>94</v>
      </c>
      <c r="G19" s="310"/>
      <c r="K19" s="300"/>
    </row>
    <row r="20" ht="15" customHeight="1" spans="1:11">
      <c r="A20" s="307" t="s">
        <v>13</v>
      </c>
      <c r="B20" s="308"/>
      <c r="C20" s="308"/>
      <c r="D20" s="308"/>
      <c r="E20" s="311"/>
      <c r="F20" s="309">
        <f>IFERROR(VLOOKUP(K15,'2026.01'!A:Y,24,0),0)</f>
        <v>34</v>
      </c>
      <c r="G20" s="310"/>
      <c r="K20" s="300"/>
    </row>
    <row r="21" ht="15" customHeight="1" spans="1:11">
      <c r="A21" s="307" t="s">
        <v>14</v>
      </c>
      <c r="B21" s="308"/>
      <c r="C21" s="308"/>
      <c r="D21" s="308"/>
      <c r="E21" s="311"/>
      <c r="F21" s="309">
        <f>IFERROR(VLOOKUP(K15,'2026.01'!A:Y,12,0),0)</f>
        <v>160</v>
      </c>
      <c r="G21" s="310"/>
      <c r="K21" s="300"/>
    </row>
    <row r="22" ht="21" customHeight="1" spans="1:11">
      <c r="A22" s="307" t="s">
        <v>15</v>
      </c>
      <c r="B22" s="308"/>
      <c r="C22" s="308"/>
      <c r="D22" s="308"/>
      <c r="E22" s="311"/>
      <c r="F22" s="309">
        <f>IFERROR(VLOOKUP(K15,'2026.01'!A:Y,9,0),0)</f>
        <v>4200</v>
      </c>
      <c r="G22" s="310"/>
      <c r="K22" s="300"/>
    </row>
    <row r="23" ht="19" customHeight="1" spans="1:11">
      <c r="A23" s="307" t="s">
        <v>16</v>
      </c>
      <c r="B23" s="308"/>
      <c r="C23" s="308"/>
      <c r="D23" s="308"/>
      <c r="E23" s="308"/>
      <c r="F23" s="309">
        <f>IFERROR(VLOOKUP(K15,'2026.01'!A:Y,10,0),0)</f>
        <v>500</v>
      </c>
      <c r="G23" s="310"/>
      <c r="K23" s="300"/>
    </row>
    <row r="24" ht="21" customHeight="1" spans="1:11">
      <c r="A24" s="307" t="s">
        <v>17</v>
      </c>
      <c r="B24" s="308"/>
      <c r="C24" s="308"/>
      <c r="D24" s="308"/>
      <c r="E24" s="308"/>
      <c r="F24" s="309">
        <f>IFERROR(VLOOKUP(K15,'2026.01'!A:Y,19,0),0)</f>
        <v>83</v>
      </c>
      <c r="G24" s="310"/>
      <c r="K24" s="300"/>
    </row>
    <row r="25" ht="17.15" customHeight="1" spans="1:11">
      <c r="A25" s="307" t="s">
        <v>18</v>
      </c>
      <c r="B25" s="308"/>
      <c r="C25" s="308"/>
      <c r="D25" s="308"/>
      <c r="E25" s="308"/>
      <c r="F25" s="309">
        <f>IFERROR(VLOOKUP(K15,'2026.01'!A:Y,22,0),0)</f>
        <v>183</v>
      </c>
      <c r="G25" s="310"/>
      <c r="K25" s="300"/>
    </row>
    <row r="26" ht="17.15" customHeight="1" spans="1:11">
      <c r="A26" s="307" t="s">
        <v>19</v>
      </c>
      <c r="B26" s="312"/>
      <c r="C26" s="308"/>
      <c r="D26" s="313"/>
      <c r="E26" s="308"/>
      <c r="F26" s="309">
        <f>IFERROR(VLOOKUP(K15,'2026.01'!A:Y,25,0),0)</f>
        <v>5254</v>
      </c>
      <c r="G26" s="310"/>
      <c r="K26" s="300"/>
    </row>
    <row r="27" ht="15" customHeight="1" spans="1:11">
      <c r="A27" s="314" t="s">
        <v>20</v>
      </c>
      <c r="B27" s="315">
        <f>IF(F26&lt;0,"金额为负，无效",INT(F26))</f>
        <v>5254</v>
      </c>
      <c r="C27" s="315"/>
      <c r="D27" s="315"/>
      <c r="E27" s="316" t="s">
        <v>21</v>
      </c>
      <c r="F27" s="317"/>
      <c r="G27" s="318"/>
      <c r="K27" s="300"/>
    </row>
    <row r="28" ht="23" customHeight="1" spans="1:11">
      <c r="A28" s="319"/>
      <c r="B28" s="320"/>
      <c r="C28" s="320"/>
      <c r="D28" s="320"/>
      <c r="E28" s="319"/>
      <c r="F28" s="321"/>
      <c r="G28" s="322"/>
      <c r="K28" s="300"/>
    </row>
    <row r="29" ht="27" customHeight="1" spans="1:11">
      <c r="A29" s="298" t="s">
        <v>0</v>
      </c>
      <c r="B29" s="298"/>
      <c r="C29" s="298"/>
      <c r="D29" s="298"/>
      <c r="E29" s="298"/>
      <c r="F29" s="298"/>
      <c r="G29" s="298"/>
      <c r="H29" s="299"/>
      <c r="I29" s="299"/>
      <c r="J29" s="299"/>
      <c r="K29" s="300">
        <v>3</v>
      </c>
    </row>
    <row r="30" ht="15" customHeight="1" spans="1:11">
      <c r="A30" s="301" t="s">
        <v>1</v>
      </c>
      <c r="B30" s="301"/>
      <c r="C30" s="301"/>
      <c r="D30" s="301"/>
      <c r="E30" s="301"/>
      <c r="F30" s="301"/>
      <c r="G30" s="302" t="str">
        <f>IFERROR(VLOOKUP(K29,'2026.01'!A:Y,2,0),0)</f>
        <v>NO:003</v>
      </c>
      <c r="K30" s="300"/>
    </row>
    <row r="31" ht="15" customHeight="1" spans="1:11">
      <c r="A31" s="303" t="s">
        <v>2</v>
      </c>
      <c r="B31" s="304">
        <f>IFERROR(VLOOKUP(K29,'2026.01'!A:Y,6,0),0)</f>
        <v>1002</v>
      </c>
      <c r="C31" s="304"/>
      <c r="D31" s="305" t="s">
        <v>3</v>
      </c>
      <c r="E31" s="305" t="str">
        <f>IFERROR(VLOOKUP(K29,'2026.01'!A:Y,7,0),0)</f>
        <v>苏建柳</v>
      </c>
      <c r="F31" s="305"/>
      <c r="G31" s="306" t="s">
        <v>4</v>
      </c>
      <c r="K31" s="300"/>
    </row>
    <row r="32" ht="15" customHeight="1" spans="1:11">
      <c r="A32" s="307" t="s">
        <v>5</v>
      </c>
      <c r="B32" s="308" t="s">
        <v>6</v>
      </c>
      <c r="C32" s="308" t="s">
        <v>7</v>
      </c>
      <c r="D32" s="308" t="s">
        <v>8</v>
      </c>
      <c r="E32" s="308" t="s">
        <v>9</v>
      </c>
      <c r="F32" s="309" t="s">
        <v>10</v>
      </c>
      <c r="G32" s="310" t="s">
        <v>11</v>
      </c>
      <c r="K32" s="300"/>
    </row>
    <row r="33" ht="15" customHeight="1" spans="1:11">
      <c r="A33" s="307" t="s">
        <v>12</v>
      </c>
      <c r="B33" s="308">
        <f>IFERROR(VLOOKUP(K29,'2026.01'!A:Y,14,0),0)</f>
        <v>8503</v>
      </c>
      <c r="C33" s="308">
        <f>IFERROR(VLOOKUP(K29,'2026.01'!A:Y,13,0),0)</f>
        <v>8496</v>
      </c>
      <c r="D33" s="308">
        <f>IFERROR(VLOOKUP(K29,'2026.01'!A:Y,15,0),0)</f>
        <v>7</v>
      </c>
      <c r="E33" s="311">
        <f>IFERROR(VLOOKUP(K29,'2026.01'!A:Y,18,0),0)</f>
        <v>0.8</v>
      </c>
      <c r="F33" s="309">
        <f>IFERROR(VLOOKUP(K29,'2026.01'!A:Y,20,0),0)</f>
        <v>6</v>
      </c>
      <c r="G33" s="310"/>
      <c r="K33" s="300"/>
    </row>
    <row r="34" ht="15" customHeight="1" spans="1:11">
      <c r="A34" s="307" t="s">
        <v>13</v>
      </c>
      <c r="B34" s="308"/>
      <c r="C34" s="308"/>
      <c r="D34" s="308"/>
      <c r="E34" s="311"/>
      <c r="F34" s="309">
        <f>IFERROR(VLOOKUP(K29,'2026.01'!A:Y,24,0),0)</f>
        <v>34</v>
      </c>
      <c r="G34" s="310"/>
      <c r="K34" s="300"/>
    </row>
    <row r="35" ht="15" customHeight="1" spans="1:11">
      <c r="A35" s="307" t="s">
        <v>14</v>
      </c>
      <c r="B35" s="308"/>
      <c r="C35" s="308"/>
      <c r="D35" s="308"/>
      <c r="E35" s="311"/>
      <c r="F35" s="309">
        <f>IFERROR(VLOOKUP(K29,'2026.01'!A:Y,12,0),0)</f>
        <v>160</v>
      </c>
      <c r="G35" s="310"/>
      <c r="K35" s="300"/>
    </row>
    <row r="36" ht="21" customHeight="1" spans="1:11">
      <c r="A36" s="307" t="s">
        <v>15</v>
      </c>
      <c r="B36" s="308"/>
      <c r="C36" s="308"/>
      <c r="D36" s="308"/>
      <c r="E36" s="311"/>
      <c r="F36" s="309">
        <f>IFERROR(VLOOKUP(K29,'2026.01'!A:Y,9,0),0)</f>
        <v>1500</v>
      </c>
      <c r="G36" s="310"/>
      <c r="K36" s="300"/>
    </row>
    <row r="37" ht="19" customHeight="1" spans="1:11">
      <c r="A37" s="307" t="s">
        <v>16</v>
      </c>
      <c r="B37" s="308"/>
      <c r="C37" s="308"/>
      <c r="D37" s="308"/>
      <c r="E37" s="308"/>
      <c r="F37" s="309">
        <f>IFERROR(VLOOKUP(K29,'2026.01'!A:Y,10,0),0)</f>
        <v>0</v>
      </c>
      <c r="G37" s="310"/>
      <c r="K37" s="300"/>
    </row>
    <row r="38" ht="21" customHeight="1" spans="1:11">
      <c r="A38" s="307" t="s">
        <v>17</v>
      </c>
      <c r="B38" s="308"/>
      <c r="C38" s="308"/>
      <c r="D38" s="308"/>
      <c r="E38" s="308"/>
      <c r="F38" s="309">
        <f>IFERROR(VLOOKUP(K29,'2026.01'!A:Y,19,0),0)</f>
        <v>5</v>
      </c>
      <c r="G38" s="310"/>
      <c r="K38" s="300"/>
    </row>
    <row r="39" ht="17.15" customHeight="1" spans="1:11">
      <c r="A39" s="307" t="s">
        <v>18</v>
      </c>
      <c r="B39" s="308"/>
      <c r="C39" s="308"/>
      <c r="D39" s="308"/>
      <c r="E39" s="308"/>
      <c r="F39" s="309">
        <f>IFERROR(VLOOKUP(K29,'2026.01'!A:Y,22,0),0)</f>
        <v>183</v>
      </c>
      <c r="G39" s="310"/>
      <c r="K39" s="300"/>
    </row>
    <row r="40" ht="17.15" customHeight="1" spans="1:11">
      <c r="A40" s="307" t="s">
        <v>19</v>
      </c>
      <c r="B40" s="312"/>
      <c r="C40" s="308"/>
      <c r="D40" s="313"/>
      <c r="E40" s="308"/>
      <c r="F40" s="309">
        <f>IFERROR(VLOOKUP(K29,'2026.01'!A:Y,25,0),0)</f>
        <v>1888</v>
      </c>
      <c r="G40" s="310"/>
      <c r="K40" s="300"/>
    </row>
    <row r="41" ht="15" customHeight="1" spans="1:11">
      <c r="A41" s="314" t="s">
        <v>20</v>
      </c>
      <c r="B41" s="315">
        <f>IF(F40&lt;0,"金额为负，无效",INT(F40))</f>
        <v>1888</v>
      </c>
      <c r="C41" s="315"/>
      <c r="D41" s="315"/>
      <c r="E41" s="316" t="s">
        <v>21</v>
      </c>
      <c r="F41" s="317"/>
      <c r="G41" s="318"/>
      <c r="K41" s="300"/>
    </row>
    <row r="42" ht="15" customHeight="1" spans="1:11">
      <c r="A42" s="319"/>
      <c r="B42" s="320"/>
      <c r="C42" s="320"/>
      <c r="D42" s="320"/>
      <c r="E42" s="319"/>
      <c r="F42" s="321"/>
      <c r="G42" s="322"/>
      <c r="K42" s="300"/>
    </row>
    <row r="43" ht="27" customHeight="1" spans="1:11">
      <c r="A43" s="298" t="s">
        <v>0</v>
      </c>
      <c r="B43" s="298"/>
      <c r="C43" s="298"/>
      <c r="D43" s="298"/>
      <c r="E43" s="298"/>
      <c r="F43" s="298"/>
      <c r="G43" s="298"/>
      <c r="H43" s="299"/>
      <c r="I43" s="299"/>
      <c r="J43" s="299"/>
      <c r="K43" s="300">
        <v>4</v>
      </c>
    </row>
    <row r="44" ht="15" customHeight="1" spans="1:11">
      <c r="A44" s="301" t="s">
        <v>1</v>
      </c>
      <c r="B44" s="301"/>
      <c r="C44" s="301"/>
      <c r="D44" s="301"/>
      <c r="E44" s="301"/>
      <c r="F44" s="301"/>
      <c r="G44" s="302" t="str">
        <f>IFERROR(VLOOKUP(K43,'2026.01'!A:Y,2,0),0)</f>
        <v>NO:004</v>
      </c>
      <c r="K44" s="300"/>
    </row>
    <row r="45" ht="15" customHeight="1" spans="1:11">
      <c r="A45" s="303" t="s">
        <v>2</v>
      </c>
      <c r="B45" s="304" t="str">
        <f>IFERROR(VLOOKUP(K43,'2026.01'!A:Y,6,0),0)</f>
        <v>1003/1004</v>
      </c>
      <c r="C45" s="304"/>
      <c r="D45" s="305" t="s">
        <v>3</v>
      </c>
      <c r="E45" s="305" t="str">
        <f>IFERROR(VLOOKUP(K43,'2026.01'!A:Y,7,0),0)</f>
        <v>李鹏飞</v>
      </c>
      <c r="F45" s="305"/>
      <c r="G45" s="306" t="s">
        <v>4</v>
      </c>
      <c r="K45" s="300"/>
    </row>
    <row r="46" ht="15" customHeight="1" spans="1:11">
      <c r="A46" s="307" t="s">
        <v>5</v>
      </c>
      <c r="B46" s="308" t="s">
        <v>6</v>
      </c>
      <c r="C46" s="308" t="s">
        <v>7</v>
      </c>
      <c r="D46" s="308" t="s">
        <v>8</v>
      </c>
      <c r="E46" s="308" t="s">
        <v>9</v>
      </c>
      <c r="F46" s="309" t="s">
        <v>10</v>
      </c>
      <c r="G46" s="310" t="s">
        <v>11</v>
      </c>
      <c r="K46" s="300"/>
    </row>
    <row r="47" ht="15" customHeight="1" spans="1:11">
      <c r="A47" s="307" t="s">
        <v>12</v>
      </c>
      <c r="B47" s="308">
        <f>IFERROR(VLOOKUP(K43,'2026.01'!A:Y,14,0),0)</f>
        <v>16639</v>
      </c>
      <c r="C47" s="308">
        <f>IFERROR(VLOOKUP(K43,'2026.01'!A:Y,13,0),0)</f>
        <v>16619</v>
      </c>
      <c r="D47" s="308">
        <f>IFERROR(VLOOKUP(K43,'2026.01'!A:Y,15,0),0)</f>
        <v>20</v>
      </c>
      <c r="E47" s="311">
        <f>IFERROR(VLOOKUP(K43,'2026.01'!A:Y,18,0),0)</f>
        <v>0.8</v>
      </c>
      <c r="F47" s="309">
        <f>IFERROR(VLOOKUP(K43,'2026.01'!A:Y,20,0),0)</f>
        <v>16</v>
      </c>
      <c r="G47" s="310"/>
      <c r="K47" s="300"/>
    </row>
    <row r="48" ht="15" customHeight="1" spans="1:11">
      <c r="A48" s="307" t="s">
        <v>13</v>
      </c>
      <c r="B48" s="308"/>
      <c r="C48" s="308"/>
      <c r="D48" s="308"/>
      <c r="E48" s="311"/>
      <c r="F48" s="309">
        <f>IFERROR(VLOOKUP(K43,'2026.01'!A:Y,24,0),0)</f>
        <v>85</v>
      </c>
      <c r="G48" s="310"/>
      <c r="K48" s="300"/>
    </row>
    <row r="49" ht="15" customHeight="1" spans="1:11">
      <c r="A49" s="307" t="s">
        <v>14</v>
      </c>
      <c r="B49" s="308"/>
      <c r="C49" s="308"/>
      <c r="D49" s="308"/>
      <c r="E49" s="311"/>
      <c r="F49" s="309">
        <f>IFERROR(VLOOKUP(K43,'2026.01'!A:Y,12,0),0)</f>
        <v>320</v>
      </c>
      <c r="G49" s="310"/>
      <c r="K49" s="300"/>
    </row>
    <row r="50" ht="21" customHeight="1" spans="1:11">
      <c r="A50" s="307" t="s">
        <v>15</v>
      </c>
      <c r="B50" s="308"/>
      <c r="C50" s="308"/>
      <c r="D50" s="308"/>
      <c r="E50" s="311"/>
      <c r="F50" s="309">
        <f>IFERROR(VLOOKUP(K43,'2026.01'!A:Y,9,0),0)</f>
        <v>3000</v>
      </c>
      <c r="G50" s="310"/>
      <c r="K50" s="300"/>
    </row>
    <row r="51" ht="19" customHeight="1" spans="1:11">
      <c r="A51" s="307" t="s">
        <v>16</v>
      </c>
      <c r="B51" s="308"/>
      <c r="C51" s="308"/>
      <c r="D51" s="308"/>
      <c r="E51" s="308"/>
      <c r="F51" s="309">
        <f>IFERROR(VLOOKUP(K43,'2026.01'!A:Y,10,0),0)</f>
        <v>0</v>
      </c>
      <c r="G51" s="310"/>
      <c r="K51" s="300"/>
    </row>
    <row r="52" ht="21" customHeight="1" spans="1:11">
      <c r="A52" s="307" t="s">
        <v>17</v>
      </c>
      <c r="B52" s="308"/>
      <c r="C52" s="308"/>
      <c r="D52" s="308"/>
      <c r="E52" s="308"/>
      <c r="F52" s="309">
        <f>IFERROR(VLOOKUP(K43,'2026.01'!A:Y,19,0),0)</f>
        <v>14</v>
      </c>
      <c r="G52" s="310"/>
      <c r="K52" s="300"/>
    </row>
    <row r="53" ht="17.15" customHeight="1" spans="1:11">
      <c r="A53" s="307" t="s">
        <v>18</v>
      </c>
      <c r="B53" s="308"/>
      <c r="C53" s="308"/>
      <c r="D53" s="308"/>
      <c r="E53" s="308"/>
      <c r="F53" s="309">
        <f>IFERROR(VLOOKUP(K43,'2026.01'!A:Y,22,0),0)</f>
        <v>413</v>
      </c>
      <c r="G53" s="310"/>
      <c r="K53" s="300"/>
    </row>
    <row r="54" ht="17.15" customHeight="1" spans="1:11">
      <c r="A54" s="307" t="s">
        <v>19</v>
      </c>
      <c r="B54" s="312"/>
      <c r="C54" s="308"/>
      <c r="D54" s="313"/>
      <c r="E54" s="308"/>
      <c r="F54" s="309">
        <f>IFERROR(VLOOKUP(K43,'2026.01'!A:Y,25,0),0)</f>
        <v>3848</v>
      </c>
      <c r="G54" s="310"/>
      <c r="K54" s="300"/>
    </row>
    <row r="55" ht="15" customHeight="1" spans="1:11">
      <c r="A55" s="314" t="s">
        <v>20</v>
      </c>
      <c r="B55" s="315">
        <f>IF(F54&lt;0,"金额为负，无效",INT(F54))</f>
        <v>3848</v>
      </c>
      <c r="C55" s="315"/>
      <c r="D55" s="315"/>
      <c r="E55" s="316" t="s">
        <v>21</v>
      </c>
      <c r="F55" s="317"/>
      <c r="G55" s="318"/>
      <c r="K55" s="300"/>
    </row>
    <row r="56" ht="23" customHeight="1" spans="1:11">
      <c r="A56" s="319"/>
      <c r="B56" s="320"/>
      <c r="C56" s="320"/>
      <c r="D56" s="320"/>
      <c r="E56" s="319"/>
      <c r="F56" s="321"/>
      <c r="G56" s="322"/>
      <c r="K56" s="300"/>
    </row>
    <row r="57" ht="27" customHeight="1" spans="1:11">
      <c r="A57" s="298" t="s">
        <v>0</v>
      </c>
      <c r="B57" s="298"/>
      <c r="C57" s="298"/>
      <c r="D57" s="298"/>
      <c r="E57" s="298"/>
      <c r="F57" s="298"/>
      <c r="G57" s="298"/>
      <c r="H57" s="299"/>
      <c r="I57" s="299"/>
      <c r="J57" s="299"/>
      <c r="K57" s="300">
        <v>5</v>
      </c>
    </row>
    <row r="58" ht="15" customHeight="1" spans="1:11">
      <c r="A58" s="301" t="s">
        <v>1</v>
      </c>
      <c r="B58" s="301"/>
      <c r="C58" s="301"/>
      <c r="D58" s="301"/>
      <c r="E58" s="301"/>
      <c r="F58" s="301"/>
      <c r="G58" s="302" t="str">
        <f>IFERROR(VLOOKUP(K57,'2026.01'!A:Y,2,0),0)</f>
        <v>NO:005</v>
      </c>
      <c r="K58" s="300"/>
    </row>
    <row r="59" ht="15" customHeight="1" spans="1:11">
      <c r="A59" s="303" t="s">
        <v>2</v>
      </c>
      <c r="B59" s="304">
        <f>IFERROR(VLOOKUP(K57,'2026.01'!A:Y,6,0),0)</f>
        <v>1005</v>
      </c>
      <c r="C59" s="304"/>
      <c r="D59" s="305" t="s">
        <v>3</v>
      </c>
      <c r="E59" s="305" t="str">
        <f>IFERROR(VLOOKUP(K57,'2026.01'!A:Y,7,0),0)</f>
        <v>黄腾凌</v>
      </c>
      <c r="F59" s="305"/>
      <c r="G59" s="306" t="s">
        <v>4</v>
      </c>
      <c r="K59" s="300"/>
    </row>
    <row r="60" ht="15" customHeight="1" spans="1:11">
      <c r="A60" s="307" t="s">
        <v>5</v>
      </c>
      <c r="B60" s="308" t="s">
        <v>6</v>
      </c>
      <c r="C60" s="308" t="s">
        <v>7</v>
      </c>
      <c r="D60" s="308" t="s">
        <v>8</v>
      </c>
      <c r="E60" s="308" t="s">
        <v>9</v>
      </c>
      <c r="F60" s="309" t="s">
        <v>10</v>
      </c>
      <c r="G60" s="310" t="s">
        <v>11</v>
      </c>
      <c r="K60" s="300"/>
    </row>
    <row r="61" ht="15" customHeight="1" spans="1:11">
      <c r="A61" s="307" t="s">
        <v>12</v>
      </c>
      <c r="B61" s="308">
        <f>IFERROR(VLOOKUP(K57,'2026.01'!A:Y,14,0),0)</f>
        <v>3354</v>
      </c>
      <c r="C61" s="308">
        <f>IFERROR(VLOOKUP(K57,'2026.01'!A:Y,13,0),0)</f>
        <v>3318</v>
      </c>
      <c r="D61" s="308">
        <f>IFERROR(VLOOKUP(K57,'2026.01'!A:Y,15,0),0)</f>
        <v>36</v>
      </c>
      <c r="E61" s="311">
        <f>IFERROR(VLOOKUP(K57,'2026.01'!A:Y,18,0),0)</f>
        <v>0.8</v>
      </c>
      <c r="F61" s="309">
        <f>IFERROR(VLOOKUP(K57,'2026.01'!A:Y,20,0),0)</f>
        <v>29</v>
      </c>
      <c r="G61" s="310"/>
      <c r="K61" s="300"/>
    </row>
    <row r="62" ht="15" customHeight="1" spans="1:11">
      <c r="A62" s="307" t="s">
        <v>13</v>
      </c>
      <c r="B62" s="308"/>
      <c r="C62" s="308"/>
      <c r="D62" s="308"/>
      <c r="E62" s="311"/>
      <c r="F62" s="309">
        <f>IFERROR(VLOOKUP(K57,'2026.01'!A:Y,24,0),0)</f>
        <v>43</v>
      </c>
      <c r="G62" s="310"/>
      <c r="K62" s="300"/>
    </row>
    <row r="63" ht="15" customHeight="1" spans="1:11">
      <c r="A63" s="307" t="s">
        <v>14</v>
      </c>
      <c r="B63" s="308"/>
      <c r="C63" s="308"/>
      <c r="D63" s="308"/>
      <c r="E63" s="311"/>
      <c r="F63" s="309">
        <f>IFERROR(VLOOKUP(K57,'2026.01'!A:Y,12,0),0)</f>
        <v>160</v>
      </c>
      <c r="G63" s="310"/>
      <c r="K63" s="300"/>
    </row>
    <row r="64" ht="21" customHeight="1" spans="1:11">
      <c r="A64" s="307" t="s">
        <v>15</v>
      </c>
      <c r="B64" s="308"/>
      <c r="C64" s="308"/>
      <c r="D64" s="308"/>
      <c r="E64" s="311"/>
      <c r="F64" s="309">
        <f>IFERROR(VLOOKUP(K57,'2026.01'!A:Y,9,0),0)</f>
        <v>1200</v>
      </c>
      <c r="G64" s="310"/>
      <c r="K64" s="300"/>
    </row>
    <row r="65" ht="19" customHeight="1" spans="1:11">
      <c r="A65" s="307" t="s">
        <v>16</v>
      </c>
      <c r="B65" s="308"/>
      <c r="C65" s="308"/>
      <c r="D65" s="308"/>
      <c r="E65" s="308"/>
      <c r="F65" s="309">
        <f>IFERROR(VLOOKUP(K57,'2026.01'!A:Y,10,0),0)</f>
        <v>200</v>
      </c>
      <c r="G65" s="310"/>
      <c r="K65" s="300"/>
    </row>
    <row r="66" ht="21" customHeight="1" spans="1:11">
      <c r="A66" s="307" t="s">
        <v>17</v>
      </c>
      <c r="B66" s="308"/>
      <c r="C66" s="308"/>
      <c r="D66" s="308"/>
      <c r="E66" s="308"/>
      <c r="F66" s="309">
        <f>IFERROR(VLOOKUP(K57,'2026.01'!A:Y,19,0),0)</f>
        <v>25</v>
      </c>
      <c r="G66" s="310"/>
      <c r="K66" s="300"/>
    </row>
    <row r="67" ht="17.15" customHeight="1" spans="1:11">
      <c r="A67" s="307" t="s">
        <v>18</v>
      </c>
      <c r="B67" s="308"/>
      <c r="C67" s="308"/>
      <c r="D67" s="308"/>
      <c r="E67" s="308"/>
      <c r="F67" s="309">
        <f>IFERROR(VLOOKUP(K57,'2026.01'!A:Y,22,0),0)</f>
        <v>228</v>
      </c>
      <c r="G67" s="310"/>
      <c r="K67" s="300"/>
    </row>
    <row r="68" ht="17.15" customHeight="1" spans="1:11">
      <c r="A68" s="307" t="s">
        <v>19</v>
      </c>
      <c r="B68" s="312"/>
      <c r="C68" s="308"/>
      <c r="D68" s="313"/>
      <c r="E68" s="308"/>
      <c r="F68" s="309">
        <f>IFERROR(VLOOKUP(K57,'2026.01'!A:Y,25,0),0)</f>
        <v>1885</v>
      </c>
      <c r="G68" s="310"/>
      <c r="K68" s="300"/>
    </row>
    <row r="69" ht="15" customHeight="1" spans="1:11">
      <c r="A69" s="314" t="s">
        <v>20</v>
      </c>
      <c r="B69" s="315">
        <f>IF(F68&lt;0,"金额为负，无效",INT(F68))</f>
        <v>1885</v>
      </c>
      <c r="C69" s="315"/>
      <c r="D69" s="315"/>
      <c r="E69" s="316" t="s">
        <v>21</v>
      </c>
      <c r="F69" s="317"/>
      <c r="G69" s="318"/>
      <c r="K69" s="300"/>
    </row>
    <row r="70" ht="23" customHeight="1" spans="1:11">
      <c r="A70" s="319"/>
      <c r="B70" s="320"/>
      <c r="C70" s="320"/>
      <c r="D70" s="320"/>
      <c r="E70" s="319"/>
      <c r="F70" s="321"/>
      <c r="G70" s="322"/>
      <c r="K70" s="300"/>
    </row>
    <row r="71" ht="27" customHeight="1" spans="1:11">
      <c r="A71" s="298" t="s">
        <v>0</v>
      </c>
      <c r="B71" s="298"/>
      <c r="C71" s="298"/>
      <c r="D71" s="298"/>
      <c r="E71" s="298"/>
      <c r="F71" s="298"/>
      <c r="G71" s="298"/>
      <c r="H71" s="299"/>
      <c r="I71" s="299"/>
      <c r="J71" s="299"/>
      <c r="K71" s="300">
        <v>6</v>
      </c>
    </row>
    <row r="72" ht="15" customHeight="1" spans="1:11">
      <c r="A72" s="301" t="s">
        <v>1</v>
      </c>
      <c r="B72" s="301"/>
      <c r="C72" s="301"/>
      <c r="D72" s="301"/>
      <c r="E72" s="301"/>
      <c r="F72" s="301"/>
      <c r="G72" s="302" t="str">
        <f>IFERROR(VLOOKUP(K71,'2026.01'!A:Y,2,0),0)</f>
        <v>NO:006</v>
      </c>
      <c r="K72" s="300"/>
    </row>
    <row r="73" ht="15" customHeight="1" spans="1:11">
      <c r="A73" s="303" t="s">
        <v>2</v>
      </c>
      <c r="B73" s="304">
        <f>IFERROR(VLOOKUP(K71,'2026.01'!A:Y,6,0),0)</f>
        <v>1006</v>
      </c>
      <c r="C73" s="304"/>
      <c r="D73" s="305" t="s">
        <v>3</v>
      </c>
      <c r="E73" s="305" t="str">
        <f>IFERROR(VLOOKUP(K71,'2026.01'!A:Y,7,0),0)</f>
        <v>刘展</v>
      </c>
      <c r="F73" s="305"/>
      <c r="G73" s="306" t="s">
        <v>4</v>
      </c>
      <c r="K73" s="300"/>
    </row>
    <row r="74" ht="15" customHeight="1" spans="1:11">
      <c r="A74" s="307" t="s">
        <v>5</v>
      </c>
      <c r="B74" s="308" t="s">
        <v>6</v>
      </c>
      <c r="C74" s="308" t="s">
        <v>7</v>
      </c>
      <c r="D74" s="308" t="s">
        <v>8</v>
      </c>
      <c r="E74" s="308" t="s">
        <v>9</v>
      </c>
      <c r="F74" s="309" t="s">
        <v>10</v>
      </c>
      <c r="G74" s="310" t="s">
        <v>11</v>
      </c>
      <c r="K74" s="300"/>
    </row>
    <row r="75" ht="15" customHeight="1" spans="1:11">
      <c r="A75" s="307" t="s">
        <v>12</v>
      </c>
      <c r="B75" s="308">
        <f>IFERROR(VLOOKUP(K71,'2026.01'!A:Y,14,0),0)</f>
        <v>4587</v>
      </c>
      <c r="C75" s="308">
        <f>IFERROR(VLOOKUP(K71,'2026.01'!A:Y,13,0),0)</f>
        <v>4555</v>
      </c>
      <c r="D75" s="308">
        <f>IFERROR(VLOOKUP(K71,'2026.01'!A:Y,15,0),0)</f>
        <v>32</v>
      </c>
      <c r="E75" s="311">
        <f>IFERROR(VLOOKUP(K71,'2026.01'!A:Y,18,0),0)</f>
        <v>0.8</v>
      </c>
      <c r="F75" s="309">
        <f>IFERROR(VLOOKUP(K71,'2026.01'!A:Y,20,0),0)</f>
        <v>26</v>
      </c>
      <c r="G75" s="310"/>
      <c r="K75" s="300"/>
    </row>
    <row r="76" ht="15" customHeight="1" spans="1:11">
      <c r="A76" s="307" t="s">
        <v>13</v>
      </c>
      <c r="B76" s="308"/>
      <c r="C76" s="308"/>
      <c r="D76" s="308"/>
      <c r="E76" s="311"/>
      <c r="F76" s="309">
        <f>IFERROR(VLOOKUP(K71,'2026.01'!A:Y,24,0),0)</f>
        <v>0</v>
      </c>
      <c r="G76" s="310"/>
      <c r="K76" s="300"/>
    </row>
    <row r="77" ht="15" customHeight="1" spans="1:11">
      <c r="A77" s="307" t="s">
        <v>14</v>
      </c>
      <c r="B77" s="308"/>
      <c r="C77" s="308"/>
      <c r="D77" s="308"/>
      <c r="E77" s="311"/>
      <c r="F77" s="309">
        <f>IFERROR(VLOOKUP(K71,'2026.01'!A:Y,12,0),0)</f>
        <v>160</v>
      </c>
      <c r="G77" s="310"/>
      <c r="K77" s="300"/>
    </row>
    <row r="78" ht="21" customHeight="1" spans="1:11">
      <c r="A78" s="307" t="s">
        <v>15</v>
      </c>
      <c r="B78" s="308"/>
      <c r="C78" s="308"/>
      <c r="D78" s="308"/>
      <c r="E78" s="311"/>
      <c r="F78" s="309">
        <f>IFERROR(VLOOKUP(K71,'2026.01'!A:Y,9,0),0)</f>
        <v>1200</v>
      </c>
      <c r="G78" s="310"/>
      <c r="K78" s="300"/>
    </row>
    <row r="79" ht="19" customHeight="1" spans="1:11">
      <c r="A79" s="307" t="s">
        <v>16</v>
      </c>
      <c r="B79" s="308"/>
      <c r="C79" s="308"/>
      <c r="D79" s="308"/>
      <c r="E79" s="308"/>
      <c r="F79" s="309">
        <f>IFERROR(VLOOKUP(K71,'2026.01'!A:Y,10,0),0)</f>
        <v>200</v>
      </c>
      <c r="G79" s="310"/>
      <c r="K79" s="300"/>
    </row>
    <row r="80" ht="21" customHeight="1" spans="1:11">
      <c r="A80" s="307" t="s">
        <v>17</v>
      </c>
      <c r="B80" s="308"/>
      <c r="C80" s="308"/>
      <c r="D80" s="308"/>
      <c r="E80" s="308"/>
      <c r="F80" s="309">
        <f>IFERROR(VLOOKUP(K71,'2026.01'!A:Y,19,0),0)</f>
        <v>22</v>
      </c>
      <c r="G80" s="310"/>
      <c r="K80" s="300"/>
    </row>
    <row r="81" ht="17.15" customHeight="1" spans="1:11">
      <c r="A81" s="307" t="s">
        <v>18</v>
      </c>
      <c r="B81" s="308"/>
      <c r="C81" s="308"/>
      <c r="D81" s="308"/>
      <c r="E81" s="308"/>
      <c r="F81" s="309">
        <f>IFERROR(VLOOKUP(K71,'2026.01'!A:Y,22,0),0)</f>
        <v>228</v>
      </c>
      <c r="G81" s="310"/>
      <c r="K81" s="300"/>
    </row>
    <row r="82" ht="17.15" customHeight="1" spans="1:11">
      <c r="A82" s="307" t="s">
        <v>19</v>
      </c>
      <c r="B82" s="312"/>
      <c r="C82" s="308"/>
      <c r="D82" s="313"/>
      <c r="E82" s="308"/>
      <c r="F82" s="309">
        <f>IFERROR(VLOOKUP(K71,'2026.01'!A:Y,25,0),0)</f>
        <v>1836</v>
      </c>
      <c r="G82" s="310"/>
      <c r="K82" s="300"/>
    </row>
    <row r="83" ht="15" customHeight="1" spans="1:11">
      <c r="A83" s="314" t="s">
        <v>20</v>
      </c>
      <c r="B83" s="315">
        <f>IF(F82&lt;0,"金额为负，无效",INT(F82))</f>
        <v>1836</v>
      </c>
      <c r="C83" s="315"/>
      <c r="D83" s="315"/>
      <c r="E83" s="316" t="s">
        <v>21</v>
      </c>
      <c r="F83" s="317"/>
      <c r="G83" s="318"/>
      <c r="K83" s="300"/>
    </row>
    <row r="84" ht="15" customHeight="1" spans="1:11">
      <c r="A84" s="319"/>
      <c r="B84" s="320"/>
      <c r="C84" s="320"/>
      <c r="D84" s="320"/>
      <c r="E84" s="319"/>
      <c r="F84" s="321"/>
      <c r="G84" s="322"/>
      <c r="K84" s="300"/>
    </row>
    <row r="85" ht="27" customHeight="1" spans="1:11">
      <c r="A85" s="298" t="s">
        <v>0</v>
      </c>
      <c r="B85" s="298"/>
      <c r="C85" s="298"/>
      <c r="D85" s="298"/>
      <c r="E85" s="298"/>
      <c r="F85" s="298"/>
      <c r="G85" s="298"/>
      <c r="H85" s="299"/>
      <c r="I85" s="299"/>
      <c r="J85" s="299"/>
      <c r="K85" s="300">
        <v>7</v>
      </c>
    </row>
    <row r="86" ht="15" customHeight="1" spans="1:11">
      <c r="A86" s="301" t="s">
        <v>1</v>
      </c>
      <c r="B86" s="301"/>
      <c r="C86" s="301"/>
      <c r="D86" s="301"/>
      <c r="E86" s="301"/>
      <c r="F86" s="301"/>
      <c r="G86" s="302" t="str">
        <f>IFERROR(VLOOKUP(K85,'2026.01'!A:Y,2,0),0)</f>
        <v>NO:007</v>
      </c>
      <c r="K86" s="300"/>
    </row>
    <row r="87" ht="15" customHeight="1" spans="1:11">
      <c r="A87" s="303" t="s">
        <v>2</v>
      </c>
      <c r="B87" s="304">
        <f>IFERROR(VLOOKUP(K85,'2026.01'!A:Y,6,0),0)</f>
        <v>1007</v>
      </c>
      <c r="C87" s="304"/>
      <c r="D87" s="305" t="s">
        <v>3</v>
      </c>
      <c r="E87" s="305" t="str">
        <f>IFERROR(VLOOKUP(K85,'2026.01'!A:Y,7,0),0)</f>
        <v>王正庚</v>
      </c>
      <c r="F87" s="305"/>
      <c r="G87" s="306" t="s">
        <v>4</v>
      </c>
      <c r="K87" s="300"/>
    </row>
    <row r="88" ht="15" customHeight="1" spans="1:11">
      <c r="A88" s="307" t="s">
        <v>5</v>
      </c>
      <c r="B88" s="308" t="s">
        <v>6</v>
      </c>
      <c r="C88" s="308" t="s">
        <v>7</v>
      </c>
      <c r="D88" s="308" t="s">
        <v>8</v>
      </c>
      <c r="E88" s="308" t="s">
        <v>9</v>
      </c>
      <c r="F88" s="309" t="s">
        <v>10</v>
      </c>
      <c r="G88" s="310" t="s">
        <v>11</v>
      </c>
      <c r="K88" s="300"/>
    </row>
    <row r="89" ht="15" customHeight="1" spans="1:11">
      <c r="A89" s="307" t="s">
        <v>12</v>
      </c>
      <c r="B89" s="308">
        <f>IFERROR(VLOOKUP(K85,'2026.01'!A:Y,14,0),0)</f>
        <v>765</v>
      </c>
      <c r="C89" s="308">
        <f>IFERROR(VLOOKUP(K85,'2026.01'!A:Y,13,0),0)</f>
        <v>759</v>
      </c>
      <c r="D89" s="308">
        <f>IFERROR(VLOOKUP(K85,'2026.01'!A:Y,15,0),0)</f>
        <v>6</v>
      </c>
      <c r="E89" s="311">
        <f>IFERROR(VLOOKUP(K85,'2026.01'!A:Y,18,0),0)</f>
        <v>0.8</v>
      </c>
      <c r="F89" s="309">
        <f>IFERROR(VLOOKUP(K85,'2026.01'!A:Y,20,0),0)</f>
        <v>5</v>
      </c>
      <c r="G89" s="310"/>
      <c r="K89" s="300"/>
    </row>
    <row r="90" ht="15" customHeight="1" spans="1:11">
      <c r="A90" s="307" t="s">
        <v>13</v>
      </c>
      <c r="B90" s="308"/>
      <c r="C90" s="308"/>
      <c r="D90" s="308"/>
      <c r="E90" s="311"/>
      <c r="F90" s="309">
        <f>IFERROR(VLOOKUP(K85,'2026.01'!A:Y,24,0),0)</f>
        <v>43</v>
      </c>
      <c r="G90" s="310"/>
      <c r="K90" s="300"/>
    </row>
    <row r="91" ht="15" customHeight="1" spans="1:11">
      <c r="A91" s="307" t="s">
        <v>14</v>
      </c>
      <c r="B91" s="308"/>
      <c r="C91" s="308"/>
      <c r="D91" s="308"/>
      <c r="E91" s="311"/>
      <c r="F91" s="309">
        <f>IFERROR(VLOOKUP(K85,'2026.01'!A:Y,12,0),0)</f>
        <v>160</v>
      </c>
      <c r="G91" s="310"/>
      <c r="K91" s="300"/>
    </row>
    <row r="92" ht="21" customHeight="1" spans="1:11">
      <c r="A92" s="307" t="s">
        <v>15</v>
      </c>
      <c r="B92" s="308"/>
      <c r="C92" s="308"/>
      <c r="D92" s="308"/>
      <c r="E92" s="311"/>
      <c r="F92" s="309">
        <f>IFERROR(VLOOKUP(K85,'2026.01'!A:Y,9,0),0)</f>
        <v>1200</v>
      </c>
      <c r="G92" s="310"/>
      <c r="K92" s="300"/>
    </row>
    <row r="93" ht="19" customHeight="1" spans="1:11">
      <c r="A93" s="307" t="s">
        <v>16</v>
      </c>
      <c r="B93" s="308"/>
      <c r="C93" s="308"/>
      <c r="D93" s="308"/>
      <c r="E93" s="308"/>
      <c r="F93" s="309">
        <f>IFERROR(VLOOKUP(K85,'2026.01'!A:Y,10,0),0)</f>
        <v>0</v>
      </c>
      <c r="G93" s="310"/>
      <c r="K93" s="300"/>
    </row>
    <row r="94" ht="21" customHeight="1" spans="1:11">
      <c r="A94" s="307" t="s">
        <v>17</v>
      </c>
      <c r="B94" s="308"/>
      <c r="C94" s="308"/>
      <c r="D94" s="308"/>
      <c r="E94" s="308"/>
      <c r="F94" s="309">
        <f>IFERROR(VLOOKUP(K85,'2026.01'!A:Y,19,0),0)</f>
        <v>4</v>
      </c>
      <c r="G94" s="310"/>
      <c r="K94" s="300"/>
    </row>
    <row r="95" ht="17.15" customHeight="1" spans="1:11">
      <c r="A95" s="307" t="s">
        <v>18</v>
      </c>
      <c r="B95" s="308"/>
      <c r="C95" s="308"/>
      <c r="D95" s="308"/>
      <c r="E95" s="308"/>
      <c r="F95" s="309">
        <f>IFERROR(VLOOKUP(K85,'2026.01'!A:Y,22,0),0)</f>
        <v>228</v>
      </c>
      <c r="G95" s="310"/>
      <c r="K95" s="300"/>
    </row>
    <row r="96" ht="17.15" customHeight="1" spans="1:11">
      <c r="A96" s="307" t="s">
        <v>19</v>
      </c>
      <c r="B96" s="312"/>
      <c r="C96" s="308"/>
      <c r="D96" s="313"/>
      <c r="E96" s="308"/>
      <c r="F96" s="309">
        <f>IFERROR(VLOOKUP(K85,'2026.01'!A:Y,25,0),0)</f>
        <v>1640</v>
      </c>
      <c r="G96" s="310"/>
      <c r="K96" s="300"/>
    </row>
    <row r="97" ht="15" customHeight="1" spans="1:11">
      <c r="A97" s="314" t="s">
        <v>20</v>
      </c>
      <c r="B97" s="315">
        <f>IF(F96&lt;0,"金额为负，无效",INT(F96))</f>
        <v>1640</v>
      </c>
      <c r="C97" s="315"/>
      <c r="D97" s="315"/>
      <c r="E97" s="316" t="s">
        <v>21</v>
      </c>
      <c r="F97" s="317"/>
      <c r="G97" s="318"/>
      <c r="K97" s="300"/>
    </row>
    <row r="98" ht="23" customHeight="1" spans="1:11">
      <c r="A98" s="319"/>
      <c r="B98" s="320"/>
      <c r="C98" s="320"/>
      <c r="D98" s="320"/>
      <c r="E98" s="319"/>
      <c r="F98" s="321"/>
      <c r="G98" s="322"/>
      <c r="K98" s="300"/>
    </row>
    <row r="99" ht="27" customHeight="1" spans="1:11">
      <c r="A99" s="298" t="s">
        <v>0</v>
      </c>
      <c r="B99" s="298"/>
      <c r="C99" s="298"/>
      <c r="D99" s="298"/>
      <c r="E99" s="298"/>
      <c r="F99" s="298"/>
      <c r="G99" s="298"/>
      <c r="H99" s="299"/>
      <c r="I99" s="299"/>
      <c r="J99" s="299"/>
      <c r="K99" s="300">
        <v>8</v>
      </c>
    </row>
    <row r="100" ht="15" customHeight="1" spans="1:11">
      <c r="A100" s="301" t="s">
        <v>1</v>
      </c>
      <c r="B100" s="301"/>
      <c r="C100" s="301"/>
      <c r="D100" s="301"/>
      <c r="E100" s="301"/>
      <c r="F100" s="301"/>
      <c r="G100" s="302" t="str">
        <f>IFERROR(VLOOKUP(K99,'2026.01'!A:Y,2,0),0)</f>
        <v>NO:008</v>
      </c>
      <c r="K100" s="300"/>
    </row>
    <row r="101" ht="15" customHeight="1" spans="1:11">
      <c r="A101" s="303" t="s">
        <v>2</v>
      </c>
      <c r="B101" s="304" t="str">
        <f>IFERROR(VLOOKUP(K99,'2026.01'!A:Y,6,0),0)</f>
        <v>1008/1009</v>
      </c>
      <c r="C101" s="304"/>
      <c r="D101" s="305" t="s">
        <v>3</v>
      </c>
      <c r="E101" s="305" t="str">
        <f>IFERROR(VLOOKUP(K99,'2026.01'!A:Y,7,0),0)</f>
        <v>潭日标</v>
      </c>
      <c r="F101" s="305"/>
      <c r="G101" s="306" t="s">
        <v>4</v>
      </c>
      <c r="K101" s="300"/>
    </row>
    <row r="102" ht="15" customHeight="1" spans="1:11">
      <c r="A102" s="307" t="s">
        <v>5</v>
      </c>
      <c r="B102" s="308" t="s">
        <v>6</v>
      </c>
      <c r="C102" s="308" t="s">
        <v>7</v>
      </c>
      <c r="D102" s="308" t="s">
        <v>8</v>
      </c>
      <c r="E102" s="308" t="s">
        <v>9</v>
      </c>
      <c r="F102" s="309" t="s">
        <v>10</v>
      </c>
      <c r="G102" s="310" t="s">
        <v>11</v>
      </c>
      <c r="K102" s="300"/>
    </row>
    <row r="103" ht="15" customHeight="1" spans="1:11">
      <c r="A103" s="307" t="s">
        <v>12</v>
      </c>
      <c r="B103" s="308">
        <f>IFERROR(VLOOKUP(K99,'2026.01'!A:Y,14,0),0)</f>
        <v>3682</v>
      </c>
      <c r="C103" s="308">
        <f>IFERROR(VLOOKUP(K99,'2026.01'!A:Y,13,0),0)</f>
        <v>3460</v>
      </c>
      <c r="D103" s="308">
        <f>IFERROR(VLOOKUP(K99,'2026.01'!A:Y,15,0),0)</f>
        <v>222</v>
      </c>
      <c r="E103" s="311">
        <f>IFERROR(VLOOKUP(K99,'2026.01'!A:Y,18,0),0)</f>
        <v>0.8</v>
      </c>
      <c r="F103" s="309">
        <f>IFERROR(VLOOKUP(K99,'2026.01'!A:Y,20,0),0)</f>
        <v>178</v>
      </c>
      <c r="G103" s="310"/>
      <c r="K103" s="300"/>
    </row>
    <row r="104" ht="15" customHeight="1" spans="1:11">
      <c r="A104" s="307" t="s">
        <v>13</v>
      </c>
      <c r="B104" s="308"/>
      <c r="C104" s="308"/>
      <c r="D104" s="308"/>
      <c r="E104" s="311"/>
      <c r="F104" s="309">
        <f>IFERROR(VLOOKUP(K99,'2026.01'!A:Y,24,0),0)</f>
        <v>94</v>
      </c>
      <c r="G104" s="310"/>
      <c r="K104" s="300"/>
    </row>
    <row r="105" ht="15" customHeight="1" spans="1:11">
      <c r="A105" s="307" t="s">
        <v>14</v>
      </c>
      <c r="B105" s="308"/>
      <c r="C105" s="308"/>
      <c r="D105" s="308"/>
      <c r="E105" s="311"/>
      <c r="F105" s="309">
        <f>IFERROR(VLOOKUP(K99,'2026.01'!A:Y,12,0),0)</f>
        <v>320</v>
      </c>
      <c r="G105" s="310"/>
      <c r="K105" s="300"/>
    </row>
    <row r="106" ht="21" customHeight="1" spans="1:11">
      <c r="A106" s="307" t="s">
        <v>15</v>
      </c>
      <c r="B106" s="308"/>
      <c r="C106" s="308"/>
      <c r="D106" s="308"/>
      <c r="E106" s="311"/>
      <c r="F106" s="309">
        <f>IFERROR(VLOOKUP(K99,'2026.01'!A:Y,9,0),0)</f>
        <v>2500</v>
      </c>
      <c r="G106" s="310"/>
      <c r="K106" s="300"/>
    </row>
    <row r="107" ht="19" customHeight="1" spans="1:11">
      <c r="A107" s="307" t="s">
        <v>16</v>
      </c>
      <c r="B107" s="308"/>
      <c r="C107" s="308"/>
      <c r="D107" s="308"/>
      <c r="E107" s="308"/>
      <c r="F107" s="309">
        <f>IFERROR(VLOOKUP(K99,'2026.01'!A:Y,10,0),0)</f>
        <v>0</v>
      </c>
      <c r="G107" s="310"/>
      <c r="K107" s="300"/>
    </row>
    <row r="108" ht="21" customHeight="1" spans="1:11">
      <c r="A108" s="307" t="s">
        <v>17</v>
      </c>
      <c r="B108" s="308"/>
      <c r="C108" s="308"/>
      <c r="D108" s="308"/>
      <c r="E108" s="308"/>
      <c r="F108" s="309">
        <f>IFERROR(VLOOKUP(K99,'2026.01'!A:Y,19,0),0)</f>
        <v>155</v>
      </c>
      <c r="G108" s="310"/>
      <c r="K108" s="300"/>
    </row>
    <row r="109" ht="17.15" customHeight="1" spans="1:11">
      <c r="A109" s="307" t="s">
        <v>18</v>
      </c>
      <c r="B109" s="308"/>
      <c r="C109" s="308"/>
      <c r="D109" s="308"/>
      <c r="E109" s="308"/>
      <c r="F109" s="309">
        <f>IFERROR(VLOOKUP(K99,'2026.01'!A:Y,22,0),0)</f>
        <v>0</v>
      </c>
      <c r="G109" s="310"/>
      <c r="K109" s="300"/>
    </row>
    <row r="110" ht="17.15" customHeight="1" spans="1:11">
      <c r="A110" s="307" t="s">
        <v>19</v>
      </c>
      <c r="B110" s="312"/>
      <c r="C110" s="308"/>
      <c r="D110" s="313"/>
      <c r="E110" s="308"/>
      <c r="F110" s="309">
        <f>IFERROR(VLOOKUP(K99,'2026.01'!A:Y,25,0),0)</f>
        <v>3247</v>
      </c>
      <c r="G110" s="310"/>
      <c r="K110" s="300"/>
    </row>
    <row r="111" ht="15" customHeight="1" spans="1:11">
      <c r="A111" s="314" t="s">
        <v>20</v>
      </c>
      <c r="B111" s="315">
        <f>IF(F110&lt;0,"金额为负，无效",INT(F110))</f>
        <v>3247</v>
      </c>
      <c r="C111" s="315"/>
      <c r="D111" s="315"/>
      <c r="E111" s="316" t="s">
        <v>21</v>
      </c>
      <c r="F111" s="317"/>
      <c r="G111" s="318"/>
      <c r="K111" s="300"/>
    </row>
    <row r="112" ht="23" customHeight="1" spans="1:11">
      <c r="A112" s="319"/>
      <c r="B112" s="320"/>
      <c r="C112" s="320"/>
      <c r="D112" s="320"/>
      <c r="E112" s="319"/>
      <c r="F112" s="321"/>
      <c r="G112" s="322"/>
      <c r="K112" s="300"/>
    </row>
    <row r="113" ht="27" customHeight="1" spans="1:11">
      <c r="A113" s="298" t="s">
        <v>0</v>
      </c>
      <c r="B113" s="298"/>
      <c r="C113" s="298"/>
      <c r="D113" s="298"/>
      <c r="E113" s="298"/>
      <c r="F113" s="298"/>
      <c r="G113" s="298"/>
      <c r="H113" s="299"/>
      <c r="I113" s="299"/>
      <c r="J113" s="299"/>
      <c r="K113" s="300">
        <v>9</v>
      </c>
    </row>
    <row r="114" ht="15" customHeight="1" spans="1:11">
      <c r="A114" s="301" t="s">
        <v>1</v>
      </c>
      <c r="B114" s="301"/>
      <c r="C114" s="301"/>
      <c r="D114" s="301"/>
      <c r="E114" s="301"/>
      <c r="F114" s="301"/>
      <c r="G114" s="302" t="str">
        <f>IFERROR(VLOOKUP(K113,'2026.01'!A:Y,2,0),0)</f>
        <v>NO:009</v>
      </c>
      <c r="K114" s="300"/>
    </row>
    <row r="115" ht="15" customHeight="1" spans="1:11">
      <c r="A115" s="303" t="s">
        <v>2</v>
      </c>
      <c r="B115" s="304">
        <f>IFERROR(VLOOKUP(K113,'2026.01'!A:Y,6,0),0)</f>
        <v>1009</v>
      </c>
      <c r="C115" s="304"/>
      <c r="D115" s="305" t="s">
        <v>3</v>
      </c>
      <c r="E115" s="305" t="str">
        <f>IFERROR(VLOOKUP(K113,'2026.01'!A:Y,7,0),0)</f>
        <v>潭日标</v>
      </c>
      <c r="F115" s="305"/>
      <c r="G115" s="306" t="s">
        <v>4</v>
      </c>
      <c r="K115" s="300"/>
    </row>
    <row r="116" ht="15" customHeight="1" spans="1:11">
      <c r="A116" s="307" t="s">
        <v>5</v>
      </c>
      <c r="B116" s="308" t="s">
        <v>6</v>
      </c>
      <c r="C116" s="308" t="s">
        <v>7</v>
      </c>
      <c r="D116" s="308" t="s">
        <v>8</v>
      </c>
      <c r="E116" s="308" t="s">
        <v>9</v>
      </c>
      <c r="F116" s="309" t="s">
        <v>10</v>
      </c>
      <c r="G116" s="310" t="s">
        <v>11</v>
      </c>
      <c r="K116" s="300"/>
    </row>
    <row r="117" ht="15" customHeight="1" spans="1:11">
      <c r="A117" s="307" t="s">
        <v>12</v>
      </c>
      <c r="B117" s="308">
        <f>IFERROR(VLOOKUP(K113,'2026.01'!A:Y,14,0),0)</f>
        <v>3625</v>
      </c>
      <c r="C117" s="308">
        <f>IFERROR(VLOOKUP(K113,'2026.01'!A:Y,13,0),0)</f>
        <v>3552</v>
      </c>
      <c r="D117" s="308">
        <f>IFERROR(VLOOKUP(K113,'2026.01'!A:Y,15,0),0)</f>
        <v>73</v>
      </c>
      <c r="E117" s="311">
        <f>IFERROR(VLOOKUP(K113,'2026.01'!A:Y,18,0),0)</f>
        <v>0.8</v>
      </c>
      <c r="F117" s="309">
        <f>IFERROR(VLOOKUP(K113,'2026.01'!A:Y,20,0),0)</f>
        <v>58</v>
      </c>
      <c r="G117" s="310"/>
      <c r="K117" s="300"/>
    </row>
    <row r="118" ht="15" customHeight="1" spans="1:11">
      <c r="A118" s="307" t="s">
        <v>13</v>
      </c>
      <c r="B118" s="308"/>
      <c r="C118" s="308"/>
      <c r="D118" s="308"/>
      <c r="E118" s="311"/>
      <c r="F118" s="309">
        <f>IFERROR(VLOOKUP(K113,'2026.01'!A:Y,24,0),0)</f>
        <v>0</v>
      </c>
      <c r="G118" s="310"/>
      <c r="K118" s="300"/>
    </row>
    <row r="119" ht="15" customHeight="1" spans="1:11">
      <c r="A119" s="307" t="s">
        <v>14</v>
      </c>
      <c r="B119" s="308"/>
      <c r="C119" s="308"/>
      <c r="D119" s="308"/>
      <c r="E119" s="311"/>
      <c r="F119" s="309">
        <f>IFERROR(VLOOKUP(K113,'2026.01'!A:Y,12,0),0)</f>
        <v>0</v>
      </c>
      <c r="G119" s="310"/>
      <c r="K119" s="300"/>
    </row>
    <row r="120" ht="21" customHeight="1" spans="1:11">
      <c r="A120" s="307" t="s">
        <v>15</v>
      </c>
      <c r="B120" s="308"/>
      <c r="C120" s="308"/>
      <c r="D120" s="308"/>
      <c r="E120" s="311"/>
      <c r="F120" s="309">
        <f>IFERROR(VLOOKUP(K113,'2026.01'!A:Y,9,0),0)</f>
        <v>0</v>
      </c>
      <c r="G120" s="310"/>
      <c r="K120" s="300"/>
    </row>
    <row r="121" ht="19" customHeight="1" spans="1:11">
      <c r="A121" s="307" t="s">
        <v>16</v>
      </c>
      <c r="B121" s="308"/>
      <c r="C121" s="308"/>
      <c r="D121" s="308"/>
      <c r="E121" s="308"/>
      <c r="F121" s="309">
        <f>IFERROR(VLOOKUP(K113,'2026.01'!A:Y,10,0),0)</f>
        <v>0</v>
      </c>
      <c r="G121" s="310"/>
      <c r="K121" s="300"/>
    </row>
    <row r="122" ht="21" customHeight="1" spans="1:11">
      <c r="A122" s="307" t="s">
        <v>17</v>
      </c>
      <c r="B122" s="308"/>
      <c r="C122" s="308"/>
      <c r="D122" s="308"/>
      <c r="E122" s="308"/>
      <c r="F122" s="309">
        <f>IFERROR(VLOOKUP(K113,'2026.01'!A:Y,19,0),0)</f>
        <v>51</v>
      </c>
      <c r="G122" s="310"/>
      <c r="K122" s="300"/>
    </row>
    <row r="123" ht="17.15" customHeight="1" spans="1:11">
      <c r="A123" s="307" t="s">
        <v>18</v>
      </c>
      <c r="B123" s="308"/>
      <c r="C123" s="308"/>
      <c r="D123" s="308"/>
      <c r="E123" s="308"/>
      <c r="F123" s="309">
        <f>IFERROR(VLOOKUP(K113,'2026.01'!A:Y,22,0),0)</f>
        <v>0</v>
      </c>
      <c r="G123" s="310"/>
      <c r="K123" s="300"/>
    </row>
    <row r="124" ht="17.15" customHeight="1" spans="1:11">
      <c r="A124" s="307" t="s">
        <v>19</v>
      </c>
      <c r="B124" s="312"/>
      <c r="C124" s="308"/>
      <c r="D124" s="313"/>
      <c r="E124" s="308"/>
      <c r="F124" s="309">
        <f>IFERROR(VLOOKUP(K113,'2026.01'!A:Y,25,0),0)</f>
        <v>109</v>
      </c>
      <c r="G124" s="310"/>
      <c r="K124" s="300"/>
    </row>
    <row r="125" ht="15" customHeight="1" spans="1:11">
      <c r="A125" s="314" t="s">
        <v>20</v>
      </c>
      <c r="B125" s="315">
        <f>IF(F124&lt;0,"金额为负，无效",INT(F124))</f>
        <v>109</v>
      </c>
      <c r="C125" s="315"/>
      <c r="D125" s="315"/>
      <c r="E125" s="316" t="s">
        <v>21</v>
      </c>
      <c r="F125" s="317"/>
      <c r="G125" s="318"/>
      <c r="K125" s="300"/>
    </row>
    <row r="126" ht="15" customHeight="1" spans="1:11">
      <c r="A126" s="319"/>
      <c r="B126" s="320"/>
      <c r="C126" s="320"/>
      <c r="D126" s="320"/>
      <c r="E126" s="319"/>
      <c r="F126" s="321"/>
      <c r="G126" s="322"/>
      <c r="K126" s="300"/>
    </row>
    <row r="127" ht="27" customHeight="1" spans="1:11">
      <c r="A127" s="298" t="s">
        <v>0</v>
      </c>
      <c r="B127" s="298"/>
      <c r="C127" s="298"/>
      <c r="D127" s="298"/>
      <c r="E127" s="298"/>
      <c r="F127" s="298"/>
      <c r="G127" s="298"/>
      <c r="H127" s="299"/>
      <c r="I127" s="299"/>
      <c r="J127" s="299"/>
      <c r="K127" s="300">
        <v>10</v>
      </c>
    </row>
    <row r="128" ht="15" customHeight="1" spans="1:11">
      <c r="A128" s="301" t="s">
        <v>1</v>
      </c>
      <c r="B128" s="301"/>
      <c r="C128" s="301"/>
      <c r="D128" s="301"/>
      <c r="E128" s="301"/>
      <c r="F128" s="301"/>
      <c r="G128" s="302" t="str">
        <f>IFERROR(VLOOKUP(K127,'2026.01'!A:Y,2,0),0)</f>
        <v>NO:010</v>
      </c>
      <c r="K128" s="300"/>
    </row>
    <row r="129" ht="15" customHeight="1" spans="1:11">
      <c r="A129" s="303" t="s">
        <v>2</v>
      </c>
      <c r="B129" s="304">
        <f>IFERROR(VLOOKUP(K127,'2026.01'!A:Y,6,0),0)</f>
        <v>1010</v>
      </c>
      <c r="C129" s="304"/>
      <c r="D129" s="305" t="s">
        <v>3</v>
      </c>
      <c r="E129" s="305" t="str">
        <f>IFERROR(VLOOKUP(K127,'2026.01'!A:Y,7,0),0)</f>
        <v>王长梅</v>
      </c>
      <c r="F129" s="305"/>
      <c r="G129" s="306" t="s">
        <v>4</v>
      </c>
      <c r="K129" s="300"/>
    </row>
    <row r="130" ht="15" customHeight="1" spans="1:11">
      <c r="A130" s="307" t="s">
        <v>5</v>
      </c>
      <c r="B130" s="308" t="s">
        <v>6</v>
      </c>
      <c r="C130" s="308" t="s">
        <v>7</v>
      </c>
      <c r="D130" s="308" t="s">
        <v>8</v>
      </c>
      <c r="E130" s="308" t="s">
        <v>9</v>
      </c>
      <c r="F130" s="309" t="s">
        <v>10</v>
      </c>
      <c r="G130" s="310" t="s">
        <v>11</v>
      </c>
      <c r="K130" s="300"/>
    </row>
    <row r="131" ht="15" customHeight="1" spans="1:11">
      <c r="A131" s="307" t="s">
        <v>12</v>
      </c>
      <c r="B131" s="308">
        <f>IFERROR(VLOOKUP(K127,'2026.01'!A:Y,14,0),0)</f>
        <v>8551</v>
      </c>
      <c r="C131" s="308">
        <f>IFERROR(VLOOKUP(K127,'2026.01'!A:Y,13,0),0)</f>
        <v>8464</v>
      </c>
      <c r="D131" s="308">
        <f>IFERROR(VLOOKUP(K127,'2026.01'!A:Y,15,0),0)</f>
        <v>87</v>
      </c>
      <c r="E131" s="311">
        <f>IFERROR(VLOOKUP(K127,'2026.01'!A:Y,18,0),0)</f>
        <v>0.8</v>
      </c>
      <c r="F131" s="309">
        <f>IFERROR(VLOOKUP(K127,'2026.01'!A:Y,20,0),0)</f>
        <v>70</v>
      </c>
      <c r="G131" s="310"/>
      <c r="K131" s="300"/>
    </row>
    <row r="132" ht="15" customHeight="1" spans="1:11">
      <c r="A132" s="307" t="s">
        <v>13</v>
      </c>
      <c r="B132" s="308"/>
      <c r="C132" s="308"/>
      <c r="D132" s="308"/>
      <c r="E132" s="311"/>
      <c r="F132" s="309">
        <f>IFERROR(VLOOKUP(K127,'2026.01'!A:Y,24,0),0)</f>
        <v>43</v>
      </c>
      <c r="G132" s="310"/>
      <c r="K132" s="300"/>
    </row>
    <row r="133" ht="15" customHeight="1" spans="1:11">
      <c r="A133" s="307" t="s">
        <v>14</v>
      </c>
      <c r="B133" s="308"/>
      <c r="C133" s="308"/>
      <c r="D133" s="308"/>
      <c r="E133" s="311"/>
      <c r="F133" s="309">
        <f>IFERROR(VLOOKUP(K127,'2026.01'!A:Y,12,0),0)</f>
        <v>160</v>
      </c>
      <c r="G133" s="310"/>
      <c r="K133" s="300"/>
    </row>
    <row r="134" ht="21" customHeight="1" spans="1:11">
      <c r="A134" s="307" t="s">
        <v>15</v>
      </c>
      <c r="B134" s="308"/>
      <c r="C134" s="308"/>
      <c r="D134" s="308"/>
      <c r="E134" s="311"/>
      <c r="F134" s="309">
        <f>IFERROR(VLOOKUP(K127,'2026.01'!A:Y,9,0),0)</f>
        <v>1500</v>
      </c>
      <c r="G134" s="310"/>
      <c r="K134" s="300"/>
    </row>
    <row r="135" ht="19" customHeight="1" spans="1:11">
      <c r="A135" s="307" t="s">
        <v>16</v>
      </c>
      <c r="B135" s="308"/>
      <c r="C135" s="308"/>
      <c r="D135" s="308"/>
      <c r="E135" s="308"/>
      <c r="F135" s="309">
        <f>IFERROR(VLOOKUP(K127,'2026.01'!A:Y,10,0),0)</f>
        <v>0</v>
      </c>
      <c r="G135" s="310"/>
      <c r="K135" s="300"/>
    </row>
    <row r="136" ht="21" customHeight="1" spans="1:11">
      <c r="A136" s="307" t="s">
        <v>17</v>
      </c>
      <c r="B136" s="308"/>
      <c r="C136" s="308"/>
      <c r="D136" s="308"/>
      <c r="E136" s="308"/>
      <c r="F136" s="309">
        <f>IFERROR(VLOOKUP(K127,'2026.01'!A:Y,19,0),0)</f>
        <v>61</v>
      </c>
      <c r="G136" s="310"/>
      <c r="K136" s="300"/>
    </row>
    <row r="137" ht="17.15" customHeight="1" spans="1:11">
      <c r="A137" s="307" t="s">
        <v>18</v>
      </c>
      <c r="B137" s="308"/>
      <c r="C137" s="308"/>
      <c r="D137" s="308"/>
      <c r="E137" s="308"/>
      <c r="F137" s="309">
        <f>IFERROR(VLOOKUP(K127,'2026.01'!A:Y,22,0),0)</f>
        <v>200</v>
      </c>
      <c r="G137" s="310"/>
      <c r="K137" s="300"/>
    </row>
    <row r="138" ht="17.15" customHeight="1" spans="1:11">
      <c r="A138" s="307" t="s">
        <v>19</v>
      </c>
      <c r="B138" s="312"/>
      <c r="C138" s="308"/>
      <c r="D138" s="313"/>
      <c r="E138" s="308"/>
      <c r="F138" s="309">
        <f>IFERROR(VLOOKUP(K127,'2026.01'!A:Y,25,0),0)</f>
        <v>2034</v>
      </c>
      <c r="G138" s="310"/>
      <c r="K138" s="300"/>
    </row>
    <row r="139" ht="15" customHeight="1" spans="1:11">
      <c r="A139" s="314" t="s">
        <v>20</v>
      </c>
      <c r="B139" s="315">
        <f>IF(F138&lt;0,"金额为负，无效",INT(F138))</f>
        <v>2034</v>
      </c>
      <c r="C139" s="315"/>
      <c r="D139" s="315"/>
      <c r="E139" s="316" t="s">
        <v>21</v>
      </c>
      <c r="F139" s="317"/>
      <c r="G139" s="318"/>
      <c r="K139" s="300"/>
    </row>
    <row r="140" ht="23" customHeight="1" spans="1:11">
      <c r="A140" s="319"/>
      <c r="B140" s="320"/>
      <c r="C140" s="320"/>
      <c r="D140" s="320"/>
      <c r="E140" s="319"/>
      <c r="F140" s="321"/>
      <c r="G140" s="322"/>
      <c r="K140" s="300"/>
    </row>
    <row r="141" ht="27" customHeight="1" spans="1:11">
      <c r="A141" s="298" t="s">
        <v>0</v>
      </c>
      <c r="B141" s="298"/>
      <c r="C141" s="298"/>
      <c r="D141" s="298"/>
      <c r="E141" s="298"/>
      <c r="F141" s="298"/>
      <c r="G141" s="298"/>
      <c r="H141" s="299"/>
      <c r="I141" s="299"/>
      <c r="J141" s="299"/>
      <c r="K141" s="300">
        <v>11</v>
      </c>
    </row>
    <row r="142" ht="15" customHeight="1" spans="1:11">
      <c r="A142" s="301" t="s">
        <v>1</v>
      </c>
      <c r="B142" s="301"/>
      <c r="C142" s="301"/>
      <c r="D142" s="301"/>
      <c r="E142" s="301"/>
      <c r="F142" s="301"/>
      <c r="G142" s="302" t="str">
        <f>IFERROR(VLOOKUP(K141,'2026.01'!A:Y,2,0),0)</f>
        <v>NO:011</v>
      </c>
      <c r="K142" s="300"/>
    </row>
    <row r="143" ht="15" customHeight="1" spans="1:11">
      <c r="A143" s="303" t="s">
        <v>2</v>
      </c>
      <c r="B143" s="304">
        <f>IFERROR(VLOOKUP(K141,'2026.01'!A:Y,6,0),0)</f>
        <v>1011</v>
      </c>
      <c r="C143" s="304"/>
      <c r="D143" s="305" t="s">
        <v>3</v>
      </c>
      <c r="E143" s="305" t="str">
        <f>IFERROR(VLOOKUP(K141,'2026.01'!A:Y,7,0),0)</f>
        <v>段邦彦</v>
      </c>
      <c r="F143" s="305"/>
      <c r="G143" s="306" t="s">
        <v>4</v>
      </c>
      <c r="K143" s="300"/>
    </row>
    <row r="144" ht="15" customHeight="1" spans="1:11">
      <c r="A144" s="307" t="s">
        <v>5</v>
      </c>
      <c r="B144" s="308" t="s">
        <v>6</v>
      </c>
      <c r="C144" s="308" t="s">
        <v>7</v>
      </c>
      <c r="D144" s="308" t="s">
        <v>8</v>
      </c>
      <c r="E144" s="308" t="s">
        <v>9</v>
      </c>
      <c r="F144" s="309" t="s">
        <v>10</v>
      </c>
      <c r="G144" s="310" t="s">
        <v>11</v>
      </c>
      <c r="K144" s="300"/>
    </row>
    <row r="145" ht="15" customHeight="1" spans="1:11">
      <c r="A145" s="307" t="s">
        <v>12</v>
      </c>
      <c r="B145" s="308">
        <f>IFERROR(VLOOKUP(K141,'2026.01'!A:Y,14,0),0)</f>
        <v>2260</v>
      </c>
      <c r="C145" s="308">
        <f>IFERROR(VLOOKUP(K141,'2026.01'!A:Y,13,0),0)</f>
        <v>2210</v>
      </c>
      <c r="D145" s="308">
        <f>IFERROR(VLOOKUP(K141,'2026.01'!A:Y,15,0),0)</f>
        <v>50</v>
      </c>
      <c r="E145" s="311">
        <f>IFERROR(VLOOKUP(K141,'2026.01'!A:Y,18,0),0)</f>
        <v>0.8</v>
      </c>
      <c r="F145" s="309">
        <f>IFERROR(VLOOKUP(K141,'2026.01'!A:Y,20,0),0)</f>
        <v>40</v>
      </c>
      <c r="G145" s="310"/>
      <c r="K145" s="300"/>
    </row>
    <row r="146" ht="15" customHeight="1" spans="1:11">
      <c r="A146" s="307" t="s">
        <v>13</v>
      </c>
      <c r="B146" s="308"/>
      <c r="C146" s="308"/>
      <c r="D146" s="308"/>
      <c r="E146" s="311"/>
      <c r="F146" s="309">
        <f>IFERROR(VLOOKUP(K141,'2026.01'!A:Y,24,0),0)</f>
        <v>43</v>
      </c>
      <c r="G146" s="310"/>
      <c r="K146" s="300"/>
    </row>
    <row r="147" ht="15" customHeight="1" spans="1:11">
      <c r="A147" s="307" t="s">
        <v>14</v>
      </c>
      <c r="B147" s="308"/>
      <c r="C147" s="308"/>
      <c r="D147" s="308"/>
      <c r="E147" s="311"/>
      <c r="F147" s="309">
        <f>IFERROR(VLOOKUP(K141,'2026.01'!A:Y,12,0),0)</f>
        <v>160</v>
      </c>
      <c r="G147" s="310"/>
      <c r="K147" s="300"/>
    </row>
    <row r="148" ht="21" customHeight="1" spans="1:11">
      <c r="A148" s="307" t="s">
        <v>15</v>
      </c>
      <c r="B148" s="308"/>
      <c r="C148" s="308"/>
      <c r="D148" s="308"/>
      <c r="E148" s="311"/>
      <c r="F148" s="309">
        <f>IFERROR(VLOOKUP(K141,'2026.01'!A:Y,9,0),0)</f>
        <v>750</v>
      </c>
      <c r="G148" s="310"/>
      <c r="K148" s="300"/>
    </row>
    <row r="149" ht="19" customHeight="1" spans="1:11">
      <c r="A149" s="307" t="s">
        <v>16</v>
      </c>
      <c r="B149" s="308"/>
      <c r="C149" s="308"/>
      <c r="D149" s="308"/>
      <c r="E149" s="308"/>
      <c r="F149" s="309">
        <f>IFERROR(VLOOKUP(K141,'2026.01'!A:Y,10,0),0)</f>
        <v>0</v>
      </c>
      <c r="G149" s="310"/>
      <c r="K149" s="300"/>
    </row>
    <row r="150" ht="21" customHeight="1" spans="1:11">
      <c r="A150" s="307" t="s">
        <v>17</v>
      </c>
      <c r="B150" s="308"/>
      <c r="C150" s="308"/>
      <c r="D150" s="308"/>
      <c r="E150" s="308"/>
      <c r="F150" s="309">
        <f>IFERROR(VLOOKUP(K141,'2026.01'!A:Y,19,0),0)</f>
        <v>35</v>
      </c>
      <c r="G150" s="310"/>
      <c r="K150" s="300"/>
    </row>
    <row r="151" ht="17.15" customHeight="1" spans="1:11">
      <c r="A151" s="307" t="s">
        <v>18</v>
      </c>
      <c r="B151" s="308"/>
      <c r="C151" s="308"/>
      <c r="D151" s="308"/>
      <c r="E151" s="308"/>
      <c r="F151" s="309">
        <f>IFERROR(VLOOKUP(K141,'2026.01'!A:Y,22,0),0)</f>
        <v>0</v>
      </c>
      <c r="G151" s="310"/>
      <c r="K151" s="300"/>
    </row>
    <row r="152" ht="17.15" customHeight="1" spans="1:11">
      <c r="A152" s="307" t="s">
        <v>19</v>
      </c>
      <c r="B152" s="312"/>
      <c r="C152" s="308"/>
      <c r="D152" s="313"/>
      <c r="E152" s="308"/>
      <c r="F152" s="309">
        <f>IFERROR(VLOOKUP(K141,'2026.01'!A:Y,25,0),0)</f>
        <v>1028</v>
      </c>
      <c r="G152" s="310"/>
      <c r="K152" s="300"/>
    </row>
    <row r="153" ht="15" customHeight="1" spans="1:11">
      <c r="A153" s="314" t="s">
        <v>20</v>
      </c>
      <c r="B153" s="315">
        <f>IF(F152&lt;0,"金额为负，无效",INT(F152))</f>
        <v>1028</v>
      </c>
      <c r="C153" s="315"/>
      <c r="D153" s="315"/>
      <c r="E153" s="316" t="s">
        <v>21</v>
      </c>
      <c r="F153" s="317"/>
      <c r="G153" s="318"/>
      <c r="K153" s="300"/>
    </row>
    <row r="154" ht="23" customHeight="1" spans="1:11">
      <c r="A154" s="319"/>
      <c r="B154" s="320"/>
      <c r="C154" s="320"/>
      <c r="D154" s="320"/>
      <c r="E154" s="319"/>
      <c r="F154" s="321"/>
      <c r="G154" s="322"/>
      <c r="K154" s="300"/>
    </row>
    <row r="155" ht="27" customHeight="1" spans="1:11">
      <c r="A155" s="298" t="s">
        <v>0</v>
      </c>
      <c r="B155" s="298"/>
      <c r="C155" s="298"/>
      <c r="D155" s="298"/>
      <c r="E155" s="298"/>
      <c r="F155" s="298"/>
      <c r="G155" s="298"/>
      <c r="H155" s="299"/>
      <c r="I155" s="299"/>
      <c r="J155" s="299"/>
      <c r="K155" s="300">
        <v>12</v>
      </c>
    </row>
    <row r="156" ht="15" customHeight="1" spans="1:11">
      <c r="A156" s="301" t="s">
        <v>1</v>
      </c>
      <c r="B156" s="301"/>
      <c r="C156" s="301"/>
      <c r="D156" s="301"/>
      <c r="E156" s="301"/>
      <c r="F156" s="301"/>
      <c r="G156" s="302" t="str">
        <f>IFERROR(VLOOKUP(K155,'2026.01'!A:Y,2,0),0)</f>
        <v>NO:012</v>
      </c>
      <c r="K156" s="300"/>
    </row>
    <row r="157" ht="15" customHeight="1" spans="1:11">
      <c r="A157" s="303" t="s">
        <v>2</v>
      </c>
      <c r="B157" s="304">
        <f>IFERROR(VLOOKUP(K155,'2026.01'!A:Y,6,0),0)</f>
        <v>1012</v>
      </c>
      <c r="C157" s="304"/>
      <c r="D157" s="305" t="s">
        <v>3</v>
      </c>
      <c r="E157" s="305" t="str">
        <f>IFERROR(VLOOKUP(K155,'2026.01'!A:Y,7,0),0)</f>
        <v>李文学</v>
      </c>
      <c r="F157" s="305"/>
      <c r="G157" s="306" t="s">
        <v>4</v>
      </c>
      <c r="K157" s="300"/>
    </row>
    <row r="158" ht="15" customHeight="1" spans="1:11">
      <c r="A158" s="307" t="s">
        <v>5</v>
      </c>
      <c r="B158" s="308" t="s">
        <v>6</v>
      </c>
      <c r="C158" s="308" t="s">
        <v>7</v>
      </c>
      <c r="D158" s="308" t="s">
        <v>8</v>
      </c>
      <c r="E158" s="308" t="s">
        <v>9</v>
      </c>
      <c r="F158" s="309" t="s">
        <v>10</v>
      </c>
      <c r="G158" s="310" t="s">
        <v>11</v>
      </c>
      <c r="K158" s="300"/>
    </row>
    <row r="159" ht="15" customHeight="1" spans="1:11">
      <c r="A159" s="307" t="s">
        <v>12</v>
      </c>
      <c r="B159" s="308">
        <f>IFERROR(VLOOKUP(K155,'2026.01'!A:Y,14,0),0)</f>
        <v>2584</v>
      </c>
      <c r="C159" s="308">
        <f>IFERROR(VLOOKUP(K155,'2026.01'!A:Y,13,0),0)</f>
        <v>2479</v>
      </c>
      <c r="D159" s="308">
        <f>IFERROR(VLOOKUP(K155,'2026.01'!A:Y,15,0),0)</f>
        <v>105</v>
      </c>
      <c r="E159" s="311">
        <f>IFERROR(VLOOKUP(K155,'2026.01'!A:Y,18,0),0)</f>
        <v>0.8</v>
      </c>
      <c r="F159" s="309">
        <f>IFERROR(VLOOKUP(K155,'2026.01'!A:Y,20,0),0)</f>
        <v>84</v>
      </c>
      <c r="G159" s="310"/>
      <c r="K159" s="300"/>
    </row>
    <row r="160" ht="15" customHeight="1" spans="1:11">
      <c r="A160" s="307" t="s">
        <v>13</v>
      </c>
      <c r="B160" s="308"/>
      <c r="C160" s="308"/>
      <c r="D160" s="308"/>
      <c r="E160" s="311"/>
      <c r="F160" s="309">
        <f>IFERROR(VLOOKUP(K155,'2026.01'!A:Y,24,0),0)</f>
        <v>51</v>
      </c>
      <c r="G160" s="310"/>
      <c r="K160" s="300"/>
    </row>
    <row r="161" ht="15" customHeight="1" spans="1:11">
      <c r="A161" s="307" t="s">
        <v>14</v>
      </c>
      <c r="B161" s="308"/>
      <c r="C161" s="308"/>
      <c r="D161" s="308"/>
      <c r="E161" s="311"/>
      <c r="F161" s="309">
        <f>IFERROR(VLOOKUP(K155,'2026.01'!A:Y,12,0),0)</f>
        <v>160</v>
      </c>
      <c r="G161" s="310"/>
      <c r="K161" s="300"/>
    </row>
    <row r="162" ht="21" customHeight="1" spans="1:11">
      <c r="A162" s="307" t="s">
        <v>15</v>
      </c>
      <c r="B162" s="308"/>
      <c r="C162" s="308"/>
      <c r="D162" s="308"/>
      <c r="E162" s="311"/>
      <c r="F162" s="309">
        <f>IFERROR(VLOOKUP(K155,'2026.01'!A:Y,9,0),0)</f>
        <v>750</v>
      </c>
      <c r="G162" s="310"/>
      <c r="K162" s="300"/>
    </row>
    <row r="163" ht="19" customHeight="1" spans="1:11">
      <c r="A163" s="307" t="s">
        <v>16</v>
      </c>
      <c r="B163" s="308"/>
      <c r="C163" s="308"/>
      <c r="D163" s="308"/>
      <c r="E163" s="308"/>
      <c r="F163" s="309">
        <f>IFERROR(VLOOKUP(K155,'2026.01'!A:Y,10,0),0)</f>
        <v>0</v>
      </c>
      <c r="G163" s="310"/>
      <c r="K163" s="300"/>
    </row>
    <row r="164" ht="21" customHeight="1" spans="1:11">
      <c r="A164" s="307" t="s">
        <v>17</v>
      </c>
      <c r="B164" s="308"/>
      <c r="C164" s="308"/>
      <c r="D164" s="308"/>
      <c r="E164" s="308"/>
      <c r="F164" s="309">
        <f>IFERROR(VLOOKUP(K155,'2026.01'!A:Y,19,0),0)</f>
        <v>74</v>
      </c>
      <c r="G164" s="310"/>
      <c r="K164" s="300"/>
    </row>
    <row r="165" ht="17.15" customHeight="1" spans="1:11">
      <c r="A165" s="307" t="s">
        <v>18</v>
      </c>
      <c r="B165" s="308"/>
      <c r="C165" s="308"/>
      <c r="D165" s="308"/>
      <c r="E165" s="308"/>
      <c r="F165" s="309">
        <f>IFERROR(VLOOKUP(K155,'2026.01'!A:Y,22,0),0)</f>
        <v>0</v>
      </c>
      <c r="G165" s="310"/>
      <c r="K165" s="300"/>
    </row>
    <row r="166" ht="17.15" customHeight="1" spans="1:11">
      <c r="A166" s="307" t="s">
        <v>19</v>
      </c>
      <c r="B166" s="312"/>
      <c r="C166" s="308"/>
      <c r="D166" s="313"/>
      <c r="E166" s="308"/>
      <c r="F166" s="309">
        <f>IFERROR(VLOOKUP(K155,'2026.01'!A:Y,25,0),0)</f>
        <v>1119</v>
      </c>
      <c r="G166" s="310"/>
      <c r="K166" s="300"/>
    </row>
    <row r="167" ht="15" customHeight="1" spans="1:11">
      <c r="A167" s="314" t="s">
        <v>20</v>
      </c>
      <c r="B167" s="315">
        <f>IF(F166&lt;0,"金额为负，无效",INT(F166))</f>
        <v>1119</v>
      </c>
      <c r="C167" s="315"/>
      <c r="D167" s="315"/>
      <c r="E167" s="316" t="s">
        <v>21</v>
      </c>
      <c r="F167" s="317"/>
      <c r="G167" s="318"/>
      <c r="K167" s="300"/>
    </row>
    <row r="168" ht="15" customHeight="1" spans="1:11">
      <c r="A168" s="319"/>
      <c r="B168" s="320"/>
      <c r="C168" s="320"/>
      <c r="D168" s="320"/>
      <c r="E168" s="319"/>
      <c r="F168" s="321"/>
      <c r="G168" s="322"/>
      <c r="K168" s="300"/>
    </row>
    <row r="169" ht="27" customHeight="1" spans="1:11">
      <c r="A169" s="298" t="s">
        <v>0</v>
      </c>
      <c r="B169" s="298"/>
      <c r="C169" s="298"/>
      <c r="D169" s="298"/>
      <c r="E169" s="298"/>
      <c r="F169" s="298"/>
      <c r="G169" s="298"/>
      <c r="H169" s="299"/>
      <c r="I169" s="299"/>
      <c r="J169" s="299"/>
      <c r="K169" s="300">
        <v>13</v>
      </c>
    </row>
    <row r="170" ht="15" customHeight="1" spans="1:11">
      <c r="A170" s="301" t="s">
        <v>1</v>
      </c>
      <c r="B170" s="301"/>
      <c r="C170" s="301"/>
      <c r="D170" s="301"/>
      <c r="E170" s="301"/>
      <c r="F170" s="301"/>
      <c r="G170" s="302" t="str">
        <f>IFERROR(VLOOKUP(K169,'2026.01'!A:Y,2,0),0)</f>
        <v>NO:013</v>
      </c>
      <c r="K170" s="300"/>
    </row>
    <row r="171" ht="15" customHeight="1" spans="1:11">
      <c r="A171" s="303" t="s">
        <v>2</v>
      </c>
      <c r="B171" s="304">
        <f>IFERROR(VLOOKUP(K169,'2026.01'!A:Y,6,0),0)</f>
        <v>1013</v>
      </c>
      <c r="C171" s="304"/>
      <c r="D171" s="305" t="s">
        <v>3</v>
      </c>
      <c r="E171" s="305" t="str">
        <f>IFERROR(VLOOKUP(K169,'2026.01'!A:Y,7,0),0)</f>
        <v>揭英祥</v>
      </c>
      <c r="F171" s="305"/>
      <c r="G171" s="306" t="s">
        <v>4</v>
      </c>
      <c r="K171" s="300"/>
    </row>
    <row r="172" ht="15" customHeight="1" spans="1:11">
      <c r="A172" s="307" t="s">
        <v>5</v>
      </c>
      <c r="B172" s="308" t="s">
        <v>6</v>
      </c>
      <c r="C172" s="308" t="s">
        <v>7</v>
      </c>
      <c r="D172" s="308" t="s">
        <v>8</v>
      </c>
      <c r="E172" s="308" t="s">
        <v>9</v>
      </c>
      <c r="F172" s="309" t="s">
        <v>10</v>
      </c>
      <c r="G172" s="310" t="s">
        <v>11</v>
      </c>
      <c r="K172" s="300"/>
    </row>
    <row r="173" ht="15" customHeight="1" spans="1:11">
      <c r="A173" s="307" t="s">
        <v>12</v>
      </c>
      <c r="B173" s="308">
        <f>IFERROR(VLOOKUP(K169,'2026.01'!A:Y,14,0),0)</f>
        <v>4410</v>
      </c>
      <c r="C173" s="308">
        <f>IFERROR(VLOOKUP(K169,'2026.01'!A:Y,13,0),0)</f>
        <v>4343</v>
      </c>
      <c r="D173" s="308">
        <f>IFERROR(VLOOKUP(K169,'2026.01'!A:Y,15,0),0)</f>
        <v>67</v>
      </c>
      <c r="E173" s="311">
        <f>IFERROR(VLOOKUP(K169,'2026.01'!A:Y,18,0),0)</f>
        <v>0.8</v>
      </c>
      <c r="F173" s="309">
        <f>IFERROR(VLOOKUP(K169,'2026.01'!A:Y,20,0),0)</f>
        <v>54</v>
      </c>
      <c r="G173" s="310"/>
      <c r="K173" s="300"/>
    </row>
    <row r="174" ht="15" customHeight="1" spans="1:11">
      <c r="A174" s="307" t="s">
        <v>13</v>
      </c>
      <c r="B174" s="308"/>
      <c r="C174" s="308"/>
      <c r="D174" s="308"/>
      <c r="E174" s="311"/>
      <c r="F174" s="309">
        <f>IFERROR(VLOOKUP(K169,'2026.01'!A:Y,24,0),0)</f>
        <v>43</v>
      </c>
      <c r="G174" s="310"/>
      <c r="K174" s="300"/>
    </row>
    <row r="175" ht="15" customHeight="1" spans="1:11">
      <c r="A175" s="307" t="s">
        <v>14</v>
      </c>
      <c r="B175" s="308"/>
      <c r="C175" s="308"/>
      <c r="D175" s="308"/>
      <c r="E175" s="311"/>
      <c r="F175" s="309">
        <f>IFERROR(VLOOKUP(K169,'2026.01'!A:Y,12,0),0)</f>
        <v>160</v>
      </c>
      <c r="G175" s="310"/>
      <c r="K175" s="300"/>
    </row>
    <row r="176" ht="21" customHeight="1" spans="1:11">
      <c r="A176" s="307" t="s">
        <v>15</v>
      </c>
      <c r="B176" s="308"/>
      <c r="C176" s="308"/>
      <c r="D176" s="308"/>
      <c r="E176" s="311"/>
      <c r="F176" s="309">
        <f>IFERROR(VLOOKUP(K169,'2026.01'!A:Y,9,0),0)</f>
        <v>1200</v>
      </c>
      <c r="G176" s="310"/>
      <c r="K176" s="300"/>
    </row>
    <row r="177" ht="19" customHeight="1" spans="1:11">
      <c r="A177" s="307" t="s">
        <v>16</v>
      </c>
      <c r="B177" s="308"/>
      <c r="C177" s="308"/>
      <c r="D177" s="308"/>
      <c r="E177" s="308"/>
      <c r="F177" s="309">
        <f>IFERROR(VLOOKUP(K169,'2026.01'!A:Y,10,0),0)</f>
        <v>0</v>
      </c>
      <c r="G177" s="310"/>
      <c r="K177" s="300"/>
    </row>
    <row r="178" ht="21" customHeight="1" spans="1:11">
      <c r="A178" s="307" t="s">
        <v>17</v>
      </c>
      <c r="B178" s="308"/>
      <c r="C178" s="308"/>
      <c r="D178" s="308"/>
      <c r="E178" s="308"/>
      <c r="F178" s="309">
        <f>IFERROR(VLOOKUP(K169,'2026.01'!A:Y,19,0),0)</f>
        <v>47</v>
      </c>
      <c r="G178" s="310"/>
      <c r="K178" s="300"/>
    </row>
    <row r="179" ht="17.15" customHeight="1" spans="1:11">
      <c r="A179" s="307" t="s">
        <v>18</v>
      </c>
      <c r="B179" s="308"/>
      <c r="C179" s="308"/>
      <c r="D179" s="308"/>
      <c r="E179" s="308"/>
      <c r="F179" s="309">
        <f>IFERROR(VLOOKUP(K169,'2026.01'!A:Y,22,0),0)</f>
        <v>228</v>
      </c>
      <c r="G179" s="310"/>
      <c r="K179" s="300"/>
    </row>
    <row r="180" ht="17.15" customHeight="1" spans="1:11">
      <c r="A180" s="307" t="s">
        <v>19</v>
      </c>
      <c r="B180" s="312"/>
      <c r="C180" s="308"/>
      <c r="D180" s="313"/>
      <c r="E180" s="308"/>
      <c r="F180" s="309">
        <f>IFERROR(VLOOKUP(K169,'2026.01'!A:Y,25,0),0)</f>
        <v>1732</v>
      </c>
      <c r="G180" s="310"/>
      <c r="K180" s="300"/>
    </row>
    <row r="181" ht="15" customHeight="1" spans="1:11">
      <c r="A181" s="314" t="s">
        <v>20</v>
      </c>
      <c r="B181" s="315">
        <f>IF(F180&lt;0,"金额为负，无效",INT(F180))</f>
        <v>1732</v>
      </c>
      <c r="C181" s="315"/>
      <c r="D181" s="315"/>
      <c r="E181" s="316" t="s">
        <v>21</v>
      </c>
      <c r="F181" s="317"/>
      <c r="G181" s="318"/>
      <c r="K181" s="300"/>
    </row>
    <row r="182" ht="23" customHeight="1" spans="1:11">
      <c r="A182" s="319"/>
      <c r="B182" s="320"/>
      <c r="C182" s="320"/>
      <c r="D182" s="320"/>
      <c r="E182" s="319"/>
      <c r="F182" s="321"/>
      <c r="G182" s="322"/>
      <c r="K182" s="300"/>
    </row>
    <row r="183" ht="27" customHeight="1" spans="1:11">
      <c r="A183" s="298" t="s">
        <v>0</v>
      </c>
      <c r="B183" s="298"/>
      <c r="C183" s="298"/>
      <c r="D183" s="298"/>
      <c r="E183" s="298"/>
      <c r="F183" s="298"/>
      <c r="G183" s="298"/>
      <c r="H183" s="299"/>
      <c r="I183" s="299"/>
      <c r="J183" s="299"/>
      <c r="K183" s="300">
        <v>14</v>
      </c>
    </row>
    <row r="184" ht="15" customHeight="1" spans="1:11">
      <c r="A184" s="301" t="s">
        <v>1</v>
      </c>
      <c r="B184" s="301"/>
      <c r="C184" s="301"/>
      <c r="D184" s="301"/>
      <c r="E184" s="301"/>
      <c r="F184" s="301"/>
      <c r="G184" s="302" t="str">
        <f>IFERROR(VLOOKUP(K183,'2026.01'!A:Y,2,0),0)</f>
        <v>NO:014</v>
      </c>
      <c r="K184" s="300"/>
    </row>
    <row r="185" ht="15" customHeight="1" spans="1:11">
      <c r="A185" s="303" t="s">
        <v>2</v>
      </c>
      <c r="B185" s="304">
        <f>IFERROR(VLOOKUP(K183,'2026.01'!A:Y,6,0),0)</f>
        <v>1014</v>
      </c>
      <c r="C185" s="304"/>
      <c r="D185" s="305" t="s">
        <v>3</v>
      </c>
      <c r="E185" s="305" t="str">
        <f>IFERROR(VLOOKUP(K183,'2026.01'!A:Y,7,0),0)</f>
        <v>陈文彬</v>
      </c>
      <c r="F185" s="305"/>
      <c r="G185" s="306" t="s">
        <v>4</v>
      </c>
      <c r="K185" s="300"/>
    </row>
    <row r="186" ht="15" customHeight="1" spans="1:11">
      <c r="A186" s="307" t="s">
        <v>5</v>
      </c>
      <c r="B186" s="308" t="s">
        <v>6</v>
      </c>
      <c r="C186" s="308" t="s">
        <v>7</v>
      </c>
      <c r="D186" s="308" t="s">
        <v>8</v>
      </c>
      <c r="E186" s="308" t="s">
        <v>9</v>
      </c>
      <c r="F186" s="309" t="s">
        <v>10</v>
      </c>
      <c r="G186" s="310" t="s">
        <v>11</v>
      </c>
      <c r="K186" s="300"/>
    </row>
    <row r="187" ht="15" customHeight="1" spans="1:11">
      <c r="A187" s="307" t="s">
        <v>12</v>
      </c>
      <c r="B187" s="308">
        <f>IFERROR(VLOOKUP(K183,'2026.01'!A:Y,14,0),0)</f>
        <v>6102</v>
      </c>
      <c r="C187" s="308">
        <f>IFERROR(VLOOKUP(K183,'2026.01'!A:Y,13,0),0)</f>
        <v>5894</v>
      </c>
      <c r="D187" s="308">
        <f>IFERROR(VLOOKUP(K183,'2026.01'!A:Y,15,0),0)</f>
        <v>208</v>
      </c>
      <c r="E187" s="311">
        <f>IFERROR(VLOOKUP(K183,'2026.01'!A:Y,18,0),0)</f>
        <v>0.8</v>
      </c>
      <c r="F187" s="309">
        <f>IFERROR(VLOOKUP(K183,'2026.01'!A:Y,20,0),0)</f>
        <v>166</v>
      </c>
      <c r="G187" s="310"/>
      <c r="K187" s="300"/>
    </row>
    <row r="188" ht="15" customHeight="1" spans="1:11">
      <c r="A188" s="307" t="s">
        <v>13</v>
      </c>
      <c r="B188" s="308"/>
      <c r="C188" s="308"/>
      <c r="D188" s="308"/>
      <c r="E188" s="311"/>
      <c r="F188" s="309">
        <f>IFERROR(VLOOKUP(K183,'2026.01'!A:Y,24,0),0)</f>
        <v>43</v>
      </c>
      <c r="G188" s="310"/>
      <c r="K188" s="300"/>
    </row>
    <row r="189" ht="15" customHeight="1" spans="1:11">
      <c r="A189" s="307" t="s">
        <v>14</v>
      </c>
      <c r="B189" s="308"/>
      <c r="C189" s="308"/>
      <c r="D189" s="308"/>
      <c r="E189" s="311"/>
      <c r="F189" s="309">
        <f>IFERROR(VLOOKUP(K183,'2026.01'!A:Y,12,0),0)</f>
        <v>160</v>
      </c>
      <c r="G189" s="310"/>
      <c r="K189" s="300"/>
    </row>
    <row r="190" ht="21" customHeight="1" spans="1:11">
      <c r="A190" s="307" t="s">
        <v>15</v>
      </c>
      <c r="B190" s="308"/>
      <c r="C190" s="308"/>
      <c r="D190" s="308"/>
      <c r="E190" s="311"/>
      <c r="F190" s="309">
        <f>IFERROR(VLOOKUP(K183,'2026.01'!A:Y,9,0),0)</f>
        <v>1500</v>
      </c>
      <c r="G190" s="310"/>
      <c r="K190" s="300"/>
    </row>
    <row r="191" ht="19" customHeight="1" spans="1:11">
      <c r="A191" s="307" t="s">
        <v>16</v>
      </c>
      <c r="B191" s="308"/>
      <c r="C191" s="308"/>
      <c r="D191" s="308"/>
      <c r="E191" s="308"/>
      <c r="F191" s="309">
        <f>IFERROR(VLOOKUP(K183,'2026.01'!A:Y,10,0),0)</f>
        <v>0</v>
      </c>
      <c r="G191" s="310"/>
      <c r="K191" s="300"/>
    </row>
    <row r="192" ht="21" customHeight="1" spans="1:11">
      <c r="A192" s="307" t="s">
        <v>17</v>
      </c>
      <c r="B192" s="308"/>
      <c r="C192" s="308"/>
      <c r="D192" s="308"/>
      <c r="E192" s="308"/>
      <c r="F192" s="309">
        <f>IFERROR(VLOOKUP(K183,'2026.01'!A:Y,19,0),0)</f>
        <v>146</v>
      </c>
      <c r="G192" s="310"/>
      <c r="K192" s="300"/>
    </row>
    <row r="193" ht="17.15" customHeight="1" spans="1:11">
      <c r="A193" s="307" t="s">
        <v>18</v>
      </c>
      <c r="B193" s="308"/>
      <c r="C193" s="308"/>
      <c r="D193" s="308"/>
      <c r="E193" s="308"/>
      <c r="F193" s="309">
        <f>IFERROR(VLOOKUP(K183,'2026.01'!A:Y,22,0),0)</f>
        <v>228</v>
      </c>
      <c r="G193" s="310"/>
      <c r="K193" s="300"/>
    </row>
    <row r="194" ht="17.15" customHeight="1" spans="1:11">
      <c r="A194" s="307" t="s">
        <v>19</v>
      </c>
      <c r="B194" s="312"/>
      <c r="C194" s="308"/>
      <c r="D194" s="313"/>
      <c r="E194" s="308"/>
      <c r="F194" s="309">
        <f>IFERROR(VLOOKUP(K183,'2026.01'!A:Y,25,0),0)</f>
        <v>2243</v>
      </c>
      <c r="G194" s="310"/>
      <c r="K194" s="300"/>
    </row>
    <row r="195" ht="15" customHeight="1" spans="1:11">
      <c r="A195" s="314" t="s">
        <v>20</v>
      </c>
      <c r="B195" s="315">
        <f>IF(F194&lt;0,"金额为负，无效",INT(F194))</f>
        <v>2243</v>
      </c>
      <c r="C195" s="315"/>
      <c r="D195" s="315"/>
      <c r="E195" s="316" t="s">
        <v>21</v>
      </c>
      <c r="F195" s="317"/>
      <c r="G195" s="318"/>
      <c r="K195" s="300"/>
    </row>
    <row r="196" ht="23" customHeight="1" spans="1:11">
      <c r="A196" s="319"/>
      <c r="B196" s="320"/>
      <c r="C196" s="320"/>
      <c r="D196" s="320"/>
      <c r="E196" s="319"/>
      <c r="F196" s="321"/>
      <c r="G196" s="322"/>
      <c r="K196" s="300"/>
    </row>
    <row r="197" ht="27" customHeight="1" spans="1:11">
      <c r="A197" s="298" t="s">
        <v>0</v>
      </c>
      <c r="B197" s="298"/>
      <c r="C197" s="298"/>
      <c r="D197" s="298"/>
      <c r="E197" s="298"/>
      <c r="F197" s="298"/>
      <c r="G197" s="298"/>
      <c r="H197" s="299"/>
      <c r="I197" s="299"/>
      <c r="J197" s="299"/>
      <c r="K197" s="300">
        <v>15</v>
      </c>
    </row>
    <row r="198" ht="15" customHeight="1" spans="1:11">
      <c r="A198" s="301" t="s">
        <v>1</v>
      </c>
      <c r="B198" s="301"/>
      <c r="C198" s="301"/>
      <c r="D198" s="301"/>
      <c r="E198" s="301"/>
      <c r="F198" s="301"/>
      <c r="G198" s="302" t="str">
        <f>IFERROR(VLOOKUP(K197,'2026.01'!A:Y,2,0),0)</f>
        <v>NO:015</v>
      </c>
      <c r="K198" s="300"/>
    </row>
    <row r="199" ht="15" customHeight="1" spans="1:11">
      <c r="A199" s="303" t="s">
        <v>2</v>
      </c>
      <c r="B199" s="304">
        <f>IFERROR(VLOOKUP(K197,'2026.01'!A:Y,6,0),0)</f>
        <v>1015</v>
      </c>
      <c r="C199" s="304"/>
      <c r="D199" s="305" t="s">
        <v>3</v>
      </c>
      <c r="E199" s="305" t="str">
        <f>IFERROR(VLOOKUP(K197,'2026.01'!A:Y,7,0),0)</f>
        <v>张平君</v>
      </c>
      <c r="F199" s="305"/>
      <c r="G199" s="306" t="s">
        <v>4</v>
      </c>
      <c r="K199" s="300"/>
    </row>
    <row r="200" ht="15" customHeight="1" spans="1:11">
      <c r="A200" s="307" t="s">
        <v>5</v>
      </c>
      <c r="B200" s="308" t="s">
        <v>6</v>
      </c>
      <c r="C200" s="308" t="s">
        <v>7</v>
      </c>
      <c r="D200" s="308" t="s">
        <v>8</v>
      </c>
      <c r="E200" s="308" t="s">
        <v>9</v>
      </c>
      <c r="F200" s="309" t="s">
        <v>10</v>
      </c>
      <c r="G200" s="310" t="s">
        <v>11</v>
      </c>
      <c r="K200" s="300"/>
    </row>
    <row r="201" ht="15" customHeight="1" spans="1:11">
      <c r="A201" s="307" t="s">
        <v>12</v>
      </c>
      <c r="B201" s="308">
        <f>IFERROR(VLOOKUP(K197,'2026.01'!A:Y,14,0),0)</f>
        <v>5506</v>
      </c>
      <c r="C201" s="308">
        <f>IFERROR(VLOOKUP(K197,'2026.01'!A:Y,13,0),0)</f>
        <v>5484</v>
      </c>
      <c r="D201" s="308">
        <f>IFERROR(VLOOKUP(K197,'2026.01'!A:Y,15,0),0)</f>
        <v>22</v>
      </c>
      <c r="E201" s="311">
        <f>IFERROR(VLOOKUP(K197,'2026.01'!A:Y,18,0),0)</f>
        <v>0.8</v>
      </c>
      <c r="F201" s="309">
        <f>IFERROR(VLOOKUP(K197,'2026.01'!A:Y,20,0),0)</f>
        <v>18</v>
      </c>
      <c r="G201" s="310"/>
      <c r="K201" s="300"/>
    </row>
    <row r="202" ht="15" customHeight="1" spans="1:11">
      <c r="A202" s="307" t="s">
        <v>13</v>
      </c>
      <c r="B202" s="308"/>
      <c r="C202" s="308"/>
      <c r="D202" s="308"/>
      <c r="E202" s="311"/>
      <c r="F202" s="309">
        <f>IFERROR(VLOOKUP(K197,'2026.01'!A:Y,24,0),0)</f>
        <v>43</v>
      </c>
      <c r="G202" s="310"/>
      <c r="K202" s="300"/>
    </row>
    <row r="203" ht="15" customHeight="1" spans="1:11">
      <c r="A203" s="307" t="s">
        <v>14</v>
      </c>
      <c r="B203" s="308"/>
      <c r="C203" s="308"/>
      <c r="D203" s="308"/>
      <c r="E203" s="311"/>
      <c r="F203" s="309">
        <f>IFERROR(VLOOKUP(K197,'2026.01'!A:Y,12,0),0)</f>
        <v>160</v>
      </c>
      <c r="G203" s="310"/>
      <c r="K203" s="300"/>
    </row>
    <row r="204" ht="21" customHeight="1" spans="1:11">
      <c r="A204" s="307" t="s">
        <v>15</v>
      </c>
      <c r="B204" s="308"/>
      <c r="C204" s="308"/>
      <c r="D204" s="308"/>
      <c r="E204" s="311"/>
      <c r="F204" s="309">
        <f>IFERROR(VLOOKUP(K197,'2026.01'!A:Y,9,0),0)</f>
        <v>1200</v>
      </c>
      <c r="G204" s="310"/>
      <c r="K204" s="300"/>
    </row>
    <row r="205" ht="19" customHeight="1" spans="1:11">
      <c r="A205" s="307" t="s">
        <v>16</v>
      </c>
      <c r="B205" s="308"/>
      <c r="C205" s="308"/>
      <c r="D205" s="308"/>
      <c r="E205" s="308"/>
      <c r="F205" s="309">
        <f>IFERROR(VLOOKUP(K197,'2026.01'!A:Y,10,0),0)</f>
        <v>0</v>
      </c>
      <c r="G205" s="310"/>
      <c r="K205" s="300"/>
    </row>
    <row r="206" ht="21" customHeight="1" spans="1:11">
      <c r="A206" s="307" t="s">
        <v>17</v>
      </c>
      <c r="B206" s="308"/>
      <c r="C206" s="308"/>
      <c r="D206" s="308"/>
      <c r="E206" s="308"/>
      <c r="F206" s="309">
        <f>IFERROR(VLOOKUP(K197,'2026.01'!A:Y,19,0),0)</f>
        <v>15</v>
      </c>
      <c r="G206" s="310"/>
      <c r="K206" s="300"/>
    </row>
    <row r="207" ht="17.15" customHeight="1" spans="1:11">
      <c r="A207" s="307" t="s">
        <v>18</v>
      </c>
      <c r="B207" s="308"/>
      <c r="C207" s="308"/>
      <c r="D207" s="308"/>
      <c r="E207" s="308"/>
      <c r="F207" s="309">
        <f>IFERROR(VLOOKUP(K197,'2026.01'!A:Y,22,0),0)</f>
        <v>228</v>
      </c>
      <c r="G207" s="310"/>
      <c r="K207" s="300"/>
    </row>
    <row r="208" ht="17.15" customHeight="1" spans="1:11">
      <c r="A208" s="307" t="s">
        <v>19</v>
      </c>
      <c r="B208" s="312"/>
      <c r="C208" s="308"/>
      <c r="D208" s="313"/>
      <c r="E208" s="308"/>
      <c r="F208" s="309">
        <f>IFERROR(VLOOKUP(K197,'2026.01'!A:Y,25,0),0)</f>
        <v>1664</v>
      </c>
      <c r="G208" s="310"/>
      <c r="K208" s="300"/>
    </row>
    <row r="209" ht="15" customHeight="1" spans="1:11">
      <c r="A209" s="314" t="s">
        <v>20</v>
      </c>
      <c r="B209" s="315">
        <f>IF(F208&lt;0,"金额为负，无效",INT(F208))</f>
        <v>1664</v>
      </c>
      <c r="C209" s="315"/>
      <c r="D209" s="315"/>
      <c r="E209" s="316" t="s">
        <v>21</v>
      </c>
      <c r="F209" s="317"/>
      <c r="G209" s="318"/>
      <c r="K209" s="300"/>
    </row>
    <row r="210" ht="15" customHeight="1" spans="1:11">
      <c r="A210" s="319"/>
      <c r="B210" s="320"/>
      <c r="C210" s="320"/>
      <c r="D210" s="320"/>
      <c r="E210" s="319"/>
      <c r="F210" s="321"/>
      <c r="G210" s="322"/>
      <c r="K210" s="300"/>
    </row>
    <row r="211" ht="27" customHeight="1" spans="1:11">
      <c r="A211" s="298" t="s">
        <v>0</v>
      </c>
      <c r="B211" s="298"/>
      <c r="C211" s="298"/>
      <c r="D211" s="298"/>
      <c r="E211" s="298"/>
      <c r="F211" s="298"/>
      <c r="G211" s="298"/>
      <c r="H211" s="299"/>
      <c r="I211" s="299"/>
      <c r="J211" s="299"/>
      <c r="K211" s="300">
        <v>16</v>
      </c>
    </row>
    <row r="212" ht="15" customHeight="1" spans="1:11">
      <c r="A212" s="301" t="s">
        <v>1</v>
      </c>
      <c r="B212" s="301"/>
      <c r="C212" s="301"/>
      <c r="D212" s="301"/>
      <c r="E212" s="301"/>
      <c r="F212" s="301"/>
      <c r="G212" s="302" t="str">
        <f>IFERROR(VLOOKUP(K211,'2026.01'!A:Y,2,0),0)</f>
        <v>NO:016</v>
      </c>
      <c r="K212" s="300"/>
    </row>
    <row r="213" ht="15" customHeight="1" spans="1:11">
      <c r="A213" s="303" t="s">
        <v>2</v>
      </c>
      <c r="B213" s="304" t="str">
        <f>IFERROR(VLOOKUP(K211,'2026.01'!A:Y,6,0),0)</f>
        <v>1016/1017</v>
      </c>
      <c r="C213" s="304"/>
      <c r="D213" s="305" t="s">
        <v>3</v>
      </c>
      <c r="E213" s="305" t="str">
        <f>IFERROR(VLOOKUP(K211,'2026.01'!A:Y,7,0),0)</f>
        <v>卢汉总</v>
      </c>
      <c r="F213" s="305"/>
      <c r="G213" s="306" t="s">
        <v>4</v>
      </c>
      <c r="K213" s="300"/>
    </row>
    <row r="214" ht="15" customHeight="1" spans="1:11">
      <c r="A214" s="307" t="s">
        <v>5</v>
      </c>
      <c r="B214" s="308" t="s">
        <v>6</v>
      </c>
      <c r="C214" s="308" t="s">
        <v>7</v>
      </c>
      <c r="D214" s="308" t="s">
        <v>8</v>
      </c>
      <c r="E214" s="308" t="s">
        <v>9</v>
      </c>
      <c r="F214" s="309" t="s">
        <v>10</v>
      </c>
      <c r="G214" s="310" t="s">
        <v>11</v>
      </c>
      <c r="K214" s="300"/>
    </row>
    <row r="215" ht="15" customHeight="1" spans="1:11">
      <c r="A215" s="307" t="s">
        <v>12</v>
      </c>
      <c r="B215" s="308">
        <f>IFERROR(VLOOKUP(K211,'2026.01'!A:Y,14,0),0)</f>
        <v>7112</v>
      </c>
      <c r="C215" s="308">
        <f>IFERROR(VLOOKUP(K211,'2026.01'!A:Y,13,0),0)</f>
        <v>7027</v>
      </c>
      <c r="D215" s="308">
        <f>IFERROR(VLOOKUP(K211,'2026.01'!A:Y,15,0),0)</f>
        <v>85</v>
      </c>
      <c r="E215" s="311">
        <f>IFERROR(VLOOKUP(K211,'2026.01'!A:Y,18,0),0)</f>
        <v>0.8</v>
      </c>
      <c r="F215" s="309">
        <f>IFERROR(VLOOKUP(K211,'2026.01'!A:Y,20,0),0)</f>
        <v>68</v>
      </c>
      <c r="G215" s="310"/>
      <c r="K215" s="300"/>
    </row>
    <row r="216" ht="15" customHeight="1" spans="1:11">
      <c r="A216" s="307" t="s">
        <v>13</v>
      </c>
      <c r="B216" s="308"/>
      <c r="C216" s="308"/>
      <c r="D216" s="308"/>
      <c r="E216" s="311"/>
      <c r="F216" s="309">
        <f>IFERROR(VLOOKUP(K211,'2026.01'!A:Y,24,0),0)</f>
        <v>94</v>
      </c>
      <c r="G216" s="310"/>
      <c r="K216" s="300"/>
    </row>
    <row r="217" ht="15" customHeight="1" spans="1:11">
      <c r="A217" s="307" t="s">
        <v>14</v>
      </c>
      <c r="B217" s="308"/>
      <c r="C217" s="308"/>
      <c r="D217" s="308"/>
      <c r="E217" s="311"/>
      <c r="F217" s="309">
        <f>IFERROR(VLOOKUP(K211,'2026.01'!A:Y,12,0),0)</f>
        <v>320</v>
      </c>
      <c r="G217" s="310"/>
      <c r="K217" s="300"/>
    </row>
    <row r="218" ht="21" customHeight="1" spans="1:11">
      <c r="A218" s="307" t="s">
        <v>15</v>
      </c>
      <c r="B218" s="308"/>
      <c r="C218" s="308"/>
      <c r="D218" s="308"/>
      <c r="E218" s="311"/>
      <c r="F218" s="309">
        <f>IFERROR(VLOOKUP(K211,'2026.01'!A:Y,9,0),0)</f>
        <v>2800</v>
      </c>
      <c r="G218" s="310"/>
      <c r="K218" s="300"/>
    </row>
    <row r="219" ht="19" customHeight="1" spans="1:11">
      <c r="A219" s="307" t="s">
        <v>16</v>
      </c>
      <c r="B219" s="308"/>
      <c r="C219" s="308"/>
      <c r="D219" s="308"/>
      <c r="E219" s="308"/>
      <c r="F219" s="309">
        <f>IFERROR(VLOOKUP(K211,'2026.01'!A:Y,10,0),0)</f>
        <v>200</v>
      </c>
      <c r="G219" s="310"/>
      <c r="K219" s="300"/>
    </row>
    <row r="220" ht="21" customHeight="1" spans="1:11">
      <c r="A220" s="307" t="s">
        <v>17</v>
      </c>
      <c r="B220" s="308"/>
      <c r="C220" s="308"/>
      <c r="D220" s="308"/>
      <c r="E220" s="308"/>
      <c r="F220" s="309">
        <f>IFERROR(VLOOKUP(K211,'2026.01'!A:Y,19,0),0)</f>
        <v>60</v>
      </c>
      <c r="G220" s="310"/>
      <c r="K220" s="300"/>
    </row>
    <row r="221" ht="17.15" customHeight="1" spans="1:11">
      <c r="A221" s="307" t="s">
        <v>18</v>
      </c>
      <c r="B221" s="308"/>
      <c r="C221" s="308"/>
      <c r="D221" s="308"/>
      <c r="E221" s="308"/>
      <c r="F221" s="309">
        <f>IFERROR(VLOOKUP(K211,'2026.01'!A:Y,22,0),0)</f>
        <v>459</v>
      </c>
      <c r="G221" s="310"/>
      <c r="K221" s="300"/>
    </row>
    <row r="222" ht="17.15" customHeight="1" spans="1:11">
      <c r="A222" s="307" t="s">
        <v>19</v>
      </c>
      <c r="B222" s="312"/>
      <c r="C222" s="308"/>
      <c r="D222" s="313"/>
      <c r="E222" s="308"/>
      <c r="F222" s="309">
        <f>IFERROR(VLOOKUP(K211,'2026.01'!A:Y,25,0),0)</f>
        <v>4001</v>
      </c>
      <c r="G222" s="310"/>
      <c r="K222" s="300"/>
    </row>
    <row r="223" ht="15" customHeight="1" spans="1:11">
      <c r="A223" s="314" t="s">
        <v>20</v>
      </c>
      <c r="B223" s="315">
        <f>IF(F222&lt;0,"金额为负，无效",INT(F222))</f>
        <v>4001</v>
      </c>
      <c r="C223" s="315"/>
      <c r="D223" s="315"/>
      <c r="E223" s="316" t="s">
        <v>21</v>
      </c>
      <c r="F223" s="317"/>
      <c r="G223" s="318"/>
      <c r="K223" s="300"/>
    </row>
    <row r="224" ht="23" customHeight="1" spans="1:11">
      <c r="A224" s="319"/>
      <c r="B224" s="320"/>
      <c r="C224" s="320"/>
      <c r="D224" s="320"/>
      <c r="E224" s="319"/>
      <c r="F224" s="321"/>
      <c r="G224" s="322"/>
      <c r="K224" s="300"/>
    </row>
    <row r="225" ht="27" customHeight="1" spans="1:11">
      <c r="A225" s="298" t="s">
        <v>0</v>
      </c>
      <c r="B225" s="298"/>
      <c r="C225" s="298"/>
      <c r="D225" s="298"/>
      <c r="E225" s="298"/>
      <c r="F225" s="298"/>
      <c r="G225" s="298"/>
      <c r="H225" s="299"/>
      <c r="I225" s="299"/>
      <c r="J225" s="299"/>
      <c r="K225" s="300">
        <v>17</v>
      </c>
    </row>
    <row r="226" ht="15" customHeight="1" spans="1:11">
      <c r="A226" s="301" t="s">
        <v>1</v>
      </c>
      <c r="B226" s="301"/>
      <c r="C226" s="301"/>
      <c r="D226" s="301"/>
      <c r="E226" s="301"/>
      <c r="F226" s="301"/>
      <c r="G226" s="302" t="str">
        <f>IFERROR(VLOOKUP(K225,'2026.01'!A:Y,2,0),0)</f>
        <v>NO:017</v>
      </c>
      <c r="K226" s="300"/>
    </row>
    <row r="227" ht="15" customHeight="1" spans="1:11">
      <c r="A227" s="303" t="s">
        <v>2</v>
      </c>
      <c r="B227" s="304">
        <f>IFERROR(VLOOKUP(K225,'2026.01'!A:Y,6,0),0)</f>
        <v>1018</v>
      </c>
      <c r="C227" s="304"/>
      <c r="D227" s="305" t="s">
        <v>3</v>
      </c>
      <c r="E227" s="305" t="str">
        <f>IFERROR(VLOOKUP(K225,'2026.01'!A:Y,7,0),0)</f>
        <v>白成滔</v>
      </c>
      <c r="F227" s="305"/>
      <c r="G227" s="306" t="s">
        <v>4</v>
      </c>
      <c r="K227" s="300"/>
    </row>
    <row r="228" ht="15" customHeight="1" spans="1:11">
      <c r="A228" s="307" t="s">
        <v>5</v>
      </c>
      <c r="B228" s="308" t="s">
        <v>6</v>
      </c>
      <c r="C228" s="308" t="s">
        <v>7</v>
      </c>
      <c r="D228" s="308" t="s">
        <v>8</v>
      </c>
      <c r="E228" s="308" t="s">
        <v>9</v>
      </c>
      <c r="F228" s="309" t="s">
        <v>10</v>
      </c>
      <c r="G228" s="310" t="s">
        <v>11</v>
      </c>
      <c r="K228" s="300"/>
    </row>
    <row r="229" ht="15" customHeight="1" spans="1:11">
      <c r="A229" s="307" t="s">
        <v>12</v>
      </c>
      <c r="B229" s="308">
        <f>IFERROR(VLOOKUP(K225,'2026.01'!A:Y,14,0),0)</f>
        <v>4239</v>
      </c>
      <c r="C229" s="308">
        <f>IFERROR(VLOOKUP(K225,'2026.01'!A:Y,13,0),0)</f>
        <v>4204</v>
      </c>
      <c r="D229" s="308">
        <f>IFERROR(VLOOKUP(K225,'2026.01'!A:Y,15,0),0)</f>
        <v>35</v>
      </c>
      <c r="E229" s="311">
        <f>IFERROR(VLOOKUP(K225,'2026.01'!A:Y,18,0),0)</f>
        <v>0.8</v>
      </c>
      <c r="F229" s="309">
        <f>IFERROR(VLOOKUP(K225,'2026.01'!A:Y,20,0),0)</f>
        <v>28</v>
      </c>
      <c r="G229" s="310"/>
      <c r="K229" s="300"/>
    </row>
    <row r="230" ht="15" customHeight="1" spans="1:11">
      <c r="A230" s="307" t="s">
        <v>13</v>
      </c>
      <c r="B230" s="308"/>
      <c r="C230" s="308"/>
      <c r="D230" s="308"/>
      <c r="E230" s="311"/>
      <c r="F230" s="309">
        <f>IFERROR(VLOOKUP(K225,'2026.01'!A:Y,24,0),0)</f>
        <v>51</v>
      </c>
      <c r="G230" s="310"/>
      <c r="K230" s="300"/>
    </row>
    <row r="231" ht="15" customHeight="1" spans="1:11">
      <c r="A231" s="307" t="s">
        <v>14</v>
      </c>
      <c r="B231" s="308"/>
      <c r="C231" s="308"/>
      <c r="D231" s="308"/>
      <c r="E231" s="311"/>
      <c r="F231" s="309">
        <f>IFERROR(VLOOKUP(K225,'2026.01'!A:Y,12,0),0)</f>
        <v>160</v>
      </c>
      <c r="G231" s="310"/>
      <c r="K231" s="300"/>
    </row>
    <row r="232" ht="21" customHeight="1" spans="1:11">
      <c r="A232" s="307" t="s">
        <v>15</v>
      </c>
      <c r="B232" s="308"/>
      <c r="C232" s="308"/>
      <c r="D232" s="308"/>
      <c r="E232" s="311"/>
      <c r="F232" s="309">
        <f>IFERROR(VLOOKUP(K225,'2026.01'!A:Y,9,0),0)</f>
        <v>2000</v>
      </c>
      <c r="G232" s="310"/>
      <c r="K232" s="300"/>
    </row>
    <row r="233" ht="19" customHeight="1" spans="1:11">
      <c r="A233" s="307" t="s">
        <v>16</v>
      </c>
      <c r="B233" s="308"/>
      <c r="C233" s="308"/>
      <c r="D233" s="308"/>
      <c r="E233" s="308"/>
      <c r="F233" s="309">
        <f>IFERROR(VLOOKUP(K225,'2026.01'!A:Y,10,0),0)</f>
        <v>0</v>
      </c>
      <c r="G233" s="310"/>
      <c r="K233" s="300"/>
    </row>
    <row r="234" ht="21" customHeight="1" spans="1:11">
      <c r="A234" s="307" t="s">
        <v>17</v>
      </c>
      <c r="B234" s="308"/>
      <c r="C234" s="308"/>
      <c r="D234" s="308"/>
      <c r="E234" s="308"/>
      <c r="F234" s="309">
        <f>IFERROR(VLOOKUP(K225,'2026.01'!A:Y,19,0),0)</f>
        <v>25</v>
      </c>
      <c r="G234" s="310"/>
      <c r="K234" s="300"/>
    </row>
    <row r="235" ht="17.15" customHeight="1" spans="1:11">
      <c r="A235" s="307" t="s">
        <v>18</v>
      </c>
      <c r="B235" s="308"/>
      <c r="C235" s="308"/>
      <c r="D235" s="308"/>
      <c r="E235" s="308"/>
      <c r="F235" s="309">
        <f>IFERROR(VLOOKUP(K225,'2026.01'!A:Y,22,0),0)</f>
        <v>231</v>
      </c>
      <c r="G235" s="310"/>
      <c r="K235" s="300"/>
    </row>
    <row r="236" ht="17.15" customHeight="1" spans="1:11">
      <c r="A236" s="307" t="s">
        <v>19</v>
      </c>
      <c r="B236" s="312"/>
      <c r="C236" s="308"/>
      <c r="D236" s="313"/>
      <c r="E236" s="308"/>
      <c r="F236" s="309">
        <f>IFERROR(VLOOKUP(K225,'2026.01'!A:Y,25,0),0)</f>
        <v>2495</v>
      </c>
      <c r="G236" s="310"/>
      <c r="K236" s="300"/>
    </row>
    <row r="237" ht="15" customHeight="1" spans="1:11">
      <c r="A237" s="314" t="s">
        <v>20</v>
      </c>
      <c r="B237" s="315">
        <f>IF(F236&lt;0,"金额为负，无效",INT(F236))</f>
        <v>2495</v>
      </c>
      <c r="C237" s="315"/>
      <c r="D237" s="315"/>
      <c r="E237" s="316" t="s">
        <v>21</v>
      </c>
      <c r="F237" s="317"/>
      <c r="G237" s="318"/>
      <c r="K237" s="300"/>
    </row>
    <row r="238" ht="23" customHeight="1" spans="1:11">
      <c r="A238" s="319"/>
      <c r="B238" s="320"/>
      <c r="C238" s="320"/>
      <c r="D238" s="320"/>
      <c r="E238" s="319"/>
      <c r="F238" s="321"/>
      <c r="G238" s="322"/>
      <c r="K238" s="300"/>
    </row>
    <row r="239" ht="27" customHeight="1" spans="1:11">
      <c r="A239" s="298" t="s">
        <v>0</v>
      </c>
      <c r="B239" s="298"/>
      <c r="C239" s="298"/>
      <c r="D239" s="298"/>
      <c r="E239" s="298"/>
      <c r="F239" s="298"/>
      <c r="G239" s="298"/>
      <c r="H239" s="299"/>
      <c r="I239" s="299"/>
      <c r="J239" s="299"/>
      <c r="K239" s="300">
        <v>18</v>
      </c>
    </row>
    <row r="240" ht="15" customHeight="1" spans="1:11">
      <c r="A240" s="301" t="s">
        <v>1</v>
      </c>
      <c r="B240" s="301"/>
      <c r="C240" s="301"/>
      <c r="D240" s="301"/>
      <c r="E240" s="301"/>
      <c r="F240" s="301"/>
      <c r="G240" s="302" t="str">
        <f>IFERROR(VLOOKUP(K239,'2026.01'!A:Y,2,0),0)</f>
        <v>NO:018</v>
      </c>
      <c r="K240" s="300"/>
    </row>
    <row r="241" ht="15" customHeight="1" spans="1:11">
      <c r="A241" s="303" t="s">
        <v>2</v>
      </c>
      <c r="B241" s="304">
        <f>IFERROR(VLOOKUP(K239,'2026.01'!A:Y,6,0),0)</f>
        <v>1019</v>
      </c>
      <c r="C241" s="304"/>
      <c r="D241" s="305" t="s">
        <v>3</v>
      </c>
      <c r="E241" s="305" t="str">
        <f>IFERROR(VLOOKUP(K239,'2026.01'!A:Y,7,0),0)</f>
        <v>王长梅</v>
      </c>
      <c r="F241" s="305"/>
      <c r="G241" s="306" t="s">
        <v>4</v>
      </c>
      <c r="K241" s="300"/>
    </row>
    <row r="242" ht="15" customHeight="1" spans="1:11">
      <c r="A242" s="307" t="s">
        <v>5</v>
      </c>
      <c r="B242" s="308" t="s">
        <v>6</v>
      </c>
      <c r="C242" s="308" t="s">
        <v>7</v>
      </c>
      <c r="D242" s="308" t="s">
        <v>8</v>
      </c>
      <c r="E242" s="308" t="s">
        <v>9</v>
      </c>
      <c r="F242" s="309" t="s">
        <v>10</v>
      </c>
      <c r="G242" s="310" t="s">
        <v>11</v>
      </c>
      <c r="K242" s="300"/>
    </row>
    <row r="243" ht="15" customHeight="1" spans="1:11">
      <c r="A243" s="307" t="s">
        <v>12</v>
      </c>
      <c r="B243" s="308">
        <f>IFERROR(VLOOKUP(K239,'2026.01'!A:Y,14,0),0)</f>
        <v>1634</v>
      </c>
      <c r="C243" s="308">
        <f>IFERROR(VLOOKUP(K239,'2026.01'!A:Y,13,0),0)</f>
        <v>1623</v>
      </c>
      <c r="D243" s="308">
        <f>IFERROR(VLOOKUP(K239,'2026.01'!A:Y,15,0),0)</f>
        <v>11</v>
      </c>
      <c r="E243" s="311">
        <f>IFERROR(VLOOKUP(K239,'2026.01'!A:Y,18,0),0)</f>
        <v>0.8</v>
      </c>
      <c r="F243" s="309">
        <f>IFERROR(VLOOKUP(K239,'2026.01'!A:Y,20,0),0)</f>
        <v>9</v>
      </c>
      <c r="G243" s="310"/>
      <c r="K243" s="300"/>
    </row>
    <row r="244" ht="15" customHeight="1" spans="1:11">
      <c r="A244" s="307" t="s">
        <v>13</v>
      </c>
      <c r="B244" s="308"/>
      <c r="C244" s="308"/>
      <c r="D244" s="308"/>
      <c r="E244" s="311"/>
      <c r="F244" s="309">
        <f>IFERROR(VLOOKUP(K239,'2026.01'!A:Y,24,0),0)</f>
        <v>43</v>
      </c>
      <c r="G244" s="310"/>
      <c r="K244" s="300"/>
    </row>
    <row r="245" ht="15" customHeight="1" spans="1:11">
      <c r="A245" s="307" t="s">
        <v>14</v>
      </c>
      <c r="B245" s="308"/>
      <c r="C245" s="308"/>
      <c r="D245" s="308"/>
      <c r="E245" s="311"/>
      <c r="F245" s="309">
        <f>IFERROR(VLOOKUP(K239,'2026.01'!A:Y,12,0),0)</f>
        <v>160</v>
      </c>
      <c r="G245" s="310"/>
      <c r="K245" s="300"/>
    </row>
    <row r="246" ht="21" customHeight="1" spans="1:11">
      <c r="A246" s="307" t="s">
        <v>15</v>
      </c>
      <c r="B246" s="308"/>
      <c r="C246" s="308"/>
      <c r="D246" s="308"/>
      <c r="E246" s="311"/>
      <c r="F246" s="309">
        <f>IFERROR(VLOOKUP(K239,'2026.01'!A:Y,9,0),0)</f>
        <v>1200</v>
      </c>
      <c r="G246" s="310"/>
      <c r="K246" s="300"/>
    </row>
    <row r="247" ht="19" customHeight="1" spans="1:11">
      <c r="A247" s="307" t="s">
        <v>16</v>
      </c>
      <c r="B247" s="308"/>
      <c r="C247" s="308"/>
      <c r="D247" s="308"/>
      <c r="E247" s="308"/>
      <c r="F247" s="309">
        <f>IFERROR(VLOOKUP(K239,'2026.01'!A:Y,10,0),0)</f>
        <v>0</v>
      </c>
      <c r="G247" s="310"/>
      <c r="K247" s="300"/>
    </row>
    <row r="248" ht="21" customHeight="1" spans="1:11">
      <c r="A248" s="307" t="s">
        <v>17</v>
      </c>
      <c r="B248" s="308"/>
      <c r="C248" s="308"/>
      <c r="D248" s="308"/>
      <c r="E248" s="308"/>
      <c r="F248" s="309">
        <f>IFERROR(VLOOKUP(K239,'2026.01'!A:Y,19,0),0)</f>
        <v>8</v>
      </c>
      <c r="G248" s="310"/>
      <c r="K248" s="300"/>
    </row>
    <row r="249" ht="17.15" customHeight="1" spans="1:11">
      <c r="A249" s="307" t="s">
        <v>18</v>
      </c>
      <c r="B249" s="308"/>
      <c r="C249" s="308"/>
      <c r="D249" s="308"/>
      <c r="E249" s="308"/>
      <c r="F249" s="309">
        <f>IFERROR(VLOOKUP(K239,'2026.01'!A:Y,22,0),0)</f>
        <v>228</v>
      </c>
      <c r="G249" s="310"/>
      <c r="K249" s="300"/>
    </row>
    <row r="250" ht="17.15" customHeight="1" spans="1:11">
      <c r="A250" s="307" t="s">
        <v>19</v>
      </c>
      <c r="B250" s="312"/>
      <c r="C250" s="308"/>
      <c r="D250" s="313"/>
      <c r="E250" s="308"/>
      <c r="F250" s="309">
        <f>IFERROR(VLOOKUP(K239,'2026.01'!A:Y,25,0),0)</f>
        <v>1648</v>
      </c>
      <c r="G250" s="310"/>
      <c r="K250" s="300"/>
    </row>
    <row r="251" ht="15" customHeight="1" spans="1:11">
      <c r="A251" s="314" t="s">
        <v>20</v>
      </c>
      <c r="B251" s="315">
        <f>IF(F250&lt;0,"金额为负，无效",INT(F250))</f>
        <v>1648</v>
      </c>
      <c r="C251" s="315"/>
      <c r="D251" s="315"/>
      <c r="E251" s="316" t="s">
        <v>21</v>
      </c>
      <c r="F251" s="317"/>
      <c r="G251" s="318"/>
      <c r="K251" s="300"/>
    </row>
    <row r="252" ht="15" customHeight="1" spans="1:11">
      <c r="A252" s="319"/>
      <c r="B252" s="320"/>
      <c r="C252" s="320"/>
      <c r="D252" s="320"/>
      <c r="E252" s="319"/>
      <c r="F252" s="321"/>
      <c r="G252" s="322"/>
      <c r="K252" s="300"/>
    </row>
    <row r="253" ht="27" customHeight="1" spans="1:11">
      <c r="A253" s="298" t="s">
        <v>0</v>
      </c>
      <c r="B253" s="298"/>
      <c r="C253" s="298"/>
      <c r="D253" s="298"/>
      <c r="E253" s="298"/>
      <c r="F253" s="298"/>
      <c r="G253" s="298"/>
      <c r="H253" s="299"/>
      <c r="I253" s="299"/>
      <c r="J253" s="299"/>
      <c r="K253" s="300">
        <v>19</v>
      </c>
    </row>
    <row r="254" ht="15" customHeight="1" spans="1:11">
      <c r="A254" s="301" t="s">
        <v>1</v>
      </c>
      <c r="B254" s="301"/>
      <c r="C254" s="301"/>
      <c r="D254" s="301"/>
      <c r="E254" s="301"/>
      <c r="F254" s="301"/>
      <c r="G254" s="302" t="str">
        <f>IFERROR(VLOOKUP(K253,'2026.01'!A:Y,2,0),0)</f>
        <v>NO:019</v>
      </c>
      <c r="K254" s="300"/>
    </row>
    <row r="255" ht="15" customHeight="1" spans="1:11">
      <c r="A255" s="303" t="s">
        <v>2</v>
      </c>
      <c r="B255" s="304">
        <f>IFERROR(VLOOKUP(K253,'2026.01'!A:Y,6,0),0)</f>
        <v>1020</v>
      </c>
      <c r="C255" s="304"/>
      <c r="D255" s="305" t="s">
        <v>3</v>
      </c>
      <c r="E255" s="305" t="str">
        <f>IFERROR(VLOOKUP(K253,'2026.01'!A:Y,7,0),0)</f>
        <v>张爱玲</v>
      </c>
      <c r="F255" s="305"/>
      <c r="G255" s="306" t="s">
        <v>4</v>
      </c>
      <c r="K255" s="300"/>
    </row>
    <row r="256" ht="15" customHeight="1" spans="1:11">
      <c r="A256" s="307" t="s">
        <v>5</v>
      </c>
      <c r="B256" s="308" t="s">
        <v>6</v>
      </c>
      <c r="C256" s="308" t="s">
        <v>7</v>
      </c>
      <c r="D256" s="308" t="s">
        <v>8</v>
      </c>
      <c r="E256" s="308" t="s">
        <v>9</v>
      </c>
      <c r="F256" s="309" t="s">
        <v>10</v>
      </c>
      <c r="G256" s="310" t="s">
        <v>11</v>
      </c>
      <c r="K256" s="300"/>
    </row>
    <row r="257" ht="15" customHeight="1" spans="1:11">
      <c r="A257" s="307" t="s">
        <v>12</v>
      </c>
      <c r="B257" s="308">
        <f>IFERROR(VLOOKUP(K253,'2026.01'!A:Y,14,0),0)</f>
        <v>9455</v>
      </c>
      <c r="C257" s="308">
        <f>IFERROR(VLOOKUP(K253,'2026.01'!A:Y,13,0),0)</f>
        <v>9421</v>
      </c>
      <c r="D257" s="308">
        <f>IFERROR(VLOOKUP(K253,'2026.01'!A:Y,15,0),0)</f>
        <v>34</v>
      </c>
      <c r="E257" s="311">
        <f>IFERROR(VLOOKUP(K253,'2026.01'!A:Y,18,0),0)</f>
        <v>0.8</v>
      </c>
      <c r="F257" s="309">
        <f>IFERROR(VLOOKUP(K253,'2026.01'!A:Y,20,0),0)</f>
        <v>27</v>
      </c>
      <c r="G257" s="310"/>
      <c r="K257" s="300"/>
    </row>
    <row r="258" ht="15" customHeight="1" spans="1:11">
      <c r="A258" s="307" t="s">
        <v>13</v>
      </c>
      <c r="B258" s="308"/>
      <c r="C258" s="308"/>
      <c r="D258" s="308"/>
      <c r="E258" s="311"/>
      <c r="F258" s="309">
        <f>IFERROR(VLOOKUP(K253,'2026.01'!A:Y,24,0),0)</f>
        <v>43</v>
      </c>
      <c r="G258" s="310"/>
      <c r="K258" s="300"/>
    </row>
    <row r="259" ht="15" customHeight="1" spans="1:11">
      <c r="A259" s="307" t="s">
        <v>14</v>
      </c>
      <c r="B259" s="308"/>
      <c r="C259" s="308"/>
      <c r="D259" s="308"/>
      <c r="E259" s="311"/>
      <c r="F259" s="309">
        <f>IFERROR(VLOOKUP(K253,'2026.01'!A:Y,12,0),0)</f>
        <v>160</v>
      </c>
      <c r="G259" s="310"/>
      <c r="K259" s="300"/>
    </row>
    <row r="260" ht="21" customHeight="1" spans="1:11">
      <c r="A260" s="307" t="s">
        <v>15</v>
      </c>
      <c r="B260" s="308"/>
      <c r="C260" s="308"/>
      <c r="D260" s="308"/>
      <c r="E260" s="311"/>
      <c r="F260" s="309">
        <f>IFERROR(VLOOKUP(K253,'2026.01'!A:Y,9,0),0)</f>
        <v>1200</v>
      </c>
      <c r="G260" s="310"/>
      <c r="K260" s="300"/>
    </row>
    <row r="261" ht="19" customHeight="1" spans="1:11">
      <c r="A261" s="307" t="s">
        <v>16</v>
      </c>
      <c r="B261" s="308"/>
      <c r="C261" s="308"/>
      <c r="D261" s="308"/>
      <c r="E261" s="308"/>
      <c r="F261" s="309">
        <f>IFERROR(VLOOKUP(K253,'2026.01'!A:Y,10,0),0)</f>
        <v>0</v>
      </c>
      <c r="G261" s="310"/>
      <c r="K261" s="300"/>
    </row>
    <row r="262" ht="21" customHeight="1" spans="1:11">
      <c r="A262" s="307" t="s">
        <v>17</v>
      </c>
      <c r="B262" s="308"/>
      <c r="C262" s="308"/>
      <c r="D262" s="308"/>
      <c r="E262" s="308"/>
      <c r="F262" s="309">
        <f>IFERROR(VLOOKUP(K253,'2026.01'!A:Y,19,0),0)</f>
        <v>24</v>
      </c>
      <c r="G262" s="310"/>
      <c r="K262" s="300"/>
    </row>
    <row r="263" ht="17.15" customHeight="1" spans="1:11">
      <c r="A263" s="307" t="s">
        <v>18</v>
      </c>
      <c r="B263" s="308"/>
      <c r="C263" s="308"/>
      <c r="D263" s="308"/>
      <c r="E263" s="308"/>
      <c r="F263" s="309">
        <f>IFERROR(VLOOKUP(K253,'2026.01'!A:Y,22,0),0)</f>
        <v>228</v>
      </c>
      <c r="G263" s="310"/>
      <c r="K263" s="300"/>
    </row>
    <row r="264" ht="17.15" customHeight="1" spans="1:11">
      <c r="A264" s="307" t="s">
        <v>19</v>
      </c>
      <c r="B264" s="312"/>
      <c r="C264" s="308"/>
      <c r="D264" s="313"/>
      <c r="E264" s="308"/>
      <c r="F264" s="309">
        <f>IFERROR(VLOOKUP(K253,'2026.01'!A:Y,25,0),0)</f>
        <v>1682</v>
      </c>
      <c r="G264" s="310"/>
      <c r="K264" s="300"/>
    </row>
    <row r="265" ht="15" customHeight="1" spans="1:11">
      <c r="A265" s="314" t="s">
        <v>20</v>
      </c>
      <c r="B265" s="315">
        <f>IF(F264&lt;0,"金额为负，无效",INT(F264))</f>
        <v>1682</v>
      </c>
      <c r="C265" s="315"/>
      <c r="D265" s="315"/>
      <c r="E265" s="316" t="s">
        <v>21</v>
      </c>
      <c r="F265" s="317"/>
      <c r="G265" s="318"/>
      <c r="K265" s="300"/>
    </row>
    <row r="266" ht="23" customHeight="1" spans="1:11">
      <c r="A266" s="319"/>
      <c r="B266" s="320"/>
      <c r="C266" s="320"/>
      <c r="D266" s="320"/>
      <c r="E266" s="319"/>
      <c r="F266" s="321"/>
      <c r="G266" s="322"/>
      <c r="K266" s="300"/>
    </row>
    <row r="267" ht="27" customHeight="1" spans="1:11">
      <c r="A267" s="298" t="s">
        <v>0</v>
      </c>
      <c r="B267" s="298"/>
      <c r="C267" s="298"/>
      <c r="D267" s="298"/>
      <c r="E267" s="298"/>
      <c r="F267" s="298"/>
      <c r="G267" s="298"/>
      <c r="H267" s="299"/>
      <c r="I267" s="299"/>
      <c r="J267" s="299"/>
      <c r="K267" s="300">
        <v>20</v>
      </c>
    </row>
    <row r="268" ht="15" customHeight="1" spans="1:11">
      <c r="A268" s="301" t="s">
        <v>1</v>
      </c>
      <c r="B268" s="301"/>
      <c r="C268" s="301"/>
      <c r="D268" s="301"/>
      <c r="E268" s="301"/>
      <c r="F268" s="301"/>
      <c r="G268" s="302" t="str">
        <f>IFERROR(VLOOKUP(K267,'2026.01'!A:Y,2,0),0)</f>
        <v>NO:020</v>
      </c>
      <c r="K268" s="300"/>
    </row>
    <row r="269" ht="15" customHeight="1" spans="1:11">
      <c r="A269" s="303" t="s">
        <v>2</v>
      </c>
      <c r="B269" s="304">
        <f>IFERROR(VLOOKUP(K267,'2026.01'!A:Y,6,0),0)</f>
        <v>1021</v>
      </c>
      <c r="C269" s="304"/>
      <c r="D269" s="305" t="s">
        <v>3</v>
      </c>
      <c r="E269" s="305" t="str">
        <f>IFERROR(VLOOKUP(K267,'2026.01'!A:Y,7,0),0)</f>
        <v>刘光全</v>
      </c>
      <c r="F269" s="305"/>
      <c r="G269" s="306" t="s">
        <v>4</v>
      </c>
      <c r="K269" s="300"/>
    </row>
    <row r="270" ht="15" customHeight="1" spans="1:11">
      <c r="A270" s="307" t="s">
        <v>5</v>
      </c>
      <c r="B270" s="308" t="s">
        <v>6</v>
      </c>
      <c r="C270" s="308" t="s">
        <v>7</v>
      </c>
      <c r="D270" s="308" t="s">
        <v>8</v>
      </c>
      <c r="E270" s="308" t="s">
        <v>9</v>
      </c>
      <c r="F270" s="309" t="s">
        <v>10</v>
      </c>
      <c r="G270" s="310" t="s">
        <v>11</v>
      </c>
      <c r="K270" s="300"/>
    </row>
    <row r="271" ht="15" customHeight="1" spans="1:11">
      <c r="A271" s="307" t="s">
        <v>12</v>
      </c>
      <c r="B271" s="308">
        <f>IFERROR(VLOOKUP(K267,'2026.01'!A:Y,14,0),0)</f>
        <v>6424</v>
      </c>
      <c r="C271" s="308">
        <f>IFERROR(VLOOKUP(K267,'2026.01'!A:Y,13,0),0)</f>
        <v>6380</v>
      </c>
      <c r="D271" s="308">
        <f>IFERROR(VLOOKUP(K267,'2026.01'!A:Y,15,0),0)</f>
        <v>44</v>
      </c>
      <c r="E271" s="311">
        <f>IFERROR(VLOOKUP(K267,'2026.01'!A:Y,18,0),0)</f>
        <v>0.8</v>
      </c>
      <c r="F271" s="309">
        <f>IFERROR(VLOOKUP(K267,'2026.01'!A:Y,20,0),0)</f>
        <v>35</v>
      </c>
      <c r="G271" s="310"/>
      <c r="K271" s="300"/>
    </row>
    <row r="272" ht="15" customHeight="1" spans="1:11">
      <c r="A272" s="307" t="s">
        <v>13</v>
      </c>
      <c r="B272" s="308"/>
      <c r="C272" s="308"/>
      <c r="D272" s="308"/>
      <c r="E272" s="311"/>
      <c r="F272" s="309">
        <f>IFERROR(VLOOKUP(K267,'2026.01'!A:Y,24,0),0)</f>
        <v>43</v>
      </c>
      <c r="G272" s="310"/>
      <c r="K272" s="300"/>
    </row>
    <row r="273" ht="15" customHeight="1" spans="1:11">
      <c r="A273" s="307" t="s">
        <v>14</v>
      </c>
      <c r="B273" s="308"/>
      <c r="C273" s="308"/>
      <c r="D273" s="308"/>
      <c r="E273" s="311"/>
      <c r="F273" s="309">
        <f>IFERROR(VLOOKUP(K267,'2026.01'!A:Y,12,0),0)</f>
        <v>160</v>
      </c>
      <c r="G273" s="310"/>
      <c r="K273" s="300"/>
    </row>
    <row r="274" ht="21" customHeight="1" spans="1:11">
      <c r="A274" s="307" t="s">
        <v>15</v>
      </c>
      <c r="B274" s="308"/>
      <c r="C274" s="308"/>
      <c r="D274" s="308"/>
      <c r="E274" s="311"/>
      <c r="F274" s="309">
        <f>IFERROR(VLOOKUP(K267,'2026.01'!A:Y,9,0),0)</f>
        <v>1200</v>
      </c>
      <c r="G274" s="310"/>
      <c r="K274" s="300"/>
    </row>
    <row r="275" ht="19" customHeight="1" spans="1:11">
      <c r="A275" s="307" t="s">
        <v>16</v>
      </c>
      <c r="B275" s="308"/>
      <c r="C275" s="308"/>
      <c r="D275" s="308"/>
      <c r="E275" s="308"/>
      <c r="F275" s="309">
        <f>IFERROR(VLOOKUP(K267,'2026.01'!A:Y,10,0),0)</f>
        <v>200</v>
      </c>
      <c r="G275" s="310"/>
      <c r="K275" s="300"/>
    </row>
    <row r="276" ht="21" customHeight="1" spans="1:11">
      <c r="A276" s="307" t="s">
        <v>17</v>
      </c>
      <c r="B276" s="308"/>
      <c r="C276" s="308"/>
      <c r="D276" s="308"/>
      <c r="E276" s="308"/>
      <c r="F276" s="309">
        <f>IFERROR(VLOOKUP(K267,'2026.01'!A:Y,19,0),0)</f>
        <v>31</v>
      </c>
      <c r="G276" s="310"/>
      <c r="K276" s="300"/>
    </row>
    <row r="277" ht="17.15" customHeight="1" spans="1:11">
      <c r="A277" s="307" t="s">
        <v>18</v>
      </c>
      <c r="B277" s="308"/>
      <c r="C277" s="308"/>
      <c r="D277" s="308"/>
      <c r="E277" s="308"/>
      <c r="F277" s="309">
        <f>IFERROR(VLOOKUP(K267,'2026.01'!A:Y,22,0),0)</f>
        <v>228</v>
      </c>
      <c r="G277" s="310"/>
      <c r="K277" s="300"/>
    </row>
    <row r="278" ht="17.15" customHeight="1" spans="1:11">
      <c r="A278" s="307" t="s">
        <v>19</v>
      </c>
      <c r="B278" s="312"/>
      <c r="C278" s="308"/>
      <c r="D278" s="313"/>
      <c r="E278" s="308"/>
      <c r="F278" s="309">
        <f>IFERROR(VLOOKUP(K267,'2026.01'!A:Y,25,0),0)</f>
        <v>1897</v>
      </c>
      <c r="G278" s="310"/>
      <c r="K278" s="300"/>
    </row>
    <row r="279" ht="15" customHeight="1" spans="1:11">
      <c r="A279" s="314" t="s">
        <v>20</v>
      </c>
      <c r="B279" s="315">
        <f>IF(F278&lt;0,"金额为负，无效",INT(F278))</f>
        <v>1897</v>
      </c>
      <c r="C279" s="315"/>
      <c r="D279" s="315"/>
      <c r="E279" s="316" t="s">
        <v>21</v>
      </c>
      <c r="F279" s="317"/>
      <c r="G279" s="318"/>
      <c r="K279" s="300"/>
    </row>
    <row r="280" ht="23" customHeight="1" spans="1:11">
      <c r="A280" s="319"/>
      <c r="B280" s="320"/>
      <c r="C280" s="320"/>
      <c r="D280" s="320"/>
      <c r="E280" s="319"/>
      <c r="F280" s="321"/>
      <c r="G280" s="322"/>
      <c r="K280" s="300"/>
    </row>
    <row r="281" ht="27" customHeight="1" spans="1:11">
      <c r="A281" s="298" t="s">
        <v>0</v>
      </c>
      <c r="B281" s="298"/>
      <c r="C281" s="298"/>
      <c r="D281" s="298"/>
      <c r="E281" s="298"/>
      <c r="F281" s="298"/>
      <c r="G281" s="298"/>
      <c r="H281" s="299"/>
      <c r="I281" s="299"/>
      <c r="J281" s="299"/>
      <c r="K281" s="300">
        <v>21</v>
      </c>
    </row>
    <row r="282" ht="15" customHeight="1" spans="1:11">
      <c r="A282" s="301" t="s">
        <v>1</v>
      </c>
      <c r="B282" s="301"/>
      <c r="C282" s="301"/>
      <c r="D282" s="301"/>
      <c r="E282" s="301"/>
      <c r="F282" s="301"/>
      <c r="G282" s="302" t="str">
        <f>IFERROR(VLOOKUP(K281,'2026.01'!A:Y,2,0),0)</f>
        <v>NO:021</v>
      </c>
      <c r="K282" s="300"/>
    </row>
    <row r="283" ht="15" customHeight="1" spans="1:11">
      <c r="A283" s="303" t="s">
        <v>2</v>
      </c>
      <c r="B283" s="304">
        <f>IFERROR(VLOOKUP(K281,'2026.01'!A:Y,6,0),0)</f>
        <v>1022</v>
      </c>
      <c r="C283" s="304"/>
      <c r="D283" s="305" t="s">
        <v>3</v>
      </c>
      <c r="E283" s="305" t="str">
        <f>IFERROR(VLOOKUP(K281,'2026.01'!A:Y,7,0),0)</f>
        <v>庄诗霖</v>
      </c>
      <c r="F283" s="305"/>
      <c r="G283" s="306" t="s">
        <v>4</v>
      </c>
      <c r="K283" s="300"/>
    </row>
    <row r="284" ht="15" customHeight="1" spans="1:11">
      <c r="A284" s="307" t="s">
        <v>5</v>
      </c>
      <c r="B284" s="308" t="s">
        <v>6</v>
      </c>
      <c r="C284" s="308" t="s">
        <v>7</v>
      </c>
      <c r="D284" s="308" t="s">
        <v>8</v>
      </c>
      <c r="E284" s="308" t="s">
        <v>9</v>
      </c>
      <c r="F284" s="309" t="s">
        <v>10</v>
      </c>
      <c r="G284" s="310" t="s">
        <v>11</v>
      </c>
      <c r="K284" s="300"/>
    </row>
    <row r="285" ht="15" customHeight="1" spans="1:11">
      <c r="A285" s="307" t="s">
        <v>12</v>
      </c>
      <c r="B285" s="308">
        <f>IFERROR(VLOOKUP(K281,'2026.01'!A:Y,14,0),0)</f>
        <v>3147</v>
      </c>
      <c r="C285" s="308">
        <f>IFERROR(VLOOKUP(K281,'2026.01'!A:Y,13,0),0)</f>
        <v>3123</v>
      </c>
      <c r="D285" s="308">
        <f>IFERROR(VLOOKUP(K281,'2026.01'!A:Y,15,0),0)</f>
        <v>24</v>
      </c>
      <c r="E285" s="311">
        <f>IFERROR(VLOOKUP(K281,'2026.01'!A:Y,18,0),0)</f>
        <v>0.8</v>
      </c>
      <c r="F285" s="309">
        <f>IFERROR(VLOOKUP(K281,'2026.01'!A:Y,20,0),0)</f>
        <v>19</v>
      </c>
      <c r="G285" s="310"/>
      <c r="K285" s="300"/>
    </row>
    <row r="286" ht="15" customHeight="1" spans="1:11">
      <c r="A286" s="307" t="s">
        <v>13</v>
      </c>
      <c r="B286" s="308"/>
      <c r="C286" s="308"/>
      <c r="D286" s="308"/>
      <c r="E286" s="311"/>
      <c r="F286" s="309">
        <f>IFERROR(VLOOKUP(K281,'2026.01'!A:Y,24,0),0)</f>
        <v>94</v>
      </c>
      <c r="G286" s="310"/>
      <c r="K286" s="300"/>
    </row>
    <row r="287" ht="15" customHeight="1" spans="1:11">
      <c r="A287" s="307" t="s">
        <v>14</v>
      </c>
      <c r="B287" s="308"/>
      <c r="C287" s="308"/>
      <c r="D287" s="308"/>
      <c r="E287" s="311"/>
      <c r="F287" s="309">
        <f>IFERROR(VLOOKUP(K281,'2026.01'!A:Y,12,0),0)</f>
        <v>160</v>
      </c>
      <c r="G287" s="310"/>
      <c r="K287" s="300"/>
    </row>
    <row r="288" ht="21" customHeight="1" spans="1:11">
      <c r="A288" s="307" t="s">
        <v>15</v>
      </c>
      <c r="B288" s="308"/>
      <c r="C288" s="308"/>
      <c r="D288" s="308"/>
      <c r="E288" s="311"/>
      <c r="F288" s="309">
        <f>IFERROR(VLOOKUP(K281,'2026.01'!A:Y,9,0),0)</f>
        <v>2200</v>
      </c>
      <c r="G288" s="310"/>
      <c r="K288" s="300"/>
    </row>
    <row r="289" ht="19" customHeight="1" spans="1:11">
      <c r="A289" s="307" t="s">
        <v>16</v>
      </c>
      <c r="B289" s="308"/>
      <c r="C289" s="308"/>
      <c r="D289" s="308"/>
      <c r="E289" s="308"/>
      <c r="F289" s="309">
        <f>IFERROR(VLOOKUP(K281,'2026.01'!A:Y,10,0),0)</f>
        <v>0</v>
      </c>
      <c r="G289" s="310"/>
      <c r="K289" s="300"/>
    </row>
    <row r="290" ht="21" customHeight="1" spans="1:11">
      <c r="A290" s="307" t="s">
        <v>17</v>
      </c>
      <c r="B290" s="308"/>
      <c r="C290" s="308"/>
      <c r="D290" s="308"/>
      <c r="E290" s="308"/>
      <c r="F290" s="309">
        <f>IFERROR(VLOOKUP(K281,'2026.01'!A:Y,19,0),0)</f>
        <v>17</v>
      </c>
      <c r="G290" s="310"/>
      <c r="K290" s="300"/>
    </row>
    <row r="291" ht="17.15" customHeight="1" spans="1:11">
      <c r="A291" s="307" t="s">
        <v>18</v>
      </c>
      <c r="B291" s="308"/>
      <c r="C291" s="308"/>
      <c r="D291" s="308"/>
      <c r="E291" s="308"/>
      <c r="F291" s="309">
        <f>IFERROR(VLOOKUP(K281,'2026.01'!A:Y,22,0),0)</f>
        <v>0</v>
      </c>
      <c r="G291" s="310"/>
      <c r="K291" s="300"/>
    </row>
    <row r="292" ht="17.15" customHeight="1" spans="1:11">
      <c r="A292" s="307" t="s">
        <v>19</v>
      </c>
      <c r="B292" s="312"/>
      <c r="C292" s="308"/>
      <c r="D292" s="313"/>
      <c r="E292" s="308"/>
      <c r="F292" s="309">
        <f>IFERROR(VLOOKUP(K281,'2026.01'!A:Y,25,0),0)</f>
        <v>2490</v>
      </c>
      <c r="G292" s="310"/>
      <c r="K292" s="300"/>
    </row>
    <row r="293" ht="15" customHeight="1" spans="1:11">
      <c r="A293" s="314" t="s">
        <v>20</v>
      </c>
      <c r="B293" s="315">
        <f>IF(F292&lt;0,"金额为负，无效",INT(F292))</f>
        <v>2490</v>
      </c>
      <c r="C293" s="315"/>
      <c r="D293" s="315"/>
      <c r="E293" s="316" t="s">
        <v>21</v>
      </c>
      <c r="F293" s="317"/>
      <c r="G293" s="318"/>
      <c r="K293" s="300"/>
    </row>
    <row r="294" ht="15" customHeight="1" spans="1:11">
      <c r="A294" s="319"/>
      <c r="B294" s="320"/>
      <c r="C294" s="320"/>
      <c r="D294" s="320"/>
      <c r="E294" s="319"/>
      <c r="F294" s="321"/>
      <c r="G294" s="322"/>
      <c r="K294" s="300"/>
    </row>
    <row r="295" ht="27" customHeight="1" spans="1:11">
      <c r="A295" s="298" t="s">
        <v>0</v>
      </c>
      <c r="B295" s="298"/>
      <c r="C295" s="298"/>
      <c r="D295" s="298"/>
      <c r="E295" s="298"/>
      <c r="F295" s="298"/>
      <c r="G295" s="298"/>
      <c r="H295" s="299"/>
      <c r="I295" s="299"/>
      <c r="J295" s="299"/>
      <c r="K295" s="300">
        <v>22</v>
      </c>
    </row>
    <row r="296" ht="15" customHeight="1" spans="1:11">
      <c r="A296" s="301" t="s">
        <v>1</v>
      </c>
      <c r="B296" s="301"/>
      <c r="C296" s="301"/>
      <c r="D296" s="301"/>
      <c r="E296" s="301"/>
      <c r="F296" s="301"/>
      <c r="G296" s="302" t="str">
        <f>IFERROR(VLOOKUP(K295,'2026.01'!A:Y,2,0),0)</f>
        <v>NO:022</v>
      </c>
      <c r="K296" s="300"/>
    </row>
    <row r="297" ht="15" customHeight="1" spans="1:11">
      <c r="A297" s="303" t="s">
        <v>2</v>
      </c>
      <c r="B297" s="304">
        <f>IFERROR(VLOOKUP(K295,'2026.01'!A:Y,6,0),0)</f>
        <v>1023</v>
      </c>
      <c r="C297" s="304"/>
      <c r="D297" s="305" t="s">
        <v>3</v>
      </c>
      <c r="E297" s="305" t="str">
        <f>IFERROR(VLOOKUP(K295,'2026.01'!A:Y,7,0),0)</f>
        <v>黎培健</v>
      </c>
      <c r="F297" s="305"/>
      <c r="G297" s="306" t="s">
        <v>4</v>
      </c>
      <c r="K297" s="300"/>
    </row>
    <row r="298" ht="15" customHeight="1" spans="1:11">
      <c r="A298" s="307" t="s">
        <v>5</v>
      </c>
      <c r="B298" s="308" t="s">
        <v>6</v>
      </c>
      <c r="C298" s="308" t="s">
        <v>7</v>
      </c>
      <c r="D298" s="308" t="s">
        <v>8</v>
      </c>
      <c r="E298" s="308" t="s">
        <v>9</v>
      </c>
      <c r="F298" s="309" t="s">
        <v>10</v>
      </c>
      <c r="G298" s="310" t="s">
        <v>11</v>
      </c>
      <c r="K298" s="300"/>
    </row>
    <row r="299" ht="15" customHeight="1" spans="1:11">
      <c r="A299" s="307" t="s">
        <v>12</v>
      </c>
      <c r="B299" s="308">
        <f>IFERROR(VLOOKUP(K295,'2026.01'!A:Y,14,0),0)</f>
        <v>2568</v>
      </c>
      <c r="C299" s="308">
        <f>IFERROR(VLOOKUP(K295,'2026.01'!A:Y,13,0),0)</f>
        <v>2500</v>
      </c>
      <c r="D299" s="308">
        <f>IFERROR(VLOOKUP(K295,'2026.01'!A:Y,15,0),0)</f>
        <v>68</v>
      </c>
      <c r="E299" s="311">
        <f>IFERROR(VLOOKUP(K295,'2026.01'!A:Y,18,0),0)</f>
        <v>0.8</v>
      </c>
      <c r="F299" s="309">
        <f>IFERROR(VLOOKUP(K295,'2026.01'!A:Y,20,0),0)</f>
        <v>54</v>
      </c>
      <c r="G299" s="310"/>
      <c r="K299" s="300"/>
    </row>
    <row r="300" ht="15" customHeight="1" spans="1:11">
      <c r="A300" s="307" t="s">
        <v>13</v>
      </c>
      <c r="B300" s="308"/>
      <c r="C300" s="308"/>
      <c r="D300" s="308"/>
      <c r="E300" s="311"/>
      <c r="F300" s="309">
        <f>IFERROR(VLOOKUP(K295,'2026.01'!A:Y,24,0),0)</f>
        <v>51</v>
      </c>
      <c r="G300" s="310"/>
      <c r="K300" s="300"/>
    </row>
    <row r="301" ht="15" customHeight="1" spans="1:11">
      <c r="A301" s="307" t="s">
        <v>14</v>
      </c>
      <c r="B301" s="308"/>
      <c r="C301" s="308"/>
      <c r="D301" s="308"/>
      <c r="E301" s="311"/>
      <c r="F301" s="309">
        <f>IFERROR(VLOOKUP(K295,'2026.01'!A:Y,12,0),0)</f>
        <v>160</v>
      </c>
      <c r="G301" s="310"/>
      <c r="K301" s="300"/>
    </row>
    <row r="302" ht="21" customHeight="1" spans="1:11">
      <c r="A302" s="307" t="s">
        <v>15</v>
      </c>
      <c r="B302" s="308"/>
      <c r="C302" s="308"/>
      <c r="D302" s="308"/>
      <c r="E302" s="311"/>
      <c r="F302" s="309">
        <f>IFERROR(VLOOKUP(K295,'2026.01'!A:Y,9,0),0)</f>
        <v>600</v>
      </c>
      <c r="G302" s="310"/>
      <c r="K302" s="300"/>
    </row>
    <row r="303" ht="19" customHeight="1" spans="1:11">
      <c r="A303" s="307" t="s">
        <v>16</v>
      </c>
      <c r="B303" s="308"/>
      <c r="C303" s="308"/>
      <c r="D303" s="308"/>
      <c r="E303" s="308"/>
      <c r="F303" s="309">
        <f>IFERROR(VLOOKUP(K295,'2026.01'!A:Y,10,0),0)</f>
        <v>0</v>
      </c>
      <c r="G303" s="310"/>
      <c r="K303" s="300"/>
    </row>
    <row r="304" ht="21" customHeight="1" spans="1:11">
      <c r="A304" s="307" t="s">
        <v>17</v>
      </c>
      <c r="B304" s="308"/>
      <c r="C304" s="308"/>
      <c r="D304" s="308"/>
      <c r="E304" s="308"/>
      <c r="F304" s="309">
        <f>IFERROR(VLOOKUP(K295,'2026.01'!A:Y,19,0),0)</f>
        <v>48</v>
      </c>
      <c r="G304" s="310"/>
      <c r="K304" s="300"/>
    </row>
    <row r="305" ht="17.15" customHeight="1" spans="1:11">
      <c r="A305" s="307" t="s">
        <v>18</v>
      </c>
      <c r="B305" s="308"/>
      <c r="C305" s="308"/>
      <c r="D305" s="308"/>
      <c r="E305" s="308"/>
      <c r="F305" s="309">
        <f>IFERROR(VLOOKUP(K295,'2026.01'!A:Y,22,0),0)</f>
        <v>0</v>
      </c>
      <c r="G305" s="310"/>
      <c r="K305" s="300"/>
    </row>
    <row r="306" ht="17.15" customHeight="1" spans="1:11">
      <c r="A306" s="307" t="s">
        <v>19</v>
      </c>
      <c r="B306" s="312"/>
      <c r="C306" s="308"/>
      <c r="D306" s="313"/>
      <c r="E306" s="308"/>
      <c r="F306" s="309">
        <f>IFERROR(VLOOKUP(K295,'2026.01'!A:Y,25,0),0)</f>
        <v>913</v>
      </c>
      <c r="G306" s="310"/>
      <c r="K306" s="300"/>
    </row>
    <row r="307" ht="15" customHeight="1" spans="1:11">
      <c r="A307" s="314" t="s">
        <v>20</v>
      </c>
      <c r="B307" s="315">
        <f>IF(F306&lt;0,"金额为负，无效",INT(F306))</f>
        <v>913</v>
      </c>
      <c r="C307" s="315"/>
      <c r="D307" s="315"/>
      <c r="E307" s="316" t="s">
        <v>21</v>
      </c>
      <c r="F307" s="317"/>
      <c r="G307" s="318"/>
      <c r="K307" s="300"/>
    </row>
    <row r="308" ht="23" customHeight="1" spans="1:11">
      <c r="A308" s="319"/>
      <c r="B308" s="320"/>
      <c r="C308" s="320"/>
      <c r="D308" s="320"/>
      <c r="E308" s="319"/>
      <c r="F308" s="321"/>
      <c r="G308" s="322"/>
      <c r="K308" s="300"/>
    </row>
    <row r="309" ht="27" customHeight="1" spans="1:11">
      <c r="A309" s="298" t="s">
        <v>0</v>
      </c>
      <c r="B309" s="298"/>
      <c r="C309" s="298"/>
      <c r="D309" s="298"/>
      <c r="E309" s="298"/>
      <c r="F309" s="298"/>
      <c r="G309" s="298"/>
      <c r="H309" s="299"/>
      <c r="I309" s="299"/>
      <c r="J309" s="299"/>
      <c r="K309" s="300">
        <v>23</v>
      </c>
    </row>
    <row r="310" ht="15" customHeight="1" spans="1:11">
      <c r="A310" s="301" t="s">
        <v>1</v>
      </c>
      <c r="B310" s="301"/>
      <c r="C310" s="301"/>
      <c r="D310" s="301"/>
      <c r="E310" s="301"/>
      <c r="F310" s="301"/>
      <c r="G310" s="302" t="str">
        <f>IFERROR(VLOOKUP(K309,'2026.01'!A:Y,2,0),0)</f>
        <v>NO:023</v>
      </c>
      <c r="K310" s="300"/>
    </row>
    <row r="311" ht="15" customHeight="1" spans="1:11">
      <c r="A311" s="303" t="s">
        <v>2</v>
      </c>
      <c r="B311" s="304">
        <f>IFERROR(VLOOKUP(K309,'2026.01'!A:Y,6,0),0)</f>
        <v>1024</v>
      </c>
      <c r="C311" s="304"/>
      <c r="D311" s="305" t="s">
        <v>3</v>
      </c>
      <c r="E311" s="305" t="str">
        <f>IFERROR(VLOOKUP(K309,'2026.01'!A:Y,7,0),0)</f>
        <v>王小军</v>
      </c>
      <c r="F311" s="305"/>
      <c r="G311" s="306" t="s">
        <v>4</v>
      </c>
      <c r="K311" s="300"/>
    </row>
    <row r="312" ht="15" customHeight="1" spans="1:11">
      <c r="A312" s="307" t="s">
        <v>5</v>
      </c>
      <c r="B312" s="308" t="s">
        <v>6</v>
      </c>
      <c r="C312" s="308" t="s">
        <v>7</v>
      </c>
      <c r="D312" s="308" t="s">
        <v>8</v>
      </c>
      <c r="E312" s="308" t="s">
        <v>9</v>
      </c>
      <c r="F312" s="309" t="s">
        <v>10</v>
      </c>
      <c r="G312" s="310" t="s">
        <v>11</v>
      </c>
      <c r="K312" s="300"/>
    </row>
    <row r="313" ht="15" customHeight="1" spans="1:11">
      <c r="A313" s="307" t="s">
        <v>12</v>
      </c>
      <c r="B313" s="308">
        <f>IFERROR(VLOOKUP(K309,'2026.01'!A:Y,14,0),0)</f>
        <v>628</v>
      </c>
      <c r="C313" s="308">
        <f>IFERROR(VLOOKUP(K309,'2026.01'!A:Y,13,0),0)</f>
        <v>593</v>
      </c>
      <c r="D313" s="308">
        <f>IFERROR(VLOOKUP(K309,'2026.01'!A:Y,15,0),0)</f>
        <v>35</v>
      </c>
      <c r="E313" s="311">
        <f>IFERROR(VLOOKUP(K309,'2026.01'!A:Y,18,0),0)</f>
        <v>0.8</v>
      </c>
      <c r="F313" s="309">
        <f>IFERROR(VLOOKUP(K309,'2026.01'!A:Y,20,0),0)</f>
        <v>28</v>
      </c>
      <c r="G313" s="310"/>
      <c r="K313" s="300"/>
    </row>
    <row r="314" ht="15" customHeight="1" spans="1:11">
      <c r="A314" s="307" t="s">
        <v>13</v>
      </c>
      <c r="B314" s="308"/>
      <c r="C314" s="308"/>
      <c r="D314" s="308"/>
      <c r="E314" s="311"/>
      <c r="F314" s="309">
        <f>IFERROR(VLOOKUP(K309,'2026.01'!A:Y,24,0),0)</f>
        <v>77</v>
      </c>
      <c r="G314" s="310"/>
      <c r="K314" s="300"/>
    </row>
    <row r="315" ht="15" customHeight="1" spans="1:11">
      <c r="A315" s="307" t="s">
        <v>14</v>
      </c>
      <c r="B315" s="308"/>
      <c r="C315" s="308"/>
      <c r="D315" s="308"/>
      <c r="E315" s="311"/>
      <c r="F315" s="309">
        <f>IFERROR(VLOOKUP(K309,'2026.01'!A:Y,12,0),0)</f>
        <v>160</v>
      </c>
      <c r="G315" s="310"/>
      <c r="K315" s="300"/>
    </row>
    <row r="316" ht="21" customHeight="1" spans="1:11">
      <c r="A316" s="307" t="s">
        <v>15</v>
      </c>
      <c r="B316" s="308"/>
      <c r="C316" s="308"/>
      <c r="D316" s="308"/>
      <c r="E316" s="311"/>
      <c r="F316" s="309">
        <f>IFERROR(VLOOKUP(K309,'2026.01'!A:Y,9,0),0)</f>
        <v>1448</v>
      </c>
      <c r="G316" s="310"/>
      <c r="K316" s="300"/>
    </row>
    <row r="317" ht="19" customHeight="1" spans="1:11">
      <c r="A317" s="307" t="s">
        <v>16</v>
      </c>
      <c r="B317" s="308"/>
      <c r="C317" s="308"/>
      <c r="D317" s="308"/>
      <c r="E317" s="308"/>
      <c r="F317" s="309">
        <f>IFERROR(VLOOKUP(K309,'2026.01'!A:Y,10,0),0)</f>
        <v>0</v>
      </c>
      <c r="G317" s="310"/>
      <c r="K317" s="300"/>
    </row>
    <row r="318" ht="21" customHeight="1" spans="1:11">
      <c r="A318" s="307" t="s">
        <v>17</v>
      </c>
      <c r="B318" s="308"/>
      <c r="C318" s="308"/>
      <c r="D318" s="308"/>
      <c r="E318" s="308"/>
      <c r="F318" s="309">
        <f>IFERROR(VLOOKUP(K309,'2026.01'!A:Y,19,0),0)</f>
        <v>25</v>
      </c>
      <c r="G318" s="310"/>
      <c r="K318" s="300"/>
    </row>
    <row r="319" ht="17.15" customHeight="1" spans="1:11">
      <c r="A319" s="307" t="s">
        <v>18</v>
      </c>
      <c r="B319" s="308"/>
      <c r="C319" s="308"/>
      <c r="D319" s="308"/>
      <c r="E319" s="308"/>
      <c r="F319" s="309">
        <f>IFERROR(VLOOKUP(K309,'2026.01'!A:Y,22,0),0)</f>
        <v>0</v>
      </c>
      <c r="G319" s="310"/>
      <c r="K319" s="300"/>
    </row>
    <row r="320" ht="17.15" customHeight="1" spans="1:11">
      <c r="A320" s="307" t="s">
        <v>19</v>
      </c>
      <c r="B320" s="312"/>
      <c r="C320" s="308"/>
      <c r="D320" s="313"/>
      <c r="E320" s="308"/>
      <c r="F320" s="309">
        <f>IFERROR(VLOOKUP(K309,'2026.01'!A:Y,25,0),0)</f>
        <v>1738</v>
      </c>
      <c r="G320" s="310"/>
      <c r="K320" s="300"/>
    </row>
    <row r="321" ht="15" customHeight="1" spans="1:11">
      <c r="A321" s="314" t="s">
        <v>20</v>
      </c>
      <c r="B321" s="315">
        <f>IF(F320&lt;0,"金额为负，无效",INT(F320))</f>
        <v>1738</v>
      </c>
      <c r="C321" s="315"/>
      <c r="D321" s="315"/>
      <c r="E321" s="316" t="s">
        <v>21</v>
      </c>
      <c r="F321" s="317"/>
      <c r="G321" s="318"/>
      <c r="K321" s="300"/>
    </row>
    <row r="322" ht="23" customHeight="1" spans="1:11">
      <c r="A322" s="319"/>
      <c r="B322" s="320"/>
      <c r="C322" s="320"/>
      <c r="D322" s="320"/>
      <c r="E322" s="319"/>
      <c r="F322" s="321"/>
      <c r="G322" s="322"/>
      <c r="K322" s="300"/>
    </row>
    <row r="323" ht="27" customHeight="1" spans="1:11">
      <c r="A323" s="298" t="s">
        <v>0</v>
      </c>
      <c r="B323" s="298"/>
      <c r="C323" s="298"/>
      <c r="D323" s="298"/>
      <c r="E323" s="298"/>
      <c r="F323" s="298"/>
      <c r="G323" s="298"/>
      <c r="H323" s="299"/>
      <c r="I323" s="299"/>
      <c r="J323" s="299"/>
      <c r="K323" s="300">
        <v>24</v>
      </c>
    </row>
    <row r="324" ht="15" customHeight="1" spans="1:11">
      <c r="A324" s="301" t="s">
        <v>1</v>
      </c>
      <c r="B324" s="301"/>
      <c r="C324" s="301"/>
      <c r="D324" s="301"/>
      <c r="E324" s="301"/>
      <c r="F324" s="301"/>
      <c r="G324" s="302" t="str">
        <f>IFERROR(VLOOKUP(K323,'2026.01'!A:Y,2,0),0)</f>
        <v>NO:024</v>
      </c>
      <c r="K324" s="300"/>
    </row>
    <row r="325" ht="15" customHeight="1" spans="1:11">
      <c r="A325" s="303" t="s">
        <v>2</v>
      </c>
      <c r="B325" s="304">
        <f>IFERROR(VLOOKUP(K323,'2026.01'!A:Y,6,0),0)</f>
        <v>1025</v>
      </c>
      <c r="C325" s="304"/>
      <c r="D325" s="305" t="s">
        <v>3</v>
      </c>
      <c r="E325" s="305" t="str">
        <f>IFERROR(VLOOKUP(K323,'2026.01'!A:Y,7,0),0)</f>
        <v>李雄辉</v>
      </c>
      <c r="F325" s="305"/>
      <c r="G325" s="306" t="s">
        <v>4</v>
      </c>
      <c r="K325" s="300"/>
    </row>
    <row r="326" ht="15" customHeight="1" spans="1:11">
      <c r="A326" s="307" t="s">
        <v>5</v>
      </c>
      <c r="B326" s="308" t="s">
        <v>6</v>
      </c>
      <c r="C326" s="308" t="s">
        <v>7</v>
      </c>
      <c r="D326" s="308" t="s">
        <v>8</v>
      </c>
      <c r="E326" s="308" t="s">
        <v>9</v>
      </c>
      <c r="F326" s="309" t="s">
        <v>10</v>
      </c>
      <c r="G326" s="310" t="s">
        <v>11</v>
      </c>
      <c r="K326" s="300"/>
    </row>
    <row r="327" ht="15" customHeight="1" spans="1:11">
      <c r="A327" s="307" t="s">
        <v>12</v>
      </c>
      <c r="B327" s="308">
        <f>IFERROR(VLOOKUP(K323,'2026.01'!A:Y,14,0),0)</f>
        <v>1448</v>
      </c>
      <c r="C327" s="308">
        <f>IFERROR(VLOOKUP(K323,'2026.01'!A:Y,13,0),0)</f>
        <v>1436</v>
      </c>
      <c r="D327" s="308">
        <f>IFERROR(VLOOKUP(K323,'2026.01'!A:Y,15,0),0)</f>
        <v>12</v>
      </c>
      <c r="E327" s="311">
        <f>IFERROR(VLOOKUP(K323,'2026.01'!A:Y,18,0),0)</f>
        <v>0.8</v>
      </c>
      <c r="F327" s="309">
        <f>IFERROR(VLOOKUP(K323,'2026.01'!A:Y,20,0),0)</f>
        <v>10</v>
      </c>
      <c r="G327" s="310"/>
      <c r="K327" s="300"/>
    </row>
    <row r="328" ht="15" customHeight="1" spans="1:11">
      <c r="A328" s="307" t="s">
        <v>13</v>
      </c>
      <c r="B328" s="308"/>
      <c r="C328" s="308"/>
      <c r="D328" s="308"/>
      <c r="E328" s="311"/>
      <c r="F328" s="309">
        <f>IFERROR(VLOOKUP(K323,'2026.01'!A:Y,24,0),0)</f>
        <v>43</v>
      </c>
      <c r="G328" s="310"/>
      <c r="K328" s="300"/>
    </row>
    <row r="329" ht="15" customHeight="1" spans="1:11">
      <c r="A329" s="307" t="s">
        <v>14</v>
      </c>
      <c r="B329" s="308"/>
      <c r="C329" s="308"/>
      <c r="D329" s="308"/>
      <c r="E329" s="311"/>
      <c r="F329" s="309">
        <f>IFERROR(VLOOKUP(K323,'2026.01'!A:Y,12,0),0)</f>
        <v>160</v>
      </c>
      <c r="G329" s="310"/>
      <c r="K329" s="300"/>
    </row>
    <row r="330" ht="21" customHeight="1" spans="1:11">
      <c r="A330" s="307" t="s">
        <v>15</v>
      </c>
      <c r="B330" s="308"/>
      <c r="C330" s="308"/>
      <c r="D330" s="308"/>
      <c r="E330" s="311"/>
      <c r="F330" s="309">
        <f>IFERROR(VLOOKUP(K323,'2026.01'!A:Y,9,0),0)</f>
        <v>4200</v>
      </c>
      <c r="G330" s="310"/>
      <c r="K330" s="300"/>
    </row>
    <row r="331" ht="19" customHeight="1" spans="1:11">
      <c r="A331" s="307" t="s">
        <v>16</v>
      </c>
      <c r="B331" s="308"/>
      <c r="C331" s="308"/>
      <c r="D331" s="308"/>
      <c r="E331" s="308"/>
      <c r="F331" s="309">
        <f>IFERROR(VLOOKUP(K323,'2026.01'!A:Y,10,0),0)</f>
        <v>500</v>
      </c>
      <c r="G331" s="310"/>
      <c r="K331" s="300"/>
    </row>
    <row r="332" ht="21" customHeight="1" spans="1:11">
      <c r="A332" s="307" t="s">
        <v>17</v>
      </c>
      <c r="B332" s="308"/>
      <c r="C332" s="308"/>
      <c r="D332" s="308"/>
      <c r="E332" s="308"/>
      <c r="F332" s="309">
        <f>IFERROR(VLOOKUP(K323,'2026.01'!A:Y,19,0),0)</f>
        <v>8</v>
      </c>
      <c r="G332" s="310"/>
      <c r="K332" s="300"/>
    </row>
    <row r="333" ht="17.15" customHeight="1" spans="1:11">
      <c r="A333" s="307" t="s">
        <v>18</v>
      </c>
      <c r="B333" s="308"/>
      <c r="C333" s="308"/>
      <c r="D333" s="308"/>
      <c r="E333" s="308"/>
      <c r="F333" s="309">
        <f>IFERROR(VLOOKUP(K323,'2026.01'!A:Y,22,0),0)</f>
        <v>228</v>
      </c>
      <c r="G333" s="310"/>
      <c r="K333" s="300"/>
    </row>
    <row r="334" ht="17.15" customHeight="1" spans="1:11">
      <c r="A334" s="307" t="s">
        <v>19</v>
      </c>
      <c r="B334" s="312"/>
      <c r="C334" s="308"/>
      <c r="D334" s="313"/>
      <c r="E334" s="308"/>
      <c r="F334" s="309">
        <f>IFERROR(VLOOKUP(K323,'2026.01'!A:Y,25,0),0)</f>
        <v>5149</v>
      </c>
      <c r="G334" s="310"/>
      <c r="K334" s="300"/>
    </row>
    <row r="335" ht="15" customHeight="1" spans="1:11">
      <c r="A335" s="314" t="s">
        <v>20</v>
      </c>
      <c r="B335" s="315">
        <f>IF(F334&lt;0,"金额为负，无效",INT(F334))</f>
        <v>5149</v>
      </c>
      <c r="C335" s="315"/>
      <c r="D335" s="315"/>
      <c r="E335" s="316" t="s">
        <v>21</v>
      </c>
      <c r="F335" s="317"/>
      <c r="G335" s="318"/>
      <c r="K335" s="300"/>
    </row>
    <row r="336" ht="15" customHeight="1" spans="1:11">
      <c r="A336" s="319"/>
      <c r="B336" s="320"/>
      <c r="C336" s="320"/>
      <c r="D336" s="320"/>
      <c r="E336" s="319"/>
      <c r="F336" s="321"/>
      <c r="G336" s="322"/>
      <c r="K336" s="300"/>
    </row>
    <row r="337" ht="27" customHeight="1" spans="1:11">
      <c r="A337" s="298" t="s">
        <v>0</v>
      </c>
      <c r="B337" s="298"/>
      <c r="C337" s="298"/>
      <c r="D337" s="298"/>
      <c r="E337" s="298"/>
      <c r="F337" s="298"/>
      <c r="G337" s="298"/>
      <c r="H337" s="299"/>
      <c r="I337" s="299"/>
      <c r="J337" s="299"/>
      <c r="K337" s="300">
        <v>25</v>
      </c>
    </row>
    <row r="338" ht="15" customHeight="1" spans="1:11">
      <c r="A338" s="301" t="s">
        <v>1</v>
      </c>
      <c r="B338" s="301"/>
      <c r="C338" s="301"/>
      <c r="D338" s="301"/>
      <c r="E338" s="301"/>
      <c r="F338" s="301"/>
      <c r="G338" s="302" t="str">
        <f>IFERROR(VLOOKUP(K337,'2026.01'!A:Y,2,0),0)</f>
        <v>NO:025</v>
      </c>
      <c r="K338" s="300"/>
    </row>
    <row r="339" ht="15" customHeight="1" spans="1:11">
      <c r="A339" s="303" t="s">
        <v>2</v>
      </c>
      <c r="B339" s="304" t="str">
        <f>IFERROR(VLOOKUP(K337,'2026.01'!A:Y,6,0),0)</f>
        <v>1025-A</v>
      </c>
      <c r="C339" s="304"/>
      <c r="D339" s="305" t="s">
        <v>3</v>
      </c>
      <c r="E339" s="305" t="str">
        <f>IFERROR(VLOOKUP(K337,'2026.01'!A:Y,7,0),0)</f>
        <v>苏建柳</v>
      </c>
      <c r="F339" s="305"/>
      <c r="G339" s="306" t="s">
        <v>4</v>
      </c>
      <c r="K339" s="300"/>
    </row>
    <row r="340" ht="15" customHeight="1" spans="1:11">
      <c r="A340" s="307" t="s">
        <v>5</v>
      </c>
      <c r="B340" s="308" t="s">
        <v>6</v>
      </c>
      <c r="C340" s="308" t="s">
        <v>7</v>
      </c>
      <c r="D340" s="308" t="s">
        <v>8</v>
      </c>
      <c r="E340" s="308" t="s">
        <v>9</v>
      </c>
      <c r="F340" s="309" t="s">
        <v>10</v>
      </c>
      <c r="G340" s="310" t="s">
        <v>11</v>
      </c>
      <c r="K340" s="300"/>
    </row>
    <row r="341" ht="15" customHeight="1" spans="1:11">
      <c r="A341" s="307" t="s">
        <v>12</v>
      </c>
      <c r="B341" s="308">
        <f>IFERROR(VLOOKUP(K337,'2026.01'!A:Y,14,0),0)</f>
        <v>4859</v>
      </c>
      <c r="C341" s="308">
        <f>IFERROR(VLOOKUP(K337,'2026.01'!A:Y,13,0),0)</f>
        <v>4759</v>
      </c>
      <c r="D341" s="308">
        <f>IFERROR(VLOOKUP(K337,'2026.01'!A:Y,15,0),0)</f>
        <v>100</v>
      </c>
      <c r="E341" s="311">
        <f>IFERROR(VLOOKUP(K337,'2026.01'!A:Y,18,0),0)</f>
        <v>0.8</v>
      </c>
      <c r="F341" s="309">
        <f>IFERROR(VLOOKUP(K337,'2026.01'!A:Y,20,0),0)</f>
        <v>80</v>
      </c>
      <c r="G341" s="310"/>
      <c r="K341" s="300"/>
    </row>
    <row r="342" ht="15" customHeight="1" spans="1:11">
      <c r="A342" s="307" t="s">
        <v>13</v>
      </c>
      <c r="B342" s="308"/>
      <c r="C342" s="308"/>
      <c r="D342" s="308"/>
      <c r="E342" s="311"/>
      <c r="F342" s="309">
        <f>IFERROR(VLOOKUP(K337,'2026.01'!A:Y,24,0),0)</f>
        <v>43</v>
      </c>
      <c r="G342" s="310"/>
      <c r="K342" s="300"/>
    </row>
    <row r="343" ht="15" customHeight="1" spans="1:11">
      <c r="A343" s="307" t="s">
        <v>14</v>
      </c>
      <c r="B343" s="308"/>
      <c r="C343" s="308"/>
      <c r="D343" s="308"/>
      <c r="E343" s="311"/>
      <c r="F343" s="309">
        <f>IFERROR(VLOOKUP(K337,'2026.01'!A:Y,12,0),0)</f>
        <v>160</v>
      </c>
      <c r="G343" s="310"/>
      <c r="K343" s="300"/>
    </row>
    <row r="344" ht="21" customHeight="1" spans="1:11">
      <c r="A344" s="307" t="s">
        <v>15</v>
      </c>
      <c r="B344" s="308"/>
      <c r="C344" s="308"/>
      <c r="D344" s="308"/>
      <c r="E344" s="311"/>
      <c r="F344" s="309">
        <f>IFERROR(VLOOKUP(K337,'2026.01'!A:Y,9,0),0)</f>
        <v>2206</v>
      </c>
      <c r="G344" s="310"/>
      <c r="K344" s="300"/>
    </row>
    <row r="345" ht="19" customHeight="1" spans="1:11">
      <c r="A345" s="307" t="s">
        <v>16</v>
      </c>
      <c r="B345" s="308"/>
      <c r="C345" s="308"/>
      <c r="D345" s="308"/>
      <c r="E345" s="308"/>
      <c r="F345" s="309">
        <f>IFERROR(VLOOKUP(K337,'2026.01'!A:Y,10,0),0)</f>
        <v>250</v>
      </c>
      <c r="G345" s="310"/>
      <c r="K345" s="300"/>
    </row>
    <row r="346" ht="21" customHeight="1" spans="1:11">
      <c r="A346" s="307" t="s">
        <v>17</v>
      </c>
      <c r="B346" s="308"/>
      <c r="C346" s="308"/>
      <c r="D346" s="308"/>
      <c r="E346" s="308"/>
      <c r="F346" s="309">
        <f>IFERROR(VLOOKUP(K337,'2026.01'!A:Y,19,0),0)</f>
        <v>70</v>
      </c>
      <c r="G346" s="310"/>
      <c r="K346" s="300"/>
    </row>
    <row r="347" ht="17.15" customHeight="1" spans="1:11">
      <c r="A347" s="307" t="s">
        <v>18</v>
      </c>
      <c r="B347" s="308"/>
      <c r="C347" s="308"/>
      <c r="D347" s="308"/>
      <c r="E347" s="308"/>
      <c r="F347" s="309">
        <f>IFERROR(VLOOKUP(K337,'2026.01'!A:Y,22,0),0)</f>
        <v>222</v>
      </c>
      <c r="G347" s="310"/>
      <c r="K347" s="300"/>
    </row>
    <row r="348" ht="17.15" customHeight="1" spans="1:11">
      <c r="A348" s="307" t="s">
        <v>19</v>
      </c>
      <c r="B348" s="312"/>
      <c r="C348" s="308"/>
      <c r="D348" s="313"/>
      <c r="E348" s="308"/>
      <c r="F348" s="309">
        <f>IFERROR(VLOOKUP(K337,'2026.01'!A:Y,25,0),0)</f>
        <v>3031</v>
      </c>
      <c r="G348" s="310"/>
      <c r="K348" s="300"/>
    </row>
    <row r="349" ht="15" customHeight="1" spans="1:11">
      <c r="A349" s="314" t="s">
        <v>20</v>
      </c>
      <c r="B349" s="315">
        <f>IF(F348&lt;0,"金额为负，无效",INT(F348))</f>
        <v>3031</v>
      </c>
      <c r="C349" s="315"/>
      <c r="D349" s="315"/>
      <c r="E349" s="316" t="s">
        <v>21</v>
      </c>
      <c r="F349" s="317"/>
      <c r="G349" s="318"/>
      <c r="K349" s="300"/>
    </row>
    <row r="350" ht="23" customHeight="1" spans="1:11">
      <c r="A350" s="319"/>
      <c r="B350" s="320"/>
      <c r="C350" s="320"/>
      <c r="D350" s="320"/>
      <c r="E350" s="319"/>
      <c r="F350" s="321"/>
      <c r="G350" s="322"/>
      <c r="K350" s="300"/>
    </row>
    <row r="351" ht="27" customHeight="1" spans="1:11">
      <c r="A351" s="298" t="s">
        <v>0</v>
      </c>
      <c r="B351" s="298"/>
      <c r="C351" s="298"/>
      <c r="D351" s="298"/>
      <c r="E351" s="298"/>
      <c r="F351" s="298"/>
      <c r="G351" s="298"/>
      <c r="H351" s="299"/>
      <c r="I351" s="299"/>
      <c r="J351" s="299"/>
      <c r="K351" s="300">
        <v>26</v>
      </c>
    </row>
    <row r="352" ht="15" customHeight="1" spans="1:11">
      <c r="A352" s="301" t="s">
        <v>1</v>
      </c>
      <c r="B352" s="301"/>
      <c r="C352" s="301"/>
      <c r="D352" s="301"/>
      <c r="E352" s="301"/>
      <c r="F352" s="301"/>
      <c r="G352" s="302" t="str">
        <f>IFERROR(VLOOKUP(K351,'2026.01'!A:Y,2,0),0)</f>
        <v>NO:026</v>
      </c>
      <c r="K352" s="300"/>
    </row>
    <row r="353" ht="15" customHeight="1" spans="1:11">
      <c r="A353" s="303" t="s">
        <v>2</v>
      </c>
      <c r="B353" s="304">
        <f>IFERROR(VLOOKUP(K351,'2026.01'!A:Y,6,0),0)</f>
        <v>1026</v>
      </c>
      <c r="C353" s="304"/>
      <c r="D353" s="305" t="s">
        <v>3</v>
      </c>
      <c r="E353" s="305" t="str">
        <f>IFERROR(VLOOKUP(K351,'2026.01'!A:Y,7,0),0)</f>
        <v>马旦</v>
      </c>
      <c r="F353" s="305"/>
      <c r="G353" s="306" t="s">
        <v>4</v>
      </c>
      <c r="K353" s="300"/>
    </row>
    <row r="354" ht="15" customHeight="1" spans="1:11">
      <c r="A354" s="307" t="s">
        <v>5</v>
      </c>
      <c r="B354" s="308" t="s">
        <v>6</v>
      </c>
      <c r="C354" s="308" t="s">
        <v>7</v>
      </c>
      <c r="D354" s="308" t="s">
        <v>8</v>
      </c>
      <c r="E354" s="308" t="s">
        <v>9</v>
      </c>
      <c r="F354" s="309" t="s">
        <v>10</v>
      </c>
      <c r="G354" s="310" t="s">
        <v>11</v>
      </c>
      <c r="K354" s="300"/>
    </row>
    <row r="355" ht="15" customHeight="1" spans="1:11">
      <c r="A355" s="307" t="s">
        <v>12</v>
      </c>
      <c r="B355" s="308">
        <f>IFERROR(VLOOKUP(K351,'2026.01'!A:Y,14,0),0)</f>
        <v>4216</v>
      </c>
      <c r="C355" s="308">
        <f>IFERROR(VLOOKUP(K351,'2026.01'!A:Y,13,0),0)</f>
        <v>4176</v>
      </c>
      <c r="D355" s="308">
        <f>IFERROR(VLOOKUP(K351,'2026.01'!A:Y,15,0),0)</f>
        <v>40</v>
      </c>
      <c r="E355" s="311">
        <f>IFERROR(VLOOKUP(K351,'2026.01'!A:Y,18,0),0)</f>
        <v>0.8</v>
      </c>
      <c r="F355" s="309">
        <f>IFERROR(VLOOKUP(K351,'2026.01'!A:Y,20,0),0)</f>
        <v>32</v>
      </c>
      <c r="G355" s="310"/>
      <c r="K355" s="300"/>
    </row>
    <row r="356" ht="15" customHeight="1" spans="1:11">
      <c r="A356" s="307" t="s">
        <v>13</v>
      </c>
      <c r="B356" s="308"/>
      <c r="C356" s="308"/>
      <c r="D356" s="308"/>
      <c r="E356" s="311"/>
      <c r="F356" s="309">
        <f>IFERROR(VLOOKUP(K351,'2026.01'!A:Y,24,0),0)</f>
        <v>43</v>
      </c>
      <c r="G356" s="310"/>
      <c r="K356" s="300"/>
    </row>
    <row r="357" ht="15" customHeight="1" spans="1:11">
      <c r="A357" s="307" t="s">
        <v>14</v>
      </c>
      <c r="B357" s="308"/>
      <c r="C357" s="308"/>
      <c r="D357" s="308"/>
      <c r="E357" s="311"/>
      <c r="F357" s="309">
        <f>IFERROR(VLOOKUP(K351,'2026.01'!A:Y,12,0),0)</f>
        <v>160</v>
      </c>
      <c r="G357" s="310"/>
      <c r="K357" s="300"/>
    </row>
    <row r="358" ht="21" customHeight="1" spans="1:11">
      <c r="A358" s="307" t="s">
        <v>15</v>
      </c>
      <c r="B358" s="308"/>
      <c r="C358" s="308"/>
      <c r="D358" s="308"/>
      <c r="E358" s="311"/>
      <c r="F358" s="309">
        <f>IFERROR(VLOOKUP(K351,'2026.01'!A:Y,9,0),0)</f>
        <v>4202</v>
      </c>
      <c r="G358" s="310"/>
      <c r="K358" s="300"/>
    </row>
    <row r="359" ht="19" customHeight="1" spans="1:11">
      <c r="A359" s="307" t="s">
        <v>16</v>
      </c>
      <c r="B359" s="308"/>
      <c r="C359" s="308"/>
      <c r="D359" s="308"/>
      <c r="E359" s="308"/>
      <c r="F359" s="309">
        <f>IFERROR(VLOOKUP(K351,'2026.01'!A:Y,10,0),0)</f>
        <v>500</v>
      </c>
      <c r="G359" s="310"/>
      <c r="K359" s="300"/>
    </row>
    <row r="360" ht="21" customHeight="1" spans="1:11">
      <c r="A360" s="307" t="s">
        <v>17</v>
      </c>
      <c r="B360" s="308"/>
      <c r="C360" s="308"/>
      <c r="D360" s="308"/>
      <c r="E360" s="308"/>
      <c r="F360" s="309">
        <f>IFERROR(VLOOKUP(K351,'2026.01'!A:Y,19,0),0)</f>
        <v>28</v>
      </c>
      <c r="G360" s="310"/>
      <c r="K360" s="300"/>
    </row>
    <row r="361" ht="17.15" customHeight="1" spans="1:11">
      <c r="A361" s="307" t="s">
        <v>18</v>
      </c>
      <c r="B361" s="308"/>
      <c r="C361" s="308"/>
      <c r="D361" s="308"/>
      <c r="E361" s="308"/>
      <c r="F361" s="309">
        <f>IFERROR(VLOOKUP(K351,'2026.01'!A:Y,22,0),0)</f>
        <v>228</v>
      </c>
      <c r="G361" s="310"/>
      <c r="K361" s="300"/>
    </row>
    <row r="362" ht="17.15" customHeight="1" spans="1:11">
      <c r="A362" s="307" t="s">
        <v>19</v>
      </c>
      <c r="B362" s="312"/>
      <c r="C362" s="308"/>
      <c r="D362" s="313"/>
      <c r="E362" s="308"/>
      <c r="F362" s="309">
        <f>IFERROR(VLOOKUP(K351,'2026.01'!A:Y,25,0),0)</f>
        <v>5193</v>
      </c>
      <c r="G362" s="310"/>
      <c r="K362" s="300"/>
    </row>
    <row r="363" ht="15" customHeight="1" spans="1:11">
      <c r="A363" s="314" t="s">
        <v>20</v>
      </c>
      <c r="B363" s="315">
        <f>IF(F362&lt;0,"金额为负，无效",INT(F362))</f>
        <v>5193</v>
      </c>
      <c r="C363" s="315"/>
      <c r="D363" s="315"/>
      <c r="E363" s="316" t="s">
        <v>21</v>
      </c>
      <c r="F363" s="317"/>
      <c r="G363" s="318"/>
      <c r="K363" s="300"/>
    </row>
    <row r="364" ht="23" customHeight="1" spans="1:11">
      <c r="A364" s="319"/>
      <c r="B364" s="320"/>
      <c r="C364" s="320"/>
      <c r="D364" s="320"/>
      <c r="E364" s="319"/>
      <c r="F364" s="321"/>
      <c r="G364" s="322"/>
      <c r="K364" s="300"/>
    </row>
    <row r="365" ht="27" customHeight="1" spans="1:11">
      <c r="A365" s="298" t="s">
        <v>0</v>
      </c>
      <c r="B365" s="298"/>
      <c r="C365" s="298"/>
      <c r="D365" s="298"/>
      <c r="E365" s="298"/>
      <c r="F365" s="298"/>
      <c r="G365" s="298"/>
      <c r="H365" s="299"/>
      <c r="I365" s="299"/>
      <c r="J365" s="299"/>
      <c r="K365" s="300">
        <v>27</v>
      </c>
    </row>
    <row r="366" ht="15" customHeight="1" spans="1:11">
      <c r="A366" s="301" t="s">
        <v>1</v>
      </c>
      <c r="B366" s="301"/>
      <c r="C366" s="301"/>
      <c r="D366" s="301"/>
      <c r="E366" s="301"/>
      <c r="F366" s="301"/>
      <c r="G366" s="302" t="str">
        <f>IFERROR(VLOOKUP(K365,'2026.01'!A:Y,2,0),0)</f>
        <v>NO:027</v>
      </c>
      <c r="K366" s="300"/>
    </row>
    <row r="367" ht="15" customHeight="1" spans="1:11">
      <c r="A367" s="303" t="s">
        <v>2</v>
      </c>
      <c r="B367" s="304">
        <f>IFERROR(VLOOKUP(K365,'2026.01'!A:Y,6,0),0)</f>
        <v>1027</v>
      </c>
      <c r="C367" s="304"/>
      <c r="D367" s="305" t="s">
        <v>3</v>
      </c>
      <c r="E367" s="305" t="str">
        <f>IFERROR(VLOOKUP(K365,'2026.01'!A:Y,7,0),0)</f>
        <v>范宏成</v>
      </c>
      <c r="F367" s="305"/>
      <c r="G367" s="306" t="s">
        <v>4</v>
      </c>
      <c r="K367" s="300"/>
    </row>
    <row r="368" ht="15" customHeight="1" spans="1:11">
      <c r="A368" s="307" t="s">
        <v>5</v>
      </c>
      <c r="B368" s="308" t="s">
        <v>6</v>
      </c>
      <c r="C368" s="308" t="s">
        <v>7</v>
      </c>
      <c r="D368" s="308" t="s">
        <v>8</v>
      </c>
      <c r="E368" s="308" t="s">
        <v>9</v>
      </c>
      <c r="F368" s="309" t="s">
        <v>10</v>
      </c>
      <c r="G368" s="310" t="s">
        <v>11</v>
      </c>
      <c r="K368" s="300"/>
    </row>
    <row r="369" ht="15" customHeight="1" spans="1:11">
      <c r="A369" s="307" t="s">
        <v>12</v>
      </c>
      <c r="B369" s="308">
        <f>IFERROR(VLOOKUP(K365,'2026.01'!A:Y,14,0),0)</f>
        <v>3403</v>
      </c>
      <c r="C369" s="308">
        <f>IFERROR(VLOOKUP(K365,'2026.01'!A:Y,13,0),0)</f>
        <v>3392</v>
      </c>
      <c r="D369" s="308">
        <f>IFERROR(VLOOKUP(K365,'2026.01'!A:Y,15,0),0)</f>
        <v>11</v>
      </c>
      <c r="E369" s="311">
        <f>IFERROR(VLOOKUP(K365,'2026.01'!A:Y,18,0),0)</f>
        <v>0.8</v>
      </c>
      <c r="F369" s="309">
        <f>IFERROR(VLOOKUP(K365,'2026.01'!A:Y,20,0),0)</f>
        <v>9</v>
      </c>
      <c r="G369" s="310"/>
      <c r="K369" s="300"/>
    </row>
    <row r="370" ht="15" customHeight="1" spans="1:11">
      <c r="A370" s="307" t="s">
        <v>13</v>
      </c>
      <c r="B370" s="308"/>
      <c r="C370" s="308"/>
      <c r="D370" s="308"/>
      <c r="E370" s="311"/>
      <c r="F370" s="309">
        <f>IFERROR(VLOOKUP(K365,'2026.01'!A:Y,24,0),0)</f>
        <v>43</v>
      </c>
      <c r="G370" s="310"/>
      <c r="K370" s="300"/>
    </row>
    <row r="371" ht="15" customHeight="1" spans="1:11">
      <c r="A371" s="307" t="s">
        <v>14</v>
      </c>
      <c r="B371" s="308"/>
      <c r="C371" s="308"/>
      <c r="D371" s="308"/>
      <c r="E371" s="311"/>
      <c r="F371" s="309">
        <f>IFERROR(VLOOKUP(K365,'2026.01'!A:Y,12,0),0)</f>
        <v>160</v>
      </c>
      <c r="G371" s="310"/>
      <c r="K371" s="300"/>
    </row>
    <row r="372" ht="21" customHeight="1" spans="1:11">
      <c r="A372" s="307" t="s">
        <v>15</v>
      </c>
      <c r="B372" s="308"/>
      <c r="C372" s="308"/>
      <c r="D372" s="308"/>
      <c r="E372" s="311"/>
      <c r="F372" s="309">
        <f>IFERROR(VLOOKUP(K365,'2026.01'!A:Y,9,0),0)</f>
        <v>4200</v>
      </c>
      <c r="G372" s="310"/>
      <c r="K372" s="300"/>
    </row>
    <row r="373" ht="19" customHeight="1" spans="1:11">
      <c r="A373" s="307" t="s">
        <v>16</v>
      </c>
      <c r="B373" s="308"/>
      <c r="C373" s="308"/>
      <c r="D373" s="308"/>
      <c r="E373" s="308"/>
      <c r="F373" s="309">
        <f>IFERROR(VLOOKUP(K365,'2026.01'!A:Y,10,0),0)</f>
        <v>500</v>
      </c>
      <c r="G373" s="310"/>
      <c r="K373" s="300"/>
    </row>
    <row r="374" ht="21" customHeight="1" spans="1:11">
      <c r="A374" s="307" t="s">
        <v>17</v>
      </c>
      <c r="B374" s="308"/>
      <c r="C374" s="308"/>
      <c r="D374" s="308"/>
      <c r="E374" s="308"/>
      <c r="F374" s="309">
        <f>IFERROR(VLOOKUP(K365,'2026.01'!A:Y,19,0),0)</f>
        <v>8</v>
      </c>
      <c r="G374" s="310"/>
      <c r="K374" s="300"/>
    </row>
    <row r="375" ht="17.15" customHeight="1" spans="1:11">
      <c r="A375" s="307" t="s">
        <v>18</v>
      </c>
      <c r="B375" s="308"/>
      <c r="C375" s="308"/>
      <c r="D375" s="308"/>
      <c r="E375" s="308"/>
      <c r="F375" s="309">
        <f>IFERROR(VLOOKUP(K365,'2026.01'!A:Y,22,0),0)</f>
        <v>228</v>
      </c>
      <c r="G375" s="310"/>
      <c r="K375" s="300"/>
    </row>
    <row r="376" ht="17.15" customHeight="1" spans="1:11">
      <c r="A376" s="307" t="s">
        <v>19</v>
      </c>
      <c r="B376" s="312"/>
      <c r="C376" s="308"/>
      <c r="D376" s="313"/>
      <c r="E376" s="308"/>
      <c r="F376" s="309">
        <f>IFERROR(VLOOKUP(K365,'2026.01'!A:Y,25,0),0)</f>
        <v>5148</v>
      </c>
      <c r="G376" s="310"/>
      <c r="K376" s="300"/>
    </row>
    <row r="377" ht="15" customHeight="1" spans="1:11">
      <c r="A377" s="314" t="s">
        <v>20</v>
      </c>
      <c r="B377" s="315">
        <f>IF(F376&lt;0,"金额为负，无效",INT(F376))</f>
        <v>5148</v>
      </c>
      <c r="C377" s="315"/>
      <c r="D377" s="315"/>
      <c r="E377" s="316" t="s">
        <v>21</v>
      </c>
      <c r="F377" s="317"/>
      <c r="G377" s="318"/>
      <c r="K377" s="300"/>
    </row>
    <row r="378" ht="15" customHeight="1" spans="1:11">
      <c r="A378" s="319"/>
      <c r="B378" s="320"/>
      <c r="C378" s="320"/>
      <c r="D378" s="320"/>
      <c r="E378" s="319"/>
      <c r="F378" s="321"/>
      <c r="G378" s="322"/>
      <c r="K378" s="300"/>
    </row>
    <row r="379" ht="27" customHeight="1" spans="1:11">
      <c r="A379" s="298" t="s">
        <v>0</v>
      </c>
      <c r="B379" s="298"/>
      <c r="C379" s="298"/>
      <c r="D379" s="298"/>
      <c r="E379" s="298"/>
      <c r="F379" s="298"/>
      <c r="G379" s="298"/>
      <c r="H379" s="299"/>
      <c r="I379" s="299"/>
      <c r="J379" s="299"/>
      <c r="K379" s="300">
        <v>28</v>
      </c>
    </row>
    <row r="380" ht="15" customHeight="1" spans="1:11">
      <c r="A380" s="301" t="s">
        <v>1</v>
      </c>
      <c r="B380" s="301"/>
      <c r="C380" s="301"/>
      <c r="D380" s="301"/>
      <c r="E380" s="301"/>
      <c r="F380" s="301"/>
      <c r="G380" s="302" t="str">
        <f>IFERROR(VLOOKUP(K379,'2026.01'!A:Y,2,0),0)</f>
        <v>NO:028</v>
      </c>
      <c r="K380" s="300"/>
    </row>
    <row r="381" ht="15" customHeight="1" spans="1:11">
      <c r="A381" s="303" t="s">
        <v>2</v>
      </c>
      <c r="B381" s="304">
        <f>IFERROR(VLOOKUP(K379,'2026.01'!A:Y,6,0),0)</f>
        <v>1028</v>
      </c>
      <c r="C381" s="304"/>
      <c r="D381" s="305" t="s">
        <v>3</v>
      </c>
      <c r="E381" s="305" t="str">
        <f>IFERROR(VLOOKUP(K379,'2026.01'!A:Y,7,0),0)</f>
        <v>阮文彬</v>
      </c>
      <c r="F381" s="305"/>
      <c r="G381" s="306" t="s">
        <v>4</v>
      </c>
      <c r="K381" s="300"/>
    </row>
    <row r="382" ht="15" customHeight="1" spans="1:11">
      <c r="A382" s="307" t="s">
        <v>5</v>
      </c>
      <c r="B382" s="308" t="s">
        <v>6</v>
      </c>
      <c r="C382" s="308" t="s">
        <v>7</v>
      </c>
      <c r="D382" s="308" t="s">
        <v>8</v>
      </c>
      <c r="E382" s="308" t="s">
        <v>9</v>
      </c>
      <c r="F382" s="309" t="s">
        <v>10</v>
      </c>
      <c r="G382" s="310" t="s">
        <v>11</v>
      </c>
      <c r="K382" s="300"/>
    </row>
    <row r="383" ht="15" customHeight="1" spans="1:11">
      <c r="A383" s="307" t="s">
        <v>12</v>
      </c>
      <c r="B383" s="308">
        <f>IFERROR(VLOOKUP(K379,'2026.01'!A:Y,14,0),0)</f>
        <v>8298</v>
      </c>
      <c r="C383" s="308">
        <f>IFERROR(VLOOKUP(K379,'2026.01'!A:Y,13,0),0)</f>
        <v>8257</v>
      </c>
      <c r="D383" s="308">
        <f>IFERROR(VLOOKUP(K379,'2026.01'!A:Y,15,0),0)</f>
        <v>41</v>
      </c>
      <c r="E383" s="311">
        <f>IFERROR(VLOOKUP(K379,'2026.01'!A:Y,18,0),0)</f>
        <v>0.8</v>
      </c>
      <c r="F383" s="309">
        <f>IFERROR(VLOOKUP(K379,'2026.01'!A:Y,20,0),0)</f>
        <v>33</v>
      </c>
      <c r="G383" s="310"/>
      <c r="K383" s="300"/>
    </row>
    <row r="384" ht="15" customHeight="1" spans="1:11">
      <c r="A384" s="307" t="s">
        <v>13</v>
      </c>
      <c r="B384" s="308"/>
      <c r="C384" s="308"/>
      <c r="D384" s="308"/>
      <c r="E384" s="311"/>
      <c r="F384" s="309">
        <f>IFERROR(VLOOKUP(K379,'2026.01'!A:Y,24,0),0)</f>
        <v>43</v>
      </c>
      <c r="G384" s="310"/>
      <c r="K384" s="300"/>
    </row>
    <row r="385" ht="15" customHeight="1" spans="1:11">
      <c r="A385" s="307" t="s">
        <v>14</v>
      </c>
      <c r="B385" s="308"/>
      <c r="C385" s="308"/>
      <c r="D385" s="308"/>
      <c r="E385" s="311"/>
      <c r="F385" s="309">
        <f>IFERROR(VLOOKUP(K379,'2026.01'!A:Y,12,0),0)</f>
        <v>160</v>
      </c>
      <c r="G385" s="310"/>
      <c r="K385" s="300"/>
    </row>
    <row r="386" ht="21" customHeight="1" spans="1:11">
      <c r="A386" s="307" t="s">
        <v>15</v>
      </c>
      <c r="B386" s="308"/>
      <c r="C386" s="308"/>
      <c r="D386" s="308"/>
      <c r="E386" s="311"/>
      <c r="F386" s="309">
        <f>IFERROR(VLOOKUP(K379,'2026.01'!A:Y,9,0),0)</f>
        <v>4200</v>
      </c>
      <c r="G386" s="310"/>
      <c r="K386" s="300"/>
    </row>
    <row r="387" ht="19" customHeight="1" spans="1:11">
      <c r="A387" s="307" t="s">
        <v>16</v>
      </c>
      <c r="B387" s="308"/>
      <c r="C387" s="308"/>
      <c r="D387" s="308"/>
      <c r="E387" s="308"/>
      <c r="F387" s="309">
        <f>IFERROR(VLOOKUP(K379,'2026.01'!A:Y,10,0),0)</f>
        <v>500</v>
      </c>
      <c r="G387" s="310"/>
      <c r="K387" s="300"/>
    </row>
    <row r="388" ht="21" customHeight="1" spans="1:11">
      <c r="A388" s="307" t="s">
        <v>17</v>
      </c>
      <c r="B388" s="308"/>
      <c r="C388" s="308"/>
      <c r="D388" s="308"/>
      <c r="E388" s="308"/>
      <c r="F388" s="309">
        <f>IFERROR(VLOOKUP(K379,'2026.01'!A:Y,19,0),0)</f>
        <v>29</v>
      </c>
      <c r="G388" s="310"/>
      <c r="K388" s="300"/>
    </row>
    <row r="389" ht="17.15" customHeight="1" spans="1:11">
      <c r="A389" s="307" t="s">
        <v>18</v>
      </c>
      <c r="B389" s="308"/>
      <c r="C389" s="308"/>
      <c r="D389" s="308"/>
      <c r="E389" s="308"/>
      <c r="F389" s="309">
        <f>IFERROR(VLOOKUP(K379,'2026.01'!A:Y,22,0),0)</f>
        <v>228</v>
      </c>
      <c r="G389" s="310"/>
      <c r="K389" s="300"/>
    </row>
    <row r="390" ht="17.15" customHeight="1" spans="1:11">
      <c r="A390" s="307" t="s">
        <v>19</v>
      </c>
      <c r="B390" s="312"/>
      <c r="C390" s="308"/>
      <c r="D390" s="313"/>
      <c r="E390" s="308"/>
      <c r="F390" s="309">
        <f>IFERROR(VLOOKUP(K379,'2026.01'!A:Y,25,0),0)</f>
        <v>5193</v>
      </c>
      <c r="G390" s="310"/>
      <c r="K390" s="300"/>
    </row>
    <row r="391" ht="15" customHeight="1" spans="1:11">
      <c r="A391" s="314" t="s">
        <v>20</v>
      </c>
      <c r="B391" s="315">
        <f>IF(F390&lt;0,"金额为负，无效",INT(F390))</f>
        <v>5193</v>
      </c>
      <c r="C391" s="315"/>
      <c r="D391" s="315"/>
      <c r="E391" s="316" t="s">
        <v>21</v>
      </c>
      <c r="F391" s="317"/>
      <c r="G391" s="318"/>
      <c r="K391" s="300"/>
    </row>
    <row r="392" ht="23" customHeight="1" spans="1:11">
      <c r="A392" s="319"/>
      <c r="B392" s="320"/>
      <c r="C392" s="320"/>
      <c r="D392" s="320"/>
      <c r="E392" s="319"/>
      <c r="F392" s="321"/>
      <c r="G392" s="322"/>
      <c r="K392" s="300"/>
    </row>
    <row r="393" ht="27" customHeight="1" spans="1:11">
      <c r="A393" s="298" t="s">
        <v>0</v>
      </c>
      <c r="B393" s="298"/>
      <c r="C393" s="298"/>
      <c r="D393" s="298"/>
      <c r="E393" s="298"/>
      <c r="F393" s="298"/>
      <c r="G393" s="298"/>
      <c r="H393" s="299"/>
      <c r="I393" s="299"/>
      <c r="J393" s="299"/>
      <c r="K393" s="300">
        <v>29</v>
      </c>
    </row>
    <row r="394" ht="15" customHeight="1" spans="1:11">
      <c r="A394" s="301" t="s">
        <v>1</v>
      </c>
      <c r="B394" s="301"/>
      <c r="C394" s="301"/>
      <c r="D394" s="301"/>
      <c r="E394" s="301"/>
      <c r="F394" s="301"/>
      <c r="G394" s="302" t="str">
        <f>IFERROR(VLOOKUP(K393,'2026.01'!A:Y,2,0),0)</f>
        <v>NO:029</v>
      </c>
      <c r="K394" s="300"/>
    </row>
    <row r="395" ht="15" customHeight="1" spans="1:11">
      <c r="A395" s="303" t="s">
        <v>2</v>
      </c>
      <c r="B395" s="304">
        <f>IFERROR(VLOOKUP(K393,'2026.01'!A:Y,6,0),0)</f>
        <v>1029</v>
      </c>
      <c r="C395" s="304"/>
      <c r="D395" s="305" t="s">
        <v>3</v>
      </c>
      <c r="E395" s="305" t="str">
        <f>IFERROR(VLOOKUP(K393,'2026.01'!A:Y,7,0),0)</f>
        <v>钟玲玲</v>
      </c>
      <c r="F395" s="305"/>
      <c r="G395" s="306" t="s">
        <v>4</v>
      </c>
      <c r="K395" s="300"/>
    </row>
    <row r="396" ht="15" customHeight="1" spans="1:11">
      <c r="A396" s="307" t="s">
        <v>5</v>
      </c>
      <c r="B396" s="308" t="s">
        <v>6</v>
      </c>
      <c r="C396" s="308" t="s">
        <v>7</v>
      </c>
      <c r="D396" s="308" t="s">
        <v>8</v>
      </c>
      <c r="E396" s="308" t="s">
        <v>9</v>
      </c>
      <c r="F396" s="309" t="s">
        <v>10</v>
      </c>
      <c r="G396" s="310" t="s">
        <v>11</v>
      </c>
      <c r="K396" s="300"/>
    </row>
    <row r="397" ht="15" customHeight="1" spans="1:11">
      <c r="A397" s="307" t="s">
        <v>12</v>
      </c>
      <c r="B397" s="308">
        <f>IFERROR(VLOOKUP(K393,'2026.01'!A:Y,14,0),0)</f>
        <v>5489</v>
      </c>
      <c r="C397" s="308">
        <f>IFERROR(VLOOKUP(K393,'2026.01'!A:Y,13,0),0)</f>
        <v>5452</v>
      </c>
      <c r="D397" s="308">
        <f>IFERROR(VLOOKUP(K393,'2026.01'!A:Y,15,0),0)</f>
        <v>37</v>
      </c>
      <c r="E397" s="311">
        <f>IFERROR(VLOOKUP(K393,'2026.01'!A:Y,18,0),0)</f>
        <v>0.8</v>
      </c>
      <c r="F397" s="309">
        <f>IFERROR(VLOOKUP(K393,'2026.01'!A:Y,20,0),0)</f>
        <v>30</v>
      </c>
      <c r="G397" s="310"/>
      <c r="K397" s="300"/>
    </row>
    <row r="398" ht="15" customHeight="1" spans="1:11">
      <c r="A398" s="307" t="s">
        <v>13</v>
      </c>
      <c r="B398" s="308"/>
      <c r="C398" s="308"/>
      <c r="D398" s="308"/>
      <c r="E398" s="311"/>
      <c r="F398" s="309">
        <f>IFERROR(VLOOKUP(K393,'2026.01'!A:Y,24,0),0)</f>
        <v>43</v>
      </c>
      <c r="G398" s="310"/>
      <c r="K398" s="300"/>
    </row>
    <row r="399" ht="15" customHeight="1" spans="1:11">
      <c r="A399" s="307" t="s">
        <v>14</v>
      </c>
      <c r="B399" s="308"/>
      <c r="C399" s="308"/>
      <c r="D399" s="308"/>
      <c r="E399" s="311"/>
      <c r="F399" s="309">
        <f>IFERROR(VLOOKUP(K393,'2026.01'!A:Y,12,0),0)</f>
        <v>160</v>
      </c>
      <c r="G399" s="310"/>
      <c r="K399" s="300"/>
    </row>
    <row r="400" ht="21" customHeight="1" spans="1:11">
      <c r="A400" s="307" t="s">
        <v>15</v>
      </c>
      <c r="B400" s="308"/>
      <c r="C400" s="308"/>
      <c r="D400" s="308"/>
      <c r="E400" s="311"/>
      <c r="F400" s="309">
        <f>IFERROR(VLOOKUP(K393,'2026.01'!A:Y,9,0),0)</f>
        <v>4200</v>
      </c>
      <c r="G400" s="310"/>
      <c r="K400" s="300"/>
    </row>
    <row r="401" ht="19" customHeight="1" spans="1:11">
      <c r="A401" s="307" t="s">
        <v>16</v>
      </c>
      <c r="B401" s="308"/>
      <c r="C401" s="308"/>
      <c r="D401" s="308"/>
      <c r="E401" s="308"/>
      <c r="F401" s="309">
        <f>IFERROR(VLOOKUP(K393,'2026.01'!A:Y,10,0),0)</f>
        <v>500</v>
      </c>
      <c r="G401" s="310"/>
      <c r="K401" s="300"/>
    </row>
    <row r="402" ht="21" customHeight="1" spans="1:11">
      <c r="A402" s="307" t="s">
        <v>17</v>
      </c>
      <c r="B402" s="308"/>
      <c r="C402" s="308"/>
      <c r="D402" s="308"/>
      <c r="E402" s="308"/>
      <c r="F402" s="309">
        <f>IFERROR(VLOOKUP(K393,'2026.01'!A:Y,19,0),0)</f>
        <v>26</v>
      </c>
      <c r="G402" s="310"/>
      <c r="K402" s="300"/>
    </row>
    <row r="403" ht="17.15" customHeight="1" spans="1:11">
      <c r="A403" s="307" t="s">
        <v>18</v>
      </c>
      <c r="B403" s="308"/>
      <c r="C403" s="308"/>
      <c r="D403" s="308"/>
      <c r="E403" s="308"/>
      <c r="F403" s="309">
        <f>IFERROR(VLOOKUP(K393,'2026.01'!A:Y,22,0),0)</f>
        <v>228</v>
      </c>
      <c r="G403" s="310"/>
      <c r="K403" s="300"/>
    </row>
    <row r="404" ht="17.15" customHeight="1" spans="1:11">
      <c r="A404" s="307" t="s">
        <v>19</v>
      </c>
      <c r="B404" s="312"/>
      <c r="C404" s="308"/>
      <c r="D404" s="313"/>
      <c r="E404" s="308"/>
      <c r="F404" s="309">
        <f>IFERROR(VLOOKUP(K393,'2026.01'!A:Y,25,0),0)</f>
        <v>5187</v>
      </c>
      <c r="G404" s="310"/>
      <c r="K404" s="300"/>
    </row>
    <row r="405" ht="15" customHeight="1" spans="1:11">
      <c r="A405" s="314" t="s">
        <v>20</v>
      </c>
      <c r="B405" s="315">
        <f>IF(F404&lt;0,"金额为负，无效",INT(F404))</f>
        <v>5187</v>
      </c>
      <c r="C405" s="315"/>
      <c r="D405" s="315"/>
      <c r="E405" s="316" t="s">
        <v>21</v>
      </c>
      <c r="F405" s="317"/>
      <c r="G405" s="318"/>
      <c r="K405" s="300"/>
    </row>
    <row r="406" ht="23" customHeight="1" spans="1:11">
      <c r="A406" s="319"/>
      <c r="B406" s="320"/>
      <c r="C406" s="320"/>
      <c r="D406" s="320"/>
      <c r="E406" s="319"/>
      <c r="F406" s="321"/>
      <c r="G406" s="322"/>
      <c r="K406" s="300"/>
    </row>
    <row r="407" ht="27" customHeight="1" spans="1:11">
      <c r="A407" s="298" t="s">
        <v>0</v>
      </c>
      <c r="B407" s="298"/>
      <c r="C407" s="298"/>
      <c r="D407" s="298"/>
      <c r="E407" s="298"/>
      <c r="F407" s="298"/>
      <c r="G407" s="298"/>
      <c r="H407" s="299"/>
      <c r="I407" s="299"/>
      <c r="J407" s="299"/>
      <c r="K407" s="300">
        <v>30</v>
      </c>
    </row>
    <row r="408" ht="15" customHeight="1" spans="1:11">
      <c r="A408" s="301" t="s">
        <v>1</v>
      </c>
      <c r="B408" s="301"/>
      <c r="C408" s="301"/>
      <c r="D408" s="301"/>
      <c r="E408" s="301"/>
      <c r="F408" s="301"/>
      <c r="G408" s="302" t="str">
        <f>IFERROR(VLOOKUP(K407,'2026.01'!A:Y,2,0),0)</f>
        <v>NO:030</v>
      </c>
      <c r="K408" s="300"/>
    </row>
    <row r="409" ht="15" customHeight="1" spans="1:11">
      <c r="A409" s="303" t="s">
        <v>2</v>
      </c>
      <c r="B409" s="304">
        <f>IFERROR(VLOOKUP(K407,'2026.01'!A:Y,6,0),0)</f>
        <v>1030</v>
      </c>
      <c r="C409" s="304"/>
      <c r="D409" s="305" t="s">
        <v>3</v>
      </c>
      <c r="E409" s="305" t="str">
        <f>IFERROR(VLOOKUP(K407,'2026.01'!A:Y,7,0),0)</f>
        <v>覃燕芬</v>
      </c>
      <c r="F409" s="305"/>
      <c r="G409" s="306" t="s">
        <v>4</v>
      </c>
      <c r="K409" s="300"/>
    </row>
    <row r="410" ht="15" customHeight="1" spans="1:11">
      <c r="A410" s="307" t="s">
        <v>5</v>
      </c>
      <c r="B410" s="308" t="s">
        <v>6</v>
      </c>
      <c r="C410" s="308" t="s">
        <v>7</v>
      </c>
      <c r="D410" s="308" t="s">
        <v>8</v>
      </c>
      <c r="E410" s="308" t="s">
        <v>9</v>
      </c>
      <c r="F410" s="309" t="s">
        <v>10</v>
      </c>
      <c r="G410" s="310" t="s">
        <v>11</v>
      </c>
      <c r="K410" s="300"/>
    </row>
    <row r="411" ht="15" customHeight="1" spans="1:11">
      <c r="A411" s="307" t="s">
        <v>12</v>
      </c>
      <c r="B411" s="308">
        <f>IFERROR(VLOOKUP(K407,'2026.01'!A:Y,14,0),0)</f>
        <v>5761</v>
      </c>
      <c r="C411" s="308">
        <f>IFERROR(VLOOKUP(K407,'2026.01'!A:Y,13,0),0)</f>
        <v>5699</v>
      </c>
      <c r="D411" s="308">
        <f>IFERROR(VLOOKUP(K407,'2026.01'!A:Y,15,0),0)</f>
        <v>62</v>
      </c>
      <c r="E411" s="311">
        <f>IFERROR(VLOOKUP(K407,'2026.01'!A:Y,18,0),0)</f>
        <v>0.8</v>
      </c>
      <c r="F411" s="309">
        <f>IFERROR(VLOOKUP(K407,'2026.01'!A:Y,20,0),0)</f>
        <v>50</v>
      </c>
      <c r="G411" s="310"/>
      <c r="K411" s="300"/>
    </row>
    <row r="412" ht="15" customHeight="1" spans="1:11">
      <c r="A412" s="307" t="s">
        <v>13</v>
      </c>
      <c r="B412" s="308"/>
      <c r="C412" s="308"/>
      <c r="D412" s="308"/>
      <c r="E412" s="311"/>
      <c r="F412" s="309">
        <f>IFERROR(VLOOKUP(K407,'2026.01'!A:Y,24,0),0)</f>
        <v>43</v>
      </c>
      <c r="G412" s="310"/>
      <c r="K412" s="300"/>
    </row>
    <row r="413" ht="15" customHeight="1" spans="1:11">
      <c r="A413" s="307" t="s">
        <v>14</v>
      </c>
      <c r="B413" s="308"/>
      <c r="C413" s="308"/>
      <c r="D413" s="308"/>
      <c r="E413" s="311"/>
      <c r="F413" s="309">
        <f>IFERROR(VLOOKUP(K407,'2026.01'!A:Y,12,0),0)</f>
        <v>160</v>
      </c>
      <c r="G413" s="310"/>
      <c r="K413" s="300"/>
    </row>
    <row r="414" ht="21" customHeight="1" spans="1:11">
      <c r="A414" s="307" t="s">
        <v>15</v>
      </c>
      <c r="B414" s="308"/>
      <c r="C414" s="308"/>
      <c r="D414" s="308"/>
      <c r="E414" s="311"/>
      <c r="F414" s="309">
        <f>IFERROR(VLOOKUP(K407,'2026.01'!A:Y,9,0),0)</f>
        <v>4200</v>
      </c>
      <c r="G414" s="310"/>
      <c r="K414" s="300"/>
    </row>
    <row r="415" ht="19" customHeight="1" spans="1:11">
      <c r="A415" s="307" t="s">
        <v>16</v>
      </c>
      <c r="B415" s="308"/>
      <c r="C415" s="308"/>
      <c r="D415" s="308"/>
      <c r="E415" s="308"/>
      <c r="F415" s="309">
        <f>IFERROR(VLOOKUP(K407,'2026.01'!A:Y,10,0),0)</f>
        <v>500</v>
      </c>
      <c r="G415" s="310"/>
      <c r="K415" s="300"/>
    </row>
    <row r="416" ht="21" customHeight="1" spans="1:11">
      <c r="A416" s="307" t="s">
        <v>17</v>
      </c>
      <c r="B416" s="308"/>
      <c r="C416" s="308"/>
      <c r="D416" s="308"/>
      <c r="E416" s="308"/>
      <c r="F416" s="309">
        <f>IFERROR(VLOOKUP(K407,'2026.01'!A:Y,19,0),0)</f>
        <v>43</v>
      </c>
      <c r="G416" s="310"/>
      <c r="K416" s="300"/>
    </row>
    <row r="417" ht="17.15" customHeight="1" spans="1:11">
      <c r="A417" s="307" t="s">
        <v>18</v>
      </c>
      <c r="B417" s="308"/>
      <c r="C417" s="308"/>
      <c r="D417" s="308"/>
      <c r="E417" s="308"/>
      <c r="F417" s="309">
        <f>IFERROR(VLOOKUP(K407,'2026.01'!A:Y,22,0),0)</f>
        <v>228</v>
      </c>
      <c r="G417" s="310"/>
      <c r="K417" s="300"/>
    </row>
    <row r="418" ht="17.15" customHeight="1" spans="1:11">
      <c r="A418" s="307" t="s">
        <v>19</v>
      </c>
      <c r="B418" s="312"/>
      <c r="C418" s="308"/>
      <c r="D418" s="313"/>
      <c r="E418" s="308"/>
      <c r="F418" s="309">
        <f>IFERROR(VLOOKUP(K407,'2026.01'!A:Y,25,0),0)</f>
        <v>5224</v>
      </c>
      <c r="G418" s="310"/>
      <c r="K418" s="300"/>
    </row>
    <row r="419" ht="15" customHeight="1" spans="1:11">
      <c r="A419" s="314" t="s">
        <v>20</v>
      </c>
      <c r="B419" s="315">
        <f>IF(F418&lt;0,"金额为负，无效",INT(F418))</f>
        <v>5224</v>
      </c>
      <c r="C419" s="315"/>
      <c r="D419" s="315"/>
      <c r="E419" s="316" t="s">
        <v>21</v>
      </c>
      <c r="F419" s="317"/>
      <c r="G419" s="318"/>
      <c r="K419" s="300"/>
    </row>
    <row r="420" ht="15" customHeight="1" spans="1:11">
      <c r="A420" s="319"/>
      <c r="B420" s="320"/>
      <c r="C420" s="320"/>
      <c r="D420" s="320"/>
      <c r="E420" s="319"/>
      <c r="F420" s="321"/>
      <c r="G420" s="322"/>
      <c r="K420" s="300"/>
    </row>
    <row r="421" ht="27" customHeight="1" spans="1:11">
      <c r="A421" s="298" t="s">
        <v>0</v>
      </c>
      <c r="B421" s="298"/>
      <c r="C421" s="298"/>
      <c r="D421" s="298"/>
      <c r="E421" s="298"/>
      <c r="F421" s="298"/>
      <c r="G421" s="298"/>
      <c r="H421" s="299"/>
      <c r="I421" s="299"/>
      <c r="J421" s="299"/>
      <c r="K421" s="300">
        <v>31</v>
      </c>
    </row>
    <row r="422" ht="15" customHeight="1" spans="1:11">
      <c r="A422" s="301" t="s">
        <v>1</v>
      </c>
      <c r="B422" s="301"/>
      <c r="C422" s="301"/>
      <c r="D422" s="301"/>
      <c r="E422" s="301"/>
      <c r="F422" s="301"/>
      <c r="G422" s="302" t="str">
        <f>IFERROR(VLOOKUP(K421,'2026.01'!A:Y,2,0),0)</f>
        <v>NO:031</v>
      </c>
      <c r="K422" s="300"/>
    </row>
    <row r="423" ht="15" customHeight="1" spans="1:11">
      <c r="A423" s="303" t="s">
        <v>2</v>
      </c>
      <c r="B423" s="304">
        <f>IFERROR(VLOOKUP(K421,'2026.01'!A:Y,6,0),0)</f>
        <v>1031</v>
      </c>
      <c r="C423" s="304"/>
      <c r="D423" s="305" t="s">
        <v>3</v>
      </c>
      <c r="E423" s="305" t="str">
        <f>IFERROR(VLOOKUP(K421,'2026.01'!A:Y,7,0),0)</f>
        <v>陈恳</v>
      </c>
      <c r="F423" s="305"/>
      <c r="G423" s="306" t="s">
        <v>4</v>
      </c>
      <c r="K423" s="300"/>
    </row>
    <row r="424" ht="15" customHeight="1" spans="1:11">
      <c r="A424" s="307" t="s">
        <v>5</v>
      </c>
      <c r="B424" s="308" t="s">
        <v>6</v>
      </c>
      <c r="C424" s="308" t="s">
        <v>7</v>
      </c>
      <c r="D424" s="308" t="s">
        <v>8</v>
      </c>
      <c r="E424" s="308" t="s">
        <v>9</v>
      </c>
      <c r="F424" s="309" t="s">
        <v>10</v>
      </c>
      <c r="G424" s="310" t="s">
        <v>11</v>
      </c>
      <c r="K424" s="300"/>
    </row>
    <row r="425" ht="15" customHeight="1" spans="1:11">
      <c r="A425" s="307" t="s">
        <v>12</v>
      </c>
      <c r="B425" s="308">
        <f>IFERROR(VLOOKUP(K421,'2026.01'!A:Y,14,0),0)</f>
        <v>6375</v>
      </c>
      <c r="C425" s="308">
        <f>IFERROR(VLOOKUP(K421,'2026.01'!A:Y,13,0),0)</f>
        <v>6328</v>
      </c>
      <c r="D425" s="308">
        <f>IFERROR(VLOOKUP(K421,'2026.01'!A:Y,15,0),0)</f>
        <v>47</v>
      </c>
      <c r="E425" s="311">
        <f>IFERROR(VLOOKUP(K421,'2026.01'!A:Y,18,0),0)</f>
        <v>0.8</v>
      </c>
      <c r="F425" s="309">
        <f>IFERROR(VLOOKUP(K421,'2026.01'!A:Y,20,0),0)</f>
        <v>38</v>
      </c>
      <c r="G425" s="310"/>
      <c r="K425" s="300"/>
    </row>
    <row r="426" ht="15" customHeight="1" spans="1:11">
      <c r="A426" s="307" t="s">
        <v>13</v>
      </c>
      <c r="B426" s="308"/>
      <c r="C426" s="308"/>
      <c r="D426" s="308"/>
      <c r="E426" s="311"/>
      <c r="F426" s="309">
        <f>IFERROR(VLOOKUP(K421,'2026.01'!A:Y,24,0),0)</f>
        <v>43</v>
      </c>
      <c r="G426" s="310"/>
      <c r="K426" s="300"/>
    </row>
    <row r="427" ht="15" customHeight="1" spans="1:11">
      <c r="A427" s="307" t="s">
        <v>14</v>
      </c>
      <c r="B427" s="308"/>
      <c r="C427" s="308"/>
      <c r="D427" s="308"/>
      <c r="E427" s="311"/>
      <c r="F427" s="309">
        <f>IFERROR(VLOOKUP(K421,'2026.01'!A:Y,12,0),0)</f>
        <v>160</v>
      </c>
      <c r="G427" s="310"/>
      <c r="K427" s="300"/>
    </row>
    <row r="428" ht="21" customHeight="1" spans="1:11">
      <c r="A428" s="307" t="s">
        <v>15</v>
      </c>
      <c r="B428" s="308"/>
      <c r="C428" s="308"/>
      <c r="D428" s="308"/>
      <c r="E428" s="311"/>
      <c r="F428" s="309">
        <f>IFERROR(VLOOKUP(K421,'2026.01'!A:Y,9,0),0)</f>
        <v>4200</v>
      </c>
      <c r="G428" s="310"/>
      <c r="K428" s="300"/>
    </row>
    <row r="429" ht="19" customHeight="1" spans="1:11">
      <c r="A429" s="307" t="s">
        <v>16</v>
      </c>
      <c r="B429" s="308"/>
      <c r="C429" s="308"/>
      <c r="D429" s="308"/>
      <c r="E429" s="308"/>
      <c r="F429" s="309">
        <f>IFERROR(VLOOKUP(K421,'2026.01'!A:Y,10,0),0)</f>
        <v>500</v>
      </c>
      <c r="G429" s="310"/>
      <c r="K429" s="300"/>
    </row>
    <row r="430" ht="21" customHeight="1" spans="1:11">
      <c r="A430" s="307" t="s">
        <v>17</v>
      </c>
      <c r="B430" s="308"/>
      <c r="C430" s="308"/>
      <c r="D430" s="308"/>
      <c r="E430" s="308"/>
      <c r="F430" s="309">
        <f>IFERROR(VLOOKUP(K421,'2026.01'!A:Y,19,0),0)</f>
        <v>33</v>
      </c>
      <c r="G430" s="310"/>
      <c r="K430" s="300"/>
    </row>
    <row r="431" ht="17.15" customHeight="1" spans="1:11">
      <c r="A431" s="307" t="s">
        <v>18</v>
      </c>
      <c r="B431" s="308"/>
      <c r="C431" s="308"/>
      <c r="D431" s="308"/>
      <c r="E431" s="308"/>
      <c r="F431" s="309">
        <f>IFERROR(VLOOKUP(K421,'2026.01'!A:Y,22,0),0)</f>
        <v>200</v>
      </c>
      <c r="G431" s="310"/>
      <c r="K431" s="300"/>
    </row>
    <row r="432" ht="17.15" customHeight="1" spans="1:11">
      <c r="A432" s="307" t="s">
        <v>19</v>
      </c>
      <c r="B432" s="312"/>
      <c r="C432" s="308"/>
      <c r="D432" s="313"/>
      <c r="E432" s="308"/>
      <c r="F432" s="309">
        <f>IFERROR(VLOOKUP(K421,'2026.01'!A:Y,25,0),0)</f>
        <v>5174</v>
      </c>
      <c r="G432" s="310"/>
      <c r="K432" s="300"/>
    </row>
    <row r="433" ht="15" customHeight="1" spans="1:11">
      <c r="A433" s="314" t="s">
        <v>20</v>
      </c>
      <c r="B433" s="315">
        <f>IF(F432&lt;0,"金额为负，无效",INT(F432))</f>
        <v>5174</v>
      </c>
      <c r="C433" s="315"/>
      <c r="D433" s="315"/>
      <c r="E433" s="316" t="s">
        <v>21</v>
      </c>
      <c r="F433" s="317"/>
      <c r="G433" s="318"/>
      <c r="K433" s="300"/>
    </row>
    <row r="434" ht="23" customHeight="1" spans="1:11">
      <c r="A434" s="319"/>
      <c r="B434" s="320"/>
      <c r="C434" s="320"/>
      <c r="D434" s="320"/>
      <c r="E434" s="319"/>
      <c r="F434" s="321"/>
      <c r="G434" s="322"/>
      <c r="K434" s="300"/>
    </row>
    <row r="435" ht="27" customHeight="1" spans="1:11">
      <c r="A435" s="298" t="s">
        <v>0</v>
      </c>
      <c r="B435" s="298"/>
      <c r="C435" s="298"/>
      <c r="D435" s="298"/>
      <c r="E435" s="298"/>
      <c r="F435" s="298"/>
      <c r="G435" s="298"/>
      <c r="H435" s="299"/>
      <c r="I435" s="299"/>
      <c r="J435" s="299"/>
      <c r="K435" s="300">
        <v>32</v>
      </c>
    </row>
    <row r="436" ht="15" customHeight="1" spans="1:11">
      <c r="A436" s="301" t="s">
        <v>1</v>
      </c>
      <c r="B436" s="301"/>
      <c r="C436" s="301"/>
      <c r="D436" s="301"/>
      <c r="E436" s="301"/>
      <c r="F436" s="301"/>
      <c r="G436" s="302" t="str">
        <f>IFERROR(VLOOKUP(K435,'2026.01'!A:Y,2,0),0)</f>
        <v>NO:032</v>
      </c>
      <c r="K436" s="300"/>
    </row>
    <row r="437" ht="15" customHeight="1" spans="1:11">
      <c r="A437" s="303" t="s">
        <v>2</v>
      </c>
      <c r="B437" s="304">
        <f>IFERROR(VLOOKUP(K435,'2026.01'!A:Y,6,0),0)</f>
        <v>1032</v>
      </c>
      <c r="C437" s="304"/>
      <c r="D437" s="305" t="s">
        <v>3</v>
      </c>
      <c r="E437" s="305" t="str">
        <f>IFERROR(VLOOKUP(K435,'2026.01'!A:Y,7,0),0)</f>
        <v>范琼静</v>
      </c>
      <c r="F437" s="305"/>
      <c r="G437" s="306" t="s">
        <v>4</v>
      </c>
      <c r="K437" s="300"/>
    </row>
    <row r="438" ht="15" customHeight="1" spans="1:11">
      <c r="A438" s="307" t="s">
        <v>5</v>
      </c>
      <c r="B438" s="308" t="s">
        <v>6</v>
      </c>
      <c r="C438" s="308" t="s">
        <v>7</v>
      </c>
      <c r="D438" s="308" t="s">
        <v>8</v>
      </c>
      <c r="E438" s="308" t="s">
        <v>9</v>
      </c>
      <c r="F438" s="309" t="s">
        <v>10</v>
      </c>
      <c r="G438" s="310" t="s">
        <v>11</v>
      </c>
      <c r="K438" s="300"/>
    </row>
    <row r="439" ht="15" customHeight="1" spans="1:11">
      <c r="A439" s="307" t="s">
        <v>12</v>
      </c>
      <c r="B439" s="308">
        <f>IFERROR(VLOOKUP(K435,'2026.01'!A:Y,14,0),0)</f>
        <v>6025</v>
      </c>
      <c r="C439" s="308">
        <f>IFERROR(VLOOKUP(K435,'2026.01'!A:Y,13,0),0)</f>
        <v>5983</v>
      </c>
      <c r="D439" s="308">
        <f>IFERROR(VLOOKUP(K435,'2026.01'!A:Y,15,0),0)</f>
        <v>42</v>
      </c>
      <c r="E439" s="311">
        <f>IFERROR(VLOOKUP(K435,'2026.01'!A:Y,18,0),0)</f>
        <v>0.8</v>
      </c>
      <c r="F439" s="309">
        <f>IFERROR(VLOOKUP(K435,'2026.01'!A:Y,20,0),0)</f>
        <v>34</v>
      </c>
      <c r="G439" s="310"/>
      <c r="K439" s="300"/>
    </row>
    <row r="440" ht="15" customHeight="1" spans="1:11">
      <c r="A440" s="307" t="s">
        <v>13</v>
      </c>
      <c r="B440" s="308"/>
      <c r="C440" s="308"/>
      <c r="D440" s="308"/>
      <c r="E440" s="311"/>
      <c r="F440" s="309">
        <f>IFERROR(VLOOKUP(K435,'2026.01'!A:Y,24,0),0)</f>
        <v>43</v>
      </c>
      <c r="G440" s="310"/>
      <c r="K440" s="300"/>
    </row>
    <row r="441" ht="15" customHeight="1" spans="1:11">
      <c r="A441" s="307" t="s">
        <v>14</v>
      </c>
      <c r="B441" s="308"/>
      <c r="C441" s="308"/>
      <c r="D441" s="308"/>
      <c r="E441" s="311"/>
      <c r="F441" s="309">
        <f>IFERROR(VLOOKUP(K435,'2026.01'!A:Y,12,0),0)</f>
        <v>160</v>
      </c>
      <c r="G441" s="310"/>
      <c r="K441" s="300"/>
    </row>
    <row r="442" ht="21" customHeight="1" spans="1:11">
      <c r="A442" s="307" t="s">
        <v>15</v>
      </c>
      <c r="B442" s="308"/>
      <c r="C442" s="308"/>
      <c r="D442" s="308"/>
      <c r="E442" s="311"/>
      <c r="F442" s="309">
        <f>IFERROR(VLOOKUP(K435,'2026.01'!A:Y,9,0),0)</f>
        <v>4200</v>
      </c>
      <c r="G442" s="310"/>
      <c r="K442" s="300"/>
    </row>
    <row r="443" ht="19" customHeight="1" spans="1:11">
      <c r="A443" s="307" t="s">
        <v>16</v>
      </c>
      <c r="B443" s="308"/>
      <c r="C443" s="308"/>
      <c r="D443" s="308"/>
      <c r="E443" s="308"/>
      <c r="F443" s="309">
        <f>IFERROR(VLOOKUP(K435,'2026.01'!A:Y,10,0),0)</f>
        <v>500</v>
      </c>
      <c r="G443" s="310"/>
      <c r="K443" s="300"/>
    </row>
    <row r="444" ht="21" customHeight="1" spans="1:11">
      <c r="A444" s="307" t="s">
        <v>17</v>
      </c>
      <c r="B444" s="308"/>
      <c r="C444" s="308"/>
      <c r="D444" s="308"/>
      <c r="E444" s="308"/>
      <c r="F444" s="309">
        <f>IFERROR(VLOOKUP(K435,'2026.01'!A:Y,19,0),0)</f>
        <v>29</v>
      </c>
      <c r="G444" s="310"/>
      <c r="K444" s="300"/>
    </row>
    <row r="445" ht="17.15" customHeight="1" spans="1:11">
      <c r="A445" s="307" t="s">
        <v>18</v>
      </c>
      <c r="B445" s="308"/>
      <c r="C445" s="308"/>
      <c r="D445" s="308"/>
      <c r="E445" s="308"/>
      <c r="F445" s="309">
        <f>IFERROR(VLOOKUP(K435,'2026.01'!A:Y,22,0),0)</f>
        <v>228</v>
      </c>
      <c r="G445" s="310"/>
      <c r="K445" s="300"/>
    </row>
    <row r="446" ht="17.15" customHeight="1" spans="1:11">
      <c r="A446" s="307" t="s">
        <v>19</v>
      </c>
      <c r="B446" s="312"/>
      <c r="C446" s="308"/>
      <c r="D446" s="313"/>
      <c r="E446" s="308"/>
      <c r="F446" s="309">
        <f>IFERROR(VLOOKUP(K435,'2026.01'!A:Y,25,0),0)</f>
        <v>5194</v>
      </c>
      <c r="G446" s="310"/>
      <c r="K446" s="300"/>
    </row>
    <row r="447" ht="15" customHeight="1" spans="1:11">
      <c r="A447" s="314" t="s">
        <v>20</v>
      </c>
      <c r="B447" s="315">
        <f>IF(F446&lt;0,"金额为负，无效",INT(F446))</f>
        <v>5194</v>
      </c>
      <c r="C447" s="315"/>
      <c r="D447" s="315"/>
      <c r="E447" s="316" t="s">
        <v>21</v>
      </c>
      <c r="F447" s="317"/>
      <c r="G447" s="318"/>
      <c r="K447" s="300"/>
    </row>
    <row r="448" ht="23" customHeight="1" spans="1:11">
      <c r="A448" s="319"/>
      <c r="B448" s="320"/>
      <c r="C448" s="320"/>
      <c r="D448" s="320"/>
      <c r="E448" s="319"/>
      <c r="F448" s="321"/>
      <c r="G448" s="322"/>
      <c r="K448" s="300"/>
    </row>
    <row r="449" ht="27" customHeight="1" spans="1:11">
      <c r="A449" s="298" t="s">
        <v>0</v>
      </c>
      <c r="B449" s="298"/>
      <c r="C449" s="298"/>
      <c r="D449" s="298"/>
      <c r="E449" s="298"/>
      <c r="F449" s="298"/>
      <c r="G449" s="298"/>
      <c r="H449" s="299"/>
      <c r="I449" s="299"/>
      <c r="J449" s="299"/>
      <c r="K449" s="300">
        <v>33</v>
      </c>
    </row>
    <row r="450" ht="15" customHeight="1" spans="1:11">
      <c r="A450" s="301" t="s">
        <v>1</v>
      </c>
      <c r="B450" s="301"/>
      <c r="C450" s="301"/>
      <c r="D450" s="301"/>
      <c r="E450" s="301"/>
      <c r="F450" s="301"/>
      <c r="G450" s="302" t="str">
        <f>IFERROR(VLOOKUP(K449,'2026.01'!A:Y,2,0),0)</f>
        <v>NO:033</v>
      </c>
      <c r="K450" s="300"/>
    </row>
    <row r="451" ht="15" customHeight="1" spans="1:11">
      <c r="A451" s="303" t="s">
        <v>2</v>
      </c>
      <c r="B451" s="304">
        <f>IFERROR(VLOOKUP(K449,'2026.01'!A:Y,6,0),0)</f>
        <v>1033</v>
      </c>
      <c r="C451" s="304"/>
      <c r="D451" s="305" t="s">
        <v>3</v>
      </c>
      <c r="E451" s="305" t="str">
        <f>IFERROR(VLOOKUP(K449,'2026.01'!A:Y,7,0),0)</f>
        <v>蔡安琦</v>
      </c>
      <c r="F451" s="305"/>
      <c r="G451" s="306" t="s">
        <v>4</v>
      </c>
      <c r="K451" s="300"/>
    </row>
    <row r="452" ht="15" customHeight="1" spans="1:11">
      <c r="A452" s="307" t="s">
        <v>5</v>
      </c>
      <c r="B452" s="308" t="s">
        <v>6</v>
      </c>
      <c r="C452" s="308" t="s">
        <v>7</v>
      </c>
      <c r="D452" s="308" t="s">
        <v>8</v>
      </c>
      <c r="E452" s="308" t="s">
        <v>9</v>
      </c>
      <c r="F452" s="309" t="s">
        <v>10</v>
      </c>
      <c r="G452" s="310" t="s">
        <v>11</v>
      </c>
      <c r="K452" s="300"/>
    </row>
    <row r="453" ht="15" customHeight="1" spans="1:11">
      <c r="A453" s="307" t="s">
        <v>12</v>
      </c>
      <c r="B453" s="308">
        <f>IFERROR(VLOOKUP(K449,'2026.01'!A:Y,14,0),0)</f>
        <v>9253</v>
      </c>
      <c r="C453" s="308">
        <f>IFERROR(VLOOKUP(K449,'2026.01'!A:Y,13,0),0)</f>
        <v>9222</v>
      </c>
      <c r="D453" s="308">
        <f>IFERROR(VLOOKUP(K449,'2026.01'!A:Y,15,0),0)</f>
        <v>31</v>
      </c>
      <c r="E453" s="311">
        <f>IFERROR(VLOOKUP(K449,'2026.01'!A:Y,18,0),0)</f>
        <v>0.8</v>
      </c>
      <c r="F453" s="309">
        <f>IFERROR(VLOOKUP(K449,'2026.01'!A:Y,20,0),0)</f>
        <v>25</v>
      </c>
      <c r="G453" s="310"/>
      <c r="K453" s="300"/>
    </row>
    <row r="454" ht="15" customHeight="1" spans="1:11">
      <c r="A454" s="307" t="s">
        <v>13</v>
      </c>
      <c r="B454" s="308"/>
      <c r="C454" s="308"/>
      <c r="D454" s="308"/>
      <c r="E454" s="311"/>
      <c r="F454" s="309">
        <f>IFERROR(VLOOKUP(K449,'2026.01'!A:Y,24,0),0)</f>
        <v>43</v>
      </c>
      <c r="G454" s="310"/>
      <c r="K454" s="300"/>
    </row>
    <row r="455" ht="15" customHeight="1" spans="1:11">
      <c r="A455" s="307" t="s">
        <v>14</v>
      </c>
      <c r="B455" s="308"/>
      <c r="C455" s="308"/>
      <c r="D455" s="308"/>
      <c r="E455" s="311"/>
      <c r="F455" s="309">
        <f>IFERROR(VLOOKUP(K449,'2026.01'!A:Y,12,0),0)</f>
        <v>160</v>
      </c>
      <c r="G455" s="310"/>
      <c r="K455" s="300"/>
    </row>
    <row r="456" ht="21" customHeight="1" spans="1:11">
      <c r="A456" s="307" t="s">
        <v>15</v>
      </c>
      <c r="B456" s="308"/>
      <c r="C456" s="308"/>
      <c r="D456" s="308"/>
      <c r="E456" s="311"/>
      <c r="F456" s="309">
        <f>IFERROR(VLOOKUP(K449,'2026.01'!A:Y,9,0),0)</f>
        <v>4200</v>
      </c>
      <c r="G456" s="310"/>
      <c r="K456" s="300"/>
    </row>
    <row r="457" ht="19" customHeight="1" spans="1:11">
      <c r="A457" s="307" t="s">
        <v>16</v>
      </c>
      <c r="B457" s="308"/>
      <c r="C457" s="308"/>
      <c r="D457" s="308"/>
      <c r="E457" s="308"/>
      <c r="F457" s="309">
        <f>IFERROR(VLOOKUP(K449,'2026.01'!A:Y,10,0),0)</f>
        <v>500</v>
      </c>
      <c r="G457" s="310"/>
      <c r="K457" s="300"/>
    </row>
    <row r="458" ht="21" customHeight="1" spans="1:11">
      <c r="A458" s="307" t="s">
        <v>17</v>
      </c>
      <c r="B458" s="308"/>
      <c r="C458" s="308"/>
      <c r="D458" s="308"/>
      <c r="E458" s="308"/>
      <c r="F458" s="309">
        <f>IFERROR(VLOOKUP(K449,'2026.01'!A:Y,19,0),0)</f>
        <v>22</v>
      </c>
      <c r="G458" s="310"/>
      <c r="K458" s="300"/>
    </row>
    <row r="459" ht="17.15" customHeight="1" spans="1:11">
      <c r="A459" s="307" t="s">
        <v>18</v>
      </c>
      <c r="B459" s="308"/>
      <c r="C459" s="308"/>
      <c r="D459" s="308"/>
      <c r="E459" s="308"/>
      <c r="F459" s="309">
        <f>IFERROR(VLOOKUP(K449,'2026.01'!A:Y,22,0),0)</f>
        <v>228</v>
      </c>
      <c r="G459" s="310"/>
      <c r="K459" s="300"/>
    </row>
    <row r="460" ht="17.15" customHeight="1" spans="1:11">
      <c r="A460" s="307" t="s">
        <v>19</v>
      </c>
      <c r="B460" s="312"/>
      <c r="C460" s="308"/>
      <c r="D460" s="313"/>
      <c r="E460" s="308"/>
      <c r="F460" s="309">
        <f>IFERROR(VLOOKUP(K449,'2026.01'!A:Y,25,0),0)</f>
        <v>5178</v>
      </c>
      <c r="G460" s="310"/>
      <c r="K460" s="300"/>
    </row>
    <row r="461" ht="15" customHeight="1" spans="1:11">
      <c r="A461" s="314" t="s">
        <v>20</v>
      </c>
      <c r="B461" s="315">
        <f>IF(F460&lt;0,"金额为负，无效",INT(F460))</f>
        <v>5178</v>
      </c>
      <c r="C461" s="315"/>
      <c r="D461" s="315"/>
      <c r="E461" s="316" t="s">
        <v>21</v>
      </c>
      <c r="F461" s="317"/>
      <c r="G461" s="318"/>
      <c r="K461" s="300"/>
    </row>
    <row r="462" ht="15" customHeight="1" spans="1:11">
      <c r="A462" s="319"/>
      <c r="B462" s="320"/>
      <c r="C462" s="320"/>
      <c r="D462" s="320"/>
      <c r="E462" s="319"/>
      <c r="F462" s="321"/>
      <c r="G462" s="322"/>
      <c r="K462" s="300"/>
    </row>
    <row r="463" ht="27" customHeight="1" spans="1:11">
      <c r="A463" s="298" t="s">
        <v>0</v>
      </c>
      <c r="B463" s="298"/>
      <c r="C463" s="298"/>
      <c r="D463" s="298"/>
      <c r="E463" s="298"/>
      <c r="F463" s="298"/>
      <c r="G463" s="298"/>
      <c r="H463" s="299"/>
      <c r="I463" s="299"/>
      <c r="J463" s="299"/>
      <c r="K463" s="300">
        <v>34</v>
      </c>
    </row>
    <row r="464" ht="15" customHeight="1" spans="1:11">
      <c r="A464" s="301" t="s">
        <v>1</v>
      </c>
      <c r="B464" s="301"/>
      <c r="C464" s="301"/>
      <c r="D464" s="301"/>
      <c r="E464" s="301"/>
      <c r="F464" s="301"/>
      <c r="G464" s="302" t="str">
        <f>IFERROR(VLOOKUP(K463,'2026.01'!A:Y,2,0),0)</f>
        <v>NO:034</v>
      </c>
      <c r="K464" s="300"/>
    </row>
    <row r="465" ht="15" customHeight="1" spans="1:11">
      <c r="A465" s="303" t="s">
        <v>2</v>
      </c>
      <c r="B465" s="304">
        <f>IFERROR(VLOOKUP(K463,'2026.01'!A:Y,6,0),0)</f>
        <v>1034</v>
      </c>
      <c r="C465" s="304"/>
      <c r="D465" s="305" t="s">
        <v>3</v>
      </c>
      <c r="E465" s="305" t="str">
        <f>IFERROR(VLOOKUP(K463,'2026.01'!A:Y,7,0),0)</f>
        <v>杨志鸿</v>
      </c>
      <c r="F465" s="305"/>
      <c r="G465" s="306" t="s">
        <v>4</v>
      </c>
      <c r="K465" s="300"/>
    </row>
    <row r="466" ht="15" customHeight="1" spans="1:11">
      <c r="A466" s="307" t="s">
        <v>5</v>
      </c>
      <c r="B466" s="308" t="s">
        <v>6</v>
      </c>
      <c r="C466" s="308" t="s">
        <v>7</v>
      </c>
      <c r="D466" s="308" t="s">
        <v>8</v>
      </c>
      <c r="E466" s="308" t="s">
        <v>9</v>
      </c>
      <c r="F466" s="309" t="s">
        <v>10</v>
      </c>
      <c r="G466" s="310" t="s">
        <v>11</v>
      </c>
      <c r="K466" s="300"/>
    </row>
    <row r="467" ht="15" customHeight="1" spans="1:11">
      <c r="A467" s="307" t="s">
        <v>12</v>
      </c>
      <c r="B467" s="308">
        <f>IFERROR(VLOOKUP(K463,'2026.01'!A:Y,14,0),0)</f>
        <v>3002</v>
      </c>
      <c r="C467" s="308">
        <f>IFERROR(VLOOKUP(K463,'2026.01'!A:Y,13,0),0)</f>
        <v>2989</v>
      </c>
      <c r="D467" s="308">
        <f>IFERROR(VLOOKUP(K463,'2026.01'!A:Y,15,0),0)</f>
        <v>13</v>
      </c>
      <c r="E467" s="311">
        <f>IFERROR(VLOOKUP(K463,'2026.01'!A:Y,18,0),0)</f>
        <v>0.8</v>
      </c>
      <c r="F467" s="309">
        <f>IFERROR(VLOOKUP(K463,'2026.01'!A:Y,20,0),0)</f>
        <v>10</v>
      </c>
      <c r="G467" s="310"/>
      <c r="K467" s="300"/>
    </row>
    <row r="468" ht="15" customHeight="1" spans="1:11">
      <c r="A468" s="307" t="s">
        <v>13</v>
      </c>
      <c r="B468" s="308"/>
      <c r="C468" s="308"/>
      <c r="D468" s="308"/>
      <c r="E468" s="311"/>
      <c r="F468" s="309">
        <f>IFERROR(VLOOKUP(K463,'2026.01'!A:Y,24,0),0)</f>
        <v>43</v>
      </c>
      <c r="G468" s="310"/>
      <c r="K468" s="300"/>
    </row>
    <row r="469" ht="15" customHeight="1" spans="1:11">
      <c r="A469" s="307" t="s">
        <v>14</v>
      </c>
      <c r="B469" s="308"/>
      <c r="C469" s="308"/>
      <c r="D469" s="308"/>
      <c r="E469" s="311"/>
      <c r="F469" s="309">
        <f>IFERROR(VLOOKUP(K463,'2026.01'!A:Y,12,0),0)</f>
        <v>160</v>
      </c>
      <c r="G469" s="310"/>
      <c r="K469" s="300"/>
    </row>
    <row r="470" ht="21" customHeight="1" spans="1:11">
      <c r="A470" s="307" t="s">
        <v>15</v>
      </c>
      <c r="B470" s="308"/>
      <c r="C470" s="308"/>
      <c r="D470" s="308"/>
      <c r="E470" s="311"/>
      <c r="F470" s="309">
        <f>IFERROR(VLOOKUP(K463,'2026.01'!A:Y,9,0),0)</f>
        <v>4200</v>
      </c>
      <c r="G470" s="310"/>
      <c r="K470" s="300"/>
    </row>
    <row r="471" ht="19" customHeight="1" spans="1:11">
      <c r="A471" s="307" t="s">
        <v>16</v>
      </c>
      <c r="B471" s="308"/>
      <c r="C471" s="308"/>
      <c r="D471" s="308"/>
      <c r="E471" s="308"/>
      <c r="F471" s="309">
        <f>IFERROR(VLOOKUP(K463,'2026.01'!A:Y,10,0),0)</f>
        <v>500</v>
      </c>
      <c r="G471" s="310"/>
      <c r="K471" s="300"/>
    </row>
    <row r="472" ht="21" customHeight="1" spans="1:11">
      <c r="A472" s="307" t="s">
        <v>17</v>
      </c>
      <c r="B472" s="308"/>
      <c r="C472" s="308"/>
      <c r="D472" s="308"/>
      <c r="E472" s="308"/>
      <c r="F472" s="309">
        <f>IFERROR(VLOOKUP(K463,'2026.01'!A:Y,19,0),0)</f>
        <v>9</v>
      </c>
      <c r="G472" s="310"/>
      <c r="K472" s="300"/>
    </row>
    <row r="473" ht="17.15" customHeight="1" spans="1:11">
      <c r="A473" s="307" t="s">
        <v>18</v>
      </c>
      <c r="B473" s="308"/>
      <c r="C473" s="308"/>
      <c r="D473" s="308"/>
      <c r="E473" s="308"/>
      <c r="F473" s="309">
        <f>IFERROR(VLOOKUP(K463,'2026.01'!A:Y,22,0),0)</f>
        <v>228</v>
      </c>
      <c r="G473" s="310"/>
      <c r="K473" s="300"/>
    </row>
    <row r="474" ht="17.15" customHeight="1" spans="1:11">
      <c r="A474" s="307" t="s">
        <v>19</v>
      </c>
      <c r="B474" s="312"/>
      <c r="C474" s="308"/>
      <c r="D474" s="313"/>
      <c r="E474" s="308"/>
      <c r="F474" s="309">
        <f>IFERROR(VLOOKUP(K463,'2026.01'!A:Y,25,0),0)</f>
        <v>5150</v>
      </c>
      <c r="G474" s="310"/>
      <c r="K474" s="300"/>
    </row>
    <row r="475" ht="15" customHeight="1" spans="1:11">
      <c r="A475" s="314" t="s">
        <v>20</v>
      </c>
      <c r="B475" s="315">
        <f>IF(F474&lt;0,"金额为负，无效",INT(F474))</f>
        <v>5150</v>
      </c>
      <c r="C475" s="315"/>
      <c r="D475" s="315"/>
      <c r="E475" s="316" t="s">
        <v>21</v>
      </c>
      <c r="F475" s="317"/>
      <c r="G475" s="318"/>
      <c r="K475" s="300"/>
    </row>
    <row r="476" ht="23" customHeight="1" spans="1:11">
      <c r="A476" s="319"/>
      <c r="B476" s="320"/>
      <c r="C476" s="320"/>
      <c r="D476" s="320"/>
      <c r="E476" s="319"/>
      <c r="F476" s="321"/>
      <c r="G476" s="322"/>
      <c r="K476" s="300"/>
    </row>
    <row r="477" ht="27" customHeight="1" spans="1:11">
      <c r="A477" s="298" t="s">
        <v>0</v>
      </c>
      <c r="B477" s="298"/>
      <c r="C477" s="298"/>
      <c r="D477" s="298"/>
      <c r="E477" s="298"/>
      <c r="F477" s="298"/>
      <c r="G477" s="298"/>
      <c r="H477" s="299"/>
      <c r="I477" s="299"/>
      <c r="J477" s="299"/>
      <c r="K477" s="300">
        <v>35</v>
      </c>
    </row>
    <row r="478" ht="15" customHeight="1" spans="1:11">
      <c r="A478" s="301" t="s">
        <v>1</v>
      </c>
      <c r="B478" s="301"/>
      <c r="C478" s="301"/>
      <c r="D478" s="301"/>
      <c r="E478" s="301"/>
      <c r="F478" s="301"/>
      <c r="G478" s="302" t="str">
        <f>IFERROR(VLOOKUP(K477,'2026.01'!A:Y,2,0),0)</f>
        <v>NO:035</v>
      </c>
      <c r="K478" s="300"/>
    </row>
    <row r="479" ht="15" customHeight="1" spans="1:11">
      <c r="A479" s="303" t="s">
        <v>2</v>
      </c>
      <c r="B479" s="304">
        <f>IFERROR(VLOOKUP(K477,'2026.01'!A:Y,6,0),0)</f>
        <v>1035</v>
      </c>
      <c r="C479" s="304"/>
      <c r="D479" s="305" t="s">
        <v>3</v>
      </c>
      <c r="E479" s="305" t="str">
        <f>IFERROR(VLOOKUP(K477,'2026.01'!A:Y,7,0),0)</f>
        <v>王正庚</v>
      </c>
      <c r="F479" s="305"/>
      <c r="G479" s="306" t="s">
        <v>4</v>
      </c>
      <c r="K479" s="300"/>
    </row>
    <row r="480" ht="15" customHeight="1" spans="1:11">
      <c r="A480" s="307" t="s">
        <v>5</v>
      </c>
      <c r="B480" s="308" t="s">
        <v>6</v>
      </c>
      <c r="C480" s="308" t="s">
        <v>7</v>
      </c>
      <c r="D480" s="308" t="s">
        <v>8</v>
      </c>
      <c r="E480" s="308" t="s">
        <v>9</v>
      </c>
      <c r="F480" s="309" t="s">
        <v>10</v>
      </c>
      <c r="G480" s="310" t="s">
        <v>11</v>
      </c>
      <c r="K480" s="300"/>
    </row>
    <row r="481" ht="15" customHeight="1" spans="1:11">
      <c r="A481" s="307" t="s">
        <v>12</v>
      </c>
      <c r="B481" s="308">
        <f>IFERROR(VLOOKUP(K477,'2026.01'!A:Y,14,0),0)</f>
        <v>10450</v>
      </c>
      <c r="C481" s="308">
        <f>IFERROR(VLOOKUP(K477,'2026.01'!A:Y,13,0),0)</f>
        <v>10414</v>
      </c>
      <c r="D481" s="308">
        <f>IFERROR(VLOOKUP(K477,'2026.01'!A:Y,15,0),0)</f>
        <v>36</v>
      </c>
      <c r="E481" s="311">
        <f>IFERROR(VLOOKUP(K477,'2026.01'!A:Y,18,0),0)</f>
        <v>0.8</v>
      </c>
      <c r="F481" s="309">
        <f>IFERROR(VLOOKUP(K477,'2026.01'!A:Y,20,0),0)</f>
        <v>29</v>
      </c>
      <c r="G481" s="310"/>
      <c r="K481" s="300"/>
    </row>
    <row r="482" ht="15" customHeight="1" spans="1:11">
      <c r="A482" s="307" t="s">
        <v>13</v>
      </c>
      <c r="B482" s="308"/>
      <c r="C482" s="308"/>
      <c r="D482" s="308"/>
      <c r="E482" s="311"/>
      <c r="F482" s="309">
        <f>IFERROR(VLOOKUP(K477,'2026.01'!A:Y,24,0),0)</f>
        <v>43</v>
      </c>
      <c r="G482" s="310"/>
      <c r="K482" s="300"/>
    </row>
    <row r="483" ht="15" customHeight="1" spans="1:11">
      <c r="A483" s="307" t="s">
        <v>14</v>
      </c>
      <c r="B483" s="308"/>
      <c r="C483" s="308"/>
      <c r="D483" s="308"/>
      <c r="E483" s="311"/>
      <c r="F483" s="309">
        <f>IFERROR(VLOOKUP(K477,'2026.01'!A:Y,12,0),0)</f>
        <v>160</v>
      </c>
      <c r="G483" s="310"/>
      <c r="K483" s="300"/>
    </row>
    <row r="484" ht="21" customHeight="1" spans="1:11">
      <c r="A484" s="307" t="s">
        <v>15</v>
      </c>
      <c r="B484" s="308"/>
      <c r="C484" s="308"/>
      <c r="D484" s="308"/>
      <c r="E484" s="311"/>
      <c r="F484" s="309">
        <f>IFERROR(VLOOKUP(K477,'2026.01'!A:Y,9,0),0)</f>
        <v>4200</v>
      </c>
      <c r="G484" s="310"/>
      <c r="K484" s="300"/>
    </row>
    <row r="485" ht="19" customHeight="1" spans="1:11">
      <c r="A485" s="307" t="s">
        <v>16</v>
      </c>
      <c r="B485" s="308"/>
      <c r="C485" s="308"/>
      <c r="D485" s="308"/>
      <c r="E485" s="308"/>
      <c r="F485" s="309">
        <f>IFERROR(VLOOKUP(K477,'2026.01'!A:Y,10,0),0)</f>
        <v>500</v>
      </c>
      <c r="G485" s="310"/>
      <c r="K485" s="300"/>
    </row>
    <row r="486" ht="21" customHeight="1" spans="1:11">
      <c r="A486" s="307" t="s">
        <v>17</v>
      </c>
      <c r="B486" s="308"/>
      <c r="C486" s="308"/>
      <c r="D486" s="308"/>
      <c r="E486" s="308"/>
      <c r="F486" s="309">
        <f>IFERROR(VLOOKUP(K477,'2026.01'!A:Y,19,0),0)</f>
        <v>25</v>
      </c>
      <c r="G486" s="310"/>
      <c r="K486" s="300"/>
    </row>
    <row r="487" ht="17.15" customHeight="1" spans="1:11">
      <c r="A487" s="307" t="s">
        <v>18</v>
      </c>
      <c r="B487" s="308"/>
      <c r="C487" s="308"/>
      <c r="D487" s="308"/>
      <c r="E487" s="308"/>
      <c r="F487" s="309">
        <f>IFERROR(VLOOKUP(K477,'2026.01'!A:Y,22,0),0)</f>
        <v>228</v>
      </c>
      <c r="G487" s="310"/>
      <c r="K487" s="300"/>
    </row>
    <row r="488" ht="17.15" customHeight="1" spans="1:11">
      <c r="A488" s="307" t="s">
        <v>19</v>
      </c>
      <c r="B488" s="312"/>
      <c r="C488" s="308"/>
      <c r="D488" s="313"/>
      <c r="E488" s="308"/>
      <c r="F488" s="309">
        <f>IFERROR(VLOOKUP(K477,'2026.01'!A:Y,25,0),0)</f>
        <v>5185</v>
      </c>
      <c r="G488" s="310"/>
      <c r="K488" s="300"/>
    </row>
    <row r="489" ht="15" customHeight="1" spans="1:11">
      <c r="A489" s="314" t="s">
        <v>20</v>
      </c>
      <c r="B489" s="315">
        <f>IF(F488&lt;0,"金额为负，无效",INT(F488))</f>
        <v>5185</v>
      </c>
      <c r="C489" s="315"/>
      <c r="D489" s="315"/>
      <c r="E489" s="316" t="s">
        <v>21</v>
      </c>
      <c r="F489" s="317"/>
      <c r="G489" s="318"/>
      <c r="K489" s="300"/>
    </row>
    <row r="490" ht="23" customHeight="1" spans="1:11">
      <c r="A490" s="319"/>
      <c r="B490" s="320"/>
      <c r="C490" s="320"/>
      <c r="D490" s="320"/>
      <c r="E490" s="319"/>
      <c r="F490" s="321"/>
      <c r="G490" s="322"/>
      <c r="K490" s="300"/>
    </row>
    <row r="491" ht="27" customHeight="1" spans="1:11">
      <c r="A491" s="298" t="s">
        <v>0</v>
      </c>
      <c r="B491" s="298"/>
      <c r="C491" s="298"/>
      <c r="D491" s="298"/>
      <c r="E491" s="298"/>
      <c r="F491" s="298"/>
      <c r="G491" s="298"/>
      <c r="H491" s="299"/>
      <c r="I491" s="299"/>
      <c r="J491" s="299"/>
      <c r="K491" s="300">
        <v>36</v>
      </c>
    </row>
    <row r="492" ht="15" customHeight="1" spans="1:11">
      <c r="A492" s="301" t="s">
        <v>1</v>
      </c>
      <c r="B492" s="301"/>
      <c r="C492" s="301"/>
      <c r="D492" s="301"/>
      <c r="E492" s="301"/>
      <c r="F492" s="301"/>
      <c r="G492" s="302" t="str">
        <f>IFERROR(VLOOKUP(K491,'2026.01'!A:Y,2,0),0)</f>
        <v>NO:036</v>
      </c>
      <c r="K492" s="300"/>
    </row>
    <row r="493" ht="15" customHeight="1" spans="1:11">
      <c r="A493" s="303" t="s">
        <v>2</v>
      </c>
      <c r="B493" s="304">
        <f>IFERROR(VLOOKUP(K491,'2026.01'!A:Y,6,0),0)</f>
        <v>1036</v>
      </c>
      <c r="C493" s="304"/>
      <c r="D493" s="305" t="s">
        <v>3</v>
      </c>
      <c r="E493" s="305" t="str">
        <f>IFERROR(VLOOKUP(K491,'2026.01'!A:Y,7,0),0)</f>
        <v>李耿坚</v>
      </c>
      <c r="F493" s="305"/>
      <c r="G493" s="306" t="s">
        <v>4</v>
      </c>
      <c r="K493" s="300"/>
    </row>
    <row r="494" ht="15" customHeight="1" spans="1:11">
      <c r="A494" s="307" t="s">
        <v>5</v>
      </c>
      <c r="B494" s="308" t="s">
        <v>6</v>
      </c>
      <c r="C494" s="308" t="s">
        <v>7</v>
      </c>
      <c r="D494" s="308" t="s">
        <v>8</v>
      </c>
      <c r="E494" s="308" t="s">
        <v>9</v>
      </c>
      <c r="F494" s="309" t="s">
        <v>10</v>
      </c>
      <c r="G494" s="310" t="s">
        <v>11</v>
      </c>
      <c r="K494" s="300"/>
    </row>
    <row r="495" ht="15" customHeight="1" spans="1:11">
      <c r="A495" s="307" t="s">
        <v>12</v>
      </c>
      <c r="B495" s="308">
        <f>IFERROR(VLOOKUP(K491,'2026.01'!A:Y,14,0),0)</f>
        <v>10450</v>
      </c>
      <c r="C495" s="308">
        <f>IFERROR(VLOOKUP(K491,'2026.01'!A:Y,13,0),0)</f>
        <v>10414</v>
      </c>
      <c r="D495" s="308">
        <f>IFERROR(VLOOKUP(K491,'2026.01'!A:Y,15,0),0)</f>
        <v>36</v>
      </c>
      <c r="E495" s="311">
        <f>IFERROR(VLOOKUP(K491,'2026.01'!A:Y,18,0),0)</f>
        <v>0.8</v>
      </c>
      <c r="F495" s="309">
        <f>IFERROR(VLOOKUP(K491,'2026.01'!A:Y,20,0),0)</f>
        <v>29</v>
      </c>
      <c r="G495" s="310"/>
      <c r="K495" s="300"/>
    </row>
    <row r="496" ht="15" customHeight="1" spans="1:11">
      <c r="A496" s="307" t="s">
        <v>13</v>
      </c>
      <c r="B496" s="308"/>
      <c r="C496" s="308"/>
      <c r="D496" s="308"/>
      <c r="E496" s="311"/>
      <c r="F496" s="309">
        <f>IFERROR(VLOOKUP(K491,'2026.01'!A:Y,24,0),0)</f>
        <v>43</v>
      </c>
      <c r="G496" s="310"/>
      <c r="K496" s="300"/>
    </row>
    <row r="497" ht="15" customHeight="1" spans="1:11">
      <c r="A497" s="307" t="s">
        <v>14</v>
      </c>
      <c r="B497" s="308"/>
      <c r="C497" s="308"/>
      <c r="D497" s="308"/>
      <c r="E497" s="311"/>
      <c r="F497" s="309">
        <f>IFERROR(VLOOKUP(K491,'2026.01'!A:Y,12,0),0)</f>
        <v>160</v>
      </c>
      <c r="G497" s="310"/>
      <c r="K497" s="300"/>
    </row>
    <row r="498" ht="21" customHeight="1" spans="1:11">
      <c r="A498" s="307" t="s">
        <v>15</v>
      </c>
      <c r="B498" s="308"/>
      <c r="C498" s="308"/>
      <c r="D498" s="308"/>
      <c r="E498" s="311"/>
      <c r="F498" s="309">
        <f>IFERROR(VLOOKUP(K491,'2026.01'!A:Y,9,0),0)</f>
        <v>4200</v>
      </c>
      <c r="G498" s="310"/>
      <c r="K498" s="300"/>
    </row>
    <row r="499" ht="19" customHeight="1" spans="1:11">
      <c r="A499" s="307" t="s">
        <v>16</v>
      </c>
      <c r="B499" s="308"/>
      <c r="C499" s="308"/>
      <c r="D499" s="308"/>
      <c r="E499" s="308"/>
      <c r="F499" s="309">
        <f>IFERROR(VLOOKUP(K491,'2026.01'!A:Y,10,0),0)</f>
        <v>500</v>
      </c>
      <c r="G499" s="310"/>
      <c r="K499" s="300"/>
    </row>
    <row r="500" ht="21" customHeight="1" spans="1:11">
      <c r="A500" s="307" t="s">
        <v>17</v>
      </c>
      <c r="B500" s="308"/>
      <c r="C500" s="308"/>
      <c r="D500" s="308"/>
      <c r="E500" s="308"/>
      <c r="F500" s="309">
        <f>IFERROR(VLOOKUP(K491,'2026.01'!A:Y,19,0),0)</f>
        <v>25</v>
      </c>
      <c r="G500" s="310"/>
      <c r="K500" s="300"/>
    </row>
    <row r="501" ht="17.15" customHeight="1" spans="1:11">
      <c r="A501" s="307" t="s">
        <v>18</v>
      </c>
      <c r="B501" s="308"/>
      <c r="C501" s="308"/>
      <c r="D501" s="308"/>
      <c r="E501" s="308"/>
      <c r="F501" s="309">
        <f>IFERROR(VLOOKUP(K491,'2026.01'!A:Y,22,0),0)</f>
        <v>228</v>
      </c>
      <c r="G501" s="310"/>
      <c r="K501" s="300"/>
    </row>
    <row r="502" ht="17.15" customHeight="1" spans="1:11">
      <c r="A502" s="307" t="s">
        <v>19</v>
      </c>
      <c r="B502" s="312"/>
      <c r="C502" s="308"/>
      <c r="D502" s="313"/>
      <c r="E502" s="308"/>
      <c r="F502" s="309">
        <f>IFERROR(VLOOKUP(K491,'2026.01'!A:Y,25,0),0)</f>
        <v>5185</v>
      </c>
      <c r="G502" s="310"/>
      <c r="K502" s="300"/>
    </row>
    <row r="503" ht="15" customHeight="1" spans="1:11">
      <c r="A503" s="314" t="s">
        <v>20</v>
      </c>
      <c r="B503" s="315">
        <f>IF(F502&lt;0,"金额为负，无效",INT(F502))</f>
        <v>5185</v>
      </c>
      <c r="C503" s="315"/>
      <c r="D503" s="315"/>
      <c r="E503" s="316" t="s">
        <v>21</v>
      </c>
      <c r="F503" s="317"/>
      <c r="G503" s="318"/>
      <c r="K503" s="300"/>
    </row>
    <row r="504" ht="15" customHeight="1" spans="1:11">
      <c r="A504" s="319"/>
      <c r="B504" s="320"/>
      <c r="C504" s="320"/>
      <c r="D504" s="320"/>
      <c r="E504" s="319"/>
      <c r="F504" s="321"/>
      <c r="G504" s="322"/>
      <c r="K504" s="300"/>
    </row>
    <row r="505" ht="27" customHeight="1" spans="1:11">
      <c r="A505" s="298" t="s">
        <v>0</v>
      </c>
      <c r="B505" s="298"/>
      <c r="C505" s="298"/>
      <c r="D505" s="298"/>
      <c r="E505" s="298"/>
      <c r="F505" s="298"/>
      <c r="G505" s="298"/>
      <c r="H505" s="299"/>
      <c r="I505" s="299"/>
      <c r="J505" s="299"/>
      <c r="K505" s="300">
        <v>37</v>
      </c>
    </row>
    <row r="506" ht="15" customHeight="1" spans="1:11">
      <c r="A506" s="301" t="s">
        <v>1</v>
      </c>
      <c r="B506" s="301"/>
      <c r="C506" s="301"/>
      <c r="D506" s="301"/>
      <c r="E506" s="301"/>
      <c r="F506" s="301"/>
      <c r="G506" s="302" t="str">
        <f>IFERROR(VLOOKUP(K505,'2026.01'!A:Y,2,0),0)</f>
        <v>NO:037</v>
      </c>
      <c r="K506" s="300"/>
    </row>
    <row r="507" ht="15" customHeight="1" spans="1:11">
      <c r="A507" s="303" t="s">
        <v>2</v>
      </c>
      <c r="B507" s="304">
        <f>IFERROR(VLOOKUP(K505,'2026.01'!A:Y,6,0),0)</f>
        <v>1037</v>
      </c>
      <c r="C507" s="304"/>
      <c r="D507" s="305" t="s">
        <v>3</v>
      </c>
      <c r="E507" s="305" t="str">
        <f>IFERROR(VLOOKUP(K505,'2026.01'!A:Y,7,0),0)</f>
        <v>范宏健</v>
      </c>
      <c r="F507" s="305"/>
      <c r="G507" s="306" t="s">
        <v>4</v>
      </c>
      <c r="K507" s="300"/>
    </row>
    <row r="508" ht="15" customHeight="1" spans="1:11">
      <c r="A508" s="307" t="s">
        <v>5</v>
      </c>
      <c r="B508" s="308" t="s">
        <v>6</v>
      </c>
      <c r="C508" s="308" t="s">
        <v>7</v>
      </c>
      <c r="D508" s="308" t="s">
        <v>8</v>
      </c>
      <c r="E508" s="308" t="s">
        <v>9</v>
      </c>
      <c r="F508" s="309" t="s">
        <v>10</v>
      </c>
      <c r="G508" s="310" t="s">
        <v>11</v>
      </c>
      <c r="K508" s="300"/>
    </row>
    <row r="509" ht="15" customHeight="1" spans="1:11">
      <c r="A509" s="307" t="s">
        <v>12</v>
      </c>
      <c r="B509" s="308">
        <f>IFERROR(VLOOKUP(K505,'2026.01'!A:Y,14,0),0)</f>
        <v>3615</v>
      </c>
      <c r="C509" s="308">
        <f>IFERROR(VLOOKUP(K505,'2026.01'!A:Y,13,0),0)</f>
        <v>3570</v>
      </c>
      <c r="D509" s="308">
        <f>IFERROR(VLOOKUP(K505,'2026.01'!A:Y,15,0),0)</f>
        <v>45</v>
      </c>
      <c r="E509" s="311">
        <f>IFERROR(VLOOKUP(K505,'2026.01'!A:Y,18,0),0)</f>
        <v>0.8</v>
      </c>
      <c r="F509" s="309">
        <f>IFERROR(VLOOKUP(K505,'2026.01'!A:Y,20,0),0)</f>
        <v>36</v>
      </c>
      <c r="G509" s="310"/>
      <c r="K509" s="300"/>
    </row>
    <row r="510" ht="15" customHeight="1" spans="1:11">
      <c r="A510" s="307" t="s">
        <v>13</v>
      </c>
      <c r="B510" s="308"/>
      <c r="C510" s="308"/>
      <c r="D510" s="308"/>
      <c r="E510" s="311"/>
      <c r="F510" s="309">
        <f>IFERROR(VLOOKUP(K505,'2026.01'!A:Y,24,0),0)</f>
        <v>43</v>
      </c>
      <c r="G510" s="310"/>
      <c r="K510" s="300"/>
    </row>
    <row r="511" ht="15" customHeight="1" spans="1:11">
      <c r="A511" s="307" t="s">
        <v>14</v>
      </c>
      <c r="B511" s="308"/>
      <c r="C511" s="308"/>
      <c r="D511" s="308"/>
      <c r="E511" s="311"/>
      <c r="F511" s="309">
        <f>IFERROR(VLOOKUP(K505,'2026.01'!A:Y,12,0),0)</f>
        <v>160</v>
      </c>
      <c r="G511" s="310"/>
      <c r="K511" s="300"/>
    </row>
    <row r="512" ht="21" customHeight="1" spans="1:11">
      <c r="A512" s="307" t="s">
        <v>15</v>
      </c>
      <c r="B512" s="308"/>
      <c r="C512" s="308"/>
      <c r="D512" s="308"/>
      <c r="E512" s="311"/>
      <c r="F512" s="309">
        <f>IFERROR(VLOOKUP(K505,'2026.01'!A:Y,9,0),0)</f>
        <v>4200</v>
      </c>
      <c r="G512" s="310"/>
      <c r="K512" s="300"/>
    </row>
    <row r="513" ht="19" customHeight="1" spans="1:11">
      <c r="A513" s="307" t="s">
        <v>16</v>
      </c>
      <c r="B513" s="308"/>
      <c r="C513" s="308"/>
      <c r="D513" s="308"/>
      <c r="E513" s="308"/>
      <c r="F513" s="309">
        <f>IFERROR(VLOOKUP(K505,'2026.01'!A:Y,10,0),0)</f>
        <v>500</v>
      </c>
      <c r="G513" s="310"/>
      <c r="K513" s="300"/>
    </row>
    <row r="514" ht="21" customHeight="1" spans="1:11">
      <c r="A514" s="307" t="s">
        <v>17</v>
      </c>
      <c r="B514" s="308"/>
      <c r="C514" s="308"/>
      <c r="D514" s="308"/>
      <c r="E514" s="308"/>
      <c r="F514" s="309">
        <f>IFERROR(VLOOKUP(K505,'2026.01'!A:Y,19,0),0)</f>
        <v>32</v>
      </c>
      <c r="G514" s="310"/>
      <c r="K514" s="300"/>
    </row>
    <row r="515" ht="17.15" customHeight="1" spans="1:11">
      <c r="A515" s="307" t="s">
        <v>18</v>
      </c>
      <c r="B515" s="308"/>
      <c r="C515" s="308"/>
      <c r="D515" s="308"/>
      <c r="E515" s="308"/>
      <c r="F515" s="309">
        <f>IFERROR(VLOOKUP(K505,'2026.01'!A:Y,22,0),0)</f>
        <v>228</v>
      </c>
      <c r="G515" s="310"/>
      <c r="K515" s="300"/>
    </row>
    <row r="516" ht="17.15" customHeight="1" spans="1:11">
      <c r="A516" s="307" t="s">
        <v>19</v>
      </c>
      <c r="B516" s="312"/>
      <c r="C516" s="308"/>
      <c r="D516" s="313"/>
      <c r="E516" s="308"/>
      <c r="F516" s="309">
        <f>IFERROR(VLOOKUP(K505,'2026.01'!A:Y,25,0),0)</f>
        <v>5199</v>
      </c>
      <c r="G516" s="310"/>
      <c r="K516" s="300"/>
    </row>
    <row r="517" ht="15" customHeight="1" spans="1:11">
      <c r="A517" s="314" t="s">
        <v>20</v>
      </c>
      <c r="B517" s="315">
        <f>IF(F516&lt;0,"金额为负，无效",INT(F516))</f>
        <v>5199</v>
      </c>
      <c r="C517" s="315"/>
      <c r="D517" s="315"/>
      <c r="E517" s="316" t="s">
        <v>21</v>
      </c>
      <c r="F517" s="317"/>
      <c r="G517" s="318"/>
      <c r="K517" s="300"/>
    </row>
    <row r="518" ht="23" customHeight="1" spans="1:11">
      <c r="A518" s="319"/>
      <c r="B518" s="320"/>
      <c r="C518" s="320"/>
      <c r="D518" s="320"/>
      <c r="E518" s="319"/>
      <c r="F518" s="321"/>
      <c r="G518" s="322"/>
      <c r="K518" s="300"/>
    </row>
    <row r="519" ht="27" customHeight="1" spans="1:11">
      <c r="A519" s="298" t="s">
        <v>0</v>
      </c>
      <c r="B519" s="298"/>
      <c r="C519" s="298"/>
      <c r="D519" s="298"/>
      <c r="E519" s="298"/>
      <c r="F519" s="298"/>
      <c r="G519" s="298"/>
      <c r="H519" s="299"/>
      <c r="I519" s="299"/>
      <c r="J519" s="299"/>
      <c r="K519" s="300">
        <v>38</v>
      </c>
    </row>
    <row r="520" ht="15" customHeight="1" spans="1:11">
      <c r="A520" s="301" t="s">
        <v>1</v>
      </c>
      <c r="B520" s="301"/>
      <c r="C520" s="301"/>
      <c r="D520" s="301"/>
      <c r="E520" s="301"/>
      <c r="F520" s="301"/>
      <c r="G520" s="302" t="str">
        <f>IFERROR(VLOOKUP(K519,'2026.01'!A:Y,2,0),0)</f>
        <v>NO:038</v>
      </c>
      <c r="K520" s="300"/>
    </row>
    <row r="521" ht="15" customHeight="1" spans="1:11">
      <c r="A521" s="303" t="s">
        <v>2</v>
      </c>
      <c r="B521" s="304">
        <f>IFERROR(VLOOKUP(K519,'2026.01'!A:Y,6,0),0)</f>
        <v>1038</v>
      </c>
      <c r="C521" s="304"/>
      <c r="D521" s="305" t="s">
        <v>3</v>
      </c>
      <c r="E521" s="305" t="str">
        <f>IFERROR(VLOOKUP(K519,'2026.01'!A:Y,7,0),0)</f>
        <v>杨义坤</v>
      </c>
      <c r="F521" s="305"/>
      <c r="G521" s="306" t="s">
        <v>4</v>
      </c>
      <c r="K521" s="300"/>
    </row>
    <row r="522" ht="15" customHeight="1" spans="1:11">
      <c r="A522" s="307" t="s">
        <v>5</v>
      </c>
      <c r="B522" s="308" t="s">
        <v>6</v>
      </c>
      <c r="C522" s="308" t="s">
        <v>7</v>
      </c>
      <c r="D522" s="308" t="s">
        <v>8</v>
      </c>
      <c r="E522" s="308" t="s">
        <v>9</v>
      </c>
      <c r="F522" s="309" t="s">
        <v>10</v>
      </c>
      <c r="G522" s="310" t="s">
        <v>11</v>
      </c>
      <c r="K522" s="300"/>
    </row>
    <row r="523" ht="15" customHeight="1" spans="1:11">
      <c r="A523" s="307" t="s">
        <v>12</v>
      </c>
      <c r="B523" s="308">
        <f>IFERROR(VLOOKUP(K519,'2026.01'!A:Y,14,0),0)</f>
        <v>4143</v>
      </c>
      <c r="C523" s="308">
        <f>IFERROR(VLOOKUP(K519,'2026.01'!A:Y,13,0),0)</f>
        <v>4088</v>
      </c>
      <c r="D523" s="308">
        <f>IFERROR(VLOOKUP(K519,'2026.01'!A:Y,15,0),0)</f>
        <v>55</v>
      </c>
      <c r="E523" s="311">
        <f>IFERROR(VLOOKUP(K519,'2026.01'!A:Y,18,0),0)</f>
        <v>0.8</v>
      </c>
      <c r="F523" s="309">
        <f>IFERROR(VLOOKUP(K519,'2026.01'!A:Y,20,0),0)</f>
        <v>44</v>
      </c>
      <c r="G523" s="310"/>
      <c r="K523" s="300"/>
    </row>
    <row r="524" ht="15" customHeight="1" spans="1:11">
      <c r="A524" s="307" t="s">
        <v>13</v>
      </c>
      <c r="B524" s="308"/>
      <c r="C524" s="308"/>
      <c r="D524" s="308"/>
      <c r="E524" s="311"/>
      <c r="F524" s="309">
        <f>IFERROR(VLOOKUP(K519,'2026.01'!A:Y,24,0),0)</f>
        <v>43</v>
      </c>
      <c r="G524" s="310"/>
      <c r="K524" s="300"/>
    </row>
    <row r="525" ht="15" customHeight="1" spans="1:11">
      <c r="A525" s="307" t="s">
        <v>14</v>
      </c>
      <c r="B525" s="308"/>
      <c r="C525" s="308"/>
      <c r="D525" s="308"/>
      <c r="E525" s="311"/>
      <c r="F525" s="309">
        <f>IFERROR(VLOOKUP(K519,'2026.01'!A:Y,12,0),0)</f>
        <v>160</v>
      </c>
      <c r="G525" s="310"/>
      <c r="K525" s="300"/>
    </row>
    <row r="526" ht="21" customHeight="1" spans="1:11">
      <c r="A526" s="307" t="s">
        <v>15</v>
      </c>
      <c r="B526" s="308"/>
      <c r="C526" s="308"/>
      <c r="D526" s="308"/>
      <c r="E526" s="311"/>
      <c r="F526" s="309">
        <f>IFERROR(VLOOKUP(K519,'2026.01'!A:Y,9,0),0)</f>
        <v>4200</v>
      </c>
      <c r="G526" s="310"/>
      <c r="K526" s="300"/>
    </row>
    <row r="527" ht="19" customHeight="1" spans="1:11">
      <c r="A527" s="307" t="s">
        <v>16</v>
      </c>
      <c r="B527" s="308"/>
      <c r="C527" s="308"/>
      <c r="D527" s="308"/>
      <c r="E527" s="308"/>
      <c r="F527" s="309">
        <f>IFERROR(VLOOKUP(K519,'2026.01'!A:Y,10,0),0)</f>
        <v>500</v>
      </c>
      <c r="G527" s="310"/>
      <c r="K527" s="300"/>
    </row>
    <row r="528" ht="21" customHeight="1" spans="1:11">
      <c r="A528" s="307" t="s">
        <v>17</v>
      </c>
      <c r="B528" s="308"/>
      <c r="C528" s="308"/>
      <c r="D528" s="308"/>
      <c r="E528" s="308"/>
      <c r="F528" s="309">
        <f>IFERROR(VLOOKUP(K519,'2026.01'!A:Y,19,0),0)</f>
        <v>39</v>
      </c>
      <c r="G528" s="310"/>
      <c r="K528" s="300"/>
    </row>
    <row r="529" ht="17.15" customHeight="1" spans="1:11">
      <c r="A529" s="307" t="s">
        <v>18</v>
      </c>
      <c r="B529" s="308"/>
      <c r="C529" s="308"/>
      <c r="D529" s="308"/>
      <c r="E529" s="308"/>
      <c r="F529" s="309">
        <f>IFERROR(VLOOKUP(K519,'2026.01'!A:Y,22,0),0)</f>
        <v>228</v>
      </c>
      <c r="G529" s="310"/>
      <c r="K529" s="300"/>
    </row>
    <row r="530" ht="17.15" customHeight="1" spans="1:11">
      <c r="A530" s="307" t="s">
        <v>19</v>
      </c>
      <c r="B530" s="312"/>
      <c r="C530" s="308"/>
      <c r="D530" s="313"/>
      <c r="E530" s="308"/>
      <c r="F530" s="309">
        <f>IFERROR(VLOOKUP(K519,'2026.01'!A:Y,25,0),0)</f>
        <v>5214</v>
      </c>
      <c r="G530" s="310"/>
      <c r="K530" s="300"/>
    </row>
    <row r="531" ht="15" customHeight="1" spans="1:11">
      <c r="A531" s="314" t="s">
        <v>20</v>
      </c>
      <c r="B531" s="315">
        <f>IF(F530&lt;0,"金额为负，无效",INT(F530))</f>
        <v>5214</v>
      </c>
      <c r="C531" s="315"/>
      <c r="D531" s="315"/>
      <c r="E531" s="316" t="s">
        <v>21</v>
      </c>
      <c r="F531" s="317"/>
      <c r="G531" s="318"/>
      <c r="K531" s="300"/>
    </row>
    <row r="532" ht="23" customHeight="1" spans="1:11">
      <c r="A532" s="319"/>
      <c r="B532" s="320"/>
      <c r="C532" s="320"/>
      <c r="D532" s="320"/>
      <c r="E532" s="319"/>
      <c r="F532" s="321"/>
      <c r="G532" s="322"/>
      <c r="K532" s="300"/>
    </row>
    <row r="533" ht="27" customHeight="1" spans="1:11">
      <c r="A533" s="298" t="s">
        <v>0</v>
      </c>
      <c r="B533" s="298"/>
      <c r="C533" s="298"/>
      <c r="D533" s="298"/>
      <c r="E533" s="298"/>
      <c r="F533" s="298"/>
      <c r="G533" s="298"/>
      <c r="H533" s="299"/>
      <c r="I533" s="299"/>
      <c r="J533" s="299"/>
      <c r="K533" s="300">
        <v>39</v>
      </c>
    </row>
    <row r="534" ht="15" customHeight="1" spans="1:11">
      <c r="A534" s="301" t="s">
        <v>1</v>
      </c>
      <c r="B534" s="301"/>
      <c r="C534" s="301"/>
      <c r="D534" s="301"/>
      <c r="E534" s="301"/>
      <c r="F534" s="301"/>
      <c r="G534" s="302" t="str">
        <f>IFERROR(VLOOKUP(K533,'2026.01'!A:Y,2,0),0)</f>
        <v>NO:039</v>
      </c>
      <c r="K534" s="300"/>
    </row>
    <row r="535" ht="15" customHeight="1" spans="1:11">
      <c r="A535" s="303" t="s">
        <v>2</v>
      </c>
      <c r="B535" s="304">
        <f>IFERROR(VLOOKUP(K533,'2026.01'!A:Y,6,0),0)</f>
        <v>1039</v>
      </c>
      <c r="C535" s="304"/>
      <c r="D535" s="305" t="s">
        <v>3</v>
      </c>
      <c r="E535" s="305" t="str">
        <f>IFERROR(VLOOKUP(K533,'2026.01'!A:Y,7,0),0)</f>
        <v>陈秋香</v>
      </c>
      <c r="F535" s="305"/>
      <c r="G535" s="306" t="s">
        <v>4</v>
      </c>
      <c r="K535" s="300"/>
    </row>
    <row r="536" ht="15" customHeight="1" spans="1:11">
      <c r="A536" s="307" t="s">
        <v>5</v>
      </c>
      <c r="B536" s="308" t="s">
        <v>6</v>
      </c>
      <c r="C536" s="308" t="s">
        <v>7</v>
      </c>
      <c r="D536" s="308" t="s">
        <v>8</v>
      </c>
      <c r="E536" s="308" t="s">
        <v>9</v>
      </c>
      <c r="F536" s="309" t="s">
        <v>10</v>
      </c>
      <c r="G536" s="310" t="s">
        <v>11</v>
      </c>
      <c r="K536" s="300"/>
    </row>
    <row r="537" ht="15" customHeight="1" spans="1:11">
      <c r="A537" s="307" t="s">
        <v>12</v>
      </c>
      <c r="B537" s="308">
        <f>IFERROR(VLOOKUP(K533,'2026.01'!A:Y,14,0),0)</f>
        <v>6216</v>
      </c>
      <c r="C537" s="308">
        <f>IFERROR(VLOOKUP(K533,'2026.01'!A:Y,13,0),0)</f>
        <v>6193</v>
      </c>
      <c r="D537" s="308">
        <f>IFERROR(VLOOKUP(K533,'2026.01'!A:Y,15,0),0)</f>
        <v>23</v>
      </c>
      <c r="E537" s="311">
        <f>IFERROR(VLOOKUP(K533,'2026.01'!A:Y,18,0),0)</f>
        <v>0.8</v>
      </c>
      <c r="F537" s="309">
        <f>IFERROR(VLOOKUP(K533,'2026.01'!A:Y,20,0),0)</f>
        <v>18</v>
      </c>
      <c r="G537" s="310"/>
      <c r="K537" s="300"/>
    </row>
    <row r="538" ht="15" customHeight="1" spans="1:11">
      <c r="A538" s="307" t="s">
        <v>13</v>
      </c>
      <c r="B538" s="308"/>
      <c r="C538" s="308"/>
      <c r="D538" s="308"/>
      <c r="E538" s="311"/>
      <c r="F538" s="309">
        <f>IFERROR(VLOOKUP(K533,'2026.01'!A:Y,24,0),0)</f>
        <v>43</v>
      </c>
      <c r="G538" s="310"/>
      <c r="K538" s="300"/>
    </row>
    <row r="539" ht="15" customHeight="1" spans="1:11">
      <c r="A539" s="307" t="s">
        <v>14</v>
      </c>
      <c r="B539" s="308"/>
      <c r="C539" s="308"/>
      <c r="D539" s="308"/>
      <c r="E539" s="311"/>
      <c r="F539" s="309">
        <f>IFERROR(VLOOKUP(K533,'2026.01'!A:Y,12,0),0)</f>
        <v>160</v>
      </c>
      <c r="G539" s="310"/>
      <c r="K539" s="300"/>
    </row>
    <row r="540" ht="21" customHeight="1" spans="1:11">
      <c r="A540" s="307" t="s">
        <v>15</v>
      </c>
      <c r="B540" s="308"/>
      <c r="C540" s="308"/>
      <c r="D540" s="308"/>
      <c r="E540" s="311"/>
      <c r="F540" s="309">
        <f>IFERROR(VLOOKUP(K533,'2026.01'!A:Y,9,0),0)</f>
        <v>4200</v>
      </c>
      <c r="G540" s="310"/>
      <c r="K540" s="300"/>
    </row>
    <row r="541" ht="19" customHeight="1" spans="1:11">
      <c r="A541" s="307" t="s">
        <v>16</v>
      </c>
      <c r="B541" s="308"/>
      <c r="C541" s="308"/>
      <c r="D541" s="308"/>
      <c r="E541" s="308"/>
      <c r="F541" s="309">
        <f>IFERROR(VLOOKUP(K533,'2026.01'!A:Y,10,0),0)</f>
        <v>500</v>
      </c>
      <c r="G541" s="310"/>
      <c r="K541" s="300"/>
    </row>
    <row r="542" ht="21" customHeight="1" spans="1:11">
      <c r="A542" s="307" t="s">
        <v>17</v>
      </c>
      <c r="B542" s="308"/>
      <c r="C542" s="308"/>
      <c r="D542" s="308"/>
      <c r="E542" s="308"/>
      <c r="F542" s="309">
        <f>IFERROR(VLOOKUP(K533,'2026.01'!A:Y,19,0),0)</f>
        <v>16</v>
      </c>
      <c r="G542" s="310"/>
      <c r="K542" s="300"/>
    </row>
    <row r="543" ht="17.15" customHeight="1" spans="1:11">
      <c r="A543" s="307" t="s">
        <v>18</v>
      </c>
      <c r="B543" s="308"/>
      <c r="C543" s="308"/>
      <c r="D543" s="308"/>
      <c r="E543" s="308"/>
      <c r="F543" s="309">
        <f>IFERROR(VLOOKUP(K533,'2026.01'!A:Y,22,0),0)</f>
        <v>228</v>
      </c>
      <c r="G543" s="310"/>
      <c r="K543" s="300"/>
    </row>
    <row r="544" ht="17.15" customHeight="1" spans="1:11">
      <c r="A544" s="307" t="s">
        <v>19</v>
      </c>
      <c r="B544" s="312"/>
      <c r="C544" s="308"/>
      <c r="D544" s="313"/>
      <c r="E544" s="308"/>
      <c r="F544" s="309">
        <f>IFERROR(VLOOKUP(K533,'2026.01'!A:Y,25,0),0)</f>
        <v>5165</v>
      </c>
      <c r="G544" s="310"/>
      <c r="K544" s="300"/>
    </row>
    <row r="545" ht="15" customHeight="1" spans="1:11">
      <c r="A545" s="314" t="s">
        <v>20</v>
      </c>
      <c r="B545" s="315">
        <f>IF(F544&lt;0,"金额为负，无效",INT(F544))</f>
        <v>5165</v>
      </c>
      <c r="C545" s="315"/>
      <c r="D545" s="315"/>
      <c r="E545" s="316" t="s">
        <v>21</v>
      </c>
      <c r="F545" s="317"/>
      <c r="G545" s="318"/>
      <c r="K545" s="300"/>
    </row>
    <row r="546" ht="15" customHeight="1" spans="1:11">
      <c r="A546" s="319"/>
      <c r="B546" s="320"/>
      <c r="C546" s="320"/>
      <c r="D546" s="320"/>
      <c r="E546" s="319"/>
      <c r="F546" s="321"/>
      <c r="G546" s="322"/>
      <c r="K546" s="300"/>
    </row>
    <row r="547" ht="27" customHeight="1" spans="1:11">
      <c r="A547" s="298" t="s">
        <v>0</v>
      </c>
      <c r="B547" s="298"/>
      <c r="C547" s="298"/>
      <c r="D547" s="298"/>
      <c r="E547" s="298"/>
      <c r="F547" s="298"/>
      <c r="G547" s="298"/>
      <c r="H547" s="299"/>
      <c r="I547" s="299"/>
      <c r="J547" s="299"/>
      <c r="K547" s="300">
        <v>40</v>
      </c>
    </row>
    <row r="548" ht="15" customHeight="1" spans="1:11">
      <c r="A548" s="301" t="s">
        <v>1</v>
      </c>
      <c r="B548" s="301"/>
      <c r="C548" s="301"/>
      <c r="D548" s="301"/>
      <c r="E548" s="301"/>
      <c r="F548" s="301"/>
      <c r="G548" s="302" t="str">
        <f>IFERROR(VLOOKUP(K547,'2026.01'!A:Y,2,0),0)</f>
        <v>NO:040</v>
      </c>
      <c r="K548" s="300"/>
    </row>
    <row r="549" ht="15" customHeight="1" spans="1:11">
      <c r="A549" s="303" t="s">
        <v>2</v>
      </c>
      <c r="B549" s="304">
        <f>IFERROR(VLOOKUP(K547,'2026.01'!A:Y,6,0),0)</f>
        <v>1040</v>
      </c>
      <c r="C549" s="304"/>
      <c r="D549" s="305" t="s">
        <v>3</v>
      </c>
      <c r="E549" s="305" t="str">
        <f>IFERROR(VLOOKUP(K547,'2026.01'!A:Y,7,0),0)</f>
        <v>陈少华</v>
      </c>
      <c r="F549" s="305"/>
      <c r="G549" s="306" t="s">
        <v>4</v>
      </c>
      <c r="K549" s="300"/>
    </row>
    <row r="550" ht="15" customHeight="1" spans="1:11">
      <c r="A550" s="307" t="s">
        <v>5</v>
      </c>
      <c r="B550" s="308" t="s">
        <v>6</v>
      </c>
      <c r="C550" s="308" t="s">
        <v>7</v>
      </c>
      <c r="D550" s="308" t="s">
        <v>8</v>
      </c>
      <c r="E550" s="308" t="s">
        <v>9</v>
      </c>
      <c r="F550" s="309" t="s">
        <v>10</v>
      </c>
      <c r="G550" s="310" t="s">
        <v>11</v>
      </c>
      <c r="K550" s="300"/>
    </row>
    <row r="551" ht="15" customHeight="1" spans="1:11">
      <c r="A551" s="307" t="s">
        <v>12</v>
      </c>
      <c r="B551" s="308">
        <f>IFERROR(VLOOKUP(K547,'2026.01'!A:Y,14,0),0)</f>
        <v>6642</v>
      </c>
      <c r="C551" s="308">
        <f>IFERROR(VLOOKUP(K547,'2026.01'!A:Y,13,0),0)</f>
        <v>6603</v>
      </c>
      <c r="D551" s="308">
        <f>IFERROR(VLOOKUP(K547,'2026.01'!A:Y,15,0),0)</f>
        <v>39</v>
      </c>
      <c r="E551" s="311">
        <f>IFERROR(VLOOKUP(K547,'2026.01'!A:Y,18,0),0)</f>
        <v>0.8</v>
      </c>
      <c r="F551" s="309">
        <f>IFERROR(VLOOKUP(K547,'2026.01'!A:Y,20,0),0)</f>
        <v>31</v>
      </c>
      <c r="G551" s="310"/>
      <c r="K551" s="300"/>
    </row>
    <row r="552" ht="15" customHeight="1" spans="1:11">
      <c r="A552" s="307" t="s">
        <v>13</v>
      </c>
      <c r="B552" s="308"/>
      <c r="C552" s="308"/>
      <c r="D552" s="308"/>
      <c r="E552" s="311"/>
      <c r="F552" s="309">
        <f>IFERROR(VLOOKUP(K547,'2026.01'!A:Y,24,0),0)</f>
        <v>43</v>
      </c>
      <c r="G552" s="310"/>
      <c r="K552" s="300"/>
    </row>
    <row r="553" ht="15" customHeight="1" spans="1:11">
      <c r="A553" s="307" t="s">
        <v>14</v>
      </c>
      <c r="B553" s="308"/>
      <c r="C553" s="308"/>
      <c r="D553" s="308"/>
      <c r="E553" s="311"/>
      <c r="F553" s="309">
        <f>IFERROR(VLOOKUP(K547,'2026.01'!A:Y,12,0),0)</f>
        <v>160</v>
      </c>
      <c r="G553" s="310"/>
      <c r="K553" s="300"/>
    </row>
    <row r="554" ht="21" customHeight="1" spans="1:11">
      <c r="A554" s="307" t="s">
        <v>15</v>
      </c>
      <c r="B554" s="308"/>
      <c r="C554" s="308"/>
      <c r="D554" s="308"/>
      <c r="E554" s="311"/>
      <c r="F554" s="309">
        <f>IFERROR(VLOOKUP(K547,'2026.01'!A:Y,9,0),0)</f>
        <v>4202</v>
      </c>
      <c r="G554" s="310"/>
      <c r="K554" s="300"/>
    </row>
    <row r="555" ht="19" customHeight="1" spans="1:11">
      <c r="A555" s="307" t="s">
        <v>16</v>
      </c>
      <c r="B555" s="308"/>
      <c r="C555" s="308"/>
      <c r="D555" s="308"/>
      <c r="E555" s="308"/>
      <c r="F555" s="309">
        <f>IFERROR(VLOOKUP(K547,'2026.01'!A:Y,10,0),0)</f>
        <v>500</v>
      </c>
      <c r="G555" s="310"/>
      <c r="K555" s="300"/>
    </row>
    <row r="556" ht="21" customHeight="1" spans="1:11">
      <c r="A556" s="307" t="s">
        <v>17</v>
      </c>
      <c r="B556" s="308"/>
      <c r="C556" s="308"/>
      <c r="D556" s="308"/>
      <c r="E556" s="308"/>
      <c r="F556" s="309">
        <f>IFERROR(VLOOKUP(K547,'2026.01'!A:Y,19,0),0)</f>
        <v>27</v>
      </c>
      <c r="G556" s="310"/>
      <c r="K556" s="300"/>
    </row>
    <row r="557" ht="17.15" customHeight="1" spans="1:11">
      <c r="A557" s="307" t="s">
        <v>18</v>
      </c>
      <c r="B557" s="308"/>
      <c r="C557" s="308"/>
      <c r="D557" s="308"/>
      <c r="E557" s="308"/>
      <c r="F557" s="309">
        <f>IFERROR(VLOOKUP(K547,'2026.01'!A:Y,22,0),0)</f>
        <v>228</v>
      </c>
      <c r="G557" s="310"/>
      <c r="K557" s="300"/>
    </row>
    <row r="558" ht="17.15" customHeight="1" spans="1:11">
      <c r="A558" s="307" t="s">
        <v>19</v>
      </c>
      <c r="B558" s="312"/>
      <c r="C558" s="308"/>
      <c r="D558" s="313"/>
      <c r="E558" s="308"/>
      <c r="F558" s="309">
        <f>IFERROR(VLOOKUP(K547,'2026.01'!A:Y,25,0),0)</f>
        <v>5191</v>
      </c>
      <c r="G558" s="310"/>
      <c r="K558" s="300"/>
    </row>
    <row r="559" ht="15" customHeight="1" spans="1:11">
      <c r="A559" s="314" t="s">
        <v>20</v>
      </c>
      <c r="B559" s="315">
        <f>IF(F558&lt;0,"金额为负，无效",INT(F558))</f>
        <v>5191</v>
      </c>
      <c r="C559" s="315"/>
      <c r="D559" s="315"/>
      <c r="E559" s="316" t="s">
        <v>21</v>
      </c>
      <c r="F559" s="317"/>
      <c r="G559" s="318"/>
      <c r="K559" s="300"/>
    </row>
    <row r="560" ht="23" customHeight="1" spans="1:11">
      <c r="A560" s="319"/>
      <c r="B560" s="320"/>
      <c r="C560" s="320"/>
      <c r="D560" s="320"/>
      <c r="E560" s="319"/>
      <c r="F560" s="321"/>
      <c r="G560" s="322"/>
      <c r="K560" s="300"/>
    </row>
    <row r="561" ht="27" customHeight="1" spans="1:11">
      <c r="A561" s="298" t="s">
        <v>0</v>
      </c>
      <c r="B561" s="298"/>
      <c r="C561" s="298"/>
      <c r="D561" s="298"/>
      <c r="E561" s="298"/>
      <c r="F561" s="298"/>
      <c r="G561" s="298"/>
      <c r="H561" s="299"/>
      <c r="I561" s="299"/>
      <c r="J561" s="299"/>
      <c r="K561" s="300">
        <v>41</v>
      </c>
    </row>
    <row r="562" ht="15" customHeight="1" spans="1:11">
      <c r="A562" s="301" t="s">
        <v>1</v>
      </c>
      <c r="B562" s="301"/>
      <c r="C562" s="301"/>
      <c r="D562" s="301"/>
      <c r="E562" s="301"/>
      <c r="F562" s="301"/>
      <c r="G562" s="302" t="str">
        <f>IFERROR(VLOOKUP(K561,'2026.01'!A:Y,2,0),0)</f>
        <v>NO:041</v>
      </c>
      <c r="K562" s="300"/>
    </row>
    <row r="563" ht="15" customHeight="1" spans="1:11">
      <c r="A563" s="303" t="s">
        <v>2</v>
      </c>
      <c r="B563" s="304">
        <f>IFERROR(VLOOKUP(K561,'2026.01'!A:Y,6,0),0)</f>
        <v>1041</v>
      </c>
      <c r="C563" s="304"/>
      <c r="D563" s="305" t="s">
        <v>3</v>
      </c>
      <c r="E563" s="305" t="str">
        <f>IFERROR(VLOOKUP(K561,'2026.01'!A:Y,7,0),0)</f>
        <v>林文浩</v>
      </c>
      <c r="F563" s="305"/>
      <c r="G563" s="306" t="s">
        <v>4</v>
      </c>
      <c r="K563" s="300"/>
    </row>
    <row r="564" ht="15" customHeight="1" spans="1:11">
      <c r="A564" s="307" t="s">
        <v>5</v>
      </c>
      <c r="B564" s="308" t="s">
        <v>6</v>
      </c>
      <c r="C564" s="308" t="s">
        <v>7</v>
      </c>
      <c r="D564" s="308" t="s">
        <v>8</v>
      </c>
      <c r="E564" s="308" t="s">
        <v>9</v>
      </c>
      <c r="F564" s="309" t="s">
        <v>10</v>
      </c>
      <c r="G564" s="310" t="s">
        <v>11</v>
      </c>
      <c r="K564" s="300"/>
    </row>
    <row r="565" ht="15" customHeight="1" spans="1:11">
      <c r="A565" s="307" t="s">
        <v>12</v>
      </c>
      <c r="B565" s="308">
        <f>IFERROR(VLOOKUP(K561,'2026.01'!A:Y,14,0),0)</f>
        <v>5191</v>
      </c>
      <c r="C565" s="308">
        <f>IFERROR(VLOOKUP(K561,'2026.01'!A:Y,13,0),0)</f>
        <v>5037</v>
      </c>
      <c r="D565" s="308">
        <f>IFERROR(VLOOKUP(K561,'2026.01'!A:Y,15,0),0)</f>
        <v>154</v>
      </c>
      <c r="E565" s="311">
        <f>IFERROR(VLOOKUP(K561,'2026.01'!A:Y,18,0),0)</f>
        <v>0.8</v>
      </c>
      <c r="F565" s="309">
        <f>IFERROR(VLOOKUP(K561,'2026.01'!A:Y,20,0),0)</f>
        <v>123</v>
      </c>
      <c r="G565" s="310"/>
      <c r="K565" s="300"/>
    </row>
    <row r="566" ht="15" customHeight="1" spans="1:11">
      <c r="A566" s="307" t="s">
        <v>13</v>
      </c>
      <c r="B566" s="308"/>
      <c r="C566" s="308"/>
      <c r="D566" s="308"/>
      <c r="E566" s="311"/>
      <c r="F566" s="309">
        <f>IFERROR(VLOOKUP(K561,'2026.01'!A:Y,24,0),0)</f>
        <v>43</v>
      </c>
      <c r="G566" s="310"/>
      <c r="K566" s="300"/>
    </row>
    <row r="567" ht="15" customHeight="1" spans="1:11">
      <c r="A567" s="307" t="s">
        <v>14</v>
      </c>
      <c r="B567" s="308"/>
      <c r="C567" s="308"/>
      <c r="D567" s="308"/>
      <c r="E567" s="311"/>
      <c r="F567" s="309">
        <f>IFERROR(VLOOKUP(K561,'2026.01'!A:Y,12,0),0)</f>
        <v>160</v>
      </c>
      <c r="G567" s="310"/>
      <c r="K567" s="300"/>
    </row>
    <row r="568" ht="21" customHeight="1" spans="1:11">
      <c r="A568" s="307" t="s">
        <v>15</v>
      </c>
      <c r="B568" s="308"/>
      <c r="C568" s="308"/>
      <c r="D568" s="308"/>
      <c r="E568" s="311"/>
      <c r="F568" s="309">
        <f>IFERROR(VLOOKUP(K561,'2026.01'!A:Y,9,0),0)</f>
        <v>4200</v>
      </c>
      <c r="G568" s="310"/>
      <c r="K568" s="300"/>
    </row>
    <row r="569" ht="19" customHeight="1" spans="1:11">
      <c r="A569" s="307" t="s">
        <v>16</v>
      </c>
      <c r="B569" s="308"/>
      <c r="C569" s="308"/>
      <c r="D569" s="308"/>
      <c r="E569" s="308"/>
      <c r="F569" s="309">
        <f>IFERROR(VLOOKUP(K561,'2026.01'!A:Y,10,0),0)</f>
        <v>0</v>
      </c>
      <c r="G569" s="310"/>
      <c r="K569" s="300"/>
    </row>
    <row r="570" ht="21" customHeight="1" spans="1:11">
      <c r="A570" s="307" t="s">
        <v>17</v>
      </c>
      <c r="B570" s="308"/>
      <c r="C570" s="308"/>
      <c r="D570" s="308"/>
      <c r="E570" s="308"/>
      <c r="F570" s="309">
        <f>IFERROR(VLOOKUP(K561,'2026.01'!A:Y,19,0),0)</f>
        <v>108</v>
      </c>
      <c r="G570" s="310"/>
      <c r="K570" s="300"/>
    </row>
    <row r="571" ht="17.15" customHeight="1" spans="1:11">
      <c r="A571" s="307" t="s">
        <v>18</v>
      </c>
      <c r="B571" s="308"/>
      <c r="C571" s="308"/>
      <c r="D571" s="308"/>
      <c r="E571" s="308"/>
      <c r="F571" s="309">
        <f>IFERROR(VLOOKUP(K561,'2026.01'!A:Y,22,0),0)</f>
        <v>228</v>
      </c>
      <c r="G571" s="310"/>
      <c r="K571" s="300"/>
    </row>
    <row r="572" ht="17.15" customHeight="1" spans="1:11">
      <c r="A572" s="307" t="s">
        <v>19</v>
      </c>
      <c r="B572" s="312"/>
      <c r="C572" s="308"/>
      <c r="D572" s="313"/>
      <c r="E572" s="308"/>
      <c r="F572" s="309">
        <f>IFERROR(VLOOKUP(K561,'2026.01'!A:Y,25,0),0)</f>
        <v>4862</v>
      </c>
      <c r="G572" s="310"/>
      <c r="K572" s="300"/>
    </row>
    <row r="573" ht="15" customHeight="1" spans="1:11">
      <c r="A573" s="314" t="s">
        <v>20</v>
      </c>
      <c r="B573" s="315">
        <f>IF(F572&lt;0,"金额为负，无效",INT(F572))</f>
        <v>4862</v>
      </c>
      <c r="C573" s="315"/>
      <c r="D573" s="315"/>
      <c r="E573" s="316" t="s">
        <v>21</v>
      </c>
      <c r="F573" s="317"/>
      <c r="G573" s="318"/>
      <c r="K573" s="300"/>
    </row>
    <row r="574" ht="23" customHeight="1" spans="1:11">
      <c r="A574" s="319"/>
      <c r="B574" s="320"/>
      <c r="C574" s="320"/>
      <c r="D574" s="320"/>
      <c r="E574" s="319"/>
      <c r="F574" s="321"/>
      <c r="G574" s="322"/>
      <c r="K574" s="300"/>
    </row>
    <row r="575" ht="27" customHeight="1" spans="1:11">
      <c r="A575" s="298" t="s">
        <v>0</v>
      </c>
      <c r="B575" s="298"/>
      <c r="C575" s="298"/>
      <c r="D575" s="298"/>
      <c r="E575" s="298"/>
      <c r="F575" s="298"/>
      <c r="G575" s="298"/>
      <c r="H575" s="299"/>
      <c r="I575" s="299"/>
      <c r="J575" s="299"/>
      <c r="K575" s="300">
        <v>42</v>
      </c>
    </row>
    <row r="576" ht="15" customHeight="1" spans="1:11">
      <c r="A576" s="301" t="s">
        <v>1</v>
      </c>
      <c r="B576" s="301"/>
      <c r="C576" s="301"/>
      <c r="D576" s="301"/>
      <c r="E576" s="301"/>
      <c r="F576" s="301"/>
      <c r="G576" s="302" t="str">
        <f>IFERROR(VLOOKUP(K575,'2026.01'!A:Y,2,0),0)</f>
        <v>NO:042</v>
      </c>
      <c r="K576" s="300"/>
    </row>
    <row r="577" ht="15" customHeight="1" spans="1:11">
      <c r="A577" s="303" t="s">
        <v>2</v>
      </c>
      <c r="B577" s="304">
        <f>IFERROR(VLOOKUP(K575,'2026.01'!A:Y,6,0),0)</f>
        <v>1042</v>
      </c>
      <c r="C577" s="304"/>
      <c r="D577" s="305" t="s">
        <v>3</v>
      </c>
      <c r="E577" s="305" t="str">
        <f>IFERROR(VLOOKUP(K575,'2026.01'!A:Y,7,0),0)</f>
        <v>陈俊炳</v>
      </c>
      <c r="F577" s="305"/>
      <c r="G577" s="306" t="s">
        <v>4</v>
      </c>
      <c r="K577" s="300"/>
    </row>
    <row r="578" ht="15" customHeight="1" spans="1:11">
      <c r="A578" s="307" t="s">
        <v>5</v>
      </c>
      <c r="B578" s="308" t="s">
        <v>6</v>
      </c>
      <c r="C578" s="308" t="s">
        <v>7</v>
      </c>
      <c r="D578" s="308" t="s">
        <v>8</v>
      </c>
      <c r="E578" s="308" t="s">
        <v>9</v>
      </c>
      <c r="F578" s="309" t="s">
        <v>10</v>
      </c>
      <c r="G578" s="310" t="s">
        <v>11</v>
      </c>
      <c r="K578" s="300"/>
    </row>
    <row r="579" ht="15" customHeight="1" spans="1:11">
      <c r="A579" s="307" t="s">
        <v>12</v>
      </c>
      <c r="B579" s="308">
        <f>IFERROR(VLOOKUP(K575,'2026.01'!A:Y,14,0),0)</f>
        <v>7613</v>
      </c>
      <c r="C579" s="308">
        <f>IFERROR(VLOOKUP(K575,'2026.01'!A:Y,13,0),0)</f>
        <v>7525</v>
      </c>
      <c r="D579" s="308">
        <f>IFERROR(VLOOKUP(K575,'2026.01'!A:Y,15,0),0)</f>
        <v>88</v>
      </c>
      <c r="E579" s="311">
        <f>IFERROR(VLOOKUP(K575,'2026.01'!A:Y,18,0),0)</f>
        <v>0.8</v>
      </c>
      <c r="F579" s="309">
        <f>IFERROR(VLOOKUP(K575,'2026.01'!A:Y,20,0),0)</f>
        <v>70</v>
      </c>
      <c r="G579" s="310"/>
      <c r="K579" s="300"/>
    </row>
    <row r="580" ht="15" customHeight="1" spans="1:11">
      <c r="A580" s="307" t="s">
        <v>13</v>
      </c>
      <c r="B580" s="308"/>
      <c r="C580" s="308"/>
      <c r="D580" s="308"/>
      <c r="E580" s="311"/>
      <c r="F580" s="309">
        <f>IFERROR(VLOOKUP(K575,'2026.01'!A:Y,24,0),0)</f>
        <v>43</v>
      </c>
      <c r="G580" s="310"/>
      <c r="K580" s="300"/>
    </row>
    <row r="581" ht="15" customHeight="1" spans="1:11">
      <c r="A581" s="307" t="s">
        <v>14</v>
      </c>
      <c r="B581" s="308"/>
      <c r="C581" s="308"/>
      <c r="D581" s="308"/>
      <c r="E581" s="311"/>
      <c r="F581" s="309">
        <f>IFERROR(VLOOKUP(K575,'2026.01'!A:Y,12,0),0)</f>
        <v>160</v>
      </c>
      <c r="G581" s="310"/>
      <c r="K581" s="300"/>
    </row>
    <row r="582" ht="21" customHeight="1" spans="1:11">
      <c r="A582" s="307" t="s">
        <v>15</v>
      </c>
      <c r="B582" s="308"/>
      <c r="C582" s="308"/>
      <c r="D582" s="308"/>
      <c r="E582" s="311"/>
      <c r="F582" s="309">
        <f>IFERROR(VLOOKUP(K575,'2026.01'!A:Y,9,0),0)</f>
        <v>4200</v>
      </c>
      <c r="G582" s="310"/>
      <c r="K582" s="300"/>
    </row>
    <row r="583" ht="19" customHeight="1" spans="1:11">
      <c r="A583" s="307" t="s">
        <v>16</v>
      </c>
      <c r="B583" s="308"/>
      <c r="C583" s="308"/>
      <c r="D583" s="308"/>
      <c r="E583" s="308"/>
      <c r="F583" s="309">
        <f>IFERROR(VLOOKUP(K575,'2026.01'!A:Y,10,0),0)</f>
        <v>500</v>
      </c>
      <c r="G583" s="310"/>
      <c r="K583" s="300"/>
    </row>
    <row r="584" ht="21" customHeight="1" spans="1:11">
      <c r="A584" s="307" t="s">
        <v>17</v>
      </c>
      <c r="B584" s="308"/>
      <c r="C584" s="308"/>
      <c r="D584" s="308"/>
      <c r="E584" s="308"/>
      <c r="F584" s="309">
        <f>IFERROR(VLOOKUP(K575,'2026.01'!A:Y,19,0),0)</f>
        <v>62</v>
      </c>
      <c r="G584" s="310"/>
      <c r="K584" s="300"/>
    </row>
    <row r="585" ht="17.15" customHeight="1" spans="1:11">
      <c r="A585" s="307" t="s">
        <v>18</v>
      </c>
      <c r="B585" s="308"/>
      <c r="C585" s="308"/>
      <c r="D585" s="308"/>
      <c r="E585" s="308"/>
      <c r="F585" s="309">
        <f>IFERROR(VLOOKUP(K575,'2026.01'!A:Y,22,0),0)</f>
        <v>228</v>
      </c>
      <c r="G585" s="310"/>
      <c r="K585" s="300"/>
    </row>
    <row r="586" ht="17.15" customHeight="1" spans="1:11">
      <c r="A586" s="307" t="s">
        <v>19</v>
      </c>
      <c r="B586" s="312"/>
      <c r="C586" s="308"/>
      <c r="D586" s="313"/>
      <c r="E586" s="308"/>
      <c r="F586" s="309">
        <f>IFERROR(VLOOKUP(K575,'2026.01'!A:Y,25,0),0)</f>
        <v>5263</v>
      </c>
      <c r="G586" s="310"/>
      <c r="K586" s="300"/>
    </row>
    <row r="587" ht="15" customHeight="1" spans="1:11">
      <c r="A587" s="314" t="s">
        <v>20</v>
      </c>
      <c r="B587" s="315">
        <f>IF(F586&lt;0,"金额为负，无效",INT(F586))</f>
        <v>5263</v>
      </c>
      <c r="C587" s="315"/>
      <c r="D587" s="315"/>
      <c r="E587" s="316" t="s">
        <v>21</v>
      </c>
      <c r="F587" s="317"/>
      <c r="G587" s="318"/>
      <c r="K587" s="300"/>
    </row>
    <row r="588" ht="15" customHeight="1" spans="1:11">
      <c r="A588" s="319"/>
      <c r="B588" s="320"/>
      <c r="C588" s="320"/>
      <c r="D588" s="320"/>
      <c r="E588" s="319"/>
      <c r="F588" s="321"/>
      <c r="G588" s="322"/>
      <c r="K588" s="300"/>
    </row>
    <row r="589" ht="27" customHeight="1" spans="1:11">
      <c r="A589" s="298" t="s">
        <v>0</v>
      </c>
      <c r="B589" s="298"/>
      <c r="C589" s="298"/>
      <c r="D589" s="298"/>
      <c r="E589" s="298"/>
      <c r="F589" s="298"/>
      <c r="G589" s="298"/>
      <c r="H589" s="299"/>
      <c r="I589" s="299"/>
      <c r="J589" s="299"/>
      <c r="K589" s="300">
        <v>43</v>
      </c>
    </row>
    <row r="590" ht="15" customHeight="1" spans="1:11">
      <c r="A590" s="301" t="s">
        <v>1</v>
      </c>
      <c r="B590" s="301"/>
      <c r="C590" s="301"/>
      <c r="D590" s="301"/>
      <c r="E590" s="301"/>
      <c r="F590" s="301"/>
      <c r="G590" s="302" t="str">
        <f>IFERROR(VLOOKUP(K589,'2026.01'!A:Y,2,0),0)</f>
        <v>NO:043</v>
      </c>
      <c r="K590" s="300"/>
    </row>
    <row r="591" ht="15" customHeight="1" spans="1:11">
      <c r="A591" s="303" t="s">
        <v>2</v>
      </c>
      <c r="B591" s="304">
        <f>IFERROR(VLOOKUP(K589,'2026.01'!A:Y,6,0),0)</f>
        <v>1043</v>
      </c>
      <c r="C591" s="304"/>
      <c r="D591" s="305" t="s">
        <v>3</v>
      </c>
      <c r="E591" s="305" t="str">
        <f>IFERROR(VLOOKUP(K589,'2026.01'!A:Y,7,0),0)</f>
        <v>曾丽</v>
      </c>
      <c r="F591" s="305"/>
      <c r="G591" s="306" t="s">
        <v>4</v>
      </c>
      <c r="K591" s="300"/>
    </row>
    <row r="592" ht="15" customHeight="1" spans="1:11">
      <c r="A592" s="307" t="s">
        <v>5</v>
      </c>
      <c r="B592" s="308" t="s">
        <v>6</v>
      </c>
      <c r="C592" s="308" t="s">
        <v>7</v>
      </c>
      <c r="D592" s="308" t="s">
        <v>8</v>
      </c>
      <c r="E592" s="308" t="s">
        <v>9</v>
      </c>
      <c r="F592" s="309" t="s">
        <v>10</v>
      </c>
      <c r="G592" s="310" t="s">
        <v>11</v>
      </c>
      <c r="K592" s="300"/>
    </row>
    <row r="593" ht="15" customHeight="1" spans="1:11">
      <c r="A593" s="307" t="s">
        <v>12</v>
      </c>
      <c r="B593" s="308">
        <f>IFERROR(VLOOKUP(K589,'2026.01'!A:Y,14,0),0)</f>
        <v>7184</v>
      </c>
      <c r="C593" s="308">
        <f>IFERROR(VLOOKUP(K589,'2026.01'!A:Y,13,0),0)</f>
        <v>7132</v>
      </c>
      <c r="D593" s="308">
        <f>IFERROR(VLOOKUP(K589,'2026.01'!A:Y,15,0),0)</f>
        <v>52</v>
      </c>
      <c r="E593" s="311">
        <f>IFERROR(VLOOKUP(K589,'2026.01'!A:Y,18,0),0)</f>
        <v>0.8</v>
      </c>
      <c r="F593" s="309">
        <f>IFERROR(VLOOKUP(K589,'2026.01'!A:Y,20,0),0)</f>
        <v>42</v>
      </c>
      <c r="G593" s="310"/>
      <c r="K593" s="300"/>
    </row>
    <row r="594" ht="15" customHeight="1" spans="1:11">
      <c r="A594" s="307" t="s">
        <v>13</v>
      </c>
      <c r="B594" s="308"/>
      <c r="C594" s="308"/>
      <c r="D594" s="308"/>
      <c r="E594" s="311"/>
      <c r="F594" s="309">
        <f>IFERROR(VLOOKUP(K589,'2026.01'!A:Y,24,0),0)</f>
        <v>43</v>
      </c>
      <c r="G594" s="310"/>
      <c r="K594" s="300"/>
    </row>
    <row r="595" ht="15" customHeight="1" spans="1:11">
      <c r="A595" s="307" t="s">
        <v>14</v>
      </c>
      <c r="B595" s="308"/>
      <c r="C595" s="308"/>
      <c r="D595" s="308"/>
      <c r="E595" s="311"/>
      <c r="F595" s="309">
        <f>IFERROR(VLOOKUP(K589,'2026.01'!A:Y,12,0),0)</f>
        <v>160</v>
      </c>
      <c r="G595" s="310"/>
      <c r="K595" s="300"/>
    </row>
    <row r="596" ht="21" customHeight="1" spans="1:11">
      <c r="A596" s="307" t="s">
        <v>15</v>
      </c>
      <c r="B596" s="308"/>
      <c r="C596" s="308"/>
      <c r="D596" s="308"/>
      <c r="E596" s="311"/>
      <c r="F596" s="309">
        <f>IFERROR(VLOOKUP(K589,'2026.01'!A:Y,9,0),0)</f>
        <v>3500</v>
      </c>
      <c r="G596" s="310"/>
      <c r="K596" s="300"/>
    </row>
    <row r="597" ht="19" customHeight="1" spans="1:11">
      <c r="A597" s="307" t="s">
        <v>16</v>
      </c>
      <c r="B597" s="308"/>
      <c r="C597" s="308"/>
      <c r="D597" s="308"/>
      <c r="E597" s="308"/>
      <c r="F597" s="309">
        <f>IFERROR(VLOOKUP(K589,'2026.01'!A:Y,10,0),0)</f>
        <v>0</v>
      </c>
      <c r="G597" s="310"/>
      <c r="K597" s="300"/>
    </row>
    <row r="598" ht="21" customHeight="1" spans="1:11">
      <c r="A598" s="307" t="s">
        <v>17</v>
      </c>
      <c r="B598" s="308"/>
      <c r="C598" s="308"/>
      <c r="D598" s="308"/>
      <c r="E598" s="308"/>
      <c r="F598" s="309">
        <f>IFERROR(VLOOKUP(K589,'2026.01'!A:Y,19,0),0)</f>
        <v>36</v>
      </c>
      <c r="G598" s="310"/>
      <c r="K598" s="300"/>
    </row>
    <row r="599" ht="17.15" customHeight="1" spans="1:11">
      <c r="A599" s="307" t="s">
        <v>18</v>
      </c>
      <c r="B599" s="308"/>
      <c r="C599" s="308"/>
      <c r="D599" s="308"/>
      <c r="E599" s="308"/>
      <c r="F599" s="309">
        <f>IFERROR(VLOOKUP(K589,'2026.01'!A:Y,22,0),0)</f>
        <v>228</v>
      </c>
      <c r="G599" s="310"/>
      <c r="K599" s="300"/>
    </row>
    <row r="600" ht="17.15" customHeight="1" spans="1:11">
      <c r="A600" s="307" t="s">
        <v>19</v>
      </c>
      <c r="B600" s="312"/>
      <c r="C600" s="308"/>
      <c r="D600" s="313"/>
      <c r="E600" s="308"/>
      <c r="F600" s="309">
        <f>IFERROR(VLOOKUP(K589,'2026.01'!A:Y,25,0),0)</f>
        <v>4009</v>
      </c>
      <c r="G600" s="310"/>
      <c r="K600" s="300"/>
    </row>
    <row r="601" ht="15" customHeight="1" spans="1:11">
      <c r="A601" s="314" t="s">
        <v>20</v>
      </c>
      <c r="B601" s="315">
        <f>IF(F600&lt;0,"金额为负，无效",INT(F600))</f>
        <v>4009</v>
      </c>
      <c r="C601" s="315"/>
      <c r="D601" s="315"/>
      <c r="E601" s="316" t="s">
        <v>21</v>
      </c>
      <c r="F601" s="317"/>
      <c r="G601" s="318"/>
      <c r="K601" s="300"/>
    </row>
    <row r="602" ht="23" customHeight="1" spans="1:11">
      <c r="A602" s="319"/>
      <c r="B602" s="320"/>
      <c r="C602" s="320"/>
      <c r="D602" s="320"/>
      <c r="E602" s="319"/>
      <c r="F602" s="321"/>
      <c r="G602" s="322"/>
      <c r="K602" s="300"/>
    </row>
    <row r="603" ht="27" customHeight="1" spans="1:11">
      <c r="A603" s="298" t="s">
        <v>0</v>
      </c>
      <c r="B603" s="298"/>
      <c r="C603" s="298"/>
      <c r="D603" s="298"/>
      <c r="E603" s="298"/>
      <c r="F603" s="298"/>
      <c r="G603" s="298"/>
      <c r="H603" s="299"/>
      <c r="I603" s="299"/>
      <c r="J603" s="299"/>
      <c r="K603" s="300">
        <v>44</v>
      </c>
    </row>
    <row r="604" ht="15" customHeight="1" spans="1:11">
      <c r="A604" s="301" t="s">
        <v>1</v>
      </c>
      <c r="B604" s="301"/>
      <c r="C604" s="301"/>
      <c r="D604" s="301"/>
      <c r="E604" s="301"/>
      <c r="F604" s="301"/>
      <c r="G604" s="302" t="str">
        <f>IFERROR(VLOOKUP(K603,'2026.01'!A:Y,2,0),0)</f>
        <v>NO:044</v>
      </c>
      <c r="K604" s="300"/>
    </row>
    <row r="605" ht="15" customHeight="1" spans="1:11">
      <c r="A605" s="303" t="s">
        <v>2</v>
      </c>
      <c r="B605" s="304">
        <f>IFERROR(VLOOKUP(K603,'2026.01'!A:Y,6,0),0)</f>
        <v>1044</v>
      </c>
      <c r="C605" s="304"/>
      <c r="D605" s="305" t="s">
        <v>3</v>
      </c>
      <c r="E605" s="305" t="str">
        <f>IFERROR(VLOOKUP(K603,'2026.01'!A:Y,7,0),0)</f>
        <v>杨要</v>
      </c>
      <c r="F605" s="305"/>
      <c r="G605" s="306" t="s">
        <v>4</v>
      </c>
      <c r="K605" s="300"/>
    </row>
    <row r="606" ht="15" customHeight="1" spans="1:11">
      <c r="A606" s="307" t="s">
        <v>5</v>
      </c>
      <c r="B606" s="308" t="s">
        <v>6</v>
      </c>
      <c r="C606" s="308" t="s">
        <v>7</v>
      </c>
      <c r="D606" s="308" t="s">
        <v>8</v>
      </c>
      <c r="E606" s="308" t="s">
        <v>9</v>
      </c>
      <c r="F606" s="309" t="s">
        <v>10</v>
      </c>
      <c r="G606" s="310" t="s">
        <v>11</v>
      </c>
      <c r="K606" s="300"/>
    </row>
    <row r="607" ht="15" customHeight="1" spans="1:11">
      <c r="A607" s="307" t="s">
        <v>12</v>
      </c>
      <c r="B607" s="308">
        <f>IFERROR(VLOOKUP(K603,'2026.01'!A:Y,14,0),0)</f>
        <v>4219</v>
      </c>
      <c r="C607" s="308">
        <f>IFERROR(VLOOKUP(K603,'2026.01'!A:Y,13,0),0)</f>
        <v>4157</v>
      </c>
      <c r="D607" s="308">
        <f>IFERROR(VLOOKUP(K603,'2026.01'!A:Y,15,0),0)</f>
        <v>62</v>
      </c>
      <c r="E607" s="311">
        <f>IFERROR(VLOOKUP(K603,'2026.01'!A:Y,18,0),0)</f>
        <v>0.8</v>
      </c>
      <c r="F607" s="309">
        <f>IFERROR(VLOOKUP(K603,'2026.01'!A:Y,20,0),0)</f>
        <v>50</v>
      </c>
      <c r="G607" s="310"/>
      <c r="K607" s="300"/>
    </row>
    <row r="608" ht="15" customHeight="1" spans="1:11">
      <c r="A608" s="307" t="s">
        <v>13</v>
      </c>
      <c r="B608" s="308"/>
      <c r="C608" s="308"/>
      <c r="D608" s="308"/>
      <c r="E608" s="311"/>
      <c r="F608" s="309">
        <f>IFERROR(VLOOKUP(K603,'2026.01'!A:Y,24,0),0)</f>
        <v>43</v>
      </c>
      <c r="G608" s="310"/>
      <c r="K608" s="300"/>
    </row>
    <row r="609" ht="15" customHeight="1" spans="1:11">
      <c r="A609" s="307" t="s">
        <v>14</v>
      </c>
      <c r="B609" s="308"/>
      <c r="C609" s="308"/>
      <c r="D609" s="308"/>
      <c r="E609" s="311"/>
      <c r="F609" s="309">
        <f>IFERROR(VLOOKUP(K603,'2026.01'!A:Y,12,0),0)</f>
        <v>160</v>
      </c>
      <c r="G609" s="310"/>
      <c r="K609" s="300"/>
    </row>
    <row r="610" ht="21" customHeight="1" spans="1:11">
      <c r="A610" s="307" t="s">
        <v>15</v>
      </c>
      <c r="B610" s="308"/>
      <c r="C610" s="308"/>
      <c r="D610" s="308"/>
      <c r="E610" s="311"/>
      <c r="F610" s="309">
        <f>IFERROR(VLOOKUP(K603,'2026.01'!A:Y,9,0),0)</f>
        <v>4202</v>
      </c>
      <c r="G610" s="310"/>
      <c r="K610" s="300"/>
    </row>
    <row r="611" ht="19" customHeight="1" spans="1:11">
      <c r="A611" s="307" t="s">
        <v>16</v>
      </c>
      <c r="B611" s="308"/>
      <c r="C611" s="308"/>
      <c r="D611" s="308"/>
      <c r="E611" s="308"/>
      <c r="F611" s="309">
        <f>IFERROR(VLOOKUP(K603,'2026.01'!A:Y,10,0),0)</f>
        <v>200</v>
      </c>
      <c r="G611" s="310"/>
      <c r="K611" s="300"/>
    </row>
    <row r="612" ht="21" customHeight="1" spans="1:11">
      <c r="A612" s="307" t="s">
        <v>17</v>
      </c>
      <c r="B612" s="308"/>
      <c r="C612" s="308"/>
      <c r="D612" s="308"/>
      <c r="E612" s="308"/>
      <c r="F612" s="309">
        <f>IFERROR(VLOOKUP(K603,'2026.01'!A:Y,19,0),0)</f>
        <v>43</v>
      </c>
      <c r="G612" s="310"/>
      <c r="K612" s="300"/>
    </row>
    <row r="613" ht="17.15" customHeight="1" spans="1:11">
      <c r="A613" s="307" t="s">
        <v>18</v>
      </c>
      <c r="B613" s="308"/>
      <c r="C613" s="308"/>
      <c r="D613" s="308"/>
      <c r="E613" s="308"/>
      <c r="F613" s="309">
        <f>IFERROR(VLOOKUP(K603,'2026.01'!A:Y,22,0),0)</f>
        <v>228</v>
      </c>
      <c r="G613" s="310"/>
      <c r="K613" s="300"/>
    </row>
    <row r="614" ht="17.15" customHeight="1" spans="1:11">
      <c r="A614" s="307" t="s">
        <v>19</v>
      </c>
      <c r="B614" s="312"/>
      <c r="C614" s="308"/>
      <c r="D614" s="313"/>
      <c r="E614" s="308"/>
      <c r="F614" s="309">
        <f>IFERROR(VLOOKUP(K603,'2026.01'!A:Y,25,0),0)</f>
        <v>4926</v>
      </c>
      <c r="G614" s="310"/>
      <c r="K614" s="300"/>
    </row>
    <row r="615" ht="15" customHeight="1" spans="1:11">
      <c r="A615" s="314" t="s">
        <v>20</v>
      </c>
      <c r="B615" s="315">
        <f>IF(F614&lt;0,"金额为负，无效",INT(F614))</f>
        <v>4926</v>
      </c>
      <c r="C615" s="315"/>
      <c r="D615" s="315"/>
      <c r="E615" s="316" t="s">
        <v>21</v>
      </c>
      <c r="F615" s="317"/>
      <c r="G615" s="318"/>
      <c r="K615" s="300"/>
    </row>
    <row r="616" ht="23" customHeight="1" spans="1:11">
      <c r="A616" s="319"/>
      <c r="B616" s="320"/>
      <c r="C616" s="320"/>
      <c r="D616" s="320"/>
      <c r="E616" s="319"/>
      <c r="F616" s="321"/>
      <c r="G616" s="322"/>
      <c r="K616" s="300"/>
    </row>
    <row r="617" ht="27" customHeight="1" spans="1:11">
      <c r="A617" s="298" t="s">
        <v>0</v>
      </c>
      <c r="B617" s="298"/>
      <c r="C617" s="298"/>
      <c r="D617" s="298"/>
      <c r="E617" s="298"/>
      <c r="F617" s="298"/>
      <c r="G617" s="298"/>
      <c r="H617" s="299"/>
      <c r="I617" s="299"/>
      <c r="J617" s="299"/>
      <c r="K617" s="300">
        <v>45</v>
      </c>
    </row>
    <row r="618" ht="15" customHeight="1" spans="1:11">
      <c r="A618" s="301" t="s">
        <v>1</v>
      </c>
      <c r="B618" s="301"/>
      <c r="C618" s="301"/>
      <c r="D618" s="301"/>
      <c r="E618" s="301"/>
      <c r="F618" s="301"/>
      <c r="G618" s="302" t="str">
        <f>IFERROR(VLOOKUP(K617,'2026.01'!A:Y,2,0),0)</f>
        <v>NO:045</v>
      </c>
      <c r="K618" s="300"/>
    </row>
    <row r="619" ht="15" customHeight="1" spans="1:11">
      <c r="A619" s="303" t="s">
        <v>2</v>
      </c>
      <c r="B619" s="304">
        <f>IFERROR(VLOOKUP(K617,'2026.01'!A:Y,6,0),0)</f>
        <v>1045</v>
      </c>
      <c r="C619" s="304"/>
      <c r="D619" s="305" t="s">
        <v>3</v>
      </c>
      <c r="E619" s="305" t="str">
        <f>IFERROR(VLOOKUP(K617,'2026.01'!A:Y,7,0),0)</f>
        <v>陈柳旋</v>
      </c>
      <c r="F619" s="305"/>
      <c r="G619" s="306" t="s">
        <v>4</v>
      </c>
      <c r="K619" s="300"/>
    </row>
    <row r="620" ht="15" customHeight="1" spans="1:11">
      <c r="A620" s="307" t="s">
        <v>5</v>
      </c>
      <c r="B620" s="308" t="s">
        <v>6</v>
      </c>
      <c r="C620" s="308" t="s">
        <v>7</v>
      </c>
      <c r="D620" s="308" t="s">
        <v>8</v>
      </c>
      <c r="E620" s="308" t="s">
        <v>9</v>
      </c>
      <c r="F620" s="309" t="s">
        <v>10</v>
      </c>
      <c r="G620" s="310" t="s">
        <v>11</v>
      </c>
      <c r="K620" s="300"/>
    </row>
    <row r="621" ht="15" customHeight="1" spans="1:11">
      <c r="A621" s="307" t="s">
        <v>12</v>
      </c>
      <c r="B621" s="308">
        <f>IFERROR(VLOOKUP(K617,'2026.01'!A:Y,14,0),0)</f>
        <v>5885</v>
      </c>
      <c r="C621" s="308">
        <f>IFERROR(VLOOKUP(K617,'2026.01'!A:Y,13,0),0)</f>
        <v>5823</v>
      </c>
      <c r="D621" s="308">
        <f>IFERROR(VLOOKUP(K617,'2026.01'!A:Y,15,0),0)</f>
        <v>62</v>
      </c>
      <c r="E621" s="311">
        <f>IFERROR(VLOOKUP(K617,'2026.01'!A:Y,18,0),0)</f>
        <v>0.8</v>
      </c>
      <c r="F621" s="309">
        <f>IFERROR(VLOOKUP(K617,'2026.01'!A:Y,20,0),0)</f>
        <v>50</v>
      </c>
      <c r="G621" s="310"/>
      <c r="K621" s="300"/>
    </row>
    <row r="622" ht="15" customHeight="1" spans="1:11">
      <c r="A622" s="307" t="s">
        <v>13</v>
      </c>
      <c r="B622" s="308"/>
      <c r="C622" s="308"/>
      <c r="D622" s="308"/>
      <c r="E622" s="311"/>
      <c r="F622" s="309">
        <f>IFERROR(VLOOKUP(K617,'2026.01'!A:Y,24,0),0)</f>
        <v>43</v>
      </c>
      <c r="G622" s="310"/>
      <c r="K622" s="300"/>
    </row>
    <row r="623" ht="15" customHeight="1" spans="1:11">
      <c r="A623" s="307" t="s">
        <v>14</v>
      </c>
      <c r="B623" s="308"/>
      <c r="C623" s="308"/>
      <c r="D623" s="308"/>
      <c r="E623" s="311"/>
      <c r="F623" s="309">
        <f>IFERROR(VLOOKUP(K617,'2026.01'!A:Y,12,0),0)</f>
        <v>160</v>
      </c>
      <c r="G623" s="310"/>
      <c r="K623" s="300"/>
    </row>
    <row r="624" ht="21" customHeight="1" spans="1:11">
      <c r="A624" s="307" t="s">
        <v>15</v>
      </c>
      <c r="B624" s="308"/>
      <c r="C624" s="308"/>
      <c r="D624" s="308"/>
      <c r="E624" s="311"/>
      <c r="F624" s="309">
        <f>IFERROR(VLOOKUP(K617,'2026.01'!A:Y,9,0),0)</f>
        <v>4200</v>
      </c>
      <c r="G624" s="310"/>
      <c r="K624" s="300"/>
    </row>
    <row r="625" ht="19" customHeight="1" spans="1:11">
      <c r="A625" s="307" t="s">
        <v>16</v>
      </c>
      <c r="B625" s="308"/>
      <c r="C625" s="308"/>
      <c r="D625" s="308"/>
      <c r="E625" s="308"/>
      <c r="F625" s="309">
        <f>IFERROR(VLOOKUP(K617,'2026.01'!A:Y,10,0),0)</f>
        <v>500</v>
      </c>
      <c r="G625" s="310"/>
      <c r="K625" s="300"/>
    </row>
    <row r="626" ht="21" customHeight="1" spans="1:11">
      <c r="A626" s="307" t="s">
        <v>17</v>
      </c>
      <c r="B626" s="308"/>
      <c r="C626" s="308"/>
      <c r="D626" s="308"/>
      <c r="E626" s="308"/>
      <c r="F626" s="309">
        <f>IFERROR(VLOOKUP(K617,'2026.01'!A:Y,19,0),0)</f>
        <v>43</v>
      </c>
      <c r="G626" s="310"/>
      <c r="K626" s="300"/>
    </row>
    <row r="627" ht="17.15" customHeight="1" spans="1:11">
      <c r="A627" s="307" t="s">
        <v>18</v>
      </c>
      <c r="B627" s="308"/>
      <c r="C627" s="308"/>
      <c r="D627" s="308"/>
      <c r="E627" s="308"/>
      <c r="F627" s="309">
        <f>IFERROR(VLOOKUP(K617,'2026.01'!A:Y,22,0),0)</f>
        <v>222</v>
      </c>
      <c r="G627" s="310"/>
      <c r="K627" s="300"/>
    </row>
    <row r="628" ht="17.15" customHeight="1" spans="1:11">
      <c r="A628" s="307" t="s">
        <v>19</v>
      </c>
      <c r="B628" s="312"/>
      <c r="C628" s="308"/>
      <c r="D628" s="313"/>
      <c r="E628" s="308"/>
      <c r="F628" s="309">
        <f>IFERROR(VLOOKUP(K617,'2026.01'!A:Y,25,0),0)</f>
        <v>5218</v>
      </c>
      <c r="G628" s="310"/>
      <c r="K628" s="300"/>
    </row>
    <row r="629" ht="15" customHeight="1" spans="1:11">
      <c r="A629" s="314" t="s">
        <v>20</v>
      </c>
      <c r="B629" s="315">
        <f>IF(F628&lt;0,"金额为负，无效",INT(F628))</f>
        <v>5218</v>
      </c>
      <c r="C629" s="315"/>
      <c r="D629" s="315"/>
      <c r="E629" s="316" t="s">
        <v>21</v>
      </c>
      <c r="F629" s="317"/>
      <c r="G629" s="318"/>
      <c r="K629" s="300"/>
    </row>
    <row r="630" ht="15" customHeight="1" spans="1:11">
      <c r="A630" s="319"/>
      <c r="B630" s="320"/>
      <c r="C630" s="320"/>
      <c r="D630" s="320"/>
      <c r="E630" s="319"/>
      <c r="F630" s="321"/>
      <c r="G630" s="322"/>
      <c r="K630" s="300"/>
    </row>
    <row r="631" ht="27" customHeight="1" spans="1:11">
      <c r="A631" s="298" t="s">
        <v>0</v>
      </c>
      <c r="B631" s="298"/>
      <c r="C631" s="298"/>
      <c r="D631" s="298"/>
      <c r="E631" s="298"/>
      <c r="F631" s="298"/>
      <c r="G631" s="298"/>
      <c r="H631" s="299"/>
      <c r="I631" s="299"/>
      <c r="J631" s="299"/>
      <c r="K631" s="300">
        <v>46</v>
      </c>
    </row>
    <row r="632" ht="15" customHeight="1" spans="1:11">
      <c r="A632" s="301" t="s">
        <v>1</v>
      </c>
      <c r="B632" s="301"/>
      <c r="C632" s="301"/>
      <c r="D632" s="301"/>
      <c r="E632" s="301"/>
      <c r="F632" s="301"/>
      <c r="G632" s="302" t="str">
        <f>IFERROR(VLOOKUP(K631,'2026.01'!A:Y,2,0),0)</f>
        <v>NO:046</v>
      </c>
      <c r="K632" s="300"/>
    </row>
    <row r="633" ht="15" customHeight="1" spans="1:11">
      <c r="A633" s="303" t="s">
        <v>2</v>
      </c>
      <c r="B633" s="304">
        <f>IFERROR(VLOOKUP(K631,'2026.01'!A:Y,6,0),0)</f>
        <v>1046</v>
      </c>
      <c r="C633" s="304"/>
      <c r="D633" s="305" t="s">
        <v>3</v>
      </c>
      <c r="E633" s="305" t="str">
        <f>IFERROR(VLOOKUP(K631,'2026.01'!A:Y,7,0),0)</f>
        <v>胡命礼</v>
      </c>
      <c r="F633" s="305"/>
      <c r="G633" s="306" t="s">
        <v>4</v>
      </c>
      <c r="K633" s="300"/>
    </row>
    <row r="634" ht="15" customHeight="1" spans="1:11">
      <c r="A634" s="307" t="s">
        <v>5</v>
      </c>
      <c r="B634" s="308" t="s">
        <v>6</v>
      </c>
      <c r="C634" s="308" t="s">
        <v>7</v>
      </c>
      <c r="D634" s="308" t="s">
        <v>8</v>
      </c>
      <c r="E634" s="308" t="s">
        <v>9</v>
      </c>
      <c r="F634" s="309" t="s">
        <v>10</v>
      </c>
      <c r="G634" s="310" t="s">
        <v>11</v>
      </c>
      <c r="K634" s="300"/>
    </row>
    <row r="635" ht="15" customHeight="1" spans="1:11">
      <c r="A635" s="307" t="s">
        <v>12</v>
      </c>
      <c r="B635" s="308">
        <f>IFERROR(VLOOKUP(K631,'2026.01'!A:Y,14,0),0)</f>
        <v>5746</v>
      </c>
      <c r="C635" s="308">
        <f>IFERROR(VLOOKUP(K631,'2026.01'!A:Y,13,0),0)</f>
        <v>5655</v>
      </c>
      <c r="D635" s="308">
        <f>IFERROR(VLOOKUP(K631,'2026.01'!A:Y,15,0),0)</f>
        <v>91</v>
      </c>
      <c r="E635" s="311">
        <f>IFERROR(VLOOKUP(K631,'2026.01'!A:Y,18,0),0)</f>
        <v>0.8</v>
      </c>
      <c r="F635" s="309">
        <f>IFERROR(VLOOKUP(K631,'2026.01'!A:Y,20,0),0)</f>
        <v>73</v>
      </c>
      <c r="G635" s="310"/>
      <c r="K635" s="300"/>
    </row>
    <row r="636" ht="15" customHeight="1" spans="1:11">
      <c r="A636" s="307" t="s">
        <v>13</v>
      </c>
      <c r="B636" s="308"/>
      <c r="C636" s="308"/>
      <c r="D636" s="308"/>
      <c r="E636" s="311"/>
      <c r="F636" s="309">
        <f>IFERROR(VLOOKUP(K631,'2026.01'!A:Y,24,0),0)</f>
        <v>43</v>
      </c>
      <c r="G636" s="310"/>
      <c r="K636" s="300"/>
    </row>
    <row r="637" ht="15" customHeight="1" spans="1:11">
      <c r="A637" s="307" t="s">
        <v>14</v>
      </c>
      <c r="B637" s="308"/>
      <c r="C637" s="308"/>
      <c r="D637" s="308"/>
      <c r="E637" s="311"/>
      <c r="F637" s="309">
        <f>IFERROR(VLOOKUP(K631,'2026.01'!A:Y,12,0),0)</f>
        <v>160</v>
      </c>
      <c r="G637" s="310"/>
      <c r="K637" s="300"/>
    </row>
    <row r="638" ht="21" customHeight="1" spans="1:11">
      <c r="A638" s="307" t="s">
        <v>15</v>
      </c>
      <c r="B638" s="308"/>
      <c r="C638" s="308"/>
      <c r="D638" s="308"/>
      <c r="E638" s="311"/>
      <c r="F638" s="309">
        <f>IFERROR(VLOOKUP(K631,'2026.01'!A:Y,9,0),0)</f>
        <v>4200</v>
      </c>
      <c r="G638" s="310"/>
      <c r="K638" s="300"/>
    </row>
    <row r="639" ht="19" customHeight="1" spans="1:11">
      <c r="A639" s="307" t="s">
        <v>16</v>
      </c>
      <c r="B639" s="308"/>
      <c r="C639" s="308"/>
      <c r="D639" s="308"/>
      <c r="E639" s="308"/>
      <c r="F639" s="309">
        <f>IFERROR(VLOOKUP(K631,'2026.01'!A:Y,10,0),0)</f>
        <v>500</v>
      </c>
      <c r="G639" s="310"/>
      <c r="K639" s="300"/>
    </row>
    <row r="640" ht="21" customHeight="1" spans="1:11">
      <c r="A640" s="307" t="s">
        <v>17</v>
      </c>
      <c r="B640" s="308"/>
      <c r="C640" s="308"/>
      <c r="D640" s="308"/>
      <c r="E640" s="308"/>
      <c r="F640" s="309">
        <f>IFERROR(VLOOKUP(K631,'2026.01'!A:Y,19,0),0)</f>
        <v>64</v>
      </c>
      <c r="G640" s="310"/>
      <c r="K640" s="300"/>
    </row>
    <row r="641" ht="17.15" customHeight="1" spans="1:11">
      <c r="A641" s="307" t="s">
        <v>18</v>
      </c>
      <c r="B641" s="308"/>
      <c r="C641" s="308"/>
      <c r="D641" s="308"/>
      <c r="E641" s="308"/>
      <c r="F641" s="309">
        <f>IFERROR(VLOOKUP(K631,'2026.01'!A:Y,22,0),0)</f>
        <v>222</v>
      </c>
      <c r="G641" s="310"/>
      <c r="K641" s="300"/>
    </row>
    <row r="642" ht="17.15" customHeight="1" spans="1:11">
      <c r="A642" s="307" t="s">
        <v>19</v>
      </c>
      <c r="B642" s="312"/>
      <c r="C642" s="308"/>
      <c r="D642" s="313"/>
      <c r="E642" s="308"/>
      <c r="F642" s="309">
        <f>IFERROR(VLOOKUP(K631,'2026.01'!A:Y,25,0),0)</f>
        <v>5262</v>
      </c>
      <c r="G642" s="310"/>
      <c r="K642" s="300"/>
    </row>
    <row r="643" ht="15" customHeight="1" spans="1:11">
      <c r="A643" s="314" t="s">
        <v>20</v>
      </c>
      <c r="B643" s="315">
        <f>IF(F642&lt;0,"金额为负，无效",INT(F642))</f>
        <v>5262</v>
      </c>
      <c r="C643" s="315"/>
      <c r="D643" s="315"/>
      <c r="E643" s="316" t="s">
        <v>21</v>
      </c>
      <c r="F643" s="317"/>
      <c r="G643" s="318"/>
      <c r="K643" s="300"/>
    </row>
    <row r="644" ht="23" customHeight="1" spans="1:11">
      <c r="A644" s="319"/>
      <c r="B644" s="320"/>
      <c r="C644" s="320"/>
      <c r="D644" s="320"/>
      <c r="E644" s="319"/>
      <c r="F644" s="321"/>
      <c r="G644" s="322"/>
      <c r="K644" s="300"/>
    </row>
    <row r="645" ht="27" customHeight="1" spans="1:11">
      <c r="A645" s="298" t="s">
        <v>0</v>
      </c>
      <c r="B645" s="298"/>
      <c r="C645" s="298"/>
      <c r="D645" s="298"/>
      <c r="E645" s="298"/>
      <c r="F645" s="298"/>
      <c r="G645" s="298"/>
      <c r="H645" s="299"/>
      <c r="I645" s="299"/>
      <c r="J645" s="299"/>
      <c r="K645" s="300">
        <v>47</v>
      </c>
    </row>
    <row r="646" ht="15" customHeight="1" spans="1:11">
      <c r="A646" s="301" t="s">
        <v>1</v>
      </c>
      <c r="B646" s="301"/>
      <c r="C646" s="301"/>
      <c r="D646" s="301"/>
      <c r="E646" s="301"/>
      <c r="F646" s="301"/>
      <c r="G646" s="302" t="str">
        <f>IFERROR(VLOOKUP(K645,'2026.01'!A:Y,2,0),0)</f>
        <v>NO:047</v>
      </c>
      <c r="K646" s="300"/>
    </row>
    <row r="647" ht="15" customHeight="1" spans="1:11">
      <c r="A647" s="303" t="s">
        <v>2</v>
      </c>
      <c r="B647" s="304">
        <f>IFERROR(VLOOKUP(K645,'2026.01'!A:Y,6,0),0)</f>
        <v>1047</v>
      </c>
      <c r="C647" s="304"/>
      <c r="D647" s="305" t="s">
        <v>3</v>
      </c>
      <c r="E647" s="305" t="str">
        <f>IFERROR(VLOOKUP(K645,'2026.01'!A:Y,7,0),0)</f>
        <v>黄廉颖</v>
      </c>
      <c r="F647" s="305"/>
      <c r="G647" s="306" t="s">
        <v>4</v>
      </c>
      <c r="K647" s="300"/>
    </row>
    <row r="648" ht="15" customHeight="1" spans="1:11">
      <c r="A648" s="307" t="s">
        <v>5</v>
      </c>
      <c r="B648" s="308" t="s">
        <v>6</v>
      </c>
      <c r="C648" s="308" t="s">
        <v>7</v>
      </c>
      <c r="D648" s="308" t="s">
        <v>8</v>
      </c>
      <c r="E648" s="308" t="s">
        <v>9</v>
      </c>
      <c r="F648" s="309" t="s">
        <v>10</v>
      </c>
      <c r="G648" s="310" t="s">
        <v>11</v>
      </c>
      <c r="K648" s="300"/>
    </row>
    <row r="649" ht="15" customHeight="1" spans="1:11">
      <c r="A649" s="307" t="s">
        <v>12</v>
      </c>
      <c r="B649" s="308">
        <f>IFERROR(VLOOKUP(K645,'2026.01'!A:Y,14,0),0)</f>
        <v>7887</v>
      </c>
      <c r="C649" s="308">
        <f>IFERROR(VLOOKUP(K645,'2026.01'!A:Y,13,0),0)</f>
        <v>7795</v>
      </c>
      <c r="D649" s="308">
        <f>IFERROR(VLOOKUP(K645,'2026.01'!A:Y,15,0),0)</f>
        <v>92</v>
      </c>
      <c r="E649" s="311">
        <f>IFERROR(VLOOKUP(K645,'2026.01'!A:Y,18,0),0)</f>
        <v>0.8</v>
      </c>
      <c r="F649" s="309">
        <f>IFERROR(VLOOKUP(K645,'2026.01'!A:Y,20,0),0)</f>
        <v>74</v>
      </c>
      <c r="G649" s="310"/>
      <c r="K649" s="300"/>
    </row>
    <row r="650" ht="15" customHeight="1" spans="1:11">
      <c r="A650" s="307" t="s">
        <v>13</v>
      </c>
      <c r="B650" s="308"/>
      <c r="C650" s="308"/>
      <c r="D650" s="308"/>
      <c r="E650" s="311"/>
      <c r="F650" s="309">
        <f>IFERROR(VLOOKUP(K645,'2026.01'!A:Y,24,0),0)</f>
        <v>43</v>
      </c>
      <c r="G650" s="310"/>
      <c r="K650" s="300"/>
    </row>
    <row r="651" ht="15" customHeight="1" spans="1:11">
      <c r="A651" s="307" t="s">
        <v>14</v>
      </c>
      <c r="B651" s="308"/>
      <c r="C651" s="308"/>
      <c r="D651" s="308"/>
      <c r="E651" s="311"/>
      <c r="F651" s="309">
        <f>IFERROR(VLOOKUP(K645,'2026.01'!A:Y,12,0),0)</f>
        <v>160</v>
      </c>
      <c r="G651" s="310"/>
      <c r="K651" s="300"/>
    </row>
    <row r="652" ht="21" customHeight="1" spans="1:11">
      <c r="A652" s="307" t="s">
        <v>15</v>
      </c>
      <c r="B652" s="308"/>
      <c r="C652" s="308"/>
      <c r="D652" s="308"/>
      <c r="E652" s="311"/>
      <c r="F652" s="309">
        <f>IFERROR(VLOOKUP(K645,'2026.01'!A:Y,9,0),0)</f>
        <v>4200</v>
      </c>
      <c r="G652" s="310"/>
      <c r="K652" s="300"/>
    </row>
    <row r="653" ht="19" customHeight="1" spans="1:11">
      <c r="A653" s="307" t="s">
        <v>16</v>
      </c>
      <c r="B653" s="308"/>
      <c r="C653" s="308"/>
      <c r="D653" s="308"/>
      <c r="E653" s="308"/>
      <c r="F653" s="309">
        <f>IFERROR(VLOOKUP(K645,'2026.01'!A:Y,10,0),0)</f>
        <v>500</v>
      </c>
      <c r="G653" s="310"/>
      <c r="K653" s="300"/>
    </row>
    <row r="654" ht="21" customHeight="1" spans="1:11">
      <c r="A654" s="307" t="s">
        <v>17</v>
      </c>
      <c r="B654" s="308"/>
      <c r="C654" s="308"/>
      <c r="D654" s="308"/>
      <c r="E654" s="308"/>
      <c r="F654" s="309">
        <f>IFERROR(VLOOKUP(K645,'2026.01'!A:Y,19,0),0)</f>
        <v>64</v>
      </c>
      <c r="G654" s="310"/>
      <c r="K654" s="300"/>
    </row>
    <row r="655" ht="17.15" customHeight="1" spans="1:11">
      <c r="A655" s="307" t="s">
        <v>18</v>
      </c>
      <c r="B655" s="308"/>
      <c r="C655" s="308"/>
      <c r="D655" s="308"/>
      <c r="E655" s="308"/>
      <c r="F655" s="309">
        <f>IFERROR(VLOOKUP(K645,'2026.01'!A:Y,22,0),0)</f>
        <v>222</v>
      </c>
      <c r="G655" s="310"/>
      <c r="K655" s="300"/>
    </row>
    <row r="656" ht="17.15" customHeight="1" spans="1:11">
      <c r="A656" s="307" t="s">
        <v>19</v>
      </c>
      <c r="B656" s="312"/>
      <c r="C656" s="308"/>
      <c r="D656" s="313"/>
      <c r="E656" s="308"/>
      <c r="F656" s="309">
        <f>IFERROR(VLOOKUP(K645,'2026.01'!A:Y,25,0),0)</f>
        <v>5263</v>
      </c>
      <c r="G656" s="310"/>
      <c r="K656" s="300"/>
    </row>
    <row r="657" ht="15" customHeight="1" spans="1:11">
      <c r="A657" s="314" t="s">
        <v>20</v>
      </c>
      <c r="B657" s="315">
        <f>IF(F656&lt;0,"金额为负，无效",INT(F656))</f>
        <v>5263</v>
      </c>
      <c r="C657" s="315"/>
      <c r="D657" s="315"/>
      <c r="E657" s="316" t="s">
        <v>21</v>
      </c>
      <c r="F657" s="317"/>
      <c r="G657" s="318"/>
      <c r="K657" s="300"/>
    </row>
    <row r="658" ht="23" customHeight="1" spans="1:11">
      <c r="A658" s="319"/>
      <c r="B658" s="320"/>
      <c r="C658" s="320"/>
      <c r="D658" s="320"/>
      <c r="E658" s="319"/>
      <c r="F658" s="321"/>
      <c r="G658" s="322"/>
      <c r="K658" s="300"/>
    </row>
    <row r="659" ht="27" customHeight="1" spans="1:11">
      <c r="A659" s="298" t="s">
        <v>0</v>
      </c>
      <c r="B659" s="298"/>
      <c r="C659" s="298"/>
      <c r="D659" s="298"/>
      <c r="E659" s="298"/>
      <c r="F659" s="298"/>
      <c r="G659" s="298"/>
      <c r="H659" s="299"/>
      <c r="I659" s="299"/>
      <c r="J659" s="299"/>
      <c r="K659" s="300">
        <v>48</v>
      </c>
    </row>
    <row r="660" ht="15" customHeight="1" spans="1:11">
      <c r="A660" s="301" t="s">
        <v>1</v>
      </c>
      <c r="B660" s="301"/>
      <c r="C660" s="301"/>
      <c r="D660" s="301"/>
      <c r="E660" s="301"/>
      <c r="F660" s="301"/>
      <c r="G660" s="302" t="str">
        <f>IFERROR(VLOOKUP(K659,'2026.01'!A:Y,2,0),0)</f>
        <v>NO:048</v>
      </c>
      <c r="K660" s="300"/>
    </row>
    <row r="661" ht="15" customHeight="1" spans="1:11">
      <c r="A661" s="303" t="s">
        <v>2</v>
      </c>
      <c r="B661" s="304">
        <f>IFERROR(VLOOKUP(K659,'2026.01'!A:Y,6,0),0)</f>
        <v>1048</v>
      </c>
      <c r="C661" s="304"/>
      <c r="D661" s="305" t="s">
        <v>3</v>
      </c>
      <c r="E661" s="305" t="str">
        <f>IFERROR(VLOOKUP(K659,'2026.01'!A:Y,7,0),0)</f>
        <v>李嘉格</v>
      </c>
      <c r="F661" s="305"/>
      <c r="G661" s="306" t="s">
        <v>4</v>
      </c>
      <c r="K661" s="300"/>
    </row>
    <row r="662" ht="15" customHeight="1" spans="1:11">
      <c r="A662" s="307" t="s">
        <v>5</v>
      </c>
      <c r="B662" s="308" t="s">
        <v>6</v>
      </c>
      <c r="C662" s="308" t="s">
        <v>7</v>
      </c>
      <c r="D662" s="308" t="s">
        <v>8</v>
      </c>
      <c r="E662" s="308" t="s">
        <v>9</v>
      </c>
      <c r="F662" s="309" t="s">
        <v>10</v>
      </c>
      <c r="G662" s="310" t="s">
        <v>11</v>
      </c>
      <c r="K662" s="300"/>
    </row>
    <row r="663" ht="15" customHeight="1" spans="1:11">
      <c r="A663" s="307" t="s">
        <v>12</v>
      </c>
      <c r="B663" s="308">
        <f>IFERROR(VLOOKUP(K659,'2026.01'!A:Y,14,0),0)</f>
        <v>5529</v>
      </c>
      <c r="C663" s="308">
        <f>IFERROR(VLOOKUP(K659,'2026.01'!A:Y,13,0),0)</f>
        <v>5509</v>
      </c>
      <c r="D663" s="308">
        <f>IFERROR(VLOOKUP(K659,'2026.01'!A:Y,15,0),0)</f>
        <v>20</v>
      </c>
      <c r="E663" s="311">
        <f>IFERROR(VLOOKUP(K659,'2026.01'!A:Y,18,0),0)</f>
        <v>0.8</v>
      </c>
      <c r="F663" s="309">
        <f>IFERROR(VLOOKUP(K659,'2026.01'!A:Y,20,0),0)</f>
        <v>16</v>
      </c>
      <c r="G663" s="310"/>
      <c r="K663" s="300"/>
    </row>
    <row r="664" ht="15" customHeight="1" spans="1:11">
      <c r="A664" s="307" t="s">
        <v>13</v>
      </c>
      <c r="B664" s="308"/>
      <c r="C664" s="308"/>
      <c r="D664" s="308"/>
      <c r="E664" s="311"/>
      <c r="F664" s="309">
        <f>IFERROR(VLOOKUP(K659,'2026.01'!A:Y,24,0),0)</f>
        <v>43</v>
      </c>
      <c r="G664" s="310"/>
      <c r="K664" s="300"/>
    </row>
    <row r="665" ht="15" customHeight="1" spans="1:11">
      <c r="A665" s="307" t="s">
        <v>14</v>
      </c>
      <c r="B665" s="308"/>
      <c r="C665" s="308"/>
      <c r="D665" s="308"/>
      <c r="E665" s="311"/>
      <c r="F665" s="309">
        <f>IFERROR(VLOOKUP(K659,'2026.01'!A:Y,12,0),0)</f>
        <v>160</v>
      </c>
      <c r="G665" s="310"/>
      <c r="K665" s="300"/>
    </row>
    <row r="666" ht="21" customHeight="1" spans="1:11">
      <c r="A666" s="307" t="s">
        <v>15</v>
      </c>
      <c r="B666" s="308"/>
      <c r="C666" s="308"/>
      <c r="D666" s="308"/>
      <c r="E666" s="311"/>
      <c r="F666" s="309">
        <f>IFERROR(VLOOKUP(K659,'2026.01'!A:Y,9,0),0)</f>
        <v>4202</v>
      </c>
      <c r="G666" s="310"/>
      <c r="K666" s="300"/>
    </row>
    <row r="667" ht="19" customHeight="1" spans="1:11">
      <c r="A667" s="307" t="s">
        <v>16</v>
      </c>
      <c r="B667" s="308"/>
      <c r="C667" s="308"/>
      <c r="D667" s="308"/>
      <c r="E667" s="308"/>
      <c r="F667" s="309">
        <f>IFERROR(VLOOKUP(K659,'2026.01'!A:Y,10,0),0)</f>
        <v>500</v>
      </c>
      <c r="G667" s="310"/>
      <c r="K667" s="300"/>
    </row>
    <row r="668" ht="21" customHeight="1" spans="1:11">
      <c r="A668" s="307" t="s">
        <v>17</v>
      </c>
      <c r="B668" s="308"/>
      <c r="C668" s="308"/>
      <c r="D668" s="308"/>
      <c r="E668" s="308"/>
      <c r="F668" s="309">
        <f>IFERROR(VLOOKUP(K659,'2026.01'!A:Y,19,0),0)</f>
        <v>14</v>
      </c>
      <c r="G668" s="310"/>
      <c r="K668" s="300"/>
    </row>
    <row r="669" ht="17.15" customHeight="1" spans="1:11">
      <c r="A669" s="307" t="s">
        <v>18</v>
      </c>
      <c r="B669" s="308"/>
      <c r="C669" s="308"/>
      <c r="D669" s="308"/>
      <c r="E669" s="308"/>
      <c r="F669" s="309">
        <f>IFERROR(VLOOKUP(K659,'2026.01'!A:Y,22,0),0)</f>
        <v>222</v>
      </c>
      <c r="G669" s="310"/>
      <c r="K669" s="300"/>
    </row>
    <row r="670" ht="17.15" customHeight="1" spans="1:11">
      <c r="A670" s="307" t="s">
        <v>19</v>
      </c>
      <c r="B670" s="312"/>
      <c r="C670" s="308"/>
      <c r="D670" s="313"/>
      <c r="E670" s="308"/>
      <c r="F670" s="309">
        <f>IFERROR(VLOOKUP(K659,'2026.01'!A:Y,25,0),0)</f>
        <v>5157</v>
      </c>
      <c r="G670" s="310"/>
      <c r="K670" s="300"/>
    </row>
    <row r="671" ht="15" customHeight="1" spans="1:11">
      <c r="A671" s="314" t="s">
        <v>20</v>
      </c>
      <c r="B671" s="315">
        <f>IF(F670&lt;0,"金额为负，无效",INT(F670))</f>
        <v>5157</v>
      </c>
      <c r="C671" s="315"/>
      <c r="D671" s="315"/>
      <c r="E671" s="316" t="s">
        <v>21</v>
      </c>
      <c r="F671" s="317"/>
      <c r="G671" s="318"/>
      <c r="K671" s="300"/>
    </row>
    <row r="672" ht="15" customHeight="1" spans="1:11">
      <c r="A672" s="319"/>
      <c r="B672" s="320"/>
      <c r="C672" s="320"/>
      <c r="D672" s="320"/>
      <c r="E672" s="319"/>
      <c r="F672" s="321"/>
      <c r="G672" s="322"/>
      <c r="K672" s="300"/>
    </row>
    <row r="673" ht="27" customHeight="1" spans="1:11">
      <c r="A673" s="298" t="s">
        <v>0</v>
      </c>
      <c r="B673" s="298"/>
      <c r="C673" s="298"/>
      <c r="D673" s="298"/>
      <c r="E673" s="298"/>
      <c r="F673" s="298"/>
      <c r="G673" s="298"/>
      <c r="H673" s="299"/>
      <c r="I673" s="299"/>
      <c r="J673" s="299"/>
      <c r="K673" s="300">
        <v>49</v>
      </c>
    </row>
    <row r="674" ht="15" customHeight="1" spans="1:11">
      <c r="A674" s="301" t="s">
        <v>1</v>
      </c>
      <c r="B674" s="301"/>
      <c r="C674" s="301"/>
      <c r="D674" s="301"/>
      <c r="E674" s="301"/>
      <c r="F674" s="301"/>
      <c r="G674" s="302" t="str">
        <f>IFERROR(VLOOKUP(K673,'2026.01'!A:Y,2,0),0)</f>
        <v>NO:049</v>
      </c>
      <c r="K674" s="300"/>
    </row>
    <row r="675" ht="15" customHeight="1" spans="1:11">
      <c r="A675" s="303" t="s">
        <v>2</v>
      </c>
      <c r="B675" s="304">
        <f>IFERROR(VLOOKUP(K673,'2026.01'!A:Y,6,0),0)</f>
        <v>1049</v>
      </c>
      <c r="C675" s="304"/>
      <c r="D675" s="305" t="s">
        <v>3</v>
      </c>
      <c r="E675" s="305" t="str">
        <f>IFERROR(VLOOKUP(K673,'2026.01'!A:Y,7,0),0)</f>
        <v>何飞</v>
      </c>
      <c r="F675" s="305"/>
      <c r="G675" s="306" t="s">
        <v>4</v>
      </c>
      <c r="K675" s="300"/>
    </row>
    <row r="676" ht="15" customHeight="1" spans="1:11">
      <c r="A676" s="307" t="s">
        <v>5</v>
      </c>
      <c r="B676" s="308" t="s">
        <v>6</v>
      </c>
      <c r="C676" s="308" t="s">
        <v>7</v>
      </c>
      <c r="D676" s="308" t="s">
        <v>8</v>
      </c>
      <c r="E676" s="308" t="s">
        <v>9</v>
      </c>
      <c r="F676" s="309" t="s">
        <v>10</v>
      </c>
      <c r="G676" s="310" t="s">
        <v>11</v>
      </c>
      <c r="K676" s="300"/>
    </row>
    <row r="677" ht="15" customHeight="1" spans="1:11">
      <c r="A677" s="307" t="s">
        <v>12</v>
      </c>
      <c r="B677" s="308">
        <f>IFERROR(VLOOKUP(K673,'2026.01'!A:Y,14,0),0)</f>
        <v>2001</v>
      </c>
      <c r="C677" s="308">
        <f>IFERROR(VLOOKUP(K673,'2026.01'!A:Y,13,0),0)</f>
        <v>2001</v>
      </c>
      <c r="D677" s="308">
        <f>IFERROR(VLOOKUP(K673,'2026.01'!A:Y,15,0),0)</f>
        <v>0</v>
      </c>
      <c r="E677" s="311">
        <f>IFERROR(VLOOKUP(K673,'2026.01'!A:Y,18,0),0)</f>
        <v>0.8</v>
      </c>
      <c r="F677" s="309">
        <f>IFERROR(VLOOKUP(K673,'2026.01'!A:Y,20,0),0)</f>
        <v>0</v>
      </c>
      <c r="G677" s="310"/>
      <c r="K677" s="300"/>
    </row>
    <row r="678" ht="15" customHeight="1" spans="1:11">
      <c r="A678" s="307" t="s">
        <v>13</v>
      </c>
      <c r="B678" s="308"/>
      <c r="C678" s="308"/>
      <c r="D678" s="308"/>
      <c r="E678" s="311"/>
      <c r="F678" s="309">
        <f>IFERROR(VLOOKUP(K673,'2026.01'!A:Y,24,0),0)</f>
        <v>43</v>
      </c>
      <c r="G678" s="310"/>
      <c r="K678" s="300"/>
    </row>
    <row r="679" ht="15" customHeight="1" spans="1:11">
      <c r="A679" s="307" t="s">
        <v>14</v>
      </c>
      <c r="B679" s="308"/>
      <c r="C679" s="308"/>
      <c r="D679" s="308"/>
      <c r="E679" s="311"/>
      <c r="F679" s="309">
        <f>IFERROR(VLOOKUP(K673,'2026.01'!A:Y,12,0),0)</f>
        <v>160</v>
      </c>
      <c r="G679" s="310"/>
      <c r="K679" s="300"/>
    </row>
    <row r="680" ht="21" customHeight="1" spans="1:11">
      <c r="A680" s="307" t="s">
        <v>15</v>
      </c>
      <c r="B680" s="308"/>
      <c r="C680" s="308"/>
      <c r="D680" s="308"/>
      <c r="E680" s="311"/>
      <c r="F680" s="309">
        <f>IFERROR(VLOOKUP(K673,'2026.01'!A:Y,9,0),0)</f>
        <v>4200</v>
      </c>
      <c r="G680" s="310"/>
      <c r="K680" s="300"/>
    </row>
    <row r="681" ht="19" customHeight="1" spans="1:11">
      <c r="A681" s="307" t="s">
        <v>16</v>
      </c>
      <c r="B681" s="308"/>
      <c r="C681" s="308"/>
      <c r="D681" s="308"/>
      <c r="E681" s="308"/>
      <c r="F681" s="309">
        <f>IFERROR(VLOOKUP(K673,'2026.01'!A:Y,10,0),0)</f>
        <v>500</v>
      </c>
      <c r="G681" s="310"/>
      <c r="K681" s="300"/>
    </row>
    <row r="682" ht="21" customHeight="1" spans="1:11">
      <c r="A682" s="307" t="s">
        <v>17</v>
      </c>
      <c r="B682" s="308"/>
      <c r="C682" s="308"/>
      <c r="D682" s="308"/>
      <c r="E682" s="308"/>
      <c r="F682" s="309">
        <f>IFERROR(VLOOKUP(K673,'2026.01'!A:Y,19,0),0)</f>
        <v>0</v>
      </c>
      <c r="G682" s="310"/>
      <c r="K682" s="300"/>
    </row>
    <row r="683" ht="17.15" customHeight="1" spans="1:11">
      <c r="A683" s="307" t="s">
        <v>18</v>
      </c>
      <c r="B683" s="308"/>
      <c r="C683" s="308"/>
      <c r="D683" s="308"/>
      <c r="E683" s="308"/>
      <c r="F683" s="309">
        <f>IFERROR(VLOOKUP(K673,'2026.01'!A:Y,22,0),0)</f>
        <v>222</v>
      </c>
      <c r="G683" s="310"/>
      <c r="K683" s="300"/>
    </row>
    <row r="684" ht="17.15" customHeight="1" spans="1:11">
      <c r="A684" s="307" t="s">
        <v>19</v>
      </c>
      <c r="B684" s="312"/>
      <c r="C684" s="308"/>
      <c r="D684" s="313"/>
      <c r="E684" s="308"/>
      <c r="F684" s="309">
        <f>IFERROR(VLOOKUP(K673,'2026.01'!A:Y,25,0),0)</f>
        <v>5125</v>
      </c>
      <c r="G684" s="310"/>
      <c r="K684" s="300"/>
    </row>
    <row r="685" ht="15" customHeight="1" spans="1:11">
      <c r="A685" s="314" t="s">
        <v>20</v>
      </c>
      <c r="B685" s="315">
        <f>IF(F684&lt;0,"金额为负，无效",INT(F684))</f>
        <v>5125</v>
      </c>
      <c r="C685" s="315"/>
      <c r="D685" s="315"/>
      <c r="E685" s="316" t="s">
        <v>21</v>
      </c>
      <c r="F685" s="317"/>
      <c r="G685" s="318"/>
      <c r="K685" s="300"/>
    </row>
    <row r="686" ht="23" customHeight="1" spans="1:11">
      <c r="A686" s="319"/>
      <c r="B686" s="320"/>
      <c r="C686" s="320"/>
      <c r="D686" s="320"/>
      <c r="E686" s="319"/>
      <c r="F686" s="321"/>
      <c r="G686" s="322"/>
      <c r="K686" s="300"/>
    </row>
    <row r="687" ht="27" customHeight="1" spans="1:11">
      <c r="A687" s="298" t="s">
        <v>0</v>
      </c>
      <c r="B687" s="298"/>
      <c r="C687" s="298"/>
      <c r="D687" s="298"/>
      <c r="E687" s="298"/>
      <c r="F687" s="298"/>
      <c r="G687" s="298"/>
      <c r="H687" s="299"/>
      <c r="I687" s="299"/>
      <c r="J687" s="299"/>
      <c r="K687" s="300">
        <v>50</v>
      </c>
    </row>
    <row r="688" ht="15" customHeight="1" spans="1:11">
      <c r="A688" s="301" t="s">
        <v>1</v>
      </c>
      <c r="B688" s="301"/>
      <c r="C688" s="301"/>
      <c r="D688" s="301"/>
      <c r="E688" s="301"/>
      <c r="F688" s="301"/>
      <c r="G688" s="302" t="str">
        <f>IFERROR(VLOOKUP(K687,'2026.01'!A:Y,2,0),0)</f>
        <v>NO:050</v>
      </c>
      <c r="K688" s="300"/>
    </row>
    <row r="689" ht="15" customHeight="1" spans="1:11">
      <c r="A689" s="303" t="s">
        <v>2</v>
      </c>
      <c r="B689" s="304">
        <f>IFERROR(VLOOKUP(K687,'2026.01'!A:Y,6,0),0)</f>
        <v>1050</v>
      </c>
      <c r="C689" s="304"/>
      <c r="D689" s="305" t="s">
        <v>3</v>
      </c>
      <c r="E689" s="305" t="str">
        <f>IFERROR(VLOOKUP(K687,'2026.01'!A:Y,7,0),0)</f>
        <v>刘玲</v>
      </c>
      <c r="F689" s="305"/>
      <c r="G689" s="306" t="s">
        <v>4</v>
      </c>
      <c r="K689" s="300"/>
    </row>
    <row r="690" ht="15" customHeight="1" spans="1:11">
      <c r="A690" s="307" t="s">
        <v>5</v>
      </c>
      <c r="B690" s="308" t="s">
        <v>6</v>
      </c>
      <c r="C690" s="308" t="s">
        <v>7</v>
      </c>
      <c r="D690" s="308" t="s">
        <v>8</v>
      </c>
      <c r="E690" s="308" t="s">
        <v>9</v>
      </c>
      <c r="F690" s="309" t="s">
        <v>10</v>
      </c>
      <c r="G690" s="310" t="s">
        <v>11</v>
      </c>
      <c r="K690" s="300"/>
    </row>
    <row r="691" ht="15" customHeight="1" spans="1:11">
      <c r="A691" s="307" t="s">
        <v>12</v>
      </c>
      <c r="B691" s="308">
        <f>IFERROR(VLOOKUP(K687,'2026.01'!A:Y,14,0),0)</f>
        <v>8075</v>
      </c>
      <c r="C691" s="308">
        <f>IFERROR(VLOOKUP(K687,'2026.01'!A:Y,13,0),0)</f>
        <v>8017</v>
      </c>
      <c r="D691" s="308">
        <f>IFERROR(VLOOKUP(K687,'2026.01'!A:Y,15,0),0)</f>
        <v>58</v>
      </c>
      <c r="E691" s="311">
        <f>IFERROR(VLOOKUP(K687,'2026.01'!A:Y,18,0),0)</f>
        <v>0.8</v>
      </c>
      <c r="F691" s="309">
        <f>IFERROR(VLOOKUP(K687,'2026.01'!A:Y,20,0),0)</f>
        <v>46</v>
      </c>
      <c r="G691" s="310"/>
      <c r="K691" s="300"/>
    </row>
    <row r="692" ht="15" customHeight="1" spans="1:11">
      <c r="A692" s="307" t="s">
        <v>13</v>
      </c>
      <c r="B692" s="308"/>
      <c r="C692" s="308"/>
      <c r="D692" s="308"/>
      <c r="E692" s="311"/>
      <c r="F692" s="309">
        <f>IFERROR(VLOOKUP(K687,'2026.01'!A:Y,24,0),0)</f>
        <v>43</v>
      </c>
      <c r="G692" s="310"/>
      <c r="K692" s="300"/>
    </row>
    <row r="693" ht="15" customHeight="1" spans="1:11">
      <c r="A693" s="307" t="s">
        <v>14</v>
      </c>
      <c r="B693" s="308"/>
      <c r="C693" s="308"/>
      <c r="D693" s="308"/>
      <c r="E693" s="311"/>
      <c r="F693" s="309">
        <f>IFERROR(VLOOKUP(K687,'2026.01'!A:Y,12,0),0)</f>
        <v>160</v>
      </c>
      <c r="G693" s="310"/>
      <c r="K693" s="300"/>
    </row>
    <row r="694" ht="21" customHeight="1" spans="1:11">
      <c r="A694" s="307" t="s">
        <v>15</v>
      </c>
      <c r="B694" s="308"/>
      <c r="C694" s="308"/>
      <c r="D694" s="308"/>
      <c r="E694" s="311"/>
      <c r="F694" s="309">
        <f>IFERROR(VLOOKUP(K687,'2026.01'!A:Y,9,0),0)</f>
        <v>4200</v>
      </c>
      <c r="G694" s="310"/>
      <c r="K694" s="300"/>
    </row>
    <row r="695" ht="19" customHeight="1" spans="1:11">
      <c r="A695" s="307" t="s">
        <v>16</v>
      </c>
      <c r="B695" s="308"/>
      <c r="C695" s="308"/>
      <c r="D695" s="308"/>
      <c r="E695" s="308"/>
      <c r="F695" s="309">
        <f>IFERROR(VLOOKUP(K687,'2026.01'!A:Y,10,0),0)</f>
        <v>500</v>
      </c>
      <c r="G695" s="310"/>
      <c r="K695" s="300"/>
    </row>
    <row r="696" ht="21" customHeight="1" spans="1:11">
      <c r="A696" s="307" t="s">
        <v>17</v>
      </c>
      <c r="B696" s="308"/>
      <c r="C696" s="308"/>
      <c r="D696" s="308"/>
      <c r="E696" s="308"/>
      <c r="F696" s="309">
        <f>IFERROR(VLOOKUP(K687,'2026.01'!A:Y,19,0),0)</f>
        <v>41</v>
      </c>
      <c r="G696" s="310"/>
      <c r="K696" s="300"/>
    </row>
    <row r="697" ht="17.15" customHeight="1" spans="1:11">
      <c r="A697" s="307" t="s">
        <v>18</v>
      </c>
      <c r="B697" s="308"/>
      <c r="C697" s="308"/>
      <c r="D697" s="308"/>
      <c r="E697" s="308"/>
      <c r="F697" s="309">
        <f>IFERROR(VLOOKUP(K687,'2026.01'!A:Y,22,0),0)</f>
        <v>222</v>
      </c>
      <c r="G697" s="310"/>
      <c r="K697" s="300"/>
    </row>
    <row r="698" ht="17.15" customHeight="1" spans="1:11">
      <c r="A698" s="307" t="s">
        <v>19</v>
      </c>
      <c r="B698" s="312"/>
      <c r="C698" s="308"/>
      <c r="D698" s="313"/>
      <c r="E698" s="308"/>
      <c r="F698" s="309">
        <f>IFERROR(VLOOKUP(K687,'2026.01'!A:Y,25,0),0)</f>
        <v>5212</v>
      </c>
      <c r="G698" s="310"/>
      <c r="K698" s="300"/>
    </row>
    <row r="699" ht="15" customHeight="1" spans="1:11">
      <c r="A699" s="314" t="s">
        <v>20</v>
      </c>
      <c r="B699" s="315">
        <f>IF(F698&lt;0,"金额为负，无效",INT(F698))</f>
        <v>5212</v>
      </c>
      <c r="C699" s="315"/>
      <c r="D699" s="315"/>
      <c r="E699" s="316" t="s">
        <v>21</v>
      </c>
      <c r="F699" s="317"/>
      <c r="G699" s="318"/>
      <c r="K699" s="300"/>
    </row>
    <row r="700" ht="23" customHeight="1" spans="1:11">
      <c r="A700" s="319"/>
      <c r="B700" s="320"/>
      <c r="C700" s="320"/>
      <c r="D700" s="320"/>
      <c r="E700" s="319"/>
      <c r="F700" s="321"/>
      <c r="G700" s="322"/>
      <c r="K700" s="300"/>
    </row>
    <row r="701" ht="27" customHeight="1" spans="1:11">
      <c r="A701" s="298" t="s">
        <v>0</v>
      </c>
      <c r="B701" s="298"/>
      <c r="C701" s="298"/>
      <c r="D701" s="298"/>
      <c r="E701" s="298"/>
      <c r="F701" s="298"/>
      <c r="G701" s="298"/>
      <c r="H701" s="299"/>
      <c r="I701" s="299"/>
      <c r="J701" s="299"/>
      <c r="K701" s="300">
        <v>51</v>
      </c>
    </row>
    <row r="702" ht="15" customHeight="1" spans="1:11">
      <c r="A702" s="301" t="s">
        <v>1</v>
      </c>
      <c r="B702" s="301"/>
      <c r="C702" s="301"/>
      <c r="D702" s="301"/>
      <c r="E702" s="301"/>
      <c r="F702" s="301"/>
      <c r="G702" s="302" t="str">
        <f>IFERROR(VLOOKUP(K701,'2026.01'!A:Y,2,0),0)</f>
        <v>NO:051</v>
      </c>
      <c r="K702" s="300"/>
    </row>
    <row r="703" ht="15" customHeight="1" spans="1:11">
      <c r="A703" s="303" t="s">
        <v>2</v>
      </c>
      <c r="B703" s="304">
        <f>IFERROR(VLOOKUP(K701,'2026.01'!A:Y,6,0),0)</f>
        <v>1051</v>
      </c>
      <c r="C703" s="304"/>
      <c r="D703" s="305" t="s">
        <v>3</v>
      </c>
      <c r="E703" s="305" t="str">
        <f>IFERROR(VLOOKUP(K701,'2026.01'!A:Y,7,0),0)</f>
        <v>陈慧芳</v>
      </c>
      <c r="F703" s="305"/>
      <c r="G703" s="306" t="s">
        <v>4</v>
      </c>
      <c r="K703" s="300"/>
    </row>
    <row r="704" ht="15" customHeight="1" spans="1:11">
      <c r="A704" s="307" t="s">
        <v>5</v>
      </c>
      <c r="B704" s="308" t="s">
        <v>6</v>
      </c>
      <c r="C704" s="308" t="s">
        <v>7</v>
      </c>
      <c r="D704" s="308" t="s">
        <v>8</v>
      </c>
      <c r="E704" s="308" t="s">
        <v>9</v>
      </c>
      <c r="F704" s="309" t="s">
        <v>10</v>
      </c>
      <c r="G704" s="310" t="s">
        <v>11</v>
      </c>
      <c r="K704" s="300"/>
    </row>
    <row r="705" ht="15" customHeight="1" spans="1:11">
      <c r="A705" s="307" t="s">
        <v>12</v>
      </c>
      <c r="B705" s="308">
        <f>IFERROR(VLOOKUP(K701,'2026.01'!A:Y,14,0),0)</f>
        <v>512</v>
      </c>
      <c r="C705" s="308">
        <f>IFERROR(VLOOKUP(K701,'2026.01'!A:Y,13,0),0)</f>
        <v>480</v>
      </c>
      <c r="D705" s="308">
        <f>IFERROR(VLOOKUP(K701,'2026.01'!A:Y,15,0),0)</f>
        <v>32</v>
      </c>
      <c r="E705" s="311">
        <f>IFERROR(VLOOKUP(K701,'2026.01'!A:Y,18,0),0)</f>
        <v>0.8</v>
      </c>
      <c r="F705" s="309">
        <f>IFERROR(VLOOKUP(K701,'2026.01'!A:Y,20,0),0)</f>
        <v>26</v>
      </c>
      <c r="G705" s="310"/>
      <c r="K705" s="300"/>
    </row>
    <row r="706" ht="15" customHeight="1" spans="1:11">
      <c r="A706" s="307" t="s">
        <v>13</v>
      </c>
      <c r="B706" s="308"/>
      <c r="C706" s="308"/>
      <c r="D706" s="308"/>
      <c r="E706" s="311"/>
      <c r="F706" s="309">
        <f>IFERROR(VLOOKUP(K701,'2026.01'!A:Y,24,0),0)</f>
        <v>43</v>
      </c>
      <c r="G706" s="310"/>
      <c r="K706" s="300"/>
    </row>
    <row r="707" ht="15" customHeight="1" spans="1:11">
      <c r="A707" s="307" t="s">
        <v>14</v>
      </c>
      <c r="B707" s="308"/>
      <c r="C707" s="308"/>
      <c r="D707" s="308"/>
      <c r="E707" s="311"/>
      <c r="F707" s="309">
        <f>IFERROR(VLOOKUP(K701,'2026.01'!A:Y,12,0),0)</f>
        <v>160</v>
      </c>
      <c r="G707" s="310"/>
      <c r="K707" s="300"/>
    </row>
    <row r="708" ht="21" customHeight="1" spans="1:11">
      <c r="A708" s="307" t="s">
        <v>15</v>
      </c>
      <c r="B708" s="308"/>
      <c r="C708" s="308"/>
      <c r="D708" s="308"/>
      <c r="E708" s="311"/>
      <c r="F708" s="309">
        <f>IFERROR(VLOOKUP(K701,'2026.01'!A:Y,9,0),0)</f>
        <v>4200</v>
      </c>
      <c r="G708" s="310"/>
      <c r="K708" s="300"/>
    </row>
    <row r="709" ht="19" customHeight="1" spans="1:11">
      <c r="A709" s="307" t="s">
        <v>16</v>
      </c>
      <c r="B709" s="308"/>
      <c r="C709" s="308"/>
      <c r="D709" s="308"/>
      <c r="E709" s="308"/>
      <c r="F709" s="309">
        <f>IFERROR(VLOOKUP(K701,'2026.01'!A:Y,10,0),0)</f>
        <v>500</v>
      </c>
      <c r="G709" s="310"/>
      <c r="K709" s="300"/>
    </row>
    <row r="710" ht="21" customHeight="1" spans="1:11">
      <c r="A710" s="307" t="s">
        <v>17</v>
      </c>
      <c r="B710" s="308"/>
      <c r="C710" s="308"/>
      <c r="D710" s="308"/>
      <c r="E710" s="308"/>
      <c r="F710" s="309">
        <f>IFERROR(VLOOKUP(K701,'2026.01'!A:Y,19,0),0)</f>
        <v>22</v>
      </c>
      <c r="G710" s="310"/>
      <c r="K710" s="300"/>
    </row>
    <row r="711" ht="17.15" customHeight="1" spans="1:11">
      <c r="A711" s="307" t="s">
        <v>18</v>
      </c>
      <c r="B711" s="308"/>
      <c r="C711" s="308"/>
      <c r="D711" s="308"/>
      <c r="E711" s="308"/>
      <c r="F711" s="309">
        <f>IFERROR(VLOOKUP(K701,'2026.01'!A:Y,22,0),0)</f>
        <v>222</v>
      </c>
      <c r="G711" s="310"/>
      <c r="K711" s="300"/>
    </row>
    <row r="712" ht="17.15" customHeight="1" spans="1:11">
      <c r="A712" s="307" t="s">
        <v>19</v>
      </c>
      <c r="B712" s="312"/>
      <c r="C712" s="308"/>
      <c r="D712" s="313"/>
      <c r="E712" s="308"/>
      <c r="F712" s="309">
        <f>IFERROR(VLOOKUP(K701,'2026.01'!A:Y,25,0),0)</f>
        <v>5173</v>
      </c>
      <c r="G712" s="310"/>
      <c r="K712" s="300"/>
    </row>
    <row r="713" ht="15" customHeight="1" spans="1:11">
      <c r="A713" s="314" t="s">
        <v>20</v>
      </c>
      <c r="B713" s="315">
        <f>IF(F712&lt;0,"金额为负，无效",INT(F712))</f>
        <v>5173</v>
      </c>
      <c r="C713" s="315"/>
      <c r="D713" s="315"/>
      <c r="E713" s="316" t="s">
        <v>21</v>
      </c>
      <c r="F713" s="317"/>
      <c r="G713" s="318"/>
      <c r="K713" s="300"/>
    </row>
    <row r="714" ht="15" customHeight="1" spans="1:11">
      <c r="A714" s="319"/>
      <c r="B714" s="320"/>
      <c r="C714" s="320"/>
      <c r="D714" s="320"/>
      <c r="E714" s="319"/>
      <c r="F714" s="321"/>
      <c r="G714" s="322"/>
      <c r="K714" s="300"/>
    </row>
    <row r="715" ht="27" customHeight="1" spans="1:11">
      <c r="A715" s="298" t="s">
        <v>0</v>
      </c>
      <c r="B715" s="298"/>
      <c r="C715" s="298"/>
      <c r="D715" s="298"/>
      <c r="E715" s="298"/>
      <c r="F715" s="298"/>
      <c r="G715" s="298"/>
      <c r="H715" s="299"/>
      <c r="I715" s="299"/>
      <c r="J715" s="299"/>
      <c r="K715" s="300">
        <v>52</v>
      </c>
    </row>
    <row r="716" ht="15" customHeight="1" spans="1:11">
      <c r="A716" s="301" t="s">
        <v>1</v>
      </c>
      <c r="B716" s="301"/>
      <c r="C716" s="301"/>
      <c r="D716" s="301"/>
      <c r="E716" s="301"/>
      <c r="F716" s="301"/>
      <c r="G716" s="302" t="str">
        <f>IFERROR(VLOOKUP(K715,'2026.01'!A:Y,2,0),0)</f>
        <v>NO:052</v>
      </c>
      <c r="K716" s="300"/>
    </row>
    <row r="717" ht="15" customHeight="1" spans="1:11">
      <c r="A717" s="303" t="s">
        <v>2</v>
      </c>
      <c r="B717" s="304">
        <f>IFERROR(VLOOKUP(K715,'2026.01'!A:Y,6,0),0)</f>
        <v>1052</v>
      </c>
      <c r="C717" s="304"/>
      <c r="D717" s="305" t="s">
        <v>3</v>
      </c>
      <c r="E717" s="305" t="str">
        <f>IFERROR(VLOOKUP(K715,'2026.01'!A:Y,7,0),0)</f>
        <v>李硕果</v>
      </c>
      <c r="F717" s="305"/>
      <c r="G717" s="306" t="s">
        <v>4</v>
      </c>
      <c r="K717" s="300"/>
    </row>
    <row r="718" ht="15" customHeight="1" spans="1:11">
      <c r="A718" s="307" t="s">
        <v>5</v>
      </c>
      <c r="B718" s="308" t="s">
        <v>6</v>
      </c>
      <c r="C718" s="308" t="s">
        <v>7</v>
      </c>
      <c r="D718" s="308" t="s">
        <v>8</v>
      </c>
      <c r="E718" s="308" t="s">
        <v>9</v>
      </c>
      <c r="F718" s="309" t="s">
        <v>10</v>
      </c>
      <c r="G718" s="310" t="s">
        <v>11</v>
      </c>
      <c r="K718" s="300"/>
    </row>
    <row r="719" ht="15" customHeight="1" spans="1:11">
      <c r="A719" s="307" t="s">
        <v>12</v>
      </c>
      <c r="B719" s="308">
        <f>IFERROR(VLOOKUP(K715,'2026.01'!A:Y,14,0),0)</f>
        <v>4532</v>
      </c>
      <c r="C719" s="308">
        <f>IFERROR(VLOOKUP(K715,'2026.01'!A:Y,13,0),0)</f>
        <v>4458</v>
      </c>
      <c r="D719" s="308">
        <f>IFERROR(VLOOKUP(K715,'2026.01'!A:Y,15,0),0)</f>
        <v>74</v>
      </c>
      <c r="E719" s="311">
        <f>IFERROR(VLOOKUP(K715,'2026.01'!A:Y,18,0),0)</f>
        <v>0.8</v>
      </c>
      <c r="F719" s="309">
        <f>IFERROR(VLOOKUP(K715,'2026.01'!A:Y,20,0),0)</f>
        <v>59</v>
      </c>
      <c r="G719" s="310"/>
      <c r="K719" s="300"/>
    </row>
    <row r="720" ht="15" customHeight="1" spans="1:11">
      <c r="A720" s="307" t="s">
        <v>13</v>
      </c>
      <c r="B720" s="308"/>
      <c r="C720" s="308"/>
      <c r="D720" s="308"/>
      <c r="E720" s="311"/>
      <c r="F720" s="309">
        <f>IFERROR(VLOOKUP(K715,'2026.01'!A:Y,24,0),0)</f>
        <v>43</v>
      </c>
      <c r="G720" s="310"/>
      <c r="K720" s="300"/>
    </row>
    <row r="721" ht="15" customHeight="1" spans="1:11">
      <c r="A721" s="307" t="s">
        <v>14</v>
      </c>
      <c r="B721" s="308"/>
      <c r="C721" s="308"/>
      <c r="D721" s="308"/>
      <c r="E721" s="311"/>
      <c r="F721" s="309">
        <f>IFERROR(VLOOKUP(K715,'2026.01'!A:Y,12,0),0)</f>
        <v>160</v>
      </c>
      <c r="G721" s="310"/>
      <c r="K721" s="300"/>
    </row>
    <row r="722" ht="21" customHeight="1" spans="1:11">
      <c r="A722" s="307" t="s">
        <v>15</v>
      </c>
      <c r="B722" s="308"/>
      <c r="C722" s="308"/>
      <c r="D722" s="308"/>
      <c r="E722" s="311"/>
      <c r="F722" s="309">
        <f>IFERROR(VLOOKUP(K715,'2026.01'!A:Y,9,0),0)</f>
        <v>4202</v>
      </c>
      <c r="G722" s="310"/>
      <c r="K722" s="300"/>
    </row>
    <row r="723" ht="19" customHeight="1" spans="1:11">
      <c r="A723" s="307" t="s">
        <v>16</v>
      </c>
      <c r="B723" s="308"/>
      <c r="C723" s="308"/>
      <c r="D723" s="308"/>
      <c r="E723" s="308"/>
      <c r="F723" s="309">
        <f>IFERROR(VLOOKUP(K715,'2026.01'!A:Y,10,0),0)</f>
        <v>500</v>
      </c>
      <c r="G723" s="310"/>
      <c r="K723" s="300"/>
    </row>
    <row r="724" ht="21" customHeight="1" spans="1:11">
      <c r="A724" s="307" t="s">
        <v>17</v>
      </c>
      <c r="B724" s="308"/>
      <c r="C724" s="308"/>
      <c r="D724" s="308"/>
      <c r="E724" s="308"/>
      <c r="F724" s="309">
        <f>IFERROR(VLOOKUP(K715,'2026.01'!A:Y,19,0),0)</f>
        <v>52</v>
      </c>
      <c r="G724" s="310"/>
      <c r="K724" s="300"/>
    </row>
    <row r="725" ht="17.15" customHeight="1" spans="1:11">
      <c r="A725" s="307" t="s">
        <v>18</v>
      </c>
      <c r="B725" s="308"/>
      <c r="C725" s="308"/>
      <c r="D725" s="308"/>
      <c r="E725" s="308"/>
      <c r="F725" s="309">
        <f>IFERROR(VLOOKUP(K715,'2026.01'!A:Y,22,0),0)</f>
        <v>222</v>
      </c>
      <c r="G725" s="310"/>
      <c r="K725" s="300"/>
    </row>
    <row r="726" ht="17.15" customHeight="1" spans="1:11">
      <c r="A726" s="307" t="s">
        <v>19</v>
      </c>
      <c r="B726" s="312"/>
      <c r="C726" s="308"/>
      <c r="D726" s="313"/>
      <c r="E726" s="308"/>
      <c r="F726" s="309">
        <f>IFERROR(VLOOKUP(K715,'2026.01'!A:Y,25,0),0)</f>
        <v>5238</v>
      </c>
      <c r="G726" s="310"/>
      <c r="K726" s="300"/>
    </row>
    <row r="727" ht="15" customHeight="1" spans="1:11">
      <c r="A727" s="314" t="s">
        <v>20</v>
      </c>
      <c r="B727" s="315">
        <f>IF(F726&lt;0,"金额为负，无效",INT(F726))</f>
        <v>5238</v>
      </c>
      <c r="C727" s="315"/>
      <c r="D727" s="315"/>
      <c r="E727" s="316" t="s">
        <v>21</v>
      </c>
      <c r="F727" s="317"/>
      <c r="G727" s="318"/>
      <c r="K727" s="300"/>
    </row>
    <row r="728" ht="23" customHeight="1" spans="1:11">
      <c r="A728" s="319"/>
      <c r="B728" s="320"/>
      <c r="C728" s="320"/>
      <c r="D728" s="320"/>
      <c r="E728" s="319"/>
      <c r="F728" s="321"/>
      <c r="G728" s="322"/>
      <c r="K728" s="300"/>
    </row>
    <row r="729" ht="27" customHeight="1" spans="1:11">
      <c r="A729" s="298" t="s">
        <v>0</v>
      </c>
      <c r="B729" s="298"/>
      <c r="C729" s="298"/>
      <c r="D729" s="298"/>
      <c r="E729" s="298"/>
      <c r="F729" s="298"/>
      <c r="G729" s="298"/>
      <c r="H729" s="299"/>
      <c r="I729" s="299"/>
      <c r="J729" s="299"/>
      <c r="K729" s="300">
        <v>53</v>
      </c>
    </row>
    <row r="730" ht="15" customHeight="1" spans="1:11">
      <c r="A730" s="301" t="s">
        <v>1</v>
      </c>
      <c r="B730" s="301"/>
      <c r="C730" s="301"/>
      <c r="D730" s="301"/>
      <c r="E730" s="301"/>
      <c r="F730" s="301"/>
      <c r="G730" s="302" t="str">
        <f>IFERROR(VLOOKUP(K729,'2026.01'!A:Y,2,0),0)</f>
        <v>NO:053</v>
      </c>
      <c r="K730" s="300"/>
    </row>
    <row r="731" ht="15" customHeight="1" spans="1:11">
      <c r="A731" s="303" t="s">
        <v>2</v>
      </c>
      <c r="B731" s="304">
        <f>IFERROR(VLOOKUP(K729,'2026.01'!A:Y,6,0),0)</f>
        <v>1053</v>
      </c>
      <c r="C731" s="304"/>
      <c r="D731" s="305" t="s">
        <v>3</v>
      </c>
      <c r="E731" s="305" t="str">
        <f>IFERROR(VLOOKUP(K729,'2026.01'!A:Y,7,0),0)</f>
        <v>黄文波</v>
      </c>
      <c r="F731" s="305"/>
      <c r="G731" s="306" t="s">
        <v>4</v>
      </c>
      <c r="K731" s="300"/>
    </row>
    <row r="732" ht="15" customHeight="1" spans="1:11">
      <c r="A732" s="307" t="s">
        <v>5</v>
      </c>
      <c r="B732" s="308" t="s">
        <v>6</v>
      </c>
      <c r="C732" s="308" t="s">
        <v>7</v>
      </c>
      <c r="D732" s="308" t="s">
        <v>8</v>
      </c>
      <c r="E732" s="308" t="s">
        <v>9</v>
      </c>
      <c r="F732" s="309" t="s">
        <v>10</v>
      </c>
      <c r="G732" s="310" t="s">
        <v>11</v>
      </c>
      <c r="K732" s="300"/>
    </row>
    <row r="733" ht="15" customHeight="1" spans="1:11">
      <c r="A733" s="307" t="s">
        <v>12</v>
      </c>
      <c r="B733" s="308">
        <f>IFERROR(VLOOKUP(K729,'2026.01'!A:Y,14,0),0)</f>
        <v>6061</v>
      </c>
      <c r="C733" s="308">
        <f>IFERROR(VLOOKUP(K729,'2026.01'!A:Y,13,0),0)</f>
        <v>6032</v>
      </c>
      <c r="D733" s="308">
        <f>IFERROR(VLOOKUP(K729,'2026.01'!A:Y,15,0),0)</f>
        <v>29</v>
      </c>
      <c r="E733" s="311">
        <f>IFERROR(VLOOKUP(K729,'2026.01'!A:Y,18,0),0)</f>
        <v>0.8</v>
      </c>
      <c r="F733" s="309">
        <f>IFERROR(VLOOKUP(K729,'2026.01'!A:Y,20,0),0)</f>
        <v>23</v>
      </c>
      <c r="G733" s="310"/>
      <c r="K733" s="300"/>
    </row>
    <row r="734" ht="15" customHeight="1" spans="1:11">
      <c r="A734" s="307" t="s">
        <v>13</v>
      </c>
      <c r="B734" s="308"/>
      <c r="C734" s="308"/>
      <c r="D734" s="308"/>
      <c r="E734" s="311"/>
      <c r="F734" s="309">
        <f>IFERROR(VLOOKUP(K729,'2026.01'!A:Y,24,0),0)</f>
        <v>43</v>
      </c>
      <c r="G734" s="310"/>
      <c r="K734" s="300"/>
    </row>
    <row r="735" ht="15" customHeight="1" spans="1:11">
      <c r="A735" s="307" t="s">
        <v>14</v>
      </c>
      <c r="B735" s="308"/>
      <c r="C735" s="308"/>
      <c r="D735" s="308"/>
      <c r="E735" s="311"/>
      <c r="F735" s="309">
        <f>IFERROR(VLOOKUP(K729,'2026.01'!A:Y,12,0),0)</f>
        <v>160</v>
      </c>
      <c r="G735" s="310"/>
      <c r="K735" s="300"/>
    </row>
    <row r="736" ht="21" customHeight="1" spans="1:11">
      <c r="A736" s="307" t="s">
        <v>15</v>
      </c>
      <c r="B736" s="308"/>
      <c r="C736" s="308"/>
      <c r="D736" s="308"/>
      <c r="E736" s="311"/>
      <c r="F736" s="309">
        <f>IFERROR(VLOOKUP(K729,'2026.01'!A:Y,9,0),0)</f>
        <v>4202</v>
      </c>
      <c r="G736" s="310"/>
      <c r="K736" s="300"/>
    </row>
    <row r="737" ht="19" customHeight="1" spans="1:11">
      <c r="A737" s="307" t="s">
        <v>16</v>
      </c>
      <c r="B737" s="308"/>
      <c r="C737" s="308"/>
      <c r="D737" s="308"/>
      <c r="E737" s="308"/>
      <c r="F737" s="309">
        <f>IFERROR(VLOOKUP(K729,'2026.01'!A:Y,10,0),0)</f>
        <v>500</v>
      </c>
      <c r="G737" s="310"/>
      <c r="K737" s="300"/>
    </row>
    <row r="738" ht="21" customHeight="1" spans="1:11">
      <c r="A738" s="307" t="s">
        <v>17</v>
      </c>
      <c r="B738" s="308"/>
      <c r="C738" s="308"/>
      <c r="D738" s="308"/>
      <c r="E738" s="308"/>
      <c r="F738" s="309">
        <f>IFERROR(VLOOKUP(K729,'2026.01'!A:Y,19,0),0)</f>
        <v>20</v>
      </c>
      <c r="G738" s="310"/>
      <c r="K738" s="300"/>
    </row>
    <row r="739" ht="17.15" customHeight="1" spans="1:11">
      <c r="A739" s="307" t="s">
        <v>18</v>
      </c>
      <c r="B739" s="308"/>
      <c r="C739" s="308"/>
      <c r="D739" s="308"/>
      <c r="E739" s="308"/>
      <c r="F739" s="309">
        <f>IFERROR(VLOOKUP(K729,'2026.01'!A:Y,22,0),0)</f>
        <v>219</v>
      </c>
      <c r="G739" s="310"/>
      <c r="K739" s="300"/>
    </row>
    <row r="740" ht="17.15" customHeight="1" spans="1:11">
      <c r="A740" s="307" t="s">
        <v>19</v>
      </c>
      <c r="B740" s="312"/>
      <c r="C740" s="308"/>
      <c r="D740" s="313"/>
      <c r="E740" s="308"/>
      <c r="F740" s="309">
        <f>IFERROR(VLOOKUP(K729,'2026.01'!A:Y,25,0),0)</f>
        <v>5167</v>
      </c>
      <c r="G740" s="310"/>
      <c r="K740" s="300"/>
    </row>
    <row r="741" ht="15" customHeight="1" spans="1:11">
      <c r="A741" s="314" t="s">
        <v>20</v>
      </c>
      <c r="B741" s="315">
        <f>IF(F740&lt;0,"金额为负，无效",INT(F740))</f>
        <v>5167</v>
      </c>
      <c r="C741" s="315"/>
      <c r="D741" s="315"/>
      <c r="E741" s="316" t="s">
        <v>21</v>
      </c>
      <c r="F741" s="317"/>
      <c r="G741" s="318"/>
      <c r="K741" s="300"/>
    </row>
    <row r="742" ht="23" customHeight="1" spans="1:11">
      <c r="A742" s="319"/>
      <c r="B742" s="320"/>
      <c r="C742" s="320"/>
      <c r="D742" s="320"/>
      <c r="E742" s="319"/>
      <c r="F742" s="321"/>
      <c r="G742" s="322"/>
      <c r="K742" s="300"/>
    </row>
    <row r="743" ht="27" customHeight="1" spans="1:11">
      <c r="A743" s="298" t="s">
        <v>0</v>
      </c>
      <c r="B743" s="298"/>
      <c r="C743" s="298"/>
      <c r="D743" s="298"/>
      <c r="E743" s="298"/>
      <c r="F743" s="298"/>
      <c r="G743" s="298"/>
      <c r="H743" s="299"/>
      <c r="I743" s="299"/>
      <c r="J743" s="299"/>
      <c r="K743" s="300">
        <v>54</v>
      </c>
    </row>
    <row r="744" ht="15" customHeight="1" spans="1:11">
      <c r="A744" s="301" t="s">
        <v>1</v>
      </c>
      <c r="B744" s="301"/>
      <c r="C744" s="301"/>
      <c r="D744" s="301"/>
      <c r="E744" s="301"/>
      <c r="F744" s="301"/>
      <c r="G744" s="302" t="str">
        <f>IFERROR(VLOOKUP(K743,'2026.01'!A:Y,2,0),0)</f>
        <v>NO:054</v>
      </c>
      <c r="K744" s="300"/>
    </row>
    <row r="745" ht="15" customHeight="1" spans="1:11">
      <c r="A745" s="303" t="s">
        <v>2</v>
      </c>
      <c r="B745" s="304">
        <f>IFERROR(VLOOKUP(K743,'2026.01'!A:Y,6,0),0)</f>
        <v>1054</v>
      </c>
      <c r="C745" s="304"/>
      <c r="D745" s="305" t="s">
        <v>3</v>
      </c>
      <c r="E745" s="305" t="str">
        <f>IFERROR(VLOOKUP(K743,'2026.01'!A:Y,7,0),0)</f>
        <v>沈飞艳</v>
      </c>
      <c r="F745" s="305"/>
      <c r="G745" s="306" t="s">
        <v>4</v>
      </c>
      <c r="K745" s="300"/>
    </row>
    <row r="746" ht="15" customHeight="1" spans="1:11">
      <c r="A746" s="307" t="s">
        <v>5</v>
      </c>
      <c r="B746" s="308" t="s">
        <v>6</v>
      </c>
      <c r="C746" s="308" t="s">
        <v>7</v>
      </c>
      <c r="D746" s="308" t="s">
        <v>8</v>
      </c>
      <c r="E746" s="308" t="s">
        <v>9</v>
      </c>
      <c r="F746" s="309" t="s">
        <v>10</v>
      </c>
      <c r="G746" s="310" t="s">
        <v>11</v>
      </c>
      <c r="K746" s="300"/>
    </row>
    <row r="747" ht="15" customHeight="1" spans="1:11">
      <c r="A747" s="307" t="s">
        <v>12</v>
      </c>
      <c r="B747" s="308">
        <f>IFERROR(VLOOKUP(K743,'2026.01'!A:Y,14,0),0)</f>
        <v>6411</v>
      </c>
      <c r="C747" s="308">
        <f>IFERROR(VLOOKUP(K743,'2026.01'!A:Y,13,0),0)</f>
        <v>6355</v>
      </c>
      <c r="D747" s="308">
        <f>IFERROR(VLOOKUP(K743,'2026.01'!A:Y,15,0),0)</f>
        <v>56</v>
      </c>
      <c r="E747" s="311">
        <f>IFERROR(VLOOKUP(K743,'2026.01'!A:Y,18,0),0)</f>
        <v>0.8</v>
      </c>
      <c r="F747" s="309">
        <f>IFERROR(VLOOKUP(K743,'2026.01'!A:Y,20,0),0)</f>
        <v>45</v>
      </c>
      <c r="G747" s="310"/>
      <c r="K747" s="300"/>
    </row>
    <row r="748" ht="15" customHeight="1" spans="1:11">
      <c r="A748" s="307" t="s">
        <v>13</v>
      </c>
      <c r="B748" s="308"/>
      <c r="C748" s="308"/>
      <c r="D748" s="308"/>
      <c r="E748" s="311"/>
      <c r="F748" s="309">
        <f>IFERROR(VLOOKUP(K743,'2026.01'!A:Y,24,0),0)</f>
        <v>43</v>
      </c>
      <c r="G748" s="310"/>
      <c r="K748" s="300"/>
    </row>
    <row r="749" ht="15" customHeight="1" spans="1:11">
      <c r="A749" s="307" t="s">
        <v>14</v>
      </c>
      <c r="B749" s="308"/>
      <c r="C749" s="308"/>
      <c r="D749" s="308"/>
      <c r="E749" s="311"/>
      <c r="F749" s="309">
        <f>IFERROR(VLOOKUP(K743,'2026.01'!A:Y,12,0),0)</f>
        <v>160</v>
      </c>
      <c r="G749" s="310"/>
      <c r="K749" s="300"/>
    </row>
    <row r="750" ht="21" customHeight="1" spans="1:11">
      <c r="A750" s="307" t="s">
        <v>15</v>
      </c>
      <c r="B750" s="308"/>
      <c r="C750" s="308"/>
      <c r="D750" s="308"/>
      <c r="E750" s="311"/>
      <c r="F750" s="309">
        <f>IFERROR(VLOOKUP(K743,'2026.01'!A:Y,9,0),0)</f>
        <v>4200</v>
      </c>
      <c r="G750" s="310"/>
      <c r="K750" s="300"/>
    </row>
    <row r="751" ht="19" customHeight="1" spans="1:11">
      <c r="A751" s="307" t="s">
        <v>16</v>
      </c>
      <c r="B751" s="308"/>
      <c r="C751" s="308"/>
      <c r="D751" s="308"/>
      <c r="E751" s="308"/>
      <c r="F751" s="309">
        <f>IFERROR(VLOOKUP(K743,'2026.01'!A:Y,10,0),0)</f>
        <v>500</v>
      </c>
      <c r="G751" s="310"/>
      <c r="K751" s="300"/>
    </row>
    <row r="752" ht="21" customHeight="1" spans="1:11">
      <c r="A752" s="307" t="s">
        <v>17</v>
      </c>
      <c r="B752" s="308"/>
      <c r="C752" s="308"/>
      <c r="D752" s="308"/>
      <c r="E752" s="308"/>
      <c r="F752" s="309">
        <f>IFERROR(VLOOKUP(K743,'2026.01'!A:Y,19,0),0)</f>
        <v>39</v>
      </c>
      <c r="G752" s="310"/>
      <c r="K752" s="300"/>
    </row>
    <row r="753" ht="17.15" customHeight="1" spans="1:11">
      <c r="A753" s="307" t="s">
        <v>18</v>
      </c>
      <c r="B753" s="308"/>
      <c r="C753" s="308"/>
      <c r="D753" s="308"/>
      <c r="E753" s="308"/>
      <c r="F753" s="309">
        <f>IFERROR(VLOOKUP(K743,'2026.01'!A:Y,22,0),0)</f>
        <v>228</v>
      </c>
      <c r="G753" s="310"/>
      <c r="K753" s="300"/>
    </row>
    <row r="754" ht="17.15" customHeight="1" spans="1:11">
      <c r="A754" s="307" t="s">
        <v>19</v>
      </c>
      <c r="B754" s="312"/>
      <c r="C754" s="308"/>
      <c r="D754" s="313"/>
      <c r="E754" s="308"/>
      <c r="F754" s="309">
        <f>IFERROR(VLOOKUP(K743,'2026.01'!A:Y,25,0),0)</f>
        <v>5215</v>
      </c>
      <c r="G754" s="310"/>
      <c r="K754" s="300"/>
    </row>
    <row r="755" ht="15" customHeight="1" spans="1:11">
      <c r="A755" s="314" t="s">
        <v>20</v>
      </c>
      <c r="B755" s="315">
        <f>IF(F754&lt;0,"金额为负，无效",INT(F754))</f>
        <v>5215</v>
      </c>
      <c r="C755" s="315"/>
      <c r="D755" s="315"/>
      <c r="E755" s="316" t="s">
        <v>21</v>
      </c>
      <c r="F755" s="317"/>
      <c r="G755" s="318"/>
      <c r="K755" s="300"/>
    </row>
    <row r="756" ht="15" customHeight="1" spans="1:11">
      <c r="A756" s="319"/>
      <c r="B756" s="320"/>
      <c r="C756" s="320"/>
      <c r="D756" s="320"/>
      <c r="E756" s="319"/>
      <c r="F756" s="321"/>
      <c r="G756" s="322"/>
      <c r="K756" s="300"/>
    </row>
    <row r="757" ht="27" customHeight="1" spans="1:11">
      <c r="A757" s="298" t="s">
        <v>0</v>
      </c>
      <c r="B757" s="298"/>
      <c r="C757" s="298"/>
      <c r="D757" s="298"/>
      <c r="E757" s="298"/>
      <c r="F757" s="298"/>
      <c r="G757" s="298"/>
      <c r="H757" s="299"/>
      <c r="I757" s="299"/>
      <c r="J757" s="299"/>
      <c r="K757" s="300">
        <v>55</v>
      </c>
    </row>
    <row r="758" ht="15" customHeight="1" spans="1:11">
      <c r="A758" s="301" t="s">
        <v>1</v>
      </c>
      <c r="B758" s="301"/>
      <c r="C758" s="301"/>
      <c r="D758" s="301"/>
      <c r="E758" s="301"/>
      <c r="F758" s="301"/>
      <c r="G758" s="302" t="str">
        <f>IFERROR(VLOOKUP(K757,'2026.01'!A:Y,2,0),0)</f>
        <v>NO:055</v>
      </c>
      <c r="K758" s="300"/>
    </row>
    <row r="759" ht="15" customHeight="1" spans="1:11">
      <c r="A759" s="303" t="s">
        <v>2</v>
      </c>
      <c r="B759" s="304">
        <f>IFERROR(VLOOKUP(K757,'2026.01'!A:Y,6,0),0)</f>
        <v>1055</v>
      </c>
      <c r="C759" s="304"/>
      <c r="D759" s="305" t="s">
        <v>3</v>
      </c>
      <c r="E759" s="305" t="str">
        <f>IFERROR(VLOOKUP(K757,'2026.01'!A:Y,7,0),0)</f>
        <v>梁中梅</v>
      </c>
      <c r="F759" s="305"/>
      <c r="G759" s="306" t="s">
        <v>4</v>
      </c>
      <c r="K759" s="300"/>
    </row>
    <row r="760" ht="15" customHeight="1" spans="1:11">
      <c r="A760" s="307" t="s">
        <v>5</v>
      </c>
      <c r="B760" s="308" t="s">
        <v>6</v>
      </c>
      <c r="C760" s="308" t="s">
        <v>7</v>
      </c>
      <c r="D760" s="308" t="s">
        <v>8</v>
      </c>
      <c r="E760" s="308" t="s">
        <v>9</v>
      </c>
      <c r="F760" s="309" t="s">
        <v>10</v>
      </c>
      <c r="G760" s="310" t="s">
        <v>11</v>
      </c>
      <c r="K760" s="300"/>
    </row>
    <row r="761" ht="15" customHeight="1" spans="1:11">
      <c r="A761" s="307" t="s">
        <v>12</v>
      </c>
      <c r="B761" s="308">
        <f>IFERROR(VLOOKUP(K757,'2026.01'!A:Y,14,0),0)</f>
        <v>8962</v>
      </c>
      <c r="C761" s="308">
        <f>IFERROR(VLOOKUP(K757,'2026.01'!A:Y,13,0),0)</f>
        <v>8887</v>
      </c>
      <c r="D761" s="308">
        <f>IFERROR(VLOOKUP(K757,'2026.01'!A:Y,15,0),0)</f>
        <v>75</v>
      </c>
      <c r="E761" s="311">
        <f>IFERROR(VLOOKUP(K757,'2026.01'!A:Y,18,0),0)</f>
        <v>0.8</v>
      </c>
      <c r="F761" s="309">
        <f>IFERROR(VLOOKUP(K757,'2026.01'!A:Y,20,0),0)</f>
        <v>60</v>
      </c>
      <c r="G761" s="310"/>
      <c r="K761" s="300"/>
    </row>
    <row r="762" ht="15" customHeight="1" spans="1:11">
      <c r="A762" s="307" t="s">
        <v>13</v>
      </c>
      <c r="B762" s="308"/>
      <c r="C762" s="308"/>
      <c r="D762" s="308"/>
      <c r="E762" s="311"/>
      <c r="F762" s="309">
        <f>IFERROR(VLOOKUP(K757,'2026.01'!A:Y,24,0),0)</f>
        <v>43</v>
      </c>
      <c r="G762" s="310"/>
      <c r="K762" s="300"/>
    </row>
    <row r="763" ht="15" customHeight="1" spans="1:11">
      <c r="A763" s="307" t="s">
        <v>14</v>
      </c>
      <c r="B763" s="308"/>
      <c r="C763" s="308"/>
      <c r="D763" s="308"/>
      <c r="E763" s="311"/>
      <c r="F763" s="309">
        <f>IFERROR(VLOOKUP(K757,'2026.01'!A:Y,12,0),0)</f>
        <v>160</v>
      </c>
      <c r="G763" s="310"/>
      <c r="K763" s="300"/>
    </row>
    <row r="764" ht="21" customHeight="1" spans="1:11">
      <c r="A764" s="307" t="s">
        <v>15</v>
      </c>
      <c r="B764" s="308"/>
      <c r="C764" s="308"/>
      <c r="D764" s="308"/>
      <c r="E764" s="311"/>
      <c r="F764" s="309">
        <f>IFERROR(VLOOKUP(K757,'2026.01'!A:Y,9,0),0)</f>
        <v>4200</v>
      </c>
      <c r="G764" s="310"/>
      <c r="K764" s="300"/>
    </row>
    <row r="765" ht="19" customHeight="1" spans="1:11">
      <c r="A765" s="307" t="s">
        <v>16</v>
      </c>
      <c r="B765" s="308"/>
      <c r="C765" s="308"/>
      <c r="D765" s="308"/>
      <c r="E765" s="308"/>
      <c r="F765" s="309">
        <f>IFERROR(VLOOKUP(K757,'2026.01'!A:Y,10,0),0)</f>
        <v>500</v>
      </c>
      <c r="G765" s="310"/>
      <c r="K765" s="300"/>
    </row>
    <row r="766" ht="21" customHeight="1" spans="1:11">
      <c r="A766" s="307" t="s">
        <v>17</v>
      </c>
      <c r="B766" s="308"/>
      <c r="C766" s="308"/>
      <c r="D766" s="308"/>
      <c r="E766" s="308"/>
      <c r="F766" s="309">
        <f>IFERROR(VLOOKUP(K757,'2026.01'!A:Y,19,0),0)</f>
        <v>53</v>
      </c>
      <c r="G766" s="310"/>
      <c r="K766" s="300"/>
    </row>
    <row r="767" ht="17.15" customHeight="1" spans="1:11">
      <c r="A767" s="307" t="s">
        <v>18</v>
      </c>
      <c r="B767" s="308"/>
      <c r="C767" s="308"/>
      <c r="D767" s="308"/>
      <c r="E767" s="308"/>
      <c r="F767" s="309">
        <f>IFERROR(VLOOKUP(K757,'2026.01'!A:Y,22,0),0)</f>
        <v>222</v>
      </c>
      <c r="G767" s="310"/>
      <c r="K767" s="300"/>
    </row>
    <row r="768" ht="17.15" customHeight="1" spans="1:11">
      <c r="A768" s="307" t="s">
        <v>19</v>
      </c>
      <c r="B768" s="312"/>
      <c r="C768" s="308"/>
      <c r="D768" s="313"/>
      <c r="E768" s="308"/>
      <c r="F768" s="309">
        <f>IFERROR(VLOOKUP(K757,'2026.01'!A:Y,25,0),0)</f>
        <v>5238</v>
      </c>
      <c r="G768" s="310"/>
      <c r="K768" s="300"/>
    </row>
    <row r="769" ht="15" customHeight="1" spans="1:11">
      <c r="A769" s="314" t="s">
        <v>20</v>
      </c>
      <c r="B769" s="315">
        <f>IF(F768&lt;0,"金额为负，无效",INT(F768))</f>
        <v>5238</v>
      </c>
      <c r="C769" s="315"/>
      <c r="D769" s="315"/>
      <c r="E769" s="316" t="s">
        <v>21</v>
      </c>
      <c r="F769" s="317"/>
      <c r="G769" s="318"/>
      <c r="K769" s="300"/>
    </row>
    <row r="770" ht="23" customHeight="1" spans="1:11">
      <c r="A770" s="319"/>
      <c r="B770" s="320"/>
      <c r="C770" s="320"/>
      <c r="D770" s="320"/>
      <c r="E770" s="319"/>
      <c r="F770" s="321"/>
      <c r="G770" s="322"/>
      <c r="K770" s="300"/>
    </row>
    <row r="771" ht="27" customHeight="1" spans="1:11">
      <c r="A771" s="298" t="s">
        <v>0</v>
      </c>
      <c r="B771" s="298"/>
      <c r="C771" s="298"/>
      <c r="D771" s="298"/>
      <c r="E771" s="298"/>
      <c r="F771" s="298"/>
      <c r="G771" s="298"/>
      <c r="H771" s="299"/>
      <c r="I771" s="299"/>
      <c r="J771" s="299"/>
      <c r="K771" s="300">
        <v>56</v>
      </c>
    </row>
    <row r="772" ht="15" customHeight="1" spans="1:11">
      <c r="A772" s="301" t="s">
        <v>1</v>
      </c>
      <c r="B772" s="301"/>
      <c r="C772" s="301"/>
      <c r="D772" s="301"/>
      <c r="E772" s="301"/>
      <c r="F772" s="301"/>
      <c r="G772" s="302" t="str">
        <f>IFERROR(VLOOKUP(K771,'2026.01'!A:Y,2,0),0)</f>
        <v>NO:056</v>
      </c>
      <c r="K772" s="300"/>
    </row>
    <row r="773" ht="15" customHeight="1" spans="1:11">
      <c r="A773" s="303" t="s">
        <v>2</v>
      </c>
      <c r="B773" s="304">
        <f>IFERROR(VLOOKUP(K771,'2026.01'!A:Y,6,0),0)</f>
        <v>1056</v>
      </c>
      <c r="C773" s="304"/>
      <c r="D773" s="305" t="s">
        <v>3</v>
      </c>
      <c r="E773" s="305" t="str">
        <f>IFERROR(VLOOKUP(K771,'2026.01'!A:Y,7,0),0)</f>
        <v>吴玉荡</v>
      </c>
      <c r="F773" s="305"/>
      <c r="G773" s="306" t="s">
        <v>4</v>
      </c>
      <c r="K773" s="300"/>
    </row>
    <row r="774" ht="15" customHeight="1" spans="1:11">
      <c r="A774" s="307" t="s">
        <v>5</v>
      </c>
      <c r="B774" s="308" t="s">
        <v>6</v>
      </c>
      <c r="C774" s="308" t="s">
        <v>7</v>
      </c>
      <c r="D774" s="308" t="s">
        <v>8</v>
      </c>
      <c r="E774" s="308" t="s">
        <v>9</v>
      </c>
      <c r="F774" s="309" t="s">
        <v>10</v>
      </c>
      <c r="G774" s="310" t="s">
        <v>11</v>
      </c>
      <c r="K774" s="300"/>
    </row>
    <row r="775" ht="15" customHeight="1" spans="1:11">
      <c r="A775" s="307" t="s">
        <v>12</v>
      </c>
      <c r="B775" s="308">
        <f>IFERROR(VLOOKUP(K771,'2026.01'!A:Y,14,0),0)</f>
        <v>5591</v>
      </c>
      <c r="C775" s="308">
        <f>IFERROR(VLOOKUP(K771,'2026.01'!A:Y,13,0),0)</f>
        <v>5536</v>
      </c>
      <c r="D775" s="308">
        <f>IFERROR(VLOOKUP(K771,'2026.01'!A:Y,15,0),0)</f>
        <v>55</v>
      </c>
      <c r="E775" s="311">
        <f>IFERROR(VLOOKUP(K771,'2026.01'!A:Y,18,0),0)</f>
        <v>0.8</v>
      </c>
      <c r="F775" s="309">
        <f>IFERROR(VLOOKUP(K771,'2026.01'!A:Y,20,0),0)</f>
        <v>44</v>
      </c>
      <c r="G775" s="310"/>
      <c r="K775" s="300"/>
    </row>
    <row r="776" ht="15" customHeight="1" spans="1:11">
      <c r="A776" s="307" t="s">
        <v>13</v>
      </c>
      <c r="B776" s="308"/>
      <c r="C776" s="308"/>
      <c r="D776" s="308"/>
      <c r="E776" s="311"/>
      <c r="F776" s="309">
        <f>IFERROR(VLOOKUP(K771,'2026.01'!A:Y,24,0),0)</f>
        <v>43</v>
      </c>
      <c r="G776" s="310"/>
      <c r="K776" s="300"/>
    </row>
    <row r="777" ht="15" customHeight="1" spans="1:11">
      <c r="A777" s="307" t="s">
        <v>14</v>
      </c>
      <c r="B777" s="308"/>
      <c r="C777" s="308"/>
      <c r="D777" s="308"/>
      <c r="E777" s="311"/>
      <c r="F777" s="309">
        <f>IFERROR(VLOOKUP(K771,'2026.01'!A:Y,12,0),0)</f>
        <v>160</v>
      </c>
      <c r="G777" s="310"/>
      <c r="K777" s="300"/>
    </row>
    <row r="778" ht="21" customHeight="1" spans="1:11">
      <c r="A778" s="307" t="s">
        <v>15</v>
      </c>
      <c r="B778" s="308"/>
      <c r="C778" s="308"/>
      <c r="D778" s="308"/>
      <c r="E778" s="311"/>
      <c r="F778" s="309">
        <f>IFERROR(VLOOKUP(K771,'2026.01'!A:Y,9,0),0)</f>
        <v>4200</v>
      </c>
      <c r="G778" s="310"/>
      <c r="K778" s="300"/>
    </row>
    <row r="779" ht="19" customHeight="1" spans="1:11">
      <c r="A779" s="307" t="s">
        <v>16</v>
      </c>
      <c r="B779" s="308"/>
      <c r="C779" s="308"/>
      <c r="D779" s="308"/>
      <c r="E779" s="308"/>
      <c r="F779" s="309">
        <f>IFERROR(VLOOKUP(K771,'2026.01'!A:Y,10,0),0)</f>
        <v>500</v>
      </c>
      <c r="G779" s="310"/>
      <c r="K779" s="300"/>
    </row>
    <row r="780" ht="21" customHeight="1" spans="1:11">
      <c r="A780" s="307" t="s">
        <v>17</v>
      </c>
      <c r="B780" s="308"/>
      <c r="C780" s="308"/>
      <c r="D780" s="308"/>
      <c r="E780" s="308"/>
      <c r="F780" s="309">
        <f>IFERROR(VLOOKUP(K771,'2026.01'!A:Y,19,0),0)</f>
        <v>39</v>
      </c>
      <c r="G780" s="310"/>
      <c r="K780" s="300"/>
    </row>
    <row r="781" ht="17.15" customHeight="1" spans="1:11">
      <c r="A781" s="307" t="s">
        <v>18</v>
      </c>
      <c r="B781" s="308"/>
      <c r="C781" s="308"/>
      <c r="D781" s="308"/>
      <c r="E781" s="308"/>
      <c r="F781" s="309">
        <f>IFERROR(VLOOKUP(K771,'2026.01'!A:Y,22,0),0)</f>
        <v>222</v>
      </c>
      <c r="G781" s="310"/>
      <c r="K781" s="300"/>
    </row>
    <row r="782" ht="17.15" customHeight="1" spans="1:11">
      <c r="A782" s="307" t="s">
        <v>19</v>
      </c>
      <c r="B782" s="312"/>
      <c r="C782" s="308"/>
      <c r="D782" s="313"/>
      <c r="E782" s="308"/>
      <c r="F782" s="309">
        <f>IFERROR(VLOOKUP(K771,'2026.01'!A:Y,25,0),0)</f>
        <v>5208</v>
      </c>
      <c r="G782" s="310"/>
      <c r="K782" s="300"/>
    </row>
    <row r="783" ht="15" customHeight="1" spans="1:11">
      <c r="A783" s="314" t="s">
        <v>20</v>
      </c>
      <c r="B783" s="315">
        <f>IF(F782&lt;0,"金额为负，无效",INT(F782))</f>
        <v>5208</v>
      </c>
      <c r="C783" s="315"/>
      <c r="D783" s="315"/>
      <c r="E783" s="316" t="s">
        <v>21</v>
      </c>
      <c r="F783" s="317"/>
      <c r="G783" s="318"/>
      <c r="K783" s="300"/>
    </row>
    <row r="784" ht="23" customHeight="1" spans="1:11">
      <c r="A784" s="319"/>
      <c r="B784" s="320"/>
      <c r="C784" s="320"/>
      <c r="D784" s="320"/>
      <c r="E784" s="319"/>
      <c r="F784" s="321"/>
      <c r="G784" s="322"/>
      <c r="K784" s="300"/>
    </row>
    <row r="785" ht="27" customHeight="1" spans="1:11">
      <c r="A785" s="298" t="s">
        <v>0</v>
      </c>
      <c r="B785" s="298"/>
      <c r="C785" s="298"/>
      <c r="D785" s="298"/>
      <c r="E785" s="298"/>
      <c r="F785" s="298"/>
      <c r="G785" s="298"/>
      <c r="H785" s="299"/>
      <c r="I785" s="299"/>
      <c r="J785" s="299"/>
      <c r="K785" s="300">
        <v>57</v>
      </c>
    </row>
    <row r="786" ht="15" customHeight="1" spans="1:11">
      <c r="A786" s="301" t="s">
        <v>1</v>
      </c>
      <c r="B786" s="301"/>
      <c r="C786" s="301"/>
      <c r="D786" s="301"/>
      <c r="E786" s="301"/>
      <c r="F786" s="301"/>
      <c r="G786" s="302" t="str">
        <f>IFERROR(VLOOKUP(K785,'2026.01'!A:Y,2,0),0)</f>
        <v>NO:057</v>
      </c>
      <c r="K786" s="300"/>
    </row>
    <row r="787" ht="15" customHeight="1" spans="1:11">
      <c r="A787" s="303" t="s">
        <v>2</v>
      </c>
      <c r="B787" s="304">
        <f>IFERROR(VLOOKUP(K785,'2026.01'!A:Y,6,0),0)</f>
        <v>1057</v>
      </c>
      <c r="C787" s="304"/>
      <c r="D787" s="305" t="s">
        <v>3</v>
      </c>
      <c r="E787" s="305" t="str">
        <f>IFERROR(VLOOKUP(K785,'2026.01'!A:Y,7,0),0)</f>
        <v>肖梓尧</v>
      </c>
      <c r="F787" s="305"/>
      <c r="G787" s="306" t="s">
        <v>4</v>
      </c>
      <c r="K787" s="300"/>
    </row>
    <row r="788" ht="15" customHeight="1" spans="1:11">
      <c r="A788" s="307" t="s">
        <v>5</v>
      </c>
      <c r="B788" s="308" t="s">
        <v>6</v>
      </c>
      <c r="C788" s="308" t="s">
        <v>7</v>
      </c>
      <c r="D788" s="308" t="s">
        <v>8</v>
      </c>
      <c r="E788" s="308" t="s">
        <v>9</v>
      </c>
      <c r="F788" s="309" t="s">
        <v>10</v>
      </c>
      <c r="G788" s="310" t="s">
        <v>11</v>
      </c>
      <c r="K788" s="300"/>
    </row>
    <row r="789" ht="15" customHeight="1" spans="1:11">
      <c r="A789" s="307" t="s">
        <v>12</v>
      </c>
      <c r="B789" s="308">
        <f>IFERROR(VLOOKUP(K785,'2026.01'!A:Y,14,0),0)</f>
        <v>2048</v>
      </c>
      <c r="C789" s="308">
        <f>IFERROR(VLOOKUP(K785,'2026.01'!A:Y,13,0),0)</f>
        <v>1970</v>
      </c>
      <c r="D789" s="308">
        <f>IFERROR(VLOOKUP(K785,'2026.01'!A:Y,15,0),0)</f>
        <v>78</v>
      </c>
      <c r="E789" s="311">
        <f>IFERROR(VLOOKUP(K785,'2026.01'!A:Y,18,0),0)</f>
        <v>0.8</v>
      </c>
      <c r="F789" s="309">
        <f>IFERROR(VLOOKUP(K785,'2026.01'!A:Y,20,0),0)</f>
        <v>62</v>
      </c>
      <c r="G789" s="310"/>
      <c r="K789" s="300"/>
    </row>
    <row r="790" ht="15" customHeight="1" spans="1:11">
      <c r="A790" s="307" t="s">
        <v>13</v>
      </c>
      <c r="B790" s="308"/>
      <c r="C790" s="308"/>
      <c r="D790" s="308"/>
      <c r="E790" s="311"/>
      <c r="F790" s="309">
        <f>IFERROR(VLOOKUP(K785,'2026.01'!A:Y,24,0),0)</f>
        <v>43</v>
      </c>
      <c r="G790" s="310"/>
      <c r="K790" s="300"/>
    </row>
    <row r="791" ht="15" customHeight="1" spans="1:11">
      <c r="A791" s="307" t="s">
        <v>14</v>
      </c>
      <c r="B791" s="308"/>
      <c r="C791" s="308"/>
      <c r="D791" s="308"/>
      <c r="E791" s="311"/>
      <c r="F791" s="309">
        <f>IFERROR(VLOOKUP(K785,'2026.01'!A:Y,12,0),0)</f>
        <v>160</v>
      </c>
      <c r="G791" s="310"/>
      <c r="K791" s="300"/>
    </row>
    <row r="792" ht="21" customHeight="1" spans="1:11">
      <c r="A792" s="307" t="s">
        <v>15</v>
      </c>
      <c r="B792" s="308"/>
      <c r="C792" s="308"/>
      <c r="D792" s="308"/>
      <c r="E792" s="311"/>
      <c r="F792" s="309">
        <f>IFERROR(VLOOKUP(K785,'2026.01'!A:Y,9,0),0)</f>
        <v>4200</v>
      </c>
      <c r="G792" s="310"/>
      <c r="K792" s="300"/>
    </row>
    <row r="793" ht="19" customHeight="1" spans="1:11">
      <c r="A793" s="307" t="s">
        <v>16</v>
      </c>
      <c r="B793" s="308"/>
      <c r="C793" s="308"/>
      <c r="D793" s="308"/>
      <c r="E793" s="308"/>
      <c r="F793" s="309">
        <f>IFERROR(VLOOKUP(K785,'2026.01'!A:Y,10,0),0)</f>
        <v>500</v>
      </c>
      <c r="G793" s="310"/>
      <c r="K793" s="300"/>
    </row>
    <row r="794" ht="21" customHeight="1" spans="1:11">
      <c r="A794" s="307" t="s">
        <v>17</v>
      </c>
      <c r="B794" s="308"/>
      <c r="C794" s="308"/>
      <c r="D794" s="308"/>
      <c r="E794" s="308"/>
      <c r="F794" s="309">
        <f>IFERROR(VLOOKUP(K785,'2026.01'!A:Y,19,0),0)</f>
        <v>55</v>
      </c>
      <c r="G794" s="310"/>
      <c r="K794" s="300"/>
    </row>
    <row r="795" ht="17.15" customHeight="1" spans="1:11">
      <c r="A795" s="307" t="s">
        <v>18</v>
      </c>
      <c r="B795" s="308"/>
      <c r="C795" s="308"/>
      <c r="D795" s="308"/>
      <c r="E795" s="308"/>
      <c r="F795" s="309">
        <f>IFERROR(VLOOKUP(K785,'2026.01'!A:Y,22,0),0)</f>
        <v>222</v>
      </c>
      <c r="G795" s="310"/>
      <c r="K795" s="300"/>
    </row>
    <row r="796" ht="17.15" customHeight="1" spans="1:11">
      <c r="A796" s="307" t="s">
        <v>19</v>
      </c>
      <c r="B796" s="312"/>
      <c r="C796" s="308"/>
      <c r="D796" s="313"/>
      <c r="E796" s="308"/>
      <c r="F796" s="309">
        <f>IFERROR(VLOOKUP(K785,'2026.01'!A:Y,25,0),0)</f>
        <v>5242</v>
      </c>
      <c r="G796" s="310"/>
      <c r="K796" s="300"/>
    </row>
    <row r="797" ht="15" customHeight="1" spans="1:11">
      <c r="A797" s="314" t="s">
        <v>20</v>
      </c>
      <c r="B797" s="315">
        <f>IF(F796&lt;0,"金额为负，无效",INT(F796))</f>
        <v>5242</v>
      </c>
      <c r="C797" s="315"/>
      <c r="D797" s="315"/>
      <c r="E797" s="316" t="s">
        <v>21</v>
      </c>
      <c r="F797" s="317"/>
      <c r="G797" s="318"/>
      <c r="K797" s="300"/>
    </row>
    <row r="798" ht="15" customHeight="1" spans="1:11">
      <c r="A798" s="319"/>
      <c r="B798" s="320"/>
      <c r="C798" s="320"/>
      <c r="D798" s="320"/>
      <c r="E798" s="319"/>
      <c r="F798" s="321"/>
      <c r="G798" s="322"/>
      <c r="K798" s="300"/>
    </row>
    <row r="799" ht="27" customHeight="1" spans="1:11">
      <c r="A799" s="298" t="s">
        <v>0</v>
      </c>
      <c r="B799" s="298"/>
      <c r="C799" s="298"/>
      <c r="D799" s="298"/>
      <c r="E799" s="298"/>
      <c r="F799" s="298"/>
      <c r="G799" s="298"/>
      <c r="H799" s="299"/>
      <c r="I799" s="299"/>
      <c r="J799" s="299"/>
      <c r="K799" s="300">
        <v>58</v>
      </c>
    </row>
    <row r="800" ht="15" customHeight="1" spans="1:11">
      <c r="A800" s="301" t="s">
        <v>1</v>
      </c>
      <c r="B800" s="301"/>
      <c r="C800" s="301"/>
      <c r="D800" s="301"/>
      <c r="E800" s="301"/>
      <c r="F800" s="301"/>
      <c r="G800" s="302" t="str">
        <f>IFERROR(VLOOKUP(K799,'2026.01'!A:Y,2,0),0)</f>
        <v>NO:058</v>
      </c>
      <c r="K800" s="300"/>
    </row>
    <row r="801" ht="15" customHeight="1" spans="1:11">
      <c r="A801" s="303" t="s">
        <v>2</v>
      </c>
      <c r="B801" s="304">
        <f>IFERROR(VLOOKUP(K799,'2026.01'!A:Y,6,0),0)</f>
        <v>1058</v>
      </c>
      <c r="C801" s="304"/>
      <c r="D801" s="305" t="s">
        <v>3</v>
      </c>
      <c r="E801" s="305" t="str">
        <f>IFERROR(VLOOKUP(K799,'2026.01'!A:Y,7,0),0)</f>
        <v>江朝</v>
      </c>
      <c r="F801" s="305"/>
      <c r="G801" s="306" t="s">
        <v>4</v>
      </c>
      <c r="K801" s="300"/>
    </row>
    <row r="802" ht="15" customHeight="1" spans="1:11">
      <c r="A802" s="307" t="s">
        <v>5</v>
      </c>
      <c r="B802" s="308" t="s">
        <v>6</v>
      </c>
      <c r="C802" s="308" t="s">
        <v>7</v>
      </c>
      <c r="D802" s="308" t="s">
        <v>8</v>
      </c>
      <c r="E802" s="308" t="s">
        <v>9</v>
      </c>
      <c r="F802" s="309" t="s">
        <v>10</v>
      </c>
      <c r="G802" s="310" t="s">
        <v>11</v>
      </c>
      <c r="K802" s="300"/>
    </row>
    <row r="803" ht="15" customHeight="1" spans="1:11">
      <c r="A803" s="307" t="s">
        <v>12</v>
      </c>
      <c r="B803" s="308">
        <f>IFERROR(VLOOKUP(K799,'2026.01'!A:Y,14,0),0)</f>
        <v>8527</v>
      </c>
      <c r="C803" s="308">
        <f>IFERROR(VLOOKUP(K799,'2026.01'!A:Y,13,0),0)</f>
        <v>8423</v>
      </c>
      <c r="D803" s="308">
        <f>IFERROR(VLOOKUP(K799,'2026.01'!A:Y,15,0),0)</f>
        <v>104</v>
      </c>
      <c r="E803" s="311">
        <f>IFERROR(VLOOKUP(K799,'2026.01'!A:Y,18,0),0)</f>
        <v>0.8</v>
      </c>
      <c r="F803" s="309">
        <f>IFERROR(VLOOKUP(K799,'2026.01'!A:Y,20,0),0)</f>
        <v>83</v>
      </c>
      <c r="G803" s="310"/>
      <c r="K803" s="300"/>
    </row>
    <row r="804" ht="15" customHeight="1" spans="1:11">
      <c r="A804" s="307" t="s">
        <v>13</v>
      </c>
      <c r="B804" s="308"/>
      <c r="C804" s="308"/>
      <c r="D804" s="308"/>
      <c r="E804" s="311"/>
      <c r="F804" s="309">
        <f>IFERROR(VLOOKUP(K799,'2026.01'!A:Y,24,0),0)</f>
        <v>43</v>
      </c>
      <c r="G804" s="310"/>
      <c r="K804" s="300"/>
    </row>
    <row r="805" ht="15" customHeight="1" spans="1:11">
      <c r="A805" s="307" t="s">
        <v>14</v>
      </c>
      <c r="B805" s="308"/>
      <c r="C805" s="308"/>
      <c r="D805" s="308"/>
      <c r="E805" s="311"/>
      <c r="F805" s="309">
        <f>IFERROR(VLOOKUP(K799,'2026.01'!A:Y,12,0),0)</f>
        <v>160</v>
      </c>
      <c r="G805" s="310"/>
      <c r="K805" s="300"/>
    </row>
    <row r="806" ht="21" customHeight="1" spans="1:11">
      <c r="A806" s="307" t="s">
        <v>15</v>
      </c>
      <c r="B806" s="308"/>
      <c r="C806" s="308"/>
      <c r="D806" s="308"/>
      <c r="E806" s="311"/>
      <c r="F806" s="309">
        <f>IFERROR(VLOOKUP(K799,'2026.01'!A:Y,9,0),0)</f>
        <v>4200</v>
      </c>
      <c r="G806" s="310"/>
      <c r="K806" s="300"/>
    </row>
    <row r="807" ht="19" customHeight="1" spans="1:11">
      <c r="A807" s="307" t="s">
        <v>16</v>
      </c>
      <c r="B807" s="308"/>
      <c r="C807" s="308"/>
      <c r="D807" s="308"/>
      <c r="E807" s="308"/>
      <c r="F807" s="309">
        <f>IFERROR(VLOOKUP(K799,'2026.01'!A:Y,10,0),0)</f>
        <v>500</v>
      </c>
      <c r="G807" s="310"/>
      <c r="K807" s="300"/>
    </row>
    <row r="808" ht="21" customHeight="1" spans="1:11">
      <c r="A808" s="307" t="s">
        <v>17</v>
      </c>
      <c r="B808" s="308"/>
      <c r="C808" s="308"/>
      <c r="D808" s="308"/>
      <c r="E808" s="308"/>
      <c r="F808" s="309">
        <f>IFERROR(VLOOKUP(K799,'2026.01'!A:Y,19,0),0)</f>
        <v>73</v>
      </c>
      <c r="G808" s="310"/>
      <c r="K808" s="300"/>
    </row>
    <row r="809" ht="17.15" customHeight="1" spans="1:11">
      <c r="A809" s="307" t="s">
        <v>18</v>
      </c>
      <c r="B809" s="308"/>
      <c r="C809" s="308"/>
      <c r="D809" s="308"/>
      <c r="E809" s="308"/>
      <c r="F809" s="309">
        <f>IFERROR(VLOOKUP(K799,'2026.01'!A:Y,22,0),0)</f>
        <v>222</v>
      </c>
      <c r="G809" s="310"/>
      <c r="K809" s="300"/>
    </row>
    <row r="810" ht="17.15" customHeight="1" spans="1:11">
      <c r="A810" s="307" t="s">
        <v>19</v>
      </c>
      <c r="B810" s="312"/>
      <c r="C810" s="308"/>
      <c r="D810" s="313"/>
      <c r="E810" s="308"/>
      <c r="F810" s="309">
        <f>IFERROR(VLOOKUP(K799,'2026.01'!A:Y,25,0),0)</f>
        <v>5281</v>
      </c>
      <c r="G810" s="310"/>
      <c r="K810" s="300"/>
    </row>
    <row r="811" ht="15" customHeight="1" spans="1:11">
      <c r="A811" s="314" t="s">
        <v>20</v>
      </c>
      <c r="B811" s="315">
        <f>IF(F810&lt;0,"金额为负，无效",INT(F810))</f>
        <v>5281</v>
      </c>
      <c r="C811" s="315"/>
      <c r="D811" s="315"/>
      <c r="E811" s="316" t="s">
        <v>21</v>
      </c>
      <c r="F811" s="317"/>
      <c r="G811" s="318"/>
      <c r="K811" s="300"/>
    </row>
    <row r="812" ht="23" customHeight="1" spans="1:11">
      <c r="A812" s="319"/>
      <c r="B812" s="320"/>
      <c r="C812" s="320"/>
      <c r="D812" s="320"/>
      <c r="E812" s="319"/>
      <c r="F812" s="321"/>
      <c r="G812" s="322"/>
      <c r="K812" s="300"/>
    </row>
    <row r="813" ht="27" customHeight="1" spans="1:11">
      <c r="A813" s="298" t="s">
        <v>0</v>
      </c>
      <c r="B813" s="298"/>
      <c r="C813" s="298"/>
      <c r="D813" s="298"/>
      <c r="E813" s="298"/>
      <c r="F813" s="298"/>
      <c r="G813" s="298"/>
      <c r="H813" s="299"/>
      <c r="I813" s="299"/>
      <c r="J813" s="299"/>
      <c r="K813" s="300">
        <v>59</v>
      </c>
    </row>
    <row r="814" ht="15" customHeight="1" spans="1:11">
      <c r="A814" s="301" t="s">
        <v>1</v>
      </c>
      <c r="B814" s="301"/>
      <c r="C814" s="301"/>
      <c r="D814" s="301"/>
      <c r="E814" s="301"/>
      <c r="F814" s="301"/>
      <c r="G814" s="302" t="str">
        <f>IFERROR(VLOOKUP(K813,'2026.01'!A:Y,2,0),0)</f>
        <v>NO:059</v>
      </c>
      <c r="K814" s="300"/>
    </row>
    <row r="815" ht="15" customHeight="1" spans="1:11">
      <c r="A815" s="303" t="s">
        <v>2</v>
      </c>
      <c r="B815" s="304">
        <f>IFERROR(VLOOKUP(K813,'2026.01'!A:Y,6,0),0)</f>
        <v>1059</v>
      </c>
      <c r="C815" s="304"/>
      <c r="D815" s="305" t="s">
        <v>3</v>
      </c>
      <c r="E815" s="305" t="str">
        <f>IFERROR(VLOOKUP(K813,'2026.01'!A:Y,7,0),0)</f>
        <v>温平</v>
      </c>
      <c r="F815" s="305"/>
      <c r="G815" s="306" t="s">
        <v>4</v>
      </c>
      <c r="K815" s="300"/>
    </row>
    <row r="816" ht="15" customHeight="1" spans="1:11">
      <c r="A816" s="307" t="s">
        <v>5</v>
      </c>
      <c r="B816" s="308" t="s">
        <v>6</v>
      </c>
      <c r="C816" s="308" t="s">
        <v>7</v>
      </c>
      <c r="D816" s="308" t="s">
        <v>8</v>
      </c>
      <c r="E816" s="308" t="s">
        <v>9</v>
      </c>
      <c r="F816" s="309" t="s">
        <v>10</v>
      </c>
      <c r="G816" s="310" t="s">
        <v>11</v>
      </c>
      <c r="K816" s="300"/>
    </row>
    <row r="817" ht="15" customHeight="1" spans="1:11">
      <c r="A817" s="307" t="s">
        <v>12</v>
      </c>
      <c r="B817" s="308">
        <f>IFERROR(VLOOKUP(K813,'2026.01'!A:Y,14,0),0)</f>
        <v>8081</v>
      </c>
      <c r="C817" s="308">
        <f>IFERROR(VLOOKUP(K813,'2026.01'!A:Y,13,0),0)</f>
        <v>7981</v>
      </c>
      <c r="D817" s="308">
        <f>IFERROR(VLOOKUP(K813,'2026.01'!A:Y,15,0),0)</f>
        <v>100</v>
      </c>
      <c r="E817" s="311">
        <f>IFERROR(VLOOKUP(K813,'2026.01'!A:Y,18,0),0)</f>
        <v>0.8</v>
      </c>
      <c r="F817" s="309">
        <f>IFERROR(VLOOKUP(K813,'2026.01'!A:Y,20,0),0)</f>
        <v>80</v>
      </c>
      <c r="G817" s="310"/>
      <c r="K817" s="300"/>
    </row>
    <row r="818" ht="15" customHeight="1" spans="1:11">
      <c r="A818" s="307" t="s">
        <v>13</v>
      </c>
      <c r="B818" s="308"/>
      <c r="C818" s="308"/>
      <c r="D818" s="308"/>
      <c r="E818" s="311"/>
      <c r="F818" s="309">
        <f>IFERROR(VLOOKUP(K813,'2026.01'!A:Y,24,0),0)</f>
        <v>43</v>
      </c>
      <c r="G818" s="310"/>
      <c r="K818" s="300"/>
    </row>
    <row r="819" ht="15" customHeight="1" spans="1:11">
      <c r="A819" s="307" t="s">
        <v>14</v>
      </c>
      <c r="B819" s="308"/>
      <c r="C819" s="308"/>
      <c r="D819" s="308"/>
      <c r="E819" s="311"/>
      <c r="F819" s="309">
        <f>IFERROR(VLOOKUP(K813,'2026.01'!A:Y,12,0),0)</f>
        <v>160</v>
      </c>
      <c r="G819" s="310"/>
      <c r="K819" s="300"/>
    </row>
    <row r="820" ht="21" customHeight="1" spans="1:11">
      <c r="A820" s="307" t="s">
        <v>15</v>
      </c>
      <c r="B820" s="308"/>
      <c r="C820" s="308"/>
      <c r="D820" s="308"/>
      <c r="E820" s="311"/>
      <c r="F820" s="309">
        <f>IFERROR(VLOOKUP(K813,'2026.01'!A:Y,9,0),0)</f>
        <v>4200</v>
      </c>
      <c r="G820" s="310"/>
      <c r="K820" s="300"/>
    </row>
    <row r="821" ht="19" customHeight="1" spans="1:11">
      <c r="A821" s="307" t="s">
        <v>16</v>
      </c>
      <c r="B821" s="308"/>
      <c r="C821" s="308"/>
      <c r="D821" s="308"/>
      <c r="E821" s="308"/>
      <c r="F821" s="309">
        <f>IFERROR(VLOOKUP(K813,'2026.01'!A:Y,10,0),0)</f>
        <v>500</v>
      </c>
      <c r="G821" s="310"/>
      <c r="K821" s="300"/>
    </row>
    <row r="822" ht="21" customHeight="1" spans="1:11">
      <c r="A822" s="307" t="s">
        <v>17</v>
      </c>
      <c r="B822" s="308"/>
      <c r="C822" s="308"/>
      <c r="D822" s="308"/>
      <c r="E822" s="308"/>
      <c r="F822" s="309">
        <f>IFERROR(VLOOKUP(K813,'2026.01'!A:Y,19,0),0)</f>
        <v>70</v>
      </c>
      <c r="G822" s="310"/>
      <c r="K822" s="300"/>
    </row>
    <row r="823" ht="17.15" customHeight="1" spans="1:11">
      <c r="A823" s="307" t="s">
        <v>18</v>
      </c>
      <c r="B823" s="308"/>
      <c r="C823" s="308"/>
      <c r="D823" s="308"/>
      <c r="E823" s="308"/>
      <c r="F823" s="309">
        <f>IFERROR(VLOOKUP(K813,'2026.01'!A:Y,22,0),0)</f>
        <v>222</v>
      </c>
      <c r="G823" s="310"/>
      <c r="K823" s="300"/>
    </row>
    <row r="824" ht="17.15" customHeight="1" spans="1:11">
      <c r="A824" s="307" t="s">
        <v>19</v>
      </c>
      <c r="B824" s="312"/>
      <c r="C824" s="308"/>
      <c r="D824" s="313"/>
      <c r="E824" s="308"/>
      <c r="F824" s="309">
        <f>IFERROR(VLOOKUP(K813,'2026.01'!A:Y,25,0),0)</f>
        <v>5275</v>
      </c>
      <c r="G824" s="310"/>
      <c r="K824" s="300"/>
    </row>
    <row r="825" ht="15" customHeight="1" spans="1:11">
      <c r="A825" s="314" t="s">
        <v>20</v>
      </c>
      <c r="B825" s="315">
        <f>IF(F824&lt;0,"金额为负，无效",INT(F824))</f>
        <v>5275</v>
      </c>
      <c r="C825" s="315"/>
      <c r="D825" s="315"/>
      <c r="E825" s="316" t="s">
        <v>21</v>
      </c>
      <c r="F825" s="317"/>
      <c r="G825" s="318"/>
      <c r="K825" s="300"/>
    </row>
    <row r="826" ht="23" customHeight="1" spans="1:11">
      <c r="A826" s="319"/>
      <c r="B826" s="320"/>
      <c r="C826" s="320"/>
      <c r="D826" s="320"/>
      <c r="E826" s="319"/>
      <c r="F826" s="321"/>
      <c r="G826" s="322"/>
      <c r="K826" s="300"/>
    </row>
    <row r="827" ht="27" customHeight="1" spans="1:11">
      <c r="A827" s="298" t="s">
        <v>0</v>
      </c>
      <c r="B827" s="298"/>
      <c r="C827" s="298"/>
      <c r="D827" s="298"/>
      <c r="E827" s="298"/>
      <c r="F827" s="298"/>
      <c r="G827" s="298"/>
      <c r="H827" s="299"/>
      <c r="I827" s="299"/>
      <c r="J827" s="299"/>
      <c r="K827" s="300">
        <v>60</v>
      </c>
    </row>
    <row r="828" ht="15" customHeight="1" spans="1:11">
      <c r="A828" s="301" t="s">
        <v>1</v>
      </c>
      <c r="B828" s="301"/>
      <c r="C828" s="301"/>
      <c r="D828" s="301"/>
      <c r="E828" s="301"/>
      <c r="F828" s="301"/>
      <c r="G828" s="302" t="str">
        <f>IFERROR(VLOOKUP(K827,'2026.01'!A:Y,2,0),0)</f>
        <v>NO:060</v>
      </c>
      <c r="K828" s="300"/>
    </row>
    <row r="829" ht="15" customHeight="1" spans="1:11">
      <c r="A829" s="303" t="s">
        <v>2</v>
      </c>
      <c r="B829" s="304">
        <f>IFERROR(VLOOKUP(K827,'2026.01'!A:Y,6,0),0)</f>
        <v>1060</v>
      </c>
      <c r="C829" s="304"/>
      <c r="D829" s="305" t="s">
        <v>3</v>
      </c>
      <c r="E829" s="305" t="str">
        <f>IFERROR(VLOOKUP(K827,'2026.01'!A:Y,7,0),0)</f>
        <v>戴晓怡</v>
      </c>
      <c r="F829" s="305"/>
      <c r="G829" s="306" t="s">
        <v>4</v>
      </c>
      <c r="K829" s="300"/>
    </row>
    <row r="830" ht="15" customHeight="1" spans="1:11">
      <c r="A830" s="307" t="s">
        <v>5</v>
      </c>
      <c r="B830" s="308" t="s">
        <v>6</v>
      </c>
      <c r="C830" s="308" t="s">
        <v>7</v>
      </c>
      <c r="D830" s="308" t="s">
        <v>8</v>
      </c>
      <c r="E830" s="308" t="s">
        <v>9</v>
      </c>
      <c r="F830" s="309" t="s">
        <v>10</v>
      </c>
      <c r="G830" s="310" t="s">
        <v>11</v>
      </c>
      <c r="K830" s="300"/>
    </row>
    <row r="831" ht="15" customHeight="1" spans="1:11">
      <c r="A831" s="307" t="s">
        <v>12</v>
      </c>
      <c r="B831" s="308">
        <f>IFERROR(VLOOKUP(K827,'2026.01'!A:Y,14,0),0)</f>
        <v>6257</v>
      </c>
      <c r="C831" s="308">
        <f>IFERROR(VLOOKUP(K827,'2026.01'!A:Y,13,0),0)</f>
        <v>6219</v>
      </c>
      <c r="D831" s="308">
        <f>IFERROR(VLOOKUP(K827,'2026.01'!A:Y,15,0),0)</f>
        <v>38</v>
      </c>
      <c r="E831" s="311">
        <f>IFERROR(VLOOKUP(K827,'2026.01'!A:Y,18,0),0)</f>
        <v>0.8</v>
      </c>
      <c r="F831" s="309">
        <f>IFERROR(VLOOKUP(K827,'2026.01'!A:Y,20,0),0)</f>
        <v>30</v>
      </c>
      <c r="G831" s="310"/>
      <c r="K831" s="300"/>
    </row>
    <row r="832" ht="15" customHeight="1" spans="1:11">
      <c r="A832" s="307" t="s">
        <v>13</v>
      </c>
      <c r="B832" s="308"/>
      <c r="C832" s="308"/>
      <c r="D832" s="308"/>
      <c r="E832" s="311"/>
      <c r="F832" s="309">
        <f>IFERROR(VLOOKUP(K827,'2026.01'!A:Y,24,0),0)</f>
        <v>43</v>
      </c>
      <c r="G832" s="310"/>
      <c r="K832" s="300"/>
    </row>
    <row r="833" ht="15" customHeight="1" spans="1:11">
      <c r="A833" s="307" t="s">
        <v>14</v>
      </c>
      <c r="B833" s="308"/>
      <c r="C833" s="308"/>
      <c r="D833" s="308"/>
      <c r="E833" s="311"/>
      <c r="F833" s="309">
        <f>IFERROR(VLOOKUP(K827,'2026.01'!A:Y,12,0),0)</f>
        <v>160</v>
      </c>
      <c r="G833" s="310"/>
      <c r="K833" s="300"/>
    </row>
    <row r="834" ht="21" customHeight="1" spans="1:11">
      <c r="A834" s="307" t="s">
        <v>15</v>
      </c>
      <c r="B834" s="308"/>
      <c r="C834" s="308"/>
      <c r="D834" s="308"/>
      <c r="E834" s="311"/>
      <c r="F834" s="309">
        <f>IFERROR(VLOOKUP(K827,'2026.01'!A:Y,9,0),0)</f>
        <v>4200</v>
      </c>
      <c r="G834" s="310"/>
      <c r="K834" s="300"/>
    </row>
    <row r="835" ht="19" customHeight="1" spans="1:11">
      <c r="A835" s="307" t="s">
        <v>16</v>
      </c>
      <c r="B835" s="308"/>
      <c r="C835" s="308"/>
      <c r="D835" s="308"/>
      <c r="E835" s="308"/>
      <c r="F835" s="309">
        <f>IFERROR(VLOOKUP(K827,'2026.01'!A:Y,10,0),0)</f>
        <v>500</v>
      </c>
      <c r="G835" s="310"/>
      <c r="K835" s="300"/>
    </row>
    <row r="836" ht="21" customHeight="1" spans="1:11">
      <c r="A836" s="307" t="s">
        <v>17</v>
      </c>
      <c r="B836" s="308"/>
      <c r="C836" s="308"/>
      <c r="D836" s="308"/>
      <c r="E836" s="308"/>
      <c r="F836" s="309">
        <f>IFERROR(VLOOKUP(K827,'2026.01'!A:Y,19,0),0)</f>
        <v>27</v>
      </c>
      <c r="G836" s="310"/>
      <c r="K836" s="300"/>
    </row>
    <row r="837" ht="17.15" customHeight="1" spans="1:11">
      <c r="A837" s="307" t="s">
        <v>18</v>
      </c>
      <c r="B837" s="308"/>
      <c r="C837" s="308"/>
      <c r="D837" s="308"/>
      <c r="E837" s="308"/>
      <c r="F837" s="309">
        <f>IFERROR(VLOOKUP(K827,'2026.01'!A:Y,22,0),0)</f>
        <v>222</v>
      </c>
      <c r="G837" s="310"/>
      <c r="K837" s="300"/>
    </row>
    <row r="838" ht="17.15" customHeight="1" spans="1:11">
      <c r="A838" s="307" t="s">
        <v>19</v>
      </c>
      <c r="B838" s="312"/>
      <c r="C838" s="308"/>
      <c r="D838" s="313"/>
      <c r="E838" s="308"/>
      <c r="F838" s="309">
        <f>IFERROR(VLOOKUP(K827,'2026.01'!A:Y,25,0),0)</f>
        <v>5182</v>
      </c>
      <c r="G838" s="310"/>
      <c r="K838" s="300"/>
    </row>
    <row r="839" ht="15" customHeight="1" spans="1:11">
      <c r="A839" s="314" t="s">
        <v>20</v>
      </c>
      <c r="B839" s="315">
        <f>IF(F838&lt;0,"金额为负，无效",INT(F838))</f>
        <v>5182</v>
      </c>
      <c r="C839" s="315"/>
      <c r="D839" s="315"/>
      <c r="E839" s="316" t="s">
        <v>21</v>
      </c>
      <c r="F839" s="317"/>
      <c r="G839" s="318"/>
      <c r="K839" s="300"/>
    </row>
    <row r="840" ht="15" customHeight="1" spans="1:11">
      <c r="A840" s="319"/>
      <c r="B840" s="320"/>
      <c r="C840" s="320"/>
      <c r="D840" s="320"/>
      <c r="E840" s="319"/>
      <c r="F840" s="321"/>
      <c r="G840" s="322"/>
      <c r="K840" s="300"/>
    </row>
    <row r="841" ht="27" customHeight="1" spans="1:11">
      <c r="A841" s="298" t="s">
        <v>0</v>
      </c>
      <c r="B841" s="298"/>
      <c r="C841" s="298"/>
      <c r="D841" s="298"/>
      <c r="E841" s="298"/>
      <c r="F841" s="298"/>
      <c r="G841" s="298"/>
      <c r="H841" s="299"/>
      <c r="I841" s="299"/>
      <c r="J841" s="299"/>
      <c r="K841" s="300">
        <v>61</v>
      </c>
    </row>
    <row r="842" ht="15" customHeight="1" spans="1:11">
      <c r="A842" s="301" t="s">
        <v>1</v>
      </c>
      <c r="B842" s="301"/>
      <c r="C842" s="301"/>
      <c r="D842" s="301"/>
      <c r="E842" s="301"/>
      <c r="F842" s="301"/>
      <c r="G842" s="302" t="str">
        <f>IFERROR(VLOOKUP(K841,'2026.01'!A:Y,2,0),0)</f>
        <v>NO:061</v>
      </c>
      <c r="K842" s="300"/>
    </row>
    <row r="843" ht="15" customHeight="1" spans="1:11">
      <c r="A843" s="303" t="s">
        <v>2</v>
      </c>
      <c r="B843" s="304">
        <f>IFERROR(VLOOKUP(K841,'2026.01'!A:Y,6,0),0)</f>
        <v>1061</v>
      </c>
      <c r="C843" s="304"/>
      <c r="D843" s="305" t="s">
        <v>3</v>
      </c>
      <c r="E843" s="305" t="str">
        <f>IFERROR(VLOOKUP(K841,'2026.01'!A:Y,7,0),0)</f>
        <v>李丽</v>
      </c>
      <c r="F843" s="305"/>
      <c r="G843" s="306" t="s">
        <v>4</v>
      </c>
      <c r="K843" s="300"/>
    </row>
    <row r="844" ht="15" customHeight="1" spans="1:11">
      <c r="A844" s="307" t="s">
        <v>5</v>
      </c>
      <c r="B844" s="308" t="s">
        <v>6</v>
      </c>
      <c r="C844" s="308" t="s">
        <v>7</v>
      </c>
      <c r="D844" s="308" t="s">
        <v>8</v>
      </c>
      <c r="E844" s="308" t="s">
        <v>9</v>
      </c>
      <c r="F844" s="309" t="s">
        <v>10</v>
      </c>
      <c r="G844" s="310" t="s">
        <v>11</v>
      </c>
      <c r="K844" s="300"/>
    </row>
    <row r="845" ht="15" customHeight="1" spans="1:11">
      <c r="A845" s="307" t="s">
        <v>12</v>
      </c>
      <c r="B845" s="308">
        <f>IFERROR(VLOOKUP(K841,'2026.01'!A:Y,14,0),0)</f>
        <v>6833</v>
      </c>
      <c r="C845" s="308">
        <f>IFERROR(VLOOKUP(K841,'2026.01'!A:Y,13,0),0)</f>
        <v>6585</v>
      </c>
      <c r="D845" s="308">
        <f>IFERROR(VLOOKUP(K841,'2026.01'!A:Y,15,0),0)</f>
        <v>248</v>
      </c>
      <c r="E845" s="311">
        <f>IFERROR(VLOOKUP(K841,'2026.01'!A:Y,18,0),0)</f>
        <v>0.8</v>
      </c>
      <c r="F845" s="309">
        <f>IFERROR(VLOOKUP(K841,'2026.01'!A:Y,20,0),0)</f>
        <v>198</v>
      </c>
      <c r="G845" s="310"/>
      <c r="K845" s="300"/>
    </row>
    <row r="846" ht="15" customHeight="1" spans="1:11">
      <c r="A846" s="307" t="s">
        <v>13</v>
      </c>
      <c r="B846" s="308"/>
      <c r="C846" s="308"/>
      <c r="D846" s="308"/>
      <c r="E846" s="311"/>
      <c r="F846" s="309">
        <f>IFERROR(VLOOKUP(K841,'2026.01'!A:Y,24,0),0)</f>
        <v>43</v>
      </c>
      <c r="G846" s="310"/>
      <c r="K846" s="300"/>
    </row>
    <row r="847" ht="15" customHeight="1" spans="1:11">
      <c r="A847" s="307" t="s">
        <v>14</v>
      </c>
      <c r="B847" s="308"/>
      <c r="C847" s="308"/>
      <c r="D847" s="308"/>
      <c r="E847" s="311"/>
      <c r="F847" s="309">
        <f>IFERROR(VLOOKUP(K841,'2026.01'!A:Y,12,0),0)</f>
        <v>160</v>
      </c>
      <c r="G847" s="310"/>
      <c r="K847" s="300"/>
    </row>
    <row r="848" ht="21" customHeight="1" spans="1:11">
      <c r="A848" s="307" t="s">
        <v>15</v>
      </c>
      <c r="B848" s="308"/>
      <c r="C848" s="308"/>
      <c r="D848" s="308"/>
      <c r="E848" s="311"/>
      <c r="F848" s="309">
        <f>IFERROR(VLOOKUP(K841,'2026.01'!A:Y,9,0),0)</f>
        <v>3500</v>
      </c>
      <c r="G848" s="310"/>
      <c r="K848" s="300"/>
    </row>
    <row r="849" ht="19" customHeight="1" spans="1:11">
      <c r="A849" s="307" t="s">
        <v>16</v>
      </c>
      <c r="B849" s="308"/>
      <c r="C849" s="308"/>
      <c r="D849" s="308"/>
      <c r="E849" s="308"/>
      <c r="F849" s="309">
        <f>IFERROR(VLOOKUP(K841,'2026.01'!A:Y,10,0),0)</f>
        <v>200</v>
      </c>
      <c r="G849" s="310"/>
      <c r="K849" s="300"/>
    </row>
    <row r="850" ht="21" customHeight="1" spans="1:11">
      <c r="A850" s="307" t="s">
        <v>17</v>
      </c>
      <c r="B850" s="308"/>
      <c r="C850" s="308"/>
      <c r="D850" s="308"/>
      <c r="E850" s="308"/>
      <c r="F850" s="309">
        <f>IFERROR(VLOOKUP(K841,'2026.01'!A:Y,19,0),0)</f>
        <v>174</v>
      </c>
      <c r="G850" s="310"/>
      <c r="K850" s="300"/>
    </row>
    <row r="851" ht="17.15" customHeight="1" spans="1:11">
      <c r="A851" s="307" t="s">
        <v>18</v>
      </c>
      <c r="B851" s="308"/>
      <c r="C851" s="308"/>
      <c r="D851" s="308"/>
      <c r="E851" s="308"/>
      <c r="F851" s="309">
        <f>IFERROR(VLOOKUP(K841,'2026.01'!A:Y,22,0),0)</f>
        <v>222</v>
      </c>
      <c r="G851" s="310"/>
      <c r="K851" s="300"/>
    </row>
    <row r="852" ht="17.15" customHeight="1" spans="1:11">
      <c r="A852" s="307" t="s">
        <v>19</v>
      </c>
      <c r="B852" s="312"/>
      <c r="C852" s="308"/>
      <c r="D852" s="313"/>
      <c r="E852" s="308"/>
      <c r="F852" s="309">
        <f>IFERROR(VLOOKUP(K841,'2026.01'!A:Y,25,0),0)</f>
        <v>4497</v>
      </c>
      <c r="G852" s="310"/>
      <c r="K852" s="300"/>
    </row>
    <row r="853" ht="15" customHeight="1" spans="1:11">
      <c r="A853" s="314" t="s">
        <v>20</v>
      </c>
      <c r="B853" s="315">
        <f>IF(F852&lt;0,"金额为负，无效",INT(F852))</f>
        <v>4497</v>
      </c>
      <c r="C853" s="315"/>
      <c r="D853" s="315"/>
      <c r="E853" s="316" t="s">
        <v>21</v>
      </c>
      <c r="F853" s="317"/>
      <c r="G853" s="318"/>
      <c r="K853" s="300"/>
    </row>
    <row r="854" ht="23" customHeight="1" spans="1:11">
      <c r="A854" s="319"/>
      <c r="B854" s="320"/>
      <c r="C854" s="320"/>
      <c r="D854" s="320"/>
      <c r="E854" s="319"/>
      <c r="F854" s="321"/>
      <c r="G854" s="322"/>
      <c r="K854" s="300"/>
    </row>
    <row r="855" ht="27" customHeight="1" spans="1:11">
      <c r="A855" s="298" t="s">
        <v>0</v>
      </c>
      <c r="B855" s="298"/>
      <c r="C855" s="298"/>
      <c r="D855" s="298"/>
      <c r="E855" s="298"/>
      <c r="F855" s="298"/>
      <c r="G855" s="298"/>
      <c r="H855" s="299"/>
      <c r="I855" s="299"/>
      <c r="J855" s="299"/>
      <c r="K855" s="300">
        <v>62</v>
      </c>
    </row>
    <row r="856" ht="15" customHeight="1" spans="1:11">
      <c r="A856" s="301" t="s">
        <v>1</v>
      </c>
      <c r="B856" s="301"/>
      <c r="C856" s="301"/>
      <c r="D856" s="301"/>
      <c r="E856" s="301"/>
      <c r="F856" s="301"/>
      <c r="G856" s="302" t="str">
        <f>IFERROR(VLOOKUP(K855,'2026.01'!A:Y,2,0),0)</f>
        <v>NO:062</v>
      </c>
      <c r="K856" s="300"/>
    </row>
    <row r="857" ht="15" customHeight="1" spans="1:11">
      <c r="A857" s="303" t="s">
        <v>2</v>
      </c>
      <c r="B857" s="304">
        <f>IFERROR(VLOOKUP(K855,'2026.01'!A:Y,6,0),0)</f>
        <v>1062</v>
      </c>
      <c r="C857" s="304"/>
      <c r="D857" s="305" t="s">
        <v>3</v>
      </c>
      <c r="E857" s="305" t="str">
        <f>IFERROR(VLOOKUP(K855,'2026.01'!A:Y,7,0),0)</f>
        <v>章芳琴</v>
      </c>
      <c r="F857" s="305"/>
      <c r="G857" s="306" t="s">
        <v>4</v>
      </c>
      <c r="K857" s="300"/>
    </row>
    <row r="858" ht="15" customHeight="1" spans="1:11">
      <c r="A858" s="307" t="s">
        <v>5</v>
      </c>
      <c r="B858" s="308" t="s">
        <v>6</v>
      </c>
      <c r="C858" s="308" t="s">
        <v>7</v>
      </c>
      <c r="D858" s="308" t="s">
        <v>8</v>
      </c>
      <c r="E858" s="308" t="s">
        <v>9</v>
      </c>
      <c r="F858" s="309" t="s">
        <v>10</v>
      </c>
      <c r="G858" s="310" t="s">
        <v>11</v>
      </c>
      <c r="K858" s="300"/>
    </row>
    <row r="859" ht="15" customHeight="1" spans="1:11">
      <c r="A859" s="307" t="s">
        <v>12</v>
      </c>
      <c r="B859" s="308">
        <f>IFERROR(VLOOKUP(K855,'2026.01'!A:Y,14,0),0)</f>
        <v>728</v>
      </c>
      <c r="C859" s="308">
        <f>IFERROR(VLOOKUP(K855,'2026.01'!A:Y,13,0),0)</f>
        <v>590</v>
      </c>
      <c r="D859" s="308">
        <f>IFERROR(VLOOKUP(K855,'2026.01'!A:Y,15,0),0)</f>
        <v>138</v>
      </c>
      <c r="E859" s="311">
        <f>IFERROR(VLOOKUP(K855,'2026.01'!A:Y,18,0),0)</f>
        <v>0.8</v>
      </c>
      <c r="F859" s="309">
        <f>IFERROR(VLOOKUP(K855,'2026.01'!A:Y,20,0),0)</f>
        <v>110</v>
      </c>
      <c r="G859" s="310"/>
      <c r="K859" s="300"/>
    </row>
    <row r="860" ht="15" customHeight="1" spans="1:11">
      <c r="A860" s="307" t="s">
        <v>13</v>
      </c>
      <c r="B860" s="308"/>
      <c r="C860" s="308"/>
      <c r="D860" s="308"/>
      <c r="E860" s="311"/>
      <c r="F860" s="309">
        <f>IFERROR(VLOOKUP(K855,'2026.01'!A:Y,24,0),0)</f>
        <v>43</v>
      </c>
      <c r="G860" s="310"/>
      <c r="K860" s="300"/>
    </row>
    <row r="861" ht="15" customHeight="1" spans="1:11">
      <c r="A861" s="307" t="s">
        <v>14</v>
      </c>
      <c r="B861" s="308"/>
      <c r="C861" s="308"/>
      <c r="D861" s="308"/>
      <c r="E861" s="311"/>
      <c r="F861" s="309">
        <f>IFERROR(VLOOKUP(K855,'2026.01'!A:Y,12,0),0)</f>
        <v>160</v>
      </c>
      <c r="G861" s="310"/>
      <c r="K861" s="300"/>
    </row>
    <row r="862" ht="21" customHeight="1" spans="1:11">
      <c r="A862" s="307" t="s">
        <v>15</v>
      </c>
      <c r="B862" s="308"/>
      <c r="C862" s="308"/>
      <c r="D862" s="308"/>
      <c r="E862" s="311"/>
      <c r="F862" s="309">
        <f>IFERROR(VLOOKUP(K855,'2026.01'!A:Y,9,0),0)</f>
        <v>3000</v>
      </c>
      <c r="G862" s="310"/>
      <c r="K862" s="300"/>
    </row>
    <row r="863" ht="19" customHeight="1" spans="1:11">
      <c r="A863" s="307" t="s">
        <v>16</v>
      </c>
      <c r="B863" s="308"/>
      <c r="C863" s="308"/>
      <c r="D863" s="308"/>
      <c r="E863" s="308"/>
      <c r="F863" s="309">
        <f>IFERROR(VLOOKUP(K855,'2026.01'!A:Y,10,0),0)</f>
        <v>0</v>
      </c>
      <c r="G863" s="310"/>
      <c r="K863" s="300"/>
    </row>
    <row r="864" ht="21" customHeight="1" spans="1:11">
      <c r="A864" s="307" t="s">
        <v>17</v>
      </c>
      <c r="B864" s="308"/>
      <c r="C864" s="308"/>
      <c r="D864" s="308"/>
      <c r="E864" s="308"/>
      <c r="F864" s="309">
        <f>IFERROR(VLOOKUP(K855,'2026.01'!A:Y,19,0),0)</f>
        <v>97</v>
      </c>
      <c r="G864" s="310"/>
      <c r="K864" s="300"/>
    </row>
    <row r="865" ht="17.15" customHeight="1" spans="1:11">
      <c r="A865" s="307" t="s">
        <v>18</v>
      </c>
      <c r="B865" s="308"/>
      <c r="C865" s="308"/>
      <c r="D865" s="308"/>
      <c r="E865" s="308"/>
      <c r="F865" s="309">
        <f>IFERROR(VLOOKUP(K855,'2026.01'!A:Y,22,0),0)</f>
        <v>228</v>
      </c>
      <c r="G865" s="310"/>
      <c r="K865" s="300"/>
    </row>
    <row r="866" ht="17.15" customHeight="1" spans="1:11">
      <c r="A866" s="307" t="s">
        <v>19</v>
      </c>
      <c r="B866" s="312"/>
      <c r="C866" s="308"/>
      <c r="D866" s="313"/>
      <c r="E866" s="308"/>
      <c r="F866" s="309">
        <f>IFERROR(VLOOKUP(K855,'2026.01'!A:Y,25,0),0)</f>
        <v>3638</v>
      </c>
      <c r="G866" s="310"/>
      <c r="K866" s="300"/>
    </row>
    <row r="867" ht="15" customHeight="1" spans="1:11">
      <c r="A867" s="314" t="s">
        <v>20</v>
      </c>
      <c r="B867" s="315">
        <f>IF(F866&lt;0,"金额为负，无效",INT(F866))</f>
        <v>3638</v>
      </c>
      <c r="C867" s="315"/>
      <c r="D867" s="315"/>
      <c r="E867" s="316" t="s">
        <v>21</v>
      </c>
      <c r="F867" s="317"/>
      <c r="G867" s="318"/>
      <c r="K867" s="300"/>
    </row>
    <row r="868" ht="23" customHeight="1" spans="1:11">
      <c r="A868" s="319"/>
      <c r="B868" s="320"/>
      <c r="C868" s="320"/>
      <c r="D868" s="320"/>
      <c r="E868" s="319"/>
      <c r="F868" s="321"/>
      <c r="G868" s="322"/>
      <c r="K868" s="300"/>
    </row>
    <row r="869" ht="27" customHeight="1" spans="1:11">
      <c r="A869" s="298" t="s">
        <v>0</v>
      </c>
      <c r="B869" s="298"/>
      <c r="C869" s="298"/>
      <c r="D869" s="298"/>
      <c r="E869" s="298"/>
      <c r="F869" s="298"/>
      <c r="G869" s="298"/>
      <c r="H869" s="299"/>
      <c r="I869" s="299"/>
      <c r="J869" s="299"/>
      <c r="K869" s="300">
        <v>63</v>
      </c>
    </row>
    <row r="870" ht="15" customHeight="1" spans="1:11">
      <c r="A870" s="301" t="s">
        <v>1</v>
      </c>
      <c r="B870" s="301"/>
      <c r="C870" s="301"/>
      <c r="D870" s="301"/>
      <c r="E870" s="301"/>
      <c r="F870" s="301"/>
      <c r="G870" s="302" t="str">
        <f>IFERROR(VLOOKUP(K869,'2026.01'!A:Y,2,0),0)</f>
        <v>NO:063</v>
      </c>
      <c r="K870" s="300"/>
    </row>
    <row r="871" ht="15" customHeight="1" spans="1:11">
      <c r="A871" s="303" t="s">
        <v>2</v>
      </c>
      <c r="B871" s="304">
        <f>IFERROR(VLOOKUP(K869,'2026.01'!A:Y,6,0),0)</f>
        <v>1063</v>
      </c>
      <c r="C871" s="304"/>
      <c r="D871" s="305" t="s">
        <v>3</v>
      </c>
      <c r="E871" s="305" t="str">
        <f>IFERROR(VLOOKUP(K869,'2026.01'!A:Y,7,0),0)</f>
        <v>余迎龙</v>
      </c>
      <c r="F871" s="305"/>
      <c r="G871" s="306" t="s">
        <v>4</v>
      </c>
      <c r="K871" s="300"/>
    </row>
    <row r="872" ht="15" customHeight="1" spans="1:11">
      <c r="A872" s="307" t="s">
        <v>5</v>
      </c>
      <c r="B872" s="308" t="s">
        <v>6</v>
      </c>
      <c r="C872" s="308" t="s">
        <v>7</v>
      </c>
      <c r="D872" s="308" t="s">
        <v>8</v>
      </c>
      <c r="E872" s="308" t="s">
        <v>9</v>
      </c>
      <c r="F872" s="309" t="s">
        <v>10</v>
      </c>
      <c r="G872" s="310" t="s">
        <v>11</v>
      </c>
      <c r="K872" s="300"/>
    </row>
    <row r="873" ht="15" customHeight="1" spans="1:11">
      <c r="A873" s="307" t="s">
        <v>12</v>
      </c>
      <c r="B873" s="308">
        <f>IFERROR(VLOOKUP(K869,'2026.01'!A:Y,14,0),0)</f>
        <v>6093</v>
      </c>
      <c r="C873" s="308">
        <f>IFERROR(VLOOKUP(K869,'2026.01'!A:Y,13,0),0)</f>
        <v>6067</v>
      </c>
      <c r="D873" s="308">
        <f>IFERROR(VLOOKUP(K869,'2026.01'!A:Y,15,0),0)</f>
        <v>26</v>
      </c>
      <c r="E873" s="311">
        <f>IFERROR(VLOOKUP(K869,'2026.01'!A:Y,18,0),0)</f>
        <v>0.8</v>
      </c>
      <c r="F873" s="309">
        <f>IFERROR(VLOOKUP(K869,'2026.01'!A:Y,20,0),0)</f>
        <v>21</v>
      </c>
      <c r="G873" s="310"/>
      <c r="K873" s="300"/>
    </row>
    <row r="874" ht="15" customHeight="1" spans="1:11">
      <c r="A874" s="307" t="s">
        <v>13</v>
      </c>
      <c r="B874" s="308"/>
      <c r="C874" s="308"/>
      <c r="D874" s="308"/>
      <c r="E874" s="311"/>
      <c r="F874" s="309">
        <f>IFERROR(VLOOKUP(K869,'2026.01'!A:Y,24,0),0)</f>
        <v>9</v>
      </c>
      <c r="G874" s="310"/>
      <c r="K874" s="300"/>
    </row>
    <row r="875" ht="15" customHeight="1" spans="1:11">
      <c r="A875" s="307" t="s">
        <v>14</v>
      </c>
      <c r="B875" s="308"/>
      <c r="C875" s="308"/>
      <c r="D875" s="308"/>
      <c r="E875" s="311"/>
      <c r="F875" s="309">
        <f>IFERROR(VLOOKUP(K869,'2026.01'!A:Y,12,0),0)</f>
        <v>160</v>
      </c>
      <c r="G875" s="310"/>
      <c r="K875" s="300"/>
    </row>
    <row r="876" ht="21" customHeight="1" spans="1:11">
      <c r="A876" s="307" t="s">
        <v>15</v>
      </c>
      <c r="B876" s="308"/>
      <c r="C876" s="308"/>
      <c r="D876" s="308"/>
      <c r="E876" s="311"/>
      <c r="F876" s="309">
        <f>IFERROR(VLOOKUP(K869,'2026.01'!A:Y,9,0),0)</f>
        <v>1600</v>
      </c>
      <c r="G876" s="310"/>
      <c r="K876" s="300"/>
    </row>
    <row r="877" ht="19" customHeight="1" spans="1:11">
      <c r="A877" s="307" t="s">
        <v>16</v>
      </c>
      <c r="B877" s="308"/>
      <c r="C877" s="308"/>
      <c r="D877" s="308"/>
      <c r="E877" s="308"/>
      <c r="F877" s="309">
        <f>IFERROR(VLOOKUP(K869,'2026.01'!A:Y,10,0),0)</f>
        <v>0</v>
      </c>
      <c r="G877" s="310"/>
      <c r="K877" s="300"/>
    </row>
    <row r="878" ht="21" customHeight="1" spans="1:11">
      <c r="A878" s="307" t="s">
        <v>17</v>
      </c>
      <c r="B878" s="308"/>
      <c r="C878" s="308"/>
      <c r="D878" s="308"/>
      <c r="E878" s="308"/>
      <c r="F878" s="309">
        <f>IFERROR(VLOOKUP(K869,'2026.01'!A:Y,19,0),0)</f>
        <v>18</v>
      </c>
      <c r="G878" s="310"/>
      <c r="K878" s="300"/>
    </row>
    <row r="879" ht="17.15" customHeight="1" spans="1:11">
      <c r="A879" s="307" t="s">
        <v>18</v>
      </c>
      <c r="B879" s="308"/>
      <c r="C879" s="308"/>
      <c r="D879" s="308"/>
      <c r="E879" s="308"/>
      <c r="F879" s="309">
        <f>IFERROR(VLOOKUP(K869,'2026.01'!A:Y,22,0),0)</f>
        <v>53</v>
      </c>
      <c r="G879" s="310"/>
      <c r="K879" s="300"/>
    </row>
    <row r="880" ht="17.15" customHeight="1" spans="1:11">
      <c r="A880" s="307" t="s">
        <v>19</v>
      </c>
      <c r="B880" s="312"/>
      <c r="C880" s="308"/>
      <c r="D880" s="313"/>
      <c r="E880" s="308"/>
      <c r="F880" s="309">
        <f>IFERROR(VLOOKUP(K869,'2026.01'!A:Y,25,0),0)</f>
        <v>1861</v>
      </c>
      <c r="G880" s="310"/>
      <c r="K880" s="300"/>
    </row>
    <row r="881" ht="15" customHeight="1" spans="1:11">
      <c r="A881" s="314" t="s">
        <v>20</v>
      </c>
      <c r="B881" s="315">
        <f>IF(F880&lt;0,"金额为负，无效",INT(F880))</f>
        <v>1861</v>
      </c>
      <c r="C881" s="315"/>
      <c r="D881" s="315"/>
      <c r="E881" s="316" t="s">
        <v>21</v>
      </c>
      <c r="F881" s="317"/>
      <c r="G881" s="318"/>
      <c r="K881" s="300"/>
    </row>
    <row r="882" ht="15" customHeight="1" spans="1:11">
      <c r="A882" s="319"/>
      <c r="B882" s="320"/>
      <c r="C882" s="320"/>
      <c r="D882" s="320"/>
      <c r="E882" s="319"/>
      <c r="F882" s="321"/>
      <c r="G882" s="322"/>
      <c r="K882" s="300"/>
    </row>
    <row r="883" ht="27" customHeight="1" spans="1:11">
      <c r="A883" s="298" t="s">
        <v>0</v>
      </c>
      <c r="B883" s="298"/>
      <c r="C883" s="298"/>
      <c r="D883" s="298"/>
      <c r="E883" s="298"/>
      <c r="F883" s="298"/>
      <c r="G883" s="298"/>
      <c r="H883" s="299"/>
      <c r="I883" s="299"/>
      <c r="J883" s="299"/>
      <c r="K883" s="300">
        <v>64</v>
      </c>
    </row>
    <row r="884" ht="15" customHeight="1" spans="1:11">
      <c r="A884" s="301" t="s">
        <v>1</v>
      </c>
      <c r="B884" s="301"/>
      <c r="C884" s="301"/>
      <c r="D884" s="301"/>
      <c r="E884" s="301"/>
      <c r="F884" s="301"/>
      <c r="G884" s="302" t="str">
        <f>IFERROR(VLOOKUP(K883,'2026.01'!A:Y,2,0),0)</f>
        <v>NO:064</v>
      </c>
      <c r="K884" s="300"/>
    </row>
    <row r="885" ht="15" customHeight="1" spans="1:11">
      <c r="A885" s="303" t="s">
        <v>2</v>
      </c>
      <c r="B885" s="304">
        <f>IFERROR(VLOOKUP(K883,'2026.01'!A:Y,6,0),0)</f>
        <v>1065</v>
      </c>
      <c r="C885" s="304"/>
      <c r="D885" s="305" t="s">
        <v>3</v>
      </c>
      <c r="E885" s="305" t="str">
        <f>IFERROR(VLOOKUP(K883,'2026.01'!A:Y,7,0),0)</f>
        <v>万军银</v>
      </c>
      <c r="F885" s="305"/>
      <c r="G885" s="306" t="s">
        <v>4</v>
      </c>
      <c r="K885" s="300"/>
    </row>
    <row r="886" ht="15" customHeight="1" spans="1:11">
      <c r="A886" s="307" t="s">
        <v>5</v>
      </c>
      <c r="B886" s="308" t="s">
        <v>6</v>
      </c>
      <c r="C886" s="308" t="s">
        <v>7</v>
      </c>
      <c r="D886" s="308" t="s">
        <v>8</v>
      </c>
      <c r="E886" s="308" t="s">
        <v>9</v>
      </c>
      <c r="F886" s="309" t="s">
        <v>10</v>
      </c>
      <c r="G886" s="310" t="s">
        <v>11</v>
      </c>
      <c r="K886" s="300"/>
    </row>
    <row r="887" ht="15" customHeight="1" spans="1:11">
      <c r="A887" s="307" t="s">
        <v>12</v>
      </c>
      <c r="B887" s="308">
        <f>IFERROR(VLOOKUP(K883,'2026.01'!A:Y,14,0),0)</f>
        <v>6910</v>
      </c>
      <c r="C887" s="308">
        <f>IFERROR(VLOOKUP(K883,'2026.01'!A:Y,13,0),0)</f>
        <v>6909</v>
      </c>
      <c r="D887" s="308">
        <f>IFERROR(VLOOKUP(K883,'2026.01'!A:Y,15,0),0)</f>
        <v>1</v>
      </c>
      <c r="E887" s="311">
        <f>IFERROR(VLOOKUP(K883,'2026.01'!A:Y,18,0),0)</f>
        <v>0.8</v>
      </c>
      <c r="F887" s="309">
        <f>IFERROR(VLOOKUP(K883,'2026.01'!A:Y,20,0),0)</f>
        <v>1</v>
      </c>
      <c r="G887" s="310"/>
      <c r="K887" s="300"/>
    </row>
    <row r="888" ht="15" customHeight="1" spans="1:11">
      <c r="A888" s="307" t="s">
        <v>13</v>
      </c>
      <c r="B888" s="308"/>
      <c r="C888" s="308"/>
      <c r="D888" s="308"/>
      <c r="E888" s="311"/>
      <c r="F888" s="309">
        <f>IFERROR(VLOOKUP(K883,'2026.01'!A:Y,24,0),0)</f>
        <v>9</v>
      </c>
      <c r="G888" s="310"/>
      <c r="K888" s="300"/>
    </row>
    <row r="889" ht="15" customHeight="1" spans="1:11">
      <c r="A889" s="307" t="s">
        <v>14</v>
      </c>
      <c r="B889" s="308"/>
      <c r="C889" s="308"/>
      <c r="D889" s="308"/>
      <c r="E889" s="311"/>
      <c r="F889" s="309">
        <f>IFERROR(VLOOKUP(K883,'2026.01'!A:Y,12,0),0)</f>
        <v>160</v>
      </c>
      <c r="G889" s="310"/>
      <c r="K889" s="300"/>
    </row>
    <row r="890" ht="21" customHeight="1" spans="1:11">
      <c r="A890" s="307" t="s">
        <v>15</v>
      </c>
      <c r="B890" s="308"/>
      <c r="C890" s="308"/>
      <c r="D890" s="308"/>
      <c r="E890" s="311"/>
      <c r="F890" s="309">
        <f>IFERROR(VLOOKUP(K883,'2026.01'!A:Y,9,0),0)</f>
        <v>1200</v>
      </c>
      <c r="G890" s="310"/>
      <c r="K890" s="300"/>
    </row>
    <row r="891" ht="19" customHeight="1" spans="1:11">
      <c r="A891" s="307" t="s">
        <v>16</v>
      </c>
      <c r="B891" s="308"/>
      <c r="C891" s="308"/>
      <c r="D891" s="308"/>
      <c r="E891" s="308"/>
      <c r="F891" s="309">
        <f>IFERROR(VLOOKUP(K883,'2026.01'!A:Y,10,0),0)</f>
        <v>0</v>
      </c>
      <c r="G891" s="310"/>
      <c r="K891" s="300"/>
    </row>
    <row r="892" ht="21" customHeight="1" spans="1:11">
      <c r="A892" s="307" t="s">
        <v>17</v>
      </c>
      <c r="B892" s="308"/>
      <c r="C892" s="308"/>
      <c r="D892" s="308"/>
      <c r="E892" s="308"/>
      <c r="F892" s="309">
        <f>IFERROR(VLOOKUP(K883,'2026.01'!A:Y,19,0),0)</f>
        <v>1</v>
      </c>
      <c r="G892" s="310"/>
      <c r="K892" s="300"/>
    </row>
    <row r="893" ht="17.15" customHeight="1" spans="1:11">
      <c r="A893" s="307" t="s">
        <v>18</v>
      </c>
      <c r="B893" s="308"/>
      <c r="C893" s="308"/>
      <c r="D893" s="308"/>
      <c r="E893" s="308"/>
      <c r="F893" s="309">
        <f>IFERROR(VLOOKUP(K883,'2026.01'!A:Y,22,0),0)</f>
        <v>53</v>
      </c>
      <c r="G893" s="310"/>
      <c r="K893" s="300"/>
    </row>
    <row r="894" ht="17.15" customHeight="1" spans="1:11">
      <c r="A894" s="307" t="s">
        <v>19</v>
      </c>
      <c r="B894" s="312"/>
      <c r="C894" s="308"/>
      <c r="D894" s="313"/>
      <c r="E894" s="308"/>
      <c r="F894" s="309">
        <f>IFERROR(VLOOKUP(K883,'2026.01'!A:Y,25,0),0)</f>
        <v>1424</v>
      </c>
      <c r="G894" s="310"/>
      <c r="K894" s="300"/>
    </row>
    <row r="895" ht="15" customHeight="1" spans="1:11">
      <c r="A895" s="314" t="s">
        <v>20</v>
      </c>
      <c r="B895" s="315">
        <f>IF(F894&lt;0,"金额为负，无效",INT(F894))</f>
        <v>1424</v>
      </c>
      <c r="C895" s="315"/>
      <c r="D895" s="315"/>
      <c r="E895" s="316" t="s">
        <v>21</v>
      </c>
      <c r="F895" s="317"/>
      <c r="G895" s="318"/>
      <c r="K895" s="300"/>
    </row>
    <row r="896" ht="23" customHeight="1" spans="1:11">
      <c r="A896" s="319"/>
      <c r="B896" s="320"/>
      <c r="C896" s="320"/>
      <c r="D896" s="320"/>
      <c r="E896" s="319"/>
      <c r="F896" s="321"/>
      <c r="G896" s="322"/>
      <c r="K896" s="300"/>
    </row>
    <row r="897" ht="27" customHeight="1" spans="1:11">
      <c r="A897" s="298" t="s">
        <v>0</v>
      </c>
      <c r="B897" s="298"/>
      <c r="C897" s="298"/>
      <c r="D897" s="298"/>
      <c r="E897" s="298"/>
      <c r="F897" s="298"/>
      <c r="G897" s="298"/>
      <c r="H897" s="299"/>
      <c r="I897" s="299"/>
      <c r="J897" s="299"/>
      <c r="K897" s="300">
        <v>65</v>
      </c>
    </row>
    <row r="898" ht="15" customHeight="1" spans="1:11">
      <c r="A898" s="301" t="s">
        <v>1</v>
      </c>
      <c r="B898" s="301"/>
      <c r="C898" s="301"/>
      <c r="D898" s="301"/>
      <c r="E898" s="301"/>
      <c r="F898" s="301"/>
      <c r="G898" s="302" t="str">
        <f>IFERROR(VLOOKUP(K897,'2026.01'!A:Y,2,0),0)</f>
        <v>NO:065</v>
      </c>
      <c r="K898" s="300"/>
    </row>
    <row r="899" ht="15" customHeight="1" spans="1:11">
      <c r="A899" s="303" t="s">
        <v>2</v>
      </c>
      <c r="B899" s="304">
        <f>IFERROR(VLOOKUP(K897,'2026.01'!A:Y,6,0),0)</f>
        <v>1066</v>
      </c>
      <c r="C899" s="304"/>
      <c r="D899" s="305" t="s">
        <v>3</v>
      </c>
      <c r="E899" s="305" t="str">
        <f>IFERROR(VLOOKUP(K897,'2026.01'!A:Y,7,0),0)</f>
        <v>卢永润</v>
      </c>
      <c r="F899" s="305"/>
      <c r="G899" s="306" t="s">
        <v>4</v>
      </c>
      <c r="K899" s="300"/>
    </row>
    <row r="900" ht="15" customHeight="1" spans="1:11">
      <c r="A900" s="307" t="s">
        <v>5</v>
      </c>
      <c r="B900" s="308" t="s">
        <v>6</v>
      </c>
      <c r="C900" s="308" t="s">
        <v>7</v>
      </c>
      <c r="D900" s="308" t="s">
        <v>8</v>
      </c>
      <c r="E900" s="308" t="s">
        <v>9</v>
      </c>
      <c r="F900" s="309" t="s">
        <v>10</v>
      </c>
      <c r="G900" s="310" t="s">
        <v>11</v>
      </c>
      <c r="K900" s="300"/>
    </row>
    <row r="901" ht="15" customHeight="1" spans="1:11">
      <c r="A901" s="307" t="s">
        <v>12</v>
      </c>
      <c r="B901" s="308">
        <f>IFERROR(VLOOKUP(K897,'2026.01'!A:Y,14,0),0)</f>
        <v>9306</v>
      </c>
      <c r="C901" s="308">
        <f>IFERROR(VLOOKUP(K897,'2026.01'!A:Y,13,0),0)</f>
        <v>9256</v>
      </c>
      <c r="D901" s="308">
        <f>IFERROR(VLOOKUP(K897,'2026.01'!A:Y,15,0),0)</f>
        <v>50</v>
      </c>
      <c r="E901" s="311">
        <f>IFERROR(VLOOKUP(K897,'2026.01'!A:Y,18,0),0)</f>
        <v>0.8</v>
      </c>
      <c r="F901" s="309">
        <f>IFERROR(VLOOKUP(K897,'2026.01'!A:Y,20,0),0)</f>
        <v>40</v>
      </c>
      <c r="G901" s="310"/>
      <c r="K901" s="300"/>
    </row>
    <row r="902" ht="15" customHeight="1" spans="1:11">
      <c r="A902" s="307" t="s">
        <v>13</v>
      </c>
      <c r="B902" s="308"/>
      <c r="C902" s="308"/>
      <c r="D902" s="308"/>
      <c r="E902" s="311"/>
      <c r="F902" s="309">
        <f>IFERROR(VLOOKUP(K897,'2026.01'!A:Y,24,0),0)</f>
        <v>43</v>
      </c>
      <c r="G902" s="310"/>
      <c r="K902" s="300"/>
    </row>
    <row r="903" ht="15" customHeight="1" spans="1:11">
      <c r="A903" s="307" t="s">
        <v>14</v>
      </c>
      <c r="B903" s="308"/>
      <c r="C903" s="308"/>
      <c r="D903" s="308"/>
      <c r="E903" s="311"/>
      <c r="F903" s="309">
        <f>IFERROR(VLOOKUP(K897,'2026.01'!A:Y,12,0),0)</f>
        <v>160</v>
      </c>
      <c r="G903" s="310"/>
      <c r="K903" s="300"/>
    </row>
    <row r="904" ht="21" customHeight="1" spans="1:11">
      <c r="A904" s="307" t="s">
        <v>15</v>
      </c>
      <c r="B904" s="308"/>
      <c r="C904" s="308"/>
      <c r="D904" s="308"/>
      <c r="E904" s="311"/>
      <c r="F904" s="309">
        <f>IFERROR(VLOOKUP(K897,'2026.01'!A:Y,9,0),0)</f>
        <v>4200</v>
      </c>
      <c r="G904" s="310"/>
      <c r="K904" s="300"/>
    </row>
    <row r="905" ht="19" customHeight="1" spans="1:11">
      <c r="A905" s="307" t="s">
        <v>16</v>
      </c>
      <c r="B905" s="308"/>
      <c r="C905" s="308"/>
      <c r="D905" s="308"/>
      <c r="E905" s="308"/>
      <c r="F905" s="309">
        <f>IFERROR(VLOOKUP(K897,'2026.01'!A:Y,10,0),0)</f>
        <v>500</v>
      </c>
      <c r="G905" s="310"/>
      <c r="K905" s="300"/>
    </row>
    <row r="906" ht="21" customHeight="1" spans="1:11">
      <c r="A906" s="307" t="s">
        <v>17</v>
      </c>
      <c r="B906" s="308"/>
      <c r="C906" s="308"/>
      <c r="D906" s="308"/>
      <c r="E906" s="308"/>
      <c r="F906" s="309">
        <f>IFERROR(VLOOKUP(K897,'2026.01'!A:Y,19,0),0)</f>
        <v>35</v>
      </c>
      <c r="G906" s="310"/>
      <c r="K906" s="300"/>
    </row>
    <row r="907" ht="17.15" customHeight="1" spans="1:11">
      <c r="A907" s="307" t="s">
        <v>18</v>
      </c>
      <c r="B907" s="308"/>
      <c r="C907" s="308"/>
      <c r="D907" s="308"/>
      <c r="E907" s="308"/>
      <c r="F907" s="309">
        <f>IFERROR(VLOOKUP(K897,'2026.01'!A:Y,22,0),0)</f>
        <v>228</v>
      </c>
      <c r="G907" s="310"/>
      <c r="K907" s="300"/>
    </row>
    <row r="908" ht="17.15" customHeight="1" spans="1:11">
      <c r="A908" s="307" t="s">
        <v>19</v>
      </c>
      <c r="B908" s="312"/>
      <c r="C908" s="308"/>
      <c r="D908" s="313"/>
      <c r="E908" s="308"/>
      <c r="F908" s="309">
        <f>IFERROR(VLOOKUP(K897,'2026.01'!A:Y,25,0),0)</f>
        <v>5206</v>
      </c>
      <c r="G908" s="310"/>
      <c r="K908" s="300"/>
    </row>
    <row r="909" ht="15" customHeight="1" spans="1:11">
      <c r="A909" s="314" t="s">
        <v>20</v>
      </c>
      <c r="B909" s="315">
        <f>IF(F908&lt;0,"金额为负，无效",INT(F908))</f>
        <v>5206</v>
      </c>
      <c r="C909" s="315"/>
      <c r="D909" s="315"/>
      <c r="E909" s="316" t="s">
        <v>21</v>
      </c>
      <c r="F909" s="317"/>
      <c r="G909" s="318"/>
      <c r="K909" s="300"/>
    </row>
    <row r="910" ht="23" customHeight="1" spans="1:11">
      <c r="A910" s="319"/>
      <c r="B910" s="320"/>
      <c r="C910" s="320"/>
      <c r="D910" s="320"/>
      <c r="E910" s="319"/>
      <c r="F910" s="321"/>
      <c r="G910" s="322"/>
      <c r="K910" s="300"/>
    </row>
    <row r="911" ht="27" customHeight="1" spans="1:11">
      <c r="A911" s="298" t="s">
        <v>0</v>
      </c>
      <c r="B911" s="298"/>
      <c r="C911" s="298"/>
      <c r="D911" s="298"/>
      <c r="E911" s="298"/>
      <c r="F911" s="298"/>
      <c r="G911" s="298"/>
      <c r="H911" s="299"/>
      <c r="I911" s="299"/>
      <c r="J911" s="299"/>
      <c r="K911" s="300">
        <v>66</v>
      </c>
    </row>
    <row r="912" ht="15" customHeight="1" spans="1:11">
      <c r="A912" s="301" t="s">
        <v>1</v>
      </c>
      <c r="B912" s="301"/>
      <c r="C912" s="301"/>
      <c r="D912" s="301"/>
      <c r="E912" s="301"/>
      <c r="F912" s="301"/>
      <c r="G912" s="302" t="str">
        <f>IFERROR(VLOOKUP(K911,'2026.01'!A:Y,2,0),0)</f>
        <v>NO:066</v>
      </c>
      <c r="K912" s="300"/>
    </row>
    <row r="913" ht="15" customHeight="1" spans="1:11">
      <c r="A913" s="303" t="s">
        <v>2</v>
      </c>
      <c r="B913" s="304" t="str">
        <f>IFERROR(VLOOKUP(K911,'2026.01'!A:Y,6,0),0)</f>
        <v>1067展柜(全包）</v>
      </c>
      <c r="C913" s="304"/>
      <c r="D913" s="305" t="s">
        <v>3</v>
      </c>
      <c r="E913" s="305" t="str">
        <f>IFERROR(VLOOKUP(K911,'2026.01'!A:Y,7,0),0)</f>
        <v>章芳琴</v>
      </c>
      <c r="F913" s="305"/>
      <c r="G913" s="306" t="s">
        <v>4</v>
      </c>
      <c r="K913" s="300"/>
    </row>
    <row r="914" ht="15" customHeight="1" spans="1:11">
      <c r="A914" s="307" t="s">
        <v>5</v>
      </c>
      <c r="B914" s="308" t="s">
        <v>6</v>
      </c>
      <c r="C914" s="308" t="s">
        <v>7</v>
      </c>
      <c r="D914" s="308" t="s">
        <v>8</v>
      </c>
      <c r="E914" s="308" t="s">
        <v>9</v>
      </c>
      <c r="F914" s="309" t="s">
        <v>10</v>
      </c>
      <c r="G914" s="310" t="s">
        <v>11</v>
      </c>
      <c r="K914" s="300"/>
    </row>
    <row r="915" ht="15" customHeight="1" spans="1:11">
      <c r="A915" s="307" t="s">
        <v>12</v>
      </c>
      <c r="B915" s="308">
        <f>IFERROR(VLOOKUP(K911,'2026.01'!A:Y,14,0),0)</f>
        <v>0</v>
      </c>
      <c r="C915" s="308">
        <f>IFERROR(VLOOKUP(K911,'2026.01'!A:Y,13,0),0)</f>
        <v>0</v>
      </c>
      <c r="D915" s="308">
        <f>IFERROR(VLOOKUP(K911,'2026.01'!A:Y,15,0),0)</f>
        <v>0</v>
      </c>
      <c r="E915" s="311">
        <f>IFERROR(VLOOKUP(K911,'2026.01'!A:Y,18,0),0)</f>
        <v>0</v>
      </c>
      <c r="F915" s="309">
        <f>IFERROR(VLOOKUP(K911,'2026.01'!A:Y,20,0),0)</f>
        <v>0</v>
      </c>
      <c r="G915" s="310"/>
      <c r="K915" s="300"/>
    </row>
    <row r="916" ht="15" customHeight="1" spans="1:11">
      <c r="A916" s="307" t="s">
        <v>13</v>
      </c>
      <c r="B916" s="308"/>
      <c r="C916" s="308"/>
      <c r="D916" s="308"/>
      <c r="E916" s="311"/>
      <c r="F916" s="309">
        <f>IFERROR(VLOOKUP(K911,'2026.01'!A:Y,24,0),0)</f>
        <v>0</v>
      </c>
      <c r="G916" s="310"/>
      <c r="K916" s="300"/>
    </row>
    <row r="917" ht="15" customHeight="1" spans="1:11">
      <c r="A917" s="307" t="s">
        <v>14</v>
      </c>
      <c r="B917" s="308"/>
      <c r="C917" s="308"/>
      <c r="D917" s="308"/>
      <c r="E917" s="311"/>
      <c r="F917" s="309">
        <f>IFERROR(VLOOKUP(K911,'2026.01'!A:Y,12,0),0)</f>
        <v>0</v>
      </c>
      <c r="G917" s="310"/>
      <c r="K917" s="300"/>
    </row>
    <row r="918" ht="21" customHeight="1" spans="1:11">
      <c r="A918" s="307" t="s">
        <v>15</v>
      </c>
      <c r="B918" s="308"/>
      <c r="C918" s="308"/>
      <c r="D918" s="308"/>
      <c r="E918" s="311"/>
      <c r="F918" s="309">
        <f>IFERROR(VLOOKUP(K911,'2026.01'!A:Y,9,0),0)</f>
        <v>1500</v>
      </c>
      <c r="G918" s="310"/>
      <c r="K918" s="300"/>
    </row>
    <row r="919" ht="19" customHeight="1" spans="1:11">
      <c r="A919" s="307" t="s">
        <v>16</v>
      </c>
      <c r="B919" s="308"/>
      <c r="C919" s="308"/>
      <c r="D919" s="308"/>
      <c r="E919" s="308"/>
      <c r="F919" s="309">
        <f>IFERROR(VLOOKUP(K911,'2026.01'!A:Y,10,0),0)</f>
        <v>0</v>
      </c>
      <c r="G919" s="310"/>
      <c r="K919" s="300"/>
    </row>
    <row r="920" ht="21" customHeight="1" spans="1:11">
      <c r="A920" s="307" t="s">
        <v>17</v>
      </c>
      <c r="B920" s="308"/>
      <c r="C920" s="308"/>
      <c r="D920" s="308"/>
      <c r="E920" s="308"/>
      <c r="F920" s="309">
        <f>IFERROR(VLOOKUP(K911,'2026.01'!A:Y,19,0),0)</f>
        <v>0</v>
      </c>
      <c r="G920" s="310"/>
      <c r="K920" s="300"/>
    </row>
    <row r="921" ht="17.15" customHeight="1" spans="1:11">
      <c r="A921" s="307" t="s">
        <v>18</v>
      </c>
      <c r="B921" s="308"/>
      <c r="C921" s="308"/>
      <c r="D921" s="308"/>
      <c r="E921" s="308"/>
      <c r="F921" s="309">
        <f>IFERROR(VLOOKUP(K911,'2026.01'!A:Y,22,0),0)</f>
        <v>0</v>
      </c>
      <c r="G921" s="310"/>
      <c r="K921" s="300"/>
    </row>
    <row r="922" ht="17.15" customHeight="1" spans="1:11">
      <c r="A922" s="307" t="s">
        <v>19</v>
      </c>
      <c r="B922" s="312"/>
      <c r="C922" s="308"/>
      <c r="D922" s="313"/>
      <c r="E922" s="308"/>
      <c r="F922" s="309">
        <f>IFERROR(VLOOKUP(K911,'2026.01'!A:Y,25,0),0)</f>
        <v>1500</v>
      </c>
      <c r="G922" s="310"/>
      <c r="K922" s="300"/>
    </row>
    <row r="923" ht="15" customHeight="1" spans="1:11">
      <c r="A923" s="314" t="s">
        <v>20</v>
      </c>
      <c r="B923" s="315">
        <f>IF(F922&lt;0,"金额为负，无效",INT(F922))</f>
        <v>1500</v>
      </c>
      <c r="C923" s="315"/>
      <c r="D923" s="315"/>
      <c r="E923" s="316" t="s">
        <v>21</v>
      </c>
      <c r="F923" s="317"/>
      <c r="G923" s="318"/>
      <c r="K923" s="300"/>
    </row>
    <row r="924" ht="15" customHeight="1" spans="1:11">
      <c r="A924" s="319"/>
      <c r="B924" s="320"/>
      <c r="C924" s="320"/>
      <c r="D924" s="320"/>
      <c r="E924" s="319"/>
      <c r="F924" s="321"/>
      <c r="G924" s="322"/>
      <c r="K924" s="300"/>
    </row>
    <row r="925" ht="27" customHeight="1" spans="1:11">
      <c r="A925" s="298" t="s">
        <v>0</v>
      </c>
      <c r="B925" s="298"/>
      <c r="C925" s="298"/>
      <c r="D925" s="298"/>
      <c r="E925" s="298"/>
      <c r="F925" s="298"/>
      <c r="G925" s="298"/>
      <c r="H925" s="299"/>
      <c r="I925" s="299"/>
      <c r="J925" s="299"/>
      <c r="K925" s="300">
        <v>67</v>
      </c>
    </row>
    <row r="926" ht="15" customHeight="1" spans="1:11">
      <c r="A926" s="301" t="s">
        <v>1</v>
      </c>
      <c r="B926" s="301"/>
      <c r="C926" s="301"/>
      <c r="D926" s="301"/>
      <c r="E926" s="301"/>
      <c r="F926" s="301"/>
      <c r="G926" s="302" t="str">
        <f>IFERROR(VLOOKUP(K925,'2026.01'!A:Y,2,0),0)</f>
        <v>NO:067</v>
      </c>
      <c r="K926" s="300"/>
    </row>
    <row r="927" ht="15" customHeight="1" spans="1:11">
      <c r="A927" s="303" t="s">
        <v>2</v>
      </c>
      <c r="B927" s="304" t="str">
        <f>IFERROR(VLOOKUP(K925,'2026.01'!A:Y,6,0),0)</f>
        <v>1068展柜/1069展柜</v>
      </c>
      <c r="C927" s="304"/>
      <c r="D927" s="305" t="s">
        <v>3</v>
      </c>
      <c r="E927" s="305" t="str">
        <f>IFERROR(VLOOKUP(K925,'2026.01'!A:Y,7,0),0)</f>
        <v>黄伟慧</v>
      </c>
      <c r="F927" s="305"/>
      <c r="G927" s="306" t="s">
        <v>4</v>
      </c>
      <c r="K927" s="300"/>
    </row>
    <row r="928" ht="15" customHeight="1" spans="1:11">
      <c r="A928" s="307" t="s">
        <v>5</v>
      </c>
      <c r="B928" s="308" t="s">
        <v>6</v>
      </c>
      <c r="C928" s="308" t="s">
        <v>7</v>
      </c>
      <c r="D928" s="308" t="s">
        <v>8</v>
      </c>
      <c r="E928" s="308" t="s">
        <v>9</v>
      </c>
      <c r="F928" s="309" t="s">
        <v>10</v>
      </c>
      <c r="G928" s="310" t="s">
        <v>11</v>
      </c>
      <c r="K928" s="300"/>
    </row>
    <row r="929" ht="15" customHeight="1" spans="1:11">
      <c r="A929" s="307" t="s">
        <v>12</v>
      </c>
      <c r="B929" s="308">
        <f>IFERROR(VLOOKUP(K925,'2026.01'!A:Y,14,0),0)</f>
        <v>0</v>
      </c>
      <c r="C929" s="308">
        <f>IFERROR(VLOOKUP(K925,'2026.01'!A:Y,13,0),0)</f>
        <v>0</v>
      </c>
      <c r="D929" s="308">
        <f>IFERROR(VLOOKUP(K925,'2026.01'!A:Y,15,0),0)</f>
        <v>0</v>
      </c>
      <c r="E929" s="311">
        <f>IFERROR(VLOOKUP(K925,'2026.01'!A:Y,18,0),0)</f>
        <v>0</v>
      </c>
      <c r="F929" s="309">
        <f>IFERROR(VLOOKUP(K925,'2026.01'!A:Y,20,0),0)</f>
        <v>0</v>
      </c>
      <c r="G929" s="310"/>
      <c r="K929" s="300"/>
    </row>
    <row r="930" ht="15" customHeight="1" spans="1:11">
      <c r="A930" s="307" t="s">
        <v>13</v>
      </c>
      <c r="B930" s="308"/>
      <c r="C930" s="308"/>
      <c r="D930" s="308"/>
      <c r="E930" s="311"/>
      <c r="F930" s="309">
        <f>IFERROR(VLOOKUP(K925,'2026.01'!A:Y,24,0),0)</f>
        <v>0</v>
      </c>
      <c r="G930" s="310"/>
      <c r="K930" s="300"/>
    </row>
    <row r="931" ht="15" customHeight="1" spans="1:11">
      <c r="A931" s="307" t="s">
        <v>14</v>
      </c>
      <c r="B931" s="308"/>
      <c r="C931" s="308"/>
      <c r="D931" s="308"/>
      <c r="E931" s="311"/>
      <c r="F931" s="309">
        <f>IFERROR(VLOOKUP(K925,'2026.01'!A:Y,12,0),0)</f>
        <v>0</v>
      </c>
      <c r="G931" s="310"/>
      <c r="K931" s="300"/>
    </row>
    <row r="932" ht="21" customHeight="1" spans="1:11">
      <c r="A932" s="307" t="s">
        <v>15</v>
      </c>
      <c r="B932" s="308"/>
      <c r="C932" s="308"/>
      <c r="D932" s="308"/>
      <c r="E932" s="311"/>
      <c r="F932" s="309">
        <f>IFERROR(VLOOKUP(K925,'2026.01'!A:Y,9,0),0)</f>
        <v>1200</v>
      </c>
      <c r="G932" s="310"/>
      <c r="K932" s="300"/>
    </row>
    <row r="933" ht="19" customHeight="1" spans="1:11">
      <c r="A933" s="307" t="s">
        <v>16</v>
      </c>
      <c r="B933" s="308"/>
      <c r="C933" s="308"/>
      <c r="D933" s="308"/>
      <c r="E933" s="308"/>
      <c r="F933" s="309">
        <f>IFERROR(VLOOKUP(K925,'2026.01'!A:Y,10,0),0)</f>
        <v>0</v>
      </c>
      <c r="G933" s="310"/>
      <c r="K933" s="300"/>
    </row>
    <row r="934" ht="21" customHeight="1" spans="1:11">
      <c r="A934" s="307" t="s">
        <v>17</v>
      </c>
      <c r="B934" s="308"/>
      <c r="C934" s="308"/>
      <c r="D934" s="308"/>
      <c r="E934" s="308"/>
      <c r="F934" s="309">
        <f>IFERROR(VLOOKUP(K925,'2026.01'!A:Y,19,0),0)</f>
        <v>0</v>
      </c>
      <c r="G934" s="310"/>
      <c r="K934" s="300"/>
    </row>
    <row r="935" ht="17.15" customHeight="1" spans="1:11">
      <c r="A935" s="307" t="s">
        <v>18</v>
      </c>
      <c r="B935" s="308"/>
      <c r="C935" s="308"/>
      <c r="D935" s="308"/>
      <c r="E935" s="308"/>
      <c r="F935" s="309">
        <f>IFERROR(VLOOKUP(K925,'2026.01'!A:Y,22,0),0)</f>
        <v>0</v>
      </c>
      <c r="G935" s="310"/>
      <c r="K935" s="300"/>
    </row>
    <row r="936" ht="17.15" customHeight="1" spans="1:11">
      <c r="A936" s="307" t="s">
        <v>19</v>
      </c>
      <c r="B936" s="312"/>
      <c r="C936" s="308"/>
      <c r="D936" s="313"/>
      <c r="E936" s="308"/>
      <c r="F936" s="309">
        <f>IFERROR(VLOOKUP(K925,'2026.01'!A:Y,25,0),0)</f>
        <v>1200</v>
      </c>
      <c r="G936" s="310"/>
      <c r="K936" s="300"/>
    </row>
    <row r="937" ht="15" customHeight="1" spans="1:11">
      <c r="A937" s="314" t="s">
        <v>20</v>
      </c>
      <c r="B937" s="315">
        <f>IF(F936&lt;0,"金额为负，无效",INT(F936))</f>
        <v>1200</v>
      </c>
      <c r="C937" s="315"/>
      <c r="D937" s="315"/>
      <c r="E937" s="316" t="s">
        <v>21</v>
      </c>
      <c r="F937" s="317"/>
      <c r="G937" s="318"/>
      <c r="K937" s="300"/>
    </row>
    <row r="938" ht="23" customHeight="1" spans="1:11">
      <c r="A938" s="319"/>
      <c r="B938" s="320"/>
      <c r="C938" s="320"/>
      <c r="D938" s="320"/>
      <c r="E938" s="319"/>
      <c r="F938" s="321"/>
      <c r="G938" s="322"/>
      <c r="K938" s="300"/>
    </row>
    <row r="939" ht="27" customHeight="1" spans="1:11">
      <c r="A939" s="298" t="s">
        <v>0</v>
      </c>
      <c r="B939" s="298"/>
      <c r="C939" s="298"/>
      <c r="D939" s="298"/>
      <c r="E939" s="298"/>
      <c r="F939" s="298"/>
      <c r="G939" s="298"/>
      <c r="H939" s="299"/>
      <c r="I939" s="299"/>
      <c r="J939" s="299"/>
      <c r="K939" s="300">
        <v>68</v>
      </c>
    </row>
    <row r="940" ht="15" customHeight="1" spans="1:11">
      <c r="A940" s="301" t="s">
        <v>1</v>
      </c>
      <c r="B940" s="301"/>
      <c r="C940" s="301"/>
      <c r="D940" s="301"/>
      <c r="E940" s="301"/>
      <c r="F940" s="301"/>
      <c r="G940" s="302" t="str">
        <f>IFERROR(VLOOKUP(K939,'2026.01'!A:Y,2,0),0)</f>
        <v>NO:068</v>
      </c>
      <c r="K940" s="300"/>
    </row>
    <row r="941" ht="15" customHeight="1" spans="1:11">
      <c r="A941" s="303" t="s">
        <v>2</v>
      </c>
      <c r="B941" s="304" t="str">
        <f>IFERROR(VLOOKUP(K939,'2026.01'!A:Y,6,0),0)</f>
        <v>大厅01</v>
      </c>
      <c r="C941" s="304"/>
      <c r="D941" s="305" t="s">
        <v>3</v>
      </c>
      <c r="E941" s="305" t="str">
        <f>IFERROR(VLOOKUP(K939,'2026.01'!A:Y,7,0),0)</f>
        <v>张文英</v>
      </c>
      <c r="F941" s="305"/>
      <c r="G941" s="306" t="s">
        <v>4</v>
      </c>
      <c r="K941" s="300"/>
    </row>
    <row r="942" ht="15" customHeight="1" spans="1:11">
      <c r="A942" s="307" t="s">
        <v>5</v>
      </c>
      <c r="B942" s="308" t="s">
        <v>6</v>
      </c>
      <c r="C942" s="308" t="s">
        <v>7</v>
      </c>
      <c r="D942" s="308" t="s">
        <v>8</v>
      </c>
      <c r="E942" s="308" t="s">
        <v>9</v>
      </c>
      <c r="F942" s="309" t="s">
        <v>10</v>
      </c>
      <c r="G942" s="310" t="s">
        <v>11</v>
      </c>
      <c r="K942" s="300"/>
    </row>
    <row r="943" ht="15" customHeight="1" spans="1:11">
      <c r="A943" s="307" t="s">
        <v>12</v>
      </c>
      <c r="B943" s="308">
        <f>IFERROR(VLOOKUP(K939,'2026.01'!A:Y,14,0),0)</f>
        <v>0</v>
      </c>
      <c r="C943" s="308">
        <f>IFERROR(VLOOKUP(K939,'2026.01'!A:Y,13,0),0)</f>
        <v>0</v>
      </c>
      <c r="D943" s="308">
        <f>IFERROR(VLOOKUP(K939,'2026.01'!A:Y,15,0),0)</f>
        <v>0</v>
      </c>
      <c r="E943" s="311">
        <f>IFERROR(VLOOKUP(K939,'2026.01'!A:Y,18,0),0)</f>
        <v>0</v>
      </c>
      <c r="F943" s="309">
        <f>IFERROR(VLOOKUP(K939,'2026.01'!A:Y,20,0),0)</f>
        <v>0</v>
      </c>
      <c r="G943" s="310"/>
      <c r="K943" s="300"/>
    </row>
    <row r="944" ht="15" customHeight="1" spans="1:11">
      <c r="A944" s="307" t="s">
        <v>13</v>
      </c>
      <c r="B944" s="308"/>
      <c r="C944" s="308"/>
      <c r="D944" s="308"/>
      <c r="E944" s="311"/>
      <c r="F944" s="309">
        <f>IFERROR(VLOOKUP(K939,'2026.01'!A:Y,24,0),0)</f>
        <v>0</v>
      </c>
      <c r="G944" s="310"/>
      <c r="K944" s="300"/>
    </row>
    <row r="945" ht="15" customHeight="1" spans="1:11">
      <c r="A945" s="307" t="s">
        <v>14</v>
      </c>
      <c r="B945" s="308"/>
      <c r="C945" s="308"/>
      <c r="D945" s="308"/>
      <c r="E945" s="311"/>
      <c r="F945" s="309">
        <f>IFERROR(VLOOKUP(K939,'2026.01'!A:Y,12,0),0)</f>
        <v>0</v>
      </c>
      <c r="G945" s="310"/>
      <c r="K945" s="300"/>
    </row>
    <row r="946" ht="21" customHeight="1" spans="1:11">
      <c r="A946" s="307" t="s">
        <v>15</v>
      </c>
      <c r="B946" s="308"/>
      <c r="C946" s="308"/>
      <c r="D946" s="308"/>
      <c r="E946" s="311"/>
      <c r="F946" s="309">
        <f>IFERROR(VLOOKUP(K939,'2026.01'!A:Y,9,0),0)</f>
        <v>2000</v>
      </c>
      <c r="G946" s="310"/>
      <c r="K946" s="300"/>
    </row>
    <row r="947" ht="19" customHeight="1" spans="1:11">
      <c r="A947" s="307" t="s">
        <v>16</v>
      </c>
      <c r="B947" s="308"/>
      <c r="C947" s="308"/>
      <c r="D947" s="308"/>
      <c r="E947" s="308"/>
      <c r="F947" s="309">
        <f>IFERROR(VLOOKUP(K939,'2026.01'!A:Y,10,0),0)</f>
        <v>0</v>
      </c>
      <c r="G947" s="310"/>
      <c r="K947" s="300"/>
    </row>
    <row r="948" ht="21" customHeight="1" spans="1:11">
      <c r="A948" s="307" t="s">
        <v>17</v>
      </c>
      <c r="B948" s="308"/>
      <c r="C948" s="308"/>
      <c r="D948" s="308"/>
      <c r="E948" s="308"/>
      <c r="F948" s="309">
        <f>IFERROR(VLOOKUP(K939,'2026.01'!A:Y,19,0),0)</f>
        <v>0</v>
      </c>
      <c r="G948" s="310"/>
      <c r="K948" s="300"/>
    </row>
    <row r="949" ht="17.15" customHeight="1" spans="1:11">
      <c r="A949" s="307" t="s">
        <v>18</v>
      </c>
      <c r="B949" s="308"/>
      <c r="C949" s="308"/>
      <c r="D949" s="308"/>
      <c r="E949" s="308"/>
      <c r="F949" s="309">
        <f>IFERROR(VLOOKUP(K939,'2026.01'!A:Y,22,0),0)</f>
        <v>0</v>
      </c>
      <c r="G949" s="310"/>
      <c r="K949" s="300"/>
    </row>
    <row r="950" ht="17.15" customHeight="1" spans="1:11">
      <c r="A950" s="307" t="s">
        <v>19</v>
      </c>
      <c r="B950" s="312"/>
      <c r="C950" s="308"/>
      <c r="D950" s="313"/>
      <c r="E950" s="308"/>
      <c r="F950" s="309">
        <f>IFERROR(VLOOKUP(K939,'2026.01'!A:Y,25,0),0)</f>
        <v>2000</v>
      </c>
      <c r="G950" s="310"/>
      <c r="K950" s="300"/>
    </row>
    <row r="951" ht="15" customHeight="1" spans="1:11">
      <c r="A951" s="314" t="s">
        <v>20</v>
      </c>
      <c r="B951" s="315">
        <f>IF(F950&lt;0,"金额为负，无效",INT(F950))</f>
        <v>2000</v>
      </c>
      <c r="C951" s="315"/>
      <c r="D951" s="315"/>
      <c r="E951" s="316" t="s">
        <v>21</v>
      </c>
      <c r="F951" s="317"/>
      <c r="G951" s="318"/>
      <c r="K951" s="300"/>
    </row>
    <row r="952" ht="23" customHeight="1" spans="1:11">
      <c r="A952" s="319"/>
      <c r="B952" s="320"/>
      <c r="C952" s="320"/>
      <c r="D952" s="320"/>
      <c r="E952" s="319"/>
      <c r="F952" s="321"/>
      <c r="G952" s="322"/>
      <c r="K952" s="300"/>
    </row>
    <row r="953" ht="27" customHeight="1" spans="1:11">
      <c r="A953" s="298" t="s">
        <v>0</v>
      </c>
      <c r="B953" s="298"/>
      <c r="C953" s="298"/>
      <c r="D953" s="298"/>
      <c r="E953" s="298"/>
      <c r="F953" s="298"/>
      <c r="G953" s="298"/>
      <c r="H953" s="299"/>
      <c r="I953" s="299"/>
      <c r="J953" s="299"/>
      <c r="K953" s="300">
        <v>69</v>
      </c>
    </row>
    <row r="954" ht="15" customHeight="1" spans="1:11">
      <c r="A954" s="301" t="s">
        <v>1</v>
      </c>
      <c r="B954" s="301"/>
      <c r="C954" s="301"/>
      <c r="D954" s="301"/>
      <c r="E954" s="301"/>
      <c r="F954" s="301"/>
      <c r="G954" s="302" t="str">
        <f>IFERROR(VLOOKUP(K953,'2026.01'!A:Y,2,0),0)</f>
        <v>NO:069</v>
      </c>
      <c r="K954" s="300"/>
    </row>
    <row r="955" ht="15" customHeight="1" spans="1:11">
      <c r="A955" s="303" t="s">
        <v>2</v>
      </c>
      <c r="B955" s="304" t="str">
        <f>IFERROR(VLOOKUP(K953,'2026.01'!A:Y,6,0),0)</f>
        <v>大厅02</v>
      </c>
      <c r="C955" s="304"/>
      <c r="D955" s="305" t="s">
        <v>3</v>
      </c>
      <c r="E955" s="305" t="str">
        <f>IFERROR(VLOOKUP(K953,'2026.01'!A:Y,7,0),0)</f>
        <v>黎鹏其</v>
      </c>
      <c r="F955" s="305"/>
      <c r="G955" s="306" t="s">
        <v>4</v>
      </c>
      <c r="K955" s="300"/>
    </row>
    <row r="956" ht="15" customHeight="1" spans="1:11">
      <c r="A956" s="307" t="s">
        <v>5</v>
      </c>
      <c r="B956" s="308" t="s">
        <v>6</v>
      </c>
      <c r="C956" s="308" t="s">
        <v>7</v>
      </c>
      <c r="D956" s="308" t="s">
        <v>8</v>
      </c>
      <c r="E956" s="308" t="s">
        <v>9</v>
      </c>
      <c r="F956" s="309" t="s">
        <v>10</v>
      </c>
      <c r="G956" s="310" t="s">
        <v>11</v>
      </c>
      <c r="K956" s="300"/>
    </row>
    <row r="957" ht="15" customHeight="1" spans="1:11">
      <c r="A957" s="307" t="s">
        <v>12</v>
      </c>
      <c r="B957" s="308">
        <f>IFERROR(VLOOKUP(K953,'2026.01'!A:Y,14,0),0)</f>
        <v>0</v>
      </c>
      <c r="C957" s="308">
        <f>IFERROR(VLOOKUP(K953,'2026.01'!A:Y,13,0),0)</f>
        <v>0</v>
      </c>
      <c r="D957" s="308">
        <f>IFERROR(VLOOKUP(K953,'2026.01'!A:Y,15,0),0)</f>
        <v>0</v>
      </c>
      <c r="E957" s="311">
        <f>IFERROR(VLOOKUP(K953,'2026.01'!A:Y,18,0),0)</f>
        <v>0</v>
      </c>
      <c r="F957" s="309">
        <f>IFERROR(VLOOKUP(K953,'2026.01'!A:Y,20,0),0)</f>
        <v>0</v>
      </c>
      <c r="G957" s="310"/>
      <c r="K957" s="300"/>
    </row>
    <row r="958" ht="15" customHeight="1" spans="1:11">
      <c r="A958" s="307" t="s">
        <v>13</v>
      </c>
      <c r="B958" s="308"/>
      <c r="C958" s="308"/>
      <c r="D958" s="308"/>
      <c r="E958" s="311"/>
      <c r="F958" s="309">
        <f>IFERROR(VLOOKUP(K953,'2026.01'!A:Y,24,0),0)</f>
        <v>0</v>
      </c>
      <c r="G958" s="310"/>
      <c r="K958" s="300"/>
    </row>
    <row r="959" ht="15" customHeight="1" spans="1:11">
      <c r="A959" s="307" t="s">
        <v>14</v>
      </c>
      <c r="B959" s="308"/>
      <c r="C959" s="308"/>
      <c r="D959" s="308"/>
      <c r="E959" s="311"/>
      <c r="F959" s="309">
        <f>IFERROR(VLOOKUP(K953,'2026.01'!A:Y,12,0),0)</f>
        <v>0</v>
      </c>
      <c r="G959" s="310"/>
      <c r="K959" s="300"/>
    </row>
    <row r="960" ht="21" customHeight="1" spans="1:11">
      <c r="A960" s="307" t="s">
        <v>15</v>
      </c>
      <c r="B960" s="308"/>
      <c r="C960" s="308"/>
      <c r="D960" s="308"/>
      <c r="E960" s="311"/>
      <c r="F960" s="309">
        <f>IFERROR(VLOOKUP(K953,'2026.01'!A:Y,9,0),0)</f>
        <v>1500</v>
      </c>
      <c r="G960" s="310"/>
      <c r="K960" s="300"/>
    </row>
    <row r="961" ht="19" customHeight="1" spans="1:11">
      <c r="A961" s="307" t="s">
        <v>16</v>
      </c>
      <c r="B961" s="308"/>
      <c r="C961" s="308"/>
      <c r="D961" s="308"/>
      <c r="E961" s="308"/>
      <c r="F961" s="309">
        <f>IFERROR(VLOOKUP(K953,'2026.01'!A:Y,10,0),0)</f>
        <v>0</v>
      </c>
      <c r="G961" s="310"/>
      <c r="K961" s="300"/>
    </row>
    <row r="962" ht="21" customHeight="1" spans="1:11">
      <c r="A962" s="307" t="s">
        <v>17</v>
      </c>
      <c r="B962" s="308"/>
      <c r="C962" s="308"/>
      <c r="D962" s="308"/>
      <c r="E962" s="308"/>
      <c r="F962" s="309">
        <f>IFERROR(VLOOKUP(K953,'2026.01'!A:Y,19,0),0)</f>
        <v>0</v>
      </c>
      <c r="G962" s="310"/>
      <c r="K962" s="300"/>
    </row>
    <row r="963" ht="17.15" customHeight="1" spans="1:11">
      <c r="A963" s="307" t="s">
        <v>18</v>
      </c>
      <c r="B963" s="308"/>
      <c r="C963" s="308"/>
      <c r="D963" s="308"/>
      <c r="E963" s="308"/>
      <c r="F963" s="309">
        <f>IFERROR(VLOOKUP(K953,'2026.01'!A:Y,22,0),0)</f>
        <v>200</v>
      </c>
      <c r="G963" s="310"/>
      <c r="K963" s="300"/>
    </row>
    <row r="964" ht="17.15" customHeight="1" spans="1:11">
      <c r="A964" s="307" t="s">
        <v>19</v>
      </c>
      <c r="B964" s="312"/>
      <c r="C964" s="308"/>
      <c r="D964" s="313"/>
      <c r="E964" s="308"/>
      <c r="F964" s="309">
        <f>IFERROR(VLOOKUP(K953,'2026.01'!A:Y,25,0),0)</f>
        <v>1700</v>
      </c>
      <c r="G964" s="310"/>
      <c r="K964" s="300"/>
    </row>
    <row r="965" ht="15" customHeight="1" spans="1:11">
      <c r="A965" s="314" t="s">
        <v>20</v>
      </c>
      <c r="B965" s="315">
        <f>IF(F964&lt;0,"金额为负，无效",INT(F964))</f>
        <v>1700</v>
      </c>
      <c r="C965" s="315"/>
      <c r="D965" s="315"/>
      <c r="E965" s="316" t="s">
        <v>21</v>
      </c>
      <c r="F965" s="317"/>
      <c r="G965" s="318"/>
      <c r="K965" s="300"/>
    </row>
    <row r="966" ht="15" customHeight="1" spans="1:11">
      <c r="A966" s="319"/>
      <c r="B966" s="320"/>
      <c r="C966" s="320"/>
      <c r="D966" s="320"/>
      <c r="E966" s="319"/>
      <c r="F966" s="321"/>
      <c r="G966" s="322"/>
      <c r="K966" s="300"/>
    </row>
    <row r="967" ht="27" customHeight="1" spans="1:11">
      <c r="A967" s="298" t="s">
        <v>0</v>
      </c>
      <c r="B967" s="298"/>
      <c r="C967" s="298"/>
      <c r="D967" s="298"/>
      <c r="E967" s="298"/>
      <c r="F967" s="298"/>
      <c r="G967" s="298"/>
      <c r="H967" s="299"/>
      <c r="I967" s="299"/>
      <c r="J967" s="299"/>
      <c r="K967" s="300">
        <v>70</v>
      </c>
    </row>
    <row r="968" ht="15" customHeight="1" spans="1:11">
      <c r="A968" s="301" t="s">
        <v>1</v>
      </c>
      <c r="B968" s="301"/>
      <c r="C968" s="301"/>
      <c r="D968" s="301"/>
      <c r="E968" s="301"/>
      <c r="F968" s="301"/>
      <c r="G968" s="302" t="str">
        <f>IFERROR(VLOOKUP(K967,'2026.01'!A:Y,2,0),0)</f>
        <v>NO:070</v>
      </c>
      <c r="K968" s="300"/>
    </row>
    <row r="969" ht="15" customHeight="1" spans="1:11">
      <c r="A969" s="303" t="s">
        <v>2</v>
      </c>
      <c r="B969" s="304">
        <f>IFERROR(VLOOKUP(K967,'2026.01'!A:Y,6,0),0)</f>
        <v>2001</v>
      </c>
      <c r="C969" s="304"/>
      <c r="D969" s="305" t="s">
        <v>3</v>
      </c>
      <c r="E969" s="305" t="str">
        <f>IFERROR(VLOOKUP(K967,'2026.01'!A:Y,7,0),0)</f>
        <v>黄廉廷（临租）</v>
      </c>
      <c r="F969" s="305"/>
      <c r="G969" s="306" t="s">
        <v>4</v>
      </c>
      <c r="K969" s="300"/>
    </row>
    <row r="970" ht="15" customHeight="1" spans="1:11">
      <c r="A970" s="307" t="s">
        <v>5</v>
      </c>
      <c r="B970" s="308" t="s">
        <v>6</v>
      </c>
      <c r="C970" s="308" t="s">
        <v>7</v>
      </c>
      <c r="D970" s="308" t="s">
        <v>8</v>
      </c>
      <c r="E970" s="308" t="s">
        <v>9</v>
      </c>
      <c r="F970" s="309" t="s">
        <v>10</v>
      </c>
      <c r="G970" s="310" t="s">
        <v>11</v>
      </c>
      <c r="K970" s="300"/>
    </row>
    <row r="971" ht="15" customHeight="1" spans="1:11">
      <c r="A971" s="307" t="s">
        <v>12</v>
      </c>
      <c r="B971" s="308">
        <f>IFERROR(VLOOKUP(K967,'2026.01'!A:Y,14,0),0)</f>
        <v>9184</v>
      </c>
      <c r="C971" s="308">
        <f>IFERROR(VLOOKUP(K967,'2026.01'!A:Y,13,0),0)</f>
        <v>9072</v>
      </c>
      <c r="D971" s="308">
        <f>IFERROR(VLOOKUP(K967,'2026.01'!A:Y,15,0),0)</f>
        <v>112</v>
      </c>
      <c r="E971" s="311">
        <f>IFERROR(VLOOKUP(K967,'2026.01'!A:Y,18,0),0)</f>
        <v>0.8</v>
      </c>
      <c r="F971" s="309">
        <f>IFERROR(VLOOKUP(K967,'2026.01'!A:Y,20,0),0)</f>
        <v>90</v>
      </c>
      <c r="G971" s="310"/>
      <c r="K971" s="300"/>
    </row>
    <row r="972" ht="15" customHeight="1" spans="1:11">
      <c r="A972" s="307" t="s">
        <v>13</v>
      </c>
      <c r="B972" s="308"/>
      <c r="C972" s="308"/>
      <c r="D972" s="308"/>
      <c r="E972" s="311"/>
      <c r="F972" s="309">
        <f>IFERROR(VLOOKUP(K967,'2026.01'!A:Y,24,0),0)</f>
        <v>43</v>
      </c>
      <c r="G972" s="310"/>
      <c r="K972" s="300"/>
    </row>
    <row r="973" ht="15" customHeight="1" spans="1:11">
      <c r="A973" s="307" t="s">
        <v>14</v>
      </c>
      <c r="B973" s="308"/>
      <c r="C973" s="308"/>
      <c r="D973" s="308"/>
      <c r="E973" s="311"/>
      <c r="F973" s="309">
        <f>IFERROR(VLOOKUP(K967,'2026.01'!A:Y,12,0),0)</f>
        <v>160</v>
      </c>
      <c r="G973" s="310"/>
      <c r="K973" s="300"/>
    </row>
    <row r="974" ht="21" customHeight="1" spans="1:11">
      <c r="A974" s="307" t="s">
        <v>15</v>
      </c>
      <c r="B974" s="308"/>
      <c r="C974" s="308"/>
      <c r="D974" s="308"/>
      <c r="E974" s="311"/>
      <c r="F974" s="309">
        <f>IFERROR(VLOOKUP(K967,'2026.01'!A:Y,9,0),0)</f>
        <v>2500</v>
      </c>
      <c r="G974" s="310"/>
      <c r="K974" s="300"/>
    </row>
    <row r="975" ht="19" customHeight="1" spans="1:11">
      <c r="A975" s="307" t="s">
        <v>16</v>
      </c>
      <c r="B975" s="308"/>
      <c r="C975" s="308"/>
      <c r="D975" s="308"/>
      <c r="E975" s="308"/>
      <c r="F975" s="309">
        <f>IFERROR(VLOOKUP(K967,'2026.01'!A:Y,10,0),0)</f>
        <v>200</v>
      </c>
      <c r="G975" s="310"/>
      <c r="K975" s="300"/>
    </row>
    <row r="976" ht="21" customHeight="1" spans="1:11">
      <c r="A976" s="307" t="s">
        <v>17</v>
      </c>
      <c r="B976" s="308"/>
      <c r="C976" s="308"/>
      <c r="D976" s="308"/>
      <c r="E976" s="308"/>
      <c r="F976" s="309">
        <f>IFERROR(VLOOKUP(K967,'2026.01'!A:Y,19,0),0)</f>
        <v>78</v>
      </c>
      <c r="G976" s="310"/>
      <c r="K976" s="300"/>
    </row>
    <row r="977" ht="17.15" customHeight="1" spans="1:11">
      <c r="A977" s="307" t="s">
        <v>18</v>
      </c>
      <c r="B977" s="308"/>
      <c r="C977" s="308"/>
      <c r="D977" s="308"/>
      <c r="E977" s="308"/>
      <c r="F977" s="309">
        <f>IFERROR(VLOOKUP(K967,'2026.01'!A:Y,22,0),0)</f>
        <v>231</v>
      </c>
      <c r="G977" s="310"/>
      <c r="K977" s="300"/>
    </row>
    <row r="978" ht="17.15" customHeight="1" spans="1:11">
      <c r="A978" s="307" t="s">
        <v>19</v>
      </c>
      <c r="B978" s="312"/>
      <c r="C978" s="308"/>
      <c r="D978" s="313"/>
      <c r="E978" s="308"/>
      <c r="F978" s="309">
        <f>IFERROR(VLOOKUP(K967,'2026.01'!A:Y,25,0),0)</f>
        <v>3302</v>
      </c>
      <c r="G978" s="310"/>
      <c r="K978" s="300"/>
    </row>
    <row r="979" ht="15" customHeight="1" spans="1:11">
      <c r="A979" s="314" t="s">
        <v>20</v>
      </c>
      <c r="B979" s="315">
        <f>IF(F978&lt;0,"金额为负，无效",INT(F978))</f>
        <v>3302</v>
      </c>
      <c r="C979" s="315"/>
      <c r="D979" s="315"/>
      <c r="E979" s="316" t="s">
        <v>21</v>
      </c>
      <c r="F979" s="317"/>
      <c r="G979" s="318"/>
      <c r="K979" s="300"/>
    </row>
    <row r="980" ht="23" customHeight="1" spans="1:11">
      <c r="A980" s="319"/>
      <c r="B980" s="320"/>
      <c r="C980" s="320"/>
      <c r="D980" s="320"/>
      <c r="E980" s="319"/>
      <c r="F980" s="321"/>
      <c r="G980" s="322"/>
      <c r="K980" s="300"/>
    </row>
    <row r="981" ht="27" customHeight="1" spans="1:11">
      <c r="A981" s="298" t="s">
        <v>0</v>
      </c>
      <c r="B981" s="298"/>
      <c r="C981" s="298"/>
      <c r="D981" s="298"/>
      <c r="E981" s="298"/>
      <c r="F981" s="298"/>
      <c r="G981" s="298"/>
      <c r="H981" s="299"/>
      <c r="I981" s="299"/>
      <c r="J981" s="299"/>
      <c r="K981" s="300">
        <v>71</v>
      </c>
    </row>
    <row r="982" ht="15" customHeight="1" spans="1:11">
      <c r="A982" s="301" t="s">
        <v>1</v>
      </c>
      <c r="B982" s="301"/>
      <c r="C982" s="301"/>
      <c r="D982" s="301"/>
      <c r="E982" s="301"/>
      <c r="F982" s="301"/>
      <c r="G982" s="302" t="str">
        <f>IFERROR(VLOOKUP(K981,'2026.01'!A:Y,2,0),0)</f>
        <v>NO:071</v>
      </c>
      <c r="K982" s="300"/>
    </row>
    <row r="983" ht="15" customHeight="1" spans="1:11">
      <c r="A983" s="303" t="s">
        <v>2</v>
      </c>
      <c r="B983" s="304">
        <f>IFERROR(VLOOKUP(K981,'2026.01'!A:Y,6,0),0)</f>
        <v>2002</v>
      </c>
      <c r="C983" s="304"/>
      <c r="D983" s="305" t="s">
        <v>3</v>
      </c>
      <c r="E983" s="305" t="str">
        <f>IFERROR(VLOOKUP(K981,'2026.01'!A:Y,7,0),0)</f>
        <v>孙标然</v>
      </c>
      <c r="F983" s="305"/>
      <c r="G983" s="306" t="s">
        <v>4</v>
      </c>
      <c r="K983" s="300"/>
    </row>
    <row r="984" ht="15" customHeight="1" spans="1:11">
      <c r="A984" s="307" t="s">
        <v>5</v>
      </c>
      <c r="B984" s="308" t="s">
        <v>6</v>
      </c>
      <c r="C984" s="308" t="s">
        <v>7</v>
      </c>
      <c r="D984" s="308" t="s">
        <v>8</v>
      </c>
      <c r="E984" s="308" t="s">
        <v>9</v>
      </c>
      <c r="F984" s="309" t="s">
        <v>10</v>
      </c>
      <c r="G984" s="310" t="s">
        <v>11</v>
      </c>
      <c r="K984" s="300"/>
    </row>
    <row r="985" ht="15" customHeight="1" spans="1:11">
      <c r="A985" s="307" t="s">
        <v>12</v>
      </c>
      <c r="B985" s="308">
        <f>IFERROR(VLOOKUP(K981,'2026.01'!A:Y,14,0),0)</f>
        <v>7840</v>
      </c>
      <c r="C985" s="308">
        <f>IFERROR(VLOOKUP(K981,'2026.01'!A:Y,13,0),0)</f>
        <v>7806</v>
      </c>
      <c r="D985" s="308">
        <f>IFERROR(VLOOKUP(K981,'2026.01'!A:Y,15,0),0)</f>
        <v>34</v>
      </c>
      <c r="E985" s="311">
        <f>IFERROR(VLOOKUP(K981,'2026.01'!A:Y,18,0),0)</f>
        <v>0.8</v>
      </c>
      <c r="F985" s="309">
        <f>IFERROR(VLOOKUP(K981,'2026.01'!A:Y,20,0),0)</f>
        <v>27</v>
      </c>
      <c r="G985" s="310"/>
      <c r="K985" s="300"/>
    </row>
    <row r="986" ht="15" customHeight="1" spans="1:11">
      <c r="A986" s="307" t="s">
        <v>13</v>
      </c>
      <c r="B986" s="308"/>
      <c r="C986" s="308"/>
      <c r="D986" s="308"/>
      <c r="E986" s="311"/>
      <c r="F986" s="309">
        <f>IFERROR(VLOOKUP(K981,'2026.01'!A:Y,24,0),0)</f>
        <v>34</v>
      </c>
      <c r="G986" s="310"/>
      <c r="K986" s="300"/>
    </row>
    <row r="987" ht="15" customHeight="1" spans="1:11">
      <c r="A987" s="307" t="s">
        <v>14</v>
      </c>
      <c r="B987" s="308"/>
      <c r="C987" s="308"/>
      <c r="D987" s="308"/>
      <c r="E987" s="311"/>
      <c r="F987" s="309">
        <f>IFERROR(VLOOKUP(K981,'2026.01'!A:Y,12,0),0)</f>
        <v>160</v>
      </c>
      <c r="G987" s="310"/>
      <c r="K987" s="300"/>
    </row>
    <row r="988" ht="21" customHeight="1" spans="1:11">
      <c r="A988" s="307" t="s">
        <v>15</v>
      </c>
      <c r="B988" s="308"/>
      <c r="C988" s="308"/>
      <c r="D988" s="308"/>
      <c r="E988" s="311"/>
      <c r="F988" s="309">
        <f>IFERROR(VLOOKUP(K981,'2026.01'!A:Y,9,0),0)</f>
        <v>2500</v>
      </c>
      <c r="G988" s="310"/>
      <c r="K988" s="300"/>
    </row>
    <row r="989" ht="19" customHeight="1" spans="1:11">
      <c r="A989" s="307" t="s">
        <v>16</v>
      </c>
      <c r="B989" s="308"/>
      <c r="C989" s="308"/>
      <c r="D989" s="308"/>
      <c r="E989" s="308"/>
      <c r="F989" s="309">
        <f>IFERROR(VLOOKUP(K981,'2026.01'!A:Y,10,0),0)</f>
        <v>200</v>
      </c>
      <c r="G989" s="310"/>
      <c r="K989" s="300"/>
    </row>
    <row r="990" ht="21" customHeight="1" spans="1:11">
      <c r="A990" s="307" t="s">
        <v>17</v>
      </c>
      <c r="B990" s="308"/>
      <c r="C990" s="308"/>
      <c r="D990" s="308"/>
      <c r="E990" s="308"/>
      <c r="F990" s="309">
        <f>IFERROR(VLOOKUP(K981,'2026.01'!A:Y,19,0),0)</f>
        <v>24</v>
      </c>
      <c r="G990" s="310"/>
      <c r="K990" s="300"/>
    </row>
    <row r="991" ht="17.15" customHeight="1" spans="1:11">
      <c r="A991" s="307" t="s">
        <v>18</v>
      </c>
      <c r="B991" s="308"/>
      <c r="C991" s="308"/>
      <c r="D991" s="308"/>
      <c r="E991" s="308"/>
      <c r="F991" s="309">
        <f>IFERROR(VLOOKUP(K981,'2026.01'!A:Y,22,0),0)</f>
        <v>164</v>
      </c>
      <c r="G991" s="310"/>
      <c r="K991" s="300"/>
    </row>
    <row r="992" ht="17.15" customHeight="1" spans="1:11">
      <c r="A992" s="307" t="s">
        <v>19</v>
      </c>
      <c r="B992" s="312"/>
      <c r="C992" s="308"/>
      <c r="D992" s="313"/>
      <c r="E992" s="308"/>
      <c r="F992" s="309">
        <f>IFERROR(VLOOKUP(K981,'2026.01'!A:Y,25,0),0)</f>
        <v>3109</v>
      </c>
      <c r="G992" s="310"/>
      <c r="K992" s="300"/>
    </row>
    <row r="993" ht="15" customHeight="1" spans="1:11">
      <c r="A993" s="314" t="s">
        <v>20</v>
      </c>
      <c r="B993" s="315">
        <f>IF(F992&lt;0,"金额为负，无效",INT(F992))</f>
        <v>3109</v>
      </c>
      <c r="C993" s="315"/>
      <c r="D993" s="315"/>
      <c r="E993" s="316" t="s">
        <v>21</v>
      </c>
      <c r="F993" s="317"/>
      <c r="G993" s="318"/>
      <c r="K993" s="300"/>
    </row>
    <row r="994" ht="23" customHeight="1" spans="1:11">
      <c r="A994" s="319"/>
      <c r="B994" s="320"/>
      <c r="C994" s="320"/>
      <c r="D994" s="320"/>
      <c r="E994" s="319"/>
      <c r="F994" s="321"/>
      <c r="G994" s="322"/>
      <c r="K994" s="300"/>
    </row>
    <row r="995" ht="27" customHeight="1" spans="1:11">
      <c r="A995" s="298" t="s">
        <v>0</v>
      </c>
      <c r="B995" s="298"/>
      <c r="C995" s="298"/>
      <c r="D995" s="298"/>
      <c r="E995" s="298"/>
      <c r="F995" s="298"/>
      <c r="G995" s="298"/>
      <c r="H995" s="299"/>
      <c r="I995" s="299"/>
      <c r="J995" s="299"/>
      <c r="K995" s="300">
        <v>72</v>
      </c>
    </row>
    <row r="996" ht="15" customHeight="1" spans="1:11">
      <c r="A996" s="301" t="s">
        <v>1</v>
      </c>
      <c r="B996" s="301"/>
      <c r="C996" s="301"/>
      <c r="D996" s="301"/>
      <c r="E996" s="301"/>
      <c r="F996" s="301"/>
      <c r="G996" s="302" t="str">
        <f>IFERROR(VLOOKUP(K995,'2026.01'!A:Y,2,0),0)</f>
        <v>NO:072</v>
      </c>
      <c r="K996" s="300"/>
    </row>
    <row r="997" ht="15" customHeight="1" spans="1:11">
      <c r="A997" s="303" t="s">
        <v>2</v>
      </c>
      <c r="B997" s="304">
        <f>IFERROR(VLOOKUP(K995,'2026.01'!A:Y,6,0),0)</f>
        <v>2003</v>
      </c>
      <c r="C997" s="304"/>
      <c r="D997" s="305" t="s">
        <v>3</v>
      </c>
      <c r="E997" s="305" t="str">
        <f>IFERROR(VLOOKUP(K995,'2026.01'!A:Y,7,0),0)</f>
        <v>陆兆亮</v>
      </c>
      <c r="F997" s="305"/>
      <c r="G997" s="306" t="s">
        <v>4</v>
      </c>
      <c r="K997" s="300"/>
    </row>
    <row r="998" ht="15" customHeight="1" spans="1:11">
      <c r="A998" s="307" t="s">
        <v>5</v>
      </c>
      <c r="B998" s="308" t="s">
        <v>6</v>
      </c>
      <c r="C998" s="308" t="s">
        <v>7</v>
      </c>
      <c r="D998" s="308" t="s">
        <v>8</v>
      </c>
      <c r="E998" s="308" t="s">
        <v>9</v>
      </c>
      <c r="F998" s="309" t="s">
        <v>10</v>
      </c>
      <c r="G998" s="310" t="s">
        <v>11</v>
      </c>
      <c r="K998" s="300"/>
    </row>
    <row r="999" ht="15" customHeight="1" spans="1:11">
      <c r="A999" s="307" t="s">
        <v>12</v>
      </c>
      <c r="B999" s="308">
        <f>IFERROR(VLOOKUP(K995,'2026.01'!A:Y,14,0),0)</f>
        <v>8638</v>
      </c>
      <c r="C999" s="308">
        <f>IFERROR(VLOOKUP(K995,'2026.01'!A:Y,13,0),0)</f>
        <v>8606</v>
      </c>
      <c r="D999" s="308">
        <f>IFERROR(VLOOKUP(K995,'2026.01'!A:Y,15,0),0)</f>
        <v>32</v>
      </c>
      <c r="E999" s="311">
        <f>IFERROR(VLOOKUP(K995,'2026.01'!A:Y,18,0),0)</f>
        <v>0.8</v>
      </c>
      <c r="F999" s="309">
        <f>IFERROR(VLOOKUP(K995,'2026.01'!A:Y,20,0),0)</f>
        <v>26</v>
      </c>
      <c r="G999" s="310"/>
      <c r="K999" s="300"/>
    </row>
    <row r="1000" ht="15" customHeight="1" spans="1:11">
      <c r="A1000" s="307" t="s">
        <v>13</v>
      </c>
      <c r="B1000" s="308"/>
      <c r="C1000" s="308"/>
      <c r="D1000" s="308"/>
      <c r="E1000" s="311"/>
      <c r="F1000" s="309">
        <f>IFERROR(VLOOKUP(K995,'2026.01'!A:Y,24,0),0)</f>
        <v>34</v>
      </c>
      <c r="G1000" s="310"/>
      <c r="K1000" s="300"/>
    </row>
    <row r="1001" ht="15" customHeight="1" spans="1:11">
      <c r="A1001" s="307" t="s">
        <v>14</v>
      </c>
      <c r="B1001" s="308"/>
      <c r="C1001" s="308"/>
      <c r="D1001" s="308"/>
      <c r="E1001" s="311"/>
      <c r="F1001" s="309">
        <f>IFERROR(VLOOKUP(K995,'2026.01'!A:Y,12,0),0)</f>
        <v>160</v>
      </c>
      <c r="G1001" s="310"/>
      <c r="K1001" s="300"/>
    </row>
    <row r="1002" ht="21" customHeight="1" spans="1:11">
      <c r="A1002" s="307" t="s">
        <v>15</v>
      </c>
      <c r="B1002" s="308"/>
      <c r="C1002" s="308"/>
      <c r="D1002" s="308"/>
      <c r="E1002" s="311"/>
      <c r="F1002" s="309">
        <f>IFERROR(VLOOKUP(K995,'2026.01'!A:Y,9,0),0)</f>
        <v>2500</v>
      </c>
      <c r="G1002" s="310"/>
      <c r="K1002" s="300"/>
    </row>
    <row r="1003" ht="19" customHeight="1" spans="1:11">
      <c r="A1003" s="307" t="s">
        <v>16</v>
      </c>
      <c r="B1003" s="308"/>
      <c r="C1003" s="308"/>
      <c r="D1003" s="308"/>
      <c r="E1003" s="308"/>
      <c r="F1003" s="309">
        <f>IFERROR(VLOOKUP(K995,'2026.01'!A:Y,10,0),0)</f>
        <v>200</v>
      </c>
      <c r="G1003" s="310"/>
      <c r="K1003" s="300"/>
    </row>
    <row r="1004" ht="21" customHeight="1" spans="1:11">
      <c r="A1004" s="307" t="s">
        <v>17</v>
      </c>
      <c r="B1004" s="308"/>
      <c r="C1004" s="308"/>
      <c r="D1004" s="308"/>
      <c r="E1004" s="308"/>
      <c r="F1004" s="309">
        <f>IFERROR(VLOOKUP(K995,'2026.01'!A:Y,19,0),0)</f>
        <v>22</v>
      </c>
      <c r="G1004" s="310"/>
      <c r="K1004" s="300"/>
    </row>
    <row r="1005" ht="17.15" customHeight="1" spans="1:11">
      <c r="A1005" s="307" t="s">
        <v>18</v>
      </c>
      <c r="B1005" s="308"/>
      <c r="C1005" s="308"/>
      <c r="D1005" s="308"/>
      <c r="E1005" s="308"/>
      <c r="F1005" s="309">
        <f>IFERROR(VLOOKUP(K995,'2026.01'!A:Y,22,0),0)</f>
        <v>164</v>
      </c>
      <c r="G1005" s="310"/>
      <c r="K1005" s="300"/>
    </row>
    <row r="1006" ht="17.15" customHeight="1" spans="1:11">
      <c r="A1006" s="307" t="s">
        <v>19</v>
      </c>
      <c r="B1006" s="312"/>
      <c r="C1006" s="308"/>
      <c r="D1006" s="313"/>
      <c r="E1006" s="308"/>
      <c r="F1006" s="309">
        <f>IFERROR(VLOOKUP(K995,'2026.01'!A:Y,25,0),0)</f>
        <v>3106</v>
      </c>
      <c r="G1006" s="310"/>
      <c r="K1006" s="300"/>
    </row>
    <row r="1007" ht="15" customHeight="1" spans="1:11">
      <c r="A1007" s="314" t="s">
        <v>20</v>
      </c>
      <c r="B1007" s="315">
        <f>IF(F1006&lt;0,"金额为负，无效",INT(F1006))</f>
        <v>3106</v>
      </c>
      <c r="C1007" s="315"/>
      <c r="D1007" s="315"/>
      <c r="E1007" s="316" t="s">
        <v>21</v>
      </c>
      <c r="F1007" s="317"/>
      <c r="G1007" s="318"/>
      <c r="K1007" s="300"/>
    </row>
    <row r="1008" ht="15" customHeight="1" spans="1:11">
      <c r="A1008" s="319"/>
      <c r="B1008" s="320"/>
      <c r="C1008" s="320"/>
      <c r="D1008" s="320"/>
      <c r="E1008" s="319"/>
      <c r="F1008" s="321"/>
      <c r="G1008" s="322"/>
      <c r="K1008" s="300"/>
    </row>
    <row r="1009" ht="27" customHeight="1" spans="1:11">
      <c r="A1009" s="298" t="s">
        <v>0</v>
      </c>
      <c r="B1009" s="298"/>
      <c r="C1009" s="298"/>
      <c r="D1009" s="298"/>
      <c r="E1009" s="298"/>
      <c r="F1009" s="298"/>
      <c r="G1009" s="298"/>
      <c r="H1009" s="299"/>
      <c r="I1009" s="299"/>
      <c r="J1009" s="299"/>
      <c r="K1009" s="300">
        <v>73</v>
      </c>
    </row>
    <row r="1010" ht="15" customHeight="1" spans="1:11">
      <c r="A1010" s="301" t="s">
        <v>1</v>
      </c>
      <c r="B1010" s="301"/>
      <c r="C1010" s="301"/>
      <c r="D1010" s="301"/>
      <c r="E1010" s="301"/>
      <c r="F1010" s="301"/>
      <c r="G1010" s="302" t="str">
        <f>IFERROR(VLOOKUP(K1009,'2026.01'!A:Y,2,0),0)</f>
        <v>NO:073</v>
      </c>
      <c r="K1010" s="300"/>
    </row>
    <row r="1011" ht="15" customHeight="1" spans="1:11">
      <c r="A1011" s="303" t="s">
        <v>2</v>
      </c>
      <c r="B1011" s="304">
        <f>IFERROR(VLOOKUP(K1009,'2026.01'!A:Y,6,0),0)</f>
        <v>2004</v>
      </c>
      <c r="C1011" s="304"/>
      <c r="D1011" s="305" t="s">
        <v>3</v>
      </c>
      <c r="E1011" s="305" t="str">
        <f>IFERROR(VLOOKUP(K1009,'2026.01'!A:Y,7,0),0)</f>
        <v>林翠侠</v>
      </c>
      <c r="F1011" s="305"/>
      <c r="G1011" s="306" t="s">
        <v>4</v>
      </c>
      <c r="K1011" s="300"/>
    </row>
    <row r="1012" ht="15" customHeight="1" spans="1:11">
      <c r="A1012" s="307" t="s">
        <v>5</v>
      </c>
      <c r="B1012" s="308" t="s">
        <v>6</v>
      </c>
      <c r="C1012" s="308" t="s">
        <v>7</v>
      </c>
      <c r="D1012" s="308" t="s">
        <v>8</v>
      </c>
      <c r="E1012" s="308" t="s">
        <v>9</v>
      </c>
      <c r="F1012" s="309" t="s">
        <v>10</v>
      </c>
      <c r="G1012" s="310" t="s">
        <v>11</v>
      </c>
      <c r="K1012" s="300"/>
    </row>
    <row r="1013" ht="15" customHeight="1" spans="1:11">
      <c r="A1013" s="307" t="s">
        <v>12</v>
      </c>
      <c r="B1013" s="308">
        <f>IFERROR(VLOOKUP(K1009,'2026.01'!A:Y,14,0),0)</f>
        <v>8900</v>
      </c>
      <c r="C1013" s="308">
        <f>IFERROR(VLOOKUP(K1009,'2026.01'!A:Y,13,0),0)</f>
        <v>8878</v>
      </c>
      <c r="D1013" s="308">
        <f>IFERROR(VLOOKUP(K1009,'2026.01'!A:Y,15,0),0)</f>
        <v>22</v>
      </c>
      <c r="E1013" s="311">
        <f>IFERROR(VLOOKUP(K1009,'2026.01'!A:Y,18,0),0)</f>
        <v>0.8</v>
      </c>
      <c r="F1013" s="309">
        <f>IFERROR(VLOOKUP(K1009,'2026.01'!A:Y,20,0),0)</f>
        <v>18</v>
      </c>
      <c r="G1013" s="310"/>
      <c r="K1013" s="300"/>
    </row>
    <row r="1014" ht="15" customHeight="1" spans="1:11">
      <c r="A1014" s="307" t="s">
        <v>13</v>
      </c>
      <c r="B1014" s="308"/>
      <c r="C1014" s="308"/>
      <c r="D1014" s="308"/>
      <c r="E1014" s="311"/>
      <c r="F1014" s="309">
        <f>IFERROR(VLOOKUP(K1009,'2026.01'!A:Y,24,0),0)</f>
        <v>34</v>
      </c>
      <c r="G1014" s="310"/>
      <c r="K1014" s="300"/>
    </row>
    <row r="1015" ht="15" customHeight="1" spans="1:11">
      <c r="A1015" s="307" t="s">
        <v>14</v>
      </c>
      <c r="B1015" s="308"/>
      <c r="C1015" s="308"/>
      <c r="D1015" s="308"/>
      <c r="E1015" s="311"/>
      <c r="F1015" s="309">
        <f>IFERROR(VLOOKUP(K1009,'2026.01'!A:Y,12,0),0)</f>
        <v>160</v>
      </c>
      <c r="G1015" s="310"/>
      <c r="K1015" s="300"/>
    </row>
    <row r="1016" ht="21" customHeight="1" spans="1:11">
      <c r="A1016" s="307" t="s">
        <v>15</v>
      </c>
      <c r="B1016" s="308"/>
      <c r="C1016" s="308"/>
      <c r="D1016" s="308"/>
      <c r="E1016" s="311"/>
      <c r="F1016" s="309">
        <f>IFERROR(VLOOKUP(K1009,'2026.01'!A:Y,9,0),0)</f>
        <v>2500</v>
      </c>
      <c r="G1016" s="310"/>
      <c r="K1016" s="300"/>
    </row>
    <row r="1017" ht="19" customHeight="1" spans="1:11">
      <c r="A1017" s="307" t="s">
        <v>16</v>
      </c>
      <c r="B1017" s="308"/>
      <c r="C1017" s="308"/>
      <c r="D1017" s="308"/>
      <c r="E1017" s="308"/>
      <c r="F1017" s="309">
        <f>IFERROR(VLOOKUP(K1009,'2026.01'!A:Y,10,0),0)</f>
        <v>200</v>
      </c>
      <c r="G1017" s="310"/>
      <c r="K1017" s="300"/>
    </row>
    <row r="1018" ht="21" customHeight="1" spans="1:11">
      <c r="A1018" s="307" t="s">
        <v>17</v>
      </c>
      <c r="B1018" s="308"/>
      <c r="C1018" s="308"/>
      <c r="D1018" s="308"/>
      <c r="E1018" s="308"/>
      <c r="F1018" s="309">
        <f>IFERROR(VLOOKUP(K1009,'2026.01'!A:Y,19,0),0)</f>
        <v>15</v>
      </c>
      <c r="G1018" s="310"/>
      <c r="K1018" s="300"/>
    </row>
    <row r="1019" ht="17.15" customHeight="1" spans="1:11">
      <c r="A1019" s="307" t="s">
        <v>18</v>
      </c>
      <c r="B1019" s="308"/>
      <c r="C1019" s="308"/>
      <c r="D1019" s="308"/>
      <c r="E1019" s="308"/>
      <c r="F1019" s="309">
        <f>IFERROR(VLOOKUP(K1009,'2026.01'!A:Y,22,0),0)</f>
        <v>164</v>
      </c>
      <c r="G1019" s="310"/>
      <c r="K1019" s="300"/>
    </row>
    <row r="1020" ht="17.15" customHeight="1" spans="1:11">
      <c r="A1020" s="307" t="s">
        <v>19</v>
      </c>
      <c r="B1020" s="312"/>
      <c r="C1020" s="308"/>
      <c r="D1020" s="313"/>
      <c r="E1020" s="308"/>
      <c r="F1020" s="309">
        <f>IFERROR(VLOOKUP(K1009,'2026.01'!A:Y,25,0),0)</f>
        <v>3091</v>
      </c>
      <c r="G1020" s="310"/>
      <c r="K1020" s="300"/>
    </row>
    <row r="1021" ht="15" customHeight="1" spans="1:11">
      <c r="A1021" s="314" t="s">
        <v>20</v>
      </c>
      <c r="B1021" s="315">
        <f>IF(F1020&lt;0,"金额为负，无效",INT(F1020))</f>
        <v>3091</v>
      </c>
      <c r="C1021" s="315"/>
      <c r="D1021" s="315"/>
      <c r="E1021" s="316" t="s">
        <v>21</v>
      </c>
      <c r="F1021" s="317"/>
      <c r="G1021" s="318"/>
      <c r="K1021" s="300"/>
    </row>
    <row r="1022" ht="23" customHeight="1" spans="1:11">
      <c r="A1022" s="319"/>
      <c r="B1022" s="320"/>
      <c r="C1022" s="320"/>
      <c r="D1022" s="320"/>
      <c r="E1022" s="319"/>
      <c r="F1022" s="321"/>
      <c r="G1022" s="322"/>
      <c r="K1022" s="300"/>
    </row>
    <row r="1023" ht="27" customHeight="1" spans="1:11">
      <c r="A1023" s="298" t="s">
        <v>0</v>
      </c>
      <c r="B1023" s="298"/>
      <c r="C1023" s="298"/>
      <c r="D1023" s="298"/>
      <c r="E1023" s="298"/>
      <c r="F1023" s="298"/>
      <c r="G1023" s="298"/>
      <c r="H1023" s="299"/>
      <c r="I1023" s="299"/>
      <c r="J1023" s="299"/>
      <c r="K1023" s="300">
        <v>74</v>
      </c>
    </row>
    <row r="1024" ht="15" customHeight="1" spans="1:11">
      <c r="A1024" s="301" t="s">
        <v>1</v>
      </c>
      <c r="B1024" s="301"/>
      <c r="C1024" s="301"/>
      <c r="D1024" s="301"/>
      <c r="E1024" s="301"/>
      <c r="F1024" s="301"/>
      <c r="G1024" s="302" t="str">
        <f>IFERROR(VLOOKUP(K1023,'2026.01'!A:Y,2,0),0)</f>
        <v>NO:074</v>
      </c>
      <c r="K1024" s="300"/>
    </row>
    <row r="1025" ht="15" customHeight="1" spans="1:11">
      <c r="A1025" s="303" t="s">
        <v>2</v>
      </c>
      <c r="B1025" s="304">
        <f>IFERROR(VLOOKUP(K1023,'2026.01'!A:Y,6,0),0)</f>
        <v>2005</v>
      </c>
      <c r="C1025" s="304"/>
      <c r="D1025" s="305" t="s">
        <v>3</v>
      </c>
      <c r="E1025" s="305" t="str">
        <f>IFERROR(VLOOKUP(K1023,'2026.01'!A:Y,7,0),0)</f>
        <v>徐忠琴</v>
      </c>
      <c r="F1025" s="305"/>
      <c r="G1025" s="306" t="s">
        <v>4</v>
      </c>
      <c r="K1025" s="300"/>
    </row>
    <row r="1026" ht="15" customHeight="1" spans="1:11">
      <c r="A1026" s="307" t="s">
        <v>5</v>
      </c>
      <c r="B1026" s="308" t="s">
        <v>6</v>
      </c>
      <c r="C1026" s="308" t="s">
        <v>7</v>
      </c>
      <c r="D1026" s="308" t="s">
        <v>8</v>
      </c>
      <c r="E1026" s="308" t="s">
        <v>9</v>
      </c>
      <c r="F1026" s="309" t="s">
        <v>10</v>
      </c>
      <c r="G1026" s="310" t="s">
        <v>11</v>
      </c>
      <c r="K1026" s="300"/>
    </row>
    <row r="1027" ht="15" customHeight="1" spans="1:11">
      <c r="A1027" s="307" t="s">
        <v>12</v>
      </c>
      <c r="B1027" s="308">
        <f>IFERROR(VLOOKUP(K1023,'2026.01'!A:Y,14,0),0)</f>
        <v>8692</v>
      </c>
      <c r="C1027" s="308">
        <f>IFERROR(VLOOKUP(K1023,'2026.01'!A:Y,13,0),0)</f>
        <v>8650</v>
      </c>
      <c r="D1027" s="308">
        <f>IFERROR(VLOOKUP(K1023,'2026.01'!A:Y,15,0),0)</f>
        <v>42</v>
      </c>
      <c r="E1027" s="311">
        <f>IFERROR(VLOOKUP(K1023,'2026.01'!A:Y,18,0),0)</f>
        <v>0.8</v>
      </c>
      <c r="F1027" s="309">
        <f>IFERROR(VLOOKUP(K1023,'2026.01'!A:Y,20,0),0)</f>
        <v>34</v>
      </c>
      <c r="G1027" s="310"/>
      <c r="K1027" s="300"/>
    </row>
    <row r="1028" ht="15" customHeight="1" spans="1:11">
      <c r="A1028" s="307" t="s">
        <v>13</v>
      </c>
      <c r="B1028" s="308"/>
      <c r="C1028" s="308"/>
      <c r="D1028" s="308"/>
      <c r="E1028" s="311"/>
      <c r="F1028" s="309">
        <f>IFERROR(VLOOKUP(K1023,'2026.01'!A:Y,24,0),0)</f>
        <v>34</v>
      </c>
      <c r="G1028" s="310"/>
      <c r="K1028" s="300"/>
    </row>
    <row r="1029" ht="15" customHeight="1" spans="1:11">
      <c r="A1029" s="307" t="s">
        <v>14</v>
      </c>
      <c r="B1029" s="308"/>
      <c r="C1029" s="308"/>
      <c r="D1029" s="308"/>
      <c r="E1029" s="311"/>
      <c r="F1029" s="309">
        <f>IFERROR(VLOOKUP(K1023,'2026.01'!A:Y,12,0),0)</f>
        <v>160</v>
      </c>
      <c r="G1029" s="310"/>
      <c r="K1029" s="300"/>
    </row>
    <row r="1030" ht="21" customHeight="1" spans="1:11">
      <c r="A1030" s="307" t="s">
        <v>15</v>
      </c>
      <c r="B1030" s="308"/>
      <c r="C1030" s="308"/>
      <c r="D1030" s="308"/>
      <c r="E1030" s="311"/>
      <c r="F1030" s="309">
        <f>IFERROR(VLOOKUP(K1023,'2026.01'!A:Y,9,0),0)</f>
        <v>2500</v>
      </c>
      <c r="G1030" s="310"/>
      <c r="K1030" s="300"/>
    </row>
    <row r="1031" ht="19" customHeight="1" spans="1:11">
      <c r="A1031" s="307" t="s">
        <v>16</v>
      </c>
      <c r="B1031" s="308"/>
      <c r="C1031" s="308"/>
      <c r="D1031" s="308"/>
      <c r="E1031" s="308"/>
      <c r="F1031" s="309">
        <f>IFERROR(VLOOKUP(K1023,'2026.01'!A:Y,10,0),0)</f>
        <v>200</v>
      </c>
      <c r="G1031" s="310"/>
      <c r="K1031" s="300"/>
    </row>
    <row r="1032" ht="21" customHeight="1" spans="1:11">
      <c r="A1032" s="307" t="s">
        <v>17</v>
      </c>
      <c r="B1032" s="308"/>
      <c r="C1032" s="308"/>
      <c r="D1032" s="308"/>
      <c r="E1032" s="308"/>
      <c r="F1032" s="309">
        <f>IFERROR(VLOOKUP(K1023,'2026.01'!A:Y,19,0),0)</f>
        <v>29</v>
      </c>
      <c r="G1032" s="310"/>
      <c r="K1032" s="300"/>
    </row>
    <row r="1033" ht="17.15" customHeight="1" spans="1:11">
      <c r="A1033" s="307" t="s">
        <v>18</v>
      </c>
      <c r="B1033" s="308"/>
      <c r="C1033" s="308"/>
      <c r="D1033" s="308"/>
      <c r="E1033" s="308"/>
      <c r="F1033" s="309">
        <f>IFERROR(VLOOKUP(K1023,'2026.01'!A:Y,22,0),0)</f>
        <v>164</v>
      </c>
      <c r="G1033" s="310"/>
      <c r="K1033" s="300"/>
    </row>
    <row r="1034" ht="17.15" customHeight="1" spans="1:11">
      <c r="A1034" s="307" t="s">
        <v>19</v>
      </c>
      <c r="B1034" s="312"/>
      <c r="C1034" s="308"/>
      <c r="D1034" s="313"/>
      <c r="E1034" s="308"/>
      <c r="F1034" s="309">
        <f>IFERROR(VLOOKUP(K1023,'2026.01'!A:Y,25,0),0)</f>
        <v>3121</v>
      </c>
      <c r="G1034" s="310"/>
      <c r="K1034" s="300"/>
    </row>
    <row r="1035" ht="15" customHeight="1" spans="1:11">
      <c r="A1035" s="314" t="s">
        <v>20</v>
      </c>
      <c r="B1035" s="315">
        <f>IF(F1034&lt;0,"金额为负，无效",INT(F1034))</f>
        <v>3121</v>
      </c>
      <c r="C1035" s="315"/>
      <c r="D1035" s="315"/>
      <c r="E1035" s="316" t="s">
        <v>21</v>
      </c>
      <c r="F1035" s="317"/>
      <c r="G1035" s="318"/>
      <c r="K1035" s="300"/>
    </row>
    <row r="1036" ht="23" customHeight="1" spans="1:11">
      <c r="A1036" s="319"/>
      <c r="B1036" s="320"/>
      <c r="C1036" s="320"/>
      <c r="D1036" s="320"/>
      <c r="E1036" s="319"/>
      <c r="F1036" s="321"/>
      <c r="G1036" s="322"/>
      <c r="K1036" s="300"/>
    </row>
    <row r="1037" ht="27" customHeight="1" spans="1:11">
      <c r="A1037" s="298" t="s">
        <v>0</v>
      </c>
      <c r="B1037" s="298"/>
      <c r="C1037" s="298"/>
      <c r="D1037" s="298"/>
      <c r="E1037" s="298"/>
      <c r="F1037" s="298"/>
      <c r="G1037" s="298"/>
      <c r="H1037" s="299"/>
      <c r="I1037" s="299"/>
      <c r="J1037" s="299"/>
      <c r="K1037" s="300">
        <v>75</v>
      </c>
    </row>
    <row r="1038" ht="15" customHeight="1" spans="1:11">
      <c r="A1038" s="301" t="s">
        <v>1</v>
      </c>
      <c r="B1038" s="301"/>
      <c r="C1038" s="301"/>
      <c r="D1038" s="301"/>
      <c r="E1038" s="301"/>
      <c r="F1038" s="301"/>
      <c r="G1038" s="302" t="str">
        <f>IFERROR(VLOOKUP(K1037,'2026.01'!A:Y,2,0),0)</f>
        <v>NO:075</v>
      </c>
      <c r="K1038" s="300"/>
    </row>
    <row r="1039" ht="15" customHeight="1" spans="1:11">
      <c r="A1039" s="303" t="s">
        <v>2</v>
      </c>
      <c r="B1039" s="304">
        <f>IFERROR(VLOOKUP(K1037,'2026.01'!A:Y,6,0),0)</f>
        <v>2006</v>
      </c>
      <c r="C1039" s="304"/>
      <c r="D1039" s="305" t="s">
        <v>3</v>
      </c>
      <c r="E1039" s="305" t="str">
        <f>IFERROR(VLOOKUP(K1037,'2026.01'!A:Y,7,0),0)</f>
        <v>周丽红</v>
      </c>
      <c r="F1039" s="305"/>
      <c r="G1039" s="306" t="s">
        <v>4</v>
      </c>
      <c r="K1039" s="300"/>
    </row>
    <row r="1040" ht="15" customHeight="1" spans="1:11">
      <c r="A1040" s="307" t="s">
        <v>5</v>
      </c>
      <c r="B1040" s="308" t="s">
        <v>6</v>
      </c>
      <c r="C1040" s="308" t="s">
        <v>7</v>
      </c>
      <c r="D1040" s="308" t="s">
        <v>8</v>
      </c>
      <c r="E1040" s="308" t="s">
        <v>9</v>
      </c>
      <c r="F1040" s="309" t="s">
        <v>10</v>
      </c>
      <c r="G1040" s="310" t="s">
        <v>11</v>
      </c>
      <c r="K1040" s="300"/>
    </row>
    <row r="1041" ht="15" customHeight="1" spans="1:11">
      <c r="A1041" s="307" t="s">
        <v>12</v>
      </c>
      <c r="B1041" s="308">
        <f>IFERROR(VLOOKUP(K1037,'2026.01'!A:Y,14,0),0)</f>
        <v>816</v>
      </c>
      <c r="C1041" s="308">
        <f>IFERROR(VLOOKUP(K1037,'2026.01'!A:Y,13,0),0)</f>
        <v>795</v>
      </c>
      <c r="D1041" s="308">
        <f>IFERROR(VLOOKUP(K1037,'2026.01'!A:Y,15,0),0)</f>
        <v>21</v>
      </c>
      <c r="E1041" s="311">
        <f>IFERROR(VLOOKUP(K1037,'2026.01'!A:Y,18,0),0)</f>
        <v>0.8</v>
      </c>
      <c r="F1041" s="309">
        <f>IFERROR(VLOOKUP(K1037,'2026.01'!A:Y,20,0),0)</f>
        <v>17</v>
      </c>
      <c r="G1041" s="310"/>
      <c r="K1041" s="300"/>
    </row>
    <row r="1042" ht="15" customHeight="1" spans="1:11">
      <c r="A1042" s="307" t="s">
        <v>13</v>
      </c>
      <c r="B1042" s="308"/>
      <c r="C1042" s="308"/>
      <c r="D1042" s="308"/>
      <c r="E1042" s="311"/>
      <c r="F1042" s="309">
        <f>IFERROR(VLOOKUP(K1037,'2026.01'!A:Y,24,0),0)</f>
        <v>34</v>
      </c>
      <c r="G1042" s="310"/>
      <c r="K1042" s="300"/>
    </row>
    <row r="1043" ht="15" customHeight="1" spans="1:11">
      <c r="A1043" s="307" t="s">
        <v>14</v>
      </c>
      <c r="B1043" s="308"/>
      <c r="C1043" s="308"/>
      <c r="D1043" s="308"/>
      <c r="E1043" s="311"/>
      <c r="F1043" s="309">
        <f>IFERROR(VLOOKUP(K1037,'2026.01'!A:Y,12,0),0)</f>
        <v>160</v>
      </c>
      <c r="G1043" s="310"/>
      <c r="K1043" s="300"/>
    </row>
    <row r="1044" ht="21" customHeight="1" spans="1:11">
      <c r="A1044" s="307" t="s">
        <v>15</v>
      </c>
      <c r="B1044" s="308"/>
      <c r="C1044" s="308"/>
      <c r="D1044" s="308"/>
      <c r="E1044" s="311"/>
      <c r="F1044" s="309">
        <f>IFERROR(VLOOKUP(K1037,'2026.01'!A:Y,9,0),0)</f>
        <v>2500</v>
      </c>
      <c r="G1044" s="310"/>
      <c r="K1044" s="300"/>
    </row>
    <row r="1045" ht="19" customHeight="1" spans="1:11">
      <c r="A1045" s="307" t="s">
        <v>16</v>
      </c>
      <c r="B1045" s="308"/>
      <c r="C1045" s="308"/>
      <c r="D1045" s="308"/>
      <c r="E1045" s="308"/>
      <c r="F1045" s="309">
        <f>IFERROR(VLOOKUP(K1037,'2026.01'!A:Y,10,0),0)</f>
        <v>200</v>
      </c>
      <c r="G1045" s="310"/>
      <c r="K1045" s="300"/>
    </row>
    <row r="1046" ht="21" customHeight="1" spans="1:11">
      <c r="A1046" s="307" t="s">
        <v>17</v>
      </c>
      <c r="B1046" s="308"/>
      <c r="C1046" s="308"/>
      <c r="D1046" s="308"/>
      <c r="E1046" s="308"/>
      <c r="F1046" s="309">
        <f>IFERROR(VLOOKUP(K1037,'2026.01'!A:Y,19,0),0)</f>
        <v>15</v>
      </c>
      <c r="G1046" s="310"/>
      <c r="K1046" s="300"/>
    </row>
    <row r="1047" ht="17.15" customHeight="1" spans="1:11">
      <c r="A1047" s="307" t="s">
        <v>18</v>
      </c>
      <c r="B1047" s="308"/>
      <c r="C1047" s="308"/>
      <c r="D1047" s="308"/>
      <c r="E1047" s="308"/>
      <c r="F1047" s="309">
        <f>IFERROR(VLOOKUP(K1037,'2026.01'!A:Y,22,0),0)</f>
        <v>164</v>
      </c>
      <c r="G1047" s="310"/>
      <c r="K1047" s="300"/>
    </row>
    <row r="1048" ht="17.15" customHeight="1" spans="1:11">
      <c r="A1048" s="307" t="s">
        <v>19</v>
      </c>
      <c r="B1048" s="312"/>
      <c r="C1048" s="308"/>
      <c r="D1048" s="313"/>
      <c r="E1048" s="308"/>
      <c r="F1048" s="309">
        <f>IFERROR(VLOOKUP(K1037,'2026.01'!A:Y,25,0),0)</f>
        <v>3090</v>
      </c>
      <c r="G1048" s="310"/>
      <c r="K1048" s="300"/>
    </row>
    <row r="1049" ht="15" customHeight="1" spans="1:11">
      <c r="A1049" s="314" t="s">
        <v>20</v>
      </c>
      <c r="B1049" s="315">
        <f>IF(F1048&lt;0,"金额为负，无效",INT(F1048))</f>
        <v>3090</v>
      </c>
      <c r="C1049" s="315"/>
      <c r="D1049" s="315"/>
      <c r="E1049" s="316" t="s">
        <v>21</v>
      </c>
      <c r="F1049" s="317"/>
      <c r="G1049" s="318"/>
      <c r="K1049" s="300"/>
    </row>
    <row r="1050" ht="15" customHeight="1" spans="1:11">
      <c r="A1050" s="319"/>
      <c r="B1050" s="320"/>
      <c r="C1050" s="320"/>
      <c r="D1050" s="320"/>
      <c r="E1050" s="319"/>
      <c r="F1050" s="321"/>
      <c r="G1050" s="322"/>
      <c r="K1050" s="300"/>
    </row>
    <row r="1051" ht="27" customHeight="1" spans="1:11">
      <c r="A1051" s="298" t="s">
        <v>0</v>
      </c>
      <c r="B1051" s="298"/>
      <c r="C1051" s="298"/>
      <c r="D1051" s="298"/>
      <c r="E1051" s="298"/>
      <c r="F1051" s="298"/>
      <c r="G1051" s="298"/>
      <c r="H1051" s="299"/>
      <c r="I1051" s="299"/>
      <c r="J1051" s="299"/>
      <c r="K1051" s="300">
        <v>76</v>
      </c>
    </row>
    <row r="1052" ht="15" customHeight="1" spans="1:11">
      <c r="A1052" s="301" t="s">
        <v>1</v>
      </c>
      <c r="B1052" s="301"/>
      <c r="C1052" s="301"/>
      <c r="D1052" s="301"/>
      <c r="E1052" s="301"/>
      <c r="F1052" s="301"/>
      <c r="G1052" s="302" t="str">
        <f>IFERROR(VLOOKUP(K1051,'2026.01'!A:Y,2,0),0)</f>
        <v>NO:076</v>
      </c>
      <c r="K1052" s="300"/>
    </row>
    <row r="1053" ht="15" customHeight="1" spans="1:11">
      <c r="A1053" s="303" t="s">
        <v>2</v>
      </c>
      <c r="B1053" s="304" t="str">
        <f>IFERROR(VLOOKUP(K1051,'2026.01'!A:Y,6,0),0)</f>
        <v>2007/2008</v>
      </c>
      <c r="C1053" s="304"/>
      <c r="D1053" s="305" t="s">
        <v>3</v>
      </c>
      <c r="E1053" s="305" t="str">
        <f>IFERROR(VLOOKUP(K1051,'2026.01'!A:Y,7,0),0)</f>
        <v>黄伟军</v>
      </c>
      <c r="F1053" s="305"/>
      <c r="G1053" s="306" t="s">
        <v>4</v>
      </c>
      <c r="K1053" s="300"/>
    </row>
    <row r="1054" ht="15" customHeight="1" spans="1:11">
      <c r="A1054" s="307" t="s">
        <v>5</v>
      </c>
      <c r="B1054" s="308" t="s">
        <v>6</v>
      </c>
      <c r="C1054" s="308" t="s">
        <v>7</v>
      </c>
      <c r="D1054" s="308" t="s">
        <v>8</v>
      </c>
      <c r="E1054" s="308" t="s">
        <v>9</v>
      </c>
      <c r="F1054" s="309" t="s">
        <v>10</v>
      </c>
      <c r="G1054" s="310" t="s">
        <v>11</v>
      </c>
      <c r="K1054" s="300"/>
    </row>
    <row r="1055" ht="15" customHeight="1" spans="1:11">
      <c r="A1055" s="307" t="s">
        <v>12</v>
      </c>
      <c r="B1055" s="308">
        <f>IFERROR(VLOOKUP(K1051,'2026.01'!A:Y,14,0),0)</f>
        <v>7391</v>
      </c>
      <c r="C1055" s="308">
        <f>IFERROR(VLOOKUP(K1051,'2026.01'!A:Y,13,0),0)</f>
        <v>7374</v>
      </c>
      <c r="D1055" s="308">
        <f>IFERROR(VLOOKUP(K1051,'2026.01'!A:Y,15,0),0)</f>
        <v>17</v>
      </c>
      <c r="E1055" s="311">
        <f>IFERROR(VLOOKUP(K1051,'2026.01'!A:Y,18,0),0)</f>
        <v>0.8</v>
      </c>
      <c r="F1055" s="309">
        <f>IFERROR(VLOOKUP(K1051,'2026.01'!A:Y,20,0),0)</f>
        <v>14</v>
      </c>
      <c r="G1055" s="310"/>
      <c r="K1055" s="300"/>
    </row>
    <row r="1056" ht="15" customHeight="1" spans="1:11">
      <c r="A1056" s="307" t="s">
        <v>13</v>
      </c>
      <c r="B1056" s="308"/>
      <c r="C1056" s="308"/>
      <c r="D1056" s="308"/>
      <c r="E1056" s="311"/>
      <c r="F1056" s="309">
        <f>IFERROR(VLOOKUP(K1051,'2026.01'!A:Y,24,0),0)</f>
        <v>68</v>
      </c>
      <c r="G1056" s="310"/>
      <c r="K1056" s="300"/>
    </row>
    <row r="1057" ht="15" customHeight="1" spans="1:11">
      <c r="A1057" s="307" t="s">
        <v>14</v>
      </c>
      <c r="B1057" s="308"/>
      <c r="C1057" s="308"/>
      <c r="D1057" s="308"/>
      <c r="E1057" s="311"/>
      <c r="F1057" s="309">
        <f>IFERROR(VLOOKUP(K1051,'2026.01'!A:Y,12,0),0)</f>
        <v>320</v>
      </c>
      <c r="G1057" s="310"/>
      <c r="K1057" s="300"/>
    </row>
    <row r="1058" ht="21" customHeight="1" spans="1:11">
      <c r="A1058" s="307" t="s">
        <v>15</v>
      </c>
      <c r="B1058" s="308"/>
      <c r="C1058" s="308"/>
      <c r="D1058" s="308"/>
      <c r="E1058" s="311"/>
      <c r="F1058" s="309">
        <f>IFERROR(VLOOKUP(K1051,'2026.01'!A:Y,9,0),0)</f>
        <v>5000</v>
      </c>
      <c r="G1058" s="310"/>
      <c r="K1058" s="300"/>
    </row>
    <row r="1059" ht="19" customHeight="1" spans="1:11">
      <c r="A1059" s="307" t="s">
        <v>16</v>
      </c>
      <c r="B1059" s="308"/>
      <c r="C1059" s="308"/>
      <c r="D1059" s="308"/>
      <c r="E1059" s="308"/>
      <c r="F1059" s="309">
        <f>IFERROR(VLOOKUP(K1051,'2026.01'!A:Y,10,0),0)</f>
        <v>400</v>
      </c>
      <c r="G1059" s="310"/>
      <c r="K1059" s="300"/>
    </row>
    <row r="1060" ht="21" customHeight="1" spans="1:11">
      <c r="A1060" s="307" t="s">
        <v>17</v>
      </c>
      <c r="B1060" s="308"/>
      <c r="C1060" s="308"/>
      <c r="D1060" s="308"/>
      <c r="E1060" s="308"/>
      <c r="F1060" s="309">
        <f>IFERROR(VLOOKUP(K1051,'2026.01'!A:Y,19,0),0)</f>
        <v>12</v>
      </c>
      <c r="G1060" s="310"/>
      <c r="K1060" s="300"/>
    </row>
    <row r="1061" ht="17.15" customHeight="1" spans="1:11">
      <c r="A1061" s="307" t="s">
        <v>18</v>
      </c>
      <c r="B1061" s="308"/>
      <c r="C1061" s="308"/>
      <c r="D1061" s="308"/>
      <c r="E1061" s="308"/>
      <c r="F1061" s="309">
        <f>IFERROR(VLOOKUP(K1051,'2026.01'!A:Y,22,0),0)</f>
        <v>329</v>
      </c>
      <c r="G1061" s="310"/>
      <c r="K1061" s="300"/>
    </row>
    <row r="1062" ht="17.15" customHeight="1" spans="1:11">
      <c r="A1062" s="307" t="s">
        <v>19</v>
      </c>
      <c r="B1062" s="312"/>
      <c r="C1062" s="308"/>
      <c r="D1062" s="313"/>
      <c r="E1062" s="308"/>
      <c r="F1062" s="309">
        <f>IFERROR(VLOOKUP(K1051,'2026.01'!A:Y,25,0),0)</f>
        <v>6143</v>
      </c>
      <c r="G1062" s="310"/>
      <c r="K1062" s="300"/>
    </row>
    <row r="1063" ht="15" customHeight="1" spans="1:11">
      <c r="A1063" s="314" t="s">
        <v>20</v>
      </c>
      <c r="B1063" s="315">
        <f>IF(F1062&lt;0,"金额为负，无效",INT(F1062))</f>
        <v>6143</v>
      </c>
      <c r="C1063" s="315"/>
      <c r="D1063" s="315"/>
      <c r="E1063" s="316" t="s">
        <v>21</v>
      </c>
      <c r="F1063" s="317"/>
      <c r="G1063" s="318"/>
      <c r="K1063" s="300"/>
    </row>
    <row r="1064" ht="23" customHeight="1" spans="1:11">
      <c r="A1064" s="319"/>
      <c r="B1064" s="320"/>
      <c r="C1064" s="320"/>
      <c r="D1064" s="320"/>
      <c r="E1064" s="319"/>
      <c r="F1064" s="321"/>
      <c r="G1064" s="322"/>
      <c r="K1064" s="300"/>
    </row>
    <row r="1065" ht="27" customHeight="1" spans="1:11">
      <c r="A1065" s="298" t="s">
        <v>0</v>
      </c>
      <c r="B1065" s="298"/>
      <c r="C1065" s="298"/>
      <c r="D1065" s="298"/>
      <c r="E1065" s="298"/>
      <c r="F1065" s="298"/>
      <c r="G1065" s="298"/>
      <c r="H1065" s="299"/>
      <c r="I1065" s="299"/>
      <c r="J1065" s="299"/>
      <c r="K1065" s="300">
        <v>77</v>
      </c>
    </row>
    <row r="1066" ht="15" customHeight="1" spans="1:11">
      <c r="A1066" s="301" t="s">
        <v>1</v>
      </c>
      <c r="B1066" s="301"/>
      <c r="C1066" s="301"/>
      <c r="D1066" s="301"/>
      <c r="E1066" s="301"/>
      <c r="F1066" s="301"/>
      <c r="G1066" s="302" t="str">
        <f>IFERROR(VLOOKUP(K1065,'2026.01'!A:Y,2,0),0)</f>
        <v>NO:077</v>
      </c>
      <c r="K1066" s="300"/>
    </row>
    <row r="1067" ht="15" customHeight="1" spans="1:11">
      <c r="A1067" s="303" t="s">
        <v>2</v>
      </c>
      <c r="B1067" s="304">
        <f>IFERROR(VLOOKUP(K1065,'2026.01'!A:Y,6,0),0)</f>
        <v>2008</v>
      </c>
      <c r="C1067" s="304"/>
      <c r="D1067" s="305" t="s">
        <v>3</v>
      </c>
      <c r="E1067" s="305" t="str">
        <f>IFERROR(VLOOKUP(K1065,'2026.01'!A:Y,7,0),0)</f>
        <v>黄伟军</v>
      </c>
      <c r="F1067" s="305"/>
      <c r="G1067" s="306" t="s">
        <v>4</v>
      </c>
      <c r="K1067" s="300"/>
    </row>
    <row r="1068" ht="15" customHeight="1" spans="1:11">
      <c r="A1068" s="307" t="s">
        <v>5</v>
      </c>
      <c r="B1068" s="308" t="s">
        <v>6</v>
      </c>
      <c r="C1068" s="308" t="s">
        <v>7</v>
      </c>
      <c r="D1068" s="308" t="s">
        <v>8</v>
      </c>
      <c r="E1068" s="308" t="s">
        <v>9</v>
      </c>
      <c r="F1068" s="309" t="s">
        <v>10</v>
      </c>
      <c r="G1068" s="310" t="s">
        <v>11</v>
      </c>
      <c r="K1068" s="300"/>
    </row>
    <row r="1069" ht="15" customHeight="1" spans="1:11">
      <c r="A1069" s="307" t="s">
        <v>12</v>
      </c>
      <c r="B1069" s="308">
        <f>IFERROR(VLOOKUP(K1065,'2026.01'!A:Y,14,0),0)</f>
        <v>52</v>
      </c>
      <c r="C1069" s="308">
        <f>IFERROR(VLOOKUP(K1065,'2026.01'!A:Y,13,0),0)</f>
        <v>12</v>
      </c>
      <c r="D1069" s="308">
        <f>IFERROR(VLOOKUP(K1065,'2026.01'!A:Y,15,0),0)</f>
        <v>40</v>
      </c>
      <c r="E1069" s="311">
        <f>IFERROR(VLOOKUP(K1065,'2026.01'!A:Y,18,0),0)</f>
        <v>0.8</v>
      </c>
      <c r="F1069" s="309">
        <f>IFERROR(VLOOKUP(K1065,'2026.01'!A:Y,20,0),0)</f>
        <v>32</v>
      </c>
      <c r="G1069" s="310"/>
      <c r="K1069" s="300"/>
    </row>
    <row r="1070" ht="15" customHeight="1" spans="1:11">
      <c r="A1070" s="307" t="s">
        <v>13</v>
      </c>
      <c r="B1070" s="308"/>
      <c r="C1070" s="308"/>
      <c r="D1070" s="308"/>
      <c r="E1070" s="311"/>
      <c r="F1070" s="309">
        <f>IFERROR(VLOOKUP(K1065,'2026.01'!A:Y,24,0),0)</f>
        <v>0</v>
      </c>
      <c r="G1070" s="310"/>
      <c r="K1070" s="300"/>
    </row>
    <row r="1071" ht="15" customHeight="1" spans="1:11">
      <c r="A1071" s="307" t="s">
        <v>14</v>
      </c>
      <c r="B1071" s="308"/>
      <c r="C1071" s="308"/>
      <c r="D1071" s="308"/>
      <c r="E1071" s="311"/>
      <c r="F1071" s="309">
        <f>IFERROR(VLOOKUP(K1065,'2026.01'!A:Y,12,0),0)</f>
        <v>0</v>
      </c>
      <c r="G1071" s="310"/>
      <c r="K1071" s="300"/>
    </row>
    <row r="1072" ht="21" customHeight="1" spans="1:11">
      <c r="A1072" s="307" t="s">
        <v>15</v>
      </c>
      <c r="B1072" s="308"/>
      <c r="C1072" s="308"/>
      <c r="D1072" s="308"/>
      <c r="E1072" s="311"/>
      <c r="F1072" s="309">
        <f>IFERROR(VLOOKUP(K1065,'2026.01'!A:Y,9,0),0)</f>
        <v>0</v>
      </c>
      <c r="G1072" s="310"/>
      <c r="K1072" s="300"/>
    </row>
    <row r="1073" ht="19" customHeight="1" spans="1:11">
      <c r="A1073" s="307" t="s">
        <v>16</v>
      </c>
      <c r="B1073" s="308"/>
      <c r="C1073" s="308"/>
      <c r="D1073" s="308"/>
      <c r="E1073" s="308"/>
      <c r="F1073" s="309">
        <f>IFERROR(VLOOKUP(K1065,'2026.01'!A:Y,10,0),0)</f>
        <v>0</v>
      </c>
      <c r="G1073" s="310"/>
      <c r="K1073" s="300"/>
    </row>
    <row r="1074" ht="21" customHeight="1" spans="1:11">
      <c r="A1074" s="307" t="s">
        <v>17</v>
      </c>
      <c r="B1074" s="308"/>
      <c r="C1074" s="308"/>
      <c r="D1074" s="308"/>
      <c r="E1074" s="308"/>
      <c r="F1074" s="309">
        <f>IFERROR(VLOOKUP(K1065,'2026.01'!A:Y,19,0),0)</f>
        <v>28</v>
      </c>
      <c r="G1074" s="310"/>
      <c r="K1074" s="300"/>
    </row>
    <row r="1075" ht="17.15" customHeight="1" spans="1:11">
      <c r="A1075" s="307" t="s">
        <v>18</v>
      </c>
      <c r="B1075" s="308"/>
      <c r="C1075" s="308"/>
      <c r="D1075" s="308"/>
      <c r="E1075" s="308"/>
      <c r="F1075" s="309">
        <f>IFERROR(VLOOKUP(K1065,'2026.01'!A:Y,22,0),0)</f>
        <v>0</v>
      </c>
      <c r="G1075" s="310"/>
      <c r="K1075" s="300"/>
    </row>
    <row r="1076" ht="17.15" customHeight="1" spans="1:11">
      <c r="A1076" s="307" t="s">
        <v>19</v>
      </c>
      <c r="B1076" s="312"/>
      <c r="C1076" s="308"/>
      <c r="D1076" s="313"/>
      <c r="E1076" s="308"/>
      <c r="F1076" s="309">
        <f>IFERROR(VLOOKUP(K1065,'2026.01'!A:Y,25,0),0)</f>
        <v>60</v>
      </c>
      <c r="G1076" s="310"/>
      <c r="K1076" s="300"/>
    </row>
    <row r="1077" ht="15" customHeight="1" spans="1:11">
      <c r="A1077" s="314" t="s">
        <v>20</v>
      </c>
      <c r="B1077" s="315">
        <f>IF(F1076&lt;0,"金额为负，无效",INT(F1076))</f>
        <v>60</v>
      </c>
      <c r="C1077" s="315"/>
      <c r="D1077" s="315"/>
      <c r="E1077" s="316" t="s">
        <v>21</v>
      </c>
      <c r="F1077" s="317"/>
      <c r="G1077" s="318"/>
      <c r="K1077" s="300"/>
    </row>
    <row r="1078" ht="23" customHeight="1" spans="1:11">
      <c r="A1078" s="319"/>
      <c r="B1078" s="320"/>
      <c r="C1078" s="320"/>
      <c r="D1078" s="320"/>
      <c r="E1078" s="319"/>
      <c r="F1078" s="321"/>
      <c r="G1078" s="322"/>
      <c r="K1078" s="300"/>
    </row>
    <row r="1079" ht="27" customHeight="1" spans="1:11">
      <c r="A1079" s="298" t="s">
        <v>0</v>
      </c>
      <c r="B1079" s="298"/>
      <c r="C1079" s="298"/>
      <c r="D1079" s="298"/>
      <c r="E1079" s="298"/>
      <c r="F1079" s="298"/>
      <c r="G1079" s="298"/>
      <c r="H1079" s="299"/>
      <c r="I1079" s="299"/>
      <c r="J1079" s="299"/>
      <c r="K1079" s="300">
        <v>78</v>
      </c>
    </row>
    <row r="1080" ht="15" customHeight="1" spans="1:11">
      <c r="A1080" s="301" t="s">
        <v>1</v>
      </c>
      <c r="B1080" s="301"/>
      <c r="C1080" s="301"/>
      <c r="D1080" s="301"/>
      <c r="E1080" s="301"/>
      <c r="F1080" s="301"/>
      <c r="G1080" s="302" t="str">
        <f>IFERROR(VLOOKUP(K1079,'2026.01'!A:Y,2,0),0)</f>
        <v>NO:078</v>
      </c>
      <c r="K1080" s="300"/>
    </row>
    <row r="1081" ht="15" customHeight="1" spans="1:11">
      <c r="A1081" s="303" t="s">
        <v>2</v>
      </c>
      <c r="B1081" s="304">
        <f>IFERROR(VLOOKUP(K1079,'2026.01'!A:Y,6,0),0)</f>
        <v>2009</v>
      </c>
      <c r="C1081" s="304"/>
      <c r="D1081" s="305" t="s">
        <v>3</v>
      </c>
      <c r="E1081" s="305" t="str">
        <f>IFERROR(VLOOKUP(K1079,'2026.01'!A:Y,7,0),0)</f>
        <v>冯世豪</v>
      </c>
      <c r="F1081" s="305"/>
      <c r="G1081" s="306" t="s">
        <v>4</v>
      </c>
      <c r="K1081" s="300"/>
    </row>
    <row r="1082" ht="15" customHeight="1" spans="1:11">
      <c r="A1082" s="307" t="s">
        <v>5</v>
      </c>
      <c r="B1082" s="308" t="s">
        <v>6</v>
      </c>
      <c r="C1082" s="308" t="s">
        <v>7</v>
      </c>
      <c r="D1082" s="308" t="s">
        <v>8</v>
      </c>
      <c r="E1082" s="308" t="s">
        <v>9</v>
      </c>
      <c r="F1082" s="309" t="s">
        <v>10</v>
      </c>
      <c r="G1082" s="310" t="s">
        <v>11</v>
      </c>
      <c r="K1082" s="300"/>
    </row>
    <row r="1083" ht="15" customHeight="1" spans="1:11">
      <c r="A1083" s="307" t="s">
        <v>12</v>
      </c>
      <c r="B1083" s="308">
        <f>IFERROR(VLOOKUP(K1079,'2026.01'!A:Y,14,0),0)</f>
        <v>4660</v>
      </c>
      <c r="C1083" s="308">
        <f>IFERROR(VLOOKUP(K1079,'2026.01'!A:Y,13,0),0)</f>
        <v>4634</v>
      </c>
      <c r="D1083" s="308">
        <f>IFERROR(VLOOKUP(K1079,'2026.01'!A:Y,15,0),0)</f>
        <v>26</v>
      </c>
      <c r="E1083" s="311">
        <f>IFERROR(VLOOKUP(K1079,'2026.01'!A:Y,18,0),0)</f>
        <v>0.8</v>
      </c>
      <c r="F1083" s="309">
        <f>IFERROR(VLOOKUP(K1079,'2026.01'!A:Y,20,0),0)</f>
        <v>21</v>
      </c>
      <c r="G1083" s="310"/>
      <c r="K1083" s="300"/>
    </row>
    <row r="1084" ht="15" customHeight="1" spans="1:11">
      <c r="A1084" s="307" t="s">
        <v>13</v>
      </c>
      <c r="B1084" s="308"/>
      <c r="C1084" s="308"/>
      <c r="D1084" s="308"/>
      <c r="E1084" s="311"/>
      <c r="F1084" s="309">
        <f>IFERROR(VLOOKUP(K1079,'2026.01'!A:Y,24,0),0)</f>
        <v>34</v>
      </c>
      <c r="G1084" s="310"/>
      <c r="K1084" s="300"/>
    </row>
    <row r="1085" ht="15" customHeight="1" spans="1:11">
      <c r="A1085" s="307" t="s">
        <v>14</v>
      </c>
      <c r="B1085" s="308"/>
      <c r="C1085" s="308"/>
      <c r="D1085" s="308"/>
      <c r="E1085" s="311"/>
      <c r="F1085" s="309">
        <f>IFERROR(VLOOKUP(K1079,'2026.01'!A:Y,12,0),0)</f>
        <v>160</v>
      </c>
      <c r="G1085" s="310"/>
      <c r="K1085" s="300"/>
    </row>
    <row r="1086" ht="21" customHeight="1" spans="1:11">
      <c r="A1086" s="307" t="s">
        <v>15</v>
      </c>
      <c r="B1086" s="308"/>
      <c r="C1086" s="308"/>
      <c r="D1086" s="308"/>
      <c r="E1086" s="311"/>
      <c r="F1086" s="309">
        <f>IFERROR(VLOOKUP(K1079,'2026.01'!A:Y,9,0),0)</f>
        <v>2500</v>
      </c>
      <c r="G1086" s="310"/>
      <c r="K1086" s="300"/>
    </row>
    <row r="1087" ht="19" customHeight="1" spans="1:11">
      <c r="A1087" s="307" t="s">
        <v>16</v>
      </c>
      <c r="B1087" s="308"/>
      <c r="C1087" s="308"/>
      <c r="D1087" s="308"/>
      <c r="E1087" s="308"/>
      <c r="F1087" s="309">
        <f>IFERROR(VLOOKUP(K1079,'2026.01'!A:Y,10,0),0)</f>
        <v>200</v>
      </c>
      <c r="G1087" s="310"/>
      <c r="K1087" s="300"/>
    </row>
    <row r="1088" ht="21" customHeight="1" spans="1:11">
      <c r="A1088" s="307" t="s">
        <v>17</v>
      </c>
      <c r="B1088" s="308"/>
      <c r="C1088" s="308"/>
      <c r="D1088" s="308"/>
      <c r="E1088" s="308"/>
      <c r="F1088" s="309">
        <f>IFERROR(VLOOKUP(K1079,'2026.01'!A:Y,19,0),0)</f>
        <v>18</v>
      </c>
      <c r="G1088" s="310"/>
      <c r="K1088" s="300"/>
    </row>
    <row r="1089" ht="17.15" customHeight="1" spans="1:11">
      <c r="A1089" s="307" t="s">
        <v>18</v>
      </c>
      <c r="B1089" s="308"/>
      <c r="C1089" s="308"/>
      <c r="D1089" s="308"/>
      <c r="E1089" s="308"/>
      <c r="F1089" s="309">
        <f>IFERROR(VLOOKUP(K1079,'2026.01'!A:Y,22,0),0)</f>
        <v>164</v>
      </c>
      <c r="G1089" s="310"/>
      <c r="K1089" s="300"/>
    </row>
    <row r="1090" ht="17.15" customHeight="1" spans="1:11">
      <c r="A1090" s="307" t="s">
        <v>19</v>
      </c>
      <c r="B1090" s="312"/>
      <c r="C1090" s="308"/>
      <c r="D1090" s="313"/>
      <c r="E1090" s="308"/>
      <c r="F1090" s="309">
        <f>IFERROR(VLOOKUP(K1079,'2026.01'!A:Y,25,0),0)</f>
        <v>3097</v>
      </c>
      <c r="G1090" s="310"/>
      <c r="K1090" s="300"/>
    </row>
    <row r="1091" ht="15" customHeight="1" spans="1:11">
      <c r="A1091" s="314" t="s">
        <v>20</v>
      </c>
      <c r="B1091" s="315">
        <f>IF(F1090&lt;0,"金额为负，无效",INT(F1090))</f>
        <v>3097</v>
      </c>
      <c r="C1091" s="315"/>
      <c r="D1091" s="315"/>
      <c r="E1091" s="316" t="s">
        <v>21</v>
      </c>
      <c r="F1091" s="317"/>
      <c r="G1091" s="318"/>
      <c r="K1091" s="300"/>
    </row>
    <row r="1092" ht="15" customHeight="1" spans="1:11">
      <c r="A1092" s="319"/>
      <c r="B1092" s="320"/>
      <c r="C1092" s="320"/>
      <c r="D1092" s="320"/>
      <c r="E1092" s="319"/>
      <c r="F1092" s="321"/>
      <c r="G1092" s="322"/>
      <c r="K1092" s="300"/>
    </row>
    <row r="1093" ht="27" customHeight="1" spans="1:11">
      <c r="A1093" s="298" t="s">
        <v>0</v>
      </c>
      <c r="B1093" s="298"/>
      <c r="C1093" s="298"/>
      <c r="D1093" s="298"/>
      <c r="E1093" s="298"/>
      <c r="F1093" s="298"/>
      <c r="G1093" s="298"/>
      <c r="H1093" s="299"/>
      <c r="I1093" s="299"/>
      <c r="J1093" s="299"/>
      <c r="K1093" s="300">
        <v>79</v>
      </c>
    </row>
    <row r="1094" ht="15" customHeight="1" spans="1:11">
      <c r="A1094" s="301" t="s">
        <v>1</v>
      </c>
      <c r="B1094" s="301"/>
      <c r="C1094" s="301"/>
      <c r="D1094" s="301"/>
      <c r="E1094" s="301"/>
      <c r="F1094" s="301"/>
      <c r="G1094" s="302" t="str">
        <f>IFERROR(VLOOKUP(K1093,'2026.01'!A:Y,2,0),0)</f>
        <v>NO:079</v>
      </c>
      <c r="K1094" s="300"/>
    </row>
    <row r="1095" ht="15" customHeight="1" spans="1:11">
      <c r="A1095" s="303" t="s">
        <v>2</v>
      </c>
      <c r="B1095" s="304">
        <f>IFERROR(VLOOKUP(K1093,'2026.01'!A:Y,6,0),0)</f>
        <v>2010</v>
      </c>
      <c r="C1095" s="304"/>
      <c r="D1095" s="305" t="s">
        <v>3</v>
      </c>
      <c r="E1095" s="305" t="str">
        <f>IFERROR(VLOOKUP(K1093,'2026.01'!A:Y,7,0),0)</f>
        <v>王既异</v>
      </c>
      <c r="F1095" s="305"/>
      <c r="G1095" s="306" t="s">
        <v>4</v>
      </c>
      <c r="K1095" s="300"/>
    </row>
    <row r="1096" ht="15" customHeight="1" spans="1:11">
      <c r="A1096" s="307" t="s">
        <v>5</v>
      </c>
      <c r="B1096" s="308" t="s">
        <v>6</v>
      </c>
      <c r="C1096" s="308" t="s">
        <v>7</v>
      </c>
      <c r="D1096" s="308" t="s">
        <v>8</v>
      </c>
      <c r="E1096" s="308" t="s">
        <v>9</v>
      </c>
      <c r="F1096" s="309" t="s">
        <v>10</v>
      </c>
      <c r="G1096" s="310" t="s">
        <v>11</v>
      </c>
      <c r="K1096" s="300"/>
    </row>
    <row r="1097" ht="15" customHeight="1" spans="1:11">
      <c r="A1097" s="307" t="s">
        <v>12</v>
      </c>
      <c r="B1097" s="308">
        <f>IFERROR(VLOOKUP(K1093,'2026.01'!A:Y,14,0),0)</f>
        <v>1301</v>
      </c>
      <c r="C1097" s="308">
        <f>IFERROR(VLOOKUP(K1093,'2026.01'!A:Y,13,0),0)</f>
        <v>1267</v>
      </c>
      <c r="D1097" s="308">
        <f>IFERROR(VLOOKUP(K1093,'2026.01'!A:Y,15,0),0)</f>
        <v>34</v>
      </c>
      <c r="E1097" s="311">
        <f>IFERROR(VLOOKUP(K1093,'2026.01'!A:Y,18,0),0)</f>
        <v>0.8</v>
      </c>
      <c r="F1097" s="309">
        <f>IFERROR(VLOOKUP(K1093,'2026.01'!A:Y,20,0),0)</f>
        <v>27</v>
      </c>
      <c r="G1097" s="310"/>
      <c r="K1097" s="300"/>
    </row>
    <row r="1098" ht="15" customHeight="1" spans="1:11">
      <c r="A1098" s="307" t="s">
        <v>13</v>
      </c>
      <c r="B1098" s="308"/>
      <c r="C1098" s="308"/>
      <c r="D1098" s="308"/>
      <c r="E1098" s="311"/>
      <c r="F1098" s="309">
        <f>IFERROR(VLOOKUP(K1093,'2026.01'!A:Y,24,0),0)</f>
        <v>34</v>
      </c>
      <c r="G1098" s="310"/>
      <c r="K1098" s="300"/>
    </row>
    <row r="1099" ht="15" customHeight="1" spans="1:11">
      <c r="A1099" s="307" t="s">
        <v>14</v>
      </c>
      <c r="B1099" s="308"/>
      <c r="C1099" s="308"/>
      <c r="D1099" s="308"/>
      <c r="E1099" s="311"/>
      <c r="F1099" s="309">
        <f>IFERROR(VLOOKUP(K1093,'2026.01'!A:Y,12,0),0)</f>
        <v>160</v>
      </c>
      <c r="G1099" s="310"/>
      <c r="K1099" s="300"/>
    </row>
    <row r="1100" ht="21" customHeight="1" spans="1:11">
      <c r="A1100" s="307" t="s">
        <v>15</v>
      </c>
      <c r="B1100" s="308"/>
      <c r="C1100" s="308"/>
      <c r="D1100" s="308"/>
      <c r="E1100" s="311"/>
      <c r="F1100" s="309">
        <f>IFERROR(VLOOKUP(K1093,'2026.01'!A:Y,9,0),0)</f>
        <v>2500</v>
      </c>
      <c r="G1100" s="310"/>
      <c r="K1100" s="300"/>
    </row>
    <row r="1101" ht="19" customHeight="1" spans="1:11">
      <c r="A1101" s="307" t="s">
        <v>16</v>
      </c>
      <c r="B1101" s="308"/>
      <c r="C1101" s="308"/>
      <c r="D1101" s="308"/>
      <c r="E1101" s="308"/>
      <c r="F1101" s="309">
        <f>IFERROR(VLOOKUP(K1093,'2026.01'!A:Y,10,0),0)</f>
        <v>200</v>
      </c>
      <c r="G1101" s="310"/>
      <c r="K1101" s="300"/>
    </row>
    <row r="1102" ht="21" customHeight="1" spans="1:11">
      <c r="A1102" s="307" t="s">
        <v>17</v>
      </c>
      <c r="B1102" s="308"/>
      <c r="C1102" s="308"/>
      <c r="D1102" s="308"/>
      <c r="E1102" s="308"/>
      <c r="F1102" s="309">
        <f>IFERROR(VLOOKUP(K1093,'2026.01'!A:Y,19,0),0)</f>
        <v>24</v>
      </c>
      <c r="G1102" s="310"/>
      <c r="K1102" s="300"/>
    </row>
    <row r="1103" ht="17.15" customHeight="1" spans="1:11">
      <c r="A1103" s="307" t="s">
        <v>18</v>
      </c>
      <c r="B1103" s="308"/>
      <c r="C1103" s="308"/>
      <c r="D1103" s="308"/>
      <c r="E1103" s="308"/>
      <c r="F1103" s="309">
        <f>IFERROR(VLOOKUP(K1093,'2026.01'!A:Y,22,0),0)</f>
        <v>164</v>
      </c>
      <c r="G1103" s="310"/>
      <c r="K1103" s="300"/>
    </row>
    <row r="1104" ht="17.15" customHeight="1" spans="1:11">
      <c r="A1104" s="307" t="s">
        <v>19</v>
      </c>
      <c r="B1104" s="312"/>
      <c r="C1104" s="308"/>
      <c r="D1104" s="313"/>
      <c r="E1104" s="308"/>
      <c r="F1104" s="309">
        <f>IFERROR(VLOOKUP(K1093,'2026.01'!A:Y,25,0),0)</f>
        <v>3109</v>
      </c>
      <c r="G1104" s="310"/>
      <c r="K1104" s="300"/>
    </row>
    <row r="1105" ht="15" customHeight="1" spans="1:11">
      <c r="A1105" s="314" t="s">
        <v>20</v>
      </c>
      <c r="B1105" s="315">
        <f>IF(F1104&lt;0,"金额为负，无效",INT(F1104))</f>
        <v>3109</v>
      </c>
      <c r="C1105" s="315"/>
      <c r="D1105" s="315"/>
      <c r="E1105" s="316" t="s">
        <v>21</v>
      </c>
      <c r="F1105" s="317"/>
      <c r="G1105" s="318"/>
      <c r="K1105" s="300"/>
    </row>
    <row r="1106" ht="23" customHeight="1" spans="1:11">
      <c r="A1106" s="319"/>
      <c r="B1106" s="320"/>
      <c r="C1106" s="320"/>
      <c r="D1106" s="320"/>
      <c r="E1106" s="319"/>
      <c r="F1106" s="321"/>
      <c r="G1106" s="322"/>
      <c r="K1106" s="300"/>
    </row>
    <row r="1107" ht="27" customHeight="1" spans="1:11">
      <c r="A1107" s="298" t="s">
        <v>0</v>
      </c>
      <c r="B1107" s="298"/>
      <c r="C1107" s="298"/>
      <c r="D1107" s="298"/>
      <c r="E1107" s="298"/>
      <c r="F1107" s="298"/>
      <c r="G1107" s="298"/>
      <c r="H1107" s="299"/>
      <c r="I1107" s="299"/>
      <c r="J1107" s="299"/>
      <c r="K1107" s="300">
        <v>80</v>
      </c>
    </row>
    <row r="1108" ht="15" customHeight="1" spans="1:11">
      <c r="A1108" s="301" t="s">
        <v>1</v>
      </c>
      <c r="B1108" s="301"/>
      <c r="C1108" s="301"/>
      <c r="D1108" s="301"/>
      <c r="E1108" s="301"/>
      <c r="F1108" s="301"/>
      <c r="G1108" s="302" t="str">
        <f>IFERROR(VLOOKUP(K1107,'2026.01'!A:Y,2,0),0)</f>
        <v>NO:080</v>
      </c>
      <c r="K1108" s="300"/>
    </row>
    <row r="1109" ht="15" customHeight="1" spans="1:11">
      <c r="A1109" s="303" t="s">
        <v>2</v>
      </c>
      <c r="B1109" s="304">
        <f>IFERROR(VLOOKUP(K1107,'2026.01'!A:Y,6,0),0)</f>
        <v>2011</v>
      </c>
      <c r="C1109" s="304"/>
      <c r="D1109" s="305" t="s">
        <v>3</v>
      </c>
      <c r="E1109" s="305" t="str">
        <f>IFERROR(VLOOKUP(K1107,'2026.01'!A:Y,7,0),0)</f>
        <v>颜艳军</v>
      </c>
      <c r="F1109" s="305"/>
      <c r="G1109" s="306" t="s">
        <v>4</v>
      </c>
      <c r="K1109" s="300"/>
    </row>
    <row r="1110" ht="15" customHeight="1" spans="1:11">
      <c r="A1110" s="307" t="s">
        <v>5</v>
      </c>
      <c r="B1110" s="308" t="s">
        <v>6</v>
      </c>
      <c r="C1110" s="308" t="s">
        <v>7</v>
      </c>
      <c r="D1110" s="308" t="s">
        <v>8</v>
      </c>
      <c r="E1110" s="308" t="s">
        <v>9</v>
      </c>
      <c r="F1110" s="309" t="s">
        <v>10</v>
      </c>
      <c r="G1110" s="310" t="s">
        <v>11</v>
      </c>
      <c r="K1110" s="300"/>
    </row>
    <row r="1111" ht="15" customHeight="1" spans="1:11">
      <c r="A1111" s="307" t="s">
        <v>12</v>
      </c>
      <c r="B1111" s="308">
        <f>IFERROR(VLOOKUP(K1107,'2026.01'!A:Y,14,0),0)</f>
        <v>8743</v>
      </c>
      <c r="C1111" s="308">
        <f>IFERROR(VLOOKUP(K1107,'2026.01'!A:Y,13,0),0)</f>
        <v>8680</v>
      </c>
      <c r="D1111" s="308">
        <f>IFERROR(VLOOKUP(K1107,'2026.01'!A:Y,15,0),0)</f>
        <v>63</v>
      </c>
      <c r="E1111" s="311">
        <f>IFERROR(VLOOKUP(K1107,'2026.01'!A:Y,18,0),0)</f>
        <v>0.8</v>
      </c>
      <c r="F1111" s="309">
        <f>IFERROR(VLOOKUP(K1107,'2026.01'!A:Y,20,0),0)</f>
        <v>50</v>
      </c>
      <c r="G1111" s="310"/>
      <c r="K1111" s="300"/>
    </row>
    <row r="1112" ht="15" customHeight="1" spans="1:11">
      <c r="A1112" s="307" t="s">
        <v>13</v>
      </c>
      <c r="B1112" s="308"/>
      <c r="C1112" s="308"/>
      <c r="D1112" s="308"/>
      <c r="E1112" s="311"/>
      <c r="F1112" s="309">
        <f>IFERROR(VLOOKUP(K1107,'2026.01'!A:Y,24,0),0)</f>
        <v>34</v>
      </c>
      <c r="G1112" s="310"/>
      <c r="K1112" s="300"/>
    </row>
    <row r="1113" ht="15" customHeight="1" spans="1:11">
      <c r="A1113" s="307" t="s">
        <v>14</v>
      </c>
      <c r="B1113" s="308"/>
      <c r="C1113" s="308"/>
      <c r="D1113" s="308"/>
      <c r="E1113" s="311"/>
      <c r="F1113" s="309">
        <f>IFERROR(VLOOKUP(K1107,'2026.01'!A:Y,12,0),0)</f>
        <v>160</v>
      </c>
      <c r="G1113" s="310"/>
      <c r="K1113" s="300"/>
    </row>
    <row r="1114" ht="21" customHeight="1" spans="1:11">
      <c r="A1114" s="307" t="s">
        <v>15</v>
      </c>
      <c r="B1114" s="308"/>
      <c r="C1114" s="308"/>
      <c r="D1114" s="308"/>
      <c r="E1114" s="311"/>
      <c r="F1114" s="309">
        <f>IFERROR(VLOOKUP(K1107,'2026.01'!A:Y,9,0),0)</f>
        <v>2500</v>
      </c>
      <c r="G1114" s="310"/>
      <c r="K1114" s="300"/>
    </row>
    <row r="1115" ht="19" customHeight="1" spans="1:11">
      <c r="A1115" s="307" t="s">
        <v>16</v>
      </c>
      <c r="B1115" s="308"/>
      <c r="C1115" s="308"/>
      <c r="D1115" s="308"/>
      <c r="E1115" s="308"/>
      <c r="F1115" s="309">
        <f>IFERROR(VLOOKUP(K1107,'2026.01'!A:Y,10,0),0)</f>
        <v>200</v>
      </c>
      <c r="G1115" s="310"/>
      <c r="K1115" s="300"/>
    </row>
    <row r="1116" ht="21" customHeight="1" spans="1:11">
      <c r="A1116" s="307" t="s">
        <v>17</v>
      </c>
      <c r="B1116" s="308"/>
      <c r="C1116" s="308"/>
      <c r="D1116" s="308"/>
      <c r="E1116" s="308"/>
      <c r="F1116" s="309">
        <f>IFERROR(VLOOKUP(K1107,'2026.01'!A:Y,19,0),0)</f>
        <v>44</v>
      </c>
      <c r="G1116" s="310"/>
      <c r="K1116" s="300"/>
    </row>
    <row r="1117" ht="17.15" customHeight="1" spans="1:11">
      <c r="A1117" s="307" t="s">
        <v>18</v>
      </c>
      <c r="B1117" s="308"/>
      <c r="C1117" s="308"/>
      <c r="D1117" s="308"/>
      <c r="E1117" s="308"/>
      <c r="F1117" s="309">
        <f>IFERROR(VLOOKUP(K1107,'2026.01'!A:Y,22,0),0)</f>
        <v>164</v>
      </c>
      <c r="G1117" s="310"/>
      <c r="K1117" s="300"/>
    </row>
    <row r="1118" ht="17.15" customHeight="1" spans="1:11">
      <c r="A1118" s="307" t="s">
        <v>19</v>
      </c>
      <c r="B1118" s="312"/>
      <c r="C1118" s="308"/>
      <c r="D1118" s="313"/>
      <c r="E1118" s="308"/>
      <c r="F1118" s="309">
        <f>IFERROR(VLOOKUP(K1107,'2026.01'!A:Y,25,0),0)</f>
        <v>3152</v>
      </c>
      <c r="G1118" s="310"/>
      <c r="K1118" s="300"/>
    </row>
    <row r="1119" ht="15" customHeight="1" spans="1:11">
      <c r="A1119" s="314" t="s">
        <v>20</v>
      </c>
      <c r="B1119" s="315">
        <f>IF(F1118&lt;0,"金额为负，无效",INT(F1118))</f>
        <v>3152</v>
      </c>
      <c r="C1119" s="315"/>
      <c r="D1119" s="315"/>
      <c r="E1119" s="316" t="s">
        <v>21</v>
      </c>
      <c r="F1119" s="317"/>
      <c r="G1119" s="318"/>
      <c r="K1119" s="300"/>
    </row>
    <row r="1120" ht="23" customHeight="1" spans="1:11">
      <c r="A1120" s="319"/>
      <c r="B1120" s="320"/>
      <c r="C1120" s="320"/>
      <c r="D1120" s="320"/>
      <c r="E1120" s="319"/>
      <c r="F1120" s="321"/>
      <c r="G1120" s="322"/>
      <c r="K1120" s="300"/>
    </row>
    <row r="1121" ht="27" customHeight="1" spans="1:11">
      <c r="A1121" s="298" t="s">
        <v>0</v>
      </c>
      <c r="B1121" s="298"/>
      <c r="C1121" s="298"/>
      <c r="D1121" s="298"/>
      <c r="E1121" s="298"/>
      <c r="F1121" s="298"/>
      <c r="G1121" s="298"/>
      <c r="H1121" s="299"/>
      <c r="I1121" s="299"/>
      <c r="J1121" s="299"/>
      <c r="K1121" s="300">
        <v>81</v>
      </c>
    </row>
    <row r="1122" ht="15" customHeight="1" spans="1:11">
      <c r="A1122" s="301" t="s">
        <v>1</v>
      </c>
      <c r="B1122" s="301"/>
      <c r="C1122" s="301"/>
      <c r="D1122" s="301"/>
      <c r="E1122" s="301"/>
      <c r="F1122" s="301"/>
      <c r="G1122" s="302" t="str">
        <f>IFERROR(VLOOKUP(K1121,'2026.01'!A:Y,2,0),0)</f>
        <v>NO:081</v>
      </c>
      <c r="K1122" s="300"/>
    </row>
    <row r="1123" ht="15" customHeight="1" spans="1:11">
      <c r="A1123" s="303" t="s">
        <v>2</v>
      </c>
      <c r="B1123" s="304">
        <f>IFERROR(VLOOKUP(K1121,'2026.01'!A:Y,6,0),0)</f>
        <v>2012</v>
      </c>
      <c r="C1123" s="304"/>
      <c r="D1123" s="305" t="s">
        <v>3</v>
      </c>
      <c r="E1123" s="305" t="str">
        <f>IFERROR(VLOOKUP(K1121,'2026.01'!A:Y,7,0),0)</f>
        <v>卢永永</v>
      </c>
      <c r="F1123" s="305"/>
      <c r="G1123" s="306" t="s">
        <v>4</v>
      </c>
      <c r="K1123" s="300"/>
    </row>
    <row r="1124" ht="15" customHeight="1" spans="1:11">
      <c r="A1124" s="307" t="s">
        <v>5</v>
      </c>
      <c r="B1124" s="308" t="s">
        <v>6</v>
      </c>
      <c r="C1124" s="308" t="s">
        <v>7</v>
      </c>
      <c r="D1124" s="308" t="s">
        <v>8</v>
      </c>
      <c r="E1124" s="308" t="s">
        <v>9</v>
      </c>
      <c r="F1124" s="309" t="s">
        <v>10</v>
      </c>
      <c r="G1124" s="310" t="s">
        <v>11</v>
      </c>
      <c r="K1124" s="300"/>
    </row>
    <row r="1125" ht="15" customHeight="1" spans="1:11">
      <c r="A1125" s="307" t="s">
        <v>12</v>
      </c>
      <c r="B1125" s="308">
        <f>IFERROR(VLOOKUP(K1121,'2026.01'!A:Y,14,0),0)</f>
        <v>592</v>
      </c>
      <c r="C1125" s="308">
        <f>IFERROR(VLOOKUP(K1121,'2026.01'!A:Y,13,0),0)</f>
        <v>554</v>
      </c>
      <c r="D1125" s="308">
        <f>IFERROR(VLOOKUP(K1121,'2026.01'!A:Y,15,0),0)</f>
        <v>38</v>
      </c>
      <c r="E1125" s="311">
        <f>IFERROR(VLOOKUP(K1121,'2026.01'!A:Y,18,0),0)</f>
        <v>0.8</v>
      </c>
      <c r="F1125" s="309">
        <f>IFERROR(VLOOKUP(K1121,'2026.01'!A:Y,20,0),0)</f>
        <v>30</v>
      </c>
      <c r="G1125" s="310"/>
      <c r="K1125" s="300"/>
    </row>
    <row r="1126" ht="15" customHeight="1" spans="1:11">
      <c r="A1126" s="307" t="s">
        <v>13</v>
      </c>
      <c r="B1126" s="308"/>
      <c r="C1126" s="308"/>
      <c r="D1126" s="308"/>
      <c r="E1126" s="311"/>
      <c r="F1126" s="309">
        <f>IFERROR(VLOOKUP(K1121,'2026.01'!A:Y,24,0),0)</f>
        <v>34</v>
      </c>
      <c r="G1126" s="310"/>
      <c r="K1126" s="300"/>
    </row>
    <row r="1127" ht="15" customHeight="1" spans="1:11">
      <c r="A1127" s="307" t="s">
        <v>14</v>
      </c>
      <c r="B1127" s="308"/>
      <c r="C1127" s="308"/>
      <c r="D1127" s="308"/>
      <c r="E1127" s="311"/>
      <c r="F1127" s="309">
        <f>IFERROR(VLOOKUP(K1121,'2026.01'!A:Y,12,0),0)</f>
        <v>160</v>
      </c>
      <c r="G1127" s="310"/>
      <c r="K1127" s="300"/>
    </row>
    <row r="1128" ht="21" customHeight="1" spans="1:11">
      <c r="A1128" s="307" t="s">
        <v>15</v>
      </c>
      <c r="B1128" s="308"/>
      <c r="C1128" s="308"/>
      <c r="D1128" s="308"/>
      <c r="E1128" s="311"/>
      <c r="F1128" s="309">
        <f>IFERROR(VLOOKUP(K1121,'2026.01'!A:Y,9,0),0)</f>
        <v>2500</v>
      </c>
      <c r="G1128" s="310"/>
      <c r="K1128" s="300"/>
    </row>
    <row r="1129" ht="19" customHeight="1" spans="1:11">
      <c r="A1129" s="307" t="s">
        <v>16</v>
      </c>
      <c r="B1129" s="308"/>
      <c r="C1129" s="308"/>
      <c r="D1129" s="308"/>
      <c r="E1129" s="308"/>
      <c r="F1129" s="309">
        <f>IFERROR(VLOOKUP(K1121,'2026.01'!A:Y,10,0),0)</f>
        <v>200</v>
      </c>
      <c r="G1129" s="310"/>
      <c r="K1129" s="300"/>
    </row>
    <row r="1130" ht="21" customHeight="1" spans="1:11">
      <c r="A1130" s="307" t="s">
        <v>17</v>
      </c>
      <c r="B1130" s="308"/>
      <c r="C1130" s="308"/>
      <c r="D1130" s="308"/>
      <c r="E1130" s="308"/>
      <c r="F1130" s="309">
        <f>IFERROR(VLOOKUP(K1121,'2026.01'!A:Y,19,0),0)</f>
        <v>27</v>
      </c>
      <c r="G1130" s="310"/>
      <c r="K1130" s="300"/>
    </row>
    <row r="1131" ht="17.15" customHeight="1" spans="1:11">
      <c r="A1131" s="307" t="s">
        <v>18</v>
      </c>
      <c r="B1131" s="308"/>
      <c r="C1131" s="308"/>
      <c r="D1131" s="308"/>
      <c r="E1131" s="308"/>
      <c r="F1131" s="309">
        <f>IFERROR(VLOOKUP(K1121,'2026.01'!A:Y,22,0),0)</f>
        <v>164</v>
      </c>
      <c r="G1131" s="310"/>
      <c r="K1131" s="300"/>
    </row>
    <row r="1132" ht="17.15" customHeight="1" spans="1:11">
      <c r="A1132" s="307" t="s">
        <v>19</v>
      </c>
      <c r="B1132" s="312"/>
      <c r="C1132" s="308"/>
      <c r="D1132" s="313"/>
      <c r="E1132" s="308"/>
      <c r="F1132" s="309">
        <f>IFERROR(VLOOKUP(K1121,'2026.01'!A:Y,25,0),0)</f>
        <v>3115</v>
      </c>
      <c r="G1132" s="310"/>
      <c r="K1132" s="300"/>
    </row>
    <row r="1133" ht="15" customHeight="1" spans="1:11">
      <c r="A1133" s="314" t="s">
        <v>20</v>
      </c>
      <c r="B1133" s="315">
        <f>IF(F1132&lt;0,"金额为负，无效",INT(F1132))</f>
        <v>3115</v>
      </c>
      <c r="C1133" s="315"/>
      <c r="D1133" s="315"/>
      <c r="E1133" s="316" t="s">
        <v>21</v>
      </c>
      <c r="F1133" s="317"/>
      <c r="G1133" s="318"/>
      <c r="K1133" s="300"/>
    </row>
    <row r="1134" ht="15" customHeight="1" spans="1:11">
      <c r="A1134" s="319"/>
      <c r="B1134" s="320"/>
      <c r="C1134" s="320"/>
      <c r="D1134" s="320"/>
      <c r="E1134" s="319"/>
      <c r="F1134" s="321"/>
      <c r="G1134" s="322"/>
      <c r="K1134" s="300"/>
    </row>
    <row r="1135" ht="27" customHeight="1" spans="1:11">
      <c r="A1135" s="298" t="s">
        <v>0</v>
      </c>
      <c r="B1135" s="298"/>
      <c r="C1135" s="298"/>
      <c r="D1135" s="298"/>
      <c r="E1135" s="298"/>
      <c r="F1135" s="298"/>
      <c r="G1135" s="298"/>
      <c r="H1135" s="299"/>
      <c r="I1135" s="299"/>
      <c r="J1135" s="299"/>
      <c r="K1135" s="300">
        <v>82</v>
      </c>
    </row>
    <row r="1136" ht="15" customHeight="1" spans="1:11">
      <c r="A1136" s="301" t="s">
        <v>1</v>
      </c>
      <c r="B1136" s="301"/>
      <c r="C1136" s="301"/>
      <c r="D1136" s="301"/>
      <c r="E1136" s="301"/>
      <c r="F1136" s="301"/>
      <c r="G1136" s="302" t="str">
        <f>IFERROR(VLOOKUP(K1135,'2026.01'!A:Y,2,0),0)</f>
        <v>NO:082</v>
      </c>
      <c r="K1136" s="300"/>
    </row>
    <row r="1137" ht="15" customHeight="1" spans="1:11">
      <c r="A1137" s="303" t="s">
        <v>2</v>
      </c>
      <c r="B1137" s="304">
        <f>IFERROR(VLOOKUP(K1135,'2026.01'!A:Y,6,0),0)</f>
        <v>2013</v>
      </c>
      <c r="C1137" s="304"/>
      <c r="D1137" s="305" t="s">
        <v>3</v>
      </c>
      <c r="E1137" s="305" t="str">
        <f>IFERROR(VLOOKUP(K1135,'2026.01'!A:Y,7,0),0)</f>
        <v>陈高俊</v>
      </c>
      <c r="F1137" s="305"/>
      <c r="G1137" s="306" t="s">
        <v>4</v>
      </c>
      <c r="K1137" s="300"/>
    </row>
    <row r="1138" ht="15" customHeight="1" spans="1:11">
      <c r="A1138" s="307" t="s">
        <v>5</v>
      </c>
      <c r="B1138" s="308" t="s">
        <v>6</v>
      </c>
      <c r="C1138" s="308" t="s">
        <v>7</v>
      </c>
      <c r="D1138" s="308" t="s">
        <v>8</v>
      </c>
      <c r="E1138" s="308" t="s">
        <v>9</v>
      </c>
      <c r="F1138" s="309" t="s">
        <v>10</v>
      </c>
      <c r="G1138" s="310" t="s">
        <v>11</v>
      </c>
      <c r="K1138" s="300"/>
    </row>
    <row r="1139" ht="15" customHeight="1" spans="1:11">
      <c r="A1139" s="307" t="s">
        <v>12</v>
      </c>
      <c r="B1139" s="308">
        <f>IFERROR(VLOOKUP(K1135,'2026.01'!A:Y,14,0),0)</f>
        <v>2056</v>
      </c>
      <c r="C1139" s="308">
        <f>IFERROR(VLOOKUP(K1135,'2026.01'!A:Y,13,0),0)</f>
        <v>2047</v>
      </c>
      <c r="D1139" s="308">
        <f>IFERROR(VLOOKUP(K1135,'2026.01'!A:Y,15,0),0)</f>
        <v>9</v>
      </c>
      <c r="E1139" s="311">
        <f>IFERROR(VLOOKUP(K1135,'2026.01'!A:Y,18,0),0)</f>
        <v>0.8</v>
      </c>
      <c r="F1139" s="309">
        <f>IFERROR(VLOOKUP(K1135,'2026.01'!A:Y,20,0),0)</f>
        <v>7</v>
      </c>
      <c r="G1139" s="310"/>
      <c r="K1139" s="300"/>
    </row>
    <row r="1140" ht="15" customHeight="1" spans="1:11">
      <c r="A1140" s="307" t="s">
        <v>13</v>
      </c>
      <c r="B1140" s="308"/>
      <c r="C1140" s="308"/>
      <c r="D1140" s="308"/>
      <c r="E1140" s="311"/>
      <c r="F1140" s="309">
        <f>IFERROR(VLOOKUP(K1135,'2026.01'!A:Y,24,0),0)</f>
        <v>34</v>
      </c>
      <c r="G1140" s="310"/>
      <c r="K1140" s="300"/>
    </row>
    <row r="1141" ht="15" customHeight="1" spans="1:11">
      <c r="A1141" s="307" t="s">
        <v>14</v>
      </c>
      <c r="B1141" s="308"/>
      <c r="C1141" s="308"/>
      <c r="D1141" s="308"/>
      <c r="E1141" s="311"/>
      <c r="F1141" s="309">
        <f>IFERROR(VLOOKUP(K1135,'2026.01'!A:Y,12,0),0)</f>
        <v>160</v>
      </c>
      <c r="G1141" s="310"/>
      <c r="K1141" s="300"/>
    </row>
    <row r="1142" ht="21" customHeight="1" spans="1:11">
      <c r="A1142" s="307" t="s">
        <v>15</v>
      </c>
      <c r="B1142" s="308"/>
      <c r="C1142" s="308"/>
      <c r="D1142" s="308"/>
      <c r="E1142" s="311"/>
      <c r="F1142" s="309">
        <f>IFERROR(VLOOKUP(K1135,'2026.01'!A:Y,9,0),0)</f>
        <v>2500</v>
      </c>
      <c r="G1142" s="310"/>
      <c r="K1142" s="300"/>
    </row>
    <row r="1143" ht="19" customHeight="1" spans="1:11">
      <c r="A1143" s="307" t="s">
        <v>16</v>
      </c>
      <c r="B1143" s="308"/>
      <c r="C1143" s="308"/>
      <c r="D1143" s="308"/>
      <c r="E1143" s="308"/>
      <c r="F1143" s="309">
        <f>IFERROR(VLOOKUP(K1135,'2026.01'!A:Y,10,0),0)</f>
        <v>200</v>
      </c>
      <c r="G1143" s="310"/>
      <c r="K1143" s="300"/>
    </row>
    <row r="1144" ht="21" customHeight="1" spans="1:11">
      <c r="A1144" s="307" t="s">
        <v>17</v>
      </c>
      <c r="B1144" s="308"/>
      <c r="C1144" s="308"/>
      <c r="D1144" s="308"/>
      <c r="E1144" s="308"/>
      <c r="F1144" s="309">
        <f>IFERROR(VLOOKUP(K1135,'2026.01'!A:Y,19,0),0)</f>
        <v>6</v>
      </c>
      <c r="G1144" s="310"/>
      <c r="K1144" s="300"/>
    </row>
    <row r="1145" ht="17.15" customHeight="1" spans="1:11">
      <c r="A1145" s="307" t="s">
        <v>18</v>
      </c>
      <c r="B1145" s="308"/>
      <c r="C1145" s="308"/>
      <c r="D1145" s="308"/>
      <c r="E1145" s="308"/>
      <c r="F1145" s="309">
        <f>IFERROR(VLOOKUP(K1135,'2026.01'!A:Y,22,0),0)</f>
        <v>164</v>
      </c>
      <c r="G1145" s="310"/>
      <c r="K1145" s="300"/>
    </row>
    <row r="1146" ht="17.15" customHeight="1" spans="1:11">
      <c r="A1146" s="307" t="s">
        <v>19</v>
      </c>
      <c r="B1146" s="312"/>
      <c r="C1146" s="308"/>
      <c r="D1146" s="313"/>
      <c r="E1146" s="308"/>
      <c r="F1146" s="309">
        <f>IFERROR(VLOOKUP(K1135,'2026.01'!A:Y,25,0),0)</f>
        <v>3071</v>
      </c>
      <c r="G1146" s="310"/>
      <c r="K1146" s="300"/>
    </row>
    <row r="1147" ht="15" customHeight="1" spans="1:11">
      <c r="A1147" s="314" t="s">
        <v>20</v>
      </c>
      <c r="B1147" s="315">
        <f>IF(F1146&lt;0,"金额为负，无效",INT(F1146))</f>
        <v>3071</v>
      </c>
      <c r="C1147" s="315"/>
      <c r="D1147" s="315"/>
      <c r="E1147" s="316" t="s">
        <v>21</v>
      </c>
      <c r="F1147" s="317"/>
      <c r="G1147" s="318"/>
      <c r="K1147" s="300"/>
    </row>
    <row r="1148" ht="23" customHeight="1" spans="1:11">
      <c r="A1148" s="319"/>
      <c r="B1148" s="320"/>
      <c r="C1148" s="320"/>
      <c r="D1148" s="320"/>
      <c r="E1148" s="319"/>
      <c r="F1148" s="321"/>
      <c r="G1148" s="322"/>
      <c r="K1148" s="300"/>
    </row>
    <row r="1149" ht="27" customHeight="1" spans="1:11">
      <c r="A1149" s="298" t="s">
        <v>0</v>
      </c>
      <c r="B1149" s="298"/>
      <c r="C1149" s="298"/>
      <c r="D1149" s="298"/>
      <c r="E1149" s="298"/>
      <c r="F1149" s="298"/>
      <c r="G1149" s="298"/>
      <c r="H1149" s="299"/>
      <c r="I1149" s="299"/>
      <c r="J1149" s="299"/>
      <c r="K1149" s="300">
        <v>83</v>
      </c>
    </row>
    <row r="1150" ht="15" customHeight="1" spans="1:11">
      <c r="A1150" s="301" t="s">
        <v>1</v>
      </c>
      <c r="B1150" s="301"/>
      <c r="C1150" s="301"/>
      <c r="D1150" s="301"/>
      <c r="E1150" s="301"/>
      <c r="F1150" s="301"/>
      <c r="G1150" s="302" t="str">
        <f>IFERROR(VLOOKUP(K1149,'2026.01'!A:Y,2,0),0)</f>
        <v>NO:083</v>
      </c>
      <c r="K1150" s="300"/>
    </row>
    <row r="1151" ht="15" customHeight="1" spans="1:11">
      <c r="A1151" s="303" t="s">
        <v>2</v>
      </c>
      <c r="B1151" s="304">
        <f>IFERROR(VLOOKUP(K1149,'2026.01'!A:Y,6,0),0)</f>
        <v>2014</v>
      </c>
      <c r="C1151" s="304"/>
      <c r="D1151" s="305" t="s">
        <v>3</v>
      </c>
      <c r="E1151" s="305" t="str">
        <f>IFERROR(VLOOKUP(K1149,'2026.01'!A:Y,7,0),0)</f>
        <v>张顶</v>
      </c>
      <c r="F1151" s="305"/>
      <c r="G1151" s="306" t="s">
        <v>4</v>
      </c>
      <c r="K1151" s="300"/>
    </row>
    <row r="1152" ht="15" customHeight="1" spans="1:11">
      <c r="A1152" s="307" t="s">
        <v>5</v>
      </c>
      <c r="B1152" s="308" t="s">
        <v>6</v>
      </c>
      <c r="C1152" s="308" t="s">
        <v>7</v>
      </c>
      <c r="D1152" s="308" t="s">
        <v>8</v>
      </c>
      <c r="E1152" s="308" t="s">
        <v>9</v>
      </c>
      <c r="F1152" s="309" t="s">
        <v>10</v>
      </c>
      <c r="G1152" s="310" t="s">
        <v>11</v>
      </c>
      <c r="K1152" s="300"/>
    </row>
    <row r="1153" ht="15" customHeight="1" spans="1:11">
      <c r="A1153" s="307" t="s">
        <v>12</v>
      </c>
      <c r="B1153" s="308">
        <f>IFERROR(VLOOKUP(K1149,'2026.01'!A:Y,14,0),0)</f>
        <v>2405</v>
      </c>
      <c r="C1153" s="308">
        <f>IFERROR(VLOOKUP(K1149,'2026.01'!A:Y,13,0),0)</f>
        <v>2403</v>
      </c>
      <c r="D1153" s="308">
        <f>IFERROR(VLOOKUP(K1149,'2026.01'!A:Y,15,0),0)</f>
        <v>2</v>
      </c>
      <c r="E1153" s="311">
        <f>IFERROR(VLOOKUP(K1149,'2026.01'!A:Y,18,0),0)</f>
        <v>0.8</v>
      </c>
      <c r="F1153" s="309">
        <f>IFERROR(VLOOKUP(K1149,'2026.01'!A:Y,20,0),0)</f>
        <v>2</v>
      </c>
      <c r="G1153" s="310"/>
      <c r="K1153" s="300"/>
    </row>
    <row r="1154" ht="15" customHeight="1" spans="1:11">
      <c r="A1154" s="307" t="s">
        <v>13</v>
      </c>
      <c r="B1154" s="308"/>
      <c r="C1154" s="308"/>
      <c r="D1154" s="308"/>
      <c r="E1154" s="311"/>
      <c r="F1154" s="309">
        <f>IFERROR(VLOOKUP(K1149,'2026.01'!A:Y,24,0),0)</f>
        <v>34</v>
      </c>
      <c r="G1154" s="310"/>
      <c r="K1154" s="300"/>
    </row>
    <row r="1155" ht="15" customHeight="1" spans="1:11">
      <c r="A1155" s="307" t="s">
        <v>14</v>
      </c>
      <c r="B1155" s="308"/>
      <c r="C1155" s="308"/>
      <c r="D1155" s="308"/>
      <c r="E1155" s="311"/>
      <c r="F1155" s="309">
        <f>IFERROR(VLOOKUP(K1149,'2026.01'!A:Y,12,0),0)</f>
        <v>160</v>
      </c>
      <c r="G1155" s="310"/>
      <c r="K1155" s="300"/>
    </row>
    <row r="1156" ht="21" customHeight="1" spans="1:11">
      <c r="A1156" s="307" t="s">
        <v>15</v>
      </c>
      <c r="B1156" s="308"/>
      <c r="C1156" s="308"/>
      <c r="D1156" s="308"/>
      <c r="E1156" s="311"/>
      <c r="F1156" s="309">
        <f>IFERROR(VLOOKUP(K1149,'2026.01'!A:Y,9,0),0)</f>
        <v>2500</v>
      </c>
      <c r="G1156" s="310"/>
      <c r="K1156" s="300"/>
    </row>
    <row r="1157" ht="19" customHeight="1" spans="1:11">
      <c r="A1157" s="307" t="s">
        <v>16</v>
      </c>
      <c r="B1157" s="308"/>
      <c r="C1157" s="308"/>
      <c r="D1157" s="308"/>
      <c r="E1157" s="308"/>
      <c r="F1157" s="309">
        <f>IFERROR(VLOOKUP(K1149,'2026.01'!A:Y,10,0),0)</f>
        <v>200</v>
      </c>
      <c r="G1157" s="310"/>
      <c r="K1157" s="300"/>
    </row>
    <row r="1158" ht="21" customHeight="1" spans="1:11">
      <c r="A1158" s="307" t="s">
        <v>17</v>
      </c>
      <c r="B1158" s="308"/>
      <c r="C1158" s="308"/>
      <c r="D1158" s="308"/>
      <c r="E1158" s="308"/>
      <c r="F1158" s="309">
        <f>IFERROR(VLOOKUP(K1149,'2026.01'!A:Y,19,0),0)</f>
        <v>1</v>
      </c>
      <c r="G1158" s="310"/>
      <c r="K1158" s="300"/>
    </row>
    <row r="1159" ht="17.15" customHeight="1" spans="1:11">
      <c r="A1159" s="307" t="s">
        <v>18</v>
      </c>
      <c r="B1159" s="308"/>
      <c r="C1159" s="308"/>
      <c r="D1159" s="308"/>
      <c r="E1159" s="308"/>
      <c r="F1159" s="309">
        <f>IFERROR(VLOOKUP(K1149,'2026.01'!A:Y,22,0),0)</f>
        <v>164</v>
      </c>
      <c r="G1159" s="310"/>
      <c r="K1159" s="300"/>
    </row>
    <row r="1160" ht="17.15" customHeight="1" spans="1:11">
      <c r="A1160" s="307" t="s">
        <v>19</v>
      </c>
      <c r="B1160" s="312"/>
      <c r="C1160" s="308"/>
      <c r="D1160" s="313"/>
      <c r="E1160" s="308"/>
      <c r="F1160" s="309">
        <f>IFERROR(VLOOKUP(K1149,'2026.01'!A:Y,25,0),0)</f>
        <v>3061</v>
      </c>
      <c r="G1160" s="310"/>
      <c r="K1160" s="300"/>
    </row>
    <row r="1161" ht="15" customHeight="1" spans="1:11">
      <c r="A1161" s="314" t="s">
        <v>20</v>
      </c>
      <c r="B1161" s="315">
        <f>IF(F1160&lt;0,"金额为负，无效",INT(F1160))</f>
        <v>3061</v>
      </c>
      <c r="C1161" s="315"/>
      <c r="D1161" s="315"/>
      <c r="E1161" s="316" t="s">
        <v>21</v>
      </c>
      <c r="F1161" s="317"/>
      <c r="G1161" s="318"/>
      <c r="K1161" s="300"/>
    </row>
    <row r="1162" ht="23" customHeight="1" spans="1:11">
      <c r="A1162" s="319"/>
      <c r="B1162" s="320"/>
      <c r="C1162" s="320"/>
      <c r="D1162" s="320"/>
      <c r="E1162" s="319"/>
      <c r="F1162" s="321"/>
      <c r="G1162" s="322"/>
      <c r="K1162" s="300"/>
    </row>
    <row r="1163" ht="27" customHeight="1" spans="1:11">
      <c r="A1163" s="298" t="s">
        <v>0</v>
      </c>
      <c r="B1163" s="298"/>
      <c r="C1163" s="298"/>
      <c r="D1163" s="298"/>
      <c r="E1163" s="298"/>
      <c r="F1163" s="298"/>
      <c r="G1163" s="298"/>
      <c r="H1163" s="299"/>
      <c r="I1163" s="299"/>
      <c r="J1163" s="299"/>
      <c r="K1163" s="300">
        <v>84</v>
      </c>
    </row>
    <row r="1164" ht="15" customHeight="1" spans="1:11">
      <c r="A1164" s="301" t="s">
        <v>1</v>
      </c>
      <c r="B1164" s="301"/>
      <c r="C1164" s="301"/>
      <c r="D1164" s="301"/>
      <c r="E1164" s="301"/>
      <c r="F1164" s="301"/>
      <c r="G1164" s="302" t="str">
        <f>IFERROR(VLOOKUP(K1163,'2026.01'!A:Y,2,0),0)</f>
        <v>NO:084</v>
      </c>
      <c r="K1164" s="300"/>
    </row>
    <row r="1165" ht="15" customHeight="1" spans="1:11">
      <c r="A1165" s="303" t="s">
        <v>2</v>
      </c>
      <c r="B1165" s="304">
        <f>IFERROR(VLOOKUP(K1163,'2026.01'!A:Y,6,0),0)</f>
        <v>2015</v>
      </c>
      <c r="C1165" s="304"/>
      <c r="D1165" s="305" t="s">
        <v>3</v>
      </c>
      <c r="E1165" s="305" t="str">
        <f>IFERROR(VLOOKUP(K1163,'2026.01'!A:Y,7,0),0)</f>
        <v>冯章权</v>
      </c>
      <c r="F1165" s="305"/>
      <c r="G1165" s="306" t="s">
        <v>4</v>
      </c>
      <c r="K1165" s="300"/>
    </row>
    <row r="1166" ht="15" customHeight="1" spans="1:11">
      <c r="A1166" s="307" t="s">
        <v>5</v>
      </c>
      <c r="B1166" s="308" t="s">
        <v>6</v>
      </c>
      <c r="C1166" s="308" t="s">
        <v>7</v>
      </c>
      <c r="D1166" s="308" t="s">
        <v>8</v>
      </c>
      <c r="E1166" s="308" t="s">
        <v>9</v>
      </c>
      <c r="F1166" s="309" t="s">
        <v>10</v>
      </c>
      <c r="G1166" s="310" t="s">
        <v>11</v>
      </c>
      <c r="K1166" s="300"/>
    </row>
    <row r="1167" ht="15" customHeight="1" spans="1:11">
      <c r="A1167" s="307" t="s">
        <v>12</v>
      </c>
      <c r="B1167" s="308">
        <f>IFERROR(VLOOKUP(K1163,'2026.01'!A:Y,14,0),0)</f>
        <v>9615</v>
      </c>
      <c r="C1167" s="308">
        <f>IFERROR(VLOOKUP(K1163,'2026.01'!A:Y,13,0),0)</f>
        <v>9589</v>
      </c>
      <c r="D1167" s="308">
        <f>IFERROR(VLOOKUP(K1163,'2026.01'!A:Y,15,0),0)</f>
        <v>26</v>
      </c>
      <c r="E1167" s="311">
        <f>IFERROR(VLOOKUP(K1163,'2026.01'!A:Y,18,0),0)</f>
        <v>0.8</v>
      </c>
      <c r="F1167" s="309">
        <f>IFERROR(VLOOKUP(K1163,'2026.01'!A:Y,20,0),0)</f>
        <v>21</v>
      </c>
      <c r="G1167" s="310"/>
      <c r="K1167" s="300"/>
    </row>
    <row r="1168" ht="15" customHeight="1" spans="1:11">
      <c r="A1168" s="307" t="s">
        <v>13</v>
      </c>
      <c r="B1168" s="308"/>
      <c r="C1168" s="308"/>
      <c r="D1168" s="308"/>
      <c r="E1168" s="311"/>
      <c r="F1168" s="309">
        <f>IFERROR(VLOOKUP(K1163,'2026.01'!A:Y,24,0),0)</f>
        <v>34</v>
      </c>
      <c r="G1168" s="310"/>
      <c r="K1168" s="300"/>
    </row>
    <row r="1169" ht="15" customHeight="1" spans="1:11">
      <c r="A1169" s="307" t="s">
        <v>14</v>
      </c>
      <c r="B1169" s="308"/>
      <c r="C1169" s="308"/>
      <c r="D1169" s="308"/>
      <c r="E1169" s="311"/>
      <c r="F1169" s="309">
        <f>IFERROR(VLOOKUP(K1163,'2026.01'!A:Y,12,0),0)</f>
        <v>160</v>
      </c>
      <c r="G1169" s="310"/>
      <c r="K1169" s="300"/>
    </row>
    <row r="1170" ht="21" customHeight="1" spans="1:11">
      <c r="A1170" s="307" t="s">
        <v>15</v>
      </c>
      <c r="B1170" s="308"/>
      <c r="C1170" s="308"/>
      <c r="D1170" s="308"/>
      <c r="E1170" s="311"/>
      <c r="F1170" s="309">
        <f>IFERROR(VLOOKUP(K1163,'2026.01'!A:Y,9,0),0)</f>
        <v>2500</v>
      </c>
      <c r="G1170" s="310"/>
      <c r="K1170" s="300"/>
    </row>
    <row r="1171" ht="19" customHeight="1" spans="1:11">
      <c r="A1171" s="307" t="s">
        <v>16</v>
      </c>
      <c r="B1171" s="308"/>
      <c r="C1171" s="308"/>
      <c r="D1171" s="308"/>
      <c r="E1171" s="308"/>
      <c r="F1171" s="309">
        <f>IFERROR(VLOOKUP(K1163,'2026.01'!A:Y,10,0),0)</f>
        <v>200</v>
      </c>
      <c r="G1171" s="310"/>
      <c r="K1171" s="300"/>
    </row>
    <row r="1172" ht="21" customHeight="1" spans="1:11">
      <c r="A1172" s="307" t="s">
        <v>17</v>
      </c>
      <c r="B1172" s="308"/>
      <c r="C1172" s="308"/>
      <c r="D1172" s="308"/>
      <c r="E1172" s="308"/>
      <c r="F1172" s="309">
        <f>IFERROR(VLOOKUP(K1163,'2026.01'!A:Y,19,0),0)</f>
        <v>18</v>
      </c>
      <c r="G1172" s="310"/>
      <c r="K1172" s="300"/>
    </row>
    <row r="1173" ht="17.15" customHeight="1" spans="1:11">
      <c r="A1173" s="307" t="s">
        <v>18</v>
      </c>
      <c r="B1173" s="308"/>
      <c r="C1173" s="308"/>
      <c r="D1173" s="308"/>
      <c r="E1173" s="308"/>
      <c r="F1173" s="309">
        <f>IFERROR(VLOOKUP(K1163,'2026.01'!A:Y,22,0),0)</f>
        <v>164</v>
      </c>
      <c r="G1173" s="310"/>
      <c r="K1173" s="300"/>
    </row>
    <row r="1174" ht="17.15" customHeight="1" spans="1:11">
      <c r="A1174" s="307" t="s">
        <v>19</v>
      </c>
      <c r="B1174" s="312"/>
      <c r="C1174" s="308"/>
      <c r="D1174" s="313"/>
      <c r="E1174" s="308"/>
      <c r="F1174" s="309">
        <f>IFERROR(VLOOKUP(K1163,'2026.01'!A:Y,25,0),0)</f>
        <v>3097</v>
      </c>
      <c r="G1174" s="310"/>
      <c r="K1174" s="300"/>
    </row>
    <row r="1175" ht="15" customHeight="1" spans="1:11">
      <c r="A1175" s="314" t="s">
        <v>20</v>
      </c>
      <c r="B1175" s="315">
        <f>IF(F1174&lt;0,"金额为负，无效",INT(F1174))</f>
        <v>3097</v>
      </c>
      <c r="C1175" s="315"/>
      <c r="D1175" s="315"/>
      <c r="E1175" s="316" t="s">
        <v>21</v>
      </c>
      <c r="F1175" s="317"/>
      <c r="G1175" s="318"/>
      <c r="K1175" s="300"/>
    </row>
    <row r="1176" ht="15" customHeight="1" spans="1:11">
      <c r="A1176" s="319"/>
      <c r="B1176" s="320"/>
      <c r="C1176" s="320"/>
      <c r="D1176" s="320"/>
      <c r="E1176" s="319"/>
      <c r="F1176" s="321"/>
      <c r="G1176" s="322"/>
      <c r="K1176" s="300"/>
    </row>
    <row r="1177" ht="27" customHeight="1" spans="1:11">
      <c r="A1177" s="298" t="s">
        <v>0</v>
      </c>
      <c r="B1177" s="298"/>
      <c r="C1177" s="298"/>
      <c r="D1177" s="298"/>
      <c r="E1177" s="298"/>
      <c r="F1177" s="298"/>
      <c r="G1177" s="298"/>
      <c r="H1177" s="299"/>
      <c r="I1177" s="299"/>
      <c r="J1177" s="299"/>
      <c r="K1177" s="300">
        <v>85</v>
      </c>
    </row>
    <row r="1178" ht="15" customHeight="1" spans="1:11">
      <c r="A1178" s="301" t="s">
        <v>1</v>
      </c>
      <c r="B1178" s="301"/>
      <c r="C1178" s="301"/>
      <c r="D1178" s="301"/>
      <c r="E1178" s="301"/>
      <c r="F1178" s="301"/>
      <c r="G1178" s="302" t="str">
        <f>IFERROR(VLOOKUP(K1177,'2026.01'!A:Y,2,0),0)</f>
        <v>NO:085</v>
      </c>
      <c r="K1178" s="300"/>
    </row>
    <row r="1179" ht="15" customHeight="1" spans="1:11">
      <c r="A1179" s="303" t="s">
        <v>2</v>
      </c>
      <c r="B1179" s="304">
        <f>IFERROR(VLOOKUP(K1177,'2026.01'!A:Y,6,0),0)</f>
        <v>2016</v>
      </c>
      <c r="C1179" s="304"/>
      <c r="D1179" s="305" t="s">
        <v>3</v>
      </c>
      <c r="E1179" s="305" t="str">
        <f>IFERROR(VLOOKUP(K1177,'2026.01'!A:Y,7,0),0)</f>
        <v>黎慧敏</v>
      </c>
      <c r="F1179" s="305"/>
      <c r="G1179" s="306" t="s">
        <v>4</v>
      </c>
      <c r="K1179" s="300"/>
    </row>
    <row r="1180" ht="15" customHeight="1" spans="1:11">
      <c r="A1180" s="307" t="s">
        <v>5</v>
      </c>
      <c r="B1180" s="308" t="s">
        <v>6</v>
      </c>
      <c r="C1180" s="308" t="s">
        <v>7</v>
      </c>
      <c r="D1180" s="308" t="s">
        <v>8</v>
      </c>
      <c r="E1180" s="308" t="s">
        <v>9</v>
      </c>
      <c r="F1180" s="309" t="s">
        <v>10</v>
      </c>
      <c r="G1180" s="310" t="s">
        <v>11</v>
      </c>
      <c r="K1180" s="300"/>
    </row>
    <row r="1181" ht="15" customHeight="1" spans="1:11">
      <c r="A1181" s="307" t="s">
        <v>12</v>
      </c>
      <c r="B1181" s="308">
        <f>IFERROR(VLOOKUP(K1177,'2026.01'!A:Y,14,0),0)</f>
        <v>9131</v>
      </c>
      <c r="C1181" s="308">
        <f>IFERROR(VLOOKUP(K1177,'2026.01'!A:Y,13,0),0)</f>
        <v>9080</v>
      </c>
      <c r="D1181" s="308">
        <f>IFERROR(VLOOKUP(K1177,'2026.01'!A:Y,15,0),0)</f>
        <v>51</v>
      </c>
      <c r="E1181" s="311">
        <f>IFERROR(VLOOKUP(K1177,'2026.01'!A:Y,18,0),0)</f>
        <v>0.8</v>
      </c>
      <c r="F1181" s="309">
        <f>IFERROR(VLOOKUP(K1177,'2026.01'!A:Y,20,0),0)</f>
        <v>41</v>
      </c>
      <c r="G1181" s="310"/>
      <c r="K1181" s="300"/>
    </row>
    <row r="1182" ht="15" customHeight="1" spans="1:11">
      <c r="A1182" s="307" t="s">
        <v>13</v>
      </c>
      <c r="B1182" s="308"/>
      <c r="C1182" s="308"/>
      <c r="D1182" s="308"/>
      <c r="E1182" s="311"/>
      <c r="F1182" s="309">
        <f>IFERROR(VLOOKUP(K1177,'2026.01'!A:Y,24,0),0)</f>
        <v>34</v>
      </c>
      <c r="G1182" s="310"/>
      <c r="K1182" s="300"/>
    </row>
    <row r="1183" ht="15" customHeight="1" spans="1:11">
      <c r="A1183" s="307" t="s">
        <v>14</v>
      </c>
      <c r="B1183" s="308"/>
      <c r="C1183" s="308"/>
      <c r="D1183" s="308"/>
      <c r="E1183" s="311"/>
      <c r="F1183" s="309">
        <f>IFERROR(VLOOKUP(K1177,'2026.01'!A:Y,12,0),0)</f>
        <v>160</v>
      </c>
      <c r="G1183" s="310"/>
      <c r="K1183" s="300"/>
    </row>
    <row r="1184" ht="21" customHeight="1" spans="1:11">
      <c r="A1184" s="307" t="s">
        <v>15</v>
      </c>
      <c r="B1184" s="308"/>
      <c r="C1184" s="308"/>
      <c r="D1184" s="308"/>
      <c r="E1184" s="311"/>
      <c r="F1184" s="309">
        <f>IFERROR(VLOOKUP(K1177,'2026.01'!A:Y,9,0),0)</f>
        <v>2500</v>
      </c>
      <c r="G1184" s="310"/>
      <c r="K1184" s="300"/>
    </row>
    <row r="1185" ht="19" customHeight="1" spans="1:11">
      <c r="A1185" s="307" t="s">
        <v>16</v>
      </c>
      <c r="B1185" s="308"/>
      <c r="C1185" s="308"/>
      <c r="D1185" s="308"/>
      <c r="E1185" s="308"/>
      <c r="F1185" s="309">
        <f>IFERROR(VLOOKUP(K1177,'2026.01'!A:Y,10,0),0)</f>
        <v>200</v>
      </c>
      <c r="G1185" s="310"/>
      <c r="K1185" s="300"/>
    </row>
    <row r="1186" ht="21" customHeight="1" spans="1:11">
      <c r="A1186" s="307" t="s">
        <v>17</v>
      </c>
      <c r="B1186" s="308"/>
      <c r="C1186" s="308"/>
      <c r="D1186" s="308"/>
      <c r="E1186" s="308"/>
      <c r="F1186" s="309">
        <f>IFERROR(VLOOKUP(K1177,'2026.01'!A:Y,19,0),0)</f>
        <v>36</v>
      </c>
      <c r="G1186" s="310"/>
      <c r="K1186" s="300"/>
    </row>
    <row r="1187" ht="17.15" customHeight="1" spans="1:11">
      <c r="A1187" s="307" t="s">
        <v>18</v>
      </c>
      <c r="B1187" s="308"/>
      <c r="C1187" s="308"/>
      <c r="D1187" s="308"/>
      <c r="E1187" s="308"/>
      <c r="F1187" s="309">
        <f>IFERROR(VLOOKUP(K1177,'2026.01'!A:Y,22,0),0)</f>
        <v>164</v>
      </c>
      <c r="G1187" s="310"/>
      <c r="K1187" s="300"/>
    </row>
    <row r="1188" ht="17.15" customHeight="1" spans="1:11">
      <c r="A1188" s="307" t="s">
        <v>19</v>
      </c>
      <c r="B1188" s="312"/>
      <c r="C1188" s="308"/>
      <c r="D1188" s="313"/>
      <c r="E1188" s="308"/>
      <c r="F1188" s="309">
        <f>IFERROR(VLOOKUP(K1177,'2026.01'!A:Y,25,0),0)</f>
        <v>3135</v>
      </c>
      <c r="G1188" s="310"/>
      <c r="K1188" s="300"/>
    </row>
    <row r="1189" ht="15" customHeight="1" spans="1:11">
      <c r="A1189" s="314" t="s">
        <v>20</v>
      </c>
      <c r="B1189" s="315">
        <f>IF(F1188&lt;0,"金额为负，无效",INT(F1188))</f>
        <v>3135</v>
      </c>
      <c r="C1189" s="315"/>
      <c r="D1189" s="315"/>
      <c r="E1189" s="316" t="s">
        <v>21</v>
      </c>
      <c r="F1189" s="317"/>
      <c r="G1189" s="318"/>
      <c r="K1189" s="300"/>
    </row>
    <row r="1190" ht="23" customHeight="1" spans="1:11">
      <c r="A1190" s="319"/>
      <c r="B1190" s="320"/>
      <c r="C1190" s="320"/>
      <c r="D1190" s="320"/>
      <c r="E1190" s="319"/>
      <c r="F1190" s="321"/>
      <c r="G1190" s="322"/>
      <c r="K1190" s="300"/>
    </row>
    <row r="1191" ht="27" customHeight="1" spans="1:11">
      <c r="A1191" s="298" t="s">
        <v>0</v>
      </c>
      <c r="B1191" s="298"/>
      <c r="C1191" s="298"/>
      <c r="D1191" s="298"/>
      <c r="E1191" s="298"/>
      <c r="F1191" s="298"/>
      <c r="G1191" s="298"/>
      <c r="H1191" s="299"/>
      <c r="I1191" s="299"/>
      <c r="J1191" s="299"/>
      <c r="K1191" s="300">
        <v>86</v>
      </c>
    </row>
    <row r="1192" ht="15" customHeight="1" spans="1:11">
      <c r="A1192" s="301" t="s">
        <v>1</v>
      </c>
      <c r="B1192" s="301"/>
      <c r="C1192" s="301"/>
      <c r="D1192" s="301"/>
      <c r="E1192" s="301"/>
      <c r="F1192" s="301"/>
      <c r="G1192" s="302" t="str">
        <f>IFERROR(VLOOKUP(K1191,'2026.01'!A:Y,2,0),0)</f>
        <v>NO:086</v>
      </c>
      <c r="K1192" s="300"/>
    </row>
    <row r="1193" ht="15" customHeight="1" spans="1:11">
      <c r="A1193" s="303" t="s">
        <v>2</v>
      </c>
      <c r="B1193" s="304">
        <f>IFERROR(VLOOKUP(K1191,'2026.01'!A:Y,6,0),0)</f>
        <v>2017</v>
      </c>
      <c r="C1193" s="304"/>
      <c r="D1193" s="305" t="s">
        <v>3</v>
      </c>
      <c r="E1193" s="305" t="str">
        <f>IFERROR(VLOOKUP(K1191,'2026.01'!A:Y,7,0),0)</f>
        <v>黎慧敏</v>
      </c>
      <c r="F1193" s="305"/>
      <c r="G1193" s="306" t="s">
        <v>4</v>
      </c>
      <c r="K1193" s="300"/>
    </row>
    <row r="1194" ht="15" customHeight="1" spans="1:11">
      <c r="A1194" s="307" t="s">
        <v>5</v>
      </c>
      <c r="B1194" s="308" t="s">
        <v>6</v>
      </c>
      <c r="C1194" s="308" t="s">
        <v>7</v>
      </c>
      <c r="D1194" s="308" t="s">
        <v>8</v>
      </c>
      <c r="E1194" s="308" t="s">
        <v>9</v>
      </c>
      <c r="F1194" s="309" t="s">
        <v>10</v>
      </c>
      <c r="G1194" s="310" t="s">
        <v>11</v>
      </c>
      <c r="K1194" s="300"/>
    </row>
    <row r="1195" ht="15" customHeight="1" spans="1:11">
      <c r="A1195" s="307" t="s">
        <v>12</v>
      </c>
      <c r="B1195" s="308">
        <f>IFERROR(VLOOKUP(K1191,'2026.01'!A:Y,14,0),0)</f>
        <v>9532</v>
      </c>
      <c r="C1195" s="308">
        <f>IFERROR(VLOOKUP(K1191,'2026.01'!A:Y,13,0),0)</f>
        <v>9485</v>
      </c>
      <c r="D1195" s="308">
        <f>IFERROR(VLOOKUP(K1191,'2026.01'!A:Y,15,0),0)</f>
        <v>47</v>
      </c>
      <c r="E1195" s="311">
        <f>IFERROR(VLOOKUP(K1191,'2026.01'!A:Y,18,0),0)</f>
        <v>0.8</v>
      </c>
      <c r="F1195" s="309">
        <f>IFERROR(VLOOKUP(K1191,'2026.01'!A:Y,20,0),0)</f>
        <v>38</v>
      </c>
      <c r="G1195" s="310"/>
      <c r="K1195" s="300"/>
    </row>
    <row r="1196" ht="15" customHeight="1" spans="1:11">
      <c r="A1196" s="307" t="s">
        <v>13</v>
      </c>
      <c r="B1196" s="308"/>
      <c r="C1196" s="308"/>
      <c r="D1196" s="308"/>
      <c r="E1196" s="311"/>
      <c r="F1196" s="309">
        <f>IFERROR(VLOOKUP(K1191,'2026.01'!A:Y,24,0),0)</f>
        <v>34</v>
      </c>
      <c r="G1196" s="310"/>
      <c r="K1196" s="300"/>
    </row>
    <row r="1197" ht="15" customHeight="1" spans="1:11">
      <c r="A1197" s="307" t="s">
        <v>14</v>
      </c>
      <c r="B1197" s="308"/>
      <c r="C1197" s="308"/>
      <c r="D1197" s="308"/>
      <c r="E1197" s="311"/>
      <c r="F1197" s="309">
        <f>IFERROR(VLOOKUP(K1191,'2026.01'!A:Y,12,0),0)</f>
        <v>160</v>
      </c>
      <c r="G1197" s="310"/>
      <c r="K1197" s="300"/>
    </row>
    <row r="1198" ht="21" customHeight="1" spans="1:11">
      <c r="A1198" s="307" t="s">
        <v>15</v>
      </c>
      <c r="B1198" s="308"/>
      <c r="C1198" s="308"/>
      <c r="D1198" s="308"/>
      <c r="E1198" s="311"/>
      <c r="F1198" s="309">
        <f>IFERROR(VLOOKUP(K1191,'2026.01'!A:Y,9,0),0)</f>
        <v>2500</v>
      </c>
      <c r="G1198" s="310"/>
      <c r="K1198" s="300"/>
    </row>
    <row r="1199" ht="19" customHeight="1" spans="1:11">
      <c r="A1199" s="307" t="s">
        <v>16</v>
      </c>
      <c r="B1199" s="308"/>
      <c r="C1199" s="308"/>
      <c r="D1199" s="308"/>
      <c r="E1199" s="308"/>
      <c r="F1199" s="309">
        <f>IFERROR(VLOOKUP(K1191,'2026.01'!A:Y,10,0),0)</f>
        <v>200</v>
      </c>
      <c r="G1199" s="310"/>
      <c r="K1199" s="300"/>
    </row>
    <row r="1200" ht="21" customHeight="1" spans="1:11">
      <c r="A1200" s="307" t="s">
        <v>17</v>
      </c>
      <c r="B1200" s="308"/>
      <c r="C1200" s="308"/>
      <c r="D1200" s="308"/>
      <c r="E1200" s="308"/>
      <c r="F1200" s="309">
        <f>IFERROR(VLOOKUP(K1191,'2026.01'!A:Y,19,0),0)</f>
        <v>33</v>
      </c>
      <c r="G1200" s="310"/>
      <c r="K1200" s="300"/>
    </row>
    <row r="1201" ht="17.15" customHeight="1" spans="1:11">
      <c r="A1201" s="307" t="s">
        <v>18</v>
      </c>
      <c r="B1201" s="308"/>
      <c r="C1201" s="308"/>
      <c r="D1201" s="308"/>
      <c r="E1201" s="308"/>
      <c r="F1201" s="309">
        <f>IFERROR(VLOOKUP(K1191,'2026.01'!A:Y,22,0),0)</f>
        <v>164</v>
      </c>
      <c r="G1201" s="310"/>
      <c r="K1201" s="300"/>
    </row>
    <row r="1202" ht="17.15" customHeight="1" spans="1:11">
      <c r="A1202" s="307" t="s">
        <v>19</v>
      </c>
      <c r="B1202" s="312"/>
      <c r="C1202" s="308"/>
      <c r="D1202" s="313"/>
      <c r="E1202" s="308"/>
      <c r="F1202" s="309">
        <f>IFERROR(VLOOKUP(K1191,'2026.01'!A:Y,25,0),0)</f>
        <v>3129</v>
      </c>
      <c r="G1202" s="310"/>
      <c r="K1202" s="300"/>
    </row>
    <row r="1203" ht="15" customHeight="1" spans="1:11">
      <c r="A1203" s="314" t="s">
        <v>20</v>
      </c>
      <c r="B1203" s="315">
        <f>IF(F1202&lt;0,"金额为负，无效",INT(F1202))</f>
        <v>3129</v>
      </c>
      <c r="C1203" s="315"/>
      <c r="D1203" s="315"/>
      <c r="E1203" s="316" t="s">
        <v>21</v>
      </c>
      <c r="F1203" s="317"/>
      <c r="G1203" s="318"/>
      <c r="K1203" s="300"/>
    </row>
    <row r="1204" ht="23" customHeight="1" spans="1:11">
      <c r="A1204" s="319"/>
      <c r="B1204" s="320"/>
      <c r="C1204" s="320"/>
      <c r="D1204" s="320"/>
      <c r="E1204" s="319"/>
      <c r="F1204" s="321"/>
      <c r="G1204" s="322"/>
      <c r="K1204" s="300"/>
    </row>
    <row r="1205" ht="27" customHeight="1" spans="1:11">
      <c r="A1205" s="298" t="s">
        <v>0</v>
      </c>
      <c r="B1205" s="298"/>
      <c r="C1205" s="298"/>
      <c r="D1205" s="298"/>
      <c r="E1205" s="298"/>
      <c r="F1205" s="298"/>
      <c r="G1205" s="298"/>
      <c r="H1205" s="299"/>
      <c r="I1205" s="299"/>
      <c r="J1205" s="299"/>
      <c r="K1205" s="300">
        <v>87</v>
      </c>
    </row>
    <row r="1206" ht="15" customHeight="1" spans="1:11">
      <c r="A1206" s="301" t="s">
        <v>1</v>
      </c>
      <c r="B1206" s="301"/>
      <c r="C1206" s="301"/>
      <c r="D1206" s="301"/>
      <c r="E1206" s="301"/>
      <c r="F1206" s="301"/>
      <c r="G1206" s="302" t="str">
        <f>IFERROR(VLOOKUP(K1205,'2026.01'!A:Y,2,0),0)</f>
        <v>NO:087</v>
      </c>
      <c r="K1206" s="300"/>
    </row>
    <row r="1207" ht="15" customHeight="1" spans="1:11">
      <c r="A1207" s="303" t="s">
        <v>2</v>
      </c>
      <c r="B1207" s="304">
        <f>IFERROR(VLOOKUP(K1205,'2026.01'!A:Y,6,0),0)</f>
        <v>2018</v>
      </c>
      <c r="C1207" s="304"/>
      <c r="D1207" s="305" t="s">
        <v>3</v>
      </c>
      <c r="E1207" s="305" t="str">
        <f>IFERROR(VLOOKUP(K1205,'2026.01'!A:Y,7,0),0)</f>
        <v>钟丽梅</v>
      </c>
      <c r="F1207" s="305"/>
      <c r="G1207" s="306" t="s">
        <v>4</v>
      </c>
      <c r="K1207" s="300"/>
    </row>
    <row r="1208" ht="15" customHeight="1" spans="1:11">
      <c r="A1208" s="307" t="s">
        <v>5</v>
      </c>
      <c r="B1208" s="308" t="s">
        <v>6</v>
      </c>
      <c r="C1208" s="308" t="s">
        <v>7</v>
      </c>
      <c r="D1208" s="308" t="s">
        <v>8</v>
      </c>
      <c r="E1208" s="308" t="s">
        <v>9</v>
      </c>
      <c r="F1208" s="309" t="s">
        <v>10</v>
      </c>
      <c r="G1208" s="310" t="s">
        <v>11</v>
      </c>
      <c r="K1208" s="300"/>
    </row>
    <row r="1209" ht="15" customHeight="1" spans="1:11">
      <c r="A1209" s="307" t="s">
        <v>12</v>
      </c>
      <c r="B1209" s="308">
        <f>IFERROR(VLOOKUP(K1205,'2026.01'!A:Y,14,0),0)</f>
        <v>2099</v>
      </c>
      <c r="C1209" s="308">
        <f>IFERROR(VLOOKUP(K1205,'2026.01'!A:Y,13,0),0)</f>
        <v>2004</v>
      </c>
      <c r="D1209" s="308">
        <f>IFERROR(VLOOKUP(K1205,'2026.01'!A:Y,15,0),0)</f>
        <v>95</v>
      </c>
      <c r="E1209" s="311">
        <f>IFERROR(VLOOKUP(K1205,'2026.01'!A:Y,18,0),0)</f>
        <v>0.8</v>
      </c>
      <c r="F1209" s="309">
        <f>IFERROR(VLOOKUP(K1205,'2026.01'!A:Y,20,0),0)</f>
        <v>76</v>
      </c>
      <c r="G1209" s="310"/>
      <c r="K1209" s="300"/>
    </row>
    <row r="1210" ht="15" customHeight="1" spans="1:11">
      <c r="A1210" s="307" t="s">
        <v>13</v>
      </c>
      <c r="B1210" s="308"/>
      <c r="C1210" s="308"/>
      <c r="D1210" s="308"/>
      <c r="E1210" s="311"/>
      <c r="F1210" s="309">
        <f>IFERROR(VLOOKUP(K1205,'2026.01'!A:Y,24,0),0)</f>
        <v>34</v>
      </c>
      <c r="G1210" s="310"/>
      <c r="K1210" s="300"/>
    </row>
    <row r="1211" ht="15" customHeight="1" spans="1:11">
      <c r="A1211" s="307" t="s">
        <v>14</v>
      </c>
      <c r="B1211" s="308"/>
      <c r="C1211" s="308"/>
      <c r="D1211" s="308"/>
      <c r="E1211" s="311"/>
      <c r="F1211" s="309">
        <f>IFERROR(VLOOKUP(K1205,'2026.01'!A:Y,12,0),0)</f>
        <v>160</v>
      </c>
      <c r="G1211" s="310"/>
      <c r="K1211" s="300"/>
    </row>
    <row r="1212" ht="21" customHeight="1" spans="1:11">
      <c r="A1212" s="307" t="s">
        <v>15</v>
      </c>
      <c r="B1212" s="308"/>
      <c r="C1212" s="308"/>
      <c r="D1212" s="308"/>
      <c r="E1212" s="311"/>
      <c r="F1212" s="309">
        <f>IFERROR(VLOOKUP(K1205,'2026.01'!A:Y,9,0),0)</f>
        <v>2500</v>
      </c>
      <c r="G1212" s="310"/>
      <c r="K1212" s="300"/>
    </row>
    <row r="1213" ht="19" customHeight="1" spans="1:11">
      <c r="A1213" s="307" t="s">
        <v>16</v>
      </c>
      <c r="B1213" s="308"/>
      <c r="C1213" s="308"/>
      <c r="D1213" s="308"/>
      <c r="E1213" s="308"/>
      <c r="F1213" s="309">
        <f>IFERROR(VLOOKUP(K1205,'2026.01'!A:Y,10,0),0)</f>
        <v>200</v>
      </c>
      <c r="G1213" s="310"/>
      <c r="K1213" s="300"/>
    </row>
    <row r="1214" ht="21" customHeight="1" spans="1:11">
      <c r="A1214" s="307" t="s">
        <v>17</v>
      </c>
      <c r="B1214" s="308"/>
      <c r="C1214" s="308"/>
      <c r="D1214" s="308"/>
      <c r="E1214" s="308"/>
      <c r="F1214" s="309">
        <f>IFERROR(VLOOKUP(K1205,'2026.01'!A:Y,19,0),0)</f>
        <v>67</v>
      </c>
      <c r="G1214" s="310"/>
      <c r="K1214" s="300"/>
    </row>
    <row r="1215" ht="17.15" customHeight="1" spans="1:11">
      <c r="A1215" s="307" t="s">
        <v>18</v>
      </c>
      <c r="B1215" s="308"/>
      <c r="C1215" s="308"/>
      <c r="D1215" s="308"/>
      <c r="E1215" s="308"/>
      <c r="F1215" s="309">
        <f>IFERROR(VLOOKUP(K1205,'2026.01'!A:Y,22,0),0)</f>
        <v>164</v>
      </c>
      <c r="G1215" s="310"/>
      <c r="K1215" s="300"/>
    </row>
    <row r="1216" ht="17.15" customHeight="1" spans="1:11">
      <c r="A1216" s="307" t="s">
        <v>19</v>
      </c>
      <c r="B1216" s="312"/>
      <c r="C1216" s="308"/>
      <c r="D1216" s="313"/>
      <c r="E1216" s="308"/>
      <c r="F1216" s="309">
        <f>IFERROR(VLOOKUP(K1205,'2026.01'!A:Y,25,0),0)</f>
        <v>3201</v>
      </c>
      <c r="G1216" s="310"/>
      <c r="K1216" s="300"/>
    </row>
    <row r="1217" ht="15" customHeight="1" spans="1:11">
      <c r="A1217" s="314" t="s">
        <v>20</v>
      </c>
      <c r="B1217" s="315">
        <f>IF(F1216&lt;0,"金额为负，无效",INT(F1216))</f>
        <v>3201</v>
      </c>
      <c r="C1217" s="315"/>
      <c r="D1217" s="315"/>
      <c r="E1217" s="316" t="s">
        <v>21</v>
      </c>
      <c r="F1217" s="317"/>
      <c r="G1217" s="318"/>
      <c r="K1217" s="300"/>
    </row>
    <row r="1218" ht="15" customHeight="1" spans="1:11">
      <c r="A1218" s="319"/>
      <c r="B1218" s="320"/>
      <c r="C1218" s="320"/>
      <c r="D1218" s="320"/>
      <c r="E1218" s="319"/>
      <c r="F1218" s="321"/>
      <c r="G1218" s="322"/>
      <c r="K1218" s="300"/>
    </row>
    <row r="1219" ht="27" customHeight="1" spans="1:11">
      <c r="A1219" s="298" t="s">
        <v>0</v>
      </c>
      <c r="B1219" s="298"/>
      <c r="C1219" s="298"/>
      <c r="D1219" s="298"/>
      <c r="E1219" s="298"/>
      <c r="F1219" s="298"/>
      <c r="G1219" s="298"/>
      <c r="H1219" s="299"/>
      <c r="I1219" s="299"/>
      <c r="J1219" s="299"/>
      <c r="K1219" s="300">
        <v>88</v>
      </c>
    </row>
    <row r="1220" ht="15" customHeight="1" spans="1:11">
      <c r="A1220" s="301" t="s">
        <v>1</v>
      </c>
      <c r="B1220" s="301"/>
      <c r="C1220" s="301"/>
      <c r="D1220" s="301"/>
      <c r="E1220" s="301"/>
      <c r="F1220" s="301"/>
      <c r="G1220" s="302" t="str">
        <f>IFERROR(VLOOKUP(K1219,'2026.01'!A:Y,2,0),0)</f>
        <v>NO:088</v>
      </c>
      <c r="K1220" s="300"/>
    </row>
    <row r="1221" ht="15" customHeight="1" spans="1:11">
      <c r="A1221" s="303" t="s">
        <v>2</v>
      </c>
      <c r="B1221" s="304">
        <f>IFERROR(VLOOKUP(K1219,'2026.01'!A:Y,6,0),0)</f>
        <v>2019</v>
      </c>
      <c r="C1221" s="304"/>
      <c r="D1221" s="305" t="s">
        <v>3</v>
      </c>
      <c r="E1221" s="305" t="str">
        <f>IFERROR(VLOOKUP(K1219,'2026.01'!A:Y,7,0),0)</f>
        <v>周欣雨</v>
      </c>
      <c r="F1221" s="305"/>
      <c r="G1221" s="306" t="s">
        <v>4</v>
      </c>
      <c r="K1221" s="300"/>
    </row>
    <row r="1222" ht="15" customHeight="1" spans="1:11">
      <c r="A1222" s="307" t="s">
        <v>5</v>
      </c>
      <c r="B1222" s="308" t="s">
        <v>6</v>
      </c>
      <c r="C1222" s="308" t="s">
        <v>7</v>
      </c>
      <c r="D1222" s="308" t="s">
        <v>8</v>
      </c>
      <c r="E1222" s="308" t="s">
        <v>9</v>
      </c>
      <c r="F1222" s="309" t="s">
        <v>10</v>
      </c>
      <c r="G1222" s="310" t="s">
        <v>11</v>
      </c>
      <c r="K1222" s="300"/>
    </row>
    <row r="1223" ht="15" customHeight="1" spans="1:11">
      <c r="A1223" s="307" t="s">
        <v>12</v>
      </c>
      <c r="B1223" s="308">
        <f>IFERROR(VLOOKUP(K1219,'2026.01'!A:Y,14,0),0)</f>
        <v>1359</v>
      </c>
      <c r="C1223" s="308">
        <f>IFERROR(VLOOKUP(K1219,'2026.01'!A:Y,13,0),0)</f>
        <v>1295</v>
      </c>
      <c r="D1223" s="308">
        <f>IFERROR(VLOOKUP(K1219,'2026.01'!A:Y,15,0),0)</f>
        <v>64</v>
      </c>
      <c r="E1223" s="311">
        <f>IFERROR(VLOOKUP(K1219,'2026.01'!A:Y,18,0),0)</f>
        <v>0.8</v>
      </c>
      <c r="F1223" s="309">
        <f>IFERROR(VLOOKUP(K1219,'2026.01'!A:Y,20,0),0)</f>
        <v>51</v>
      </c>
      <c r="G1223" s="310"/>
      <c r="K1223" s="300"/>
    </row>
    <row r="1224" ht="15" customHeight="1" spans="1:11">
      <c r="A1224" s="307" t="s">
        <v>13</v>
      </c>
      <c r="B1224" s="308"/>
      <c r="C1224" s="308"/>
      <c r="D1224" s="308"/>
      <c r="E1224" s="311"/>
      <c r="F1224" s="309">
        <f>IFERROR(VLOOKUP(K1219,'2026.01'!A:Y,24,0),0)</f>
        <v>34</v>
      </c>
      <c r="G1224" s="310"/>
      <c r="K1224" s="300"/>
    </row>
    <row r="1225" ht="15" customHeight="1" spans="1:11">
      <c r="A1225" s="307" t="s">
        <v>14</v>
      </c>
      <c r="B1225" s="308"/>
      <c r="C1225" s="308"/>
      <c r="D1225" s="308"/>
      <c r="E1225" s="311"/>
      <c r="F1225" s="309">
        <f>IFERROR(VLOOKUP(K1219,'2026.01'!A:Y,12,0),0)</f>
        <v>160</v>
      </c>
      <c r="G1225" s="310"/>
      <c r="K1225" s="300"/>
    </row>
    <row r="1226" ht="21" customHeight="1" spans="1:11">
      <c r="A1226" s="307" t="s">
        <v>15</v>
      </c>
      <c r="B1226" s="308"/>
      <c r="C1226" s="308"/>
      <c r="D1226" s="308"/>
      <c r="E1226" s="311"/>
      <c r="F1226" s="309">
        <f>IFERROR(VLOOKUP(K1219,'2026.01'!A:Y,9,0),0)</f>
        <v>2500</v>
      </c>
      <c r="G1226" s="310"/>
      <c r="K1226" s="300"/>
    </row>
    <row r="1227" ht="19" customHeight="1" spans="1:11">
      <c r="A1227" s="307" t="s">
        <v>16</v>
      </c>
      <c r="B1227" s="308"/>
      <c r="C1227" s="308"/>
      <c r="D1227" s="308"/>
      <c r="E1227" s="308"/>
      <c r="F1227" s="309">
        <f>IFERROR(VLOOKUP(K1219,'2026.01'!A:Y,10,0),0)</f>
        <v>200</v>
      </c>
      <c r="G1227" s="310"/>
      <c r="K1227" s="300"/>
    </row>
    <row r="1228" ht="21" customHeight="1" spans="1:11">
      <c r="A1228" s="307" t="s">
        <v>17</v>
      </c>
      <c r="B1228" s="308"/>
      <c r="C1228" s="308"/>
      <c r="D1228" s="308"/>
      <c r="E1228" s="308"/>
      <c r="F1228" s="309">
        <f>IFERROR(VLOOKUP(K1219,'2026.01'!A:Y,19,0),0)</f>
        <v>45</v>
      </c>
      <c r="G1228" s="310"/>
      <c r="K1228" s="300"/>
    </row>
    <row r="1229" ht="17.15" customHeight="1" spans="1:11">
      <c r="A1229" s="307" t="s">
        <v>18</v>
      </c>
      <c r="B1229" s="308"/>
      <c r="C1229" s="308"/>
      <c r="D1229" s="308"/>
      <c r="E1229" s="308"/>
      <c r="F1229" s="309">
        <f>IFERROR(VLOOKUP(K1219,'2026.01'!A:Y,22,0),0)</f>
        <v>164</v>
      </c>
      <c r="G1229" s="310"/>
      <c r="K1229" s="300"/>
    </row>
    <row r="1230" ht="17.15" customHeight="1" spans="1:11">
      <c r="A1230" s="307" t="s">
        <v>19</v>
      </c>
      <c r="B1230" s="312"/>
      <c r="C1230" s="308"/>
      <c r="D1230" s="313"/>
      <c r="E1230" s="308"/>
      <c r="F1230" s="309">
        <f>IFERROR(VLOOKUP(K1219,'2026.01'!A:Y,25,0),0)</f>
        <v>3154</v>
      </c>
      <c r="G1230" s="310"/>
      <c r="K1230" s="300"/>
    </row>
    <row r="1231" ht="15" customHeight="1" spans="1:11">
      <c r="A1231" s="314" t="s">
        <v>20</v>
      </c>
      <c r="B1231" s="315">
        <f>IF(F1230&lt;0,"金额为负，无效",INT(F1230))</f>
        <v>3154</v>
      </c>
      <c r="C1231" s="315"/>
      <c r="D1231" s="315"/>
      <c r="E1231" s="316" t="s">
        <v>21</v>
      </c>
      <c r="F1231" s="317"/>
      <c r="G1231" s="318"/>
      <c r="K1231" s="300"/>
    </row>
    <row r="1232" ht="23" customHeight="1" spans="1:11">
      <c r="A1232" s="319"/>
      <c r="B1232" s="320"/>
      <c r="C1232" s="320"/>
      <c r="D1232" s="320"/>
      <c r="E1232" s="319"/>
      <c r="F1232" s="321"/>
      <c r="G1232" s="322"/>
      <c r="K1232" s="300"/>
    </row>
    <row r="1233" ht="27" customHeight="1" spans="1:11">
      <c r="A1233" s="298" t="s">
        <v>0</v>
      </c>
      <c r="B1233" s="298"/>
      <c r="C1233" s="298"/>
      <c r="D1233" s="298"/>
      <c r="E1233" s="298"/>
      <c r="F1233" s="298"/>
      <c r="G1233" s="298"/>
      <c r="H1233" s="299"/>
      <c r="I1233" s="299"/>
      <c r="J1233" s="299"/>
      <c r="K1233" s="300">
        <v>89</v>
      </c>
    </row>
    <row r="1234" ht="15" customHeight="1" spans="1:11">
      <c r="A1234" s="301" t="s">
        <v>1</v>
      </c>
      <c r="B1234" s="301"/>
      <c r="C1234" s="301"/>
      <c r="D1234" s="301"/>
      <c r="E1234" s="301"/>
      <c r="F1234" s="301"/>
      <c r="G1234" s="302" t="str">
        <f>IFERROR(VLOOKUP(K1233,'2026.01'!A:Y,2,0),0)</f>
        <v>NO:089</v>
      </c>
      <c r="K1234" s="300"/>
    </row>
    <row r="1235" ht="15" customHeight="1" spans="1:11">
      <c r="A1235" s="303" t="s">
        <v>2</v>
      </c>
      <c r="B1235" s="304">
        <f>IFERROR(VLOOKUP(K1233,'2026.01'!A:Y,6,0),0)</f>
        <v>2020</v>
      </c>
      <c r="C1235" s="304"/>
      <c r="D1235" s="305" t="s">
        <v>3</v>
      </c>
      <c r="E1235" s="305" t="str">
        <f>IFERROR(VLOOKUP(K1233,'2026.01'!A:Y,7,0),0)</f>
        <v>朱楚帆</v>
      </c>
      <c r="F1235" s="305"/>
      <c r="G1235" s="306" t="s">
        <v>4</v>
      </c>
      <c r="K1235" s="300"/>
    </row>
    <row r="1236" ht="15" customHeight="1" spans="1:11">
      <c r="A1236" s="307" t="s">
        <v>5</v>
      </c>
      <c r="B1236" s="308" t="s">
        <v>6</v>
      </c>
      <c r="C1236" s="308" t="s">
        <v>7</v>
      </c>
      <c r="D1236" s="308" t="s">
        <v>8</v>
      </c>
      <c r="E1236" s="308" t="s">
        <v>9</v>
      </c>
      <c r="F1236" s="309" t="s">
        <v>10</v>
      </c>
      <c r="G1236" s="310" t="s">
        <v>11</v>
      </c>
      <c r="K1236" s="300"/>
    </row>
    <row r="1237" ht="15" customHeight="1" spans="1:11">
      <c r="A1237" s="307" t="s">
        <v>12</v>
      </c>
      <c r="B1237" s="308">
        <f>IFERROR(VLOOKUP(K1233,'2026.01'!A:Y,14,0),0)</f>
        <v>8808</v>
      </c>
      <c r="C1237" s="308">
        <f>IFERROR(VLOOKUP(K1233,'2026.01'!A:Y,13,0),0)</f>
        <v>8770</v>
      </c>
      <c r="D1237" s="308">
        <f>IFERROR(VLOOKUP(K1233,'2026.01'!A:Y,15,0),0)</f>
        <v>38</v>
      </c>
      <c r="E1237" s="311">
        <f>IFERROR(VLOOKUP(K1233,'2026.01'!A:Y,18,0),0)</f>
        <v>0.8</v>
      </c>
      <c r="F1237" s="309">
        <f>IFERROR(VLOOKUP(K1233,'2026.01'!A:Y,20,0),0)</f>
        <v>30</v>
      </c>
      <c r="G1237" s="310"/>
      <c r="K1237" s="300"/>
    </row>
    <row r="1238" ht="15" customHeight="1" spans="1:11">
      <c r="A1238" s="307" t="s">
        <v>13</v>
      </c>
      <c r="B1238" s="308"/>
      <c r="C1238" s="308"/>
      <c r="D1238" s="308"/>
      <c r="E1238" s="311"/>
      <c r="F1238" s="309">
        <f>IFERROR(VLOOKUP(K1233,'2026.01'!A:Y,24,0),0)</f>
        <v>34</v>
      </c>
      <c r="G1238" s="310"/>
      <c r="K1238" s="300"/>
    </row>
    <row r="1239" ht="15" customHeight="1" spans="1:11">
      <c r="A1239" s="307" t="s">
        <v>14</v>
      </c>
      <c r="B1239" s="308"/>
      <c r="C1239" s="308"/>
      <c r="D1239" s="308"/>
      <c r="E1239" s="311"/>
      <c r="F1239" s="309">
        <f>IFERROR(VLOOKUP(K1233,'2026.01'!A:Y,12,0),0)</f>
        <v>160</v>
      </c>
      <c r="G1239" s="310"/>
      <c r="K1239" s="300"/>
    </row>
    <row r="1240" ht="21" customHeight="1" spans="1:11">
      <c r="A1240" s="307" t="s">
        <v>15</v>
      </c>
      <c r="B1240" s="308"/>
      <c r="C1240" s="308"/>
      <c r="D1240" s="308"/>
      <c r="E1240" s="311"/>
      <c r="F1240" s="309">
        <f>IFERROR(VLOOKUP(K1233,'2026.01'!A:Y,9,0),0)</f>
        <v>2500</v>
      </c>
      <c r="G1240" s="310"/>
      <c r="K1240" s="300"/>
    </row>
    <row r="1241" ht="19" customHeight="1" spans="1:11">
      <c r="A1241" s="307" t="s">
        <v>16</v>
      </c>
      <c r="B1241" s="308"/>
      <c r="C1241" s="308"/>
      <c r="D1241" s="308"/>
      <c r="E1241" s="308"/>
      <c r="F1241" s="309">
        <f>IFERROR(VLOOKUP(K1233,'2026.01'!A:Y,10,0),0)</f>
        <v>200</v>
      </c>
      <c r="G1241" s="310"/>
      <c r="K1241" s="300"/>
    </row>
    <row r="1242" ht="21" customHeight="1" spans="1:11">
      <c r="A1242" s="307" t="s">
        <v>17</v>
      </c>
      <c r="B1242" s="308"/>
      <c r="C1242" s="308"/>
      <c r="D1242" s="308"/>
      <c r="E1242" s="308"/>
      <c r="F1242" s="309">
        <f>IFERROR(VLOOKUP(K1233,'2026.01'!A:Y,19,0),0)</f>
        <v>27</v>
      </c>
      <c r="G1242" s="310"/>
      <c r="K1242" s="300"/>
    </row>
    <row r="1243" ht="17.15" customHeight="1" spans="1:11">
      <c r="A1243" s="307" t="s">
        <v>18</v>
      </c>
      <c r="B1243" s="308"/>
      <c r="C1243" s="308"/>
      <c r="D1243" s="308"/>
      <c r="E1243" s="308"/>
      <c r="F1243" s="309">
        <f>IFERROR(VLOOKUP(K1233,'2026.01'!A:Y,22,0),0)</f>
        <v>164</v>
      </c>
      <c r="G1243" s="310"/>
      <c r="K1243" s="300"/>
    </row>
    <row r="1244" ht="17.15" customHeight="1" spans="1:11">
      <c r="A1244" s="307" t="s">
        <v>19</v>
      </c>
      <c r="B1244" s="312"/>
      <c r="C1244" s="308"/>
      <c r="D1244" s="313"/>
      <c r="E1244" s="308"/>
      <c r="F1244" s="309">
        <f>IFERROR(VLOOKUP(K1233,'2026.01'!A:Y,25,0),0)</f>
        <v>3115</v>
      </c>
      <c r="G1244" s="310"/>
      <c r="K1244" s="300"/>
    </row>
    <row r="1245" ht="15" customHeight="1" spans="1:11">
      <c r="A1245" s="314" t="s">
        <v>20</v>
      </c>
      <c r="B1245" s="315">
        <f>IF(F1244&lt;0,"金额为负，无效",INT(F1244))</f>
        <v>3115</v>
      </c>
      <c r="C1245" s="315"/>
      <c r="D1245" s="315"/>
      <c r="E1245" s="316" t="s">
        <v>21</v>
      </c>
      <c r="F1245" s="317"/>
      <c r="G1245" s="318"/>
      <c r="K1245" s="300"/>
    </row>
    <row r="1246" ht="23" customHeight="1" spans="1:11">
      <c r="A1246" s="319"/>
      <c r="B1246" s="320"/>
      <c r="C1246" s="320"/>
      <c r="D1246" s="320"/>
      <c r="E1246" s="319"/>
      <c r="F1246" s="321"/>
      <c r="G1246" s="322"/>
      <c r="K1246" s="300"/>
    </row>
    <row r="1247" ht="27" customHeight="1" spans="1:11">
      <c r="A1247" s="298" t="s">
        <v>0</v>
      </c>
      <c r="B1247" s="298"/>
      <c r="C1247" s="298"/>
      <c r="D1247" s="298"/>
      <c r="E1247" s="298"/>
      <c r="F1247" s="298"/>
      <c r="G1247" s="298"/>
      <c r="H1247" s="299"/>
      <c r="I1247" s="299"/>
      <c r="J1247" s="299"/>
      <c r="K1247" s="300">
        <v>90</v>
      </c>
    </row>
    <row r="1248" ht="15" customHeight="1" spans="1:11">
      <c r="A1248" s="301" t="s">
        <v>1</v>
      </c>
      <c r="B1248" s="301"/>
      <c r="C1248" s="301"/>
      <c r="D1248" s="301"/>
      <c r="E1248" s="301"/>
      <c r="F1248" s="301"/>
      <c r="G1248" s="302" t="str">
        <f>IFERROR(VLOOKUP(K1247,'2026.01'!A:Y,2,0),0)</f>
        <v>NO:090</v>
      </c>
      <c r="K1248" s="300"/>
    </row>
    <row r="1249" ht="15" customHeight="1" spans="1:11">
      <c r="A1249" s="303" t="s">
        <v>2</v>
      </c>
      <c r="B1249" s="304">
        <f>IFERROR(VLOOKUP(K1247,'2026.01'!A:Y,6,0),0)</f>
        <v>2021</v>
      </c>
      <c r="C1249" s="304"/>
      <c r="D1249" s="305" t="s">
        <v>3</v>
      </c>
      <c r="E1249" s="305" t="str">
        <f>IFERROR(VLOOKUP(K1247,'2026.01'!A:Y,7,0),0)</f>
        <v>吴桂华</v>
      </c>
      <c r="F1249" s="305"/>
      <c r="G1249" s="306" t="s">
        <v>4</v>
      </c>
      <c r="K1249" s="300"/>
    </row>
    <row r="1250" ht="15" customHeight="1" spans="1:11">
      <c r="A1250" s="307" t="s">
        <v>5</v>
      </c>
      <c r="B1250" s="308" t="s">
        <v>6</v>
      </c>
      <c r="C1250" s="308" t="s">
        <v>7</v>
      </c>
      <c r="D1250" s="308" t="s">
        <v>8</v>
      </c>
      <c r="E1250" s="308" t="s">
        <v>9</v>
      </c>
      <c r="F1250" s="309" t="s">
        <v>10</v>
      </c>
      <c r="G1250" s="310" t="s">
        <v>11</v>
      </c>
      <c r="K1250" s="300"/>
    </row>
    <row r="1251" ht="15" customHeight="1" spans="1:11">
      <c r="A1251" s="307" t="s">
        <v>12</v>
      </c>
      <c r="B1251" s="308">
        <f>IFERROR(VLOOKUP(K1247,'2026.01'!A:Y,14,0),0)</f>
        <v>9351</v>
      </c>
      <c r="C1251" s="308">
        <f>IFERROR(VLOOKUP(K1247,'2026.01'!A:Y,13,0),0)</f>
        <v>9290</v>
      </c>
      <c r="D1251" s="308">
        <f>IFERROR(VLOOKUP(K1247,'2026.01'!A:Y,15,0),0)</f>
        <v>61</v>
      </c>
      <c r="E1251" s="311">
        <f>IFERROR(VLOOKUP(K1247,'2026.01'!A:Y,18,0),0)</f>
        <v>0.8</v>
      </c>
      <c r="F1251" s="309">
        <f>IFERROR(VLOOKUP(K1247,'2026.01'!A:Y,20,0),0)</f>
        <v>49</v>
      </c>
      <c r="G1251" s="310"/>
      <c r="K1251" s="300"/>
    </row>
    <row r="1252" ht="15" customHeight="1" spans="1:11">
      <c r="A1252" s="307" t="s">
        <v>13</v>
      </c>
      <c r="B1252" s="308"/>
      <c r="C1252" s="308"/>
      <c r="D1252" s="308"/>
      <c r="E1252" s="311"/>
      <c r="F1252" s="309">
        <f>IFERROR(VLOOKUP(K1247,'2026.01'!A:Y,24,0),0)</f>
        <v>34</v>
      </c>
      <c r="G1252" s="310"/>
      <c r="K1252" s="300"/>
    </row>
    <row r="1253" ht="15" customHeight="1" spans="1:11">
      <c r="A1253" s="307" t="s">
        <v>14</v>
      </c>
      <c r="B1253" s="308"/>
      <c r="C1253" s="308"/>
      <c r="D1253" s="308"/>
      <c r="E1253" s="311"/>
      <c r="F1253" s="309">
        <f>IFERROR(VLOOKUP(K1247,'2026.01'!A:Y,12,0),0)</f>
        <v>160</v>
      </c>
      <c r="G1253" s="310"/>
      <c r="K1253" s="300"/>
    </row>
    <row r="1254" ht="21" customHeight="1" spans="1:11">
      <c r="A1254" s="307" t="s">
        <v>15</v>
      </c>
      <c r="B1254" s="308"/>
      <c r="C1254" s="308"/>
      <c r="D1254" s="308"/>
      <c r="E1254" s="311"/>
      <c r="F1254" s="309">
        <f>IFERROR(VLOOKUP(K1247,'2026.01'!A:Y,9,0),0)</f>
        <v>2500</v>
      </c>
      <c r="G1254" s="310"/>
      <c r="K1254" s="300"/>
    </row>
    <row r="1255" ht="19" customHeight="1" spans="1:11">
      <c r="A1255" s="307" t="s">
        <v>16</v>
      </c>
      <c r="B1255" s="308"/>
      <c r="C1255" s="308"/>
      <c r="D1255" s="308"/>
      <c r="E1255" s="308"/>
      <c r="F1255" s="309">
        <f>IFERROR(VLOOKUP(K1247,'2026.01'!A:Y,10,0),0)</f>
        <v>200</v>
      </c>
      <c r="G1255" s="310"/>
      <c r="K1255" s="300"/>
    </row>
    <row r="1256" ht="21" customHeight="1" spans="1:11">
      <c r="A1256" s="307" t="s">
        <v>17</v>
      </c>
      <c r="B1256" s="308"/>
      <c r="C1256" s="308"/>
      <c r="D1256" s="308"/>
      <c r="E1256" s="308"/>
      <c r="F1256" s="309">
        <f>IFERROR(VLOOKUP(K1247,'2026.01'!A:Y,19,0),0)</f>
        <v>43</v>
      </c>
      <c r="G1256" s="310"/>
      <c r="K1256" s="300"/>
    </row>
    <row r="1257" ht="17.15" customHeight="1" spans="1:11">
      <c r="A1257" s="307" t="s">
        <v>18</v>
      </c>
      <c r="B1257" s="308"/>
      <c r="C1257" s="308"/>
      <c r="D1257" s="308"/>
      <c r="E1257" s="308"/>
      <c r="F1257" s="309">
        <f>IFERROR(VLOOKUP(K1247,'2026.01'!A:Y,22,0),0)</f>
        <v>164</v>
      </c>
      <c r="G1257" s="310"/>
      <c r="K1257" s="300"/>
    </row>
    <row r="1258" ht="17.15" customHeight="1" spans="1:11">
      <c r="A1258" s="307" t="s">
        <v>19</v>
      </c>
      <c r="B1258" s="312"/>
      <c r="C1258" s="308"/>
      <c r="D1258" s="313"/>
      <c r="E1258" s="308"/>
      <c r="F1258" s="309">
        <f>IFERROR(VLOOKUP(K1247,'2026.01'!A:Y,25,0),0)</f>
        <v>3150</v>
      </c>
      <c r="G1258" s="310"/>
      <c r="K1258" s="300"/>
    </row>
    <row r="1259" ht="15" customHeight="1" spans="1:11">
      <c r="A1259" s="314" t="s">
        <v>20</v>
      </c>
      <c r="B1259" s="315">
        <f>IF(F1258&lt;0,"金额为负，无效",INT(F1258))</f>
        <v>3150</v>
      </c>
      <c r="C1259" s="315"/>
      <c r="D1259" s="315"/>
      <c r="E1259" s="316" t="s">
        <v>21</v>
      </c>
      <c r="F1259" s="317"/>
      <c r="G1259" s="318"/>
      <c r="K1259" s="300"/>
    </row>
    <row r="1260" ht="15" customHeight="1" spans="1:11">
      <c r="A1260" s="319"/>
      <c r="B1260" s="320"/>
      <c r="C1260" s="320"/>
      <c r="D1260" s="320"/>
      <c r="E1260" s="319"/>
      <c r="F1260" s="321"/>
      <c r="G1260" s="322"/>
      <c r="K1260" s="300"/>
    </row>
    <row r="1261" ht="27" customHeight="1" spans="1:11">
      <c r="A1261" s="298" t="s">
        <v>0</v>
      </c>
      <c r="B1261" s="298"/>
      <c r="C1261" s="298"/>
      <c r="D1261" s="298"/>
      <c r="E1261" s="298"/>
      <c r="F1261" s="298"/>
      <c r="G1261" s="298"/>
      <c r="H1261" s="299"/>
      <c r="I1261" s="299"/>
      <c r="J1261" s="299"/>
      <c r="K1261" s="300">
        <v>91</v>
      </c>
    </row>
    <row r="1262" ht="15" customHeight="1" spans="1:11">
      <c r="A1262" s="301" t="s">
        <v>1</v>
      </c>
      <c r="B1262" s="301"/>
      <c r="C1262" s="301"/>
      <c r="D1262" s="301"/>
      <c r="E1262" s="301"/>
      <c r="F1262" s="301"/>
      <c r="G1262" s="302" t="str">
        <f>IFERROR(VLOOKUP(K1261,'2026.01'!A:Y,2,0),0)</f>
        <v>NO:091</v>
      </c>
      <c r="K1262" s="300"/>
    </row>
    <row r="1263" ht="15" customHeight="1" spans="1:11">
      <c r="A1263" s="303" t="s">
        <v>2</v>
      </c>
      <c r="B1263" s="304">
        <f>IFERROR(VLOOKUP(K1261,'2026.01'!A:Y,6,0),0)</f>
        <v>2022</v>
      </c>
      <c r="C1263" s="304"/>
      <c r="D1263" s="305" t="s">
        <v>3</v>
      </c>
      <c r="E1263" s="305" t="str">
        <f>IFERROR(VLOOKUP(K1261,'2026.01'!A:Y,7,0),0)</f>
        <v>谭雯心</v>
      </c>
      <c r="F1263" s="305"/>
      <c r="G1263" s="306" t="s">
        <v>4</v>
      </c>
      <c r="K1263" s="300"/>
    </row>
    <row r="1264" ht="15" customHeight="1" spans="1:11">
      <c r="A1264" s="307" t="s">
        <v>5</v>
      </c>
      <c r="B1264" s="308" t="s">
        <v>6</v>
      </c>
      <c r="C1264" s="308" t="s">
        <v>7</v>
      </c>
      <c r="D1264" s="308" t="s">
        <v>8</v>
      </c>
      <c r="E1264" s="308" t="s">
        <v>9</v>
      </c>
      <c r="F1264" s="309" t="s">
        <v>10</v>
      </c>
      <c r="G1264" s="310" t="s">
        <v>11</v>
      </c>
      <c r="K1264" s="300"/>
    </row>
    <row r="1265" ht="15" customHeight="1" spans="1:11">
      <c r="A1265" s="307" t="s">
        <v>12</v>
      </c>
      <c r="B1265" s="308">
        <f>IFERROR(VLOOKUP(K1261,'2026.01'!A:Y,14,0),0)</f>
        <v>8774</v>
      </c>
      <c r="C1265" s="308">
        <f>IFERROR(VLOOKUP(K1261,'2026.01'!A:Y,13,0),0)</f>
        <v>8762</v>
      </c>
      <c r="D1265" s="308">
        <f>IFERROR(VLOOKUP(K1261,'2026.01'!A:Y,15,0),0)</f>
        <v>12</v>
      </c>
      <c r="E1265" s="311">
        <f>IFERROR(VLOOKUP(K1261,'2026.01'!A:Y,18,0),0)</f>
        <v>0.8</v>
      </c>
      <c r="F1265" s="309">
        <f>IFERROR(VLOOKUP(K1261,'2026.01'!A:Y,20,0),0)</f>
        <v>10</v>
      </c>
      <c r="G1265" s="310"/>
      <c r="K1265" s="300"/>
    </row>
    <row r="1266" ht="15" customHeight="1" spans="1:11">
      <c r="A1266" s="307" t="s">
        <v>13</v>
      </c>
      <c r="B1266" s="308"/>
      <c r="C1266" s="308"/>
      <c r="D1266" s="308"/>
      <c r="E1266" s="311"/>
      <c r="F1266" s="309">
        <f>IFERROR(VLOOKUP(K1261,'2026.01'!A:Y,24,0),0)</f>
        <v>34</v>
      </c>
      <c r="G1266" s="310"/>
      <c r="K1266" s="300"/>
    </row>
    <row r="1267" ht="15" customHeight="1" spans="1:11">
      <c r="A1267" s="307" t="s">
        <v>14</v>
      </c>
      <c r="B1267" s="308"/>
      <c r="C1267" s="308"/>
      <c r="D1267" s="308"/>
      <c r="E1267" s="311"/>
      <c r="F1267" s="309">
        <f>IFERROR(VLOOKUP(K1261,'2026.01'!A:Y,12,0),0)</f>
        <v>160</v>
      </c>
      <c r="G1267" s="310"/>
      <c r="K1267" s="300"/>
    </row>
    <row r="1268" ht="21" customHeight="1" spans="1:11">
      <c r="A1268" s="307" t="s">
        <v>15</v>
      </c>
      <c r="B1268" s="308"/>
      <c r="C1268" s="308"/>
      <c r="D1268" s="308"/>
      <c r="E1268" s="311"/>
      <c r="F1268" s="309">
        <f>IFERROR(VLOOKUP(K1261,'2026.01'!A:Y,9,0),0)</f>
        <v>2500</v>
      </c>
      <c r="G1268" s="310"/>
      <c r="K1268" s="300"/>
    </row>
    <row r="1269" ht="19" customHeight="1" spans="1:11">
      <c r="A1269" s="307" t="s">
        <v>16</v>
      </c>
      <c r="B1269" s="308"/>
      <c r="C1269" s="308"/>
      <c r="D1269" s="308"/>
      <c r="E1269" s="308"/>
      <c r="F1269" s="309">
        <f>IFERROR(VLOOKUP(K1261,'2026.01'!A:Y,10,0),0)</f>
        <v>200</v>
      </c>
      <c r="G1269" s="310"/>
      <c r="K1269" s="300"/>
    </row>
    <row r="1270" ht="21" customHeight="1" spans="1:11">
      <c r="A1270" s="307" t="s">
        <v>17</v>
      </c>
      <c r="B1270" s="308"/>
      <c r="C1270" s="308"/>
      <c r="D1270" s="308"/>
      <c r="E1270" s="308"/>
      <c r="F1270" s="309">
        <f>IFERROR(VLOOKUP(K1261,'2026.01'!A:Y,19,0),0)</f>
        <v>8</v>
      </c>
      <c r="G1270" s="310"/>
      <c r="K1270" s="300"/>
    </row>
    <row r="1271" ht="17.15" customHeight="1" spans="1:11">
      <c r="A1271" s="307" t="s">
        <v>18</v>
      </c>
      <c r="B1271" s="308"/>
      <c r="C1271" s="308"/>
      <c r="D1271" s="308"/>
      <c r="E1271" s="308"/>
      <c r="F1271" s="309">
        <f>IFERROR(VLOOKUP(K1261,'2026.01'!A:Y,22,0),0)</f>
        <v>164</v>
      </c>
      <c r="G1271" s="310"/>
      <c r="K1271" s="300"/>
    </row>
    <row r="1272" ht="17.15" customHeight="1" spans="1:11">
      <c r="A1272" s="307" t="s">
        <v>19</v>
      </c>
      <c r="B1272" s="312"/>
      <c r="C1272" s="308"/>
      <c r="D1272" s="313"/>
      <c r="E1272" s="308"/>
      <c r="F1272" s="309">
        <f>IFERROR(VLOOKUP(K1261,'2026.01'!A:Y,25,0),0)</f>
        <v>3076</v>
      </c>
      <c r="G1272" s="310"/>
      <c r="K1272" s="300"/>
    </row>
    <row r="1273" ht="15" customHeight="1" spans="1:11">
      <c r="A1273" s="314" t="s">
        <v>20</v>
      </c>
      <c r="B1273" s="315">
        <f>IF(F1272&lt;0,"金额为负，无效",INT(F1272))</f>
        <v>3076</v>
      </c>
      <c r="C1273" s="315"/>
      <c r="D1273" s="315"/>
      <c r="E1273" s="316" t="s">
        <v>21</v>
      </c>
      <c r="F1273" s="317"/>
      <c r="G1273" s="318"/>
      <c r="K1273" s="300"/>
    </row>
    <row r="1274" ht="23" customHeight="1" spans="1:11">
      <c r="A1274" s="319"/>
      <c r="B1274" s="320"/>
      <c r="C1274" s="320"/>
      <c r="D1274" s="320"/>
      <c r="E1274" s="319"/>
      <c r="F1274" s="321"/>
      <c r="G1274" s="322"/>
      <c r="K1274" s="300"/>
    </row>
    <row r="1275" ht="27" customHeight="1" spans="1:11">
      <c r="A1275" s="298" t="s">
        <v>0</v>
      </c>
      <c r="B1275" s="298"/>
      <c r="C1275" s="298"/>
      <c r="D1275" s="298"/>
      <c r="E1275" s="298"/>
      <c r="F1275" s="298"/>
      <c r="G1275" s="298"/>
      <c r="H1275" s="299"/>
      <c r="I1275" s="299"/>
      <c r="J1275" s="299"/>
      <c r="K1275" s="300">
        <v>92</v>
      </c>
    </row>
    <row r="1276" ht="15" customHeight="1" spans="1:11">
      <c r="A1276" s="301" t="s">
        <v>1</v>
      </c>
      <c r="B1276" s="301"/>
      <c r="C1276" s="301"/>
      <c r="D1276" s="301"/>
      <c r="E1276" s="301"/>
      <c r="F1276" s="301"/>
      <c r="G1276" s="302" t="str">
        <f>IFERROR(VLOOKUP(K1275,'2026.01'!A:Y,2,0),0)</f>
        <v>NO:092</v>
      </c>
      <c r="K1276" s="300"/>
    </row>
    <row r="1277" ht="15" customHeight="1" spans="1:11">
      <c r="A1277" s="303" t="s">
        <v>2</v>
      </c>
      <c r="B1277" s="304">
        <f>IFERROR(VLOOKUP(K1275,'2026.01'!A:Y,6,0),0)</f>
        <v>2023</v>
      </c>
      <c r="C1277" s="304"/>
      <c r="D1277" s="305" t="s">
        <v>3</v>
      </c>
      <c r="E1277" s="305" t="str">
        <f>IFERROR(VLOOKUP(K1275,'2026.01'!A:Y,7,0),0)</f>
        <v>张秀珠</v>
      </c>
      <c r="F1277" s="305"/>
      <c r="G1277" s="306" t="s">
        <v>4</v>
      </c>
      <c r="K1277" s="300"/>
    </row>
    <row r="1278" ht="15" customHeight="1" spans="1:11">
      <c r="A1278" s="307" t="s">
        <v>5</v>
      </c>
      <c r="B1278" s="308" t="s">
        <v>6</v>
      </c>
      <c r="C1278" s="308" t="s">
        <v>7</v>
      </c>
      <c r="D1278" s="308" t="s">
        <v>8</v>
      </c>
      <c r="E1278" s="308" t="s">
        <v>9</v>
      </c>
      <c r="F1278" s="309" t="s">
        <v>10</v>
      </c>
      <c r="G1278" s="310" t="s">
        <v>11</v>
      </c>
      <c r="K1278" s="300"/>
    </row>
    <row r="1279" ht="15" customHeight="1" spans="1:11">
      <c r="A1279" s="307" t="s">
        <v>12</v>
      </c>
      <c r="B1279" s="308">
        <f>IFERROR(VLOOKUP(K1275,'2026.01'!A:Y,14,0),0)</f>
        <v>7958</v>
      </c>
      <c r="C1279" s="308">
        <f>IFERROR(VLOOKUP(K1275,'2026.01'!A:Y,13,0),0)</f>
        <v>7906</v>
      </c>
      <c r="D1279" s="308">
        <f>IFERROR(VLOOKUP(K1275,'2026.01'!A:Y,15,0),0)</f>
        <v>52</v>
      </c>
      <c r="E1279" s="311">
        <f>IFERROR(VLOOKUP(K1275,'2026.01'!A:Y,18,0),0)</f>
        <v>0.8</v>
      </c>
      <c r="F1279" s="309">
        <f>IFERROR(VLOOKUP(K1275,'2026.01'!A:Y,20,0),0)</f>
        <v>42</v>
      </c>
      <c r="G1279" s="310"/>
      <c r="K1279" s="300"/>
    </row>
    <row r="1280" ht="15" customHeight="1" spans="1:11">
      <c r="A1280" s="307" t="s">
        <v>13</v>
      </c>
      <c r="B1280" s="308"/>
      <c r="C1280" s="308"/>
      <c r="D1280" s="308"/>
      <c r="E1280" s="311"/>
      <c r="F1280" s="309">
        <f>IFERROR(VLOOKUP(K1275,'2026.01'!A:Y,24,0),0)</f>
        <v>34</v>
      </c>
      <c r="G1280" s="310"/>
      <c r="K1280" s="300"/>
    </row>
    <row r="1281" ht="15" customHeight="1" spans="1:11">
      <c r="A1281" s="307" t="s">
        <v>14</v>
      </c>
      <c r="B1281" s="308"/>
      <c r="C1281" s="308"/>
      <c r="D1281" s="308"/>
      <c r="E1281" s="311"/>
      <c r="F1281" s="309">
        <f>IFERROR(VLOOKUP(K1275,'2026.01'!A:Y,12,0),0)</f>
        <v>160</v>
      </c>
      <c r="G1281" s="310"/>
      <c r="K1281" s="300"/>
    </row>
    <row r="1282" ht="21" customHeight="1" spans="1:11">
      <c r="A1282" s="307" t="s">
        <v>15</v>
      </c>
      <c r="B1282" s="308"/>
      <c r="C1282" s="308"/>
      <c r="D1282" s="308"/>
      <c r="E1282" s="311"/>
      <c r="F1282" s="309">
        <f>IFERROR(VLOOKUP(K1275,'2026.01'!A:Y,9,0),0)</f>
        <v>2500</v>
      </c>
      <c r="G1282" s="310"/>
      <c r="K1282" s="300"/>
    </row>
    <row r="1283" ht="19" customHeight="1" spans="1:11">
      <c r="A1283" s="307" t="s">
        <v>16</v>
      </c>
      <c r="B1283" s="308"/>
      <c r="C1283" s="308"/>
      <c r="D1283" s="308"/>
      <c r="E1283" s="308"/>
      <c r="F1283" s="309">
        <f>IFERROR(VLOOKUP(K1275,'2026.01'!A:Y,10,0),0)</f>
        <v>200</v>
      </c>
      <c r="G1283" s="310"/>
      <c r="K1283" s="300"/>
    </row>
    <row r="1284" ht="21" customHeight="1" spans="1:11">
      <c r="A1284" s="307" t="s">
        <v>17</v>
      </c>
      <c r="B1284" s="308"/>
      <c r="C1284" s="308"/>
      <c r="D1284" s="308"/>
      <c r="E1284" s="308"/>
      <c r="F1284" s="309">
        <f>IFERROR(VLOOKUP(K1275,'2026.01'!A:Y,19,0),0)</f>
        <v>36</v>
      </c>
      <c r="G1284" s="310"/>
      <c r="K1284" s="300"/>
    </row>
    <row r="1285" ht="17.15" customHeight="1" spans="1:11">
      <c r="A1285" s="307" t="s">
        <v>18</v>
      </c>
      <c r="B1285" s="308"/>
      <c r="C1285" s="308"/>
      <c r="D1285" s="308"/>
      <c r="E1285" s="308"/>
      <c r="F1285" s="309">
        <f>IFERROR(VLOOKUP(K1275,'2026.01'!A:Y,22,0),0)</f>
        <v>164</v>
      </c>
      <c r="G1285" s="310"/>
      <c r="K1285" s="300"/>
    </row>
    <row r="1286" ht="17.15" customHeight="1" spans="1:11">
      <c r="A1286" s="307" t="s">
        <v>19</v>
      </c>
      <c r="B1286" s="312"/>
      <c r="C1286" s="308"/>
      <c r="D1286" s="313"/>
      <c r="E1286" s="308"/>
      <c r="F1286" s="309">
        <f>IFERROR(VLOOKUP(K1275,'2026.01'!A:Y,25,0),0)</f>
        <v>3136</v>
      </c>
      <c r="G1286" s="310"/>
      <c r="K1286" s="300"/>
    </row>
    <row r="1287" ht="15" customHeight="1" spans="1:11">
      <c r="A1287" s="314" t="s">
        <v>20</v>
      </c>
      <c r="B1287" s="315">
        <f>IF(F1286&lt;0,"金额为负，无效",INT(F1286))</f>
        <v>3136</v>
      </c>
      <c r="C1287" s="315"/>
      <c r="D1287" s="315"/>
      <c r="E1287" s="316" t="s">
        <v>21</v>
      </c>
      <c r="F1287" s="317"/>
      <c r="G1287" s="318"/>
      <c r="K1287" s="300"/>
    </row>
    <row r="1288" ht="23" customHeight="1" spans="1:11">
      <c r="A1288" s="319"/>
      <c r="B1288" s="320"/>
      <c r="C1288" s="320"/>
      <c r="D1288" s="320"/>
      <c r="E1288" s="319"/>
      <c r="F1288" s="321"/>
      <c r="G1288" s="322"/>
      <c r="K1288" s="300"/>
    </row>
    <row r="1289" ht="27" customHeight="1" spans="1:11">
      <c r="A1289" s="298" t="s">
        <v>0</v>
      </c>
      <c r="B1289" s="298"/>
      <c r="C1289" s="298"/>
      <c r="D1289" s="298"/>
      <c r="E1289" s="298"/>
      <c r="F1289" s="298"/>
      <c r="G1289" s="298"/>
      <c r="H1289" s="299"/>
      <c r="I1289" s="299"/>
      <c r="J1289" s="299"/>
      <c r="K1289" s="300">
        <v>93</v>
      </c>
    </row>
    <row r="1290" ht="15" customHeight="1" spans="1:11">
      <c r="A1290" s="301" t="s">
        <v>1</v>
      </c>
      <c r="B1290" s="301"/>
      <c r="C1290" s="301"/>
      <c r="D1290" s="301"/>
      <c r="E1290" s="301"/>
      <c r="F1290" s="301"/>
      <c r="G1290" s="302" t="str">
        <f>IFERROR(VLOOKUP(K1289,'2026.01'!A:Y,2,0),0)</f>
        <v>NO:093</v>
      </c>
      <c r="K1290" s="300"/>
    </row>
    <row r="1291" ht="15" customHeight="1" spans="1:11">
      <c r="A1291" s="303" t="s">
        <v>2</v>
      </c>
      <c r="B1291" s="304">
        <f>IFERROR(VLOOKUP(K1289,'2026.01'!A:Y,6,0),0)</f>
        <v>2024</v>
      </c>
      <c r="C1291" s="304"/>
      <c r="D1291" s="305" t="s">
        <v>3</v>
      </c>
      <c r="E1291" s="305" t="str">
        <f>IFERROR(VLOOKUP(K1289,'2026.01'!A:Y,7,0),0)</f>
        <v>余小帆</v>
      </c>
      <c r="F1291" s="305"/>
      <c r="G1291" s="306" t="s">
        <v>4</v>
      </c>
      <c r="K1291" s="300"/>
    </row>
    <row r="1292" ht="15" customHeight="1" spans="1:11">
      <c r="A1292" s="307" t="s">
        <v>5</v>
      </c>
      <c r="B1292" s="308" t="s">
        <v>6</v>
      </c>
      <c r="C1292" s="308" t="s">
        <v>7</v>
      </c>
      <c r="D1292" s="308" t="s">
        <v>8</v>
      </c>
      <c r="E1292" s="308" t="s">
        <v>9</v>
      </c>
      <c r="F1292" s="309" t="s">
        <v>10</v>
      </c>
      <c r="G1292" s="310" t="s">
        <v>11</v>
      </c>
      <c r="K1292" s="300"/>
    </row>
    <row r="1293" ht="15" customHeight="1" spans="1:11">
      <c r="A1293" s="307" t="s">
        <v>12</v>
      </c>
      <c r="B1293" s="308">
        <f>IFERROR(VLOOKUP(K1289,'2026.01'!A:Y,14,0),0)</f>
        <v>8286</v>
      </c>
      <c r="C1293" s="308">
        <f>IFERROR(VLOOKUP(K1289,'2026.01'!A:Y,13,0),0)</f>
        <v>8257</v>
      </c>
      <c r="D1293" s="308">
        <f>IFERROR(VLOOKUP(K1289,'2026.01'!A:Y,15,0),0)</f>
        <v>29</v>
      </c>
      <c r="E1293" s="311">
        <f>IFERROR(VLOOKUP(K1289,'2026.01'!A:Y,18,0),0)</f>
        <v>0.8</v>
      </c>
      <c r="F1293" s="309">
        <f>IFERROR(VLOOKUP(K1289,'2026.01'!A:Y,20,0),0)</f>
        <v>23</v>
      </c>
      <c r="G1293" s="310"/>
      <c r="K1293" s="300"/>
    </row>
    <row r="1294" ht="15" customHeight="1" spans="1:11">
      <c r="A1294" s="307" t="s">
        <v>13</v>
      </c>
      <c r="B1294" s="308"/>
      <c r="C1294" s="308"/>
      <c r="D1294" s="308"/>
      <c r="E1294" s="311"/>
      <c r="F1294" s="309">
        <f>IFERROR(VLOOKUP(K1289,'2026.01'!A:Y,24,0),0)</f>
        <v>34</v>
      </c>
      <c r="G1294" s="310"/>
      <c r="K1294" s="300"/>
    </row>
    <row r="1295" ht="15" customHeight="1" spans="1:11">
      <c r="A1295" s="307" t="s">
        <v>14</v>
      </c>
      <c r="B1295" s="308"/>
      <c r="C1295" s="308"/>
      <c r="D1295" s="308"/>
      <c r="E1295" s="311"/>
      <c r="F1295" s="309">
        <f>IFERROR(VLOOKUP(K1289,'2026.01'!A:Y,12,0),0)</f>
        <v>160</v>
      </c>
      <c r="G1295" s="310"/>
      <c r="K1295" s="300"/>
    </row>
    <row r="1296" ht="21" customHeight="1" spans="1:11">
      <c r="A1296" s="307" t="s">
        <v>15</v>
      </c>
      <c r="B1296" s="308"/>
      <c r="C1296" s="308"/>
      <c r="D1296" s="308"/>
      <c r="E1296" s="311"/>
      <c r="F1296" s="309">
        <f>IFERROR(VLOOKUP(K1289,'2026.01'!A:Y,9,0),0)</f>
        <v>2500</v>
      </c>
      <c r="G1296" s="310"/>
      <c r="K1296" s="300"/>
    </row>
    <row r="1297" ht="19" customHeight="1" spans="1:11">
      <c r="A1297" s="307" t="s">
        <v>16</v>
      </c>
      <c r="B1297" s="308"/>
      <c r="C1297" s="308"/>
      <c r="D1297" s="308"/>
      <c r="E1297" s="308"/>
      <c r="F1297" s="309">
        <f>IFERROR(VLOOKUP(K1289,'2026.01'!A:Y,10,0),0)</f>
        <v>200</v>
      </c>
      <c r="G1297" s="310"/>
      <c r="K1297" s="300"/>
    </row>
    <row r="1298" ht="21" customHeight="1" spans="1:11">
      <c r="A1298" s="307" t="s">
        <v>17</v>
      </c>
      <c r="B1298" s="308"/>
      <c r="C1298" s="308"/>
      <c r="D1298" s="308"/>
      <c r="E1298" s="308"/>
      <c r="F1298" s="309">
        <f>IFERROR(VLOOKUP(K1289,'2026.01'!A:Y,19,0),0)</f>
        <v>20</v>
      </c>
      <c r="G1298" s="310"/>
      <c r="K1298" s="300"/>
    </row>
    <row r="1299" ht="17.15" customHeight="1" spans="1:11">
      <c r="A1299" s="307" t="s">
        <v>18</v>
      </c>
      <c r="B1299" s="308"/>
      <c r="C1299" s="308"/>
      <c r="D1299" s="308"/>
      <c r="E1299" s="308"/>
      <c r="F1299" s="309">
        <f>IFERROR(VLOOKUP(K1289,'2026.01'!A:Y,22,0),0)</f>
        <v>164</v>
      </c>
      <c r="G1299" s="310"/>
      <c r="K1299" s="300"/>
    </row>
    <row r="1300" ht="17.15" customHeight="1" spans="1:11">
      <c r="A1300" s="307" t="s">
        <v>19</v>
      </c>
      <c r="B1300" s="312"/>
      <c r="C1300" s="308"/>
      <c r="D1300" s="313"/>
      <c r="E1300" s="308"/>
      <c r="F1300" s="309">
        <f>IFERROR(VLOOKUP(K1289,'2026.01'!A:Y,25,0),0)</f>
        <v>3101</v>
      </c>
      <c r="G1300" s="310"/>
      <c r="K1300" s="300"/>
    </row>
    <row r="1301" ht="15" customHeight="1" spans="1:11">
      <c r="A1301" s="314" t="s">
        <v>20</v>
      </c>
      <c r="B1301" s="315">
        <f>IF(F1300&lt;0,"金额为负，无效",INT(F1300))</f>
        <v>3101</v>
      </c>
      <c r="C1301" s="315"/>
      <c r="D1301" s="315"/>
      <c r="E1301" s="316" t="s">
        <v>21</v>
      </c>
      <c r="F1301" s="317"/>
      <c r="G1301" s="318"/>
      <c r="K1301" s="300"/>
    </row>
    <row r="1302" ht="15" customHeight="1" spans="1:11">
      <c r="A1302" s="319"/>
      <c r="B1302" s="320"/>
      <c r="C1302" s="320"/>
      <c r="D1302" s="320"/>
      <c r="E1302" s="319"/>
      <c r="F1302" s="321"/>
      <c r="G1302" s="322"/>
      <c r="K1302" s="300"/>
    </row>
    <row r="1303" ht="27" customHeight="1" spans="1:11">
      <c r="A1303" s="298" t="s">
        <v>0</v>
      </c>
      <c r="B1303" s="298"/>
      <c r="C1303" s="298"/>
      <c r="D1303" s="298"/>
      <c r="E1303" s="298"/>
      <c r="F1303" s="298"/>
      <c r="G1303" s="298"/>
      <c r="H1303" s="299"/>
      <c r="I1303" s="299"/>
      <c r="J1303" s="299"/>
      <c r="K1303" s="300">
        <v>94</v>
      </c>
    </row>
    <row r="1304" ht="15" customHeight="1" spans="1:11">
      <c r="A1304" s="301" t="s">
        <v>1</v>
      </c>
      <c r="B1304" s="301"/>
      <c r="C1304" s="301"/>
      <c r="D1304" s="301"/>
      <c r="E1304" s="301"/>
      <c r="F1304" s="301"/>
      <c r="G1304" s="302" t="str">
        <f>IFERROR(VLOOKUP(K1303,'2026.01'!A:Y,2,0),0)</f>
        <v>NO:094</v>
      </c>
      <c r="K1304" s="300"/>
    </row>
    <row r="1305" ht="15" customHeight="1" spans="1:11">
      <c r="A1305" s="303" t="s">
        <v>2</v>
      </c>
      <c r="B1305" s="304">
        <f>IFERROR(VLOOKUP(K1303,'2026.01'!A:Y,6,0),0)</f>
        <v>2025</v>
      </c>
      <c r="C1305" s="304"/>
      <c r="D1305" s="305" t="s">
        <v>3</v>
      </c>
      <c r="E1305" s="305" t="str">
        <f>IFERROR(VLOOKUP(K1303,'2026.01'!A:Y,7,0),0)</f>
        <v>焦小峰</v>
      </c>
      <c r="F1305" s="305"/>
      <c r="G1305" s="306" t="s">
        <v>4</v>
      </c>
      <c r="K1305" s="300"/>
    </row>
    <row r="1306" ht="15" customHeight="1" spans="1:11">
      <c r="A1306" s="307" t="s">
        <v>5</v>
      </c>
      <c r="B1306" s="308" t="s">
        <v>6</v>
      </c>
      <c r="C1306" s="308" t="s">
        <v>7</v>
      </c>
      <c r="D1306" s="308" t="s">
        <v>8</v>
      </c>
      <c r="E1306" s="308" t="s">
        <v>9</v>
      </c>
      <c r="F1306" s="309" t="s">
        <v>10</v>
      </c>
      <c r="G1306" s="310" t="s">
        <v>11</v>
      </c>
      <c r="K1306" s="300"/>
    </row>
    <row r="1307" ht="15" customHeight="1" spans="1:11">
      <c r="A1307" s="307" t="s">
        <v>12</v>
      </c>
      <c r="B1307" s="308">
        <f>IFERROR(VLOOKUP(K1303,'2026.01'!A:Y,14,0),0)</f>
        <v>870</v>
      </c>
      <c r="C1307" s="308">
        <f>IFERROR(VLOOKUP(K1303,'2026.01'!A:Y,13,0),0)</f>
        <v>853</v>
      </c>
      <c r="D1307" s="308">
        <f>IFERROR(VLOOKUP(K1303,'2026.01'!A:Y,15,0),0)</f>
        <v>17</v>
      </c>
      <c r="E1307" s="311">
        <f>IFERROR(VLOOKUP(K1303,'2026.01'!A:Y,18,0),0)</f>
        <v>0.8</v>
      </c>
      <c r="F1307" s="309">
        <f>IFERROR(VLOOKUP(K1303,'2026.01'!A:Y,20,0),0)</f>
        <v>14</v>
      </c>
      <c r="G1307" s="310"/>
      <c r="K1307" s="300"/>
    </row>
    <row r="1308" ht="15" customHeight="1" spans="1:11">
      <c r="A1308" s="307" t="s">
        <v>13</v>
      </c>
      <c r="B1308" s="308"/>
      <c r="C1308" s="308"/>
      <c r="D1308" s="308"/>
      <c r="E1308" s="311"/>
      <c r="F1308" s="309">
        <f>IFERROR(VLOOKUP(K1303,'2026.01'!A:Y,24,0),0)</f>
        <v>43</v>
      </c>
      <c r="G1308" s="310"/>
      <c r="K1308" s="300"/>
    </row>
    <row r="1309" ht="15" customHeight="1" spans="1:11">
      <c r="A1309" s="307" t="s">
        <v>14</v>
      </c>
      <c r="B1309" s="308"/>
      <c r="C1309" s="308"/>
      <c r="D1309" s="308"/>
      <c r="E1309" s="311"/>
      <c r="F1309" s="309">
        <f>IFERROR(VLOOKUP(K1303,'2026.01'!A:Y,12,0),0)</f>
        <v>160</v>
      </c>
      <c r="G1309" s="310"/>
      <c r="K1309" s="300"/>
    </row>
    <row r="1310" ht="21" customHeight="1" spans="1:11">
      <c r="A1310" s="307" t="s">
        <v>15</v>
      </c>
      <c r="B1310" s="308"/>
      <c r="C1310" s="308"/>
      <c r="D1310" s="308"/>
      <c r="E1310" s="311"/>
      <c r="F1310" s="309">
        <f>IFERROR(VLOOKUP(K1303,'2026.01'!A:Y,9,0),0)</f>
        <v>2500</v>
      </c>
      <c r="G1310" s="310"/>
      <c r="K1310" s="300"/>
    </row>
    <row r="1311" ht="19" customHeight="1" spans="1:11">
      <c r="A1311" s="307" t="s">
        <v>16</v>
      </c>
      <c r="B1311" s="308"/>
      <c r="C1311" s="308"/>
      <c r="D1311" s="308"/>
      <c r="E1311" s="308"/>
      <c r="F1311" s="309">
        <f>IFERROR(VLOOKUP(K1303,'2026.01'!A:Y,10,0),0)</f>
        <v>200</v>
      </c>
      <c r="G1311" s="310"/>
      <c r="K1311" s="300"/>
    </row>
    <row r="1312" ht="21" customHeight="1" spans="1:11">
      <c r="A1312" s="307" t="s">
        <v>17</v>
      </c>
      <c r="B1312" s="308"/>
      <c r="C1312" s="308"/>
      <c r="D1312" s="308"/>
      <c r="E1312" s="308"/>
      <c r="F1312" s="309">
        <f>IFERROR(VLOOKUP(K1303,'2026.01'!A:Y,19,0),0)</f>
        <v>12</v>
      </c>
      <c r="G1312" s="310"/>
      <c r="K1312" s="300"/>
    </row>
    <row r="1313" ht="17.15" customHeight="1" spans="1:11">
      <c r="A1313" s="307" t="s">
        <v>18</v>
      </c>
      <c r="B1313" s="308"/>
      <c r="C1313" s="308"/>
      <c r="D1313" s="308"/>
      <c r="E1313" s="308"/>
      <c r="F1313" s="309">
        <f>IFERROR(VLOOKUP(K1303,'2026.01'!A:Y,22,0),0)</f>
        <v>201</v>
      </c>
      <c r="G1313" s="310"/>
      <c r="K1313" s="300"/>
    </row>
    <row r="1314" ht="17.15" customHeight="1" spans="1:11">
      <c r="A1314" s="307" t="s">
        <v>19</v>
      </c>
      <c r="B1314" s="312"/>
      <c r="C1314" s="308"/>
      <c r="D1314" s="313"/>
      <c r="E1314" s="308"/>
      <c r="F1314" s="309">
        <f>IFERROR(VLOOKUP(K1303,'2026.01'!A:Y,25,0),0)</f>
        <v>3130</v>
      </c>
      <c r="G1314" s="310"/>
      <c r="K1314" s="300"/>
    </row>
    <row r="1315" ht="15" customHeight="1" spans="1:11">
      <c r="A1315" s="314" t="s">
        <v>20</v>
      </c>
      <c r="B1315" s="315">
        <f>IF(F1314&lt;0,"金额为负，无效",INT(F1314))</f>
        <v>3130</v>
      </c>
      <c r="C1315" s="315"/>
      <c r="D1315" s="315"/>
      <c r="E1315" s="316" t="s">
        <v>21</v>
      </c>
      <c r="F1315" s="317"/>
      <c r="G1315" s="318"/>
      <c r="K1315" s="300"/>
    </row>
    <row r="1316" ht="23" customHeight="1" spans="1:11">
      <c r="A1316" s="319"/>
      <c r="B1316" s="320"/>
      <c r="C1316" s="320"/>
      <c r="D1316" s="320"/>
      <c r="E1316" s="319"/>
      <c r="F1316" s="321"/>
      <c r="G1316" s="322"/>
      <c r="K1316" s="300"/>
    </row>
    <row r="1317" ht="27" customHeight="1" spans="1:11">
      <c r="A1317" s="298" t="s">
        <v>0</v>
      </c>
      <c r="B1317" s="298"/>
      <c r="C1317" s="298"/>
      <c r="D1317" s="298"/>
      <c r="E1317" s="298"/>
      <c r="F1317" s="298"/>
      <c r="G1317" s="298"/>
      <c r="H1317" s="299"/>
      <c r="I1317" s="299"/>
      <c r="J1317" s="299"/>
      <c r="K1317" s="300">
        <v>95</v>
      </c>
    </row>
    <row r="1318" ht="15" customHeight="1" spans="1:11">
      <c r="A1318" s="301" t="s">
        <v>1</v>
      </c>
      <c r="B1318" s="301"/>
      <c r="C1318" s="301"/>
      <c r="D1318" s="301"/>
      <c r="E1318" s="301"/>
      <c r="F1318" s="301"/>
      <c r="G1318" s="302" t="str">
        <f>IFERROR(VLOOKUP(K1317,'2026.01'!A:Y,2,0),0)</f>
        <v>NO:095</v>
      </c>
      <c r="K1318" s="300"/>
    </row>
    <row r="1319" ht="15" customHeight="1" spans="1:11">
      <c r="A1319" s="303" t="s">
        <v>2</v>
      </c>
      <c r="B1319" s="304">
        <f>IFERROR(VLOOKUP(K1317,'2026.01'!A:Y,6,0),0)</f>
        <v>2026</v>
      </c>
      <c r="C1319" s="304"/>
      <c r="D1319" s="305" t="s">
        <v>3</v>
      </c>
      <c r="E1319" s="305" t="str">
        <f>IFERROR(VLOOKUP(K1317,'2026.01'!A:Y,7,0),0)</f>
        <v>办公室</v>
      </c>
      <c r="F1319" s="305"/>
      <c r="G1319" s="306" t="s">
        <v>4</v>
      </c>
      <c r="K1319" s="300"/>
    </row>
    <row r="1320" ht="15" customHeight="1" spans="1:11">
      <c r="A1320" s="307" t="s">
        <v>5</v>
      </c>
      <c r="B1320" s="308" t="s">
        <v>6</v>
      </c>
      <c r="C1320" s="308" t="s">
        <v>7</v>
      </c>
      <c r="D1320" s="308" t="s">
        <v>8</v>
      </c>
      <c r="E1320" s="308" t="s">
        <v>9</v>
      </c>
      <c r="F1320" s="309" t="s">
        <v>10</v>
      </c>
      <c r="G1320" s="310" t="s">
        <v>11</v>
      </c>
      <c r="K1320" s="300"/>
    </row>
    <row r="1321" ht="15" customHeight="1" spans="1:11">
      <c r="A1321" s="307" t="s">
        <v>12</v>
      </c>
      <c r="B1321" s="308">
        <f>IFERROR(VLOOKUP(K1317,'2026.01'!A:Y,14,0),0)</f>
        <v>5755</v>
      </c>
      <c r="C1321" s="308">
        <f>IFERROR(VLOOKUP(K1317,'2026.01'!A:Y,13,0),0)</f>
        <v>5755</v>
      </c>
      <c r="D1321" s="308">
        <f>IFERROR(VLOOKUP(K1317,'2026.01'!A:Y,15,0),0)</f>
        <v>0</v>
      </c>
      <c r="E1321" s="311">
        <f>IFERROR(VLOOKUP(K1317,'2026.01'!A:Y,18,0),0)</f>
        <v>0.8</v>
      </c>
      <c r="F1321" s="309">
        <f>IFERROR(VLOOKUP(K1317,'2026.01'!A:Y,20,0),0)</f>
        <v>0</v>
      </c>
      <c r="G1321" s="310"/>
      <c r="K1321" s="300"/>
    </row>
    <row r="1322" ht="15" customHeight="1" spans="1:11">
      <c r="A1322" s="307" t="s">
        <v>13</v>
      </c>
      <c r="B1322" s="308"/>
      <c r="C1322" s="308"/>
      <c r="D1322" s="308"/>
      <c r="E1322" s="311"/>
      <c r="F1322" s="309">
        <f>IFERROR(VLOOKUP(K1317,'2026.01'!A:Y,24,0),0)</f>
        <v>0</v>
      </c>
      <c r="G1322" s="310"/>
      <c r="K1322" s="300"/>
    </row>
    <row r="1323" ht="15" customHeight="1" spans="1:11">
      <c r="A1323" s="307" t="s">
        <v>14</v>
      </c>
      <c r="B1323" s="308"/>
      <c r="C1323" s="308"/>
      <c r="D1323" s="308"/>
      <c r="E1323" s="311"/>
      <c r="F1323" s="309">
        <f>IFERROR(VLOOKUP(K1317,'2026.01'!A:Y,12,0),0)</f>
        <v>0</v>
      </c>
      <c r="G1323" s="310"/>
      <c r="K1323" s="300"/>
    </row>
    <row r="1324" ht="21" customHeight="1" spans="1:11">
      <c r="A1324" s="307" t="s">
        <v>15</v>
      </c>
      <c r="B1324" s="308"/>
      <c r="C1324" s="308"/>
      <c r="D1324" s="308"/>
      <c r="E1324" s="311"/>
      <c r="F1324" s="309">
        <f>IFERROR(VLOOKUP(K1317,'2026.01'!A:Y,9,0),0)</f>
        <v>0</v>
      </c>
      <c r="G1324" s="310"/>
      <c r="K1324" s="300"/>
    </row>
    <row r="1325" ht="19" customHeight="1" spans="1:11">
      <c r="A1325" s="307" t="s">
        <v>16</v>
      </c>
      <c r="B1325" s="308"/>
      <c r="C1325" s="308"/>
      <c r="D1325" s="308"/>
      <c r="E1325" s="308"/>
      <c r="F1325" s="309">
        <f>IFERROR(VLOOKUP(K1317,'2026.01'!A:Y,10,0),0)</f>
        <v>0</v>
      </c>
      <c r="G1325" s="310"/>
      <c r="K1325" s="300"/>
    </row>
    <row r="1326" ht="21" customHeight="1" spans="1:11">
      <c r="A1326" s="307" t="s">
        <v>17</v>
      </c>
      <c r="B1326" s="308"/>
      <c r="C1326" s="308"/>
      <c r="D1326" s="308"/>
      <c r="E1326" s="308"/>
      <c r="F1326" s="309">
        <f>IFERROR(VLOOKUP(K1317,'2026.01'!A:Y,19,0),0)</f>
        <v>0</v>
      </c>
      <c r="G1326" s="310"/>
      <c r="K1326" s="300"/>
    </row>
    <row r="1327" ht="17.15" customHeight="1" spans="1:11">
      <c r="A1327" s="307" t="s">
        <v>18</v>
      </c>
      <c r="B1327" s="308"/>
      <c r="C1327" s="308"/>
      <c r="D1327" s="308"/>
      <c r="E1327" s="308"/>
      <c r="F1327" s="309">
        <f>IFERROR(VLOOKUP(K1317,'2026.01'!A:Y,22,0),0)</f>
        <v>0</v>
      </c>
      <c r="G1327" s="310"/>
      <c r="K1327" s="300"/>
    </row>
    <row r="1328" ht="17.15" customHeight="1" spans="1:11">
      <c r="A1328" s="307" t="s">
        <v>19</v>
      </c>
      <c r="B1328" s="312"/>
      <c r="C1328" s="308"/>
      <c r="D1328" s="313"/>
      <c r="E1328" s="308"/>
      <c r="F1328" s="309">
        <f>IFERROR(VLOOKUP(K1317,'2026.01'!A:Y,25,0),0)</f>
        <v>0</v>
      </c>
      <c r="G1328" s="310"/>
      <c r="K1328" s="300"/>
    </row>
    <row r="1329" ht="15" customHeight="1" spans="1:11">
      <c r="A1329" s="314" t="s">
        <v>20</v>
      </c>
      <c r="B1329" s="315">
        <f>IF(F1328&lt;0,"金额为负，无效",INT(F1328))</f>
        <v>0</v>
      </c>
      <c r="C1329" s="315"/>
      <c r="D1329" s="315"/>
      <c r="E1329" s="316" t="s">
        <v>21</v>
      </c>
      <c r="F1329" s="317"/>
      <c r="G1329" s="318"/>
      <c r="K1329" s="300"/>
    </row>
    <row r="1330" ht="23" customHeight="1" spans="1:11">
      <c r="A1330" s="319"/>
      <c r="B1330" s="320"/>
      <c r="C1330" s="320"/>
      <c r="D1330" s="320"/>
      <c r="E1330" s="319"/>
      <c r="F1330" s="321"/>
      <c r="G1330" s="322"/>
      <c r="K1330" s="300"/>
    </row>
    <row r="1331" ht="27" customHeight="1" spans="1:11">
      <c r="A1331" s="298" t="s">
        <v>0</v>
      </c>
      <c r="B1331" s="298"/>
      <c r="C1331" s="298"/>
      <c r="D1331" s="298"/>
      <c r="E1331" s="298"/>
      <c r="F1331" s="298"/>
      <c r="G1331" s="298"/>
      <c r="H1331" s="299"/>
      <c r="I1331" s="299"/>
      <c r="J1331" s="299"/>
      <c r="K1331" s="300">
        <v>96</v>
      </c>
    </row>
    <row r="1332" ht="15" customHeight="1" spans="1:11">
      <c r="A1332" s="301" t="s">
        <v>1</v>
      </c>
      <c r="B1332" s="301"/>
      <c r="C1332" s="301"/>
      <c r="D1332" s="301"/>
      <c r="E1332" s="301"/>
      <c r="F1332" s="301"/>
      <c r="G1332" s="302" t="str">
        <f>IFERROR(VLOOKUP(K1331,'2026.01'!A:Y,2,0),0)</f>
        <v>NO:096</v>
      </c>
      <c r="K1332" s="300"/>
    </row>
    <row r="1333" ht="15" customHeight="1" spans="1:11">
      <c r="A1333" s="303" t="s">
        <v>2</v>
      </c>
      <c r="B1333" s="304">
        <f>IFERROR(VLOOKUP(K1331,'2026.01'!A:Y,6,0),0)</f>
        <v>2027</v>
      </c>
      <c r="C1333" s="304"/>
      <c r="D1333" s="305" t="s">
        <v>3</v>
      </c>
      <c r="E1333" s="305" t="str">
        <f>IFERROR(VLOOKUP(K1331,'2026.01'!A:Y,7,0),0)</f>
        <v>办公室</v>
      </c>
      <c r="F1333" s="305"/>
      <c r="G1333" s="306" t="s">
        <v>4</v>
      </c>
      <c r="K1333" s="300"/>
    </row>
    <row r="1334" ht="15" customHeight="1" spans="1:11">
      <c r="A1334" s="307" t="s">
        <v>5</v>
      </c>
      <c r="B1334" s="308" t="s">
        <v>6</v>
      </c>
      <c r="C1334" s="308" t="s">
        <v>7</v>
      </c>
      <c r="D1334" s="308" t="s">
        <v>8</v>
      </c>
      <c r="E1334" s="308" t="s">
        <v>9</v>
      </c>
      <c r="F1334" s="309" t="s">
        <v>10</v>
      </c>
      <c r="G1334" s="310" t="s">
        <v>11</v>
      </c>
      <c r="K1334" s="300"/>
    </row>
    <row r="1335" ht="15" customHeight="1" spans="1:11">
      <c r="A1335" s="307" t="s">
        <v>12</v>
      </c>
      <c r="B1335" s="308">
        <f>IFERROR(VLOOKUP(K1331,'2026.01'!A:Y,14,0),0)</f>
        <v>5816</v>
      </c>
      <c r="C1335" s="308">
        <f>IFERROR(VLOOKUP(K1331,'2026.01'!A:Y,13,0),0)</f>
        <v>5816</v>
      </c>
      <c r="D1335" s="308">
        <f>IFERROR(VLOOKUP(K1331,'2026.01'!A:Y,15,0),0)</f>
        <v>0</v>
      </c>
      <c r="E1335" s="311">
        <f>IFERROR(VLOOKUP(K1331,'2026.01'!A:Y,18,0),0)</f>
        <v>0.8</v>
      </c>
      <c r="F1335" s="309">
        <f>IFERROR(VLOOKUP(K1331,'2026.01'!A:Y,20,0),0)</f>
        <v>0</v>
      </c>
      <c r="G1335" s="310"/>
      <c r="K1335" s="300"/>
    </row>
    <row r="1336" ht="15" customHeight="1" spans="1:11">
      <c r="A1336" s="307" t="s">
        <v>13</v>
      </c>
      <c r="B1336" s="308"/>
      <c r="C1336" s="308"/>
      <c r="D1336" s="308"/>
      <c r="E1336" s="311"/>
      <c r="F1336" s="309">
        <f>IFERROR(VLOOKUP(K1331,'2026.01'!A:Y,24,0),0)</f>
        <v>0</v>
      </c>
      <c r="G1336" s="310"/>
      <c r="K1336" s="300"/>
    </row>
    <row r="1337" ht="15" customHeight="1" spans="1:11">
      <c r="A1337" s="307" t="s">
        <v>14</v>
      </c>
      <c r="B1337" s="308"/>
      <c r="C1337" s="308"/>
      <c r="D1337" s="308"/>
      <c r="E1337" s="311"/>
      <c r="F1337" s="309">
        <f>IFERROR(VLOOKUP(K1331,'2026.01'!A:Y,12,0),0)</f>
        <v>0</v>
      </c>
      <c r="G1337" s="310"/>
      <c r="K1337" s="300"/>
    </row>
    <row r="1338" ht="21" customHeight="1" spans="1:11">
      <c r="A1338" s="307" t="s">
        <v>15</v>
      </c>
      <c r="B1338" s="308"/>
      <c r="C1338" s="308"/>
      <c r="D1338" s="308"/>
      <c r="E1338" s="311"/>
      <c r="F1338" s="309">
        <f>IFERROR(VLOOKUP(K1331,'2026.01'!A:Y,9,0),0)</f>
        <v>0</v>
      </c>
      <c r="G1338" s="310"/>
      <c r="K1338" s="300"/>
    </row>
    <row r="1339" ht="19" customHeight="1" spans="1:11">
      <c r="A1339" s="307" t="s">
        <v>16</v>
      </c>
      <c r="B1339" s="308"/>
      <c r="C1339" s="308"/>
      <c r="D1339" s="308"/>
      <c r="E1339" s="308"/>
      <c r="F1339" s="309">
        <f>IFERROR(VLOOKUP(K1331,'2026.01'!A:Y,10,0),0)</f>
        <v>0</v>
      </c>
      <c r="G1339" s="310"/>
      <c r="K1339" s="300"/>
    </row>
    <row r="1340" ht="21" customHeight="1" spans="1:11">
      <c r="A1340" s="307" t="s">
        <v>17</v>
      </c>
      <c r="B1340" s="308"/>
      <c r="C1340" s="308"/>
      <c r="D1340" s="308"/>
      <c r="E1340" s="308"/>
      <c r="F1340" s="309">
        <f>IFERROR(VLOOKUP(K1331,'2026.01'!A:Y,19,0),0)</f>
        <v>0</v>
      </c>
      <c r="G1340" s="310"/>
      <c r="K1340" s="300"/>
    </row>
    <row r="1341" ht="17.15" customHeight="1" spans="1:11">
      <c r="A1341" s="307" t="s">
        <v>18</v>
      </c>
      <c r="B1341" s="308"/>
      <c r="C1341" s="308"/>
      <c r="D1341" s="308"/>
      <c r="E1341" s="308"/>
      <c r="F1341" s="309">
        <f>IFERROR(VLOOKUP(K1331,'2026.01'!A:Y,22,0),0)</f>
        <v>0</v>
      </c>
      <c r="G1341" s="310"/>
      <c r="K1341" s="300"/>
    </row>
    <row r="1342" ht="17.15" customHeight="1" spans="1:11">
      <c r="A1342" s="307" t="s">
        <v>19</v>
      </c>
      <c r="B1342" s="312"/>
      <c r="C1342" s="308"/>
      <c r="D1342" s="313"/>
      <c r="E1342" s="308"/>
      <c r="F1342" s="309">
        <f>IFERROR(VLOOKUP(K1331,'2026.01'!A:Y,25,0),0)</f>
        <v>0</v>
      </c>
      <c r="G1342" s="310"/>
      <c r="K1342" s="300"/>
    </row>
    <row r="1343" ht="15" customHeight="1" spans="1:11">
      <c r="A1343" s="314" t="s">
        <v>20</v>
      </c>
      <c r="B1343" s="315">
        <f>IF(F1342&lt;0,"金额为负，无效",INT(F1342))</f>
        <v>0</v>
      </c>
      <c r="C1343" s="315"/>
      <c r="D1343" s="315"/>
      <c r="E1343" s="316" t="s">
        <v>21</v>
      </c>
      <c r="F1343" s="317"/>
      <c r="G1343" s="318"/>
      <c r="K1343" s="300"/>
    </row>
    <row r="1344" ht="15" customHeight="1" spans="1:11">
      <c r="A1344" s="319"/>
      <c r="B1344" s="320"/>
      <c r="C1344" s="320"/>
      <c r="D1344" s="320"/>
      <c r="E1344" s="319"/>
      <c r="F1344" s="321"/>
      <c r="G1344" s="322"/>
      <c r="K1344" s="300"/>
    </row>
    <row r="1345" ht="27" customHeight="1" spans="1:11">
      <c r="A1345" s="298" t="s">
        <v>0</v>
      </c>
      <c r="B1345" s="298"/>
      <c r="C1345" s="298"/>
      <c r="D1345" s="298"/>
      <c r="E1345" s="298"/>
      <c r="F1345" s="298"/>
      <c r="G1345" s="298"/>
      <c r="H1345" s="299"/>
      <c r="I1345" s="299"/>
      <c r="J1345" s="299"/>
      <c r="K1345" s="300">
        <v>97</v>
      </c>
    </row>
    <row r="1346" ht="15" customHeight="1" spans="1:11">
      <c r="A1346" s="301" t="s">
        <v>1</v>
      </c>
      <c r="B1346" s="301"/>
      <c r="C1346" s="301"/>
      <c r="D1346" s="301"/>
      <c r="E1346" s="301"/>
      <c r="F1346" s="301"/>
      <c r="G1346" s="302" t="str">
        <f>IFERROR(VLOOKUP(K1345,'2026.01'!A:Y,2,0),0)</f>
        <v>NO:097</v>
      </c>
      <c r="K1346" s="300"/>
    </row>
    <row r="1347" ht="15" customHeight="1" spans="1:11">
      <c r="A1347" s="303" t="s">
        <v>2</v>
      </c>
      <c r="B1347" s="304">
        <f>IFERROR(VLOOKUP(K1345,'2026.01'!A:Y,6,0),0)</f>
        <v>2029</v>
      </c>
      <c r="C1347" s="304"/>
      <c r="D1347" s="305" t="s">
        <v>3</v>
      </c>
      <c r="E1347" s="305" t="str">
        <f>IFERROR(VLOOKUP(K1345,'2026.01'!A:Y,7,0),0)</f>
        <v>郭林红</v>
      </c>
      <c r="F1347" s="305"/>
      <c r="G1347" s="306" t="s">
        <v>4</v>
      </c>
      <c r="K1347" s="300"/>
    </row>
    <row r="1348" ht="15" customHeight="1" spans="1:11">
      <c r="A1348" s="307" t="s">
        <v>5</v>
      </c>
      <c r="B1348" s="308" t="s">
        <v>6</v>
      </c>
      <c r="C1348" s="308" t="s">
        <v>7</v>
      </c>
      <c r="D1348" s="308" t="s">
        <v>8</v>
      </c>
      <c r="E1348" s="308" t="s">
        <v>9</v>
      </c>
      <c r="F1348" s="309" t="s">
        <v>10</v>
      </c>
      <c r="G1348" s="310" t="s">
        <v>11</v>
      </c>
      <c r="K1348" s="300"/>
    </row>
    <row r="1349" ht="15" customHeight="1" spans="1:11">
      <c r="A1349" s="307" t="s">
        <v>12</v>
      </c>
      <c r="B1349" s="308">
        <f>IFERROR(VLOOKUP(K1345,'2026.01'!A:Y,14,0),0)</f>
        <v>3072</v>
      </c>
      <c r="C1349" s="308">
        <f>IFERROR(VLOOKUP(K1345,'2026.01'!A:Y,13,0),0)</f>
        <v>2976</v>
      </c>
      <c r="D1349" s="308">
        <f>IFERROR(VLOOKUP(K1345,'2026.01'!A:Y,15,0),0)</f>
        <v>96</v>
      </c>
      <c r="E1349" s="311">
        <f>IFERROR(VLOOKUP(K1345,'2026.01'!A:Y,18,0),0)</f>
        <v>0.8</v>
      </c>
      <c r="F1349" s="309">
        <f>IFERROR(VLOOKUP(K1345,'2026.01'!A:Y,20,0),0)</f>
        <v>77</v>
      </c>
      <c r="G1349" s="310"/>
      <c r="K1349" s="300"/>
    </row>
    <row r="1350" ht="15" customHeight="1" spans="1:11">
      <c r="A1350" s="307" t="s">
        <v>13</v>
      </c>
      <c r="B1350" s="308"/>
      <c r="C1350" s="308"/>
      <c r="D1350" s="308"/>
      <c r="E1350" s="311"/>
      <c r="F1350" s="309">
        <f>IFERROR(VLOOKUP(K1345,'2026.01'!A:Y,24,0),0)</f>
        <v>34</v>
      </c>
      <c r="G1350" s="310"/>
      <c r="K1350" s="300"/>
    </row>
    <row r="1351" ht="15" customHeight="1" spans="1:11">
      <c r="A1351" s="307" t="s">
        <v>14</v>
      </c>
      <c r="B1351" s="308"/>
      <c r="C1351" s="308"/>
      <c r="D1351" s="308"/>
      <c r="E1351" s="311"/>
      <c r="F1351" s="309">
        <f>IFERROR(VLOOKUP(K1345,'2026.01'!A:Y,12,0),0)</f>
        <v>160</v>
      </c>
      <c r="G1351" s="310"/>
      <c r="K1351" s="300"/>
    </row>
    <row r="1352" ht="21" customHeight="1" spans="1:11">
      <c r="A1352" s="307" t="s">
        <v>15</v>
      </c>
      <c r="B1352" s="308"/>
      <c r="C1352" s="308"/>
      <c r="D1352" s="308"/>
      <c r="E1352" s="311"/>
      <c r="F1352" s="309">
        <f>IFERROR(VLOOKUP(K1345,'2026.01'!A:Y,9,0),0)</f>
        <v>2500</v>
      </c>
      <c r="G1352" s="310"/>
      <c r="K1352" s="300"/>
    </row>
    <row r="1353" ht="19" customHeight="1" spans="1:11">
      <c r="A1353" s="307" t="s">
        <v>16</v>
      </c>
      <c r="B1353" s="308"/>
      <c r="C1353" s="308"/>
      <c r="D1353" s="308"/>
      <c r="E1353" s="308"/>
      <c r="F1353" s="309">
        <f>IFERROR(VLOOKUP(K1345,'2026.01'!A:Y,10,0),0)</f>
        <v>200</v>
      </c>
      <c r="G1353" s="310"/>
      <c r="K1353" s="300"/>
    </row>
    <row r="1354" ht="21" customHeight="1" spans="1:11">
      <c r="A1354" s="307" t="s">
        <v>17</v>
      </c>
      <c r="B1354" s="308"/>
      <c r="C1354" s="308"/>
      <c r="D1354" s="308"/>
      <c r="E1354" s="308"/>
      <c r="F1354" s="309">
        <f>IFERROR(VLOOKUP(K1345,'2026.01'!A:Y,19,0),0)</f>
        <v>67</v>
      </c>
      <c r="G1354" s="310"/>
      <c r="K1354" s="300"/>
    </row>
    <row r="1355" ht="17.15" customHeight="1" spans="1:11">
      <c r="A1355" s="307" t="s">
        <v>18</v>
      </c>
      <c r="B1355" s="308"/>
      <c r="C1355" s="308"/>
      <c r="D1355" s="308"/>
      <c r="E1355" s="308"/>
      <c r="F1355" s="309">
        <f>IFERROR(VLOOKUP(K1345,'2026.01'!A:Y,22,0),0)</f>
        <v>155</v>
      </c>
      <c r="G1355" s="310"/>
      <c r="K1355" s="300"/>
    </row>
    <row r="1356" ht="17.15" customHeight="1" spans="1:11">
      <c r="A1356" s="307" t="s">
        <v>19</v>
      </c>
      <c r="B1356" s="312"/>
      <c r="C1356" s="308"/>
      <c r="D1356" s="313"/>
      <c r="E1356" s="308"/>
      <c r="F1356" s="309">
        <f>IFERROR(VLOOKUP(K1345,'2026.01'!A:Y,25,0),0)</f>
        <v>3193</v>
      </c>
      <c r="G1356" s="310"/>
      <c r="K1356" s="300"/>
    </row>
    <row r="1357" ht="15" customHeight="1" spans="1:11">
      <c r="A1357" s="314" t="s">
        <v>20</v>
      </c>
      <c r="B1357" s="315">
        <f>IF(F1356&lt;0,"金额为负，无效",INT(F1356))</f>
        <v>3193</v>
      </c>
      <c r="C1357" s="315"/>
      <c r="D1357" s="315"/>
      <c r="E1357" s="316" t="s">
        <v>21</v>
      </c>
      <c r="F1357" s="317"/>
      <c r="G1357" s="318"/>
      <c r="K1357" s="300"/>
    </row>
    <row r="1358" ht="23" customHeight="1" spans="1:11">
      <c r="A1358" s="319"/>
      <c r="B1358" s="320"/>
      <c r="C1358" s="320"/>
      <c r="D1358" s="320"/>
      <c r="E1358" s="319"/>
      <c r="F1358" s="321"/>
      <c r="G1358" s="322"/>
      <c r="K1358" s="300"/>
    </row>
    <row r="1359" ht="27" customHeight="1" spans="1:11">
      <c r="A1359" s="298" t="s">
        <v>0</v>
      </c>
      <c r="B1359" s="298"/>
      <c r="C1359" s="298"/>
      <c r="D1359" s="298"/>
      <c r="E1359" s="298"/>
      <c r="F1359" s="298"/>
      <c r="G1359" s="298"/>
      <c r="H1359" s="299"/>
      <c r="I1359" s="299"/>
      <c r="J1359" s="299"/>
      <c r="K1359" s="300">
        <v>98</v>
      </c>
    </row>
    <row r="1360" ht="15" customHeight="1" spans="1:11">
      <c r="A1360" s="301" t="s">
        <v>1</v>
      </c>
      <c r="B1360" s="301"/>
      <c r="C1360" s="301"/>
      <c r="D1360" s="301"/>
      <c r="E1360" s="301"/>
      <c r="F1360" s="301"/>
      <c r="G1360" s="302" t="str">
        <f>IFERROR(VLOOKUP(K1359,'2026.01'!A:Y,2,0),0)</f>
        <v>NO:098</v>
      </c>
      <c r="K1360" s="300"/>
    </row>
    <row r="1361" ht="15" customHeight="1" spans="1:11">
      <c r="A1361" s="303" t="s">
        <v>2</v>
      </c>
      <c r="B1361" s="304">
        <f>IFERROR(VLOOKUP(K1359,'2026.01'!A:Y,6,0),0)</f>
        <v>2030</v>
      </c>
      <c r="C1361" s="304"/>
      <c r="D1361" s="305" t="s">
        <v>3</v>
      </c>
      <c r="E1361" s="305" t="str">
        <f>IFERROR(VLOOKUP(K1359,'2026.01'!A:Y,7,0),0)</f>
        <v>郭林红</v>
      </c>
      <c r="F1361" s="305"/>
      <c r="G1361" s="306" t="s">
        <v>4</v>
      </c>
      <c r="K1361" s="300"/>
    </row>
    <row r="1362" ht="15" customHeight="1" spans="1:11">
      <c r="A1362" s="307" t="s">
        <v>5</v>
      </c>
      <c r="B1362" s="308" t="s">
        <v>6</v>
      </c>
      <c r="C1362" s="308" t="s">
        <v>7</v>
      </c>
      <c r="D1362" s="308" t="s">
        <v>8</v>
      </c>
      <c r="E1362" s="308" t="s">
        <v>9</v>
      </c>
      <c r="F1362" s="309" t="s">
        <v>10</v>
      </c>
      <c r="G1362" s="310" t="s">
        <v>11</v>
      </c>
      <c r="K1362" s="300"/>
    </row>
    <row r="1363" ht="15" customHeight="1" spans="1:11">
      <c r="A1363" s="307" t="s">
        <v>12</v>
      </c>
      <c r="B1363" s="308">
        <f>IFERROR(VLOOKUP(K1359,'2026.01'!A:Y,14,0),0)</f>
        <v>9140</v>
      </c>
      <c r="C1363" s="308">
        <f>IFERROR(VLOOKUP(K1359,'2026.01'!A:Y,13,0),0)</f>
        <v>9094</v>
      </c>
      <c r="D1363" s="308">
        <f>IFERROR(VLOOKUP(K1359,'2026.01'!A:Y,15,0),0)</f>
        <v>46</v>
      </c>
      <c r="E1363" s="311">
        <f>IFERROR(VLOOKUP(K1359,'2026.01'!A:Y,18,0),0)</f>
        <v>0.8</v>
      </c>
      <c r="F1363" s="309">
        <f>IFERROR(VLOOKUP(K1359,'2026.01'!A:Y,20,0),0)</f>
        <v>37</v>
      </c>
      <c r="G1363" s="310"/>
      <c r="K1363" s="300"/>
    </row>
    <row r="1364" ht="15" customHeight="1" spans="1:11">
      <c r="A1364" s="307" t="s">
        <v>13</v>
      </c>
      <c r="B1364" s="308"/>
      <c r="C1364" s="308"/>
      <c r="D1364" s="308"/>
      <c r="E1364" s="311"/>
      <c r="F1364" s="309">
        <f>IFERROR(VLOOKUP(K1359,'2026.01'!A:Y,24,0),0)</f>
        <v>26</v>
      </c>
      <c r="G1364" s="310"/>
      <c r="K1364" s="300"/>
    </row>
    <row r="1365" ht="15" customHeight="1" spans="1:11">
      <c r="A1365" s="307" t="s">
        <v>14</v>
      </c>
      <c r="B1365" s="308"/>
      <c r="C1365" s="308"/>
      <c r="D1365" s="308"/>
      <c r="E1365" s="311"/>
      <c r="F1365" s="309">
        <f>IFERROR(VLOOKUP(K1359,'2026.01'!A:Y,12,0),0)</f>
        <v>160</v>
      </c>
      <c r="G1365" s="310"/>
      <c r="K1365" s="300"/>
    </row>
    <row r="1366" ht="21" customHeight="1" spans="1:11">
      <c r="A1366" s="307" t="s">
        <v>15</v>
      </c>
      <c r="B1366" s="308"/>
      <c r="C1366" s="308"/>
      <c r="D1366" s="308"/>
      <c r="E1366" s="311"/>
      <c r="F1366" s="309">
        <f>IFERROR(VLOOKUP(K1359,'2026.01'!A:Y,9,0),0)</f>
        <v>2500</v>
      </c>
      <c r="G1366" s="310"/>
      <c r="K1366" s="300"/>
    </row>
    <row r="1367" ht="19" customHeight="1" spans="1:11">
      <c r="A1367" s="307" t="s">
        <v>16</v>
      </c>
      <c r="B1367" s="308"/>
      <c r="C1367" s="308"/>
      <c r="D1367" s="308"/>
      <c r="E1367" s="308"/>
      <c r="F1367" s="309">
        <f>IFERROR(VLOOKUP(K1359,'2026.01'!A:Y,10,0),0)</f>
        <v>200</v>
      </c>
      <c r="G1367" s="310"/>
      <c r="K1367" s="300"/>
    </row>
    <row r="1368" ht="21" customHeight="1" spans="1:11">
      <c r="A1368" s="307" t="s">
        <v>17</v>
      </c>
      <c r="B1368" s="308"/>
      <c r="C1368" s="308"/>
      <c r="D1368" s="308"/>
      <c r="E1368" s="308"/>
      <c r="F1368" s="309">
        <f>IFERROR(VLOOKUP(K1359,'2026.01'!A:Y,19,0),0)</f>
        <v>32</v>
      </c>
      <c r="G1368" s="310"/>
      <c r="K1368" s="300"/>
    </row>
    <row r="1369" ht="17.15" customHeight="1" spans="1:11">
      <c r="A1369" s="307" t="s">
        <v>18</v>
      </c>
      <c r="B1369" s="308"/>
      <c r="C1369" s="308"/>
      <c r="D1369" s="308"/>
      <c r="E1369" s="308"/>
      <c r="F1369" s="309">
        <f>IFERROR(VLOOKUP(K1359,'2026.01'!A:Y,22,0),0)</f>
        <v>140</v>
      </c>
      <c r="G1369" s="310"/>
      <c r="K1369" s="300"/>
    </row>
    <row r="1370" ht="17.15" customHeight="1" spans="1:11">
      <c r="A1370" s="307" t="s">
        <v>19</v>
      </c>
      <c r="B1370" s="312"/>
      <c r="C1370" s="308"/>
      <c r="D1370" s="313"/>
      <c r="E1370" s="308"/>
      <c r="F1370" s="309">
        <f>IFERROR(VLOOKUP(K1359,'2026.01'!A:Y,25,0),0)</f>
        <v>3095</v>
      </c>
      <c r="G1370" s="310"/>
      <c r="K1370" s="300"/>
    </row>
    <row r="1371" ht="15" customHeight="1" spans="1:11">
      <c r="A1371" s="314" t="s">
        <v>20</v>
      </c>
      <c r="B1371" s="315">
        <f>IF(F1370&lt;0,"金额为负，无效",INT(F1370))</f>
        <v>3095</v>
      </c>
      <c r="C1371" s="315"/>
      <c r="D1371" s="315"/>
      <c r="E1371" s="316" t="s">
        <v>21</v>
      </c>
      <c r="F1371" s="317"/>
      <c r="G1371" s="318"/>
      <c r="K1371" s="300"/>
    </row>
    <row r="1372" ht="23" customHeight="1" spans="1:11">
      <c r="A1372" s="319"/>
      <c r="B1372" s="320"/>
      <c r="C1372" s="320"/>
      <c r="D1372" s="320"/>
      <c r="E1372" s="319"/>
      <c r="F1372" s="321"/>
      <c r="G1372" s="322"/>
      <c r="K1372" s="300"/>
    </row>
    <row r="1373" ht="27" customHeight="1" spans="1:11">
      <c r="A1373" s="298" t="s">
        <v>0</v>
      </c>
      <c r="B1373" s="298"/>
      <c r="C1373" s="298"/>
      <c r="D1373" s="298"/>
      <c r="E1373" s="298"/>
      <c r="F1373" s="298"/>
      <c r="G1373" s="298"/>
      <c r="H1373" s="299"/>
      <c r="I1373" s="299"/>
      <c r="J1373" s="299"/>
      <c r="K1373" s="300">
        <v>99</v>
      </c>
    </row>
    <row r="1374" ht="15" customHeight="1" spans="1:11">
      <c r="A1374" s="301" t="s">
        <v>1</v>
      </c>
      <c r="B1374" s="301"/>
      <c r="C1374" s="301"/>
      <c r="D1374" s="301"/>
      <c r="E1374" s="301"/>
      <c r="F1374" s="301"/>
      <c r="G1374" s="302" t="str">
        <f>IFERROR(VLOOKUP(K1373,'2026.01'!A:Y,2,0),0)</f>
        <v>NO:099</v>
      </c>
      <c r="K1374" s="300"/>
    </row>
    <row r="1375" ht="15" customHeight="1" spans="1:11">
      <c r="A1375" s="303" t="s">
        <v>2</v>
      </c>
      <c r="B1375" s="304">
        <f>IFERROR(VLOOKUP(K1373,'2026.01'!A:Y,6,0),0)</f>
        <v>2031</v>
      </c>
      <c r="C1375" s="304"/>
      <c r="D1375" s="305" t="s">
        <v>3</v>
      </c>
      <c r="E1375" s="305" t="str">
        <f>IFERROR(VLOOKUP(K1373,'2026.01'!A:Y,7,0),0)</f>
        <v>习国斌</v>
      </c>
      <c r="F1375" s="305"/>
      <c r="G1375" s="306" t="s">
        <v>4</v>
      </c>
      <c r="K1375" s="300"/>
    </row>
    <row r="1376" ht="15" customHeight="1" spans="1:11">
      <c r="A1376" s="307" t="s">
        <v>5</v>
      </c>
      <c r="B1376" s="308" t="s">
        <v>6</v>
      </c>
      <c r="C1376" s="308" t="s">
        <v>7</v>
      </c>
      <c r="D1376" s="308" t="s">
        <v>8</v>
      </c>
      <c r="E1376" s="308" t="s">
        <v>9</v>
      </c>
      <c r="F1376" s="309" t="s">
        <v>10</v>
      </c>
      <c r="G1376" s="310" t="s">
        <v>11</v>
      </c>
      <c r="K1376" s="300"/>
    </row>
    <row r="1377" ht="15" customHeight="1" spans="1:11">
      <c r="A1377" s="307" t="s">
        <v>12</v>
      </c>
      <c r="B1377" s="308">
        <f>IFERROR(VLOOKUP(K1373,'2026.01'!A:Y,14,0),0)</f>
        <v>9581</v>
      </c>
      <c r="C1377" s="308">
        <f>IFERROR(VLOOKUP(K1373,'2026.01'!A:Y,13,0),0)</f>
        <v>9551</v>
      </c>
      <c r="D1377" s="308">
        <f>IFERROR(VLOOKUP(K1373,'2026.01'!A:Y,15,0),0)</f>
        <v>30</v>
      </c>
      <c r="E1377" s="311">
        <f>IFERROR(VLOOKUP(K1373,'2026.01'!A:Y,18,0),0)</f>
        <v>0.8</v>
      </c>
      <c r="F1377" s="309">
        <f>IFERROR(VLOOKUP(K1373,'2026.01'!A:Y,20,0),0)</f>
        <v>24</v>
      </c>
      <c r="G1377" s="310"/>
      <c r="K1377" s="300"/>
    </row>
    <row r="1378" ht="15" customHeight="1" spans="1:11">
      <c r="A1378" s="307" t="s">
        <v>13</v>
      </c>
      <c r="B1378" s="308"/>
      <c r="C1378" s="308"/>
      <c r="D1378" s="308"/>
      <c r="E1378" s="311"/>
      <c r="F1378" s="309">
        <f>IFERROR(VLOOKUP(K1373,'2026.01'!A:Y,24,0),0)</f>
        <v>26</v>
      </c>
      <c r="G1378" s="310"/>
      <c r="K1378" s="300"/>
    </row>
    <row r="1379" ht="15" customHeight="1" spans="1:11">
      <c r="A1379" s="307" t="s">
        <v>14</v>
      </c>
      <c r="B1379" s="308"/>
      <c r="C1379" s="308"/>
      <c r="D1379" s="308"/>
      <c r="E1379" s="311"/>
      <c r="F1379" s="309">
        <f>IFERROR(VLOOKUP(K1373,'2026.01'!A:Y,12,0),0)</f>
        <v>160</v>
      </c>
      <c r="G1379" s="310"/>
      <c r="K1379" s="300"/>
    </row>
    <row r="1380" ht="21" customHeight="1" spans="1:11">
      <c r="A1380" s="307" t="s">
        <v>15</v>
      </c>
      <c r="B1380" s="308"/>
      <c r="C1380" s="308"/>
      <c r="D1380" s="308"/>
      <c r="E1380" s="311"/>
      <c r="F1380" s="309">
        <f>IFERROR(VLOOKUP(K1373,'2026.01'!A:Y,9,0),0)</f>
        <v>2500</v>
      </c>
      <c r="G1380" s="310"/>
      <c r="K1380" s="300"/>
    </row>
    <row r="1381" ht="19" customHeight="1" spans="1:11">
      <c r="A1381" s="307" t="s">
        <v>16</v>
      </c>
      <c r="B1381" s="308"/>
      <c r="C1381" s="308"/>
      <c r="D1381" s="308"/>
      <c r="E1381" s="308"/>
      <c r="F1381" s="309">
        <f>IFERROR(VLOOKUP(K1373,'2026.01'!A:Y,10,0),0)</f>
        <v>200</v>
      </c>
      <c r="G1381" s="310"/>
      <c r="K1381" s="300"/>
    </row>
    <row r="1382" ht="21" customHeight="1" spans="1:11">
      <c r="A1382" s="307" t="s">
        <v>17</v>
      </c>
      <c r="B1382" s="308"/>
      <c r="C1382" s="308"/>
      <c r="D1382" s="308"/>
      <c r="E1382" s="308"/>
      <c r="F1382" s="309">
        <f>IFERROR(VLOOKUP(K1373,'2026.01'!A:Y,19,0),0)</f>
        <v>21</v>
      </c>
      <c r="G1382" s="310"/>
      <c r="K1382" s="300"/>
    </row>
    <row r="1383" ht="17.15" customHeight="1" spans="1:11">
      <c r="A1383" s="307" t="s">
        <v>18</v>
      </c>
      <c r="B1383" s="308"/>
      <c r="C1383" s="308"/>
      <c r="D1383" s="308"/>
      <c r="E1383" s="308"/>
      <c r="F1383" s="309">
        <f>IFERROR(VLOOKUP(K1373,'2026.01'!A:Y,22,0),0)</f>
        <v>140</v>
      </c>
      <c r="G1383" s="310"/>
      <c r="K1383" s="300"/>
    </row>
    <row r="1384" ht="17.15" customHeight="1" spans="1:11">
      <c r="A1384" s="307" t="s">
        <v>19</v>
      </c>
      <c r="B1384" s="312"/>
      <c r="C1384" s="308"/>
      <c r="D1384" s="313"/>
      <c r="E1384" s="308"/>
      <c r="F1384" s="309">
        <f>IFERROR(VLOOKUP(K1373,'2026.01'!A:Y,25,0),0)</f>
        <v>3071</v>
      </c>
      <c r="G1384" s="310"/>
      <c r="K1384" s="300"/>
    </row>
    <row r="1385" ht="15" customHeight="1" spans="1:11">
      <c r="A1385" s="314" t="s">
        <v>20</v>
      </c>
      <c r="B1385" s="315">
        <f>IF(F1384&lt;0,"金额为负，无效",INT(F1384))</f>
        <v>3071</v>
      </c>
      <c r="C1385" s="315"/>
      <c r="D1385" s="315"/>
      <c r="E1385" s="316" t="s">
        <v>21</v>
      </c>
      <c r="F1385" s="317"/>
      <c r="G1385" s="318"/>
      <c r="K1385" s="300"/>
    </row>
    <row r="1386" ht="15" customHeight="1" spans="1:11">
      <c r="A1386" s="319"/>
      <c r="B1386" s="320"/>
      <c r="C1386" s="320"/>
      <c r="D1386" s="320"/>
      <c r="E1386" s="319"/>
      <c r="F1386" s="321"/>
      <c r="G1386" s="322"/>
      <c r="K1386" s="300"/>
    </row>
    <row r="1387" ht="27" customHeight="1" spans="1:11">
      <c r="A1387" s="298" t="s">
        <v>0</v>
      </c>
      <c r="B1387" s="298"/>
      <c r="C1387" s="298"/>
      <c r="D1387" s="298"/>
      <c r="E1387" s="298"/>
      <c r="F1387" s="298"/>
      <c r="G1387" s="298"/>
      <c r="H1387" s="299"/>
      <c r="I1387" s="299"/>
      <c r="J1387" s="299"/>
      <c r="K1387" s="300">
        <v>100</v>
      </c>
    </row>
    <row r="1388" ht="15" customHeight="1" spans="1:11">
      <c r="A1388" s="301" t="s">
        <v>1</v>
      </c>
      <c r="B1388" s="301"/>
      <c r="C1388" s="301"/>
      <c r="D1388" s="301"/>
      <c r="E1388" s="301"/>
      <c r="F1388" s="301"/>
      <c r="G1388" s="302" t="str">
        <f>IFERROR(VLOOKUP(K1387,'2026.01'!A:Y,2,0),0)</f>
        <v>NO:100</v>
      </c>
      <c r="K1388" s="300"/>
    </row>
    <row r="1389" ht="15" customHeight="1" spans="1:11">
      <c r="A1389" s="303" t="s">
        <v>2</v>
      </c>
      <c r="B1389" s="304">
        <f>IFERROR(VLOOKUP(K1387,'2026.01'!A:Y,6,0),0)</f>
        <v>2032</v>
      </c>
      <c r="C1389" s="304"/>
      <c r="D1389" s="305" t="s">
        <v>3</v>
      </c>
      <c r="E1389" s="305" t="str">
        <f>IFERROR(VLOOKUP(K1387,'2026.01'!A:Y,7,0),0)</f>
        <v>张明亮</v>
      </c>
      <c r="F1389" s="305"/>
      <c r="G1389" s="306" t="s">
        <v>4</v>
      </c>
      <c r="K1389" s="300"/>
    </row>
    <row r="1390" ht="15" customHeight="1" spans="1:11">
      <c r="A1390" s="307" t="s">
        <v>5</v>
      </c>
      <c r="B1390" s="308" t="s">
        <v>6</v>
      </c>
      <c r="C1390" s="308" t="s">
        <v>7</v>
      </c>
      <c r="D1390" s="308" t="s">
        <v>8</v>
      </c>
      <c r="E1390" s="308" t="s">
        <v>9</v>
      </c>
      <c r="F1390" s="309" t="s">
        <v>10</v>
      </c>
      <c r="G1390" s="310" t="s">
        <v>11</v>
      </c>
      <c r="K1390" s="300"/>
    </row>
    <row r="1391" ht="15" customHeight="1" spans="1:11">
      <c r="A1391" s="307" t="s">
        <v>12</v>
      </c>
      <c r="B1391" s="308">
        <f>IFERROR(VLOOKUP(K1387,'2026.01'!A:Y,14,0),0)</f>
        <v>8973</v>
      </c>
      <c r="C1391" s="308">
        <f>IFERROR(VLOOKUP(K1387,'2026.01'!A:Y,13,0),0)</f>
        <v>8940</v>
      </c>
      <c r="D1391" s="308">
        <f>IFERROR(VLOOKUP(K1387,'2026.01'!A:Y,15,0),0)</f>
        <v>33</v>
      </c>
      <c r="E1391" s="311">
        <f>IFERROR(VLOOKUP(K1387,'2026.01'!A:Y,18,0),0)</f>
        <v>0.8</v>
      </c>
      <c r="F1391" s="309">
        <f>IFERROR(VLOOKUP(K1387,'2026.01'!A:Y,20,0),0)</f>
        <v>26</v>
      </c>
      <c r="G1391" s="310"/>
      <c r="K1391" s="300"/>
    </row>
    <row r="1392" ht="15" customHeight="1" spans="1:11">
      <c r="A1392" s="307" t="s">
        <v>13</v>
      </c>
      <c r="B1392" s="308"/>
      <c r="C1392" s="308"/>
      <c r="D1392" s="308"/>
      <c r="E1392" s="311"/>
      <c r="F1392" s="309">
        <f>IFERROR(VLOOKUP(K1387,'2026.01'!A:Y,24,0),0)</f>
        <v>26</v>
      </c>
      <c r="G1392" s="310"/>
      <c r="K1392" s="300"/>
    </row>
    <row r="1393" ht="15" customHeight="1" spans="1:11">
      <c r="A1393" s="307" t="s">
        <v>14</v>
      </c>
      <c r="B1393" s="308"/>
      <c r="C1393" s="308"/>
      <c r="D1393" s="308"/>
      <c r="E1393" s="311"/>
      <c r="F1393" s="309">
        <f>IFERROR(VLOOKUP(K1387,'2026.01'!A:Y,12,0),0)</f>
        <v>160</v>
      </c>
      <c r="G1393" s="310"/>
      <c r="K1393" s="300"/>
    </row>
    <row r="1394" ht="21" customHeight="1" spans="1:11">
      <c r="A1394" s="307" t="s">
        <v>15</v>
      </c>
      <c r="B1394" s="308"/>
      <c r="C1394" s="308"/>
      <c r="D1394" s="308"/>
      <c r="E1394" s="311"/>
      <c r="F1394" s="309">
        <f>IFERROR(VLOOKUP(K1387,'2026.01'!A:Y,9,0),0)</f>
        <v>2500</v>
      </c>
      <c r="G1394" s="310"/>
      <c r="K1394" s="300"/>
    </row>
    <row r="1395" ht="19" customHeight="1" spans="1:11">
      <c r="A1395" s="307" t="s">
        <v>16</v>
      </c>
      <c r="B1395" s="308"/>
      <c r="C1395" s="308"/>
      <c r="D1395" s="308"/>
      <c r="E1395" s="308"/>
      <c r="F1395" s="309">
        <f>IFERROR(VLOOKUP(K1387,'2026.01'!A:Y,10,0),0)</f>
        <v>200</v>
      </c>
      <c r="G1395" s="310"/>
      <c r="K1395" s="300"/>
    </row>
    <row r="1396" ht="21" customHeight="1" spans="1:11">
      <c r="A1396" s="307" t="s">
        <v>17</v>
      </c>
      <c r="B1396" s="308"/>
      <c r="C1396" s="308"/>
      <c r="D1396" s="308"/>
      <c r="E1396" s="308"/>
      <c r="F1396" s="309">
        <f>IFERROR(VLOOKUP(K1387,'2026.01'!A:Y,19,0),0)</f>
        <v>23</v>
      </c>
      <c r="G1396" s="310"/>
      <c r="K1396" s="300"/>
    </row>
    <row r="1397" ht="17.15" customHeight="1" spans="1:11">
      <c r="A1397" s="307" t="s">
        <v>18</v>
      </c>
      <c r="B1397" s="308"/>
      <c r="C1397" s="308"/>
      <c r="D1397" s="308"/>
      <c r="E1397" s="308"/>
      <c r="F1397" s="309">
        <f>IFERROR(VLOOKUP(K1387,'2026.01'!A:Y,22,0),0)</f>
        <v>140</v>
      </c>
      <c r="G1397" s="310"/>
      <c r="K1397" s="300"/>
    </row>
    <row r="1398" ht="17.15" customHeight="1" spans="1:11">
      <c r="A1398" s="307" t="s">
        <v>19</v>
      </c>
      <c r="B1398" s="312"/>
      <c r="C1398" s="308"/>
      <c r="D1398" s="313"/>
      <c r="E1398" s="308"/>
      <c r="F1398" s="309">
        <f>IFERROR(VLOOKUP(K1387,'2026.01'!A:Y,25,0),0)</f>
        <v>3075</v>
      </c>
      <c r="G1398" s="310"/>
      <c r="K1398" s="300"/>
    </row>
    <row r="1399" ht="15" customHeight="1" spans="1:11">
      <c r="A1399" s="314" t="s">
        <v>20</v>
      </c>
      <c r="B1399" s="315">
        <f>IF(F1398&lt;0,"金额为负，无效",INT(F1398))</f>
        <v>3075</v>
      </c>
      <c r="C1399" s="315"/>
      <c r="D1399" s="315"/>
      <c r="E1399" s="316" t="s">
        <v>21</v>
      </c>
      <c r="F1399" s="317"/>
      <c r="G1399" s="318"/>
      <c r="K1399" s="300"/>
    </row>
    <row r="1400" ht="23" customHeight="1" spans="1:11">
      <c r="A1400" s="319"/>
      <c r="B1400" s="320"/>
      <c r="C1400" s="320"/>
      <c r="D1400" s="320"/>
      <c r="E1400" s="319"/>
      <c r="F1400" s="321"/>
      <c r="G1400" s="322"/>
      <c r="K1400" s="300"/>
    </row>
    <row r="1401" ht="27" customHeight="1" spans="1:11">
      <c r="A1401" s="298" t="s">
        <v>0</v>
      </c>
      <c r="B1401" s="298"/>
      <c r="C1401" s="298"/>
      <c r="D1401" s="298"/>
      <c r="E1401" s="298"/>
      <c r="F1401" s="298"/>
      <c r="G1401" s="298"/>
      <c r="H1401" s="299"/>
      <c r="I1401" s="299"/>
      <c r="J1401" s="299"/>
      <c r="K1401" s="300">
        <v>101</v>
      </c>
    </row>
    <row r="1402" ht="15" customHeight="1" spans="1:11">
      <c r="A1402" s="301" t="s">
        <v>1</v>
      </c>
      <c r="B1402" s="301"/>
      <c r="C1402" s="301"/>
      <c r="D1402" s="301"/>
      <c r="E1402" s="301"/>
      <c r="F1402" s="301"/>
      <c r="G1402" s="302" t="str">
        <f>IFERROR(VLOOKUP(K1401,'2026.01'!A:Y,2,0),0)</f>
        <v>NO:101</v>
      </c>
      <c r="K1402" s="300"/>
    </row>
    <row r="1403" ht="15" customHeight="1" spans="1:11">
      <c r="A1403" s="303" t="s">
        <v>2</v>
      </c>
      <c r="B1403" s="304">
        <f>IFERROR(VLOOKUP(K1401,'2026.01'!A:Y,6,0),0)</f>
        <v>2033</v>
      </c>
      <c r="C1403" s="304"/>
      <c r="D1403" s="305" t="s">
        <v>3</v>
      </c>
      <c r="E1403" s="305" t="str">
        <f>IFERROR(VLOOKUP(K1401,'2026.01'!A:Y,7,0),0)</f>
        <v>余芝玲</v>
      </c>
      <c r="F1403" s="305"/>
      <c r="G1403" s="306" t="s">
        <v>4</v>
      </c>
      <c r="K1403" s="300"/>
    </row>
    <row r="1404" ht="15" customHeight="1" spans="1:11">
      <c r="A1404" s="307" t="s">
        <v>5</v>
      </c>
      <c r="B1404" s="308" t="s">
        <v>6</v>
      </c>
      <c r="C1404" s="308" t="s">
        <v>7</v>
      </c>
      <c r="D1404" s="308" t="s">
        <v>8</v>
      </c>
      <c r="E1404" s="308" t="s">
        <v>9</v>
      </c>
      <c r="F1404" s="309" t="s">
        <v>10</v>
      </c>
      <c r="G1404" s="310" t="s">
        <v>11</v>
      </c>
      <c r="K1404" s="300"/>
    </row>
    <row r="1405" ht="15" customHeight="1" spans="1:11">
      <c r="A1405" s="307" t="s">
        <v>12</v>
      </c>
      <c r="B1405" s="308">
        <f>IFERROR(VLOOKUP(K1401,'2026.01'!A:Y,14,0),0)</f>
        <v>9641</v>
      </c>
      <c r="C1405" s="308">
        <f>IFERROR(VLOOKUP(K1401,'2026.01'!A:Y,13,0),0)</f>
        <v>9622</v>
      </c>
      <c r="D1405" s="308">
        <f>IFERROR(VLOOKUP(K1401,'2026.01'!A:Y,15,0),0)</f>
        <v>19</v>
      </c>
      <c r="E1405" s="311">
        <f>IFERROR(VLOOKUP(K1401,'2026.01'!A:Y,18,0),0)</f>
        <v>0.8</v>
      </c>
      <c r="F1405" s="309">
        <f>IFERROR(VLOOKUP(K1401,'2026.01'!A:Y,20,0),0)</f>
        <v>15</v>
      </c>
      <c r="G1405" s="310"/>
      <c r="K1405" s="300"/>
    </row>
    <row r="1406" ht="15" customHeight="1" spans="1:11">
      <c r="A1406" s="307" t="s">
        <v>13</v>
      </c>
      <c r="B1406" s="308"/>
      <c r="C1406" s="308"/>
      <c r="D1406" s="308"/>
      <c r="E1406" s="311"/>
      <c r="F1406" s="309">
        <f>IFERROR(VLOOKUP(K1401,'2026.01'!A:Y,24,0),0)</f>
        <v>26</v>
      </c>
      <c r="G1406" s="310"/>
      <c r="K1406" s="300"/>
    </row>
    <row r="1407" ht="15" customHeight="1" spans="1:11">
      <c r="A1407" s="307" t="s">
        <v>14</v>
      </c>
      <c r="B1407" s="308"/>
      <c r="C1407" s="308"/>
      <c r="D1407" s="308"/>
      <c r="E1407" s="311"/>
      <c r="F1407" s="309">
        <f>IFERROR(VLOOKUP(K1401,'2026.01'!A:Y,12,0),0)</f>
        <v>160</v>
      </c>
      <c r="G1407" s="310"/>
      <c r="K1407" s="300"/>
    </row>
    <row r="1408" ht="21" customHeight="1" spans="1:11">
      <c r="A1408" s="307" t="s">
        <v>15</v>
      </c>
      <c r="B1408" s="308"/>
      <c r="C1408" s="308"/>
      <c r="D1408" s="308"/>
      <c r="E1408" s="311"/>
      <c r="F1408" s="309">
        <f>IFERROR(VLOOKUP(K1401,'2026.01'!A:Y,9,0),0)</f>
        <v>2500</v>
      </c>
      <c r="G1408" s="310"/>
      <c r="K1408" s="300"/>
    </row>
    <row r="1409" ht="19" customHeight="1" spans="1:11">
      <c r="A1409" s="307" t="s">
        <v>16</v>
      </c>
      <c r="B1409" s="308"/>
      <c r="C1409" s="308"/>
      <c r="D1409" s="308"/>
      <c r="E1409" s="308"/>
      <c r="F1409" s="309">
        <f>IFERROR(VLOOKUP(K1401,'2026.01'!A:Y,10,0),0)</f>
        <v>200</v>
      </c>
      <c r="G1409" s="310"/>
      <c r="K1409" s="300"/>
    </row>
    <row r="1410" ht="21" customHeight="1" spans="1:11">
      <c r="A1410" s="307" t="s">
        <v>17</v>
      </c>
      <c r="B1410" s="308"/>
      <c r="C1410" s="308"/>
      <c r="D1410" s="308"/>
      <c r="E1410" s="308"/>
      <c r="F1410" s="309">
        <f>IFERROR(VLOOKUP(K1401,'2026.01'!A:Y,19,0),0)</f>
        <v>13</v>
      </c>
      <c r="G1410" s="310"/>
      <c r="K1410" s="300"/>
    </row>
    <row r="1411" ht="17.15" customHeight="1" spans="1:11">
      <c r="A1411" s="307" t="s">
        <v>18</v>
      </c>
      <c r="B1411" s="308"/>
      <c r="C1411" s="308"/>
      <c r="D1411" s="308"/>
      <c r="E1411" s="308"/>
      <c r="F1411" s="309">
        <f>IFERROR(VLOOKUP(K1401,'2026.01'!A:Y,22,0),0)</f>
        <v>140</v>
      </c>
      <c r="G1411" s="310"/>
      <c r="K1411" s="300"/>
    </row>
    <row r="1412" ht="17.15" customHeight="1" spans="1:11">
      <c r="A1412" s="307" t="s">
        <v>19</v>
      </c>
      <c r="B1412" s="312"/>
      <c r="C1412" s="308"/>
      <c r="D1412" s="313"/>
      <c r="E1412" s="308"/>
      <c r="F1412" s="309">
        <f>IFERROR(VLOOKUP(K1401,'2026.01'!A:Y,25,0),0)</f>
        <v>3054</v>
      </c>
      <c r="G1412" s="310"/>
      <c r="K1412" s="300"/>
    </row>
    <row r="1413" ht="15" customHeight="1" spans="1:11">
      <c r="A1413" s="314" t="s">
        <v>20</v>
      </c>
      <c r="B1413" s="315">
        <f>IF(F1412&lt;0,"金额为负，无效",INT(F1412))</f>
        <v>3054</v>
      </c>
      <c r="C1413" s="315"/>
      <c r="D1413" s="315"/>
      <c r="E1413" s="316" t="s">
        <v>21</v>
      </c>
      <c r="F1413" s="317"/>
      <c r="G1413" s="318"/>
      <c r="K1413" s="300"/>
    </row>
    <row r="1414" ht="23" customHeight="1" spans="1:11">
      <c r="A1414" s="319"/>
      <c r="B1414" s="320"/>
      <c r="C1414" s="320"/>
      <c r="D1414" s="320"/>
      <c r="E1414" s="319"/>
      <c r="F1414" s="321"/>
      <c r="G1414" s="322"/>
      <c r="K1414" s="300"/>
    </row>
    <row r="1415" ht="27" customHeight="1" spans="1:11">
      <c r="A1415" s="298" t="s">
        <v>0</v>
      </c>
      <c r="B1415" s="298"/>
      <c r="C1415" s="298"/>
      <c r="D1415" s="298"/>
      <c r="E1415" s="298"/>
      <c r="F1415" s="298"/>
      <c r="G1415" s="298"/>
      <c r="H1415" s="299"/>
      <c r="I1415" s="299"/>
      <c r="J1415" s="299"/>
      <c r="K1415" s="300">
        <v>102</v>
      </c>
    </row>
    <row r="1416" ht="15" customHeight="1" spans="1:11">
      <c r="A1416" s="301" t="s">
        <v>1</v>
      </c>
      <c r="B1416" s="301"/>
      <c r="C1416" s="301"/>
      <c r="D1416" s="301"/>
      <c r="E1416" s="301"/>
      <c r="F1416" s="301"/>
      <c r="G1416" s="302" t="str">
        <f>IFERROR(VLOOKUP(K1415,'2026.01'!A:Y,2,0),0)</f>
        <v>NO:102</v>
      </c>
      <c r="K1416" s="300"/>
    </row>
    <row r="1417" ht="15" customHeight="1" spans="1:11">
      <c r="A1417" s="303" t="s">
        <v>2</v>
      </c>
      <c r="B1417" s="304">
        <f>IFERROR(VLOOKUP(K1415,'2026.01'!A:Y,6,0),0)</f>
        <v>2034</v>
      </c>
      <c r="C1417" s="304"/>
      <c r="D1417" s="305" t="s">
        <v>3</v>
      </c>
      <c r="E1417" s="305" t="str">
        <f>IFERROR(VLOOKUP(K1415,'2026.01'!A:Y,7,0),0)</f>
        <v>余芝玲</v>
      </c>
      <c r="F1417" s="305"/>
      <c r="G1417" s="306" t="s">
        <v>4</v>
      </c>
      <c r="K1417" s="300"/>
    </row>
    <row r="1418" ht="15" customHeight="1" spans="1:11">
      <c r="A1418" s="307" t="s">
        <v>5</v>
      </c>
      <c r="B1418" s="308" t="s">
        <v>6</v>
      </c>
      <c r="C1418" s="308" t="s">
        <v>7</v>
      </c>
      <c r="D1418" s="308" t="s">
        <v>8</v>
      </c>
      <c r="E1418" s="308" t="s">
        <v>9</v>
      </c>
      <c r="F1418" s="309" t="s">
        <v>10</v>
      </c>
      <c r="G1418" s="310" t="s">
        <v>11</v>
      </c>
      <c r="K1418" s="300"/>
    </row>
    <row r="1419" ht="15" customHeight="1" spans="1:11">
      <c r="A1419" s="307" t="s">
        <v>12</v>
      </c>
      <c r="B1419" s="308">
        <f>IFERROR(VLOOKUP(K1415,'2026.01'!A:Y,14,0),0)</f>
        <v>43</v>
      </c>
      <c r="C1419" s="308">
        <f>IFERROR(VLOOKUP(K1415,'2026.01'!A:Y,13,0),0)</f>
        <v>16</v>
      </c>
      <c r="D1419" s="308">
        <f>IFERROR(VLOOKUP(K1415,'2026.01'!A:Y,15,0),0)</f>
        <v>27</v>
      </c>
      <c r="E1419" s="311">
        <f>IFERROR(VLOOKUP(K1415,'2026.01'!A:Y,18,0),0)</f>
        <v>0.8</v>
      </c>
      <c r="F1419" s="309">
        <f>IFERROR(VLOOKUP(K1415,'2026.01'!A:Y,20,0),0)</f>
        <v>22</v>
      </c>
      <c r="G1419" s="310"/>
      <c r="K1419" s="300"/>
    </row>
    <row r="1420" ht="15" customHeight="1" spans="1:11">
      <c r="A1420" s="307" t="s">
        <v>13</v>
      </c>
      <c r="B1420" s="308"/>
      <c r="C1420" s="308"/>
      <c r="D1420" s="308"/>
      <c r="E1420" s="311"/>
      <c r="F1420" s="309">
        <f>IFERROR(VLOOKUP(K1415,'2026.01'!A:Y,24,0),0)</f>
        <v>26</v>
      </c>
      <c r="G1420" s="310"/>
      <c r="K1420" s="300"/>
    </row>
    <row r="1421" ht="15" customHeight="1" spans="1:11">
      <c r="A1421" s="307" t="s">
        <v>14</v>
      </c>
      <c r="B1421" s="308"/>
      <c r="C1421" s="308"/>
      <c r="D1421" s="308"/>
      <c r="E1421" s="311"/>
      <c r="F1421" s="309">
        <f>IFERROR(VLOOKUP(K1415,'2026.01'!A:Y,12,0),0)</f>
        <v>160</v>
      </c>
      <c r="G1421" s="310"/>
      <c r="K1421" s="300"/>
    </row>
    <row r="1422" ht="21" customHeight="1" spans="1:11">
      <c r="A1422" s="307" t="s">
        <v>15</v>
      </c>
      <c r="B1422" s="308"/>
      <c r="C1422" s="308"/>
      <c r="D1422" s="308"/>
      <c r="E1422" s="311"/>
      <c r="F1422" s="309">
        <f>IFERROR(VLOOKUP(K1415,'2026.01'!A:Y,9,0),0)</f>
        <v>2500</v>
      </c>
      <c r="G1422" s="310"/>
      <c r="K1422" s="300"/>
    </row>
    <row r="1423" ht="19" customHeight="1" spans="1:11">
      <c r="A1423" s="307" t="s">
        <v>16</v>
      </c>
      <c r="B1423" s="308"/>
      <c r="C1423" s="308"/>
      <c r="D1423" s="308"/>
      <c r="E1423" s="308"/>
      <c r="F1423" s="309">
        <f>IFERROR(VLOOKUP(K1415,'2026.01'!A:Y,10,0),0)</f>
        <v>200</v>
      </c>
      <c r="G1423" s="310"/>
      <c r="K1423" s="300"/>
    </row>
    <row r="1424" ht="21" customHeight="1" spans="1:11">
      <c r="A1424" s="307" t="s">
        <v>17</v>
      </c>
      <c r="B1424" s="308"/>
      <c r="C1424" s="308"/>
      <c r="D1424" s="308"/>
      <c r="E1424" s="308"/>
      <c r="F1424" s="309">
        <f>IFERROR(VLOOKUP(K1415,'2026.01'!A:Y,19,0),0)</f>
        <v>19</v>
      </c>
      <c r="G1424" s="310"/>
      <c r="K1424" s="300"/>
    </row>
    <row r="1425" ht="17.15" customHeight="1" spans="1:11">
      <c r="A1425" s="307" t="s">
        <v>18</v>
      </c>
      <c r="B1425" s="308"/>
      <c r="C1425" s="308"/>
      <c r="D1425" s="308"/>
      <c r="E1425" s="308"/>
      <c r="F1425" s="309">
        <f>IFERROR(VLOOKUP(K1415,'2026.01'!A:Y,22,0),0)</f>
        <v>140</v>
      </c>
      <c r="G1425" s="310"/>
      <c r="K1425" s="300"/>
    </row>
    <row r="1426" ht="17.15" customHeight="1" spans="1:11">
      <c r="A1426" s="307" t="s">
        <v>19</v>
      </c>
      <c r="B1426" s="312"/>
      <c r="C1426" s="308"/>
      <c r="D1426" s="313"/>
      <c r="E1426" s="308"/>
      <c r="F1426" s="309">
        <f>IFERROR(VLOOKUP(K1415,'2026.01'!A:Y,25,0),0)</f>
        <v>3067</v>
      </c>
      <c r="G1426" s="310"/>
      <c r="K1426" s="300"/>
    </row>
    <row r="1427" ht="15" customHeight="1" spans="1:11">
      <c r="A1427" s="314" t="s">
        <v>20</v>
      </c>
      <c r="B1427" s="315">
        <f>IF(F1426&lt;0,"金额为负，无效",INT(F1426))</f>
        <v>3067</v>
      </c>
      <c r="C1427" s="315"/>
      <c r="D1427" s="315"/>
      <c r="E1427" s="316" t="s">
        <v>21</v>
      </c>
      <c r="F1427" s="317"/>
      <c r="G1427" s="318"/>
      <c r="K1427" s="300"/>
    </row>
    <row r="1428" ht="15" customHeight="1" spans="1:11">
      <c r="A1428" s="319"/>
      <c r="B1428" s="320"/>
      <c r="C1428" s="320"/>
      <c r="D1428" s="320"/>
      <c r="E1428" s="319"/>
      <c r="F1428" s="321"/>
      <c r="G1428" s="322"/>
      <c r="K1428" s="300"/>
    </row>
    <row r="1429" ht="27" customHeight="1" spans="1:11">
      <c r="A1429" s="298" t="s">
        <v>0</v>
      </c>
      <c r="B1429" s="298"/>
      <c r="C1429" s="298"/>
      <c r="D1429" s="298"/>
      <c r="E1429" s="298"/>
      <c r="F1429" s="298"/>
      <c r="G1429" s="298"/>
      <c r="H1429" s="299"/>
      <c r="I1429" s="299"/>
      <c r="J1429" s="299"/>
      <c r="K1429" s="300">
        <v>103</v>
      </c>
    </row>
    <row r="1430" ht="15" customHeight="1" spans="1:11">
      <c r="A1430" s="301" t="s">
        <v>1</v>
      </c>
      <c r="B1430" s="301"/>
      <c r="C1430" s="301"/>
      <c r="D1430" s="301"/>
      <c r="E1430" s="301"/>
      <c r="F1430" s="301"/>
      <c r="G1430" s="302" t="str">
        <f>IFERROR(VLOOKUP(K1429,'2026.01'!A:Y,2,0),0)</f>
        <v>NO:103</v>
      </c>
      <c r="K1430" s="300"/>
    </row>
    <row r="1431" ht="15" customHeight="1" spans="1:11">
      <c r="A1431" s="303" t="s">
        <v>2</v>
      </c>
      <c r="B1431" s="304">
        <f>IFERROR(VLOOKUP(K1429,'2026.01'!A:Y,6,0),0)</f>
        <v>2035</v>
      </c>
      <c r="C1431" s="304"/>
      <c r="D1431" s="305" t="s">
        <v>3</v>
      </c>
      <c r="E1431" s="305" t="str">
        <f>IFERROR(VLOOKUP(K1429,'2026.01'!A:Y,7,0),0)</f>
        <v>欧阳辉</v>
      </c>
      <c r="F1431" s="305"/>
      <c r="G1431" s="306" t="s">
        <v>4</v>
      </c>
      <c r="K1431" s="300"/>
    </row>
    <row r="1432" ht="15" customHeight="1" spans="1:11">
      <c r="A1432" s="307" t="s">
        <v>5</v>
      </c>
      <c r="B1432" s="308" t="s">
        <v>6</v>
      </c>
      <c r="C1432" s="308" t="s">
        <v>7</v>
      </c>
      <c r="D1432" s="308" t="s">
        <v>8</v>
      </c>
      <c r="E1432" s="308" t="s">
        <v>9</v>
      </c>
      <c r="F1432" s="309" t="s">
        <v>10</v>
      </c>
      <c r="G1432" s="310" t="s">
        <v>11</v>
      </c>
      <c r="K1432" s="300"/>
    </row>
    <row r="1433" ht="15" customHeight="1" spans="1:11">
      <c r="A1433" s="307" t="s">
        <v>12</v>
      </c>
      <c r="B1433" s="308">
        <f>IFERROR(VLOOKUP(K1429,'2026.01'!A:Y,14,0),0)</f>
        <v>160</v>
      </c>
      <c r="C1433" s="308">
        <f>IFERROR(VLOOKUP(K1429,'2026.01'!A:Y,13,0),0)</f>
        <v>139</v>
      </c>
      <c r="D1433" s="308">
        <f>IFERROR(VLOOKUP(K1429,'2026.01'!A:Y,15,0),0)</f>
        <v>21</v>
      </c>
      <c r="E1433" s="311">
        <f>IFERROR(VLOOKUP(K1429,'2026.01'!A:Y,18,0),0)</f>
        <v>0.8</v>
      </c>
      <c r="F1433" s="309">
        <f>IFERROR(VLOOKUP(K1429,'2026.01'!A:Y,20,0),0)</f>
        <v>17</v>
      </c>
      <c r="G1433" s="310"/>
      <c r="K1433" s="300"/>
    </row>
    <row r="1434" ht="15" customHeight="1" spans="1:11">
      <c r="A1434" s="307" t="s">
        <v>13</v>
      </c>
      <c r="B1434" s="308"/>
      <c r="C1434" s="308"/>
      <c r="D1434" s="308"/>
      <c r="E1434" s="311"/>
      <c r="F1434" s="309">
        <f>IFERROR(VLOOKUP(K1429,'2026.01'!A:Y,24,0),0)</f>
        <v>26</v>
      </c>
      <c r="G1434" s="310"/>
      <c r="K1434" s="300"/>
    </row>
    <row r="1435" ht="15" customHeight="1" spans="1:11">
      <c r="A1435" s="307" t="s">
        <v>14</v>
      </c>
      <c r="B1435" s="308"/>
      <c r="C1435" s="308"/>
      <c r="D1435" s="308"/>
      <c r="E1435" s="311"/>
      <c r="F1435" s="309">
        <f>IFERROR(VLOOKUP(K1429,'2026.01'!A:Y,12,0),0)</f>
        <v>160</v>
      </c>
      <c r="G1435" s="310"/>
      <c r="K1435" s="300"/>
    </row>
    <row r="1436" ht="21" customHeight="1" spans="1:11">
      <c r="A1436" s="307" t="s">
        <v>15</v>
      </c>
      <c r="B1436" s="308"/>
      <c r="C1436" s="308"/>
      <c r="D1436" s="308"/>
      <c r="E1436" s="311"/>
      <c r="F1436" s="309">
        <f>IFERROR(VLOOKUP(K1429,'2026.01'!A:Y,9,0),0)</f>
        <v>2500</v>
      </c>
      <c r="G1436" s="310"/>
      <c r="K1436" s="300"/>
    </row>
    <row r="1437" ht="19" customHeight="1" spans="1:11">
      <c r="A1437" s="307" t="s">
        <v>16</v>
      </c>
      <c r="B1437" s="308"/>
      <c r="C1437" s="308"/>
      <c r="D1437" s="308"/>
      <c r="E1437" s="308"/>
      <c r="F1437" s="309">
        <f>IFERROR(VLOOKUP(K1429,'2026.01'!A:Y,10,0),0)</f>
        <v>200</v>
      </c>
      <c r="G1437" s="310"/>
      <c r="K1437" s="300"/>
    </row>
    <row r="1438" ht="21" customHeight="1" spans="1:11">
      <c r="A1438" s="307" t="s">
        <v>17</v>
      </c>
      <c r="B1438" s="308"/>
      <c r="C1438" s="308"/>
      <c r="D1438" s="308"/>
      <c r="E1438" s="308"/>
      <c r="F1438" s="309">
        <f>IFERROR(VLOOKUP(K1429,'2026.01'!A:Y,19,0),0)</f>
        <v>15</v>
      </c>
      <c r="G1438" s="310"/>
      <c r="K1438" s="300"/>
    </row>
    <row r="1439" ht="17.15" customHeight="1" spans="1:11">
      <c r="A1439" s="307" t="s">
        <v>18</v>
      </c>
      <c r="B1439" s="308"/>
      <c r="C1439" s="308"/>
      <c r="D1439" s="308"/>
      <c r="E1439" s="308"/>
      <c r="F1439" s="309">
        <f>IFERROR(VLOOKUP(K1429,'2026.01'!A:Y,22,0),0)</f>
        <v>140</v>
      </c>
      <c r="G1439" s="310"/>
      <c r="K1439" s="300"/>
    </row>
    <row r="1440" ht="17.15" customHeight="1" spans="1:11">
      <c r="A1440" s="307" t="s">
        <v>19</v>
      </c>
      <c r="B1440" s="312"/>
      <c r="C1440" s="308"/>
      <c r="D1440" s="313"/>
      <c r="E1440" s="308"/>
      <c r="F1440" s="309">
        <f>IFERROR(VLOOKUP(K1429,'2026.01'!A:Y,25,0),0)</f>
        <v>3058</v>
      </c>
      <c r="G1440" s="310"/>
      <c r="K1440" s="300"/>
    </row>
    <row r="1441" ht="15" customHeight="1" spans="1:11">
      <c r="A1441" s="314" t="s">
        <v>20</v>
      </c>
      <c r="B1441" s="315">
        <f>IF(F1440&lt;0,"金额为负，无效",INT(F1440))</f>
        <v>3058</v>
      </c>
      <c r="C1441" s="315"/>
      <c r="D1441" s="315"/>
      <c r="E1441" s="316" t="s">
        <v>21</v>
      </c>
      <c r="F1441" s="317"/>
      <c r="G1441" s="318"/>
      <c r="K1441" s="300"/>
    </row>
    <row r="1442" ht="23" customHeight="1" spans="1:11">
      <c r="A1442" s="319"/>
      <c r="B1442" s="320"/>
      <c r="C1442" s="320"/>
      <c r="D1442" s="320"/>
      <c r="E1442" s="319"/>
      <c r="F1442" s="321"/>
      <c r="G1442" s="322"/>
      <c r="K1442" s="300"/>
    </row>
    <row r="1443" ht="27" customHeight="1" spans="1:11">
      <c r="A1443" s="298" t="s">
        <v>0</v>
      </c>
      <c r="B1443" s="298"/>
      <c r="C1443" s="298"/>
      <c r="D1443" s="298"/>
      <c r="E1443" s="298"/>
      <c r="F1443" s="298"/>
      <c r="G1443" s="298"/>
      <c r="H1443" s="299"/>
      <c r="I1443" s="299"/>
      <c r="J1443" s="299"/>
      <c r="K1443" s="300">
        <v>104</v>
      </c>
    </row>
    <row r="1444" ht="15" customHeight="1" spans="1:11">
      <c r="A1444" s="301" t="s">
        <v>1</v>
      </c>
      <c r="B1444" s="301"/>
      <c r="C1444" s="301"/>
      <c r="D1444" s="301"/>
      <c r="E1444" s="301"/>
      <c r="F1444" s="301"/>
      <c r="G1444" s="302" t="str">
        <f>IFERROR(VLOOKUP(K1443,'2026.01'!A:Y,2,0),0)</f>
        <v>NO:104</v>
      </c>
      <c r="K1444" s="300"/>
    </row>
    <row r="1445" ht="15" customHeight="1" spans="1:11">
      <c r="A1445" s="303" t="s">
        <v>2</v>
      </c>
      <c r="B1445" s="304" t="str">
        <f>IFERROR(VLOOKUP(K1443,'2026.01'!A:Y,6,0),0)</f>
        <v>2035A</v>
      </c>
      <c r="C1445" s="304"/>
      <c r="D1445" s="305" t="s">
        <v>3</v>
      </c>
      <c r="E1445" s="305" t="str">
        <f>IFERROR(VLOOKUP(K1443,'2026.01'!A:Y,7,0),0)</f>
        <v>邬水芬</v>
      </c>
      <c r="F1445" s="305"/>
      <c r="G1445" s="306" t="s">
        <v>4</v>
      </c>
      <c r="K1445" s="300"/>
    </row>
    <row r="1446" ht="15" customHeight="1" spans="1:11">
      <c r="A1446" s="307" t="s">
        <v>5</v>
      </c>
      <c r="B1446" s="308" t="s">
        <v>6</v>
      </c>
      <c r="C1446" s="308" t="s">
        <v>7</v>
      </c>
      <c r="D1446" s="308" t="s">
        <v>8</v>
      </c>
      <c r="E1446" s="308" t="s">
        <v>9</v>
      </c>
      <c r="F1446" s="309" t="s">
        <v>10</v>
      </c>
      <c r="G1446" s="310" t="s">
        <v>11</v>
      </c>
      <c r="K1446" s="300"/>
    </row>
    <row r="1447" ht="15" customHeight="1" spans="1:11">
      <c r="A1447" s="307" t="s">
        <v>12</v>
      </c>
      <c r="B1447" s="308">
        <f>IFERROR(VLOOKUP(K1443,'2026.01'!A:Y,14,0),0)</f>
        <v>1607</v>
      </c>
      <c r="C1447" s="308">
        <f>IFERROR(VLOOKUP(K1443,'2026.01'!A:Y,13,0),0)</f>
        <v>1596</v>
      </c>
      <c r="D1447" s="308">
        <f>IFERROR(VLOOKUP(K1443,'2026.01'!A:Y,15,0),0)</f>
        <v>11</v>
      </c>
      <c r="E1447" s="311">
        <f>IFERROR(VLOOKUP(K1443,'2026.01'!A:Y,18,0),0)</f>
        <v>0.8</v>
      </c>
      <c r="F1447" s="309">
        <f>IFERROR(VLOOKUP(K1443,'2026.01'!A:Y,20,0),0)</f>
        <v>9</v>
      </c>
      <c r="G1447" s="310"/>
      <c r="K1447" s="300"/>
    </row>
    <row r="1448" ht="15" customHeight="1" spans="1:11">
      <c r="A1448" s="307" t="s">
        <v>13</v>
      </c>
      <c r="B1448" s="308"/>
      <c r="C1448" s="308"/>
      <c r="D1448" s="308"/>
      <c r="E1448" s="311"/>
      <c r="F1448" s="309">
        <f>IFERROR(VLOOKUP(K1443,'2026.01'!A:Y,24,0),0)</f>
        <v>26</v>
      </c>
      <c r="G1448" s="310"/>
      <c r="K1448" s="300"/>
    </row>
    <row r="1449" ht="15" customHeight="1" spans="1:11">
      <c r="A1449" s="307" t="s">
        <v>14</v>
      </c>
      <c r="B1449" s="308"/>
      <c r="C1449" s="308"/>
      <c r="D1449" s="308"/>
      <c r="E1449" s="311"/>
      <c r="F1449" s="309">
        <f>IFERROR(VLOOKUP(K1443,'2026.01'!A:Y,12,0),0)</f>
        <v>160</v>
      </c>
      <c r="G1449" s="310"/>
      <c r="K1449" s="300"/>
    </row>
    <row r="1450" ht="21" customHeight="1" spans="1:11">
      <c r="A1450" s="307" t="s">
        <v>15</v>
      </c>
      <c r="B1450" s="308"/>
      <c r="C1450" s="308"/>
      <c r="D1450" s="308"/>
      <c r="E1450" s="311"/>
      <c r="F1450" s="309">
        <f>IFERROR(VLOOKUP(K1443,'2026.01'!A:Y,9,0),0)</f>
        <v>2500</v>
      </c>
      <c r="G1450" s="310"/>
      <c r="K1450" s="300"/>
    </row>
    <row r="1451" ht="19" customHeight="1" spans="1:11">
      <c r="A1451" s="307" t="s">
        <v>16</v>
      </c>
      <c r="B1451" s="308"/>
      <c r="C1451" s="308"/>
      <c r="D1451" s="308"/>
      <c r="E1451" s="308"/>
      <c r="F1451" s="309">
        <f>IFERROR(VLOOKUP(K1443,'2026.01'!A:Y,10,0),0)</f>
        <v>200</v>
      </c>
      <c r="G1451" s="310"/>
      <c r="K1451" s="300"/>
    </row>
    <row r="1452" ht="21" customHeight="1" spans="1:11">
      <c r="A1452" s="307" t="s">
        <v>17</v>
      </c>
      <c r="B1452" s="308"/>
      <c r="C1452" s="308"/>
      <c r="D1452" s="308"/>
      <c r="E1452" s="308"/>
      <c r="F1452" s="309">
        <f>IFERROR(VLOOKUP(K1443,'2026.01'!A:Y,19,0),0)</f>
        <v>8</v>
      </c>
      <c r="G1452" s="310"/>
      <c r="K1452" s="300"/>
    </row>
    <row r="1453" ht="17.15" customHeight="1" spans="1:11">
      <c r="A1453" s="307" t="s">
        <v>18</v>
      </c>
      <c r="B1453" s="308"/>
      <c r="C1453" s="308"/>
      <c r="D1453" s="308"/>
      <c r="E1453" s="308"/>
      <c r="F1453" s="309">
        <f>IFERROR(VLOOKUP(K1443,'2026.01'!A:Y,22,0),0)</f>
        <v>140</v>
      </c>
      <c r="G1453" s="310"/>
      <c r="K1453" s="300"/>
    </row>
    <row r="1454" ht="17.15" customHeight="1" spans="1:11">
      <c r="A1454" s="307" t="s">
        <v>19</v>
      </c>
      <c r="B1454" s="312"/>
      <c r="C1454" s="308"/>
      <c r="D1454" s="313"/>
      <c r="E1454" s="308"/>
      <c r="F1454" s="309">
        <f>IFERROR(VLOOKUP(K1443,'2026.01'!A:Y,25,0),0)</f>
        <v>3043</v>
      </c>
      <c r="G1454" s="310"/>
      <c r="K1454" s="300"/>
    </row>
    <row r="1455" ht="15" customHeight="1" spans="1:11">
      <c r="A1455" s="314" t="s">
        <v>20</v>
      </c>
      <c r="B1455" s="315">
        <f>IF(F1454&lt;0,"金额为负，无效",INT(F1454))</f>
        <v>3043</v>
      </c>
      <c r="C1455" s="315"/>
      <c r="D1455" s="315"/>
      <c r="E1455" s="316" t="s">
        <v>21</v>
      </c>
      <c r="F1455" s="317"/>
      <c r="G1455" s="318"/>
      <c r="K1455" s="300"/>
    </row>
    <row r="1456" ht="23" customHeight="1" spans="1:11">
      <c r="A1456" s="319"/>
      <c r="B1456" s="320"/>
      <c r="C1456" s="320"/>
      <c r="D1456" s="320"/>
      <c r="E1456" s="319"/>
      <c r="F1456" s="321"/>
      <c r="G1456" s="322"/>
      <c r="K1456" s="300"/>
    </row>
    <row r="1457" ht="27" customHeight="1" spans="1:11">
      <c r="A1457" s="298" t="s">
        <v>0</v>
      </c>
      <c r="B1457" s="298"/>
      <c r="C1457" s="298"/>
      <c r="D1457" s="298"/>
      <c r="E1457" s="298"/>
      <c r="F1457" s="298"/>
      <c r="G1457" s="298"/>
      <c r="H1457" s="299"/>
      <c r="I1457" s="299"/>
      <c r="J1457" s="299"/>
      <c r="K1457" s="300">
        <v>105</v>
      </c>
    </row>
    <row r="1458" ht="15" customHeight="1" spans="1:11">
      <c r="A1458" s="301" t="s">
        <v>1</v>
      </c>
      <c r="B1458" s="301"/>
      <c r="C1458" s="301"/>
      <c r="D1458" s="301"/>
      <c r="E1458" s="301"/>
      <c r="F1458" s="301"/>
      <c r="G1458" s="302" t="str">
        <f>IFERROR(VLOOKUP(K1457,'2026.01'!A:Y,2,0),0)</f>
        <v>NO:105</v>
      </c>
      <c r="K1458" s="300"/>
    </row>
    <row r="1459" ht="15" customHeight="1" spans="1:11">
      <c r="A1459" s="303" t="s">
        <v>2</v>
      </c>
      <c r="B1459" s="304">
        <f>IFERROR(VLOOKUP(K1457,'2026.01'!A:Y,6,0),0)</f>
        <v>2036</v>
      </c>
      <c r="C1459" s="304"/>
      <c r="D1459" s="305" t="s">
        <v>3</v>
      </c>
      <c r="E1459" s="305" t="str">
        <f>IFERROR(VLOOKUP(K1457,'2026.01'!A:Y,7,0),0)</f>
        <v>陈蓉</v>
      </c>
      <c r="F1459" s="305"/>
      <c r="G1459" s="306" t="s">
        <v>4</v>
      </c>
      <c r="K1459" s="300"/>
    </row>
    <row r="1460" ht="15" customHeight="1" spans="1:11">
      <c r="A1460" s="307" t="s">
        <v>5</v>
      </c>
      <c r="B1460" s="308" t="s">
        <v>6</v>
      </c>
      <c r="C1460" s="308" t="s">
        <v>7</v>
      </c>
      <c r="D1460" s="308" t="s">
        <v>8</v>
      </c>
      <c r="E1460" s="308" t="s">
        <v>9</v>
      </c>
      <c r="F1460" s="309" t="s">
        <v>10</v>
      </c>
      <c r="G1460" s="310" t="s">
        <v>11</v>
      </c>
      <c r="K1460" s="300"/>
    </row>
    <row r="1461" ht="15" customHeight="1" spans="1:11">
      <c r="A1461" s="307" t="s">
        <v>12</v>
      </c>
      <c r="B1461" s="308">
        <f>IFERROR(VLOOKUP(K1457,'2026.01'!A:Y,14,0),0)</f>
        <v>7432</v>
      </c>
      <c r="C1461" s="308">
        <f>IFERROR(VLOOKUP(K1457,'2026.01'!A:Y,13,0),0)</f>
        <v>7432</v>
      </c>
      <c r="D1461" s="308">
        <f>IFERROR(VLOOKUP(K1457,'2026.01'!A:Y,15,0),0)</f>
        <v>0</v>
      </c>
      <c r="E1461" s="311">
        <f>IFERROR(VLOOKUP(K1457,'2026.01'!A:Y,18,0),0)</f>
        <v>0.8</v>
      </c>
      <c r="F1461" s="309">
        <f>IFERROR(VLOOKUP(K1457,'2026.01'!A:Y,20,0),0)</f>
        <v>0</v>
      </c>
      <c r="G1461" s="310"/>
      <c r="K1461" s="300"/>
    </row>
    <row r="1462" ht="15" customHeight="1" spans="1:11">
      <c r="A1462" s="307" t="s">
        <v>13</v>
      </c>
      <c r="B1462" s="308"/>
      <c r="C1462" s="308"/>
      <c r="D1462" s="308"/>
      <c r="E1462" s="311"/>
      <c r="F1462" s="309">
        <f>IFERROR(VLOOKUP(K1457,'2026.01'!A:Y,24,0),0)</f>
        <v>34</v>
      </c>
      <c r="G1462" s="310"/>
      <c r="K1462" s="300"/>
    </row>
    <row r="1463" ht="15" customHeight="1" spans="1:11">
      <c r="A1463" s="307" t="s">
        <v>14</v>
      </c>
      <c r="B1463" s="308"/>
      <c r="C1463" s="308"/>
      <c r="D1463" s="308"/>
      <c r="E1463" s="311"/>
      <c r="F1463" s="309">
        <f>IFERROR(VLOOKUP(K1457,'2026.01'!A:Y,12,0),0)</f>
        <v>160</v>
      </c>
      <c r="G1463" s="310"/>
      <c r="K1463" s="300"/>
    </row>
    <row r="1464" ht="21" customHeight="1" spans="1:11">
      <c r="A1464" s="307" t="s">
        <v>15</v>
      </c>
      <c r="B1464" s="308"/>
      <c r="C1464" s="308"/>
      <c r="D1464" s="308"/>
      <c r="E1464" s="311"/>
      <c r="F1464" s="309">
        <f>IFERROR(VLOOKUP(K1457,'2026.01'!A:Y,9,0),0)</f>
        <v>2500</v>
      </c>
      <c r="G1464" s="310"/>
      <c r="K1464" s="300"/>
    </row>
    <row r="1465" ht="19" customHeight="1" spans="1:11">
      <c r="A1465" s="307" t="s">
        <v>16</v>
      </c>
      <c r="B1465" s="308"/>
      <c r="C1465" s="308"/>
      <c r="D1465" s="308"/>
      <c r="E1465" s="308"/>
      <c r="F1465" s="309">
        <f>IFERROR(VLOOKUP(K1457,'2026.01'!A:Y,10,0),0)</f>
        <v>200</v>
      </c>
      <c r="G1465" s="310"/>
      <c r="K1465" s="300"/>
    </row>
    <row r="1466" ht="21" customHeight="1" spans="1:11">
      <c r="A1466" s="307" t="s">
        <v>17</v>
      </c>
      <c r="B1466" s="308"/>
      <c r="C1466" s="308"/>
      <c r="D1466" s="308"/>
      <c r="E1466" s="308"/>
      <c r="F1466" s="309">
        <f>IFERROR(VLOOKUP(K1457,'2026.01'!A:Y,19,0),0)</f>
        <v>0</v>
      </c>
      <c r="G1466" s="310"/>
      <c r="K1466" s="300"/>
    </row>
    <row r="1467" ht="17.15" customHeight="1" spans="1:11">
      <c r="A1467" s="307" t="s">
        <v>18</v>
      </c>
      <c r="B1467" s="308"/>
      <c r="C1467" s="308"/>
      <c r="D1467" s="308"/>
      <c r="E1467" s="308"/>
      <c r="F1467" s="309">
        <f>IFERROR(VLOOKUP(K1457,'2026.01'!A:Y,22,0),0)</f>
        <v>174</v>
      </c>
      <c r="G1467" s="310"/>
      <c r="K1467" s="300"/>
    </row>
    <row r="1468" ht="17.15" customHeight="1" spans="1:11">
      <c r="A1468" s="307" t="s">
        <v>19</v>
      </c>
      <c r="B1468" s="312"/>
      <c r="C1468" s="308"/>
      <c r="D1468" s="313"/>
      <c r="E1468" s="308"/>
      <c r="F1468" s="309">
        <f>IFERROR(VLOOKUP(K1457,'2026.01'!A:Y,25,0),0)</f>
        <v>3068</v>
      </c>
      <c r="G1468" s="310"/>
      <c r="K1468" s="300"/>
    </row>
    <row r="1469" ht="15" customHeight="1" spans="1:11">
      <c r="A1469" s="314" t="s">
        <v>20</v>
      </c>
      <c r="B1469" s="315">
        <f>IF(F1468&lt;0,"金额为负，无效",INT(F1468))</f>
        <v>3068</v>
      </c>
      <c r="C1469" s="315"/>
      <c r="D1469" s="315"/>
      <c r="E1469" s="316" t="s">
        <v>21</v>
      </c>
      <c r="F1469" s="317"/>
      <c r="G1469" s="318"/>
      <c r="K1469" s="300"/>
    </row>
    <row r="1470" ht="15" customHeight="1" spans="1:11">
      <c r="A1470" s="319"/>
      <c r="B1470" s="320"/>
      <c r="C1470" s="320"/>
      <c r="D1470" s="320"/>
      <c r="E1470" s="319"/>
      <c r="F1470" s="321"/>
      <c r="G1470" s="322"/>
      <c r="K1470" s="300"/>
    </row>
    <row r="1471" ht="27" customHeight="1" spans="1:11">
      <c r="A1471" s="298" t="s">
        <v>0</v>
      </c>
      <c r="B1471" s="298"/>
      <c r="C1471" s="298"/>
      <c r="D1471" s="298"/>
      <c r="E1471" s="298"/>
      <c r="F1471" s="298"/>
      <c r="G1471" s="298"/>
      <c r="H1471" s="299"/>
      <c r="I1471" s="299"/>
      <c r="J1471" s="299"/>
      <c r="K1471" s="300">
        <v>106</v>
      </c>
    </row>
    <row r="1472" ht="15" customHeight="1" spans="1:11">
      <c r="A1472" s="301" t="s">
        <v>1</v>
      </c>
      <c r="B1472" s="301"/>
      <c r="C1472" s="301"/>
      <c r="D1472" s="301"/>
      <c r="E1472" s="301"/>
      <c r="F1472" s="301"/>
      <c r="G1472" s="302" t="str">
        <f>IFERROR(VLOOKUP(K1471,'2026.01'!A:Y,2,0),0)</f>
        <v>NO:106</v>
      </c>
      <c r="K1472" s="300"/>
    </row>
    <row r="1473" ht="15" customHeight="1" spans="1:11">
      <c r="A1473" s="303" t="s">
        <v>2</v>
      </c>
      <c r="B1473" s="304">
        <f>IFERROR(VLOOKUP(K1471,'2026.01'!A:Y,6,0),0)</f>
        <v>2036</v>
      </c>
      <c r="C1473" s="304"/>
      <c r="D1473" s="305" t="s">
        <v>3</v>
      </c>
      <c r="E1473" s="305" t="str">
        <f>IFERROR(VLOOKUP(K1471,'2026.01'!A:Y,7,0),0)</f>
        <v>陈蓉</v>
      </c>
      <c r="F1473" s="305"/>
      <c r="G1473" s="306" t="s">
        <v>4</v>
      </c>
      <c r="K1473" s="300"/>
    </row>
    <row r="1474" ht="15" customHeight="1" spans="1:11">
      <c r="A1474" s="307" t="s">
        <v>5</v>
      </c>
      <c r="B1474" s="308" t="s">
        <v>6</v>
      </c>
      <c r="C1474" s="308" t="s">
        <v>7</v>
      </c>
      <c r="D1474" s="308" t="s">
        <v>8</v>
      </c>
      <c r="E1474" s="308" t="s">
        <v>9</v>
      </c>
      <c r="F1474" s="309" t="s">
        <v>10</v>
      </c>
      <c r="G1474" s="310" t="s">
        <v>11</v>
      </c>
      <c r="K1474" s="300"/>
    </row>
    <row r="1475" ht="15" customHeight="1" spans="1:11">
      <c r="A1475" s="307" t="s">
        <v>12</v>
      </c>
      <c r="B1475" s="308">
        <f>IFERROR(VLOOKUP(K1471,'2026.01'!A:Y,14,0),0)</f>
        <v>8877</v>
      </c>
      <c r="C1475" s="308">
        <f>IFERROR(VLOOKUP(K1471,'2026.01'!A:Y,13,0),0)</f>
        <v>8851</v>
      </c>
      <c r="D1475" s="308">
        <f>IFERROR(VLOOKUP(K1471,'2026.01'!A:Y,15,0),0)</f>
        <v>26</v>
      </c>
      <c r="E1475" s="311">
        <f>IFERROR(VLOOKUP(K1471,'2026.01'!A:Y,18,0),0)</f>
        <v>0.8</v>
      </c>
      <c r="F1475" s="309">
        <f>IFERROR(VLOOKUP(K1471,'2026.01'!A:Y,20,0),0)</f>
        <v>21</v>
      </c>
      <c r="G1475" s="310"/>
      <c r="K1475" s="300"/>
    </row>
    <row r="1476" ht="15" customHeight="1" spans="1:11">
      <c r="A1476" s="307" t="s">
        <v>13</v>
      </c>
      <c r="B1476" s="308"/>
      <c r="C1476" s="308"/>
      <c r="D1476" s="308"/>
      <c r="E1476" s="311"/>
      <c r="F1476" s="309">
        <f>IFERROR(VLOOKUP(K1471,'2026.01'!A:Y,24,0),0)</f>
        <v>0</v>
      </c>
      <c r="G1476" s="310"/>
      <c r="K1476" s="300"/>
    </row>
    <row r="1477" ht="15" customHeight="1" spans="1:11">
      <c r="A1477" s="307" t="s">
        <v>14</v>
      </c>
      <c r="B1477" s="308"/>
      <c r="C1477" s="308"/>
      <c r="D1477" s="308"/>
      <c r="E1477" s="311"/>
      <c r="F1477" s="309">
        <f>IFERROR(VLOOKUP(K1471,'2026.01'!A:Y,12,0),0)</f>
        <v>0</v>
      </c>
      <c r="G1477" s="310"/>
      <c r="K1477" s="300"/>
    </row>
    <row r="1478" ht="21" customHeight="1" spans="1:11">
      <c r="A1478" s="307" t="s">
        <v>15</v>
      </c>
      <c r="B1478" s="308"/>
      <c r="C1478" s="308"/>
      <c r="D1478" s="308"/>
      <c r="E1478" s="311"/>
      <c r="F1478" s="309">
        <f>IFERROR(VLOOKUP(K1471,'2026.01'!A:Y,9,0),0)</f>
        <v>0</v>
      </c>
      <c r="G1478" s="310"/>
      <c r="K1478" s="300"/>
    </row>
    <row r="1479" ht="19" customHeight="1" spans="1:11">
      <c r="A1479" s="307" t="s">
        <v>16</v>
      </c>
      <c r="B1479" s="308"/>
      <c r="C1479" s="308"/>
      <c r="D1479" s="308"/>
      <c r="E1479" s="308"/>
      <c r="F1479" s="309">
        <f>IFERROR(VLOOKUP(K1471,'2026.01'!A:Y,10,0),0)</f>
        <v>0</v>
      </c>
      <c r="G1479" s="310"/>
      <c r="K1479" s="300"/>
    </row>
    <row r="1480" ht="21" customHeight="1" spans="1:11">
      <c r="A1480" s="307" t="s">
        <v>17</v>
      </c>
      <c r="B1480" s="308"/>
      <c r="C1480" s="308"/>
      <c r="D1480" s="308"/>
      <c r="E1480" s="308"/>
      <c r="F1480" s="309">
        <f>IFERROR(VLOOKUP(K1471,'2026.01'!A:Y,19,0),0)</f>
        <v>18</v>
      </c>
      <c r="G1480" s="310"/>
      <c r="K1480" s="300"/>
    </row>
    <row r="1481" ht="17.15" customHeight="1" spans="1:11">
      <c r="A1481" s="307" t="s">
        <v>18</v>
      </c>
      <c r="B1481" s="308"/>
      <c r="C1481" s="308"/>
      <c r="D1481" s="308"/>
      <c r="E1481" s="308"/>
      <c r="F1481" s="309">
        <f>IFERROR(VLOOKUP(K1471,'2026.01'!A:Y,22,0),0)</f>
        <v>0</v>
      </c>
      <c r="G1481" s="310"/>
      <c r="K1481" s="300"/>
    </row>
    <row r="1482" ht="17.15" customHeight="1" spans="1:11">
      <c r="A1482" s="307" t="s">
        <v>19</v>
      </c>
      <c r="B1482" s="312"/>
      <c r="C1482" s="308"/>
      <c r="D1482" s="313"/>
      <c r="E1482" s="308"/>
      <c r="F1482" s="309">
        <f>IFERROR(VLOOKUP(K1471,'2026.01'!A:Y,25,0),0)</f>
        <v>39</v>
      </c>
      <c r="G1482" s="310"/>
      <c r="K1482" s="300"/>
    </row>
    <row r="1483" ht="15" customHeight="1" spans="1:11">
      <c r="A1483" s="314" t="s">
        <v>20</v>
      </c>
      <c r="B1483" s="315">
        <f>IF(F1482&lt;0,"金额为负，无效",INT(F1482))</f>
        <v>39</v>
      </c>
      <c r="C1483" s="315"/>
      <c r="D1483" s="315"/>
      <c r="E1483" s="316" t="s">
        <v>21</v>
      </c>
      <c r="F1483" s="317"/>
      <c r="G1483" s="318"/>
      <c r="K1483" s="300"/>
    </row>
    <row r="1484" ht="23" customHeight="1" spans="1:11">
      <c r="A1484" s="319"/>
      <c r="B1484" s="320"/>
      <c r="C1484" s="320"/>
      <c r="D1484" s="320"/>
      <c r="E1484" s="319"/>
      <c r="F1484" s="321"/>
      <c r="G1484" s="322"/>
      <c r="K1484" s="300"/>
    </row>
    <row r="1485" ht="27" customHeight="1" spans="1:11">
      <c r="A1485" s="298" t="s">
        <v>0</v>
      </c>
      <c r="B1485" s="298"/>
      <c r="C1485" s="298"/>
      <c r="D1485" s="298"/>
      <c r="E1485" s="298"/>
      <c r="F1485" s="298"/>
      <c r="G1485" s="298"/>
      <c r="H1485" s="299"/>
      <c r="I1485" s="299"/>
      <c r="J1485" s="299"/>
      <c r="K1485" s="300">
        <v>107</v>
      </c>
    </row>
    <row r="1486" ht="15" customHeight="1" spans="1:11">
      <c r="A1486" s="301" t="s">
        <v>1</v>
      </c>
      <c r="B1486" s="301"/>
      <c r="C1486" s="301"/>
      <c r="D1486" s="301"/>
      <c r="E1486" s="301"/>
      <c r="F1486" s="301"/>
      <c r="G1486" s="302" t="str">
        <f>IFERROR(VLOOKUP(K1485,'2026.01'!A:Y,2,0),0)</f>
        <v>NO:107</v>
      </c>
      <c r="K1486" s="300"/>
    </row>
    <row r="1487" ht="15" customHeight="1" spans="1:11">
      <c r="A1487" s="303" t="s">
        <v>2</v>
      </c>
      <c r="B1487" s="304">
        <f>IFERROR(VLOOKUP(K1485,'2026.01'!A:Y,6,0),0)</f>
        <v>2037</v>
      </c>
      <c r="C1487" s="304"/>
      <c r="D1487" s="305" t="s">
        <v>3</v>
      </c>
      <c r="E1487" s="305" t="str">
        <f>IFERROR(VLOOKUP(K1485,'2026.01'!A:Y,7,0),0)</f>
        <v>徐介全</v>
      </c>
      <c r="F1487" s="305"/>
      <c r="G1487" s="306" t="s">
        <v>4</v>
      </c>
      <c r="K1487" s="300"/>
    </row>
    <row r="1488" ht="15" customHeight="1" spans="1:11">
      <c r="A1488" s="307" t="s">
        <v>5</v>
      </c>
      <c r="B1488" s="308" t="s">
        <v>6</v>
      </c>
      <c r="C1488" s="308" t="s">
        <v>7</v>
      </c>
      <c r="D1488" s="308" t="s">
        <v>8</v>
      </c>
      <c r="E1488" s="308" t="s">
        <v>9</v>
      </c>
      <c r="F1488" s="309" t="s">
        <v>10</v>
      </c>
      <c r="G1488" s="310" t="s">
        <v>11</v>
      </c>
      <c r="K1488" s="300"/>
    </row>
    <row r="1489" ht="15" customHeight="1" spans="1:11">
      <c r="A1489" s="307" t="s">
        <v>12</v>
      </c>
      <c r="B1489" s="308">
        <f>IFERROR(VLOOKUP(K1485,'2026.01'!A:Y,14,0),0)</f>
        <v>2732</v>
      </c>
      <c r="C1489" s="308">
        <f>IFERROR(VLOOKUP(K1485,'2026.01'!A:Y,13,0),0)</f>
        <v>2680</v>
      </c>
      <c r="D1489" s="308">
        <f>IFERROR(VLOOKUP(K1485,'2026.01'!A:Y,15,0),0)</f>
        <v>52</v>
      </c>
      <c r="E1489" s="311">
        <f>IFERROR(VLOOKUP(K1485,'2026.01'!A:Y,18,0),0)</f>
        <v>0.8</v>
      </c>
      <c r="F1489" s="309">
        <f>IFERROR(VLOOKUP(K1485,'2026.01'!A:Y,20,0),0)</f>
        <v>42</v>
      </c>
      <c r="G1489" s="310"/>
      <c r="K1489" s="300"/>
    </row>
    <row r="1490" ht="15" customHeight="1" spans="1:11">
      <c r="A1490" s="307" t="s">
        <v>13</v>
      </c>
      <c r="B1490" s="308"/>
      <c r="C1490" s="308"/>
      <c r="D1490" s="308"/>
      <c r="E1490" s="311"/>
      <c r="F1490" s="309">
        <f>IFERROR(VLOOKUP(K1485,'2026.01'!A:Y,24,0),0)</f>
        <v>26</v>
      </c>
      <c r="G1490" s="310"/>
      <c r="K1490" s="300"/>
    </row>
    <row r="1491" ht="15" customHeight="1" spans="1:11">
      <c r="A1491" s="307" t="s">
        <v>14</v>
      </c>
      <c r="B1491" s="308"/>
      <c r="C1491" s="308"/>
      <c r="D1491" s="308"/>
      <c r="E1491" s="311"/>
      <c r="F1491" s="309">
        <f>IFERROR(VLOOKUP(K1485,'2026.01'!A:Y,12,0),0)</f>
        <v>160</v>
      </c>
      <c r="G1491" s="310"/>
      <c r="K1491" s="300"/>
    </row>
    <row r="1492" ht="21" customHeight="1" spans="1:11">
      <c r="A1492" s="307" t="s">
        <v>15</v>
      </c>
      <c r="B1492" s="308"/>
      <c r="C1492" s="308"/>
      <c r="D1492" s="308"/>
      <c r="E1492" s="311"/>
      <c r="F1492" s="309">
        <f>IFERROR(VLOOKUP(K1485,'2026.01'!A:Y,9,0),0)</f>
        <v>2500</v>
      </c>
      <c r="G1492" s="310"/>
      <c r="K1492" s="300"/>
    </row>
    <row r="1493" ht="19" customHeight="1" spans="1:11">
      <c r="A1493" s="307" t="s">
        <v>16</v>
      </c>
      <c r="B1493" s="308"/>
      <c r="C1493" s="308"/>
      <c r="D1493" s="308"/>
      <c r="E1493" s="308"/>
      <c r="F1493" s="309">
        <f>IFERROR(VLOOKUP(K1485,'2026.01'!A:Y,10,0),0)</f>
        <v>200</v>
      </c>
      <c r="G1493" s="310"/>
      <c r="K1493" s="300"/>
    </row>
    <row r="1494" ht="21" customHeight="1" spans="1:11">
      <c r="A1494" s="307" t="s">
        <v>17</v>
      </c>
      <c r="B1494" s="308"/>
      <c r="C1494" s="308"/>
      <c r="D1494" s="308"/>
      <c r="E1494" s="308"/>
      <c r="F1494" s="309">
        <f>IFERROR(VLOOKUP(K1485,'2026.01'!A:Y,19,0),0)</f>
        <v>36</v>
      </c>
      <c r="G1494" s="310"/>
      <c r="K1494" s="300"/>
    </row>
    <row r="1495" ht="17.15" customHeight="1" spans="1:11">
      <c r="A1495" s="307" t="s">
        <v>18</v>
      </c>
      <c r="B1495" s="308"/>
      <c r="C1495" s="308"/>
      <c r="D1495" s="308"/>
      <c r="E1495" s="308"/>
      <c r="F1495" s="309">
        <f>IFERROR(VLOOKUP(K1485,'2026.01'!A:Y,22,0),0)</f>
        <v>140</v>
      </c>
      <c r="G1495" s="310"/>
      <c r="K1495" s="300"/>
    </row>
    <row r="1496" ht="17.15" customHeight="1" spans="1:11">
      <c r="A1496" s="307" t="s">
        <v>19</v>
      </c>
      <c r="B1496" s="312"/>
      <c r="C1496" s="308"/>
      <c r="D1496" s="313"/>
      <c r="E1496" s="308"/>
      <c r="F1496" s="309">
        <f>IFERROR(VLOOKUP(K1485,'2026.01'!A:Y,25,0),0)</f>
        <v>3104</v>
      </c>
      <c r="G1496" s="310"/>
      <c r="K1496" s="300"/>
    </row>
    <row r="1497" ht="15" customHeight="1" spans="1:11">
      <c r="A1497" s="314" t="s">
        <v>20</v>
      </c>
      <c r="B1497" s="315">
        <f>IF(F1496&lt;0,"金额为负，无效",INT(F1496))</f>
        <v>3104</v>
      </c>
      <c r="C1497" s="315"/>
      <c r="D1497" s="315"/>
      <c r="E1497" s="316" t="s">
        <v>21</v>
      </c>
      <c r="F1497" s="317"/>
      <c r="G1497" s="318"/>
      <c r="K1497" s="300"/>
    </row>
    <row r="1498" ht="23" customHeight="1" spans="1:11">
      <c r="A1498" s="319"/>
      <c r="B1498" s="320"/>
      <c r="C1498" s="320"/>
      <c r="D1498" s="320"/>
      <c r="E1498" s="319"/>
      <c r="F1498" s="321"/>
      <c r="G1498" s="322"/>
      <c r="K1498" s="300"/>
    </row>
    <row r="1499" ht="27" customHeight="1" spans="1:11">
      <c r="A1499" s="298" t="s">
        <v>0</v>
      </c>
      <c r="B1499" s="298"/>
      <c r="C1499" s="298"/>
      <c r="D1499" s="298"/>
      <c r="E1499" s="298"/>
      <c r="F1499" s="298"/>
      <c r="G1499" s="298"/>
      <c r="H1499" s="299"/>
      <c r="I1499" s="299"/>
      <c r="J1499" s="299"/>
      <c r="K1499" s="300">
        <v>108</v>
      </c>
    </row>
    <row r="1500" ht="15" customHeight="1" spans="1:11">
      <c r="A1500" s="301" t="s">
        <v>1</v>
      </c>
      <c r="B1500" s="301"/>
      <c r="C1500" s="301"/>
      <c r="D1500" s="301"/>
      <c r="E1500" s="301"/>
      <c r="F1500" s="301"/>
      <c r="G1500" s="302" t="str">
        <f>IFERROR(VLOOKUP(K1499,'2026.01'!A:Y,2,0),0)</f>
        <v>NO:108</v>
      </c>
      <c r="K1500" s="300"/>
    </row>
    <row r="1501" ht="15" customHeight="1" spans="1:11">
      <c r="A1501" s="303" t="s">
        <v>2</v>
      </c>
      <c r="B1501" s="304">
        <f>IFERROR(VLOOKUP(K1499,'2026.01'!A:Y,6,0),0)</f>
        <v>2038</v>
      </c>
      <c r="C1501" s="304"/>
      <c r="D1501" s="305" t="s">
        <v>3</v>
      </c>
      <c r="E1501" s="305" t="str">
        <f>IFERROR(VLOOKUP(K1499,'2026.01'!A:Y,7,0),0)</f>
        <v>徐介全</v>
      </c>
      <c r="F1501" s="305"/>
      <c r="G1501" s="306" t="s">
        <v>4</v>
      </c>
      <c r="K1501" s="300"/>
    </row>
    <row r="1502" ht="15" customHeight="1" spans="1:11">
      <c r="A1502" s="307" t="s">
        <v>5</v>
      </c>
      <c r="B1502" s="308" t="s">
        <v>6</v>
      </c>
      <c r="C1502" s="308" t="s">
        <v>7</v>
      </c>
      <c r="D1502" s="308" t="s">
        <v>8</v>
      </c>
      <c r="E1502" s="308" t="s">
        <v>9</v>
      </c>
      <c r="F1502" s="309" t="s">
        <v>10</v>
      </c>
      <c r="G1502" s="310" t="s">
        <v>11</v>
      </c>
      <c r="K1502" s="300"/>
    </row>
    <row r="1503" ht="15" customHeight="1" spans="1:11">
      <c r="A1503" s="307" t="s">
        <v>12</v>
      </c>
      <c r="B1503" s="308">
        <f>IFERROR(VLOOKUP(K1499,'2026.01'!A:Y,14,0),0)</f>
        <v>7876</v>
      </c>
      <c r="C1503" s="308">
        <f>IFERROR(VLOOKUP(K1499,'2026.01'!A:Y,13,0),0)</f>
        <v>7876</v>
      </c>
      <c r="D1503" s="308">
        <f>IFERROR(VLOOKUP(K1499,'2026.01'!A:Y,15,0),0)</f>
        <v>0</v>
      </c>
      <c r="E1503" s="311">
        <f>IFERROR(VLOOKUP(K1499,'2026.01'!A:Y,18,0),0)</f>
        <v>0.8</v>
      </c>
      <c r="F1503" s="309">
        <f>IFERROR(VLOOKUP(K1499,'2026.01'!A:Y,20,0),0)</f>
        <v>0</v>
      </c>
      <c r="G1503" s="310"/>
      <c r="K1503" s="300"/>
    </row>
    <row r="1504" ht="15" customHeight="1" spans="1:11">
      <c r="A1504" s="307" t="s">
        <v>13</v>
      </c>
      <c r="B1504" s="308"/>
      <c r="C1504" s="308"/>
      <c r="D1504" s="308"/>
      <c r="E1504" s="311"/>
      <c r="F1504" s="309">
        <f>IFERROR(VLOOKUP(K1499,'2026.01'!A:Y,24,0),0)</f>
        <v>26</v>
      </c>
      <c r="G1504" s="310"/>
      <c r="K1504" s="300"/>
    </row>
    <row r="1505" ht="15" customHeight="1" spans="1:11">
      <c r="A1505" s="307" t="s">
        <v>14</v>
      </c>
      <c r="B1505" s="308"/>
      <c r="C1505" s="308"/>
      <c r="D1505" s="308"/>
      <c r="E1505" s="311"/>
      <c r="F1505" s="309">
        <f>IFERROR(VLOOKUP(K1499,'2026.01'!A:Y,12,0),0)</f>
        <v>160</v>
      </c>
      <c r="G1505" s="310"/>
      <c r="K1505" s="300"/>
    </row>
    <row r="1506" ht="21" customHeight="1" spans="1:11">
      <c r="A1506" s="307" t="s">
        <v>15</v>
      </c>
      <c r="B1506" s="308"/>
      <c r="C1506" s="308"/>
      <c r="D1506" s="308"/>
      <c r="E1506" s="311"/>
      <c r="F1506" s="309">
        <f>IFERROR(VLOOKUP(K1499,'2026.01'!A:Y,9,0),0)</f>
        <v>2500</v>
      </c>
      <c r="G1506" s="310"/>
      <c r="K1506" s="300"/>
    </row>
    <row r="1507" ht="19" customHeight="1" spans="1:11">
      <c r="A1507" s="307" t="s">
        <v>16</v>
      </c>
      <c r="B1507" s="308"/>
      <c r="C1507" s="308"/>
      <c r="D1507" s="308"/>
      <c r="E1507" s="308"/>
      <c r="F1507" s="309">
        <f>IFERROR(VLOOKUP(K1499,'2026.01'!A:Y,10,0),0)</f>
        <v>200</v>
      </c>
      <c r="G1507" s="310"/>
      <c r="K1507" s="300"/>
    </row>
    <row r="1508" ht="21" customHeight="1" spans="1:11">
      <c r="A1508" s="307" t="s">
        <v>17</v>
      </c>
      <c r="B1508" s="308"/>
      <c r="C1508" s="308"/>
      <c r="D1508" s="308"/>
      <c r="E1508" s="308"/>
      <c r="F1508" s="309">
        <f>IFERROR(VLOOKUP(K1499,'2026.01'!A:Y,19,0),0)</f>
        <v>0</v>
      </c>
      <c r="G1508" s="310"/>
      <c r="K1508" s="300"/>
    </row>
    <row r="1509" ht="17.15" customHeight="1" spans="1:11">
      <c r="A1509" s="307" t="s">
        <v>18</v>
      </c>
      <c r="B1509" s="308"/>
      <c r="C1509" s="308"/>
      <c r="D1509" s="308"/>
      <c r="E1509" s="308"/>
      <c r="F1509" s="309">
        <f>IFERROR(VLOOKUP(K1499,'2026.01'!A:Y,22,0),0)</f>
        <v>140</v>
      </c>
      <c r="G1509" s="310"/>
      <c r="K1509" s="300"/>
    </row>
    <row r="1510" ht="17.15" customHeight="1" spans="1:11">
      <c r="A1510" s="307" t="s">
        <v>19</v>
      </c>
      <c r="B1510" s="312"/>
      <c r="C1510" s="308"/>
      <c r="D1510" s="313"/>
      <c r="E1510" s="308"/>
      <c r="F1510" s="309">
        <f>IFERROR(VLOOKUP(K1499,'2026.01'!A:Y,25,0),0)</f>
        <v>3026</v>
      </c>
      <c r="G1510" s="310"/>
      <c r="K1510" s="300"/>
    </row>
    <row r="1511" ht="15" customHeight="1" spans="1:11">
      <c r="A1511" s="314" t="s">
        <v>20</v>
      </c>
      <c r="B1511" s="315">
        <f>IF(F1510&lt;0,"金额为负，无效",INT(F1510))</f>
        <v>3026</v>
      </c>
      <c r="C1511" s="315"/>
      <c r="D1511" s="315"/>
      <c r="E1511" s="316" t="s">
        <v>21</v>
      </c>
      <c r="F1511" s="317"/>
      <c r="G1511" s="318"/>
      <c r="K1511" s="300"/>
    </row>
    <row r="1512" ht="15" customHeight="1" spans="1:11">
      <c r="A1512" s="319"/>
      <c r="B1512" s="320"/>
      <c r="C1512" s="320"/>
      <c r="D1512" s="320"/>
      <c r="E1512" s="319"/>
      <c r="F1512" s="321"/>
      <c r="G1512" s="322"/>
      <c r="K1512" s="300"/>
    </row>
    <row r="1513" ht="27" customHeight="1" spans="1:11">
      <c r="A1513" s="298" t="s">
        <v>0</v>
      </c>
      <c r="B1513" s="298"/>
      <c r="C1513" s="298"/>
      <c r="D1513" s="298"/>
      <c r="E1513" s="298"/>
      <c r="F1513" s="298"/>
      <c r="G1513" s="298"/>
      <c r="H1513" s="299"/>
      <c r="I1513" s="299"/>
      <c r="J1513" s="299"/>
      <c r="K1513" s="300">
        <v>109</v>
      </c>
    </row>
    <row r="1514" ht="15" customHeight="1" spans="1:11">
      <c r="A1514" s="301" t="s">
        <v>1</v>
      </c>
      <c r="B1514" s="301"/>
      <c r="C1514" s="301"/>
      <c r="D1514" s="301"/>
      <c r="E1514" s="301"/>
      <c r="F1514" s="301"/>
      <c r="G1514" s="302" t="str">
        <f>IFERROR(VLOOKUP(K1513,'2026.01'!A:Y,2,0),0)</f>
        <v>NO:109</v>
      </c>
      <c r="K1514" s="300"/>
    </row>
    <row r="1515" ht="15" customHeight="1" spans="1:11">
      <c r="A1515" s="303" t="s">
        <v>2</v>
      </c>
      <c r="B1515" s="304">
        <f>IFERROR(VLOOKUP(K1513,'2026.01'!A:Y,6,0),0)</f>
        <v>2039</v>
      </c>
      <c r="C1515" s="304"/>
      <c r="D1515" s="305" t="s">
        <v>3</v>
      </c>
      <c r="E1515" s="305" t="str">
        <f>IFERROR(VLOOKUP(K1513,'2026.01'!A:Y,7,0),0)</f>
        <v>蔡玉琴</v>
      </c>
      <c r="F1515" s="305"/>
      <c r="G1515" s="306" t="s">
        <v>4</v>
      </c>
      <c r="K1515" s="300"/>
    </row>
    <row r="1516" ht="15" customHeight="1" spans="1:11">
      <c r="A1516" s="307" t="s">
        <v>5</v>
      </c>
      <c r="B1516" s="308" t="s">
        <v>6</v>
      </c>
      <c r="C1516" s="308" t="s">
        <v>7</v>
      </c>
      <c r="D1516" s="308" t="s">
        <v>8</v>
      </c>
      <c r="E1516" s="308" t="s">
        <v>9</v>
      </c>
      <c r="F1516" s="309" t="s">
        <v>10</v>
      </c>
      <c r="G1516" s="310" t="s">
        <v>11</v>
      </c>
      <c r="K1516" s="300"/>
    </row>
    <row r="1517" ht="15" customHeight="1" spans="1:11">
      <c r="A1517" s="307" t="s">
        <v>12</v>
      </c>
      <c r="B1517" s="308">
        <f>IFERROR(VLOOKUP(K1513,'2026.01'!A:Y,14,0),0)</f>
        <v>6182</v>
      </c>
      <c r="C1517" s="308">
        <f>IFERROR(VLOOKUP(K1513,'2026.01'!A:Y,13,0),0)</f>
        <v>6136</v>
      </c>
      <c r="D1517" s="308">
        <f>IFERROR(VLOOKUP(K1513,'2026.01'!A:Y,15,0),0)</f>
        <v>46</v>
      </c>
      <c r="E1517" s="311">
        <f>IFERROR(VLOOKUP(K1513,'2026.01'!A:Y,18,0),0)</f>
        <v>0.8</v>
      </c>
      <c r="F1517" s="309">
        <f>IFERROR(VLOOKUP(K1513,'2026.01'!A:Y,20,0),0)</f>
        <v>37</v>
      </c>
      <c r="G1517" s="310"/>
      <c r="K1517" s="300"/>
    </row>
    <row r="1518" ht="15" customHeight="1" spans="1:11">
      <c r="A1518" s="307" t="s">
        <v>13</v>
      </c>
      <c r="B1518" s="308"/>
      <c r="C1518" s="308"/>
      <c r="D1518" s="308"/>
      <c r="E1518" s="311"/>
      <c r="F1518" s="309">
        <f>IFERROR(VLOOKUP(K1513,'2026.01'!A:Y,24,0),0)</f>
        <v>26</v>
      </c>
      <c r="G1518" s="310"/>
      <c r="K1518" s="300"/>
    </row>
    <row r="1519" ht="15" customHeight="1" spans="1:11">
      <c r="A1519" s="307" t="s">
        <v>14</v>
      </c>
      <c r="B1519" s="308"/>
      <c r="C1519" s="308"/>
      <c r="D1519" s="308"/>
      <c r="E1519" s="311"/>
      <c r="F1519" s="309">
        <f>IFERROR(VLOOKUP(K1513,'2026.01'!A:Y,12,0),0)</f>
        <v>160</v>
      </c>
      <c r="G1519" s="310"/>
      <c r="K1519" s="300"/>
    </row>
    <row r="1520" ht="21" customHeight="1" spans="1:11">
      <c r="A1520" s="307" t="s">
        <v>15</v>
      </c>
      <c r="B1520" s="308"/>
      <c r="C1520" s="308"/>
      <c r="D1520" s="308"/>
      <c r="E1520" s="311"/>
      <c r="F1520" s="309">
        <f>IFERROR(VLOOKUP(K1513,'2026.01'!A:Y,9,0),0)</f>
        <v>2500</v>
      </c>
      <c r="G1520" s="310"/>
      <c r="K1520" s="300"/>
    </row>
    <row r="1521" ht="19" customHeight="1" spans="1:11">
      <c r="A1521" s="307" t="s">
        <v>16</v>
      </c>
      <c r="B1521" s="308"/>
      <c r="C1521" s="308"/>
      <c r="D1521" s="308"/>
      <c r="E1521" s="308"/>
      <c r="F1521" s="309">
        <f>IFERROR(VLOOKUP(K1513,'2026.01'!A:Y,10,0),0)</f>
        <v>200</v>
      </c>
      <c r="G1521" s="310"/>
      <c r="K1521" s="300"/>
    </row>
    <row r="1522" ht="21" customHeight="1" spans="1:11">
      <c r="A1522" s="307" t="s">
        <v>17</v>
      </c>
      <c r="B1522" s="308"/>
      <c r="C1522" s="308"/>
      <c r="D1522" s="308"/>
      <c r="E1522" s="308"/>
      <c r="F1522" s="309">
        <f>IFERROR(VLOOKUP(K1513,'2026.01'!A:Y,19,0),0)</f>
        <v>32</v>
      </c>
      <c r="G1522" s="310"/>
      <c r="K1522" s="300"/>
    </row>
    <row r="1523" ht="17.15" customHeight="1" spans="1:11">
      <c r="A1523" s="307" t="s">
        <v>18</v>
      </c>
      <c r="B1523" s="308"/>
      <c r="C1523" s="308"/>
      <c r="D1523" s="308"/>
      <c r="E1523" s="308"/>
      <c r="F1523" s="309">
        <f>IFERROR(VLOOKUP(K1513,'2026.01'!A:Y,22,0),0)</f>
        <v>140</v>
      </c>
      <c r="G1523" s="310"/>
      <c r="K1523" s="300"/>
    </row>
    <row r="1524" ht="17.15" customHeight="1" spans="1:11">
      <c r="A1524" s="307" t="s">
        <v>19</v>
      </c>
      <c r="B1524" s="312"/>
      <c r="C1524" s="308"/>
      <c r="D1524" s="313"/>
      <c r="E1524" s="308"/>
      <c r="F1524" s="309">
        <f>IFERROR(VLOOKUP(K1513,'2026.01'!A:Y,25,0),0)</f>
        <v>3095</v>
      </c>
      <c r="G1524" s="310"/>
      <c r="K1524" s="300"/>
    </row>
    <row r="1525" ht="15" customHeight="1" spans="1:11">
      <c r="A1525" s="314" t="s">
        <v>20</v>
      </c>
      <c r="B1525" s="315">
        <f>IF(F1524&lt;0,"金额为负，无效",INT(F1524))</f>
        <v>3095</v>
      </c>
      <c r="C1525" s="315"/>
      <c r="D1525" s="315"/>
      <c r="E1525" s="316" t="s">
        <v>21</v>
      </c>
      <c r="F1525" s="317"/>
      <c r="G1525" s="318"/>
      <c r="K1525" s="300"/>
    </row>
    <row r="1526" ht="23" customHeight="1" spans="1:11">
      <c r="A1526" s="319"/>
      <c r="B1526" s="320"/>
      <c r="C1526" s="320"/>
      <c r="D1526" s="320"/>
      <c r="E1526" s="319"/>
      <c r="F1526" s="321"/>
      <c r="G1526" s="322"/>
      <c r="K1526" s="300"/>
    </row>
    <row r="1527" ht="27" customHeight="1" spans="1:11">
      <c r="A1527" s="298" t="s">
        <v>0</v>
      </c>
      <c r="B1527" s="298"/>
      <c r="C1527" s="298"/>
      <c r="D1527" s="298"/>
      <c r="E1527" s="298"/>
      <c r="F1527" s="298"/>
      <c r="G1527" s="298"/>
      <c r="H1527" s="299"/>
      <c r="I1527" s="299"/>
      <c r="J1527" s="299"/>
      <c r="K1527" s="300">
        <v>110</v>
      </c>
    </row>
    <row r="1528" ht="15" customHeight="1" spans="1:11">
      <c r="A1528" s="301" t="s">
        <v>1</v>
      </c>
      <c r="B1528" s="301"/>
      <c r="C1528" s="301"/>
      <c r="D1528" s="301"/>
      <c r="E1528" s="301"/>
      <c r="F1528" s="301"/>
      <c r="G1528" s="302" t="str">
        <f>IFERROR(VLOOKUP(K1527,'2026.01'!A:Y,2,0),0)</f>
        <v>NO:110</v>
      </c>
      <c r="K1528" s="300"/>
    </row>
    <row r="1529" ht="15" customHeight="1" spans="1:11">
      <c r="A1529" s="303" t="s">
        <v>2</v>
      </c>
      <c r="B1529" s="304">
        <f>IFERROR(VLOOKUP(K1527,'2026.01'!A:Y,6,0),0)</f>
        <v>2040</v>
      </c>
      <c r="C1529" s="304"/>
      <c r="D1529" s="305" t="s">
        <v>3</v>
      </c>
      <c r="E1529" s="305" t="str">
        <f>IFERROR(VLOOKUP(K1527,'2026.01'!A:Y,7,0),0)</f>
        <v>吕穗生</v>
      </c>
      <c r="F1529" s="305"/>
      <c r="G1529" s="306" t="s">
        <v>4</v>
      </c>
      <c r="K1529" s="300"/>
    </row>
    <row r="1530" ht="15" customHeight="1" spans="1:11">
      <c r="A1530" s="307" t="s">
        <v>5</v>
      </c>
      <c r="B1530" s="308" t="s">
        <v>6</v>
      </c>
      <c r="C1530" s="308" t="s">
        <v>7</v>
      </c>
      <c r="D1530" s="308" t="s">
        <v>8</v>
      </c>
      <c r="E1530" s="308" t="s">
        <v>9</v>
      </c>
      <c r="F1530" s="309" t="s">
        <v>10</v>
      </c>
      <c r="G1530" s="310" t="s">
        <v>11</v>
      </c>
      <c r="K1530" s="300"/>
    </row>
    <row r="1531" ht="15" customHeight="1" spans="1:11">
      <c r="A1531" s="307" t="s">
        <v>12</v>
      </c>
      <c r="B1531" s="308">
        <f>IFERROR(VLOOKUP(K1527,'2026.01'!A:Y,14,0),0)</f>
        <v>5425</v>
      </c>
      <c r="C1531" s="308">
        <f>IFERROR(VLOOKUP(K1527,'2026.01'!A:Y,13,0),0)</f>
        <v>5420</v>
      </c>
      <c r="D1531" s="308">
        <f>IFERROR(VLOOKUP(K1527,'2026.01'!A:Y,15,0),0)</f>
        <v>5</v>
      </c>
      <c r="E1531" s="311">
        <f>IFERROR(VLOOKUP(K1527,'2026.01'!A:Y,18,0),0)</f>
        <v>0.8</v>
      </c>
      <c r="F1531" s="309">
        <f>IFERROR(VLOOKUP(K1527,'2026.01'!A:Y,20,0),0)</f>
        <v>4</v>
      </c>
      <c r="G1531" s="310"/>
      <c r="K1531" s="300"/>
    </row>
    <row r="1532" ht="15" customHeight="1" spans="1:11">
      <c r="A1532" s="307" t="s">
        <v>13</v>
      </c>
      <c r="B1532" s="308"/>
      <c r="C1532" s="308"/>
      <c r="D1532" s="308"/>
      <c r="E1532" s="311"/>
      <c r="F1532" s="309">
        <f>IFERROR(VLOOKUP(K1527,'2026.01'!A:Y,24,0),0)</f>
        <v>26</v>
      </c>
      <c r="G1532" s="310"/>
      <c r="K1532" s="300"/>
    </row>
    <row r="1533" ht="15" customHeight="1" spans="1:11">
      <c r="A1533" s="307" t="s">
        <v>14</v>
      </c>
      <c r="B1533" s="308"/>
      <c r="C1533" s="308"/>
      <c r="D1533" s="308"/>
      <c r="E1533" s="311"/>
      <c r="F1533" s="309">
        <f>IFERROR(VLOOKUP(K1527,'2026.01'!A:Y,12,0),0)</f>
        <v>320</v>
      </c>
      <c r="G1533" s="310"/>
      <c r="K1533" s="300"/>
    </row>
    <row r="1534" ht="21" customHeight="1" spans="1:11">
      <c r="A1534" s="307" t="s">
        <v>15</v>
      </c>
      <c r="B1534" s="308"/>
      <c r="C1534" s="308"/>
      <c r="D1534" s="308"/>
      <c r="E1534" s="311"/>
      <c r="F1534" s="309">
        <f>IFERROR(VLOOKUP(K1527,'2026.01'!A:Y,9,0),0)</f>
        <v>5000</v>
      </c>
      <c r="G1534" s="310"/>
      <c r="K1534" s="300"/>
    </row>
    <row r="1535" ht="19" customHeight="1" spans="1:11">
      <c r="A1535" s="307" t="s">
        <v>16</v>
      </c>
      <c r="B1535" s="308"/>
      <c r="C1535" s="308"/>
      <c r="D1535" s="308"/>
      <c r="E1535" s="308"/>
      <c r="F1535" s="309">
        <f>IFERROR(VLOOKUP(K1527,'2026.01'!A:Y,10,0),0)</f>
        <v>400</v>
      </c>
      <c r="G1535" s="310"/>
      <c r="K1535" s="300"/>
    </row>
    <row r="1536" ht="21" customHeight="1" spans="1:11">
      <c r="A1536" s="307" t="s">
        <v>17</v>
      </c>
      <c r="B1536" s="308"/>
      <c r="C1536" s="308"/>
      <c r="D1536" s="308"/>
      <c r="E1536" s="308"/>
      <c r="F1536" s="309">
        <f>IFERROR(VLOOKUP(K1527,'2026.01'!A:Y,19,0),0)</f>
        <v>4</v>
      </c>
      <c r="G1536" s="310"/>
      <c r="K1536" s="300"/>
    </row>
    <row r="1537" ht="17.15" customHeight="1" spans="1:11">
      <c r="A1537" s="307" t="s">
        <v>18</v>
      </c>
      <c r="B1537" s="308"/>
      <c r="C1537" s="308"/>
      <c r="D1537" s="308"/>
      <c r="E1537" s="308"/>
      <c r="F1537" s="309">
        <f>IFERROR(VLOOKUP(K1527,'2026.01'!A:Y,22,0),0)</f>
        <v>140</v>
      </c>
      <c r="G1537" s="310"/>
      <c r="K1537" s="300"/>
    </row>
    <row r="1538" ht="17.15" customHeight="1" spans="1:11">
      <c r="A1538" s="307" t="s">
        <v>19</v>
      </c>
      <c r="B1538" s="312"/>
      <c r="C1538" s="308"/>
      <c r="D1538" s="313"/>
      <c r="E1538" s="308"/>
      <c r="F1538" s="309">
        <f>IFERROR(VLOOKUP(K1527,'2026.01'!A:Y,25,0),0)</f>
        <v>5894</v>
      </c>
      <c r="G1538" s="310"/>
      <c r="K1538" s="300"/>
    </row>
    <row r="1539" ht="15" customHeight="1" spans="1:11">
      <c r="A1539" s="314" t="s">
        <v>20</v>
      </c>
      <c r="B1539" s="315">
        <f>IF(F1538&lt;0,"金额为负，无效",INT(F1538))</f>
        <v>5894</v>
      </c>
      <c r="C1539" s="315"/>
      <c r="D1539" s="315"/>
      <c r="E1539" s="316" t="s">
        <v>21</v>
      </c>
      <c r="F1539" s="317"/>
      <c r="G1539" s="318"/>
      <c r="K1539" s="300"/>
    </row>
    <row r="1540" ht="23" customHeight="1" spans="1:11">
      <c r="A1540" s="319"/>
      <c r="B1540" s="320"/>
      <c r="C1540" s="320"/>
      <c r="D1540" s="320"/>
      <c r="E1540" s="319"/>
      <c r="F1540" s="321"/>
      <c r="G1540" s="322"/>
      <c r="K1540" s="300"/>
    </row>
    <row r="1541" ht="27" customHeight="1" spans="1:11">
      <c r="A1541" s="298" t="s">
        <v>0</v>
      </c>
      <c r="B1541" s="298"/>
      <c r="C1541" s="298"/>
      <c r="D1541" s="298"/>
      <c r="E1541" s="298"/>
      <c r="F1541" s="298"/>
      <c r="G1541" s="298"/>
      <c r="H1541" s="299"/>
      <c r="I1541" s="299"/>
      <c r="J1541" s="299"/>
      <c r="K1541" s="300">
        <v>111</v>
      </c>
    </row>
    <row r="1542" ht="15" customHeight="1" spans="1:11">
      <c r="A1542" s="301" t="s">
        <v>1</v>
      </c>
      <c r="B1542" s="301"/>
      <c r="C1542" s="301"/>
      <c r="D1542" s="301"/>
      <c r="E1542" s="301"/>
      <c r="F1542" s="301"/>
      <c r="G1542" s="302" t="str">
        <f>IFERROR(VLOOKUP(K1541,'2026.01'!A:Y,2,0),0)</f>
        <v>NO:111</v>
      </c>
      <c r="K1542" s="300"/>
    </row>
    <row r="1543" ht="15" customHeight="1" spans="1:11">
      <c r="A1543" s="303" t="s">
        <v>2</v>
      </c>
      <c r="B1543" s="304">
        <f>IFERROR(VLOOKUP(K1541,'2026.01'!A:Y,6,0),0)</f>
        <v>2041</v>
      </c>
      <c r="C1543" s="304"/>
      <c r="D1543" s="305" t="s">
        <v>3</v>
      </c>
      <c r="E1543" s="305" t="str">
        <f>IFERROR(VLOOKUP(K1541,'2026.01'!A:Y,7,0),0)</f>
        <v>吕穗生</v>
      </c>
      <c r="F1543" s="305"/>
      <c r="G1543" s="306" t="s">
        <v>4</v>
      </c>
      <c r="K1543" s="300"/>
    </row>
    <row r="1544" ht="15" customHeight="1" spans="1:11">
      <c r="A1544" s="307" t="s">
        <v>5</v>
      </c>
      <c r="B1544" s="308" t="s">
        <v>6</v>
      </c>
      <c r="C1544" s="308" t="s">
        <v>7</v>
      </c>
      <c r="D1544" s="308" t="s">
        <v>8</v>
      </c>
      <c r="E1544" s="308" t="s">
        <v>9</v>
      </c>
      <c r="F1544" s="309" t="s">
        <v>10</v>
      </c>
      <c r="G1544" s="310" t="s">
        <v>11</v>
      </c>
      <c r="K1544" s="300"/>
    </row>
    <row r="1545" ht="15" customHeight="1" spans="1:11">
      <c r="A1545" s="307" t="s">
        <v>12</v>
      </c>
      <c r="B1545" s="308">
        <f>IFERROR(VLOOKUP(K1541,'2026.01'!A:Y,14,0),0)</f>
        <v>8026</v>
      </c>
      <c r="C1545" s="308">
        <f>IFERROR(VLOOKUP(K1541,'2026.01'!A:Y,13,0),0)</f>
        <v>8009</v>
      </c>
      <c r="D1545" s="308">
        <f>IFERROR(VLOOKUP(K1541,'2026.01'!A:Y,15,0),0)</f>
        <v>17</v>
      </c>
      <c r="E1545" s="311">
        <f>IFERROR(VLOOKUP(K1541,'2026.01'!A:Y,18,0),0)</f>
        <v>0.8</v>
      </c>
      <c r="F1545" s="309">
        <f>IFERROR(VLOOKUP(K1541,'2026.01'!A:Y,20,0),0)</f>
        <v>14</v>
      </c>
      <c r="G1545" s="310"/>
      <c r="K1545" s="300"/>
    </row>
    <row r="1546" ht="15" customHeight="1" spans="1:11">
      <c r="A1546" s="307" t="s">
        <v>13</v>
      </c>
      <c r="B1546" s="308"/>
      <c r="C1546" s="308"/>
      <c r="D1546" s="308"/>
      <c r="E1546" s="311"/>
      <c r="F1546" s="309">
        <f>IFERROR(VLOOKUP(K1541,'2026.01'!A:Y,24,0),0)</f>
        <v>26</v>
      </c>
      <c r="G1546" s="310"/>
      <c r="K1546" s="300"/>
    </row>
    <row r="1547" ht="15" customHeight="1" spans="1:11">
      <c r="A1547" s="307" t="s">
        <v>14</v>
      </c>
      <c r="B1547" s="308"/>
      <c r="C1547" s="308"/>
      <c r="D1547" s="308"/>
      <c r="E1547" s="311"/>
      <c r="F1547" s="309">
        <f>IFERROR(VLOOKUP(K1541,'2026.01'!A:Y,12,0),0)</f>
        <v>0</v>
      </c>
      <c r="G1547" s="310"/>
      <c r="K1547" s="300"/>
    </row>
    <row r="1548" ht="21" customHeight="1" spans="1:11">
      <c r="A1548" s="307" t="s">
        <v>15</v>
      </c>
      <c r="B1548" s="308"/>
      <c r="C1548" s="308"/>
      <c r="D1548" s="308"/>
      <c r="E1548" s="311"/>
      <c r="F1548" s="309">
        <f>IFERROR(VLOOKUP(K1541,'2026.01'!A:Y,9,0),0)</f>
        <v>0</v>
      </c>
      <c r="G1548" s="310"/>
      <c r="K1548" s="300"/>
    </row>
    <row r="1549" ht="19" customHeight="1" spans="1:11">
      <c r="A1549" s="307" t="s">
        <v>16</v>
      </c>
      <c r="B1549" s="308"/>
      <c r="C1549" s="308"/>
      <c r="D1549" s="308"/>
      <c r="E1549" s="308"/>
      <c r="F1549" s="309">
        <f>IFERROR(VLOOKUP(K1541,'2026.01'!A:Y,10,0),0)</f>
        <v>0</v>
      </c>
      <c r="G1549" s="310"/>
      <c r="K1549" s="300"/>
    </row>
    <row r="1550" ht="21" customHeight="1" spans="1:11">
      <c r="A1550" s="307" t="s">
        <v>17</v>
      </c>
      <c r="B1550" s="308"/>
      <c r="C1550" s="308"/>
      <c r="D1550" s="308"/>
      <c r="E1550" s="308"/>
      <c r="F1550" s="309">
        <f>IFERROR(VLOOKUP(K1541,'2026.01'!A:Y,19,0),0)</f>
        <v>12</v>
      </c>
      <c r="G1550" s="310"/>
      <c r="K1550" s="300"/>
    </row>
    <row r="1551" ht="17.15" customHeight="1" spans="1:11">
      <c r="A1551" s="307" t="s">
        <v>18</v>
      </c>
      <c r="B1551" s="308"/>
      <c r="C1551" s="308"/>
      <c r="D1551" s="308"/>
      <c r="E1551" s="308"/>
      <c r="F1551" s="309">
        <f>IFERROR(VLOOKUP(K1541,'2026.01'!A:Y,22,0),0)</f>
        <v>140</v>
      </c>
      <c r="G1551" s="310"/>
      <c r="K1551" s="300"/>
    </row>
    <row r="1552" ht="17.15" customHeight="1" spans="1:11">
      <c r="A1552" s="307" t="s">
        <v>19</v>
      </c>
      <c r="B1552" s="312"/>
      <c r="C1552" s="308"/>
      <c r="D1552" s="313"/>
      <c r="E1552" s="308"/>
      <c r="F1552" s="309">
        <f>IFERROR(VLOOKUP(K1541,'2026.01'!A:Y,25,0),0)</f>
        <v>192</v>
      </c>
      <c r="G1552" s="310"/>
      <c r="K1552" s="300"/>
    </row>
    <row r="1553" ht="15" customHeight="1" spans="1:11">
      <c r="A1553" s="314" t="s">
        <v>20</v>
      </c>
      <c r="B1553" s="315">
        <f>IF(F1552&lt;0,"金额为负，无效",INT(F1552))</f>
        <v>192</v>
      </c>
      <c r="C1553" s="315"/>
      <c r="D1553" s="315"/>
      <c r="E1553" s="316" t="s">
        <v>21</v>
      </c>
      <c r="F1553" s="317"/>
      <c r="G1553" s="318"/>
      <c r="K1553" s="300"/>
    </row>
    <row r="1554" ht="15" customHeight="1" spans="1:11">
      <c r="A1554" s="319"/>
      <c r="B1554" s="320"/>
      <c r="C1554" s="320"/>
      <c r="D1554" s="320"/>
      <c r="E1554" s="319"/>
      <c r="F1554" s="321"/>
      <c r="G1554" s="322"/>
      <c r="K1554" s="300"/>
    </row>
    <row r="1555" ht="27" customHeight="1" spans="1:11">
      <c r="A1555" s="298" t="s">
        <v>0</v>
      </c>
      <c r="B1555" s="298"/>
      <c r="C1555" s="298"/>
      <c r="D1555" s="298"/>
      <c r="E1555" s="298"/>
      <c r="F1555" s="298"/>
      <c r="G1555" s="298"/>
      <c r="H1555" s="299"/>
      <c r="I1555" s="299"/>
      <c r="J1555" s="299"/>
      <c r="K1555" s="300">
        <v>112</v>
      </c>
    </row>
    <row r="1556" ht="15" customHeight="1" spans="1:11">
      <c r="A1556" s="301" t="s">
        <v>1</v>
      </c>
      <c r="B1556" s="301"/>
      <c r="C1556" s="301"/>
      <c r="D1556" s="301"/>
      <c r="E1556" s="301"/>
      <c r="F1556" s="301"/>
      <c r="G1556" s="302" t="str">
        <f>IFERROR(VLOOKUP(K1555,'2026.01'!A:Y,2,0),0)</f>
        <v>NO:112</v>
      </c>
      <c r="K1556" s="300"/>
    </row>
    <row r="1557" ht="15" customHeight="1" spans="1:11">
      <c r="A1557" s="303" t="s">
        <v>2</v>
      </c>
      <c r="B1557" s="304">
        <f>IFERROR(VLOOKUP(K1555,'2026.01'!A:Y,6,0),0)</f>
        <v>2042</v>
      </c>
      <c r="C1557" s="304"/>
      <c r="D1557" s="305" t="s">
        <v>3</v>
      </c>
      <c r="E1557" s="305" t="str">
        <f>IFERROR(VLOOKUP(K1555,'2026.01'!A:Y,7,0),0)</f>
        <v>吴礼娴</v>
      </c>
      <c r="F1557" s="305"/>
      <c r="G1557" s="306" t="s">
        <v>4</v>
      </c>
      <c r="K1557" s="300"/>
    </row>
    <row r="1558" ht="15" customHeight="1" spans="1:11">
      <c r="A1558" s="307" t="s">
        <v>5</v>
      </c>
      <c r="B1558" s="308" t="s">
        <v>6</v>
      </c>
      <c r="C1558" s="308" t="s">
        <v>7</v>
      </c>
      <c r="D1558" s="308" t="s">
        <v>8</v>
      </c>
      <c r="E1558" s="308" t="s">
        <v>9</v>
      </c>
      <c r="F1558" s="309" t="s">
        <v>10</v>
      </c>
      <c r="G1558" s="310" t="s">
        <v>11</v>
      </c>
      <c r="K1558" s="300"/>
    </row>
    <row r="1559" ht="15" customHeight="1" spans="1:11">
      <c r="A1559" s="307" t="s">
        <v>12</v>
      </c>
      <c r="B1559" s="308">
        <f>IFERROR(VLOOKUP(K1555,'2026.01'!A:Y,14,0),0)</f>
        <v>6503</v>
      </c>
      <c r="C1559" s="308">
        <f>IFERROR(VLOOKUP(K1555,'2026.01'!A:Y,13,0),0)</f>
        <v>6478</v>
      </c>
      <c r="D1559" s="308">
        <f>IFERROR(VLOOKUP(K1555,'2026.01'!A:Y,15,0),0)</f>
        <v>25</v>
      </c>
      <c r="E1559" s="311">
        <f>IFERROR(VLOOKUP(K1555,'2026.01'!A:Y,18,0),0)</f>
        <v>0.8</v>
      </c>
      <c r="F1559" s="309">
        <f>IFERROR(VLOOKUP(K1555,'2026.01'!A:Y,20,0),0)</f>
        <v>20</v>
      </c>
      <c r="G1559" s="310"/>
      <c r="K1559" s="300"/>
    </row>
    <row r="1560" ht="15" customHeight="1" spans="1:11">
      <c r="A1560" s="307" t="s">
        <v>13</v>
      </c>
      <c r="B1560" s="308"/>
      <c r="C1560" s="308"/>
      <c r="D1560" s="308"/>
      <c r="E1560" s="311"/>
      <c r="F1560" s="309">
        <f>IFERROR(VLOOKUP(K1555,'2026.01'!A:Y,24,0),0)</f>
        <v>26</v>
      </c>
      <c r="G1560" s="310"/>
      <c r="K1560" s="300"/>
    </row>
    <row r="1561" ht="15" customHeight="1" spans="1:11">
      <c r="A1561" s="307" t="s">
        <v>14</v>
      </c>
      <c r="B1561" s="308"/>
      <c r="C1561" s="308"/>
      <c r="D1561" s="308"/>
      <c r="E1561" s="311"/>
      <c r="F1561" s="309">
        <f>IFERROR(VLOOKUP(K1555,'2026.01'!A:Y,12,0),0)</f>
        <v>160</v>
      </c>
      <c r="G1561" s="310"/>
      <c r="K1561" s="300"/>
    </row>
    <row r="1562" ht="21" customHeight="1" spans="1:11">
      <c r="A1562" s="307" t="s">
        <v>15</v>
      </c>
      <c r="B1562" s="308"/>
      <c r="C1562" s="308"/>
      <c r="D1562" s="308"/>
      <c r="E1562" s="311"/>
      <c r="F1562" s="309">
        <f>IFERROR(VLOOKUP(K1555,'2026.01'!A:Y,9,0),0)</f>
        <v>2500</v>
      </c>
      <c r="G1562" s="310"/>
      <c r="K1562" s="300"/>
    </row>
    <row r="1563" ht="19" customHeight="1" spans="1:11">
      <c r="A1563" s="307" t="s">
        <v>16</v>
      </c>
      <c r="B1563" s="308"/>
      <c r="C1563" s="308"/>
      <c r="D1563" s="308"/>
      <c r="E1563" s="308"/>
      <c r="F1563" s="309">
        <f>IFERROR(VLOOKUP(K1555,'2026.01'!A:Y,10,0),0)</f>
        <v>200</v>
      </c>
      <c r="G1563" s="310"/>
      <c r="K1563" s="300"/>
    </row>
    <row r="1564" ht="21" customHeight="1" spans="1:11">
      <c r="A1564" s="307" t="s">
        <v>17</v>
      </c>
      <c r="B1564" s="308"/>
      <c r="C1564" s="308"/>
      <c r="D1564" s="308"/>
      <c r="E1564" s="308"/>
      <c r="F1564" s="309">
        <f>IFERROR(VLOOKUP(K1555,'2026.01'!A:Y,19,0),0)</f>
        <v>18</v>
      </c>
      <c r="G1564" s="310"/>
      <c r="K1564" s="300"/>
    </row>
    <row r="1565" ht="17.15" customHeight="1" spans="1:11">
      <c r="A1565" s="307" t="s">
        <v>18</v>
      </c>
      <c r="B1565" s="308"/>
      <c r="C1565" s="308"/>
      <c r="D1565" s="308"/>
      <c r="E1565" s="308"/>
      <c r="F1565" s="309">
        <f>IFERROR(VLOOKUP(K1555,'2026.01'!A:Y,22,0),0)</f>
        <v>140</v>
      </c>
      <c r="G1565" s="310"/>
      <c r="K1565" s="300"/>
    </row>
    <row r="1566" ht="17.15" customHeight="1" spans="1:11">
      <c r="A1566" s="307" t="s">
        <v>19</v>
      </c>
      <c r="B1566" s="312"/>
      <c r="C1566" s="308"/>
      <c r="D1566" s="313"/>
      <c r="E1566" s="308"/>
      <c r="F1566" s="309">
        <f>IFERROR(VLOOKUP(K1555,'2026.01'!A:Y,25,0),0)</f>
        <v>3064</v>
      </c>
      <c r="G1566" s="310"/>
      <c r="K1566" s="300"/>
    </row>
    <row r="1567" ht="15" customHeight="1" spans="1:11">
      <c r="A1567" s="314" t="s">
        <v>20</v>
      </c>
      <c r="B1567" s="315">
        <f>IF(F1566&lt;0,"金额为负，无效",INT(F1566))</f>
        <v>3064</v>
      </c>
      <c r="C1567" s="315"/>
      <c r="D1567" s="315"/>
      <c r="E1567" s="316" t="s">
        <v>21</v>
      </c>
      <c r="F1567" s="317"/>
      <c r="G1567" s="318"/>
      <c r="K1567" s="300"/>
    </row>
    <row r="1568" ht="23" customHeight="1" spans="1:11">
      <c r="A1568" s="319"/>
      <c r="B1568" s="320"/>
      <c r="C1568" s="320"/>
      <c r="D1568" s="320"/>
      <c r="E1568" s="319"/>
      <c r="F1568" s="321"/>
      <c r="G1568" s="322"/>
      <c r="K1568" s="300"/>
    </row>
    <row r="1569" ht="27" customHeight="1" spans="1:11">
      <c r="A1569" s="298" t="s">
        <v>0</v>
      </c>
      <c r="B1569" s="298"/>
      <c r="C1569" s="298"/>
      <c r="D1569" s="298"/>
      <c r="E1569" s="298"/>
      <c r="F1569" s="298"/>
      <c r="G1569" s="298"/>
      <c r="H1569" s="299"/>
      <c r="I1569" s="299"/>
      <c r="J1569" s="299"/>
      <c r="K1569" s="300">
        <v>113</v>
      </c>
    </row>
    <row r="1570" ht="15" customHeight="1" spans="1:11">
      <c r="A1570" s="301" t="s">
        <v>1</v>
      </c>
      <c r="B1570" s="301"/>
      <c r="C1570" s="301"/>
      <c r="D1570" s="301"/>
      <c r="E1570" s="301"/>
      <c r="F1570" s="301"/>
      <c r="G1570" s="302" t="str">
        <f>IFERROR(VLOOKUP(K1569,'2026.01'!A:Y,2,0),0)</f>
        <v>NO:113</v>
      </c>
      <c r="K1570" s="300"/>
    </row>
    <row r="1571" ht="15" customHeight="1" spans="1:11">
      <c r="A1571" s="303" t="s">
        <v>2</v>
      </c>
      <c r="B1571" s="304" t="str">
        <f>IFERROR(VLOOKUP(K1569,'2026.01'!A:Y,6,0),0)</f>
        <v>2043/2044</v>
      </c>
      <c r="C1571" s="304"/>
      <c r="D1571" s="305" t="s">
        <v>3</v>
      </c>
      <c r="E1571" s="305" t="str">
        <f>IFERROR(VLOOKUP(K1569,'2026.01'!A:Y,7,0),0)</f>
        <v>林晓玲</v>
      </c>
      <c r="F1571" s="305"/>
      <c r="G1571" s="306" t="s">
        <v>4</v>
      </c>
      <c r="K1571" s="300"/>
    </row>
    <row r="1572" ht="15" customHeight="1" spans="1:11">
      <c r="A1572" s="307" t="s">
        <v>5</v>
      </c>
      <c r="B1572" s="308" t="s">
        <v>6</v>
      </c>
      <c r="C1572" s="308" t="s">
        <v>7</v>
      </c>
      <c r="D1572" s="308" t="s">
        <v>8</v>
      </c>
      <c r="E1572" s="308" t="s">
        <v>9</v>
      </c>
      <c r="F1572" s="309" t="s">
        <v>10</v>
      </c>
      <c r="G1572" s="310" t="s">
        <v>11</v>
      </c>
      <c r="K1572" s="300"/>
    </row>
    <row r="1573" ht="15" customHeight="1" spans="1:11">
      <c r="A1573" s="307" t="s">
        <v>12</v>
      </c>
      <c r="B1573" s="308">
        <f>IFERROR(VLOOKUP(K1569,'2026.01'!A:Y,14,0),0)</f>
        <v>1774</v>
      </c>
      <c r="C1573" s="308">
        <f>IFERROR(VLOOKUP(K1569,'2026.01'!A:Y,13,0),0)</f>
        <v>1711</v>
      </c>
      <c r="D1573" s="308">
        <f>IFERROR(VLOOKUP(K1569,'2026.01'!A:Y,15,0),0)</f>
        <v>63</v>
      </c>
      <c r="E1573" s="311">
        <f>IFERROR(VLOOKUP(K1569,'2026.01'!A:Y,18,0),0)</f>
        <v>0.8</v>
      </c>
      <c r="F1573" s="309">
        <f>IFERROR(VLOOKUP(K1569,'2026.01'!A:Y,20,0),0)</f>
        <v>50</v>
      </c>
      <c r="G1573" s="310"/>
      <c r="K1573" s="300"/>
    </row>
    <row r="1574" ht="15" customHeight="1" spans="1:11">
      <c r="A1574" s="307" t="s">
        <v>13</v>
      </c>
      <c r="B1574" s="308"/>
      <c r="C1574" s="308"/>
      <c r="D1574" s="308"/>
      <c r="E1574" s="311"/>
      <c r="F1574" s="309">
        <f>IFERROR(VLOOKUP(K1569,'2026.01'!A:Y,24,0),0)</f>
        <v>60</v>
      </c>
      <c r="G1574" s="310"/>
      <c r="K1574" s="300"/>
    </row>
    <row r="1575" ht="15" customHeight="1" spans="1:11">
      <c r="A1575" s="307" t="s">
        <v>14</v>
      </c>
      <c r="B1575" s="308"/>
      <c r="C1575" s="308"/>
      <c r="D1575" s="308"/>
      <c r="E1575" s="311"/>
      <c r="F1575" s="309">
        <f>IFERROR(VLOOKUP(K1569,'2026.01'!A:Y,12,0),0)</f>
        <v>320</v>
      </c>
      <c r="G1575" s="310"/>
      <c r="K1575" s="300"/>
    </row>
    <row r="1576" ht="21" customHeight="1" spans="1:11">
      <c r="A1576" s="307" t="s">
        <v>15</v>
      </c>
      <c r="B1576" s="308"/>
      <c r="C1576" s="308"/>
      <c r="D1576" s="308"/>
      <c r="E1576" s="311"/>
      <c r="F1576" s="309">
        <f>IFERROR(VLOOKUP(K1569,'2026.01'!A:Y,9,0),0)</f>
        <v>5000</v>
      </c>
      <c r="G1576" s="310"/>
      <c r="K1576" s="300"/>
    </row>
    <row r="1577" ht="19" customHeight="1" spans="1:11">
      <c r="A1577" s="307" t="s">
        <v>16</v>
      </c>
      <c r="B1577" s="308"/>
      <c r="C1577" s="308"/>
      <c r="D1577" s="308"/>
      <c r="E1577" s="308"/>
      <c r="F1577" s="309">
        <f>IFERROR(VLOOKUP(K1569,'2026.01'!A:Y,10,0),0)</f>
        <v>400</v>
      </c>
      <c r="G1577" s="310"/>
      <c r="K1577" s="300"/>
    </row>
    <row r="1578" ht="21" customHeight="1" spans="1:11">
      <c r="A1578" s="307" t="s">
        <v>17</v>
      </c>
      <c r="B1578" s="308"/>
      <c r="C1578" s="308"/>
      <c r="D1578" s="308"/>
      <c r="E1578" s="308"/>
      <c r="F1578" s="309">
        <f>IFERROR(VLOOKUP(K1569,'2026.01'!A:Y,19,0),0)</f>
        <v>44</v>
      </c>
      <c r="G1578" s="310"/>
      <c r="K1578" s="300"/>
    </row>
    <row r="1579" ht="17.15" customHeight="1" spans="1:11">
      <c r="A1579" s="307" t="s">
        <v>18</v>
      </c>
      <c r="B1579" s="308"/>
      <c r="C1579" s="308"/>
      <c r="D1579" s="308"/>
      <c r="E1579" s="308"/>
      <c r="F1579" s="309">
        <f>IFERROR(VLOOKUP(K1569,'2026.01'!A:Y,22,0),0)</f>
        <v>278</v>
      </c>
      <c r="G1579" s="310"/>
      <c r="K1579" s="300"/>
    </row>
    <row r="1580" ht="17.15" customHeight="1" spans="1:11">
      <c r="A1580" s="307" t="s">
        <v>19</v>
      </c>
      <c r="B1580" s="312"/>
      <c r="C1580" s="308"/>
      <c r="D1580" s="313"/>
      <c r="E1580" s="308"/>
      <c r="F1580" s="309">
        <f>IFERROR(VLOOKUP(K1569,'2026.01'!A:Y,25,0),0)</f>
        <v>6152</v>
      </c>
      <c r="G1580" s="310"/>
      <c r="K1580" s="300"/>
    </row>
    <row r="1581" ht="15" customHeight="1" spans="1:11">
      <c r="A1581" s="314" t="s">
        <v>20</v>
      </c>
      <c r="B1581" s="315">
        <f>IF(F1580&lt;0,"金额为负，无效",INT(F1580))</f>
        <v>6152</v>
      </c>
      <c r="C1581" s="315"/>
      <c r="D1581" s="315"/>
      <c r="E1581" s="316" t="s">
        <v>21</v>
      </c>
      <c r="F1581" s="317"/>
      <c r="G1581" s="318"/>
      <c r="K1581" s="300"/>
    </row>
    <row r="1582" ht="23" customHeight="1" spans="1:11">
      <c r="A1582" s="319"/>
      <c r="B1582" s="320"/>
      <c r="C1582" s="320"/>
      <c r="D1582" s="320"/>
      <c r="E1582" s="319"/>
      <c r="F1582" s="321"/>
      <c r="G1582" s="322"/>
      <c r="K1582" s="300"/>
    </row>
    <row r="1583" ht="27" customHeight="1" spans="1:11">
      <c r="A1583" s="298" t="s">
        <v>0</v>
      </c>
      <c r="B1583" s="298"/>
      <c r="C1583" s="298"/>
      <c r="D1583" s="298"/>
      <c r="E1583" s="298"/>
      <c r="F1583" s="298"/>
      <c r="G1583" s="298"/>
      <c r="H1583" s="299"/>
      <c r="I1583" s="299"/>
      <c r="J1583" s="299"/>
      <c r="K1583" s="300">
        <v>114</v>
      </c>
    </row>
    <row r="1584" ht="15" customHeight="1" spans="1:11">
      <c r="A1584" s="301" t="s">
        <v>1</v>
      </c>
      <c r="B1584" s="301"/>
      <c r="C1584" s="301"/>
      <c r="D1584" s="301"/>
      <c r="E1584" s="301"/>
      <c r="F1584" s="301"/>
      <c r="G1584" s="302" t="str">
        <f>IFERROR(VLOOKUP(K1583,'2026.01'!A:Y,2,0),0)</f>
        <v>NO:114</v>
      </c>
      <c r="K1584" s="300"/>
    </row>
    <row r="1585" ht="15" customHeight="1" spans="1:11">
      <c r="A1585" s="303" t="s">
        <v>2</v>
      </c>
      <c r="B1585" s="304">
        <f>IFERROR(VLOOKUP(K1583,'2026.01'!A:Y,6,0),0)</f>
        <v>2044</v>
      </c>
      <c r="C1585" s="304"/>
      <c r="D1585" s="305" t="s">
        <v>3</v>
      </c>
      <c r="E1585" s="305" t="str">
        <f>IFERROR(VLOOKUP(K1583,'2026.01'!A:Y,7,0),0)</f>
        <v>林晓玲</v>
      </c>
      <c r="F1585" s="305"/>
      <c r="G1585" s="306" t="s">
        <v>4</v>
      </c>
      <c r="K1585" s="300"/>
    </row>
    <row r="1586" ht="15" customHeight="1" spans="1:11">
      <c r="A1586" s="307" t="s">
        <v>5</v>
      </c>
      <c r="B1586" s="308" t="s">
        <v>6</v>
      </c>
      <c r="C1586" s="308" t="s">
        <v>7</v>
      </c>
      <c r="D1586" s="308" t="s">
        <v>8</v>
      </c>
      <c r="E1586" s="308" t="s">
        <v>9</v>
      </c>
      <c r="F1586" s="309" t="s">
        <v>10</v>
      </c>
      <c r="G1586" s="310" t="s">
        <v>11</v>
      </c>
      <c r="K1586" s="300"/>
    </row>
    <row r="1587" ht="15" customHeight="1" spans="1:11">
      <c r="A1587" s="307" t="s">
        <v>12</v>
      </c>
      <c r="B1587" s="308">
        <f>IFERROR(VLOOKUP(K1583,'2026.01'!A:Y,14,0),0)</f>
        <v>79</v>
      </c>
      <c r="C1587" s="308">
        <f>IFERROR(VLOOKUP(K1583,'2026.01'!A:Y,13,0),0)</f>
        <v>42</v>
      </c>
      <c r="D1587" s="308">
        <f>IFERROR(VLOOKUP(K1583,'2026.01'!A:Y,15,0),0)</f>
        <v>37</v>
      </c>
      <c r="E1587" s="311">
        <f>IFERROR(VLOOKUP(K1583,'2026.01'!A:Y,18,0),0)</f>
        <v>0.8</v>
      </c>
      <c r="F1587" s="309">
        <f>IFERROR(VLOOKUP(K1583,'2026.01'!A:Y,20,0),0)</f>
        <v>30</v>
      </c>
      <c r="G1587" s="310"/>
      <c r="K1587" s="300"/>
    </row>
    <row r="1588" ht="15" customHeight="1" spans="1:11">
      <c r="A1588" s="307" t="s">
        <v>13</v>
      </c>
      <c r="B1588" s="308"/>
      <c r="C1588" s="308"/>
      <c r="D1588" s="308"/>
      <c r="E1588" s="311"/>
      <c r="F1588" s="309">
        <f>IFERROR(VLOOKUP(K1583,'2026.01'!A:Y,24,0),0)</f>
        <v>0</v>
      </c>
      <c r="G1588" s="310"/>
      <c r="K1588" s="300"/>
    </row>
    <row r="1589" ht="15" customHeight="1" spans="1:11">
      <c r="A1589" s="307" t="s">
        <v>14</v>
      </c>
      <c r="B1589" s="308"/>
      <c r="C1589" s="308"/>
      <c r="D1589" s="308"/>
      <c r="E1589" s="311"/>
      <c r="F1589" s="309">
        <f>IFERROR(VLOOKUP(K1583,'2026.01'!A:Y,12,0),0)</f>
        <v>0</v>
      </c>
      <c r="G1589" s="310"/>
      <c r="K1589" s="300"/>
    </row>
    <row r="1590" ht="21" customHeight="1" spans="1:11">
      <c r="A1590" s="307" t="s">
        <v>15</v>
      </c>
      <c r="B1590" s="308"/>
      <c r="C1590" s="308"/>
      <c r="D1590" s="308"/>
      <c r="E1590" s="311"/>
      <c r="F1590" s="309">
        <f>IFERROR(VLOOKUP(K1583,'2026.01'!A:Y,9,0),0)</f>
        <v>0</v>
      </c>
      <c r="G1590" s="310"/>
      <c r="K1590" s="300"/>
    </row>
    <row r="1591" ht="19" customHeight="1" spans="1:11">
      <c r="A1591" s="307" t="s">
        <v>16</v>
      </c>
      <c r="B1591" s="308"/>
      <c r="C1591" s="308"/>
      <c r="D1591" s="308"/>
      <c r="E1591" s="308"/>
      <c r="F1591" s="309">
        <f>IFERROR(VLOOKUP(K1583,'2026.01'!A:Y,10,0),0)</f>
        <v>0</v>
      </c>
      <c r="G1591" s="310"/>
      <c r="K1591" s="300"/>
    </row>
    <row r="1592" ht="21" customHeight="1" spans="1:11">
      <c r="A1592" s="307" t="s">
        <v>17</v>
      </c>
      <c r="B1592" s="308"/>
      <c r="C1592" s="308"/>
      <c r="D1592" s="308"/>
      <c r="E1592" s="308"/>
      <c r="F1592" s="309">
        <f>IFERROR(VLOOKUP(K1583,'2026.01'!A:Y,19,0),0)</f>
        <v>26</v>
      </c>
      <c r="G1592" s="310"/>
      <c r="K1592" s="300"/>
    </row>
    <row r="1593" ht="17.15" customHeight="1" spans="1:11">
      <c r="A1593" s="307" t="s">
        <v>18</v>
      </c>
      <c r="B1593" s="308"/>
      <c r="C1593" s="308"/>
      <c r="D1593" s="308"/>
      <c r="E1593" s="308"/>
      <c r="F1593" s="309">
        <f>IFERROR(VLOOKUP(K1583,'2026.01'!A:Y,22,0),0)</f>
        <v>0</v>
      </c>
      <c r="G1593" s="310"/>
      <c r="K1593" s="300"/>
    </row>
    <row r="1594" ht="17.15" customHeight="1" spans="1:11">
      <c r="A1594" s="307" t="s">
        <v>19</v>
      </c>
      <c r="B1594" s="312"/>
      <c r="C1594" s="308"/>
      <c r="D1594" s="313"/>
      <c r="E1594" s="308"/>
      <c r="F1594" s="309">
        <f>IFERROR(VLOOKUP(K1583,'2026.01'!A:Y,25,0),0)</f>
        <v>56</v>
      </c>
      <c r="G1594" s="310"/>
      <c r="K1594" s="300"/>
    </row>
    <row r="1595" ht="15" customHeight="1" spans="1:11">
      <c r="A1595" s="314" t="s">
        <v>20</v>
      </c>
      <c r="B1595" s="315">
        <f>IF(F1594&lt;0,"金额为负，无效",INT(F1594))</f>
        <v>56</v>
      </c>
      <c r="C1595" s="315"/>
      <c r="D1595" s="315"/>
      <c r="E1595" s="316" t="s">
        <v>21</v>
      </c>
      <c r="F1595" s="317"/>
      <c r="G1595" s="318"/>
      <c r="K1595" s="300"/>
    </row>
    <row r="1596" ht="15" customHeight="1" spans="1:11">
      <c r="A1596" s="319"/>
      <c r="B1596" s="320"/>
      <c r="C1596" s="320"/>
      <c r="D1596" s="320"/>
      <c r="E1596" s="319"/>
      <c r="F1596" s="321"/>
      <c r="G1596" s="322"/>
      <c r="K1596" s="300"/>
    </row>
    <row r="1597" ht="27" customHeight="1" spans="1:11">
      <c r="A1597" s="298" t="s">
        <v>0</v>
      </c>
      <c r="B1597" s="298"/>
      <c r="C1597" s="298"/>
      <c r="D1597" s="298"/>
      <c r="E1597" s="298"/>
      <c r="F1597" s="298"/>
      <c r="G1597" s="298"/>
      <c r="H1597" s="299"/>
      <c r="I1597" s="299"/>
      <c r="J1597" s="299"/>
      <c r="K1597" s="300">
        <v>115</v>
      </c>
    </row>
    <row r="1598" ht="15" customHeight="1" spans="1:11">
      <c r="A1598" s="301" t="s">
        <v>1</v>
      </c>
      <c r="B1598" s="301"/>
      <c r="C1598" s="301"/>
      <c r="D1598" s="301"/>
      <c r="E1598" s="301"/>
      <c r="F1598" s="301"/>
      <c r="G1598" s="302" t="str">
        <f>IFERROR(VLOOKUP(K1597,'2026.01'!A:Y,2,0),0)</f>
        <v>NO:115</v>
      </c>
      <c r="K1598" s="300"/>
    </row>
    <row r="1599" ht="15" customHeight="1" spans="1:11">
      <c r="A1599" s="303" t="s">
        <v>2</v>
      </c>
      <c r="B1599" s="304">
        <f>IFERROR(VLOOKUP(K1597,'2026.01'!A:Y,6,0),0)</f>
        <v>2045</v>
      </c>
      <c r="C1599" s="304"/>
      <c r="D1599" s="305" t="s">
        <v>3</v>
      </c>
      <c r="E1599" s="305" t="str">
        <f>IFERROR(VLOOKUP(K1597,'2026.01'!A:Y,7,0),0)</f>
        <v>柏云涛</v>
      </c>
      <c r="F1599" s="305"/>
      <c r="G1599" s="306" t="s">
        <v>4</v>
      </c>
      <c r="K1599" s="300"/>
    </row>
    <row r="1600" ht="15" customHeight="1" spans="1:11">
      <c r="A1600" s="307" t="s">
        <v>5</v>
      </c>
      <c r="B1600" s="308" t="s">
        <v>6</v>
      </c>
      <c r="C1600" s="308" t="s">
        <v>7</v>
      </c>
      <c r="D1600" s="308" t="s">
        <v>8</v>
      </c>
      <c r="E1600" s="308" t="s">
        <v>9</v>
      </c>
      <c r="F1600" s="309" t="s">
        <v>10</v>
      </c>
      <c r="G1600" s="310" t="s">
        <v>11</v>
      </c>
      <c r="K1600" s="300"/>
    </row>
    <row r="1601" ht="15" customHeight="1" spans="1:11">
      <c r="A1601" s="307" t="s">
        <v>12</v>
      </c>
      <c r="B1601" s="308">
        <f>IFERROR(VLOOKUP(K1597,'2026.01'!A:Y,14,0),0)</f>
        <v>7684</v>
      </c>
      <c r="C1601" s="308">
        <f>IFERROR(VLOOKUP(K1597,'2026.01'!A:Y,13,0),0)</f>
        <v>7640</v>
      </c>
      <c r="D1601" s="308">
        <f>IFERROR(VLOOKUP(K1597,'2026.01'!A:Y,15,0),0)</f>
        <v>44</v>
      </c>
      <c r="E1601" s="311">
        <f>IFERROR(VLOOKUP(K1597,'2026.01'!A:Y,18,0),0)</f>
        <v>0.8</v>
      </c>
      <c r="F1601" s="309">
        <f>IFERROR(VLOOKUP(K1597,'2026.01'!A:Y,20,0),0)</f>
        <v>35</v>
      </c>
      <c r="G1601" s="310"/>
      <c r="K1601" s="300"/>
    </row>
    <row r="1602" ht="15" customHeight="1" spans="1:11">
      <c r="A1602" s="307" t="s">
        <v>13</v>
      </c>
      <c r="B1602" s="308"/>
      <c r="C1602" s="308"/>
      <c r="D1602" s="308"/>
      <c r="E1602" s="311"/>
      <c r="F1602" s="309">
        <f>IFERROR(VLOOKUP(K1597,'2026.01'!A:Y,24,0),0)</f>
        <v>26</v>
      </c>
      <c r="G1602" s="310"/>
      <c r="K1602" s="300"/>
    </row>
    <row r="1603" ht="15" customHeight="1" spans="1:11">
      <c r="A1603" s="307" t="s">
        <v>14</v>
      </c>
      <c r="B1603" s="308"/>
      <c r="C1603" s="308"/>
      <c r="D1603" s="308"/>
      <c r="E1603" s="311"/>
      <c r="F1603" s="309">
        <f>IFERROR(VLOOKUP(K1597,'2026.01'!A:Y,12,0),0)</f>
        <v>160</v>
      </c>
      <c r="G1603" s="310"/>
      <c r="K1603" s="300"/>
    </row>
    <row r="1604" ht="21" customHeight="1" spans="1:11">
      <c r="A1604" s="307" t="s">
        <v>15</v>
      </c>
      <c r="B1604" s="308"/>
      <c r="C1604" s="308"/>
      <c r="D1604" s="308"/>
      <c r="E1604" s="311"/>
      <c r="F1604" s="309">
        <f>IFERROR(VLOOKUP(K1597,'2026.01'!A:Y,9,0),0)</f>
        <v>2500</v>
      </c>
      <c r="G1604" s="310"/>
      <c r="K1604" s="300"/>
    </row>
    <row r="1605" ht="19" customHeight="1" spans="1:11">
      <c r="A1605" s="307" t="s">
        <v>16</v>
      </c>
      <c r="B1605" s="308"/>
      <c r="C1605" s="308"/>
      <c r="D1605" s="308"/>
      <c r="E1605" s="308"/>
      <c r="F1605" s="309">
        <f>IFERROR(VLOOKUP(K1597,'2026.01'!A:Y,10,0),0)</f>
        <v>200</v>
      </c>
      <c r="G1605" s="310"/>
      <c r="K1605" s="300"/>
    </row>
    <row r="1606" ht="21" customHeight="1" spans="1:11">
      <c r="A1606" s="307" t="s">
        <v>17</v>
      </c>
      <c r="B1606" s="308"/>
      <c r="C1606" s="308"/>
      <c r="D1606" s="308"/>
      <c r="E1606" s="308"/>
      <c r="F1606" s="309">
        <f>IFERROR(VLOOKUP(K1597,'2026.01'!A:Y,19,0),0)</f>
        <v>31</v>
      </c>
      <c r="G1606" s="310"/>
      <c r="K1606" s="300"/>
    </row>
    <row r="1607" ht="17.15" customHeight="1" spans="1:11">
      <c r="A1607" s="307" t="s">
        <v>18</v>
      </c>
      <c r="B1607" s="308"/>
      <c r="C1607" s="308"/>
      <c r="D1607" s="308"/>
      <c r="E1607" s="308"/>
      <c r="F1607" s="309">
        <f>IFERROR(VLOOKUP(K1597,'2026.01'!A:Y,22,0),0)</f>
        <v>140</v>
      </c>
      <c r="G1607" s="310"/>
      <c r="K1607" s="300"/>
    </row>
    <row r="1608" ht="17.15" customHeight="1" spans="1:11">
      <c r="A1608" s="307" t="s">
        <v>19</v>
      </c>
      <c r="B1608" s="312"/>
      <c r="C1608" s="308"/>
      <c r="D1608" s="313"/>
      <c r="E1608" s="308"/>
      <c r="F1608" s="309">
        <f>IFERROR(VLOOKUP(K1597,'2026.01'!A:Y,25,0),0)</f>
        <v>3092</v>
      </c>
      <c r="G1608" s="310"/>
      <c r="K1608" s="300"/>
    </row>
    <row r="1609" ht="15" customHeight="1" spans="1:11">
      <c r="A1609" s="314" t="s">
        <v>20</v>
      </c>
      <c r="B1609" s="315">
        <f>IF(F1608&lt;0,"金额为负，无效",INT(F1608))</f>
        <v>3092</v>
      </c>
      <c r="C1609" s="315"/>
      <c r="D1609" s="315"/>
      <c r="E1609" s="316" t="s">
        <v>21</v>
      </c>
      <c r="F1609" s="317"/>
      <c r="G1609" s="318"/>
      <c r="K1609" s="300"/>
    </row>
    <row r="1610" ht="23" customHeight="1" spans="1:11">
      <c r="A1610" s="319"/>
      <c r="B1610" s="320"/>
      <c r="C1610" s="320"/>
      <c r="D1610" s="320"/>
      <c r="E1610" s="319"/>
      <c r="F1610" s="321"/>
      <c r="G1610" s="322"/>
      <c r="K1610" s="300"/>
    </row>
    <row r="1611" ht="27" customHeight="1" spans="1:11">
      <c r="A1611" s="298" t="s">
        <v>0</v>
      </c>
      <c r="B1611" s="298"/>
      <c r="C1611" s="298"/>
      <c r="D1611" s="298"/>
      <c r="E1611" s="298"/>
      <c r="F1611" s="298"/>
      <c r="G1611" s="298"/>
      <c r="H1611" s="299"/>
      <c r="I1611" s="299"/>
      <c r="J1611" s="299"/>
      <c r="K1611" s="300">
        <v>116</v>
      </c>
    </row>
    <row r="1612" ht="15" customHeight="1" spans="1:11">
      <c r="A1612" s="301" t="s">
        <v>1</v>
      </c>
      <c r="B1612" s="301"/>
      <c r="C1612" s="301"/>
      <c r="D1612" s="301"/>
      <c r="E1612" s="301"/>
      <c r="F1612" s="301"/>
      <c r="G1612" s="302" t="str">
        <f>IFERROR(VLOOKUP(K1611,'2026.01'!A:Y,2,0),0)</f>
        <v>NO:116</v>
      </c>
      <c r="K1612" s="300"/>
    </row>
    <row r="1613" ht="15" customHeight="1" spans="1:11">
      <c r="A1613" s="303" t="s">
        <v>2</v>
      </c>
      <c r="B1613" s="304">
        <f>IFERROR(VLOOKUP(K1611,'2026.01'!A:Y,6,0),0)</f>
        <v>2046</v>
      </c>
      <c r="C1613" s="304"/>
      <c r="D1613" s="305" t="s">
        <v>3</v>
      </c>
      <c r="E1613" s="305" t="str">
        <f>IFERROR(VLOOKUP(K1611,'2026.01'!A:Y,7,0),0)</f>
        <v>文林海</v>
      </c>
      <c r="F1613" s="305"/>
      <c r="G1613" s="306" t="s">
        <v>4</v>
      </c>
      <c r="K1613" s="300"/>
    </row>
    <row r="1614" ht="15" customHeight="1" spans="1:11">
      <c r="A1614" s="307" t="s">
        <v>5</v>
      </c>
      <c r="B1614" s="308" t="s">
        <v>6</v>
      </c>
      <c r="C1614" s="308" t="s">
        <v>7</v>
      </c>
      <c r="D1614" s="308" t="s">
        <v>8</v>
      </c>
      <c r="E1614" s="308" t="s">
        <v>9</v>
      </c>
      <c r="F1614" s="309" t="s">
        <v>10</v>
      </c>
      <c r="G1614" s="310" t="s">
        <v>11</v>
      </c>
      <c r="K1614" s="300"/>
    </row>
    <row r="1615" ht="15" customHeight="1" spans="1:11">
      <c r="A1615" s="307" t="s">
        <v>12</v>
      </c>
      <c r="B1615" s="308">
        <f>IFERROR(VLOOKUP(K1611,'2026.01'!A:Y,14,0),0)</f>
        <v>5540</v>
      </c>
      <c r="C1615" s="308">
        <f>IFERROR(VLOOKUP(K1611,'2026.01'!A:Y,13,0),0)</f>
        <v>5507</v>
      </c>
      <c r="D1615" s="308">
        <f>IFERROR(VLOOKUP(K1611,'2026.01'!A:Y,15,0),0)</f>
        <v>33</v>
      </c>
      <c r="E1615" s="311">
        <f>IFERROR(VLOOKUP(K1611,'2026.01'!A:Y,18,0),0)</f>
        <v>0.8</v>
      </c>
      <c r="F1615" s="309">
        <f>IFERROR(VLOOKUP(K1611,'2026.01'!A:Y,20,0),0)</f>
        <v>26</v>
      </c>
      <c r="G1615" s="310"/>
      <c r="K1615" s="300"/>
    </row>
    <row r="1616" ht="15" customHeight="1" spans="1:11">
      <c r="A1616" s="307" t="s">
        <v>13</v>
      </c>
      <c r="B1616" s="308"/>
      <c r="C1616" s="308"/>
      <c r="D1616" s="308"/>
      <c r="E1616" s="311"/>
      <c r="F1616" s="309">
        <f>IFERROR(VLOOKUP(K1611,'2026.01'!A:Y,24,0),0)</f>
        <v>26</v>
      </c>
      <c r="G1616" s="310"/>
      <c r="K1616" s="300"/>
    </row>
    <row r="1617" ht="15" customHeight="1" spans="1:11">
      <c r="A1617" s="307" t="s">
        <v>14</v>
      </c>
      <c r="B1617" s="308"/>
      <c r="C1617" s="308"/>
      <c r="D1617" s="308"/>
      <c r="E1617" s="311"/>
      <c r="F1617" s="309">
        <f>IFERROR(VLOOKUP(K1611,'2026.01'!A:Y,12,0),0)</f>
        <v>160</v>
      </c>
      <c r="G1617" s="310"/>
      <c r="K1617" s="300"/>
    </row>
    <row r="1618" ht="21" customHeight="1" spans="1:11">
      <c r="A1618" s="307" t="s">
        <v>15</v>
      </c>
      <c r="B1618" s="308"/>
      <c r="C1618" s="308"/>
      <c r="D1618" s="308"/>
      <c r="E1618" s="311"/>
      <c r="F1618" s="309">
        <f>IFERROR(VLOOKUP(K1611,'2026.01'!A:Y,9,0),0)</f>
        <v>2500</v>
      </c>
      <c r="G1618" s="310"/>
      <c r="K1618" s="300"/>
    </row>
    <row r="1619" ht="19" customHeight="1" spans="1:11">
      <c r="A1619" s="307" t="s">
        <v>16</v>
      </c>
      <c r="B1619" s="308"/>
      <c r="C1619" s="308"/>
      <c r="D1619" s="308"/>
      <c r="E1619" s="308"/>
      <c r="F1619" s="309">
        <f>IFERROR(VLOOKUP(K1611,'2026.01'!A:Y,10,0),0)</f>
        <v>200</v>
      </c>
      <c r="G1619" s="310"/>
      <c r="K1619" s="300"/>
    </row>
    <row r="1620" ht="21" customHeight="1" spans="1:11">
      <c r="A1620" s="307" t="s">
        <v>17</v>
      </c>
      <c r="B1620" s="308"/>
      <c r="C1620" s="308"/>
      <c r="D1620" s="308"/>
      <c r="E1620" s="308"/>
      <c r="F1620" s="309">
        <f>IFERROR(VLOOKUP(K1611,'2026.01'!A:Y,19,0),0)</f>
        <v>23</v>
      </c>
      <c r="G1620" s="310"/>
      <c r="K1620" s="300"/>
    </row>
    <row r="1621" ht="17.15" customHeight="1" spans="1:11">
      <c r="A1621" s="307" t="s">
        <v>18</v>
      </c>
      <c r="B1621" s="308"/>
      <c r="C1621" s="308"/>
      <c r="D1621" s="308"/>
      <c r="E1621" s="308"/>
      <c r="F1621" s="309">
        <f>IFERROR(VLOOKUP(K1611,'2026.01'!A:Y,22,0),0)</f>
        <v>140</v>
      </c>
      <c r="G1621" s="310"/>
      <c r="K1621" s="300"/>
    </row>
    <row r="1622" ht="17.15" customHeight="1" spans="1:11">
      <c r="A1622" s="307" t="s">
        <v>19</v>
      </c>
      <c r="B1622" s="312"/>
      <c r="C1622" s="308"/>
      <c r="D1622" s="313"/>
      <c r="E1622" s="308"/>
      <c r="F1622" s="309">
        <f>IFERROR(VLOOKUP(K1611,'2026.01'!A:Y,25,0),0)</f>
        <v>3075</v>
      </c>
      <c r="G1622" s="310"/>
      <c r="K1622" s="300"/>
    </row>
    <row r="1623" ht="15" customHeight="1" spans="1:11">
      <c r="A1623" s="314" t="s">
        <v>20</v>
      </c>
      <c r="B1623" s="315">
        <f>IF(F1622&lt;0,"金额为负，无效",INT(F1622))</f>
        <v>3075</v>
      </c>
      <c r="C1623" s="315"/>
      <c r="D1623" s="315"/>
      <c r="E1623" s="316" t="s">
        <v>21</v>
      </c>
      <c r="F1623" s="317"/>
      <c r="G1623" s="318"/>
      <c r="K1623" s="300"/>
    </row>
    <row r="1624" ht="23" customHeight="1" spans="1:11">
      <c r="A1624" s="319"/>
      <c r="B1624" s="320"/>
      <c r="C1624" s="320"/>
      <c r="D1624" s="320"/>
      <c r="E1624" s="319"/>
      <c r="F1624" s="321"/>
      <c r="G1624" s="322"/>
      <c r="K1624" s="300"/>
    </row>
    <row r="1625" ht="27" customHeight="1" spans="1:11">
      <c r="A1625" s="298" t="s">
        <v>0</v>
      </c>
      <c r="B1625" s="298"/>
      <c r="C1625" s="298"/>
      <c r="D1625" s="298"/>
      <c r="E1625" s="298"/>
      <c r="F1625" s="298"/>
      <c r="G1625" s="298"/>
      <c r="H1625" s="299"/>
      <c r="I1625" s="299"/>
      <c r="J1625" s="299"/>
      <c r="K1625" s="300">
        <v>117</v>
      </c>
    </row>
    <row r="1626" ht="15" customHeight="1" spans="1:11">
      <c r="A1626" s="301" t="s">
        <v>1</v>
      </c>
      <c r="B1626" s="301"/>
      <c r="C1626" s="301"/>
      <c r="D1626" s="301"/>
      <c r="E1626" s="301"/>
      <c r="F1626" s="301"/>
      <c r="G1626" s="302" t="str">
        <f>IFERROR(VLOOKUP(K1625,'2026.01'!A:Y,2,0),0)</f>
        <v>NO:117</v>
      </c>
      <c r="K1626" s="300"/>
    </row>
    <row r="1627" ht="15" customHeight="1" spans="1:11">
      <c r="A1627" s="303" t="s">
        <v>2</v>
      </c>
      <c r="B1627" s="304">
        <f>IFERROR(VLOOKUP(K1625,'2026.01'!A:Y,6,0),0)</f>
        <v>2047</v>
      </c>
      <c r="C1627" s="304"/>
      <c r="D1627" s="305" t="s">
        <v>3</v>
      </c>
      <c r="E1627" s="305" t="str">
        <f>IFERROR(VLOOKUP(K1625,'2026.01'!A:Y,7,0),0)</f>
        <v>郭红林</v>
      </c>
      <c r="F1627" s="305"/>
      <c r="G1627" s="306" t="s">
        <v>4</v>
      </c>
      <c r="K1627" s="300"/>
    </row>
    <row r="1628" ht="15" customHeight="1" spans="1:11">
      <c r="A1628" s="307" t="s">
        <v>5</v>
      </c>
      <c r="B1628" s="308" t="s">
        <v>6</v>
      </c>
      <c r="C1628" s="308" t="s">
        <v>7</v>
      </c>
      <c r="D1628" s="308" t="s">
        <v>8</v>
      </c>
      <c r="E1628" s="308" t="s">
        <v>9</v>
      </c>
      <c r="F1628" s="309" t="s">
        <v>10</v>
      </c>
      <c r="G1628" s="310" t="s">
        <v>11</v>
      </c>
      <c r="K1628" s="300"/>
    </row>
    <row r="1629" ht="15" customHeight="1" spans="1:11">
      <c r="A1629" s="307" t="s">
        <v>12</v>
      </c>
      <c r="B1629" s="308">
        <f>IFERROR(VLOOKUP(K1625,'2026.01'!A:Y,14,0),0)</f>
        <v>1694</v>
      </c>
      <c r="C1629" s="308">
        <f>IFERROR(VLOOKUP(K1625,'2026.01'!A:Y,13,0),0)</f>
        <v>1663</v>
      </c>
      <c r="D1629" s="308">
        <f>IFERROR(VLOOKUP(K1625,'2026.01'!A:Y,15,0),0)</f>
        <v>31</v>
      </c>
      <c r="E1629" s="311">
        <f>IFERROR(VLOOKUP(K1625,'2026.01'!A:Y,18,0),0)</f>
        <v>0.8</v>
      </c>
      <c r="F1629" s="309">
        <f>IFERROR(VLOOKUP(K1625,'2026.01'!A:Y,20,0),0)</f>
        <v>25</v>
      </c>
      <c r="G1629" s="310"/>
      <c r="K1629" s="300"/>
    </row>
    <row r="1630" ht="15" customHeight="1" spans="1:11">
      <c r="A1630" s="307" t="s">
        <v>13</v>
      </c>
      <c r="B1630" s="308"/>
      <c r="C1630" s="308"/>
      <c r="D1630" s="308"/>
      <c r="E1630" s="311"/>
      <c r="F1630" s="309">
        <f>IFERROR(VLOOKUP(K1625,'2026.01'!A:Y,24,0),0)</f>
        <v>60</v>
      </c>
      <c r="G1630" s="310"/>
      <c r="K1630" s="300"/>
    </row>
    <row r="1631" ht="15" customHeight="1" spans="1:11">
      <c r="A1631" s="307" t="s">
        <v>14</v>
      </c>
      <c r="B1631" s="308"/>
      <c r="C1631" s="308"/>
      <c r="D1631" s="308"/>
      <c r="E1631" s="311"/>
      <c r="F1631" s="309">
        <f>IFERROR(VLOOKUP(K1625,'2026.01'!A:Y,12,0),0)</f>
        <v>160</v>
      </c>
      <c r="G1631" s="310"/>
      <c r="K1631" s="300"/>
    </row>
    <row r="1632" ht="21" customHeight="1" spans="1:11">
      <c r="A1632" s="307" t="s">
        <v>15</v>
      </c>
      <c r="B1632" s="308"/>
      <c r="C1632" s="308"/>
      <c r="D1632" s="308"/>
      <c r="E1632" s="311"/>
      <c r="F1632" s="309">
        <f>IFERROR(VLOOKUP(K1625,'2026.01'!A:Y,9,0),0)</f>
        <v>2000</v>
      </c>
      <c r="G1632" s="310"/>
      <c r="K1632" s="300"/>
    </row>
    <row r="1633" ht="19" customHeight="1" spans="1:11">
      <c r="A1633" s="307" t="s">
        <v>16</v>
      </c>
      <c r="B1633" s="308"/>
      <c r="C1633" s="308"/>
      <c r="D1633" s="308"/>
      <c r="E1633" s="308"/>
      <c r="F1633" s="309">
        <f>IFERROR(VLOOKUP(K1625,'2026.01'!A:Y,10,0),0)</f>
        <v>0</v>
      </c>
      <c r="G1633" s="310"/>
      <c r="K1633" s="300"/>
    </row>
    <row r="1634" ht="21" customHeight="1" spans="1:11">
      <c r="A1634" s="307" t="s">
        <v>17</v>
      </c>
      <c r="B1634" s="308"/>
      <c r="C1634" s="308"/>
      <c r="D1634" s="308"/>
      <c r="E1634" s="308"/>
      <c r="F1634" s="309">
        <f>IFERROR(VLOOKUP(K1625,'2026.01'!A:Y,19,0),0)</f>
        <v>22</v>
      </c>
      <c r="G1634" s="310"/>
      <c r="K1634" s="300"/>
    </row>
    <row r="1635" ht="17.15" customHeight="1" spans="1:11">
      <c r="A1635" s="307" t="s">
        <v>18</v>
      </c>
      <c r="B1635" s="308"/>
      <c r="C1635" s="308"/>
      <c r="D1635" s="308"/>
      <c r="E1635" s="308"/>
      <c r="F1635" s="309">
        <f>IFERROR(VLOOKUP(K1625,'2026.01'!A:Y,22,0),0)</f>
        <v>306</v>
      </c>
      <c r="G1635" s="310"/>
      <c r="K1635" s="300"/>
    </row>
    <row r="1636" ht="17.15" customHeight="1" spans="1:11">
      <c r="A1636" s="307" t="s">
        <v>19</v>
      </c>
      <c r="B1636" s="312"/>
      <c r="C1636" s="308"/>
      <c r="D1636" s="313"/>
      <c r="E1636" s="308"/>
      <c r="F1636" s="309">
        <f>IFERROR(VLOOKUP(K1625,'2026.01'!A:Y,25,0),0)</f>
        <v>2573</v>
      </c>
      <c r="G1636" s="310"/>
      <c r="K1636" s="300"/>
    </row>
    <row r="1637" ht="15" customHeight="1" spans="1:11">
      <c r="A1637" s="314" t="s">
        <v>20</v>
      </c>
      <c r="B1637" s="315">
        <f>IF(F1636&lt;0,"金额为负，无效",INT(F1636))</f>
        <v>2573</v>
      </c>
      <c r="C1637" s="315"/>
      <c r="D1637" s="315"/>
      <c r="E1637" s="316" t="s">
        <v>21</v>
      </c>
      <c r="F1637" s="317"/>
      <c r="G1637" s="318"/>
      <c r="K1637" s="300"/>
    </row>
    <row r="1638" ht="15" customHeight="1" spans="1:11">
      <c r="A1638" s="319"/>
      <c r="B1638" s="320"/>
      <c r="C1638" s="320"/>
      <c r="D1638" s="320"/>
      <c r="E1638" s="319"/>
      <c r="F1638" s="321"/>
      <c r="G1638" s="322"/>
      <c r="K1638" s="300"/>
    </row>
    <row r="1639" ht="27" customHeight="1" spans="1:11">
      <c r="A1639" s="298" t="s">
        <v>0</v>
      </c>
      <c r="B1639" s="298"/>
      <c r="C1639" s="298"/>
      <c r="D1639" s="298"/>
      <c r="E1639" s="298"/>
      <c r="F1639" s="298"/>
      <c r="G1639" s="298"/>
      <c r="H1639" s="299"/>
      <c r="I1639" s="299"/>
      <c r="J1639" s="299"/>
      <c r="K1639" s="300">
        <v>118</v>
      </c>
    </row>
    <row r="1640" ht="15" customHeight="1" spans="1:11">
      <c r="A1640" s="301" t="s">
        <v>1</v>
      </c>
      <c r="B1640" s="301"/>
      <c r="C1640" s="301"/>
      <c r="D1640" s="301"/>
      <c r="E1640" s="301"/>
      <c r="F1640" s="301"/>
      <c r="G1640" s="302" t="str">
        <f>IFERROR(VLOOKUP(K1639,'2026.01'!A:Y,2,0),0)</f>
        <v>NO:118</v>
      </c>
      <c r="K1640" s="300"/>
    </row>
    <row r="1641" ht="15" customHeight="1" spans="1:11">
      <c r="A1641" s="303" t="s">
        <v>2</v>
      </c>
      <c r="B1641" s="304">
        <f>IFERROR(VLOOKUP(K1639,'2026.01'!A:Y,6,0),0)</f>
        <v>2048</v>
      </c>
      <c r="C1641" s="304"/>
      <c r="D1641" s="305" t="s">
        <v>3</v>
      </c>
      <c r="E1641" s="305" t="str">
        <f>IFERROR(VLOOKUP(K1639,'2026.01'!A:Y,7,0),0)</f>
        <v>赵野</v>
      </c>
      <c r="F1641" s="305"/>
      <c r="G1641" s="306" t="s">
        <v>4</v>
      </c>
      <c r="K1641" s="300"/>
    </row>
    <row r="1642" ht="15" customHeight="1" spans="1:11">
      <c r="A1642" s="307" t="s">
        <v>5</v>
      </c>
      <c r="B1642" s="308" t="s">
        <v>6</v>
      </c>
      <c r="C1642" s="308" t="s">
        <v>7</v>
      </c>
      <c r="D1642" s="308" t="s">
        <v>8</v>
      </c>
      <c r="E1642" s="308" t="s">
        <v>9</v>
      </c>
      <c r="F1642" s="309" t="s">
        <v>10</v>
      </c>
      <c r="G1642" s="310" t="s">
        <v>11</v>
      </c>
      <c r="K1642" s="300"/>
    </row>
    <row r="1643" ht="15" customHeight="1" spans="1:11">
      <c r="A1643" s="307" t="s">
        <v>12</v>
      </c>
      <c r="B1643" s="308">
        <f>IFERROR(VLOOKUP(K1639,'2026.01'!A:Y,14,0),0)</f>
        <v>7463</v>
      </c>
      <c r="C1643" s="308">
        <f>IFERROR(VLOOKUP(K1639,'2026.01'!A:Y,13,0),0)</f>
        <v>7431</v>
      </c>
      <c r="D1643" s="308">
        <f>IFERROR(VLOOKUP(K1639,'2026.01'!A:Y,15,0),0)</f>
        <v>32</v>
      </c>
      <c r="E1643" s="311">
        <f>IFERROR(VLOOKUP(K1639,'2026.01'!A:Y,18,0),0)</f>
        <v>0.8</v>
      </c>
      <c r="F1643" s="309">
        <f>IFERROR(VLOOKUP(K1639,'2026.01'!A:Y,20,0),0)</f>
        <v>26</v>
      </c>
      <c r="G1643" s="310"/>
      <c r="K1643" s="300"/>
    </row>
    <row r="1644" ht="15" customHeight="1" spans="1:11">
      <c r="A1644" s="307" t="s">
        <v>13</v>
      </c>
      <c r="B1644" s="308"/>
      <c r="C1644" s="308"/>
      <c r="D1644" s="308"/>
      <c r="E1644" s="311"/>
      <c r="F1644" s="309">
        <f>IFERROR(VLOOKUP(K1639,'2026.01'!A:Y,24,0),0)</f>
        <v>26</v>
      </c>
      <c r="G1644" s="310"/>
      <c r="K1644" s="300"/>
    </row>
    <row r="1645" ht="15" customHeight="1" spans="1:11">
      <c r="A1645" s="307" t="s">
        <v>14</v>
      </c>
      <c r="B1645" s="308"/>
      <c r="C1645" s="308"/>
      <c r="D1645" s="308"/>
      <c r="E1645" s="311"/>
      <c r="F1645" s="309">
        <f>IFERROR(VLOOKUP(K1639,'2026.01'!A:Y,12,0),0)</f>
        <v>160</v>
      </c>
      <c r="G1645" s="310"/>
      <c r="K1645" s="300"/>
    </row>
    <row r="1646" ht="21" customHeight="1" spans="1:11">
      <c r="A1646" s="307" t="s">
        <v>15</v>
      </c>
      <c r="B1646" s="308"/>
      <c r="C1646" s="308"/>
      <c r="D1646" s="308"/>
      <c r="E1646" s="311"/>
      <c r="F1646" s="309">
        <f>IFERROR(VLOOKUP(K1639,'2026.01'!A:Y,9,0),0)</f>
        <v>2500</v>
      </c>
      <c r="G1646" s="310"/>
      <c r="K1646" s="300"/>
    </row>
    <row r="1647" ht="19" customHeight="1" spans="1:11">
      <c r="A1647" s="307" t="s">
        <v>16</v>
      </c>
      <c r="B1647" s="308"/>
      <c r="C1647" s="308"/>
      <c r="D1647" s="308"/>
      <c r="E1647" s="308"/>
      <c r="F1647" s="309">
        <f>IFERROR(VLOOKUP(K1639,'2026.01'!A:Y,10,0),0)</f>
        <v>200</v>
      </c>
      <c r="G1647" s="310"/>
      <c r="K1647" s="300"/>
    </row>
    <row r="1648" ht="21" customHeight="1" spans="1:11">
      <c r="A1648" s="307" t="s">
        <v>17</v>
      </c>
      <c r="B1648" s="308"/>
      <c r="C1648" s="308"/>
      <c r="D1648" s="308"/>
      <c r="E1648" s="308"/>
      <c r="F1648" s="309">
        <f>IFERROR(VLOOKUP(K1639,'2026.01'!A:Y,19,0),0)</f>
        <v>22</v>
      </c>
      <c r="G1648" s="310"/>
      <c r="K1648" s="300"/>
    </row>
    <row r="1649" ht="17.15" customHeight="1" spans="1:11">
      <c r="A1649" s="307" t="s">
        <v>18</v>
      </c>
      <c r="B1649" s="308"/>
      <c r="C1649" s="308"/>
      <c r="D1649" s="308"/>
      <c r="E1649" s="308"/>
      <c r="F1649" s="309">
        <f>IFERROR(VLOOKUP(K1639,'2026.01'!A:Y,22,0),0)</f>
        <v>140</v>
      </c>
      <c r="G1649" s="310"/>
      <c r="K1649" s="300"/>
    </row>
    <row r="1650" ht="17.15" customHeight="1" spans="1:11">
      <c r="A1650" s="307" t="s">
        <v>19</v>
      </c>
      <c r="B1650" s="312"/>
      <c r="C1650" s="308"/>
      <c r="D1650" s="313"/>
      <c r="E1650" s="308"/>
      <c r="F1650" s="309">
        <f>IFERROR(VLOOKUP(K1639,'2026.01'!A:Y,25,0),0)</f>
        <v>3074</v>
      </c>
      <c r="G1650" s="310"/>
      <c r="K1650" s="300"/>
    </row>
    <row r="1651" ht="15" customHeight="1" spans="1:11">
      <c r="A1651" s="314" t="s">
        <v>20</v>
      </c>
      <c r="B1651" s="315">
        <f>IF(F1650&lt;0,"金额为负，无效",INT(F1650))</f>
        <v>3074</v>
      </c>
      <c r="C1651" s="315"/>
      <c r="D1651" s="315"/>
      <c r="E1651" s="316" t="s">
        <v>21</v>
      </c>
      <c r="F1651" s="317"/>
      <c r="G1651" s="318"/>
      <c r="K1651" s="300"/>
    </row>
    <row r="1652" ht="23" customHeight="1" spans="1:11">
      <c r="A1652" s="319"/>
      <c r="B1652" s="320"/>
      <c r="C1652" s="320"/>
      <c r="D1652" s="320"/>
      <c r="E1652" s="319"/>
      <c r="F1652" s="321"/>
      <c r="G1652" s="322"/>
      <c r="K1652" s="300"/>
    </row>
    <row r="1653" ht="27" customHeight="1" spans="1:11">
      <c r="A1653" s="298" t="s">
        <v>0</v>
      </c>
      <c r="B1653" s="298"/>
      <c r="C1653" s="298"/>
      <c r="D1653" s="298"/>
      <c r="E1653" s="298"/>
      <c r="F1653" s="298"/>
      <c r="G1653" s="298"/>
      <c r="H1653" s="299"/>
      <c r="I1653" s="299"/>
      <c r="J1653" s="299"/>
      <c r="K1653" s="300">
        <v>119</v>
      </c>
    </row>
    <row r="1654" ht="15" customHeight="1" spans="1:11">
      <c r="A1654" s="301" t="s">
        <v>1</v>
      </c>
      <c r="B1654" s="301"/>
      <c r="C1654" s="301"/>
      <c r="D1654" s="301"/>
      <c r="E1654" s="301"/>
      <c r="F1654" s="301"/>
      <c r="G1654" s="302" t="str">
        <f>IFERROR(VLOOKUP(K1653,'2026.01'!A:Y,2,0),0)</f>
        <v>NO:119</v>
      </c>
      <c r="K1654" s="300"/>
    </row>
    <row r="1655" ht="15" customHeight="1" spans="1:11">
      <c r="A1655" s="303" t="s">
        <v>2</v>
      </c>
      <c r="B1655" s="304">
        <f>IFERROR(VLOOKUP(K1653,'2026.01'!A:Y,6,0),0)</f>
        <v>2049</v>
      </c>
      <c r="C1655" s="304"/>
      <c r="D1655" s="305" t="s">
        <v>3</v>
      </c>
      <c r="E1655" s="305" t="str">
        <f>IFERROR(VLOOKUP(K1653,'2026.01'!A:Y,7,0),0)</f>
        <v>黄腾坡</v>
      </c>
      <c r="F1655" s="305"/>
      <c r="G1655" s="306" t="s">
        <v>4</v>
      </c>
      <c r="K1655" s="300"/>
    </row>
    <row r="1656" ht="15" customHeight="1" spans="1:11">
      <c r="A1656" s="307" t="s">
        <v>5</v>
      </c>
      <c r="B1656" s="308" t="s">
        <v>6</v>
      </c>
      <c r="C1656" s="308" t="s">
        <v>7</v>
      </c>
      <c r="D1656" s="308" t="s">
        <v>8</v>
      </c>
      <c r="E1656" s="308" t="s">
        <v>9</v>
      </c>
      <c r="F1656" s="309" t="s">
        <v>10</v>
      </c>
      <c r="G1656" s="310" t="s">
        <v>11</v>
      </c>
      <c r="K1656" s="300"/>
    </row>
    <row r="1657" ht="15" customHeight="1" spans="1:11">
      <c r="A1657" s="307" t="s">
        <v>12</v>
      </c>
      <c r="B1657" s="308">
        <f>IFERROR(VLOOKUP(K1653,'2026.01'!A:Y,14,0),0)</f>
        <v>8147</v>
      </c>
      <c r="C1657" s="308">
        <f>IFERROR(VLOOKUP(K1653,'2026.01'!A:Y,13,0),0)</f>
        <v>8118</v>
      </c>
      <c r="D1657" s="308">
        <f>IFERROR(VLOOKUP(K1653,'2026.01'!A:Y,15,0),0)</f>
        <v>29</v>
      </c>
      <c r="E1657" s="311">
        <f>IFERROR(VLOOKUP(K1653,'2026.01'!A:Y,18,0),0)</f>
        <v>0.8</v>
      </c>
      <c r="F1657" s="309">
        <f>IFERROR(VLOOKUP(K1653,'2026.01'!A:Y,20,0),0)</f>
        <v>23</v>
      </c>
      <c r="G1657" s="310"/>
      <c r="K1657" s="300"/>
    </row>
    <row r="1658" ht="15" customHeight="1" spans="1:11">
      <c r="A1658" s="307" t="s">
        <v>13</v>
      </c>
      <c r="B1658" s="308"/>
      <c r="C1658" s="308"/>
      <c r="D1658" s="308"/>
      <c r="E1658" s="311"/>
      <c r="F1658" s="309">
        <f>IFERROR(VLOOKUP(K1653,'2026.01'!A:Y,24,0),0)</f>
        <v>26</v>
      </c>
      <c r="G1658" s="310"/>
      <c r="K1658" s="300"/>
    </row>
    <row r="1659" ht="15" customHeight="1" spans="1:11">
      <c r="A1659" s="307" t="s">
        <v>14</v>
      </c>
      <c r="B1659" s="308"/>
      <c r="C1659" s="308"/>
      <c r="D1659" s="308"/>
      <c r="E1659" s="311"/>
      <c r="F1659" s="309">
        <f>IFERROR(VLOOKUP(K1653,'2026.01'!A:Y,12,0),0)</f>
        <v>160</v>
      </c>
      <c r="G1659" s="310"/>
      <c r="K1659" s="300"/>
    </row>
    <row r="1660" ht="21" customHeight="1" spans="1:11">
      <c r="A1660" s="307" t="s">
        <v>15</v>
      </c>
      <c r="B1660" s="308"/>
      <c r="C1660" s="308"/>
      <c r="D1660" s="308"/>
      <c r="E1660" s="311"/>
      <c r="F1660" s="309">
        <f>IFERROR(VLOOKUP(K1653,'2026.01'!A:Y,9,0),0)</f>
        <v>2500</v>
      </c>
      <c r="G1660" s="310"/>
      <c r="K1660" s="300"/>
    </row>
    <row r="1661" ht="19" customHeight="1" spans="1:11">
      <c r="A1661" s="307" t="s">
        <v>16</v>
      </c>
      <c r="B1661" s="308"/>
      <c r="C1661" s="308"/>
      <c r="D1661" s="308"/>
      <c r="E1661" s="308"/>
      <c r="F1661" s="309">
        <f>IFERROR(VLOOKUP(K1653,'2026.01'!A:Y,10,0),0)</f>
        <v>200</v>
      </c>
      <c r="G1661" s="310"/>
      <c r="K1661" s="300"/>
    </row>
    <row r="1662" ht="21" customHeight="1" spans="1:11">
      <c r="A1662" s="307" t="s">
        <v>17</v>
      </c>
      <c r="B1662" s="308"/>
      <c r="C1662" s="308"/>
      <c r="D1662" s="308"/>
      <c r="E1662" s="308"/>
      <c r="F1662" s="309">
        <f>IFERROR(VLOOKUP(K1653,'2026.01'!A:Y,19,0),0)</f>
        <v>20</v>
      </c>
      <c r="G1662" s="310"/>
      <c r="K1662" s="300"/>
    </row>
    <row r="1663" ht="17.15" customHeight="1" spans="1:11">
      <c r="A1663" s="307" t="s">
        <v>18</v>
      </c>
      <c r="B1663" s="308"/>
      <c r="C1663" s="308"/>
      <c r="D1663" s="308"/>
      <c r="E1663" s="308"/>
      <c r="F1663" s="309">
        <f>IFERROR(VLOOKUP(K1653,'2026.01'!A:Y,22,0),0)</f>
        <v>140</v>
      </c>
      <c r="G1663" s="310"/>
      <c r="K1663" s="300"/>
    </row>
    <row r="1664" ht="17.15" customHeight="1" spans="1:11">
      <c r="A1664" s="307" t="s">
        <v>19</v>
      </c>
      <c r="B1664" s="312"/>
      <c r="C1664" s="308"/>
      <c r="D1664" s="313"/>
      <c r="E1664" s="308"/>
      <c r="F1664" s="309">
        <f>IFERROR(VLOOKUP(K1653,'2026.01'!A:Y,25,0),0)</f>
        <v>3069</v>
      </c>
      <c r="G1664" s="310"/>
      <c r="K1664" s="300"/>
    </row>
    <row r="1665" ht="15" customHeight="1" spans="1:11">
      <c r="A1665" s="314" t="s">
        <v>20</v>
      </c>
      <c r="B1665" s="315">
        <f>IF(F1664&lt;0,"金额为负，无效",INT(F1664))</f>
        <v>3069</v>
      </c>
      <c r="C1665" s="315"/>
      <c r="D1665" s="315"/>
      <c r="E1665" s="316" t="s">
        <v>21</v>
      </c>
      <c r="F1665" s="317"/>
      <c r="G1665" s="318"/>
      <c r="K1665" s="300"/>
    </row>
    <row r="1666" ht="23" customHeight="1" spans="1:11">
      <c r="A1666" s="319"/>
      <c r="B1666" s="320"/>
      <c r="C1666" s="320"/>
      <c r="D1666" s="320"/>
      <c r="E1666" s="319"/>
      <c r="F1666" s="321"/>
      <c r="G1666" s="322"/>
      <c r="K1666" s="300"/>
    </row>
    <row r="1667" ht="27" customHeight="1" spans="1:11">
      <c r="A1667" s="298" t="s">
        <v>0</v>
      </c>
      <c r="B1667" s="298"/>
      <c r="C1667" s="298"/>
      <c r="D1667" s="298"/>
      <c r="E1667" s="298"/>
      <c r="F1667" s="298"/>
      <c r="G1667" s="298"/>
      <c r="H1667" s="299"/>
      <c r="I1667" s="299"/>
      <c r="J1667" s="299"/>
      <c r="K1667" s="300">
        <v>120</v>
      </c>
    </row>
    <row r="1668" ht="15" customHeight="1" spans="1:11">
      <c r="A1668" s="301" t="s">
        <v>1</v>
      </c>
      <c r="B1668" s="301"/>
      <c r="C1668" s="301"/>
      <c r="D1668" s="301"/>
      <c r="E1668" s="301"/>
      <c r="F1668" s="301"/>
      <c r="G1668" s="302" t="str">
        <f>IFERROR(VLOOKUP(K1667,'2026.01'!A:Y,2,0),0)</f>
        <v>NO:120</v>
      </c>
      <c r="K1668" s="300"/>
    </row>
    <row r="1669" ht="15" customHeight="1" spans="1:11">
      <c r="A1669" s="303" t="s">
        <v>2</v>
      </c>
      <c r="B1669" s="304">
        <f>IFERROR(VLOOKUP(K1667,'2026.01'!A:Y,6,0),0)</f>
        <v>2050</v>
      </c>
      <c r="C1669" s="304"/>
      <c r="D1669" s="305" t="s">
        <v>3</v>
      </c>
      <c r="E1669" s="305" t="str">
        <f>IFERROR(VLOOKUP(K1667,'2026.01'!A:Y,7,0),0)</f>
        <v>徐俊明</v>
      </c>
      <c r="F1669" s="305"/>
      <c r="G1669" s="306" t="s">
        <v>4</v>
      </c>
      <c r="K1669" s="300"/>
    </row>
    <row r="1670" ht="15" customHeight="1" spans="1:11">
      <c r="A1670" s="307" t="s">
        <v>5</v>
      </c>
      <c r="B1670" s="308" t="s">
        <v>6</v>
      </c>
      <c r="C1670" s="308" t="s">
        <v>7</v>
      </c>
      <c r="D1670" s="308" t="s">
        <v>8</v>
      </c>
      <c r="E1670" s="308" t="s">
        <v>9</v>
      </c>
      <c r="F1670" s="309" t="s">
        <v>10</v>
      </c>
      <c r="G1670" s="310" t="s">
        <v>11</v>
      </c>
      <c r="K1670" s="300"/>
    </row>
    <row r="1671" ht="15" customHeight="1" spans="1:11">
      <c r="A1671" s="307" t="s">
        <v>12</v>
      </c>
      <c r="B1671" s="308">
        <f>IFERROR(VLOOKUP(K1667,'2026.01'!A:Y,14,0),0)</f>
        <v>7260</v>
      </c>
      <c r="C1671" s="308">
        <f>IFERROR(VLOOKUP(K1667,'2026.01'!A:Y,13,0),0)</f>
        <v>7246</v>
      </c>
      <c r="D1671" s="308">
        <f>IFERROR(VLOOKUP(K1667,'2026.01'!A:Y,15,0),0)</f>
        <v>14</v>
      </c>
      <c r="E1671" s="311">
        <f>IFERROR(VLOOKUP(K1667,'2026.01'!A:Y,18,0),0)</f>
        <v>0.8</v>
      </c>
      <c r="F1671" s="309">
        <f>IFERROR(VLOOKUP(K1667,'2026.01'!A:Y,20,0),0)</f>
        <v>11</v>
      </c>
      <c r="G1671" s="310"/>
      <c r="K1671" s="300"/>
    </row>
    <row r="1672" ht="15" customHeight="1" spans="1:11">
      <c r="A1672" s="307" t="s">
        <v>13</v>
      </c>
      <c r="B1672" s="308"/>
      <c r="C1672" s="308"/>
      <c r="D1672" s="308"/>
      <c r="E1672" s="311"/>
      <c r="F1672" s="309">
        <f>IFERROR(VLOOKUP(K1667,'2026.01'!A:Y,24,0),0)</f>
        <v>26</v>
      </c>
      <c r="G1672" s="310"/>
      <c r="K1672" s="300"/>
    </row>
    <row r="1673" ht="15" customHeight="1" spans="1:11">
      <c r="A1673" s="307" t="s">
        <v>14</v>
      </c>
      <c r="B1673" s="308"/>
      <c r="C1673" s="308"/>
      <c r="D1673" s="308"/>
      <c r="E1673" s="311"/>
      <c r="F1673" s="309">
        <f>IFERROR(VLOOKUP(K1667,'2026.01'!A:Y,12,0),0)</f>
        <v>160</v>
      </c>
      <c r="G1673" s="310"/>
      <c r="K1673" s="300"/>
    </row>
    <row r="1674" ht="21" customHeight="1" spans="1:11">
      <c r="A1674" s="307" t="s">
        <v>15</v>
      </c>
      <c r="B1674" s="308"/>
      <c r="C1674" s="308"/>
      <c r="D1674" s="308"/>
      <c r="E1674" s="311"/>
      <c r="F1674" s="309">
        <f>IFERROR(VLOOKUP(K1667,'2026.01'!A:Y,9,0),0)</f>
        <v>2500</v>
      </c>
      <c r="G1674" s="310"/>
      <c r="K1674" s="300"/>
    </row>
    <row r="1675" ht="19" customHeight="1" spans="1:11">
      <c r="A1675" s="307" t="s">
        <v>16</v>
      </c>
      <c r="B1675" s="308"/>
      <c r="C1675" s="308"/>
      <c r="D1675" s="308"/>
      <c r="E1675" s="308"/>
      <c r="F1675" s="309">
        <f>IFERROR(VLOOKUP(K1667,'2026.01'!A:Y,10,0),0)</f>
        <v>200</v>
      </c>
      <c r="G1675" s="310"/>
      <c r="K1675" s="300"/>
    </row>
    <row r="1676" ht="21" customHeight="1" spans="1:11">
      <c r="A1676" s="307" t="s">
        <v>17</v>
      </c>
      <c r="B1676" s="308"/>
      <c r="C1676" s="308"/>
      <c r="D1676" s="308"/>
      <c r="E1676" s="308"/>
      <c r="F1676" s="309">
        <f>IFERROR(VLOOKUP(K1667,'2026.01'!A:Y,19,0),0)</f>
        <v>10</v>
      </c>
      <c r="G1676" s="310"/>
      <c r="K1676" s="300"/>
    </row>
    <row r="1677" ht="17.15" customHeight="1" spans="1:11">
      <c r="A1677" s="307" t="s">
        <v>18</v>
      </c>
      <c r="B1677" s="308"/>
      <c r="C1677" s="308"/>
      <c r="D1677" s="308"/>
      <c r="E1677" s="308"/>
      <c r="F1677" s="309">
        <f>IFERROR(VLOOKUP(K1667,'2026.01'!A:Y,22,0),0)</f>
        <v>140</v>
      </c>
      <c r="G1677" s="310"/>
      <c r="K1677" s="300"/>
    </row>
    <row r="1678" ht="17.15" customHeight="1" spans="1:11">
      <c r="A1678" s="307" t="s">
        <v>19</v>
      </c>
      <c r="B1678" s="312"/>
      <c r="C1678" s="308"/>
      <c r="D1678" s="313"/>
      <c r="E1678" s="308"/>
      <c r="F1678" s="309">
        <f>IFERROR(VLOOKUP(K1667,'2026.01'!A:Y,25,0),0)</f>
        <v>3047</v>
      </c>
      <c r="G1678" s="310"/>
      <c r="K1678" s="300"/>
    </row>
    <row r="1679" ht="15" customHeight="1" spans="1:11">
      <c r="A1679" s="314" t="s">
        <v>20</v>
      </c>
      <c r="B1679" s="315">
        <f>IF(F1678&lt;0,"金额为负，无效",INT(F1678))</f>
        <v>3047</v>
      </c>
      <c r="C1679" s="315"/>
      <c r="D1679" s="315"/>
      <c r="E1679" s="316" t="s">
        <v>21</v>
      </c>
      <c r="F1679" s="317"/>
      <c r="G1679" s="318"/>
      <c r="K1679" s="300"/>
    </row>
    <row r="1680" ht="15" customHeight="1" spans="1:11">
      <c r="A1680" s="319"/>
      <c r="B1680" s="320"/>
      <c r="C1680" s="320"/>
      <c r="D1680" s="320"/>
      <c r="E1680" s="319"/>
      <c r="F1680" s="321"/>
      <c r="G1680" s="322"/>
      <c r="K1680" s="300"/>
    </row>
    <row r="1681" ht="27" customHeight="1" spans="1:11">
      <c r="A1681" s="298" t="s">
        <v>0</v>
      </c>
      <c r="B1681" s="298"/>
      <c r="C1681" s="298"/>
      <c r="D1681" s="298"/>
      <c r="E1681" s="298"/>
      <c r="F1681" s="298"/>
      <c r="G1681" s="298"/>
      <c r="H1681" s="299"/>
      <c r="I1681" s="299"/>
      <c r="J1681" s="299"/>
      <c r="K1681" s="300">
        <v>121</v>
      </c>
    </row>
    <row r="1682" ht="15" customHeight="1" spans="1:11">
      <c r="A1682" s="301" t="s">
        <v>1</v>
      </c>
      <c r="B1682" s="301"/>
      <c r="C1682" s="301"/>
      <c r="D1682" s="301"/>
      <c r="E1682" s="301"/>
      <c r="F1682" s="301"/>
      <c r="G1682" s="302" t="str">
        <f>IFERROR(VLOOKUP(K1681,'2026.01'!A:Y,2,0),0)</f>
        <v>NO:121</v>
      </c>
      <c r="K1682" s="300"/>
    </row>
    <row r="1683" ht="15" customHeight="1" spans="1:11">
      <c r="A1683" s="303" t="s">
        <v>2</v>
      </c>
      <c r="B1683" s="304">
        <f>IFERROR(VLOOKUP(K1681,'2026.01'!A:Y,6,0),0)</f>
        <v>2051</v>
      </c>
      <c r="C1683" s="304"/>
      <c r="D1683" s="305" t="s">
        <v>3</v>
      </c>
      <c r="E1683" s="305" t="str">
        <f>IFERROR(VLOOKUP(K1681,'2026.01'!A:Y,7,0),0)</f>
        <v>黄廉勃</v>
      </c>
      <c r="F1683" s="305"/>
      <c r="G1683" s="306" t="s">
        <v>4</v>
      </c>
      <c r="K1683" s="300"/>
    </row>
    <row r="1684" ht="15" customHeight="1" spans="1:11">
      <c r="A1684" s="307" t="s">
        <v>5</v>
      </c>
      <c r="B1684" s="308" t="s">
        <v>6</v>
      </c>
      <c r="C1684" s="308" t="s">
        <v>7</v>
      </c>
      <c r="D1684" s="308" t="s">
        <v>8</v>
      </c>
      <c r="E1684" s="308" t="s">
        <v>9</v>
      </c>
      <c r="F1684" s="309" t="s">
        <v>10</v>
      </c>
      <c r="G1684" s="310" t="s">
        <v>11</v>
      </c>
      <c r="K1684" s="300"/>
    </row>
    <row r="1685" ht="15" customHeight="1" spans="1:11">
      <c r="A1685" s="307" t="s">
        <v>12</v>
      </c>
      <c r="B1685" s="308">
        <f>IFERROR(VLOOKUP(K1681,'2026.01'!A:Y,14,0),0)</f>
        <v>1146</v>
      </c>
      <c r="C1685" s="308">
        <f>IFERROR(VLOOKUP(K1681,'2026.01'!A:Y,13,0),0)</f>
        <v>1120</v>
      </c>
      <c r="D1685" s="308">
        <f>IFERROR(VLOOKUP(K1681,'2026.01'!A:Y,15,0),0)</f>
        <v>26</v>
      </c>
      <c r="E1685" s="311">
        <f>IFERROR(VLOOKUP(K1681,'2026.01'!A:Y,18,0),0)</f>
        <v>0.8</v>
      </c>
      <c r="F1685" s="309">
        <f>IFERROR(VLOOKUP(K1681,'2026.01'!A:Y,20,0),0)</f>
        <v>21</v>
      </c>
      <c r="G1685" s="310"/>
      <c r="K1685" s="300"/>
    </row>
    <row r="1686" ht="15" customHeight="1" spans="1:11">
      <c r="A1686" s="307" t="s">
        <v>13</v>
      </c>
      <c r="B1686" s="308"/>
      <c r="C1686" s="308"/>
      <c r="D1686" s="308"/>
      <c r="E1686" s="311"/>
      <c r="F1686" s="309">
        <f>IFERROR(VLOOKUP(K1681,'2026.01'!A:Y,24,0),0)</f>
        <v>26</v>
      </c>
      <c r="G1686" s="310"/>
      <c r="K1686" s="300"/>
    </row>
    <row r="1687" ht="15" customHeight="1" spans="1:11">
      <c r="A1687" s="307" t="s">
        <v>14</v>
      </c>
      <c r="B1687" s="308"/>
      <c r="C1687" s="308"/>
      <c r="D1687" s="308"/>
      <c r="E1687" s="311"/>
      <c r="F1687" s="309">
        <f>IFERROR(VLOOKUP(K1681,'2026.01'!A:Y,12,0),0)</f>
        <v>160</v>
      </c>
      <c r="G1687" s="310"/>
      <c r="K1687" s="300"/>
    </row>
    <row r="1688" ht="21" customHeight="1" spans="1:11">
      <c r="A1688" s="307" t="s">
        <v>15</v>
      </c>
      <c r="B1688" s="308"/>
      <c r="C1688" s="308"/>
      <c r="D1688" s="308"/>
      <c r="E1688" s="311"/>
      <c r="F1688" s="309">
        <f>IFERROR(VLOOKUP(K1681,'2026.01'!A:Y,9,0),0)</f>
        <v>2500</v>
      </c>
      <c r="G1688" s="310"/>
      <c r="K1688" s="300"/>
    </row>
    <row r="1689" ht="19" customHeight="1" spans="1:11">
      <c r="A1689" s="307" t="s">
        <v>16</v>
      </c>
      <c r="B1689" s="308"/>
      <c r="C1689" s="308"/>
      <c r="D1689" s="308"/>
      <c r="E1689" s="308"/>
      <c r="F1689" s="309">
        <f>IFERROR(VLOOKUP(K1681,'2026.01'!A:Y,10,0),0)</f>
        <v>200</v>
      </c>
      <c r="G1689" s="310"/>
      <c r="K1689" s="300"/>
    </row>
    <row r="1690" ht="21" customHeight="1" spans="1:11">
      <c r="A1690" s="307" t="s">
        <v>17</v>
      </c>
      <c r="B1690" s="308"/>
      <c r="C1690" s="308"/>
      <c r="D1690" s="308"/>
      <c r="E1690" s="308"/>
      <c r="F1690" s="309">
        <f>IFERROR(VLOOKUP(K1681,'2026.01'!A:Y,19,0),0)</f>
        <v>18</v>
      </c>
      <c r="G1690" s="310"/>
      <c r="K1690" s="300"/>
    </row>
    <row r="1691" ht="17.15" customHeight="1" spans="1:11">
      <c r="A1691" s="307" t="s">
        <v>18</v>
      </c>
      <c r="B1691" s="308"/>
      <c r="C1691" s="308"/>
      <c r="D1691" s="308"/>
      <c r="E1691" s="308"/>
      <c r="F1691" s="309">
        <f>IFERROR(VLOOKUP(K1681,'2026.01'!A:Y,22,0),0)</f>
        <v>140</v>
      </c>
      <c r="G1691" s="310"/>
      <c r="K1691" s="300"/>
    </row>
    <row r="1692" ht="17.15" customHeight="1" spans="1:11">
      <c r="A1692" s="307" t="s">
        <v>19</v>
      </c>
      <c r="B1692" s="312"/>
      <c r="C1692" s="308"/>
      <c r="D1692" s="313"/>
      <c r="E1692" s="308"/>
      <c r="F1692" s="309">
        <f>IFERROR(VLOOKUP(K1681,'2026.01'!A:Y,25,0),0)</f>
        <v>3065</v>
      </c>
      <c r="G1692" s="310"/>
      <c r="K1692" s="300"/>
    </row>
    <row r="1693" ht="15" customHeight="1" spans="1:11">
      <c r="A1693" s="314" t="s">
        <v>20</v>
      </c>
      <c r="B1693" s="315">
        <f>IF(F1692&lt;0,"金额为负，无效",INT(F1692))</f>
        <v>3065</v>
      </c>
      <c r="C1693" s="315"/>
      <c r="D1693" s="315"/>
      <c r="E1693" s="316" t="s">
        <v>21</v>
      </c>
      <c r="F1693" s="317"/>
      <c r="G1693" s="318"/>
      <c r="K1693" s="300"/>
    </row>
    <row r="1694" ht="23" customHeight="1" spans="1:11">
      <c r="A1694" s="319"/>
      <c r="B1694" s="320"/>
      <c r="C1694" s="320"/>
      <c r="D1694" s="320"/>
      <c r="E1694" s="319"/>
      <c r="F1694" s="321"/>
      <c r="G1694" s="322"/>
      <c r="K1694" s="300"/>
    </row>
    <row r="1695" ht="27" customHeight="1" spans="1:11">
      <c r="A1695" s="298" t="s">
        <v>0</v>
      </c>
      <c r="B1695" s="298"/>
      <c r="C1695" s="298"/>
      <c r="D1695" s="298"/>
      <c r="E1695" s="298"/>
      <c r="F1695" s="298"/>
      <c r="G1695" s="298"/>
      <c r="H1695" s="299"/>
      <c r="I1695" s="299"/>
      <c r="J1695" s="299"/>
      <c r="K1695" s="300">
        <v>122</v>
      </c>
    </row>
    <row r="1696" ht="15" customHeight="1" spans="1:11">
      <c r="A1696" s="301" t="s">
        <v>1</v>
      </c>
      <c r="B1696" s="301"/>
      <c r="C1696" s="301"/>
      <c r="D1696" s="301"/>
      <c r="E1696" s="301"/>
      <c r="F1696" s="301"/>
      <c r="G1696" s="302" t="str">
        <f>IFERROR(VLOOKUP(K1695,'2026.01'!A:Y,2,0),0)</f>
        <v>NO:122</v>
      </c>
      <c r="K1696" s="300"/>
    </row>
    <row r="1697" ht="15" customHeight="1" spans="1:11">
      <c r="A1697" s="303" t="s">
        <v>2</v>
      </c>
      <c r="B1697" s="304">
        <f>IFERROR(VLOOKUP(K1695,'2026.01'!A:Y,6,0),0)</f>
        <v>2052</v>
      </c>
      <c r="C1697" s="304"/>
      <c r="D1697" s="305" t="s">
        <v>3</v>
      </c>
      <c r="E1697" s="305" t="str">
        <f>IFERROR(VLOOKUP(K1695,'2026.01'!A:Y,7,0),0)</f>
        <v>阚显巍</v>
      </c>
      <c r="F1697" s="305"/>
      <c r="G1697" s="306" t="s">
        <v>4</v>
      </c>
      <c r="K1697" s="300"/>
    </row>
    <row r="1698" ht="15" customHeight="1" spans="1:11">
      <c r="A1698" s="307" t="s">
        <v>5</v>
      </c>
      <c r="B1698" s="308" t="s">
        <v>6</v>
      </c>
      <c r="C1698" s="308" t="s">
        <v>7</v>
      </c>
      <c r="D1698" s="308" t="s">
        <v>8</v>
      </c>
      <c r="E1698" s="308" t="s">
        <v>9</v>
      </c>
      <c r="F1698" s="309" t="s">
        <v>10</v>
      </c>
      <c r="G1698" s="310" t="s">
        <v>11</v>
      </c>
      <c r="K1698" s="300"/>
    </row>
    <row r="1699" ht="15" customHeight="1" spans="1:11">
      <c r="A1699" s="307" t="s">
        <v>12</v>
      </c>
      <c r="B1699" s="308">
        <f>IFERROR(VLOOKUP(K1695,'2026.01'!A:Y,14,0),0)</f>
        <v>7418</v>
      </c>
      <c r="C1699" s="308">
        <f>IFERROR(VLOOKUP(K1695,'2026.01'!A:Y,13,0),0)</f>
        <v>7403</v>
      </c>
      <c r="D1699" s="308">
        <f>IFERROR(VLOOKUP(K1695,'2026.01'!A:Y,15,0),0)</f>
        <v>15</v>
      </c>
      <c r="E1699" s="311">
        <f>IFERROR(VLOOKUP(K1695,'2026.01'!A:Y,18,0),0)</f>
        <v>0.8</v>
      </c>
      <c r="F1699" s="309">
        <f>IFERROR(VLOOKUP(K1695,'2026.01'!A:Y,20,0),0)</f>
        <v>12</v>
      </c>
      <c r="G1699" s="310"/>
      <c r="K1699" s="300"/>
    </row>
    <row r="1700" ht="15" customHeight="1" spans="1:11">
      <c r="A1700" s="307" t="s">
        <v>13</v>
      </c>
      <c r="B1700" s="308"/>
      <c r="C1700" s="308"/>
      <c r="D1700" s="308"/>
      <c r="E1700" s="311"/>
      <c r="F1700" s="309">
        <f>IFERROR(VLOOKUP(K1695,'2026.01'!A:Y,24,0),0)</f>
        <v>26</v>
      </c>
      <c r="G1700" s="310"/>
      <c r="K1700" s="300"/>
    </row>
    <row r="1701" ht="15" customHeight="1" spans="1:11">
      <c r="A1701" s="307" t="s">
        <v>14</v>
      </c>
      <c r="B1701" s="308"/>
      <c r="C1701" s="308"/>
      <c r="D1701" s="308"/>
      <c r="E1701" s="311"/>
      <c r="F1701" s="309">
        <f>IFERROR(VLOOKUP(K1695,'2026.01'!A:Y,12,0),0)</f>
        <v>160</v>
      </c>
      <c r="G1701" s="310"/>
      <c r="K1701" s="300"/>
    </row>
    <row r="1702" ht="21" customHeight="1" spans="1:11">
      <c r="A1702" s="307" t="s">
        <v>15</v>
      </c>
      <c r="B1702" s="308"/>
      <c r="C1702" s="308"/>
      <c r="D1702" s="308"/>
      <c r="E1702" s="311"/>
      <c r="F1702" s="309">
        <f>IFERROR(VLOOKUP(K1695,'2026.01'!A:Y,9,0),0)</f>
        <v>2500</v>
      </c>
      <c r="G1702" s="310"/>
      <c r="K1702" s="300"/>
    </row>
    <row r="1703" ht="19" customHeight="1" spans="1:11">
      <c r="A1703" s="307" t="s">
        <v>16</v>
      </c>
      <c r="B1703" s="308"/>
      <c r="C1703" s="308"/>
      <c r="D1703" s="308"/>
      <c r="E1703" s="308"/>
      <c r="F1703" s="309">
        <f>IFERROR(VLOOKUP(K1695,'2026.01'!A:Y,10,0),0)</f>
        <v>200</v>
      </c>
      <c r="G1703" s="310"/>
      <c r="K1703" s="300"/>
    </row>
    <row r="1704" ht="21" customHeight="1" spans="1:11">
      <c r="A1704" s="307" t="s">
        <v>17</v>
      </c>
      <c r="B1704" s="308"/>
      <c r="C1704" s="308"/>
      <c r="D1704" s="308"/>
      <c r="E1704" s="308"/>
      <c r="F1704" s="309">
        <f>IFERROR(VLOOKUP(K1695,'2026.01'!A:Y,19,0),0)</f>
        <v>11</v>
      </c>
      <c r="G1704" s="310"/>
      <c r="K1704" s="300"/>
    </row>
    <row r="1705" ht="17.15" customHeight="1" spans="1:11">
      <c r="A1705" s="307" t="s">
        <v>18</v>
      </c>
      <c r="B1705" s="308"/>
      <c r="C1705" s="308"/>
      <c r="D1705" s="308"/>
      <c r="E1705" s="308"/>
      <c r="F1705" s="309">
        <f>IFERROR(VLOOKUP(K1695,'2026.01'!A:Y,22,0),0)</f>
        <v>140</v>
      </c>
      <c r="G1705" s="310"/>
      <c r="K1705" s="300"/>
    </row>
    <row r="1706" ht="17.15" customHeight="1" spans="1:11">
      <c r="A1706" s="307" t="s">
        <v>19</v>
      </c>
      <c r="B1706" s="312"/>
      <c r="C1706" s="308"/>
      <c r="D1706" s="313"/>
      <c r="E1706" s="308"/>
      <c r="F1706" s="309">
        <f>IFERROR(VLOOKUP(K1695,'2026.01'!A:Y,25,0),0)</f>
        <v>3049</v>
      </c>
      <c r="G1706" s="310"/>
      <c r="K1706" s="300"/>
    </row>
    <row r="1707" ht="15" customHeight="1" spans="1:11">
      <c r="A1707" s="314" t="s">
        <v>20</v>
      </c>
      <c r="B1707" s="315">
        <f>IF(F1706&lt;0,"金额为负，无效",INT(F1706))</f>
        <v>3049</v>
      </c>
      <c r="C1707" s="315"/>
      <c r="D1707" s="315"/>
      <c r="E1707" s="316" t="s">
        <v>21</v>
      </c>
      <c r="F1707" s="317"/>
      <c r="G1707" s="318"/>
      <c r="K1707" s="300"/>
    </row>
    <row r="1708" ht="23" customHeight="1" spans="1:11">
      <c r="A1708" s="319"/>
      <c r="B1708" s="320"/>
      <c r="C1708" s="320"/>
      <c r="D1708" s="320"/>
      <c r="E1708" s="319"/>
      <c r="F1708" s="321"/>
      <c r="G1708" s="322"/>
      <c r="K1708" s="300"/>
    </row>
    <row r="1709" ht="27" customHeight="1" spans="1:11">
      <c r="A1709" s="298" t="s">
        <v>0</v>
      </c>
      <c r="B1709" s="298"/>
      <c r="C1709" s="298"/>
      <c r="D1709" s="298"/>
      <c r="E1709" s="298"/>
      <c r="F1709" s="298"/>
      <c r="G1709" s="298"/>
      <c r="H1709" s="299"/>
      <c r="I1709" s="299"/>
      <c r="J1709" s="299"/>
      <c r="K1709" s="300">
        <v>123</v>
      </c>
    </row>
    <row r="1710" ht="15" customHeight="1" spans="1:11">
      <c r="A1710" s="301" t="s">
        <v>1</v>
      </c>
      <c r="B1710" s="301"/>
      <c r="C1710" s="301"/>
      <c r="D1710" s="301"/>
      <c r="E1710" s="301"/>
      <c r="F1710" s="301"/>
      <c r="G1710" s="302" t="str">
        <f>IFERROR(VLOOKUP(K1709,'2026.01'!A:Y,2,0),0)</f>
        <v>NO:123</v>
      </c>
      <c r="K1710" s="300"/>
    </row>
    <row r="1711" ht="15" customHeight="1" spans="1:11">
      <c r="A1711" s="303" t="s">
        <v>2</v>
      </c>
      <c r="B1711" s="304">
        <f>IFERROR(VLOOKUP(K1709,'2026.01'!A:Y,6,0),0)</f>
        <v>2053</v>
      </c>
      <c r="C1711" s="304"/>
      <c r="D1711" s="305" t="s">
        <v>3</v>
      </c>
      <c r="E1711" s="305" t="str">
        <f>IFERROR(VLOOKUP(K1709,'2026.01'!A:Y,7,0),0)</f>
        <v>詹爱彩</v>
      </c>
      <c r="F1711" s="305"/>
      <c r="G1711" s="306" t="s">
        <v>4</v>
      </c>
      <c r="K1711" s="300"/>
    </row>
    <row r="1712" ht="15" customHeight="1" spans="1:11">
      <c r="A1712" s="307" t="s">
        <v>5</v>
      </c>
      <c r="B1712" s="308" t="s">
        <v>6</v>
      </c>
      <c r="C1712" s="308" t="s">
        <v>7</v>
      </c>
      <c r="D1712" s="308" t="s">
        <v>8</v>
      </c>
      <c r="E1712" s="308" t="s">
        <v>9</v>
      </c>
      <c r="F1712" s="309" t="s">
        <v>10</v>
      </c>
      <c r="G1712" s="310" t="s">
        <v>11</v>
      </c>
      <c r="K1712" s="300"/>
    </row>
    <row r="1713" ht="15" customHeight="1" spans="1:11">
      <c r="A1713" s="307" t="s">
        <v>12</v>
      </c>
      <c r="B1713" s="308">
        <f>IFERROR(VLOOKUP(K1709,'2026.01'!A:Y,14,0),0)</f>
        <v>8532</v>
      </c>
      <c r="C1713" s="308">
        <f>IFERROR(VLOOKUP(K1709,'2026.01'!A:Y,13,0),0)</f>
        <v>8476</v>
      </c>
      <c r="D1713" s="308">
        <f>IFERROR(VLOOKUP(K1709,'2026.01'!A:Y,15,0),0)</f>
        <v>56</v>
      </c>
      <c r="E1713" s="311">
        <f>IFERROR(VLOOKUP(K1709,'2026.01'!A:Y,18,0),0)</f>
        <v>0.8</v>
      </c>
      <c r="F1713" s="309">
        <f>IFERROR(VLOOKUP(K1709,'2026.01'!A:Y,20,0),0)</f>
        <v>45</v>
      </c>
      <c r="G1713" s="310"/>
      <c r="K1713" s="300"/>
    </row>
    <row r="1714" ht="15" customHeight="1" spans="1:11">
      <c r="A1714" s="307" t="s">
        <v>13</v>
      </c>
      <c r="B1714" s="308"/>
      <c r="C1714" s="308"/>
      <c r="D1714" s="308"/>
      <c r="E1714" s="311"/>
      <c r="F1714" s="309">
        <f>IFERROR(VLOOKUP(K1709,'2026.01'!A:Y,24,0),0)</f>
        <v>26</v>
      </c>
      <c r="G1714" s="310"/>
      <c r="K1714" s="300"/>
    </row>
    <row r="1715" ht="15" customHeight="1" spans="1:11">
      <c r="A1715" s="307" t="s">
        <v>14</v>
      </c>
      <c r="B1715" s="308"/>
      <c r="C1715" s="308"/>
      <c r="D1715" s="308"/>
      <c r="E1715" s="311"/>
      <c r="F1715" s="309">
        <f>IFERROR(VLOOKUP(K1709,'2026.01'!A:Y,12,0),0)</f>
        <v>160</v>
      </c>
      <c r="G1715" s="310"/>
      <c r="K1715" s="300"/>
    </row>
    <row r="1716" ht="21" customHeight="1" spans="1:11">
      <c r="A1716" s="307" t="s">
        <v>15</v>
      </c>
      <c r="B1716" s="308"/>
      <c r="C1716" s="308"/>
      <c r="D1716" s="308"/>
      <c r="E1716" s="311"/>
      <c r="F1716" s="309">
        <f>IFERROR(VLOOKUP(K1709,'2026.01'!A:Y,9,0),0)</f>
        <v>2500</v>
      </c>
      <c r="G1716" s="310"/>
      <c r="K1716" s="300"/>
    </row>
    <row r="1717" ht="19" customHeight="1" spans="1:11">
      <c r="A1717" s="307" t="s">
        <v>16</v>
      </c>
      <c r="B1717" s="308"/>
      <c r="C1717" s="308"/>
      <c r="D1717" s="308"/>
      <c r="E1717" s="308"/>
      <c r="F1717" s="309">
        <f>IFERROR(VLOOKUP(K1709,'2026.01'!A:Y,10,0),0)</f>
        <v>200</v>
      </c>
      <c r="G1717" s="310"/>
      <c r="K1717" s="300"/>
    </row>
    <row r="1718" ht="21" customHeight="1" spans="1:11">
      <c r="A1718" s="307" t="s">
        <v>17</v>
      </c>
      <c r="B1718" s="308"/>
      <c r="C1718" s="308"/>
      <c r="D1718" s="308"/>
      <c r="E1718" s="308"/>
      <c r="F1718" s="309">
        <f>IFERROR(VLOOKUP(K1709,'2026.01'!A:Y,19,0),0)</f>
        <v>39</v>
      </c>
      <c r="G1718" s="310"/>
      <c r="K1718" s="300"/>
    </row>
    <row r="1719" ht="17.15" customHeight="1" spans="1:11">
      <c r="A1719" s="307" t="s">
        <v>18</v>
      </c>
      <c r="B1719" s="308"/>
      <c r="C1719" s="308"/>
      <c r="D1719" s="308"/>
      <c r="E1719" s="308"/>
      <c r="F1719" s="309">
        <f>IFERROR(VLOOKUP(K1709,'2026.01'!A:Y,22,0),0)</f>
        <v>140</v>
      </c>
      <c r="G1719" s="310"/>
      <c r="K1719" s="300"/>
    </row>
    <row r="1720" ht="17.15" customHeight="1" spans="1:11">
      <c r="A1720" s="307" t="s">
        <v>19</v>
      </c>
      <c r="B1720" s="312"/>
      <c r="C1720" s="308"/>
      <c r="D1720" s="313"/>
      <c r="E1720" s="308"/>
      <c r="F1720" s="309">
        <f>IFERROR(VLOOKUP(K1709,'2026.01'!A:Y,25,0),0)</f>
        <v>3110</v>
      </c>
      <c r="G1720" s="310"/>
      <c r="K1720" s="300"/>
    </row>
    <row r="1721" ht="15" customHeight="1" spans="1:11">
      <c r="A1721" s="314" t="s">
        <v>20</v>
      </c>
      <c r="B1721" s="315">
        <f>IF(F1720&lt;0,"金额为负，无效",INT(F1720))</f>
        <v>3110</v>
      </c>
      <c r="C1721" s="315"/>
      <c r="D1721" s="315"/>
      <c r="E1721" s="316" t="s">
        <v>21</v>
      </c>
      <c r="F1721" s="317"/>
      <c r="G1721" s="318"/>
      <c r="K1721" s="300"/>
    </row>
    <row r="1722" ht="15" customHeight="1" spans="1:11">
      <c r="A1722" s="319"/>
      <c r="B1722" s="320"/>
      <c r="C1722" s="320"/>
      <c r="D1722" s="320"/>
      <c r="E1722" s="319"/>
      <c r="F1722" s="321"/>
      <c r="G1722" s="322"/>
      <c r="K1722" s="300"/>
    </row>
    <row r="1723" ht="27" customHeight="1" spans="1:11">
      <c r="A1723" s="298" t="s">
        <v>0</v>
      </c>
      <c r="B1723" s="298"/>
      <c r="C1723" s="298"/>
      <c r="D1723" s="298"/>
      <c r="E1723" s="298"/>
      <c r="F1723" s="298"/>
      <c r="G1723" s="298"/>
      <c r="H1723" s="299"/>
      <c r="I1723" s="299"/>
      <c r="J1723" s="299"/>
      <c r="K1723" s="300">
        <v>124</v>
      </c>
    </row>
    <row r="1724" ht="15" customHeight="1" spans="1:11">
      <c r="A1724" s="301" t="s">
        <v>1</v>
      </c>
      <c r="B1724" s="301"/>
      <c r="C1724" s="301"/>
      <c r="D1724" s="301"/>
      <c r="E1724" s="301"/>
      <c r="F1724" s="301"/>
      <c r="G1724" s="302" t="str">
        <f>IFERROR(VLOOKUP(K1723,'2026.01'!A:Y,2,0),0)</f>
        <v>NO:124</v>
      </c>
      <c r="K1724" s="300"/>
    </row>
    <row r="1725" ht="15" customHeight="1" spans="1:11">
      <c r="A1725" s="303" t="s">
        <v>2</v>
      </c>
      <c r="B1725" s="304">
        <f>IFERROR(VLOOKUP(K1723,'2026.01'!A:Y,6,0),0)</f>
        <v>2054</v>
      </c>
      <c r="C1725" s="304"/>
      <c r="D1725" s="305" t="s">
        <v>3</v>
      </c>
      <c r="E1725" s="305" t="str">
        <f>IFERROR(VLOOKUP(K1723,'2026.01'!A:Y,7,0),0)</f>
        <v>孙瑜</v>
      </c>
      <c r="F1725" s="305"/>
      <c r="G1725" s="306" t="s">
        <v>4</v>
      </c>
      <c r="K1725" s="300"/>
    </row>
    <row r="1726" ht="15" customHeight="1" spans="1:11">
      <c r="A1726" s="307" t="s">
        <v>5</v>
      </c>
      <c r="B1726" s="308" t="s">
        <v>6</v>
      </c>
      <c r="C1726" s="308" t="s">
        <v>7</v>
      </c>
      <c r="D1726" s="308" t="s">
        <v>8</v>
      </c>
      <c r="E1726" s="308" t="s">
        <v>9</v>
      </c>
      <c r="F1726" s="309" t="s">
        <v>10</v>
      </c>
      <c r="G1726" s="310" t="s">
        <v>11</v>
      </c>
      <c r="K1726" s="300"/>
    </row>
    <row r="1727" ht="15" customHeight="1" spans="1:11">
      <c r="A1727" s="307" t="s">
        <v>12</v>
      </c>
      <c r="B1727" s="308">
        <f>IFERROR(VLOOKUP(K1723,'2026.01'!A:Y,14,0),0)</f>
        <v>1440</v>
      </c>
      <c r="C1727" s="308">
        <f>IFERROR(VLOOKUP(K1723,'2026.01'!A:Y,13,0),0)</f>
        <v>1398</v>
      </c>
      <c r="D1727" s="308">
        <f>IFERROR(VLOOKUP(K1723,'2026.01'!A:Y,15,0),0)</f>
        <v>42</v>
      </c>
      <c r="E1727" s="311">
        <f>IFERROR(VLOOKUP(K1723,'2026.01'!A:Y,18,0),0)</f>
        <v>0.8</v>
      </c>
      <c r="F1727" s="309">
        <f>IFERROR(VLOOKUP(K1723,'2026.01'!A:Y,20,0),0)</f>
        <v>34</v>
      </c>
      <c r="G1727" s="310"/>
      <c r="K1727" s="300"/>
    </row>
    <row r="1728" ht="15" customHeight="1" spans="1:11">
      <c r="A1728" s="307" t="s">
        <v>13</v>
      </c>
      <c r="B1728" s="308"/>
      <c r="C1728" s="308"/>
      <c r="D1728" s="308"/>
      <c r="E1728" s="311"/>
      <c r="F1728" s="309">
        <f>IFERROR(VLOOKUP(K1723,'2026.01'!A:Y,24,0),0)</f>
        <v>26</v>
      </c>
      <c r="G1728" s="310"/>
      <c r="K1728" s="300"/>
    </row>
    <row r="1729" ht="15" customHeight="1" spans="1:11">
      <c r="A1729" s="307" t="s">
        <v>14</v>
      </c>
      <c r="B1729" s="308"/>
      <c r="C1729" s="308"/>
      <c r="D1729" s="308"/>
      <c r="E1729" s="311"/>
      <c r="F1729" s="309">
        <f>IFERROR(VLOOKUP(K1723,'2026.01'!A:Y,12,0),0)</f>
        <v>160</v>
      </c>
      <c r="G1729" s="310"/>
      <c r="K1729" s="300"/>
    </row>
    <row r="1730" ht="21" customHeight="1" spans="1:11">
      <c r="A1730" s="307" t="s">
        <v>15</v>
      </c>
      <c r="B1730" s="308"/>
      <c r="C1730" s="308"/>
      <c r="D1730" s="308"/>
      <c r="E1730" s="311"/>
      <c r="F1730" s="309">
        <f>IFERROR(VLOOKUP(K1723,'2026.01'!A:Y,9,0),0)</f>
        <v>2500</v>
      </c>
      <c r="G1730" s="310"/>
      <c r="K1730" s="300"/>
    </row>
    <row r="1731" ht="19" customHeight="1" spans="1:11">
      <c r="A1731" s="307" t="s">
        <v>16</v>
      </c>
      <c r="B1731" s="308"/>
      <c r="C1731" s="308"/>
      <c r="D1731" s="308"/>
      <c r="E1731" s="308"/>
      <c r="F1731" s="309">
        <f>IFERROR(VLOOKUP(K1723,'2026.01'!A:Y,10,0),0)</f>
        <v>200</v>
      </c>
      <c r="G1731" s="310"/>
      <c r="K1731" s="300"/>
    </row>
    <row r="1732" ht="21" customHeight="1" spans="1:11">
      <c r="A1732" s="307" t="s">
        <v>17</v>
      </c>
      <c r="B1732" s="308"/>
      <c r="C1732" s="308"/>
      <c r="D1732" s="308"/>
      <c r="E1732" s="308"/>
      <c r="F1732" s="309">
        <f>IFERROR(VLOOKUP(K1723,'2026.01'!A:Y,19,0),0)</f>
        <v>29</v>
      </c>
      <c r="G1732" s="310"/>
      <c r="K1732" s="300"/>
    </row>
    <row r="1733" ht="17.15" customHeight="1" spans="1:11">
      <c r="A1733" s="307" t="s">
        <v>18</v>
      </c>
      <c r="B1733" s="308"/>
      <c r="C1733" s="308"/>
      <c r="D1733" s="308"/>
      <c r="E1733" s="308"/>
      <c r="F1733" s="309">
        <f>IFERROR(VLOOKUP(K1723,'2026.01'!A:Y,22,0),0)</f>
        <v>140</v>
      </c>
      <c r="G1733" s="310"/>
      <c r="K1733" s="300"/>
    </row>
    <row r="1734" ht="17.15" customHeight="1" spans="1:11">
      <c r="A1734" s="307" t="s">
        <v>19</v>
      </c>
      <c r="B1734" s="312"/>
      <c r="C1734" s="308"/>
      <c r="D1734" s="313"/>
      <c r="E1734" s="308"/>
      <c r="F1734" s="309">
        <f>IFERROR(VLOOKUP(K1723,'2026.01'!A:Y,25,0),0)</f>
        <v>3089</v>
      </c>
      <c r="G1734" s="310"/>
      <c r="K1734" s="300"/>
    </row>
    <row r="1735" ht="15" customHeight="1" spans="1:11">
      <c r="A1735" s="314" t="s">
        <v>20</v>
      </c>
      <c r="B1735" s="315">
        <f>IF(F1734&lt;0,"金额为负，无效",INT(F1734))</f>
        <v>3089</v>
      </c>
      <c r="C1735" s="315"/>
      <c r="D1735" s="315"/>
      <c r="E1735" s="316" t="s">
        <v>21</v>
      </c>
      <c r="F1735" s="317"/>
      <c r="G1735" s="318"/>
      <c r="K1735" s="300"/>
    </row>
    <row r="1736" ht="23" customHeight="1" spans="1:11">
      <c r="A1736" s="319"/>
      <c r="B1736" s="320"/>
      <c r="C1736" s="320"/>
      <c r="D1736" s="320"/>
      <c r="E1736" s="319"/>
      <c r="F1736" s="321"/>
      <c r="G1736" s="322"/>
      <c r="K1736" s="300"/>
    </row>
    <row r="1737" ht="27" customHeight="1" spans="1:11">
      <c r="A1737" s="298" t="s">
        <v>0</v>
      </c>
      <c r="B1737" s="298"/>
      <c r="C1737" s="298"/>
      <c r="D1737" s="298"/>
      <c r="E1737" s="298"/>
      <c r="F1737" s="298"/>
      <c r="G1737" s="298"/>
      <c r="H1737" s="299"/>
      <c r="I1737" s="299"/>
      <c r="J1737" s="299"/>
      <c r="K1737" s="300">
        <v>125</v>
      </c>
    </row>
    <row r="1738" ht="15" customHeight="1" spans="1:11">
      <c r="A1738" s="301" t="s">
        <v>1</v>
      </c>
      <c r="B1738" s="301"/>
      <c r="C1738" s="301"/>
      <c r="D1738" s="301"/>
      <c r="E1738" s="301"/>
      <c r="F1738" s="301"/>
      <c r="G1738" s="302" t="str">
        <f>IFERROR(VLOOKUP(K1737,'2026.01'!A:Y,2,0),0)</f>
        <v>NO:125</v>
      </c>
      <c r="K1738" s="300"/>
    </row>
    <row r="1739" ht="15" customHeight="1" spans="1:11">
      <c r="A1739" s="303" t="s">
        <v>2</v>
      </c>
      <c r="B1739" s="304">
        <f>IFERROR(VLOOKUP(K1737,'2026.01'!A:Y,6,0),0)</f>
        <v>2055</v>
      </c>
      <c r="C1739" s="304"/>
      <c r="D1739" s="305" t="s">
        <v>3</v>
      </c>
      <c r="E1739" s="305" t="str">
        <f>IFERROR(VLOOKUP(K1737,'2026.01'!A:Y,7,0),0)</f>
        <v>孙瑜</v>
      </c>
      <c r="F1739" s="305"/>
      <c r="G1739" s="306" t="s">
        <v>4</v>
      </c>
      <c r="K1739" s="300"/>
    </row>
    <row r="1740" ht="15" customHeight="1" spans="1:11">
      <c r="A1740" s="307" t="s">
        <v>5</v>
      </c>
      <c r="B1740" s="308" t="s">
        <v>6</v>
      </c>
      <c r="C1740" s="308" t="s">
        <v>7</v>
      </c>
      <c r="D1740" s="308" t="s">
        <v>8</v>
      </c>
      <c r="E1740" s="308" t="s">
        <v>9</v>
      </c>
      <c r="F1740" s="309" t="s">
        <v>10</v>
      </c>
      <c r="G1740" s="310" t="s">
        <v>11</v>
      </c>
      <c r="K1740" s="300"/>
    </row>
    <row r="1741" ht="15" customHeight="1" spans="1:11">
      <c r="A1741" s="307" t="s">
        <v>12</v>
      </c>
      <c r="B1741" s="308">
        <f>IFERROR(VLOOKUP(K1737,'2026.01'!A:Y,14,0),0)</f>
        <v>6508</v>
      </c>
      <c r="C1741" s="308">
        <f>IFERROR(VLOOKUP(K1737,'2026.01'!A:Y,13,0),0)</f>
        <v>6508</v>
      </c>
      <c r="D1741" s="308">
        <f>IFERROR(VLOOKUP(K1737,'2026.01'!A:Y,15,0),0)</f>
        <v>0</v>
      </c>
      <c r="E1741" s="311">
        <f>IFERROR(VLOOKUP(K1737,'2026.01'!A:Y,18,0),0)</f>
        <v>0.8</v>
      </c>
      <c r="F1741" s="309">
        <f>IFERROR(VLOOKUP(K1737,'2026.01'!A:Y,20,0),0)</f>
        <v>0</v>
      </c>
      <c r="G1741" s="310"/>
      <c r="K1741" s="300"/>
    </row>
    <row r="1742" ht="15" customHeight="1" spans="1:11">
      <c r="A1742" s="307" t="s">
        <v>13</v>
      </c>
      <c r="B1742" s="308"/>
      <c r="C1742" s="308"/>
      <c r="D1742" s="308"/>
      <c r="E1742" s="311"/>
      <c r="F1742" s="309">
        <f>IFERROR(VLOOKUP(K1737,'2026.01'!A:Y,24,0),0)</f>
        <v>26</v>
      </c>
      <c r="G1742" s="310"/>
      <c r="K1742" s="300"/>
    </row>
    <row r="1743" ht="15" customHeight="1" spans="1:11">
      <c r="A1743" s="307" t="s">
        <v>14</v>
      </c>
      <c r="B1743" s="308"/>
      <c r="C1743" s="308"/>
      <c r="D1743" s="308"/>
      <c r="E1743" s="311"/>
      <c r="F1743" s="309">
        <f>IFERROR(VLOOKUP(K1737,'2026.01'!A:Y,12,0),0)</f>
        <v>160</v>
      </c>
      <c r="G1743" s="310"/>
      <c r="K1743" s="300"/>
    </row>
    <row r="1744" ht="21" customHeight="1" spans="1:11">
      <c r="A1744" s="307" t="s">
        <v>15</v>
      </c>
      <c r="B1744" s="308"/>
      <c r="C1744" s="308"/>
      <c r="D1744" s="308"/>
      <c r="E1744" s="311"/>
      <c r="F1744" s="309">
        <f>IFERROR(VLOOKUP(K1737,'2026.01'!A:Y,9,0),0)</f>
        <v>2500</v>
      </c>
      <c r="G1744" s="310"/>
      <c r="K1744" s="300"/>
    </row>
    <row r="1745" ht="19" customHeight="1" spans="1:11">
      <c r="A1745" s="307" t="s">
        <v>16</v>
      </c>
      <c r="B1745" s="308"/>
      <c r="C1745" s="308"/>
      <c r="D1745" s="308"/>
      <c r="E1745" s="308"/>
      <c r="F1745" s="309">
        <f>IFERROR(VLOOKUP(K1737,'2026.01'!A:Y,10,0),0)</f>
        <v>200</v>
      </c>
      <c r="G1745" s="310"/>
      <c r="K1745" s="300"/>
    </row>
    <row r="1746" ht="21" customHeight="1" spans="1:11">
      <c r="A1746" s="307" t="s">
        <v>17</v>
      </c>
      <c r="B1746" s="308"/>
      <c r="C1746" s="308"/>
      <c r="D1746" s="308"/>
      <c r="E1746" s="308"/>
      <c r="F1746" s="309">
        <f>IFERROR(VLOOKUP(K1737,'2026.01'!A:Y,19,0),0)</f>
        <v>0</v>
      </c>
      <c r="G1746" s="310"/>
      <c r="K1746" s="300"/>
    </row>
    <row r="1747" ht="17.15" customHeight="1" spans="1:11">
      <c r="A1747" s="307" t="s">
        <v>18</v>
      </c>
      <c r="B1747" s="308"/>
      <c r="C1747" s="308"/>
      <c r="D1747" s="308"/>
      <c r="E1747" s="308"/>
      <c r="F1747" s="309">
        <f>IFERROR(VLOOKUP(K1737,'2026.01'!A:Y,22,0),0)</f>
        <v>140</v>
      </c>
      <c r="G1747" s="310"/>
      <c r="K1747" s="300"/>
    </row>
    <row r="1748" ht="17.15" customHeight="1" spans="1:11">
      <c r="A1748" s="307" t="s">
        <v>19</v>
      </c>
      <c r="B1748" s="312"/>
      <c r="C1748" s="308"/>
      <c r="D1748" s="313"/>
      <c r="E1748" s="308"/>
      <c r="F1748" s="309">
        <f>IFERROR(VLOOKUP(K1737,'2026.01'!A:Y,25,0),0)</f>
        <v>3026</v>
      </c>
      <c r="G1748" s="310"/>
      <c r="K1748" s="300"/>
    </row>
    <row r="1749" ht="15" customHeight="1" spans="1:11">
      <c r="A1749" s="314" t="s">
        <v>20</v>
      </c>
      <c r="B1749" s="315">
        <f>IF(F1748&lt;0,"金额为负，无效",INT(F1748))</f>
        <v>3026</v>
      </c>
      <c r="C1749" s="315"/>
      <c r="D1749" s="315"/>
      <c r="E1749" s="316" t="s">
        <v>21</v>
      </c>
      <c r="F1749" s="317"/>
      <c r="G1749" s="318"/>
      <c r="K1749" s="300"/>
    </row>
    <row r="1750" ht="23" customHeight="1" spans="1:11">
      <c r="A1750" s="319"/>
      <c r="B1750" s="320"/>
      <c r="C1750" s="320"/>
      <c r="D1750" s="320"/>
      <c r="E1750" s="319"/>
      <c r="F1750" s="321"/>
      <c r="G1750" s="322"/>
      <c r="K1750" s="300"/>
    </row>
    <row r="1751" ht="27" customHeight="1" spans="1:11">
      <c r="A1751" s="298" t="s">
        <v>0</v>
      </c>
      <c r="B1751" s="298"/>
      <c r="C1751" s="298"/>
      <c r="D1751" s="298"/>
      <c r="E1751" s="298"/>
      <c r="F1751" s="298"/>
      <c r="G1751" s="298"/>
      <c r="H1751" s="299"/>
      <c r="I1751" s="299"/>
      <c r="J1751" s="299"/>
      <c r="K1751" s="300">
        <v>126</v>
      </c>
    </row>
    <row r="1752" ht="15" customHeight="1" spans="1:11">
      <c r="A1752" s="301" t="s">
        <v>1</v>
      </c>
      <c r="B1752" s="301"/>
      <c r="C1752" s="301"/>
      <c r="D1752" s="301"/>
      <c r="E1752" s="301"/>
      <c r="F1752" s="301"/>
      <c r="G1752" s="302" t="str">
        <f>IFERROR(VLOOKUP(K1751,'2026.01'!A:Y,2,0),0)</f>
        <v>NO:126</v>
      </c>
      <c r="K1752" s="300"/>
    </row>
    <row r="1753" ht="15" customHeight="1" spans="1:11">
      <c r="A1753" s="303" t="s">
        <v>2</v>
      </c>
      <c r="B1753" s="304">
        <f>IFERROR(VLOOKUP(K1751,'2026.01'!A:Y,6,0),0)</f>
        <v>2056</v>
      </c>
      <c r="C1753" s="304"/>
      <c r="D1753" s="305" t="s">
        <v>3</v>
      </c>
      <c r="E1753" s="305" t="str">
        <f>IFERROR(VLOOKUP(K1751,'2026.01'!A:Y,7,0),0)</f>
        <v>黄裕国</v>
      </c>
      <c r="F1753" s="305"/>
      <c r="G1753" s="306" t="s">
        <v>4</v>
      </c>
      <c r="K1753" s="300"/>
    </row>
    <row r="1754" ht="15" customHeight="1" spans="1:11">
      <c r="A1754" s="307" t="s">
        <v>5</v>
      </c>
      <c r="B1754" s="308" t="s">
        <v>6</v>
      </c>
      <c r="C1754" s="308" t="s">
        <v>7</v>
      </c>
      <c r="D1754" s="308" t="s">
        <v>8</v>
      </c>
      <c r="E1754" s="308" t="s">
        <v>9</v>
      </c>
      <c r="F1754" s="309" t="s">
        <v>10</v>
      </c>
      <c r="G1754" s="310" t="s">
        <v>11</v>
      </c>
      <c r="K1754" s="300"/>
    </row>
    <row r="1755" ht="15" customHeight="1" spans="1:11">
      <c r="A1755" s="307" t="s">
        <v>12</v>
      </c>
      <c r="B1755" s="308">
        <f>IFERROR(VLOOKUP(K1751,'2026.01'!A:Y,14,0),0)</f>
        <v>624</v>
      </c>
      <c r="C1755" s="308">
        <f>IFERROR(VLOOKUP(K1751,'2026.01'!A:Y,13,0),0)</f>
        <v>582</v>
      </c>
      <c r="D1755" s="308">
        <f>IFERROR(VLOOKUP(K1751,'2026.01'!A:Y,15,0),0)</f>
        <v>42</v>
      </c>
      <c r="E1755" s="311">
        <f>IFERROR(VLOOKUP(K1751,'2026.01'!A:Y,18,0),0)</f>
        <v>0.8</v>
      </c>
      <c r="F1755" s="309">
        <f>IFERROR(VLOOKUP(K1751,'2026.01'!A:Y,20,0),0)</f>
        <v>34</v>
      </c>
      <c r="G1755" s="310"/>
      <c r="K1755" s="300"/>
    </row>
    <row r="1756" ht="15" customHeight="1" spans="1:11">
      <c r="A1756" s="307" t="s">
        <v>13</v>
      </c>
      <c r="B1756" s="308"/>
      <c r="C1756" s="308"/>
      <c r="D1756" s="308"/>
      <c r="E1756" s="311"/>
      <c r="F1756" s="309">
        <f>IFERROR(VLOOKUP(K1751,'2026.01'!A:Y,24,0),0)</f>
        <v>26</v>
      </c>
      <c r="G1756" s="310"/>
      <c r="K1756" s="300"/>
    </row>
    <row r="1757" ht="15" customHeight="1" spans="1:11">
      <c r="A1757" s="307" t="s">
        <v>14</v>
      </c>
      <c r="B1757" s="308"/>
      <c r="C1757" s="308"/>
      <c r="D1757" s="308"/>
      <c r="E1757" s="311"/>
      <c r="F1757" s="309">
        <f>IFERROR(VLOOKUP(K1751,'2026.01'!A:Y,12,0),0)</f>
        <v>160</v>
      </c>
      <c r="G1757" s="310"/>
      <c r="K1757" s="300"/>
    </row>
    <row r="1758" ht="21" customHeight="1" spans="1:11">
      <c r="A1758" s="307" t="s">
        <v>15</v>
      </c>
      <c r="B1758" s="308"/>
      <c r="C1758" s="308"/>
      <c r="D1758" s="308"/>
      <c r="E1758" s="311"/>
      <c r="F1758" s="309">
        <f>IFERROR(VLOOKUP(K1751,'2026.01'!A:Y,9,0),0)</f>
        <v>2500</v>
      </c>
      <c r="G1758" s="310"/>
      <c r="K1758" s="300"/>
    </row>
    <row r="1759" ht="19" customHeight="1" spans="1:11">
      <c r="A1759" s="307" t="s">
        <v>16</v>
      </c>
      <c r="B1759" s="308"/>
      <c r="C1759" s="308"/>
      <c r="D1759" s="308"/>
      <c r="E1759" s="308"/>
      <c r="F1759" s="309">
        <f>IFERROR(VLOOKUP(K1751,'2026.01'!A:Y,10,0),0)</f>
        <v>200</v>
      </c>
      <c r="G1759" s="310"/>
      <c r="K1759" s="300"/>
    </row>
    <row r="1760" ht="21" customHeight="1" spans="1:11">
      <c r="A1760" s="307" t="s">
        <v>17</v>
      </c>
      <c r="B1760" s="308"/>
      <c r="C1760" s="308"/>
      <c r="D1760" s="308"/>
      <c r="E1760" s="308"/>
      <c r="F1760" s="309">
        <f>IFERROR(VLOOKUP(K1751,'2026.01'!A:Y,19,0),0)</f>
        <v>29</v>
      </c>
      <c r="G1760" s="310"/>
      <c r="K1760" s="300"/>
    </row>
    <row r="1761" ht="17.15" customHeight="1" spans="1:11">
      <c r="A1761" s="307" t="s">
        <v>18</v>
      </c>
      <c r="B1761" s="308"/>
      <c r="C1761" s="308"/>
      <c r="D1761" s="308"/>
      <c r="E1761" s="308"/>
      <c r="F1761" s="309">
        <f>IFERROR(VLOOKUP(K1751,'2026.01'!A:Y,22,0),0)</f>
        <v>140</v>
      </c>
      <c r="G1761" s="310"/>
      <c r="K1761" s="300"/>
    </row>
    <row r="1762" ht="17.15" customHeight="1" spans="1:11">
      <c r="A1762" s="307" t="s">
        <v>19</v>
      </c>
      <c r="B1762" s="312"/>
      <c r="C1762" s="308"/>
      <c r="D1762" s="313"/>
      <c r="E1762" s="308"/>
      <c r="F1762" s="309">
        <f>IFERROR(VLOOKUP(K1751,'2026.01'!A:Y,25,0),0)</f>
        <v>3089</v>
      </c>
      <c r="G1762" s="310"/>
      <c r="K1762" s="300"/>
    </row>
    <row r="1763" ht="15" customHeight="1" spans="1:11">
      <c r="A1763" s="314" t="s">
        <v>20</v>
      </c>
      <c r="B1763" s="315">
        <f>IF(F1762&lt;0,"金额为负，无效",INT(F1762))</f>
        <v>3089</v>
      </c>
      <c r="C1763" s="315"/>
      <c r="D1763" s="315"/>
      <c r="E1763" s="316" t="s">
        <v>21</v>
      </c>
      <c r="F1763" s="317"/>
      <c r="G1763" s="318"/>
      <c r="K1763" s="300"/>
    </row>
    <row r="1764" ht="15" customHeight="1" spans="1:11">
      <c r="A1764" s="319"/>
      <c r="B1764" s="320"/>
      <c r="C1764" s="320"/>
      <c r="D1764" s="320"/>
      <c r="E1764" s="319"/>
      <c r="F1764" s="321"/>
      <c r="G1764" s="322"/>
      <c r="K1764" s="300"/>
    </row>
    <row r="1765" ht="27" customHeight="1" spans="1:11">
      <c r="A1765" s="298" t="s">
        <v>0</v>
      </c>
      <c r="B1765" s="298"/>
      <c r="C1765" s="298"/>
      <c r="D1765" s="298"/>
      <c r="E1765" s="298"/>
      <c r="F1765" s="298"/>
      <c r="G1765" s="298"/>
      <c r="H1765" s="299"/>
      <c r="I1765" s="299"/>
      <c r="J1765" s="299"/>
      <c r="K1765" s="300">
        <v>127</v>
      </c>
    </row>
    <row r="1766" ht="15" customHeight="1" spans="1:11">
      <c r="A1766" s="301" t="s">
        <v>1</v>
      </c>
      <c r="B1766" s="301"/>
      <c r="C1766" s="301"/>
      <c r="D1766" s="301"/>
      <c r="E1766" s="301"/>
      <c r="F1766" s="301"/>
      <c r="G1766" s="302" t="str">
        <f>IFERROR(VLOOKUP(K1765,'2026.01'!A:Y,2,0),0)</f>
        <v>NO:127</v>
      </c>
      <c r="K1766" s="300"/>
    </row>
    <row r="1767" ht="15" customHeight="1" spans="1:11">
      <c r="A1767" s="303" t="s">
        <v>2</v>
      </c>
      <c r="B1767" s="304">
        <f>IFERROR(VLOOKUP(K1765,'2026.01'!A:Y,6,0),0)</f>
        <v>2057</v>
      </c>
      <c r="C1767" s="304"/>
      <c r="D1767" s="305" t="s">
        <v>3</v>
      </c>
      <c r="E1767" s="305" t="str">
        <f>IFERROR(VLOOKUP(K1765,'2026.01'!A:Y,7,0),0)</f>
        <v>牟军</v>
      </c>
      <c r="F1767" s="305"/>
      <c r="G1767" s="306" t="s">
        <v>4</v>
      </c>
      <c r="K1767" s="300"/>
    </row>
    <row r="1768" ht="15" customHeight="1" spans="1:11">
      <c r="A1768" s="307" t="s">
        <v>5</v>
      </c>
      <c r="B1768" s="308" t="s">
        <v>6</v>
      </c>
      <c r="C1768" s="308" t="s">
        <v>7</v>
      </c>
      <c r="D1768" s="308" t="s">
        <v>8</v>
      </c>
      <c r="E1768" s="308" t="s">
        <v>9</v>
      </c>
      <c r="F1768" s="309" t="s">
        <v>10</v>
      </c>
      <c r="G1768" s="310" t="s">
        <v>11</v>
      </c>
      <c r="K1768" s="300"/>
    </row>
    <row r="1769" ht="15" customHeight="1" spans="1:11">
      <c r="A1769" s="307" t="s">
        <v>12</v>
      </c>
      <c r="B1769" s="308">
        <f>IFERROR(VLOOKUP(K1765,'2026.01'!A:Y,14,0),0)</f>
        <v>8565</v>
      </c>
      <c r="C1769" s="308">
        <f>IFERROR(VLOOKUP(K1765,'2026.01'!A:Y,13,0),0)</f>
        <v>8533</v>
      </c>
      <c r="D1769" s="308">
        <f>IFERROR(VLOOKUP(K1765,'2026.01'!A:Y,15,0),0)</f>
        <v>32</v>
      </c>
      <c r="E1769" s="311">
        <f>IFERROR(VLOOKUP(K1765,'2026.01'!A:Y,18,0),0)</f>
        <v>0.8</v>
      </c>
      <c r="F1769" s="309">
        <f>IFERROR(VLOOKUP(K1765,'2026.01'!A:Y,20,0),0)</f>
        <v>26</v>
      </c>
      <c r="G1769" s="310"/>
      <c r="K1769" s="300"/>
    </row>
    <row r="1770" ht="15" customHeight="1" spans="1:11">
      <c r="A1770" s="307" t="s">
        <v>13</v>
      </c>
      <c r="B1770" s="308"/>
      <c r="C1770" s="308"/>
      <c r="D1770" s="308"/>
      <c r="E1770" s="311"/>
      <c r="F1770" s="309">
        <f>IFERROR(VLOOKUP(K1765,'2026.01'!A:Y,24,0),0)</f>
        <v>26</v>
      </c>
      <c r="G1770" s="310"/>
      <c r="K1770" s="300"/>
    </row>
    <row r="1771" ht="15" customHeight="1" spans="1:11">
      <c r="A1771" s="307" t="s">
        <v>14</v>
      </c>
      <c r="B1771" s="308"/>
      <c r="C1771" s="308"/>
      <c r="D1771" s="308"/>
      <c r="E1771" s="311"/>
      <c r="F1771" s="309">
        <f>IFERROR(VLOOKUP(K1765,'2026.01'!A:Y,12,0),0)</f>
        <v>160</v>
      </c>
      <c r="G1771" s="310"/>
      <c r="K1771" s="300"/>
    </row>
    <row r="1772" ht="21" customHeight="1" spans="1:11">
      <c r="A1772" s="307" t="s">
        <v>15</v>
      </c>
      <c r="B1772" s="308"/>
      <c r="C1772" s="308"/>
      <c r="D1772" s="308"/>
      <c r="E1772" s="311"/>
      <c r="F1772" s="309">
        <f>IFERROR(VLOOKUP(K1765,'2026.01'!A:Y,9,0),0)</f>
        <v>2500</v>
      </c>
      <c r="G1772" s="310"/>
      <c r="K1772" s="300"/>
    </row>
    <row r="1773" ht="19" customHeight="1" spans="1:11">
      <c r="A1773" s="307" t="s">
        <v>16</v>
      </c>
      <c r="B1773" s="308"/>
      <c r="C1773" s="308"/>
      <c r="D1773" s="308"/>
      <c r="E1773" s="308"/>
      <c r="F1773" s="309">
        <f>IFERROR(VLOOKUP(K1765,'2026.01'!A:Y,10,0),0)</f>
        <v>200</v>
      </c>
      <c r="G1773" s="310"/>
      <c r="K1773" s="300"/>
    </row>
    <row r="1774" ht="21" customHeight="1" spans="1:11">
      <c r="A1774" s="307" t="s">
        <v>17</v>
      </c>
      <c r="B1774" s="308"/>
      <c r="C1774" s="308"/>
      <c r="D1774" s="308"/>
      <c r="E1774" s="308"/>
      <c r="F1774" s="309">
        <f>IFERROR(VLOOKUP(K1765,'2026.01'!A:Y,19,0),0)</f>
        <v>22</v>
      </c>
      <c r="G1774" s="310"/>
      <c r="K1774" s="300"/>
    </row>
    <row r="1775" ht="17.15" customHeight="1" spans="1:11">
      <c r="A1775" s="307" t="s">
        <v>18</v>
      </c>
      <c r="B1775" s="308"/>
      <c r="C1775" s="308"/>
      <c r="D1775" s="308"/>
      <c r="E1775" s="308"/>
      <c r="F1775" s="309">
        <f>IFERROR(VLOOKUP(K1765,'2026.01'!A:Y,22,0),0)</f>
        <v>140</v>
      </c>
      <c r="G1775" s="310"/>
      <c r="K1775" s="300"/>
    </row>
    <row r="1776" ht="17.15" customHeight="1" spans="1:11">
      <c r="A1776" s="307" t="s">
        <v>19</v>
      </c>
      <c r="B1776" s="312"/>
      <c r="C1776" s="308"/>
      <c r="D1776" s="313"/>
      <c r="E1776" s="308"/>
      <c r="F1776" s="309">
        <f>IFERROR(VLOOKUP(K1765,'2026.01'!A:Y,25,0),0)</f>
        <v>3074</v>
      </c>
      <c r="G1776" s="310"/>
      <c r="K1776" s="300"/>
    </row>
    <row r="1777" ht="15" customHeight="1" spans="1:11">
      <c r="A1777" s="314" t="s">
        <v>20</v>
      </c>
      <c r="B1777" s="315">
        <f>IF(F1776&lt;0,"金额为负，无效",INT(F1776))</f>
        <v>3074</v>
      </c>
      <c r="C1777" s="315"/>
      <c r="D1777" s="315"/>
      <c r="E1777" s="316" t="s">
        <v>21</v>
      </c>
      <c r="F1777" s="317"/>
      <c r="G1777" s="318"/>
      <c r="K1777" s="300"/>
    </row>
    <row r="1778" ht="23" customHeight="1" spans="1:11">
      <c r="A1778" s="319"/>
      <c r="B1778" s="320"/>
      <c r="C1778" s="320"/>
      <c r="D1778" s="320"/>
      <c r="E1778" s="319"/>
      <c r="F1778" s="321"/>
      <c r="G1778" s="322"/>
      <c r="K1778" s="300"/>
    </row>
    <row r="1779" ht="27" customHeight="1" spans="1:11">
      <c r="A1779" s="298" t="s">
        <v>0</v>
      </c>
      <c r="B1779" s="298"/>
      <c r="C1779" s="298"/>
      <c r="D1779" s="298"/>
      <c r="E1779" s="298"/>
      <c r="F1779" s="298"/>
      <c r="G1779" s="298"/>
      <c r="H1779" s="299"/>
      <c r="I1779" s="299"/>
      <c r="J1779" s="299"/>
      <c r="K1779" s="300">
        <v>128</v>
      </c>
    </row>
    <row r="1780" ht="15" customHeight="1" spans="1:11">
      <c r="A1780" s="301" t="s">
        <v>1</v>
      </c>
      <c r="B1780" s="301"/>
      <c r="C1780" s="301"/>
      <c r="D1780" s="301"/>
      <c r="E1780" s="301"/>
      <c r="F1780" s="301"/>
      <c r="G1780" s="302" t="str">
        <f>IFERROR(VLOOKUP(K1779,'2026.01'!A:Y,2,0),0)</f>
        <v>NO:128</v>
      </c>
      <c r="K1780" s="300"/>
    </row>
    <row r="1781" ht="15" customHeight="1" spans="1:11">
      <c r="A1781" s="303" t="s">
        <v>2</v>
      </c>
      <c r="B1781" s="304">
        <f>IFERROR(VLOOKUP(K1779,'2026.01'!A:Y,6,0),0)</f>
        <v>2058</v>
      </c>
      <c r="C1781" s="304"/>
      <c r="D1781" s="305" t="s">
        <v>3</v>
      </c>
      <c r="E1781" s="305" t="str">
        <f>IFERROR(VLOOKUP(K1779,'2026.01'!A:Y,7,0),0)</f>
        <v>牟军</v>
      </c>
      <c r="F1781" s="305"/>
      <c r="G1781" s="306" t="s">
        <v>4</v>
      </c>
      <c r="K1781" s="300"/>
    </row>
    <row r="1782" ht="15" customHeight="1" spans="1:11">
      <c r="A1782" s="307" t="s">
        <v>5</v>
      </c>
      <c r="B1782" s="308" t="s">
        <v>6</v>
      </c>
      <c r="C1782" s="308" t="s">
        <v>7</v>
      </c>
      <c r="D1782" s="308" t="s">
        <v>8</v>
      </c>
      <c r="E1782" s="308" t="s">
        <v>9</v>
      </c>
      <c r="F1782" s="309" t="s">
        <v>10</v>
      </c>
      <c r="G1782" s="310" t="s">
        <v>11</v>
      </c>
      <c r="K1782" s="300"/>
    </row>
    <row r="1783" ht="15" customHeight="1" spans="1:11">
      <c r="A1783" s="307" t="s">
        <v>12</v>
      </c>
      <c r="B1783" s="308">
        <f>IFERROR(VLOOKUP(K1779,'2026.01'!A:Y,14,0),0)</f>
        <v>212</v>
      </c>
      <c r="C1783" s="308">
        <f>IFERROR(VLOOKUP(K1779,'2026.01'!A:Y,13,0),0)</f>
        <v>170</v>
      </c>
      <c r="D1783" s="308">
        <f>IFERROR(VLOOKUP(K1779,'2026.01'!A:Y,15,0),0)</f>
        <v>42</v>
      </c>
      <c r="E1783" s="311">
        <f>IFERROR(VLOOKUP(K1779,'2026.01'!A:Y,18,0),0)</f>
        <v>0.8</v>
      </c>
      <c r="F1783" s="309">
        <f>IFERROR(VLOOKUP(K1779,'2026.01'!A:Y,20,0),0)</f>
        <v>34</v>
      </c>
      <c r="G1783" s="310"/>
      <c r="K1783" s="300"/>
    </row>
    <row r="1784" ht="15" customHeight="1" spans="1:11">
      <c r="A1784" s="307" t="s">
        <v>13</v>
      </c>
      <c r="B1784" s="308"/>
      <c r="C1784" s="308"/>
      <c r="D1784" s="308"/>
      <c r="E1784" s="311"/>
      <c r="F1784" s="309">
        <f>IFERROR(VLOOKUP(K1779,'2026.01'!A:Y,24,0),0)</f>
        <v>26</v>
      </c>
      <c r="G1784" s="310"/>
      <c r="K1784" s="300"/>
    </row>
    <row r="1785" ht="15" customHeight="1" spans="1:11">
      <c r="A1785" s="307" t="s">
        <v>14</v>
      </c>
      <c r="B1785" s="308"/>
      <c r="C1785" s="308"/>
      <c r="D1785" s="308"/>
      <c r="E1785" s="311"/>
      <c r="F1785" s="309">
        <f>IFERROR(VLOOKUP(K1779,'2026.01'!A:Y,12,0),0)</f>
        <v>160</v>
      </c>
      <c r="G1785" s="310"/>
      <c r="K1785" s="300"/>
    </row>
    <row r="1786" ht="21" customHeight="1" spans="1:11">
      <c r="A1786" s="307" t="s">
        <v>15</v>
      </c>
      <c r="B1786" s="308"/>
      <c r="C1786" s="308"/>
      <c r="D1786" s="308"/>
      <c r="E1786" s="311"/>
      <c r="F1786" s="309">
        <f>IFERROR(VLOOKUP(K1779,'2026.01'!A:Y,9,0),0)</f>
        <v>2500</v>
      </c>
      <c r="G1786" s="310"/>
      <c r="K1786" s="300"/>
    </row>
    <row r="1787" ht="19" customHeight="1" spans="1:11">
      <c r="A1787" s="307" t="s">
        <v>16</v>
      </c>
      <c r="B1787" s="308"/>
      <c r="C1787" s="308"/>
      <c r="D1787" s="308"/>
      <c r="E1787" s="308"/>
      <c r="F1787" s="309">
        <f>IFERROR(VLOOKUP(K1779,'2026.01'!A:Y,10,0),0)</f>
        <v>200</v>
      </c>
      <c r="G1787" s="310"/>
      <c r="K1787" s="300"/>
    </row>
    <row r="1788" ht="21" customHeight="1" spans="1:11">
      <c r="A1788" s="307" t="s">
        <v>17</v>
      </c>
      <c r="B1788" s="308"/>
      <c r="C1788" s="308"/>
      <c r="D1788" s="308"/>
      <c r="E1788" s="308"/>
      <c r="F1788" s="309">
        <f>IFERROR(VLOOKUP(K1779,'2026.01'!A:Y,19,0),0)</f>
        <v>29</v>
      </c>
      <c r="G1788" s="310"/>
      <c r="K1788" s="300"/>
    </row>
    <row r="1789" ht="17.15" customHeight="1" spans="1:11">
      <c r="A1789" s="307" t="s">
        <v>18</v>
      </c>
      <c r="B1789" s="308"/>
      <c r="C1789" s="308"/>
      <c r="D1789" s="308"/>
      <c r="E1789" s="308"/>
      <c r="F1789" s="309">
        <f>IFERROR(VLOOKUP(K1779,'2026.01'!A:Y,22,0),0)</f>
        <v>140</v>
      </c>
      <c r="G1789" s="310"/>
      <c r="K1789" s="300"/>
    </row>
    <row r="1790" ht="17.15" customHeight="1" spans="1:11">
      <c r="A1790" s="307" t="s">
        <v>19</v>
      </c>
      <c r="B1790" s="312"/>
      <c r="C1790" s="308"/>
      <c r="D1790" s="313"/>
      <c r="E1790" s="308"/>
      <c r="F1790" s="309">
        <f>IFERROR(VLOOKUP(K1779,'2026.01'!A:Y,25,0),0)</f>
        <v>3089</v>
      </c>
      <c r="G1790" s="310"/>
      <c r="K1790" s="300"/>
    </row>
    <row r="1791" ht="15" customHeight="1" spans="1:11">
      <c r="A1791" s="314" t="s">
        <v>20</v>
      </c>
      <c r="B1791" s="315">
        <f>IF(F1790&lt;0,"金额为负，无效",INT(F1790))</f>
        <v>3089</v>
      </c>
      <c r="C1791" s="315"/>
      <c r="D1791" s="315"/>
      <c r="E1791" s="316" t="s">
        <v>21</v>
      </c>
      <c r="F1791" s="317"/>
      <c r="G1791" s="318"/>
      <c r="K1791" s="300"/>
    </row>
    <row r="1792" ht="23" customHeight="1" spans="1:11">
      <c r="A1792" s="319"/>
      <c r="B1792" s="320"/>
      <c r="C1792" s="320"/>
      <c r="D1792" s="320"/>
      <c r="E1792" s="319"/>
      <c r="F1792" s="321"/>
      <c r="G1792" s="322"/>
      <c r="K1792" s="300"/>
    </row>
    <row r="1793" ht="27" customHeight="1" spans="1:11">
      <c r="A1793" s="298" t="s">
        <v>0</v>
      </c>
      <c r="B1793" s="298"/>
      <c r="C1793" s="298"/>
      <c r="D1793" s="298"/>
      <c r="E1793" s="298"/>
      <c r="F1793" s="298"/>
      <c r="G1793" s="298"/>
      <c r="H1793" s="299"/>
      <c r="I1793" s="299"/>
      <c r="J1793" s="299"/>
      <c r="K1793" s="300">
        <v>129</v>
      </c>
    </row>
    <row r="1794" ht="15" customHeight="1" spans="1:11">
      <c r="A1794" s="301" t="s">
        <v>1</v>
      </c>
      <c r="B1794" s="301"/>
      <c r="C1794" s="301"/>
      <c r="D1794" s="301"/>
      <c r="E1794" s="301"/>
      <c r="F1794" s="301"/>
      <c r="G1794" s="302" t="str">
        <f>IFERROR(VLOOKUP(K1793,'2026.01'!A:Y,2,0),0)</f>
        <v>NO:129</v>
      </c>
      <c r="K1794" s="300"/>
    </row>
    <row r="1795" ht="15" customHeight="1" spans="1:11">
      <c r="A1795" s="303" t="s">
        <v>2</v>
      </c>
      <c r="B1795" s="304">
        <f>IFERROR(VLOOKUP(K1793,'2026.01'!A:Y,6,0),0)</f>
        <v>2059</v>
      </c>
      <c r="C1795" s="304"/>
      <c r="D1795" s="305" t="s">
        <v>3</v>
      </c>
      <c r="E1795" s="305" t="str">
        <f>IFERROR(VLOOKUP(K1793,'2026.01'!A:Y,7,0),0)</f>
        <v>陈惜萍</v>
      </c>
      <c r="F1795" s="305"/>
      <c r="G1795" s="306" t="s">
        <v>4</v>
      </c>
      <c r="K1795" s="300"/>
    </row>
    <row r="1796" ht="15" customHeight="1" spans="1:11">
      <c r="A1796" s="307" t="s">
        <v>5</v>
      </c>
      <c r="B1796" s="308" t="s">
        <v>6</v>
      </c>
      <c r="C1796" s="308" t="s">
        <v>7</v>
      </c>
      <c r="D1796" s="308" t="s">
        <v>8</v>
      </c>
      <c r="E1796" s="308" t="s">
        <v>9</v>
      </c>
      <c r="F1796" s="309" t="s">
        <v>10</v>
      </c>
      <c r="G1796" s="310" t="s">
        <v>11</v>
      </c>
      <c r="K1796" s="300"/>
    </row>
    <row r="1797" ht="15" customHeight="1" spans="1:11">
      <c r="A1797" s="307" t="s">
        <v>12</v>
      </c>
      <c r="B1797" s="308">
        <f>IFERROR(VLOOKUP(K1793,'2026.01'!A:Y,14,0),0)</f>
        <v>319</v>
      </c>
      <c r="C1797" s="308">
        <f>IFERROR(VLOOKUP(K1793,'2026.01'!A:Y,13,0),0)</f>
        <v>245</v>
      </c>
      <c r="D1797" s="308">
        <f>IFERROR(VLOOKUP(K1793,'2026.01'!A:Y,15,0),0)</f>
        <v>74</v>
      </c>
      <c r="E1797" s="311">
        <f>IFERROR(VLOOKUP(K1793,'2026.01'!A:Y,18,0),0)</f>
        <v>0.8</v>
      </c>
      <c r="F1797" s="309">
        <f>IFERROR(VLOOKUP(K1793,'2026.01'!A:Y,20,0),0)</f>
        <v>59</v>
      </c>
      <c r="G1797" s="310"/>
      <c r="K1797" s="300"/>
    </row>
    <row r="1798" ht="15" customHeight="1" spans="1:11">
      <c r="A1798" s="307" t="s">
        <v>13</v>
      </c>
      <c r="B1798" s="308"/>
      <c r="C1798" s="308"/>
      <c r="D1798" s="308"/>
      <c r="E1798" s="311"/>
      <c r="F1798" s="309">
        <f>IFERROR(VLOOKUP(K1793,'2026.01'!A:Y,24,0),0)</f>
        <v>26</v>
      </c>
      <c r="G1798" s="310"/>
      <c r="K1798" s="300"/>
    </row>
    <row r="1799" ht="15" customHeight="1" spans="1:11">
      <c r="A1799" s="307" t="s">
        <v>14</v>
      </c>
      <c r="B1799" s="308"/>
      <c r="C1799" s="308"/>
      <c r="D1799" s="308"/>
      <c r="E1799" s="311"/>
      <c r="F1799" s="309">
        <f>IFERROR(VLOOKUP(K1793,'2026.01'!A:Y,12,0),0)</f>
        <v>160</v>
      </c>
      <c r="G1799" s="310"/>
      <c r="K1799" s="300"/>
    </row>
    <row r="1800" ht="21" customHeight="1" spans="1:11">
      <c r="A1800" s="307" t="s">
        <v>15</v>
      </c>
      <c r="B1800" s="308"/>
      <c r="C1800" s="308"/>
      <c r="D1800" s="308"/>
      <c r="E1800" s="311"/>
      <c r="F1800" s="309">
        <f>IFERROR(VLOOKUP(K1793,'2026.01'!A:Y,9,0),0)</f>
        <v>2500</v>
      </c>
      <c r="G1800" s="310"/>
      <c r="K1800" s="300"/>
    </row>
    <row r="1801" ht="19" customHeight="1" spans="1:11">
      <c r="A1801" s="307" t="s">
        <v>16</v>
      </c>
      <c r="B1801" s="308"/>
      <c r="C1801" s="308"/>
      <c r="D1801" s="308"/>
      <c r="E1801" s="308"/>
      <c r="F1801" s="309">
        <f>IFERROR(VLOOKUP(K1793,'2026.01'!A:Y,10,0),0)</f>
        <v>200</v>
      </c>
      <c r="G1801" s="310"/>
      <c r="K1801" s="300"/>
    </row>
    <row r="1802" ht="21" customHeight="1" spans="1:11">
      <c r="A1802" s="307" t="s">
        <v>17</v>
      </c>
      <c r="B1802" s="308"/>
      <c r="C1802" s="308"/>
      <c r="D1802" s="308"/>
      <c r="E1802" s="308"/>
      <c r="F1802" s="309">
        <f>IFERROR(VLOOKUP(K1793,'2026.01'!A:Y,19,0),0)</f>
        <v>52</v>
      </c>
      <c r="G1802" s="310"/>
      <c r="K1802" s="300"/>
    </row>
    <row r="1803" ht="17.15" customHeight="1" spans="1:11">
      <c r="A1803" s="307" t="s">
        <v>18</v>
      </c>
      <c r="B1803" s="308"/>
      <c r="C1803" s="308"/>
      <c r="D1803" s="308"/>
      <c r="E1803" s="308"/>
      <c r="F1803" s="309">
        <f>IFERROR(VLOOKUP(K1793,'2026.01'!A:Y,22,0),0)</f>
        <v>140</v>
      </c>
      <c r="G1803" s="310"/>
      <c r="K1803" s="300"/>
    </row>
    <row r="1804" ht="17.15" customHeight="1" spans="1:11">
      <c r="A1804" s="307" t="s">
        <v>19</v>
      </c>
      <c r="B1804" s="312"/>
      <c r="C1804" s="308"/>
      <c r="D1804" s="313"/>
      <c r="E1804" s="308"/>
      <c r="F1804" s="309">
        <f>IFERROR(VLOOKUP(K1793,'2026.01'!A:Y,25,0),0)</f>
        <v>3137</v>
      </c>
      <c r="G1804" s="310"/>
      <c r="K1804" s="300"/>
    </row>
    <row r="1805" ht="15" customHeight="1" spans="1:11">
      <c r="A1805" s="314" t="s">
        <v>20</v>
      </c>
      <c r="B1805" s="315">
        <f>IF(F1804&lt;0,"金额为负，无效",INT(F1804))</f>
        <v>3137</v>
      </c>
      <c r="C1805" s="315"/>
      <c r="D1805" s="315"/>
      <c r="E1805" s="316" t="s">
        <v>21</v>
      </c>
      <c r="F1805" s="317"/>
      <c r="G1805" s="318"/>
      <c r="K1805" s="300"/>
    </row>
    <row r="1806" ht="15" customHeight="1" spans="1:11">
      <c r="A1806" s="319"/>
      <c r="B1806" s="320"/>
      <c r="C1806" s="320"/>
      <c r="D1806" s="320"/>
      <c r="E1806" s="319"/>
      <c r="F1806" s="321"/>
      <c r="G1806" s="322"/>
      <c r="K1806" s="300"/>
    </row>
    <row r="1807" ht="27" customHeight="1" spans="1:11">
      <c r="A1807" s="298" t="s">
        <v>0</v>
      </c>
      <c r="B1807" s="298"/>
      <c r="C1807" s="298"/>
      <c r="D1807" s="298"/>
      <c r="E1807" s="298"/>
      <c r="F1807" s="298"/>
      <c r="G1807" s="298"/>
      <c r="H1807" s="299"/>
      <c r="I1807" s="299"/>
      <c r="J1807" s="299"/>
      <c r="K1807" s="300">
        <v>130</v>
      </c>
    </row>
    <row r="1808" ht="15" customHeight="1" spans="1:11">
      <c r="A1808" s="301" t="s">
        <v>1</v>
      </c>
      <c r="B1808" s="301"/>
      <c r="C1808" s="301"/>
      <c r="D1808" s="301"/>
      <c r="E1808" s="301"/>
      <c r="F1808" s="301"/>
      <c r="G1808" s="302" t="str">
        <f>IFERROR(VLOOKUP(K1807,'2026.01'!A:Y,2,0),0)</f>
        <v>NO:130</v>
      </c>
      <c r="K1808" s="300"/>
    </row>
    <row r="1809" ht="15" customHeight="1" spans="1:11">
      <c r="A1809" s="303" t="s">
        <v>2</v>
      </c>
      <c r="B1809" s="304">
        <f>IFERROR(VLOOKUP(K1807,'2026.01'!A:Y,6,0),0)</f>
        <v>2060</v>
      </c>
      <c r="C1809" s="304"/>
      <c r="D1809" s="305" t="s">
        <v>3</v>
      </c>
      <c r="E1809" s="305" t="str">
        <f>IFERROR(VLOOKUP(K1807,'2026.01'!A:Y,7,0),0)</f>
        <v>刘光明</v>
      </c>
      <c r="F1809" s="305"/>
      <c r="G1809" s="306" t="s">
        <v>4</v>
      </c>
      <c r="K1809" s="300"/>
    </row>
    <row r="1810" ht="15" customHeight="1" spans="1:11">
      <c r="A1810" s="307" t="s">
        <v>5</v>
      </c>
      <c r="B1810" s="308" t="s">
        <v>6</v>
      </c>
      <c r="C1810" s="308" t="s">
        <v>7</v>
      </c>
      <c r="D1810" s="308" t="s">
        <v>8</v>
      </c>
      <c r="E1810" s="308" t="s">
        <v>9</v>
      </c>
      <c r="F1810" s="309" t="s">
        <v>10</v>
      </c>
      <c r="G1810" s="310" t="s">
        <v>11</v>
      </c>
      <c r="K1810" s="300"/>
    </row>
    <row r="1811" ht="15" customHeight="1" spans="1:11">
      <c r="A1811" s="307" t="s">
        <v>12</v>
      </c>
      <c r="B1811" s="308">
        <f>IFERROR(VLOOKUP(K1807,'2026.01'!A:Y,14,0),0)</f>
        <v>2074</v>
      </c>
      <c r="C1811" s="308">
        <f>IFERROR(VLOOKUP(K1807,'2026.01'!A:Y,13,0),0)</f>
        <v>2027</v>
      </c>
      <c r="D1811" s="308">
        <f>IFERROR(VLOOKUP(K1807,'2026.01'!A:Y,15,0),0)</f>
        <v>47</v>
      </c>
      <c r="E1811" s="311">
        <f>IFERROR(VLOOKUP(K1807,'2026.01'!A:Y,18,0),0)</f>
        <v>0.8</v>
      </c>
      <c r="F1811" s="309">
        <f>IFERROR(VLOOKUP(K1807,'2026.01'!A:Y,20,0),0)</f>
        <v>38</v>
      </c>
      <c r="G1811" s="310"/>
      <c r="K1811" s="300"/>
    </row>
    <row r="1812" ht="15" customHeight="1" spans="1:11">
      <c r="A1812" s="307" t="s">
        <v>13</v>
      </c>
      <c r="B1812" s="308"/>
      <c r="C1812" s="308"/>
      <c r="D1812" s="308"/>
      <c r="E1812" s="311"/>
      <c r="F1812" s="309">
        <f>IFERROR(VLOOKUP(K1807,'2026.01'!A:Y,24,0),0)</f>
        <v>26</v>
      </c>
      <c r="G1812" s="310"/>
      <c r="K1812" s="300"/>
    </row>
    <row r="1813" ht="15" customHeight="1" spans="1:11">
      <c r="A1813" s="307" t="s">
        <v>14</v>
      </c>
      <c r="B1813" s="308"/>
      <c r="C1813" s="308"/>
      <c r="D1813" s="308"/>
      <c r="E1813" s="311"/>
      <c r="F1813" s="309">
        <f>IFERROR(VLOOKUP(K1807,'2026.01'!A:Y,12,0),0)</f>
        <v>160</v>
      </c>
      <c r="G1813" s="310"/>
      <c r="K1813" s="300"/>
    </row>
    <row r="1814" ht="21" customHeight="1" spans="1:11">
      <c r="A1814" s="307" t="s">
        <v>15</v>
      </c>
      <c r="B1814" s="308"/>
      <c r="C1814" s="308"/>
      <c r="D1814" s="308"/>
      <c r="E1814" s="311"/>
      <c r="F1814" s="309">
        <f>IFERROR(VLOOKUP(K1807,'2026.01'!A:Y,9,0),0)</f>
        <v>2500</v>
      </c>
      <c r="G1814" s="310"/>
      <c r="K1814" s="300"/>
    </row>
    <row r="1815" ht="19" customHeight="1" spans="1:11">
      <c r="A1815" s="307" t="s">
        <v>16</v>
      </c>
      <c r="B1815" s="308"/>
      <c r="C1815" s="308"/>
      <c r="D1815" s="308"/>
      <c r="E1815" s="308"/>
      <c r="F1815" s="309">
        <f>IFERROR(VLOOKUP(K1807,'2026.01'!A:Y,10,0),0)</f>
        <v>200</v>
      </c>
      <c r="G1815" s="310"/>
      <c r="K1815" s="300"/>
    </row>
    <row r="1816" ht="21" customHeight="1" spans="1:11">
      <c r="A1816" s="307" t="s">
        <v>17</v>
      </c>
      <c r="B1816" s="308"/>
      <c r="C1816" s="308"/>
      <c r="D1816" s="308"/>
      <c r="E1816" s="308"/>
      <c r="F1816" s="309">
        <f>IFERROR(VLOOKUP(K1807,'2026.01'!A:Y,19,0),0)</f>
        <v>33</v>
      </c>
      <c r="G1816" s="310"/>
      <c r="K1816" s="300"/>
    </row>
    <row r="1817" ht="17.15" customHeight="1" spans="1:11">
      <c r="A1817" s="307" t="s">
        <v>18</v>
      </c>
      <c r="B1817" s="308"/>
      <c r="C1817" s="308"/>
      <c r="D1817" s="308"/>
      <c r="E1817" s="308"/>
      <c r="F1817" s="309">
        <f>IFERROR(VLOOKUP(K1807,'2026.01'!A:Y,22,0),0)</f>
        <v>140</v>
      </c>
      <c r="G1817" s="310"/>
      <c r="K1817" s="300"/>
    </row>
    <row r="1818" ht="17.15" customHeight="1" spans="1:11">
      <c r="A1818" s="307" t="s">
        <v>19</v>
      </c>
      <c r="B1818" s="312"/>
      <c r="C1818" s="308"/>
      <c r="D1818" s="313"/>
      <c r="E1818" s="308"/>
      <c r="F1818" s="309">
        <f>IFERROR(VLOOKUP(K1807,'2026.01'!A:Y,25,0),0)</f>
        <v>3097</v>
      </c>
      <c r="G1818" s="310"/>
      <c r="K1818" s="300"/>
    </row>
    <row r="1819" ht="15" customHeight="1" spans="1:11">
      <c r="A1819" s="314" t="s">
        <v>20</v>
      </c>
      <c r="B1819" s="315">
        <f>IF(F1818&lt;0,"金额为负，无效",INT(F1818))</f>
        <v>3097</v>
      </c>
      <c r="C1819" s="315"/>
      <c r="D1819" s="315"/>
      <c r="E1819" s="316" t="s">
        <v>21</v>
      </c>
      <c r="F1819" s="317"/>
      <c r="G1819" s="318"/>
      <c r="K1819" s="300"/>
    </row>
    <row r="1820" ht="23" customHeight="1" spans="1:11">
      <c r="A1820" s="319"/>
      <c r="B1820" s="320"/>
      <c r="C1820" s="320"/>
      <c r="D1820" s="320"/>
      <c r="E1820" s="319"/>
      <c r="F1820" s="321"/>
      <c r="G1820" s="322"/>
      <c r="K1820" s="300"/>
    </row>
    <row r="1821" ht="27" customHeight="1" spans="1:11">
      <c r="A1821" s="298" t="s">
        <v>0</v>
      </c>
      <c r="B1821" s="298"/>
      <c r="C1821" s="298"/>
      <c r="D1821" s="298"/>
      <c r="E1821" s="298"/>
      <c r="F1821" s="298"/>
      <c r="G1821" s="298"/>
      <c r="H1821" s="299"/>
      <c r="I1821" s="299"/>
      <c r="J1821" s="299"/>
      <c r="K1821" s="300">
        <v>131</v>
      </c>
    </row>
    <row r="1822" ht="15" customHeight="1" spans="1:11">
      <c r="A1822" s="301" t="s">
        <v>1</v>
      </c>
      <c r="B1822" s="301"/>
      <c r="C1822" s="301"/>
      <c r="D1822" s="301"/>
      <c r="E1822" s="301"/>
      <c r="F1822" s="301"/>
      <c r="G1822" s="302" t="str">
        <f>IFERROR(VLOOKUP(K1821,'2026.01'!A:Y,2,0),0)</f>
        <v>NO:131</v>
      </c>
      <c r="K1822" s="300"/>
    </row>
    <row r="1823" ht="15" customHeight="1" spans="1:11">
      <c r="A1823" s="303" t="s">
        <v>2</v>
      </c>
      <c r="B1823" s="304">
        <f>IFERROR(VLOOKUP(K1821,'2026.01'!A:Y,6,0),0)</f>
        <v>2061</v>
      </c>
      <c r="C1823" s="304"/>
      <c r="D1823" s="305" t="s">
        <v>3</v>
      </c>
      <c r="E1823" s="305" t="str">
        <f>IFERROR(VLOOKUP(K1821,'2026.01'!A:Y,7,0),0)</f>
        <v>刘远</v>
      </c>
      <c r="F1823" s="305"/>
      <c r="G1823" s="306" t="s">
        <v>4</v>
      </c>
      <c r="K1823" s="300"/>
    </row>
    <row r="1824" ht="15" customHeight="1" spans="1:11">
      <c r="A1824" s="307" t="s">
        <v>5</v>
      </c>
      <c r="B1824" s="308" t="s">
        <v>6</v>
      </c>
      <c r="C1824" s="308" t="s">
        <v>7</v>
      </c>
      <c r="D1824" s="308" t="s">
        <v>8</v>
      </c>
      <c r="E1824" s="308" t="s">
        <v>9</v>
      </c>
      <c r="F1824" s="309" t="s">
        <v>10</v>
      </c>
      <c r="G1824" s="310" t="s">
        <v>11</v>
      </c>
      <c r="K1824" s="300"/>
    </row>
    <row r="1825" ht="15" customHeight="1" spans="1:11">
      <c r="A1825" s="307" t="s">
        <v>12</v>
      </c>
      <c r="B1825" s="308">
        <f>IFERROR(VLOOKUP(K1821,'2026.01'!A:Y,14,0),0)</f>
        <v>9924</v>
      </c>
      <c r="C1825" s="308">
        <f>IFERROR(VLOOKUP(K1821,'2026.01'!A:Y,13,0),0)</f>
        <v>9879</v>
      </c>
      <c r="D1825" s="308">
        <f>IFERROR(VLOOKUP(K1821,'2026.01'!A:Y,15,0),0)</f>
        <v>45</v>
      </c>
      <c r="E1825" s="311">
        <f>IFERROR(VLOOKUP(K1821,'2026.01'!A:Y,18,0),0)</f>
        <v>0.8</v>
      </c>
      <c r="F1825" s="309">
        <f>IFERROR(VLOOKUP(K1821,'2026.01'!A:Y,20,0),0)</f>
        <v>36</v>
      </c>
      <c r="G1825" s="310"/>
      <c r="K1825" s="300"/>
    </row>
    <row r="1826" ht="15" customHeight="1" spans="1:11">
      <c r="A1826" s="307" t="s">
        <v>13</v>
      </c>
      <c r="B1826" s="308"/>
      <c r="C1826" s="308"/>
      <c r="D1826" s="308"/>
      <c r="E1826" s="311"/>
      <c r="F1826" s="309">
        <f>IFERROR(VLOOKUP(K1821,'2026.01'!A:Y,24,0),0)</f>
        <v>26</v>
      </c>
      <c r="G1826" s="310"/>
      <c r="K1826" s="300"/>
    </row>
    <row r="1827" ht="15" customHeight="1" spans="1:11">
      <c r="A1827" s="307" t="s">
        <v>14</v>
      </c>
      <c r="B1827" s="308"/>
      <c r="C1827" s="308"/>
      <c r="D1827" s="308"/>
      <c r="E1827" s="311"/>
      <c r="F1827" s="309">
        <f>IFERROR(VLOOKUP(K1821,'2026.01'!A:Y,12,0),0)</f>
        <v>160</v>
      </c>
      <c r="G1827" s="310"/>
      <c r="K1827" s="300"/>
    </row>
    <row r="1828" ht="21" customHeight="1" spans="1:11">
      <c r="A1828" s="307" t="s">
        <v>15</v>
      </c>
      <c r="B1828" s="308"/>
      <c r="C1828" s="308"/>
      <c r="D1828" s="308"/>
      <c r="E1828" s="311"/>
      <c r="F1828" s="309">
        <f>IFERROR(VLOOKUP(K1821,'2026.01'!A:Y,9,0),0)</f>
        <v>2500</v>
      </c>
      <c r="G1828" s="310"/>
      <c r="K1828" s="300"/>
    </row>
    <row r="1829" ht="19" customHeight="1" spans="1:11">
      <c r="A1829" s="307" t="s">
        <v>16</v>
      </c>
      <c r="B1829" s="308"/>
      <c r="C1829" s="308"/>
      <c r="D1829" s="308"/>
      <c r="E1829" s="308"/>
      <c r="F1829" s="309">
        <f>IFERROR(VLOOKUP(K1821,'2026.01'!A:Y,10,0),0)</f>
        <v>200</v>
      </c>
      <c r="G1829" s="310"/>
      <c r="K1829" s="300"/>
    </row>
    <row r="1830" ht="21" customHeight="1" spans="1:11">
      <c r="A1830" s="307" t="s">
        <v>17</v>
      </c>
      <c r="B1830" s="308"/>
      <c r="C1830" s="308"/>
      <c r="D1830" s="308"/>
      <c r="E1830" s="308"/>
      <c r="F1830" s="309">
        <f>IFERROR(VLOOKUP(K1821,'2026.01'!A:Y,19,0),0)</f>
        <v>32</v>
      </c>
      <c r="G1830" s="310"/>
      <c r="K1830" s="300"/>
    </row>
    <row r="1831" ht="17.15" customHeight="1" spans="1:11">
      <c r="A1831" s="307" t="s">
        <v>18</v>
      </c>
      <c r="B1831" s="308"/>
      <c r="C1831" s="308"/>
      <c r="D1831" s="308"/>
      <c r="E1831" s="308"/>
      <c r="F1831" s="309">
        <f>IFERROR(VLOOKUP(K1821,'2026.01'!A:Y,22,0),0)</f>
        <v>140</v>
      </c>
      <c r="G1831" s="310"/>
      <c r="K1831" s="300"/>
    </row>
    <row r="1832" ht="17.15" customHeight="1" spans="1:11">
      <c r="A1832" s="307" t="s">
        <v>19</v>
      </c>
      <c r="B1832" s="312"/>
      <c r="C1832" s="308"/>
      <c r="D1832" s="313"/>
      <c r="E1832" s="308"/>
      <c r="F1832" s="309">
        <f>IFERROR(VLOOKUP(K1821,'2026.01'!A:Y,25,0),0)</f>
        <v>3094</v>
      </c>
      <c r="G1832" s="310"/>
      <c r="K1832" s="300"/>
    </row>
    <row r="1833" ht="15" customHeight="1" spans="1:11">
      <c r="A1833" s="314" t="s">
        <v>20</v>
      </c>
      <c r="B1833" s="315">
        <f>IF(F1832&lt;0,"金额为负，无效",INT(F1832))</f>
        <v>3094</v>
      </c>
      <c r="C1833" s="315"/>
      <c r="D1833" s="315"/>
      <c r="E1833" s="316" t="s">
        <v>21</v>
      </c>
      <c r="F1833" s="317"/>
      <c r="G1833" s="318"/>
      <c r="K1833" s="300"/>
    </row>
    <row r="1834" ht="23" customHeight="1" spans="1:11">
      <c r="A1834" s="319"/>
      <c r="B1834" s="320"/>
      <c r="C1834" s="320"/>
      <c r="D1834" s="320"/>
      <c r="E1834" s="319"/>
      <c r="F1834" s="321"/>
      <c r="G1834" s="322"/>
      <c r="K1834" s="300"/>
    </row>
    <row r="1835" ht="27" customHeight="1" spans="1:11">
      <c r="A1835" s="298" t="s">
        <v>0</v>
      </c>
      <c r="B1835" s="298"/>
      <c r="C1835" s="298"/>
      <c r="D1835" s="298"/>
      <c r="E1835" s="298"/>
      <c r="F1835" s="298"/>
      <c r="G1835" s="298"/>
      <c r="H1835" s="299"/>
      <c r="I1835" s="299"/>
      <c r="J1835" s="299"/>
      <c r="K1835" s="300">
        <v>132</v>
      </c>
    </row>
    <row r="1836" ht="15" customHeight="1" spans="1:11">
      <c r="A1836" s="301" t="s">
        <v>1</v>
      </c>
      <c r="B1836" s="301"/>
      <c r="C1836" s="301"/>
      <c r="D1836" s="301"/>
      <c r="E1836" s="301"/>
      <c r="F1836" s="301"/>
      <c r="G1836" s="302" t="str">
        <f>IFERROR(VLOOKUP(K1835,'2026.01'!A:Y,2,0),0)</f>
        <v>NO:132</v>
      </c>
      <c r="K1836" s="300"/>
    </row>
    <row r="1837" ht="15" customHeight="1" spans="1:11">
      <c r="A1837" s="303" t="s">
        <v>2</v>
      </c>
      <c r="B1837" s="304">
        <f>IFERROR(VLOOKUP(K1835,'2026.01'!A:Y,6,0),0)</f>
        <v>2062</v>
      </c>
      <c r="C1837" s="304"/>
      <c r="D1837" s="305" t="s">
        <v>3</v>
      </c>
      <c r="E1837" s="305" t="str">
        <f>IFERROR(VLOOKUP(K1835,'2026.01'!A:Y,7,0),0)</f>
        <v>黄桂涛</v>
      </c>
      <c r="F1837" s="305"/>
      <c r="G1837" s="306" t="s">
        <v>4</v>
      </c>
      <c r="K1837" s="300"/>
    </row>
    <row r="1838" ht="15" customHeight="1" spans="1:11">
      <c r="A1838" s="307" t="s">
        <v>5</v>
      </c>
      <c r="B1838" s="308" t="s">
        <v>6</v>
      </c>
      <c r="C1838" s="308" t="s">
        <v>7</v>
      </c>
      <c r="D1838" s="308" t="s">
        <v>8</v>
      </c>
      <c r="E1838" s="308" t="s">
        <v>9</v>
      </c>
      <c r="F1838" s="309" t="s">
        <v>10</v>
      </c>
      <c r="G1838" s="310" t="s">
        <v>11</v>
      </c>
      <c r="K1838" s="300"/>
    </row>
    <row r="1839" ht="15" customHeight="1" spans="1:11">
      <c r="A1839" s="307" t="s">
        <v>12</v>
      </c>
      <c r="B1839" s="308">
        <f>IFERROR(VLOOKUP(K1835,'2026.01'!A:Y,14,0),0)</f>
        <v>7888</v>
      </c>
      <c r="C1839" s="308">
        <f>IFERROR(VLOOKUP(K1835,'2026.01'!A:Y,13,0),0)</f>
        <v>7882</v>
      </c>
      <c r="D1839" s="308">
        <f>IFERROR(VLOOKUP(K1835,'2026.01'!A:Y,15,0),0)</f>
        <v>6</v>
      </c>
      <c r="E1839" s="311">
        <f>IFERROR(VLOOKUP(K1835,'2026.01'!A:Y,18,0),0)</f>
        <v>0.8</v>
      </c>
      <c r="F1839" s="309">
        <f>IFERROR(VLOOKUP(K1835,'2026.01'!A:Y,20,0),0)</f>
        <v>5</v>
      </c>
      <c r="G1839" s="310"/>
      <c r="K1839" s="300"/>
    </row>
    <row r="1840" ht="15" customHeight="1" spans="1:11">
      <c r="A1840" s="307" t="s">
        <v>13</v>
      </c>
      <c r="B1840" s="308"/>
      <c r="C1840" s="308"/>
      <c r="D1840" s="308"/>
      <c r="E1840" s="311"/>
      <c r="F1840" s="309">
        <f>IFERROR(VLOOKUP(K1835,'2026.01'!A:Y,24,0),0)</f>
        <v>26</v>
      </c>
      <c r="G1840" s="310"/>
      <c r="K1840" s="300"/>
    </row>
    <row r="1841" ht="15" customHeight="1" spans="1:11">
      <c r="A1841" s="307" t="s">
        <v>14</v>
      </c>
      <c r="B1841" s="308"/>
      <c r="C1841" s="308"/>
      <c r="D1841" s="308"/>
      <c r="E1841" s="311"/>
      <c r="F1841" s="309">
        <f>IFERROR(VLOOKUP(K1835,'2026.01'!A:Y,12,0),0)</f>
        <v>160</v>
      </c>
      <c r="G1841" s="310"/>
      <c r="K1841" s="300"/>
    </row>
    <row r="1842" ht="21" customHeight="1" spans="1:11">
      <c r="A1842" s="307" t="s">
        <v>15</v>
      </c>
      <c r="B1842" s="308"/>
      <c r="C1842" s="308"/>
      <c r="D1842" s="308"/>
      <c r="E1842" s="311"/>
      <c r="F1842" s="309">
        <f>IFERROR(VLOOKUP(K1835,'2026.01'!A:Y,9,0),0)</f>
        <v>2500</v>
      </c>
      <c r="G1842" s="310"/>
      <c r="K1842" s="300"/>
    </row>
    <row r="1843" ht="19" customHeight="1" spans="1:11">
      <c r="A1843" s="307" t="s">
        <v>16</v>
      </c>
      <c r="B1843" s="308"/>
      <c r="C1843" s="308"/>
      <c r="D1843" s="308"/>
      <c r="E1843" s="308"/>
      <c r="F1843" s="309">
        <f>IFERROR(VLOOKUP(K1835,'2026.01'!A:Y,10,0),0)</f>
        <v>200</v>
      </c>
      <c r="G1843" s="310"/>
      <c r="K1843" s="300"/>
    </row>
    <row r="1844" ht="21" customHeight="1" spans="1:11">
      <c r="A1844" s="307" t="s">
        <v>17</v>
      </c>
      <c r="B1844" s="308"/>
      <c r="C1844" s="308"/>
      <c r="D1844" s="308"/>
      <c r="E1844" s="308"/>
      <c r="F1844" s="309">
        <f>IFERROR(VLOOKUP(K1835,'2026.01'!A:Y,19,0),0)</f>
        <v>4</v>
      </c>
      <c r="G1844" s="310"/>
      <c r="K1844" s="300"/>
    </row>
    <row r="1845" ht="17.15" customHeight="1" spans="1:11">
      <c r="A1845" s="307" t="s">
        <v>18</v>
      </c>
      <c r="B1845" s="308"/>
      <c r="C1845" s="308"/>
      <c r="D1845" s="308"/>
      <c r="E1845" s="308"/>
      <c r="F1845" s="309">
        <f>IFERROR(VLOOKUP(K1835,'2026.01'!A:Y,22,0),0)</f>
        <v>140</v>
      </c>
      <c r="G1845" s="310"/>
      <c r="K1845" s="300"/>
    </row>
    <row r="1846" ht="17.15" customHeight="1" spans="1:11">
      <c r="A1846" s="307" t="s">
        <v>19</v>
      </c>
      <c r="B1846" s="312"/>
      <c r="C1846" s="308"/>
      <c r="D1846" s="313"/>
      <c r="E1846" s="308"/>
      <c r="F1846" s="309">
        <f>IFERROR(VLOOKUP(K1835,'2026.01'!A:Y,25,0),0)</f>
        <v>3035</v>
      </c>
      <c r="G1846" s="310"/>
      <c r="K1846" s="300"/>
    </row>
    <row r="1847" ht="15" customHeight="1" spans="1:11">
      <c r="A1847" s="314" t="s">
        <v>20</v>
      </c>
      <c r="B1847" s="315">
        <f>IF(F1846&lt;0,"金额为负，无效",INT(F1846))</f>
        <v>3035</v>
      </c>
      <c r="C1847" s="315"/>
      <c r="D1847" s="315"/>
      <c r="E1847" s="316" t="s">
        <v>21</v>
      </c>
      <c r="F1847" s="317"/>
      <c r="G1847" s="318"/>
      <c r="K1847" s="300"/>
    </row>
    <row r="1848" ht="15" customHeight="1" spans="1:11">
      <c r="A1848" s="319"/>
      <c r="B1848" s="320"/>
      <c r="C1848" s="320"/>
      <c r="D1848" s="320"/>
      <c r="E1848" s="319"/>
      <c r="F1848" s="321"/>
      <c r="G1848" s="322"/>
      <c r="K1848" s="300"/>
    </row>
    <row r="1849" ht="27" customHeight="1" spans="1:11">
      <c r="A1849" s="298" t="s">
        <v>0</v>
      </c>
      <c r="B1849" s="298"/>
      <c r="C1849" s="298"/>
      <c r="D1849" s="298"/>
      <c r="E1849" s="298"/>
      <c r="F1849" s="298"/>
      <c r="G1849" s="298"/>
      <c r="H1849" s="299"/>
      <c r="I1849" s="299"/>
      <c r="J1849" s="299"/>
      <c r="K1849" s="300">
        <v>133</v>
      </c>
    </row>
    <row r="1850" ht="15" customHeight="1" spans="1:11">
      <c r="A1850" s="301" t="s">
        <v>1</v>
      </c>
      <c r="B1850" s="301"/>
      <c r="C1850" s="301"/>
      <c r="D1850" s="301"/>
      <c r="E1850" s="301"/>
      <c r="F1850" s="301"/>
      <c r="G1850" s="302" t="str">
        <f>IFERROR(VLOOKUP(K1849,'2026.01'!A:Y,2,0),0)</f>
        <v>NO:133</v>
      </c>
      <c r="K1850" s="300"/>
    </row>
    <row r="1851" ht="15" customHeight="1" spans="1:11">
      <c r="A1851" s="303" t="s">
        <v>2</v>
      </c>
      <c r="B1851" s="304" t="str">
        <f>IFERROR(VLOOKUP(K1849,'2026.01'!A:Y,6,0),0)</f>
        <v>2063/2064</v>
      </c>
      <c r="C1851" s="304"/>
      <c r="D1851" s="305" t="s">
        <v>3</v>
      </c>
      <c r="E1851" s="305" t="str">
        <f>IFERROR(VLOOKUP(K1849,'2026.01'!A:Y,7,0),0)</f>
        <v>吴彬辉</v>
      </c>
      <c r="F1851" s="305"/>
      <c r="G1851" s="306" t="s">
        <v>4</v>
      </c>
      <c r="K1851" s="300"/>
    </row>
    <row r="1852" ht="15" customHeight="1" spans="1:11">
      <c r="A1852" s="307" t="s">
        <v>5</v>
      </c>
      <c r="B1852" s="308" t="s">
        <v>6</v>
      </c>
      <c r="C1852" s="308" t="s">
        <v>7</v>
      </c>
      <c r="D1852" s="308" t="s">
        <v>8</v>
      </c>
      <c r="E1852" s="308" t="s">
        <v>9</v>
      </c>
      <c r="F1852" s="309" t="s">
        <v>10</v>
      </c>
      <c r="G1852" s="310" t="s">
        <v>11</v>
      </c>
      <c r="K1852" s="300"/>
    </row>
    <row r="1853" ht="15" customHeight="1" spans="1:11">
      <c r="A1853" s="307" t="s">
        <v>12</v>
      </c>
      <c r="B1853" s="308">
        <f>IFERROR(VLOOKUP(K1849,'2026.01'!A:Y,14,0),0)</f>
        <v>0</v>
      </c>
      <c r="C1853" s="308">
        <f>IFERROR(VLOOKUP(K1849,'2026.01'!A:Y,13,0),0)</f>
        <v>0</v>
      </c>
      <c r="D1853" s="308">
        <f>IFERROR(VLOOKUP(K1849,'2026.01'!A:Y,15,0),0)</f>
        <v>0</v>
      </c>
      <c r="E1853" s="311">
        <f>IFERROR(VLOOKUP(K1849,'2026.01'!A:Y,18,0),0)</f>
        <v>0.8</v>
      </c>
      <c r="F1853" s="309">
        <f>IFERROR(VLOOKUP(K1849,'2026.01'!A:Y,20,0),0)</f>
        <v>0</v>
      </c>
      <c r="G1853" s="310"/>
      <c r="K1853" s="300"/>
    </row>
    <row r="1854" ht="15" customHeight="1" spans="1:11">
      <c r="A1854" s="307" t="s">
        <v>13</v>
      </c>
      <c r="B1854" s="308"/>
      <c r="C1854" s="308"/>
      <c r="D1854" s="308"/>
      <c r="E1854" s="311"/>
      <c r="F1854" s="309">
        <f>IFERROR(VLOOKUP(K1849,'2026.01'!A:Y,24,0),0)</f>
        <v>60</v>
      </c>
      <c r="G1854" s="310"/>
      <c r="K1854" s="300"/>
    </row>
    <row r="1855" ht="15" customHeight="1" spans="1:11">
      <c r="A1855" s="307" t="s">
        <v>14</v>
      </c>
      <c r="B1855" s="308"/>
      <c r="C1855" s="308"/>
      <c r="D1855" s="308"/>
      <c r="E1855" s="311"/>
      <c r="F1855" s="309">
        <f>IFERROR(VLOOKUP(K1849,'2026.01'!A:Y,12,0),0)</f>
        <v>320</v>
      </c>
      <c r="G1855" s="310"/>
      <c r="K1855" s="300"/>
    </row>
    <row r="1856" ht="21" customHeight="1" spans="1:11">
      <c r="A1856" s="307" t="s">
        <v>15</v>
      </c>
      <c r="B1856" s="308"/>
      <c r="C1856" s="308"/>
      <c r="D1856" s="308"/>
      <c r="E1856" s="311"/>
      <c r="F1856" s="309">
        <f>IFERROR(VLOOKUP(K1849,'2026.01'!A:Y,9,0),0)</f>
        <v>5000</v>
      </c>
      <c r="G1856" s="310"/>
      <c r="K1856" s="300"/>
    </row>
    <row r="1857" ht="19" customHeight="1" spans="1:11">
      <c r="A1857" s="307" t="s">
        <v>16</v>
      </c>
      <c r="B1857" s="308"/>
      <c r="C1857" s="308"/>
      <c r="D1857" s="308"/>
      <c r="E1857" s="308"/>
      <c r="F1857" s="309">
        <f>IFERROR(VLOOKUP(K1849,'2026.01'!A:Y,10,0),0)</f>
        <v>400</v>
      </c>
      <c r="G1857" s="310"/>
      <c r="K1857" s="300"/>
    </row>
    <row r="1858" ht="21" customHeight="1" spans="1:11">
      <c r="A1858" s="307" t="s">
        <v>17</v>
      </c>
      <c r="B1858" s="308"/>
      <c r="C1858" s="308"/>
      <c r="D1858" s="308"/>
      <c r="E1858" s="308"/>
      <c r="F1858" s="309">
        <f>IFERROR(VLOOKUP(K1849,'2026.01'!A:Y,19,0),0)</f>
        <v>0</v>
      </c>
      <c r="G1858" s="310"/>
      <c r="K1858" s="300"/>
    </row>
    <row r="1859" ht="17.15" customHeight="1" spans="1:11">
      <c r="A1859" s="307" t="s">
        <v>18</v>
      </c>
      <c r="B1859" s="308"/>
      <c r="C1859" s="308"/>
      <c r="D1859" s="308"/>
      <c r="E1859" s="308"/>
      <c r="F1859" s="309">
        <f>IFERROR(VLOOKUP(K1849,'2026.01'!A:Y,22,0),0)</f>
        <v>278</v>
      </c>
      <c r="G1859" s="310"/>
      <c r="K1859" s="300"/>
    </row>
    <row r="1860" ht="17.15" customHeight="1" spans="1:11">
      <c r="A1860" s="307" t="s">
        <v>19</v>
      </c>
      <c r="B1860" s="312"/>
      <c r="C1860" s="308"/>
      <c r="D1860" s="313"/>
      <c r="E1860" s="308"/>
      <c r="F1860" s="309">
        <f>IFERROR(VLOOKUP(K1849,'2026.01'!A:Y,25,0),0)</f>
        <v>6058</v>
      </c>
      <c r="G1860" s="310"/>
      <c r="K1860" s="300"/>
    </row>
    <row r="1861" ht="15" customHeight="1" spans="1:11">
      <c r="A1861" s="314" t="s">
        <v>20</v>
      </c>
      <c r="B1861" s="315">
        <f>IF(F1860&lt;0,"金额为负，无效",INT(F1860))</f>
        <v>6058</v>
      </c>
      <c r="C1861" s="315"/>
      <c r="D1861" s="315"/>
      <c r="E1861" s="316" t="s">
        <v>21</v>
      </c>
      <c r="F1861" s="317"/>
      <c r="G1861" s="318"/>
      <c r="K1861" s="300"/>
    </row>
    <row r="1862" ht="23" customHeight="1" spans="1:11">
      <c r="A1862" s="319"/>
      <c r="B1862" s="320"/>
      <c r="C1862" s="320"/>
      <c r="D1862" s="320"/>
      <c r="E1862" s="319"/>
      <c r="F1862" s="321"/>
      <c r="G1862" s="322"/>
      <c r="K1862" s="300"/>
    </row>
    <row r="1863" ht="27" customHeight="1" spans="1:11">
      <c r="A1863" s="298" t="s">
        <v>0</v>
      </c>
      <c r="B1863" s="298"/>
      <c r="C1863" s="298"/>
      <c r="D1863" s="298"/>
      <c r="E1863" s="298"/>
      <c r="F1863" s="298"/>
      <c r="G1863" s="298"/>
      <c r="H1863" s="299"/>
      <c r="I1863" s="299"/>
      <c r="J1863" s="299"/>
      <c r="K1863" s="300">
        <v>134</v>
      </c>
    </row>
    <row r="1864" ht="15" customHeight="1" spans="1:11">
      <c r="A1864" s="301" t="s">
        <v>1</v>
      </c>
      <c r="B1864" s="301"/>
      <c r="C1864" s="301"/>
      <c r="D1864" s="301"/>
      <c r="E1864" s="301"/>
      <c r="F1864" s="301"/>
      <c r="G1864" s="302" t="str">
        <f>IFERROR(VLOOKUP(K1863,'2026.01'!A:Y,2,0),0)</f>
        <v>NO:134</v>
      </c>
      <c r="K1864" s="300"/>
    </row>
    <row r="1865" ht="15" customHeight="1" spans="1:11">
      <c r="A1865" s="303" t="s">
        <v>2</v>
      </c>
      <c r="B1865" s="304">
        <f>IFERROR(VLOOKUP(K1863,'2026.01'!A:Y,6,0),0)</f>
        <v>2064</v>
      </c>
      <c r="C1865" s="304"/>
      <c r="D1865" s="305" t="s">
        <v>3</v>
      </c>
      <c r="E1865" s="305" t="str">
        <f>IFERROR(VLOOKUP(K1863,'2026.01'!A:Y,7,0),0)</f>
        <v>吴彬辉</v>
      </c>
      <c r="F1865" s="305"/>
      <c r="G1865" s="306" t="s">
        <v>4</v>
      </c>
      <c r="K1865" s="300"/>
    </row>
    <row r="1866" ht="15" customHeight="1" spans="1:11">
      <c r="A1866" s="307" t="s">
        <v>5</v>
      </c>
      <c r="B1866" s="308" t="s">
        <v>6</v>
      </c>
      <c r="C1866" s="308" t="s">
        <v>7</v>
      </c>
      <c r="D1866" s="308" t="s">
        <v>8</v>
      </c>
      <c r="E1866" s="308" t="s">
        <v>9</v>
      </c>
      <c r="F1866" s="309" t="s">
        <v>10</v>
      </c>
      <c r="G1866" s="310" t="s">
        <v>11</v>
      </c>
      <c r="K1866" s="300"/>
    </row>
    <row r="1867" ht="15" customHeight="1" spans="1:11">
      <c r="A1867" s="307" t="s">
        <v>12</v>
      </c>
      <c r="B1867" s="308">
        <f>IFERROR(VLOOKUP(K1863,'2026.01'!A:Y,14,0),0)</f>
        <v>2454</v>
      </c>
      <c r="C1867" s="308">
        <f>IFERROR(VLOOKUP(K1863,'2026.01'!A:Y,13,0),0)</f>
        <v>2375</v>
      </c>
      <c r="D1867" s="308">
        <f>IFERROR(VLOOKUP(K1863,'2026.01'!A:Y,15,0),0)</f>
        <v>79</v>
      </c>
      <c r="E1867" s="311">
        <f>IFERROR(VLOOKUP(K1863,'2026.01'!A:Y,18,0),0)</f>
        <v>0.8</v>
      </c>
      <c r="F1867" s="309">
        <f>IFERROR(VLOOKUP(K1863,'2026.01'!A:Y,20,0),0)</f>
        <v>63</v>
      </c>
      <c r="G1867" s="310"/>
      <c r="K1867" s="300"/>
    </row>
    <row r="1868" ht="15" customHeight="1" spans="1:11">
      <c r="A1868" s="307" t="s">
        <v>13</v>
      </c>
      <c r="B1868" s="308"/>
      <c r="C1868" s="308"/>
      <c r="D1868" s="308"/>
      <c r="E1868" s="311"/>
      <c r="F1868" s="309">
        <f>IFERROR(VLOOKUP(K1863,'2026.01'!A:Y,24,0),0)</f>
        <v>0</v>
      </c>
      <c r="G1868" s="310"/>
      <c r="K1868" s="300"/>
    </row>
    <row r="1869" ht="15" customHeight="1" spans="1:11">
      <c r="A1869" s="307" t="s">
        <v>14</v>
      </c>
      <c r="B1869" s="308"/>
      <c r="C1869" s="308"/>
      <c r="D1869" s="308"/>
      <c r="E1869" s="311"/>
      <c r="F1869" s="309">
        <f>IFERROR(VLOOKUP(K1863,'2026.01'!A:Y,12,0),0)</f>
        <v>0</v>
      </c>
      <c r="G1869" s="310"/>
      <c r="K1869" s="300"/>
    </row>
    <row r="1870" ht="21" customHeight="1" spans="1:11">
      <c r="A1870" s="307" t="s">
        <v>15</v>
      </c>
      <c r="B1870" s="308"/>
      <c r="C1870" s="308"/>
      <c r="D1870" s="308"/>
      <c r="E1870" s="311"/>
      <c r="F1870" s="309">
        <f>IFERROR(VLOOKUP(K1863,'2026.01'!A:Y,9,0),0)</f>
        <v>0</v>
      </c>
      <c r="G1870" s="310"/>
      <c r="K1870" s="300"/>
    </row>
    <row r="1871" ht="19" customHeight="1" spans="1:11">
      <c r="A1871" s="307" t="s">
        <v>16</v>
      </c>
      <c r="B1871" s="308"/>
      <c r="C1871" s="308"/>
      <c r="D1871" s="308"/>
      <c r="E1871" s="308"/>
      <c r="F1871" s="309">
        <f>IFERROR(VLOOKUP(K1863,'2026.01'!A:Y,10,0),0)</f>
        <v>0</v>
      </c>
      <c r="G1871" s="310"/>
      <c r="K1871" s="300"/>
    </row>
    <row r="1872" ht="21" customHeight="1" spans="1:11">
      <c r="A1872" s="307" t="s">
        <v>17</v>
      </c>
      <c r="B1872" s="308"/>
      <c r="C1872" s="308"/>
      <c r="D1872" s="308"/>
      <c r="E1872" s="308"/>
      <c r="F1872" s="309">
        <f>IFERROR(VLOOKUP(K1863,'2026.01'!A:Y,19,0),0)</f>
        <v>55</v>
      </c>
      <c r="G1872" s="310"/>
      <c r="K1872" s="300"/>
    </row>
    <row r="1873" ht="17.15" customHeight="1" spans="1:11">
      <c r="A1873" s="307" t="s">
        <v>18</v>
      </c>
      <c r="B1873" s="308"/>
      <c r="C1873" s="308"/>
      <c r="D1873" s="308"/>
      <c r="E1873" s="308"/>
      <c r="F1873" s="309">
        <f>IFERROR(VLOOKUP(K1863,'2026.01'!A:Y,22,0),0)</f>
        <v>0</v>
      </c>
      <c r="G1873" s="310"/>
      <c r="K1873" s="300"/>
    </row>
    <row r="1874" ht="17.15" customHeight="1" spans="1:11">
      <c r="A1874" s="307" t="s">
        <v>19</v>
      </c>
      <c r="B1874" s="312"/>
      <c r="C1874" s="308"/>
      <c r="D1874" s="313"/>
      <c r="E1874" s="308"/>
      <c r="F1874" s="309">
        <f>IFERROR(VLOOKUP(K1863,'2026.01'!A:Y,25,0),0)</f>
        <v>118</v>
      </c>
      <c r="G1874" s="310"/>
      <c r="K1874" s="300"/>
    </row>
    <row r="1875" ht="15" customHeight="1" spans="1:11">
      <c r="A1875" s="314" t="s">
        <v>20</v>
      </c>
      <c r="B1875" s="315">
        <f>IF(F1874&lt;0,"金额为负，无效",INT(F1874))</f>
        <v>118</v>
      </c>
      <c r="C1875" s="315"/>
      <c r="D1875" s="315"/>
      <c r="E1875" s="316" t="s">
        <v>21</v>
      </c>
      <c r="F1875" s="317"/>
      <c r="G1875" s="318"/>
      <c r="K1875" s="300"/>
    </row>
    <row r="1876" ht="23" customHeight="1" spans="1:11">
      <c r="A1876" s="319"/>
      <c r="B1876" s="320"/>
      <c r="C1876" s="320"/>
      <c r="D1876" s="320"/>
      <c r="E1876" s="319"/>
      <c r="F1876" s="321"/>
      <c r="G1876" s="322"/>
      <c r="K1876" s="300"/>
    </row>
    <row r="1877" ht="27" customHeight="1" spans="1:11">
      <c r="A1877" s="298" t="s">
        <v>0</v>
      </c>
      <c r="B1877" s="298"/>
      <c r="C1877" s="298"/>
      <c r="D1877" s="298"/>
      <c r="E1877" s="298"/>
      <c r="F1877" s="298"/>
      <c r="G1877" s="298"/>
      <c r="H1877" s="299"/>
      <c r="I1877" s="299"/>
      <c r="J1877" s="299"/>
      <c r="K1877" s="300">
        <v>135</v>
      </c>
    </row>
    <row r="1878" ht="15" customHeight="1" spans="1:11">
      <c r="A1878" s="301" t="s">
        <v>1</v>
      </c>
      <c r="B1878" s="301"/>
      <c r="C1878" s="301"/>
      <c r="D1878" s="301"/>
      <c r="E1878" s="301"/>
      <c r="F1878" s="301"/>
      <c r="G1878" s="302" t="str">
        <f>IFERROR(VLOOKUP(K1877,'2026.01'!A:Y,2,0),0)</f>
        <v>NO:135</v>
      </c>
      <c r="K1878" s="300"/>
    </row>
    <row r="1879" ht="15" customHeight="1" spans="1:11">
      <c r="A1879" s="303" t="s">
        <v>2</v>
      </c>
      <c r="B1879" s="304">
        <f>IFERROR(VLOOKUP(K1877,'2026.01'!A:Y,6,0),0)</f>
        <v>2066</v>
      </c>
      <c r="C1879" s="304"/>
      <c r="D1879" s="305" t="s">
        <v>3</v>
      </c>
      <c r="E1879" s="305" t="str">
        <f>IFERROR(VLOOKUP(K1877,'2026.01'!A:Y,7,0),0)</f>
        <v>王小军</v>
      </c>
      <c r="F1879" s="305"/>
      <c r="G1879" s="306" t="s">
        <v>4</v>
      </c>
      <c r="K1879" s="300"/>
    </row>
    <row r="1880" ht="15" customHeight="1" spans="1:11">
      <c r="A1880" s="307" t="s">
        <v>5</v>
      </c>
      <c r="B1880" s="308" t="s">
        <v>6</v>
      </c>
      <c r="C1880" s="308" t="s">
        <v>7</v>
      </c>
      <c r="D1880" s="308" t="s">
        <v>8</v>
      </c>
      <c r="E1880" s="308" t="s">
        <v>9</v>
      </c>
      <c r="F1880" s="309" t="s">
        <v>10</v>
      </c>
      <c r="G1880" s="310" t="s">
        <v>11</v>
      </c>
      <c r="K1880" s="300"/>
    </row>
    <row r="1881" ht="15" customHeight="1" spans="1:11">
      <c r="A1881" s="307" t="s">
        <v>12</v>
      </c>
      <c r="B1881" s="308">
        <f>IFERROR(VLOOKUP(K1877,'2026.01'!A:Y,14,0),0)</f>
        <v>1238</v>
      </c>
      <c r="C1881" s="308">
        <f>IFERROR(VLOOKUP(K1877,'2026.01'!A:Y,13,0),0)</f>
        <v>1158</v>
      </c>
      <c r="D1881" s="308">
        <f>IFERROR(VLOOKUP(K1877,'2026.01'!A:Y,15,0),0)</f>
        <v>80</v>
      </c>
      <c r="E1881" s="311">
        <f>IFERROR(VLOOKUP(K1877,'2026.01'!A:Y,18,0),0)</f>
        <v>0.8</v>
      </c>
      <c r="F1881" s="309">
        <f>IFERROR(VLOOKUP(K1877,'2026.01'!A:Y,20,0),0)</f>
        <v>64</v>
      </c>
      <c r="G1881" s="310"/>
      <c r="K1881" s="300"/>
    </row>
    <row r="1882" ht="15" customHeight="1" spans="1:11">
      <c r="A1882" s="307" t="s">
        <v>13</v>
      </c>
      <c r="B1882" s="308"/>
      <c r="C1882" s="308"/>
      <c r="D1882" s="308"/>
      <c r="E1882" s="311"/>
      <c r="F1882" s="309">
        <f>IFERROR(VLOOKUP(K1877,'2026.01'!A:Y,24,0),0)</f>
        <v>0</v>
      </c>
      <c r="G1882" s="310"/>
      <c r="K1882" s="300"/>
    </row>
    <row r="1883" ht="15" customHeight="1" spans="1:11">
      <c r="A1883" s="307" t="s">
        <v>14</v>
      </c>
      <c r="B1883" s="308"/>
      <c r="C1883" s="308"/>
      <c r="D1883" s="308"/>
      <c r="E1883" s="311"/>
      <c r="F1883" s="309">
        <f>IFERROR(VLOOKUP(K1877,'2026.01'!A:Y,12,0),0)</f>
        <v>160</v>
      </c>
      <c r="G1883" s="310"/>
      <c r="K1883" s="300"/>
    </row>
    <row r="1884" ht="21" customHeight="1" spans="1:11">
      <c r="A1884" s="307" t="s">
        <v>15</v>
      </c>
      <c r="B1884" s="308"/>
      <c r="C1884" s="308"/>
      <c r="D1884" s="308"/>
      <c r="E1884" s="311"/>
      <c r="F1884" s="309">
        <f>IFERROR(VLOOKUP(K1877,'2026.01'!A:Y,9,0),0)</f>
        <v>1500</v>
      </c>
      <c r="G1884" s="310"/>
      <c r="K1884" s="300"/>
    </row>
    <row r="1885" ht="19" customHeight="1" spans="1:11">
      <c r="A1885" s="307" t="s">
        <v>16</v>
      </c>
      <c r="B1885" s="308"/>
      <c r="C1885" s="308"/>
      <c r="D1885" s="308"/>
      <c r="E1885" s="308"/>
      <c r="F1885" s="309">
        <f>IFERROR(VLOOKUP(K1877,'2026.01'!A:Y,10,0),0)</f>
        <v>200</v>
      </c>
      <c r="G1885" s="310"/>
      <c r="K1885" s="300"/>
    </row>
    <row r="1886" ht="21" customHeight="1" spans="1:11">
      <c r="A1886" s="307" t="s">
        <v>17</v>
      </c>
      <c r="B1886" s="308"/>
      <c r="C1886" s="308"/>
      <c r="D1886" s="308"/>
      <c r="E1886" s="308"/>
      <c r="F1886" s="309">
        <f>IFERROR(VLOOKUP(K1877,'2026.01'!A:Y,19,0),0)</f>
        <v>56</v>
      </c>
      <c r="G1886" s="310"/>
      <c r="K1886" s="300"/>
    </row>
    <row r="1887" ht="17.15" customHeight="1" spans="1:11">
      <c r="A1887" s="307" t="s">
        <v>18</v>
      </c>
      <c r="B1887" s="308"/>
      <c r="C1887" s="308"/>
      <c r="D1887" s="308"/>
      <c r="E1887" s="308"/>
      <c r="F1887" s="309">
        <f>IFERROR(VLOOKUP(K1877,'2026.01'!A:Y,22,0),0)</f>
        <v>257</v>
      </c>
      <c r="G1887" s="310"/>
      <c r="K1887" s="300"/>
    </row>
    <row r="1888" ht="17.15" customHeight="1" spans="1:11">
      <c r="A1888" s="307" t="s">
        <v>19</v>
      </c>
      <c r="B1888" s="312"/>
      <c r="C1888" s="308"/>
      <c r="D1888" s="313"/>
      <c r="E1888" s="308"/>
      <c r="F1888" s="309">
        <f>IFERROR(VLOOKUP(K1877,'2026.01'!A:Y,25,0),0)</f>
        <v>2237</v>
      </c>
      <c r="G1888" s="310"/>
      <c r="K1888" s="300"/>
    </row>
    <row r="1889" ht="15" customHeight="1" spans="1:11">
      <c r="A1889" s="314" t="s">
        <v>20</v>
      </c>
      <c r="B1889" s="315">
        <f>IF(F1888&lt;0,"金额为负，无效",INT(F1888))</f>
        <v>2237</v>
      </c>
      <c r="C1889" s="315"/>
      <c r="D1889" s="315"/>
      <c r="E1889" s="316" t="s">
        <v>21</v>
      </c>
      <c r="F1889" s="317"/>
      <c r="G1889" s="318"/>
      <c r="K1889" s="300"/>
    </row>
    <row r="1890" ht="15" customHeight="1" spans="1:11">
      <c r="A1890" s="319"/>
      <c r="B1890" s="320"/>
      <c r="C1890" s="320"/>
      <c r="D1890" s="320"/>
      <c r="E1890" s="319"/>
      <c r="F1890" s="321"/>
      <c r="G1890" s="322"/>
      <c r="K1890" s="300"/>
    </row>
    <row r="1891" ht="27" customHeight="1" spans="1:11">
      <c r="A1891" s="298" t="s">
        <v>0</v>
      </c>
      <c r="B1891" s="298"/>
      <c r="C1891" s="298"/>
      <c r="D1891" s="298"/>
      <c r="E1891" s="298"/>
      <c r="F1891" s="298"/>
      <c r="G1891" s="298"/>
      <c r="H1891" s="299"/>
      <c r="I1891" s="299"/>
      <c r="J1891" s="299"/>
      <c r="K1891" s="300">
        <v>136</v>
      </c>
    </row>
    <row r="1892" ht="15" customHeight="1" spans="1:11">
      <c r="A1892" s="301" t="s">
        <v>1</v>
      </c>
      <c r="B1892" s="301"/>
      <c r="C1892" s="301"/>
      <c r="D1892" s="301"/>
      <c r="E1892" s="301"/>
      <c r="F1892" s="301"/>
      <c r="G1892" s="302" t="str">
        <f>IFERROR(VLOOKUP(K1891,'2026.01'!A:Y,2,0),0)</f>
        <v>NO:136</v>
      </c>
      <c r="K1892" s="300"/>
    </row>
    <row r="1893" ht="15" customHeight="1" spans="1:11">
      <c r="A1893" s="303" t="s">
        <v>2</v>
      </c>
      <c r="B1893" s="304">
        <f>IFERROR(VLOOKUP(K1891,'2026.01'!A:Y,6,0),0)</f>
        <v>2067</v>
      </c>
      <c r="C1893" s="304"/>
      <c r="D1893" s="305" t="s">
        <v>3</v>
      </c>
      <c r="E1893" s="305" t="str">
        <f>IFERROR(VLOOKUP(K1891,'2026.01'!A:Y,7,0),0)</f>
        <v>王海亮</v>
      </c>
      <c r="F1893" s="305"/>
      <c r="G1893" s="306" t="s">
        <v>4</v>
      </c>
      <c r="K1893" s="300"/>
    </row>
    <row r="1894" ht="15" customHeight="1" spans="1:11">
      <c r="A1894" s="307" t="s">
        <v>5</v>
      </c>
      <c r="B1894" s="308" t="s">
        <v>6</v>
      </c>
      <c r="C1894" s="308" t="s">
        <v>7</v>
      </c>
      <c r="D1894" s="308" t="s">
        <v>8</v>
      </c>
      <c r="E1894" s="308" t="s">
        <v>9</v>
      </c>
      <c r="F1894" s="309" t="s">
        <v>10</v>
      </c>
      <c r="G1894" s="310" t="s">
        <v>11</v>
      </c>
      <c r="K1894" s="300"/>
    </row>
    <row r="1895" ht="15" customHeight="1" spans="1:11">
      <c r="A1895" s="307" t="s">
        <v>12</v>
      </c>
      <c r="B1895" s="308">
        <f>IFERROR(VLOOKUP(K1891,'2026.01'!A:Y,14,0),0)</f>
        <v>5256</v>
      </c>
      <c r="C1895" s="308">
        <f>IFERROR(VLOOKUP(K1891,'2026.01'!A:Y,13,0),0)</f>
        <v>5254</v>
      </c>
      <c r="D1895" s="308">
        <f>IFERROR(VLOOKUP(K1891,'2026.01'!A:Y,15,0),0)</f>
        <v>2</v>
      </c>
      <c r="E1895" s="311">
        <f>IFERROR(VLOOKUP(K1891,'2026.01'!A:Y,18,0),0)</f>
        <v>0.8</v>
      </c>
      <c r="F1895" s="309">
        <f>IFERROR(VLOOKUP(K1891,'2026.01'!A:Y,20,0),0)</f>
        <v>2</v>
      </c>
      <c r="G1895" s="310"/>
      <c r="K1895" s="300"/>
    </row>
    <row r="1896" ht="15" customHeight="1" spans="1:11">
      <c r="A1896" s="307" t="s">
        <v>13</v>
      </c>
      <c r="B1896" s="308"/>
      <c r="C1896" s="308"/>
      <c r="D1896" s="308"/>
      <c r="E1896" s="311"/>
      <c r="F1896" s="309">
        <f>IFERROR(VLOOKUP(K1891,'2026.01'!A:Y,24,0),0)</f>
        <v>60</v>
      </c>
      <c r="G1896" s="310"/>
      <c r="K1896" s="300"/>
    </row>
    <row r="1897" ht="15" customHeight="1" spans="1:11">
      <c r="A1897" s="307" t="s">
        <v>14</v>
      </c>
      <c r="B1897" s="308"/>
      <c r="C1897" s="308"/>
      <c r="D1897" s="308"/>
      <c r="E1897" s="311"/>
      <c r="F1897" s="309">
        <f>IFERROR(VLOOKUP(K1891,'2026.01'!A:Y,12,0),0)</f>
        <v>160</v>
      </c>
      <c r="G1897" s="310"/>
      <c r="K1897" s="300"/>
    </row>
    <row r="1898" ht="21" customHeight="1" spans="1:11">
      <c r="A1898" s="307" t="s">
        <v>15</v>
      </c>
      <c r="B1898" s="308"/>
      <c r="C1898" s="308"/>
      <c r="D1898" s="308"/>
      <c r="E1898" s="311"/>
      <c r="F1898" s="309">
        <f>IFERROR(VLOOKUP(K1891,'2026.01'!A:Y,9,0),0)</f>
        <v>1200</v>
      </c>
      <c r="G1898" s="310"/>
      <c r="K1898" s="300"/>
    </row>
    <row r="1899" ht="19" customHeight="1" spans="1:11">
      <c r="A1899" s="307" t="s">
        <v>16</v>
      </c>
      <c r="B1899" s="308"/>
      <c r="C1899" s="308"/>
      <c r="D1899" s="308"/>
      <c r="E1899" s="308"/>
      <c r="F1899" s="309">
        <f>IFERROR(VLOOKUP(K1891,'2026.01'!A:Y,10,0),0)</f>
        <v>0</v>
      </c>
      <c r="G1899" s="310"/>
      <c r="K1899" s="300"/>
    </row>
    <row r="1900" ht="21" customHeight="1" spans="1:11">
      <c r="A1900" s="307" t="s">
        <v>17</v>
      </c>
      <c r="B1900" s="308"/>
      <c r="C1900" s="308"/>
      <c r="D1900" s="308"/>
      <c r="E1900" s="308"/>
      <c r="F1900" s="309">
        <f>IFERROR(VLOOKUP(K1891,'2026.01'!A:Y,19,0),0)</f>
        <v>1</v>
      </c>
      <c r="G1900" s="310"/>
      <c r="K1900" s="300"/>
    </row>
    <row r="1901" ht="17.15" customHeight="1" spans="1:11">
      <c r="A1901" s="307" t="s">
        <v>18</v>
      </c>
      <c r="B1901" s="308"/>
      <c r="C1901" s="308"/>
      <c r="D1901" s="308"/>
      <c r="E1901" s="308"/>
      <c r="F1901" s="309">
        <f>IFERROR(VLOOKUP(K1891,'2026.01'!A:Y,22,0),0)</f>
        <v>0</v>
      </c>
      <c r="G1901" s="310"/>
      <c r="K1901" s="300"/>
    </row>
    <row r="1902" ht="17.15" customHeight="1" spans="1:11">
      <c r="A1902" s="307" t="s">
        <v>19</v>
      </c>
      <c r="B1902" s="312"/>
      <c r="C1902" s="308"/>
      <c r="D1902" s="313"/>
      <c r="E1902" s="308"/>
      <c r="F1902" s="309">
        <f>IFERROR(VLOOKUP(K1891,'2026.01'!A:Y,25,0),0)</f>
        <v>1423</v>
      </c>
      <c r="G1902" s="310"/>
      <c r="K1902" s="300"/>
    </row>
    <row r="1903" ht="15" customHeight="1" spans="1:11">
      <c r="A1903" s="314" t="s">
        <v>20</v>
      </c>
      <c r="B1903" s="315">
        <f>IF(F1902&lt;0,"金额为负，无效",INT(F1902))</f>
        <v>1423</v>
      </c>
      <c r="C1903" s="315"/>
      <c r="D1903" s="315"/>
      <c r="E1903" s="316" t="s">
        <v>21</v>
      </c>
      <c r="F1903" s="317"/>
      <c r="G1903" s="318"/>
      <c r="K1903" s="300"/>
    </row>
    <row r="1904" ht="23" customHeight="1" spans="1:11">
      <c r="A1904" s="319"/>
      <c r="B1904" s="320"/>
      <c r="C1904" s="320"/>
      <c r="D1904" s="320"/>
      <c r="E1904" s="319"/>
      <c r="F1904" s="321"/>
      <c r="G1904" s="322"/>
      <c r="K1904" s="300"/>
    </row>
    <row r="1905" ht="27" customHeight="1" spans="1:11">
      <c r="A1905" s="298" t="s">
        <v>0</v>
      </c>
      <c r="B1905" s="298"/>
      <c r="C1905" s="298"/>
      <c r="D1905" s="298"/>
      <c r="E1905" s="298"/>
      <c r="F1905" s="298"/>
      <c r="G1905" s="298"/>
      <c r="H1905" s="299"/>
      <c r="I1905" s="299"/>
      <c r="J1905" s="299"/>
      <c r="K1905" s="300">
        <v>137</v>
      </c>
    </row>
    <row r="1906" ht="15" customHeight="1" spans="1:11">
      <c r="A1906" s="301" t="s">
        <v>1</v>
      </c>
      <c r="B1906" s="301"/>
      <c r="C1906" s="301"/>
      <c r="D1906" s="301"/>
      <c r="E1906" s="301"/>
      <c r="F1906" s="301"/>
      <c r="G1906" s="302" t="str">
        <f>IFERROR(VLOOKUP(K1905,'2026.01'!A:Y,2,0),0)</f>
        <v>NO:137</v>
      </c>
      <c r="K1906" s="300"/>
    </row>
    <row r="1907" ht="15" customHeight="1" spans="1:11">
      <c r="A1907" s="303" t="s">
        <v>2</v>
      </c>
      <c r="B1907" s="304">
        <f>IFERROR(VLOOKUP(K1905,'2026.01'!A:Y,6,0),0)</f>
        <v>2068</v>
      </c>
      <c r="C1907" s="304"/>
      <c r="D1907" s="305" t="s">
        <v>3</v>
      </c>
      <c r="E1907" s="305" t="str">
        <f>IFERROR(VLOOKUP(K1905,'2026.01'!A:Y,7,0),0)</f>
        <v>郑美卿</v>
      </c>
      <c r="F1907" s="305"/>
      <c r="G1907" s="306" t="s">
        <v>4</v>
      </c>
      <c r="K1907" s="300"/>
    </row>
    <row r="1908" ht="15" customHeight="1" spans="1:11">
      <c r="A1908" s="307" t="s">
        <v>5</v>
      </c>
      <c r="B1908" s="308" t="s">
        <v>6</v>
      </c>
      <c r="C1908" s="308" t="s">
        <v>7</v>
      </c>
      <c r="D1908" s="308" t="s">
        <v>8</v>
      </c>
      <c r="E1908" s="308" t="s">
        <v>9</v>
      </c>
      <c r="F1908" s="309" t="s">
        <v>10</v>
      </c>
      <c r="G1908" s="310" t="s">
        <v>11</v>
      </c>
      <c r="K1908" s="300"/>
    </row>
    <row r="1909" ht="15" customHeight="1" spans="1:11">
      <c r="A1909" s="307" t="s">
        <v>12</v>
      </c>
      <c r="B1909" s="308">
        <f>IFERROR(VLOOKUP(K1905,'2026.01'!A:Y,14,0),0)</f>
        <v>1245</v>
      </c>
      <c r="C1909" s="308">
        <f>IFERROR(VLOOKUP(K1905,'2026.01'!A:Y,13,0),0)</f>
        <v>1182</v>
      </c>
      <c r="D1909" s="308">
        <f>IFERROR(VLOOKUP(K1905,'2026.01'!A:Y,15,0),0)</f>
        <v>63</v>
      </c>
      <c r="E1909" s="311">
        <f>IFERROR(VLOOKUP(K1905,'2026.01'!A:Y,18,0),0)</f>
        <v>0.8</v>
      </c>
      <c r="F1909" s="309">
        <f>IFERROR(VLOOKUP(K1905,'2026.01'!A:Y,20,0),0)</f>
        <v>50</v>
      </c>
      <c r="G1909" s="310"/>
      <c r="K1909" s="300"/>
    </row>
    <row r="1910" ht="15" customHeight="1" spans="1:11">
      <c r="A1910" s="307" t="s">
        <v>13</v>
      </c>
      <c r="B1910" s="308"/>
      <c r="C1910" s="308"/>
      <c r="D1910" s="308"/>
      <c r="E1910" s="311"/>
      <c r="F1910" s="309">
        <f>IFERROR(VLOOKUP(K1905,'2026.01'!A:Y,24,0),0)</f>
        <v>34</v>
      </c>
      <c r="G1910" s="310"/>
      <c r="K1910" s="300"/>
    </row>
    <row r="1911" ht="15" customHeight="1" spans="1:11">
      <c r="A1911" s="307" t="s">
        <v>14</v>
      </c>
      <c r="B1911" s="308"/>
      <c r="C1911" s="308"/>
      <c r="D1911" s="308"/>
      <c r="E1911" s="311"/>
      <c r="F1911" s="309">
        <f>IFERROR(VLOOKUP(K1905,'2026.01'!A:Y,12,0),0)</f>
        <v>160</v>
      </c>
      <c r="G1911" s="310"/>
      <c r="K1911" s="300"/>
    </row>
    <row r="1912" ht="21" customHeight="1" spans="1:11">
      <c r="A1912" s="307" t="s">
        <v>15</v>
      </c>
      <c r="B1912" s="308"/>
      <c r="C1912" s="308"/>
      <c r="D1912" s="308"/>
      <c r="E1912" s="311"/>
      <c r="F1912" s="309">
        <f>IFERROR(VLOOKUP(K1905,'2026.01'!A:Y,9,0),0)</f>
        <v>2000</v>
      </c>
      <c r="G1912" s="310"/>
      <c r="K1912" s="300"/>
    </row>
    <row r="1913" ht="19" customHeight="1" spans="1:11">
      <c r="A1913" s="307" t="s">
        <v>16</v>
      </c>
      <c r="B1913" s="308"/>
      <c r="C1913" s="308"/>
      <c r="D1913" s="308"/>
      <c r="E1913" s="308"/>
      <c r="F1913" s="309">
        <f>IFERROR(VLOOKUP(K1905,'2026.01'!A:Y,10,0),0)</f>
        <v>0</v>
      </c>
      <c r="G1913" s="310"/>
      <c r="K1913" s="300"/>
    </row>
    <row r="1914" ht="21" customHeight="1" spans="1:11">
      <c r="A1914" s="307" t="s">
        <v>17</v>
      </c>
      <c r="B1914" s="308"/>
      <c r="C1914" s="308"/>
      <c r="D1914" s="308"/>
      <c r="E1914" s="308"/>
      <c r="F1914" s="309">
        <f>IFERROR(VLOOKUP(K1905,'2026.01'!A:Y,19,0),0)</f>
        <v>44</v>
      </c>
      <c r="G1914" s="310"/>
      <c r="K1914" s="300"/>
    </row>
    <row r="1915" ht="17.15" customHeight="1" spans="1:11">
      <c r="A1915" s="307" t="s">
        <v>18</v>
      </c>
      <c r="B1915" s="308"/>
      <c r="C1915" s="308"/>
      <c r="D1915" s="308"/>
      <c r="E1915" s="308"/>
      <c r="F1915" s="309">
        <f>IFERROR(VLOOKUP(K1905,'2026.01'!A:Y,22,0),0)</f>
        <v>164</v>
      </c>
      <c r="G1915" s="310"/>
      <c r="K1915" s="300"/>
    </row>
    <row r="1916" ht="17.15" customHeight="1" spans="1:11">
      <c r="A1916" s="307" t="s">
        <v>19</v>
      </c>
      <c r="B1916" s="312"/>
      <c r="C1916" s="308"/>
      <c r="D1916" s="313"/>
      <c r="E1916" s="308"/>
      <c r="F1916" s="309">
        <f>IFERROR(VLOOKUP(K1905,'2026.01'!A:Y,25,0),0)</f>
        <v>2452</v>
      </c>
      <c r="G1916" s="310"/>
      <c r="K1916" s="300"/>
    </row>
    <row r="1917" ht="15" customHeight="1" spans="1:11">
      <c r="A1917" s="314" t="s">
        <v>20</v>
      </c>
      <c r="B1917" s="315">
        <f>IF(F1916&lt;0,"金额为负，无效",INT(F1916))</f>
        <v>2452</v>
      </c>
      <c r="C1917" s="315"/>
      <c r="D1917" s="315"/>
      <c r="E1917" s="316" t="s">
        <v>21</v>
      </c>
      <c r="F1917" s="317"/>
      <c r="G1917" s="318"/>
      <c r="K1917" s="300"/>
    </row>
    <row r="1918" ht="23" customHeight="1" spans="1:11">
      <c r="A1918" s="319"/>
      <c r="B1918" s="320"/>
      <c r="C1918" s="320"/>
      <c r="D1918" s="320"/>
      <c r="E1918" s="319"/>
      <c r="F1918" s="321"/>
      <c r="G1918" s="322"/>
      <c r="K1918" s="300"/>
    </row>
    <row r="1919" ht="27" customHeight="1" spans="1:11">
      <c r="A1919" s="298" t="s">
        <v>0</v>
      </c>
      <c r="B1919" s="298"/>
      <c r="C1919" s="298"/>
      <c r="D1919" s="298"/>
      <c r="E1919" s="298"/>
      <c r="F1919" s="298"/>
      <c r="G1919" s="298"/>
      <c r="H1919" s="299"/>
      <c r="I1919" s="299"/>
      <c r="J1919" s="299"/>
      <c r="K1919" s="300">
        <v>138</v>
      </c>
    </row>
    <row r="1920" ht="15" customHeight="1" spans="1:11">
      <c r="A1920" s="301" t="s">
        <v>1</v>
      </c>
      <c r="B1920" s="301"/>
      <c r="C1920" s="301"/>
      <c r="D1920" s="301"/>
      <c r="E1920" s="301"/>
      <c r="F1920" s="301"/>
      <c r="G1920" s="302" t="str">
        <f>IFERROR(VLOOKUP(K1919,'2026.01'!A:Y,2,0),0)</f>
        <v>NO:138</v>
      </c>
      <c r="K1920" s="300"/>
    </row>
    <row r="1921" ht="15" customHeight="1" spans="1:11">
      <c r="A1921" s="303" t="s">
        <v>2</v>
      </c>
      <c r="B1921" s="304">
        <f>IFERROR(VLOOKUP(K1919,'2026.01'!A:Y,6,0),0)</f>
        <v>2069</v>
      </c>
      <c r="C1921" s="304"/>
      <c r="D1921" s="305" t="s">
        <v>3</v>
      </c>
      <c r="E1921" s="305" t="str">
        <f>IFERROR(VLOOKUP(K1919,'2026.01'!A:Y,7,0),0)</f>
        <v>陈亚丽</v>
      </c>
      <c r="F1921" s="305"/>
      <c r="G1921" s="306" t="s">
        <v>4</v>
      </c>
      <c r="K1921" s="300"/>
    </row>
    <row r="1922" ht="15" customHeight="1" spans="1:11">
      <c r="A1922" s="307" t="s">
        <v>5</v>
      </c>
      <c r="B1922" s="308" t="s">
        <v>6</v>
      </c>
      <c r="C1922" s="308" t="s">
        <v>7</v>
      </c>
      <c r="D1922" s="308" t="s">
        <v>8</v>
      </c>
      <c r="E1922" s="308" t="s">
        <v>9</v>
      </c>
      <c r="F1922" s="309" t="s">
        <v>10</v>
      </c>
      <c r="G1922" s="310" t="s">
        <v>11</v>
      </c>
      <c r="K1922" s="300"/>
    </row>
    <row r="1923" ht="15" customHeight="1" spans="1:11">
      <c r="A1923" s="307" t="s">
        <v>12</v>
      </c>
      <c r="B1923" s="308">
        <f>IFERROR(VLOOKUP(K1919,'2026.01'!A:Y,14,0),0)</f>
        <v>8316</v>
      </c>
      <c r="C1923" s="308">
        <f>IFERROR(VLOOKUP(K1919,'2026.01'!A:Y,13,0),0)</f>
        <v>8308</v>
      </c>
      <c r="D1923" s="308">
        <f>IFERROR(VLOOKUP(K1919,'2026.01'!A:Y,15,0),0)</f>
        <v>8</v>
      </c>
      <c r="E1923" s="311">
        <f>IFERROR(VLOOKUP(K1919,'2026.01'!A:Y,18,0),0)</f>
        <v>0.8</v>
      </c>
      <c r="F1923" s="309">
        <f>IFERROR(VLOOKUP(K1919,'2026.01'!A:Y,20,0),0)</f>
        <v>6</v>
      </c>
      <c r="G1923" s="310"/>
      <c r="K1923" s="300"/>
    </row>
    <row r="1924" ht="15" customHeight="1" spans="1:11">
      <c r="A1924" s="307" t="s">
        <v>13</v>
      </c>
      <c r="B1924" s="308"/>
      <c r="C1924" s="308"/>
      <c r="D1924" s="308"/>
      <c r="E1924" s="311"/>
      <c r="F1924" s="309">
        <f>IFERROR(VLOOKUP(K1919,'2026.01'!A:Y,24,0),0)</f>
        <v>34</v>
      </c>
      <c r="G1924" s="310"/>
      <c r="K1924" s="300"/>
    </row>
    <row r="1925" ht="15" customHeight="1" spans="1:11">
      <c r="A1925" s="307" t="s">
        <v>14</v>
      </c>
      <c r="B1925" s="308"/>
      <c r="C1925" s="308"/>
      <c r="D1925" s="308"/>
      <c r="E1925" s="311"/>
      <c r="F1925" s="309">
        <f>IFERROR(VLOOKUP(K1919,'2026.01'!A:Y,12,0),0)</f>
        <v>160</v>
      </c>
      <c r="G1925" s="310"/>
      <c r="K1925" s="300"/>
    </row>
    <row r="1926" ht="21" customHeight="1" spans="1:11">
      <c r="A1926" s="307" t="s">
        <v>15</v>
      </c>
      <c r="B1926" s="308"/>
      <c r="C1926" s="308"/>
      <c r="D1926" s="308"/>
      <c r="E1926" s="311"/>
      <c r="F1926" s="309">
        <f>IFERROR(VLOOKUP(K1919,'2026.01'!A:Y,9,0),0)</f>
        <v>2500</v>
      </c>
      <c r="G1926" s="310"/>
      <c r="K1926" s="300"/>
    </row>
    <row r="1927" ht="19" customHeight="1" spans="1:11">
      <c r="A1927" s="307" t="s">
        <v>16</v>
      </c>
      <c r="B1927" s="308"/>
      <c r="C1927" s="308"/>
      <c r="D1927" s="308"/>
      <c r="E1927" s="308"/>
      <c r="F1927" s="309">
        <f>IFERROR(VLOOKUP(K1919,'2026.01'!A:Y,10,0),0)</f>
        <v>200</v>
      </c>
      <c r="G1927" s="310"/>
      <c r="K1927" s="300"/>
    </row>
    <row r="1928" ht="21" customHeight="1" spans="1:11">
      <c r="A1928" s="307" t="s">
        <v>17</v>
      </c>
      <c r="B1928" s="308"/>
      <c r="C1928" s="308"/>
      <c r="D1928" s="308"/>
      <c r="E1928" s="308"/>
      <c r="F1928" s="309">
        <f>IFERROR(VLOOKUP(K1919,'2026.01'!A:Y,19,0),0)</f>
        <v>6</v>
      </c>
      <c r="G1928" s="310"/>
      <c r="K1928" s="300"/>
    </row>
    <row r="1929" ht="17.15" customHeight="1" spans="1:11">
      <c r="A1929" s="307" t="s">
        <v>18</v>
      </c>
      <c r="B1929" s="308"/>
      <c r="C1929" s="308"/>
      <c r="D1929" s="308"/>
      <c r="E1929" s="308"/>
      <c r="F1929" s="309">
        <f>IFERROR(VLOOKUP(K1919,'2026.01'!A:Y,22,0),0)</f>
        <v>164</v>
      </c>
      <c r="G1929" s="310"/>
      <c r="K1929" s="300"/>
    </row>
    <row r="1930" ht="17.15" customHeight="1" spans="1:11">
      <c r="A1930" s="307" t="s">
        <v>19</v>
      </c>
      <c r="B1930" s="312"/>
      <c r="C1930" s="308"/>
      <c r="D1930" s="313"/>
      <c r="E1930" s="308"/>
      <c r="F1930" s="309">
        <f>IFERROR(VLOOKUP(K1919,'2026.01'!A:Y,25,0),0)</f>
        <v>3070</v>
      </c>
      <c r="G1930" s="310"/>
      <c r="K1930" s="300"/>
    </row>
    <row r="1931" ht="15" customHeight="1" spans="1:11">
      <c r="A1931" s="314" t="s">
        <v>20</v>
      </c>
      <c r="B1931" s="315">
        <f>IF(F1930&lt;0,"金额为负，无效",INT(F1930))</f>
        <v>3070</v>
      </c>
      <c r="C1931" s="315"/>
      <c r="D1931" s="315"/>
      <c r="E1931" s="316" t="s">
        <v>21</v>
      </c>
      <c r="F1931" s="317"/>
      <c r="G1931" s="318"/>
      <c r="K1931" s="300"/>
    </row>
    <row r="1932" ht="15" customHeight="1" spans="1:11">
      <c r="A1932" s="319"/>
      <c r="B1932" s="320"/>
      <c r="C1932" s="320"/>
      <c r="D1932" s="320"/>
      <c r="E1932" s="319"/>
      <c r="F1932" s="321"/>
      <c r="G1932" s="322"/>
      <c r="K1932" s="300"/>
    </row>
    <row r="1933" ht="27" customHeight="1" spans="1:11">
      <c r="A1933" s="298" t="s">
        <v>0</v>
      </c>
      <c r="B1933" s="298"/>
      <c r="C1933" s="298"/>
      <c r="D1933" s="298"/>
      <c r="E1933" s="298"/>
      <c r="F1933" s="298"/>
      <c r="G1933" s="298"/>
      <c r="H1933" s="299"/>
      <c r="I1933" s="299"/>
      <c r="J1933" s="299"/>
      <c r="K1933" s="300">
        <v>139</v>
      </c>
    </row>
    <row r="1934" ht="15" customHeight="1" spans="1:11">
      <c r="A1934" s="301" t="s">
        <v>1</v>
      </c>
      <c r="B1934" s="301"/>
      <c r="C1934" s="301"/>
      <c r="D1934" s="301"/>
      <c r="E1934" s="301"/>
      <c r="F1934" s="301"/>
      <c r="G1934" s="302" t="str">
        <f>IFERROR(VLOOKUP(K1933,'2026.01'!A:Y,2,0),0)</f>
        <v>NO:139</v>
      </c>
      <c r="K1934" s="300"/>
    </row>
    <row r="1935" ht="15" customHeight="1" spans="1:11">
      <c r="A1935" s="303" t="s">
        <v>2</v>
      </c>
      <c r="B1935" s="304">
        <f>IFERROR(VLOOKUP(K1933,'2026.01'!A:Y,6,0),0)</f>
        <v>2070</v>
      </c>
      <c r="C1935" s="304"/>
      <c r="D1935" s="305" t="s">
        <v>3</v>
      </c>
      <c r="E1935" s="305" t="str">
        <f>IFERROR(VLOOKUP(K1933,'2026.01'!A:Y,7,0),0)</f>
        <v>王名冲</v>
      </c>
      <c r="F1935" s="305"/>
      <c r="G1935" s="306" t="s">
        <v>4</v>
      </c>
      <c r="K1935" s="300"/>
    </row>
    <row r="1936" ht="15" customHeight="1" spans="1:11">
      <c r="A1936" s="307" t="s">
        <v>5</v>
      </c>
      <c r="B1936" s="308" t="s">
        <v>6</v>
      </c>
      <c r="C1936" s="308" t="s">
        <v>7</v>
      </c>
      <c r="D1936" s="308" t="s">
        <v>8</v>
      </c>
      <c r="E1936" s="308" t="s">
        <v>9</v>
      </c>
      <c r="F1936" s="309" t="s">
        <v>10</v>
      </c>
      <c r="G1936" s="310" t="s">
        <v>11</v>
      </c>
      <c r="K1936" s="300"/>
    </row>
    <row r="1937" ht="15" customHeight="1" spans="1:11">
      <c r="A1937" s="307" t="s">
        <v>12</v>
      </c>
      <c r="B1937" s="308">
        <f>IFERROR(VLOOKUP(K1933,'2026.01'!A:Y,14,0),0)</f>
        <v>8321</v>
      </c>
      <c r="C1937" s="308">
        <f>IFERROR(VLOOKUP(K1933,'2026.01'!A:Y,13,0),0)</f>
        <v>8245</v>
      </c>
      <c r="D1937" s="308">
        <f>IFERROR(VLOOKUP(K1933,'2026.01'!A:Y,15,0),0)</f>
        <v>76</v>
      </c>
      <c r="E1937" s="311">
        <f>IFERROR(VLOOKUP(K1933,'2026.01'!A:Y,18,0),0)</f>
        <v>0.8</v>
      </c>
      <c r="F1937" s="309">
        <f>IFERROR(VLOOKUP(K1933,'2026.01'!A:Y,20,0),0)</f>
        <v>61</v>
      </c>
      <c r="G1937" s="310"/>
      <c r="K1937" s="300"/>
    </row>
    <row r="1938" ht="15" customHeight="1" spans="1:11">
      <c r="A1938" s="307" t="s">
        <v>13</v>
      </c>
      <c r="B1938" s="308"/>
      <c r="C1938" s="308"/>
      <c r="D1938" s="308"/>
      <c r="E1938" s="311"/>
      <c r="F1938" s="309">
        <f>IFERROR(VLOOKUP(K1933,'2026.01'!A:Y,24,0),0)</f>
        <v>34</v>
      </c>
      <c r="G1938" s="310"/>
      <c r="K1938" s="300"/>
    </row>
    <row r="1939" ht="15" customHeight="1" spans="1:11">
      <c r="A1939" s="307" t="s">
        <v>14</v>
      </c>
      <c r="B1939" s="308"/>
      <c r="C1939" s="308"/>
      <c r="D1939" s="308"/>
      <c r="E1939" s="311"/>
      <c r="F1939" s="309">
        <f>IFERROR(VLOOKUP(K1933,'2026.01'!A:Y,12,0),0)</f>
        <v>160</v>
      </c>
      <c r="G1939" s="310"/>
      <c r="K1939" s="300"/>
    </row>
    <row r="1940" ht="21" customHeight="1" spans="1:11">
      <c r="A1940" s="307" t="s">
        <v>15</v>
      </c>
      <c r="B1940" s="308"/>
      <c r="C1940" s="308"/>
      <c r="D1940" s="308"/>
      <c r="E1940" s="311"/>
      <c r="F1940" s="309">
        <f>IFERROR(VLOOKUP(K1933,'2026.01'!A:Y,9,0),0)</f>
        <v>2500</v>
      </c>
      <c r="G1940" s="310"/>
      <c r="K1940" s="300"/>
    </row>
    <row r="1941" ht="19" customHeight="1" spans="1:11">
      <c r="A1941" s="307" t="s">
        <v>16</v>
      </c>
      <c r="B1941" s="308"/>
      <c r="C1941" s="308"/>
      <c r="D1941" s="308"/>
      <c r="E1941" s="308"/>
      <c r="F1941" s="309">
        <f>IFERROR(VLOOKUP(K1933,'2026.01'!A:Y,10,0),0)</f>
        <v>200</v>
      </c>
      <c r="G1941" s="310"/>
      <c r="K1941" s="300"/>
    </row>
    <row r="1942" ht="21" customHeight="1" spans="1:11">
      <c r="A1942" s="307" t="s">
        <v>17</v>
      </c>
      <c r="B1942" s="308"/>
      <c r="C1942" s="308"/>
      <c r="D1942" s="308"/>
      <c r="E1942" s="308"/>
      <c r="F1942" s="309">
        <f>IFERROR(VLOOKUP(K1933,'2026.01'!A:Y,19,0),0)</f>
        <v>53</v>
      </c>
      <c r="G1942" s="310"/>
      <c r="K1942" s="300"/>
    </row>
    <row r="1943" ht="17.15" customHeight="1" spans="1:11">
      <c r="A1943" s="307" t="s">
        <v>18</v>
      </c>
      <c r="B1943" s="308"/>
      <c r="C1943" s="308"/>
      <c r="D1943" s="308"/>
      <c r="E1943" s="308"/>
      <c r="F1943" s="309">
        <f>IFERROR(VLOOKUP(K1933,'2026.01'!A:Y,22,0),0)</f>
        <v>164</v>
      </c>
      <c r="G1943" s="310"/>
      <c r="K1943" s="300"/>
    </row>
    <row r="1944" ht="17.15" customHeight="1" spans="1:11">
      <c r="A1944" s="307" t="s">
        <v>19</v>
      </c>
      <c r="B1944" s="312"/>
      <c r="C1944" s="308"/>
      <c r="D1944" s="313"/>
      <c r="E1944" s="308"/>
      <c r="F1944" s="309">
        <f>IFERROR(VLOOKUP(K1933,'2026.01'!A:Y,25,0),0)</f>
        <v>3172</v>
      </c>
      <c r="G1944" s="310"/>
      <c r="K1944" s="300"/>
    </row>
    <row r="1945" ht="15" customHeight="1" spans="1:11">
      <c r="A1945" s="314" t="s">
        <v>20</v>
      </c>
      <c r="B1945" s="315">
        <f>IF(F1944&lt;0,"金额为负，无效",INT(F1944))</f>
        <v>3172</v>
      </c>
      <c r="C1945" s="315"/>
      <c r="D1945" s="315"/>
      <c r="E1945" s="316" t="s">
        <v>21</v>
      </c>
      <c r="F1945" s="317"/>
      <c r="G1945" s="318"/>
      <c r="K1945" s="300"/>
    </row>
    <row r="1946" ht="23" customHeight="1" spans="1:11">
      <c r="A1946" s="319"/>
      <c r="B1946" s="320"/>
      <c r="C1946" s="320"/>
      <c r="D1946" s="320"/>
      <c r="E1946" s="319"/>
      <c r="F1946" s="321"/>
      <c r="G1946" s="322"/>
      <c r="K1946" s="300"/>
    </row>
    <row r="1947" ht="27" customHeight="1" spans="1:11">
      <c r="A1947" s="298" t="s">
        <v>0</v>
      </c>
      <c r="B1947" s="298"/>
      <c r="C1947" s="298"/>
      <c r="D1947" s="298"/>
      <c r="E1947" s="298"/>
      <c r="F1947" s="298"/>
      <c r="G1947" s="298"/>
      <c r="H1947" s="299"/>
      <c r="I1947" s="299"/>
      <c r="J1947" s="299"/>
      <c r="K1947" s="300">
        <v>140</v>
      </c>
    </row>
    <row r="1948" ht="15" customHeight="1" spans="1:11">
      <c r="A1948" s="301" t="s">
        <v>1</v>
      </c>
      <c r="B1948" s="301"/>
      <c r="C1948" s="301"/>
      <c r="D1948" s="301"/>
      <c r="E1948" s="301"/>
      <c r="F1948" s="301"/>
      <c r="G1948" s="302" t="str">
        <f>IFERROR(VLOOKUP(K1947,'2026.01'!A:Y,2,0),0)</f>
        <v>NO:140</v>
      </c>
      <c r="K1948" s="300"/>
    </row>
    <row r="1949" ht="15" customHeight="1" spans="1:11">
      <c r="A1949" s="303" t="s">
        <v>2</v>
      </c>
      <c r="B1949" s="304">
        <f>IFERROR(VLOOKUP(K1947,'2026.01'!A:Y,6,0),0)</f>
        <v>2071</v>
      </c>
      <c r="C1949" s="304"/>
      <c r="D1949" s="305" t="s">
        <v>3</v>
      </c>
      <c r="E1949" s="305" t="str">
        <f>IFERROR(VLOOKUP(K1947,'2026.01'!A:Y,7,0),0)</f>
        <v>陈寿锋</v>
      </c>
      <c r="F1949" s="305"/>
      <c r="G1949" s="306" t="s">
        <v>4</v>
      </c>
      <c r="K1949" s="300"/>
    </row>
    <row r="1950" ht="15" customHeight="1" spans="1:11">
      <c r="A1950" s="307" t="s">
        <v>5</v>
      </c>
      <c r="B1950" s="308" t="s">
        <v>6</v>
      </c>
      <c r="C1950" s="308" t="s">
        <v>7</v>
      </c>
      <c r="D1950" s="308" t="s">
        <v>8</v>
      </c>
      <c r="E1950" s="308" t="s">
        <v>9</v>
      </c>
      <c r="F1950" s="309" t="s">
        <v>10</v>
      </c>
      <c r="G1950" s="310" t="s">
        <v>11</v>
      </c>
      <c r="K1950" s="300"/>
    </row>
    <row r="1951" ht="15" customHeight="1" spans="1:11">
      <c r="A1951" s="307" t="s">
        <v>12</v>
      </c>
      <c r="B1951" s="308">
        <f>IFERROR(VLOOKUP(K1947,'2026.01'!A:Y,14,0),0)</f>
        <v>8325</v>
      </c>
      <c r="C1951" s="308">
        <f>IFERROR(VLOOKUP(K1947,'2026.01'!A:Y,13,0),0)</f>
        <v>8300</v>
      </c>
      <c r="D1951" s="308">
        <f>IFERROR(VLOOKUP(K1947,'2026.01'!A:Y,15,0),0)</f>
        <v>25</v>
      </c>
      <c r="E1951" s="311">
        <f>IFERROR(VLOOKUP(K1947,'2026.01'!A:Y,18,0),0)</f>
        <v>0.8</v>
      </c>
      <c r="F1951" s="309">
        <f>IFERROR(VLOOKUP(K1947,'2026.01'!A:Y,20,0),0)</f>
        <v>20</v>
      </c>
      <c r="G1951" s="310"/>
      <c r="K1951" s="300"/>
    </row>
    <row r="1952" ht="15" customHeight="1" spans="1:11">
      <c r="A1952" s="307" t="s">
        <v>13</v>
      </c>
      <c r="B1952" s="308"/>
      <c r="C1952" s="308"/>
      <c r="D1952" s="308"/>
      <c r="E1952" s="311"/>
      <c r="F1952" s="309">
        <f>IFERROR(VLOOKUP(K1947,'2026.01'!A:Y,24,0),0)</f>
        <v>34</v>
      </c>
      <c r="G1952" s="310"/>
      <c r="K1952" s="300"/>
    </row>
    <row r="1953" ht="15" customHeight="1" spans="1:11">
      <c r="A1953" s="307" t="s">
        <v>14</v>
      </c>
      <c r="B1953" s="308"/>
      <c r="C1953" s="308"/>
      <c r="D1953" s="308"/>
      <c r="E1953" s="311"/>
      <c r="F1953" s="309">
        <f>IFERROR(VLOOKUP(K1947,'2026.01'!A:Y,12,0),0)</f>
        <v>160</v>
      </c>
      <c r="G1953" s="310"/>
      <c r="K1953" s="300"/>
    </row>
    <row r="1954" ht="21" customHeight="1" spans="1:11">
      <c r="A1954" s="307" t="s">
        <v>15</v>
      </c>
      <c r="B1954" s="308"/>
      <c r="C1954" s="308"/>
      <c r="D1954" s="308"/>
      <c r="E1954" s="311"/>
      <c r="F1954" s="309">
        <f>IFERROR(VLOOKUP(K1947,'2026.01'!A:Y,9,0),0)</f>
        <v>2500</v>
      </c>
      <c r="G1954" s="310"/>
      <c r="K1954" s="300"/>
    </row>
    <row r="1955" ht="19" customHeight="1" spans="1:11">
      <c r="A1955" s="307" t="s">
        <v>16</v>
      </c>
      <c r="B1955" s="308"/>
      <c r="C1955" s="308"/>
      <c r="D1955" s="308"/>
      <c r="E1955" s="308"/>
      <c r="F1955" s="309">
        <f>IFERROR(VLOOKUP(K1947,'2026.01'!A:Y,10,0),0)</f>
        <v>200</v>
      </c>
      <c r="G1955" s="310"/>
      <c r="K1955" s="300"/>
    </row>
    <row r="1956" ht="21" customHeight="1" spans="1:11">
      <c r="A1956" s="307" t="s">
        <v>17</v>
      </c>
      <c r="B1956" s="308"/>
      <c r="C1956" s="308"/>
      <c r="D1956" s="308"/>
      <c r="E1956" s="308"/>
      <c r="F1956" s="309">
        <f>IFERROR(VLOOKUP(K1947,'2026.01'!A:Y,19,0),0)</f>
        <v>18</v>
      </c>
      <c r="G1956" s="310"/>
      <c r="K1956" s="300"/>
    </row>
    <row r="1957" ht="17.15" customHeight="1" spans="1:11">
      <c r="A1957" s="307" t="s">
        <v>18</v>
      </c>
      <c r="B1957" s="308"/>
      <c r="C1957" s="308"/>
      <c r="D1957" s="308"/>
      <c r="E1957" s="308"/>
      <c r="F1957" s="309">
        <f>IFERROR(VLOOKUP(K1947,'2026.01'!A:Y,22,0),0)</f>
        <v>164</v>
      </c>
      <c r="G1957" s="310"/>
      <c r="K1957" s="300"/>
    </row>
    <row r="1958" ht="17.15" customHeight="1" spans="1:11">
      <c r="A1958" s="307" t="s">
        <v>19</v>
      </c>
      <c r="B1958" s="312"/>
      <c r="C1958" s="308"/>
      <c r="D1958" s="313"/>
      <c r="E1958" s="308"/>
      <c r="F1958" s="309">
        <f>IFERROR(VLOOKUP(K1947,'2026.01'!A:Y,25,0),0)</f>
        <v>3096</v>
      </c>
      <c r="G1958" s="310"/>
      <c r="K1958" s="300"/>
    </row>
    <row r="1959" ht="15" customHeight="1" spans="1:11">
      <c r="A1959" s="314" t="s">
        <v>20</v>
      </c>
      <c r="B1959" s="315">
        <f>IF(F1958&lt;0,"金额为负，无效",INT(F1958))</f>
        <v>3096</v>
      </c>
      <c r="C1959" s="315"/>
      <c r="D1959" s="315"/>
      <c r="E1959" s="316" t="s">
        <v>21</v>
      </c>
      <c r="F1959" s="317"/>
      <c r="G1959" s="318"/>
      <c r="K1959" s="300"/>
    </row>
    <row r="1960" ht="23" customHeight="1" spans="1:11">
      <c r="A1960" s="319"/>
      <c r="B1960" s="320"/>
      <c r="C1960" s="320"/>
      <c r="D1960" s="320"/>
      <c r="E1960" s="319"/>
      <c r="F1960" s="321"/>
      <c r="G1960" s="322"/>
      <c r="K1960" s="300"/>
    </row>
    <row r="1961" ht="27" customHeight="1" spans="1:11">
      <c r="A1961" s="298" t="s">
        <v>0</v>
      </c>
      <c r="B1961" s="298"/>
      <c r="C1961" s="298"/>
      <c r="D1961" s="298"/>
      <c r="E1961" s="298"/>
      <c r="F1961" s="298"/>
      <c r="G1961" s="298"/>
      <c r="H1961" s="299"/>
      <c r="I1961" s="299"/>
      <c r="J1961" s="299"/>
      <c r="K1961" s="300">
        <v>141</v>
      </c>
    </row>
    <row r="1962" ht="15" customHeight="1" spans="1:11">
      <c r="A1962" s="301" t="s">
        <v>1</v>
      </c>
      <c r="B1962" s="301"/>
      <c r="C1962" s="301"/>
      <c r="D1962" s="301"/>
      <c r="E1962" s="301"/>
      <c r="F1962" s="301"/>
      <c r="G1962" s="302" t="str">
        <f>IFERROR(VLOOKUP(K1961,'2026.01'!A:Y,2,0),0)</f>
        <v>NO:141</v>
      </c>
      <c r="K1962" s="300"/>
    </row>
    <row r="1963" ht="15" customHeight="1" spans="1:11">
      <c r="A1963" s="303" t="s">
        <v>2</v>
      </c>
      <c r="B1963" s="304">
        <f>IFERROR(VLOOKUP(K1961,'2026.01'!A:Y,6,0),0)</f>
        <v>2072</v>
      </c>
      <c r="C1963" s="304"/>
      <c r="D1963" s="305" t="s">
        <v>3</v>
      </c>
      <c r="E1963" s="305" t="str">
        <f>IFERROR(VLOOKUP(K1961,'2026.01'!A:Y,7,0),0)</f>
        <v>王琴</v>
      </c>
      <c r="F1963" s="305"/>
      <c r="G1963" s="306" t="s">
        <v>4</v>
      </c>
      <c r="K1963" s="300"/>
    </row>
    <row r="1964" ht="15" customHeight="1" spans="1:11">
      <c r="A1964" s="307" t="s">
        <v>5</v>
      </c>
      <c r="B1964" s="308" t="s">
        <v>6</v>
      </c>
      <c r="C1964" s="308" t="s">
        <v>7</v>
      </c>
      <c r="D1964" s="308" t="s">
        <v>8</v>
      </c>
      <c r="E1964" s="308" t="s">
        <v>9</v>
      </c>
      <c r="F1964" s="309" t="s">
        <v>10</v>
      </c>
      <c r="G1964" s="310" t="s">
        <v>11</v>
      </c>
      <c r="K1964" s="300"/>
    </row>
    <row r="1965" ht="15" customHeight="1" spans="1:11">
      <c r="A1965" s="307" t="s">
        <v>12</v>
      </c>
      <c r="B1965" s="308">
        <f>IFERROR(VLOOKUP(K1961,'2026.01'!A:Y,14,0),0)</f>
        <v>4197</v>
      </c>
      <c r="C1965" s="308">
        <f>IFERROR(VLOOKUP(K1961,'2026.01'!A:Y,13,0),0)</f>
        <v>4168</v>
      </c>
      <c r="D1965" s="308">
        <f>IFERROR(VLOOKUP(K1961,'2026.01'!A:Y,15,0),0)</f>
        <v>29</v>
      </c>
      <c r="E1965" s="311">
        <f>IFERROR(VLOOKUP(K1961,'2026.01'!A:Y,18,0),0)</f>
        <v>0.8</v>
      </c>
      <c r="F1965" s="309">
        <f>IFERROR(VLOOKUP(K1961,'2026.01'!A:Y,20,0),0)</f>
        <v>23</v>
      </c>
      <c r="G1965" s="310"/>
      <c r="K1965" s="300"/>
    </row>
    <row r="1966" ht="15" customHeight="1" spans="1:11">
      <c r="A1966" s="307" t="s">
        <v>13</v>
      </c>
      <c r="B1966" s="308"/>
      <c r="C1966" s="308"/>
      <c r="D1966" s="308"/>
      <c r="E1966" s="311"/>
      <c r="F1966" s="309">
        <f>IFERROR(VLOOKUP(K1961,'2026.01'!A:Y,24,0),0)</f>
        <v>34</v>
      </c>
      <c r="G1966" s="310"/>
      <c r="K1966" s="300"/>
    </row>
    <row r="1967" ht="15" customHeight="1" spans="1:11">
      <c r="A1967" s="307" t="s">
        <v>14</v>
      </c>
      <c r="B1967" s="308"/>
      <c r="C1967" s="308"/>
      <c r="D1967" s="308"/>
      <c r="E1967" s="311"/>
      <c r="F1967" s="309">
        <f>IFERROR(VLOOKUP(K1961,'2026.01'!A:Y,12,0),0)</f>
        <v>160</v>
      </c>
      <c r="G1967" s="310"/>
      <c r="K1967" s="300"/>
    </row>
    <row r="1968" ht="21" customHeight="1" spans="1:11">
      <c r="A1968" s="307" t="s">
        <v>15</v>
      </c>
      <c r="B1968" s="308"/>
      <c r="C1968" s="308"/>
      <c r="D1968" s="308"/>
      <c r="E1968" s="311"/>
      <c r="F1968" s="309">
        <f>IFERROR(VLOOKUP(K1961,'2026.01'!A:Y,9,0),0)</f>
        <v>2500</v>
      </c>
      <c r="G1968" s="310"/>
      <c r="K1968" s="300"/>
    </row>
    <row r="1969" ht="19" customHeight="1" spans="1:11">
      <c r="A1969" s="307" t="s">
        <v>16</v>
      </c>
      <c r="B1969" s="308"/>
      <c r="C1969" s="308"/>
      <c r="D1969" s="308"/>
      <c r="E1969" s="308"/>
      <c r="F1969" s="309">
        <f>IFERROR(VLOOKUP(K1961,'2026.01'!A:Y,10,0),0)</f>
        <v>200</v>
      </c>
      <c r="G1969" s="310"/>
      <c r="K1969" s="300"/>
    </row>
    <row r="1970" ht="21" customHeight="1" spans="1:11">
      <c r="A1970" s="307" t="s">
        <v>17</v>
      </c>
      <c r="B1970" s="308"/>
      <c r="C1970" s="308"/>
      <c r="D1970" s="308"/>
      <c r="E1970" s="308"/>
      <c r="F1970" s="309">
        <f>IFERROR(VLOOKUP(K1961,'2026.01'!A:Y,19,0),0)</f>
        <v>20</v>
      </c>
      <c r="G1970" s="310"/>
      <c r="K1970" s="300"/>
    </row>
    <row r="1971" ht="17.15" customHeight="1" spans="1:11">
      <c r="A1971" s="307" t="s">
        <v>18</v>
      </c>
      <c r="B1971" s="308"/>
      <c r="C1971" s="308"/>
      <c r="D1971" s="308"/>
      <c r="E1971" s="308"/>
      <c r="F1971" s="309">
        <f>IFERROR(VLOOKUP(K1961,'2026.01'!A:Y,22,0),0)</f>
        <v>164</v>
      </c>
      <c r="G1971" s="310"/>
      <c r="K1971" s="300"/>
    </row>
    <row r="1972" ht="17.15" customHeight="1" spans="1:11">
      <c r="A1972" s="307" t="s">
        <v>19</v>
      </c>
      <c r="B1972" s="312"/>
      <c r="C1972" s="308"/>
      <c r="D1972" s="313"/>
      <c r="E1972" s="308"/>
      <c r="F1972" s="309">
        <f>IFERROR(VLOOKUP(K1961,'2026.01'!A:Y,25,0),0)</f>
        <v>3101</v>
      </c>
      <c r="G1972" s="310"/>
      <c r="K1972" s="300"/>
    </row>
    <row r="1973" ht="15" customHeight="1" spans="1:11">
      <c r="A1973" s="314" t="s">
        <v>20</v>
      </c>
      <c r="B1973" s="315">
        <f>IF(F1972&lt;0,"金额为负，无效",INT(F1972))</f>
        <v>3101</v>
      </c>
      <c r="C1973" s="315"/>
      <c r="D1973" s="315"/>
      <c r="E1973" s="316" t="s">
        <v>21</v>
      </c>
      <c r="F1973" s="317"/>
      <c r="G1973" s="318"/>
      <c r="K1973" s="300"/>
    </row>
    <row r="1974" ht="15" customHeight="1" spans="1:11">
      <c r="A1974" s="319"/>
      <c r="B1974" s="320"/>
      <c r="C1974" s="320"/>
      <c r="D1974" s="320"/>
      <c r="E1974" s="319"/>
      <c r="F1974" s="321"/>
      <c r="G1974" s="322"/>
      <c r="K1974" s="300"/>
    </row>
    <row r="1975" ht="27" customHeight="1" spans="1:11">
      <c r="A1975" s="298" t="s">
        <v>0</v>
      </c>
      <c r="B1975" s="298"/>
      <c r="C1975" s="298"/>
      <c r="D1975" s="298"/>
      <c r="E1975" s="298"/>
      <c r="F1975" s="298"/>
      <c r="G1975" s="298"/>
      <c r="H1975" s="299"/>
      <c r="I1975" s="299"/>
      <c r="J1975" s="299"/>
      <c r="K1975" s="300">
        <v>142</v>
      </c>
    </row>
    <row r="1976" ht="15" customHeight="1" spans="1:11">
      <c r="A1976" s="301" t="s">
        <v>1</v>
      </c>
      <c r="B1976" s="301"/>
      <c r="C1976" s="301"/>
      <c r="D1976" s="301"/>
      <c r="E1976" s="301"/>
      <c r="F1976" s="301"/>
      <c r="G1976" s="302" t="str">
        <f>IFERROR(VLOOKUP(K1975,'2026.01'!A:Y,2,0),0)</f>
        <v>NO:142</v>
      </c>
      <c r="K1976" s="300"/>
    </row>
    <row r="1977" ht="15" customHeight="1" spans="1:11">
      <c r="A1977" s="303" t="s">
        <v>2</v>
      </c>
      <c r="B1977" s="304">
        <f>IFERROR(VLOOKUP(K1975,'2026.01'!A:Y,6,0),0)</f>
        <v>2073</v>
      </c>
      <c r="C1977" s="304"/>
      <c r="D1977" s="305" t="s">
        <v>3</v>
      </c>
      <c r="E1977" s="305" t="str">
        <f>IFERROR(VLOOKUP(K1975,'2026.01'!A:Y,7,0),0)</f>
        <v>林晓君</v>
      </c>
      <c r="F1977" s="305"/>
      <c r="G1977" s="306" t="s">
        <v>4</v>
      </c>
      <c r="K1977" s="300"/>
    </row>
    <row r="1978" ht="15" customHeight="1" spans="1:11">
      <c r="A1978" s="307" t="s">
        <v>5</v>
      </c>
      <c r="B1978" s="308" t="s">
        <v>6</v>
      </c>
      <c r="C1978" s="308" t="s">
        <v>7</v>
      </c>
      <c r="D1978" s="308" t="s">
        <v>8</v>
      </c>
      <c r="E1978" s="308" t="s">
        <v>9</v>
      </c>
      <c r="F1978" s="309" t="s">
        <v>10</v>
      </c>
      <c r="G1978" s="310" t="s">
        <v>11</v>
      </c>
      <c r="K1978" s="300"/>
    </row>
    <row r="1979" ht="15" customHeight="1" spans="1:11">
      <c r="A1979" s="307" t="s">
        <v>12</v>
      </c>
      <c r="B1979" s="308">
        <f>IFERROR(VLOOKUP(K1975,'2026.01'!A:Y,14,0),0)</f>
        <v>7070</v>
      </c>
      <c r="C1979" s="308">
        <f>IFERROR(VLOOKUP(K1975,'2026.01'!A:Y,13,0),0)</f>
        <v>7017</v>
      </c>
      <c r="D1979" s="308">
        <f>IFERROR(VLOOKUP(K1975,'2026.01'!A:Y,15,0),0)</f>
        <v>53</v>
      </c>
      <c r="E1979" s="311">
        <f>IFERROR(VLOOKUP(K1975,'2026.01'!A:Y,18,0),0)</f>
        <v>0.8</v>
      </c>
      <c r="F1979" s="309">
        <f>IFERROR(VLOOKUP(K1975,'2026.01'!A:Y,20,0),0)</f>
        <v>42</v>
      </c>
      <c r="G1979" s="310"/>
      <c r="K1979" s="300"/>
    </row>
    <row r="1980" ht="15" customHeight="1" spans="1:11">
      <c r="A1980" s="307" t="s">
        <v>13</v>
      </c>
      <c r="B1980" s="308"/>
      <c r="C1980" s="308"/>
      <c r="D1980" s="308"/>
      <c r="E1980" s="311"/>
      <c r="F1980" s="309">
        <f>IFERROR(VLOOKUP(K1975,'2026.01'!A:Y,24,0),0)</f>
        <v>34</v>
      </c>
      <c r="G1980" s="310"/>
      <c r="K1980" s="300"/>
    </row>
    <row r="1981" ht="15" customHeight="1" spans="1:11">
      <c r="A1981" s="307" t="s">
        <v>14</v>
      </c>
      <c r="B1981" s="308"/>
      <c r="C1981" s="308"/>
      <c r="D1981" s="308"/>
      <c r="E1981" s="311"/>
      <c r="F1981" s="309">
        <f>IFERROR(VLOOKUP(K1975,'2026.01'!A:Y,12,0),0)</f>
        <v>160</v>
      </c>
      <c r="G1981" s="310"/>
      <c r="K1981" s="300"/>
    </row>
    <row r="1982" ht="21" customHeight="1" spans="1:11">
      <c r="A1982" s="307" t="s">
        <v>15</v>
      </c>
      <c r="B1982" s="308"/>
      <c r="C1982" s="308"/>
      <c r="D1982" s="308"/>
      <c r="E1982" s="311"/>
      <c r="F1982" s="309">
        <f>IFERROR(VLOOKUP(K1975,'2026.01'!A:Y,9,0),0)</f>
        <v>2500</v>
      </c>
      <c r="G1982" s="310"/>
      <c r="K1982" s="300"/>
    </row>
    <row r="1983" ht="19" customHeight="1" spans="1:11">
      <c r="A1983" s="307" t="s">
        <v>16</v>
      </c>
      <c r="B1983" s="308"/>
      <c r="C1983" s="308"/>
      <c r="D1983" s="308"/>
      <c r="E1983" s="308"/>
      <c r="F1983" s="309">
        <f>IFERROR(VLOOKUP(K1975,'2026.01'!A:Y,10,0),0)</f>
        <v>200</v>
      </c>
      <c r="G1983" s="310"/>
      <c r="K1983" s="300"/>
    </row>
    <row r="1984" ht="21" customHeight="1" spans="1:11">
      <c r="A1984" s="307" t="s">
        <v>17</v>
      </c>
      <c r="B1984" s="308"/>
      <c r="C1984" s="308"/>
      <c r="D1984" s="308"/>
      <c r="E1984" s="308"/>
      <c r="F1984" s="309">
        <f>IFERROR(VLOOKUP(K1975,'2026.01'!A:Y,19,0),0)</f>
        <v>37</v>
      </c>
      <c r="G1984" s="310"/>
      <c r="K1984" s="300"/>
    </row>
    <row r="1985" ht="17.15" customHeight="1" spans="1:11">
      <c r="A1985" s="307" t="s">
        <v>18</v>
      </c>
      <c r="B1985" s="308"/>
      <c r="C1985" s="308"/>
      <c r="D1985" s="308"/>
      <c r="E1985" s="308"/>
      <c r="F1985" s="309">
        <f>IFERROR(VLOOKUP(K1975,'2026.01'!A:Y,22,0),0)</f>
        <v>164</v>
      </c>
      <c r="G1985" s="310"/>
      <c r="K1985" s="300"/>
    </row>
    <row r="1986" ht="17.15" customHeight="1" spans="1:11">
      <c r="A1986" s="307" t="s">
        <v>19</v>
      </c>
      <c r="B1986" s="312"/>
      <c r="C1986" s="308"/>
      <c r="D1986" s="313"/>
      <c r="E1986" s="308"/>
      <c r="F1986" s="309">
        <f>IFERROR(VLOOKUP(K1975,'2026.01'!A:Y,25,0),0)</f>
        <v>3137</v>
      </c>
      <c r="G1986" s="310"/>
      <c r="K1986" s="300"/>
    </row>
    <row r="1987" ht="15" customHeight="1" spans="1:11">
      <c r="A1987" s="314" t="s">
        <v>20</v>
      </c>
      <c r="B1987" s="315">
        <f>IF(F1986&lt;0,"金额为负，无效",INT(F1986))</f>
        <v>3137</v>
      </c>
      <c r="C1987" s="315"/>
      <c r="D1987" s="315"/>
      <c r="E1987" s="316" t="s">
        <v>21</v>
      </c>
      <c r="F1987" s="317"/>
      <c r="G1987" s="318"/>
      <c r="K1987" s="300"/>
    </row>
    <row r="1988" ht="23" customHeight="1" spans="1:11">
      <c r="A1988" s="319"/>
      <c r="B1988" s="320"/>
      <c r="C1988" s="320"/>
      <c r="D1988" s="320"/>
      <c r="E1988" s="319"/>
      <c r="F1988" s="321"/>
      <c r="G1988" s="322"/>
      <c r="K1988" s="300"/>
    </row>
    <row r="1989" ht="27" customHeight="1" spans="1:11">
      <c r="A1989" s="298" t="s">
        <v>0</v>
      </c>
      <c r="B1989" s="298"/>
      <c r="C1989" s="298"/>
      <c r="D1989" s="298"/>
      <c r="E1989" s="298"/>
      <c r="F1989" s="298"/>
      <c r="G1989" s="298"/>
      <c r="H1989" s="299"/>
      <c r="I1989" s="299"/>
      <c r="J1989" s="299"/>
      <c r="K1989" s="300">
        <v>143</v>
      </c>
    </row>
    <row r="1990" ht="15" customHeight="1" spans="1:11">
      <c r="A1990" s="301" t="s">
        <v>1</v>
      </c>
      <c r="B1990" s="301"/>
      <c r="C1990" s="301"/>
      <c r="D1990" s="301"/>
      <c r="E1990" s="301"/>
      <c r="F1990" s="301"/>
      <c r="G1990" s="302" t="str">
        <f>IFERROR(VLOOKUP(K1989,'2026.01'!A:Y,2,0),0)</f>
        <v>NO:143</v>
      </c>
      <c r="K1990" s="300"/>
    </row>
    <row r="1991" ht="15" customHeight="1" spans="1:11">
      <c r="A1991" s="303" t="s">
        <v>2</v>
      </c>
      <c r="B1991" s="304">
        <f>IFERROR(VLOOKUP(K1989,'2026.01'!A:Y,6,0),0)</f>
        <v>2074</v>
      </c>
      <c r="C1991" s="304"/>
      <c r="D1991" s="305" t="s">
        <v>3</v>
      </c>
      <c r="E1991" s="305" t="str">
        <f>IFERROR(VLOOKUP(K1989,'2026.01'!A:Y,7,0),0)</f>
        <v>刘丽秀</v>
      </c>
      <c r="F1991" s="305"/>
      <c r="G1991" s="306" t="s">
        <v>4</v>
      </c>
      <c r="K1991" s="300"/>
    </row>
    <row r="1992" ht="15" customHeight="1" spans="1:11">
      <c r="A1992" s="307" t="s">
        <v>5</v>
      </c>
      <c r="B1992" s="308" t="s">
        <v>6</v>
      </c>
      <c r="C1992" s="308" t="s">
        <v>7</v>
      </c>
      <c r="D1992" s="308" t="s">
        <v>8</v>
      </c>
      <c r="E1992" s="308" t="s">
        <v>9</v>
      </c>
      <c r="F1992" s="309" t="s">
        <v>10</v>
      </c>
      <c r="G1992" s="310" t="s">
        <v>11</v>
      </c>
      <c r="K1992" s="300"/>
    </row>
    <row r="1993" ht="15" customHeight="1" spans="1:11">
      <c r="A1993" s="307" t="s">
        <v>12</v>
      </c>
      <c r="B1993" s="308">
        <f>IFERROR(VLOOKUP(K1989,'2026.01'!A:Y,14,0),0)</f>
        <v>7262</v>
      </c>
      <c r="C1993" s="308">
        <f>IFERROR(VLOOKUP(K1989,'2026.01'!A:Y,13,0),0)</f>
        <v>7215</v>
      </c>
      <c r="D1993" s="308">
        <f>IFERROR(VLOOKUP(K1989,'2026.01'!A:Y,15,0),0)</f>
        <v>47</v>
      </c>
      <c r="E1993" s="311">
        <f>IFERROR(VLOOKUP(K1989,'2026.01'!A:Y,18,0),0)</f>
        <v>0.8</v>
      </c>
      <c r="F1993" s="309">
        <f>IFERROR(VLOOKUP(K1989,'2026.01'!A:Y,20,0),0)</f>
        <v>38</v>
      </c>
      <c r="G1993" s="310"/>
      <c r="K1993" s="300"/>
    </row>
    <row r="1994" ht="15" customHeight="1" spans="1:11">
      <c r="A1994" s="307" t="s">
        <v>13</v>
      </c>
      <c r="B1994" s="308"/>
      <c r="C1994" s="308"/>
      <c r="D1994" s="308"/>
      <c r="E1994" s="311"/>
      <c r="F1994" s="309">
        <f>IFERROR(VLOOKUP(K1989,'2026.01'!A:Y,24,0),0)</f>
        <v>34</v>
      </c>
      <c r="G1994" s="310"/>
      <c r="K1994" s="300"/>
    </row>
    <row r="1995" ht="15" customHeight="1" spans="1:11">
      <c r="A1995" s="307" t="s">
        <v>14</v>
      </c>
      <c r="B1995" s="308"/>
      <c r="C1995" s="308"/>
      <c r="D1995" s="308"/>
      <c r="E1995" s="311"/>
      <c r="F1995" s="309">
        <f>IFERROR(VLOOKUP(K1989,'2026.01'!A:Y,12,0),0)</f>
        <v>160</v>
      </c>
      <c r="G1995" s="310"/>
      <c r="K1995" s="300"/>
    </row>
    <row r="1996" ht="21" customHeight="1" spans="1:11">
      <c r="A1996" s="307" t="s">
        <v>15</v>
      </c>
      <c r="B1996" s="308"/>
      <c r="C1996" s="308"/>
      <c r="D1996" s="308"/>
      <c r="E1996" s="311"/>
      <c r="F1996" s="309">
        <f>IFERROR(VLOOKUP(K1989,'2026.01'!A:Y,9,0),0)</f>
        <v>2500</v>
      </c>
      <c r="G1996" s="310"/>
      <c r="K1996" s="300"/>
    </row>
    <row r="1997" ht="19" customHeight="1" spans="1:11">
      <c r="A1997" s="307" t="s">
        <v>16</v>
      </c>
      <c r="B1997" s="308"/>
      <c r="C1997" s="308"/>
      <c r="D1997" s="308"/>
      <c r="E1997" s="308"/>
      <c r="F1997" s="309">
        <f>IFERROR(VLOOKUP(K1989,'2026.01'!A:Y,10,0),0)</f>
        <v>200</v>
      </c>
      <c r="G1997" s="310"/>
      <c r="K1997" s="300"/>
    </row>
    <row r="1998" ht="21" customHeight="1" spans="1:11">
      <c r="A1998" s="307" t="s">
        <v>17</v>
      </c>
      <c r="B1998" s="308"/>
      <c r="C1998" s="308"/>
      <c r="D1998" s="308"/>
      <c r="E1998" s="308"/>
      <c r="F1998" s="309">
        <f>IFERROR(VLOOKUP(K1989,'2026.01'!A:Y,19,0),0)</f>
        <v>33</v>
      </c>
      <c r="G1998" s="310"/>
      <c r="K1998" s="300"/>
    </row>
    <row r="1999" ht="17.15" customHeight="1" spans="1:11">
      <c r="A1999" s="307" t="s">
        <v>18</v>
      </c>
      <c r="B1999" s="308"/>
      <c r="C1999" s="308"/>
      <c r="D1999" s="308"/>
      <c r="E1999" s="308"/>
      <c r="F1999" s="309">
        <f>IFERROR(VLOOKUP(K1989,'2026.01'!A:Y,22,0),0)</f>
        <v>164</v>
      </c>
      <c r="G1999" s="310"/>
      <c r="K1999" s="300"/>
    </row>
    <row r="2000" ht="17.15" customHeight="1" spans="1:11">
      <c r="A2000" s="307" t="s">
        <v>19</v>
      </c>
      <c r="B2000" s="312"/>
      <c r="C2000" s="308"/>
      <c r="D2000" s="313"/>
      <c r="E2000" s="308"/>
      <c r="F2000" s="309">
        <f>IFERROR(VLOOKUP(K1989,'2026.01'!A:Y,25,0),0)</f>
        <v>3129</v>
      </c>
      <c r="G2000" s="310"/>
      <c r="K2000" s="300"/>
    </row>
    <row r="2001" ht="15" customHeight="1" spans="1:11">
      <c r="A2001" s="314" t="s">
        <v>20</v>
      </c>
      <c r="B2001" s="315">
        <f>IF(F2000&lt;0,"金额为负，无效",INT(F2000))</f>
        <v>3129</v>
      </c>
      <c r="C2001" s="315"/>
      <c r="D2001" s="315"/>
      <c r="E2001" s="316" t="s">
        <v>21</v>
      </c>
      <c r="F2001" s="317"/>
      <c r="G2001" s="318"/>
      <c r="K2001" s="300"/>
    </row>
    <row r="2002" ht="23" customHeight="1" spans="1:11">
      <c r="A2002" s="319"/>
      <c r="B2002" s="320"/>
      <c r="C2002" s="320"/>
      <c r="D2002" s="320"/>
      <c r="E2002" s="319"/>
      <c r="F2002" s="321"/>
      <c r="G2002" s="322"/>
      <c r="K2002" s="300"/>
    </row>
    <row r="2003" ht="27" customHeight="1" spans="1:11">
      <c r="A2003" s="298" t="s">
        <v>0</v>
      </c>
      <c r="B2003" s="298"/>
      <c r="C2003" s="298"/>
      <c r="D2003" s="298"/>
      <c r="E2003" s="298"/>
      <c r="F2003" s="298"/>
      <c r="G2003" s="298"/>
      <c r="H2003" s="299"/>
      <c r="I2003" s="299"/>
      <c r="J2003" s="299"/>
      <c r="K2003" s="300">
        <v>144</v>
      </c>
    </row>
    <row r="2004" ht="15" customHeight="1" spans="1:11">
      <c r="A2004" s="301" t="s">
        <v>1</v>
      </c>
      <c r="B2004" s="301"/>
      <c r="C2004" s="301"/>
      <c r="D2004" s="301"/>
      <c r="E2004" s="301"/>
      <c r="F2004" s="301"/>
      <c r="G2004" s="302" t="str">
        <f>IFERROR(VLOOKUP(K2003,'2026.01'!A:Y,2,0),0)</f>
        <v>NO:144</v>
      </c>
      <c r="K2004" s="300"/>
    </row>
    <row r="2005" ht="15" customHeight="1" spans="1:11">
      <c r="A2005" s="303" t="s">
        <v>2</v>
      </c>
      <c r="B2005" s="304">
        <f>IFERROR(VLOOKUP(K2003,'2026.01'!A:Y,6,0),0)</f>
        <v>2075</v>
      </c>
      <c r="C2005" s="304"/>
      <c r="D2005" s="305" t="s">
        <v>3</v>
      </c>
      <c r="E2005" s="305" t="str">
        <f>IFERROR(VLOOKUP(K2003,'2026.01'!A:Y,7,0),0)</f>
        <v>王楚红</v>
      </c>
      <c r="F2005" s="305"/>
      <c r="G2005" s="306" t="s">
        <v>4</v>
      </c>
      <c r="K2005" s="300"/>
    </row>
    <row r="2006" ht="15" customHeight="1" spans="1:11">
      <c r="A2006" s="307" t="s">
        <v>5</v>
      </c>
      <c r="B2006" s="308" t="s">
        <v>6</v>
      </c>
      <c r="C2006" s="308" t="s">
        <v>7</v>
      </c>
      <c r="D2006" s="308" t="s">
        <v>8</v>
      </c>
      <c r="E2006" s="308" t="s">
        <v>9</v>
      </c>
      <c r="F2006" s="309" t="s">
        <v>10</v>
      </c>
      <c r="G2006" s="310" t="s">
        <v>11</v>
      </c>
      <c r="K2006" s="300"/>
    </row>
    <row r="2007" ht="15" customHeight="1" spans="1:11">
      <c r="A2007" s="307" t="s">
        <v>12</v>
      </c>
      <c r="B2007" s="308">
        <f>IFERROR(VLOOKUP(K2003,'2026.01'!A:Y,14,0),0)</f>
        <v>8871</v>
      </c>
      <c r="C2007" s="308">
        <f>IFERROR(VLOOKUP(K2003,'2026.01'!A:Y,13,0),0)</f>
        <v>8840</v>
      </c>
      <c r="D2007" s="308">
        <f>IFERROR(VLOOKUP(K2003,'2026.01'!A:Y,15,0),0)</f>
        <v>31</v>
      </c>
      <c r="E2007" s="311">
        <f>IFERROR(VLOOKUP(K2003,'2026.01'!A:Y,18,0),0)</f>
        <v>0.8</v>
      </c>
      <c r="F2007" s="309">
        <f>IFERROR(VLOOKUP(K2003,'2026.01'!A:Y,20,0),0)</f>
        <v>25</v>
      </c>
      <c r="G2007" s="310"/>
      <c r="K2007" s="300"/>
    </row>
    <row r="2008" ht="15" customHeight="1" spans="1:11">
      <c r="A2008" s="307" t="s">
        <v>13</v>
      </c>
      <c r="B2008" s="308"/>
      <c r="C2008" s="308"/>
      <c r="D2008" s="308"/>
      <c r="E2008" s="311"/>
      <c r="F2008" s="309">
        <f>IFERROR(VLOOKUP(K2003,'2026.01'!A:Y,24,0),0)</f>
        <v>34</v>
      </c>
      <c r="G2008" s="310"/>
      <c r="K2008" s="300"/>
    </row>
    <row r="2009" ht="15" customHeight="1" spans="1:11">
      <c r="A2009" s="307" t="s">
        <v>14</v>
      </c>
      <c r="B2009" s="308"/>
      <c r="C2009" s="308"/>
      <c r="D2009" s="308"/>
      <c r="E2009" s="311"/>
      <c r="F2009" s="309">
        <f>IFERROR(VLOOKUP(K2003,'2026.01'!A:Y,12,0),0)</f>
        <v>160</v>
      </c>
      <c r="G2009" s="310"/>
      <c r="K2009" s="300"/>
    </row>
    <row r="2010" ht="21" customHeight="1" spans="1:11">
      <c r="A2010" s="307" t="s">
        <v>15</v>
      </c>
      <c r="B2010" s="308"/>
      <c r="C2010" s="308"/>
      <c r="D2010" s="308"/>
      <c r="E2010" s="311"/>
      <c r="F2010" s="309">
        <f>IFERROR(VLOOKUP(K2003,'2026.01'!A:Y,9,0),0)</f>
        <v>2500</v>
      </c>
      <c r="G2010" s="310"/>
      <c r="K2010" s="300"/>
    </row>
    <row r="2011" ht="19" customHeight="1" spans="1:11">
      <c r="A2011" s="307" t="s">
        <v>16</v>
      </c>
      <c r="B2011" s="308"/>
      <c r="C2011" s="308"/>
      <c r="D2011" s="308"/>
      <c r="E2011" s="308"/>
      <c r="F2011" s="309">
        <f>IFERROR(VLOOKUP(K2003,'2026.01'!A:Y,10,0),0)</f>
        <v>200</v>
      </c>
      <c r="G2011" s="310"/>
      <c r="K2011" s="300"/>
    </row>
    <row r="2012" ht="21" customHeight="1" spans="1:11">
      <c r="A2012" s="307" t="s">
        <v>17</v>
      </c>
      <c r="B2012" s="308"/>
      <c r="C2012" s="308"/>
      <c r="D2012" s="308"/>
      <c r="E2012" s="308"/>
      <c r="F2012" s="309">
        <f>IFERROR(VLOOKUP(K2003,'2026.01'!A:Y,19,0),0)</f>
        <v>22</v>
      </c>
      <c r="G2012" s="310"/>
      <c r="K2012" s="300"/>
    </row>
    <row r="2013" ht="17.15" customHeight="1" spans="1:11">
      <c r="A2013" s="307" t="s">
        <v>18</v>
      </c>
      <c r="B2013" s="308"/>
      <c r="C2013" s="308"/>
      <c r="D2013" s="308"/>
      <c r="E2013" s="308"/>
      <c r="F2013" s="309">
        <f>IFERROR(VLOOKUP(K2003,'2026.01'!A:Y,22,0),0)</f>
        <v>164</v>
      </c>
      <c r="G2013" s="310"/>
      <c r="K2013" s="300"/>
    </row>
    <row r="2014" ht="17.15" customHeight="1" spans="1:11">
      <c r="A2014" s="307" t="s">
        <v>19</v>
      </c>
      <c r="B2014" s="312"/>
      <c r="C2014" s="308"/>
      <c r="D2014" s="313"/>
      <c r="E2014" s="308"/>
      <c r="F2014" s="309">
        <f>IFERROR(VLOOKUP(K2003,'2026.01'!A:Y,25,0),0)</f>
        <v>3105</v>
      </c>
      <c r="G2014" s="310"/>
      <c r="K2014" s="300"/>
    </row>
    <row r="2015" ht="15" customHeight="1" spans="1:11">
      <c r="A2015" s="314" t="s">
        <v>20</v>
      </c>
      <c r="B2015" s="315">
        <f>IF(F2014&lt;0,"金额为负，无效",INT(F2014))</f>
        <v>3105</v>
      </c>
      <c r="C2015" s="315"/>
      <c r="D2015" s="315"/>
      <c r="E2015" s="316" t="s">
        <v>21</v>
      </c>
      <c r="F2015" s="317"/>
      <c r="G2015" s="318"/>
      <c r="K2015" s="300"/>
    </row>
    <row r="2016" ht="15" customHeight="1" spans="1:11">
      <c r="A2016" s="319"/>
      <c r="B2016" s="320"/>
      <c r="C2016" s="320"/>
      <c r="D2016" s="320"/>
      <c r="E2016" s="319"/>
      <c r="F2016" s="321"/>
      <c r="G2016" s="322"/>
      <c r="K2016" s="300"/>
    </row>
    <row r="2017" ht="27" customHeight="1" spans="1:11">
      <c r="A2017" s="298" t="s">
        <v>0</v>
      </c>
      <c r="B2017" s="298"/>
      <c r="C2017" s="298"/>
      <c r="D2017" s="298"/>
      <c r="E2017" s="298"/>
      <c r="F2017" s="298"/>
      <c r="G2017" s="298"/>
      <c r="H2017" s="299"/>
      <c r="I2017" s="299"/>
      <c r="J2017" s="299"/>
      <c r="K2017" s="300">
        <v>145</v>
      </c>
    </row>
    <row r="2018" ht="15" customHeight="1" spans="1:11">
      <c r="A2018" s="301" t="s">
        <v>1</v>
      </c>
      <c r="B2018" s="301"/>
      <c r="C2018" s="301"/>
      <c r="D2018" s="301"/>
      <c r="E2018" s="301"/>
      <c r="F2018" s="301"/>
      <c r="G2018" s="302" t="str">
        <f>IFERROR(VLOOKUP(K2017,'2026.01'!A:Y,2,0),0)</f>
        <v>NO:145</v>
      </c>
      <c r="K2018" s="300"/>
    </row>
    <row r="2019" ht="15" customHeight="1" spans="1:11">
      <c r="A2019" s="303" t="s">
        <v>2</v>
      </c>
      <c r="B2019" s="304">
        <f>IFERROR(VLOOKUP(K2017,'2026.01'!A:Y,6,0),0)</f>
        <v>2076</v>
      </c>
      <c r="C2019" s="304"/>
      <c r="D2019" s="305" t="s">
        <v>3</v>
      </c>
      <c r="E2019" s="305" t="str">
        <f>IFERROR(VLOOKUP(K2017,'2026.01'!A:Y,7,0),0)</f>
        <v>孙瑜</v>
      </c>
      <c r="F2019" s="305"/>
      <c r="G2019" s="306" t="s">
        <v>4</v>
      </c>
      <c r="K2019" s="300"/>
    </row>
    <row r="2020" ht="15" customHeight="1" spans="1:11">
      <c r="A2020" s="307" t="s">
        <v>5</v>
      </c>
      <c r="B2020" s="308" t="s">
        <v>6</v>
      </c>
      <c r="C2020" s="308" t="s">
        <v>7</v>
      </c>
      <c r="D2020" s="308" t="s">
        <v>8</v>
      </c>
      <c r="E2020" s="308" t="s">
        <v>9</v>
      </c>
      <c r="F2020" s="309" t="s">
        <v>10</v>
      </c>
      <c r="G2020" s="310" t="s">
        <v>11</v>
      </c>
      <c r="K2020" s="300"/>
    </row>
    <row r="2021" ht="15" customHeight="1" spans="1:11">
      <c r="A2021" s="307" t="s">
        <v>12</v>
      </c>
      <c r="B2021" s="308">
        <f>IFERROR(VLOOKUP(K2017,'2026.01'!A:Y,14,0),0)</f>
        <v>1786</v>
      </c>
      <c r="C2021" s="308">
        <f>IFERROR(VLOOKUP(K2017,'2026.01'!A:Y,13,0),0)</f>
        <v>1759</v>
      </c>
      <c r="D2021" s="308">
        <f>IFERROR(VLOOKUP(K2017,'2026.01'!A:Y,15,0),0)</f>
        <v>27</v>
      </c>
      <c r="E2021" s="311">
        <f>IFERROR(VLOOKUP(K2017,'2026.01'!A:Y,18,0),0)</f>
        <v>0.8</v>
      </c>
      <c r="F2021" s="309">
        <f>IFERROR(VLOOKUP(K2017,'2026.01'!A:Y,20,0),0)</f>
        <v>22</v>
      </c>
      <c r="G2021" s="310"/>
      <c r="K2021" s="300"/>
    </row>
    <row r="2022" ht="15" customHeight="1" spans="1:11">
      <c r="A2022" s="307" t="s">
        <v>13</v>
      </c>
      <c r="B2022" s="308"/>
      <c r="C2022" s="308"/>
      <c r="D2022" s="308"/>
      <c r="E2022" s="311"/>
      <c r="F2022" s="309">
        <f>IFERROR(VLOOKUP(K2017,'2026.01'!A:Y,24,0),0)</f>
        <v>34</v>
      </c>
      <c r="G2022" s="310"/>
      <c r="K2022" s="300"/>
    </row>
    <row r="2023" ht="15" customHeight="1" spans="1:11">
      <c r="A2023" s="307" t="s">
        <v>14</v>
      </c>
      <c r="B2023" s="308"/>
      <c r="C2023" s="308"/>
      <c r="D2023" s="308"/>
      <c r="E2023" s="311"/>
      <c r="F2023" s="309">
        <f>IFERROR(VLOOKUP(K2017,'2026.01'!A:Y,12,0),0)</f>
        <v>160</v>
      </c>
      <c r="G2023" s="310"/>
      <c r="K2023" s="300"/>
    </row>
    <row r="2024" ht="21" customHeight="1" spans="1:11">
      <c r="A2024" s="307" t="s">
        <v>15</v>
      </c>
      <c r="B2024" s="308"/>
      <c r="C2024" s="308"/>
      <c r="D2024" s="308"/>
      <c r="E2024" s="311"/>
      <c r="F2024" s="309">
        <f>IFERROR(VLOOKUP(K2017,'2026.01'!A:Y,9,0),0)</f>
        <v>2500</v>
      </c>
      <c r="G2024" s="310"/>
      <c r="K2024" s="300"/>
    </row>
    <row r="2025" ht="19" customHeight="1" spans="1:11">
      <c r="A2025" s="307" t="s">
        <v>16</v>
      </c>
      <c r="B2025" s="308"/>
      <c r="C2025" s="308"/>
      <c r="D2025" s="308"/>
      <c r="E2025" s="308"/>
      <c r="F2025" s="309">
        <f>IFERROR(VLOOKUP(K2017,'2026.01'!A:Y,10,0),0)</f>
        <v>200</v>
      </c>
      <c r="G2025" s="310"/>
      <c r="K2025" s="300"/>
    </row>
    <row r="2026" ht="21" customHeight="1" spans="1:11">
      <c r="A2026" s="307" t="s">
        <v>17</v>
      </c>
      <c r="B2026" s="308"/>
      <c r="C2026" s="308"/>
      <c r="D2026" s="308"/>
      <c r="E2026" s="308"/>
      <c r="F2026" s="309">
        <f>IFERROR(VLOOKUP(K2017,'2026.01'!A:Y,19,0),0)</f>
        <v>19</v>
      </c>
      <c r="G2026" s="310"/>
      <c r="K2026" s="300"/>
    </row>
    <row r="2027" ht="17.15" customHeight="1" spans="1:11">
      <c r="A2027" s="307" t="s">
        <v>18</v>
      </c>
      <c r="B2027" s="308"/>
      <c r="C2027" s="308"/>
      <c r="D2027" s="308"/>
      <c r="E2027" s="308"/>
      <c r="F2027" s="309">
        <f>IFERROR(VLOOKUP(K2017,'2026.01'!A:Y,22,0),0)</f>
        <v>164</v>
      </c>
      <c r="G2027" s="310"/>
      <c r="K2027" s="300"/>
    </row>
    <row r="2028" ht="17.15" customHeight="1" spans="1:11">
      <c r="A2028" s="307" t="s">
        <v>19</v>
      </c>
      <c r="B2028" s="312"/>
      <c r="C2028" s="308"/>
      <c r="D2028" s="313"/>
      <c r="E2028" s="308"/>
      <c r="F2028" s="309">
        <f>IFERROR(VLOOKUP(K2017,'2026.01'!A:Y,25,0),0)</f>
        <v>3099</v>
      </c>
      <c r="G2028" s="310"/>
      <c r="K2028" s="300"/>
    </row>
    <row r="2029" ht="15" customHeight="1" spans="1:11">
      <c r="A2029" s="314" t="s">
        <v>20</v>
      </c>
      <c r="B2029" s="315">
        <f>IF(F2028&lt;0,"金额为负，无效",INT(F2028))</f>
        <v>3099</v>
      </c>
      <c r="C2029" s="315"/>
      <c r="D2029" s="315"/>
      <c r="E2029" s="316" t="s">
        <v>21</v>
      </c>
      <c r="F2029" s="317"/>
      <c r="G2029" s="318"/>
      <c r="K2029" s="300"/>
    </row>
    <row r="2030" ht="23" customHeight="1" spans="1:11">
      <c r="A2030" s="319"/>
      <c r="B2030" s="320"/>
      <c r="C2030" s="320"/>
      <c r="D2030" s="320"/>
      <c r="E2030" s="319"/>
      <c r="F2030" s="321"/>
      <c r="G2030" s="322"/>
      <c r="K2030" s="300"/>
    </row>
    <row r="2031" ht="27" customHeight="1" spans="1:11">
      <c r="A2031" s="298" t="s">
        <v>0</v>
      </c>
      <c r="B2031" s="298"/>
      <c r="C2031" s="298"/>
      <c r="D2031" s="298"/>
      <c r="E2031" s="298"/>
      <c r="F2031" s="298"/>
      <c r="G2031" s="298"/>
      <c r="H2031" s="299"/>
      <c r="I2031" s="299"/>
      <c r="J2031" s="299"/>
      <c r="K2031" s="300">
        <v>146</v>
      </c>
    </row>
    <row r="2032" ht="15" customHeight="1" spans="1:11">
      <c r="A2032" s="301" t="s">
        <v>1</v>
      </c>
      <c r="B2032" s="301"/>
      <c r="C2032" s="301"/>
      <c r="D2032" s="301"/>
      <c r="E2032" s="301"/>
      <c r="F2032" s="301"/>
      <c r="G2032" s="302" t="str">
        <f>IFERROR(VLOOKUP(K2031,'2026.01'!A:Y,2,0),0)</f>
        <v>NO:146</v>
      </c>
      <c r="K2032" s="300"/>
    </row>
    <row r="2033" ht="15" customHeight="1" spans="1:11">
      <c r="A2033" s="303" t="s">
        <v>2</v>
      </c>
      <c r="B2033" s="304">
        <f>IFERROR(VLOOKUP(K2031,'2026.01'!A:Y,6,0),0)</f>
        <v>2077</v>
      </c>
      <c r="C2033" s="304"/>
      <c r="D2033" s="305" t="s">
        <v>3</v>
      </c>
      <c r="E2033" s="305" t="str">
        <f>IFERROR(VLOOKUP(K2031,'2026.01'!A:Y,7,0),0)</f>
        <v>刘真辉</v>
      </c>
      <c r="F2033" s="305"/>
      <c r="G2033" s="306" t="s">
        <v>4</v>
      </c>
      <c r="K2033" s="300"/>
    </row>
    <row r="2034" ht="15" customHeight="1" spans="1:11">
      <c r="A2034" s="307" t="s">
        <v>5</v>
      </c>
      <c r="B2034" s="308" t="s">
        <v>6</v>
      </c>
      <c r="C2034" s="308" t="s">
        <v>7</v>
      </c>
      <c r="D2034" s="308" t="s">
        <v>8</v>
      </c>
      <c r="E2034" s="308" t="s">
        <v>9</v>
      </c>
      <c r="F2034" s="309" t="s">
        <v>10</v>
      </c>
      <c r="G2034" s="310" t="s">
        <v>11</v>
      </c>
      <c r="K2034" s="300"/>
    </row>
    <row r="2035" ht="15" customHeight="1" spans="1:11">
      <c r="A2035" s="307" t="s">
        <v>12</v>
      </c>
      <c r="B2035" s="308">
        <f>IFERROR(VLOOKUP(K2031,'2026.01'!A:Y,14,0),0)</f>
        <v>9618</v>
      </c>
      <c r="C2035" s="308">
        <f>IFERROR(VLOOKUP(K2031,'2026.01'!A:Y,13,0),0)</f>
        <v>9603</v>
      </c>
      <c r="D2035" s="308">
        <f>IFERROR(VLOOKUP(K2031,'2026.01'!A:Y,15,0),0)</f>
        <v>15</v>
      </c>
      <c r="E2035" s="311">
        <f>IFERROR(VLOOKUP(K2031,'2026.01'!A:Y,18,0),0)</f>
        <v>0.8</v>
      </c>
      <c r="F2035" s="309">
        <f>IFERROR(VLOOKUP(K2031,'2026.01'!A:Y,20,0),0)</f>
        <v>12</v>
      </c>
      <c r="G2035" s="310"/>
      <c r="K2035" s="300"/>
    </row>
    <row r="2036" ht="15" customHeight="1" spans="1:11">
      <c r="A2036" s="307" t="s">
        <v>13</v>
      </c>
      <c r="B2036" s="308"/>
      <c r="C2036" s="308"/>
      <c r="D2036" s="308"/>
      <c r="E2036" s="311"/>
      <c r="F2036" s="309">
        <f>IFERROR(VLOOKUP(K2031,'2026.01'!A:Y,24,0),0)</f>
        <v>34</v>
      </c>
      <c r="G2036" s="310"/>
      <c r="K2036" s="300"/>
    </row>
    <row r="2037" ht="15" customHeight="1" spans="1:11">
      <c r="A2037" s="307" t="s">
        <v>14</v>
      </c>
      <c r="B2037" s="308"/>
      <c r="C2037" s="308"/>
      <c r="D2037" s="308"/>
      <c r="E2037" s="311"/>
      <c r="F2037" s="309">
        <f>IFERROR(VLOOKUP(K2031,'2026.01'!A:Y,12,0),0)</f>
        <v>160</v>
      </c>
      <c r="G2037" s="310"/>
      <c r="K2037" s="300"/>
    </row>
    <row r="2038" ht="21" customHeight="1" spans="1:11">
      <c r="A2038" s="307" t="s">
        <v>15</v>
      </c>
      <c r="B2038" s="308"/>
      <c r="C2038" s="308"/>
      <c r="D2038" s="308"/>
      <c r="E2038" s="311"/>
      <c r="F2038" s="309">
        <f>IFERROR(VLOOKUP(K2031,'2026.01'!A:Y,9,0),0)</f>
        <v>2500</v>
      </c>
      <c r="G2038" s="310"/>
      <c r="K2038" s="300"/>
    </row>
    <row r="2039" ht="19" customHeight="1" spans="1:11">
      <c r="A2039" s="307" t="s">
        <v>16</v>
      </c>
      <c r="B2039" s="308"/>
      <c r="C2039" s="308"/>
      <c r="D2039" s="308"/>
      <c r="E2039" s="308"/>
      <c r="F2039" s="309">
        <f>IFERROR(VLOOKUP(K2031,'2026.01'!A:Y,10,0),0)</f>
        <v>200</v>
      </c>
      <c r="G2039" s="310"/>
      <c r="K2039" s="300"/>
    </row>
    <row r="2040" ht="21" customHeight="1" spans="1:11">
      <c r="A2040" s="307" t="s">
        <v>17</v>
      </c>
      <c r="B2040" s="308"/>
      <c r="C2040" s="308"/>
      <c r="D2040" s="308"/>
      <c r="E2040" s="308"/>
      <c r="F2040" s="309">
        <f>IFERROR(VLOOKUP(K2031,'2026.01'!A:Y,19,0),0)</f>
        <v>11</v>
      </c>
      <c r="G2040" s="310"/>
      <c r="K2040" s="300"/>
    </row>
    <row r="2041" ht="17.15" customHeight="1" spans="1:11">
      <c r="A2041" s="307" t="s">
        <v>18</v>
      </c>
      <c r="B2041" s="308"/>
      <c r="C2041" s="308"/>
      <c r="D2041" s="308"/>
      <c r="E2041" s="308"/>
      <c r="F2041" s="309">
        <f>IFERROR(VLOOKUP(K2031,'2026.01'!A:Y,22,0),0)</f>
        <v>164</v>
      </c>
      <c r="G2041" s="310"/>
      <c r="K2041" s="300"/>
    </row>
    <row r="2042" ht="17.15" customHeight="1" spans="1:11">
      <c r="A2042" s="307" t="s">
        <v>19</v>
      </c>
      <c r="B2042" s="312"/>
      <c r="C2042" s="308"/>
      <c r="D2042" s="313"/>
      <c r="E2042" s="308"/>
      <c r="F2042" s="309">
        <f>IFERROR(VLOOKUP(K2031,'2026.01'!A:Y,25,0),0)</f>
        <v>3081</v>
      </c>
      <c r="G2042" s="310"/>
      <c r="K2042" s="300"/>
    </row>
    <row r="2043" ht="15" customHeight="1" spans="1:11">
      <c r="A2043" s="314" t="s">
        <v>20</v>
      </c>
      <c r="B2043" s="315">
        <f>IF(F2042&lt;0,"金额为负，无效",INT(F2042))</f>
        <v>3081</v>
      </c>
      <c r="C2043" s="315"/>
      <c r="D2043" s="315"/>
      <c r="E2043" s="316" t="s">
        <v>21</v>
      </c>
      <c r="F2043" s="317"/>
      <c r="G2043" s="318"/>
      <c r="K2043" s="300"/>
    </row>
    <row r="2044" ht="23" customHeight="1" spans="1:11">
      <c r="A2044" s="319"/>
      <c r="B2044" s="320"/>
      <c r="C2044" s="320"/>
      <c r="D2044" s="320"/>
      <c r="E2044" s="319"/>
      <c r="F2044" s="321"/>
      <c r="G2044" s="322"/>
      <c r="K2044" s="300"/>
    </row>
    <row r="2045" ht="27" customHeight="1" spans="1:11">
      <c r="A2045" s="298" t="s">
        <v>0</v>
      </c>
      <c r="B2045" s="298"/>
      <c r="C2045" s="298"/>
      <c r="D2045" s="298"/>
      <c r="E2045" s="298"/>
      <c r="F2045" s="298"/>
      <c r="G2045" s="298"/>
      <c r="H2045" s="299"/>
      <c r="I2045" s="299"/>
      <c r="J2045" s="299"/>
      <c r="K2045" s="300">
        <v>147</v>
      </c>
    </row>
    <row r="2046" ht="15" customHeight="1" spans="1:11">
      <c r="A2046" s="301" t="s">
        <v>1</v>
      </c>
      <c r="B2046" s="301"/>
      <c r="C2046" s="301"/>
      <c r="D2046" s="301"/>
      <c r="E2046" s="301"/>
      <c r="F2046" s="301"/>
      <c r="G2046" s="302" t="str">
        <f>IFERROR(VLOOKUP(K2045,'2026.01'!A:Y,2,0),0)</f>
        <v>NO:147</v>
      </c>
      <c r="K2046" s="300"/>
    </row>
    <row r="2047" ht="15" customHeight="1" spans="1:11">
      <c r="A2047" s="303" t="s">
        <v>2</v>
      </c>
      <c r="B2047" s="304" t="str">
        <f>IFERROR(VLOOKUP(K2045,'2026.01'!A:Y,6,0),0)</f>
        <v>2078/2079</v>
      </c>
      <c r="C2047" s="304"/>
      <c r="D2047" s="305" t="s">
        <v>3</v>
      </c>
      <c r="E2047" s="305" t="str">
        <f>IFERROR(VLOOKUP(K2045,'2026.01'!A:Y,7,0),0)</f>
        <v>周代安</v>
      </c>
      <c r="F2047" s="305"/>
      <c r="G2047" s="306" t="s">
        <v>4</v>
      </c>
      <c r="K2047" s="300"/>
    </row>
    <row r="2048" ht="15" customHeight="1" spans="1:11">
      <c r="A2048" s="307" t="s">
        <v>5</v>
      </c>
      <c r="B2048" s="308" t="s">
        <v>6</v>
      </c>
      <c r="C2048" s="308" t="s">
        <v>7</v>
      </c>
      <c r="D2048" s="308" t="s">
        <v>8</v>
      </c>
      <c r="E2048" s="308" t="s">
        <v>9</v>
      </c>
      <c r="F2048" s="309" t="s">
        <v>10</v>
      </c>
      <c r="G2048" s="310" t="s">
        <v>11</v>
      </c>
      <c r="K2048" s="300"/>
    </row>
    <row r="2049" ht="15" customHeight="1" spans="1:11">
      <c r="A2049" s="307" t="s">
        <v>12</v>
      </c>
      <c r="B2049" s="308">
        <f>IFERROR(VLOOKUP(K2045,'2026.01'!A:Y,14,0),0)</f>
        <v>914</v>
      </c>
      <c r="C2049" s="308">
        <f>IFERROR(VLOOKUP(K2045,'2026.01'!A:Y,13,0),0)</f>
        <v>849</v>
      </c>
      <c r="D2049" s="308">
        <f>IFERROR(VLOOKUP(K2045,'2026.01'!A:Y,15,0),0)</f>
        <v>65</v>
      </c>
      <c r="E2049" s="311">
        <f>IFERROR(VLOOKUP(K2045,'2026.01'!A:Y,18,0),0)</f>
        <v>0.8</v>
      </c>
      <c r="F2049" s="309">
        <f>IFERROR(VLOOKUP(K2045,'2026.01'!A:Y,20,0),0)</f>
        <v>52</v>
      </c>
      <c r="G2049" s="310"/>
      <c r="K2049" s="300"/>
    </row>
    <row r="2050" ht="15" customHeight="1" spans="1:11">
      <c r="A2050" s="307" t="s">
        <v>13</v>
      </c>
      <c r="B2050" s="308"/>
      <c r="C2050" s="308"/>
      <c r="D2050" s="308"/>
      <c r="E2050" s="311"/>
      <c r="F2050" s="309">
        <f>IFERROR(VLOOKUP(K2045,'2026.01'!A:Y,24,0),0)</f>
        <v>68</v>
      </c>
      <c r="G2050" s="310"/>
      <c r="K2050" s="300"/>
    </row>
    <row r="2051" ht="15" customHeight="1" spans="1:11">
      <c r="A2051" s="307" t="s">
        <v>14</v>
      </c>
      <c r="B2051" s="308"/>
      <c r="C2051" s="308"/>
      <c r="D2051" s="308"/>
      <c r="E2051" s="311"/>
      <c r="F2051" s="309">
        <f>IFERROR(VLOOKUP(K2045,'2026.01'!A:Y,12,0),0)</f>
        <v>320</v>
      </c>
      <c r="G2051" s="310"/>
      <c r="K2051" s="300"/>
    </row>
    <row r="2052" ht="21" customHeight="1" spans="1:11">
      <c r="A2052" s="307" t="s">
        <v>15</v>
      </c>
      <c r="B2052" s="308"/>
      <c r="C2052" s="308"/>
      <c r="D2052" s="308"/>
      <c r="E2052" s="311"/>
      <c r="F2052" s="309">
        <f>IFERROR(VLOOKUP(K2045,'2026.01'!A:Y,9,0),0)</f>
        <v>5000</v>
      </c>
      <c r="G2052" s="310"/>
      <c r="K2052" s="300"/>
    </row>
    <row r="2053" ht="19" customHeight="1" spans="1:11">
      <c r="A2053" s="307" t="s">
        <v>16</v>
      </c>
      <c r="B2053" s="308"/>
      <c r="C2053" s="308"/>
      <c r="D2053" s="308"/>
      <c r="E2053" s="308"/>
      <c r="F2053" s="309">
        <f>IFERROR(VLOOKUP(K2045,'2026.01'!A:Y,10,0),0)</f>
        <v>400</v>
      </c>
      <c r="G2053" s="310"/>
      <c r="K2053" s="300"/>
    </row>
    <row r="2054" ht="21" customHeight="1" spans="1:11">
      <c r="A2054" s="307" t="s">
        <v>17</v>
      </c>
      <c r="B2054" s="308"/>
      <c r="C2054" s="308"/>
      <c r="D2054" s="308"/>
      <c r="E2054" s="308"/>
      <c r="F2054" s="309">
        <f>IFERROR(VLOOKUP(K2045,'2026.01'!A:Y,19,0),0)</f>
        <v>46</v>
      </c>
      <c r="G2054" s="310"/>
      <c r="K2054" s="300"/>
    </row>
    <row r="2055" ht="17.15" customHeight="1" spans="1:11">
      <c r="A2055" s="307" t="s">
        <v>18</v>
      </c>
      <c r="B2055" s="308"/>
      <c r="C2055" s="308"/>
      <c r="D2055" s="308"/>
      <c r="E2055" s="308"/>
      <c r="F2055" s="309">
        <f>IFERROR(VLOOKUP(K2045,'2026.01'!A:Y,22,0),0)</f>
        <v>329</v>
      </c>
      <c r="G2055" s="310"/>
      <c r="K2055" s="300"/>
    </row>
    <row r="2056" ht="17.15" customHeight="1" spans="1:11">
      <c r="A2056" s="307" t="s">
        <v>19</v>
      </c>
      <c r="B2056" s="312"/>
      <c r="C2056" s="308"/>
      <c r="D2056" s="313"/>
      <c r="E2056" s="308"/>
      <c r="F2056" s="309">
        <f>IFERROR(VLOOKUP(K2045,'2026.01'!A:Y,25,0),0)</f>
        <v>6215</v>
      </c>
      <c r="G2056" s="310"/>
      <c r="K2056" s="300"/>
    </row>
    <row r="2057" ht="15" customHeight="1" spans="1:11">
      <c r="A2057" s="314" t="s">
        <v>20</v>
      </c>
      <c r="B2057" s="315">
        <f>IF(F2056&lt;0,"金额为负，无效",INT(F2056))</f>
        <v>6215</v>
      </c>
      <c r="C2057" s="315"/>
      <c r="D2057" s="315"/>
      <c r="E2057" s="316" t="s">
        <v>21</v>
      </c>
      <c r="F2057" s="317"/>
      <c r="G2057" s="318"/>
      <c r="K2057" s="300"/>
    </row>
    <row r="2058" ht="15" customHeight="1" spans="1:11">
      <c r="A2058" s="319"/>
      <c r="B2058" s="320"/>
      <c r="C2058" s="320"/>
      <c r="D2058" s="320"/>
      <c r="E2058" s="319"/>
      <c r="F2058" s="321"/>
      <c r="G2058" s="322"/>
      <c r="K2058" s="300"/>
    </row>
    <row r="2059" ht="27" customHeight="1" spans="1:11">
      <c r="A2059" s="298" t="s">
        <v>0</v>
      </c>
      <c r="B2059" s="298"/>
      <c r="C2059" s="298"/>
      <c r="D2059" s="298"/>
      <c r="E2059" s="298"/>
      <c r="F2059" s="298"/>
      <c r="G2059" s="298"/>
      <c r="H2059" s="299"/>
      <c r="I2059" s="299"/>
      <c r="J2059" s="299"/>
      <c r="K2059" s="300">
        <v>148</v>
      </c>
    </row>
    <row r="2060" ht="15" customHeight="1" spans="1:11">
      <c r="A2060" s="301" t="s">
        <v>1</v>
      </c>
      <c r="B2060" s="301"/>
      <c r="C2060" s="301"/>
      <c r="D2060" s="301"/>
      <c r="E2060" s="301"/>
      <c r="F2060" s="301"/>
      <c r="G2060" s="302" t="str">
        <f>IFERROR(VLOOKUP(K2059,'2026.01'!A:Y,2,0),0)</f>
        <v>NO:148</v>
      </c>
      <c r="K2060" s="300"/>
    </row>
    <row r="2061" ht="15" customHeight="1" spans="1:11">
      <c r="A2061" s="303" t="s">
        <v>2</v>
      </c>
      <c r="B2061" s="304">
        <f>IFERROR(VLOOKUP(K2059,'2026.01'!A:Y,6,0),0)</f>
        <v>2079</v>
      </c>
      <c r="C2061" s="304"/>
      <c r="D2061" s="305" t="s">
        <v>3</v>
      </c>
      <c r="E2061" s="305" t="str">
        <f>IFERROR(VLOOKUP(K2059,'2026.01'!A:Y,7,0),0)</f>
        <v>周代安</v>
      </c>
      <c r="F2061" s="305"/>
      <c r="G2061" s="306" t="s">
        <v>4</v>
      </c>
      <c r="K2061" s="300"/>
    </row>
    <row r="2062" ht="15" customHeight="1" spans="1:11">
      <c r="A2062" s="307" t="s">
        <v>5</v>
      </c>
      <c r="B2062" s="308" t="s">
        <v>6</v>
      </c>
      <c r="C2062" s="308" t="s">
        <v>7</v>
      </c>
      <c r="D2062" s="308" t="s">
        <v>8</v>
      </c>
      <c r="E2062" s="308" t="s">
        <v>9</v>
      </c>
      <c r="F2062" s="309" t="s">
        <v>10</v>
      </c>
      <c r="G2062" s="310" t="s">
        <v>11</v>
      </c>
      <c r="K2062" s="300"/>
    </row>
    <row r="2063" ht="15" customHeight="1" spans="1:11">
      <c r="A2063" s="307" t="s">
        <v>12</v>
      </c>
      <c r="B2063" s="308">
        <f>IFERROR(VLOOKUP(K2059,'2026.01'!A:Y,14,0),0)</f>
        <v>3244</v>
      </c>
      <c r="C2063" s="308">
        <f>IFERROR(VLOOKUP(K2059,'2026.01'!A:Y,13,0),0)</f>
        <v>3244</v>
      </c>
      <c r="D2063" s="308">
        <f>IFERROR(VLOOKUP(K2059,'2026.01'!A:Y,15,0),0)</f>
        <v>0</v>
      </c>
      <c r="E2063" s="311">
        <f>IFERROR(VLOOKUP(K2059,'2026.01'!A:Y,18,0),0)</f>
        <v>0.8</v>
      </c>
      <c r="F2063" s="309">
        <f>IFERROR(VLOOKUP(K2059,'2026.01'!A:Y,20,0),0)</f>
        <v>0</v>
      </c>
      <c r="G2063" s="310"/>
      <c r="K2063" s="300"/>
    </row>
    <row r="2064" ht="15" customHeight="1" spans="1:11">
      <c r="A2064" s="307" t="s">
        <v>13</v>
      </c>
      <c r="B2064" s="308"/>
      <c r="C2064" s="308"/>
      <c r="D2064" s="308"/>
      <c r="E2064" s="311"/>
      <c r="F2064" s="309">
        <f>IFERROR(VLOOKUP(K2059,'2026.01'!A:Y,24,0),0)</f>
        <v>0</v>
      </c>
      <c r="G2064" s="310"/>
      <c r="K2064" s="300"/>
    </row>
    <row r="2065" ht="15" customHeight="1" spans="1:11">
      <c r="A2065" s="307" t="s">
        <v>14</v>
      </c>
      <c r="B2065" s="308"/>
      <c r="C2065" s="308"/>
      <c r="D2065" s="308"/>
      <c r="E2065" s="311"/>
      <c r="F2065" s="309">
        <f>IFERROR(VLOOKUP(K2059,'2026.01'!A:Y,12,0),0)</f>
        <v>0</v>
      </c>
      <c r="G2065" s="310"/>
      <c r="K2065" s="300"/>
    </row>
    <row r="2066" ht="21" customHeight="1" spans="1:11">
      <c r="A2066" s="307" t="s">
        <v>15</v>
      </c>
      <c r="B2066" s="308"/>
      <c r="C2066" s="308"/>
      <c r="D2066" s="308"/>
      <c r="E2066" s="311"/>
      <c r="F2066" s="309">
        <f>IFERROR(VLOOKUP(K2059,'2026.01'!A:Y,9,0),0)</f>
        <v>0</v>
      </c>
      <c r="G2066" s="310"/>
      <c r="K2066" s="300"/>
    </row>
    <row r="2067" ht="19" customHeight="1" spans="1:11">
      <c r="A2067" s="307" t="s">
        <v>16</v>
      </c>
      <c r="B2067" s="308"/>
      <c r="C2067" s="308"/>
      <c r="D2067" s="308"/>
      <c r="E2067" s="308"/>
      <c r="F2067" s="309">
        <f>IFERROR(VLOOKUP(K2059,'2026.01'!A:Y,10,0),0)</f>
        <v>0</v>
      </c>
      <c r="G2067" s="310"/>
      <c r="K2067" s="300"/>
    </row>
    <row r="2068" ht="21" customHeight="1" spans="1:11">
      <c r="A2068" s="307" t="s">
        <v>17</v>
      </c>
      <c r="B2068" s="308"/>
      <c r="C2068" s="308"/>
      <c r="D2068" s="308"/>
      <c r="E2068" s="308"/>
      <c r="F2068" s="309">
        <f>IFERROR(VLOOKUP(K2059,'2026.01'!A:Y,19,0),0)</f>
        <v>0</v>
      </c>
      <c r="G2068" s="310"/>
      <c r="K2068" s="300"/>
    </row>
    <row r="2069" ht="17.15" customHeight="1" spans="1:11">
      <c r="A2069" s="307" t="s">
        <v>18</v>
      </c>
      <c r="B2069" s="308"/>
      <c r="C2069" s="308"/>
      <c r="D2069" s="308"/>
      <c r="E2069" s="308"/>
      <c r="F2069" s="309">
        <f>IFERROR(VLOOKUP(K2059,'2026.01'!A:Y,22,0),0)</f>
        <v>0</v>
      </c>
      <c r="G2069" s="310"/>
      <c r="K2069" s="300"/>
    </row>
    <row r="2070" ht="17.15" customHeight="1" spans="1:11">
      <c r="A2070" s="307" t="s">
        <v>19</v>
      </c>
      <c r="B2070" s="312"/>
      <c r="C2070" s="308"/>
      <c r="D2070" s="313"/>
      <c r="E2070" s="308"/>
      <c r="F2070" s="309">
        <f>IFERROR(VLOOKUP(K2059,'2026.01'!A:Y,25,0),0)</f>
        <v>0</v>
      </c>
      <c r="G2070" s="310"/>
      <c r="K2070" s="300"/>
    </row>
    <row r="2071" ht="15" customHeight="1" spans="1:11">
      <c r="A2071" s="314" t="s">
        <v>20</v>
      </c>
      <c r="B2071" s="315">
        <f>IF(F2070&lt;0,"金额为负，无效",INT(F2070))</f>
        <v>0</v>
      </c>
      <c r="C2071" s="315"/>
      <c r="D2071" s="315"/>
      <c r="E2071" s="316" t="s">
        <v>21</v>
      </c>
      <c r="F2071" s="317"/>
      <c r="G2071" s="318"/>
      <c r="K2071" s="300"/>
    </row>
    <row r="2072" ht="23" customHeight="1" spans="1:11">
      <c r="A2072" s="319"/>
      <c r="B2072" s="320"/>
      <c r="C2072" s="320"/>
      <c r="D2072" s="320"/>
      <c r="E2072" s="319"/>
      <c r="F2072" s="321"/>
      <c r="G2072" s="322"/>
      <c r="K2072" s="300"/>
    </row>
    <row r="2073" ht="27" customHeight="1" spans="1:11">
      <c r="A2073" s="298" t="s">
        <v>0</v>
      </c>
      <c r="B2073" s="298"/>
      <c r="C2073" s="298"/>
      <c r="D2073" s="298"/>
      <c r="E2073" s="298"/>
      <c r="F2073" s="298"/>
      <c r="G2073" s="298"/>
      <c r="H2073" s="299"/>
      <c r="I2073" s="299"/>
      <c r="J2073" s="299"/>
      <c r="K2073" s="300">
        <v>149</v>
      </c>
    </row>
    <row r="2074" ht="15" customHeight="1" spans="1:11">
      <c r="A2074" s="301" t="s">
        <v>1</v>
      </c>
      <c r="B2074" s="301"/>
      <c r="C2074" s="301"/>
      <c r="D2074" s="301"/>
      <c r="E2074" s="301"/>
      <c r="F2074" s="301"/>
      <c r="G2074" s="302" t="str">
        <f>IFERROR(VLOOKUP(K2073,'2026.01'!A:Y,2,0),0)</f>
        <v>NO:149</v>
      </c>
      <c r="K2074" s="300"/>
    </row>
    <row r="2075" ht="15" customHeight="1" spans="1:11">
      <c r="A2075" s="303" t="s">
        <v>2</v>
      </c>
      <c r="B2075" s="304">
        <f>IFERROR(VLOOKUP(K2073,'2026.01'!A:Y,6,0),0)</f>
        <v>2080</v>
      </c>
      <c r="C2075" s="304"/>
      <c r="D2075" s="305" t="s">
        <v>3</v>
      </c>
      <c r="E2075" s="305" t="str">
        <f>IFERROR(VLOOKUP(K2073,'2026.01'!A:Y,7,0),0)</f>
        <v>邹其醒</v>
      </c>
      <c r="F2075" s="305"/>
      <c r="G2075" s="306" t="s">
        <v>4</v>
      </c>
      <c r="K2075" s="300"/>
    </row>
    <row r="2076" ht="15" customHeight="1" spans="1:11">
      <c r="A2076" s="307" t="s">
        <v>5</v>
      </c>
      <c r="B2076" s="308" t="s">
        <v>6</v>
      </c>
      <c r="C2076" s="308" t="s">
        <v>7</v>
      </c>
      <c r="D2076" s="308" t="s">
        <v>8</v>
      </c>
      <c r="E2076" s="308" t="s">
        <v>9</v>
      </c>
      <c r="F2076" s="309" t="s">
        <v>10</v>
      </c>
      <c r="G2076" s="310" t="s">
        <v>11</v>
      </c>
      <c r="K2076" s="300"/>
    </row>
    <row r="2077" ht="15" customHeight="1" spans="1:11">
      <c r="A2077" s="307" t="s">
        <v>12</v>
      </c>
      <c r="B2077" s="308">
        <f>IFERROR(VLOOKUP(K2073,'2026.01'!A:Y,14,0),0)</f>
        <v>1727</v>
      </c>
      <c r="C2077" s="308">
        <f>IFERROR(VLOOKUP(K2073,'2026.01'!A:Y,13,0),0)</f>
        <v>1674</v>
      </c>
      <c r="D2077" s="308">
        <f>IFERROR(VLOOKUP(K2073,'2026.01'!A:Y,15,0),0)</f>
        <v>53</v>
      </c>
      <c r="E2077" s="311">
        <f>IFERROR(VLOOKUP(K2073,'2026.01'!A:Y,18,0),0)</f>
        <v>0.8</v>
      </c>
      <c r="F2077" s="309">
        <f>IFERROR(VLOOKUP(K2073,'2026.01'!A:Y,20,0),0)</f>
        <v>42</v>
      </c>
      <c r="G2077" s="310"/>
      <c r="K2077" s="300"/>
    </row>
    <row r="2078" ht="15" customHeight="1" spans="1:11">
      <c r="A2078" s="307" t="s">
        <v>13</v>
      </c>
      <c r="B2078" s="308"/>
      <c r="C2078" s="308"/>
      <c r="D2078" s="308"/>
      <c r="E2078" s="311"/>
      <c r="F2078" s="309">
        <f>IFERROR(VLOOKUP(K2073,'2026.01'!A:Y,24,0),0)</f>
        <v>34</v>
      </c>
      <c r="G2078" s="310"/>
      <c r="K2078" s="300"/>
    </row>
    <row r="2079" ht="15" customHeight="1" spans="1:11">
      <c r="A2079" s="307" t="s">
        <v>14</v>
      </c>
      <c r="B2079" s="308"/>
      <c r="C2079" s="308"/>
      <c r="D2079" s="308"/>
      <c r="E2079" s="311"/>
      <c r="F2079" s="309">
        <f>IFERROR(VLOOKUP(K2073,'2026.01'!A:Y,12,0),0)</f>
        <v>160</v>
      </c>
      <c r="G2079" s="310"/>
      <c r="K2079" s="300"/>
    </row>
    <row r="2080" ht="21" customHeight="1" spans="1:11">
      <c r="A2080" s="307" t="s">
        <v>15</v>
      </c>
      <c r="B2080" s="308"/>
      <c r="C2080" s="308"/>
      <c r="D2080" s="308"/>
      <c r="E2080" s="311"/>
      <c r="F2080" s="309">
        <f>IFERROR(VLOOKUP(K2073,'2026.01'!A:Y,9,0),0)</f>
        <v>2500</v>
      </c>
      <c r="G2080" s="310"/>
      <c r="K2080" s="300"/>
    </row>
    <row r="2081" ht="19" customHeight="1" spans="1:11">
      <c r="A2081" s="307" t="s">
        <v>16</v>
      </c>
      <c r="B2081" s="308"/>
      <c r="C2081" s="308"/>
      <c r="D2081" s="308"/>
      <c r="E2081" s="308"/>
      <c r="F2081" s="309">
        <f>IFERROR(VLOOKUP(K2073,'2026.01'!A:Y,10,0),0)</f>
        <v>200</v>
      </c>
      <c r="G2081" s="310"/>
      <c r="K2081" s="300"/>
    </row>
    <row r="2082" ht="21" customHeight="1" spans="1:11">
      <c r="A2082" s="307" t="s">
        <v>17</v>
      </c>
      <c r="B2082" s="308"/>
      <c r="C2082" s="308"/>
      <c r="D2082" s="308"/>
      <c r="E2082" s="308"/>
      <c r="F2082" s="309">
        <f>IFERROR(VLOOKUP(K2073,'2026.01'!A:Y,19,0),0)</f>
        <v>37</v>
      </c>
      <c r="G2082" s="310"/>
      <c r="K2082" s="300"/>
    </row>
    <row r="2083" ht="17.15" customHeight="1" spans="1:11">
      <c r="A2083" s="307" t="s">
        <v>18</v>
      </c>
      <c r="B2083" s="308"/>
      <c r="C2083" s="308"/>
      <c r="D2083" s="308"/>
      <c r="E2083" s="308"/>
      <c r="F2083" s="309">
        <f>IFERROR(VLOOKUP(K2073,'2026.01'!A:Y,22,0),0)</f>
        <v>164</v>
      </c>
      <c r="G2083" s="310"/>
      <c r="K2083" s="300"/>
    </row>
    <row r="2084" ht="17.15" customHeight="1" spans="1:11">
      <c r="A2084" s="307" t="s">
        <v>19</v>
      </c>
      <c r="B2084" s="312"/>
      <c r="C2084" s="308"/>
      <c r="D2084" s="313"/>
      <c r="E2084" s="308"/>
      <c r="F2084" s="309">
        <f>IFERROR(VLOOKUP(K2073,'2026.01'!A:Y,25,0),0)</f>
        <v>3137</v>
      </c>
      <c r="G2084" s="310"/>
      <c r="K2084" s="300"/>
    </row>
    <row r="2085" ht="15" customHeight="1" spans="1:11">
      <c r="A2085" s="314" t="s">
        <v>20</v>
      </c>
      <c r="B2085" s="315">
        <f>IF(F2084&lt;0,"金额为负，无效",INT(F2084))</f>
        <v>3137</v>
      </c>
      <c r="C2085" s="315"/>
      <c r="D2085" s="315"/>
      <c r="E2085" s="316" t="s">
        <v>21</v>
      </c>
      <c r="F2085" s="317"/>
      <c r="G2085" s="318"/>
      <c r="K2085" s="300"/>
    </row>
    <row r="2086" ht="23" customHeight="1" spans="1:11">
      <c r="A2086" s="319"/>
      <c r="B2086" s="320"/>
      <c r="C2086" s="320"/>
      <c r="D2086" s="320"/>
      <c r="E2086" s="319"/>
      <c r="F2086" s="321"/>
      <c r="G2086" s="322"/>
      <c r="K2086" s="300"/>
    </row>
    <row r="2087" ht="27" customHeight="1" spans="1:11">
      <c r="A2087" s="298" t="s">
        <v>0</v>
      </c>
      <c r="B2087" s="298"/>
      <c r="C2087" s="298"/>
      <c r="D2087" s="298"/>
      <c r="E2087" s="298"/>
      <c r="F2087" s="298"/>
      <c r="G2087" s="298"/>
      <c r="H2087" s="299"/>
      <c r="I2087" s="299"/>
      <c r="J2087" s="299"/>
      <c r="K2087" s="300">
        <v>150</v>
      </c>
    </row>
    <row r="2088" ht="15" customHeight="1" spans="1:11">
      <c r="A2088" s="301" t="s">
        <v>1</v>
      </c>
      <c r="B2088" s="301"/>
      <c r="C2088" s="301"/>
      <c r="D2088" s="301"/>
      <c r="E2088" s="301"/>
      <c r="F2088" s="301"/>
      <c r="G2088" s="302" t="str">
        <f>IFERROR(VLOOKUP(K2087,'2026.01'!A:Y,2,0),0)</f>
        <v>NO:150</v>
      </c>
      <c r="K2088" s="300"/>
    </row>
    <row r="2089" ht="15" customHeight="1" spans="1:11">
      <c r="A2089" s="303" t="s">
        <v>2</v>
      </c>
      <c r="B2089" s="304">
        <f>IFERROR(VLOOKUP(K2087,'2026.01'!A:Y,6,0),0)</f>
        <v>2081</v>
      </c>
      <c r="C2089" s="304"/>
      <c r="D2089" s="305" t="s">
        <v>3</v>
      </c>
      <c r="E2089" s="305" t="str">
        <f>IFERROR(VLOOKUP(K2087,'2026.01'!A:Y,7,0),0)</f>
        <v>陈圣托</v>
      </c>
      <c r="F2089" s="305"/>
      <c r="G2089" s="306" t="s">
        <v>4</v>
      </c>
      <c r="K2089" s="300"/>
    </row>
    <row r="2090" ht="15" customHeight="1" spans="1:11">
      <c r="A2090" s="307" t="s">
        <v>5</v>
      </c>
      <c r="B2090" s="308" t="s">
        <v>6</v>
      </c>
      <c r="C2090" s="308" t="s">
        <v>7</v>
      </c>
      <c r="D2090" s="308" t="s">
        <v>8</v>
      </c>
      <c r="E2090" s="308" t="s">
        <v>9</v>
      </c>
      <c r="F2090" s="309" t="s">
        <v>10</v>
      </c>
      <c r="G2090" s="310" t="s">
        <v>11</v>
      </c>
      <c r="K2090" s="300"/>
    </row>
    <row r="2091" ht="15" customHeight="1" spans="1:11">
      <c r="A2091" s="307" t="s">
        <v>12</v>
      </c>
      <c r="B2091" s="308">
        <f>IFERROR(VLOOKUP(K2087,'2026.01'!A:Y,14,0),0)</f>
        <v>9130</v>
      </c>
      <c r="C2091" s="308">
        <f>IFERROR(VLOOKUP(K2087,'2026.01'!A:Y,13,0),0)</f>
        <v>9109</v>
      </c>
      <c r="D2091" s="308">
        <f>IFERROR(VLOOKUP(K2087,'2026.01'!A:Y,15,0),0)</f>
        <v>21</v>
      </c>
      <c r="E2091" s="311">
        <f>IFERROR(VLOOKUP(K2087,'2026.01'!A:Y,18,0),0)</f>
        <v>0.8</v>
      </c>
      <c r="F2091" s="309">
        <f>IFERROR(VLOOKUP(K2087,'2026.01'!A:Y,20,0),0)</f>
        <v>17</v>
      </c>
      <c r="G2091" s="310"/>
      <c r="K2091" s="300"/>
    </row>
    <row r="2092" ht="15" customHeight="1" spans="1:11">
      <c r="A2092" s="307" t="s">
        <v>13</v>
      </c>
      <c r="B2092" s="308"/>
      <c r="C2092" s="308"/>
      <c r="D2092" s="308"/>
      <c r="E2092" s="311"/>
      <c r="F2092" s="309">
        <f>IFERROR(VLOOKUP(K2087,'2026.01'!A:Y,24,0),0)</f>
        <v>34</v>
      </c>
      <c r="G2092" s="310"/>
      <c r="K2092" s="300"/>
    </row>
    <row r="2093" ht="15" customHeight="1" spans="1:11">
      <c r="A2093" s="307" t="s">
        <v>14</v>
      </c>
      <c r="B2093" s="308"/>
      <c r="C2093" s="308"/>
      <c r="D2093" s="308"/>
      <c r="E2093" s="311"/>
      <c r="F2093" s="309">
        <f>IFERROR(VLOOKUP(K2087,'2026.01'!A:Y,12,0),0)</f>
        <v>160</v>
      </c>
      <c r="G2093" s="310"/>
      <c r="K2093" s="300"/>
    </row>
    <row r="2094" ht="21" customHeight="1" spans="1:11">
      <c r="A2094" s="307" t="s">
        <v>15</v>
      </c>
      <c r="B2094" s="308"/>
      <c r="C2094" s="308"/>
      <c r="D2094" s="308"/>
      <c r="E2094" s="311"/>
      <c r="F2094" s="309">
        <f>IFERROR(VLOOKUP(K2087,'2026.01'!A:Y,9,0),0)</f>
        <v>2500</v>
      </c>
      <c r="G2094" s="310"/>
      <c r="K2094" s="300"/>
    </row>
    <row r="2095" ht="19" customHeight="1" spans="1:11">
      <c r="A2095" s="307" t="s">
        <v>16</v>
      </c>
      <c r="B2095" s="308"/>
      <c r="C2095" s="308"/>
      <c r="D2095" s="308"/>
      <c r="E2095" s="308"/>
      <c r="F2095" s="309">
        <f>IFERROR(VLOOKUP(K2087,'2026.01'!A:Y,10,0),0)</f>
        <v>200</v>
      </c>
      <c r="G2095" s="310"/>
      <c r="K2095" s="300"/>
    </row>
    <row r="2096" ht="21" customHeight="1" spans="1:11">
      <c r="A2096" s="307" t="s">
        <v>17</v>
      </c>
      <c r="B2096" s="308"/>
      <c r="C2096" s="308"/>
      <c r="D2096" s="308"/>
      <c r="E2096" s="308"/>
      <c r="F2096" s="309">
        <f>IFERROR(VLOOKUP(K2087,'2026.01'!A:Y,19,0),0)</f>
        <v>15</v>
      </c>
      <c r="G2096" s="310"/>
      <c r="K2096" s="300"/>
    </row>
    <row r="2097" ht="17.15" customHeight="1" spans="1:11">
      <c r="A2097" s="307" t="s">
        <v>18</v>
      </c>
      <c r="B2097" s="308"/>
      <c r="C2097" s="308"/>
      <c r="D2097" s="308"/>
      <c r="E2097" s="308"/>
      <c r="F2097" s="309">
        <f>IFERROR(VLOOKUP(K2087,'2026.01'!A:Y,22,0),0)</f>
        <v>164</v>
      </c>
      <c r="G2097" s="310"/>
      <c r="K2097" s="300"/>
    </row>
    <row r="2098" ht="17.15" customHeight="1" spans="1:11">
      <c r="A2098" s="307" t="s">
        <v>19</v>
      </c>
      <c r="B2098" s="312"/>
      <c r="C2098" s="308"/>
      <c r="D2098" s="313"/>
      <c r="E2098" s="308"/>
      <c r="F2098" s="309">
        <f>IFERROR(VLOOKUP(K2087,'2026.01'!A:Y,25,0),0)</f>
        <v>3090</v>
      </c>
      <c r="G2098" s="310"/>
      <c r="K2098" s="300"/>
    </row>
    <row r="2099" ht="15" customHeight="1" spans="1:11">
      <c r="A2099" s="314" t="s">
        <v>20</v>
      </c>
      <c r="B2099" s="315">
        <f>IF(F2098&lt;0,"金额为负，无效",INT(F2098))</f>
        <v>3090</v>
      </c>
      <c r="C2099" s="315"/>
      <c r="D2099" s="315"/>
      <c r="E2099" s="316" t="s">
        <v>21</v>
      </c>
      <c r="F2099" s="317"/>
      <c r="G2099" s="318"/>
      <c r="K2099" s="300"/>
    </row>
    <row r="2100" ht="15" customHeight="1" spans="1:11">
      <c r="A2100" s="319"/>
      <c r="B2100" s="320"/>
      <c r="C2100" s="320"/>
      <c r="D2100" s="320"/>
      <c r="E2100" s="319"/>
      <c r="F2100" s="321"/>
      <c r="G2100" s="322"/>
      <c r="K2100" s="300"/>
    </row>
    <row r="2101" ht="27" customHeight="1" spans="1:11">
      <c r="A2101" s="298" t="s">
        <v>0</v>
      </c>
      <c r="B2101" s="298"/>
      <c r="C2101" s="298"/>
      <c r="D2101" s="298"/>
      <c r="E2101" s="298"/>
      <c r="F2101" s="298"/>
      <c r="G2101" s="298"/>
      <c r="H2101" s="299"/>
      <c r="I2101" s="299"/>
      <c r="J2101" s="299"/>
      <c r="K2101" s="300">
        <v>151</v>
      </c>
    </row>
    <row r="2102" ht="15" customHeight="1" spans="1:11">
      <c r="A2102" s="301" t="s">
        <v>1</v>
      </c>
      <c r="B2102" s="301"/>
      <c r="C2102" s="301"/>
      <c r="D2102" s="301"/>
      <c r="E2102" s="301"/>
      <c r="F2102" s="301"/>
      <c r="G2102" s="302" t="str">
        <f>IFERROR(VLOOKUP(K2101,'2026.01'!A:Y,2,0),0)</f>
        <v>NO:151</v>
      </c>
      <c r="K2102" s="300"/>
    </row>
    <row r="2103" ht="15" customHeight="1" spans="1:11">
      <c r="A2103" s="303" t="s">
        <v>2</v>
      </c>
      <c r="B2103" s="304">
        <f>IFERROR(VLOOKUP(K2101,'2026.01'!A:Y,6,0),0)</f>
        <v>2082</v>
      </c>
      <c r="C2103" s="304"/>
      <c r="D2103" s="305" t="s">
        <v>3</v>
      </c>
      <c r="E2103" s="305" t="str">
        <f>IFERROR(VLOOKUP(K2101,'2026.01'!A:Y,7,0),0)</f>
        <v>叶雪梅</v>
      </c>
      <c r="F2103" s="305"/>
      <c r="G2103" s="306" t="s">
        <v>4</v>
      </c>
      <c r="K2103" s="300"/>
    </row>
    <row r="2104" ht="15" customHeight="1" spans="1:11">
      <c r="A2104" s="307" t="s">
        <v>5</v>
      </c>
      <c r="B2104" s="308" t="s">
        <v>6</v>
      </c>
      <c r="C2104" s="308" t="s">
        <v>7</v>
      </c>
      <c r="D2104" s="308" t="s">
        <v>8</v>
      </c>
      <c r="E2104" s="308" t="s">
        <v>9</v>
      </c>
      <c r="F2104" s="309" t="s">
        <v>10</v>
      </c>
      <c r="G2104" s="310" t="s">
        <v>11</v>
      </c>
      <c r="K2104" s="300"/>
    </row>
    <row r="2105" ht="15" customHeight="1" spans="1:11">
      <c r="A2105" s="307" t="s">
        <v>12</v>
      </c>
      <c r="B2105" s="308">
        <f>IFERROR(VLOOKUP(K2101,'2026.01'!A:Y,14,0),0)</f>
        <v>9724</v>
      </c>
      <c r="C2105" s="308">
        <f>IFERROR(VLOOKUP(K2101,'2026.01'!A:Y,13,0),0)</f>
        <v>9659</v>
      </c>
      <c r="D2105" s="308">
        <f>IFERROR(VLOOKUP(K2101,'2026.01'!A:Y,15,0),0)</f>
        <v>65</v>
      </c>
      <c r="E2105" s="311">
        <f>IFERROR(VLOOKUP(K2101,'2026.01'!A:Y,18,0),0)</f>
        <v>0.8</v>
      </c>
      <c r="F2105" s="309">
        <f>IFERROR(VLOOKUP(K2101,'2026.01'!A:Y,20,0),0)</f>
        <v>52</v>
      </c>
      <c r="G2105" s="310"/>
      <c r="K2105" s="300"/>
    </row>
    <row r="2106" ht="15" customHeight="1" spans="1:11">
      <c r="A2106" s="307" t="s">
        <v>13</v>
      </c>
      <c r="B2106" s="308"/>
      <c r="C2106" s="308"/>
      <c r="D2106" s="308"/>
      <c r="E2106" s="311"/>
      <c r="F2106" s="309">
        <f>IFERROR(VLOOKUP(K2101,'2026.01'!A:Y,24,0),0)</f>
        <v>34</v>
      </c>
      <c r="G2106" s="310"/>
      <c r="K2106" s="300"/>
    </row>
    <row r="2107" ht="15" customHeight="1" spans="1:11">
      <c r="A2107" s="307" t="s">
        <v>14</v>
      </c>
      <c r="B2107" s="308"/>
      <c r="C2107" s="308"/>
      <c r="D2107" s="308"/>
      <c r="E2107" s="311"/>
      <c r="F2107" s="309">
        <f>IFERROR(VLOOKUP(K2101,'2026.01'!A:Y,12,0),0)</f>
        <v>160</v>
      </c>
      <c r="G2107" s="310"/>
      <c r="K2107" s="300"/>
    </row>
    <row r="2108" ht="21" customHeight="1" spans="1:11">
      <c r="A2108" s="307" t="s">
        <v>15</v>
      </c>
      <c r="B2108" s="308"/>
      <c r="C2108" s="308"/>
      <c r="D2108" s="308"/>
      <c r="E2108" s="311"/>
      <c r="F2108" s="309">
        <f>IFERROR(VLOOKUP(K2101,'2026.01'!A:Y,9,0),0)</f>
        <v>2500</v>
      </c>
      <c r="G2108" s="310"/>
      <c r="K2108" s="300"/>
    </row>
    <row r="2109" ht="19" customHeight="1" spans="1:11">
      <c r="A2109" s="307" t="s">
        <v>16</v>
      </c>
      <c r="B2109" s="308"/>
      <c r="C2109" s="308"/>
      <c r="D2109" s="308"/>
      <c r="E2109" s="308"/>
      <c r="F2109" s="309">
        <f>IFERROR(VLOOKUP(K2101,'2026.01'!A:Y,10,0),0)</f>
        <v>200</v>
      </c>
      <c r="G2109" s="310"/>
      <c r="K2109" s="300"/>
    </row>
    <row r="2110" ht="21" customHeight="1" spans="1:11">
      <c r="A2110" s="307" t="s">
        <v>17</v>
      </c>
      <c r="B2110" s="308"/>
      <c r="C2110" s="308"/>
      <c r="D2110" s="308"/>
      <c r="E2110" s="308"/>
      <c r="F2110" s="309">
        <f>IFERROR(VLOOKUP(K2101,'2026.01'!A:Y,19,0),0)</f>
        <v>46</v>
      </c>
      <c r="G2110" s="310"/>
      <c r="K2110" s="300"/>
    </row>
    <row r="2111" ht="17.15" customHeight="1" spans="1:11">
      <c r="A2111" s="307" t="s">
        <v>18</v>
      </c>
      <c r="B2111" s="308"/>
      <c r="C2111" s="308"/>
      <c r="D2111" s="308"/>
      <c r="E2111" s="308"/>
      <c r="F2111" s="309">
        <f>IFERROR(VLOOKUP(K2101,'2026.01'!A:Y,22,0),0)</f>
        <v>164</v>
      </c>
      <c r="G2111" s="310"/>
      <c r="K2111" s="300"/>
    </row>
    <row r="2112" ht="17.15" customHeight="1" spans="1:11">
      <c r="A2112" s="307" t="s">
        <v>19</v>
      </c>
      <c r="B2112" s="312"/>
      <c r="C2112" s="308"/>
      <c r="D2112" s="313"/>
      <c r="E2112" s="308"/>
      <c r="F2112" s="309">
        <f>IFERROR(VLOOKUP(K2101,'2026.01'!A:Y,25,0),0)</f>
        <v>3156</v>
      </c>
      <c r="G2112" s="310"/>
      <c r="K2112" s="300"/>
    </row>
    <row r="2113" ht="15" customHeight="1" spans="1:11">
      <c r="A2113" s="314" t="s">
        <v>20</v>
      </c>
      <c r="B2113" s="315">
        <f>IF(F2112&lt;0,"金额为负，无效",INT(F2112))</f>
        <v>3156</v>
      </c>
      <c r="C2113" s="315"/>
      <c r="D2113" s="315"/>
      <c r="E2113" s="316" t="s">
        <v>21</v>
      </c>
      <c r="F2113" s="317"/>
      <c r="G2113" s="318"/>
      <c r="K2113" s="300"/>
    </row>
    <row r="2114" ht="23" customHeight="1" spans="1:11">
      <c r="A2114" s="319"/>
      <c r="B2114" s="320"/>
      <c r="C2114" s="320"/>
      <c r="D2114" s="320"/>
      <c r="E2114" s="319"/>
      <c r="F2114" s="321"/>
      <c r="G2114" s="322"/>
      <c r="K2114" s="300"/>
    </row>
    <row r="2115" ht="27" customHeight="1" spans="1:11">
      <c r="A2115" s="298" t="s">
        <v>0</v>
      </c>
      <c r="B2115" s="298"/>
      <c r="C2115" s="298"/>
      <c r="D2115" s="298"/>
      <c r="E2115" s="298"/>
      <c r="F2115" s="298"/>
      <c r="G2115" s="298"/>
      <c r="H2115" s="299"/>
      <c r="I2115" s="299"/>
      <c r="J2115" s="299"/>
      <c r="K2115" s="300">
        <v>152</v>
      </c>
    </row>
    <row r="2116" ht="15" customHeight="1" spans="1:11">
      <c r="A2116" s="301" t="s">
        <v>1</v>
      </c>
      <c r="B2116" s="301"/>
      <c r="C2116" s="301"/>
      <c r="D2116" s="301"/>
      <c r="E2116" s="301"/>
      <c r="F2116" s="301"/>
      <c r="G2116" s="302" t="str">
        <f>IFERROR(VLOOKUP(K2115,'2026.01'!A:Y,2,0),0)</f>
        <v>NO:152</v>
      </c>
      <c r="K2116" s="300"/>
    </row>
    <row r="2117" ht="15" customHeight="1" spans="1:11">
      <c r="A2117" s="303" t="s">
        <v>2</v>
      </c>
      <c r="B2117" s="304">
        <f>IFERROR(VLOOKUP(K2115,'2026.01'!A:Y,6,0),0)</f>
        <v>2083</v>
      </c>
      <c r="C2117" s="304"/>
      <c r="D2117" s="305" t="s">
        <v>3</v>
      </c>
      <c r="E2117" s="305" t="str">
        <f>IFERROR(VLOOKUP(K2115,'2026.01'!A:Y,7,0),0)</f>
        <v>温明珠</v>
      </c>
      <c r="F2117" s="305"/>
      <c r="G2117" s="306" t="s">
        <v>4</v>
      </c>
      <c r="K2117" s="300"/>
    </row>
    <row r="2118" ht="15" customHeight="1" spans="1:11">
      <c r="A2118" s="307" t="s">
        <v>5</v>
      </c>
      <c r="B2118" s="308" t="s">
        <v>6</v>
      </c>
      <c r="C2118" s="308" t="s">
        <v>7</v>
      </c>
      <c r="D2118" s="308" t="s">
        <v>8</v>
      </c>
      <c r="E2118" s="308" t="s">
        <v>9</v>
      </c>
      <c r="F2118" s="309" t="s">
        <v>10</v>
      </c>
      <c r="G2118" s="310" t="s">
        <v>11</v>
      </c>
      <c r="K2118" s="300"/>
    </row>
    <row r="2119" ht="15" customHeight="1" spans="1:11">
      <c r="A2119" s="307" t="s">
        <v>12</v>
      </c>
      <c r="B2119" s="308">
        <f>IFERROR(VLOOKUP(K2115,'2026.01'!A:Y,14,0),0)</f>
        <v>9690</v>
      </c>
      <c r="C2119" s="308">
        <f>IFERROR(VLOOKUP(K2115,'2026.01'!A:Y,13,0),0)</f>
        <v>9657</v>
      </c>
      <c r="D2119" s="308">
        <f>IFERROR(VLOOKUP(K2115,'2026.01'!A:Y,15,0),0)</f>
        <v>33</v>
      </c>
      <c r="E2119" s="311">
        <f>IFERROR(VLOOKUP(K2115,'2026.01'!A:Y,18,0),0)</f>
        <v>0.8</v>
      </c>
      <c r="F2119" s="309">
        <f>IFERROR(VLOOKUP(K2115,'2026.01'!A:Y,20,0),0)</f>
        <v>26</v>
      </c>
      <c r="G2119" s="310"/>
      <c r="K2119" s="300"/>
    </row>
    <row r="2120" ht="15" customHeight="1" spans="1:11">
      <c r="A2120" s="307" t="s">
        <v>13</v>
      </c>
      <c r="B2120" s="308"/>
      <c r="C2120" s="308"/>
      <c r="D2120" s="308"/>
      <c r="E2120" s="311"/>
      <c r="F2120" s="309">
        <f>IFERROR(VLOOKUP(K2115,'2026.01'!A:Y,24,0),0)</f>
        <v>34</v>
      </c>
      <c r="G2120" s="310"/>
      <c r="K2120" s="300"/>
    </row>
    <row r="2121" ht="15" customHeight="1" spans="1:11">
      <c r="A2121" s="307" t="s">
        <v>14</v>
      </c>
      <c r="B2121" s="308"/>
      <c r="C2121" s="308"/>
      <c r="D2121" s="308"/>
      <c r="E2121" s="311"/>
      <c r="F2121" s="309">
        <f>IFERROR(VLOOKUP(K2115,'2026.01'!A:Y,12,0),0)</f>
        <v>160</v>
      </c>
      <c r="G2121" s="310"/>
      <c r="K2121" s="300"/>
    </row>
    <row r="2122" ht="21" customHeight="1" spans="1:11">
      <c r="A2122" s="307" t="s">
        <v>15</v>
      </c>
      <c r="B2122" s="308"/>
      <c r="C2122" s="308"/>
      <c r="D2122" s="308"/>
      <c r="E2122" s="311"/>
      <c r="F2122" s="309">
        <f>IFERROR(VLOOKUP(K2115,'2026.01'!A:Y,9,0),0)</f>
        <v>2500</v>
      </c>
      <c r="G2122" s="310"/>
      <c r="K2122" s="300"/>
    </row>
    <row r="2123" ht="19" customHeight="1" spans="1:11">
      <c r="A2123" s="307" t="s">
        <v>16</v>
      </c>
      <c r="B2123" s="308"/>
      <c r="C2123" s="308"/>
      <c r="D2123" s="308"/>
      <c r="E2123" s="308"/>
      <c r="F2123" s="309">
        <f>IFERROR(VLOOKUP(K2115,'2026.01'!A:Y,10,0),0)</f>
        <v>200</v>
      </c>
      <c r="G2123" s="310"/>
      <c r="K2123" s="300"/>
    </row>
    <row r="2124" ht="21" customHeight="1" spans="1:11">
      <c r="A2124" s="307" t="s">
        <v>17</v>
      </c>
      <c r="B2124" s="308"/>
      <c r="C2124" s="308"/>
      <c r="D2124" s="308"/>
      <c r="E2124" s="308"/>
      <c r="F2124" s="309">
        <f>IFERROR(VLOOKUP(K2115,'2026.01'!A:Y,19,0),0)</f>
        <v>23</v>
      </c>
      <c r="G2124" s="310"/>
      <c r="K2124" s="300"/>
    </row>
    <row r="2125" ht="17.15" customHeight="1" spans="1:11">
      <c r="A2125" s="307" t="s">
        <v>18</v>
      </c>
      <c r="B2125" s="308"/>
      <c r="C2125" s="308"/>
      <c r="D2125" s="308"/>
      <c r="E2125" s="308"/>
      <c r="F2125" s="309">
        <f>IFERROR(VLOOKUP(K2115,'2026.01'!A:Y,22,0),0)</f>
        <v>164</v>
      </c>
      <c r="G2125" s="310"/>
      <c r="K2125" s="300"/>
    </row>
    <row r="2126" ht="17.15" customHeight="1" spans="1:11">
      <c r="A2126" s="307" t="s">
        <v>19</v>
      </c>
      <c r="B2126" s="312"/>
      <c r="C2126" s="308"/>
      <c r="D2126" s="313"/>
      <c r="E2126" s="308"/>
      <c r="F2126" s="309">
        <f>IFERROR(VLOOKUP(K2115,'2026.01'!A:Y,25,0),0)</f>
        <v>3107</v>
      </c>
      <c r="G2126" s="310"/>
      <c r="K2126" s="300"/>
    </row>
    <row r="2127" ht="15" customHeight="1" spans="1:11">
      <c r="A2127" s="314" t="s">
        <v>20</v>
      </c>
      <c r="B2127" s="315">
        <f>IF(F2126&lt;0,"金额为负，无效",INT(F2126))</f>
        <v>3107</v>
      </c>
      <c r="C2127" s="315"/>
      <c r="D2127" s="315"/>
      <c r="E2127" s="316" t="s">
        <v>21</v>
      </c>
      <c r="F2127" s="317"/>
      <c r="G2127" s="318"/>
      <c r="K2127" s="300"/>
    </row>
    <row r="2128" ht="23" customHeight="1" spans="1:11">
      <c r="A2128" s="319"/>
      <c r="B2128" s="320"/>
      <c r="C2128" s="320"/>
      <c r="D2128" s="320"/>
      <c r="E2128" s="319"/>
      <c r="F2128" s="321"/>
      <c r="G2128" s="322"/>
      <c r="K2128" s="300"/>
    </row>
    <row r="2129" ht="27" customHeight="1" spans="1:11">
      <c r="A2129" s="298" t="s">
        <v>0</v>
      </c>
      <c r="B2129" s="298"/>
      <c r="C2129" s="298"/>
      <c r="D2129" s="298"/>
      <c r="E2129" s="298"/>
      <c r="F2129" s="298"/>
      <c r="G2129" s="298"/>
      <c r="H2129" s="299"/>
      <c r="I2129" s="299"/>
      <c r="J2129" s="299"/>
      <c r="K2129" s="300">
        <v>153</v>
      </c>
    </row>
    <row r="2130" ht="15" customHeight="1" spans="1:11">
      <c r="A2130" s="301" t="s">
        <v>1</v>
      </c>
      <c r="B2130" s="301"/>
      <c r="C2130" s="301"/>
      <c r="D2130" s="301"/>
      <c r="E2130" s="301"/>
      <c r="F2130" s="301"/>
      <c r="G2130" s="302" t="str">
        <f>IFERROR(VLOOKUP(K2129,'2026.01'!A:Y,2,0),0)</f>
        <v>NO:153</v>
      </c>
      <c r="K2130" s="300"/>
    </row>
    <row r="2131" ht="15" customHeight="1" spans="1:11">
      <c r="A2131" s="303" t="s">
        <v>2</v>
      </c>
      <c r="B2131" s="304">
        <f>IFERROR(VLOOKUP(K2129,'2026.01'!A:Y,6,0),0)</f>
        <v>2084</v>
      </c>
      <c r="C2131" s="304"/>
      <c r="D2131" s="305" t="s">
        <v>3</v>
      </c>
      <c r="E2131" s="305" t="str">
        <f>IFERROR(VLOOKUP(K2129,'2026.01'!A:Y,7,0),0)</f>
        <v>梁彬</v>
      </c>
      <c r="F2131" s="305"/>
      <c r="G2131" s="306" t="s">
        <v>4</v>
      </c>
      <c r="K2131" s="300"/>
    </row>
    <row r="2132" ht="15" customHeight="1" spans="1:11">
      <c r="A2132" s="307" t="s">
        <v>5</v>
      </c>
      <c r="B2132" s="308" t="s">
        <v>6</v>
      </c>
      <c r="C2132" s="308" t="s">
        <v>7</v>
      </c>
      <c r="D2132" s="308" t="s">
        <v>8</v>
      </c>
      <c r="E2132" s="308" t="s">
        <v>9</v>
      </c>
      <c r="F2132" s="309" t="s">
        <v>10</v>
      </c>
      <c r="G2132" s="310" t="s">
        <v>11</v>
      </c>
      <c r="K2132" s="300"/>
    </row>
    <row r="2133" ht="15" customHeight="1" spans="1:11">
      <c r="A2133" s="307" t="s">
        <v>12</v>
      </c>
      <c r="B2133" s="308">
        <f>IFERROR(VLOOKUP(K2129,'2026.01'!A:Y,14,0),0)</f>
        <v>9874</v>
      </c>
      <c r="C2133" s="308">
        <f>IFERROR(VLOOKUP(K2129,'2026.01'!A:Y,13,0),0)</f>
        <v>9814</v>
      </c>
      <c r="D2133" s="308">
        <f>IFERROR(VLOOKUP(K2129,'2026.01'!A:Y,15,0),0)</f>
        <v>60</v>
      </c>
      <c r="E2133" s="311">
        <f>IFERROR(VLOOKUP(K2129,'2026.01'!A:Y,18,0),0)</f>
        <v>0.8</v>
      </c>
      <c r="F2133" s="309">
        <f>IFERROR(VLOOKUP(K2129,'2026.01'!A:Y,20,0),0)</f>
        <v>48</v>
      </c>
      <c r="G2133" s="310"/>
      <c r="K2133" s="300"/>
    </row>
    <row r="2134" ht="15" customHeight="1" spans="1:11">
      <c r="A2134" s="307" t="s">
        <v>13</v>
      </c>
      <c r="B2134" s="308"/>
      <c r="C2134" s="308"/>
      <c r="D2134" s="308"/>
      <c r="E2134" s="311"/>
      <c r="F2134" s="309">
        <f>IFERROR(VLOOKUP(K2129,'2026.01'!A:Y,24,0),0)</f>
        <v>34</v>
      </c>
      <c r="G2134" s="310"/>
      <c r="K2134" s="300"/>
    </row>
    <row r="2135" ht="15" customHeight="1" spans="1:11">
      <c r="A2135" s="307" t="s">
        <v>14</v>
      </c>
      <c r="B2135" s="308"/>
      <c r="C2135" s="308"/>
      <c r="D2135" s="308"/>
      <c r="E2135" s="311"/>
      <c r="F2135" s="309">
        <f>IFERROR(VLOOKUP(K2129,'2026.01'!A:Y,12,0),0)</f>
        <v>160</v>
      </c>
      <c r="G2135" s="310"/>
      <c r="K2135" s="300"/>
    </row>
    <row r="2136" ht="21" customHeight="1" spans="1:11">
      <c r="A2136" s="307" t="s">
        <v>15</v>
      </c>
      <c r="B2136" s="308"/>
      <c r="C2136" s="308"/>
      <c r="D2136" s="308"/>
      <c r="E2136" s="311"/>
      <c r="F2136" s="309">
        <f>IFERROR(VLOOKUP(K2129,'2026.01'!A:Y,9,0),0)</f>
        <v>2500</v>
      </c>
      <c r="G2136" s="310"/>
      <c r="K2136" s="300"/>
    </row>
    <row r="2137" ht="19" customHeight="1" spans="1:11">
      <c r="A2137" s="307" t="s">
        <v>16</v>
      </c>
      <c r="B2137" s="308"/>
      <c r="C2137" s="308"/>
      <c r="D2137" s="308"/>
      <c r="E2137" s="308"/>
      <c r="F2137" s="309">
        <f>IFERROR(VLOOKUP(K2129,'2026.01'!A:Y,10,0),0)</f>
        <v>200</v>
      </c>
      <c r="G2137" s="310"/>
      <c r="K2137" s="300"/>
    </row>
    <row r="2138" ht="21" customHeight="1" spans="1:11">
      <c r="A2138" s="307" t="s">
        <v>17</v>
      </c>
      <c r="B2138" s="308"/>
      <c r="C2138" s="308"/>
      <c r="D2138" s="308"/>
      <c r="E2138" s="308"/>
      <c r="F2138" s="309">
        <f>IFERROR(VLOOKUP(K2129,'2026.01'!A:Y,19,0),0)</f>
        <v>42</v>
      </c>
      <c r="G2138" s="310"/>
      <c r="K2138" s="300"/>
    </row>
    <row r="2139" ht="17.15" customHeight="1" spans="1:11">
      <c r="A2139" s="307" t="s">
        <v>18</v>
      </c>
      <c r="B2139" s="308"/>
      <c r="C2139" s="308"/>
      <c r="D2139" s="308"/>
      <c r="E2139" s="308"/>
      <c r="F2139" s="309">
        <f>IFERROR(VLOOKUP(K2129,'2026.01'!A:Y,22,0),0)</f>
        <v>164</v>
      </c>
      <c r="G2139" s="310"/>
      <c r="K2139" s="300"/>
    </row>
    <row r="2140" ht="17.15" customHeight="1" spans="1:11">
      <c r="A2140" s="307" t="s">
        <v>19</v>
      </c>
      <c r="B2140" s="312"/>
      <c r="C2140" s="308"/>
      <c r="D2140" s="313"/>
      <c r="E2140" s="308"/>
      <c r="F2140" s="309">
        <f>IFERROR(VLOOKUP(K2129,'2026.01'!A:Y,25,0),0)</f>
        <v>3148</v>
      </c>
      <c r="G2140" s="310"/>
      <c r="K2140" s="300"/>
    </row>
    <row r="2141" ht="15" customHeight="1" spans="1:11">
      <c r="A2141" s="314" t="s">
        <v>20</v>
      </c>
      <c r="B2141" s="315">
        <f>IF(F2140&lt;0,"金额为负，无效",INT(F2140))</f>
        <v>3148</v>
      </c>
      <c r="C2141" s="315"/>
      <c r="D2141" s="315"/>
      <c r="E2141" s="316" t="s">
        <v>21</v>
      </c>
      <c r="F2141" s="317"/>
      <c r="G2141" s="318"/>
      <c r="K2141" s="300"/>
    </row>
    <row r="2142" ht="15" customHeight="1" spans="1:11">
      <c r="A2142" s="319"/>
      <c r="B2142" s="320"/>
      <c r="C2142" s="320"/>
      <c r="D2142" s="320"/>
      <c r="E2142" s="319"/>
      <c r="F2142" s="321"/>
      <c r="G2142" s="322"/>
      <c r="K2142" s="300"/>
    </row>
    <row r="2143" ht="27" customHeight="1" spans="1:11">
      <c r="A2143" s="298" t="s">
        <v>0</v>
      </c>
      <c r="B2143" s="298"/>
      <c r="C2143" s="298"/>
      <c r="D2143" s="298"/>
      <c r="E2143" s="298"/>
      <c r="F2143" s="298"/>
      <c r="G2143" s="298"/>
      <c r="H2143" s="299"/>
      <c r="I2143" s="299"/>
      <c r="J2143" s="299"/>
      <c r="K2143" s="300">
        <v>154</v>
      </c>
    </row>
    <row r="2144" ht="15" customHeight="1" spans="1:11">
      <c r="A2144" s="301" t="s">
        <v>1</v>
      </c>
      <c r="B2144" s="301"/>
      <c r="C2144" s="301"/>
      <c r="D2144" s="301"/>
      <c r="E2144" s="301"/>
      <c r="F2144" s="301"/>
      <c r="G2144" s="302" t="str">
        <f>IFERROR(VLOOKUP(K2143,'2026.01'!A:Y,2,0),0)</f>
        <v>NO:154</v>
      </c>
      <c r="K2144" s="300"/>
    </row>
    <row r="2145" ht="15" customHeight="1" spans="1:11">
      <c r="A2145" s="303" t="s">
        <v>2</v>
      </c>
      <c r="B2145" s="304">
        <f>IFERROR(VLOOKUP(K2143,'2026.01'!A:Y,6,0),0)</f>
        <v>2085</v>
      </c>
      <c r="C2145" s="304"/>
      <c r="D2145" s="305" t="s">
        <v>3</v>
      </c>
      <c r="E2145" s="305" t="str">
        <f>IFERROR(VLOOKUP(K2143,'2026.01'!A:Y,7,0),0)</f>
        <v>周欣雨</v>
      </c>
      <c r="F2145" s="305"/>
      <c r="G2145" s="306" t="s">
        <v>4</v>
      </c>
      <c r="K2145" s="300"/>
    </row>
    <row r="2146" ht="15" customHeight="1" spans="1:11">
      <c r="A2146" s="307" t="s">
        <v>5</v>
      </c>
      <c r="B2146" s="308" t="s">
        <v>6</v>
      </c>
      <c r="C2146" s="308" t="s">
        <v>7</v>
      </c>
      <c r="D2146" s="308" t="s">
        <v>8</v>
      </c>
      <c r="E2146" s="308" t="s">
        <v>9</v>
      </c>
      <c r="F2146" s="309" t="s">
        <v>10</v>
      </c>
      <c r="G2146" s="310" t="s">
        <v>11</v>
      </c>
      <c r="K2146" s="300"/>
    </row>
    <row r="2147" ht="15" customHeight="1" spans="1:11">
      <c r="A2147" s="307" t="s">
        <v>12</v>
      </c>
      <c r="B2147" s="308">
        <f>IFERROR(VLOOKUP(K2143,'2026.01'!A:Y,14,0),0)</f>
        <v>1837</v>
      </c>
      <c r="C2147" s="308">
        <f>IFERROR(VLOOKUP(K2143,'2026.01'!A:Y,13,0),0)</f>
        <v>1772</v>
      </c>
      <c r="D2147" s="308">
        <f>IFERROR(VLOOKUP(K2143,'2026.01'!A:Y,15,0),0)</f>
        <v>65</v>
      </c>
      <c r="E2147" s="311">
        <f>IFERROR(VLOOKUP(K2143,'2026.01'!A:Y,18,0),0)</f>
        <v>0.8</v>
      </c>
      <c r="F2147" s="309">
        <f>IFERROR(VLOOKUP(K2143,'2026.01'!A:Y,20,0),0)</f>
        <v>52</v>
      </c>
      <c r="G2147" s="310"/>
      <c r="K2147" s="300"/>
    </row>
    <row r="2148" ht="15" customHeight="1" spans="1:11">
      <c r="A2148" s="307" t="s">
        <v>13</v>
      </c>
      <c r="B2148" s="308"/>
      <c r="C2148" s="308"/>
      <c r="D2148" s="308"/>
      <c r="E2148" s="311"/>
      <c r="F2148" s="309">
        <f>IFERROR(VLOOKUP(K2143,'2026.01'!A:Y,24,0),0)</f>
        <v>34</v>
      </c>
      <c r="G2148" s="310"/>
      <c r="K2148" s="300"/>
    </row>
    <row r="2149" ht="15" customHeight="1" spans="1:11">
      <c r="A2149" s="307" t="s">
        <v>14</v>
      </c>
      <c r="B2149" s="308"/>
      <c r="C2149" s="308"/>
      <c r="D2149" s="308"/>
      <c r="E2149" s="311"/>
      <c r="F2149" s="309">
        <f>IFERROR(VLOOKUP(K2143,'2026.01'!A:Y,12,0),0)</f>
        <v>160</v>
      </c>
      <c r="G2149" s="310"/>
      <c r="K2149" s="300"/>
    </row>
    <row r="2150" ht="21" customHeight="1" spans="1:11">
      <c r="A2150" s="307" t="s">
        <v>15</v>
      </c>
      <c r="B2150" s="308"/>
      <c r="C2150" s="308"/>
      <c r="D2150" s="308"/>
      <c r="E2150" s="311"/>
      <c r="F2150" s="309">
        <f>IFERROR(VLOOKUP(K2143,'2026.01'!A:Y,9,0),0)</f>
        <v>2500</v>
      </c>
      <c r="G2150" s="310"/>
      <c r="K2150" s="300"/>
    </row>
    <row r="2151" ht="19" customHeight="1" spans="1:11">
      <c r="A2151" s="307" t="s">
        <v>16</v>
      </c>
      <c r="B2151" s="308"/>
      <c r="C2151" s="308"/>
      <c r="D2151" s="308"/>
      <c r="E2151" s="308"/>
      <c r="F2151" s="309">
        <f>IFERROR(VLOOKUP(K2143,'2026.01'!A:Y,10,0),0)</f>
        <v>200</v>
      </c>
      <c r="G2151" s="310"/>
      <c r="K2151" s="300"/>
    </row>
    <row r="2152" ht="21" customHeight="1" spans="1:11">
      <c r="A2152" s="307" t="s">
        <v>17</v>
      </c>
      <c r="B2152" s="308"/>
      <c r="C2152" s="308"/>
      <c r="D2152" s="308"/>
      <c r="E2152" s="308"/>
      <c r="F2152" s="309">
        <f>IFERROR(VLOOKUP(K2143,'2026.01'!A:Y,19,0),0)</f>
        <v>46</v>
      </c>
      <c r="G2152" s="310"/>
      <c r="K2152" s="300"/>
    </row>
    <row r="2153" ht="17.15" customHeight="1" spans="1:11">
      <c r="A2153" s="307" t="s">
        <v>18</v>
      </c>
      <c r="B2153" s="308"/>
      <c r="C2153" s="308"/>
      <c r="D2153" s="308"/>
      <c r="E2153" s="308"/>
      <c r="F2153" s="309">
        <f>IFERROR(VLOOKUP(K2143,'2026.01'!A:Y,22,0),0)</f>
        <v>164</v>
      </c>
      <c r="G2153" s="310"/>
      <c r="K2153" s="300"/>
    </row>
    <row r="2154" ht="17.15" customHeight="1" spans="1:11">
      <c r="A2154" s="307" t="s">
        <v>19</v>
      </c>
      <c r="B2154" s="312"/>
      <c r="C2154" s="308"/>
      <c r="D2154" s="313"/>
      <c r="E2154" s="308"/>
      <c r="F2154" s="309">
        <f>IFERROR(VLOOKUP(K2143,'2026.01'!A:Y,25,0),0)</f>
        <v>3156</v>
      </c>
      <c r="G2154" s="310"/>
      <c r="K2154" s="300"/>
    </row>
    <row r="2155" ht="15" customHeight="1" spans="1:11">
      <c r="A2155" s="314" t="s">
        <v>20</v>
      </c>
      <c r="B2155" s="315">
        <f>IF(F2154&lt;0,"金额为负，无效",INT(F2154))</f>
        <v>3156</v>
      </c>
      <c r="C2155" s="315"/>
      <c r="D2155" s="315"/>
      <c r="E2155" s="316" t="s">
        <v>21</v>
      </c>
      <c r="F2155" s="317"/>
      <c r="G2155" s="318"/>
      <c r="K2155" s="300"/>
    </row>
    <row r="2156" ht="23" customHeight="1" spans="1:11">
      <c r="A2156" s="319"/>
      <c r="B2156" s="320"/>
      <c r="C2156" s="320"/>
      <c r="D2156" s="320"/>
      <c r="E2156" s="319"/>
      <c r="F2156" s="321"/>
      <c r="G2156" s="322"/>
      <c r="K2156" s="300"/>
    </row>
    <row r="2157" ht="27" customHeight="1" spans="1:11">
      <c r="A2157" s="298" t="s">
        <v>0</v>
      </c>
      <c r="B2157" s="298"/>
      <c r="C2157" s="298"/>
      <c r="D2157" s="298"/>
      <c r="E2157" s="298"/>
      <c r="F2157" s="298"/>
      <c r="G2157" s="298"/>
      <c r="H2157" s="299"/>
      <c r="I2157" s="299"/>
      <c r="J2157" s="299"/>
      <c r="K2157" s="300">
        <v>155</v>
      </c>
    </row>
    <row r="2158" ht="15" customHeight="1" spans="1:11">
      <c r="A2158" s="301" t="s">
        <v>1</v>
      </c>
      <c r="B2158" s="301"/>
      <c r="C2158" s="301"/>
      <c r="D2158" s="301"/>
      <c r="E2158" s="301"/>
      <c r="F2158" s="301"/>
      <c r="G2158" s="302" t="str">
        <f>IFERROR(VLOOKUP(K2157,'2026.01'!A:Y,2,0),0)</f>
        <v>NO:155</v>
      </c>
      <c r="K2158" s="300"/>
    </row>
    <row r="2159" ht="15" customHeight="1" spans="1:11">
      <c r="A2159" s="303" t="s">
        <v>2</v>
      </c>
      <c r="B2159" s="304">
        <f>IFERROR(VLOOKUP(K2157,'2026.01'!A:Y,6,0),0)</f>
        <v>2086</v>
      </c>
      <c r="C2159" s="304"/>
      <c r="D2159" s="305" t="s">
        <v>3</v>
      </c>
      <c r="E2159" s="305" t="str">
        <f>IFERROR(VLOOKUP(K2157,'2026.01'!A:Y,7,0),0)</f>
        <v>张维原</v>
      </c>
      <c r="F2159" s="305"/>
      <c r="G2159" s="306" t="s">
        <v>4</v>
      </c>
      <c r="K2159" s="300"/>
    </row>
    <row r="2160" ht="15" customHeight="1" spans="1:11">
      <c r="A2160" s="307" t="s">
        <v>5</v>
      </c>
      <c r="B2160" s="308" t="s">
        <v>6</v>
      </c>
      <c r="C2160" s="308" t="s">
        <v>7</v>
      </c>
      <c r="D2160" s="308" t="s">
        <v>8</v>
      </c>
      <c r="E2160" s="308" t="s">
        <v>9</v>
      </c>
      <c r="F2160" s="309" t="s">
        <v>10</v>
      </c>
      <c r="G2160" s="310" t="s">
        <v>11</v>
      </c>
      <c r="K2160" s="300"/>
    </row>
    <row r="2161" ht="15" customHeight="1" spans="1:11">
      <c r="A2161" s="307" t="s">
        <v>12</v>
      </c>
      <c r="B2161" s="308">
        <f>IFERROR(VLOOKUP(K2157,'2026.01'!A:Y,14,0),0)</f>
        <v>717</v>
      </c>
      <c r="C2161" s="308">
        <f>IFERROR(VLOOKUP(K2157,'2026.01'!A:Y,13,0),0)</f>
        <v>663</v>
      </c>
      <c r="D2161" s="308">
        <f>IFERROR(VLOOKUP(K2157,'2026.01'!A:Y,15,0),0)</f>
        <v>54</v>
      </c>
      <c r="E2161" s="311">
        <f>IFERROR(VLOOKUP(K2157,'2026.01'!A:Y,18,0),0)</f>
        <v>0.8</v>
      </c>
      <c r="F2161" s="309">
        <f>IFERROR(VLOOKUP(K2157,'2026.01'!A:Y,20,0),0)</f>
        <v>43</v>
      </c>
      <c r="G2161" s="310"/>
      <c r="K2161" s="300"/>
    </row>
    <row r="2162" ht="15" customHeight="1" spans="1:11">
      <c r="A2162" s="307" t="s">
        <v>13</v>
      </c>
      <c r="B2162" s="308"/>
      <c r="C2162" s="308"/>
      <c r="D2162" s="308"/>
      <c r="E2162" s="311"/>
      <c r="F2162" s="309">
        <f>IFERROR(VLOOKUP(K2157,'2026.01'!A:Y,24,0),0)</f>
        <v>34</v>
      </c>
      <c r="G2162" s="310"/>
      <c r="K2162" s="300"/>
    </row>
    <row r="2163" ht="15" customHeight="1" spans="1:11">
      <c r="A2163" s="307" t="s">
        <v>14</v>
      </c>
      <c r="B2163" s="308"/>
      <c r="C2163" s="308"/>
      <c r="D2163" s="308"/>
      <c r="E2163" s="311"/>
      <c r="F2163" s="309">
        <f>IFERROR(VLOOKUP(K2157,'2026.01'!A:Y,12,0),0)</f>
        <v>160</v>
      </c>
      <c r="G2163" s="310"/>
      <c r="K2163" s="300"/>
    </row>
    <row r="2164" ht="21" customHeight="1" spans="1:11">
      <c r="A2164" s="307" t="s">
        <v>15</v>
      </c>
      <c r="B2164" s="308"/>
      <c r="C2164" s="308"/>
      <c r="D2164" s="308"/>
      <c r="E2164" s="311"/>
      <c r="F2164" s="309">
        <f>IFERROR(VLOOKUP(K2157,'2026.01'!A:Y,9,0),0)</f>
        <v>2500</v>
      </c>
      <c r="G2164" s="310"/>
      <c r="K2164" s="300"/>
    </row>
    <row r="2165" ht="19" customHeight="1" spans="1:11">
      <c r="A2165" s="307" t="s">
        <v>16</v>
      </c>
      <c r="B2165" s="308"/>
      <c r="C2165" s="308"/>
      <c r="D2165" s="308"/>
      <c r="E2165" s="308"/>
      <c r="F2165" s="309">
        <f>IFERROR(VLOOKUP(K2157,'2026.01'!A:Y,10,0),0)</f>
        <v>200</v>
      </c>
      <c r="G2165" s="310"/>
      <c r="K2165" s="300"/>
    </row>
    <row r="2166" ht="21" customHeight="1" spans="1:11">
      <c r="A2166" s="307" t="s">
        <v>17</v>
      </c>
      <c r="B2166" s="308"/>
      <c r="C2166" s="308"/>
      <c r="D2166" s="308"/>
      <c r="E2166" s="308"/>
      <c r="F2166" s="309">
        <f>IFERROR(VLOOKUP(K2157,'2026.01'!A:Y,19,0),0)</f>
        <v>38</v>
      </c>
      <c r="G2166" s="310"/>
      <c r="K2166" s="300"/>
    </row>
    <row r="2167" ht="17.15" customHeight="1" spans="1:11">
      <c r="A2167" s="307" t="s">
        <v>18</v>
      </c>
      <c r="B2167" s="308"/>
      <c r="C2167" s="308"/>
      <c r="D2167" s="308"/>
      <c r="E2167" s="308"/>
      <c r="F2167" s="309">
        <f>IFERROR(VLOOKUP(K2157,'2026.01'!A:Y,22,0),0)</f>
        <v>164</v>
      </c>
      <c r="G2167" s="310"/>
      <c r="K2167" s="300"/>
    </row>
    <row r="2168" ht="17.15" customHeight="1" spans="1:11">
      <c r="A2168" s="307" t="s">
        <v>19</v>
      </c>
      <c r="B2168" s="312"/>
      <c r="C2168" s="308"/>
      <c r="D2168" s="313"/>
      <c r="E2168" s="308"/>
      <c r="F2168" s="309">
        <f>IFERROR(VLOOKUP(K2157,'2026.01'!A:Y,25,0),0)</f>
        <v>3139</v>
      </c>
      <c r="G2168" s="310"/>
      <c r="K2168" s="300"/>
    </row>
    <row r="2169" ht="15" customHeight="1" spans="1:11">
      <c r="A2169" s="314" t="s">
        <v>20</v>
      </c>
      <c r="B2169" s="315">
        <f>IF(F2168&lt;0,"金额为负，无效",INT(F2168))</f>
        <v>3139</v>
      </c>
      <c r="C2169" s="315"/>
      <c r="D2169" s="315"/>
      <c r="E2169" s="316" t="s">
        <v>21</v>
      </c>
      <c r="F2169" s="317"/>
      <c r="G2169" s="318"/>
      <c r="K2169" s="300"/>
    </row>
    <row r="2170" ht="23" customHeight="1" spans="1:11">
      <c r="A2170" s="319"/>
      <c r="B2170" s="320"/>
      <c r="C2170" s="320"/>
      <c r="D2170" s="320"/>
      <c r="E2170" s="319"/>
      <c r="F2170" s="321"/>
      <c r="G2170" s="322"/>
      <c r="K2170" s="300"/>
    </row>
    <row r="2171" ht="27" customHeight="1" spans="1:11">
      <c r="A2171" s="298" t="s">
        <v>0</v>
      </c>
      <c r="B2171" s="298"/>
      <c r="C2171" s="298"/>
      <c r="D2171" s="298"/>
      <c r="E2171" s="298"/>
      <c r="F2171" s="298"/>
      <c r="G2171" s="298"/>
      <c r="H2171" s="299"/>
      <c r="I2171" s="299"/>
      <c r="J2171" s="299"/>
      <c r="K2171" s="300">
        <v>156</v>
      </c>
    </row>
    <row r="2172" ht="15" customHeight="1" spans="1:11">
      <c r="A2172" s="301" t="s">
        <v>1</v>
      </c>
      <c r="B2172" s="301"/>
      <c r="C2172" s="301"/>
      <c r="D2172" s="301"/>
      <c r="E2172" s="301"/>
      <c r="F2172" s="301"/>
      <c r="G2172" s="302" t="str">
        <f>IFERROR(VLOOKUP(K2171,'2026.01'!A:Y,2,0),0)</f>
        <v>NO:156</v>
      </c>
      <c r="K2172" s="300"/>
    </row>
    <row r="2173" ht="15" customHeight="1" spans="1:11">
      <c r="A2173" s="303" t="s">
        <v>2</v>
      </c>
      <c r="B2173" s="304">
        <f>IFERROR(VLOOKUP(K2171,'2026.01'!A:Y,6,0),0)</f>
        <v>2087</v>
      </c>
      <c r="C2173" s="304"/>
      <c r="D2173" s="305" t="s">
        <v>3</v>
      </c>
      <c r="E2173" s="305" t="str">
        <f>IFERROR(VLOOKUP(K2171,'2026.01'!A:Y,7,0),0)</f>
        <v>刘江红</v>
      </c>
      <c r="F2173" s="305"/>
      <c r="G2173" s="306" t="s">
        <v>4</v>
      </c>
      <c r="K2173" s="300"/>
    </row>
    <row r="2174" ht="15" customHeight="1" spans="1:11">
      <c r="A2174" s="307" t="s">
        <v>5</v>
      </c>
      <c r="B2174" s="308" t="s">
        <v>6</v>
      </c>
      <c r="C2174" s="308" t="s">
        <v>7</v>
      </c>
      <c r="D2174" s="308" t="s">
        <v>8</v>
      </c>
      <c r="E2174" s="308" t="s">
        <v>9</v>
      </c>
      <c r="F2174" s="309" t="s">
        <v>10</v>
      </c>
      <c r="G2174" s="310" t="s">
        <v>11</v>
      </c>
      <c r="K2174" s="300"/>
    </row>
    <row r="2175" ht="15" customHeight="1" spans="1:11">
      <c r="A2175" s="307" t="s">
        <v>12</v>
      </c>
      <c r="B2175" s="308">
        <f>IFERROR(VLOOKUP(K2171,'2026.01'!A:Y,14,0),0)</f>
        <v>9561</v>
      </c>
      <c r="C2175" s="308">
        <f>IFERROR(VLOOKUP(K2171,'2026.01'!A:Y,13,0),0)</f>
        <v>9518</v>
      </c>
      <c r="D2175" s="308">
        <f>IFERROR(VLOOKUP(K2171,'2026.01'!A:Y,15,0),0)</f>
        <v>43</v>
      </c>
      <c r="E2175" s="311">
        <f>IFERROR(VLOOKUP(K2171,'2026.01'!A:Y,18,0),0)</f>
        <v>0.8</v>
      </c>
      <c r="F2175" s="309">
        <f>IFERROR(VLOOKUP(K2171,'2026.01'!A:Y,20,0),0)</f>
        <v>34</v>
      </c>
      <c r="G2175" s="310"/>
      <c r="K2175" s="300"/>
    </row>
    <row r="2176" ht="15" customHeight="1" spans="1:11">
      <c r="A2176" s="307" t="s">
        <v>13</v>
      </c>
      <c r="B2176" s="308"/>
      <c r="C2176" s="308"/>
      <c r="D2176" s="308"/>
      <c r="E2176" s="311"/>
      <c r="F2176" s="309">
        <f>IFERROR(VLOOKUP(K2171,'2026.01'!A:Y,24,0),0)</f>
        <v>34</v>
      </c>
      <c r="G2176" s="310"/>
      <c r="K2176" s="300"/>
    </row>
    <row r="2177" ht="15" customHeight="1" spans="1:11">
      <c r="A2177" s="307" t="s">
        <v>14</v>
      </c>
      <c r="B2177" s="308"/>
      <c r="C2177" s="308"/>
      <c r="D2177" s="308"/>
      <c r="E2177" s="311"/>
      <c r="F2177" s="309">
        <f>IFERROR(VLOOKUP(K2171,'2026.01'!A:Y,12,0),0)</f>
        <v>160</v>
      </c>
      <c r="G2177" s="310"/>
      <c r="K2177" s="300"/>
    </row>
    <row r="2178" ht="21" customHeight="1" spans="1:11">
      <c r="A2178" s="307" t="s">
        <v>15</v>
      </c>
      <c r="B2178" s="308"/>
      <c r="C2178" s="308"/>
      <c r="D2178" s="308"/>
      <c r="E2178" s="311"/>
      <c r="F2178" s="309">
        <f>IFERROR(VLOOKUP(K2171,'2026.01'!A:Y,9,0),0)</f>
        <v>2500</v>
      </c>
      <c r="G2178" s="310"/>
      <c r="K2178" s="300"/>
    </row>
    <row r="2179" ht="19" customHeight="1" spans="1:11">
      <c r="A2179" s="307" t="s">
        <v>16</v>
      </c>
      <c r="B2179" s="308"/>
      <c r="C2179" s="308"/>
      <c r="D2179" s="308"/>
      <c r="E2179" s="308"/>
      <c r="F2179" s="309">
        <f>IFERROR(VLOOKUP(K2171,'2026.01'!A:Y,10,0),0)</f>
        <v>200</v>
      </c>
      <c r="G2179" s="310"/>
      <c r="K2179" s="300"/>
    </row>
    <row r="2180" ht="21" customHeight="1" spans="1:11">
      <c r="A2180" s="307" t="s">
        <v>17</v>
      </c>
      <c r="B2180" s="308"/>
      <c r="C2180" s="308"/>
      <c r="D2180" s="308"/>
      <c r="E2180" s="308"/>
      <c r="F2180" s="309">
        <f>IFERROR(VLOOKUP(K2171,'2026.01'!A:Y,19,0),0)</f>
        <v>30</v>
      </c>
      <c r="G2180" s="310"/>
      <c r="K2180" s="300"/>
    </row>
    <row r="2181" ht="17.15" customHeight="1" spans="1:11">
      <c r="A2181" s="307" t="s">
        <v>18</v>
      </c>
      <c r="B2181" s="308"/>
      <c r="C2181" s="308"/>
      <c r="D2181" s="308"/>
      <c r="E2181" s="308"/>
      <c r="F2181" s="309">
        <f>IFERROR(VLOOKUP(K2171,'2026.01'!A:Y,22,0),0)</f>
        <v>164</v>
      </c>
      <c r="G2181" s="310"/>
      <c r="K2181" s="300"/>
    </row>
    <row r="2182" ht="17.15" customHeight="1" spans="1:11">
      <c r="A2182" s="307" t="s">
        <v>19</v>
      </c>
      <c r="B2182" s="312"/>
      <c r="C2182" s="308"/>
      <c r="D2182" s="313"/>
      <c r="E2182" s="308"/>
      <c r="F2182" s="309">
        <f>IFERROR(VLOOKUP(K2171,'2026.01'!A:Y,25,0),0)</f>
        <v>3122</v>
      </c>
      <c r="G2182" s="310"/>
      <c r="K2182" s="300"/>
    </row>
    <row r="2183" ht="15" customHeight="1" spans="1:11">
      <c r="A2183" s="314" t="s">
        <v>20</v>
      </c>
      <c r="B2183" s="315">
        <f>IF(F2182&lt;0,"金额为负，无效",INT(F2182))</f>
        <v>3122</v>
      </c>
      <c r="C2183" s="315"/>
      <c r="D2183" s="315"/>
      <c r="E2183" s="316" t="s">
        <v>21</v>
      </c>
      <c r="F2183" s="317"/>
      <c r="G2183" s="318"/>
      <c r="K2183" s="300"/>
    </row>
    <row r="2184" ht="15" customHeight="1" spans="1:11">
      <c r="A2184" s="319"/>
      <c r="B2184" s="320"/>
      <c r="C2184" s="320"/>
      <c r="D2184" s="320"/>
      <c r="E2184" s="319"/>
      <c r="F2184" s="321"/>
      <c r="G2184" s="322"/>
      <c r="K2184" s="300"/>
    </row>
    <row r="2185" ht="27" customHeight="1" spans="1:11">
      <c r="A2185" s="298" t="s">
        <v>0</v>
      </c>
      <c r="B2185" s="298"/>
      <c r="C2185" s="298"/>
      <c r="D2185" s="298"/>
      <c r="E2185" s="298"/>
      <c r="F2185" s="298"/>
      <c r="G2185" s="298"/>
      <c r="H2185" s="299"/>
      <c r="I2185" s="299"/>
      <c r="J2185" s="299"/>
      <c r="K2185" s="300">
        <v>157</v>
      </c>
    </row>
    <row r="2186" ht="15" customHeight="1" spans="1:11">
      <c r="A2186" s="301" t="s">
        <v>1</v>
      </c>
      <c r="B2186" s="301"/>
      <c r="C2186" s="301"/>
      <c r="D2186" s="301"/>
      <c r="E2186" s="301"/>
      <c r="F2186" s="301"/>
      <c r="G2186" s="302" t="str">
        <f>IFERROR(VLOOKUP(K2185,'2026.01'!A:Y,2,0),0)</f>
        <v>NO:157</v>
      </c>
      <c r="K2186" s="300"/>
    </row>
    <row r="2187" ht="15" customHeight="1" spans="1:11">
      <c r="A2187" s="303" t="s">
        <v>2</v>
      </c>
      <c r="B2187" s="304">
        <f>IFERROR(VLOOKUP(K2185,'2026.01'!A:Y,6,0),0)</f>
        <v>2088</v>
      </c>
      <c r="C2187" s="304"/>
      <c r="D2187" s="305" t="s">
        <v>3</v>
      </c>
      <c r="E2187" s="305" t="str">
        <f>IFERROR(VLOOKUP(K2185,'2026.01'!A:Y,7,0),0)</f>
        <v>林香超</v>
      </c>
      <c r="F2187" s="305"/>
      <c r="G2187" s="306" t="s">
        <v>4</v>
      </c>
      <c r="K2187" s="300"/>
    </row>
    <row r="2188" ht="15" customHeight="1" spans="1:11">
      <c r="A2188" s="307" t="s">
        <v>5</v>
      </c>
      <c r="B2188" s="308" t="s">
        <v>6</v>
      </c>
      <c r="C2188" s="308" t="s">
        <v>7</v>
      </c>
      <c r="D2188" s="308" t="s">
        <v>8</v>
      </c>
      <c r="E2188" s="308" t="s">
        <v>9</v>
      </c>
      <c r="F2188" s="309" t="s">
        <v>10</v>
      </c>
      <c r="G2188" s="310" t="s">
        <v>11</v>
      </c>
      <c r="K2188" s="300"/>
    </row>
    <row r="2189" ht="15" customHeight="1" spans="1:11">
      <c r="A2189" s="307" t="s">
        <v>12</v>
      </c>
      <c r="B2189" s="308">
        <f>IFERROR(VLOOKUP(K2185,'2026.01'!A:Y,14,0),0)</f>
        <v>359</v>
      </c>
      <c r="C2189" s="308">
        <f>IFERROR(VLOOKUP(K2185,'2026.01'!A:Y,13,0),0)</f>
        <v>297</v>
      </c>
      <c r="D2189" s="308">
        <f>IFERROR(VLOOKUP(K2185,'2026.01'!A:Y,15,0),0)</f>
        <v>62</v>
      </c>
      <c r="E2189" s="311">
        <f>IFERROR(VLOOKUP(K2185,'2026.01'!A:Y,18,0),0)</f>
        <v>0.8</v>
      </c>
      <c r="F2189" s="309">
        <f>IFERROR(VLOOKUP(K2185,'2026.01'!A:Y,20,0),0)</f>
        <v>50</v>
      </c>
      <c r="G2189" s="310"/>
      <c r="K2189" s="300"/>
    </row>
    <row r="2190" ht="15" customHeight="1" spans="1:11">
      <c r="A2190" s="307" t="s">
        <v>13</v>
      </c>
      <c r="B2190" s="308"/>
      <c r="C2190" s="308"/>
      <c r="D2190" s="308"/>
      <c r="E2190" s="311"/>
      <c r="F2190" s="309">
        <f>IFERROR(VLOOKUP(K2185,'2026.01'!A:Y,24,0),0)</f>
        <v>43</v>
      </c>
      <c r="G2190" s="310"/>
      <c r="K2190" s="300"/>
    </row>
    <row r="2191" ht="15" customHeight="1" spans="1:11">
      <c r="A2191" s="307" t="s">
        <v>14</v>
      </c>
      <c r="B2191" s="308"/>
      <c r="C2191" s="308"/>
      <c r="D2191" s="308"/>
      <c r="E2191" s="311"/>
      <c r="F2191" s="309">
        <f>IFERROR(VLOOKUP(K2185,'2026.01'!A:Y,12,0),0)</f>
        <v>160</v>
      </c>
      <c r="G2191" s="310"/>
      <c r="K2191" s="300"/>
    </row>
    <row r="2192" ht="21" customHeight="1" spans="1:11">
      <c r="A2192" s="307" t="s">
        <v>15</v>
      </c>
      <c r="B2192" s="308"/>
      <c r="C2192" s="308"/>
      <c r="D2192" s="308"/>
      <c r="E2192" s="311"/>
      <c r="F2192" s="309">
        <f>IFERROR(VLOOKUP(K2185,'2026.01'!A:Y,9,0),0)</f>
        <v>2500</v>
      </c>
      <c r="G2192" s="310"/>
      <c r="K2192" s="300"/>
    </row>
    <row r="2193" ht="19" customHeight="1" spans="1:11">
      <c r="A2193" s="307" t="s">
        <v>16</v>
      </c>
      <c r="B2193" s="308"/>
      <c r="C2193" s="308"/>
      <c r="D2193" s="308"/>
      <c r="E2193" s="308"/>
      <c r="F2193" s="309">
        <f>IFERROR(VLOOKUP(K2185,'2026.01'!A:Y,10,0),0)</f>
        <v>200</v>
      </c>
      <c r="G2193" s="310"/>
      <c r="K2193" s="300"/>
    </row>
    <row r="2194" ht="21" customHeight="1" spans="1:11">
      <c r="A2194" s="307" t="s">
        <v>17</v>
      </c>
      <c r="B2194" s="308"/>
      <c r="C2194" s="308"/>
      <c r="D2194" s="308"/>
      <c r="E2194" s="308"/>
      <c r="F2194" s="309">
        <f>IFERROR(VLOOKUP(K2185,'2026.01'!A:Y,19,0),0)</f>
        <v>43</v>
      </c>
      <c r="G2194" s="310"/>
      <c r="K2194" s="300"/>
    </row>
    <row r="2195" ht="17.15" customHeight="1" spans="1:11">
      <c r="A2195" s="307" t="s">
        <v>18</v>
      </c>
      <c r="B2195" s="308"/>
      <c r="C2195" s="308"/>
      <c r="D2195" s="308"/>
      <c r="E2195" s="308"/>
      <c r="F2195" s="309">
        <f>IFERROR(VLOOKUP(K2185,'2026.01'!A:Y,22,0),0)</f>
        <v>201</v>
      </c>
      <c r="G2195" s="310"/>
      <c r="K2195" s="300"/>
    </row>
    <row r="2196" ht="17.15" customHeight="1" spans="1:11">
      <c r="A2196" s="307" t="s">
        <v>19</v>
      </c>
      <c r="B2196" s="312"/>
      <c r="C2196" s="308"/>
      <c r="D2196" s="313"/>
      <c r="E2196" s="308"/>
      <c r="F2196" s="309">
        <f>IFERROR(VLOOKUP(K2185,'2026.01'!A:Y,25,0),0)</f>
        <v>3197</v>
      </c>
      <c r="G2196" s="310"/>
      <c r="K2196" s="300"/>
    </row>
    <row r="2197" ht="15" customHeight="1" spans="1:11">
      <c r="A2197" s="314" t="s">
        <v>20</v>
      </c>
      <c r="B2197" s="315">
        <f>IF(F2196&lt;0,"金额为负，无效",INT(F2196))</f>
        <v>3197</v>
      </c>
      <c r="C2197" s="315"/>
      <c r="D2197" s="315"/>
      <c r="E2197" s="316" t="s">
        <v>21</v>
      </c>
      <c r="F2197" s="317"/>
      <c r="G2197" s="318"/>
      <c r="K2197" s="300"/>
    </row>
    <row r="2198" ht="23" customHeight="1" spans="1:11">
      <c r="A2198" s="319"/>
      <c r="B2198" s="320"/>
      <c r="C2198" s="320"/>
      <c r="D2198" s="320"/>
      <c r="E2198" s="319"/>
      <c r="F2198" s="321"/>
      <c r="G2198" s="322"/>
      <c r="K2198" s="300"/>
    </row>
    <row r="2199" ht="27" customHeight="1" spans="1:11">
      <c r="A2199" s="298" t="s">
        <v>0</v>
      </c>
      <c r="B2199" s="298"/>
      <c r="C2199" s="298"/>
      <c r="D2199" s="298"/>
      <c r="E2199" s="298"/>
      <c r="F2199" s="298"/>
      <c r="G2199" s="298"/>
      <c r="H2199" s="299"/>
      <c r="I2199" s="299"/>
      <c r="J2199" s="299"/>
      <c r="K2199" s="300">
        <v>158</v>
      </c>
    </row>
    <row r="2200" ht="15" customHeight="1" spans="1:11">
      <c r="A2200" s="301" t="s">
        <v>1</v>
      </c>
      <c r="B2200" s="301"/>
      <c r="C2200" s="301"/>
      <c r="D2200" s="301"/>
      <c r="E2200" s="301"/>
      <c r="F2200" s="301"/>
      <c r="G2200" s="302" t="str">
        <f>IFERROR(VLOOKUP(K2199,'2026.01'!A:Y,2,0),0)</f>
        <v>NO:158</v>
      </c>
      <c r="K2200" s="300"/>
    </row>
    <row r="2201" ht="15" customHeight="1" spans="1:11">
      <c r="A2201" s="303" t="s">
        <v>2</v>
      </c>
      <c r="B2201" s="304">
        <f>IFERROR(VLOOKUP(K2199,'2026.01'!A:Y,6,0),0)</f>
        <v>2089</v>
      </c>
      <c r="C2201" s="304"/>
      <c r="D2201" s="305" t="s">
        <v>3</v>
      </c>
      <c r="E2201" s="305" t="str">
        <f>IFERROR(VLOOKUP(K2199,'2026.01'!A:Y,7,0),0)</f>
        <v>陈娇雅</v>
      </c>
      <c r="F2201" s="305"/>
      <c r="G2201" s="306" t="s">
        <v>4</v>
      </c>
      <c r="K2201" s="300"/>
    </row>
    <row r="2202" ht="15" customHeight="1" spans="1:11">
      <c r="A2202" s="307" t="s">
        <v>5</v>
      </c>
      <c r="B2202" s="308" t="s">
        <v>6</v>
      </c>
      <c r="C2202" s="308" t="s">
        <v>7</v>
      </c>
      <c r="D2202" s="308" t="s">
        <v>8</v>
      </c>
      <c r="E2202" s="308" t="s">
        <v>9</v>
      </c>
      <c r="F2202" s="309" t="s">
        <v>10</v>
      </c>
      <c r="G2202" s="310" t="s">
        <v>11</v>
      </c>
      <c r="K2202" s="300"/>
    </row>
    <row r="2203" ht="15" customHeight="1" spans="1:11">
      <c r="A2203" s="307" t="s">
        <v>12</v>
      </c>
      <c r="B2203" s="308">
        <f>IFERROR(VLOOKUP(K2199,'2026.01'!A:Y,14,0),0)</f>
        <v>2355</v>
      </c>
      <c r="C2203" s="308">
        <f>IFERROR(VLOOKUP(K2199,'2026.01'!A:Y,13,0),0)</f>
        <v>2345</v>
      </c>
      <c r="D2203" s="308">
        <f>IFERROR(VLOOKUP(K2199,'2026.01'!A:Y,15,0),0)</f>
        <v>10</v>
      </c>
      <c r="E2203" s="311">
        <f>IFERROR(VLOOKUP(K2199,'2026.01'!A:Y,18,0),0)</f>
        <v>0.8</v>
      </c>
      <c r="F2203" s="309">
        <f>IFERROR(VLOOKUP(K2199,'2026.01'!A:Y,20,0),0)</f>
        <v>8</v>
      </c>
      <c r="G2203" s="310"/>
      <c r="K2203" s="300"/>
    </row>
    <row r="2204" ht="15" customHeight="1" spans="1:11">
      <c r="A2204" s="307" t="s">
        <v>13</v>
      </c>
      <c r="B2204" s="308"/>
      <c r="C2204" s="308"/>
      <c r="D2204" s="308"/>
      <c r="E2204" s="311"/>
      <c r="F2204" s="309">
        <f>IFERROR(VLOOKUP(K2199,'2026.01'!A:Y,24,0),0)</f>
        <v>34</v>
      </c>
      <c r="G2204" s="310"/>
      <c r="K2204" s="300"/>
    </row>
    <row r="2205" ht="15" customHeight="1" spans="1:11">
      <c r="A2205" s="307" t="s">
        <v>14</v>
      </c>
      <c r="B2205" s="308"/>
      <c r="C2205" s="308"/>
      <c r="D2205" s="308"/>
      <c r="E2205" s="311"/>
      <c r="F2205" s="309">
        <f>IFERROR(VLOOKUP(K2199,'2026.01'!A:Y,12,0),0)</f>
        <v>160</v>
      </c>
      <c r="G2205" s="310"/>
      <c r="K2205" s="300"/>
    </row>
    <row r="2206" ht="21" customHeight="1" spans="1:11">
      <c r="A2206" s="307" t="s">
        <v>15</v>
      </c>
      <c r="B2206" s="308"/>
      <c r="C2206" s="308"/>
      <c r="D2206" s="308"/>
      <c r="E2206" s="311"/>
      <c r="F2206" s="309">
        <f>IFERROR(VLOOKUP(K2199,'2026.01'!A:Y,9,0),0)</f>
        <v>2500</v>
      </c>
      <c r="G2206" s="310"/>
      <c r="K2206" s="300"/>
    </row>
    <row r="2207" ht="19" customHeight="1" spans="1:11">
      <c r="A2207" s="307" t="s">
        <v>16</v>
      </c>
      <c r="B2207" s="308"/>
      <c r="C2207" s="308"/>
      <c r="D2207" s="308"/>
      <c r="E2207" s="308"/>
      <c r="F2207" s="309">
        <f>IFERROR(VLOOKUP(K2199,'2026.01'!A:Y,10,0),0)</f>
        <v>200</v>
      </c>
      <c r="G2207" s="310"/>
      <c r="K2207" s="300"/>
    </row>
    <row r="2208" ht="21" customHeight="1" spans="1:11">
      <c r="A2208" s="307" t="s">
        <v>17</v>
      </c>
      <c r="B2208" s="308"/>
      <c r="C2208" s="308"/>
      <c r="D2208" s="308"/>
      <c r="E2208" s="308"/>
      <c r="F2208" s="309">
        <f>IFERROR(VLOOKUP(K2199,'2026.01'!A:Y,19,0),0)</f>
        <v>7</v>
      </c>
      <c r="G2208" s="310"/>
      <c r="K2208" s="300"/>
    </row>
    <row r="2209" ht="17.15" customHeight="1" spans="1:11">
      <c r="A2209" s="307" t="s">
        <v>18</v>
      </c>
      <c r="B2209" s="308"/>
      <c r="C2209" s="308"/>
      <c r="D2209" s="308"/>
      <c r="E2209" s="308"/>
      <c r="F2209" s="309">
        <f>IFERROR(VLOOKUP(K2199,'2026.01'!A:Y,22,0),0)</f>
        <v>156</v>
      </c>
      <c r="G2209" s="310"/>
      <c r="K2209" s="300"/>
    </row>
    <row r="2210" ht="17.15" customHeight="1" spans="1:11">
      <c r="A2210" s="307" t="s">
        <v>19</v>
      </c>
      <c r="B2210" s="312"/>
      <c r="C2210" s="308"/>
      <c r="D2210" s="313"/>
      <c r="E2210" s="308"/>
      <c r="F2210" s="309">
        <f>IFERROR(VLOOKUP(K2199,'2026.01'!A:Y,25,0),0)</f>
        <v>3065</v>
      </c>
      <c r="G2210" s="310"/>
      <c r="K2210" s="300"/>
    </row>
    <row r="2211" ht="15" customHeight="1" spans="1:11">
      <c r="A2211" s="314" t="s">
        <v>20</v>
      </c>
      <c r="B2211" s="315">
        <f>IF(F2210&lt;0,"金额为负，无效",INT(F2210))</f>
        <v>3065</v>
      </c>
      <c r="C2211" s="315"/>
      <c r="D2211" s="315"/>
      <c r="E2211" s="316" t="s">
        <v>21</v>
      </c>
      <c r="F2211" s="317"/>
      <c r="G2211" s="318"/>
      <c r="K2211" s="300"/>
    </row>
    <row r="2212" ht="23" customHeight="1" spans="1:11">
      <c r="A2212" s="319"/>
      <c r="B2212" s="320"/>
      <c r="C2212" s="320"/>
      <c r="D2212" s="320"/>
      <c r="E2212" s="319"/>
      <c r="F2212" s="321"/>
      <c r="G2212" s="322"/>
      <c r="K2212" s="300"/>
    </row>
    <row r="2213" ht="27" customHeight="1" spans="1:11">
      <c r="A2213" s="298" t="s">
        <v>0</v>
      </c>
      <c r="B2213" s="298"/>
      <c r="C2213" s="298"/>
      <c r="D2213" s="298"/>
      <c r="E2213" s="298"/>
      <c r="F2213" s="298"/>
      <c r="G2213" s="298"/>
      <c r="H2213" s="299"/>
      <c r="I2213" s="299"/>
      <c r="J2213" s="299"/>
      <c r="K2213" s="300">
        <v>159</v>
      </c>
    </row>
    <row r="2214" ht="15" customHeight="1" spans="1:11">
      <c r="A2214" s="301" t="s">
        <v>1</v>
      </c>
      <c r="B2214" s="301"/>
      <c r="C2214" s="301"/>
      <c r="D2214" s="301"/>
      <c r="E2214" s="301"/>
      <c r="F2214" s="301"/>
      <c r="G2214" s="302" t="str">
        <f>IFERROR(VLOOKUP(K2213,'2026.01'!A:Y,2,0),0)</f>
        <v>NO:159</v>
      </c>
      <c r="K2214" s="300"/>
    </row>
    <row r="2215" ht="15" customHeight="1" spans="1:11">
      <c r="A2215" s="303" t="s">
        <v>2</v>
      </c>
      <c r="B2215" s="304">
        <f>IFERROR(VLOOKUP(K2213,'2026.01'!A:Y,6,0),0)</f>
        <v>2090</v>
      </c>
      <c r="C2215" s="304"/>
      <c r="D2215" s="305" t="s">
        <v>3</v>
      </c>
      <c r="E2215" s="305" t="str">
        <f>IFERROR(VLOOKUP(K2213,'2026.01'!A:Y,7,0),0)</f>
        <v>揭英祥</v>
      </c>
      <c r="F2215" s="305"/>
      <c r="G2215" s="306" t="s">
        <v>4</v>
      </c>
      <c r="K2215" s="300"/>
    </row>
    <row r="2216" ht="15" customHeight="1" spans="1:11">
      <c r="A2216" s="307" t="s">
        <v>5</v>
      </c>
      <c r="B2216" s="308" t="s">
        <v>6</v>
      </c>
      <c r="C2216" s="308" t="s">
        <v>7</v>
      </c>
      <c r="D2216" s="308" t="s">
        <v>8</v>
      </c>
      <c r="E2216" s="308" t="s">
        <v>9</v>
      </c>
      <c r="F2216" s="309" t="s">
        <v>10</v>
      </c>
      <c r="G2216" s="310" t="s">
        <v>11</v>
      </c>
      <c r="K2216" s="300"/>
    </row>
    <row r="2217" ht="15" customHeight="1" spans="1:11">
      <c r="A2217" s="307" t="s">
        <v>12</v>
      </c>
      <c r="B2217" s="308">
        <f>IFERROR(VLOOKUP(K2213,'2026.01'!A:Y,14,0),0)</f>
        <v>340</v>
      </c>
      <c r="C2217" s="308">
        <f>IFERROR(VLOOKUP(K2213,'2026.01'!A:Y,13,0),0)</f>
        <v>329</v>
      </c>
      <c r="D2217" s="308">
        <f>IFERROR(VLOOKUP(K2213,'2026.01'!A:Y,15,0),0)</f>
        <v>11</v>
      </c>
      <c r="E2217" s="311">
        <f>IFERROR(VLOOKUP(K2213,'2026.01'!A:Y,18,0),0)</f>
        <v>0.8</v>
      </c>
      <c r="F2217" s="309">
        <f>IFERROR(VLOOKUP(K2213,'2026.01'!A:Y,20,0),0)</f>
        <v>9</v>
      </c>
      <c r="G2217" s="310"/>
      <c r="K2217" s="300"/>
    </row>
    <row r="2218" ht="15" customHeight="1" spans="1:11">
      <c r="A2218" s="307" t="s">
        <v>13</v>
      </c>
      <c r="B2218" s="308"/>
      <c r="C2218" s="308"/>
      <c r="D2218" s="308"/>
      <c r="E2218" s="311"/>
      <c r="F2218" s="309">
        <f>IFERROR(VLOOKUP(K2213,'2026.01'!A:Y,24,0),0)</f>
        <v>9</v>
      </c>
      <c r="G2218" s="310"/>
      <c r="K2218" s="300"/>
    </row>
    <row r="2219" ht="15" customHeight="1" spans="1:11">
      <c r="A2219" s="307" t="s">
        <v>14</v>
      </c>
      <c r="B2219" s="308"/>
      <c r="C2219" s="308"/>
      <c r="D2219" s="308"/>
      <c r="E2219" s="311"/>
      <c r="F2219" s="309">
        <f>IFERROR(VLOOKUP(K2213,'2026.01'!A:Y,12,0),0)</f>
        <v>160</v>
      </c>
      <c r="G2219" s="310"/>
      <c r="K2219" s="300"/>
    </row>
    <row r="2220" ht="21" customHeight="1" spans="1:11">
      <c r="A2220" s="307" t="s">
        <v>15</v>
      </c>
      <c r="B2220" s="308"/>
      <c r="C2220" s="308"/>
      <c r="D2220" s="308"/>
      <c r="E2220" s="311"/>
      <c r="F2220" s="309">
        <f>IFERROR(VLOOKUP(K2213,'2026.01'!A:Y,9,0),0)</f>
        <v>1100</v>
      </c>
      <c r="G2220" s="310"/>
      <c r="K2220" s="300"/>
    </row>
    <row r="2221" ht="19" customHeight="1" spans="1:11">
      <c r="A2221" s="307" t="s">
        <v>16</v>
      </c>
      <c r="B2221" s="308"/>
      <c r="C2221" s="308"/>
      <c r="D2221" s="308"/>
      <c r="E2221" s="308"/>
      <c r="F2221" s="309">
        <f>IFERROR(VLOOKUP(K2213,'2026.01'!A:Y,10,0),0)</f>
        <v>0</v>
      </c>
      <c r="G2221" s="310"/>
      <c r="K2221" s="300"/>
    </row>
    <row r="2222" ht="21" customHeight="1" spans="1:11">
      <c r="A2222" s="307" t="s">
        <v>17</v>
      </c>
      <c r="B2222" s="308"/>
      <c r="C2222" s="308"/>
      <c r="D2222" s="308"/>
      <c r="E2222" s="308"/>
      <c r="F2222" s="309">
        <f>IFERROR(VLOOKUP(K2213,'2026.01'!A:Y,19,0),0)</f>
        <v>8</v>
      </c>
      <c r="G2222" s="310"/>
      <c r="K2222" s="300"/>
    </row>
    <row r="2223" ht="17.15" customHeight="1" spans="1:11">
      <c r="A2223" s="307" t="s">
        <v>18</v>
      </c>
      <c r="B2223" s="308"/>
      <c r="C2223" s="308"/>
      <c r="D2223" s="308"/>
      <c r="E2223" s="308"/>
      <c r="F2223" s="309">
        <f>IFERROR(VLOOKUP(K2213,'2026.01'!A:Y,22,0),0)</f>
        <v>0</v>
      </c>
      <c r="G2223" s="310"/>
      <c r="K2223" s="300"/>
    </row>
    <row r="2224" ht="17.15" customHeight="1" spans="1:11">
      <c r="A2224" s="307" t="s">
        <v>19</v>
      </c>
      <c r="B2224" s="312"/>
      <c r="C2224" s="308"/>
      <c r="D2224" s="313"/>
      <c r="E2224" s="308"/>
      <c r="F2224" s="309">
        <f>IFERROR(VLOOKUP(K2213,'2026.01'!A:Y,25,0),0)</f>
        <v>1286</v>
      </c>
      <c r="G2224" s="310"/>
      <c r="K2224" s="300"/>
    </row>
    <row r="2225" ht="15" customHeight="1" spans="1:11">
      <c r="A2225" s="314" t="s">
        <v>20</v>
      </c>
      <c r="B2225" s="315">
        <f>IF(F2224&lt;0,"金额为负，无效",INT(F2224))</f>
        <v>1286</v>
      </c>
      <c r="C2225" s="315"/>
      <c r="D2225" s="315"/>
      <c r="E2225" s="316" t="s">
        <v>21</v>
      </c>
      <c r="F2225" s="317"/>
      <c r="G2225" s="318"/>
      <c r="K2225" s="300"/>
    </row>
    <row r="2226" ht="15" customHeight="1" spans="1:11">
      <c r="A2226" s="319"/>
      <c r="B2226" s="320"/>
      <c r="C2226" s="320"/>
      <c r="D2226" s="320"/>
      <c r="E2226" s="319"/>
      <c r="F2226" s="321"/>
      <c r="G2226" s="322"/>
      <c r="K2226" s="300"/>
    </row>
    <row r="2227" ht="27" customHeight="1" spans="1:11">
      <c r="A2227" s="298" t="s">
        <v>0</v>
      </c>
      <c r="B2227" s="298"/>
      <c r="C2227" s="298"/>
      <c r="D2227" s="298"/>
      <c r="E2227" s="298"/>
      <c r="F2227" s="298"/>
      <c r="G2227" s="298"/>
      <c r="H2227" s="299"/>
      <c r="I2227" s="299"/>
      <c r="J2227" s="299"/>
      <c r="K2227" s="300">
        <v>160</v>
      </c>
    </row>
    <row r="2228" ht="15" customHeight="1" spans="1:11">
      <c r="A2228" s="301" t="s">
        <v>1</v>
      </c>
      <c r="B2228" s="301"/>
      <c r="C2228" s="301"/>
      <c r="D2228" s="301"/>
      <c r="E2228" s="301"/>
      <c r="F2228" s="301"/>
      <c r="G2228" s="302" t="str">
        <f>IFERROR(VLOOKUP(K2227,'2026.01'!A:Y,2,0),0)</f>
        <v>NO:160</v>
      </c>
      <c r="K2228" s="300"/>
    </row>
    <row r="2229" ht="15" customHeight="1" spans="1:11">
      <c r="A2229" s="303" t="s">
        <v>2</v>
      </c>
      <c r="B2229" s="304" t="str">
        <f>IFERROR(VLOOKUP(K2227,'2026.01'!A:Y,6,0),0)</f>
        <v>2091展柜</v>
      </c>
      <c r="C2229" s="304"/>
      <c r="D2229" s="305" t="s">
        <v>3</v>
      </c>
      <c r="E2229" s="305" t="str">
        <f>IFERROR(VLOOKUP(K2227,'2026.01'!A:Y,7,0),0)</f>
        <v>张明亮</v>
      </c>
      <c r="F2229" s="305"/>
      <c r="G2229" s="306" t="s">
        <v>4</v>
      </c>
      <c r="K2229" s="300"/>
    </row>
    <row r="2230" ht="15" customHeight="1" spans="1:11">
      <c r="A2230" s="307" t="s">
        <v>5</v>
      </c>
      <c r="B2230" s="308" t="s">
        <v>6</v>
      </c>
      <c r="C2230" s="308" t="s">
        <v>7</v>
      </c>
      <c r="D2230" s="308" t="s">
        <v>8</v>
      </c>
      <c r="E2230" s="308" t="s">
        <v>9</v>
      </c>
      <c r="F2230" s="309" t="s">
        <v>10</v>
      </c>
      <c r="G2230" s="310" t="s">
        <v>11</v>
      </c>
      <c r="K2230" s="300"/>
    </row>
    <row r="2231" ht="15" customHeight="1" spans="1:11">
      <c r="A2231" s="307" t="s">
        <v>12</v>
      </c>
      <c r="B2231" s="308">
        <f>IFERROR(VLOOKUP(K2227,'2026.01'!A:Y,14,0),0)</f>
        <v>0</v>
      </c>
      <c r="C2231" s="308">
        <f>IFERROR(VLOOKUP(K2227,'2026.01'!A:Y,13,0),0)</f>
        <v>0</v>
      </c>
      <c r="D2231" s="308">
        <f>IFERROR(VLOOKUP(K2227,'2026.01'!A:Y,15,0),0)</f>
        <v>0</v>
      </c>
      <c r="E2231" s="311">
        <f>IFERROR(VLOOKUP(K2227,'2026.01'!A:Y,18,0),0)</f>
        <v>0</v>
      </c>
      <c r="F2231" s="309">
        <f>IFERROR(VLOOKUP(K2227,'2026.01'!A:Y,20,0),0)</f>
        <v>0</v>
      </c>
      <c r="G2231" s="310"/>
      <c r="K2231" s="300"/>
    </row>
    <row r="2232" ht="15" customHeight="1" spans="1:11">
      <c r="A2232" s="307" t="s">
        <v>13</v>
      </c>
      <c r="B2232" s="308"/>
      <c r="C2232" s="308"/>
      <c r="D2232" s="308"/>
      <c r="E2232" s="311"/>
      <c r="F2232" s="309">
        <f>IFERROR(VLOOKUP(K2227,'2026.01'!A:Y,24,0),0)</f>
        <v>0</v>
      </c>
      <c r="G2232" s="310"/>
      <c r="K2232" s="300"/>
    </row>
    <row r="2233" ht="15" customHeight="1" spans="1:11">
      <c r="A2233" s="307" t="s">
        <v>14</v>
      </c>
      <c r="B2233" s="308"/>
      <c r="C2233" s="308"/>
      <c r="D2233" s="308"/>
      <c r="E2233" s="311"/>
      <c r="F2233" s="309">
        <f>IFERROR(VLOOKUP(K2227,'2026.01'!A:Y,12,0),0)</f>
        <v>0</v>
      </c>
      <c r="G2233" s="310"/>
      <c r="K2233" s="300"/>
    </row>
    <row r="2234" ht="21" customHeight="1" spans="1:11">
      <c r="A2234" s="307" t="s">
        <v>15</v>
      </c>
      <c r="B2234" s="308"/>
      <c r="C2234" s="308"/>
      <c r="D2234" s="308"/>
      <c r="E2234" s="311"/>
      <c r="F2234" s="309">
        <f>IFERROR(VLOOKUP(K2227,'2026.01'!A:Y,9,0),0)</f>
        <v>800</v>
      </c>
      <c r="G2234" s="310"/>
      <c r="K2234" s="300"/>
    </row>
    <row r="2235" ht="19" customHeight="1" spans="1:11">
      <c r="A2235" s="307" t="s">
        <v>16</v>
      </c>
      <c r="B2235" s="308"/>
      <c r="C2235" s="308"/>
      <c r="D2235" s="308"/>
      <c r="E2235" s="308"/>
      <c r="F2235" s="309">
        <f>IFERROR(VLOOKUP(K2227,'2026.01'!A:Y,10,0),0)</f>
        <v>0</v>
      </c>
      <c r="G2235" s="310"/>
      <c r="K2235" s="300"/>
    </row>
    <row r="2236" ht="21" customHeight="1" spans="1:11">
      <c r="A2236" s="307" t="s">
        <v>17</v>
      </c>
      <c r="B2236" s="308"/>
      <c r="C2236" s="308"/>
      <c r="D2236" s="308"/>
      <c r="E2236" s="308"/>
      <c r="F2236" s="309">
        <f>IFERROR(VLOOKUP(K2227,'2026.01'!A:Y,19,0),0)</f>
        <v>0</v>
      </c>
      <c r="G2236" s="310"/>
      <c r="K2236" s="300"/>
    </row>
    <row r="2237" ht="17.15" customHeight="1" spans="1:11">
      <c r="A2237" s="307" t="s">
        <v>18</v>
      </c>
      <c r="B2237" s="308"/>
      <c r="C2237" s="308"/>
      <c r="D2237" s="308"/>
      <c r="E2237" s="308"/>
      <c r="F2237" s="309">
        <f>IFERROR(VLOOKUP(K2227,'2026.01'!A:Y,22,0),0)</f>
        <v>0</v>
      </c>
      <c r="G2237" s="310"/>
      <c r="K2237" s="300"/>
    </row>
    <row r="2238" ht="17.15" customHeight="1" spans="1:11">
      <c r="A2238" s="307" t="s">
        <v>19</v>
      </c>
      <c r="B2238" s="312"/>
      <c r="C2238" s="308"/>
      <c r="D2238" s="313"/>
      <c r="E2238" s="308"/>
      <c r="F2238" s="309">
        <f>IFERROR(VLOOKUP(K2227,'2026.01'!A:Y,25,0),0)</f>
        <v>800</v>
      </c>
      <c r="G2238" s="310"/>
      <c r="K2238" s="300"/>
    </row>
    <row r="2239" ht="15" customHeight="1" spans="1:11">
      <c r="A2239" s="314" t="s">
        <v>20</v>
      </c>
      <c r="B2239" s="315">
        <f>IF(F2238&lt;0,"金额为负，无效",INT(F2238))</f>
        <v>800</v>
      </c>
      <c r="C2239" s="315"/>
      <c r="D2239" s="315"/>
      <c r="E2239" s="316" t="s">
        <v>21</v>
      </c>
      <c r="F2239" s="317"/>
      <c r="G2239" s="318"/>
      <c r="K2239" s="300"/>
    </row>
    <row r="2240" ht="23" customHeight="1" spans="1:11">
      <c r="A2240" s="319"/>
      <c r="B2240" s="320"/>
      <c r="C2240" s="320"/>
      <c r="D2240" s="320"/>
      <c r="E2240" s="319"/>
      <c r="F2240" s="321"/>
      <c r="G2240" s="322"/>
      <c r="K2240" s="300"/>
    </row>
    <row r="2241" ht="27" customHeight="1" spans="1:11">
      <c r="A2241" s="298" t="s">
        <v>0</v>
      </c>
      <c r="B2241" s="298"/>
      <c r="C2241" s="298"/>
      <c r="D2241" s="298"/>
      <c r="E2241" s="298"/>
      <c r="F2241" s="298"/>
      <c r="G2241" s="298"/>
      <c r="H2241" s="299"/>
      <c r="I2241" s="299"/>
      <c r="J2241" s="299"/>
      <c r="K2241" s="300">
        <v>161</v>
      </c>
    </row>
    <row r="2242" ht="15" customHeight="1" spans="1:11">
      <c r="A2242" s="301" t="s">
        <v>1</v>
      </c>
      <c r="B2242" s="301"/>
      <c r="C2242" s="301"/>
      <c r="D2242" s="301"/>
      <c r="E2242" s="301"/>
      <c r="F2242" s="301"/>
      <c r="G2242" s="302" t="str">
        <f>IFERROR(VLOOKUP(K2241,'2026.01'!A:Y,2,0),0)</f>
        <v>NO:161</v>
      </c>
      <c r="K2242" s="300"/>
    </row>
    <row r="2243" ht="15" customHeight="1" spans="1:11">
      <c r="A2243" s="303" t="s">
        <v>2</v>
      </c>
      <c r="B2243" s="304" t="str">
        <f>IFERROR(VLOOKUP(K2241,'2026.01'!A:Y,6,0),0)</f>
        <v>2092展柜</v>
      </c>
      <c r="C2243" s="304"/>
      <c r="D2243" s="305" t="s">
        <v>3</v>
      </c>
      <c r="E2243" s="305" t="str">
        <f>IFERROR(VLOOKUP(K2241,'2026.01'!A:Y,7,0),0)</f>
        <v>陆兆亮</v>
      </c>
      <c r="F2243" s="305"/>
      <c r="G2243" s="306" t="s">
        <v>4</v>
      </c>
      <c r="K2243" s="300"/>
    </row>
    <row r="2244" ht="15" customHeight="1" spans="1:11">
      <c r="A2244" s="307" t="s">
        <v>5</v>
      </c>
      <c r="B2244" s="308" t="s">
        <v>6</v>
      </c>
      <c r="C2244" s="308" t="s">
        <v>7</v>
      </c>
      <c r="D2244" s="308" t="s">
        <v>8</v>
      </c>
      <c r="E2244" s="308" t="s">
        <v>9</v>
      </c>
      <c r="F2244" s="309" t="s">
        <v>10</v>
      </c>
      <c r="G2244" s="310" t="s">
        <v>11</v>
      </c>
      <c r="K2244" s="300"/>
    </row>
    <row r="2245" ht="15" customHeight="1" spans="1:11">
      <c r="A2245" s="307" t="s">
        <v>12</v>
      </c>
      <c r="B2245" s="308">
        <f>IFERROR(VLOOKUP(K2241,'2026.01'!A:Y,14,0),0)</f>
        <v>0</v>
      </c>
      <c r="C2245" s="308">
        <f>IFERROR(VLOOKUP(K2241,'2026.01'!A:Y,13,0),0)</f>
        <v>0</v>
      </c>
      <c r="D2245" s="308">
        <f>IFERROR(VLOOKUP(K2241,'2026.01'!A:Y,15,0),0)</f>
        <v>0</v>
      </c>
      <c r="E2245" s="311">
        <f>IFERROR(VLOOKUP(K2241,'2026.01'!A:Y,18,0),0)</f>
        <v>0</v>
      </c>
      <c r="F2245" s="309">
        <f>IFERROR(VLOOKUP(K2241,'2026.01'!A:Y,20,0),0)</f>
        <v>0</v>
      </c>
      <c r="G2245" s="310"/>
      <c r="K2245" s="300"/>
    </row>
    <row r="2246" ht="15" customHeight="1" spans="1:11">
      <c r="A2246" s="307" t="s">
        <v>13</v>
      </c>
      <c r="B2246" s="308"/>
      <c r="C2246" s="308"/>
      <c r="D2246" s="308"/>
      <c r="E2246" s="311"/>
      <c r="F2246" s="309">
        <f>IFERROR(VLOOKUP(K2241,'2026.01'!A:Y,24,0),0)</f>
        <v>0</v>
      </c>
      <c r="G2246" s="310"/>
      <c r="K2246" s="300"/>
    </row>
    <row r="2247" ht="15" customHeight="1" spans="1:11">
      <c r="A2247" s="307" t="s">
        <v>14</v>
      </c>
      <c r="B2247" s="308"/>
      <c r="C2247" s="308"/>
      <c r="D2247" s="308"/>
      <c r="E2247" s="311"/>
      <c r="F2247" s="309">
        <f>IFERROR(VLOOKUP(K2241,'2026.01'!A:Y,12,0),0)</f>
        <v>0</v>
      </c>
      <c r="G2247" s="310"/>
      <c r="K2247" s="300"/>
    </row>
    <row r="2248" ht="21" customHeight="1" spans="1:11">
      <c r="A2248" s="307" t="s">
        <v>15</v>
      </c>
      <c r="B2248" s="308"/>
      <c r="C2248" s="308"/>
      <c r="D2248" s="308"/>
      <c r="E2248" s="311"/>
      <c r="F2248" s="309">
        <f>IFERROR(VLOOKUP(K2241,'2026.01'!A:Y,9,0),0)</f>
        <v>1000</v>
      </c>
      <c r="G2248" s="310"/>
      <c r="K2248" s="300"/>
    </row>
    <row r="2249" ht="19" customHeight="1" spans="1:11">
      <c r="A2249" s="307" t="s">
        <v>16</v>
      </c>
      <c r="B2249" s="308"/>
      <c r="C2249" s="308"/>
      <c r="D2249" s="308"/>
      <c r="E2249" s="308"/>
      <c r="F2249" s="309">
        <f>IFERROR(VLOOKUP(K2241,'2026.01'!A:Y,10,0),0)</f>
        <v>0</v>
      </c>
      <c r="G2249" s="310"/>
      <c r="K2249" s="300"/>
    </row>
    <row r="2250" ht="21" customHeight="1" spans="1:11">
      <c r="A2250" s="307" t="s">
        <v>17</v>
      </c>
      <c r="B2250" s="308"/>
      <c r="C2250" s="308"/>
      <c r="D2250" s="308"/>
      <c r="E2250" s="308"/>
      <c r="F2250" s="309">
        <f>IFERROR(VLOOKUP(K2241,'2026.01'!A:Y,19,0),0)</f>
        <v>0</v>
      </c>
      <c r="G2250" s="310"/>
      <c r="K2250" s="300"/>
    </row>
    <row r="2251" ht="17.15" customHeight="1" spans="1:11">
      <c r="A2251" s="307" t="s">
        <v>18</v>
      </c>
      <c r="B2251" s="308"/>
      <c r="C2251" s="308"/>
      <c r="D2251" s="308"/>
      <c r="E2251" s="308"/>
      <c r="F2251" s="309">
        <f>IFERROR(VLOOKUP(K2241,'2026.01'!A:Y,22,0),0)</f>
        <v>0</v>
      </c>
      <c r="G2251" s="310"/>
      <c r="K2251" s="300"/>
    </row>
    <row r="2252" ht="17.15" customHeight="1" spans="1:11">
      <c r="A2252" s="307" t="s">
        <v>19</v>
      </c>
      <c r="B2252" s="312"/>
      <c r="C2252" s="308"/>
      <c r="D2252" s="313"/>
      <c r="E2252" s="308"/>
      <c r="F2252" s="309">
        <f>IFERROR(VLOOKUP(K2241,'2026.01'!A:Y,25,0),0)</f>
        <v>1000</v>
      </c>
      <c r="G2252" s="310"/>
      <c r="K2252" s="300"/>
    </row>
    <row r="2253" ht="15" customHeight="1" spans="1:11">
      <c r="A2253" s="314" t="s">
        <v>20</v>
      </c>
      <c r="B2253" s="315">
        <f>IF(F2252&lt;0,"金额为负，无效",INT(F2252))</f>
        <v>1000</v>
      </c>
      <c r="C2253" s="315"/>
      <c r="D2253" s="315"/>
      <c r="E2253" s="316" t="s">
        <v>21</v>
      </c>
      <c r="F2253" s="317"/>
      <c r="G2253" s="318"/>
      <c r="K2253" s="300"/>
    </row>
    <row r="2254" ht="23" customHeight="1" spans="1:11">
      <c r="A2254" s="319"/>
      <c r="B2254" s="320"/>
      <c r="C2254" s="320"/>
      <c r="D2254" s="320"/>
      <c r="E2254" s="319"/>
      <c r="F2254" s="321"/>
      <c r="G2254" s="322"/>
      <c r="K2254" s="300"/>
    </row>
    <row r="2255" ht="27" customHeight="1" spans="1:11">
      <c r="A2255" s="298" t="s">
        <v>0</v>
      </c>
      <c r="B2255" s="298"/>
      <c r="C2255" s="298"/>
      <c r="D2255" s="298"/>
      <c r="E2255" s="298"/>
      <c r="F2255" s="298"/>
      <c r="G2255" s="298"/>
      <c r="H2255" s="299"/>
      <c r="I2255" s="299"/>
      <c r="J2255" s="299"/>
      <c r="K2255" s="300">
        <v>162</v>
      </c>
    </row>
    <row r="2256" ht="15" customHeight="1" spans="1:11">
      <c r="A2256" s="301" t="s">
        <v>1</v>
      </c>
      <c r="B2256" s="301"/>
      <c r="C2256" s="301"/>
      <c r="D2256" s="301"/>
      <c r="E2256" s="301"/>
      <c r="F2256" s="301"/>
      <c r="G2256" s="302" t="str">
        <f>IFERROR(VLOOKUP(K2255,'2026.01'!A:Y,2,0),0)</f>
        <v>NO:162</v>
      </c>
      <c r="K2256" s="300"/>
    </row>
    <row r="2257" ht="15" customHeight="1" spans="1:11">
      <c r="A2257" s="303" t="s">
        <v>2</v>
      </c>
      <c r="B2257" s="304" t="str">
        <f>IFERROR(VLOOKUP(K2255,'2026.01'!A:Y,6,0),0)</f>
        <v>2093展柜</v>
      </c>
      <c r="C2257" s="304"/>
      <c r="D2257" s="305" t="s">
        <v>3</v>
      </c>
      <c r="E2257" s="305">
        <f>IFERROR(VLOOKUP(K2255,'2026.01'!A:Y,7,0),0)</f>
        <v>0</v>
      </c>
      <c r="F2257" s="305"/>
      <c r="G2257" s="306" t="s">
        <v>4</v>
      </c>
      <c r="K2257" s="300"/>
    </row>
    <row r="2258" ht="15" customHeight="1" spans="1:11">
      <c r="A2258" s="307" t="s">
        <v>5</v>
      </c>
      <c r="B2258" s="308" t="s">
        <v>6</v>
      </c>
      <c r="C2258" s="308" t="s">
        <v>7</v>
      </c>
      <c r="D2258" s="308" t="s">
        <v>8</v>
      </c>
      <c r="E2258" s="308" t="s">
        <v>9</v>
      </c>
      <c r="F2258" s="309" t="s">
        <v>10</v>
      </c>
      <c r="G2258" s="310" t="s">
        <v>11</v>
      </c>
      <c r="K2258" s="300"/>
    </row>
    <row r="2259" ht="15" customHeight="1" spans="1:11">
      <c r="A2259" s="307" t="s">
        <v>12</v>
      </c>
      <c r="B2259" s="308">
        <f>IFERROR(VLOOKUP(K2255,'2026.01'!A:Y,14,0),0)</f>
        <v>0</v>
      </c>
      <c r="C2259" s="308">
        <f>IFERROR(VLOOKUP(K2255,'2026.01'!A:Y,13,0),0)</f>
        <v>0</v>
      </c>
      <c r="D2259" s="308">
        <f>IFERROR(VLOOKUP(K2255,'2026.01'!A:Y,15,0),0)</f>
        <v>0</v>
      </c>
      <c r="E2259" s="311">
        <f>IFERROR(VLOOKUP(K2255,'2026.01'!A:Y,18,0),0)</f>
        <v>0</v>
      </c>
      <c r="F2259" s="309">
        <f>IFERROR(VLOOKUP(K2255,'2026.01'!A:Y,20,0),0)</f>
        <v>0</v>
      </c>
      <c r="G2259" s="310"/>
      <c r="K2259" s="300"/>
    </row>
    <row r="2260" ht="15" customHeight="1" spans="1:11">
      <c r="A2260" s="307" t="s">
        <v>13</v>
      </c>
      <c r="B2260" s="308"/>
      <c r="C2260" s="308"/>
      <c r="D2260" s="308"/>
      <c r="E2260" s="311"/>
      <c r="F2260" s="309">
        <f>IFERROR(VLOOKUP(K2255,'2026.01'!A:Y,24,0),0)</f>
        <v>0</v>
      </c>
      <c r="G2260" s="310"/>
      <c r="K2260" s="300"/>
    </row>
    <row r="2261" ht="15" customHeight="1" spans="1:11">
      <c r="A2261" s="307" t="s">
        <v>14</v>
      </c>
      <c r="B2261" s="308"/>
      <c r="C2261" s="308"/>
      <c r="D2261" s="308"/>
      <c r="E2261" s="311"/>
      <c r="F2261" s="309">
        <f>IFERROR(VLOOKUP(K2255,'2026.01'!A:Y,12,0),0)</f>
        <v>0</v>
      </c>
      <c r="G2261" s="310"/>
      <c r="K2261" s="300"/>
    </row>
    <row r="2262" ht="21" customHeight="1" spans="1:11">
      <c r="A2262" s="307" t="s">
        <v>15</v>
      </c>
      <c r="B2262" s="308"/>
      <c r="C2262" s="308"/>
      <c r="D2262" s="308"/>
      <c r="E2262" s="311"/>
      <c r="F2262" s="309">
        <f>IFERROR(VLOOKUP(K2255,'2026.01'!A:Y,9,0),0)</f>
        <v>0</v>
      </c>
      <c r="G2262" s="310"/>
      <c r="K2262" s="300"/>
    </row>
    <row r="2263" ht="19" customHeight="1" spans="1:11">
      <c r="A2263" s="307" t="s">
        <v>16</v>
      </c>
      <c r="B2263" s="308"/>
      <c r="C2263" s="308"/>
      <c r="D2263" s="308"/>
      <c r="E2263" s="308"/>
      <c r="F2263" s="309">
        <f>IFERROR(VLOOKUP(K2255,'2026.01'!A:Y,10,0),0)</f>
        <v>0</v>
      </c>
      <c r="G2263" s="310"/>
      <c r="K2263" s="300"/>
    </row>
    <row r="2264" ht="21" customHeight="1" spans="1:11">
      <c r="A2264" s="307" t="s">
        <v>17</v>
      </c>
      <c r="B2264" s="308"/>
      <c r="C2264" s="308"/>
      <c r="D2264" s="308"/>
      <c r="E2264" s="308"/>
      <c r="F2264" s="309">
        <f>IFERROR(VLOOKUP(K2255,'2026.01'!A:Y,19,0),0)</f>
        <v>0</v>
      </c>
      <c r="G2264" s="310"/>
      <c r="K2264" s="300"/>
    </row>
    <row r="2265" ht="17.15" customHeight="1" spans="1:11">
      <c r="A2265" s="307" t="s">
        <v>18</v>
      </c>
      <c r="B2265" s="308"/>
      <c r="C2265" s="308"/>
      <c r="D2265" s="308"/>
      <c r="E2265" s="308"/>
      <c r="F2265" s="309">
        <f>IFERROR(VLOOKUP(K2255,'2026.01'!A:Y,22,0),0)</f>
        <v>0</v>
      </c>
      <c r="G2265" s="310"/>
      <c r="K2265" s="300"/>
    </row>
    <row r="2266" ht="17.15" customHeight="1" spans="1:11">
      <c r="A2266" s="307" t="s">
        <v>19</v>
      </c>
      <c r="B2266" s="312"/>
      <c r="C2266" s="308"/>
      <c r="D2266" s="313"/>
      <c r="E2266" s="308"/>
      <c r="F2266" s="309">
        <f>IFERROR(VLOOKUP(K2255,'2026.01'!A:Y,25,0),0)</f>
        <v>0</v>
      </c>
      <c r="G2266" s="310"/>
      <c r="K2266" s="300"/>
    </row>
    <row r="2267" ht="15" customHeight="1" spans="1:11">
      <c r="A2267" s="314" t="s">
        <v>20</v>
      </c>
      <c r="B2267" s="315">
        <f>IF(F2266&lt;0,"金额为负，无效",INT(F2266))</f>
        <v>0</v>
      </c>
      <c r="C2267" s="315"/>
      <c r="D2267" s="315"/>
      <c r="E2267" s="316" t="s">
        <v>21</v>
      </c>
      <c r="F2267" s="317"/>
      <c r="G2267" s="318"/>
      <c r="K2267" s="300"/>
    </row>
    <row r="2268" ht="15" customHeight="1" spans="1:11">
      <c r="A2268" s="319"/>
      <c r="B2268" s="320"/>
      <c r="C2268" s="320"/>
      <c r="D2268" s="320"/>
      <c r="E2268" s="319"/>
      <c r="F2268" s="321"/>
      <c r="G2268" s="322"/>
      <c r="K2268" s="300"/>
    </row>
    <row r="2269" ht="27" customHeight="1" spans="1:11">
      <c r="A2269" s="298" t="s">
        <v>0</v>
      </c>
      <c r="B2269" s="298"/>
      <c r="C2269" s="298"/>
      <c r="D2269" s="298"/>
      <c r="E2269" s="298"/>
      <c r="F2269" s="298"/>
      <c r="G2269" s="298"/>
      <c r="H2269" s="299"/>
      <c r="I2269" s="299"/>
      <c r="J2269" s="299"/>
      <c r="K2269" s="300">
        <v>163</v>
      </c>
    </row>
    <row r="2270" ht="15" customHeight="1" spans="1:11">
      <c r="A2270" s="301" t="s">
        <v>1</v>
      </c>
      <c r="B2270" s="301"/>
      <c r="C2270" s="301"/>
      <c r="D2270" s="301"/>
      <c r="E2270" s="301"/>
      <c r="F2270" s="301"/>
      <c r="G2270" s="302" t="str">
        <f>IFERROR(VLOOKUP(K2269,'2026.01'!A:Y,2,0),0)</f>
        <v>NO:163</v>
      </c>
      <c r="K2270" s="300"/>
    </row>
    <row r="2271" ht="15" customHeight="1" spans="1:11">
      <c r="A2271" s="303" t="s">
        <v>2</v>
      </c>
      <c r="B2271" s="304" t="str">
        <f>IFERROR(VLOOKUP(K2269,'2026.01'!A:Y,6,0),0)</f>
        <v>2093A展柜</v>
      </c>
      <c r="C2271" s="304"/>
      <c r="D2271" s="305" t="s">
        <v>3</v>
      </c>
      <c r="E2271" s="305">
        <f>IFERROR(VLOOKUP(K2269,'2026.01'!A:Y,7,0),0)</f>
        <v>0</v>
      </c>
      <c r="F2271" s="305"/>
      <c r="G2271" s="306" t="s">
        <v>4</v>
      </c>
      <c r="K2271" s="300"/>
    </row>
    <row r="2272" ht="15" customHeight="1" spans="1:11">
      <c r="A2272" s="307" t="s">
        <v>5</v>
      </c>
      <c r="B2272" s="308" t="s">
        <v>6</v>
      </c>
      <c r="C2272" s="308" t="s">
        <v>7</v>
      </c>
      <c r="D2272" s="308" t="s">
        <v>8</v>
      </c>
      <c r="E2272" s="308" t="s">
        <v>9</v>
      </c>
      <c r="F2272" s="309" t="s">
        <v>10</v>
      </c>
      <c r="G2272" s="310" t="s">
        <v>11</v>
      </c>
      <c r="K2272" s="300"/>
    </row>
    <row r="2273" ht="15" customHeight="1" spans="1:11">
      <c r="A2273" s="307" t="s">
        <v>12</v>
      </c>
      <c r="B2273" s="308">
        <f>IFERROR(VLOOKUP(K2269,'2026.01'!A:Y,14,0),0)</f>
        <v>0</v>
      </c>
      <c r="C2273" s="308">
        <f>IFERROR(VLOOKUP(K2269,'2026.01'!A:Y,13,0),0)</f>
        <v>0</v>
      </c>
      <c r="D2273" s="308">
        <f>IFERROR(VLOOKUP(K2269,'2026.01'!A:Y,15,0),0)</f>
        <v>0</v>
      </c>
      <c r="E2273" s="311">
        <f>IFERROR(VLOOKUP(K2269,'2026.01'!A:Y,18,0),0)</f>
        <v>0</v>
      </c>
      <c r="F2273" s="309">
        <f>IFERROR(VLOOKUP(K2269,'2026.01'!A:Y,20,0),0)</f>
        <v>0</v>
      </c>
      <c r="G2273" s="310"/>
      <c r="K2273" s="300"/>
    </row>
    <row r="2274" ht="15" customHeight="1" spans="1:11">
      <c r="A2274" s="307" t="s">
        <v>13</v>
      </c>
      <c r="B2274" s="308"/>
      <c r="C2274" s="308"/>
      <c r="D2274" s="308"/>
      <c r="E2274" s="311"/>
      <c r="F2274" s="309">
        <f>IFERROR(VLOOKUP(K2269,'2026.01'!A:Y,24,0),0)</f>
        <v>0</v>
      </c>
      <c r="G2274" s="310"/>
      <c r="K2274" s="300"/>
    </row>
    <row r="2275" ht="15" customHeight="1" spans="1:11">
      <c r="A2275" s="307" t="s">
        <v>14</v>
      </c>
      <c r="B2275" s="308"/>
      <c r="C2275" s="308"/>
      <c r="D2275" s="308"/>
      <c r="E2275" s="311"/>
      <c r="F2275" s="309">
        <f>IFERROR(VLOOKUP(K2269,'2026.01'!A:Y,12,0),0)</f>
        <v>0</v>
      </c>
      <c r="G2275" s="310"/>
      <c r="K2275" s="300"/>
    </row>
    <row r="2276" ht="21" customHeight="1" spans="1:11">
      <c r="A2276" s="307" t="s">
        <v>15</v>
      </c>
      <c r="B2276" s="308"/>
      <c r="C2276" s="308"/>
      <c r="D2276" s="308"/>
      <c r="E2276" s="311"/>
      <c r="F2276" s="309">
        <f>IFERROR(VLOOKUP(K2269,'2026.01'!A:Y,9,0),0)</f>
        <v>0</v>
      </c>
      <c r="G2276" s="310"/>
      <c r="K2276" s="300"/>
    </row>
    <row r="2277" ht="19" customHeight="1" spans="1:11">
      <c r="A2277" s="307" t="s">
        <v>16</v>
      </c>
      <c r="B2277" s="308"/>
      <c r="C2277" s="308"/>
      <c r="D2277" s="308"/>
      <c r="E2277" s="308"/>
      <c r="F2277" s="309">
        <f>IFERROR(VLOOKUP(K2269,'2026.01'!A:Y,10,0),0)</f>
        <v>0</v>
      </c>
      <c r="G2277" s="310"/>
      <c r="K2277" s="300"/>
    </row>
    <row r="2278" ht="21" customHeight="1" spans="1:11">
      <c r="A2278" s="307" t="s">
        <v>17</v>
      </c>
      <c r="B2278" s="308"/>
      <c r="C2278" s="308"/>
      <c r="D2278" s="308"/>
      <c r="E2278" s="308"/>
      <c r="F2278" s="309">
        <f>IFERROR(VLOOKUP(K2269,'2026.01'!A:Y,19,0),0)</f>
        <v>0</v>
      </c>
      <c r="G2278" s="310"/>
      <c r="K2278" s="300"/>
    </row>
    <row r="2279" ht="17.15" customHeight="1" spans="1:11">
      <c r="A2279" s="307" t="s">
        <v>18</v>
      </c>
      <c r="B2279" s="308"/>
      <c r="C2279" s="308"/>
      <c r="D2279" s="308"/>
      <c r="E2279" s="308"/>
      <c r="F2279" s="309">
        <f>IFERROR(VLOOKUP(K2269,'2026.01'!A:Y,22,0),0)</f>
        <v>0</v>
      </c>
      <c r="G2279" s="310"/>
      <c r="K2279" s="300"/>
    </row>
    <row r="2280" ht="17.15" customHeight="1" spans="1:11">
      <c r="A2280" s="307" t="s">
        <v>19</v>
      </c>
      <c r="B2280" s="312"/>
      <c r="C2280" s="308"/>
      <c r="D2280" s="313"/>
      <c r="E2280" s="308"/>
      <c r="F2280" s="309">
        <f>IFERROR(VLOOKUP(K2269,'2026.01'!A:Y,25,0),0)</f>
        <v>0</v>
      </c>
      <c r="G2280" s="310"/>
      <c r="K2280" s="300"/>
    </row>
    <row r="2281" ht="15" customHeight="1" spans="1:11">
      <c r="A2281" s="314" t="s">
        <v>20</v>
      </c>
      <c r="B2281" s="315">
        <f>IF(F2280&lt;0,"金额为负，无效",INT(F2280))</f>
        <v>0</v>
      </c>
      <c r="C2281" s="315"/>
      <c r="D2281" s="315"/>
      <c r="E2281" s="316" t="s">
        <v>21</v>
      </c>
      <c r="F2281" s="317"/>
      <c r="G2281" s="318"/>
      <c r="K2281" s="300"/>
    </row>
    <row r="2282" ht="23" customHeight="1" spans="1:11">
      <c r="A2282" s="319"/>
      <c r="B2282" s="320"/>
      <c r="C2282" s="320"/>
      <c r="D2282" s="320"/>
      <c r="E2282" s="319"/>
      <c r="F2282" s="321"/>
      <c r="G2282" s="322"/>
      <c r="K2282" s="300"/>
    </row>
    <row r="2283" ht="27" customHeight="1" spans="1:11">
      <c r="A2283" s="298" t="s">
        <v>0</v>
      </c>
      <c r="B2283" s="298"/>
      <c r="C2283" s="298"/>
      <c r="D2283" s="298"/>
      <c r="E2283" s="298"/>
      <c r="F2283" s="298"/>
      <c r="G2283" s="298"/>
      <c r="H2283" s="299"/>
      <c r="I2283" s="299"/>
      <c r="J2283" s="299"/>
      <c r="K2283" s="300">
        <v>164</v>
      </c>
    </row>
    <row r="2284" ht="15" customHeight="1" spans="1:11">
      <c r="A2284" s="301" t="s">
        <v>1</v>
      </c>
      <c r="B2284" s="301"/>
      <c r="C2284" s="301"/>
      <c r="D2284" s="301"/>
      <c r="E2284" s="301"/>
      <c r="F2284" s="301"/>
      <c r="G2284" s="302" t="str">
        <f>IFERROR(VLOOKUP(K2283,'2026.01'!A:Y,2,0),0)</f>
        <v>NO:164</v>
      </c>
      <c r="K2284" s="300"/>
    </row>
    <row r="2285" ht="15" customHeight="1" spans="1:11">
      <c r="A2285" s="303" t="s">
        <v>2</v>
      </c>
      <c r="B2285" s="304" t="str">
        <f>IFERROR(VLOOKUP(K2283,'2026.01'!A:Y,6,0),0)</f>
        <v>2096展柜</v>
      </c>
      <c r="C2285" s="304"/>
      <c r="D2285" s="305" t="s">
        <v>3</v>
      </c>
      <c r="E2285" s="305">
        <f>IFERROR(VLOOKUP(K2283,'2026.01'!A:Y,7,0),0)</f>
        <v>0</v>
      </c>
      <c r="F2285" s="305"/>
      <c r="G2285" s="306" t="s">
        <v>4</v>
      </c>
      <c r="K2285" s="300"/>
    </row>
    <row r="2286" ht="15" customHeight="1" spans="1:11">
      <c r="A2286" s="307" t="s">
        <v>5</v>
      </c>
      <c r="B2286" s="308" t="s">
        <v>6</v>
      </c>
      <c r="C2286" s="308" t="s">
        <v>7</v>
      </c>
      <c r="D2286" s="308" t="s">
        <v>8</v>
      </c>
      <c r="E2286" s="308" t="s">
        <v>9</v>
      </c>
      <c r="F2286" s="309" t="s">
        <v>10</v>
      </c>
      <c r="G2286" s="310" t="s">
        <v>11</v>
      </c>
      <c r="K2286" s="300"/>
    </row>
    <row r="2287" ht="15" customHeight="1" spans="1:11">
      <c r="A2287" s="307" t="s">
        <v>12</v>
      </c>
      <c r="B2287" s="308">
        <f>IFERROR(VLOOKUP(K2283,'2026.01'!A:Y,14,0),0)</f>
        <v>0</v>
      </c>
      <c r="C2287" s="308">
        <f>IFERROR(VLOOKUP(K2283,'2026.01'!A:Y,13,0),0)</f>
        <v>0</v>
      </c>
      <c r="D2287" s="308">
        <f>IFERROR(VLOOKUP(K2283,'2026.01'!A:Y,15,0),0)</f>
        <v>0</v>
      </c>
      <c r="E2287" s="311">
        <f>IFERROR(VLOOKUP(K2283,'2026.01'!A:Y,18,0),0)</f>
        <v>0</v>
      </c>
      <c r="F2287" s="309">
        <f>IFERROR(VLOOKUP(K2283,'2026.01'!A:Y,20,0),0)</f>
        <v>0</v>
      </c>
      <c r="G2287" s="310"/>
      <c r="K2287" s="300"/>
    </row>
    <row r="2288" ht="15" customHeight="1" spans="1:11">
      <c r="A2288" s="307" t="s">
        <v>13</v>
      </c>
      <c r="B2288" s="308"/>
      <c r="C2288" s="308"/>
      <c r="D2288" s="308"/>
      <c r="E2288" s="311"/>
      <c r="F2288" s="309">
        <f>IFERROR(VLOOKUP(K2283,'2026.01'!A:Y,24,0),0)</f>
        <v>0</v>
      </c>
      <c r="G2288" s="310"/>
      <c r="K2288" s="300"/>
    </row>
    <row r="2289" ht="15" customHeight="1" spans="1:11">
      <c r="A2289" s="307" t="s">
        <v>14</v>
      </c>
      <c r="B2289" s="308"/>
      <c r="C2289" s="308"/>
      <c r="D2289" s="308"/>
      <c r="E2289" s="311"/>
      <c r="F2289" s="309">
        <f>IFERROR(VLOOKUP(K2283,'2026.01'!A:Y,12,0),0)</f>
        <v>0</v>
      </c>
      <c r="G2289" s="310"/>
      <c r="K2289" s="300"/>
    </row>
    <row r="2290" ht="21" customHeight="1" spans="1:11">
      <c r="A2290" s="307" t="s">
        <v>15</v>
      </c>
      <c r="B2290" s="308"/>
      <c r="C2290" s="308"/>
      <c r="D2290" s="308"/>
      <c r="E2290" s="311"/>
      <c r="F2290" s="309">
        <f>IFERROR(VLOOKUP(K2283,'2026.01'!A:Y,9,0),0)</f>
        <v>0</v>
      </c>
      <c r="G2290" s="310"/>
      <c r="K2290" s="300"/>
    </row>
    <row r="2291" ht="19" customHeight="1" spans="1:11">
      <c r="A2291" s="307" t="s">
        <v>16</v>
      </c>
      <c r="B2291" s="308"/>
      <c r="C2291" s="308"/>
      <c r="D2291" s="308"/>
      <c r="E2291" s="308"/>
      <c r="F2291" s="309">
        <f>IFERROR(VLOOKUP(K2283,'2026.01'!A:Y,10,0),0)</f>
        <v>0</v>
      </c>
      <c r="G2291" s="310"/>
      <c r="K2291" s="300"/>
    </row>
    <row r="2292" ht="21" customHeight="1" spans="1:11">
      <c r="A2292" s="307" t="s">
        <v>17</v>
      </c>
      <c r="B2292" s="308"/>
      <c r="C2292" s="308"/>
      <c r="D2292" s="308"/>
      <c r="E2292" s="308"/>
      <c r="F2292" s="309">
        <f>IFERROR(VLOOKUP(K2283,'2026.01'!A:Y,19,0),0)</f>
        <v>0</v>
      </c>
      <c r="G2292" s="310"/>
      <c r="K2292" s="300"/>
    </row>
    <row r="2293" ht="17.15" customHeight="1" spans="1:11">
      <c r="A2293" s="307" t="s">
        <v>18</v>
      </c>
      <c r="B2293" s="308"/>
      <c r="C2293" s="308"/>
      <c r="D2293" s="308"/>
      <c r="E2293" s="308"/>
      <c r="F2293" s="309">
        <f>IFERROR(VLOOKUP(K2283,'2026.01'!A:Y,22,0),0)</f>
        <v>0</v>
      </c>
      <c r="G2293" s="310"/>
      <c r="K2293" s="300"/>
    </row>
    <row r="2294" ht="17.15" customHeight="1" spans="1:11">
      <c r="A2294" s="307" t="s">
        <v>19</v>
      </c>
      <c r="B2294" s="312"/>
      <c r="C2294" s="308"/>
      <c r="D2294" s="313"/>
      <c r="E2294" s="308"/>
      <c r="F2294" s="309">
        <f>IFERROR(VLOOKUP(K2283,'2026.01'!A:Y,25,0),0)</f>
        <v>0</v>
      </c>
      <c r="G2294" s="310"/>
      <c r="K2294" s="300"/>
    </row>
    <row r="2295" ht="15" customHeight="1" spans="1:11">
      <c r="A2295" s="314" t="s">
        <v>20</v>
      </c>
      <c r="B2295" s="315">
        <f>IF(F2294&lt;0,"金额为负，无效",INT(F2294))</f>
        <v>0</v>
      </c>
      <c r="C2295" s="315"/>
      <c r="D2295" s="315"/>
      <c r="E2295" s="316" t="s">
        <v>21</v>
      </c>
      <c r="F2295" s="317"/>
      <c r="G2295" s="318"/>
      <c r="K2295" s="300"/>
    </row>
    <row r="2296" ht="23" customHeight="1" spans="1:11">
      <c r="A2296" s="319"/>
      <c r="B2296" s="320"/>
      <c r="C2296" s="320"/>
      <c r="D2296" s="320"/>
      <c r="E2296" s="319"/>
      <c r="F2296" s="321"/>
      <c r="G2296" s="322"/>
      <c r="K2296" s="300"/>
    </row>
    <row r="2297" ht="27" customHeight="1" spans="1:11">
      <c r="A2297" s="298" t="s">
        <v>0</v>
      </c>
      <c r="B2297" s="298"/>
      <c r="C2297" s="298"/>
      <c r="D2297" s="298"/>
      <c r="E2297" s="298"/>
      <c r="F2297" s="298"/>
      <c r="G2297" s="298"/>
      <c r="H2297" s="299"/>
      <c r="I2297" s="299"/>
      <c r="J2297" s="299"/>
      <c r="K2297" s="300">
        <v>165</v>
      </c>
    </row>
    <row r="2298" ht="15" customHeight="1" spans="1:11">
      <c r="A2298" s="301" t="s">
        <v>1</v>
      </c>
      <c r="B2298" s="301"/>
      <c r="C2298" s="301"/>
      <c r="D2298" s="301"/>
      <c r="E2298" s="301"/>
      <c r="F2298" s="301"/>
      <c r="G2298" s="302" t="str">
        <f>IFERROR(VLOOKUP(K2297,'2026.01'!A:Y,2,0),0)</f>
        <v>NO:165</v>
      </c>
      <c r="K2298" s="300"/>
    </row>
    <row r="2299" ht="15" customHeight="1" spans="1:11">
      <c r="A2299" s="303" t="s">
        <v>2</v>
      </c>
      <c r="B2299" s="304" t="str">
        <f>IFERROR(VLOOKUP(K2297,'2026.01'!A:Y,6,0),0)</f>
        <v>2097展柜</v>
      </c>
      <c r="C2299" s="304"/>
      <c r="D2299" s="305" t="s">
        <v>3</v>
      </c>
      <c r="E2299" s="305" t="str">
        <f>IFERROR(VLOOKUP(K2297,'2026.01'!A:Y,7,0),0)</f>
        <v>黎鹏其</v>
      </c>
      <c r="F2299" s="305"/>
      <c r="G2299" s="306" t="s">
        <v>4</v>
      </c>
      <c r="K2299" s="300"/>
    </row>
    <row r="2300" ht="15" customHeight="1" spans="1:11">
      <c r="A2300" s="307" t="s">
        <v>5</v>
      </c>
      <c r="B2300" s="308" t="s">
        <v>6</v>
      </c>
      <c r="C2300" s="308" t="s">
        <v>7</v>
      </c>
      <c r="D2300" s="308" t="s">
        <v>8</v>
      </c>
      <c r="E2300" s="308" t="s">
        <v>9</v>
      </c>
      <c r="F2300" s="309" t="s">
        <v>10</v>
      </c>
      <c r="G2300" s="310" t="s">
        <v>11</v>
      </c>
      <c r="K2300" s="300"/>
    </row>
    <row r="2301" ht="15" customHeight="1" spans="1:11">
      <c r="A2301" s="307" t="s">
        <v>12</v>
      </c>
      <c r="B2301" s="308">
        <f>IFERROR(VLOOKUP(K2297,'2026.01'!A:Y,14,0),0)</f>
        <v>0</v>
      </c>
      <c r="C2301" s="308">
        <f>IFERROR(VLOOKUP(K2297,'2026.01'!A:Y,13,0),0)</f>
        <v>0</v>
      </c>
      <c r="D2301" s="308">
        <f>IFERROR(VLOOKUP(K2297,'2026.01'!A:Y,15,0),0)</f>
        <v>0</v>
      </c>
      <c r="E2301" s="311">
        <f>IFERROR(VLOOKUP(K2297,'2026.01'!A:Y,18,0),0)</f>
        <v>0</v>
      </c>
      <c r="F2301" s="309">
        <f>IFERROR(VLOOKUP(K2297,'2026.01'!A:Y,20,0),0)</f>
        <v>0</v>
      </c>
      <c r="G2301" s="310"/>
      <c r="K2301" s="300"/>
    </row>
    <row r="2302" ht="15" customHeight="1" spans="1:11">
      <c r="A2302" s="307" t="s">
        <v>13</v>
      </c>
      <c r="B2302" s="308"/>
      <c r="C2302" s="308"/>
      <c r="D2302" s="308"/>
      <c r="E2302" s="311"/>
      <c r="F2302" s="309">
        <f>IFERROR(VLOOKUP(K2297,'2026.01'!A:Y,24,0),0)</f>
        <v>0</v>
      </c>
      <c r="G2302" s="310"/>
      <c r="K2302" s="300"/>
    </row>
    <row r="2303" ht="15" customHeight="1" spans="1:11">
      <c r="A2303" s="307" t="s">
        <v>14</v>
      </c>
      <c r="B2303" s="308"/>
      <c r="C2303" s="308"/>
      <c r="D2303" s="308"/>
      <c r="E2303" s="311"/>
      <c r="F2303" s="309">
        <f>IFERROR(VLOOKUP(K2297,'2026.01'!A:Y,12,0),0)</f>
        <v>0</v>
      </c>
      <c r="G2303" s="310"/>
      <c r="K2303" s="300"/>
    </row>
    <row r="2304" ht="21" customHeight="1" spans="1:11">
      <c r="A2304" s="307" t="s">
        <v>15</v>
      </c>
      <c r="B2304" s="308"/>
      <c r="C2304" s="308"/>
      <c r="D2304" s="308"/>
      <c r="E2304" s="311"/>
      <c r="F2304" s="309">
        <f>IFERROR(VLOOKUP(K2297,'2026.01'!A:Y,9,0),0)</f>
        <v>800</v>
      </c>
      <c r="G2304" s="310"/>
      <c r="K2304" s="300"/>
    </row>
    <row r="2305" ht="19" customHeight="1" spans="1:11">
      <c r="A2305" s="307" t="s">
        <v>16</v>
      </c>
      <c r="B2305" s="308"/>
      <c r="C2305" s="308"/>
      <c r="D2305" s="308"/>
      <c r="E2305" s="308"/>
      <c r="F2305" s="309">
        <f>IFERROR(VLOOKUP(K2297,'2026.01'!A:Y,10,0),0)</f>
        <v>0</v>
      </c>
      <c r="G2305" s="310"/>
      <c r="K2305" s="300"/>
    </row>
    <row r="2306" ht="21" customHeight="1" spans="1:11">
      <c r="A2306" s="307" t="s">
        <v>17</v>
      </c>
      <c r="B2306" s="308"/>
      <c r="C2306" s="308"/>
      <c r="D2306" s="308"/>
      <c r="E2306" s="308"/>
      <c r="F2306" s="309">
        <f>IFERROR(VLOOKUP(K2297,'2026.01'!A:Y,19,0),0)</f>
        <v>0</v>
      </c>
      <c r="G2306" s="310"/>
      <c r="K2306" s="300"/>
    </row>
    <row r="2307" ht="17.15" customHeight="1" spans="1:11">
      <c r="A2307" s="307" t="s">
        <v>18</v>
      </c>
      <c r="B2307" s="308"/>
      <c r="C2307" s="308"/>
      <c r="D2307" s="308"/>
      <c r="E2307" s="308"/>
      <c r="F2307" s="309">
        <f>IFERROR(VLOOKUP(K2297,'2026.01'!A:Y,22,0),0)</f>
        <v>0</v>
      </c>
      <c r="G2307" s="310"/>
      <c r="K2307" s="300"/>
    </row>
    <row r="2308" ht="17.15" customHeight="1" spans="1:11">
      <c r="A2308" s="307" t="s">
        <v>19</v>
      </c>
      <c r="B2308" s="312"/>
      <c r="C2308" s="308"/>
      <c r="D2308" s="313"/>
      <c r="E2308" s="308"/>
      <c r="F2308" s="309">
        <f>IFERROR(VLOOKUP(K2297,'2026.01'!A:Y,25,0),0)</f>
        <v>800</v>
      </c>
      <c r="G2308" s="310"/>
      <c r="K2308" s="300"/>
    </row>
    <row r="2309" ht="15" customHeight="1" spans="1:11">
      <c r="A2309" s="314" t="s">
        <v>20</v>
      </c>
      <c r="B2309" s="315">
        <f>IF(F2308&lt;0,"金额为负，无效",INT(F2308))</f>
        <v>800</v>
      </c>
      <c r="C2309" s="315"/>
      <c r="D2309" s="315"/>
      <c r="E2309" s="316" t="s">
        <v>21</v>
      </c>
      <c r="F2309" s="317"/>
      <c r="G2309" s="318"/>
      <c r="K2309" s="300"/>
    </row>
    <row r="2310" ht="15" customHeight="1" spans="1:11">
      <c r="A2310" s="319"/>
      <c r="B2310" s="320"/>
      <c r="C2310" s="320"/>
      <c r="D2310" s="320"/>
      <c r="E2310" s="319"/>
      <c r="F2310" s="321"/>
      <c r="G2310" s="322"/>
      <c r="K2310" s="300"/>
    </row>
    <row r="2311" ht="27" customHeight="1" spans="1:11">
      <c r="A2311" s="298" t="s">
        <v>0</v>
      </c>
      <c r="B2311" s="298"/>
      <c r="C2311" s="298"/>
      <c r="D2311" s="298"/>
      <c r="E2311" s="298"/>
      <c r="F2311" s="298"/>
      <c r="G2311" s="298"/>
      <c r="H2311" s="299"/>
      <c r="I2311" s="299"/>
      <c r="J2311" s="299"/>
      <c r="K2311" s="300">
        <v>166</v>
      </c>
    </row>
    <row r="2312" ht="15" customHeight="1" spans="1:11">
      <c r="A2312" s="301" t="s">
        <v>1</v>
      </c>
      <c r="B2312" s="301"/>
      <c r="C2312" s="301"/>
      <c r="D2312" s="301"/>
      <c r="E2312" s="301"/>
      <c r="F2312" s="301"/>
      <c r="G2312" s="302" t="str">
        <f>IFERROR(VLOOKUP(K2311,'2026.01'!A:Y,2,0),0)</f>
        <v>NO:166</v>
      </c>
      <c r="K2312" s="300"/>
    </row>
    <row r="2313" ht="15" customHeight="1" spans="1:11">
      <c r="A2313" s="303" t="s">
        <v>2</v>
      </c>
      <c r="B2313" s="304" t="str">
        <f>IFERROR(VLOOKUP(K2311,'2026.01'!A:Y,6,0),0)</f>
        <v>二楼中庭展柜</v>
      </c>
      <c r="C2313" s="304"/>
      <c r="D2313" s="305" t="s">
        <v>3</v>
      </c>
      <c r="E2313" s="305" t="str">
        <f>IFERROR(VLOOKUP(K2311,'2026.01'!A:Y,7,0),0)</f>
        <v>杨琴琴</v>
      </c>
      <c r="F2313" s="305"/>
      <c r="G2313" s="306" t="s">
        <v>4</v>
      </c>
      <c r="K2313" s="300"/>
    </row>
    <row r="2314" ht="15" customHeight="1" spans="1:11">
      <c r="A2314" s="307" t="s">
        <v>5</v>
      </c>
      <c r="B2314" s="308" t="s">
        <v>6</v>
      </c>
      <c r="C2314" s="308" t="s">
        <v>7</v>
      </c>
      <c r="D2314" s="308" t="s">
        <v>8</v>
      </c>
      <c r="E2314" s="308" t="s">
        <v>9</v>
      </c>
      <c r="F2314" s="309" t="s">
        <v>10</v>
      </c>
      <c r="G2314" s="310" t="s">
        <v>11</v>
      </c>
      <c r="K2314" s="300"/>
    </row>
    <row r="2315" ht="15" customHeight="1" spans="1:11">
      <c r="A2315" s="307" t="s">
        <v>12</v>
      </c>
      <c r="B2315" s="308">
        <f>IFERROR(VLOOKUP(K2311,'2026.01'!A:Y,14,0),0)</f>
        <v>0</v>
      </c>
      <c r="C2315" s="308">
        <f>IFERROR(VLOOKUP(K2311,'2026.01'!A:Y,13,0),0)</f>
        <v>0</v>
      </c>
      <c r="D2315" s="308">
        <f>IFERROR(VLOOKUP(K2311,'2026.01'!A:Y,15,0),0)</f>
        <v>0</v>
      </c>
      <c r="E2315" s="311">
        <f>IFERROR(VLOOKUP(K2311,'2026.01'!A:Y,18,0),0)</f>
        <v>0</v>
      </c>
      <c r="F2315" s="309">
        <f>IFERROR(VLOOKUP(K2311,'2026.01'!A:Y,20,0),0)</f>
        <v>0</v>
      </c>
      <c r="G2315" s="310"/>
      <c r="K2315" s="300"/>
    </row>
    <row r="2316" ht="15" customHeight="1" spans="1:11">
      <c r="A2316" s="307" t="s">
        <v>13</v>
      </c>
      <c r="B2316" s="308"/>
      <c r="C2316" s="308"/>
      <c r="D2316" s="308"/>
      <c r="E2316" s="311"/>
      <c r="F2316" s="309">
        <f>IFERROR(VLOOKUP(K2311,'2026.01'!A:Y,24,0),0)</f>
        <v>0</v>
      </c>
      <c r="G2316" s="310"/>
      <c r="K2316" s="300"/>
    </row>
    <row r="2317" ht="15" customHeight="1" spans="1:11">
      <c r="A2317" s="307" t="s">
        <v>14</v>
      </c>
      <c r="B2317" s="308"/>
      <c r="C2317" s="308"/>
      <c r="D2317" s="308"/>
      <c r="E2317" s="311"/>
      <c r="F2317" s="309">
        <f>IFERROR(VLOOKUP(K2311,'2026.01'!A:Y,12,0),0)</f>
        <v>0</v>
      </c>
      <c r="G2317" s="310"/>
      <c r="K2317" s="300"/>
    </row>
    <row r="2318" ht="21" customHeight="1" spans="1:11">
      <c r="A2318" s="307" t="s">
        <v>15</v>
      </c>
      <c r="B2318" s="308"/>
      <c r="C2318" s="308"/>
      <c r="D2318" s="308"/>
      <c r="E2318" s="311"/>
      <c r="F2318" s="309">
        <f>IFERROR(VLOOKUP(K2311,'2026.01'!A:Y,9,0),0)</f>
        <v>1300</v>
      </c>
      <c r="G2318" s="310"/>
      <c r="K2318" s="300"/>
    </row>
    <row r="2319" ht="19" customHeight="1" spans="1:11">
      <c r="A2319" s="307" t="s">
        <v>16</v>
      </c>
      <c r="B2319" s="308"/>
      <c r="C2319" s="308"/>
      <c r="D2319" s="308"/>
      <c r="E2319" s="308"/>
      <c r="F2319" s="309">
        <f>IFERROR(VLOOKUP(K2311,'2026.01'!A:Y,10,0),0)</f>
        <v>0</v>
      </c>
      <c r="G2319" s="310"/>
      <c r="K2319" s="300"/>
    </row>
    <row r="2320" ht="21" customHeight="1" spans="1:11">
      <c r="A2320" s="307" t="s">
        <v>17</v>
      </c>
      <c r="B2320" s="308"/>
      <c r="C2320" s="308"/>
      <c r="D2320" s="308"/>
      <c r="E2320" s="308"/>
      <c r="F2320" s="309">
        <f>IFERROR(VLOOKUP(K2311,'2026.01'!A:Y,19,0),0)</f>
        <v>0</v>
      </c>
      <c r="G2320" s="310"/>
      <c r="K2320" s="300"/>
    </row>
    <row r="2321" ht="17.15" customHeight="1" spans="1:11">
      <c r="A2321" s="307" t="s">
        <v>18</v>
      </c>
      <c r="B2321" s="308"/>
      <c r="C2321" s="308"/>
      <c r="D2321" s="308"/>
      <c r="E2321" s="308"/>
      <c r="F2321" s="309">
        <f>IFERROR(VLOOKUP(K2311,'2026.01'!A:Y,22,0),0)</f>
        <v>0</v>
      </c>
      <c r="G2321" s="310"/>
      <c r="K2321" s="300"/>
    </row>
    <row r="2322" ht="17.15" customHeight="1" spans="1:11">
      <c r="A2322" s="307" t="s">
        <v>19</v>
      </c>
      <c r="B2322" s="312"/>
      <c r="C2322" s="308"/>
      <c r="D2322" s="313"/>
      <c r="E2322" s="308"/>
      <c r="F2322" s="309">
        <f>IFERROR(VLOOKUP(K2311,'2026.01'!A:Y,25,0),0)</f>
        <v>1300</v>
      </c>
      <c r="G2322" s="310"/>
      <c r="K2322" s="300"/>
    </row>
    <row r="2323" ht="15" customHeight="1" spans="1:11">
      <c r="A2323" s="314" t="s">
        <v>20</v>
      </c>
      <c r="B2323" s="315">
        <f>IF(F2322&lt;0,"金额为负，无效",INT(F2322))</f>
        <v>1300</v>
      </c>
      <c r="C2323" s="315"/>
      <c r="D2323" s="315"/>
      <c r="E2323" s="316" t="s">
        <v>21</v>
      </c>
      <c r="F2323" s="317"/>
      <c r="G2323" s="318"/>
      <c r="K2323" s="300"/>
    </row>
    <row r="2324" ht="23" customHeight="1" spans="1:11">
      <c r="A2324" s="319"/>
      <c r="B2324" s="320"/>
      <c r="C2324" s="320"/>
      <c r="D2324" s="320"/>
      <c r="E2324" s="319"/>
      <c r="F2324" s="321"/>
      <c r="G2324" s="322"/>
      <c r="K2324" s="300"/>
    </row>
    <row r="2325" ht="27" customHeight="1" spans="1:11">
      <c r="A2325" s="298" t="s">
        <v>0</v>
      </c>
      <c r="B2325" s="298"/>
      <c r="C2325" s="298"/>
      <c r="D2325" s="298"/>
      <c r="E2325" s="298"/>
      <c r="F2325" s="298"/>
      <c r="G2325" s="298"/>
      <c r="H2325" s="299"/>
      <c r="I2325" s="299"/>
      <c r="J2325" s="299"/>
      <c r="K2325" s="300">
        <v>167</v>
      </c>
    </row>
    <row r="2326" ht="15" customHeight="1" spans="1:11">
      <c r="A2326" s="301" t="s">
        <v>1</v>
      </c>
      <c r="B2326" s="301"/>
      <c r="C2326" s="301"/>
      <c r="D2326" s="301"/>
      <c r="E2326" s="301"/>
      <c r="F2326" s="301"/>
      <c r="G2326" s="302" t="str">
        <f>IFERROR(VLOOKUP(K2325,'2026.01'!A:Y,2,0),0)</f>
        <v>NO:167</v>
      </c>
      <c r="K2326" s="300"/>
    </row>
    <row r="2327" ht="15" customHeight="1" spans="1:11">
      <c r="A2327" s="303" t="s">
        <v>2</v>
      </c>
      <c r="B2327" s="304">
        <f>IFERROR(VLOOKUP(K2325,'2026.01'!A:Y,6,0),0)</f>
        <v>3001</v>
      </c>
      <c r="C2327" s="304"/>
      <c r="D2327" s="305" t="s">
        <v>3</v>
      </c>
      <c r="E2327" s="305" t="str">
        <f>IFERROR(VLOOKUP(K2325,'2026.01'!A:Y,7,0),0)</f>
        <v>曹伟元</v>
      </c>
      <c r="F2327" s="305"/>
      <c r="G2327" s="306" t="s">
        <v>4</v>
      </c>
      <c r="K2327" s="300"/>
    </row>
    <row r="2328" ht="15" customHeight="1" spans="1:11">
      <c r="A2328" s="307" t="s">
        <v>5</v>
      </c>
      <c r="B2328" s="308" t="s">
        <v>6</v>
      </c>
      <c r="C2328" s="308" t="s">
        <v>7</v>
      </c>
      <c r="D2328" s="308" t="s">
        <v>8</v>
      </c>
      <c r="E2328" s="308" t="s">
        <v>9</v>
      </c>
      <c r="F2328" s="309" t="s">
        <v>10</v>
      </c>
      <c r="G2328" s="310" t="s">
        <v>11</v>
      </c>
      <c r="K2328" s="300"/>
    </row>
    <row r="2329" ht="15" customHeight="1" spans="1:11">
      <c r="A2329" s="307" t="s">
        <v>12</v>
      </c>
      <c r="B2329" s="308">
        <f>IFERROR(VLOOKUP(K2325,'2026.01'!A:Y,14,0),0)</f>
        <v>5108</v>
      </c>
      <c r="C2329" s="308">
        <f>IFERROR(VLOOKUP(K2325,'2026.01'!A:Y,13,0),0)</f>
        <v>4998</v>
      </c>
      <c r="D2329" s="308">
        <f>IFERROR(VLOOKUP(K2325,'2026.01'!A:Y,15,0),0)</f>
        <v>110</v>
      </c>
      <c r="E2329" s="311">
        <f>IFERROR(VLOOKUP(K2325,'2026.01'!A:Y,18,0),0)</f>
        <v>0.8</v>
      </c>
      <c r="F2329" s="309">
        <f>IFERROR(VLOOKUP(K2325,'2026.01'!A:Y,20,0),0)</f>
        <v>88</v>
      </c>
      <c r="G2329" s="310"/>
      <c r="K2329" s="300"/>
    </row>
    <row r="2330" ht="15" customHeight="1" spans="1:11">
      <c r="A2330" s="307" t="s">
        <v>13</v>
      </c>
      <c r="B2330" s="308"/>
      <c r="C2330" s="308"/>
      <c r="D2330" s="308"/>
      <c r="E2330" s="311"/>
      <c r="F2330" s="309">
        <f>IFERROR(VLOOKUP(K2325,'2026.01'!A:Y,24,0),0)</f>
        <v>85</v>
      </c>
      <c r="G2330" s="310"/>
      <c r="K2330" s="300"/>
    </row>
    <row r="2331" ht="15" customHeight="1" spans="1:11">
      <c r="A2331" s="307" t="s">
        <v>14</v>
      </c>
      <c r="B2331" s="308"/>
      <c r="C2331" s="308"/>
      <c r="D2331" s="308"/>
      <c r="E2331" s="311"/>
      <c r="F2331" s="309">
        <f>IFERROR(VLOOKUP(K2325,'2026.01'!A:Y,12,0),0)</f>
        <v>160</v>
      </c>
      <c r="G2331" s="310"/>
      <c r="K2331" s="300"/>
    </row>
    <row r="2332" ht="21" customHeight="1" spans="1:11">
      <c r="A2332" s="307" t="s">
        <v>15</v>
      </c>
      <c r="B2332" s="308"/>
      <c r="C2332" s="308"/>
      <c r="D2332" s="308"/>
      <c r="E2332" s="311"/>
      <c r="F2332" s="309">
        <f>IFERROR(VLOOKUP(K2325,'2026.01'!A:Y,9,0),0)</f>
        <v>5000</v>
      </c>
      <c r="G2332" s="310"/>
      <c r="K2332" s="300"/>
    </row>
    <row r="2333" ht="19" customHeight="1" spans="1:11">
      <c r="A2333" s="307" t="s">
        <v>16</v>
      </c>
      <c r="B2333" s="308"/>
      <c r="C2333" s="308"/>
      <c r="D2333" s="308"/>
      <c r="E2333" s="308"/>
      <c r="F2333" s="309">
        <f>IFERROR(VLOOKUP(K2325,'2026.01'!A:Y,10,0),0)</f>
        <v>500</v>
      </c>
      <c r="G2333" s="310"/>
      <c r="K2333" s="300"/>
    </row>
    <row r="2334" ht="21" customHeight="1" spans="1:11">
      <c r="A2334" s="307" t="s">
        <v>17</v>
      </c>
      <c r="B2334" s="308"/>
      <c r="C2334" s="308"/>
      <c r="D2334" s="308"/>
      <c r="E2334" s="308"/>
      <c r="F2334" s="309">
        <f>IFERROR(VLOOKUP(K2325,'2026.01'!A:Y,19,0),0)</f>
        <v>77</v>
      </c>
      <c r="G2334" s="310"/>
      <c r="K2334" s="300"/>
    </row>
    <row r="2335" ht="17.15" customHeight="1" spans="1:11">
      <c r="A2335" s="307" t="s">
        <v>18</v>
      </c>
      <c r="B2335" s="308"/>
      <c r="C2335" s="308"/>
      <c r="D2335" s="308"/>
      <c r="E2335" s="308"/>
      <c r="F2335" s="309">
        <f>IFERROR(VLOOKUP(K2325,'2026.01'!A:Y,22,0),0)</f>
        <v>404</v>
      </c>
      <c r="G2335" s="310"/>
      <c r="K2335" s="300"/>
    </row>
    <row r="2336" ht="17.15" customHeight="1" spans="1:11">
      <c r="A2336" s="307" t="s">
        <v>19</v>
      </c>
      <c r="B2336" s="312"/>
      <c r="C2336" s="308"/>
      <c r="D2336" s="313"/>
      <c r="E2336" s="308"/>
      <c r="F2336" s="309">
        <f>IFERROR(VLOOKUP(K2325,'2026.01'!A:Y,25,0),0)</f>
        <v>6314</v>
      </c>
      <c r="G2336" s="310"/>
      <c r="K2336" s="300"/>
    </row>
    <row r="2337" ht="15" customHeight="1" spans="1:11">
      <c r="A2337" s="314" t="s">
        <v>20</v>
      </c>
      <c r="B2337" s="315">
        <f>IF(F2336&lt;0,"金额为负，无效",INT(F2336))</f>
        <v>6314</v>
      </c>
      <c r="C2337" s="315"/>
      <c r="D2337" s="315"/>
      <c r="E2337" s="316" t="s">
        <v>21</v>
      </c>
      <c r="F2337" s="317"/>
      <c r="G2337" s="318"/>
      <c r="K2337" s="300"/>
    </row>
    <row r="2338" ht="23" customHeight="1" spans="1:11">
      <c r="A2338" s="319"/>
      <c r="B2338" s="320"/>
      <c r="C2338" s="320"/>
      <c r="D2338" s="320"/>
      <c r="E2338" s="319"/>
      <c r="F2338" s="321"/>
      <c r="G2338" s="322"/>
      <c r="K2338" s="300"/>
    </row>
    <row r="2339" ht="27" customHeight="1" spans="1:11">
      <c r="A2339" s="298" t="s">
        <v>0</v>
      </c>
      <c r="B2339" s="298"/>
      <c r="C2339" s="298"/>
      <c r="D2339" s="298"/>
      <c r="E2339" s="298"/>
      <c r="F2339" s="298"/>
      <c r="G2339" s="298"/>
      <c r="H2339" s="299"/>
      <c r="I2339" s="299"/>
      <c r="J2339" s="299"/>
      <c r="K2339" s="300">
        <v>168</v>
      </c>
    </row>
    <row r="2340" ht="15" customHeight="1" spans="1:11">
      <c r="A2340" s="301" t="s">
        <v>1</v>
      </c>
      <c r="B2340" s="301"/>
      <c r="C2340" s="301"/>
      <c r="D2340" s="301"/>
      <c r="E2340" s="301"/>
      <c r="F2340" s="301"/>
      <c r="G2340" s="302" t="str">
        <f>IFERROR(VLOOKUP(K2339,'2026.01'!A:Y,2,0),0)</f>
        <v>NO:168</v>
      </c>
      <c r="K2340" s="300"/>
    </row>
    <row r="2341" ht="15" customHeight="1" spans="1:11">
      <c r="A2341" s="303" t="s">
        <v>2</v>
      </c>
      <c r="B2341" s="304">
        <f>IFERROR(VLOOKUP(K2339,'2026.01'!A:Y,6,0),0)</f>
        <v>3002</v>
      </c>
      <c r="C2341" s="304"/>
      <c r="D2341" s="305" t="s">
        <v>3</v>
      </c>
      <c r="E2341" s="305" t="str">
        <f>IFERROR(VLOOKUP(K2339,'2026.01'!A:Y,7,0),0)</f>
        <v>揭丽萍</v>
      </c>
      <c r="F2341" s="305"/>
      <c r="G2341" s="306" t="s">
        <v>4</v>
      </c>
      <c r="K2341" s="300"/>
    </row>
    <row r="2342" ht="15" customHeight="1" spans="1:11">
      <c r="A2342" s="307" t="s">
        <v>5</v>
      </c>
      <c r="B2342" s="308" t="s">
        <v>6</v>
      </c>
      <c r="C2342" s="308" t="s">
        <v>7</v>
      </c>
      <c r="D2342" s="308" t="s">
        <v>8</v>
      </c>
      <c r="E2342" s="308" t="s">
        <v>9</v>
      </c>
      <c r="F2342" s="309" t="s">
        <v>10</v>
      </c>
      <c r="G2342" s="310" t="s">
        <v>11</v>
      </c>
      <c r="K2342" s="300"/>
    </row>
    <row r="2343" ht="15" customHeight="1" spans="1:11">
      <c r="A2343" s="307" t="s">
        <v>12</v>
      </c>
      <c r="B2343" s="308">
        <f>IFERROR(VLOOKUP(K2339,'2026.01'!A:Y,14,0),0)</f>
        <v>1303</v>
      </c>
      <c r="C2343" s="308">
        <f>IFERROR(VLOOKUP(K2339,'2026.01'!A:Y,13,0),0)</f>
        <v>1200</v>
      </c>
      <c r="D2343" s="308">
        <f>IFERROR(VLOOKUP(K2339,'2026.01'!A:Y,15,0),0)</f>
        <v>103</v>
      </c>
      <c r="E2343" s="311">
        <f>IFERROR(VLOOKUP(K2339,'2026.01'!A:Y,18,0),0)</f>
        <v>0.8</v>
      </c>
      <c r="F2343" s="309">
        <f>IFERROR(VLOOKUP(K2339,'2026.01'!A:Y,20,0),0)</f>
        <v>82</v>
      </c>
      <c r="G2343" s="310"/>
      <c r="K2343" s="300"/>
    </row>
    <row r="2344" ht="15" customHeight="1" spans="1:11">
      <c r="A2344" s="307" t="s">
        <v>13</v>
      </c>
      <c r="B2344" s="308"/>
      <c r="C2344" s="308"/>
      <c r="D2344" s="308"/>
      <c r="E2344" s="311"/>
      <c r="F2344" s="309">
        <f>IFERROR(VLOOKUP(K2339,'2026.01'!A:Y,24,0),0)</f>
        <v>60</v>
      </c>
      <c r="G2344" s="310"/>
      <c r="K2344" s="300"/>
    </row>
    <row r="2345" ht="15" customHeight="1" spans="1:11">
      <c r="A2345" s="307" t="s">
        <v>14</v>
      </c>
      <c r="B2345" s="308"/>
      <c r="C2345" s="308"/>
      <c r="D2345" s="308"/>
      <c r="E2345" s="311"/>
      <c r="F2345" s="309">
        <f>IFERROR(VLOOKUP(K2339,'2026.01'!A:Y,12,0),0)</f>
        <v>160</v>
      </c>
      <c r="G2345" s="310"/>
      <c r="K2345" s="300"/>
    </row>
    <row r="2346" ht="21" customHeight="1" spans="1:11">
      <c r="A2346" s="307" t="s">
        <v>15</v>
      </c>
      <c r="B2346" s="308"/>
      <c r="C2346" s="308"/>
      <c r="D2346" s="308"/>
      <c r="E2346" s="311"/>
      <c r="F2346" s="309">
        <f>IFERROR(VLOOKUP(K2339,'2026.01'!A:Y,9,0),0)</f>
        <v>5000</v>
      </c>
      <c r="G2346" s="310"/>
      <c r="K2346" s="300"/>
    </row>
    <row r="2347" ht="19" customHeight="1" spans="1:11">
      <c r="A2347" s="307" t="s">
        <v>16</v>
      </c>
      <c r="B2347" s="308"/>
      <c r="C2347" s="308"/>
      <c r="D2347" s="308"/>
      <c r="E2347" s="308"/>
      <c r="F2347" s="309">
        <f>IFERROR(VLOOKUP(K2339,'2026.01'!A:Y,10,0),0)</f>
        <v>500</v>
      </c>
      <c r="G2347" s="310"/>
      <c r="K2347" s="300"/>
    </row>
    <row r="2348" ht="21" customHeight="1" spans="1:11">
      <c r="A2348" s="307" t="s">
        <v>17</v>
      </c>
      <c r="B2348" s="308"/>
      <c r="C2348" s="308"/>
      <c r="D2348" s="308"/>
      <c r="E2348" s="308"/>
      <c r="F2348" s="309">
        <f>IFERROR(VLOOKUP(K2339,'2026.01'!A:Y,19,0),0)</f>
        <v>72</v>
      </c>
      <c r="G2348" s="310"/>
      <c r="K2348" s="300"/>
    </row>
    <row r="2349" ht="17.15" customHeight="1" spans="1:11">
      <c r="A2349" s="307" t="s">
        <v>18</v>
      </c>
      <c r="B2349" s="308"/>
      <c r="C2349" s="308"/>
      <c r="D2349" s="308"/>
      <c r="E2349" s="308"/>
      <c r="F2349" s="309">
        <f>IFERROR(VLOOKUP(K2339,'2026.01'!A:Y,22,0),0)</f>
        <v>273</v>
      </c>
      <c r="G2349" s="310"/>
      <c r="K2349" s="300"/>
    </row>
    <row r="2350" ht="17.15" customHeight="1" spans="1:11">
      <c r="A2350" s="307" t="s">
        <v>19</v>
      </c>
      <c r="B2350" s="312"/>
      <c r="C2350" s="308"/>
      <c r="D2350" s="313"/>
      <c r="E2350" s="308"/>
      <c r="F2350" s="309">
        <f>IFERROR(VLOOKUP(K2339,'2026.01'!A:Y,25,0),0)</f>
        <v>6147</v>
      </c>
      <c r="G2350" s="310"/>
      <c r="K2350" s="300"/>
    </row>
    <row r="2351" ht="15" customHeight="1" spans="1:11">
      <c r="A2351" s="314" t="s">
        <v>20</v>
      </c>
      <c r="B2351" s="315">
        <f>IF(F2350&lt;0,"金额为负，无效",INT(F2350))</f>
        <v>6147</v>
      </c>
      <c r="C2351" s="315"/>
      <c r="D2351" s="315"/>
      <c r="E2351" s="316" t="s">
        <v>21</v>
      </c>
      <c r="F2351" s="317"/>
      <c r="G2351" s="318"/>
      <c r="K2351" s="300"/>
    </row>
    <row r="2352" ht="15" customHeight="1" spans="1:11">
      <c r="A2352" s="319"/>
      <c r="B2352" s="320"/>
      <c r="C2352" s="320"/>
      <c r="D2352" s="320"/>
      <c r="E2352" s="319"/>
      <c r="F2352" s="321"/>
      <c r="G2352" s="322"/>
      <c r="K2352" s="300"/>
    </row>
    <row r="2353" ht="27" customHeight="1" spans="1:11">
      <c r="A2353" s="298" t="s">
        <v>0</v>
      </c>
      <c r="B2353" s="298"/>
      <c r="C2353" s="298"/>
      <c r="D2353" s="298"/>
      <c r="E2353" s="298"/>
      <c r="F2353" s="298"/>
      <c r="G2353" s="298"/>
      <c r="H2353" s="299"/>
      <c r="I2353" s="299"/>
      <c r="J2353" s="299"/>
      <c r="K2353" s="300">
        <v>169</v>
      </c>
    </row>
    <row r="2354" ht="15" customHeight="1" spans="1:11">
      <c r="A2354" s="301" t="s">
        <v>1</v>
      </c>
      <c r="B2354" s="301"/>
      <c r="C2354" s="301"/>
      <c r="D2354" s="301"/>
      <c r="E2354" s="301"/>
      <c r="F2354" s="301"/>
      <c r="G2354" s="302" t="str">
        <f>IFERROR(VLOOKUP(K2353,'2026.01'!A:Y,2,0),0)</f>
        <v>NO:169</v>
      </c>
      <c r="K2354" s="300"/>
    </row>
    <row r="2355" ht="15" customHeight="1" spans="1:11">
      <c r="A2355" s="303" t="s">
        <v>2</v>
      </c>
      <c r="B2355" s="304">
        <f>IFERROR(VLOOKUP(K2353,'2026.01'!A:Y,6,0),0)</f>
        <v>3003</v>
      </c>
      <c r="C2355" s="304"/>
      <c r="D2355" s="305" t="s">
        <v>3</v>
      </c>
      <c r="E2355" s="305" t="str">
        <f>IFERROR(VLOOKUP(K2353,'2026.01'!A:Y,7,0),0)</f>
        <v>刘熙</v>
      </c>
      <c r="F2355" s="305"/>
      <c r="G2355" s="306" t="s">
        <v>4</v>
      </c>
      <c r="K2355" s="300"/>
    </row>
    <row r="2356" ht="15" customHeight="1" spans="1:11">
      <c r="A2356" s="307" t="s">
        <v>5</v>
      </c>
      <c r="B2356" s="308" t="s">
        <v>6</v>
      </c>
      <c r="C2356" s="308" t="s">
        <v>7</v>
      </c>
      <c r="D2356" s="308" t="s">
        <v>8</v>
      </c>
      <c r="E2356" s="308" t="s">
        <v>9</v>
      </c>
      <c r="F2356" s="309" t="s">
        <v>10</v>
      </c>
      <c r="G2356" s="310" t="s">
        <v>11</v>
      </c>
      <c r="K2356" s="300"/>
    </row>
    <row r="2357" ht="15" customHeight="1" spans="1:11">
      <c r="A2357" s="307" t="s">
        <v>12</v>
      </c>
      <c r="B2357" s="308">
        <f>IFERROR(VLOOKUP(K2353,'2026.01'!A:Y,14,0),0)</f>
        <v>1876</v>
      </c>
      <c r="C2357" s="308">
        <f>IFERROR(VLOOKUP(K2353,'2026.01'!A:Y,13,0),0)</f>
        <v>1851</v>
      </c>
      <c r="D2357" s="308">
        <f>IFERROR(VLOOKUP(K2353,'2026.01'!A:Y,15,0),0)</f>
        <v>25</v>
      </c>
      <c r="E2357" s="311">
        <f>IFERROR(VLOOKUP(K2353,'2026.01'!A:Y,18,0),0)</f>
        <v>0.8</v>
      </c>
      <c r="F2357" s="309">
        <f>IFERROR(VLOOKUP(K2353,'2026.01'!A:Y,20,0),0)</f>
        <v>20</v>
      </c>
      <c r="G2357" s="310"/>
      <c r="K2357" s="300"/>
    </row>
    <row r="2358" ht="15" customHeight="1" spans="1:11">
      <c r="A2358" s="307" t="s">
        <v>13</v>
      </c>
      <c r="B2358" s="308"/>
      <c r="C2358" s="308"/>
      <c r="D2358" s="308"/>
      <c r="E2358" s="311"/>
      <c r="F2358" s="309">
        <f>IFERROR(VLOOKUP(K2353,'2026.01'!A:Y,24,0),0)</f>
        <v>51</v>
      </c>
      <c r="G2358" s="310"/>
      <c r="K2358" s="300"/>
    </row>
    <row r="2359" ht="15" customHeight="1" spans="1:11">
      <c r="A2359" s="307" t="s">
        <v>14</v>
      </c>
      <c r="B2359" s="308"/>
      <c r="C2359" s="308"/>
      <c r="D2359" s="308"/>
      <c r="E2359" s="311"/>
      <c r="F2359" s="309">
        <f>IFERROR(VLOOKUP(K2353,'2026.01'!A:Y,12,0),0)</f>
        <v>160</v>
      </c>
      <c r="G2359" s="310"/>
      <c r="K2359" s="300"/>
    </row>
    <row r="2360" ht="21" customHeight="1" spans="1:11">
      <c r="A2360" s="307" t="s">
        <v>15</v>
      </c>
      <c r="B2360" s="308"/>
      <c r="C2360" s="308"/>
      <c r="D2360" s="308"/>
      <c r="E2360" s="311"/>
      <c r="F2360" s="309">
        <f>IFERROR(VLOOKUP(K2353,'2026.01'!A:Y,9,0),0)</f>
        <v>5000</v>
      </c>
      <c r="G2360" s="310"/>
      <c r="K2360" s="300"/>
    </row>
    <row r="2361" ht="19" customHeight="1" spans="1:11">
      <c r="A2361" s="307" t="s">
        <v>16</v>
      </c>
      <c r="B2361" s="308"/>
      <c r="C2361" s="308"/>
      <c r="D2361" s="308"/>
      <c r="E2361" s="308"/>
      <c r="F2361" s="309">
        <f>IFERROR(VLOOKUP(K2353,'2026.01'!A:Y,10,0),0)</f>
        <v>500</v>
      </c>
      <c r="G2361" s="310"/>
      <c r="K2361" s="300"/>
    </row>
    <row r="2362" ht="21" customHeight="1" spans="1:11">
      <c r="A2362" s="307" t="s">
        <v>17</v>
      </c>
      <c r="B2362" s="308"/>
      <c r="C2362" s="308"/>
      <c r="D2362" s="308"/>
      <c r="E2362" s="308"/>
      <c r="F2362" s="309">
        <f>IFERROR(VLOOKUP(K2353,'2026.01'!A:Y,19,0),0)</f>
        <v>18</v>
      </c>
      <c r="G2362" s="310"/>
      <c r="K2362" s="300"/>
    </row>
    <row r="2363" ht="17.15" customHeight="1" spans="1:11">
      <c r="A2363" s="307" t="s">
        <v>18</v>
      </c>
      <c r="B2363" s="308"/>
      <c r="C2363" s="308"/>
      <c r="D2363" s="308"/>
      <c r="E2363" s="308"/>
      <c r="F2363" s="309">
        <f>IFERROR(VLOOKUP(K2353,'2026.01'!A:Y,22,0),0)</f>
        <v>267</v>
      </c>
      <c r="G2363" s="310"/>
      <c r="K2363" s="300"/>
    </row>
    <row r="2364" ht="17.15" customHeight="1" spans="1:11">
      <c r="A2364" s="307" t="s">
        <v>19</v>
      </c>
      <c r="B2364" s="312"/>
      <c r="C2364" s="308"/>
      <c r="D2364" s="313"/>
      <c r="E2364" s="308"/>
      <c r="F2364" s="309">
        <f>IFERROR(VLOOKUP(K2353,'2026.01'!A:Y,25,0),0)</f>
        <v>6016</v>
      </c>
      <c r="G2364" s="310"/>
      <c r="K2364" s="300"/>
    </row>
    <row r="2365" ht="15" customHeight="1" spans="1:11">
      <c r="A2365" s="314" t="s">
        <v>20</v>
      </c>
      <c r="B2365" s="315">
        <f>IF(F2364&lt;0,"金额为负，无效",INT(F2364))</f>
        <v>6016</v>
      </c>
      <c r="C2365" s="315"/>
      <c r="D2365" s="315"/>
      <c r="E2365" s="316" t="s">
        <v>21</v>
      </c>
      <c r="F2365" s="317"/>
      <c r="G2365" s="318"/>
      <c r="K2365" s="300"/>
    </row>
    <row r="2366" ht="23" customHeight="1" spans="1:11">
      <c r="A2366" s="319"/>
      <c r="B2366" s="320"/>
      <c r="C2366" s="320"/>
      <c r="D2366" s="320"/>
      <c r="E2366" s="319"/>
      <c r="F2366" s="321"/>
      <c r="G2366" s="322"/>
      <c r="K2366" s="300"/>
    </row>
    <row r="2367" ht="27" customHeight="1" spans="1:11">
      <c r="A2367" s="298" t="s">
        <v>0</v>
      </c>
      <c r="B2367" s="298"/>
      <c r="C2367" s="298"/>
      <c r="D2367" s="298"/>
      <c r="E2367" s="298"/>
      <c r="F2367" s="298"/>
      <c r="G2367" s="298"/>
      <c r="H2367" s="299"/>
      <c r="I2367" s="299"/>
      <c r="J2367" s="299"/>
      <c r="K2367" s="300">
        <v>170</v>
      </c>
    </row>
    <row r="2368" ht="15" customHeight="1" spans="1:11">
      <c r="A2368" s="301" t="s">
        <v>1</v>
      </c>
      <c r="B2368" s="301"/>
      <c r="C2368" s="301"/>
      <c r="D2368" s="301"/>
      <c r="E2368" s="301"/>
      <c r="F2368" s="301"/>
      <c r="G2368" s="302" t="str">
        <f>IFERROR(VLOOKUP(K2367,'2026.01'!A:Y,2,0),0)</f>
        <v>NO:170</v>
      </c>
      <c r="K2368" s="300"/>
    </row>
    <row r="2369" ht="15" customHeight="1" spans="1:11">
      <c r="A2369" s="303" t="s">
        <v>2</v>
      </c>
      <c r="B2369" s="304">
        <f>IFERROR(VLOOKUP(K2367,'2026.01'!A:Y,6,0),0)</f>
        <v>3004</v>
      </c>
      <c r="C2369" s="304"/>
      <c r="D2369" s="305" t="s">
        <v>3</v>
      </c>
      <c r="E2369" s="305" t="str">
        <f>IFERROR(VLOOKUP(K2367,'2026.01'!A:Y,7,0),0)</f>
        <v>钟伟</v>
      </c>
      <c r="F2369" s="305"/>
      <c r="G2369" s="306" t="s">
        <v>4</v>
      </c>
      <c r="K2369" s="300"/>
    </row>
    <row r="2370" ht="15" customHeight="1" spans="1:11">
      <c r="A2370" s="307" t="s">
        <v>5</v>
      </c>
      <c r="B2370" s="308" t="s">
        <v>6</v>
      </c>
      <c r="C2370" s="308" t="s">
        <v>7</v>
      </c>
      <c r="D2370" s="308" t="s">
        <v>8</v>
      </c>
      <c r="E2370" s="308" t="s">
        <v>9</v>
      </c>
      <c r="F2370" s="309" t="s">
        <v>10</v>
      </c>
      <c r="G2370" s="310" t="s">
        <v>11</v>
      </c>
      <c r="K2370" s="300"/>
    </row>
    <row r="2371" ht="15" customHeight="1" spans="1:11">
      <c r="A2371" s="307" t="s">
        <v>12</v>
      </c>
      <c r="B2371" s="308">
        <f>IFERROR(VLOOKUP(K2367,'2026.01'!A:Y,14,0),0)</f>
        <v>6420</v>
      </c>
      <c r="C2371" s="308">
        <f>IFERROR(VLOOKUP(K2367,'2026.01'!A:Y,13,0),0)</f>
        <v>6393</v>
      </c>
      <c r="D2371" s="308">
        <f>IFERROR(VLOOKUP(K2367,'2026.01'!A:Y,15,0),0)</f>
        <v>27</v>
      </c>
      <c r="E2371" s="311">
        <f>IFERROR(VLOOKUP(K2367,'2026.01'!A:Y,18,0),0)</f>
        <v>0.8</v>
      </c>
      <c r="F2371" s="309">
        <f>IFERROR(VLOOKUP(K2367,'2026.01'!A:Y,20,0),0)</f>
        <v>22</v>
      </c>
      <c r="G2371" s="310"/>
      <c r="K2371" s="300"/>
    </row>
    <row r="2372" ht="15" customHeight="1" spans="1:11">
      <c r="A2372" s="307" t="s">
        <v>13</v>
      </c>
      <c r="B2372" s="308"/>
      <c r="C2372" s="308"/>
      <c r="D2372" s="308"/>
      <c r="E2372" s="311"/>
      <c r="F2372" s="309">
        <f>IFERROR(VLOOKUP(K2367,'2026.01'!A:Y,24,0),0)</f>
        <v>51</v>
      </c>
      <c r="G2372" s="310"/>
      <c r="K2372" s="300"/>
    </row>
    <row r="2373" ht="15" customHeight="1" spans="1:11">
      <c r="A2373" s="307" t="s">
        <v>14</v>
      </c>
      <c r="B2373" s="308"/>
      <c r="C2373" s="308"/>
      <c r="D2373" s="308"/>
      <c r="E2373" s="311"/>
      <c r="F2373" s="309">
        <f>IFERROR(VLOOKUP(K2367,'2026.01'!A:Y,12,0),0)</f>
        <v>160</v>
      </c>
      <c r="G2373" s="310"/>
      <c r="K2373" s="300"/>
    </row>
    <row r="2374" ht="21" customHeight="1" spans="1:11">
      <c r="A2374" s="307" t="s">
        <v>15</v>
      </c>
      <c r="B2374" s="308"/>
      <c r="C2374" s="308"/>
      <c r="D2374" s="308"/>
      <c r="E2374" s="311"/>
      <c r="F2374" s="309">
        <f>IFERROR(VLOOKUP(K2367,'2026.01'!A:Y,9,0),0)</f>
        <v>5000</v>
      </c>
      <c r="G2374" s="310"/>
      <c r="K2374" s="300"/>
    </row>
    <row r="2375" ht="19" customHeight="1" spans="1:11">
      <c r="A2375" s="307" t="s">
        <v>16</v>
      </c>
      <c r="B2375" s="308"/>
      <c r="C2375" s="308"/>
      <c r="D2375" s="308"/>
      <c r="E2375" s="308"/>
      <c r="F2375" s="309">
        <f>IFERROR(VLOOKUP(K2367,'2026.01'!A:Y,10,0),0)</f>
        <v>500</v>
      </c>
      <c r="G2375" s="310"/>
      <c r="K2375" s="300"/>
    </row>
    <row r="2376" ht="21" customHeight="1" spans="1:11">
      <c r="A2376" s="307" t="s">
        <v>17</v>
      </c>
      <c r="B2376" s="308"/>
      <c r="C2376" s="308"/>
      <c r="D2376" s="308"/>
      <c r="E2376" s="308"/>
      <c r="F2376" s="309">
        <f>IFERROR(VLOOKUP(K2367,'2026.01'!A:Y,19,0),0)</f>
        <v>19</v>
      </c>
      <c r="G2376" s="310"/>
      <c r="K2376" s="300"/>
    </row>
    <row r="2377" ht="17.15" customHeight="1" spans="1:11">
      <c r="A2377" s="307" t="s">
        <v>18</v>
      </c>
      <c r="B2377" s="308"/>
      <c r="C2377" s="308"/>
      <c r="D2377" s="308"/>
      <c r="E2377" s="308"/>
      <c r="F2377" s="309">
        <f>IFERROR(VLOOKUP(K2367,'2026.01'!A:Y,22,0),0)</f>
        <v>267</v>
      </c>
      <c r="G2377" s="310"/>
      <c r="K2377" s="300"/>
    </row>
    <row r="2378" ht="17.15" customHeight="1" spans="1:11">
      <c r="A2378" s="307" t="s">
        <v>19</v>
      </c>
      <c r="B2378" s="312"/>
      <c r="C2378" s="308"/>
      <c r="D2378" s="313"/>
      <c r="E2378" s="308"/>
      <c r="F2378" s="309">
        <f>IFERROR(VLOOKUP(K2367,'2026.01'!A:Y,25,0),0)</f>
        <v>6019</v>
      </c>
      <c r="G2378" s="310"/>
      <c r="K2378" s="300"/>
    </row>
    <row r="2379" ht="15" customHeight="1" spans="1:11">
      <c r="A2379" s="314" t="s">
        <v>20</v>
      </c>
      <c r="B2379" s="315">
        <f>IF(F2378&lt;0,"金额为负，无效",INT(F2378))</f>
        <v>6019</v>
      </c>
      <c r="C2379" s="315"/>
      <c r="D2379" s="315"/>
      <c r="E2379" s="316" t="s">
        <v>21</v>
      </c>
      <c r="F2379" s="317"/>
      <c r="G2379" s="318"/>
      <c r="K2379" s="300"/>
    </row>
    <row r="2380" ht="23" customHeight="1" spans="1:11">
      <c r="A2380" s="319"/>
      <c r="B2380" s="320"/>
      <c r="C2380" s="320"/>
      <c r="D2380" s="320"/>
      <c r="E2380" s="319"/>
      <c r="F2380" s="321"/>
      <c r="G2380" s="322"/>
      <c r="K2380" s="300"/>
    </row>
    <row r="2381" ht="27" customHeight="1" spans="1:11">
      <c r="A2381" s="298" t="s">
        <v>0</v>
      </c>
      <c r="B2381" s="298"/>
      <c r="C2381" s="298"/>
      <c r="D2381" s="298"/>
      <c r="E2381" s="298"/>
      <c r="F2381" s="298"/>
      <c r="G2381" s="298"/>
      <c r="H2381" s="299"/>
      <c r="I2381" s="299"/>
      <c r="J2381" s="299"/>
      <c r="K2381" s="300">
        <v>171</v>
      </c>
    </row>
    <row r="2382" ht="15" customHeight="1" spans="1:11">
      <c r="A2382" s="301" t="s">
        <v>1</v>
      </c>
      <c r="B2382" s="301"/>
      <c r="C2382" s="301"/>
      <c r="D2382" s="301"/>
      <c r="E2382" s="301"/>
      <c r="F2382" s="301"/>
      <c r="G2382" s="302" t="str">
        <f>IFERROR(VLOOKUP(K2381,'2026.01'!A:Y,2,0),0)</f>
        <v>NO:171</v>
      </c>
      <c r="K2382" s="300"/>
    </row>
    <row r="2383" ht="15" customHeight="1" spans="1:11">
      <c r="A2383" s="303" t="s">
        <v>2</v>
      </c>
      <c r="B2383" s="304">
        <f>IFERROR(VLOOKUP(K2381,'2026.01'!A:Y,6,0),0)</f>
        <v>3005</v>
      </c>
      <c r="C2383" s="304"/>
      <c r="D2383" s="305" t="s">
        <v>3</v>
      </c>
      <c r="E2383" s="305" t="str">
        <f>IFERROR(VLOOKUP(K2381,'2026.01'!A:Y,7,0),0)</f>
        <v>谢边弟</v>
      </c>
      <c r="F2383" s="305"/>
      <c r="G2383" s="306" t="s">
        <v>4</v>
      </c>
      <c r="K2383" s="300"/>
    </row>
    <row r="2384" ht="15" customHeight="1" spans="1:11">
      <c r="A2384" s="307" t="s">
        <v>5</v>
      </c>
      <c r="B2384" s="308" t="s">
        <v>6</v>
      </c>
      <c r="C2384" s="308" t="s">
        <v>7</v>
      </c>
      <c r="D2384" s="308" t="s">
        <v>8</v>
      </c>
      <c r="E2384" s="308" t="s">
        <v>9</v>
      </c>
      <c r="F2384" s="309" t="s">
        <v>10</v>
      </c>
      <c r="G2384" s="310" t="s">
        <v>11</v>
      </c>
      <c r="K2384" s="300"/>
    </row>
    <row r="2385" ht="15" customHeight="1" spans="1:11">
      <c r="A2385" s="307" t="s">
        <v>12</v>
      </c>
      <c r="B2385" s="308">
        <f>IFERROR(VLOOKUP(K2381,'2026.01'!A:Y,14,0),0)</f>
        <v>6262</v>
      </c>
      <c r="C2385" s="308">
        <f>IFERROR(VLOOKUP(K2381,'2026.01'!A:Y,13,0),0)</f>
        <v>6230</v>
      </c>
      <c r="D2385" s="308">
        <f>IFERROR(VLOOKUP(K2381,'2026.01'!A:Y,15,0),0)</f>
        <v>32</v>
      </c>
      <c r="E2385" s="311">
        <f>IFERROR(VLOOKUP(K2381,'2026.01'!A:Y,18,0),0)</f>
        <v>0.8</v>
      </c>
      <c r="F2385" s="309">
        <f>IFERROR(VLOOKUP(K2381,'2026.01'!A:Y,20,0),0)</f>
        <v>26</v>
      </c>
      <c r="G2385" s="310"/>
      <c r="K2385" s="300"/>
    </row>
    <row r="2386" ht="15" customHeight="1" spans="1:11">
      <c r="A2386" s="307" t="s">
        <v>13</v>
      </c>
      <c r="B2386" s="308"/>
      <c r="C2386" s="308"/>
      <c r="D2386" s="308"/>
      <c r="E2386" s="311"/>
      <c r="F2386" s="309">
        <f>IFERROR(VLOOKUP(K2381,'2026.01'!A:Y,24,0),0)</f>
        <v>51</v>
      </c>
      <c r="G2386" s="310"/>
      <c r="K2386" s="300"/>
    </row>
    <row r="2387" ht="15" customHeight="1" spans="1:11">
      <c r="A2387" s="307" t="s">
        <v>14</v>
      </c>
      <c r="B2387" s="308"/>
      <c r="C2387" s="308"/>
      <c r="D2387" s="308"/>
      <c r="E2387" s="311"/>
      <c r="F2387" s="309">
        <f>IFERROR(VLOOKUP(K2381,'2026.01'!A:Y,12,0),0)</f>
        <v>160</v>
      </c>
      <c r="G2387" s="310"/>
      <c r="K2387" s="300"/>
    </row>
    <row r="2388" ht="21" customHeight="1" spans="1:11">
      <c r="A2388" s="307" t="s">
        <v>15</v>
      </c>
      <c r="B2388" s="308"/>
      <c r="C2388" s="308"/>
      <c r="D2388" s="308"/>
      <c r="E2388" s="311"/>
      <c r="F2388" s="309">
        <f>IFERROR(VLOOKUP(K2381,'2026.01'!A:Y,9,0),0)</f>
        <v>5000</v>
      </c>
      <c r="G2388" s="310"/>
      <c r="K2388" s="300"/>
    </row>
    <row r="2389" ht="19" customHeight="1" spans="1:11">
      <c r="A2389" s="307" t="s">
        <v>16</v>
      </c>
      <c r="B2389" s="308"/>
      <c r="C2389" s="308"/>
      <c r="D2389" s="308"/>
      <c r="E2389" s="308"/>
      <c r="F2389" s="309">
        <f>IFERROR(VLOOKUP(K2381,'2026.01'!A:Y,10,0),0)</f>
        <v>500</v>
      </c>
      <c r="G2389" s="310"/>
      <c r="K2389" s="300"/>
    </row>
    <row r="2390" ht="21" customHeight="1" spans="1:11">
      <c r="A2390" s="307" t="s">
        <v>17</v>
      </c>
      <c r="B2390" s="308"/>
      <c r="C2390" s="308"/>
      <c r="D2390" s="308"/>
      <c r="E2390" s="308"/>
      <c r="F2390" s="309">
        <f>IFERROR(VLOOKUP(K2381,'2026.01'!A:Y,19,0),0)</f>
        <v>22</v>
      </c>
      <c r="G2390" s="310"/>
      <c r="K2390" s="300"/>
    </row>
    <row r="2391" ht="17.15" customHeight="1" spans="1:11">
      <c r="A2391" s="307" t="s">
        <v>18</v>
      </c>
      <c r="B2391" s="308"/>
      <c r="C2391" s="308"/>
      <c r="D2391" s="308"/>
      <c r="E2391" s="308"/>
      <c r="F2391" s="309">
        <f>IFERROR(VLOOKUP(K2381,'2026.01'!A:Y,22,0),0)</f>
        <v>273</v>
      </c>
      <c r="G2391" s="310"/>
      <c r="K2391" s="300"/>
    </row>
    <row r="2392" ht="17.15" customHeight="1" spans="1:11">
      <c r="A2392" s="307" t="s">
        <v>19</v>
      </c>
      <c r="B2392" s="312"/>
      <c r="C2392" s="308"/>
      <c r="D2392" s="313"/>
      <c r="E2392" s="308"/>
      <c r="F2392" s="309">
        <f>IFERROR(VLOOKUP(K2381,'2026.01'!A:Y,25,0),0)</f>
        <v>6032</v>
      </c>
      <c r="G2392" s="310"/>
      <c r="K2392" s="300"/>
    </row>
    <row r="2393" ht="15" customHeight="1" spans="1:11">
      <c r="A2393" s="314" t="s">
        <v>20</v>
      </c>
      <c r="B2393" s="315">
        <f>IF(F2392&lt;0,"金额为负，无效",INT(F2392))</f>
        <v>6032</v>
      </c>
      <c r="C2393" s="315"/>
      <c r="D2393" s="315"/>
      <c r="E2393" s="316" t="s">
        <v>21</v>
      </c>
      <c r="F2393" s="317"/>
      <c r="G2393" s="318"/>
      <c r="K2393" s="300"/>
    </row>
    <row r="2394" ht="15" customHeight="1" spans="1:11">
      <c r="A2394" s="319"/>
      <c r="B2394" s="320"/>
      <c r="C2394" s="320"/>
      <c r="D2394" s="320"/>
      <c r="E2394" s="319"/>
      <c r="F2394" s="321"/>
      <c r="G2394" s="322"/>
      <c r="K2394" s="300"/>
    </row>
    <row r="2395" ht="27" customHeight="1" spans="1:11">
      <c r="A2395" s="298" t="s">
        <v>0</v>
      </c>
      <c r="B2395" s="298"/>
      <c r="C2395" s="298"/>
      <c r="D2395" s="298"/>
      <c r="E2395" s="298"/>
      <c r="F2395" s="298"/>
      <c r="G2395" s="298"/>
      <c r="H2395" s="299"/>
      <c r="I2395" s="299"/>
      <c r="J2395" s="299"/>
      <c r="K2395" s="300">
        <v>172</v>
      </c>
    </row>
    <row r="2396" ht="15" customHeight="1" spans="1:11">
      <c r="A2396" s="301" t="s">
        <v>1</v>
      </c>
      <c r="B2396" s="301"/>
      <c r="C2396" s="301"/>
      <c r="D2396" s="301"/>
      <c r="E2396" s="301"/>
      <c r="F2396" s="301"/>
      <c r="G2396" s="302" t="str">
        <f>IFERROR(VLOOKUP(K2395,'2026.01'!A:Y,2,0),0)</f>
        <v>NO:172</v>
      </c>
      <c r="K2396" s="300"/>
    </row>
    <row r="2397" ht="15" customHeight="1" spans="1:11">
      <c r="A2397" s="303" t="s">
        <v>2</v>
      </c>
      <c r="B2397" s="304">
        <f>IFERROR(VLOOKUP(K2395,'2026.01'!A:Y,6,0),0)</f>
        <v>3006</v>
      </c>
      <c r="C2397" s="304"/>
      <c r="D2397" s="305" t="s">
        <v>3</v>
      </c>
      <c r="E2397" s="305" t="str">
        <f>IFERROR(VLOOKUP(K2395,'2026.01'!A:Y,7,0),0)</f>
        <v>冯章权</v>
      </c>
      <c r="F2397" s="305"/>
      <c r="G2397" s="306" t="s">
        <v>4</v>
      </c>
      <c r="K2397" s="300"/>
    </row>
    <row r="2398" ht="15" customHeight="1" spans="1:11">
      <c r="A2398" s="307" t="s">
        <v>5</v>
      </c>
      <c r="B2398" s="308" t="s">
        <v>6</v>
      </c>
      <c r="C2398" s="308" t="s">
        <v>7</v>
      </c>
      <c r="D2398" s="308" t="s">
        <v>8</v>
      </c>
      <c r="E2398" s="308" t="s">
        <v>9</v>
      </c>
      <c r="F2398" s="309" t="s">
        <v>10</v>
      </c>
      <c r="G2398" s="310" t="s">
        <v>11</v>
      </c>
      <c r="K2398" s="300"/>
    </row>
    <row r="2399" ht="15" customHeight="1" spans="1:11">
      <c r="A2399" s="307" t="s">
        <v>12</v>
      </c>
      <c r="B2399" s="308">
        <f>IFERROR(VLOOKUP(K2395,'2026.01'!A:Y,14,0),0)</f>
        <v>5607</v>
      </c>
      <c r="C2399" s="308">
        <f>IFERROR(VLOOKUP(K2395,'2026.01'!A:Y,13,0),0)</f>
        <v>5413</v>
      </c>
      <c r="D2399" s="308">
        <f>IFERROR(VLOOKUP(K2395,'2026.01'!A:Y,15,0),0)</f>
        <v>194</v>
      </c>
      <c r="E2399" s="311">
        <f>IFERROR(VLOOKUP(K2395,'2026.01'!A:Y,18,0),0)</f>
        <v>0.8</v>
      </c>
      <c r="F2399" s="309">
        <f>IFERROR(VLOOKUP(K2395,'2026.01'!A:Y,20,0),0)</f>
        <v>155</v>
      </c>
      <c r="G2399" s="310"/>
      <c r="K2399" s="300"/>
    </row>
    <row r="2400" ht="15" customHeight="1" spans="1:11">
      <c r="A2400" s="307" t="s">
        <v>13</v>
      </c>
      <c r="B2400" s="308"/>
      <c r="C2400" s="308"/>
      <c r="D2400" s="308"/>
      <c r="E2400" s="311"/>
      <c r="F2400" s="309">
        <f>IFERROR(VLOOKUP(K2395,'2026.01'!A:Y,24,0),0)</f>
        <v>51</v>
      </c>
      <c r="G2400" s="310"/>
      <c r="K2400" s="300"/>
    </row>
    <row r="2401" ht="15" customHeight="1" spans="1:11">
      <c r="A2401" s="307" t="s">
        <v>14</v>
      </c>
      <c r="B2401" s="308"/>
      <c r="C2401" s="308"/>
      <c r="D2401" s="308"/>
      <c r="E2401" s="311"/>
      <c r="F2401" s="309">
        <f>IFERROR(VLOOKUP(K2395,'2026.01'!A:Y,12,0),0)</f>
        <v>160</v>
      </c>
      <c r="G2401" s="310"/>
      <c r="K2401" s="300"/>
    </row>
    <row r="2402" ht="21" customHeight="1" spans="1:11">
      <c r="A2402" s="307" t="s">
        <v>15</v>
      </c>
      <c r="B2402" s="308"/>
      <c r="C2402" s="308"/>
      <c r="D2402" s="308"/>
      <c r="E2402" s="311"/>
      <c r="F2402" s="309">
        <f>IFERROR(VLOOKUP(K2395,'2026.01'!A:Y,9,0),0)</f>
        <v>5000</v>
      </c>
      <c r="G2402" s="310"/>
      <c r="K2402" s="300"/>
    </row>
    <row r="2403" ht="19" customHeight="1" spans="1:11">
      <c r="A2403" s="307" t="s">
        <v>16</v>
      </c>
      <c r="B2403" s="308"/>
      <c r="C2403" s="308"/>
      <c r="D2403" s="308"/>
      <c r="E2403" s="308"/>
      <c r="F2403" s="309">
        <f>IFERROR(VLOOKUP(K2395,'2026.01'!A:Y,10,0),0)</f>
        <v>500</v>
      </c>
      <c r="G2403" s="310"/>
      <c r="K2403" s="300"/>
    </row>
    <row r="2404" ht="21" customHeight="1" spans="1:11">
      <c r="A2404" s="307" t="s">
        <v>17</v>
      </c>
      <c r="B2404" s="308"/>
      <c r="C2404" s="308"/>
      <c r="D2404" s="308"/>
      <c r="E2404" s="308"/>
      <c r="F2404" s="309">
        <f>IFERROR(VLOOKUP(K2395,'2026.01'!A:Y,19,0),0)</f>
        <v>136</v>
      </c>
      <c r="G2404" s="310"/>
      <c r="K2404" s="300"/>
    </row>
    <row r="2405" ht="17.15" customHeight="1" spans="1:11">
      <c r="A2405" s="307" t="s">
        <v>18</v>
      </c>
      <c r="B2405" s="308"/>
      <c r="C2405" s="308"/>
      <c r="D2405" s="308"/>
      <c r="E2405" s="308"/>
      <c r="F2405" s="309">
        <f>IFERROR(VLOOKUP(K2395,'2026.01'!A:Y,22,0),0)</f>
        <v>273</v>
      </c>
      <c r="G2405" s="310"/>
      <c r="K2405" s="300"/>
    </row>
    <row r="2406" ht="17.15" customHeight="1" spans="1:11">
      <c r="A2406" s="307" t="s">
        <v>19</v>
      </c>
      <c r="B2406" s="312"/>
      <c r="C2406" s="308"/>
      <c r="D2406" s="313"/>
      <c r="E2406" s="308"/>
      <c r="F2406" s="309">
        <f>IFERROR(VLOOKUP(K2395,'2026.01'!A:Y,25,0),0)</f>
        <v>6275</v>
      </c>
      <c r="G2406" s="310"/>
      <c r="K2406" s="300"/>
    </row>
    <row r="2407" ht="15" customHeight="1" spans="1:11">
      <c r="A2407" s="314" t="s">
        <v>20</v>
      </c>
      <c r="B2407" s="315">
        <f>IF(F2406&lt;0,"金额为负，无效",INT(F2406))</f>
        <v>6275</v>
      </c>
      <c r="C2407" s="315"/>
      <c r="D2407" s="315"/>
      <c r="E2407" s="316" t="s">
        <v>21</v>
      </c>
      <c r="F2407" s="317"/>
      <c r="G2407" s="318"/>
      <c r="K2407" s="300"/>
    </row>
    <row r="2408" ht="23" customHeight="1" spans="1:11">
      <c r="A2408" s="319"/>
      <c r="B2408" s="320"/>
      <c r="C2408" s="320"/>
      <c r="D2408" s="320"/>
      <c r="E2408" s="319"/>
      <c r="F2408" s="321"/>
      <c r="G2408" s="322"/>
      <c r="K2408" s="300"/>
    </row>
    <row r="2409" ht="27" customHeight="1" spans="1:11">
      <c r="A2409" s="298" t="s">
        <v>0</v>
      </c>
      <c r="B2409" s="298"/>
      <c r="C2409" s="298"/>
      <c r="D2409" s="298"/>
      <c r="E2409" s="298"/>
      <c r="F2409" s="298"/>
      <c r="G2409" s="298"/>
      <c r="H2409" s="299"/>
      <c r="I2409" s="299"/>
      <c r="J2409" s="299"/>
      <c r="K2409" s="300">
        <v>173</v>
      </c>
    </row>
    <row r="2410" ht="15" customHeight="1" spans="1:11">
      <c r="A2410" s="301" t="s">
        <v>1</v>
      </c>
      <c r="B2410" s="301"/>
      <c r="C2410" s="301"/>
      <c r="D2410" s="301"/>
      <c r="E2410" s="301"/>
      <c r="F2410" s="301"/>
      <c r="G2410" s="302" t="str">
        <f>IFERROR(VLOOKUP(K2409,'2026.01'!A:Y,2,0),0)</f>
        <v>NO:173</v>
      </c>
      <c r="K2410" s="300"/>
    </row>
    <row r="2411" ht="15" customHeight="1" spans="1:11">
      <c r="A2411" s="303" t="s">
        <v>2</v>
      </c>
      <c r="B2411" s="304">
        <f>IFERROR(VLOOKUP(K2409,'2026.01'!A:Y,6,0),0)</f>
        <v>3007</v>
      </c>
      <c r="C2411" s="304"/>
      <c r="D2411" s="305" t="s">
        <v>3</v>
      </c>
      <c r="E2411" s="305" t="str">
        <f>IFERROR(VLOOKUP(K2409,'2026.01'!A:Y,7,0),0)</f>
        <v>赵宏英</v>
      </c>
      <c r="F2411" s="305"/>
      <c r="G2411" s="306" t="s">
        <v>4</v>
      </c>
      <c r="K2411" s="300"/>
    </row>
    <row r="2412" ht="15" customHeight="1" spans="1:11">
      <c r="A2412" s="307" t="s">
        <v>5</v>
      </c>
      <c r="B2412" s="308" t="s">
        <v>6</v>
      </c>
      <c r="C2412" s="308" t="s">
        <v>7</v>
      </c>
      <c r="D2412" s="308" t="s">
        <v>8</v>
      </c>
      <c r="E2412" s="308" t="s">
        <v>9</v>
      </c>
      <c r="F2412" s="309" t="s">
        <v>10</v>
      </c>
      <c r="G2412" s="310" t="s">
        <v>11</v>
      </c>
      <c r="K2412" s="300"/>
    </row>
    <row r="2413" ht="15" customHeight="1" spans="1:11">
      <c r="A2413" s="307" t="s">
        <v>12</v>
      </c>
      <c r="B2413" s="308">
        <f>IFERROR(VLOOKUP(K2409,'2026.01'!A:Y,14,0),0)</f>
        <v>91200</v>
      </c>
      <c r="C2413" s="308">
        <f>IFERROR(VLOOKUP(K2409,'2026.01'!A:Y,13,0),0)</f>
        <v>91117</v>
      </c>
      <c r="D2413" s="308">
        <f>IFERROR(VLOOKUP(K2409,'2026.01'!A:Y,15,0),0)</f>
        <v>83</v>
      </c>
      <c r="E2413" s="311">
        <f>IFERROR(VLOOKUP(K2409,'2026.01'!A:Y,18,0),0)</f>
        <v>0.8</v>
      </c>
      <c r="F2413" s="309">
        <f>IFERROR(VLOOKUP(K2409,'2026.01'!A:Y,20,0),0)</f>
        <v>66</v>
      </c>
      <c r="G2413" s="310"/>
      <c r="K2413" s="300"/>
    </row>
    <row r="2414" ht="15" customHeight="1" spans="1:11">
      <c r="A2414" s="307" t="s">
        <v>13</v>
      </c>
      <c r="B2414" s="308"/>
      <c r="C2414" s="308"/>
      <c r="D2414" s="308"/>
      <c r="E2414" s="311"/>
      <c r="F2414" s="309">
        <f>IFERROR(VLOOKUP(K2409,'2026.01'!A:Y,24,0),0)</f>
        <v>51</v>
      </c>
      <c r="G2414" s="310"/>
      <c r="K2414" s="300"/>
    </row>
    <row r="2415" ht="15" customHeight="1" spans="1:11">
      <c r="A2415" s="307" t="s">
        <v>14</v>
      </c>
      <c r="B2415" s="308"/>
      <c r="C2415" s="308"/>
      <c r="D2415" s="308"/>
      <c r="E2415" s="311"/>
      <c r="F2415" s="309">
        <f>IFERROR(VLOOKUP(K2409,'2026.01'!A:Y,12,0),0)</f>
        <v>160</v>
      </c>
      <c r="G2415" s="310"/>
      <c r="K2415" s="300"/>
    </row>
    <row r="2416" ht="21" customHeight="1" spans="1:11">
      <c r="A2416" s="307" t="s">
        <v>15</v>
      </c>
      <c r="B2416" s="308"/>
      <c r="C2416" s="308"/>
      <c r="D2416" s="308"/>
      <c r="E2416" s="311"/>
      <c r="F2416" s="309">
        <f>IFERROR(VLOOKUP(K2409,'2026.01'!A:Y,9,0),0)</f>
        <v>5000</v>
      </c>
      <c r="G2416" s="310"/>
      <c r="K2416" s="300"/>
    </row>
    <row r="2417" ht="19" customHeight="1" spans="1:11">
      <c r="A2417" s="307" t="s">
        <v>16</v>
      </c>
      <c r="B2417" s="308"/>
      <c r="C2417" s="308"/>
      <c r="D2417" s="308"/>
      <c r="E2417" s="308"/>
      <c r="F2417" s="309">
        <f>IFERROR(VLOOKUP(K2409,'2026.01'!A:Y,10,0),0)</f>
        <v>500</v>
      </c>
      <c r="G2417" s="310"/>
      <c r="K2417" s="300"/>
    </row>
    <row r="2418" ht="21" customHeight="1" spans="1:11">
      <c r="A2418" s="307" t="s">
        <v>17</v>
      </c>
      <c r="B2418" s="308"/>
      <c r="C2418" s="308"/>
      <c r="D2418" s="308"/>
      <c r="E2418" s="308"/>
      <c r="F2418" s="309">
        <f>IFERROR(VLOOKUP(K2409,'2026.01'!A:Y,19,0),0)</f>
        <v>58</v>
      </c>
      <c r="G2418" s="310"/>
      <c r="K2418" s="300"/>
    </row>
    <row r="2419" ht="17.15" customHeight="1" spans="1:11">
      <c r="A2419" s="307" t="s">
        <v>18</v>
      </c>
      <c r="B2419" s="308"/>
      <c r="C2419" s="308"/>
      <c r="D2419" s="308"/>
      <c r="E2419" s="308"/>
      <c r="F2419" s="309">
        <f>IFERROR(VLOOKUP(K2409,'2026.01'!A:Y,22,0),0)</f>
        <v>273</v>
      </c>
      <c r="G2419" s="310"/>
      <c r="K2419" s="300"/>
    </row>
    <row r="2420" ht="17.15" customHeight="1" spans="1:11">
      <c r="A2420" s="307" t="s">
        <v>19</v>
      </c>
      <c r="B2420" s="312"/>
      <c r="C2420" s="308"/>
      <c r="D2420" s="313"/>
      <c r="E2420" s="308"/>
      <c r="F2420" s="309">
        <f>IFERROR(VLOOKUP(K2409,'2026.01'!A:Y,25,0),0)</f>
        <v>6108</v>
      </c>
      <c r="G2420" s="310"/>
      <c r="K2420" s="300"/>
    </row>
    <row r="2421" ht="15" customHeight="1" spans="1:11">
      <c r="A2421" s="314" t="s">
        <v>20</v>
      </c>
      <c r="B2421" s="315">
        <f>IF(F2420&lt;0,"金额为负，无效",INT(F2420))</f>
        <v>6108</v>
      </c>
      <c r="C2421" s="315"/>
      <c r="D2421" s="315"/>
      <c r="E2421" s="316" t="s">
        <v>21</v>
      </c>
      <c r="F2421" s="317"/>
      <c r="G2421" s="318"/>
      <c r="K2421" s="300"/>
    </row>
    <row r="2422" ht="23" customHeight="1" spans="1:11">
      <c r="A2422" s="319"/>
      <c r="B2422" s="320"/>
      <c r="C2422" s="320"/>
      <c r="D2422" s="320"/>
      <c r="E2422" s="319"/>
      <c r="F2422" s="321"/>
      <c r="G2422" s="322"/>
      <c r="K2422" s="300"/>
    </row>
    <row r="2423" ht="27" customHeight="1" spans="1:11">
      <c r="A2423" s="298" t="s">
        <v>0</v>
      </c>
      <c r="B2423" s="298"/>
      <c r="C2423" s="298"/>
      <c r="D2423" s="298"/>
      <c r="E2423" s="298"/>
      <c r="F2423" s="298"/>
      <c r="G2423" s="298"/>
      <c r="H2423" s="299"/>
      <c r="I2423" s="299"/>
      <c r="J2423" s="299"/>
      <c r="K2423" s="300">
        <v>174</v>
      </c>
    </row>
    <row r="2424" ht="15" customHeight="1" spans="1:11">
      <c r="A2424" s="301" t="s">
        <v>1</v>
      </c>
      <c r="B2424" s="301"/>
      <c r="C2424" s="301"/>
      <c r="D2424" s="301"/>
      <c r="E2424" s="301"/>
      <c r="F2424" s="301"/>
      <c r="G2424" s="302" t="str">
        <f>IFERROR(VLOOKUP(K2423,'2026.01'!A:Y,2,0),0)</f>
        <v>NO:174</v>
      </c>
      <c r="K2424" s="300"/>
    </row>
    <row r="2425" ht="15" customHeight="1" spans="1:11">
      <c r="A2425" s="303" t="s">
        <v>2</v>
      </c>
      <c r="B2425" s="304">
        <f>IFERROR(VLOOKUP(K2423,'2026.01'!A:Y,6,0),0)</f>
        <v>3008</v>
      </c>
      <c r="C2425" s="304"/>
      <c r="D2425" s="305" t="s">
        <v>3</v>
      </c>
      <c r="E2425" s="305" t="str">
        <f>IFERROR(VLOOKUP(K2423,'2026.01'!A:Y,7,0),0)</f>
        <v>陈坚实</v>
      </c>
      <c r="F2425" s="305"/>
      <c r="G2425" s="306" t="s">
        <v>4</v>
      </c>
      <c r="K2425" s="300"/>
    </row>
    <row r="2426" ht="15" customHeight="1" spans="1:11">
      <c r="A2426" s="307" t="s">
        <v>5</v>
      </c>
      <c r="B2426" s="308" t="s">
        <v>6</v>
      </c>
      <c r="C2426" s="308" t="s">
        <v>7</v>
      </c>
      <c r="D2426" s="308" t="s">
        <v>8</v>
      </c>
      <c r="E2426" s="308" t="s">
        <v>9</v>
      </c>
      <c r="F2426" s="309" t="s">
        <v>10</v>
      </c>
      <c r="G2426" s="310" t="s">
        <v>11</v>
      </c>
      <c r="K2426" s="300"/>
    </row>
    <row r="2427" ht="15" customHeight="1" spans="1:11">
      <c r="A2427" s="307" t="s">
        <v>12</v>
      </c>
      <c r="B2427" s="308">
        <f>IFERROR(VLOOKUP(K2423,'2026.01'!A:Y,14,0),0)</f>
        <v>1540</v>
      </c>
      <c r="C2427" s="308">
        <f>IFERROR(VLOOKUP(K2423,'2026.01'!A:Y,13,0),0)</f>
        <v>1502</v>
      </c>
      <c r="D2427" s="308">
        <f>IFERROR(VLOOKUP(K2423,'2026.01'!A:Y,15,0),0)</f>
        <v>38</v>
      </c>
      <c r="E2427" s="311">
        <f>IFERROR(VLOOKUP(K2423,'2026.01'!A:Y,18,0),0)</f>
        <v>0.8</v>
      </c>
      <c r="F2427" s="309">
        <f>IFERROR(VLOOKUP(K2423,'2026.01'!A:Y,20,0),0)</f>
        <v>30</v>
      </c>
      <c r="G2427" s="310"/>
      <c r="K2427" s="300"/>
    </row>
    <row r="2428" ht="15" customHeight="1" spans="1:11">
      <c r="A2428" s="307" t="s">
        <v>13</v>
      </c>
      <c r="B2428" s="308"/>
      <c r="C2428" s="308"/>
      <c r="D2428" s="308"/>
      <c r="E2428" s="311"/>
      <c r="F2428" s="309">
        <f>IFERROR(VLOOKUP(K2423,'2026.01'!A:Y,24,0),0)</f>
        <v>51</v>
      </c>
      <c r="G2428" s="310"/>
      <c r="K2428" s="300"/>
    </row>
    <row r="2429" ht="15" customHeight="1" spans="1:11">
      <c r="A2429" s="307" t="s">
        <v>14</v>
      </c>
      <c r="B2429" s="308"/>
      <c r="C2429" s="308"/>
      <c r="D2429" s="308"/>
      <c r="E2429" s="311"/>
      <c r="F2429" s="309">
        <f>IFERROR(VLOOKUP(K2423,'2026.01'!A:Y,12,0),0)</f>
        <v>160</v>
      </c>
      <c r="G2429" s="310"/>
      <c r="K2429" s="300"/>
    </row>
    <row r="2430" ht="21" customHeight="1" spans="1:11">
      <c r="A2430" s="307" t="s">
        <v>15</v>
      </c>
      <c r="B2430" s="308"/>
      <c r="C2430" s="308"/>
      <c r="D2430" s="308"/>
      <c r="E2430" s="311"/>
      <c r="F2430" s="309">
        <f>IFERROR(VLOOKUP(K2423,'2026.01'!A:Y,9,0),0)</f>
        <v>5000</v>
      </c>
      <c r="G2430" s="310"/>
      <c r="K2430" s="300"/>
    </row>
    <row r="2431" ht="19" customHeight="1" spans="1:11">
      <c r="A2431" s="307" t="s">
        <v>16</v>
      </c>
      <c r="B2431" s="308"/>
      <c r="C2431" s="308"/>
      <c r="D2431" s="308"/>
      <c r="E2431" s="308"/>
      <c r="F2431" s="309">
        <f>IFERROR(VLOOKUP(K2423,'2026.01'!A:Y,10,0),0)</f>
        <v>500</v>
      </c>
      <c r="G2431" s="310"/>
      <c r="K2431" s="300"/>
    </row>
    <row r="2432" ht="21" customHeight="1" spans="1:11">
      <c r="A2432" s="307" t="s">
        <v>17</v>
      </c>
      <c r="B2432" s="308"/>
      <c r="C2432" s="308"/>
      <c r="D2432" s="308"/>
      <c r="E2432" s="308"/>
      <c r="F2432" s="309">
        <f>IFERROR(VLOOKUP(K2423,'2026.01'!A:Y,19,0),0)</f>
        <v>27</v>
      </c>
      <c r="G2432" s="310"/>
      <c r="K2432" s="300"/>
    </row>
    <row r="2433" ht="17.15" customHeight="1" spans="1:11">
      <c r="A2433" s="307" t="s">
        <v>18</v>
      </c>
      <c r="B2433" s="308"/>
      <c r="C2433" s="308"/>
      <c r="D2433" s="308"/>
      <c r="E2433" s="308"/>
      <c r="F2433" s="309">
        <f>IFERROR(VLOOKUP(K2423,'2026.01'!A:Y,22,0),0)</f>
        <v>273</v>
      </c>
      <c r="G2433" s="310"/>
      <c r="K2433" s="300"/>
    </row>
    <row r="2434" ht="17.15" customHeight="1" spans="1:11">
      <c r="A2434" s="307" t="s">
        <v>19</v>
      </c>
      <c r="B2434" s="312"/>
      <c r="C2434" s="308"/>
      <c r="D2434" s="313"/>
      <c r="E2434" s="308"/>
      <c r="F2434" s="309">
        <f>IFERROR(VLOOKUP(K2423,'2026.01'!A:Y,25,0),0)</f>
        <v>6041</v>
      </c>
      <c r="G2434" s="310"/>
      <c r="K2434" s="300"/>
    </row>
    <row r="2435" ht="15" customHeight="1" spans="1:11">
      <c r="A2435" s="314" t="s">
        <v>20</v>
      </c>
      <c r="B2435" s="315">
        <f>IF(F2434&lt;0,"金额为负，无效",INT(F2434))</f>
        <v>6041</v>
      </c>
      <c r="C2435" s="315"/>
      <c r="D2435" s="315"/>
      <c r="E2435" s="316" t="s">
        <v>21</v>
      </c>
      <c r="F2435" s="317"/>
      <c r="G2435" s="318"/>
      <c r="K2435" s="300"/>
    </row>
    <row r="2436" ht="15" customHeight="1" spans="1:11">
      <c r="A2436" s="319"/>
      <c r="B2436" s="320"/>
      <c r="C2436" s="320"/>
      <c r="D2436" s="320"/>
      <c r="E2436" s="319"/>
      <c r="F2436" s="321"/>
      <c r="G2436" s="322"/>
      <c r="K2436" s="300"/>
    </row>
    <row r="2437" ht="27" customHeight="1" spans="1:11">
      <c r="A2437" s="298" t="s">
        <v>0</v>
      </c>
      <c r="B2437" s="298"/>
      <c r="C2437" s="298"/>
      <c r="D2437" s="298"/>
      <c r="E2437" s="298"/>
      <c r="F2437" s="298"/>
      <c r="G2437" s="298"/>
      <c r="H2437" s="299"/>
      <c r="I2437" s="299"/>
      <c r="J2437" s="299"/>
      <c r="K2437" s="300">
        <v>175</v>
      </c>
    </row>
    <row r="2438" ht="15" customHeight="1" spans="1:11">
      <c r="A2438" s="301" t="s">
        <v>1</v>
      </c>
      <c r="B2438" s="301"/>
      <c r="C2438" s="301"/>
      <c r="D2438" s="301"/>
      <c r="E2438" s="301"/>
      <c r="F2438" s="301"/>
      <c r="G2438" s="302" t="str">
        <f>IFERROR(VLOOKUP(K2437,'2026.01'!A:Y,2,0),0)</f>
        <v>NO:175</v>
      </c>
      <c r="K2438" s="300"/>
    </row>
    <row r="2439" ht="15" customHeight="1" spans="1:11">
      <c r="A2439" s="303" t="s">
        <v>2</v>
      </c>
      <c r="B2439" s="304">
        <f>IFERROR(VLOOKUP(K2437,'2026.01'!A:Y,6,0),0)</f>
        <v>3009</v>
      </c>
      <c r="C2439" s="304"/>
      <c r="D2439" s="305" t="s">
        <v>3</v>
      </c>
      <c r="E2439" s="305" t="str">
        <f>IFERROR(VLOOKUP(K2437,'2026.01'!A:Y,7,0),0)</f>
        <v>赵玉林</v>
      </c>
      <c r="F2439" s="305"/>
      <c r="G2439" s="306" t="s">
        <v>4</v>
      </c>
      <c r="K2439" s="300"/>
    </row>
    <row r="2440" ht="15" customHeight="1" spans="1:11">
      <c r="A2440" s="307" t="s">
        <v>5</v>
      </c>
      <c r="B2440" s="308" t="s">
        <v>6</v>
      </c>
      <c r="C2440" s="308" t="s">
        <v>7</v>
      </c>
      <c r="D2440" s="308" t="s">
        <v>8</v>
      </c>
      <c r="E2440" s="308" t="s">
        <v>9</v>
      </c>
      <c r="F2440" s="309" t="s">
        <v>10</v>
      </c>
      <c r="G2440" s="310" t="s">
        <v>11</v>
      </c>
      <c r="K2440" s="300"/>
    </row>
    <row r="2441" ht="15" customHeight="1" spans="1:11">
      <c r="A2441" s="307" t="s">
        <v>12</v>
      </c>
      <c r="B2441" s="308">
        <f>IFERROR(VLOOKUP(K2437,'2026.01'!A:Y,14,0),0)</f>
        <v>6152</v>
      </c>
      <c r="C2441" s="308">
        <f>IFERROR(VLOOKUP(K2437,'2026.01'!A:Y,13,0),0)</f>
        <v>6128</v>
      </c>
      <c r="D2441" s="308">
        <f>IFERROR(VLOOKUP(K2437,'2026.01'!A:Y,15,0),0)</f>
        <v>24</v>
      </c>
      <c r="E2441" s="311">
        <f>IFERROR(VLOOKUP(K2437,'2026.01'!A:Y,18,0),0)</f>
        <v>0.8</v>
      </c>
      <c r="F2441" s="309">
        <f>IFERROR(VLOOKUP(K2437,'2026.01'!A:Y,20,0),0)</f>
        <v>19</v>
      </c>
      <c r="G2441" s="310"/>
      <c r="K2441" s="300"/>
    </row>
    <row r="2442" ht="15" customHeight="1" spans="1:11">
      <c r="A2442" s="307" t="s">
        <v>13</v>
      </c>
      <c r="B2442" s="308"/>
      <c r="C2442" s="308"/>
      <c r="D2442" s="308"/>
      <c r="E2442" s="311"/>
      <c r="F2442" s="309">
        <f>IFERROR(VLOOKUP(K2437,'2026.01'!A:Y,24,0),0)</f>
        <v>51</v>
      </c>
      <c r="G2442" s="310"/>
      <c r="K2442" s="300"/>
    </row>
    <row r="2443" ht="15" customHeight="1" spans="1:11">
      <c r="A2443" s="307" t="s">
        <v>14</v>
      </c>
      <c r="B2443" s="308"/>
      <c r="C2443" s="308"/>
      <c r="D2443" s="308"/>
      <c r="E2443" s="311"/>
      <c r="F2443" s="309">
        <f>IFERROR(VLOOKUP(K2437,'2026.01'!A:Y,12,0),0)</f>
        <v>160</v>
      </c>
      <c r="G2443" s="310"/>
      <c r="K2443" s="300"/>
    </row>
    <row r="2444" ht="21" customHeight="1" spans="1:11">
      <c r="A2444" s="307" t="s">
        <v>15</v>
      </c>
      <c r="B2444" s="308"/>
      <c r="C2444" s="308"/>
      <c r="D2444" s="308"/>
      <c r="E2444" s="311"/>
      <c r="F2444" s="309">
        <f>IFERROR(VLOOKUP(K2437,'2026.01'!A:Y,9,0),0)</f>
        <v>5000</v>
      </c>
      <c r="G2444" s="310"/>
      <c r="K2444" s="300"/>
    </row>
    <row r="2445" ht="19" customHeight="1" spans="1:11">
      <c r="A2445" s="307" t="s">
        <v>16</v>
      </c>
      <c r="B2445" s="308"/>
      <c r="C2445" s="308"/>
      <c r="D2445" s="308"/>
      <c r="E2445" s="308"/>
      <c r="F2445" s="309">
        <f>IFERROR(VLOOKUP(K2437,'2026.01'!A:Y,10,0),0)</f>
        <v>500</v>
      </c>
      <c r="G2445" s="310"/>
      <c r="K2445" s="300"/>
    </row>
    <row r="2446" ht="21" customHeight="1" spans="1:11">
      <c r="A2446" s="307" t="s">
        <v>17</v>
      </c>
      <c r="B2446" s="308"/>
      <c r="C2446" s="308"/>
      <c r="D2446" s="308"/>
      <c r="E2446" s="308"/>
      <c r="F2446" s="309">
        <f>IFERROR(VLOOKUP(K2437,'2026.01'!A:Y,19,0),0)</f>
        <v>17</v>
      </c>
      <c r="G2446" s="310"/>
      <c r="K2446" s="300"/>
    </row>
    <row r="2447" ht="17.15" customHeight="1" spans="1:11">
      <c r="A2447" s="307" t="s">
        <v>18</v>
      </c>
      <c r="B2447" s="308"/>
      <c r="C2447" s="308"/>
      <c r="D2447" s="308"/>
      <c r="E2447" s="308"/>
      <c r="F2447" s="309">
        <f>IFERROR(VLOOKUP(K2437,'2026.01'!A:Y,22,0),0)</f>
        <v>273</v>
      </c>
      <c r="G2447" s="310"/>
      <c r="K2447" s="300"/>
    </row>
    <row r="2448" ht="17.15" customHeight="1" spans="1:11">
      <c r="A2448" s="307" t="s">
        <v>19</v>
      </c>
      <c r="B2448" s="312"/>
      <c r="C2448" s="308"/>
      <c r="D2448" s="313"/>
      <c r="E2448" s="308"/>
      <c r="F2448" s="309">
        <f>IFERROR(VLOOKUP(K2437,'2026.01'!A:Y,25,0),0)</f>
        <v>6020</v>
      </c>
      <c r="G2448" s="310"/>
      <c r="K2448" s="300"/>
    </row>
    <row r="2449" ht="15" customHeight="1" spans="1:11">
      <c r="A2449" s="314" t="s">
        <v>20</v>
      </c>
      <c r="B2449" s="315">
        <f>IF(F2448&lt;0,"金额为负，无效",INT(F2448))</f>
        <v>6020</v>
      </c>
      <c r="C2449" s="315"/>
      <c r="D2449" s="315"/>
      <c r="E2449" s="316" t="s">
        <v>21</v>
      </c>
      <c r="F2449" s="317"/>
      <c r="G2449" s="318"/>
      <c r="K2449" s="300"/>
    </row>
    <row r="2450" ht="23" customHeight="1" spans="1:11">
      <c r="A2450" s="319"/>
      <c r="B2450" s="320"/>
      <c r="C2450" s="320"/>
      <c r="D2450" s="320"/>
      <c r="E2450" s="319"/>
      <c r="F2450" s="321"/>
      <c r="G2450" s="322"/>
      <c r="K2450" s="300"/>
    </row>
    <row r="2451" ht="27" customHeight="1" spans="1:11">
      <c r="A2451" s="298" t="s">
        <v>0</v>
      </c>
      <c r="B2451" s="298"/>
      <c r="C2451" s="298"/>
      <c r="D2451" s="298"/>
      <c r="E2451" s="298"/>
      <c r="F2451" s="298"/>
      <c r="G2451" s="298"/>
      <c r="H2451" s="299"/>
      <c r="I2451" s="299"/>
      <c r="J2451" s="299"/>
      <c r="K2451" s="300">
        <v>176</v>
      </c>
    </row>
    <row r="2452" ht="15" customHeight="1" spans="1:11">
      <c r="A2452" s="301" t="s">
        <v>1</v>
      </c>
      <c r="B2452" s="301"/>
      <c r="C2452" s="301"/>
      <c r="D2452" s="301"/>
      <c r="E2452" s="301"/>
      <c r="F2452" s="301"/>
      <c r="G2452" s="302" t="str">
        <f>IFERROR(VLOOKUP(K2451,'2026.01'!A:Y,2,0),0)</f>
        <v>NO:176</v>
      </c>
      <c r="K2452" s="300"/>
    </row>
    <row r="2453" ht="15" customHeight="1" spans="1:11">
      <c r="A2453" s="303" t="s">
        <v>2</v>
      </c>
      <c r="B2453" s="304">
        <f>IFERROR(VLOOKUP(K2451,'2026.01'!A:Y,6,0),0)</f>
        <v>3010</v>
      </c>
      <c r="C2453" s="304"/>
      <c r="D2453" s="305" t="s">
        <v>3</v>
      </c>
      <c r="E2453" s="305" t="str">
        <f>IFERROR(VLOOKUP(K2451,'2026.01'!A:Y,7,0),0)</f>
        <v>王海亮</v>
      </c>
      <c r="F2453" s="305"/>
      <c r="G2453" s="306" t="s">
        <v>4</v>
      </c>
      <c r="K2453" s="300"/>
    </row>
    <row r="2454" ht="15" customHeight="1" spans="1:11">
      <c r="A2454" s="307" t="s">
        <v>5</v>
      </c>
      <c r="B2454" s="308" t="s">
        <v>6</v>
      </c>
      <c r="C2454" s="308" t="s">
        <v>7</v>
      </c>
      <c r="D2454" s="308" t="s">
        <v>8</v>
      </c>
      <c r="E2454" s="308" t="s">
        <v>9</v>
      </c>
      <c r="F2454" s="309" t="s">
        <v>10</v>
      </c>
      <c r="G2454" s="310" t="s">
        <v>11</v>
      </c>
      <c r="K2454" s="300"/>
    </row>
    <row r="2455" ht="15" customHeight="1" spans="1:11">
      <c r="A2455" s="307" t="s">
        <v>12</v>
      </c>
      <c r="B2455" s="308">
        <f>IFERROR(VLOOKUP(K2451,'2026.01'!A:Y,14,0),0)</f>
        <v>6869</v>
      </c>
      <c r="C2455" s="308">
        <f>IFERROR(VLOOKUP(K2451,'2026.01'!A:Y,13,0),0)</f>
        <v>6835</v>
      </c>
      <c r="D2455" s="308">
        <f>IFERROR(VLOOKUP(K2451,'2026.01'!A:Y,15,0),0)</f>
        <v>34</v>
      </c>
      <c r="E2455" s="311">
        <f>IFERROR(VLOOKUP(K2451,'2026.01'!A:Y,18,0),0)</f>
        <v>0.8</v>
      </c>
      <c r="F2455" s="309">
        <f>IFERROR(VLOOKUP(K2451,'2026.01'!A:Y,20,0),0)</f>
        <v>27</v>
      </c>
      <c r="G2455" s="310"/>
      <c r="K2455" s="300"/>
    </row>
    <row r="2456" ht="15" customHeight="1" spans="1:11">
      <c r="A2456" s="307" t="s">
        <v>13</v>
      </c>
      <c r="B2456" s="308"/>
      <c r="C2456" s="308"/>
      <c r="D2456" s="308"/>
      <c r="E2456" s="311"/>
      <c r="F2456" s="309">
        <f>IFERROR(VLOOKUP(K2451,'2026.01'!A:Y,24,0),0)</f>
        <v>51</v>
      </c>
      <c r="G2456" s="310"/>
      <c r="K2456" s="300"/>
    </row>
    <row r="2457" ht="15" customHeight="1" spans="1:11">
      <c r="A2457" s="307" t="s">
        <v>14</v>
      </c>
      <c r="B2457" s="308"/>
      <c r="C2457" s="308"/>
      <c r="D2457" s="308"/>
      <c r="E2457" s="311"/>
      <c r="F2457" s="309">
        <f>IFERROR(VLOOKUP(K2451,'2026.01'!A:Y,12,0),0)</f>
        <v>160</v>
      </c>
      <c r="G2457" s="310"/>
      <c r="K2457" s="300"/>
    </row>
    <row r="2458" ht="21" customHeight="1" spans="1:11">
      <c r="A2458" s="307" t="s">
        <v>15</v>
      </c>
      <c r="B2458" s="308"/>
      <c r="C2458" s="308"/>
      <c r="D2458" s="308"/>
      <c r="E2458" s="311"/>
      <c r="F2458" s="309">
        <f>IFERROR(VLOOKUP(K2451,'2026.01'!A:Y,9,0),0)</f>
        <v>5000</v>
      </c>
      <c r="G2458" s="310"/>
      <c r="K2458" s="300"/>
    </row>
    <row r="2459" ht="19" customHeight="1" spans="1:11">
      <c r="A2459" s="307" t="s">
        <v>16</v>
      </c>
      <c r="B2459" s="308"/>
      <c r="C2459" s="308"/>
      <c r="D2459" s="308"/>
      <c r="E2459" s="308"/>
      <c r="F2459" s="309">
        <f>IFERROR(VLOOKUP(K2451,'2026.01'!A:Y,10,0),0)</f>
        <v>500</v>
      </c>
      <c r="G2459" s="310"/>
      <c r="K2459" s="300"/>
    </row>
    <row r="2460" ht="21" customHeight="1" spans="1:11">
      <c r="A2460" s="307" t="s">
        <v>17</v>
      </c>
      <c r="B2460" s="308"/>
      <c r="C2460" s="308"/>
      <c r="D2460" s="308"/>
      <c r="E2460" s="308"/>
      <c r="F2460" s="309">
        <f>IFERROR(VLOOKUP(K2451,'2026.01'!A:Y,19,0),0)</f>
        <v>24</v>
      </c>
      <c r="G2460" s="310"/>
      <c r="K2460" s="300"/>
    </row>
    <row r="2461" ht="17.15" customHeight="1" spans="1:11">
      <c r="A2461" s="307" t="s">
        <v>18</v>
      </c>
      <c r="B2461" s="308"/>
      <c r="C2461" s="308"/>
      <c r="D2461" s="308"/>
      <c r="E2461" s="308"/>
      <c r="F2461" s="309">
        <f>IFERROR(VLOOKUP(K2451,'2026.01'!A:Y,22,0),0)</f>
        <v>273</v>
      </c>
      <c r="G2461" s="310"/>
      <c r="K2461" s="300"/>
    </row>
    <row r="2462" ht="17.15" customHeight="1" spans="1:11">
      <c r="A2462" s="307" t="s">
        <v>19</v>
      </c>
      <c r="B2462" s="312"/>
      <c r="C2462" s="308"/>
      <c r="D2462" s="313"/>
      <c r="E2462" s="308"/>
      <c r="F2462" s="309">
        <f>IFERROR(VLOOKUP(K2451,'2026.01'!A:Y,25,0),0)</f>
        <v>6035</v>
      </c>
      <c r="G2462" s="310"/>
      <c r="K2462" s="300"/>
    </row>
    <row r="2463" ht="15" customHeight="1" spans="1:11">
      <c r="A2463" s="314" t="s">
        <v>20</v>
      </c>
      <c r="B2463" s="315">
        <f>IF(F2462&lt;0,"金额为负，无效",INT(F2462))</f>
        <v>6035</v>
      </c>
      <c r="C2463" s="315"/>
      <c r="D2463" s="315"/>
      <c r="E2463" s="316" t="s">
        <v>21</v>
      </c>
      <c r="F2463" s="317"/>
      <c r="G2463" s="318"/>
      <c r="K2463" s="300"/>
    </row>
    <row r="2464" ht="23" customHeight="1" spans="1:11">
      <c r="A2464" s="319"/>
      <c r="B2464" s="320"/>
      <c r="C2464" s="320"/>
      <c r="D2464" s="320"/>
      <c r="E2464" s="319"/>
      <c r="F2464" s="321"/>
      <c r="G2464" s="322"/>
      <c r="K2464" s="300"/>
    </row>
    <row r="2465" ht="27" customHeight="1" spans="1:11">
      <c r="A2465" s="298" t="s">
        <v>0</v>
      </c>
      <c r="B2465" s="298"/>
      <c r="C2465" s="298"/>
      <c r="D2465" s="298"/>
      <c r="E2465" s="298"/>
      <c r="F2465" s="298"/>
      <c r="G2465" s="298"/>
      <c r="H2465" s="299"/>
      <c r="I2465" s="299"/>
      <c r="J2465" s="299"/>
      <c r="K2465" s="300">
        <v>177</v>
      </c>
    </row>
    <row r="2466" ht="15" customHeight="1" spans="1:11">
      <c r="A2466" s="301" t="s">
        <v>1</v>
      </c>
      <c r="B2466" s="301"/>
      <c r="C2466" s="301"/>
      <c r="D2466" s="301"/>
      <c r="E2466" s="301"/>
      <c r="F2466" s="301"/>
      <c r="G2466" s="302" t="str">
        <f>IFERROR(VLOOKUP(K2465,'2026.01'!A:Y,2,0),0)</f>
        <v>NO:177</v>
      </c>
      <c r="K2466" s="300"/>
    </row>
    <row r="2467" ht="15" customHeight="1" spans="1:11">
      <c r="A2467" s="303" t="s">
        <v>2</v>
      </c>
      <c r="B2467" s="304">
        <f>IFERROR(VLOOKUP(K2465,'2026.01'!A:Y,6,0),0)</f>
        <v>3011</v>
      </c>
      <c r="C2467" s="304"/>
      <c r="D2467" s="305" t="s">
        <v>3</v>
      </c>
      <c r="E2467" s="305" t="str">
        <f>IFERROR(VLOOKUP(K2465,'2026.01'!A:Y,7,0),0)</f>
        <v>王海亮</v>
      </c>
      <c r="F2467" s="305"/>
      <c r="G2467" s="306" t="s">
        <v>4</v>
      </c>
      <c r="K2467" s="300"/>
    </row>
    <row r="2468" ht="15" customHeight="1" spans="1:11">
      <c r="A2468" s="307" t="s">
        <v>5</v>
      </c>
      <c r="B2468" s="308" t="s">
        <v>6</v>
      </c>
      <c r="C2468" s="308" t="s">
        <v>7</v>
      </c>
      <c r="D2468" s="308" t="s">
        <v>8</v>
      </c>
      <c r="E2468" s="308" t="s">
        <v>9</v>
      </c>
      <c r="F2468" s="309" t="s">
        <v>10</v>
      </c>
      <c r="G2468" s="310" t="s">
        <v>11</v>
      </c>
      <c r="K2468" s="300"/>
    </row>
    <row r="2469" ht="15" customHeight="1" spans="1:11">
      <c r="A2469" s="307" t="s">
        <v>12</v>
      </c>
      <c r="B2469" s="308">
        <f>IFERROR(VLOOKUP(K2465,'2026.01'!A:Y,14,0),0)</f>
        <v>9649</v>
      </c>
      <c r="C2469" s="308">
        <f>IFERROR(VLOOKUP(K2465,'2026.01'!A:Y,13,0),0)</f>
        <v>9599</v>
      </c>
      <c r="D2469" s="308">
        <f>IFERROR(VLOOKUP(K2465,'2026.01'!A:Y,15,0),0)</f>
        <v>50</v>
      </c>
      <c r="E2469" s="311">
        <f>IFERROR(VLOOKUP(K2465,'2026.01'!A:Y,18,0),0)</f>
        <v>0.8</v>
      </c>
      <c r="F2469" s="309">
        <f>IFERROR(VLOOKUP(K2465,'2026.01'!A:Y,20,0),0)</f>
        <v>40</v>
      </c>
      <c r="G2469" s="310"/>
      <c r="K2469" s="300"/>
    </row>
    <row r="2470" ht="15" customHeight="1" spans="1:11">
      <c r="A2470" s="307" t="s">
        <v>13</v>
      </c>
      <c r="B2470" s="308"/>
      <c r="C2470" s="308"/>
      <c r="D2470" s="308"/>
      <c r="E2470" s="311"/>
      <c r="F2470" s="309">
        <f>IFERROR(VLOOKUP(K2465,'2026.01'!A:Y,24,0),0)</f>
        <v>51</v>
      </c>
      <c r="G2470" s="310"/>
      <c r="K2470" s="300"/>
    </row>
    <row r="2471" ht="15" customHeight="1" spans="1:11">
      <c r="A2471" s="307" t="s">
        <v>14</v>
      </c>
      <c r="B2471" s="308"/>
      <c r="C2471" s="308"/>
      <c r="D2471" s="308"/>
      <c r="E2471" s="311"/>
      <c r="F2471" s="309">
        <f>IFERROR(VLOOKUP(K2465,'2026.01'!A:Y,12,0),0)</f>
        <v>160</v>
      </c>
      <c r="G2471" s="310"/>
      <c r="K2471" s="300"/>
    </row>
    <row r="2472" ht="21" customHeight="1" spans="1:11">
      <c r="A2472" s="307" t="s">
        <v>15</v>
      </c>
      <c r="B2472" s="308"/>
      <c r="C2472" s="308"/>
      <c r="D2472" s="308"/>
      <c r="E2472" s="311"/>
      <c r="F2472" s="309">
        <f>IFERROR(VLOOKUP(K2465,'2026.01'!A:Y,9,0),0)</f>
        <v>5000</v>
      </c>
      <c r="G2472" s="310"/>
      <c r="K2472" s="300"/>
    </row>
    <row r="2473" ht="19" customHeight="1" spans="1:11">
      <c r="A2473" s="307" t="s">
        <v>16</v>
      </c>
      <c r="B2473" s="308"/>
      <c r="C2473" s="308"/>
      <c r="D2473" s="308"/>
      <c r="E2473" s="308"/>
      <c r="F2473" s="309">
        <f>IFERROR(VLOOKUP(K2465,'2026.01'!A:Y,10,0),0)</f>
        <v>500</v>
      </c>
      <c r="G2473" s="310"/>
      <c r="K2473" s="300"/>
    </row>
    <row r="2474" ht="21" customHeight="1" spans="1:11">
      <c r="A2474" s="307" t="s">
        <v>17</v>
      </c>
      <c r="B2474" s="308"/>
      <c r="C2474" s="308"/>
      <c r="D2474" s="308"/>
      <c r="E2474" s="308"/>
      <c r="F2474" s="309">
        <f>IFERROR(VLOOKUP(K2465,'2026.01'!A:Y,19,0),0)</f>
        <v>35</v>
      </c>
      <c r="G2474" s="310"/>
      <c r="K2474" s="300"/>
    </row>
    <row r="2475" ht="17.15" customHeight="1" spans="1:11">
      <c r="A2475" s="307" t="s">
        <v>18</v>
      </c>
      <c r="B2475" s="308"/>
      <c r="C2475" s="308"/>
      <c r="D2475" s="308"/>
      <c r="E2475" s="308"/>
      <c r="F2475" s="309">
        <f>IFERROR(VLOOKUP(K2465,'2026.01'!A:Y,22,0),0)</f>
        <v>267</v>
      </c>
      <c r="G2475" s="310"/>
      <c r="K2475" s="300"/>
    </row>
    <row r="2476" ht="17.15" customHeight="1" spans="1:11">
      <c r="A2476" s="307" t="s">
        <v>19</v>
      </c>
      <c r="B2476" s="312"/>
      <c r="C2476" s="308"/>
      <c r="D2476" s="313"/>
      <c r="E2476" s="308"/>
      <c r="F2476" s="309">
        <f>IFERROR(VLOOKUP(K2465,'2026.01'!A:Y,25,0),0)</f>
        <v>6053</v>
      </c>
      <c r="G2476" s="310"/>
      <c r="K2476" s="300"/>
    </row>
    <row r="2477" ht="15" customHeight="1" spans="1:11">
      <c r="A2477" s="314" t="s">
        <v>20</v>
      </c>
      <c r="B2477" s="315">
        <f>IF(F2476&lt;0,"金额为负，无效",INT(F2476))</f>
        <v>6053</v>
      </c>
      <c r="C2477" s="315"/>
      <c r="D2477" s="315"/>
      <c r="E2477" s="316" t="s">
        <v>21</v>
      </c>
      <c r="F2477" s="317"/>
      <c r="G2477" s="318"/>
      <c r="K2477" s="300"/>
    </row>
    <row r="2478" ht="15" customHeight="1" spans="1:11">
      <c r="A2478" s="319"/>
      <c r="B2478" s="320"/>
      <c r="C2478" s="320"/>
      <c r="D2478" s="320"/>
      <c r="E2478" s="319"/>
      <c r="F2478" s="321"/>
      <c r="G2478" s="322"/>
      <c r="K2478" s="300"/>
    </row>
    <row r="2479" ht="27" customHeight="1" spans="1:11">
      <c r="A2479" s="298" t="s">
        <v>0</v>
      </c>
      <c r="B2479" s="298"/>
      <c r="C2479" s="298"/>
      <c r="D2479" s="298"/>
      <c r="E2479" s="298"/>
      <c r="F2479" s="298"/>
      <c r="G2479" s="298"/>
      <c r="H2479" s="299"/>
      <c r="I2479" s="299"/>
      <c r="J2479" s="299"/>
      <c r="K2479" s="300">
        <v>178</v>
      </c>
    </row>
    <row r="2480" ht="15" customHeight="1" spans="1:11">
      <c r="A2480" s="301" t="s">
        <v>1</v>
      </c>
      <c r="B2480" s="301"/>
      <c r="C2480" s="301"/>
      <c r="D2480" s="301"/>
      <c r="E2480" s="301"/>
      <c r="F2480" s="301"/>
      <c r="G2480" s="302" t="str">
        <f>IFERROR(VLOOKUP(K2479,'2026.01'!A:Y,2,0),0)</f>
        <v>NO:178</v>
      </c>
      <c r="K2480" s="300"/>
    </row>
    <row r="2481" ht="15" customHeight="1" spans="1:11">
      <c r="A2481" s="303" t="s">
        <v>2</v>
      </c>
      <c r="B2481" s="304">
        <f>IFERROR(VLOOKUP(K2479,'2026.01'!A:Y,6,0),0)</f>
        <v>3012</v>
      </c>
      <c r="C2481" s="304"/>
      <c r="D2481" s="305" t="s">
        <v>3</v>
      </c>
      <c r="E2481" s="305" t="str">
        <f>IFERROR(VLOOKUP(K2479,'2026.01'!A:Y,7,0),0)</f>
        <v>李太焕</v>
      </c>
      <c r="F2481" s="305"/>
      <c r="G2481" s="306" t="s">
        <v>4</v>
      </c>
      <c r="K2481" s="300"/>
    </row>
    <row r="2482" ht="15" customHeight="1" spans="1:11">
      <c r="A2482" s="307" t="s">
        <v>5</v>
      </c>
      <c r="B2482" s="308" t="s">
        <v>6</v>
      </c>
      <c r="C2482" s="308" t="s">
        <v>7</v>
      </c>
      <c r="D2482" s="308" t="s">
        <v>8</v>
      </c>
      <c r="E2482" s="308" t="s">
        <v>9</v>
      </c>
      <c r="F2482" s="309" t="s">
        <v>10</v>
      </c>
      <c r="G2482" s="310" t="s">
        <v>11</v>
      </c>
      <c r="K2482" s="300"/>
    </row>
    <row r="2483" ht="15" customHeight="1" spans="1:11">
      <c r="A2483" s="307" t="s">
        <v>12</v>
      </c>
      <c r="B2483" s="308">
        <f>IFERROR(VLOOKUP(K2479,'2026.01'!A:Y,14,0),0)</f>
        <v>7199</v>
      </c>
      <c r="C2483" s="308">
        <f>IFERROR(VLOOKUP(K2479,'2026.01'!A:Y,13,0),0)</f>
        <v>7034</v>
      </c>
      <c r="D2483" s="308">
        <f>IFERROR(VLOOKUP(K2479,'2026.01'!A:Y,15,0),0)</f>
        <v>165</v>
      </c>
      <c r="E2483" s="311">
        <f>IFERROR(VLOOKUP(K2479,'2026.01'!A:Y,18,0),0)</f>
        <v>0.8</v>
      </c>
      <c r="F2483" s="309">
        <f>IFERROR(VLOOKUP(K2479,'2026.01'!A:Y,20,0),0)</f>
        <v>132</v>
      </c>
      <c r="G2483" s="310"/>
      <c r="K2483" s="300"/>
    </row>
    <row r="2484" ht="15" customHeight="1" spans="1:11">
      <c r="A2484" s="307" t="s">
        <v>13</v>
      </c>
      <c r="B2484" s="308"/>
      <c r="C2484" s="308"/>
      <c r="D2484" s="308"/>
      <c r="E2484" s="311"/>
      <c r="F2484" s="309">
        <f>IFERROR(VLOOKUP(K2479,'2026.01'!A:Y,24,0),0)</f>
        <v>51</v>
      </c>
      <c r="G2484" s="310"/>
      <c r="K2484" s="300"/>
    </row>
    <row r="2485" ht="15" customHeight="1" spans="1:11">
      <c r="A2485" s="307" t="s">
        <v>14</v>
      </c>
      <c r="B2485" s="308"/>
      <c r="C2485" s="308"/>
      <c r="D2485" s="308"/>
      <c r="E2485" s="311"/>
      <c r="F2485" s="309">
        <f>IFERROR(VLOOKUP(K2479,'2026.01'!A:Y,12,0),0)</f>
        <v>160</v>
      </c>
      <c r="G2485" s="310"/>
      <c r="K2485" s="300"/>
    </row>
    <row r="2486" ht="21" customHeight="1" spans="1:11">
      <c r="A2486" s="307" t="s">
        <v>15</v>
      </c>
      <c r="B2486" s="308"/>
      <c r="C2486" s="308"/>
      <c r="D2486" s="308"/>
      <c r="E2486" s="311"/>
      <c r="F2486" s="309">
        <f>IFERROR(VLOOKUP(K2479,'2026.01'!A:Y,9,0),0)</f>
        <v>5000</v>
      </c>
      <c r="G2486" s="310"/>
      <c r="K2486" s="300"/>
    </row>
    <row r="2487" ht="19" customHeight="1" spans="1:11">
      <c r="A2487" s="307" t="s">
        <v>16</v>
      </c>
      <c r="B2487" s="308"/>
      <c r="C2487" s="308"/>
      <c r="D2487" s="308"/>
      <c r="E2487" s="308"/>
      <c r="F2487" s="309">
        <f>IFERROR(VLOOKUP(K2479,'2026.01'!A:Y,10,0),0)</f>
        <v>500</v>
      </c>
      <c r="G2487" s="310"/>
      <c r="K2487" s="300"/>
    </row>
    <row r="2488" ht="21" customHeight="1" spans="1:11">
      <c r="A2488" s="307" t="s">
        <v>17</v>
      </c>
      <c r="B2488" s="308"/>
      <c r="C2488" s="308"/>
      <c r="D2488" s="308"/>
      <c r="E2488" s="308"/>
      <c r="F2488" s="309">
        <f>IFERROR(VLOOKUP(K2479,'2026.01'!A:Y,19,0),0)</f>
        <v>116</v>
      </c>
      <c r="G2488" s="310"/>
      <c r="K2488" s="300"/>
    </row>
    <row r="2489" ht="17.15" customHeight="1" spans="1:11">
      <c r="A2489" s="307" t="s">
        <v>18</v>
      </c>
      <c r="B2489" s="308"/>
      <c r="C2489" s="308"/>
      <c r="D2489" s="308"/>
      <c r="E2489" s="308"/>
      <c r="F2489" s="309">
        <f>IFERROR(VLOOKUP(K2479,'2026.01'!A:Y,22,0),0)</f>
        <v>267</v>
      </c>
      <c r="G2489" s="310"/>
      <c r="K2489" s="300"/>
    </row>
    <row r="2490" ht="17.15" customHeight="1" spans="1:11">
      <c r="A2490" s="307" t="s">
        <v>19</v>
      </c>
      <c r="B2490" s="312"/>
      <c r="C2490" s="308"/>
      <c r="D2490" s="313"/>
      <c r="E2490" s="308"/>
      <c r="F2490" s="309">
        <f>IFERROR(VLOOKUP(K2479,'2026.01'!A:Y,25,0),0)</f>
        <v>6226</v>
      </c>
      <c r="G2490" s="310"/>
      <c r="K2490" s="300"/>
    </row>
    <row r="2491" ht="15" customHeight="1" spans="1:11">
      <c r="A2491" s="314" t="s">
        <v>20</v>
      </c>
      <c r="B2491" s="315">
        <f>IF(F2490&lt;0,"金额为负，无效",INT(F2490))</f>
        <v>6226</v>
      </c>
      <c r="C2491" s="315"/>
      <c r="D2491" s="315"/>
      <c r="E2491" s="316" t="s">
        <v>21</v>
      </c>
      <c r="F2491" s="317"/>
      <c r="G2491" s="318"/>
      <c r="K2491" s="300"/>
    </row>
    <row r="2492" ht="23" customHeight="1" spans="1:11">
      <c r="A2492" s="319"/>
      <c r="B2492" s="320"/>
      <c r="C2492" s="320"/>
      <c r="D2492" s="320"/>
      <c r="E2492" s="319"/>
      <c r="F2492" s="321"/>
      <c r="G2492" s="322"/>
      <c r="K2492" s="300"/>
    </row>
    <row r="2493" ht="27" customHeight="1" spans="1:11">
      <c r="A2493" s="298" t="s">
        <v>0</v>
      </c>
      <c r="B2493" s="298"/>
      <c r="C2493" s="298"/>
      <c r="D2493" s="298"/>
      <c r="E2493" s="298"/>
      <c r="F2493" s="298"/>
      <c r="G2493" s="298"/>
      <c r="H2493" s="299"/>
      <c r="I2493" s="299"/>
      <c r="J2493" s="299"/>
      <c r="K2493" s="300">
        <v>179</v>
      </c>
    </row>
    <row r="2494" ht="15" customHeight="1" spans="1:11">
      <c r="A2494" s="301" t="s">
        <v>1</v>
      </c>
      <c r="B2494" s="301"/>
      <c r="C2494" s="301"/>
      <c r="D2494" s="301"/>
      <c r="E2494" s="301"/>
      <c r="F2494" s="301"/>
      <c r="G2494" s="302" t="str">
        <f>IFERROR(VLOOKUP(K2493,'2026.01'!A:Y,2,0),0)</f>
        <v>NO:179</v>
      </c>
      <c r="K2494" s="300"/>
    </row>
    <row r="2495" ht="15" customHeight="1" spans="1:11">
      <c r="A2495" s="303" t="s">
        <v>2</v>
      </c>
      <c r="B2495" s="304">
        <f>IFERROR(VLOOKUP(K2493,'2026.01'!A:Y,6,0),0)</f>
        <v>3013</v>
      </c>
      <c r="C2495" s="304"/>
      <c r="D2495" s="305" t="s">
        <v>3</v>
      </c>
      <c r="E2495" s="305" t="str">
        <f>IFERROR(VLOOKUP(K2493,'2026.01'!A:Y,7,0),0)</f>
        <v>陈超</v>
      </c>
      <c r="F2495" s="305"/>
      <c r="G2495" s="306" t="s">
        <v>4</v>
      </c>
      <c r="K2495" s="300"/>
    </row>
    <row r="2496" ht="15" customHeight="1" spans="1:11">
      <c r="A2496" s="307" t="s">
        <v>5</v>
      </c>
      <c r="B2496" s="308" t="s">
        <v>6</v>
      </c>
      <c r="C2496" s="308" t="s">
        <v>7</v>
      </c>
      <c r="D2496" s="308" t="s">
        <v>8</v>
      </c>
      <c r="E2496" s="308" t="s">
        <v>9</v>
      </c>
      <c r="F2496" s="309" t="s">
        <v>10</v>
      </c>
      <c r="G2496" s="310" t="s">
        <v>11</v>
      </c>
      <c r="K2496" s="300"/>
    </row>
    <row r="2497" ht="15" customHeight="1" spans="1:11">
      <c r="A2497" s="307" t="s">
        <v>12</v>
      </c>
      <c r="B2497" s="308">
        <f>IFERROR(VLOOKUP(K2493,'2026.01'!A:Y,14,0),0)</f>
        <v>8038</v>
      </c>
      <c r="C2497" s="308">
        <f>IFERROR(VLOOKUP(K2493,'2026.01'!A:Y,13,0),0)</f>
        <v>7866</v>
      </c>
      <c r="D2497" s="308">
        <f>IFERROR(VLOOKUP(K2493,'2026.01'!A:Y,15,0),0)</f>
        <v>172</v>
      </c>
      <c r="E2497" s="311">
        <f>IFERROR(VLOOKUP(K2493,'2026.01'!A:Y,18,0),0)</f>
        <v>0.8</v>
      </c>
      <c r="F2497" s="309">
        <f>IFERROR(VLOOKUP(K2493,'2026.01'!A:Y,20,0),0)</f>
        <v>138</v>
      </c>
      <c r="G2497" s="310"/>
      <c r="K2497" s="300"/>
    </row>
    <row r="2498" ht="15" customHeight="1" spans="1:11">
      <c r="A2498" s="307" t="s">
        <v>13</v>
      </c>
      <c r="B2498" s="308"/>
      <c r="C2498" s="308"/>
      <c r="D2498" s="308"/>
      <c r="E2498" s="311"/>
      <c r="F2498" s="309">
        <f>IFERROR(VLOOKUP(K2493,'2026.01'!A:Y,24,0),0)</f>
        <v>51</v>
      </c>
      <c r="G2498" s="310"/>
      <c r="K2498" s="300"/>
    </row>
    <row r="2499" ht="15" customHeight="1" spans="1:11">
      <c r="A2499" s="307" t="s">
        <v>14</v>
      </c>
      <c r="B2499" s="308"/>
      <c r="C2499" s="308"/>
      <c r="D2499" s="308"/>
      <c r="E2499" s="311"/>
      <c r="F2499" s="309">
        <f>IFERROR(VLOOKUP(K2493,'2026.01'!A:Y,12,0),0)</f>
        <v>160</v>
      </c>
      <c r="G2499" s="310"/>
      <c r="K2499" s="300"/>
    </row>
    <row r="2500" ht="21" customHeight="1" spans="1:11">
      <c r="A2500" s="307" t="s">
        <v>15</v>
      </c>
      <c r="B2500" s="308"/>
      <c r="C2500" s="308"/>
      <c r="D2500" s="308"/>
      <c r="E2500" s="311"/>
      <c r="F2500" s="309">
        <f>IFERROR(VLOOKUP(K2493,'2026.01'!A:Y,9,0),0)</f>
        <v>5000</v>
      </c>
      <c r="G2500" s="310"/>
      <c r="K2500" s="300"/>
    </row>
    <row r="2501" ht="19" customHeight="1" spans="1:11">
      <c r="A2501" s="307" t="s">
        <v>16</v>
      </c>
      <c r="B2501" s="308"/>
      <c r="C2501" s="308"/>
      <c r="D2501" s="308"/>
      <c r="E2501" s="308"/>
      <c r="F2501" s="309">
        <f>IFERROR(VLOOKUP(K2493,'2026.01'!A:Y,10,0),0)</f>
        <v>500</v>
      </c>
      <c r="G2501" s="310"/>
      <c r="K2501" s="300"/>
    </row>
    <row r="2502" ht="21" customHeight="1" spans="1:11">
      <c r="A2502" s="307" t="s">
        <v>17</v>
      </c>
      <c r="B2502" s="308"/>
      <c r="C2502" s="308"/>
      <c r="D2502" s="308"/>
      <c r="E2502" s="308"/>
      <c r="F2502" s="309">
        <f>IFERROR(VLOOKUP(K2493,'2026.01'!A:Y,19,0),0)</f>
        <v>120</v>
      </c>
      <c r="G2502" s="310"/>
      <c r="K2502" s="300"/>
    </row>
    <row r="2503" ht="17.15" customHeight="1" spans="1:11">
      <c r="A2503" s="307" t="s">
        <v>18</v>
      </c>
      <c r="B2503" s="308"/>
      <c r="C2503" s="308"/>
      <c r="D2503" s="308"/>
      <c r="E2503" s="308"/>
      <c r="F2503" s="309">
        <f>IFERROR(VLOOKUP(K2493,'2026.01'!A:Y,22,0),0)</f>
        <v>267</v>
      </c>
      <c r="G2503" s="310"/>
      <c r="K2503" s="300"/>
    </row>
    <row r="2504" ht="17.15" customHeight="1" spans="1:11">
      <c r="A2504" s="307" t="s">
        <v>19</v>
      </c>
      <c r="B2504" s="312"/>
      <c r="C2504" s="308"/>
      <c r="D2504" s="313"/>
      <c r="E2504" s="308"/>
      <c r="F2504" s="309">
        <f>IFERROR(VLOOKUP(K2493,'2026.01'!A:Y,25,0),0)</f>
        <v>6236</v>
      </c>
      <c r="G2504" s="310"/>
      <c r="K2504" s="300"/>
    </row>
    <row r="2505" ht="15" customHeight="1" spans="1:11">
      <c r="A2505" s="314" t="s">
        <v>20</v>
      </c>
      <c r="B2505" s="315">
        <f>IF(F2504&lt;0,"金额为负，无效",INT(F2504))</f>
        <v>6236</v>
      </c>
      <c r="C2505" s="315"/>
      <c r="D2505" s="315"/>
      <c r="E2505" s="316" t="s">
        <v>21</v>
      </c>
      <c r="F2505" s="317"/>
      <c r="G2505" s="318"/>
      <c r="K2505" s="300"/>
    </row>
    <row r="2506" ht="23" customHeight="1" spans="1:11">
      <c r="A2506" s="319"/>
      <c r="B2506" s="320"/>
      <c r="C2506" s="320"/>
      <c r="D2506" s="320"/>
      <c r="E2506" s="319"/>
      <c r="F2506" s="321"/>
      <c r="G2506" s="322"/>
      <c r="K2506" s="300"/>
    </row>
    <row r="2507" ht="27" customHeight="1" spans="1:11">
      <c r="A2507" s="298" t="s">
        <v>0</v>
      </c>
      <c r="B2507" s="298"/>
      <c r="C2507" s="298"/>
      <c r="D2507" s="298"/>
      <c r="E2507" s="298"/>
      <c r="F2507" s="298"/>
      <c r="G2507" s="298"/>
      <c r="H2507" s="299"/>
      <c r="I2507" s="299"/>
      <c r="J2507" s="299"/>
      <c r="K2507" s="300">
        <v>180</v>
      </c>
    </row>
    <row r="2508" ht="15" customHeight="1" spans="1:11">
      <c r="A2508" s="301" t="s">
        <v>1</v>
      </c>
      <c r="B2508" s="301"/>
      <c r="C2508" s="301"/>
      <c r="D2508" s="301"/>
      <c r="E2508" s="301"/>
      <c r="F2508" s="301"/>
      <c r="G2508" s="302" t="str">
        <f>IFERROR(VLOOKUP(K2507,'2026.01'!A:Y,2,0),0)</f>
        <v>NO:180</v>
      </c>
      <c r="K2508" s="300"/>
    </row>
    <row r="2509" ht="15" customHeight="1" spans="1:11">
      <c r="A2509" s="303" t="s">
        <v>2</v>
      </c>
      <c r="B2509" s="304">
        <f>IFERROR(VLOOKUP(K2507,'2026.01'!A:Y,6,0),0)</f>
        <v>3014</v>
      </c>
      <c r="C2509" s="304"/>
      <c r="D2509" s="305" t="s">
        <v>3</v>
      </c>
      <c r="E2509" s="305" t="str">
        <f>IFERROR(VLOOKUP(K2507,'2026.01'!A:Y,7,0),0)</f>
        <v>宋晓花</v>
      </c>
      <c r="F2509" s="305"/>
      <c r="G2509" s="306" t="s">
        <v>4</v>
      </c>
      <c r="K2509" s="300"/>
    </row>
    <row r="2510" ht="15" customHeight="1" spans="1:11">
      <c r="A2510" s="307" t="s">
        <v>5</v>
      </c>
      <c r="B2510" s="308" t="s">
        <v>6</v>
      </c>
      <c r="C2510" s="308" t="s">
        <v>7</v>
      </c>
      <c r="D2510" s="308" t="s">
        <v>8</v>
      </c>
      <c r="E2510" s="308" t="s">
        <v>9</v>
      </c>
      <c r="F2510" s="309" t="s">
        <v>10</v>
      </c>
      <c r="G2510" s="310" t="s">
        <v>11</v>
      </c>
      <c r="K2510" s="300"/>
    </row>
    <row r="2511" ht="15" customHeight="1" spans="1:11">
      <c r="A2511" s="307" t="s">
        <v>12</v>
      </c>
      <c r="B2511" s="308">
        <f>IFERROR(VLOOKUP(K2507,'2026.01'!A:Y,14,0),0)</f>
        <v>3788</v>
      </c>
      <c r="C2511" s="308">
        <f>IFERROR(VLOOKUP(K2507,'2026.01'!A:Y,13,0),0)</f>
        <v>3597</v>
      </c>
      <c r="D2511" s="308">
        <f>IFERROR(VLOOKUP(K2507,'2026.01'!A:Y,15,0),0)</f>
        <v>191</v>
      </c>
      <c r="E2511" s="311">
        <f>IFERROR(VLOOKUP(K2507,'2026.01'!A:Y,18,0),0)</f>
        <v>0.8</v>
      </c>
      <c r="F2511" s="309">
        <f>IFERROR(VLOOKUP(K2507,'2026.01'!A:Y,20,0),0)</f>
        <v>153</v>
      </c>
      <c r="G2511" s="310"/>
      <c r="K2511" s="300"/>
    </row>
    <row r="2512" ht="15" customHeight="1" spans="1:11">
      <c r="A2512" s="307" t="s">
        <v>13</v>
      </c>
      <c r="B2512" s="308"/>
      <c r="C2512" s="308"/>
      <c r="D2512" s="308"/>
      <c r="E2512" s="311"/>
      <c r="F2512" s="309">
        <f>IFERROR(VLOOKUP(K2507,'2026.01'!A:Y,24,0),0)</f>
        <v>51</v>
      </c>
      <c r="G2512" s="310"/>
      <c r="K2512" s="300"/>
    </row>
    <row r="2513" ht="15" customHeight="1" spans="1:11">
      <c r="A2513" s="307" t="s">
        <v>14</v>
      </c>
      <c r="B2513" s="308"/>
      <c r="C2513" s="308"/>
      <c r="D2513" s="308"/>
      <c r="E2513" s="311"/>
      <c r="F2513" s="309">
        <f>IFERROR(VLOOKUP(K2507,'2026.01'!A:Y,12,0),0)</f>
        <v>160</v>
      </c>
      <c r="G2513" s="310"/>
      <c r="K2513" s="300"/>
    </row>
    <row r="2514" ht="21" customHeight="1" spans="1:11">
      <c r="A2514" s="307" t="s">
        <v>15</v>
      </c>
      <c r="B2514" s="308"/>
      <c r="C2514" s="308"/>
      <c r="D2514" s="308"/>
      <c r="E2514" s="311"/>
      <c r="F2514" s="309">
        <f>IFERROR(VLOOKUP(K2507,'2026.01'!A:Y,9,0),0)</f>
        <v>5000</v>
      </c>
      <c r="G2514" s="310"/>
      <c r="K2514" s="300"/>
    </row>
    <row r="2515" ht="19" customHeight="1" spans="1:11">
      <c r="A2515" s="307" t="s">
        <v>16</v>
      </c>
      <c r="B2515" s="308"/>
      <c r="C2515" s="308"/>
      <c r="D2515" s="308"/>
      <c r="E2515" s="308"/>
      <c r="F2515" s="309">
        <f>IFERROR(VLOOKUP(K2507,'2026.01'!A:Y,10,0),0)</f>
        <v>500</v>
      </c>
      <c r="G2515" s="310"/>
      <c r="K2515" s="300"/>
    </row>
    <row r="2516" ht="21" customHeight="1" spans="1:11">
      <c r="A2516" s="307" t="s">
        <v>17</v>
      </c>
      <c r="B2516" s="308"/>
      <c r="C2516" s="308"/>
      <c r="D2516" s="308"/>
      <c r="E2516" s="308"/>
      <c r="F2516" s="309">
        <f>IFERROR(VLOOKUP(K2507,'2026.01'!A:Y,19,0),0)</f>
        <v>134</v>
      </c>
      <c r="G2516" s="310"/>
      <c r="K2516" s="300"/>
    </row>
    <row r="2517" ht="17.15" customHeight="1" spans="1:11">
      <c r="A2517" s="307" t="s">
        <v>18</v>
      </c>
      <c r="B2517" s="308"/>
      <c r="C2517" s="308"/>
      <c r="D2517" s="308"/>
      <c r="E2517" s="308"/>
      <c r="F2517" s="309">
        <f>IFERROR(VLOOKUP(K2507,'2026.01'!A:Y,22,0),0)</f>
        <v>267</v>
      </c>
      <c r="G2517" s="310"/>
      <c r="K2517" s="300"/>
    </row>
    <row r="2518" ht="17.15" customHeight="1" spans="1:11">
      <c r="A2518" s="307" t="s">
        <v>19</v>
      </c>
      <c r="B2518" s="312"/>
      <c r="C2518" s="308"/>
      <c r="D2518" s="313"/>
      <c r="E2518" s="308"/>
      <c r="F2518" s="309">
        <f>IFERROR(VLOOKUP(K2507,'2026.01'!A:Y,25,0),0)</f>
        <v>6265</v>
      </c>
      <c r="G2518" s="310"/>
      <c r="K2518" s="300"/>
    </row>
    <row r="2519" ht="15" customHeight="1" spans="1:11">
      <c r="A2519" s="314" t="s">
        <v>20</v>
      </c>
      <c r="B2519" s="315">
        <f>IF(F2518&lt;0,"金额为负，无效",INT(F2518))</f>
        <v>6265</v>
      </c>
      <c r="C2519" s="315"/>
      <c r="D2519" s="315"/>
      <c r="E2519" s="316" t="s">
        <v>21</v>
      </c>
      <c r="F2519" s="317"/>
      <c r="G2519" s="318"/>
      <c r="K2519" s="300"/>
    </row>
    <row r="2520" ht="15" customHeight="1" spans="1:11">
      <c r="A2520" s="319"/>
      <c r="B2520" s="320"/>
      <c r="C2520" s="320"/>
      <c r="D2520" s="320"/>
      <c r="E2520" s="319"/>
      <c r="F2520" s="321"/>
      <c r="G2520" s="322"/>
      <c r="K2520" s="300"/>
    </row>
    <row r="2521" ht="27" customHeight="1" spans="1:11">
      <c r="A2521" s="298" t="s">
        <v>0</v>
      </c>
      <c r="B2521" s="298"/>
      <c r="C2521" s="298"/>
      <c r="D2521" s="298"/>
      <c r="E2521" s="298"/>
      <c r="F2521" s="298"/>
      <c r="G2521" s="298"/>
      <c r="H2521" s="299"/>
      <c r="I2521" s="299"/>
      <c r="J2521" s="299"/>
      <c r="K2521" s="300">
        <v>181</v>
      </c>
    </row>
    <row r="2522" ht="15" customHeight="1" spans="1:11">
      <c r="A2522" s="301" t="s">
        <v>1</v>
      </c>
      <c r="B2522" s="301"/>
      <c r="C2522" s="301"/>
      <c r="D2522" s="301"/>
      <c r="E2522" s="301"/>
      <c r="F2522" s="301"/>
      <c r="G2522" s="302" t="str">
        <f>IFERROR(VLOOKUP(K2521,'2026.01'!A:Y,2,0),0)</f>
        <v>NO:181</v>
      </c>
      <c r="K2522" s="300"/>
    </row>
    <row r="2523" ht="15" customHeight="1" spans="1:11">
      <c r="A2523" s="303" t="s">
        <v>2</v>
      </c>
      <c r="B2523" s="304">
        <f>IFERROR(VLOOKUP(K2521,'2026.01'!A:Y,6,0),0)</f>
        <v>3015</v>
      </c>
      <c r="C2523" s="304"/>
      <c r="D2523" s="305" t="s">
        <v>3</v>
      </c>
      <c r="E2523" s="305" t="str">
        <f>IFERROR(VLOOKUP(K2521,'2026.01'!A:Y,7,0),0)</f>
        <v>陈广鹏</v>
      </c>
      <c r="F2523" s="305"/>
      <c r="G2523" s="306" t="s">
        <v>4</v>
      </c>
      <c r="K2523" s="300"/>
    </row>
    <row r="2524" ht="15" customHeight="1" spans="1:11">
      <c r="A2524" s="307" t="s">
        <v>5</v>
      </c>
      <c r="B2524" s="308" t="s">
        <v>6</v>
      </c>
      <c r="C2524" s="308" t="s">
        <v>7</v>
      </c>
      <c r="D2524" s="308" t="s">
        <v>8</v>
      </c>
      <c r="E2524" s="308" t="s">
        <v>9</v>
      </c>
      <c r="F2524" s="309" t="s">
        <v>10</v>
      </c>
      <c r="G2524" s="310" t="s">
        <v>11</v>
      </c>
      <c r="K2524" s="300"/>
    </row>
    <row r="2525" ht="15" customHeight="1" spans="1:11">
      <c r="A2525" s="307" t="s">
        <v>12</v>
      </c>
      <c r="B2525" s="308">
        <f>IFERROR(VLOOKUP(K2521,'2026.01'!A:Y,14,0),0)</f>
        <v>446</v>
      </c>
      <c r="C2525" s="308">
        <f>IFERROR(VLOOKUP(K2521,'2026.01'!A:Y,13,0),0)</f>
        <v>325</v>
      </c>
      <c r="D2525" s="308">
        <f>IFERROR(VLOOKUP(K2521,'2026.01'!A:Y,15,0),0)</f>
        <v>121</v>
      </c>
      <c r="E2525" s="311">
        <f>IFERROR(VLOOKUP(K2521,'2026.01'!A:Y,18,0),0)</f>
        <v>0.8</v>
      </c>
      <c r="F2525" s="309">
        <f>IFERROR(VLOOKUP(K2521,'2026.01'!A:Y,20,0),0)</f>
        <v>97</v>
      </c>
      <c r="G2525" s="310"/>
      <c r="K2525" s="300"/>
    </row>
    <row r="2526" ht="15" customHeight="1" spans="1:11">
      <c r="A2526" s="307" t="s">
        <v>13</v>
      </c>
      <c r="B2526" s="308"/>
      <c r="C2526" s="308"/>
      <c r="D2526" s="308"/>
      <c r="E2526" s="311"/>
      <c r="F2526" s="309">
        <f>IFERROR(VLOOKUP(K2521,'2026.01'!A:Y,24,0),0)</f>
        <v>51</v>
      </c>
      <c r="G2526" s="310"/>
      <c r="K2526" s="300"/>
    </row>
    <row r="2527" ht="15" customHeight="1" spans="1:11">
      <c r="A2527" s="307" t="s">
        <v>14</v>
      </c>
      <c r="B2527" s="308"/>
      <c r="C2527" s="308"/>
      <c r="D2527" s="308"/>
      <c r="E2527" s="311"/>
      <c r="F2527" s="309">
        <f>IFERROR(VLOOKUP(K2521,'2026.01'!A:Y,12,0),0)</f>
        <v>160</v>
      </c>
      <c r="G2527" s="310"/>
      <c r="K2527" s="300"/>
    </row>
    <row r="2528" ht="21" customHeight="1" spans="1:11">
      <c r="A2528" s="307" t="s">
        <v>15</v>
      </c>
      <c r="B2528" s="308"/>
      <c r="C2528" s="308"/>
      <c r="D2528" s="308"/>
      <c r="E2528" s="311"/>
      <c r="F2528" s="309">
        <f>IFERROR(VLOOKUP(K2521,'2026.01'!A:Y,9,0),0)</f>
        <v>5000</v>
      </c>
      <c r="G2528" s="310"/>
      <c r="K2528" s="300"/>
    </row>
    <row r="2529" ht="19" customHeight="1" spans="1:11">
      <c r="A2529" s="307" t="s">
        <v>16</v>
      </c>
      <c r="B2529" s="308"/>
      <c r="C2529" s="308"/>
      <c r="D2529" s="308"/>
      <c r="E2529" s="308"/>
      <c r="F2529" s="309">
        <f>IFERROR(VLOOKUP(K2521,'2026.01'!A:Y,10,0),0)</f>
        <v>500</v>
      </c>
      <c r="G2529" s="310"/>
      <c r="K2529" s="300"/>
    </row>
    <row r="2530" ht="21" customHeight="1" spans="1:11">
      <c r="A2530" s="307" t="s">
        <v>17</v>
      </c>
      <c r="B2530" s="308"/>
      <c r="C2530" s="308"/>
      <c r="D2530" s="308"/>
      <c r="E2530" s="308"/>
      <c r="F2530" s="309">
        <f>IFERROR(VLOOKUP(K2521,'2026.01'!A:Y,19,0),0)</f>
        <v>85</v>
      </c>
      <c r="G2530" s="310"/>
      <c r="K2530" s="300"/>
    </row>
    <row r="2531" ht="17.15" customHeight="1" spans="1:11">
      <c r="A2531" s="307" t="s">
        <v>18</v>
      </c>
      <c r="B2531" s="308"/>
      <c r="C2531" s="308"/>
      <c r="D2531" s="308"/>
      <c r="E2531" s="308"/>
      <c r="F2531" s="309">
        <f>IFERROR(VLOOKUP(K2521,'2026.01'!A:Y,22,0),0)</f>
        <v>267</v>
      </c>
      <c r="G2531" s="310"/>
      <c r="K2531" s="300"/>
    </row>
    <row r="2532" ht="17.15" customHeight="1" spans="1:11">
      <c r="A2532" s="307" t="s">
        <v>19</v>
      </c>
      <c r="B2532" s="312"/>
      <c r="C2532" s="308"/>
      <c r="D2532" s="313"/>
      <c r="E2532" s="308"/>
      <c r="F2532" s="309">
        <f>IFERROR(VLOOKUP(K2521,'2026.01'!A:Y,25,0),0)</f>
        <v>6160</v>
      </c>
      <c r="G2532" s="310"/>
      <c r="K2532" s="300"/>
    </row>
    <row r="2533" ht="15" customHeight="1" spans="1:11">
      <c r="A2533" s="314" t="s">
        <v>20</v>
      </c>
      <c r="B2533" s="315">
        <f>IF(F2532&lt;0,"金额为负，无效",INT(F2532))</f>
        <v>6160</v>
      </c>
      <c r="C2533" s="315"/>
      <c r="D2533" s="315"/>
      <c r="E2533" s="316" t="s">
        <v>21</v>
      </c>
      <c r="F2533" s="317"/>
      <c r="G2533" s="318"/>
      <c r="K2533" s="300"/>
    </row>
    <row r="2534" ht="23" customHeight="1" spans="1:11">
      <c r="A2534" s="319"/>
      <c r="B2534" s="320"/>
      <c r="C2534" s="320"/>
      <c r="D2534" s="320"/>
      <c r="E2534" s="319"/>
      <c r="F2534" s="321"/>
      <c r="G2534" s="322"/>
      <c r="K2534" s="300"/>
    </row>
    <row r="2535" ht="27" customHeight="1" spans="1:11">
      <c r="A2535" s="298" t="s">
        <v>0</v>
      </c>
      <c r="B2535" s="298"/>
      <c r="C2535" s="298"/>
      <c r="D2535" s="298"/>
      <c r="E2535" s="298"/>
      <c r="F2535" s="298"/>
      <c r="G2535" s="298"/>
      <c r="H2535" s="299"/>
      <c r="I2535" s="299"/>
      <c r="J2535" s="299"/>
      <c r="K2535" s="300">
        <v>182</v>
      </c>
    </row>
    <row r="2536" ht="15" customHeight="1" spans="1:11">
      <c r="A2536" s="301" t="s">
        <v>1</v>
      </c>
      <c r="B2536" s="301"/>
      <c r="C2536" s="301"/>
      <c r="D2536" s="301"/>
      <c r="E2536" s="301"/>
      <c r="F2536" s="301"/>
      <c r="G2536" s="302" t="str">
        <f>IFERROR(VLOOKUP(K2535,'2026.01'!A:Y,2,0),0)</f>
        <v>NO:182</v>
      </c>
      <c r="K2536" s="300"/>
    </row>
    <row r="2537" ht="15" customHeight="1" spans="1:11">
      <c r="A2537" s="303" t="s">
        <v>2</v>
      </c>
      <c r="B2537" s="304">
        <f>IFERROR(VLOOKUP(K2535,'2026.01'!A:Y,6,0),0)</f>
        <v>3016</v>
      </c>
      <c r="C2537" s="304"/>
      <c r="D2537" s="305" t="s">
        <v>3</v>
      </c>
      <c r="E2537" s="305" t="str">
        <f>IFERROR(VLOOKUP(K2535,'2026.01'!A:Y,7,0),0)</f>
        <v>吴登辉</v>
      </c>
      <c r="F2537" s="305"/>
      <c r="G2537" s="306" t="s">
        <v>4</v>
      </c>
      <c r="K2537" s="300"/>
    </row>
    <row r="2538" ht="15" customHeight="1" spans="1:11">
      <c r="A2538" s="307" t="s">
        <v>5</v>
      </c>
      <c r="B2538" s="308" t="s">
        <v>6</v>
      </c>
      <c r="C2538" s="308" t="s">
        <v>7</v>
      </c>
      <c r="D2538" s="308" t="s">
        <v>8</v>
      </c>
      <c r="E2538" s="308" t="s">
        <v>9</v>
      </c>
      <c r="F2538" s="309" t="s">
        <v>10</v>
      </c>
      <c r="G2538" s="310" t="s">
        <v>11</v>
      </c>
      <c r="K2538" s="300"/>
    </row>
    <row r="2539" ht="15" customHeight="1" spans="1:11">
      <c r="A2539" s="307" t="s">
        <v>12</v>
      </c>
      <c r="B2539" s="308">
        <f>IFERROR(VLOOKUP(K2535,'2026.01'!A:Y,14,0),0)</f>
        <v>3396</v>
      </c>
      <c r="C2539" s="308">
        <f>IFERROR(VLOOKUP(K2535,'2026.01'!A:Y,13,0),0)</f>
        <v>3375</v>
      </c>
      <c r="D2539" s="308">
        <f>IFERROR(VLOOKUP(K2535,'2026.01'!A:Y,15,0),0)</f>
        <v>21</v>
      </c>
      <c r="E2539" s="311">
        <f>IFERROR(VLOOKUP(K2535,'2026.01'!A:Y,18,0),0)</f>
        <v>0.8</v>
      </c>
      <c r="F2539" s="309">
        <f>IFERROR(VLOOKUP(K2535,'2026.01'!A:Y,20,0),0)</f>
        <v>17</v>
      </c>
      <c r="G2539" s="310"/>
      <c r="K2539" s="300"/>
    </row>
    <row r="2540" ht="15" customHeight="1" spans="1:11">
      <c r="A2540" s="307" t="s">
        <v>13</v>
      </c>
      <c r="B2540" s="308"/>
      <c r="C2540" s="308"/>
      <c r="D2540" s="308"/>
      <c r="E2540" s="311"/>
      <c r="F2540" s="309">
        <f>IFERROR(VLOOKUP(K2535,'2026.01'!A:Y,24,0),0)</f>
        <v>51</v>
      </c>
      <c r="G2540" s="310"/>
      <c r="K2540" s="300"/>
    </row>
    <row r="2541" ht="15" customHeight="1" spans="1:11">
      <c r="A2541" s="307" t="s">
        <v>14</v>
      </c>
      <c r="B2541" s="308"/>
      <c r="C2541" s="308"/>
      <c r="D2541" s="308"/>
      <c r="E2541" s="311"/>
      <c r="F2541" s="309">
        <f>IFERROR(VLOOKUP(K2535,'2026.01'!A:Y,12,0),0)</f>
        <v>160</v>
      </c>
      <c r="G2541" s="310"/>
      <c r="K2541" s="300"/>
    </row>
    <row r="2542" ht="21" customHeight="1" spans="1:11">
      <c r="A2542" s="307" t="s">
        <v>15</v>
      </c>
      <c r="B2542" s="308"/>
      <c r="C2542" s="308"/>
      <c r="D2542" s="308"/>
      <c r="E2542" s="311"/>
      <c r="F2542" s="309">
        <f>IFERROR(VLOOKUP(K2535,'2026.01'!A:Y,9,0),0)</f>
        <v>5000</v>
      </c>
      <c r="G2542" s="310"/>
      <c r="K2542" s="300"/>
    </row>
    <row r="2543" ht="19" customHeight="1" spans="1:11">
      <c r="A2543" s="307" t="s">
        <v>16</v>
      </c>
      <c r="B2543" s="308"/>
      <c r="C2543" s="308"/>
      <c r="D2543" s="308"/>
      <c r="E2543" s="308"/>
      <c r="F2543" s="309">
        <f>IFERROR(VLOOKUP(K2535,'2026.01'!A:Y,10,0),0)</f>
        <v>500</v>
      </c>
      <c r="G2543" s="310"/>
      <c r="K2543" s="300"/>
    </row>
    <row r="2544" ht="21" customHeight="1" spans="1:11">
      <c r="A2544" s="307" t="s">
        <v>17</v>
      </c>
      <c r="B2544" s="308"/>
      <c r="C2544" s="308"/>
      <c r="D2544" s="308"/>
      <c r="E2544" s="308"/>
      <c r="F2544" s="309">
        <f>IFERROR(VLOOKUP(K2535,'2026.01'!A:Y,19,0),0)</f>
        <v>15</v>
      </c>
      <c r="G2544" s="310"/>
      <c r="K2544" s="300"/>
    </row>
    <row r="2545" ht="17.15" customHeight="1" spans="1:11">
      <c r="A2545" s="307" t="s">
        <v>18</v>
      </c>
      <c r="B2545" s="308"/>
      <c r="C2545" s="308"/>
      <c r="D2545" s="308"/>
      <c r="E2545" s="308"/>
      <c r="F2545" s="309">
        <f>IFERROR(VLOOKUP(K2535,'2026.01'!A:Y,22,0),0)</f>
        <v>267</v>
      </c>
      <c r="G2545" s="310"/>
      <c r="K2545" s="300"/>
    </row>
    <row r="2546" ht="17.15" customHeight="1" spans="1:11">
      <c r="A2546" s="307" t="s">
        <v>19</v>
      </c>
      <c r="B2546" s="312"/>
      <c r="C2546" s="308"/>
      <c r="D2546" s="313"/>
      <c r="E2546" s="308"/>
      <c r="F2546" s="309">
        <f>IFERROR(VLOOKUP(K2535,'2026.01'!A:Y,25,0),0)</f>
        <v>6010</v>
      </c>
      <c r="G2546" s="310"/>
      <c r="K2546" s="300"/>
    </row>
    <row r="2547" ht="15" customHeight="1" spans="1:11">
      <c r="A2547" s="314" t="s">
        <v>20</v>
      </c>
      <c r="B2547" s="315">
        <f>IF(F2546&lt;0,"金额为负，无效",INT(F2546))</f>
        <v>6010</v>
      </c>
      <c r="C2547" s="315"/>
      <c r="D2547" s="315"/>
      <c r="E2547" s="316" t="s">
        <v>21</v>
      </c>
      <c r="F2547" s="317"/>
      <c r="G2547" s="318"/>
      <c r="K2547" s="300"/>
    </row>
    <row r="2548" ht="23" customHeight="1" spans="1:11">
      <c r="A2548" s="319"/>
      <c r="B2548" s="320"/>
      <c r="C2548" s="320"/>
      <c r="D2548" s="320"/>
      <c r="E2548" s="319"/>
      <c r="F2548" s="321"/>
      <c r="G2548" s="322"/>
      <c r="K2548" s="300"/>
    </row>
    <row r="2549" ht="27" customHeight="1" spans="1:11">
      <c r="A2549" s="298" t="s">
        <v>0</v>
      </c>
      <c r="B2549" s="298"/>
      <c r="C2549" s="298"/>
      <c r="D2549" s="298"/>
      <c r="E2549" s="298"/>
      <c r="F2549" s="298"/>
      <c r="G2549" s="298"/>
      <c r="H2549" s="299"/>
      <c r="I2549" s="299"/>
      <c r="J2549" s="299"/>
      <c r="K2549" s="300">
        <v>183</v>
      </c>
    </row>
    <row r="2550" ht="15" customHeight="1" spans="1:11">
      <c r="A2550" s="301" t="s">
        <v>1</v>
      </c>
      <c r="B2550" s="301"/>
      <c r="C2550" s="301"/>
      <c r="D2550" s="301"/>
      <c r="E2550" s="301"/>
      <c r="F2550" s="301"/>
      <c r="G2550" s="302" t="str">
        <f>IFERROR(VLOOKUP(K2549,'2026.01'!A:Y,2,0),0)</f>
        <v>NO:183</v>
      </c>
      <c r="K2550" s="300"/>
    </row>
    <row r="2551" ht="15" customHeight="1" spans="1:11">
      <c r="A2551" s="303" t="s">
        <v>2</v>
      </c>
      <c r="B2551" s="304">
        <f>IFERROR(VLOOKUP(K2549,'2026.01'!A:Y,6,0),0)</f>
        <v>3017</v>
      </c>
      <c r="C2551" s="304"/>
      <c r="D2551" s="305" t="s">
        <v>3</v>
      </c>
      <c r="E2551" s="305" t="str">
        <f>IFERROR(VLOOKUP(K2549,'2026.01'!A:Y,7,0),0)</f>
        <v>张顶</v>
      </c>
      <c r="F2551" s="305"/>
      <c r="G2551" s="306" t="s">
        <v>4</v>
      </c>
      <c r="K2551" s="300"/>
    </row>
    <row r="2552" ht="15" customHeight="1" spans="1:11">
      <c r="A2552" s="307" t="s">
        <v>5</v>
      </c>
      <c r="B2552" s="308" t="s">
        <v>6</v>
      </c>
      <c r="C2552" s="308" t="s">
        <v>7</v>
      </c>
      <c r="D2552" s="308" t="s">
        <v>8</v>
      </c>
      <c r="E2552" s="308" t="s">
        <v>9</v>
      </c>
      <c r="F2552" s="309" t="s">
        <v>10</v>
      </c>
      <c r="G2552" s="310" t="s">
        <v>11</v>
      </c>
      <c r="K2552" s="300"/>
    </row>
    <row r="2553" ht="15" customHeight="1" spans="1:11">
      <c r="A2553" s="307" t="s">
        <v>12</v>
      </c>
      <c r="B2553" s="308">
        <f>IFERROR(VLOOKUP(K2549,'2026.01'!A:Y,14,0),0)</f>
        <v>3038</v>
      </c>
      <c r="C2553" s="308">
        <f>IFERROR(VLOOKUP(K2549,'2026.01'!A:Y,13,0),0)</f>
        <v>3017</v>
      </c>
      <c r="D2553" s="308">
        <f>IFERROR(VLOOKUP(K2549,'2026.01'!A:Y,15,0),0)</f>
        <v>21</v>
      </c>
      <c r="E2553" s="311">
        <f>IFERROR(VLOOKUP(K2549,'2026.01'!A:Y,18,0),0)</f>
        <v>0.8</v>
      </c>
      <c r="F2553" s="309">
        <f>IFERROR(VLOOKUP(K2549,'2026.01'!A:Y,20,0),0)</f>
        <v>17</v>
      </c>
      <c r="G2553" s="310"/>
      <c r="K2553" s="300"/>
    </row>
    <row r="2554" ht="15" customHeight="1" spans="1:11">
      <c r="A2554" s="307" t="s">
        <v>13</v>
      </c>
      <c r="B2554" s="308"/>
      <c r="C2554" s="308"/>
      <c r="D2554" s="308"/>
      <c r="E2554" s="311"/>
      <c r="F2554" s="309">
        <f>IFERROR(VLOOKUP(K2549,'2026.01'!A:Y,24,0),0)</f>
        <v>51</v>
      </c>
      <c r="G2554" s="310"/>
      <c r="K2554" s="300"/>
    </row>
    <row r="2555" ht="15" customHeight="1" spans="1:11">
      <c r="A2555" s="307" t="s">
        <v>14</v>
      </c>
      <c r="B2555" s="308"/>
      <c r="C2555" s="308"/>
      <c r="D2555" s="308"/>
      <c r="E2555" s="311"/>
      <c r="F2555" s="309">
        <f>IFERROR(VLOOKUP(K2549,'2026.01'!A:Y,12,0),0)</f>
        <v>160</v>
      </c>
      <c r="G2555" s="310"/>
      <c r="K2555" s="300"/>
    </row>
    <row r="2556" ht="21" customHeight="1" spans="1:11">
      <c r="A2556" s="307" t="s">
        <v>15</v>
      </c>
      <c r="B2556" s="308"/>
      <c r="C2556" s="308"/>
      <c r="D2556" s="308"/>
      <c r="E2556" s="311"/>
      <c r="F2556" s="309">
        <f>IFERROR(VLOOKUP(K2549,'2026.01'!A:Y,9,0),0)</f>
        <v>5000</v>
      </c>
      <c r="G2556" s="310"/>
      <c r="K2556" s="300"/>
    </row>
    <row r="2557" ht="19" customHeight="1" spans="1:11">
      <c r="A2557" s="307" t="s">
        <v>16</v>
      </c>
      <c r="B2557" s="308"/>
      <c r="C2557" s="308"/>
      <c r="D2557" s="308"/>
      <c r="E2557" s="308"/>
      <c r="F2557" s="309">
        <f>IFERROR(VLOOKUP(K2549,'2026.01'!A:Y,10,0),0)</f>
        <v>500</v>
      </c>
      <c r="G2557" s="310"/>
      <c r="K2557" s="300"/>
    </row>
    <row r="2558" ht="21" customHeight="1" spans="1:11">
      <c r="A2558" s="307" t="s">
        <v>17</v>
      </c>
      <c r="B2558" s="308"/>
      <c r="C2558" s="308"/>
      <c r="D2558" s="308"/>
      <c r="E2558" s="308"/>
      <c r="F2558" s="309">
        <f>IFERROR(VLOOKUP(K2549,'2026.01'!A:Y,19,0),0)</f>
        <v>15</v>
      </c>
      <c r="G2558" s="310"/>
      <c r="K2558" s="300"/>
    </row>
    <row r="2559" ht="17.15" customHeight="1" spans="1:11">
      <c r="A2559" s="307" t="s">
        <v>18</v>
      </c>
      <c r="B2559" s="308"/>
      <c r="C2559" s="308"/>
      <c r="D2559" s="308"/>
      <c r="E2559" s="308"/>
      <c r="F2559" s="309">
        <f>IFERROR(VLOOKUP(K2549,'2026.01'!A:Y,22,0),0)</f>
        <v>267</v>
      </c>
      <c r="G2559" s="310"/>
      <c r="K2559" s="300"/>
    </row>
    <row r="2560" ht="17.15" customHeight="1" spans="1:11">
      <c r="A2560" s="307" t="s">
        <v>19</v>
      </c>
      <c r="B2560" s="312"/>
      <c r="C2560" s="308"/>
      <c r="D2560" s="313"/>
      <c r="E2560" s="308"/>
      <c r="F2560" s="309">
        <f>IFERROR(VLOOKUP(K2549,'2026.01'!A:Y,25,0),0)</f>
        <v>6010</v>
      </c>
      <c r="G2560" s="310"/>
      <c r="K2560" s="300"/>
    </row>
    <row r="2561" ht="15" customHeight="1" spans="1:11">
      <c r="A2561" s="314" t="s">
        <v>20</v>
      </c>
      <c r="B2561" s="315">
        <f>IF(F2560&lt;0,"金额为负，无效",INT(F2560))</f>
        <v>6010</v>
      </c>
      <c r="C2561" s="315"/>
      <c r="D2561" s="315"/>
      <c r="E2561" s="316" t="s">
        <v>21</v>
      </c>
      <c r="F2561" s="317"/>
      <c r="G2561" s="318"/>
      <c r="K2561" s="300"/>
    </row>
    <row r="2562" ht="15" customHeight="1" spans="1:11">
      <c r="A2562" s="319"/>
      <c r="B2562" s="320"/>
      <c r="C2562" s="320"/>
      <c r="D2562" s="320"/>
      <c r="E2562" s="319"/>
      <c r="F2562" s="321"/>
      <c r="G2562" s="322"/>
      <c r="K2562" s="300"/>
    </row>
    <row r="2563" ht="27" customHeight="1" spans="1:11">
      <c r="A2563" s="298" t="s">
        <v>0</v>
      </c>
      <c r="B2563" s="298"/>
      <c r="C2563" s="298"/>
      <c r="D2563" s="298"/>
      <c r="E2563" s="298"/>
      <c r="F2563" s="298"/>
      <c r="G2563" s="298"/>
      <c r="H2563" s="299"/>
      <c r="I2563" s="299"/>
      <c r="J2563" s="299"/>
      <c r="K2563" s="300">
        <v>184</v>
      </c>
    </row>
    <row r="2564" ht="15" customHeight="1" spans="1:11">
      <c r="A2564" s="301" t="s">
        <v>1</v>
      </c>
      <c r="B2564" s="301"/>
      <c r="C2564" s="301"/>
      <c r="D2564" s="301"/>
      <c r="E2564" s="301"/>
      <c r="F2564" s="301"/>
      <c r="G2564" s="302" t="str">
        <f>IFERROR(VLOOKUP(K2563,'2026.01'!A:Y,2,0),0)</f>
        <v>NO:184</v>
      </c>
      <c r="K2564" s="300"/>
    </row>
    <row r="2565" ht="15" customHeight="1" spans="1:11">
      <c r="A2565" s="303" t="s">
        <v>2</v>
      </c>
      <c r="B2565" s="304">
        <f>IFERROR(VLOOKUP(K2563,'2026.01'!A:Y,6,0),0)</f>
        <v>3018</v>
      </c>
      <c r="C2565" s="304"/>
      <c r="D2565" s="305" t="s">
        <v>3</v>
      </c>
      <c r="E2565" s="305" t="str">
        <f>IFERROR(VLOOKUP(K2563,'2026.01'!A:Y,7,0),0)</f>
        <v>陈剑影</v>
      </c>
      <c r="F2565" s="305"/>
      <c r="G2565" s="306" t="s">
        <v>4</v>
      </c>
      <c r="K2565" s="300"/>
    </row>
    <row r="2566" ht="15" customHeight="1" spans="1:11">
      <c r="A2566" s="307" t="s">
        <v>5</v>
      </c>
      <c r="B2566" s="308" t="s">
        <v>6</v>
      </c>
      <c r="C2566" s="308" t="s">
        <v>7</v>
      </c>
      <c r="D2566" s="308" t="s">
        <v>8</v>
      </c>
      <c r="E2566" s="308" t="s">
        <v>9</v>
      </c>
      <c r="F2566" s="309" t="s">
        <v>10</v>
      </c>
      <c r="G2566" s="310" t="s">
        <v>11</v>
      </c>
      <c r="K2566" s="300"/>
    </row>
    <row r="2567" ht="15" customHeight="1" spans="1:11">
      <c r="A2567" s="307" t="s">
        <v>12</v>
      </c>
      <c r="B2567" s="308">
        <f>IFERROR(VLOOKUP(K2563,'2026.01'!A:Y,14,0),0)</f>
        <v>1407</v>
      </c>
      <c r="C2567" s="308">
        <f>IFERROR(VLOOKUP(K2563,'2026.01'!A:Y,13,0),0)</f>
        <v>1335</v>
      </c>
      <c r="D2567" s="308">
        <f>IFERROR(VLOOKUP(K2563,'2026.01'!A:Y,15,0),0)</f>
        <v>72</v>
      </c>
      <c r="E2567" s="311">
        <f>IFERROR(VLOOKUP(K2563,'2026.01'!A:Y,18,0),0)</f>
        <v>0.8</v>
      </c>
      <c r="F2567" s="309">
        <f>IFERROR(VLOOKUP(K2563,'2026.01'!A:Y,20,0),0)</f>
        <v>58</v>
      </c>
      <c r="G2567" s="310"/>
      <c r="K2567" s="300"/>
    </row>
    <row r="2568" ht="15" customHeight="1" spans="1:11">
      <c r="A2568" s="307" t="s">
        <v>13</v>
      </c>
      <c r="B2568" s="308"/>
      <c r="C2568" s="308"/>
      <c r="D2568" s="308"/>
      <c r="E2568" s="311"/>
      <c r="F2568" s="309">
        <f>IFERROR(VLOOKUP(K2563,'2026.01'!A:Y,24,0),0)</f>
        <v>51</v>
      </c>
      <c r="G2568" s="310"/>
      <c r="K2568" s="300"/>
    </row>
    <row r="2569" ht="15" customHeight="1" spans="1:11">
      <c r="A2569" s="307" t="s">
        <v>14</v>
      </c>
      <c r="B2569" s="308"/>
      <c r="C2569" s="308"/>
      <c r="D2569" s="308"/>
      <c r="E2569" s="311"/>
      <c r="F2569" s="309">
        <f>IFERROR(VLOOKUP(K2563,'2026.01'!A:Y,12,0),0)</f>
        <v>160</v>
      </c>
      <c r="G2569" s="310"/>
      <c r="K2569" s="300"/>
    </row>
    <row r="2570" ht="21" customHeight="1" spans="1:11">
      <c r="A2570" s="307" t="s">
        <v>15</v>
      </c>
      <c r="B2570" s="308"/>
      <c r="C2570" s="308"/>
      <c r="D2570" s="308"/>
      <c r="E2570" s="311"/>
      <c r="F2570" s="309">
        <f>IFERROR(VLOOKUP(K2563,'2026.01'!A:Y,9,0),0)</f>
        <v>5000</v>
      </c>
      <c r="G2570" s="310"/>
      <c r="K2570" s="300"/>
    </row>
    <row r="2571" ht="19" customHeight="1" spans="1:11">
      <c r="A2571" s="307" t="s">
        <v>16</v>
      </c>
      <c r="B2571" s="308"/>
      <c r="C2571" s="308"/>
      <c r="D2571" s="308"/>
      <c r="E2571" s="308"/>
      <c r="F2571" s="309">
        <f>IFERROR(VLOOKUP(K2563,'2026.01'!A:Y,10,0),0)</f>
        <v>500</v>
      </c>
      <c r="G2571" s="310"/>
      <c r="K2571" s="300"/>
    </row>
    <row r="2572" ht="21" customHeight="1" spans="1:11">
      <c r="A2572" s="307" t="s">
        <v>17</v>
      </c>
      <c r="B2572" s="308"/>
      <c r="C2572" s="308"/>
      <c r="D2572" s="308"/>
      <c r="E2572" s="308"/>
      <c r="F2572" s="309">
        <f>IFERROR(VLOOKUP(K2563,'2026.01'!A:Y,19,0),0)</f>
        <v>50</v>
      </c>
      <c r="G2572" s="310"/>
      <c r="K2572" s="300"/>
    </row>
    <row r="2573" ht="17.15" customHeight="1" spans="1:11">
      <c r="A2573" s="307" t="s">
        <v>18</v>
      </c>
      <c r="B2573" s="308"/>
      <c r="C2573" s="308"/>
      <c r="D2573" s="308"/>
      <c r="E2573" s="308"/>
      <c r="F2573" s="309">
        <f>IFERROR(VLOOKUP(K2563,'2026.01'!A:Y,22,0),0)</f>
        <v>267</v>
      </c>
      <c r="G2573" s="310"/>
      <c r="K2573" s="300"/>
    </row>
    <row r="2574" ht="17.15" customHeight="1" spans="1:11">
      <c r="A2574" s="307" t="s">
        <v>19</v>
      </c>
      <c r="B2574" s="312"/>
      <c r="C2574" s="308"/>
      <c r="D2574" s="313"/>
      <c r="E2574" s="308"/>
      <c r="F2574" s="309">
        <f>IFERROR(VLOOKUP(K2563,'2026.01'!A:Y,25,0),0)</f>
        <v>6086</v>
      </c>
      <c r="G2574" s="310"/>
      <c r="K2574" s="300"/>
    </row>
    <row r="2575" ht="15" customHeight="1" spans="1:11">
      <c r="A2575" s="314" t="s">
        <v>20</v>
      </c>
      <c r="B2575" s="315">
        <f>IF(F2574&lt;0,"金额为负，无效",INT(F2574))</f>
        <v>6086</v>
      </c>
      <c r="C2575" s="315"/>
      <c r="D2575" s="315"/>
      <c r="E2575" s="316" t="s">
        <v>21</v>
      </c>
      <c r="F2575" s="317"/>
      <c r="G2575" s="318"/>
      <c r="K2575" s="300"/>
    </row>
    <row r="2576" ht="23" customHeight="1" spans="1:11">
      <c r="A2576" s="319"/>
      <c r="B2576" s="320"/>
      <c r="C2576" s="320"/>
      <c r="D2576" s="320"/>
      <c r="E2576" s="319"/>
      <c r="F2576" s="321"/>
      <c r="G2576" s="322"/>
      <c r="K2576" s="300"/>
    </row>
    <row r="2577" ht="27" customHeight="1" spans="1:11">
      <c r="A2577" s="298" t="s">
        <v>0</v>
      </c>
      <c r="B2577" s="298"/>
      <c r="C2577" s="298"/>
      <c r="D2577" s="298"/>
      <c r="E2577" s="298"/>
      <c r="F2577" s="298"/>
      <c r="G2577" s="298"/>
      <c r="H2577" s="299"/>
      <c r="I2577" s="299"/>
      <c r="J2577" s="299"/>
      <c r="K2577" s="300">
        <v>185</v>
      </c>
    </row>
    <row r="2578" ht="15" customHeight="1" spans="1:11">
      <c r="A2578" s="301" t="s">
        <v>1</v>
      </c>
      <c r="B2578" s="301"/>
      <c r="C2578" s="301"/>
      <c r="D2578" s="301"/>
      <c r="E2578" s="301"/>
      <c r="F2578" s="301"/>
      <c r="G2578" s="302" t="str">
        <f>IFERROR(VLOOKUP(K2577,'2026.01'!A:Y,2,0),0)</f>
        <v>NO:185</v>
      </c>
      <c r="K2578" s="300"/>
    </row>
    <row r="2579" ht="15" customHeight="1" spans="1:11">
      <c r="A2579" s="303" t="s">
        <v>2</v>
      </c>
      <c r="B2579" s="304">
        <f>IFERROR(VLOOKUP(K2577,'2026.01'!A:Y,6,0),0)</f>
        <v>3019</v>
      </c>
      <c r="C2579" s="304"/>
      <c r="D2579" s="305" t="s">
        <v>3</v>
      </c>
      <c r="E2579" s="305" t="str">
        <f>IFERROR(VLOOKUP(K2577,'2026.01'!A:Y,7,0),0)</f>
        <v>潘程</v>
      </c>
      <c r="F2579" s="305"/>
      <c r="G2579" s="306" t="s">
        <v>4</v>
      </c>
      <c r="K2579" s="300"/>
    </row>
    <row r="2580" ht="15" customHeight="1" spans="1:11">
      <c r="A2580" s="307" t="s">
        <v>5</v>
      </c>
      <c r="B2580" s="308" t="s">
        <v>6</v>
      </c>
      <c r="C2580" s="308" t="s">
        <v>7</v>
      </c>
      <c r="D2580" s="308" t="s">
        <v>8</v>
      </c>
      <c r="E2580" s="308" t="s">
        <v>9</v>
      </c>
      <c r="F2580" s="309" t="s">
        <v>10</v>
      </c>
      <c r="G2580" s="310" t="s">
        <v>11</v>
      </c>
      <c r="K2580" s="300"/>
    </row>
    <row r="2581" ht="15" customHeight="1" spans="1:11">
      <c r="A2581" s="307" t="s">
        <v>12</v>
      </c>
      <c r="B2581" s="308">
        <f>IFERROR(VLOOKUP(K2577,'2026.01'!A:Y,14,0),0)</f>
        <v>1202</v>
      </c>
      <c r="C2581" s="308">
        <f>IFERROR(VLOOKUP(K2577,'2026.01'!A:Y,13,0),0)</f>
        <v>1078</v>
      </c>
      <c r="D2581" s="308">
        <f>IFERROR(VLOOKUP(K2577,'2026.01'!A:Y,15,0),0)</f>
        <v>124</v>
      </c>
      <c r="E2581" s="311">
        <f>IFERROR(VLOOKUP(K2577,'2026.01'!A:Y,18,0),0)</f>
        <v>0.8</v>
      </c>
      <c r="F2581" s="309">
        <f>IFERROR(VLOOKUP(K2577,'2026.01'!A:Y,20,0),0)</f>
        <v>99</v>
      </c>
      <c r="G2581" s="310"/>
      <c r="K2581" s="300"/>
    </row>
    <row r="2582" ht="15" customHeight="1" spans="1:11">
      <c r="A2582" s="307" t="s">
        <v>13</v>
      </c>
      <c r="B2582" s="308"/>
      <c r="C2582" s="308"/>
      <c r="D2582" s="308"/>
      <c r="E2582" s="311"/>
      <c r="F2582" s="309">
        <f>IFERROR(VLOOKUP(K2577,'2026.01'!A:Y,24,0),0)</f>
        <v>51</v>
      </c>
      <c r="G2582" s="310"/>
      <c r="K2582" s="300"/>
    </row>
    <row r="2583" ht="15" customHeight="1" spans="1:11">
      <c r="A2583" s="307" t="s">
        <v>14</v>
      </c>
      <c r="B2583" s="308"/>
      <c r="C2583" s="308"/>
      <c r="D2583" s="308"/>
      <c r="E2583" s="311"/>
      <c r="F2583" s="309">
        <f>IFERROR(VLOOKUP(K2577,'2026.01'!A:Y,12,0),0)</f>
        <v>160</v>
      </c>
      <c r="G2583" s="310"/>
      <c r="K2583" s="300"/>
    </row>
    <row r="2584" ht="21" customHeight="1" spans="1:11">
      <c r="A2584" s="307" t="s">
        <v>15</v>
      </c>
      <c r="B2584" s="308"/>
      <c r="C2584" s="308"/>
      <c r="D2584" s="308"/>
      <c r="E2584" s="311"/>
      <c r="F2584" s="309">
        <f>IFERROR(VLOOKUP(K2577,'2026.01'!A:Y,9,0),0)</f>
        <v>5000</v>
      </c>
      <c r="G2584" s="310"/>
      <c r="K2584" s="300"/>
    </row>
    <row r="2585" ht="19" customHeight="1" spans="1:11">
      <c r="A2585" s="307" t="s">
        <v>16</v>
      </c>
      <c r="B2585" s="308"/>
      <c r="C2585" s="308"/>
      <c r="D2585" s="308"/>
      <c r="E2585" s="308"/>
      <c r="F2585" s="309">
        <f>IFERROR(VLOOKUP(K2577,'2026.01'!A:Y,10,0),0)</f>
        <v>500</v>
      </c>
      <c r="G2585" s="310"/>
      <c r="K2585" s="300"/>
    </row>
    <row r="2586" ht="21" customHeight="1" spans="1:11">
      <c r="A2586" s="307" t="s">
        <v>17</v>
      </c>
      <c r="B2586" s="308"/>
      <c r="C2586" s="308"/>
      <c r="D2586" s="308"/>
      <c r="E2586" s="308"/>
      <c r="F2586" s="309">
        <f>IFERROR(VLOOKUP(K2577,'2026.01'!A:Y,19,0),0)</f>
        <v>87</v>
      </c>
      <c r="G2586" s="310"/>
      <c r="K2586" s="300"/>
    </row>
    <row r="2587" ht="17.15" customHeight="1" spans="1:11">
      <c r="A2587" s="307" t="s">
        <v>18</v>
      </c>
      <c r="B2587" s="308"/>
      <c r="C2587" s="308"/>
      <c r="D2587" s="308"/>
      <c r="E2587" s="308"/>
      <c r="F2587" s="309">
        <f>IFERROR(VLOOKUP(K2577,'2026.01'!A:Y,22,0),0)</f>
        <v>267</v>
      </c>
      <c r="G2587" s="310"/>
      <c r="K2587" s="300"/>
    </row>
    <row r="2588" ht="17.15" customHeight="1" spans="1:11">
      <c r="A2588" s="307" t="s">
        <v>19</v>
      </c>
      <c r="B2588" s="312"/>
      <c r="C2588" s="308"/>
      <c r="D2588" s="313"/>
      <c r="E2588" s="308"/>
      <c r="F2588" s="309">
        <f>IFERROR(VLOOKUP(K2577,'2026.01'!A:Y,25,0),0)</f>
        <v>6164</v>
      </c>
      <c r="G2588" s="310"/>
      <c r="K2588" s="300"/>
    </row>
    <row r="2589" ht="15" customHeight="1" spans="1:11">
      <c r="A2589" s="314" t="s">
        <v>20</v>
      </c>
      <c r="B2589" s="315">
        <f>IF(F2588&lt;0,"金额为负，无效",INT(F2588))</f>
        <v>6164</v>
      </c>
      <c r="C2589" s="315"/>
      <c r="D2589" s="315"/>
      <c r="E2589" s="316" t="s">
        <v>21</v>
      </c>
      <c r="F2589" s="317"/>
      <c r="G2589" s="318"/>
      <c r="K2589" s="300"/>
    </row>
    <row r="2590" ht="23" customHeight="1" spans="1:11">
      <c r="A2590" s="319"/>
      <c r="B2590" s="320"/>
      <c r="C2590" s="320"/>
      <c r="D2590" s="320"/>
      <c r="E2590" s="319"/>
      <c r="F2590" s="321"/>
      <c r="G2590" s="322"/>
      <c r="K2590" s="300"/>
    </row>
    <row r="2591" ht="27" customHeight="1" spans="1:11">
      <c r="A2591" s="298" t="s">
        <v>0</v>
      </c>
      <c r="B2591" s="298"/>
      <c r="C2591" s="298"/>
      <c r="D2591" s="298"/>
      <c r="E2591" s="298"/>
      <c r="F2591" s="298"/>
      <c r="G2591" s="298"/>
      <c r="H2591" s="299"/>
      <c r="I2591" s="299"/>
      <c r="J2591" s="299"/>
      <c r="K2591" s="300">
        <v>186</v>
      </c>
    </row>
    <row r="2592" ht="15" customHeight="1" spans="1:11">
      <c r="A2592" s="301" t="s">
        <v>1</v>
      </c>
      <c r="B2592" s="301"/>
      <c r="C2592" s="301"/>
      <c r="D2592" s="301"/>
      <c r="E2592" s="301"/>
      <c r="F2592" s="301"/>
      <c r="G2592" s="302" t="str">
        <f>IFERROR(VLOOKUP(K2591,'2026.01'!A:Y,2,0),0)</f>
        <v>NO:186</v>
      </c>
      <c r="K2592" s="300"/>
    </row>
    <row r="2593" ht="15" customHeight="1" spans="1:11">
      <c r="A2593" s="303" t="s">
        <v>2</v>
      </c>
      <c r="B2593" s="304">
        <f>IFERROR(VLOOKUP(K2591,'2026.01'!A:Y,6,0),0)</f>
        <v>3020</v>
      </c>
      <c r="C2593" s="304"/>
      <c r="D2593" s="305" t="s">
        <v>3</v>
      </c>
      <c r="E2593" s="305" t="str">
        <f>IFERROR(VLOOKUP(K2591,'2026.01'!A:Y,7,0),0)</f>
        <v>马润洲</v>
      </c>
      <c r="F2593" s="305"/>
      <c r="G2593" s="306" t="s">
        <v>4</v>
      </c>
      <c r="K2593" s="300"/>
    </row>
    <row r="2594" ht="15" customHeight="1" spans="1:11">
      <c r="A2594" s="307" t="s">
        <v>5</v>
      </c>
      <c r="B2594" s="308" t="s">
        <v>6</v>
      </c>
      <c r="C2594" s="308" t="s">
        <v>7</v>
      </c>
      <c r="D2594" s="308" t="s">
        <v>8</v>
      </c>
      <c r="E2594" s="308" t="s">
        <v>9</v>
      </c>
      <c r="F2594" s="309" t="s">
        <v>10</v>
      </c>
      <c r="G2594" s="310" t="s">
        <v>11</v>
      </c>
      <c r="K2594" s="300"/>
    </row>
    <row r="2595" ht="15" customHeight="1" spans="1:11">
      <c r="A2595" s="307" t="s">
        <v>12</v>
      </c>
      <c r="B2595" s="308">
        <f>IFERROR(VLOOKUP(K2591,'2026.01'!A:Y,14,0),0)</f>
        <v>4007</v>
      </c>
      <c r="C2595" s="308">
        <f>IFERROR(VLOOKUP(K2591,'2026.01'!A:Y,13,0),0)</f>
        <v>3989</v>
      </c>
      <c r="D2595" s="308">
        <f>IFERROR(VLOOKUP(K2591,'2026.01'!A:Y,15,0),0)</f>
        <v>18</v>
      </c>
      <c r="E2595" s="311">
        <f>IFERROR(VLOOKUP(K2591,'2026.01'!A:Y,18,0),0)</f>
        <v>0.8</v>
      </c>
      <c r="F2595" s="309">
        <f>IFERROR(VLOOKUP(K2591,'2026.01'!A:Y,20,0),0)</f>
        <v>14</v>
      </c>
      <c r="G2595" s="310"/>
      <c r="K2595" s="300"/>
    </row>
    <row r="2596" ht="15" customHeight="1" spans="1:11">
      <c r="A2596" s="307" t="s">
        <v>13</v>
      </c>
      <c r="B2596" s="308"/>
      <c r="C2596" s="308"/>
      <c r="D2596" s="308"/>
      <c r="E2596" s="311"/>
      <c r="F2596" s="309">
        <f>IFERROR(VLOOKUP(K2591,'2026.01'!A:Y,24,0),0)</f>
        <v>51</v>
      </c>
      <c r="G2596" s="310"/>
      <c r="K2596" s="300"/>
    </row>
    <row r="2597" ht="15" customHeight="1" spans="1:11">
      <c r="A2597" s="307" t="s">
        <v>14</v>
      </c>
      <c r="B2597" s="308"/>
      <c r="C2597" s="308"/>
      <c r="D2597" s="308"/>
      <c r="E2597" s="311"/>
      <c r="F2597" s="309">
        <f>IFERROR(VLOOKUP(K2591,'2026.01'!A:Y,12,0),0)</f>
        <v>160</v>
      </c>
      <c r="G2597" s="310"/>
      <c r="K2597" s="300"/>
    </row>
    <row r="2598" ht="21" customHeight="1" spans="1:11">
      <c r="A2598" s="307" t="s">
        <v>15</v>
      </c>
      <c r="B2598" s="308"/>
      <c r="C2598" s="308"/>
      <c r="D2598" s="308"/>
      <c r="E2598" s="311"/>
      <c r="F2598" s="309">
        <f>IFERROR(VLOOKUP(K2591,'2026.01'!A:Y,9,0),0)</f>
        <v>5000</v>
      </c>
      <c r="G2598" s="310"/>
      <c r="K2598" s="300"/>
    </row>
    <row r="2599" ht="19" customHeight="1" spans="1:11">
      <c r="A2599" s="307" t="s">
        <v>16</v>
      </c>
      <c r="B2599" s="308"/>
      <c r="C2599" s="308"/>
      <c r="D2599" s="308"/>
      <c r="E2599" s="308"/>
      <c r="F2599" s="309">
        <f>IFERROR(VLOOKUP(K2591,'2026.01'!A:Y,10,0),0)</f>
        <v>500</v>
      </c>
      <c r="G2599" s="310"/>
      <c r="K2599" s="300"/>
    </row>
    <row r="2600" ht="21" customHeight="1" spans="1:11">
      <c r="A2600" s="307" t="s">
        <v>17</v>
      </c>
      <c r="B2600" s="308"/>
      <c r="C2600" s="308"/>
      <c r="D2600" s="308"/>
      <c r="E2600" s="308"/>
      <c r="F2600" s="309">
        <f>IFERROR(VLOOKUP(K2591,'2026.01'!A:Y,19,0),0)</f>
        <v>13</v>
      </c>
      <c r="G2600" s="310"/>
      <c r="K2600" s="300"/>
    </row>
    <row r="2601" ht="17.15" customHeight="1" spans="1:11">
      <c r="A2601" s="307" t="s">
        <v>18</v>
      </c>
      <c r="B2601" s="308"/>
      <c r="C2601" s="308"/>
      <c r="D2601" s="308"/>
      <c r="E2601" s="308"/>
      <c r="F2601" s="309">
        <f>IFERROR(VLOOKUP(K2591,'2026.01'!A:Y,22,0),0)</f>
        <v>267</v>
      </c>
      <c r="G2601" s="310"/>
      <c r="K2601" s="300"/>
    </row>
    <row r="2602" ht="17.15" customHeight="1" spans="1:11">
      <c r="A2602" s="307" t="s">
        <v>19</v>
      </c>
      <c r="B2602" s="312"/>
      <c r="C2602" s="308"/>
      <c r="D2602" s="313"/>
      <c r="E2602" s="308"/>
      <c r="F2602" s="309">
        <f>IFERROR(VLOOKUP(K2591,'2026.01'!A:Y,25,0),0)</f>
        <v>6005</v>
      </c>
      <c r="G2602" s="310"/>
      <c r="K2602" s="300"/>
    </row>
    <row r="2603" ht="15" customHeight="1" spans="1:11">
      <c r="A2603" s="314" t="s">
        <v>20</v>
      </c>
      <c r="B2603" s="315">
        <f>IF(F2602&lt;0,"金额为负，无效",INT(F2602))</f>
        <v>6005</v>
      </c>
      <c r="C2603" s="315"/>
      <c r="D2603" s="315"/>
      <c r="E2603" s="316" t="s">
        <v>21</v>
      </c>
      <c r="F2603" s="317"/>
      <c r="G2603" s="318"/>
      <c r="K2603" s="300"/>
    </row>
    <row r="2604" ht="15" customHeight="1" spans="1:11">
      <c r="A2604" s="319"/>
      <c r="B2604" s="320"/>
      <c r="C2604" s="320"/>
      <c r="D2604" s="320"/>
      <c r="E2604" s="319"/>
      <c r="F2604" s="321"/>
      <c r="G2604" s="322"/>
      <c r="K2604" s="300"/>
    </row>
    <row r="2605" ht="27" customHeight="1" spans="1:11">
      <c r="A2605" s="298" t="s">
        <v>0</v>
      </c>
      <c r="B2605" s="298"/>
      <c r="C2605" s="298"/>
      <c r="D2605" s="298"/>
      <c r="E2605" s="298"/>
      <c r="F2605" s="298"/>
      <c r="G2605" s="298"/>
      <c r="H2605" s="299"/>
      <c r="I2605" s="299"/>
      <c r="J2605" s="299"/>
      <c r="K2605" s="300">
        <v>187</v>
      </c>
    </row>
    <row r="2606" ht="15" customHeight="1" spans="1:11">
      <c r="A2606" s="301" t="s">
        <v>1</v>
      </c>
      <c r="B2606" s="301"/>
      <c r="C2606" s="301"/>
      <c r="D2606" s="301"/>
      <c r="E2606" s="301"/>
      <c r="F2606" s="301"/>
      <c r="G2606" s="302" t="str">
        <f>IFERROR(VLOOKUP(K2605,'2026.01'!A:Y,2,0),0)</f>
        <v>NO:187</v>
      </c>
      <c r="K2606" s="300"/>
    </row>
    <row r="2607" ht="15" customHeight="1" spans="1:11">
      <c r="A2607" s="303" t="s">
        <v>2</v>
      </c>
      <c r="B2607" s="304">
        <f>IFERROR(VLOOKUP(K2605,'2026.01'!A:Y,6,0),0)</f>
        <v>3021</v>
      </c>
      <c r="C2607" s="304"/>
      <c r="D2607" s="305" t="s">
        <v>3</v>
      </c>
      <c r="E2607" s="305" t="str">
        <f>IFERROR(VLOOKUP(K2605,'2026.01'!A:Y,7,0),0)</f>
        <v>杨友明</v>
      </c>
      <c r="F2607" s="305"/>
      <c r="G2607" s="306" t="s">
        <v>4</v>
      </c>
      <c r="K2607" s="300"/>
    </row>
    <row r="2608" ht="15" customHeight="1" spans="1:11">
      <c r="A2608" s="307" t="s">
        <v>5</v>
      </c>
      <c r="B2608" s="308" t="s">
        <v>6</v>
      </c>
      <c r="C2608" s="308" t="s">
        <v>7</v>
      </c>
      <c r="D2608" s="308" t="s">
        <v>8</v>
      </c>
      <c r="E2608" s="308" t="s">
        <v>9</v>
      </c>
      <c r="F2608" s="309" t="s">
        <v>10</v>
      </c>
      <c r="G2608" s="310" t="s">
        <v>11</v>
      </c>
      <c r="K2608" s="300"/>
    </row>
    <row r="2609" ht="15" customHeight="1" spans="1:11">
      <c r="A2609" s="307" t="s">
        <v>12</v>
      </c>
      <c r="B2609" s="308">
        <f>IFERROR(VLOOKUP(K2605,'2026.01'!A:Y,14,0),0)</f>
        <v>8559</v>
      </c>
      <c r="C2609" s="308">
        <f>IFERROR(VLOOKUP(K2605,'2026.01'!A:Y,13,0),0)</f>
        <v>8530</v>
      </c>
      <c r="D2609" s="308">
        <f>IFERROR(VLOOKUP(K2605,'2026.01'!A:Y,15,0),0)</f>
        <v>29</v>
      </c>
      <c r="E2609" s="311">
        <f>IFERROR(VLOOKUP(K2605,'2026.01'!A:Y,18,0),0)</f>
        <v>0.8</v>
      </c>
      <c r="F2609" s="309">
        <f>IFERROR(VLOOKUP(K2605,'2026.01'!A:Y,20,0),0)</f>
        <v>23</v>
      </c>
      <c r="G2609" s="310"/>
      <c r="K2609" s="300"/>
    </row>
    <row r="2610" ht="15" customHeight="1" spans="1:11">
      <c r="A2610" s="307" t="s">
        <v>13</v>
      </c>
      <c r="B2610" s="308"/>
      <c r="C2610" s="308"/>
      <c r="D2610" s="308"/>
      <c r="E2610" s="311"/>
      <c r="F2610" s="309">
        <f>IFERROR(VLOOKUP(K2605,'2026.01'!A:Y,24,0),0)</f>
        <v>51</v>
      </c>
      <c r="G2610" s="310"/>
      <c r="K2610" s="300"/>
    </row>
    <row r="2611" ht="15" customHeight="1" spans="1:11">
      <c r="A2611" s="307" t="s">
        <v>14</v>
      </c>
      <c r="B2611" s="308"/>
      <c r="C2611" s="308"/>
      <c r="D2611" s="308"/>
      <c r="E2611" s="311"/>
      <c r="F2611" s="309">
        <f>IFERROR(VLOOKUP(K2605,'2026.01'!A:Y,12,0),0)</f>
        <v>160</v>
      </c>
      <c r="G2611" s="310"/>
      <c r="K2611" s="300"/>
    </row>
    <row r="2612" ht="21" customHeight="1" spans="1:11">
      <c r="A2612" s="307" t="s">
        <v>15</v>
      </c>
      <c r="B2612" s="308"/>
      <c r="C2612" s="308"/>
      <c r="D2612" s="308"/>
      <c r="E2612" s="311"/>
      <c r="F2612" s="309">
        <f>IFERROR(VLOOKUP(K2605,'2026.01'!A:Y,9,0),0)</f>
        <v>5000</v>
      </c>
      <c r="G2612" s="310"/>
      <c r="K2612" s="300"/>
    </row>
    <row r="2613" ht="19" customHeight="1" spans="1:11">
      <c r="A2613" s="307" t="s">
        <v>16</v>
      </c>
      <c r="B2613" s="308"/>
      <c r="C2613" s="308"/>
      <c r="D2613" s="308"/>
      <c r="E2613" s="308"/>
      <c r="F2613" s="309">
        <f>IFERROR(VLOOKUP(K2605,'2026.01'!A:Y,10,0),0)</f>
        <v>500</v>
      </c>
      <c r="G2613" s="310"/>
      <c r="K2613" s="300"/>
    </row>
    <row r="2614" ht="21" customHeight="1" spans="1:11">
      <c r="A2614" s="307" t="s">
        <v>17</v>
      </c>
      <c r="B2614" s="308"/>
      <c r="C2614" s="308"/>
      <c r="D2614" s="308"/>
      <c r="E2614" s="308"/>
      <c r="F2614" s="309">
        <f>IFERROR(VLOOKUP(K2605,'2026.01'!A:Y,19,0),0)</f>
        <v>20</v>
      </c>
      <c r="G2614" s="310"/>
      <c r="K2614" s="300"/>
    </row>
    <row r="2615" ht="17.15" customHeight="1" spans="1:11">
      <c r="A2615" s="307" t="s">
        <v>18</v>
      </c>
      <c r="B2615" s="308"/>
      <c r="C2615" s="308"/>
      <c r="D2615" s="308"/>
      <c r="E2615" s="308"/>
      <c r="F2615" s="309">
        <f>IFERROR(VLOOKUP(K2605,'2026.01'!A:Y,22,0),0)</f>
        <v>267</v>
      </c>
      <c r="G2615" s="310"/>
      <c r="K2615" s="300"/>
    </row>
    <row r="2616" ht="17.15" customHeight="1" spans="1:11">
      <c r="A2616" s="307" t="s">
        <v>19</v>
      </c>
      <c r="B2616" s="312"/>
      <c r="C2616" s="308"/>
      <c r="D2616" s="313"/>
      <c r="E2616" s="308"/>
      <c r="F2616" s="309">
        <f>IFERROR(VLOOKUP(K2605,'2026.01'!A:Y,25,0),0)</f>
        <v>6021</v>
      </c>
      <c r="G2616" s="310"/>
      <c r="K2616" s="300"/>
    </row>
    <row r="2617" ht="15" customHeight="1" spans="1:11">
      <c r="A2617" s="314" t="s">
        <v>20</v>
      </c>
      <c r="B2617" s="315">
        <f>IF(F2616&lt;0,"金额为负，无效",INT(F2616))</f>
        <v>6021</v>
      </c>
      <c r="C2617" s="315"/>
      <c r="D2617" s="315"/>
      <c r="E2617" s="316" t="s">
        <v>21</v>
      </c>
      <c r="F2617" s="317"/>
      <c r="G2617" s="318"/>
      <c r="K2617" s="300"/>
    </row>
    <row r="2618" ht="23" customHeight="1" spans="1:11">
      <c r="A2618" s="319"/>
      <c r="B2618" s="320"/>
      <c r="C2618" s="320"/>
      <c r="D2618" s="320"/>
      <c r="E2618" s="319"/>
      <c r="F2618" s="321"/>
      <c r="G2618" s="322"/>
      <c r="K2618" s="300"/>
    </row>
    <row r="2619" ht="27" customHeight="1" spans="1:11">
      <c r="A2619" s="298" t="s">
        <v>0</v>
      </c>
      <c r="B2619" s="298"/>
      <c r="C2619" s="298"/>
      <c r="D2619" s="298"/>
      <c r="E2619" s="298"/>
      <c r="F2619" s="298"/>
      <c r="G2619" s="298"/>
      <c r="H2619" s="299"/>
      <c r="I2619" s="299"/>
      <c r="J2619" s="299"/>
      <c r="K2619" s="300">
        <v>188</v>
      </c>
    </row>
    <row r="2620" ht="15" customHeight="1" spans="1:11">
      <c r="A2620" s="301" t="s">
        <v>1</v>
      </c>
      <c r="B2620" s="301"/>
      <c r="C2620" s="301"/>
      <c r="D2620" s="301"/>
      <c r="E2620" s="301"/>
      <c r="F2620" s="301"/>
      <c r="G2620" s="302" t="str">
        <f>IFERROR(VLOOKUP(K2619,'2026.01'!A:Y,2,0),0)</f>
        <v>NO:188</v>
      </c>
      <c r="K2620" s="300"/>
    </row>
    <row r="2621" ht="15" customHeight="1" spans="1:11">
      <c r="A2621" s="303" t="s">
        <v>2</v>
      </c>
      <c r="B2621" s="304">
        <f>IFERROR(VLOOKUP(K2619,'2026.01'!A:Y,6,0),0)</f>
        <v>3022</v>
      </c>
      <c r="C2621" s="304"/>
      <c r="D2621" s="305" t="s">
        <v>3</v>
      </c>
      <c r="E2621" s="305" t="str">
        <f>IFERROR(VLOOKUP(K2619,'2026.01'!A:Y,7,0),0)</f>
        <v>陈娇丽</v>
      </c>
      <c r="F2621" s="305"/>
      <c r="G2621" s="306" t="s">
        <v>4</v>
      </c>
      <c r="K2621" s="300"/>
    </row>
    <row r="2622" ht="15" customHeight="1" spans="1:11">
      <c r="A2622" s="307" t="s">
        <v>5</v>
      </c>
      <c r="B2622" s="308" t="s">
        <v>6</v>
      </c>
      <c r="C2622" s="308" t="s">
        <v>7</v>
      </c>
      <c r="D2622" s="308" t="s">
        <v>8</v>
      </c>
      <c r="E2622" s="308" t="s">
        <v>9</v>
      </c>
      <c r="F2622" s="309" t="s">
        <v>10</v>
      </c>
      <c r="G2622" s="310" t="s">
        <v>11</v>
      </c>
      <c r="K2622" s="300"/>
    </row>
    <row r="2623" ht="15" customHeight="1" spans="1:11">
      <c r="A2623" s="307" t="s">
        <v>12</v>
      </c>
      <c r="B2623" s="308">
        <f>IFERROR(VLOOKUP(K2619,'2026.01'!A:Y,14,0),0)</f>
        <v>1879</v>
      </c>
      <c r="C2623" s="308">
        <f>IFERROR(VLOOKUP(K2619,'2026.01'!A:Y,13,0),0)</f>
        <v>1814</v>
      </c>
      <c r="D2623" s="308">
        <f>IFERROR(VLOOKUP(K2619,'2026.01'!A:Y,15,0),0)</f>
        <v>65</v>
      </c>
      <c r="E2623" s="311">
        <f>IFERROR(VLOOKUP(K2619,'2026.01'!A:Y,18,0),0)</f>
        <v>0.8</v>
      </c>
      <c r="F2623" s="309">
        <f>IFERROR(VLOOKUP(K2619,'2026.01'!A:Y,20,0),0)</f>
        <v>52</v>
      </c>
      <c r="G2623" s="310"/>
      <c r="K2623" s="300"/>
    </row>
    <row r="2624" ht="15" customHeight="1" spans="1:11">
      <c r="A2624" s="307" t="s">
        <v>13</v>
      </c>
      <c r="B2624" s="308"/>
      <c r="C2624" s="308"/>
      <c r="D2624" s="308"/>
      <c r="E2624" s="311"/>
      <c r="F2624" s="309">
        <f>IFERROR(VLOOKUP(K2619,'2026.01'!A:Y,24,0),0)</f>
        <v>51</v>
      </c>
      <c r="G2624" s="310"/>
      <c r="K2624" s="300"/>
    </row>
    <row r="2625" ht="15" customHeight="1" spans="1:11">
      <c r="A2625" s="307" t="s">
        <v>14</v>
      </c>
      <c r="B2625" s="308"/>
      <c r="C2625" s="308"/>
      <c r="D2625" s="308"/>
      <c r="E2625" s="311"/>
      <c r="F2625" s="309">
        <f>IFERROR(VLOOKUP(K2619,'2026.01'!A:Y,12,0),0)</f>
        <v>160</v>
      </c>
      <c r="G2625" s="310"/>
      <c r="K2625" s="300"/>
    </row>
    <row r="2626" ht="21" customHeight="1" spans="1:11">
      <c r="A2626" s="307" t="s">
        <v>15</v>
      </c>
      <c r="B2626" s="308"/>
      <c r="C2626" s="308"/>
      <c r="D2626" s="308"/>
      <c r="E2626" s="311"/>
      <c r="F2626" s="309">
        <f>IFERROR(VLOOKUP(K2619,'2026.01'!A:Y,9,0),0)</f>
        <v>5000</v>
      </c>
      <c r="G2626" s="310"/>
      <c r="K2626" s="300"/>
    </row>
    <row r="2627" ht="19" customHeight="1" spans="1:11">
      <c r="A2627" s="307" t="s">
        <v>16</v>
      </c>
      <c r="B2627" s="308"/>
      <c r="C2627" s="308"/>
      <c r="D2627" s="308"/>
      <c r="E2627" s="308"/>
      <c r="F2627" s="309">
        <f>IFERROR(VLOOKUP(K2619,'2026.01'!A:Y,10,0),0)</f>
        <v>500</v>
      </c>
      <c r="G2627" s="310"/>
      <c r="K2627" s="300"/>
    </row>
    <row r="2628" ht="21" customHeight="1" spans="1:11">
      <c r="A2628" s="307" t="s">
        <v>17</v>
      </c>
      <c r="B2628" s="308"/>
      <c r="C2628" s="308"/>
      <c r="D2628" s="308"/>
      <c r="E2628" s="308"/>
      <c r="F2628" s="309">
        <f>IFERROR(VLOOKUP(K2619,'2026.01'!A:Y,19,0),0)</f>
        <v>46</v>
      </c>
      <c r="G2628" s="310"/>
      <c r="K2628" s="300"/>
    </row>
    <row r="2629" ht="17.15" customHeight="1" spans="1:11">
      <c r="A2629" s="307" t="s">
        <v>18</v>
      </c>
      <c r="B2629" s="308"/>
      <c r="C2629" s="308"/>
      <c r="D2629" s="308"/>
      <c r="E2629" s="308"/>
      <c r="F2629" s="309">
        <f>IFERROR(VLOOKUP(K2619,'2026.01'!A:Y,22,0),0)</f>
        <v>267</v>
      </c>
      <c r="G2629" s="310"/>
      <c r="K2629" s="300"/>
    </row>
    <row r="2630" ht="17.15" customHeight="1" spans="1:11">
      <c r="A2630" s="307" t="s">
        <v>19</v>
      </c>
      <c r="B2630" s="312"/>
      <c r="C2630" s="308"/>
      <c r="D2630" s="313"/>
      <c r="E2630" s="308"/>
      <c r="F2630" s="309">
        <f>IFERROR(VLOOKUP(K2619,'2026.01'!A:Y,25,0),0)</f>
        <v>6076</v>
      </c>
      <c r="G2630" s="310"/>
      <c r="K2630" s="300"/>
    </row>
    <row r="2631" ht="15" customHeight="1" spans="1:11">
      <c r="A2631" s="314" t="s">
        <v>20</v>
      </c>
      <c r="B2631" s="315">
        <f>IF(F2630&lt;0,"金额为负，无效",INT(F2630))</f>
        <v>6076</v>
      </c>
      <c r="C2631" s="315"/>
      <c r="D2631" s="315"/>
      <c r="E2631" s="316" t="s">
        <v>21</v>
      </c>
      <c r="F2631" s="317"/>
      <c r="G2631" s="318"/>
      <c r="K2631" s="300"/>
    </row>
    <row r="2632" ht="23" customHeight="1" spans="1:11">
      <c r="A2632" s="319"/>
      <c r="B2632" s="320"/>
      <c r="C2632" s="320"/>
      <c r="D2632" s="320"/>
      <c r="E2632" s="319"/>
      <c r="F2632" s="321"/>
      <c r="G2632" s="322"/>
      <c r="K2632" s="300"/>
    </row>
    <row r="2633" ht="27" customHeight="1" spans="1:11">
      <c r="A2633" s="298" t="s">
        <v>0</v>
      </c>
      <c r="B2633" s="298"/>
      <c r="C2633" s="298"/>
      <c r="D2633" s="298"/>
      <c r="E2633" s="298"/>
      <c r="F2633" s="298"/>
      <c r="G2633" s="298"/>
      <c r="H2633" s="299"/>
      <c r="I2633" s="299"/>
      <c r="J2633" s="299"/>
      <c r="K2633" s="300">
        <v>189</v>
      </c>
    </row>
    <row r="2634" ht="15" customHeight="1" spans="1:11">
      <c r="A2634" s="301" t="s">
        <v>1</v>
      </c>
      <c r="B2634" s="301"/>
      <c r="C2634" s="301"/>
      <c r="D2634" s="301"/>
      <c r="E2634" s="301"/>
      <c r="F2634" s="301"/>
      <c r="G2634" s="302" t="str">
        <f>IFERROR(VLOOKUP(K2633,'2026.01'!A:Y,2,0),0)</f>
        <v>NO:189</v>
      </c>
      <c r="K2634" s="300"/>
    </row>
    <row r="2635" ht="15" customHeight="1" spans="1:11">
      <c r="A2635" s="303" t="s">
        <v>2</v>
      </c>
      <c r="B2635" s="304">
        <f>IFERROR(VLOOKUP(K2633,'2026.01'!A:Y,6,0),0)</f>
        <v>3023</v>
      </c>
      <c r="C2635" s="304"/>
      <c r="D2635" s="305" t="s">
        <v>3</v>
      </c>
      <c r="E2635" s="305" t="str">
        <f>IFERROR(VLOOKUP(K2633,'2026.01'!A:Y,7,0),0)</f>
        <v>李丽如</v>
      </c>
      <c r="F2635" s="305"/>
      <c r="G2635" s="306" t="s">
        <v>4</v>
      </c>
      <c r="K2635" s="300"/>
    </row>
    <row r="2636" ht="15" customHeight="1" spans="1:11">
      <c r="A2636" s="307" t="s">
        <v>5</v>
      </c>
      <c r="B2636" s="308" t="s">
        <v>6</v>
      </c>
      <c r="C2636" s="308" t="s">
        <v>7</v>
      </c>
      <c r="D2636" s="308" t="s">
        <v>8</v>
      </c>
      <c r="E2636" s="308" t="s">
        <v>9</v>
      </c>
      <c r="F2636" s="309" t="s">
        <v>10</v>
      </c>
      <c r="G2636" s="310" t="s">
        <v>11</v>
      </c>
      <c r="K2636" s="300"/>
    </row>
    <row r="2637" ht="15" customHeight="1" spans="1:11">
      <c r="A2637" s="307" t="s">
        <v>12</v>
      </c>
      <c r="B2637" s="308">
        <f>IFERROR(VLOOKUP(K2633,'2026.01'!A:Y,14,0),0)</f>
        <v>5578</v>
      </c>
      <c r="C2637" s="308">
        <f>IFERROR(VLOOKUP(K2633,'2026.01'!A:Y,13,0),0)</f>
        <v>5312</v>
      </c>
      <c r="D2637" s="308">
        <f>IFERROR(VLOOKUP(K2633,'2026.01'!A:Y,15,0),0)</f>
        <v>266</v>
      </c>
      <c r="E2637" s="311">
        <f>IFERROR(VLOOKUP(K2633,'2026.01'!A:Y,18,0),0)</f>
        <v>0.8</v>
      </c>
      <c r="F2637" s="309">
        <f>IFERROR(VLOOKUP(K2633,'2026.01'!A:Y,20,0),0)</f>
        <v>213</v>
      </c>
      <c r="G2637" s="310"/>
      <c r="K2637" s="300"/>
    </row>
    <row r="2638" ht="15" customHeight="1" spans="1:11">
      <c r="A2638" s="307" t="s">
        <v>13</v>
      </c>
      <c r="B2638" s="308"/>
      <c r="C2638" s="308"/>
      <c r="D2638" s="308"/>
      <c r="E2638" s="311"/>
      <c r="F2638" s="309">
        <f>IFERROR(VLOOKUP(K2633,'2026.01'!A:Y,24,0),0)</f>
        <v>51</v>
      </c>
      <c r="G2638" s="310"/>
      <c r="K2638" s="300"/>
    </row>
    <row r="2639" ht="15" customHeight="1" spans="1:11">
      <c r="A2639" s="307" t="s">
        <v>14</v>
      </c>
      <c r="B2639" s="308"/>
      <c r="C2639" s="308"/>
      <c r="D2639" s="308"/>
      <c r="E2639" s="311"/>
      <c r="F2639" s="309">
        <f>IFERROR(VLOOKUP(K2633,'2026.01'!A:Y,12,0),0)</f>
        <v>160</v>
      </c>
      <c r="G2639" s="310"/>
      <c r="K2639" s="300"/>
    </row>
    <row r="2640" ht="21" customHeight="1" spans="1:11">
      <c r="A2640" s="307" t="s">
        <v>15</v>
      </c>
      <c r="B2640" s="308"/>
      <c r="C2640" s="308"/>
      <c r="D2640" s="308"/>
      <c r="E2640" s="311"/>
      <c r="F2640" s="309">
        <f>IFERROR(VLOOKUP(K2633,'2026.01'!A:Y,9,0),0)</f>
        <v>5000</v>
      </c>
      <c r="G2640" s="310"/>
      <c r="K2640" s="300"/>
    </row>
    <row r="2641" ht="19" customHeight="1" spans="1:11">
      <c r="A2641" s="307" t="s">
        <v>16</v>
      </c>
      <c r="B2641" s="308"/>
      <c r="C2641" s="308"/>
      <c r="D2641" s="308"/>
      <c r="E2641" s="308"/>
      <c r="F2641" s="309">
        <f>IFERROR(VLOOKUP(K2633,'2026.01'!A:Y,10,0),0)</f>
        <v>500</v>
      </c>
      <c r="G2641" s="310"/>
      <c r="K2641" s="300"/>
    </row>
    <row r="2642" ht="21" customHeight="1" spans="1:11">
      <c r="A2642" s="307" t="s">
        <v>17</v>
      </c>
      <c r="B2642" s="308"/>
      <c r="C2642" s="308"/>
      <c r="D2642" s="308"/>
      <c r="E2642" s="308"/>
      <c r="F2642" s="309">
        <f>IFERROR(VLOOKUP(K2633,'2026.01'!A:Y,19,0),0)</f>
        <v>186</v>
      </c>
      <c r="G2642" s="310"/>
      <c r="K2642" s="300"/>
    </row>
    <row r="2643" ht="17.15" customHeight="1" spans="1:11">
      <c r="A2643" s="307" t="s">
        <v>18</v>
      </c>
      <c r="B2643" s="308"/>
      <c r="C2643" s="308"/>
      <c r="D2643" s="308"/>
      <c r="E2643" s="308"/>
      <c r="F2643" s="309">
        <f>IFERROR(VLOOKUP(K2633,'2026.01'!A:Y,22,0),0)</f>
        <v>267</v>
      </c>
      <c r="G2643" s="310"/>
      <c r="K2643" s="300"/>
    </row>
    <row r="2644" ht="17.15" customHeight="1" spans="1:11">
      <c r="A2644" s="307" t="s">
        <v>19</v>
      </c>
      <c r="B2644" s="312"/>
      <c r="C2644" s="308"/>
      <c r="D2644" s="313"/>
      <c r="E2644" s="308"/>
      <c r="F2644" s="309">
        <f>IFERROR(VLOOKUP(K2633,'2026.01'!A:Y,25,0),0)</f>
        <v>6377</v>
      </c>
      <c r="G2644" s="310"/>
      <c r="K2644" s="300"/>
    </row>
    <row r="2645" ht="15" customHeight="1" spans="1:11">
      <c r="A2645" s="314" t="s">
        <v>20</v>
      </c>
      <c r="B2645" s="315">
        <f>IF(F2644&lt;0,"金额为负，无效",INT(F2644))</f>
        <v>6377</v>
      </c>
      <c r="C2645" s="315"/>
      <c r="D2645" s="315"/>
      <c r="E2645" s="316" t="s">
        <v>21</v>
      </c>
      <c r="F2645" s="317"/>
      <c r="G2645" s="318"/>
      <c r="K2645" s="300"/>
    </row>
    <row r="2646" ht="15" customHeight="1" spans="1:11">
      <c r="A2646" s="319"/>
      <c r="B2646" s="320"/>
      <c r="C2646" s="320"/>
      <c r="D2646" s="320"/>
      <c r="E2646" s="319"/>
      <c r="F2646" s="321"/>
      <c r="G2646" s="322"/>
      <c r="K2646" s="300"/>
    </row>
    <row r="2647" ht="27" customHeight="1" spans="1:11">
      <c r="A2647" s="298" t="s">
        <v>0</v>
      </c>
      <c r="B2647" s="298"/>
      <c r="C2647" s="298"/>
      <c r="D2647" s="298"/>
      <c r="E2647" s="298"/>
      <c r="F2647" s="298"/>
      <c r="G2647" s="298"/>
      <c r="H2647" s="299"/>
      <c r="I2647" s="299"/>
      <c r="J2647" s="299"/>
      <c r="K2647" s="300">
        <v>190</v>
      </c>
    </row>
    <row r="2648" ht="15" customHeight="1" spans="1:11">
      <c r="A2648" s="301" t="s">
        <v>1</v>
      </c>
      <c r="B2648" s="301"/>
      <c r="C2648" s="301"/>
      <c r="D2648" s="301"/>
      <c r="E2648" s="301"/>
      <c r="F2648" s="301"/>
      <c r="G2648" s="302" t="str">
        <f>IFERROR(VLOOKUP(K2647,'2026.01'!A:Y,2,0),0)</f>
        <v>NO:190</v>
      </c>
      <c r="K2648" s="300"/>
    </row>
    <row r="2649" ht="15" customHeight="1" spans="1:11">
      <c r="A2649" s="303" t="s">
        <v>2</v>
      </c>
      <c r="B2649" s="304">
        <f>IFERROR(VLOOKUP(K2647,'2026.01'!A:Y,6,0),0)</f>
        <v>3024</v>
      </c>
      <c r="C2649" s="304"/>
      <c r="D2649" s="305" t="s">
        <v>3</v>
      </c>
      <c r="E2649" s="305" t="str">
        <f>IFERROR(VLOOKUP(K2647,'2026.01'!A:Y,7,0),0)</f>
        <v>黄绍枝</v>
      </c>
      <c r="F2649" s="305"/>
      <c r="G2649" s="306" t="s">
        <v>4</v>
      </c>
      <c r="K2649" s="300"/>
    </row>
    <row r="2650" ht="15" customHeight="1" spans="1:11">
      <c r="A2650" s="307" t="s">
        <v>5</v>
      </c>
      <c r="B2650" s="308" t="s">
        <v>6</v>
      </c>
      <c r="C2650" s="308" t="s">
        <v>7</v>
      </c>
      <c r="D2650" s="308" t="s">
        <v>8</v>
      </c>
      <c r="E2650" s="308" t="s">
        <v>9</v>
      </c>
      <c r="F2650" s="309" t="s">
        <v>10</v>
      </c>
      <c r="G2650" s="310" t="s">
        <v>11</v>
      </c>
      <c r="K2650" s="300"/>
    </row>
    <row r="2651" ht="15" customHeight="1" spans="1:11">
      <c r="A2651" s="307" t="s">
        <v>12</v>
      </c>
      <c r="B2651" s="308">
        <f>IFERROR(VLOOKUP(K2647,'2026.01'!A:Y,14,0),0)</f>
        <v>1203</v>
      </c>
      <c r="C2651" s="308">
        <f>IFERROR(VLOOKUP(K2647,'2026.01'!A:Y,13,0),0)</f>
        <v>1180</v>
      </c>
      <c r="D2651" s="308">
        <f>IFERROR(VLOOKUP(K2647,'2026.01'!A:Y,15,0),0)</f>
        <v>23</v>
      </c>
      <c r="E2651" s="311">
        <f>IFERROR(VLOOKUP(K2647,'2026.01'!A:Y,18,0),0)</f>
        <v>0.8</v>
      </c>
      <c r="F2651" s="309">
        <f>IFERROR(VLOOKUP(K2647,'2026.01'!A:Y,20,0),0)</f>
        <v>18</v>
      </c>
      <c r="G2651" s="310"/>
      <c r="K2651" s="300"/>
    </row>
    <row r="2652" ht="15" customHeight="1" spans="1:11">
      <c r="A2652" s="307" t="s">
        <v>13</v>
      </c>
      <c r="B2652" s="308"/>
      <c r="C2652" s="308"/>
      <c r="D2652" s="308"/>
      <c r="E2652" s="311"/>
      <c r="F2652" s="309">
        <f>IFERROR(VLOOKUP(K2647,'2026.01'!A:Y,24,0),0)</f>
        <v>51</v>
      </c>
      <c r="G2652" s="310"/>
      <c r="K2652" s="300"/>
    </row>
    <row r="2653" ht="15" customHeight="1" spans="1:11">
      <c r="A2653" s="307" t="s">
        <v>14</v>
      </c>
      <c r="B2653" s="308"/>
      <c r="C2653" s="308"/>
      <c r="D2653" s="308"/>
      <c r="E2653" s="311"/>
      <c r="F2653" s="309">
        <f>IFERROR(VLOOKUP(K2647,'2026.01'!A:Y,12,0),0)</f>
        <v>160</v>
      </c>
      <c r="G2653" s="310"/>
      <c r="K2653" s="300"/>
    </row>
    <row r="2654" ht="21" customHeight="1" spans="1:11">
      <c r="A2654" s="307" t="s">
        <v>15</v>
      </c>
      <c r="B2654" s="308"/>
      <c r="C2654" s="308"/>
      <c r="D2654" s="308"/>
      <c r="E2654" s="311"/>
      <c r="F2654" s="309">
        <f>IFERROR(VLOOKUP(K2647,'2026.01'!A:Y,9,0),0)</f>
        <v>5000</v>
      </c>
      <c r="G2654" s="310"/>
      <c r="K2654" s="300"/>
    </row>
    <row r="2655" ht="19" customHeight="1" spans="1:11">
      <c r="A2655" s="307" t="s">
        <v>16</v>
      </c>
      <c r="B2655" s="308"/>
      <c r="C2655" s="308"/>
      <c r="D2655" s="308"/>
      <c r="E2655" s="308"/>
      <c r="F2655" s="309">
        <f>IFERROR(VLOOKUP(K2647,'2026.01'!A:Y,10,0),0)</f>
        <v>500</v>
      </c>
      <c r="G2655" s="310"/>
      <c r="K2655" s="300"/>
    </row>
    <row r="2656" ht="21" customHeight="1" spans="1:11">
      <c r="A2656" s="307" t="s">
        <v>17</v>
      </c>
      <c r="B2656" s="308"/>
      <c r="C2656" s="308"/>
      <c r="D2656" s="308"/>
      <c r="E2656" s="308"/>
      <c r="F2656" s="309">
        <f>IFERROR(VLOOKUP(K2647,'2026.01'!A:Y,19,0),0)</f>
        <v>16</v>
      </c>
      <c r="G2656" s="310"/>
      <c r="K2656" s="300"/>
    </row>
    <row r="2657" ht="17.15" customHeight="1" spans="1:11">
      <c r="A2657" s="307" t="s">
        <v>18</v>
      </c>
      <c r="B2657" s="308"/>
      <c r="C2657" s="308"/>
      <c r="D2657" s="308"/>
      <c r="E2657" s="308"/>
      <c r="F2657" s="309">
        <f>IFERROR(VLOOKUP(K2647,'2026.01'!A:Y,22,0),0)</f>
        <v>267</v>
      </c>
      <c r="G2657" s="310"/>
      <c r="K2657" s="300"/>
    </row>
    <row r="2658" ht="17.15" customHeight="1" spans="1:11">
      <c r="A2658" s="307" t="s">
        <v>19</v>
      </c>
      <c r="B2658" s="312"/>
      <c r="C2658" s="308"/>
      <c r="D2658" s="313"/>
      <c r="E2658" s="308"/>
      <c r="F2658" s="309">
        <f>IFERROR(VLOOKUP(K2647,'2026.01'!A:Y,25,0),0)</f>
        <v>6012</v>
      </c>
      <c r="G2658" s="310"/>
      <c r="K2658" s="300"/>
    </row>
    <row r="2659" ht="15" customHeight="1" spans="1:11">
      <c r="A2659" s="314" t="s">
        <v>20</v>
      </c>
      <c r="B2659" s="315">
        <f>IF(F2658&lt;0,"金额为负，无效",INT(F2658))</f>
        <v>6012</v>
      </c>
      <c r="C2659" s="315"/>
      <c r="D2659" s="315"/>
      <c r="E2659" s="316" t="s">
        <v>21</v>
      </c>
      <c r="F2659" s="317"/>
      <c r="G2659" s="318"/>
      <c r="K2659" s="300"/>
    </row>
    <row r="2660" ht="23" customHeight="1" spans="1:11">
      <c r="A2660" s="319"/>
      <c r="B2660" s="320"/>
      <c r="C2660" s="320"/>
      <c r="D2660" s="320"/>
      <c r="E2660" s="319"/>
      <c r="F2660" s="321"/>
      <c r="G2660" s="322"/>
      <c r="K2660" s="300"/>
    </row>
    <row r="2661" ht="27" customHeight="1" spans="1:11">
      <c r="A2661" s="298" t="s">
        <v>0</v>
      </c>
      <c r="B2661" s="298"/>
      <c r="C2661" s="298"/>
      <c r="D2661" s="298"/>
      <c r="E2661" s="298"/>
      <c r="F2661" s="298"/>
      <c r="G2661" s="298"/>
      <c r="H2661" s="299"/>
      <c r="I2661" s="299"/>
      <c r="J2661" s="299"/>
      <c r="K2661" s="300">
        <v>191</v>
      </c>
    </row>
    <row r="2662" ht="15" customHeight="1" spans="1:11">
      <c r="A2662" s="301" t="s">
        <v>1</v>
      </c>
      <c r="B2662" s="301"/>
      <c r="C2662" s="301"/>
      <c r="D2662" s="301"/>
      <c r="E2662" s="301"/>
      <c r="F2662" s="301"/>
      <c r="G2662" s="302" t="str">
        <f>IFERROR(VLOOKUP(K2661,'2026.01'!A:Y,2,0),0)</f>
        <v>NO:191</v>
      </c>
      <c r="K2662" s="300"/>
    </row>
    <row r="2663" ht="15" customHeight="1" spans="1:11">
      <c r="A2663" s="303" t="s">
        <v>2</v>
      </c>
      <c r="B2663" s="304">
        <f>IFERROR(VLOOKUP(K2661,'2026.01'!A:Y,6,0),0)</f>
        <v>3025</v>
      </c>
      <c r="C2663" s="304"/>
      <c r="D2663" s="305" t="s">
        <v>3</v>
      </c>
      <c r="E2663" s="305" t="str">
        <f>IFERROR(VLOOKUP(K2661,'2026.01'!A:Y,7,0),0)</f>
        <v>林俊成</v>
      </c>
      <c r="F2663" s="305"/>
      <c r="G2663" s="306" t="s">
        <v>4</v>
      </c>
      <c r="K2663" s="300"/>
    </row>
    <row r="2664" ht="15" customHeight="1" spans="1:11">
      <c r="A2664" s="307" t="s">
        <v>5</v>
      </c>
      <c r="B2664" s="308" t="s">
        <v>6</v>
      </c>
      <c r="C2664" s="308" t="s">
        <v>7</v>
      </c>
      <c r="D2664" s="308" t="s">
        <v>8</v>
      </c>
      <c r="E2664" s="308" t="s">
        <v>9</v>
      </c>
      <c r="F2664" s="309" t="s">
        <v>10</v>
      </c>
      <c r="G2664" s="310" t="s">
        <v>11</v>
      </c>
      <c r="K2664" s="300"/>
    </row>
    <row r="2665" ht="15" customHeight="1" spans="1:11">
      <c r="A2665" s="307" t="s">
        <v>12</v>
      </c>
      <c r="B2665" s="308">
        <f>IFERROR(VLOOKUP(K2661,'2026.01'!A:Y,14,0),0)</f>
        <v>5280</v>
      </c>
      <c r="C2665" s="308">
        <f>IFERROR(VLOOKUP(K2661,'2026.01'!A:Y,13,0),0)</f>
        <v>5256</v>
      </c>
      <c r="D2665" s="308">
        <f>IFERROR(VLOOKUP(K2661,'2026.01'!A:Y,15,0),0)</f>
        <v>24</v>
      </c>
      <c r="E2665" s="311">
        <f>IFERROR(VLOOKUP(K2661,'2026.01'!A:Y,18,0),0)</f>
        <v>0.8</v>
      </c>
      <c r="F2665" s="309">
        <f>IFERROR(VLOOKUP(K2661,'2026.01'!A:Y,20,0),0)</f>
        <v>19</v>
      </c>
      <c r="G2665" s="310"/>
      <c r="K2665" s="300"/>
    </row>
    <row r="2666" ht="15" customHeight="1" spans="1:11">
      <c r="A2666" s="307" t="s">
        <v>13</v>
      </c>
      <c r="B2666" s="308"/>
      <c r="C2666" s="308"/>
      <c r="D2666" s="308"/>
      <c r="E2666" s="311"/>
      <c r="F2666" s="309">
        <f>IFERROR(VLOOKUP(K2661,'2026.01'!A:Y,24,0),0)</f>
        <v>85</v>
      </c>
      <c r="G2666" s="310"/>
      <c r="K2666" s="300"/>
    </row>
    <row r="2667" ht="15" customHeight="1" spans="1:11">
      <c r="A2667" s="307" t="s">
        <v>14</v>
      </c>
      <c r="B2667" s="308"/>
      <c r="C2667" s="308"/>
      <c r="D2667" s="308"/>
      <c r="E2667" s="311"/>
      <c r="F2667" s="309">
        <f>IFERROR(VLOOKUP(K2661,'2026.01'!A:Y,12,0),0)</f>
        <v>160</v>
      </c>
      <c r="G2667" s="310"/>
      <c r="K2667" s="300"/>
    </row>
    <row r="2668" ht="21" customHeight="1" spans="1:11">
      <c r="A2668" s="307" t="s">
        <v>15</v>
      </c>
      <c r="B2668" s="308"/>
      <c r="C2668" s="308"/>
      <c r="D2668" s="308"/>
      <c r="E2668" s="311"/>
      <c r="F2668" s="309">
        <f>IFERROR(VLOOKUP(K2661,'2026.01'!A:Y,9,0),0)</f>
        <v>5500</v>
      </c>
      <c r="G2668" s="310"/>
      <c r="K2668" s="300"/>
    </row>
    <row r="2669" ht="19" customHeight="1" spans="1:11">
      <c r="A2669" s="307" t="s">
        <v>16</v>
      </c>
      <c r="B2669" s="308"/>
      <c r="C2669" s="308"/>
      <c r="D2669" s="308"/>
      <c r="E2669" s="308"/>
      <c r="F2669" s="309">
        <f>IFERROR(VLOOKUP(K2661,'2026.01'!A:Y,10,0),0)</f>
        <v>500</v>
      </c>
      <c r="G2669" s="310"/>
      <c r="K2669" s="300"/>
    </row>
    <row r="2670" ht="21" customHeight="1" spans="1:11">
      <c r="A2670" s="307" t="s">
        <v>17</v>
      </c>
      <c r="B2670" s="308"/>
      <c r="C2670" s="308"/>
      <c r="D2670" s="308"/>
      <c r="E2670" s="308"/>
      <c r="F2670" s="309">
        <f>IFERROR(VLOOKUP(K2661,'2026.01'!A:Y,19,0),0)</f>
        <v>17</v>
      </c>
      <c r="G2670" s="310"/>
      <c r="K2670" s="300"/>
    </row>
    <row r="2671" ht="17.15" customHeight="1" spans="1:11">
      <c r="A2671" s="307" t="s">
        <v>18</v>
      </c>
      <c r="B2671" s="308"/>
      <c r="C2671" s="308"/>
      <c r="D2671" s="308"/>
      <c r="E2671" s="308"/>
      <c r="F2671" s="309">
        <f>IFERROR(VLOOKUP(K2661,'2026.01'!A:Y,22,0),0)</f>
        <v>413</v>
      </c>
      <c r="G2671" s="310"/>
      <c r="K2671" s="300"/>
    </row>
    <row r="2672" ht="17.15" customHeight="1" spans="1:11">
      <c r="A2672" s="307" t="s">
        <v>19</v>
      </c>
      <c r="B2672" s="312"/>
      <c r="C2672" s="308"/>
      <c r="D2672" s="313"/>
      <c r="E2672" s="308"/>
      <c r="F2672" s="309">
        <f>IFERROR(VLOOKUP(K2661,'2026.01'!A:Y,25,0),0)</f>
        <v>6694</v>
      </c>
      <c r="G2672" s="310"/>
      <c r="K2672" s="300"/>
    </row>
    <row r="2673" ht="15" customHeight="1" spans="1:11">
      <c r="A2673" s="314" t="s">
        <v>20</v>
      </c>
      <c r="B2673" s="315">
        <f>IF(F2672&lt;0,"金额为负，无效",INT(F2672))</f>
        <v>6694</v>
      </c>
      <c r="C2673" s="315"/>
      <c r="D2673" s="315"/>
      <c r="E2673" s="316" t="s">
        <v>21</v>
      </c>
      <c r="F2673" s="317"/>
      <c r="G2673" s="318"/>
      <c r="K2673" s="300"/>
    </row>
    <row r="2674" ht="23" customHeight="1" spans="1:11">
      <c r="A2674" s="319"/>
      <c r="B2674" s="320"/>
      <c r="C2674" s="320"/>
      <c r="D2674" s="320"/>
      <c r="E2674" s="319"/>
      <c r="F2674" s="321"/>
      <c r="G2674" s="322"/>
      <c r="K2674" s="300"/>
    </row>
    <row r="2675" ht="27" customHeight="1" spans="1:11">
      <c r="A2675" s="298" t="s">
        <v>0</v>
      </c>
      <c r="B2675" s="298"/>
      <c r="C2675" s="298"/>
      <c r="D2675" s="298"/>
      <c r="E2675" s="298"/>
      <c r="F2675" s="298"/>
      <c r="G2675" s="298"/>
      <c r="H2675" s="299"/>
      <c r="I2675" s="299"/>
      <c r="J2675" s="299"/>
      <c r="K2675" s="300">
        <v>192</v>
      </c>
    </row>
    <row r="2676" ht="15" customHeight="1" spans="1:11">
      <c r="A2676" s="301" t="s">
        <v>1</v>
      </c>
      <c r="B2676" s="301"/>
      <c r="C2676" s="301"/>
      <c r="D2676" s="301"/>
      <c r="E2676" s="301"/>
      <c r="F2676" s="301"/>
      <c r="G2676" s="302" t="str">
        <f>IFERROR(VLOOKUP(K2675,'2026.01'!A:Y,2,0),0)</f>
        <v>NO:192</v>
      </c>
      <c r="K2676" s="300"/>
    </row>
    <row r="2677" ht="15" customHeight="1" spans="1:11">
      <c r="A2677" s="303" t="s">
        <v>2</v>
      </c>
      <c r="B2677" s="304" t="str">
        <f>IFERROR(VLOOKUP(K2675,'2026.01'!A:Y,6,0),0)</f>
        <v>3026/3027</v>
      </c>
      <c r="C2677" s="304"/>
      <c r="D2677" s="305" t="s">
        <v>3</v>
      </c>
      <c r="E2677" s="305" t="str">
        <f>IFERROR(VLOOKUP(K2675,'2026.01'!A:Y,7,0),0)</f>
        <v>周建明</v>
      </c>
      <c r="F2677" s="305"/>
      <c r="G2677" s="306" t="s">
        <v>4</v>
      </c>
      <c r="K2677" s="300"/>
    </row>
    <row r="2678" ht="15" customHeight="1" spans="1:11">
      <c r="A2678" s="307" t="s">
        <v>5</v>
      </c>
      <c r="B2678" s="308" t="s">
        <v>6</v>
      </c>
      <c r="C2678" s="308" t="s">
        <v>7</v>
      </c>
      <c r="D2678" s="308" t="s">
        <v>8</v>
      </c>
      <c r="E2678" s="308" t="s">
        <v>9</v>
      </c>
      <c r="F2678" s="309" t="s">
        <v>10</v>
      </c>
      <c r="G2678" s="310" t="s">
        <v>11</v>
      </c>
      <c r="K2678" s="300"/>
    </row>
    <row r="2679" ht="15" customHeight="1" spans="1:11">
      <c r="A2679" s="307" t="s">
        <v>12</v>
      </c>
      <c r="B2679" s="308">
        <f>IFERROR(VLOOKUP(K2675,'2026.01'!A:Y,14,0),0)</f>
        <v>4199</v>
      </c>
      <c r="C2679" s="308">
        <f>IFERROR(VLOOKUP(K2675,'2026.01'!A:Y,13,0),0)</f>
        <v>4043</v>
      </c>
      <c r="D2679" s="308">
        <f>IFERROR(VLOOKUP(K2675,'2026.01'!A:Y,15,0),0)</f>
        <v>156</v>
      </c>
      <c r="E2679" s="311">
        <f>IFERROR(VLOOKUP(K2675,'2026.01'!A:Y,18,0),0)</f>
        <v>0.8</v>
      </c>
      <c r="F2679" s="309">
        <f>IFERROR(VLOOKUP(K2675,'2026.01'!A:Y,20,0),0)</f>
        <v>125</v>
      </c>
      <c r="G2679" s="310"/>
      <c r="K2679" s="300"/>
    </row>
    <row r="2680" ht="15" customHeight="1" spans="1:11">
      <c r="A2680" s="307" t="s">
        <v>13</v>
      </c>
      <c r="B2680" s="308"/>
      <c r="C2680" s="308"/>
      <c r="D2680" s="308"/>
      <c r="E2680" s="311"/>
      <c r="F2680" s="309">
        <f>IFERROR(VLOOKUP(K2675,'2026.01'!A:Y,24,0),0)</f>
        <v>136</v>
      </c>
      <c r="G2680" s="310"/>
      <c r="K2680" s="300"/>
    </row>
    <row r="2681" ht="15" customHeight="1" spans="1:11">
      <c r="A2681" s="307" t="s">
        <v>14</v>
      </c>
      <c r="B2681" s="308"/>
      <c r="C2681" s="308"/>
      <c r="D2681" s="308"/>
      <c r="E2681" s="311"/>
      <c r="F2681" s="309">
        <f>IFERROR(VLOOKUP(K2675,'2026.01'!A:Y,12,0),0)</f>
        <v>320</v>
      </c>
      <c r="G2681" s="310"/>
      <c r="K2681" s="300"/>
    </row>
    <row r="2682" ht="21" customHeight="1" spans="1:11">
      <c r="A2682" s="307" t="s">
        <v>15</v>
      </c>
      <c r="B2682" s="308"/>
      <c r="C2682" s="308"/>
      <c r="D2682" s="308"/>
      <c r="E2682" s="311"/>
      <c r="F2682" s="309">
        <f>IFERROR(VLOOKUP(K2675,'2026.01'!A:Y,9,0),0)</f>
        <v>5000</v>
      </c>
      <c r="G2682" s="310"/>
      <c r="K2682" s="300"/>
    </row>
    <row r="2683" ht="19" customHeight="1" spans="1:11">
      <c r="A2683" s="307" t="s">
        <v>16</v>
      </c>
      <c r="B2683" s="308"/>
      <c r="C2683" s="308"/>
      <c r="D2683" s="308"/>
      <c r="E2683" s="308"/>
      <c r="F2683" s="309">
        <f>IFERROR(VLOOKUP(K2675,'2026.01'!A:Y,10,0),0)</f>
        <v>500</v>
      </c>
      <c r="G2683" s="310"/>
      <c r="K2683" s="300"/>
    </row>
    <row r="2684" ht="21" customHeight="1" spans="1:11">
      <c r="A2684" s="307" t="s">
        <v>17</v>
      </c>
      <c r="B2684" s="308"/>
      <c r="C2684" s="308"/>
      <c r="D2684" s="308"/>
      <c r="E2684" s="308"/>
      <c r="F2684" s="309">
        <f>IFERROR(VLOOKUP(K2675,'2026.01'!A:Y,19,0),0)</f>
        <v>109</v>
      </c>
      <c r="G2684" s="310"/>
      <c r="K2684" s="300"/>
    </row>
    <row r="2685" ht="17.15" customHeight="1" spans="1:11">
      <c r="A2685" s="307" t="s">
        <v>18</v>
      </c>
      <c r="B2685" s="308"/>
      <c r="C2685" s="308"/>
      <c r="D2685" s="308"/>
      <c r="E2685" s="308"/>
      <c r="F2685" s="309">
        <f>IFERROR(VLOOKUP(K2675,'2026.01'!A:Y,22,0),0)</f>
        <v>0</v>
      </c>
      <c r="G2685" s="310"/>
      <c r="K2685" s="300"/>
    </row>
    <row r="2686" ht="17.15" customHeight="1" spans="1:11">
      <c r="A2686" s="307" t="s">
        <v>19</v>
      </c>
      <c r="B2686" s="312"/>
      <c r="C2686" s="308"/>
      <c r="D2686" s="313"/>
      <c r="E2686" s="308"/>
      <c r="F2686" s="309">
        <f>IFERROR(VLOOKUP(K2675,'2026.01'!A:Y,25,0),0)</f>
        <v>6190</v>
      </c>
      <c r="G2686" s="310"/>
      <c r="K2686" s="300"/>
    </row>
    <row r="2687" ht="15" customHeight="1" spans="1:11">
      <c r="A2687" s="314" t="s">
        <v>20</v>
      </c>
      <c r="B2687" s="315">
        <f>IF(F2686&lt;0,"金额为负，无效",INT(F2686))</f>
        <v>6190</v>
      </c>
      <c r="C2687" s="315"/>
      <c r="D2687" s="315"/>
      <c r="E2687" s="316" t="s">
        <v>21</v>
      </c>
      <c r="F2687" s="317"/>
      <c r="G2687" s="318"/>
      <c r="K2687" s="300"/>
    </row>
    <row r="2688" ht="15" customHeight="1" spans="1:11">
      <c r="A2688" s="319"/>
      <c r="B2688" s="320"/>
      <c r="C2688" s="320"/>
      <c r="D2688" s="320"/>
      <c r="E2688" s="319"/>
      <c r="F2688" s="321"/>
      <c r="G2688" s="322"/>
      <c r="K2688" s="300"/>
    </row>
    <row r="2689" ht="27" customHeight="1" spans="1:11">
      <c r="A2689" s="298" t="s">
        <v>0</v>
      </c>
      <c r="B2689" s="298"/>
      <c r="C2689" s="298"/>
      <c r="D2689" s="298"/>
      <c r="E2689" s="298"/>
      <c r="F2689" s="298"/>
      <c r="G2689" s="298"/>
      <c r="H2689" s="299"/>
      <c r="I2689" s="299"/>
      <c r="J2689" s="299"/>
      <c r="K2689" s="300">
        <v>193</v>
      </c>
    </row>
    <row r="2690" ht="15" customHeight="1" spans="1:11">
      <c r="A2690" s="301" t="s">
        <v>1</v>
      </c>
      <c r="B2690" s="301"/>
      <c r="C2690" s="301"/>
      <c r="D2690" s="301"/>
      <c r="E2690" s="301"/>
      <c r="F2690" s="301"/>
      <c r="G2690" s="302" t="str">
        <f>IFERROR(VLOOKUP(K2689,'2026.01'!A:Y,2,0),0)</f>
        <v>NO:193</v>
      </c>
      <c r="K2690" s="300"/>
    </row>
    <row r="2691" ht="15" customHeight="1" spans="1:11">
      <c r="A2691" s="303" t="s">
        <v>2</v>
      </c>
      <c r="B2691" s="304">
        <f>IFERROR(VLOOKUP(K2689,'2026.01'!A:Y,6,0),0)</f>
        <v>3027</v>
      </c>
      <c r="C2691" s="304"/>
      <c r="D2691" s="305" t="s">
        <v>3</v>
      </c>
      <c r="E2691" s="305" t="str">
        <f>IFERROR(VLOOKUP(K2689,'2026.01'!A:Y,7,0),0)</f>
        <v>周建明</v>
      </c>
      <c r="F2691" s="305"/>
      <c r="G2691" s="306" t="s">
        <v>4</v>
      </c>
      <c r="K2691" s="300"/>
    </row>
    <row r="2692" ht="15" customHeight="1" spans="1:11">
      <c r="A2692" s="307" t="s">
        <v>5</v>
      </c>
      <c r="B2692" s="308" t="s">
        <v>6</v>
      </c>
      <c r="C2692" s="308" t="s">
        <v>7</v>
      </c>
      <c r="D2692" s="308" t="s">
        <v>8</v>
      </c>
      <c r="E2692" s="308" t="s">
        <v>9</v>
      </c>
      <c r="F2692" s="309" t="s">
        <v>10</v>
      </c>
      <c r="G2692" s="310" t="s">
        <v>11</v>
      </c>
      <c r="K2692" s="300"/>
    </row>
    <row r="2693" ht="15" customHeight="1" spans="1:11">
      <c r="A2693" s="307" t="s">
        <v>12</v>
      </c>
      <c r="B2693" s="308">
        <f>IFERROR(VLOOKUP(K2689,'2026.01'!A:Y,14,0),0)</f>
        <v>7749</v>
      </c>
      <c r="C2693" s="308">
        <f>IFERROR(VLOOKUP(K2689,'2026.01'!A:Y,13,0),0)</f>
        <v>7556</v>
      </c>
      <c r="D2693" s="308">
        <f>IFERROR(VLOOKUP(K2689,'2026.01'!A:Y,15,0),0)</f>
        <v>193</v>
      </c>
      <c r="E2693" s="311">
        <f>IFERROR(VLOOKUP(K2689,'2026.01'!A:Y,18,0),0)</f>
        <v>0.8</v>
      </c>
      <c r="F2693" s="309">
        <f>IFERROR(VLOOKUP(K2689,'2026.01'!A:Y,20,0),0)</f>
        <v>154</v>
      </c>
      <c r="G2693" s="310"/>
      <c r="K2693" s="300"/>
    </row>
    <row r="2694" ht="15" customHeight="1" spans="1:11">
      <c r="A2694" s="307" t="s">
        <v>13</v>
      </c>
      <c r="B2694" s="308"/>
      <c r="C2694" s="308"/>
      <c r="D2694" s="308"/>
      <c r="E2694" s="311"/>
      <c r="F2694" s="309">
        <f>IFERROR(VLOOKUP(K2689,'2026.01'!A:Y,24,0),0)</f>
        <v>0</v>
      </c>
      <c r="G2694" s="310"/>
      <c r="K2694" s="300"/>
    </row>
    <row r="2695" ht="15" customHeight="1" spans="1:11">
      <c r="A2695" s="307" t="s">
        <v>14</v>
      </c>
      <c r="B2695" s="308"/>
      <c r="C2695" s="308"/>
      <c r="D2695" s="308"/>
      <c r="E2695" s="311"/>
      <c r="F2695" s="309">
        <f>IFERROR(VLOOKUP(K2689,'2026.01'!A:Y,12,0),0)</f>
        <v>0</v>
      </c>
      <c r="G2695" s="310"/>
      <c r="K2695" s="300"/>
    </row>
    <row r="2696" ht="21" customHeight="1" spans="1:11">
      <c r="A2696" s="307" t="s">
        <v>15</v>
      </c>
      <c r="B2696" s="308"/>
      <c r="C2696" s="308"/>
      <c r="D2696" s="308"/>
      <c r="E2696" s="311"/>
      <c r="F2696" s="309">
        <f>IFERROR(VLOOKUP(K2689,'2026.01'!A:Y,9,0),0)</f>
        <v>0</v>
      </c>
      <c r="G2696" s="310"/>
      <c r="K2696" s="300"/>
    </row>
    <row r="2697" ht="19" customHeight="1" spans="1:11">
      <c r="A2697" s="307" t="s">
        <v>16</v>
      </c>
      <c r="B2697" s="308"/>
      <c r="C2697" s="308"/>
      <c r="D2697" s="308"/>
      <c r="E2697" s="308"/>
      <c r="F2697" s="309">
        <f>IFERROR(VLOOKUP(K2689,'2026.01'!A:Y,10,0),0)</f>
        <v>0</v>
      </c>
      <c r="G2697" s="310"/>
      <c r="K2697" s="300"/>
    </row>
    <row r="2698" ht="21" customHeight="1" spans="1:11">
      <c r="A2698" s="307" t="s">
        <v>17</v>
      </c>
      <c r="B2698" s="308"/>
      <c r="C2698" s="308"/>
      <c r="D2698" s="308"/>
      <c r="E2698" s="308"/>
      <c r="F2698" s="309">
        <f>IFERROR(VLOOKUP(K2689,'2026.01'!A:Y,19,0),0)</f>
        <v>135</v>
      </c>
      <c r="G2698" s="310"/>
      <c r="K2698" s="300"/>
    </row>
    <row r="2699" ht="17.15" customHeight="1" spans="1:11">
      <c r="A2699" s="307" t="s">
        <v>18</v>
      </c>
      <c r="B2699" s="308"/>
      <c r="C2699" s="308"/>
      <c r="D2699" s="308"/>
      <c r="E2699" s="308"/>
      <c r="F2699" s="309">
        <f>IFERROR(VLOOKUP(K2689,'2026.01'!A:Y,22,0),0)</f>
        <v>0</v>
      </c>
      <c r="G2699" s="310"/>
      <c r="K2699" s="300"/>
    </row>
    <row r="2700" ht="17.15" customHeight="1" spans="1:11">
      <c r="A2700" s="307" t="s">
        <v>19</v>
      </c>
      <c r="B2700" s="312"/>
      <c r="C2700" s="308"/>
      <c r="D2700" s="313"/>
      <c r="E2700" s="308"/>
      <c r="F2700" s="309">
        <f>IFERROR(VLOOKUP(K2689,'2026.01'!A:Y,25,0),0)</f>
        <v>289</v>
      </c>
      <c r="G2700" s="310"/>
      <c r="K2700" s="300"/>
    </row>
    <row r="2701" ht="15" customHeight="1" spans="1:11">
      <c r="A2701" s="314" t="s">
        <v>20</v>
      </c>
      <c r="B2701" s="315">
        <f>IF(F2700&lt;0,"金额为负，无效",INT(F2700))</f>
        <v>289</v>
      </c>
      <c r="C2701" s="315"/>
      <c r="D2701" s="315"/>
      <c r="E2701" s="316" t="s">
        <v>21</v>
      </c>
      <c r="F2701" s="317"/>
      <c r="G2701" s="318"/>
      <c r="K2701" s="300"/>
    </row>
    <row r="2702" ht="23" customHeight="1" spans="1:11">
      <c r="A2702" s="319"/>
      <c r="B2702" s="320"/>
      <c r="C2702" s="320"/>
      <c r="D2702" s="320"/>
      <c r="E2702" s="319"/>
      <c r="F2702" s="321"/>
      <c r="G2702" s="322"/>
      <c r="K2702" s="300"/>
    </row>
    <row r="2703" ht="27" customHeight="1" spans="1:11">
      <c r="A2703" s="298" t="s">
        <v>0</v>
      </c>
      <c r="B2703" s="298"/>
      <c r="C2703" s="298"/>
      <c r="D2703" s="298"/>
      <c r="E2703" s="298"/>
      <c r="F2703" s="298"/>
      <c r="G2703" s="298"/>
      <c r="H2703" s="299"/>
      <c r="I2703" s="299"/>
      <c r="J2703" s="299"/>
      <c r="K2703" s="300">
        <v>194</v>
      </c>
    </row>
    <row r="2704" ht="15" customHeight="1" spans="1:11">
      <c r="A2704" s="301" t="s">
        <v>1</v>
      </c>
      <c r="B2704" s="301"/>
      <c r="C2704" s="301"/>
      <c r="D2704" s="301"/>
      <c r="E2704" s="301"/>
      <c r="F2704" s="301"/>
      <c r="G2704" s="302" t="str">
        <f>IFERROR(VLOOKUP(K2703,'2026.01'!A:Y,2,0),0)</f>
        <v>NO:194</v>
      </c>
      <c r="K2704" s="300"/>
    </row>
    <row r="2705" ht="15" customHeight="1" spans="1:11">
      <c r="A2705" s="303" t="s">
        <v>2</v>
      </c>
      <c r="B2705" s="304">
        <f>IFERROR(VLOOKUP(K2703,'2026.01'!A:Y,6,0),0)</f>
        <v>3030</v>
      </c>
      <c r="C2705" s="304"/>
      <c r="D2705" s="305" t="s">
        <v>3</v>
      </c>
      <c r="E2705" s="305" t="str">
        <f>IFERROR(VLOOKUP(K2703,'2026.01'!A:Y,7,0),0)</f>
        <v>陈燕蕊</v>
      </c>
      <c r="F2705" s="305"/>
      <c r="G2705" s="306" t="s">
        <v>4</v>
      </c>
      <c r="K2705" s="300"/>
    </row>
    <row r="2706" ht="15" customHeight="1" spans="1:11">
      <c r="A2706" s="307" t="s">
        <v>5</v>
      </c>
      <c r="B2706" s="308" t="s">
        <v>6</v>
      </c>
      <c r="C2706" s="308" t="s">
        <v>7</v>
      </c>
      <c r="D2706" s="308" t="s">
        <v>8</v>
      </c>
      <c r="E2706" s="308" t="s">
        <v>9</v>
      </c>
      <c r="F2706" s="309" t="s">
        <v>10</v>
      </c>
      <c r="G2706" s="310" t="s">
        <v>11</v>
      </c>
      <c r="K2706" s="300"/>
    </row>
    <row r="2707" ht="15" customHeight="1" spans="1:11">
      <c r="A2707" s="307" t="s">
        <v>12</v>
      </c>
      <c r="B2707" s="308">
        <f>IFERROR(VLOOKUP(K2703,'2026.01'!A:Y,14,0),0)</f>
        <v>9976</v>
      </c>
      <c r="C2707" s="308">
        <f>IFERROR(VLOOKUP(K2703,'2026.01'!A:Y,13,0),0)</f>
        <v>9867</v>
      </c>
      <c r="D2707" s="308">
        <f>IFERROR(VLOOKUP(K2703,'2026.01'!A:Y,15,0),0)</f>
        <v>109</v>
      </c>
      <c r="E2707" s="311">
        <f>IFERROR(VLOOKUP(K2703,'2026.01'!A:Y,18,0),0)</f>
        <v>0.8</v>
      </c>
      <c r="F2707" s="309">
        <f>IFERROR(VLOOKUP(K2703,'2026.01'!A:Y,20,0),0)</f>
        <v>87</v>
      </c>
      <c r="G2707" s="310"/>
      <c r="K2707" s="300"/>
    </row>
    <row r="2708" ht="15" customHeight="1" spans="1:11">
      <c r="A2708" s="307" t="s">
        <v>13</v>
      </c>
      <c r="B2708" s="308"/>
      <c r="C2708" s="308"/>
      <c r="D2708" s="308"/>
      <c r="E2708" s="311"/>
      <c r="F2708" s="309">
        <f>IFERROR(VLOOKUP(K2703,'2026.01'!A:Y,24,0),0)</f>
        <v>51</v>
      </c>
      <c r="G2708" s="310"/>
      <c r="K2708" s="300"/>
    </row>
    <row r="2709" ht="15" customHeight="1" spans="1:11">
      <c r="A2709" s="307" t="s">
        <v>14</v>
      </c>
      <c r="B2709" s="308"/>
      <c r="C2709" s="308"/>
      <c r="D2709" s="308"/>
      <c r="E2709" s="311"/>
      <c r="F2709" s="309">
        <f>IFERROR(VLOOKUP(K2703,'2026.01'!A:Y,12,0),0)</f>
        <v>160</v>
      </c>
      <c r="G2709" s="310"/>
      <c r="K2709" s="300"/>
    </row>
    <row r="2710" ht="21" customHeight="1" spans="1:11">
      <c r="A2710" s="307" t="s">
        <v>15</v>
      </c>
      <c r="B2710" s="308"/>
      <c r="C2710" s="308"/>
      <c r="D2710" s="308"/>
      <c r="E2710" s="311"/>
      <c r="F2710" s="309">
        <f>IFERROR(VLOOKUP(K2703,'2026.01'!A:Y,9,0),0)</f>
        <v>5000</v>
      </c>
      <c r="G2710" s="310"/>
      <c r="K2710" s="300"/>
    </row>
    <row r="2711" ht="19" customHeight="1" spans="1:11">
      <c r="A2711" s="307" t="s">
        <v>16</v>
      </c>
      <c r="B2711" s="308"/>
      <c r="C2711" s="308"/>
      <c r="D2711" s="308"/>
      <c r="E2711" s="308"/>
      <c r="F2711" s="309">
        <f>IFERROR(VLOOKUP(K2703,'2026.01'!A:Y,10,0),0)</f>
        <v>500</v>
      </c>
      <c r="G2711" s="310"/>
      <c r="K2711" s="300"/>
    </row>
    <row r="2712" ht="21" customHeight="1" spans="1:11">
      <c r="A2712" s="307" t="s">
        <v>17</v>
      </c>
      <c r="B2712" s="308"/>
      <c r="C2712" s="308"/>
      <c r="D2712" s="308"/>
      <c r="E2712" s="308"/>
      <c r="F2712" s="309">
        <f>IFERROR(VLOOKUP(K2703,'2026.01'!A:Y,19,0),0)</f>
        <v>76</v>
      </c>
      <c r="G2712" s="310"/>
      <c r="K2712" s="300"/>
    </row>
    <row r="2713" ht="17.15" customHeight="1" spans="1:11">
      <c r="A2713" s="307" t="s">
        <v>18</v>
      </c>
      <c r="B2713" s="308"/>
      <c r="C2713" s="308"/>
      <c r="D2713" s="308"/>
      <c r="E2713" s="308"/>
      <c r="F2713" s="309">
        <f>IFERROR(VLOOKUP(K2703,'2026.01'!A:Y,22,0),0)</f>
        <v>257</v>
      </c>
      <c r="G2713" s="310"/>
      <c r="K2713" s="300"/>
    </row>
    <row r="2714" ht="17.15" customHeight="1" spans="1:11">
      <c r="A2714" s="307" t="s">
        <v>19</v>
      </c>
      <c r="B2714" s="312"/>
      <c r="C2714" s="308"/>
      <c r="D2714" s="313"/>
      <c r="E2714" s="308"/>
      <c r="F2714" s="309">
        <f>IFERROR(VLOOKUP(K2703,'2026.01'!A:Y,25,0),0)</f>
        <v>6131</v>
      </c>
      <c r="G2714" s="310"/>
      <c r="K2714" s="300"/>
    </row>
    <row r="2715" ht="15" customHeight="1" spans="1:11">
      <c r="A2715" s="314" t="s">
        <v>20</v>
      </c>
      <c r="B2715" s="315">
        <f>IF(F2714&lt;0,"金额为负，无效",INT(F2714))</f>
        <v>6131</v>
      </c>
      <c r="C2715" s="315"/>
      <c r="D2715" s="315"/>
      <c r="E2715" s="316" t="s">
        <v>21</v>
      </c>
      <c r="F2715" s="317"/>
      <c r="G2715" s="318"/>
      <c r="K2715" s="300"/>
    </row>
    <row r="2716" ht="23" customHeight="1" spans="1:11">
      <c r="A2716" s="319"/>
      <c r="B2716" s="320"/>
      <c r="C2716" s="320"/>
      <c r="D2716" s="320"/>
      <c r="E2716" s="319"/>
      <c r="F2716" s="321"/>
      <c r="G2716" s="322"/>
      <c r="K2716" s="300"/>
    </row>
    <row r="2717" ht="27" customHeight="1" spans="1:11">
      <c r="A2717" s="298" t="s">
        <v>0</v>
      </c>
      <c r="B2717" s="298"/>
      <c r="C2717" s="298"/>
      <c r="D2717" s="298"/>
      <c r="E2717" s="298"/>
      <c r="F2717" s="298"/>
      <c r="G2717" s="298"/>
      <c r="H2717" s="299"/>
      <c r="I2717" s="299"/>
      <c r="J2717" s="299"/>
      <c r="K2717" s="300">
        <v>195</v>
      </c>
    </row>
    <row r="2718" ht="15" customHeight="1" spans="1:11">
      <c r="A2718" s="301" t="s">
        <v>1</v>
      </c>
      <c r="B2718" s="301"/>
      <c r="C2718" s="301"/>
      <c r="D2718" s="301"/>
      <c r="E2718" s="301"/>
      <c r="F2718" s="301"/>
      <c r="G2718" s="302" t="str">
        <f>IFERROR(VLOOKUP(K2717,'2026.01'!A:Y,2,0),0)</f>
        <v>NO:195</v>
      </c>
      <c r="K2718" s="300"/>
    </row>
    <row r="2719" ht="15" customHeight="1" spans="1:11">
      <c r="A2719" s="303" t="s">
        <v>2</v>
      </c>
      <c r="B2719" s="304">
        <f>IFERROR(VLOOKUP(K2717,'2026.01'!A:Y,6,0),0)</f>
        <v>3031</v>
      </c>
      <c r="C2719" s="304"/>
      <c r="D2719" s="305" t="s">
        <v>3</v>
      </c>
      <c r="E2719" s="305" t="str">
        <f>IFERROR(VLOOKUP(K2717,'2026.01'!A:Y,7,0),0)</f>
        <v>祝梦雨</v>
      </c>
      <c r="F2719" s="305"/>
      <c r="G2719" s="306" t="s">
        <v>4</v>
      </c>
      <c r="K2719" s="300"/>
    </row>
    <row r="2720" ht="15" customHeight="1" spans="1:11">
      <c r="A2720" s="307" t="s">
        <v>5</v>
      </c>
      <c r="B2720" s="308" t="s">
        <v>6</v>
      </c>
      <c r="C2720" s="308" t="s">
        <v>7</v>
      </c>
      <c r="D2720" s="308" t="s">
        <v>8</v>
      </c>
      <c r="E2720" s="308" t="s">
        <v>9</v>
      </c>
      <c r="F2720" s="309" t="s">
        <v>10</v>
      </c>
      <c r="G2720" s="310" t="s">
        <v>11</v>
      </c>
      <c r="K2720" s="300"/>
    </row>
    <row r="2721" ht="15" customHeight="1" spans="1:11">
      <c r="A2721" s="307" t="s">
        <v>12</v>
      </c>
      <c r="B2721" s="308">
        <f>IFERROR(VLOOKUP(K2717,'2026.01'!A:Y,14,0),0)</f>
        <v>5095</v>
      </c>
      <c r="C2721" s="308">
        <f>IFERROR(VLOOKUP(K2717,'2026.01'!A:Y,13,0),0)</f>
        <v>5081</v>
      </c>
      <c r="D2721" s="308">
        <f>IFERROR(VLOOKUP(K2717,'2026.01'!A:Y,15,0),0)</f>
        <v>14</v>
      </c>
      <c r="E2721" s="311">
        <f>IFERROR(VLOOKUP(K2717,'2026.01'!A:Y,18,0),0)</f>
        <v>0.8</v>
      </c>
      <c r="F2721" s="309">
        <f>IFERROR(VLOOKUP(K2717,'2026.01'!A:Y,20,0),0)</f>
        <v>11</v>
      </c>
      <c r="G2721" s="310"/>
      <c r="K2721" s="300"/>
    </row>
    <row r="2722" ht="15" customHeight="1" spans="1:11">
      <c r="A2722" s="307" t="s">
        <v>13</v>
      </c>
      <c r="B2722" s="308"/>
      <c r="C2722" s="308"/>
      <c r="D2722" s="308"/>
      <c r="E2722" s="311"/>
      <c r="F2722" s="309">
        <f>IFERROR(VLOOKUP(K2717,'2026.01'!A:Y,24,0),0)</f>
        <v>60</v>
      </c>
      <c r="G2722" s="310"/>
      <c r="K2722" s="300"/>
    </row>
    <row r="2723" ht="15" customHeight="1" spans="1:11">
      <c r="A2723" s="307" t="s">
        <v>14</v>
      </c>
      <c r="B2723" s="308"/>
      <c r="C2723" s="308"/>
      <c r="D2723" s="308"/>
      <c r="E2723" s="311"/>
      <c r="F2723" s="309">
        <f>IFERROR(VLOOKUP(K2717,'2026.01'!A:Y,12,0),0)</f>
        <v>160</v>
      </c>
      <c r="G2723" s="310"/>
      <c r="K2723" s="300"/>
    </row>
    <row r="2724" ht="21" customHeight="1" spans="1:11">
      <c r="A2724" s="307" t="s">
        <v>15</v>
      </c>
      <c r="B2724" s="308"/>
      <c r="C2724" s="308"/>
      <c r="D2724" s="308"/>
      <c r="E2724" s="311"/>
      <c r="F2724" s="309">
        <f>IFERROR(VLOOKUP(K2717,'2026.01'!A:Y,9,0),0)</f>
        <v>5000</v>
      </c>
      <c r="G2724" s="310"/>
      <c r="K2724" s="300"/>
    </row>
    <row r="2725" ht="19" customHeight="1" spans="1:11">
      <c r="A2725" s="307" t="s">
        <v>16</v>
      </c>
      <c r="B2725" s="308"/>
      <c r="C2725" s="308"/>
      <c r="D2725" s="308"/>
      <c r="E2725" s="308"/>
      <c r="F2725" s="309">
        <f>IFERROR(VLOOKUP(K2717,'2026.01'!A:Y,10,0),0)</f>
        <v>500</v>
      </c>
      <c r="G2725" s="310"/>
      <c r="K2725" s="300"/>
    </row>
    <row r="2726" ht="21" customHeight="1" spans="1:11">
      <c r="A2726" s="307" t="s">
        <v>17</v>
      </c>
      <c r="B2726" s="308"/>
      <c r="C2726" s="308"/>
      <c r="D2726" s="308"/>
      <c r="E2726" s="308"/>
      <c r="F2726" s="309">
        <f>IFERROR(VLOOKUP(K2717,'2026.01'!A:Y,19,0),0)</f>
        <v>10</v>
      </c>
      <c r="G2726" s="310"/>
      <c r="K2726" s="300"/>
    </row>
    <row r="2727" ht="17.15" customHeight="1" spans="1:11">
      <c r="A2727" s="307" t="s">
        <v>18</v>
      </c>
      <c r="B2727" s="308"/>
      <c r="C2727" s="308"/>
      <c r="D2727" s="308"/>
      <c r="E2727" s="308"/>
      <c r="F2727" s="309">
        <f>IFERROR(VLOOKUP(K2717,'2026.01'!A:Y,22,0),0)</f>
        <v>278</v>
      </c>
      <c r="G2727" s="310"/>
      <c r="K2727" s="300"/>
    </row>
    <row r="2728" ht="17.15" customHeight="1" spans="1:11">
      <c r="A2728" s="307" t="s">
        <v>19</v>
      </c>
      <c r="B2728" s="312"/>
      <c r="C2728" s="308"/>
      <c r="D2728" s="313"/>
      <c r="E2728" s="308"/>
      <c r="F2728" s="309">
        <f>IFERROR(VLOOKUP(K2717,'2026.01'!A:Y,25,0),0)</f>
        <v>6019</v>
      </c>
      <c r="G2728" s="310"/>
      <c r="K2728" s="300"/>
    </row>
    <row r="2729" ht="15" customHeight="1" spans="1:11">
      <c r="A2729" s="314" t="s">
        <v>20</v>
      </c>
      <c r="B2729" s="315">
        <f>IF(F2728&lt;0,"金额为负，无效",INT(F2728))</f>
        <v>6019</v>
      </c>
      <c r="C2729" s="315"/>
      <c r="D2729" s="315"/>
      <c r="E2729" s="316" t="s">
        <v>21</v>
      </c>
      <c r="F2729" s="317"/>
      <c r="G2729" s="318"/>
      <c r="K2729" s="300"/>
    </row>
    <row r="2730" ht="15" customHeight="1" spans="1:11">
      <c r="A2730" s="319"/>
      <c r="B2730" s="320"/>
      <c r="C2730" s="320"/>
      <c r="D2730" s="320"/>
      <c r="E2730" s="319"/>
      <c r="F2730" s="321"/>
      <c r="G2730" s="322"/>
      <c r="K2730" s="300"/>
    </row>
    <row r="2731" ht="27" customHeight="1" spans="1:11">
      <c r="A2731" s="298" t="s">
        <v>0</v>
      </c>
      <c r="B2731" s="298"/>
      <c r="C2731" s="298"/>
      <c r="D2731" s="298"/>
      <c r="E2731" s="298"/>
      <c r="F2731" s="298"/>
      <c r="G2731" s="298"/>
      <c r="H2731" s="299"/>
      <c r="I2731" s="299"/>
      <c r="J2731" s="299"/>
      <c r="K2731" s="300">
        <v>196</v>
      </c>
    </row>
    <row r="2732" ht="15" customHeight="1" spans="1:11">
      <c r="A2732" s="301" t="s">
        <v>1</v>
      </c>
      <c r="B2732" s="301"/>
      <c r="C2732" s="301"/>
      <c r="D2732" s="301"/>
      <c r="E2732" s="301"/>
      <c r="F2732" s="301"/>
      <c r="G2732" s="302" t="str">
        <f>IFERROR(VLOOKUP(K2731,'2026.01'!A:Y,2,0),0)</f>
        <v>NO:196</v>
      </c>
      <c r="K2732" s="300"/>
    </row>
    <row r="2733" ht="15" customHeight="1" spans="1:11">
      <c r="A2733" s="303" t="s">
        <v>2</v>
      </c>
      <c r="B2733" s="304">
        <f>IFERROR(VLOOKUP(K2731,'2026.01'!A:Y,6,0),0)</f>
        <v>3032</v>
      </c>
      <c r="C2733" s="304"/>
      <c r="D2733" s="305" t="s">
        <v>3</v>
      </c>
      <c r="E2733" s="305" t="str">
        <f>IFERROR(VLOOKUP(K2731,'2026.01'!A:Y,7,0),0)</f>
        <v>陆游</v>
      </c>
      <c r="F2733" s="305"/>
      <c r="G2733" s="306" t="s">
        <v>4</v>
      </c>
      <c r="K2733" s="300"/>
    </row>
    <row r="2734" ht="15" customHeight="1" spans="1:11">
      <c r="A2734" s="307" t="s">
        <v>5</v>
      </c>
      <c r="B2734" s="308" t="s">
        <v>6</v>
      </c>
      <c r="C2734" s="308" t="s">
        <v>7</v>
      </c>
      <c r="D2734" s="308" t="s">
        <v>8</v>
      </c>
      <c r="E2734" s="308" t="s">
        <v>9</v>
      </c>
      <c r="F2734" s="309" t="s">
        <v>10</v>
      </c>
      <c r="G2734" s="310" t="s">
        <v>11</v>
      </c>
      <c r="K2734" s="300"/>
    </row>
    <row r="2735" ht="15" customHeight="1" spans="1:11">
      <c r="A2735" s="307" t="s">
        <v>12</v>
      </c>
      <c r="B2735" s="308">
        <f>IFERROR(VLOOKUP(K2731,'2026.01'!A:Y,14,0),0)</f>
        <v>1293</v>
      </c>
      <c r="C2735" s="308">
        <f>IFERROR(VLOOKUP(K2731,'2026.01'!A:Y,13,0),0)</f>
        <v>1272</v>
      </c>
      <c r="D2735" s="308">
        <f>IFERROR(VLOOKUP(K2731,'2026.01'!A:Y,15,0),0)</f>
        <v>21</v>
      </c>
      <c r="E2735" s="311">
        <f>IFERROR(VLOOKUP(K2731,'2026.01'!A:Y,18,0),0)</f>
        <v>0.8</v>
      </c>
      <c r="F2735" s="309">
        <f>IFERROR(VLOOKUP(K2731,'2026.01'!A:Y,20,0),0)</f>
        <v>17</v>
      </c>
      <c r="G2735" s="310"/>
      <c r="K2735" s="300"/>
    </row>
    <row r="2736" ht="15" customHeight="1" spans="1:11">
      <c r="A2736" s="307" t="s">
        <v>13</v>
      </c>
      <c r="B2736" s="308"/>
      <c r="C2736" s="308"/>
      <c r="D2736" s="308"/>
      <c r="E2736" s="311"/>
      <c r="F2736" s="309">
        <f>IFERROR(VLOOKUP(K2731,'2026.01'!A:Y,24,0),0)</f>
        <v>51</v>
      </c>
      <c r="G2736" s="310"/>
      <c r="K2736" s="300"/>
    </row>
    <row r="2737" ht="15" customHeight="1" spans="1:11">
      <c r="A2737" s="307" t="s">
        <v>14</v>
      </c>
      <c r="B2737" s="308"/>
      <c r="C2737" s="308"/>
      <c r="D2737" s="308"/>
      <c r="E2737" s="311"/>
      <c r="F2737" s="309">
        <f>IFERROR(VLOOKUP(K2731,'2026.01'!A:Y,12,0),0)</f>
        <v>160</v>
      </c>
      <c r="G2737" s="310"/>
      <c r="K2737" s="300"/>
    </row>
    <row r="2738" ht="21" customHeight="1" spans="1:11">
      <c r="A2738" s="307" t="s">
        <v>15</v>
      </c>
      <c r="B2738" s="308"/>
      <c r="C2738" s="308"/>
      <c r="D2738" s="308"/>
      <c r="E2738" s="311"/>
      <c r="F2738" s="309">
        <f>IFERROR(VLOOKUP(K2731,'2026.01'!A:Y,9,0),0)</f>
        <v>5000</v>
      </c>
      <c r="G2738" s="310"/>
      <c r="K2738" s="300"/>
    </row>
    <row r="2739" ht="19" customHeight="1" spans="1:11">
      <c r="A2739" s="307" t="s">
        <v>16</v>
      </c>
      <c r="B2739" s="308"/>
      <c r="C2739" s="308"/>
      <c r="D2739" s="308"/>
      <c r="E2739" s="308"/>
      <c r="F2739" s="309">
        <f>IFERROR(VLOOKUP(K2731,'2026.01'!A:Y,10,0),0)</f>
        <v>500</v>
      </c>
      <c r="G2739" s="310"/>
      <c r="K2739" s="300"/>
    </row>
    <row r="2740" ht="21" customHeight="1" spans="1:11">
      <c r="A2740" s="307" t="s">
        <v>17</v>
      </c>
      <c r="B2740" s="308"/>
      <c r="C2740" s="308"/>
      <c r="D2740" s="308"/>
      <c r="E2740" s="308"/>
      <c r="F2740" s="309">
        <f>IFERROR(VLOOKUP(K2731,'2026.01'!A:Y,19,0),0)</f>
        <v>15</v>
      </c>
      <c r="G2740" s="310"/>
      <c r="K2740" s="300"/>
    </row>
    <row r="2741" ht="17.15" customHeight="1" spans="1:11">
      <c r="A2741" s="307" t="s">
        <v>18</v>
      </c>
      <c r="B2741" s="308"/>
      <c r="C2741" s="308"/>
      <c r="D2741" s="308"/>
      <c r="E2741" s="308"/>
      <c r="F2741" s="309">
        <f>IFERROR(VLOOKUP(K2731,'2026.01'!A:Y,22,0),0)</f>
        <v>267</v>
      </c>
      <c r="G2741" s="310"/>
      <c r="K2741" s="300"/>
    </row>
    <row r="2742" ht="17.15" customHeight="1" spans="1:11">
      <c r="A2742" s="307" t="s">
        <v>19</v>
      </c>
      <c r="B2742" s="312"/>
      <c r="C2742" s="308"/>
      <c r="D2742" s="313"/>
      <c r="E2742" s="308"/>
      <c r="F2742" s="309">
        <f>IFERROR(VLOOKUP(K2731,'2026.01'!A:Y,25,0),0)</f>
        <v>6010</v>
      </c>
      <c r="G2742" s="310"/>
      <c r="K2742" s="300"/>
    </row>
    <row r="2743" ht="15" customHeight="1" spans="1:11">
      <c r="A2743" s="314" t="s">
        <v>20</v>
      </c>
      <c r="B2743" s="315">
        <f>IF(F2742&lt;0,"金额为负，无效",INT(F2742))</f>
        <v>6010</v>
      </c>
      <c r="C2743" s="315"/>
      <c r="D2743" s="315"/>
      <c r="E2743" s="316" t="s">
        <v>21</v>
      </c>
      <c r="F2743" s="317"/>
      <c r="G2743" s="318"/>
      <c r="K2743" s="300"/>
    </row>
    <row r="2744" ht="23" customHeight="1" spans="1:11">
      <c r="A2744" s="319"/>
      <c r="B2744" s="320"/>
      <c r="C2744" s="320"/>
      <c r="D2744" s="320"/>
      <c r="E2744" s="319"/>
      <c r="F2744" s="321"/>
      <c r="G2744" s="322"/>
      <c r="K2744" s="300"/>
    </row>
    <row r="2745" ht="27" customHeight="1" spans="1:11">
      <c r="A2745" s="298" t="s">
        <v>0</v>
      </c>
      <c r="B2745" s="298"/>
      <c r="C2745" s="298"/>
      <c r="D2745" s="298"/>
      <c r="E2745" s="298"/>
      <c r="F2745" s="298"/>
      <c r="G2745" s="298"/>
      <c r="H2745" s="299"/>
      <c r="I2745" s="299"/>
      <c r="J2745" s="299"/>
      <c r="K2745" s="300">
        <v>197</v>
      </c>
    </row>
    <row r="2746" ht="15" customHeight="1" spans="1:11">
      <c r="A2746" s="301" t="s">
        <v>1</v>
      </c>
      <c r="B2746" s="301"/>
      <c r="C2746" s="301"/>
      <c r="D2746" s="301"/>
      <c r="E2746" s="301"/>
      <c r="F2746" s="301"/>
      <c r="G2746" s="302" t="str">
        <f>IFERROR(VLOOKUP(K2745,'2026.01'!A:Y,2,0),0)</f>
        <v>NO:197</v>
      </c>
      <c r="K2746" s="300"/>
    </row>
    <row r="2747" ht="15" customHeight="1" spans="1:11">
      <c r="A2747" s="303" t="s">
        <v>2</v>
      </c>
      <c r="B2747" s="304">
        <f>IFERROR(VLOOKUP(K2745,'2026.01'!A:Y,6,0),0)</f>
        <v>3033</v>
      </c>
      <c r="C2747" s="304"/>
      <c r="D2747" s="305" t="s">
        <v>3</v>
      </c>
      <c r="E2747" s="305" t="str">
        <f>IFERROR(VLOOKUP(K2745,'2026.01'!A:Y,7,0),0)</f>
        <v>胡晓燕</v>
      </c>
      <c r="F2747" s="305"/>
      <c r="G2747" s="306" t="s">
        <v>4</v>
      </c>
      <c r="K2747" s="300"/>
    </row>
    <row r="2748" ht="15" customHeight="1" spans="1:11">
      <c r="A2748" s="307" t="s">
        <v>5</v>
      </c>
      <c r="B2748" s="308" t="s">
        <v>6</v>
      </c>
      <c r="C2748" s="308" t="s">
        <v>7</v>
      </c>
      <c r="D2748" s="308" t="s">
        <v>8</v>
      </c>
      <c r="E2748" s="308" t="s">
        <v>9</v>
      </c>
      <c r="F2748" s="309" t="s">
        <v>10</v>
      </c>
      <c r="G2748" s="310" t="s">
        <v>11</v>
      </c>
      <c r="K2748" s="300"/>
    </row>
    <row r="2749" ht="15" customHeight="1" spans="1:11">
      <c r="A2749" s="307" t="s">
        <v>12</v>
      </c>
      <c r="B2749" s="308">
        <f>IFERROR(VLOOKUP(K2745,'2026.01'!A:Y,14,0),0)</f>
        <v>9266</v>
      </c>
      <c r="C2749" s="308">
        <f>IFERROR(VLOOKUP(K2745,'2026.01'!A:Y,13,0),0)</f>
        <v>9193</v>
      </c>
      <c r="D2749" s="308">
        <f>IFERROR(VLOOKUP(K2745,'2026.01'!A:Y,15,0),0)</f>
        <v>73</v>
      </c>
      <c r="E2749" s="311">
        <f>IFERROR(VLOOKUP(K2745,'2026.01'!A:Y,18,0),0)</f>
        <v>0.8</v>
      </c>
      <c r="F2749" s="309">
        <f>IFERROR(VLOOKUP(K2745,'2026.01'!A:Y,20,0),0)</f>
        <v>58</v>
      </c>
      <c r="G2749" s="310"/>
      <c r="K2749" s="300"/>
    </row>
    <row r="2750" ht="15" customHeight="1" spans="1:11">
      <c r="A2750" s="307" t="s">
        <v>13</v>
      </c>
      <c r="B2750" s="308"/>
      <c r="C2750" s="308"/>
      <c r="D2750" s="308"/>
      <c r="E2750" s="311"/>
      <c r="F2750" s="309">
        <f>IFERROR(VLOOKUP(K2745,'2026.01'!A:Y,24,0),0)</f>
        <v>51</v>
      </c>
      <c r="G2750" s="310"/>
      <c r="K2750" s="300"/>
    </row>
    <row r="2751" ht="15" customHeight="1" spans="1:11">
      <c r="A2751" s="307" t="s">
        <v>14</v>
      </c>
      <c r="B2751" s="308"/>
      <c r="C2751" s="308"/>
      <c r="D2751" s="308"/>
      <c r="E2751" s="311"/>
      <c r="F2751" s="309">
        <f>IFERROR(VLOOKUP(K2745,'2026.01'!A:Y,12,0),0)</f>
        <v>160</v>
      </c>
      <c r="G2751" s="310"/>
      <c r="K2751" s="300"/>
    </row>
    <row r="2752" ht="21" customHeight="1" spans="1:11">
      <c r="A2752" s="307" t="s">
        <v>15</v>
      </c>
      <c r="B2752" s="308"/>
      <c r="C2752" s="308"/>
      <c r="D2752" s="308"/>
      <c r="E2752" s="311"/>
      <c r="F2752" s="309">
        <f>IFERROR(VLOOKUP(K2745,'2026.01'!A:Y,9,0),0)</f>
        <v>5000</v>
      </c>
      <c r="G2752" s="310"/>
      <c r="K2752" s="300"/>
    </row>
    <row r="2753" ht="19" customHeight="1" spans="1:11">
      <c r="A2753" s="307" t="s">
        <v>16</v>
      </c>
      <c r="B2753" s="308"/>
      <c r="C2753" s="308"/>
      <c r="D2753" s="308"/>
      <c r="E2753" s="308"/>
      <c r="F2753" s="309">
        <f>IFERROR(VLOOKUP(K2745,'2026.01'!A:Y,10,0),0)</f>
        <v>500</v>
      </c>
      <c r="G2753" s="310"/>
      <c r="K2753" s="300"/>
    </row>
    <row r="2754" ht="21" customHeight="1" spans="1:11">
      <c r="A2754" s="307" t="s">
        <v>17</v>
      </c>
      <c r="B2754" s="308"/>
      <c r="C2754" s="308"/>
      <c r="D2754" s="308"/>
      <c r="E2754" s="308"/>
      <c r="F2754" s="309">
        <f>IFERROR(VLOOKUP(K2745,'2026.01'!A:Y,19,0),0)</f>
        <v>51</v>
      </c>
      <c r="G2754" s="310"/>
      <c r="K2754" s="300"/>
    </row>
    <row r="2755" ht="17.15" customHeight="1" spans="1:11">
      <c r="A2755" s="307" t="s">
        <v>18</v>
      </c>
      <c r="B2755" s="308"/>
      <c r="C2755" s="308"/>
      <c r="D2755" s="308"/>
      <c r="E2755" s="308"/>
      <c r="F2755" s="309">
        <f>IFERROR(VLOOKUP(K2745,'2026.01'!A:Y,22,0),0)</f>
        <v>267</v>
      </c>
      <c r="G2755" s="310"/>
      <c r="K2755" s="300"/>
    </row>
    <row r="2756" ht="17.15" customHeight="1" spans="1:11">
      <c r="A2756" s="307" t="s">
        <v>19</v>
      </c>
      <c r="B2756" s="312"/>
      <c r="C2756" s="308"/>
      <c r="D2756" s="313"/>
      <c r="E2756" s="308"/>
      <c r="F2756" s="309">
        <f>IFERROR(VLOOKUP(K2745,'2026.01'!A:Y,25,0),0)</f>
        <v>6087</v>
      </c>
      <c r="G2756" s="310"/>
      <c r="K2756" s="300"/>
    </row>
    <row r="2757" ht="15" customHeight="1" spans="1:11">
      <c r="A2757" s="314" t="s">
        <v>20</v>
      </c>
      <c r="B2757" s="315">
        <f>IF(F2756&lt;0,"金额为负，无效",INT(F2756))</f>
        <v>6087</v>
      </c>
      <c r="C2757" s="315"/>
      <c r="D2757" s="315"/>
      <c r="E2757" s="316" t="s">
        <v>21</v>
      </c>
      <c r="F2757" s="317"/>
      <c r="G2757" s="318"/>
      <c r="K2757" s="300"/>
    </row>
    <row r="2758" ht="23" customHeight="1" spans="1:11">
      <c r="A2758" s="319"/>
      <c r="B2758" s="320"/>
      <c r="C2758" s="320"/>
      <c r="D2758" s="320"/>
      <c r="E2758" s="319"/>
      <c r="F2758" s="321"/>
      <c r="G2758" s="322"/>
      <c r="K2758" s="300"/>
    </row>
    <row r="2759" ht="27" customHeight="1" spans="1:11">
      <c r="A2759" s="298" t="s">
        <v>0</v>
      </c>
      <c r="B2759" s="298"/>
      <c r="C2759" s="298"/>
      <c r="D2759" s="298"/>
      <c r="E2759" s="298"/>
      <c r="F2759" s="298"/>
      <c r="G2759" s="298"/>
      <c r="H2759" s="299"/>
      <c r="I2759" s="299"/>
      <c r="J2759" s="299"/>
      <c r="K2759" s="300">
        <v>198</v>
      </c>
    </row>
    <row r="2760" ht="15" customHeight="1" spans="1:11">
      <c r="A2760" s="301" t="s">
        <v>1</v>
      </c>
      <c r="B2760" s="301"/>
      <c r="C2760" s="301"/>
      <c r="D2760" s="301"/>
      <c r="E2760" s="301"/>
      <c r="F2760" s="301"/>
      <c r="G2760" s="302" t="str">
        <f>IFERROR(VLOOKUP(K2759,'2026.01'!A:Y,2,0),0)</f>
        <v>NO:198</v>
      </c>
      <c r="K2760" s="300"/>
    </row>
    <row r="2761" ht="15" customHeight="1" spans="1:11">
      <c r="A2761" s="303" t="s">
        <v>2</v>
      </c>
      <c r="B2761" s="304">
        <f>IFERROR(VLOOKUP(K2759,'2026.01'!A:Y,6,0),0)</f>
        <v>3034</v>
      </c>
      <c r="C2761" s="304"/>
      <c r="D2761" s="305" t="s">
        <v>3</v>
      </c>
      <c r="E2761" s="305" t="str">
        <f>IFERROR(VLOOKUP(K2759,'2026.01'!A:Y,7,0),0)</f>
        <v>薛扬</v>
      </c>
      <c r="F2761" s="305"/>
      <c r="G2761" s="306" t="s">
        <v>4</v>
      </c>
      <c r="K2761" s="300"/>
    </row>
    <row r="2762" ht="15" customHeight="1" spans="1:11">
      <c r="A2762" s="307" t="s">
        <v>5</v>
      </c>
      <c r="B2762" s="308" t="s">
        <v>6</v>
      </c>
      <c r="C2762" s="308" t="s">
        <v>7</v>
      </c>
      <c r="D2762" s="308" t="s">
        <v>8</v>
      </c>
      <c r="E2762" s="308" t="s">
        <v>9</v>
      </c>
      <c r="F2762" s="309" t="s">
        <v>10</v>
      </c>
      <c r="G2762" s="310" t="s">
        <v>11</v>
      </c>
      <c r="K2762" s="300"/>
    </row>
    <row r="2763" ht="15" customHeight="1" spans="1:11">
      <c r="A2763" s="307" t="s">
        <v>12</v>
      </c>
      <c r="B2763" s="308">
        <f>IFERROR(VLOOKUP(K2759,'2026.01'!A:Y,14,0),0)</f>
        <v>9497</v>
      </c>
      <c r="C2763" s="308">
        <f>IFERROR(VLOOKUP(K2759,'2026.01'!A:Y,13,0),0)</f>
        <v>9421</v>
      </c>
      <c r="D2763" s="308">
        <f>IFERROR(VLOOKUP(K2759,'2026.01'!A:Y,15,0),0)</f>
        <v>76</v>
      </c>
      <c r="E2763" s="311">
        <f>IFERROR(VLOOKUP(K2759,'2026.01'!A:Y,18,0),0)</f>
        <v>0.8</v>
      </c>
      <c r="F2763" s="309">
        <f>IFERROR(VLOOKUP(K2759,'2026.01'!A:Y,20,0),0)</f>
        <v>61</v>
      </c>
      <c r="G2763" s="310"/>
      <c r="K2763" s="300"/>
    </row>
    <row r="2764" ht="15" customHeight="1" spans="1:11">
      <c r="A2764" s="307" t="s">
        <v>13</v>
      </c>
      <c r="B2764" s="308"/>
      <c r="C2764" s="308"/>
      <c r="D2764" s="308"/>
      <c r="E2764" s="311"/>
      <c r="F2764" s="309">
        <f>IFERROR(VLOOKUP(K2759,'2026.01'!A:Y,24,0),0)</f>
        <v>51</v>
      </c>
      <c r="G2764" s="310"/>
      <c r="K2764" s="300"/>
    </row>
    <row r="2765" ht="15" customHeight="1" spans="1:11">
      <c r="A2765" s="307" t="s">
        <v>14</v>
      </c>
      <c r="B2765" s="308"/>
      <c r="C2765" s="308"/>
      <c r="D2765" s="308"/>
      <c r="E2765" s="311"/>
      <c r="F2765" s="309">
        <f>IFERROR(VLOOKUP(K2759,'2026.01'!A:Y,12,0),0)</f>
        <v>160</v>
      </c>
      <c r="G2765" s="310"/>
      <c r="K2765" s="300"/>
    </row>
    <row r="2766" ht="21" customHeight="1" spans="1:11">
      <c r="A2766" s="307" t="s">
        <v>15</v>
      </c>
      <c r="B2766" s="308"/>
      <c r="C2766" s="308"/>
      <c r="D2766" s="308"/>
      <c r="E2766" s="311"/>
      <c r="F2766" s="309">
        <f>IFERROR(VLOOKUP(K2759,'2026.01'!A:Y,9,0),0)</f>
        <v>5000</v>
      </c>
      <c r="G2766" s="310"/>
      <c r="K2766" s="300"/>
    </row>
    <row r="2767" ht="19" customHeight="1" spans="1:11">
      <c r="A2767" s="307" t="s">
        <v>16</v>
      </c>
      <c r="B2767" s="308"/>
      <c r="C2767" s="308"/>
      <c r="D2767" s="308"/>
      <c r="E2767" s="308"/>
      <c r="F2767" s="309">
        <f>IFERROR(VLOOKUP(K2759,'2026.01'!A:Y,10,0),0)</f>
        <v>500</v>
      </c>
      <c r="G2767" s="310"/>
      <c r="K2767" s="300"/>
    </row>
    <row r="2768" ht="21" customHeight="1" spans="1:11">
      <c r="A2768" s="307" t="s">
        <v>17</v>
      </c>
      <c r="B2768" s="308"/>
      <c r="C2768" s="308"/>
      <c r="D2768" s="308"/>
      <c r="E2768" s="308"/>
      <c r="F2768" s="309">
        <f>IFERROR(VLOOKUP(K2759,'2026.01'!A:Y,19,0),0)</f>
        <v>53</v>
      </c>
      <c r="G2768" s="310"/>
      <c r="K2768" s="300"/>
    </row>
    <row r="2769" ht="17.15" customHeight="1" spans="1:11">
      <c r="A2769" s="307" t="s">
        <v>18</v>
      </c>
      <c r="B2769" s="308"/>
      <c r="C2769" s="308"/>
      <c r="D2769" s="308"/>
      <c r="E2769" s="308"/>
      <c r="F2769" s="309">
        <f>IFERROR(VLOOKUP(K2759,'2026.01'!A:Y,22,0),0)</f>
        <v>267</v>
      </c>
      <c r="G2769" s="310"/>
      <c r="K2769" s="300"/>
    </row>
    <row r="2770" ht="17.15" customHeight="1" spans="1:11">
      <c r="A2770" s="307" t="s">
        <v>19</v>
      </c>
      <c r="B2770" s="312"/>
      <c r="C2770" s="308"/>
      <c r="D2770" s="313"/>
      <c r="E2770" s="308"/>
      <c r="F2770" s="309">
        <f>IFERROR(VLOOKUP(K2759,'2026.01'!A:Y,25,0),0)</f>
        <v>6092</v>
      </c>
      <c r="G2770" s="310"/>
      <c r="K2770" s="300"/>
    </row>
    <row r="2771" ht="15" customHeight="1" spans="1:11">
      <c r="A2771" s="314" t="s">
        <v>20</v>
      </c>
      <c r="B2771" s="315">
        <f>IF(F2770&lt;0,"金额为负，无效",INT(F2770))</f>
        <v>6092</v>
      </c>
      <c r="C2771" s="315"/>
      <c r="D2771" s="315"/>
      <c r="E2771" s="316" t="s">
        <v>21</v>
      </c>
      <c r="F2771" s="317"/>
      <c r="G2771" s="318"/>
      <c r="K2771" s="300"/>
    </row>
    <row r="2772" ht="15" customHeight="1" spans="1:11">
      <c r="A2772" s="319"/>
      <c r="B2772" s="320"/>
      <c r="C2772" s="320"/>
      <c r="D2772" s="320"/>
      <c r="E2772" s="319"/>
      <c r="F2772" s="321"/>
      <c r="G2772" s="322"/>
      <c r="K2772" s="300"/>
    </row>
    <row r="2773" ht="27" customHeight="1" spans="1:11">
      <c r="A2773" s="298" t="s">
        <v>0</v>
      </c>
      <c r="B2773" s="298"/>
      <c r="C2773" s="298"/>
      <c r="D2773" s="298"/>
      <c r="E2773" s="298"/>
      <c r="F2773" s="298"/>
      <c r="G2773" s="298"/>
      <c r="H2773" s="299"/>
      <c r="I2773" s="299"/>
      <c r="J2773" s="299"/>
      <c r="K2773" s="300">
        <v>199</v>
      </c>
    </row>
    <row r="2774" ht="15" customHeight="1" spans="1:11">
      <c r="A2774" s="301" t="s">
        <v>1</v>
      </c>
      <c r="B2774" s="301"/>
      <c r="C2774" s="301"/>
      <c r="D2774" s="301"/>
      <c r="E2774" s="301"/>
      <c r="F2774" s="301"/>
      <c r="G2774" s="302" t="str">
        <f>IFERROR(VLOOKUP(K2773,'2026.01'!A:Y,2,0),0)</f>
        <v>NO:199</v>
      </c>
      <c r="K2774" s="300"/>
    </row>
    <row r="2775" ht="15" customHeight="1" spans="1:11">
      <c r="A2775" s="303" t="s">
        <v>2</v>
      </c>
      <c r="B2775" s="304">
        <f>IFERROR(VLOOKUP(K2773,'2026.01'!A:Y,6,0),0)</f>
        <v>3035</v>
      </c>
      <c r="C2775" s="304"/>
      <c r="D2775" s="305" t="s">
        <v>3</v>
      </c>
      <c r="E2775" s="305" t="str">
        <f>IFERROR(VLOOKUP(K2773,'2026.01'!A:Y,7,0),0)</f>
        <v>陈文彦</v>
      </c>
      <c r="F2775" s="305"/>
      <c r="G2775" s="306" t="s">
        <v>4</v>
      </c>
      <c r="K2775" s="300"/>
    </row>
    <row r="2776" ht="15" customHeight="1" spans="1:11">
      <c r="A2776" s="307" t="s">
        <v>5</v>
      </c>
      <c r="B2776" s="308" t="s">
        <v>6</v>
      </c>
      <c r="C2776" s="308" t="s">
        <v>7</v>
      </c>
      <c r="D2776" s="308" t="s">
        <v>8</v>
      </c>
      <c r="E2776" s="308" t="s">
        <v>9</v>
      </c>
      <c r="F2776" s="309" t="s">
        <v>10</v>
      </c>
      <c r="G2776" s="310" t="s">
        <v>11</v>
      </c>
      <c r="K2776" s="300"/>
    </row>
    <row r="2777" ht="15" customHeight="1" spans="1:11">
      <c r="A2777" s="307" t="s">
        <v>12</v>
      </c>
      <c r="B2777" s="308">
        <f>IFERROR(VLOOKUP(K2773,'2026.01'!A:Y,14,0),0)</f>
        <v>8253</v>
      </c>
      <c r="C2777" s="308">
        <f>IFERROR(VLOOKUP(K2773,'2026.01'!A:Y,13,0),0)</f>
        <v>8137</v>
      </c>
      <c r="D2777" s="308">
        <f>IFERROR(VLOOKUP(K2773,'2026.01'!A:Y,15,0),0)</f>
        <v>116</v>
      </c>
      <c r="E2777" s="311">
        <f>IFERROR(VLOOKUP(K2773,'2026.01'!A:Y,18,0),0)</f>
        <v>0.8</v>
      </c>
      <c r="F2777" s="309">
        <f>IFERROR(VLOOKUP(K2773,'2026.01'!A:Y,20,0),0)</f>
        <v>93</v>
      </c>
      <c r="G2777" s="310"/>
      <c r="K2777" s="300"/>
    </row>
    <row r="2778" ht="15" customHeight="1" spans="1:11">
      <c r="A2778" s="307" t="s">
        <v>13</v>
      </c>
      <c r="B2778" s="308"/>
      <c r="C2778" s="308"/>
      <c r="D2778" s="308"/>
      <c r="E2778" s="311"/>
      <c r="F2778" s="309">
        <f>IFERROR(VLOOKUP(K2773,'2026.01'!A:Y,24,0),0)</f>
        <v>51</v>
      </c>
      <c r="G2778" s="310"/>
      <c r="K2778" s="300"/>
    </row>
    <row r="2779" ht="15" customHeight="1" spans="1:11">
      <c r="A2779" s="307" t="s">
        <v>14</v>
      </c>
      <c r="B2779" s="308"/>
      <c r="C2779" s="308"/>
      <c r="D2779" s="308"/>
      <c r="E2779" s="311"/>
      <c r="F2779" s="309">
        <f>IFERROR(VLOOKUP(K2773,'2026.01'!A:Y,12,0),0)</f>
        <v>160</v>
      </c>
      <c r="G2779" s="310"/>
      <c r="K2779" s="300"/>
    </row>
    <row r="2780" ht="21" customHeight="1" spans="1:11">
      <c r="A2780" s="307" t="s">
        <v>15</v>
      </c>
      <c r="B2780" s="308"/>
      <c r="C2780" s="308"/>
      <c r="D2780" s="308"/>
      <c r="E2780" s="311"/>
      <c r="F2780" s="309">
        <f>IFERROR(VLOOKUP(K2773,'2026.01'!A:Y,9,0),0)</f>
        <v>5000</v>
      </c>
      <c r="G2780" s="310"/>
      <c r="K2780" s="300"/>
    </row>
    <row r="2781" ht="19" customHeight="1" spans="1:11">
      <c r="A2781" s="307" t="s">
        <v>16</v>
      </c>
      <c r="B2781" s="308"/>
      <c r="C2781" s="308"/>
      <c r="D2781" s="308"/>
      <c r="E2781" s="308"/>
      <c r="F2781" s="309">
        <f>IFERROR(VLOOKUP(K2773,'2026.01'!A:Y,10,0),0)</f>
        <v>500</v>
      </c>
      <c r="G2781" s="310"/>
      <c r="K2781" s="300"/>
    </row>
    <row r="2782" ht="21" customHeight="1" spans="1:11">
      <c r="A2782" s="307" t="s">
        <v>17</v>
      </c>
      <c r="B2782" s="308"/>
      <c r="C2782" s="308"/>
      <c r="D2782" s="308"/>
      <c r="E2782" s="308"/>
      <c r="F2782" s="309">
        <f>IFERROR(VLOOKUP(K2773,'2026.01'!A:Y,19,0),0)</f>
        <v>81</v>
      </c>
      <c r="G2782" s="310"/>
      <c r="K2782" s="300"/>
    </row>
    <row r="2783" ht="17.15" customHeight="1" spans="1:11">
      <c r="A2783" s="307" t="s">
        <v>18</v>
      </c>
      <c r="B2783" s="308"/>
      <c r="C2783" s="308"/>
      <c r="D2783" s="308"/>
      <c r="E2783" s="308"/>
      <c r="F2783" s="309">
        <f>IFERROR(VLOOKUP(K2773,'2026.01'!A:Y,22,0),0)</f>
        <v>267</v>
      </c>
      <c r="G2783" s="310"/>
      <c r="K2783" s="300"/>
    </row>
    <row r="2784" ht="17.15" customHeight="1" spans="1:11">
      <c r="A2784" s="307" t="s">
        <v>19</v>
      </c>
      <c r="B2784" s="312"/>
      <c r="C2784" s="308"/>
      <c r="D2784" s="313"/>
      <c r="E2784" s="308"/>
      <c r="F2784" s="309">
        <f>IFERROR(VLOOKUP(K2773,'2026.01'!A:Y,25,0),0)</f>
        <v>6152</v>
      </c>
      <c r="G2784" s="310"/>
      <c r="K2784" s="300"/>
    </row>
    <row r="2785" ht="15" customHeight="1" spans="1:11">
      <c r="A2785" s="314" t="s">
        <v>20</v>
      </c>
      <c r="B2785" s="315">
        <f>IF(F2784&lt;0,"金额为负，无效",INT(F2784))</f>
        <v>6152</v>
      </c>
      <c r="C2785" s="315"/>
      <c r="D2785" s="315"/>
      <c r="E2785" s="316" t="s">
        <v>21</v>
      </c>
      <c r="F2785" s="317"/>
      <c r="G2785" s="318"/>
      <c r="K2785" s="300"/>
    </row>
    <row r="2786" ht="23" customHeight="1" spans="1:11">
      <c r="A2786" s="319"/>
      <c r="B2786" s="320"/>
      <c r="C2786" s="320"/>
      <c r="D2786" s="320"/>
      <c r="E2786" s="319"/>
      <c r="F2786" s="321"/>
      <c r="G2786" s="322"/>
      <c r="K2786" s="300"/>
    </row>
    <row r="2787" ht="27" customHeight="1" spans="1:11">
      <c r="A2787" s="298" t="s">
        <v>0</v>
      </c>
      <c r="B2787" s="298"/>
      <c r="C2787" s="298"/>
      <c r="D2787" s="298"/>
      <c r="E2787" s="298"/>
      <c r="F2787" s="298"/>
      <c r="G2787" s="298"/>
      <c r="H2787" s="299"/>
      <c r="I2787" s="299"/>
      <c r="J2787" s="299"/>
      <c r="K2787" s="300">
        <v>200</v>
      </c>
    </row>
    <row r="2788" ht="15" customHeight="1" spans="1:11">
      <c r="A2788" s="301" t="s">
        <v>1</v>
      </c>
      <c r="B2788" s="301"/>
      <c r="C2788" s="301"/>
      <c r="D2788" s="301"/>
      <c r="E2788" s="301"/>
      <c r="F2788" s="301"/>
      <c r="G2788" s="302" t="str">
        <f>IFERROR(VLOOKUP(K2787,'2026.01'!A:Y,2,0),0)</f>
        <v>NO:200</v>
      </c>
      <c r="K2788" s="300"/>
    </row>
    <row r="2789" ht="15" customHeight="1" spans="1:11">
      <c r="A2789" s="303" t="s">
        <v>2</v>
      </c>
      <c r="B2789" s="304">
        <f>IFERROR(VLOOKUP(K2787,'2026.01'!A:Y,6,0),0)</f>
        <v>3036</v>
      </c>
      <c r="C2789" s="304"/>
      <c r="D2789" s="305" t="s">
        <v>3</v>
      </c>
      <c r="E2789" s="305" t="str">
        <f>IFERROR(VLOOKUP(K2787,'2026.01'!A:Y,7,0),0)</f>
        <v>陈家慧</v>
      </c>
      <c r="F2789" s="305"/>
      <c r="G2789" s="306" t="s">
        <v>4</v>
      </c>
      <c r="K2789" s="300"/>
    </row>
    <row r="2790" ht="15" customHeight="1" spans="1:11">
      <c r="A2790" s="307" t="s">
        <v>5</v>
      </c>
      <c r="B2790" s="308" t="s">
        <v>6</v>
      </c>
      <c r="C2790" s="308" t="s">
        <v>7</v>
      </c>
      <c r="D2790" s="308" t="s">
        <v>8</v>
      </c>
      <c r="E2790" s="308" t="s">
        <v>9</v>
      </c>
      <c r="F2790" s="309" t="s">
        <v>10</v>
      </c>
      <c r="G2790" s="310" t="s">
        <v>11</v>
      </c>
      <c r="K2790" s="300"/>
    </row>
    <row r="2791" ht="15" customHeight="1" spans="1:11">
      <c r="A2791" s="307" t="s">
        <v>12</v>
      </c>
      <c r="B2791" s="308">
        <f>IFERROR(VLOOKUP(K2787,'2026.01'!A:Y,14,0),0)</f>
        <v>1214</v>
      </c>
      <c r="C2791" s="308">
        <f>IFERROR(VLOOKUP(K2787,'2026.01'!A:Y,13,0),0)</f>
        <v>1157</v>
      </c>
      <c r="D2791" s="308">
        <f>IFERROR(VLOOKUP(K2787,'2026.01'!A:Y,15,0),0)</f>
        <v>57</v>
      </c>
      <c r="E2791" s="311">
        <f>IFERROR(VLOOKUP(K2787,'2026.01'!A:Y,18,0),0)</f>
        <v>0.8</v>
      </c>
      <c r="F2791" s="309">
        <f>IFERROR(VLOOKUP(K2787,'2026.01'!A:Y,20,0),0)</f>
        <v>46</v>
      </c>
      <c r="G2791" s="310"/>
      <c r="K2791" s="300"/>
    </row>
    <row r="2792" ht="15" customHeight="1" spans="1:11">
      <c r="A2792" s="307" t="s">
        <v>13</v>
      </c>
      <c r="B2792" s="308"/>
      <c r="C2792" s="308"/>
      <c r="D2792" s="308"/>
      <c r="E2792" s="311"/>
      <c r="F2792" s="309">
        <f>IFERROR(VLOOKUP(K2787,'2026.01'!A:Y,24,0),0)</f>
        <v>51</v>
      </c>
      <c r="G2792" s="310"/>
      <c r="K2792" s="300"/>
    </row>
    <row r="2793" ht="15" customHeight="1" spans="1:11">
      <c r="A2793" s="307" t="s">
        <v>14</v>
      </c>
      <c r="B2793" s="308"/>
      <c r="C2793" s="308"/>
      <c r="D2793" s="308"/>
      <c r="E2793" s="311"/>
      <c r="F2793" s="309">
        <f>IFERROR(VLOOKUP(K2787,'2026.01'!A:Y,12,0),0)</f>
        <v>160</v>
      </c>
      <c r="G2793" s="310"/>
      <c r="K2793" s="300"/>
    </row>
    <row r="2794" ht="21" customHeight="1" spans="1:11">
      <c r="A2794" s="307" t="s">
        <v>15</v>
      </c>
      <c r="B2794" s="308"/>
      <c r="C2794" s="308"/>
      <c r="D2794" s="308"/>
      <c r="E2794" s="311"/>
      <c r="F2794" s="309">
        <f>IFERROR(VLOOKUP(K2787,'2026.01'!A:Y,9,0),0)</f>
        <v>5000</v>
      </c>
      <c r="G2794" s="310"/>
      <c r="K2794" s="300"/>
    </row>
    <row r="2795" ht="19" customHeight="1" spans="1:11">
      <c r="A2795" s="307" t="s">
        <v>16</v>
      </c>
      <c r="B2795" s="308"/>
      <c r="C2795" s="308"/>
      <c r="D2795" s="308"/>
      <c r="E2795" s="308"/>
      <c r="F2795" s="309">
        <f>IFERROR(VLOOKUP(K2787,'2026.01'!A:Y,10,0),0)</f>
        <v>500</v>
      </c>
      <c r="G2795" s="310"/>
      <c r="K2795" s="300"/>
    </row>
    <row r="2796" ht="21" customHeight="1" spans="1:11">
      <c r="A2796" s="307" t="s">
        <v>17</v>
      </c>
      <c r="B2796" s="308"/>
      <c r="C2796" s="308"/>
      <c r="D2796" s="308"/>
      <c r="E2796" s="308"/>
      <c r="F2796" s="309">
        <f>IFERROR(VLOOKUP(K2787,'2026.01'!A:Y,19,0),0)</f>
        <v>40</v>
      </c>
      <c r="G2796" s="310"/>
      <c r="K2796" s="300"/>
    </row>
    <row r="2797" ht="17.15" customHeight="1" spans="1:11">
      <c r="A2797" s="307" t="s">
        <v>18</v>
      </c>
      <c r="B2797" s="308"/>
      <c r="C2797" s="308"/>
      <c r="D2797" s="308"/>
      <c r="E2797" s="308"/>
      <c r="F2797" s="309">
        <f>IFERROR(VLOOKUP(K2787,'2026.01'!A:Y,22,0),0)</f>
        <v>267</v>
      </c>
      <c r="G2797" s="310"/>
      <c r="K2797" s="300"/>
    </row>
    <row r="2798" ht="17.15" customHeight="1" spans="1:11">
      <c r="A2798" s="307" t="s">
        <v>19</v>
      </c>
      <c r="B2798" s="312"/>
      <c r="C2798" s="308"/>
      <c r="D2798" s="313"/>
      <c r="E2798" s="308"/>
      <c r="F2798" s="309">
        <f>IFERROR(VLOOKUP(K2787,'2026.01'!A:Y,25,0),0)</f>
        <v>6064</v>
      </c>
      <c r="G2798" s="310"/>
      <c r="K2798" s="300"/>
    </row>
    <row r="2799" ht="15" customHeight="1" spans="1:11">
      <c r="A2799" s="314" t="s">
        <v>20</v>
      </c>
      <c r="B2799" s="315">
        <f>IF(F2798&lt;0,"金额为负，无效",INT(F2798))</f>
        <v>6064</v>
      </c>
      <c r="C2799" s="315"/>
      <c r="D2799" s="315"/>
      <c r="E2799" s="316" t="s">
        <v>21</v>
      </c>
      <c r="F2799" s="317"/>
      <c r="G2799" s="318"/>
      <c r="K2799" s="300"/>
    </row>
    <row r="2800" ht="23" customHeight="1" spans="1:11">
      <c r="A2800" s="319"/>
      <c r="B2800" s="320"/>
      <c r="C2800" s="320"/>
      <c r="D2800" s="320"/>
      <c r="E2800" s="319"/>
      <c r="F2800" s="321"/>
      <c r="G2800" s="322"/>
      <c r="K2800" s="300"/>
    </row>
    <row r="2801" ht="27" customHeight="1" spans="1:11">
      <c r="A2801" s="298" t="s">
        <v>0</v>
      </c>
      <c r="B2801" s="298"/>
      <c r="C2801" s="298"/>
      <c r="D2801" s="298"/>
      <c r="E2801" s="298"/>
      <c r="F2801" s="298"/>
      <c r="G2801" s="298"/>
      <c r="H2801" s="299"/>
      <c r="I2801" s="299"/>
      <c r="J2801" s="299"/>
      <c r="K2801" s="300">
        <v>201</v>
      </c>
    </row>
    <row r="2802" ht="15" customHeight="1" spans="1:11">
      <c r="A2802" s="301" t="s">
        <v>1</v>
      </c>
      <c r="B2802" s="301"/>
      <c r="C2802" s="301"/>
      <c r="D2802" s="301"/>
      <c r="E2802" s="301"/>
      <c r="F2802" s="301"/>
      <c r="G2802" s="302" t="str">
        <f>IFERROR(VLOOKUP(K2801,'2026.01'!A:Y,2,0),0)</f>
        <v>NO:201</v>
      </c>
      <c r="K2802" s="300"/>
    </row>
    <row r="2803" ht="15" customHeight="1" spans="1:11">
      <c r="A2803" s="303" t="s">
        <v>2</v>
      </c>
      <c r="B2803" s="304">
        <f>IFERROR(VLOOKUP(K2801,'2026.01'!A:Y,6,0),0)</f>
        <v>3037</v>
      </c>
      <c r="C2803" s="304"/>
      <c r="D2803" s="305" t="s">
        <v>3</v>
      </c>
      <c r="E2803" s="305" t="str">
        <f>IFERROR(VLOOKUP(K2801,'2026.01'!A:Y,7,0),0)</f>
        <v>邱启平</v>
      </c>
      <c r="F2803" s="305"/>
      <c r="G2803" s="306" t="s">
        <v>4</v>
      </c>
      <c r="K2803" s="300"/>
    </row>
    <row r="2804" ht="15" customHeight="1" spans="1:11">
      <c r="A2804" s="307" t="s">
        <v>5</v>
      </c>
      <c r="B2804" s="308" t="s">
        <v>6</v>
      </c>
      <c r="C2804" s="308" t="s">
        <v>7</v>
      </c>
      <c r="D2804" s="308" t="s">
        <v>8</v>
      </c>
      <c r="E2804" s="308" t="s">
        <v>9</v>
      </c>
      <c r="F2804" s="309" t="s">
        <v>10</v>
      </c>
      <c r="G2804" s="310" t="s">
        <v>11</v>
      </c>
      <c r="K2804" s="300"/>
    </row>
    <row r="2805" ht="15" customHeight="1" spans="1:11">
      <c r="A2805" s="307" t="s">
        <v>12</v>
      </c>
      <c r="B2805" s="308">
        <f>IFERROR(VLOOKUP(K2801,'2026.01'!A:Y,14,0),0)</f>
        <v>5344</v>
      </c>
      <c r="C2805" s="308">
        <f>IFERROR(VLOOKUP(K2801,'2026.01'!A:Y,13,0),0)</f>
        <v>5251</v>
      </c>
      <c r="D2805" s="308">
        <f>IFERROR(VLOOKUP(K2801,'2026.01'!A:Y,15,0),0)</f>
        <v>93</v>
      </c>
      <c r="E2805" s="311">
        <f>IFERROR(VLOOKUP(K2801,'2026.01'!A:Y,18,0),0)</f>
        <v>0.8</v>
      </c>
      <c r="F2805" s="309">
        <f>IFERROR(VLOOKUP(K2801,'2026.01'!A:Y,20,0),0)</f>
        <v>74</v>
      </c>
      <c r="G2805" s="310"/>
      <c r="K2805" s="300"/>
    </row>
    <row r="2806" ht="15" customHeight="1" spans="1:11">
      <c r="A2806" s="307" t="s">
        <v>13</v>
      </c>
      <c r="B2806" s="308"/>
      <c r="C2806" s="308"/>
      <c r="D2806" s="308"/>
      <c r="E2806" s="311"/>
      <c r="F2806" s="309">
        <f>IFERROR(VLOOKUP(K2801,'2026.01'!A:Y,24,0),0)</f>
        <v>51</v>
      </c>
      <c r="G2806" s="310"/>
      <c r="K2806" s="300"/>
    </row>
    <row r="2807" ht="15" customHeight="1" spans="1:11">
      <c r="A2807" s="307" t="s">
        <v>14</v>
      </c>
      <c r="B2807" s="308"/>
      <c r="C2807" s="308"/>
      <c r="D2807" s="308"/>
      <c r="E2807" s="311"/>
      <c r="F2807" s="309">
        <f>IFERROR(VLOOKUP(K2801,'2026.01'!A:Y,12,0),0)</f>
        <v>160</v>
      </c>
      <c r="G2807" s="310"/>
      <c r="K2807" s="300"/>
    </row>
    <row r="2808" ht="21" customHeight="1" spans="1:11">
      <c r="A2808" s="307" t="s">
        <v>15</v>
      </c>
      <c r="B2808" s="308"/>
      <c r="C2808" s="308"/>
      <c r="D2808" s="308"/>
      <c r="E2808" s="311"/>
      <c r="F2808" s="309">
        <f>IFERROR(VLOOKUP(K2801,'2026.01'!A:Y,9,0),0)</f>
        <v>5000</v>
      </c>
      <c r="G2808" s="310"/>
      <c r="K2808" s="300"/>
    </row>
    <row r="2809" ht="19" customHeight="1" spans="1:11">
      <c r="A2809" s="307" t="s">
        <v>16</v>
      </c>
      <c r="B2809" s="308"/>
      <c r="C2809" s="308"/>
      <c r="D2809" s="308"/>
      <c r="E2809" s="308"/>
      <c r="F2809" s="309">
        <f>IFERROR(VLOOKUP(K2801,'2026.01'!A:Y,10,0),0)</f>
        <v>500</v>
      </c>
      <c r="G2809" s="310"/>
      <c r="K2809" s="300"/>
    </row>
    <row r="2810" ht="21" customHeight="1" spans="1:11">
      <c r="A2810" s="307" t="s">
        <v>17</v>
      </c>
      <c r="B2810" s="308"/>
      <c r="C2810" s="308"/>
      <c r="D2810" s="308"/>
      <c r="E2810" s="308"/>
      <c r="F2810" s="309">
        <f>IFERROR(VLOOKUP(K2801,'2026.01'!A:Y,19,0),0)</f>
        <v>65</v>
      </c>
      <c r="G2810" s="310"/>
      <c r="K2810" s="300"/>
    </row>
    <row r="2811" ht="17.15" customHeight="1" spans="1:11">
      <c r="A2811" s="307" t="s">
        <v>18</v>
      </c>
      <c r="B2811" s="308"/>
      <c r="C2811" s="308"/>
      <c r="D2811" s="308"/>
      <c r="E2811" s="308"/>
      <c r="F2811" s="309">
        <f>IFERROR(VLOOKUP(K2801,'2026.01'!A:Y,22,0),0)</f>
        <v>267</v>
      </c>
      <c r="G2811" s="310"/>
      <c r="K2811" s="300"/>
    </row>
    <row r="2812" ht="17.15" customHeight="1" spans="1:11">
      <c r="A2812" s="307" t="s">
        <v>19</v>
      </c>
      <c r="B2812" s="312"/>
      <c r="C2812" s="308"/>
      <c r="D2812" s="313"/>
      <c r="E2812" s="308"/>
      <c r="F2812" s="309">
        <f>IFERROR(VLOOKUP(K2801,'2026.01'!A:Y,25,0),0)</f>
        <v>6117</v>
      </c>
      <c r="G2812" s="310"/>
      <c r="K2812" s="300"/>
    </row>
    <row r="2813" ht="15" customHeight="1" spans="1:11">
      <c r="A2813" s="314" t="s">
        <v>20</v>
      </c>
      <c r="B2813" s="315">
        <f>IF(F2812&lt;0,"金额为负，无效",INT(F2812))</f>
        <v>6117</v>
      </c>
      <c r="C2813" s="315"/>
      <c r="D2813" s="315"/>
      <c r="E2813" s="316" t="s">
        <v>21</v>
      </c>
      <c r="F2813" s="317"/>
      <c r="G2813" s="318"/>
      <c r="K2813" s="300"/>
    </row>
    <row r="2814" ht="15" customHeight="1" spans="1:11">
      <c r="A2814" s="319"/>
      <c r="B2814" s="320"/>
      <c r="C2814" s="320"/>
      <c r="D2814" s="320"/>
      <c r="E2814" s="319"/>
      <c r="F2814" s="321"/>
      <c r="G2814" s="322"/>
      <c r="K2814" s="300"/>
    </row>
    <row r="2815" ht="27" customHeight="1" spans="1:11">
      <c r="A2815" s="298" t="s">
        <v>0</v>
      </c>
      <c r="B2815" s="298"/>
      <c r="C2815" s="298"/>
      <c r="D2815" s="298"/>
      <c r="E2815" s="298"/>
      <c r="F2815" s="298"/>
      <c r="G2815" s="298"/>
      <c r="H2815" s="299"/>
      <c r="I2815" s="299"/>
      <c r="J2815" s="299"/>
      <c r="K2815" s="300">
        <v>202</v>
      </c>
    </row>
    <row r="2816" ht="15" customHeight="1" spans="1:11">
      <c r="A2816" s="301" t="s">
        <v>1</v>
      </c>
      <c r="B2816" s="301"/>
      <c r="C2816" s="301"/>
      <c r="D2816" s="301"/>
      <c r="E2816" s="301"/>
      <c r="F2816" s="301"/>
      <c r="G2816" s="302" t="str">
        <f>IFERROR(VLOOKUP(K2815,'2026.01'!A:Y,2,0),0)</f>
        <v>NO:202</v>
      </c>
      <c r="K2816" s="300"/>
    </row>
    <row r="2817" ht="15" customHeight="1" spans="1:11">
      <c r="A2817" s="303" t="s">
        <v>2</v>
      </c>
      <c r="B2817" s="304">
        <f>IFERROR(VLOOKUP(K2815,'2026.01'!A:Y,6,0),0)</f>
        <v>3038</v>
      </c>
      <c r="C2817" s="304"/>
      <c r="D2817" s="305" t="s">
        <v>3</v>
      </c>
      <c r="E2817" s="305" t="str">
        <f>IFERROR(VLOOKUP(K2815,'2026.01'!A:Y,7,0),0)</f>
        <v>马铭瑞</v>
      </c>
      <c r="F2817" s="305"/>
      <c r="G2817" s="306" t="s">
        <v>4</v>
      </c>
      <c r="K2817" s="300"/>
    </row>
    <row r="2818" ht="15" customHeight="1" spans="1:11">
      <c r="A2818" s="307" t="s">
        <v>5</v>
      </c>
      <c r="B2818" s="308" t="s">
        <v>6</v>
      </c>
      <c r="C2818" s="308" t="s">
        <v>7</v>
      </c>
      <c r="D2818" s="308" t="s">
        <v>8</v>
      </c>
      <c r="E2818" s="308" t="s">
        <v>9</v>
      </c>
      <c r="F2818" s="309" t="s">
        <v>10</v>
      </c>
      <c r="G2818" s="310" t="s">
        <v>11</v>
      </c>
      <c r="K2818" s="300"/>
    </row>
    <row r="2819" ht="15" customHeight="1" spans="1:11">
      <c r="A2819" s="307" t="s">
        <v>12</v>
      </c>
      <c r="B2819" s="308">
        <f>IFERROR(VLOOKUP(K2815,'2026.01'!A:Y,14,0),0)</f>
        <v>5988</v>
      </c>
      <c r="C2819" s="308">
        <f>IFERROR(VLOOKUP(K2815,'2026.01'!A:Y,13,0),0)</f>
        <v>5913</v>
      </c>
      <c r="D2819" s="308">
        <f>IFERROR(VLOOKUP(K2815,'2026.01'!A:Y,15,0),0)</f>
        <v>75</v>
      </c>
      <c r="E2819" s="311">
        <f>IFERROR(VLOOKUP(K2815,'2026.01'!A:Y,18,0),0)</f>
        <v>0.8</v>
      </c>
      <c r="F2819" s="309">
        <f>IFERROR(VLOOKUP(K2815,'2026.01'!A:Y,20,0),0)</f>
        <v>60</v>
      </c>
      <c r="G2819" s="310"/>
      <c r="K2819" s="300"/>
    </row>
    <row r="2820" ht="15" customHeight="1" spans="1:11">
      <c r="A2820" s="307" t="s">
        <v>13</v>
      </c>
      <c r="B2820" s="308"/>
      <c r="C2820" s="308"/>
      <c r="D2820" s="308"/>
      <c r="E2820" s="311"/>
      <c r="F2820" s="309">
        <f>IFERROR(VLOOKUP(K2815,'2026.01'!A:Y,24,0),0)</f>
        <v>51</v>
      </c>
      <c r="G2820" s="310"/>
      <c r="K2820" s="300"/>
    </row>
    <row r="2821" ht="15" customHeight="1" spans="1:11">
      <c r="A2821" s="307" t="s">
        <v>14</v>
      </c>
      <c r="B2821" s="308"/>
      <c r="C2821" s="308"/>
      <c r="D2821" s="308"/>
      <c r="E2821" s="311"/>
      <c r="F2821" s="309">
        <f>IFERROR(VLOOKUP(K2815,'2026.01'!A:Y,12,0),0)</f>
        <v>160</v>
      </c>
      <c r="G2821" s="310"/>
      <c r="K2821" s="300"/>
    </row>
    <row r="2822" ht="21" customHeight="1" spans="1:11">
      <c r="A2822" s="307" t="s">
        <v>15</v>
      </c>
      <c r="B2822" s="308"/>
      <c r="C2822" s="308"/>
      <c r="D2822" s="308"/>
      <c r="E2822" s="311"/>
      <c r="F2822" s="309">
        <f>IFERROR(VLOOKUP(K2815,'2026.01'!A:Y,9,0),0)</f>
        <v>5000</v>
      </c>
      <c r="G2822" s="310"/>
      <c r="K2822" s="300"/>
    </row>
    <row r="2823" ht="19" customHeight="1" spans="1:11">
      <c r="A2823" s="307" t="s">
        <v>16</v>
      </c>
      <c r="B2823" s="308"/>
      <c r="C2823" s="308"/>
      <c r="D2823" s="308"/>
      <c r="E2823" s="308"/>
      <c r="F2823" s="309">
        <f>IFERROR(VLOOKUP(K2815,'2026.01'!A:Y,10,0),0)</f>
        <v>500</v>
      </c>
      <c r="G2823" s="310"/>
      <c r="K2823" s="300"/>
    </row>
    <row r="2824" ht="21" customHeight="1" spans="1:11">
      <c r="A2824" s="307" t="s">
        <v>17</v>
      </c>
      <c r="B2824" s="308"/>
      <c r="C2824" s="308"/>
      <c r="D2824" s="308"/>
      <c r="E2824" s="308"/>
      <c r="F2824" s="309">
        <f>IFERROR(VLOOKUP(K2815,'2026.01'!A:Y,19,0),0)</f>
        <v>53</v>
      </c>
      <c r="G2824" s="310"/>
      <c r="K2824" s="300"/>
    </row>
    <row r="2825" ht="17.15" customHeight="1" spans="1:11">
      <c r="A2825" s="307" t="s">
        <v>18</v>
      </c>
      <c r="B2825" s="308"/>
      <c r="C2825" s="308"/>
      <c r="D2825" s="308"/>
      <c r="E2825" s="308"/>
      <c r="F2825" s="309">
        <f>IFERROR(VLOOKUP(K2815,'2026.01'!A:Y,22,0),0)</f>
        <v>267</v>
      </c>
      <c r="G2825" s="310"/>
      <c r="K2825" s="300"/>
    </row>
    <row r="2826" ht="17.15" customHeight="1" spans="1:11">
      <c r="A2826" s="307" t="s">
        <v>19</v>
      </c>
      <c r="B2826" s="312"/>
      <c r="C2826" s="308"/>
      <c r="D2826" s="313"/>
      <c r="E2826" s="308"/>
      <c r="F2826" s="309">
        <f>IFERROR(VLOOKUP(K2815,'2026.01'!A:Y,25,0),0)</f>
        <v>6091</v>
      </c>
      <c r="G2826" s="310"/>
      <c r="K2826" s="300"/>
    </row>
    <row r="2827" ht="15" customHeight="1" spans="1:11">
      <c r="A2827" s="314" t="s">
        <v>20</v>
      </c>
      <c r="B2827" s="315">
        <f>IF(F2826&lt;0,"金额为负，无效",INT(F2826))</f>
        <v>6091</v>
      </c>
      <c r="C2827" s="315"/>
      <c r="D2827" s="315"/>
      <c r="E2827" s="316" t="s">
        <v>21</v>
      </c>
      <c r="F2827" s="317"/>
      <c r="G2827" s="318"/>
      <c r="K2827" s="300"/>
    </row>
    <row r="2828" ht="23" customHeight="1" spans="1:11">
      <c r="A2828" s="319"/>
      <c r="B2828" s="320"/>
      <c r="C2828" s="320"/>
      <c r="D2828" s="320"/>
      <c r="E2828" s="319"/>
      <c r="F2828" s="321"/>
      <c r="G2828" s="322"/>
      <c r="K2828" s="300"/>
    </row>
    <row r="2829" ht="27" customHeight="1" spans="1:11">
      <c r="A2829" s="298" t="s">
        <v>0</v>
      </c>
      <c r="B2829" s="298"/>
      <c r="C2829" s="298"/>
      <c r="D2829" s="298"/>
      <c r="E2829" s="298"/>
      <c r="F2829" s="298"/>
      <c r="G2829" s="298"/>
      <c r="H2829" s="299"/>
      <c r="I2829" s="299"/>
      <c r="J2829" s="299"/>
      <c r="K2829" s="300">
        <v>203</v>
      </c>
    </row>
    <row r="2830" ht="15" customHeight="1" spans="1:11">
      <c r="A2830" s="301" t="s">
        <v>1</v>
      </c>
      <c r="B2830" s="301"/>
      <c r="C2830" s="301"/>
      <c r="D2830" s="301"/>
      <c r="E2830" s="301"/>
      <c r="F2830" s="301"/>
      <c r="G2830" s="302" t="str">
        <f>IFERROR(VLOOKUP(K2829,'2026.01'!A:Y,2,0),0)</f>
        <v>NO:203</v>
      </c>
      <c r="K2830" s="300"/>
    </row>
    <row r="2831" ht="15" customHeight="1" spans="1:11">
      <c r="A2831" s="303" t="s">
        <v>2</v>
      </c>
      <c r="B2831" s="304">
        <f>IFERROR(VLOOKUP(K2829,'2026.01'!A:Y,6,0),0)</f>
        <v>3039</v>
      </c>
      <c r="C2831" s="304"/>
      <c r="D2831" s="305" t="s">
        <v>3</v>
      </c>
      <c r="E2831" s="305" t="str">
        <f>IFERROR(VLOOKUP(K2829,'2026.01'!A:Y,7,0),0)</f>
        <v>林茂</v>
      </c>
      <c r="F2831" s="305"/>
      <c r="G2831" s="306" t="s">
        <v>4</v>
      </c>
      <c r="K2831" s="300"/>
    </row>
    <row r="2832" ht="15" customHeight="1" spans="1:11">
      <c r="A2832" s="307" t="s">
        <v>5</v>
      </c>
      <c r="B2832" s="308" t="s">
        <v>6</v>
      </c>
      <c r="C2832" s="308" t="s">
        <v>7</v>
      </c>
      <c r="D2832" s="308" t="s">
        <v>8</v>
      </c>
      <c r="E2832" s="308" t="s">
        <v>9</v>
      </c>
      <c r="F2832" s="309" t="s">
        <v>10</v>
      </c>
      <c r="G2832" s="310" t="s">
        <v>11</v>
      </c>
      <c r="K2832" s="300"/>
    </row>
    <row r="2833" ht="15" customHeight="1" spans="1:11">
      <c r="A2833" s="307" t="s">
        <v>12</v>
      </c>
      <c r="B2833" s="308">
        <f>IFERROR(VLOOKUP(K2829,'2026.01'!A:Y,14,0),0)</f>
        <v>2803</v>
      </c>
      <c r="C2833" s="308">
        <f>IFERROR(VLOOKUP(K2829,'2026.01'!A:Y,13,0),0)</f>
        <v>2655</v>
      </c>
      <c r="D2833" s="308">
        <f>IFERROR(VLOOKUP(K2829,'2026.01'!A:Y,15,0),0)</f>
        <v>148</v>
      </c>
      <c r="E2833" s="311">
        <f>IFERROR(VLOOKUP(K2829,'2026.01'!A:Y,18,0),0)</f>
        <v>0.8</v>
      </c>
      <c r="F2833" s="309">
        <f>IFERROR(VLOOKUP(K2829,'2026.01'!A:Y,20,0),0)</f>
        <v>118</v>
      </c>
      <c r="G2833" s="310"/>
      <c r="K2833" s="300"/>
    </row>
    <row r="2834" ht="15" customHeight="1" spans="1:11">
      <c r="A2834" s="307" t="s">
        <v>13</v>
      </c>
      <c r="B2834" s="308"/>
      <c r="C2834" s="308"/>
      <c r="D2834" s="308"/>
      <c r="E2834" s="311"/>
      <c r="F2834" s="309">
        <f>IFERROR(VLOOKUP(K2829,'2026.01'!A:Y,24,0),0)</f>
        <v>51</v>
      </c>
      <c r="G2834" s="310"/>
      <c r="K2834" s="300"/>
    </row>
    <row r="2835" ht="15" customHeight="1" spans="1:11">
      <c r="A2835" s="307" t="s">
        <v>14</v>
      </c>
      <c r="B2835" s="308"/>
      <c r="C2835" s="308"/>
      <c r="D2835" s="308"/>
      <c r="E2835" s="311"/>
      <c r="F2835" s="309">
        <f>IFERROR(VLOOKUP(K2829,'2026.01'!A:Y,12,0),0)</f>
        <v>160</v>
      </c>
      <c r="G2835" s="310"/>
      <c r="K2835" s="300"/>
    </row>
    <row r="2836" ht="21" customHeight="1" spans="1:11">
      <c r="A2836" s="307" t="s">
        <v>15</v>
      </c>
      <c r="B2836" s="308"/>
      <c r="C2836" s="308"/>
      <c r="D2836" s="308"/>
      <c r="E2836" s="311"/>
      <c r="F2836" s="309">
        <f>IFERROR(VLOOKUP(K2829,'2026.01'!A:Y,9,0),0)</f>
        <v>5000</v>
      </c>
      <c r="G2836" s="310"/>
      <c r="K2836" s="300"/>
    </row>
    <row r="2837" ht="19" customHeight="1" spans="1:11">
      <c r="A2837" s="307" t="s">
        <v>16</v>
      </c>
      <c r="B2837" s="308"/>
      <c r="C2837" s="308"/>
      <c r="D2837" s="308"/>
      <c r="E2837" s="308"/>
      <c r="F2837" s="309">
        <f>IFERROR(VLOOKUP(K2829,'2026.01'!A:Y,10,0),0)</f>
        <v>500</v>
      </c>
      <c r="G2837" s="310"/>
      <c r="K2837" s="300"/>
    </row>
    <row r="2838" ht="21" customHeight="1" spans="1:11">
      <c r="A2838" s="307" t="s">
        <v>17</v>
      </c>
      <c r="B2838" s="308"/>
      <c r="C2838" s="308"/>
      <c r="D2838" s="308"/>
      <c r="E2838" s="308"/>
      <c r="F2838" s="309">
        <f>IFERROR(VLOOKUP(K2829,'2026.01'!A:Y,19,0),0)</f>
        <v>104</v>
      </c>
      <c r="G2838" s="310"/>
      <c r="K2838" s="300"/>
    </row>
    <row r="2839" ht="17.15" customHeight="1" spans="1:11">
      <c r="A2839" s="307" t="s">
        <v>18</v>
      </c>
      <c r="B2839" s="308"/>
      <c r="C2839" s="308"/>
      <c r="D2839" s="308"/>
      <c r="E2839" s="308"/>
      <c r="F2839" s="309">
        <f>IFERROR(VLOOKUP(K2829,'2026.01'!A:Y,22,0),0)</f>
        <v>267</v>
      </c>
      <c r="G2839" s="310"/>
      <c r="K2839" s="300"/>
    </row>
    <row r="2840" ht="17.15" customHeight="1" spans="1:11">
      <c r="A2840" s="307" t="s">
        <v>19</v>
      </c>
      <c r="B2840" s="312"/>
      <c r="C2840" s="308"/>
      <c r="D2840" s="313"/>
      <c r="E2840" s="308"/>
      <c r="F2840" s="309">
        <f>IFERROR(VLOOKUP(K2829,'2026.01'!A:Y,25,0),0)</f>
        <v>6200</v>
      </c>
      <c r="G2840" s="310"/>
      <c r="K2840" s="300"/>
    </row>
    <row r="2841" ht="15" customHeight="1" spans="1:11">
      <c r="A2841" s="314" t="s">
        <v>20</v>
      </c>
      <c r="B2841" s="315">
        <f>IF(F2840&lt;0,"金额为负，无效",INT(F2840))</f>
        <v>6200</v>
      </c>
      <c r="C2841" s="315"/>
      <c r="D2841" s="315"/>
      <c r="E2841" s="316" t="s">
        <v>21</v>
      </c>
      <c r="F2841" s="317"/>
      <c r="G2841" s="318"/>
      <c r="K2841" s="300"/>
    </row>
    <row r="2842" ht="23" customHeight="1" spans="1:11">
      <c r="A2842" s="319"/>
      <c r="B2842" s="320"/>
      <c r="C2842" s="320"/>
      <c r="D2842" s="320"/>
      <c r="E2842" s="319"/>
      <c r="F2842" s="321"/>
      <c r="G2842" s="322"/>
      <c r="K2842" s="300"/>
    </row>
    <row r="2843" ht="27" customHeight="1" spans="1:11">
      <c r="A2843" s="298" t="s">
        <v>0</v>
      </c>
      <c r="B2843" s="298"/>
      <c r="C2843" s="298"/>
      <c r="D2843" s="298"/>
      <c r="E2843" s="298"/>
      <c r="F2843" s="298"/>
      <c r="G2843" s="298"/>
      <c r="H2843" s="299"/>
      <c r="I2843" s="299"/>
      <c r="J2843" s="299"/>
      <c r="K2843" s="300">
        <v>204</v>
      </c>
    </row>
    <row r="2844" ht="15" customHeight="1" spans="1:11">
      <c r="A2844" s="301" t="s">
        <v>1</v>
      </c>
      <c r="B2844" s="301"/>
      <c r="C2844" s="301"/>
      <c r="D2844" s="301"/>
      <c r="E2844" s="301"/>
      <c r="F2844" s="301"/>
      <c r="G2844" s="302" t="str">
        <f>IFERROR(VLOOKUP(K2843,'2026.01'!A:Y,2,0),0)</f>
        <v>NO:204</v>
      </c>
      <c r="K2844" s="300"/>
    </row>
    <row r="2845" ht="15" customHeight="1" spans="1:11">
      <c r="A2845" s="303" t="s">
        <v>2</v>
      </c>
      <c r="B2845" s="304">
        <f>IFERROR(VLOOKUP(K2843,'2026.01'!A:Y,6,0),0)</f>
        <v>3040</v>
      </c>
      <c r="C2845" s="304"/>
      <c r="D2845" s="305" t="s">
        <v>3</v>
      </c>
      <c r="E2845" s="305" t="str">
        <f>IFERROR(VLOOKUP(K2843,'2026.01'!A:Y,7,0),0)</f>
        <v>黄维</v>
      </c>
      <c r="F2845" s="305"/>
      <c r="G2845" s="306" t="s">
        <v>4</v>
      </c>
      <c r="K2845" s="300"/>
    </row>
    <row r="2846" ht="15" customHeight="1" spans="1:11">
      <c r="A2846" s="307" t="s">
        <v>5</v>
      </c>
      <c r="B2846" s="308" t="s">
        <v>6</v>
      </c>
      <c r="C2846" s="308" t="s">
        <v>7</v>
      </c>
      <c r="D2846" s="308" t="s">
        <v>8</v>
      </c>
      <c r="E2846" s="308" t="s">
        <v>9</v>
      </c>
      <c r="F2846" s="309" t="s">
        <v>10</v>
      </c>
      <c r="G2846" s="310" t="s">
        <v>11</v>
      </c>
      <c r="K2846" s="300"/>
    </row>
    <row r="2847" ht="15" customHeight="1" spans="1:11">
      <c r="A2847" s="307" t="s">
        <v>12</v>
      </c>
      <c r="B2847" s="308">
        <f>IFERROR(VLOOKUP(K2843,'2026.01'!A:Y,14,0),0)</f>
        <v>7123</v>
      </c>
      <c r="C2847" s="308">
        <f>IFERROR(VLOOKUP(K2843,'2026.01'!A:Y,13,0),0)</f>
        <v>6990</v>
      </c>
      <c r="D2847" s="308">
        <f>IFERROR(VLOOKUP(K2843,'2026.01'!A:Y,15,0),0)</f>
        <v>133</v>
      </c>
      <c r="E2847" s="311">
        <f>IFERROR(VLOOKUP(K2843,'2026.01'!A:Y,18,0),0)</f>
        <v>0.8</v>
      </c>
      <c r="F2847" s="309">
        <f>IFERROR(VLOOKUP(K2843,'2026.01'!A:Y,20,0),0)</f>
        <v>106</v>
      </c>
      <c r="G2847" s="310"/>
      <c r="K2847" s="300"/>
    </row>
    <row r="2848" ht="15" customHeight="1" spans="1:11">
      <c r="A2848" s="307" t="s">
        <v>13</v>
      </c>
      <c r="B2848" s="308"/>
      <c r="C2848" s="308"/>
      <c r="D2848" s="308"/>
      <c r="E2848" s="311"/>
      <c r="F2848" s="309">
        <f>IFERROR(VLOOKUP(K2843,'2026.01'!A:Y,24,0),0)</f>
        <v>51</v>
      </c>
      <c r="G2848" s="310"/>
      <c r="K2848" s="300"/>
    </row>
    <row r="2849" ht="15" customHeight="1" spans="1:11">
      <c r="A2849" s="307" t="s">
        <v>14</v>
      </c>
      <c r="B2849" s="308"/>
      <c r="C2849" s="308"/>
      <c r="D2849" s="308"/>
      <c r="E2849" s="311"/>
      <c r="F2849" s="309">
        <f>IFERROR(VLOOKUP(K2843,'2026.01'!A:Y,12,0),0)</f>
        <v>160</v>
      </c>
      <c r="G2849" s="310"/>
      <c r="K2849" s="300"/>
    </row>
    <row r="2850" ht="21" customHeight="1" spans="1:11">
      <c r="A2850" s="307" t="s">
        <v>15</v>
      </c>
      <c r="B2850" s="308"/>
      <c r="C2850" s="308"/>
      <c r="D2850" s="308"/>
      <c r="E2850" s="311"/>
      <c r="F2850" s="309">
        <f>IFERROR(VLOOKUP(K2843,'2026.01'!A:Y,9,0),0)</f>
        <v>5000</v>
      </c>
      <c r="G2850" s="310"/>
      <c r="K2850" s="300"/>
    </row>
    <row r="2851" ht="19" customHeight="1" spans="1:11">
      <c r="A2851" s="307" t="s">
        <v>16</v>
      </c>
      <c r="B2851" s="308"/>
      <c r="C2851" s="308"/>
      <c r="D2851" s="308"/>
      <c r="E2851" s="308"/>
      <c r="F2851" s="309">
        <f>IFERROR(VLOOKUP(K2843,'2026.01'!A:Y,10,0),0)</f>
        <v>500</v>
      </c>
      <c r="G2851" s="310"/>
      <c r="K2851" s="300"/>
    </row>
    <row r="2852" ht="21" customHeight="1" spans="1:11">
      <c r="A2852" s="307" t="s">
        <v>17</v>
      </c>
      <c r="B2852" s="308"/>
      <c r="C2852" s="308"/>
      <c r="D2852" s="308"/>
      <c r="E2852" s="308"/>
      <c r="F2852" s="309">
        <f>IFERROR(VLOOKUP(K2843,'2026.01'!A:Y,19,0),0)</f>
        <v>93</v>
      </c>
      <c r="G2852" s="310"/>
      <c r="K2852" s="300"/>
    </row>
    <row r="2853" ht="17.15" customHeight="1" spans="1:11">
      <c r="A2853" s="307" t="s">
        <v>18</v>
      </c>
      <c r="B2853" s="308"/>
      <c r="C2853" s="308"/>
      <c r="D2853" s="308"/>
      <c r="E2853" s="308"/>
      <c r="F2853" s="309">
        <f>IFERROR(VLOOKUP(K2843,'2026.01'!A:Y,22,0),0)</f>
        <v>267</v>
      </c>
      <c r="G2853" s="310"/>
      <c r="K2853" s="300"/>
    </row>
    <row r="2854" ht="17.15" customHeight="1" spans="1:11">
      <c r="A2854" s="307" t="s">
        <v>19</v>
      </c>
      <c r="B2854" s="312"/>
      <c r="C2854" s="308"/>
      <c r="D2854" s="313"/>
      <c r="E2854" s="308"/>
      <c r="F2854" s="309">
        <f>IFERROR(VLOOKUP(K2843,'2026.01'!A:Y,25,0),0)</f>
        <v>6177</v>
      </c>
      <c r="G2854" s="310"/>
      <c r="K2854" s="300"/>
    </row>
    <row r="2855" ht="15" customHeight="1" spans="1:11">
      <c r="A2855" s="314" t="s">
        <v>20</v>
      </c>
      <c r="B2855" s="315">
        <f>IF(F2854&lt;0,"金额为负，无效",INT(F2854))</f>
        <v>6177</v>
      </c>
      <c r="C2855" s="315"/>
      <c r="D2855" s="315"/>
      <c r="E2855" s="316" t="s">
        <v>21</v>
      </c>
      <c r="F2855" s="317"/>
      <c r="G2855" s="318"/>
      <c r="K2855" s="300"/>
    </row>
    <row r="2856" ht="15" customHeight="1" spans="1:11">
      <c r="A2856" s="319"/>
      <c r="B2856" s="320"/>
      <c r="C2856" s="320"/>
      <c r="D2856" s="320"/>
      <c r="E2856" s="319"/>
      <c r="F2856" s="321"/>
      <c r="G2856" s="322"/>
      <c r="K2856" s="300"/>
    </row>
    <row r="2857" ht="27" customHeight="1" spans="1:11">
      <c r="A2857" s="298" t="s">
        <v>0</v>
      </c>
      <c r="B2857" s="298"/>
      <c r="C2857" s="298"/>
      <c r="D2857" s="298"/>
      <c r="E2857" s="298"/>
      <c r="F2857" s="298"/>
      <c r="G2857" s="298"/>
      <c r="H2857" s="299"/>
      <c r="I2857" s="299"/>
      <c r="J2857" s="299"/>
      <c r="K2857" s="300">
        <v>205</v>
      </c>
    </row>
    <row r="2858" ht="15" customHeight="1" spans="1:11">
      <c r="A2858" s="301" t="s">
        <v>1</v>
      </c>
      <c r="B2858" s="301"/>
      <c r="C2858" s="301"/>
      <c r="D2858" s="301"/>
      <c r="E2858" s="301"/>
      <c r="F2858" s="301"/>
      <c r="G2858" s="302" t="str">
        <f>IFERROR(VLOOKUP(K2857,'2026.01'!A:Y,2,0),0)</f>
        <v>NO:205</v>
      </c>
      <c r="K2858" s="300"/>
    </row>
    <row r="2859" ht="15" customHeight="1" spans="1:11">
      <c r="A2859" s="303" t="s">
        <v>2</v>
      </c>
      <c r="B2859" s="304">
        <f>IFERROR(VLOOKUP(K2857,'2026.01'!A:Y,6,0),0)</f>
        <v>3041</v>
      </c>
      <c r="C2859" s="304"/>
      <c r="D2859" s="305" t="s">
        <v>3</v>
      </c>
      <c r="E2859" s="305" t="str">
        <f>IFERROR(VLOOKUP(K2857,'2026.01'!A:Y,7,0),0)</f>
        <v>马润洲</v>
      </c>
      <c r="F2859" s="305"/>
      <c r="G2859" s="306" t="s">
        <v>4</v>
      </c>
      <c r="K2859" s="300"/>
    </row>
    <row r="2860" ht="15" customHeight="1" spans="1:11">
      <c r="A2860" s="307" t="s">
        <v>5</v>
      </c>
      <c r="B2860" s="308" t="s">
        <v>6</v>
      </c>
      <c r="C2860" s="308" t="s">
        <v>7</v>
      </c>
      <c r="D2860" s="308" t="s">
        <v>8</v>
      </c>
      <c r="E2860" s="308" t="s">
        <v>9</v>
      </c>
      <c r="F2860" s="309" t="s">
        <v>10</v>
      </c>
      <c r="G2860" s="310" t="s">
        <v>11</v>
      </c>
      <c r="K2860" s="300"/>
    </row>
    <row r="2861" ht="15" customHeight="1" spans="1:11">
      <c r="A2861" s="307" t="s">
        <v>12</v>
      </c>
      <c r="B2861" s="308">
        <f>IFERROR(VLOOKUP(K2857,'2026.01'!A:Y,14,0),0)</f>
        <v>8856</v>
      </c>
      <c r="C2861" s="308">
        <f>IFERROR(VLOOKUP(K2857,'2026.01'!A:Y,13,0),0)</f>
        <v>8834</v>
      </c>
      <c r="D2861" s="308">
        <f>IFERROR(VLOOKUP(K2857,'2026.01'!A:Y,15,0),0)</f>
        <v>22</v>
      </c>
      <c r="E2861" s="311">
        <f>IFERROR(VLOOKUP(K2857,'2026.01'!A:Y,18,0),0)</f>
        <v>0.8</v>
      </c>
      <c r="F2861" s="309">
        <f>IFERROR(VLOOKUP(K2857,'2026.01'!A:Y,20,0),0)</f>
        <v>18</v>
      </c>
      <c r="G2861" s="310"/>
      <c r="K2861" s="300"/>
    </row>
    <row r="2862" ht="15" customHeight="1" spans="1:11">
      <c r="A2862" s="307" t="s">
        <v>13</v>
      </c>
      <c r="B2862" s="308"/>
      <c r="C2862" s="308"/>
      <c r="D2862" s="308"/>
      <c r="E2862" s="311"/>
      <c r="F2862" s="309">
        <f>IFERROR(VLOOKUP(K2857,'2026.01'!A:Y,24,0),0)</f>
        <v>51</v>
      </c>
      <c r="G2862" s="310"/>
      <c r="K2862" s="300"/>
    </row>
    <row r="2863" ht="15" customHeight="1" spans="1:11">
      <c r="A2863" s="307" t="s">
        <v>14</v>
      </c>
      <c r="B2863" s="308"/>
      <c r="C2863" s="308"/>
      <c r="D2863" s="308"/>
      <c r="E2863" s="311"/>
      <c r="F2863" s="309">
        <f>IFERROR(VLOOKUP(K2857,'2026.01'!A:Y,12,0),0)</f>
        <v>160</v>
      </c>
      <c r="G2863" s="310"/>
      <c r="K2863" s="300"/>
    </row>
    <row r="2864" ht="21" customHeight="1" spans="1:11">
      <c r="A2864" s="307" t="s">
        <v>15</v>
      </c>
      <c r="B2864" s="308"/>
      <c r="C2864" s="308"/>
      <c r="D2864" s="308"/>
      <c r="E2864" s="311"/>
      <c r="F2864" s="309">
        <f>IFERROR(VLOOKUP(K2857,'2026.01'!A:Y,9,0),0)</f>
        <v>5000</v>
      </c>
      <c r="G2864" s="310"/>
      <c r="K2864" s="300"/>
    </row>
    <row r="2865" ht="19" customHeight="1" spans="1:11">
      <c r="A2865" s="307" t="s">
        <v>16</v>
      </c>
      <c r="B2865" s="308"/>
      <c r="C2865" s="308"/>
      <c r="D2865" s="308"/>
      <c r="E2865" s="308"/>
      <c r="F2865" s="309">
        <f>IFERROR(VLOOKUP(K2857,'2026.01'!A:Y,10,0),0)</f>
        <v>500</v>
      </c>
      <c r="G2865" s="310"/>
      <c r="K2865" s="300"/>
    </row>
    <row r="2866" ht="21" customHeight="1" spans="1:11">
      <c r="A2866" s="307" t="s">
        <v>17</v>
      </c>
      <c r="B2866" s="308"/>
      <c r="C2866" s="308"/>
      <c r="D2866" s="308"/>
      <c r="E2866" s="308"/>
      <c r="F2866" s="309">
        <f>IFERROR(VLOOKUP(K2857,'2026.01'!A:Y,19,0),0)</f>
        <v>15</v>
      </c>
      <c r="G2866" s="310"/>
      <c r="K2866" s="300"/>
    </row>
    <row r="2867" ht="17.15" customHeight="1" spans="1:11">
      <c r="A2867" s="307" t="s">
        <v>18</v>
      </c>
      <c r="B2867" s="308"/>
      <c r="C2867" s="308"/>
      <c r="D2867" s="308"/>
      <c r="E2867" s="308"/>
      <c r="F2867" s="309">
        <f>IFERROR(VLOOKUP(K2857,'2026.01'!A:Y,22,0),0)</f>
        <v>267</v>
      </c>
      <c r="G2867" s="310"/>
      <c r="K2867" s="300"/>
    </row>
    <row r="2868" ht="17.15" customHeight="1" spans="1:11">
      <c r="A2868" s="307" t="s">
        <v>19</v>
      </c>
      <c r="B2868" s="312"/>
      <c r="C2868" s="308"/>
      <c r="D2868" s="313"/>
      <c r="E2868" s="308"/>
      <c r="F2868" s="309">
        <f>IFERROR(VLOOKUP(K2857,'2026.01'!A:Y,25,0),0)</f>
        <v>6011</v>
      </c>
      <c r="G2868" s="310"/>
      <c r="K2868" s="300"/>
    </row>
    <row r="2869" ht="15" customHeight="1" spans="1:11">
      <c r="A2869" s="314" t="s">
        <v>20</v>
      </c>
      <c r="B2869" s="315">
        <f>IF(F2868&lt;0,"金额为负，无效",INT(F2868))</f>
        <v>6011</v>
      </c>
      <c r="C2869" s="315"/>
      <c r="D2869" s="315"/>
      <c r="E2869" s="316" t="s">
        <v>21</v>
      </c>
      <c r="F2869" s="317"/>
      <c r="G2869" s="318"/>
      <c r="K2869" s="300"/>
    </row>
    <row r="2870" ht="23" customHeight="1" spans="1:11">
      <c r="A2870" s="319"/>
      <c r="B2870" s="320"/>
      <c r="C2870" s="320"/>
      <c r="D2870" s="320"/>
      <c r="E2870" s="319"/>
      <c r="F2870" s="321"/>
      <c r="G2870" s="322"/>
      <c r="K2870" s="300"/>
    </row>
    <row r="2871" ht="27" customHeight="1" spans="1:11">
      <c r="A2871" s="298" t="s">
        <v>0</v>
      </c>
      <c r="B2871" s="298"/>
      <c r="C2871" s="298"/>
      <c r="D2871" s="298"/>
      <c r="E2871" s="298"/>
      <c r="F2871" s="298"/>
      <c r="G2871" s="298"/>
      <c r="H2871" s="299"/>
      <c r="I2871" s="299"/>
      <c r="J2871" s="299"/>
      <c r="K2871" s="300">
        <v>206</v>
      </c>
    </row>
    <row r="2872" ht="15" customHeight="1" spans="1:11">
      <c r="A2872" s="301" t="s">
        <v>1</v>
      </c>
      <c r="B2872" s="301"/>
      <c r="C2872" s="301"/>
      <c r="D2872" s="301"/>
      <c r="E2872" s="301"/>
      <c r="F2872" s="301"/>
      <c r="G2872" s="302" t="str">
        <f>IFERROR(VLOOKUP(K2871,'2026.01'!A:Y,2,0),0)</f>
        <v>NO:206</v>
      </c>
      <c r="K2872" s="300"/>
    </row>
    <row r="2873" ht="15" customHeight="1" spans="1:11">
      <c r="A2873" s="303" t="s">
        <v>2</v>
      </c>
      <c r="B2873" s="304">
        <f>IFERROR(VLOOKUP(K2871,'2026.01'!A:Y,6,0),0)</f>
        <v>3042</v>
      </c>
      <c r="C2873" s="304"/>
      <c r="D2873" s="305" t="s">
        <v>3</v>
      </c>
      <c r="E2873" s="305" t="str">
        <f>IFERROR(VLOOKUP(K2871,'2026.01'!A:Y,7,0),0)</f>
        <v>张春来</v>
      </c>
      <c r="F2873" s="305"/>
      <c r="G2873" s="306" t="s">
        <v>4</v>
      </c>
      <c r="K2873" s="300"/>
    </row>
    <row r="2874" ht="15" customHeight="1" spans="1:11">
      <c r="A2874" s="307" t="s">
        <v>5</v>
      </c>
      <c r="B2874" s="308" t="s">
        <v>6</v>
      </c>
      <c r="C2874" s="308" t="s">
        <v>7</v>
      </c>
      <c r="D2874" s="308" t="s">
        <v>8</v>
      </c>
      <c r="E2874" s="308" t="s">
        <v>9</v>
      </c>
      <c r="F2874" s="309" t="s">
        <v>10</v>
      </c>
      <c r="G2874" s="310" t="s">
        <v>11</v>
      </c>
      <c r="K2874" s="300"/>
    </row>
    <row r="2875" ht="15" customHeight="1" spans="1:11">
      <c r="A2875" s="307" t="s">
        <v>12</v>
      </c>
      <c r="B2875" s="308">
        <f>IFERROR(VLOOKUP(K2871,'2026.01'!A:Y,14,0),0)</f>
        <v>1684</v>
      </c>
      <c r="C2875" s="308">
        <f>IFERROR(VLOOKUP(K2871,'2026.01'!A:Y,13,0),0)</f>
        <v>1662</v>
      </c>
      <c r="D2875" s="308">
        <f>IFERROR(VLOOKUP(K2871,'2026.01'!A:Y,15,0),0)</f>
        <v>22</v>
      </c>
      <c r="E2875" s="311">
        <f>IFERROR(VLOOKUP(K2871,'2026.01'!A:Y,18,0),0)</f>
        <v>0.8</v>
      </c>
      <c r="F2875" s="309">
        <f>IFERROR(VLOOKUP(K2871,'2026.01'!A:Y,20,0),0)</f>
        <v>18</v>
      </c>
      <c r="G2875" s="310"/>
      <c r="K2875" s="300"/>
    </row>
    <row r="2876" ht="15" customHeight="1" spans="1:11">
      <c r="A2876" s="307" t="s">
        <v>13</v>
      </c>
      <c r="B2876" s="308"/>
      <c r="C2876" s="308"/>
      <c r="D2876" s="308"/>
      <c r="E2876" s="311"/>
      <c r="F2876" s="309">
        <f>IFERROR(VLOOKUP(K2871,'2026.01'!A:Y,24,0),0)</f>
        <v>51</v>
      </c>
      <c r="G2876" s="310"/>
      <c r="K2876" s="300"/>
    </row>
    <row r="2877" ht="15" customHeight="1" spans="1:11">
      <c r="A2877" s="307" t="s">
        <v>14</v>
      </c>
      <c r="B2877" s="308"/>
      <c r="C2877" s="308"/>
      <c r="D2877" s="308"/>
      <c r="E2877" s="311"/>
      <c r="F2877" s="309">
        <f>IFERROR(VLOOKUP(K2871,'2026.01'!A:Y,12,0),0)</f>
        <v>160</v>
      </c>
      <c r="G2877" s="310"/>
      <c r="K2877" s="300"/>
    </row>
    <row r="2878" ht="21" customHeight="1" spans="1:11">
      <c r="A2878" s="307" t="s">
        <v>15</v>
      </c>
      <c r="B2878" s="308"/>
      <c r="C2878" s="308"/>
      <c r="D2878" s="308"/>
      <c r="E2878" s="311"/>
      <c r="F2878" s="309">
        <f>IFERROR(VLOOKUP(K2871,'2026.01'!A:Y,9,0),0)</f>
        <v>5000</v>
      </c>
      <c r="G2878" s="310"/>
      <c r="K2878" s="300"/>
    </row>
    <row r="2879" ht="19" customHeight="1" spans="1:11">
      <c r="A2879" s="307" t="s">
        <v>16</v>
      </c>
      <c r="B2879" s="308"/>
      <c r="C2879" s="308"/>
      <c r="D2879" s="308"/>
      <c r="E2879" s="308"/>
      <c r="F2879" s="309">
        <f>IFERROR(VLOOKUP(K2871,'2026.01'!A:Y,10,0),0)</f>
        <v>500</v>
      </c>
      <c r="G2879" s="310"/>
      <c r="K2879" s="300"/>
    </row>
    <row r="2880" ht="21" customHeight="1" spans="1:11">
      <c r="A2880" s="307" t="s">
        <v>17</v>
      </c>
      <c r="B2880" s="308"/>
      <c r="C2880" s="308"/>
      <c r="D2880" s="308"/>
      <c r="E2880" s="308"/>
      <c r="F2880" s="309">
        <f>IFERROR(VLOOKUP(K2871,'2026.01'!A:Y,19,0),0)</f>
        <v>15</v>
      </c>
      <c r="G2880" s="310"/>
      <c r="K2880" s="300"/>
    </row>
    <row r="2881" ht="17.15" customHeight="1" spans="1:11">
      <c r="A2881" s="307" t="s">
        <v>18</v>
      </c>
      <c r="B2881" s="308"/>
      <c r="C2881" s="308"/>
      <c r="D2881" s="308"/>
      <c r="E2881" s="308"/>
      <c r="F2881" s="309">
        <f>IFERROR(VLOOKUP(K2871,'2026.01'!A:Y,22,0),0)</f>
        <v>267</v>
      </c>
      <c r="G2881" s="310"/>
      <c r="K2881" s="300"/>
    </row>
    <row r="2882" ht="17.15" customHeight="1" spans="1:11">
      <c r="A2882" s="307" t="s">
        <v>19</v>
      </c>
      <c r="B2882" s="312"/>
      <c r="C2882" s="308"/>
      <c r="D2882" s="313"/>
      <c r="E2882" s="308"/>
      <c r="F2882" s="309">
        <f>IFERROR(VLOOKUP(K2871,'2026.01'!A:Y,25,0),0)</f>
        <v>6011</v>
      </c>
      <c r="G2882" s="310"/>
      <c r="K2882" s="300"/>
    </row>
    <row r="2883" ht="15" customHeight="1" spans="1:11">
      <c r="A2883" s="314" t="s">
        <v>20</v>
      </c>
      <c r="B2883" s="315">
        <f>IF(F2882&lt;0,"金额为负，无效",INT(F2882))</f>
        <v>6011</v>
      </c>
      <c r="C2883" s="315"/>
      <c r="D2883" s="315"/>
      <c r="E2883" s="316" t="s">
        <v>21</v>
      </c>
      <c r="F2883" s="317"/>
      <c r="G2883" s="318"/>
      <c r="K2883" s="300"/>
    </row>
    <row r="2884" ht="23" customHeight="1" spans="1:11">
      <c r="A2884" s="319"/>
      <c r="B2884" s="320"/>
      <c r="C2884" s="320"/>
      <c r="D2884" s="320"/>
      <c r="E2884" s="319"/>
      <c r="F2884" s="321"/>
      <c r="G2884" s="322"/>
      <c r="K2884" s="300"/>
    </row>
    <row r="2885" ht="27" customHeight="1" spans="1:11">
      <c r="A2885" s="298" t="s">
        <v>0</v>
      </c>
      <c r="B2885" s="298"/>
      <c r="C2885" s="298"/>
      <c r="D2885" s="298"/>
      <c r="E2885" s="298"/>
      <c r="F2885" s="298"/>
      <c r="G2885" s="298"/>
      <c r="H2885" s="299"/>
      <c r="I2885" s="299"/>
      <c r="J2885" s="299"/>
      <c r="K2885" s="300">
        <v>207</v>
      </c>
    </row>
    <row r="2886" ht="15" customHeight="1" spans="1:11">
      <c r="A2886" s="301" t="s">
        <v>1</v>
      </c>
      <c r="B2886" s="301"/>
      <c r="C2886" s="301"/>
      <c r="D2886" s="301"/>
      <c r="E2886" s="301"/>
      <c r="F2886" s="301"/>
      <c r="G2886" s="302" t="str">
        <f>IFERROR(VLOOKUP(K2885,'2026.01'!A:Y,2,0),0)</f>
        <v>NO:207</v>
      </c>
      <c r="K2886" s="300"/>
    </row>
    <row r="2887" ht="15" customHeight="1" spans="1:11">
      <c r="A2887" s="303" t="s">
        <v>2</v>
      </c>
      <c r="B2887" s="304">
        <f>IFERROR(VLOOKUP(K2885,'2026.01'!A:Y,6,0),0)</f>
        <v>3043</v>
      </c>
      <c r="C2887" s="304"/>
      <c r="D2887" s="305" t="s">
        <v>3</v>
      </c>
      <c r="E2887" s="305" t="str">
        <f>IFERROR(VLOOKUP(K2885,'2026.01'!A:Y,7,0),0)</f>
        <v>徐介全</v>
      </c>
      <c r="F2887" s="305"/>
      <c r="G2887" s="306" t="s">
        <v>4</v>
      </c>
      <c r="K2887" s="300"/>
    </row>
    <row r="2888" ht="15" customHeight="1" spans="1:11">
      <c r="A2888" s="307" t="s">
        <v>5</v>
      </c>
      <c r="B2888" s="308" t="s">
        <v>6</v>
      </c>
      <c r="C2888" s="308" t="s">
        <v>7</v>
      </c>
      <c r="D2888" s="308" t="s">
        <v>8</v>
      </c>
      <c r="E2888" s="308" t="s">
        <v>9</v>
      </c>
      <c r="F2888" s="309" t="s">
        <v>10</v>
      </c>
      <c r="G2888" s="310" t="s">
        <v>11</v>
      </c>
      <c r="K2888" s="300"/>
    </row>
    <row r="2889" ht="15" customHeight="1" spans="1:11">
      <c r="A2889" s="307" t="s">
        <v>12</v>
      </c>
      <c r="B2889" s="308">
        <f>IFERROR(VLOOKUP(K2885,'2026.01'!A:Y,14,0),0)</f>
        <v>784</v>
      </c>
      <c r="C2889" s="308">
        <f>IFERROR(VLOOKUP(K2885,'2026.01'!A:Y,13,0),0)</f>
        <v>647</v>
      </c>
      <c r="D2889" s="308">
        <f>IFERROR(VLOOKUP(K2885,'2026.01'!A:Y,15,0),0)</f>
        <v>137</v>
      </c>
      <c r="E2889" s="311">
        <f>IFERROR(VLOOKUP(K2885,'2026.01'!A:Y,18,0),0)</f>
        <v>0.8</v>
      </c>
      <c r="F2889" s="309">
        <f>IFERROR(VLOOKUP(K2885,'2026.01'!A:Y,20,0),0)</f>
        <v>110</v>
      </c>
      <c r="G2889" s="310"/>
      <c r="K2889" s="300"/>
    </row>
    <row r="2890" ht="15" customHeight="1" spans="1:11">
      <c r="A2890" s="307" t="s">
        <v>13</v>
      </c>
      <c r="B2890" s="308"/>
      <c r="C2890" s="308"/>
      <c r="D2890" s="308"/>
      <c r="E2890" s="311"/>
      <c r="F2890" s="309">
        <f>IFERROR(VLOOKUP(K2885,'2026.01'!A:Y,24,0),0)</f>
        <v>51</v>
      </c>
      <c r="G2890" s="310"/>
      <c r="K2890" s="300"/>
    </row>
    <row r="2891" ht="15" customHeight="1" spans="1:11">
      <c r="A2891" s="307" t="s">
        <v>14</v>
      </c>
      <c r="B2891" s="308"/>
      <c r="C2891" s="308"/>
      <c r="D2891" s="308"/>
      <c r="E2891" s="311"/>
      <c r="F2891" s="309">
        <f>IFERROR(VLOOKUP(K2885,'2026.01'!A:Y,12,0),0)</f>
        <v>160</v>
      </c>
      <c r="G2891" s="310"/>
      <c r="K2891" s="300"/>
    </row>
    <row r="2892" ht="21" customHeight="1" spans="1:11">
      <c r="A2892" s="307" t="s">
        <v>15</v>
      </c>
      <c r="B2892" s="308"/>
      <c r="C2892" s="308"/>
      <c r="D2892" s="308"/>
      <c r="E2892" s="311"/>
      <c r="F2892" s="309">
        <f>IFERROR(VLOOKUP(K2885,'2026.01'!A:Y,9,0),0)</f>
        <v>5000</v>
      </c>
      <c r="G2892" s="310"/>
      <c r="K2892" s="300"/>
    </row>
    <row r="2893" ht="19" customHeight="1" spans="1:11">
      <c r="A2893" s="307" t="s">
        <v>16</v>
      </c>
      <c r="B2893" s="308"/>
      <c r="C2893" s="308"/>
      <c r="D2893" s="308"/>
      <c r="E2893" s="308"/>
      <c r="F2893" s="309">
        <f>IFERROR(VLOOKUP(K2885,'2026.01'!A:Y,10,0),0)</f>
        <v>500</v>
      </c>
      <c r="G2893" s="310"/>
      <c r="K2893" s="300"/>
    </row>
    <row r="2894" ht="21" customHeight="1" spans="1:11">
      <c r="A2894" s="307" t="s">
        <v>17</v>
      </c>
      <c r="B2894" s="308"/>
      <c r="C2894" s="308"/>
      <c r="D2894" s="308"/>
      <c r="E2894" s="308"/>
      <c r="F2894" s="309">
        <f>IFERROR(VLOOKUP(K2885,'2026.01'!A:Y,19,0),0)</f>
        <v>96</v>
      </c>
      <c r="G2894" s="310"/>
      <c r="K2894" s="300"/>
    </row>
    <row r="2895" ht="17.15" customHeight="1" spans="1:11">
      <c r="A2895" s="307" t="s">
        <v>18</v>
      </c>
      <c r="B2895" s="308"/>
      <c r="C2895" s="308"/>
      <c r="D2895" s="308"/>
      <c r="E2895" s="308"/>
      <c r="F2895" s="309">
        <f>IFERROR(VLOOKUP(K2885,'2026.01'!A:Y,22,0),0)</f>
        <v>267</v>
      </c>
      <c r="G2895" s="310"/>
      <c r="K2895" s="300"/>
    </row>
    <row r="2896" ht="17.15" customHeight="1" spans="1:11">
      <c r="A2896" s="307" t="s">
        <v>19</v>
      </c>
      <c r="B2896" s="312"/>
      <c r="C2896" s="308"/>
      <c r="D2896" s="313"/>
      <c r="E2896" s="308"/>
      <c r="F2896" s="309">
        <f>IFERROR(VLOOKUP(K2885,'2026.01'!A:Y,25,0),0)</f>
        <v>6184</v>
      </c>
      <c r="G2896" s="310"/>
      <c r="K2896" s="300"/>
    </row>
    <row r="2897" ht="15" customHeight="1" spans="1:11">
      <c r="A2897" s="314" t="s">
        <v>20</v>
      </c>
      <c r="B2897" s="315">
        <f>IF(F2896&lt;0,"金额为负，无效",INT(F2896))</f>
        <v>6184</v>
      </c>
      <c r="C2897" s="315"/>
      <c r="D2897" s="315"/>
      <c r="E2897" s="316" t="s">
        <v>21</v>
      </c>
      <c r="F2897" s="317"/>
      <c r="G2897" s="318"/>
      <c r="K2897" s="300"/>
    </row>
    <row r="2898" ht="15" customHeight="1" spans="1:11">
      <c r="A2898" s="319"/>
      <c r="B2898" s="320"/>
      <c r="C2898" s="320"/>
      <c r="D2898" s="320"/>
      <c r="E2898" s="319"/>
      <c r="F2898" s="321"/>
      <c r="G2898" s="322"/>
      <c r="K2898" s="300"/>
    </row>
    <row r="2899" ht="27" customHeight="1" spans="1:11">
      <c r="A2899" s="298" t="s">
        <v>0</v>
      </c>
      <c r="B2899" s="298"/>
      <c r="C2899" s="298"/>
      <c r="D2899" s="298"/>
      <c r="E2899" s="298"/>
      <c r="F2899" s="298"/>
      <c r="G2899" s="298"/>
      <c r="H2899" s="299"/>
      <c r="I2899" s="299"/>
      <c r="J2899" s="299"/>
      <c r="K2899" s="300">
        <v>208</v>
      </c>
    </row>
    <row r="2900" ht="15" customHeight="1" spans="1:11">
      <c r="A2900" s="301" t="s">
        <v>1</v>
      </c>
      <c r="B2900" s="301"/>
      <c r="C2900" s="301"/>
      <c r="D2900" s="301"/>
      <c r="E2900" s="301"/>
      <c r="F2900" s="301"/>
      <c r="G2900" s="302" t="str">
        <f>IFERROR(VLOOKUP(K2899,'2026.01'!A:Y,2,0),0)</f>
        <v>NO:208</v>
      </c>
      <c r="K2900" s="300"/>
    </row>
    <row r="2901" ht="15" customHeight="1" spans="1:11">
      <c r="A2901" s="303" t="s">
        <v>2</v>
      </c>
      <c r="B2901" s="304" t="str">
        <f>IFERROR(VLOOKUP(K2899,'2026.01'!A:Y,6,0),0)</f>
        <v>3043A</v>
      </c>
      <c r="C2901" s="304"/>
      <c r="D2901" s="305" t="s">
        <v>3</v>
      </c>
      <c r="E2901" s="305" t="str">
        <f>IFERROR(VLOOKUP(K2899,'2026.01'!A:Y,7,0),0)</f>
        <v>陈润升</v>
      </c>
      <c r="F2901" s="305"/>
      <c r="G2901" s="306" t="s">
        <v>4</v>
      </c>
      <c r="K2901" s="300"/>
    </row>
    <row r="2902" ht="15" customHeight="1" spans="1:11">
      <c r="A2902" s="307" t="s">
        <v>5</v>
      </c>
      <c r="B2902" s="308" t="s">
        <v>6</v>
      </c>
      <c r="C2902" s="308" t="s">
        <v>7</v>
      </c>
      <c r="D2902" s="308" t="s">
        <v>8</v>
      </c>
      <c r="E2902" s="308" t="s">
        <v>9</v>
      </c>
      <c r="F2902" s="309" t="s">
        <v>10</v>
      </c>
      <c r="G2902" s="310" t="s">
        <v>11</v>
      </c>
      <c r="K2902" s="300"/>
    </row>
    <row r="2903" ht="15" customHeight="1" spans="1:11">
      <c r="A2903" s="307" t="s">
        <v>12</v>
      </c>
      <c r="B2903" s="308">
        <f>IFERROR(VLOOKUP(K2899,'2026.01'!A:Y,14,0),0)</f>
        <v>2549</v>
      </c>
      <c r="C2903" s="308">
        <f>IFERROR(VLOOKUP(K2899,'2026.01'!A:Y,13,0),0)</f>
        <v>2447</v>
      </c>
      <c r="D2903" s="308">
        <f>IFERROR(VLOOKUP(K2899,'2026.01'!A:Y,15,0),0)</f>
        <v>102</v>
      </c>
      <c r="E2903" s="311">
        <f>IFERROR(VLOOKUP(K2899,'2026.01'!A:Y,18,0),0)</f>
        <v>0.8</v>
      </c>
      <c r="F2903" s="309">
        <f>IFERROR(VLOOKUP(K2899,'2026.01'!A:Y,20,0),0)</f>
        <v>82</v>
      </c>
      <c r="G2903" s="310"/>
      <c r="K2903" s="300"/>
    </row>
    <row r="2904" ht="15" customHeight="1" spans="1:11">
      <c r="A2904" s="307" t="s">
        <v>13</v>
      </c>
      <c r="B2904" s="308"/>
      <c r="C2904" s="308"/>
      <c r="D2904" s="308"/>
      <c r="E2904" s="311"/>
      <c r="F2904" s="309">
        <f>IFERROR(VLOOKUP(K2899,'2026.01'!A:Y,24,0),0)</f>
        <v>51</v>
      </c>
      <c r="G2904" s="310"/>
      <c r="K2904" s="300"/>
    </row>
    <row r="2905" ht="15" customHeight="1" spans="1:11">
      <c r="A2905" s="307" t="s">
        <v>14</v>
      </c>
      <c r="B2905" s="308"/>
      <c r="C2905" s="308"/>
      <c r="D2905" s="308"/>
      <c r="E2905" s="311"/>
      <c r="F2905" s="309">
        <f>IFERROR(VLOOKUP(K2899,'2026.01'!A:Y,12,0),0)</f>
        <v>160</v>
      </c>
      <c r="G2905" s="310"/>
      <c r="K2905" s="300"/>
    </row>
    <row r="2906" ht="21" customHeight="1" spans="1:11">
      <c r="A2906" s="307" t="s">
        <v>15</v>
      </c>
      <c r="B2906" s="308"/>
      <c r="C2906" s="308"/>
      <c r="D2906" s="308"/>
      <c r="E2906" s="311"/>
      <c r="F2906" s="309">
        <f>IFERROR(VLOOKUP(K2899,'2026.01'!A:Y,9,0),0)</f>
        <v>5000</v>
      </c>
      <c r="G2906" s="310"/>
      <c r="K2906" s="300"/>
    </row>
    <row r="2907" ht="19" customHeight="1" spans="1:11">
      <c r="A2907" s="307" t="s">
        <v>16</v>
      </c>
      <c r="B2907" s="308"/>
      <c r="C2907" s="308"/>
      <c r="D2907" s="308"/>
      <c r="E2907" s="308"/>
      <c r="F2907" s="309">
        <f>IFERROR(VLOOKUP(K2899,'2026.01'!A:Y,10,0),0)</f>
        <v>500</v>
      </c>
      <c r="G2907" s="310"/>
      <c r="K2907" s="300"/>
    </row>
    <row r="2908" ht="21" customHeight="1" spans="1:11">
      <c r="A2908" s="307" t="s">
        <v>17</v>
      </c>
      <c r="B2908" s="308"/>
      <c r="C2908" s="308"/>
      <c r="D2908" s="308"/>
      <c r="E2908" s="308"/>
      <c r="F2908" s="309">
        <f>IFERROR(VLOOKUP(K2899,'2026.01'!A:Y,19,0),0)</f>
        <v>71</v>
      </c>
      <c r="G2908" s="310"/>
      <c r="K2908" s="300"/>
    </row>
    <row r="2909" ht="17.15" customHeight="1" spans="1:11">
      <c r="A2909" s="307" t="s">
        <v>18</v>
      </c>
      <c r="B2909" s="308"/>
      <c r="C2909" s="308"/>
      <c r="D2909" s="308"/>
      <c r="E2909" s="308"/>
      <c r="F2909" s="309">
        <f>IFERROR(VLOOKUP(K2899,'2026.01'!A:Y,22,0),0)</f>
        <v>267</v>
      </c>
      <c r="G2909" s="310"/>
      <c r="K2909" s="300"/>
    </row>
    <row r="2910" ht="17.15" customHeight="1" spans="1:11">
      <c r="A2910" s="307" t="s">
        <v>19</v>
      </c>
      <c r="B2910" s="312"/>
      <c r="C2910" s="308"/>
      <c r="D2910" s="313"/>
      <c r="E2910" s="308"/>
      <c r="F2910" s="309">
        <f>IFERROR(VLOOKUP(K2899,'2026.01'!A:Y,25,0),0)</f>
        <v>6131</v>
      </c>
      <c r="G2910" s="310"/>
      <c r="K2910" s="300"/>
    </row>
    <row r="2911" ht="15" customHeight="1" spans="1:11">
      <c r="A2911" s="314" t="s">
        <v>20</v>
      </c>
      <c r="B2911" s="315">
        <f>IF(F2910&lt;0,"金额为负，无效",INT(F2910))</f>
        <v>6131</v>
      </c>
      <c r="C2911" s="315"/>
      <c r="D2911" s="315"/>
      <c r="E2911" s="316" t="s">
        <v>21</v>
      </c>
      <c r="F2911" s="317"/>
      <c r="G2911" s="318"/>
      <c r="K2911" s="300"/>
    </row>
    <row r="2912" ht="23" customHeight="1" spans="1:11">
      <c r="A2912" s="319"/>
      <c r="B2912" s="320"/>
      <c r="C2912" s="320"/>
      <c r="D2912" s="320"/>
      <c r="E2912" s="319"/>
      <c r="F2912" s="321"/>
      <c r="G2912" s="322"/>
      <c r="K2912" s="300"/>
    </row>
    <row r="2913" ht="27" customHeight="1" spans="1:11">
      <c r="A2913" s="298" t="s">
        <v>0</v>
      </c>
      <c r="B2913" s="298"/>
      <c r="C2913" s="298"/>
      <c r="D2913" s="298"/>
      <c r="E2913" s="298"/>
      <c r="F2913" s="298"/>
      <c r="G2913" s="298"/>
      <c r="H2913" s="299"/>
      <c r="I2913" s="299"/>
      <c r="J2913" s="299"/>
      <c r="K2913" s="300">
        <v>209</v>
      </c>
    </row>
    <row r="2914" ht="15" customHeight="1" spans="1:11">
      <c r="A2914" s="301" t="s">
        <v>1</v>
      </c>
      <c r="B2914" s="301"/>
      <c r="C2914" s="301"/>
      <c r="D2914" s="301"/>
      <c r="E2914" s="301"/>
      <c r="F2914" s="301"/>
      <c r="G2914" s="302" t="str">
        <f>IFERROR(VLOOKUP(K2913,'2026.01'!A:Y,2,0),0)</f>
        <v>NO:209</v>
      </c>
      <c r="K2914" s="300"/>
    </row>
    <row r="2915" ht="15" customHeight="1" spans="1:11">
      <c r="A2915" s="303" t="s">
        <v>2</v>
      </c>
      <c r="B2915" s="304">
        <f>IFERROR(VLOOKUP(K2913,'2026.01'!A:Y,6,0),0)</f>
        <v>3045</v>
      </c>
      <c r="C2915" s="304"/>
      <c r="D2915" s="305" t="s">
        <v>3</v>
      </c>
      <c r="E2915" s="305" t="str">
        <f>IFERROR(VLOOKUP(K2913,'2026.01'!A:Y,7,0),0)</f>
        <v>潘胤仿</v>
      </c>
      <c r="F2915" s="305"/>
      <c r="G2915" s="306" t="s">
        <v>4</v>
      </c>
      <c r="K2915" s="300"/>
    </row>
    <row r="2916" ht="15" customHeight="1" spans="1:11">
      <c r="A2916" s="307" t="s">
        <v>5</v>
      </c>
      <c r="B2916" s="308" t="s">
        <v>6</v>
      </c>
      <c r="C2916" s="308" t="s">
        <v>7</v>
      </c>
      <c r="D2916" s="308" t="s">
        <v>8</v>
      </c>
      <c r="E2916" s="308" t="s">
        <v>9</v>
      </c>
      <c r="F2916" s="309" t="s">
        <v>10</v>
      </c>
      <c r="G2916" s="310" t="s">
        <v>11</v>
      </c>
      <c r="K2916" s="300"/>
    </row>
    <row r="2917" ht="15" customHeight="1" spans="1:11">
      <c r="A2917" s="307" t="s">
        <v>12</v>
      </c>
      <c r="B2917" s="308">
        <f>IFERROR(VLOOKUP(K2913,'2026.01'!A:Y,14,0),0)</f>
        <v>9517</v>
      </c>
      <c r="C2917" s="308">
        <f>IFERROR(VLOOKUP(K2913,'2026.01'!A:Y,13,0),0)</f>
        <v>9494</v>
      </c>
      <c r="D2917" s="308">
        <f>IFERROR(VLOOKUP(K2913,'2026.01'!A:Y,15,0),0)</f>
        <v>23</v>
      </c>
      <c r="E2917" s="311">
        <f>IFERROR(VLOOKUP(K2913,'2026.01'!A:Y,18,0),0)</f>
        <v>0.8</v>
      </c>
      <c r="F2917" s="309">
        <f>IFERROR(VLOOKUP(K2913,'2026.01'!A:Y,20,0),0)</f>
        <v>18</v>
      </c>
      <c r="G2917" s="310"/>
      <c r="K2917" s="300"/>
    </row>
    <row r="2918" ht="15" customHeight="1" spans="1:11">
      <c r="A2918" s="307" t="s">
        <v>13</v>
      </c>
      <c r="B2918" s="308"/>
      <c r="C2918" s="308"/>
      <c r="D2918" s="308"/>
      <c r="E2918" s="311"/>
      <c r="F2918" s="309">
        <f>IFERROR(VLOOKUP(K2913,'2026.01'!A:Y,24,0),0)</f>
        <v>51</v>
      </c>
      <c r="G2918" s="310"/>
      <c r="K2918" s="300"/>
    </row>
    <row r="2919" ht="15" customHeight="1" spans="1:11">
      <c r="A2919" s="307" t="s">
        <v>14</v>
      </c>
      <c r="B2919" s="308"/>
      <c r="C2919" s="308"/>
      <c r="D2919" s="308"/>
      <c r="E2919" s="311"/>
      <c r="F2919" s="309">
        <f>IFERROR(VLOOKUP(K2913,'2026.01'!A:Y,12,0),0)</f>
        <v>160</v>
      </c>
      <c r="G2919" s="310"/>
      <c r="K2919" s="300"/>
    </row>
    <row r="2920" ht="21" customHeight="1" spans="1:11">
      <c r="A2920" s="307" t="s">
        <v>15</v>
      </c>
      <c r="B2920" s="308"/>
      <c r="C2920" s="308"/>
      <c r="D2920" s="308"/>
      <c r="E2920" s="311"/>
      <c r="F2920" s="309">
        <f>IFERROR(VLOOKUP(K2913,'2026.01'!A:Y,9,0),0)</f>
        <v>5000</v>
      </c>
      <c r="G2920" s="310"/>
      <c r="K2920" s="300"/>
    </row>
    <row r="2921" ht="19" customHeight="1" spans="1:11">
      <c r="A2921" s="307" t="s">
        <v>16</v>
      </c>
      <c r="B2921" s="308"/>
      <c r="C2921" s="308"/>
      <c r="D2921" s="308"/>
      <c r="E2921" s="308"/>
      <c r="F2921" s="309">
        <f>IFERROR(VLOOKUP(K2913,'2026.01'!A:Y,10,0),0)</f>
        <v>500</v>
      </c>
      <c r="G2921" s="310"/>
      <c r="K2921" s="300"/>
    </row>
    <row r="2922" ht="21" customHeight="1" spans="1:11">
      <c r="A2922" s="307" t="s">
        <v>17</v>
      </c>
      <c r="B2922" s="308"/>
      <c r="C2922" s="308"/>
      <c r="D2922" s="308"/>
      <c r="E2922" s="308"/>
      <c r="F2922" s="309">
        <f>IFERROR(VLOOKUP(K2913,'2026.01'!A:Y,19,0),0)</f>
        <v>16</v>
      </c>
      <c r="G2922" s="310"/>
      <c r="K2922" s="300"/>
    </row>
    <row r="2923" ht="17.15" customHeight="1" spans="1:11">
      <c r="A2923" s="307" t="s">
        <v>18</v>
      </c>
      <c r="B2923" s="308"/>
      <c r="C2923" s="308"/>
      <c r="D2923" s="308"/>
      <c r="E2923" s="308"/>
      <c r="F2923" s="309">
        <f>IFERROR(VLOOKUP(K2913,'2026.01'!A:Y,22,0),0)</f>
        <v>267</v>
      </c>
      <c r="G2923" s="310"/>
      <c r="K2923" s="300"/>
    </row>
    <row r="2924" ht="17.15" customHeight="1" spans="1:11">
      <c r="A2924" s="307" t="s">
        <v>19</v>
      </c>
      <c r="B2924" s="312"/>
      <c r="C2924" s="308"/>
      <c r="D2924" s="313"/>
      <c r="E2924" s="308"/>
      <c r="F2924" s="309">
        <f>IFERROR(VLOOKUP(K2913,'2026.01'!A:Y,25,0),0)</f>
        <v>6012</v>
      </c>
      <c r="G2924" s="310"/>
      <c r="K2924" s="300"/>
    </row>
    <row r="2925" ht="15" customHeight="1" spans="1:11">
      <c r="A2925" s="314" t="s">
        <v>20</v>
      </c>
      <c r="B2925" s="315">
        <f>IF(F2924&lt;0,"金额为负，无效",INT(F2924))</f>
        <v>6012</v>
      </c>
      <c r="C2925" s="315"/>
      <c r="D2925" s="315"/>
      <c r="E2925" s="316" t="s">
        <v>21</v>
      </c>
      <c r="F2925" s="317"/>
      <c r="G2925" s="318"/>
      <c r="K2925" s="300"/>
    </row>
    <row r="2926" ht="23" customHeight="1" spans="1:11">
      <c r="A2926" s="319"/>
      <c r="B2926" s="320"/>
      <c r="C2926" s="320"/>
      <c r="D2926" s="320"/>
      <c r="E2926" s="319"/>
      <c r="F2926" s="321"/>
      <c r="G2926" s="322"/>
      <c r="K2926" s="300"/>
    </row>
    <row r="2927" ht="27" customHeight="1" spans="1:11">
      <c r="A2927" s="298" t="s">
        <v>0</v>
      </c>
      <c r="B2927" s="298"/>
      <c r="C2927" s="298"/>
      <c r="D2927" s="298"/>
      <c r="E2927" s="298"/>
      <c r="F2927" s="298"/>
      <c r="G2927" s="298"/>
      <c r="H2927" s="299"/>
      <c r="I2927" s="299"/>
      <c r="J2927" s="299"/>
      <c r="K2927" s="300">
        <v>210</v>
      </c>
    </row>
    <row r="2928" ht="15" customHeight="1" spans="1:11">
      <c r="A2928" s="301" t="s">
        <v>1</v>
      </c>
      <c r="B2928" s="301"/>
      <c r="C2928" s="301"/>
      <c r="D2928" s="301"/>
      <c r="E2928" s="301"/>
      <c r="F2928" s="301"/>
      <c r="G2928" s="302" t="str">
        <f>IFERROR(VLOOKUP(K2927,'2026.01'!A:Y,2,0),0)</f>
        <v>NO:210</v>
      </c>
      <c r="K2928" s="300"/>
    </row>
    <row r="2929" ht="15" customHeight="1" spans="1:11">
      <c r="A2929" s="303" t="s">
        <v>2</v>
      </c>
      <c r="B2929" s="304">
        <f>IFERROR(VLOOKUP(K2927,'2026.01'!A:Y,6,0),0)</f>
        <v>3046</v>
      </c>
      <c r="C2929" s="304"/>
      <c r="D2929" s="305" t="s">
        <v>3</v>
      </c>
      <c r="E2929" s="305" t="str">
        <f>IFERROR(VLOOKUP(K2927,'2026.01'!A:Y,7,0),0)</f>
        <v>余伟锋</v>
      </c>
      <c r="F2929" s="305"/>
      <c r="G2929" s="306" t="s">
        <v>4</v>
      </c>
      <c r="K2929" s="300"/>
    </row>
    <row r="2930" ht="15" customHeight="1" spans="1:11">
      <c r="A2930" s="307" t="s">
        <v>5</v>
      </c>
      <c r="B2930" s="308" t="s">
        <v>6</v>
      </c>
      <c r="C2930" s="308" t="s">
        <v>7</v>
      </c>
      <c r="D2930" s="308" t="s">
        <v>8</v>
      </c>
      <c r="E2930" s="308" t="s">
        <v>9</v>
      </c>
      <c r="F2930" s="309" t="s">
        <v>10</v>
      </c>
      <c r="G2930" s="310" t="s">
        <v>11</v>
      </c>
      <c r="K2930" s="300"/>
    </row>
    <row r="2931" ht="15" customHeight="1" spans="1:11">
      <c r="A2931" s="307" t="s">
        <v>12</v>
      </c>
      <c r="B2931" s="308">
        <f>IFERROR(VLOOKUP(K2927,'2026.01'!A:Y,14,0),0)</f>
        <v>9707</v>
      </c>
      <c r="C2931" s="308">
        <f>IFERROR(VLOOKUP(K2927,'2026.01'!A:Y,13,0),0)</f>
        <v>9698</v>
      </c>
      <c r="D2931" s="308">
        <f>IFERROR(VLOOKUP(K2927,'2026.01'!A:Y,15,0),0)</f>
        <v>9</v>
      </c>
      <c r="E2931" s="311">
        <f>IFERROR(VLOOKUP(K2927,'2026.01'!A:Y,18,0),0)</f>
        <v>0.8</v>
      </c>
      <c r="F2931" s="309">
        <f>IFERROR(VLOOKUP(K2927,'2026.01'!A:Y,20,0),0)</f>
        <v>7</v>
      </c>
      <c r="G2931" s="310"/>
      <c r="K2931" s="300"/>
    </row>
    <row r="2932" ht="15" customHeight="1" spans="1:11">
      <c r="A2932" s="307" t="s">
        <v>13</v>
      </c>
      <c r="B2932" s="308"/>
      <c r="C2932" s="308"/>
      <c r="D2932" s="308"/>
      <c r="E2932" s="311"/>
      <c r="F2932" s="309">
        <f>IFERROR(VLOOKUP(K2927,'2026.01'!A:Y,24,0),0)</f>
        <v>51</v>
      </c>
      <c r="G2932" s="310"/>
      <c r="K2932" s="300"/>
    </row>
    <row r="2933" ht="15" customHeight="1" spans="1:11">
      <c r="A2933" s="307" t="s">
        <v>14</v>
      </c>
      <c r="B2933" s="308"/>
      <c r="C2933" s="308"/>
      <c r="D2933" s="308"/>
      <c r="E2933" s="311"/>
      <c r="F2933" s="309">
        <f>IFERROR(VLOOKUP(K2927,'2026.01'!A:Y,12,0),0)</f>
        <v>160</v>
      </c>
      <c r="G2933" s="310"/>
      <c r="K2933" s="300"/>
    </row>
    <row r="2934" ht="21" customHeight="1" spans="1:11">
      <c r="A2934" s="307" t="s">
        <v>15</v>
      </c>
      <c r="B2934" s="308"/>
      <c r="C2934" s="308"/>
      <c r="D2934" s="308"/>
      <c r="E2934" s="311"/>
      <c r="F2934" s="309">
        <f>IFERROR(VLOOKUP(K2927,'2026.01'!A:Y,9,0),0)</f>
        <v>5000</v>
      </c>
      <c r="G2934" s="310"/>
      <c r="K2934" s="300"/>
    </row>
    <row r="2935" ht="19" customHeight="1" spans="1:11">
      <c r="A2935" s="307" t="s">
        <v>16</v>
      </c>
      <c r="B2935" s="308"/>
      <c r="C2935" s="308"/>
      <c r="D2935" s="308"/>
      <c r="E2935" s="308"/>
      <c r="F2935" s="309">
        <f>IFERROR(VLOOKUP(K2927,'2026.01'!A:Y,10,0),0)</f>
        <v>500</v>
      </c>
      <c r="G2935" s="310"/>
      <c r="K2935" s="300"/>
    </row>
    <row r="2936" ht="21" customHeight="1" spans="1:11">
      <c r="A2936" s="307" t="s">
        <v>17</v>
      </c>
      <c r="B2936" s="308"/>
      <c r="C2936" s="308"/>
      <c r="D2936" s="308"/>
      <c r="E2936" s="308"/>
      <c r="F2936" s="309">
        <f>IFERROR(VLOOKUP(K2927,'2026.01'!A:Y,19,0),0)</f>
        <v>6</v>
      </c>
      <c r="G2936" s="310"/>
      <c r="K2936" s="300"/>
    </row>
    <row r="2937" ht="17.15" customHeight="1" spans="1:11">
      <c r="A2937" s="307" t="s">
        <v>18</v>
      </c>
      <c r="B2937" s="308"/>
      <c r="C2937" s="308"/>
      <c r="D2937" s="308"/>
      <c r="E2937" s="308"/>
      <c r="F2937" s="309">
        <f>IFERROR(VLOOKUP(K2927,'2026.01'!A:Y,22,0),0)</f>
        <v>267</v>
      </c>
      <c r="G2937" s="310"/>
      <c r="K2937" s="300"/>
    </row>
    <row r="2938" ht="17.15" customHeight="1" spans="1:11">
      <c r="A2938" s="307" t="s">
        <v>19</v>
      </c>
      <c r="B2938" s="312"/>
      <c r="C2938" s="308"/>
      <c r="D2938" s="313"/>
      <c r="E2938" s="308"/>
      <c r="F2938" s="309">
        <f>IFERROR(VLOOKUP(K2927,'2026.01'!A:Y,25,0),0)</f>
        <v>5991</v>
      </c>
      <c r="G2938" s="310"/>
      <c r="K2938" s="300"/>
    </row>
    <row r="2939" ht="15" customHeight="1" spans="1:11">
      <c r="A2939" s="314" t="s">
        <v>20</v>
      </c>
      <c r="B2939" s="315">
        <f>IF(F2938&lt;0,"金额为负，无效",INT(F2938))</f>
        <v>5991</v>
      </c>
      <c r="C2939" s="315"/>
      <c r="D2939" s="315"/>
      <c r="E2939" s="316" t="s">
        <v>21</v>
      </c>
      <c r="F2939" s="317"/>
      <c r="G2939" s="318"/>
      <c r="K2939" s="300"/>
    </row>
    <row r="2940" ht="15" customHeight="1" spans="1:11">
      <c r="A2940" s="319"/>
      <c r="B2940" s="320"/>
      <c r="C2940" s="320"/>
      <c r="D2940" s="320"/>
      <c r="E2940" s="319"/>
      <c r="F2940" s="321"/>
      <c r="G2940" s="322"/>
      <c r="K2940" s="300"/>
    </row>
    <row r="2941" ht="27" customHeight="1" spans="1:11">
      <c r="A2941" s="298" t="s">
        <v>0</v>
      </c>
      <c r="B2941" s="298"/>
      <c r="C2941" s="298"/>
      <c r="D2941" s="298"/>
      <c r="E2941" s="298"/>
      <c r="F2941" s="298"/>
      <c r="G2941" s="298"/>
      <c r="H2941" s="299"/>
      <c r="I2941" s="299"/>
      <c r="J2941" s="299"/>
      <c r="K2941" s="300">
        <v>211</v>
      </c>
    </row>
    <row r="2942" ht="15" customHeight="1" spans="1:11">
      <c r="A2942" s="301" t="s">
        <v>1</v>
      </c>
      <c r="B2942" s="301"/>
      <c r="C2942" s="301"/>
      <c r="D2942" s="301"/>
      <c r="E2942" s="301"/>
      <c r="F2942" s="301"/>
      <c r="G2942" s="302" t="str">
        <f>IFERROR(VLOOKUP(K2941,'2026.01'!A:Y,2,0),0)</f>
        <v>NO:211</v>
      </c>
      <c r="K2942" s="300"/>
    </row>
    <row r="2943" ht="15" customHeight="1" spans="1:11">
      <c r="A2943" s="303" t="s">
        <v>2</v>
      </c>
      <c r="B2943" s="304">
        <f>IFERROR(VLOOKUP(K2941,'2026.01'!A:Y,6,0),0)</f>
        <v>3047</v>
      </c>
      <c r="C2943" s="304"/>
      <c r="D2943" s="305" t="s">
        <v>3</v>
      </c>
      <c r="E2943" s="305" t="str">
        <f>IFERROR(VLOOKUP(K2941,'2026.01'!A:Y,7,0),0)</f>
        <v>陈秀军</v>
      </c>
      <c r="F2943" s="305"/>
      <c r="G2943" s="306" t="s">
        <v>4</v>
      </c>
      <c r="K2943" s="300"/>
    </row>
    <row r="2944" ht="15" customHeight="1" spans="1:11">
      <c r="A2944" s="307" t="s">
        <v>5</v>
      </c>
      <c r="B2944" s="308" t="s">
        <v>6</v>
      </c>
      <c r="C2944" s="308" t="s">
        <v>7</v>
      </c>
      <c r="D2944" s="308" t="s">
        <v>8</v>
      </c>
      <c r="E2944" s="308" t="s">
        <v>9</v>
      </c>
      <c r="F2944" s="309" t="s">
        <v>10</v>
      </c>
      <c r="G2944" s="310" t="s">
        <v>11</v>
      </c>
      <c r="K2944" s="300"/>
    </row>
    <row r="2945" ht="15" customHeight="1" spans="1:11">
      <c r="A2945" s="307" t="s">
        <v>12</v>
      </c>
      <c r="B2945" s="308">
        <f>IFERROR(VLOOKUP(K2941,'2026.01'!A:Y,14,0),0)</f>
        <v>11285</v>
      </c>
      <c r="C2945" s="308">
        <f>IFERROR(VLOOKUP(K2941,'2026.01'!A:Y,13,0),0)</f>
        <v>11201</v>
      </c>
      <c r="D2945" s="308">
        <f>IFERROR(VLOOKUP(K2941,'2026.01'!A:Y,15,0),0)</f>
        <v>84</v>
      </c>
      <c r="E2945" s="311">
        <f>IFERROR(VLOOKUP(K2941,'2026.01'!A:Y,18,0),0)</f>
        <v>0.8</v>
      </c>
      <c r="F2945" s="309">
        <f>IFERROR(VLOOKUP(K2941,'2026.01'!A:Y,20,0),0)</f>
        <v>67</v>
      </c>
      <c r="G2945" s="310"/>
      <c r="K2945" s="300"/>
    </row>
    <row r="2946" ht="15" customHeight="1" spans="1:11">
      <c r="A2946" s="307" t="s">
        <v>13</v>
      </c>
      <c r="B2946" s="308"/>
      <c r="C2946" s="308"/>
      <c r="D2946" s="308"/>
      <c r="E2946" s="311"/>
      <c r="F2946" s="309">
        <f>IFERROR(VLOOKUP(K2941,'2026.01'!A:Y,24,0),0)</f>
        <v>51</v>
      </c>
      <c r="G2946" s="310"/>
      <c r="K2946" s="300"/>
    </row>
    <row r="2947" ht="15" customHeight="1" spans="1:11">
      <c r="A2947" s="307" t="s">
        <v>14</v>
      </c>
      <c r="B2947" s="308"/>
      <c r="C2947" s="308"/>
      <c r="D2947" s="308"/>
      <c r="E2947" s="311"/>
      <c r="F2947" s="309">
        <f>IFERROR(VLOOKUP(K2941,'2026.01'!A:Y,12,0),0)</f>
        <v>160</v>
      </c>
      <c r="G2947" s="310"/>
      <c r="K2947" s="300"/>
    </row>
    <row r="2948" ht="21" customHeight="1" spans="1:11">
      <c r="A2948" s="307" t="s">
        <v>15</v>
      </c>
      <c r="B2948" s="308"/>
      <c r="C2948" s="308"/>
      <c r="D2948" s="308"/>
      <c r="E2948" s="311"/>
      <c r="F2948" s="309">
        <f>IFERROR(VLOOKUP(K2941,'2026.01'!A:Y,9,0),0)</f>
        <v>5000</v>
      </c>
      <c r="G2948" s="310"/>
      <c r="K2948" s="300"/>
    </row>
    <row r="2949" ht="19" customHeight="1" spans="1:11">
      <c r="A2949" s="307" t="s">
        <v>16</v>
      </c>
      <c r="B2949" s="308"/>
      <c r="C2949" s="308"/>
      <c r="D2949" s="308"/>
      <c r="E2949" s="308"/>
      <c r="F2949" s="309">
        <f>IFERROR(VLOOKUP(K2941,'2026.01'!A:Y,10,0),0)</f>
        <v>500</v>
      </c>
      <c r="G2949" s="310"/>
      <c r="K2949" s="300"/>
    </row>
    <row r="2950" ht="21" customHeight="1" spans="1:11">
      <c r="A2950" s="307" t="s">
        <v>17</v>
      </c>
      <c r="B2950" s="308"/>
      <c r="C2950" s="308"/>
      <c r="D2950" s="308"/>
      <c r="E2950" s="308"/>
      <c r="F2950" s="309">
        <f>IFERROR(VLOOKUP(K2941,'2026.01'!A:Y,19,0),0)</f>
        <v>59</v>
      </c>
      <c r="G2950" s="310"/>
      <c r="K2950" s="300"/>
    </row>
    <row r="2951" ht="17.15" customHeight="1" spans="1:11">
      <c r="A2951" s="307" t="s">
        <v>18</v>
      </c>
      <c r="B2951" s="308"/>
      <c r="C2951" s="308"/>
      <c r="D2951" s="308"/>
      <c r="E2951" s="308"/>
      <c r="F2951" s="309">
        <f>IFERROR(VLOOKUP(K2941,'2026.01'!A:Y,22,0),0)</f>
        <v>267</v>
      </c>
      <c r="G2951" s="310"/>
      <c r="K2951" s="300"/>
    </row>
    <row r="2952" ht="17.15" customHeight="1" spans="1:11">
      <c r="A2952" s="307" t="s">
        <v>19</v>
      </c>
      <c r="B2952" s="312"/>
      <c r="C2952" s="308"/>
      <c r="D2952" s="313"/>
      <c r="E2952" s="308"/>
      <c r="F2952" s="309">
        <f>IFERROR(VLOOKUP(K2941,'2026.01'!A:Y,25,0),0)</f>
        <v>6104</v>
      </c>
      <c r="G2952" s="310"/>
      <c r="K2952" s="300"/>
    </row>
    <row r="2953" ht="15" customHeight="1" spans="1:11">
      <c r="A2953" s="314" t="s">
        <v>20</v>
      </c>
      <c r="B2953" s="315">
        <f>IF(F2952&lt;0,"金额为负，无效",INT(F2952))</f>
        <v>6104</v>
      </c>
      <c r="C2953" s="315"/>
      <c r="D2953" s="315"/>
      <c r="E2953" s="316" t="s">
        <v>21</v>
      </c>
      <c r="F2953" s="317"/>
      <c r="G2953" s="318"/>
      <c r="K2953" s="300"/>
    </row>
    <row r="2954" ht="23" customHeight="1" spans="1:11">
      <c r="A2954" s="319"/>
      <c r="B2954" s="320"/>
      <c r="C2954" s="320"/>
      <c r="D2954" s="320"/>
      <c r="E2954" s="319"/>
      <c r="F2954" s="321"/>
      <c r="G2954" s="322"/>
      <c r="K2954" s="300"/>
    </row>
    <row r="2955" ht="27" customHeight="1" spans="1:11">
      <c r="A2955" s="298" t="s">
        <v>0</v>
      </c>
      <c r="B2955" s="298"/>
      <c r="C2955" s="298"/>
      <c r="D2955" s="298"/>
      <c r="E2955" s="298"/>
      <c r="F2955" s="298"/>
      <c r="G2955" s="298"/>
      <c r="H2955" s="299"/>
      <c r="I2955" s="299"/>
      <c r="J2955" s="299"/>
      <c r="K2955" s="300">
        <v>212</v>
      </c>
    </row>
    <row r="2956" ht="15" customHeight="1" spans="1:11">
      <c r="A2956" s="301" t="s">
        <v>1</v>
      </c>
      <c r="B2956" s="301"/>
      <c r="C2956" s="301"/>
      <c r="D2956" s="301"/>
      <c r="E2956" s="301"/>
      <c r="F2956" s="301"/>
      <c r="G2956" s="302" t="str">
        <f>IFERROR(VLOOKUP(K2955,'2026.01'!A:Y,2,0),0)</f>
        <v>NO:212</v>
      </c>
      <c r="K2956" s="300"/>
    </row>
    <row r="2957" ht="15" customHeight="1" spans="1:11">
      <c r="A2957" s="303" t="s">
        <v>2</v>
      </c>
      <c r="B2957" s="304">
        <f>IFERROR(VLOOKUP(K2955,'2026.01'!A:Y,6,0),0)</f>
        <v>3048</v>
      </c>
      <c r="C2957" s="304"/>
      <c r="D2957" s="305" t="s">
        <v>3</v>
      </c>
      <c r="E2957" s="305" t="str">
        <f>IFERROR(VLOOKUP(K2955,'2026.01'!A:Y,7,0),0)</f>
        <v>刘德政</v>
      </c>
      <c r="F2957" s="305"/>
      <c r="G2957" s="306" t="s">
        <v>4</v>
      </c>
      <c r="K2957" s="300"/>
    </row>
    <row r="2958" ht="15" customHeight="1" spans="1:11">
      <c r="A2958" s="307" t="s">
        <v>5</v>
      </c>
      <c r="B2958" s="308" t="s">
        <v>6</v>
      </c>
      <c r="C2958" s="308" t="s">
        <v>7</v>
      </c>
      <c r="D2958" s="308" t="s">
        <v>8</v>
      </c>
      <c r="E2958" s="308" t="s">
        <v>9</v>
      </c>
      <c r="F2958" s="309" t="s">
        <v>10</v>
      </c>
      <c r="G2958" s="310" t="s">
        <v>11</v>
      </c>
      <c r="K2958" s="300"/>
    </row>
    <row r="2959" ht="15" customHeight="1" spans="1:11">
      <c r="A2959" s="307" t="s">
        <v>12</v>
      </c>
      <c r="B2959" s="308">
        <f>IFERROR(VLOOKUP(K2955,'2026.01'!A:Y,14,0),0)</f>
        <v>8715</v>
      </c>
      <c r="C2959" s="308">
        <f>IFERROR(VLOOKUP(K2955,'2026.01'!A:Y,13,0),0)</f>
        <v>8685</v>
      </c>
      <c r="D2959" s="308">
        <f>IFERROR(VLOOKUP(K2955,'2026.01'!A:Y,15,0),0)</f>
        <v>30</v>
      </c>
      <c r="E2959" s="311">
        <f>IFERROR(VLOOKUP(K2955,'2026.01'!A:Y,18,0),0)</f>
        <v>0.8</v>
      </c>
      <c r="F2959" s="309">
        <f>IFERROR(VLOOKUP(K2955,'2026.01'!A:Y,20,0),0)</f>
        <v>24</v>
      </c>
      <c r="G2959" s="310"/>
      <c r="K2959" s="300"/>
    </row>
    <row r="2960" ht="15" customHeight="1" spans="1:11">
      <c r="A2960" s="307" t="s">
        <v>13</v>
      </c>
      <c r="B2960" s="308"/>
      <c r="C2960" s="308"/>
      <c r="D2960" s="308"/>
      <c r="E2960" s="311"/>
      <c r="F2960" s="309">
        <f>IFERROR(VLOOKUP(K2955,'2026.01'!A:Y,24,0),0)</f>
        <v>51</v>
      </c>
      <c r="G2960" s="310"/>
      <c r="K2960" s="300"/>
    </row>
    <row r="2961" ht="15" customHeight="1" spans="1:11">
      <c r="A2961" s="307" t="s">
        <v>14</v>
      </c>
      <c r="B2961" s="308"/>
      <c r="C2961" s="308"/>
      <c r="D2961" s="308"/>
      <c r="E2961" s="311"/>
      <c r="F2961" s="309">
        <f>IFERROR(VLOOKUP(K2955,'2026.01'!A:Y,12,0),0)</f>
        <v>160</v>
      </c>
      <c r="G2961" s="310"/>
      <c r="K2961" s="300"/>
    </row>
    <row r="2962" ht="21" customHeight="1" spans="1:11">
      <c r="A2962" s="307" t="s">
        <v>15</v>
      </c>
      <c r="B2962" s="308"/>
      <c r="C2962" s="308"/>
      <c r="D2962" s="308"/>
      <c r="E2962" s="311"/>
      <c r="F2962" s="309">
        <f>IFERROR(VLOOKUP(K2955,'2026.01'!A:Y,9,0),0)</f>
        <v>5000</v>
      </c>
      <c r="G2962" s="310"/>
      <c r="K2962" s="300"/>
    </row>
    <row r="2963" ht="19" customHeight="1" spans="1:11">
      <c r="A2963" s="307" t="s">
        <v>16</v>
      </c>
      <c r="B2963" s="308"/>
      <c r="C2963" s="308"/>
      <c r="D2963" s="308"/>
      <c r="E2963" s="308"/>
      <c r="F2963" s="309">
        <f>IFERROR(VLOOKUP(K2955,'2026.01'!A:Y,10,0),0)</f>
        <v>500</v>
      </c>
      <c r="G2963" s="310"/>
      <c r="K2963" s="300"/>
    </row>
    <row r="2964" ht="21" customHeight="1" spans="1:11">
      <c r="A2964" s="307" t="s">
        <v>17</v>
      </c>
      <c r="B2964" s="308"/>
      <c r="C2964" s="308"/>
      <c r="D2964" s="308"/>
      <c r="E2964" s="308"/>
      <c r="F2964" s="309">
        <f>IFERROR(VLOOKUP(K2955,'2026.01'!A:Y,19,0),0)</f>
        <v>21</v>
      </c>
      <c r="G2964" s="310"/>
      <c r="K2964" s="300"/>
    </row>
    <row r="2965" ht="17.15" customHeight="1" spans="1:11">
      <c r="A2965" s="307" t="s">
        <v>18</v>
      </c>
      <c r="B2965" s="308"/>
      <c r="C2965" s="308"/>
      <c r="D2965" s="308"/>
      <c r="E2965" s="308"/>
      <c r="F2965" s="309">
        <f>IFERROR(VLOOKUP(K2955,'2026.01'!A:Y,22,0),0)</f>
        <v>267</v>
      </c>
      <c r="G2965" s="310"/>
      <c r="K2965" s="300"/>
    </row>
    <row r="2966" ht="17.15" customHeight="1" spans="1:11">
      <c r="A2966" s="307" t="s">
        <v>19</v>
      </c>
      <c r="B2966" s="312"/>
      <c r="C2966" s="308"/>
      <c r="D2966" s="313"/>
      <c r="E2966" s="308"/>
      <c r="F2966" s="309">
        <f>IFERROR(VLOOKUP(K2955,'2026.01'!A:Y,25,0),0)</f>
        <v>6023</v>
      </c>
      <c r="G2966" s="310"/>
      <c r="K2966" s="300"/>
    </row>
    <row r="2967" ht="15" customHeight="1" spans="1:11">
      <c r="A2967" s="314" t="s">
        <v>20</v>
      </c>
      <c r="B2967" s="315">
        <f>IF(F2966&lt;0,"金额为负，无效",INT(F2966))</f>
        <v>6023</v>
      </c>
      <c r="C2967" s="315"/>
      <c r="D2967" s="315"/>
      <c r="E2967" s="316" t="s">
        <v>21</v>
      </c>
      <c r="F2967" s="317"/>
      <c r="G2967" s="318"/>
      <c r="K2967" s="300"/>
    </row>
    <row r="2968" ht="23" customHeight="1" spans="1:11">
      <c r="A2968" s="319"/>
      <c r="B2968" s="320"/>
      <c r="C2968" s="320"/>
      <c r="D2968" s="320"/>
      <c r="E2968" s="319"/>
      <c r="F2968" s="321"/>
      <c r="G2968" s="322"/>
      <c r="K2968" s="300"/>
    </row>
    <row r="2969" ht="27" customHeight="1" spans="1:11">
      <c r="A2969" s="298" t="s">
        <v>0</v>
      </c>
      <c r="B2969" s="298"/>
      <c r="C2969" s="298"/>
      <c r="D2969" s="298"/>
      <c r="E2969" s="298"/>
      <c r="F2969" s="298"/>
      <c r="G2969" s="298"/>
      <c r="H2969" s="299"/>
      <c r="I2969" s="299"/>
      <c r="J2969" s="299"/>
      <c r="K2969" s="300">
        <v>213</v>
      </c>
    </row>
    <row r="2970" ht="15" customHeight="1" spans="1:11">
      <c r="A2970" s="301" t="s">
        <v>1</v>
      </c>
      <c r="B2970" s="301"/>
      <c r="C2970" s="301"/>
      <c r="D2970" s="301"/>
      <c r="E2970" s="301"/>
      <c r="F2970" s="301"/>
      <c r="G2970" s="302" t="str">
        <f>IFERROR(VLOOKUP(K2969,'2026.01'!A:Y,2,0),0)</f>
        <v>NO:213</v>
      </c>
      <c r="K2970" s="300"/>
    </row>
    <row r="2971" ht="15" customHeight="1" spans="1:11">
      <c r="A2971" s="303" t="s">
        <v>2</v>
      </c>
      <c r="B2971" s="304">
        <f>IFERROR(VLOOKUP(K2969,'2026.01'!A:Y,6,0),0)</f>
        <v>3049</v>
      </c>
      <c r="C2971" s="304"/>
      <c r="D2971" s="305" t="s">
        <v>3</v>
      </c>
      <c r="E2971" s="305" t="str">
        <f>IFERROR(VLOOKUP(K2969,'2026.01'!A:Y,7,0),0)</f>
        <v>林香科</v>
      </c>
      <c r="F2971" s="305"/>
      <c r="G2971" s="306" t="s">
        <v>4</v>
      </c>
      <c r="K2971" s="300"/>
    </row>
    <row r="2972" ht="15" customHeight="1" spans="1:11">
      <c r="A2972" s="307" t="s">
        <v>5</v>
      </c>
      <c r="B2972" s="308" t="s">
        <v>6</v>
      </c>
      <c r="C2972" s="308" t="s">
        <v>7</v>
      </c>
      <c r="D2972" s="308" t="s">
        <v>8</v>
      </c>
      <c r="E2972" s="308" t="s">
        <v>9</v>
      </c>
      <c r="F2972" s="309" t="s">
        <v>10</v>
      </c>
      <c r="G2972" s="310" t="s">
        <v>11</v>
      </c>
      <c r="K2972" s="300"/>
    </row>
    <row r="2973" ht="15" customHeight="1" spans="1:11">
      <c r="A2973" s="307" t="s">
        <v>12</v>
      </c>
      <c r="B2973" s="308">
        <f>IFERROR(VLOOKUP(K2969,'2026.01'!A:Y,14,0),0)</f>
        <v>2004</v>
      </c>
      <c r="C2973" s="308">
        <f>IFERROR(VLOOKUP(K2969,'2026.01'!A:Y,13,0),0)</f>
        <v>1918</v>
      </c>
      <c r="D2973" s="308">
        <f>IFERROR(VLOOKUP(K2969,'2026.01'!A:Y,15,0),0)</f>
        <v>86</v>
      </c>
      <c r="E2973" s="311">
        <f>IFERROR(VLOOKUP(K2969,'2026.01'!A:Y,18,0),0)</f>
        <v>0.8</v>
      </c>
      <c r="F2973" s="309">
        <f>IFERROR(VLOOKUP(K2969,'2026.01'!A:Y,20,0),0)</f>
        <v>69</v>
      </c>
      <c r="G2973" s="310"/>
      <c r="K2973" s="300"/>
    </row>
    <row r="2974" ht="15" customHeight="1" spans="1:11">
      <c r="A2974" s="307" t="s">
        <v>13</v>
      </c>
      <c r="B2974" s="308"/>
      <c r="C2974" s="308"/>
      <c r="D2974" s="308"/>
      <c r="E2974" s="311"/>
      <c r="F2974" s="309">
        <f>IFERROR(VLOOKUP(K2969,'2026.01'!A:Y,24,0),0)</f>
        <v>51</v>
      </c>
      <c r="G2974" s="310"/>
      <c r="K2974" s="300"/>
    </row>
    <row r="2975" ht="15" customHeight="1" spans="1:11">
      <c r="A2975" s="307" t="s">
        <v>14</v>
      </c>
      <c r="B2975" s="308"/>
      <c r="C2975" s="308"/>
      <c r="D2975" s="308"/>
      <c r="E2975" s="311"/>
      <c r="F2975" s="309">
        <f>IFERROR(VLOOKUP(K2969,'2026.01'!A:Y,12,0),0)</f>
        <v>160</v>
      </c>
      <c r="G2975" s="310"/>
      <c r="K2975" s="300"/>
    </row>
    <row r="2976" ht="21" customHeight="1" spans="1:11">
      <c r="A2976" s="307" t="s">
        <v>15</v>
      </c>
      <c r="B2976" s="308"/>
      <c r="C2976" s="308"/>
      <c r="D2976" s="308"/>
      <c r="E2976" s="311"/>
      <c r="F2976" s="309">
        <f>IFERROR(VLOOKUP(K2969,'2026.01'!A:Y,9,0),0)</f>
        <v>5000</v>
      </c>
      <c r="G2976" s="310"/>
      <c r="K2976" s="300"/>
    </row>
    <row r="2977" ht="19" customHeight="1" spans="1:11">
      <c r="A2977" s="307" t="s">
        <v>16</v>
      </c>
      <c r="B2977" s="308"/>
      <c r="C2977" s="308"/>
      <c r="D2977" s="308"/>
      <c r="E2977" s="308"/>
      <c r="F2977" s="309">
        <f>IFERROR(VLOOKUP(K2969,'2026.01'!A:Y,10,0),0)</f>
        <v>500</v>
      </c>
      <c r="G2977" s="310"/>
      <c r="K2977" s="300"/>
    </row>
    <row r="2978" ht="21" customHeight="1" spans="1:11">
      <c r="A2978" s="307" t="s">
        <v>17</v>
      </c>
      <c r="B2978" s="308"/>
      <c r="C2978" s="308"/>
      <c r="D2978" s="308"/>
      <c r="E2978" s="308"/>
      <c r="F2978" s="309">
        <f>IFERROR(VLOOKUP(K2969,'2026.01'!A:Y,19,0),0)</f>
        <v>60</v>
      </c>
      <c r="G2978" s="310"/>
      <c r="K2978" s="300"/>
    </row>
    <row r="2979" ht="17.15" customHeight="1" spans="1:11">
      <c r="A2979" s="307" t="s">
        <v>18</v>
      </c>
      <c r="B2979" s="308"/>
      <c r="C2979" s="308"/>
      <c r="D2979" s="308"/>
      <c r="E2979" s="308"/>
      <c r="F2979" s="309">
        <f>IFERROR(VLOOKUP(K2969,'2026.01'!A:Y,22,0),0)</f>
        <v>267</v>
      </c>
      <c r="G2979" s="310"/>
      <c r="K2979" s="300"/>
    </row>
    <row r="2980" ht="17.15" customHeight="1" spans="1:11">
      <c r="A2980" s="307" t="s">
        <v>19</v>
      </c>
      <c r="B2980" s="312"/>
      <c r="C2980" s="308"/>
      <c r="D2980" s="313"/>
      <c r="E2980" s="308"/>
      <c r="F2980" s="309">
        <f>IFERROR(VLOOKUP(K2969,'2026.01'!A:Y,25,0),0)</f>
        <v>6107</v>
      </c>
      <c r="G2980" s="310"/>
      <c r="K2980" s="300"/>
    </row>
    <row r="2981" ht="15" customHeight="1" spans="1:11">
      <c r="A2981" s="314" t="s">
        <v>20</v>
      </c>
      <c r="B2981" s="315">
        <f>IF(F2980&lt;0,"金额为负，无效",INT(F2980))</f>
        <v>6107</v>
      </c>
      <c r="C2981" s="315"/>
      <c r="D2981" s="315"/>
      <c r="E2981" s="316" t="s">
        <v>21</v>
      </c>
      <c r="F2981" s="317"/>
      <c r="G2981" s="318"/>
      <c r="K2981" s="300"/>
    </row>
    <row r="2982" ht="15" customHeight="1" spans="1:11">
      <c r="A2982" s="319"/>
      <c r="B2982" s="320"/>
      <c r="C2982" s="320"/>
      <c r="D2982" s="320"/>
      <c r="E2982" s="319"/>
      <c r="F2982" s="321"/>
      <c r="G2982" s="322"/>
      <c r="K2982" s="300"/>
    </row>
    <row r="2983" ht="27" customHeight="1" spans="1:11">
      <c r="A2983" s="298" t="s">
        <v>0</v>
      </c>
      <c r="B2983" s="298"/>
      <c r="C2983" s="298"/>
      <c r="D2983" s="298"/>
      <c r="E2983" s="298"/>
      <c r="F2983" s="298"/>
      <c r="G2983" s="298"/>
      <c r="H2983" s="299"/>
      <c r="I2983" s="299"/>
      <c r="J2983" s="299"/>
      <c r="K2983" s="300">
        <v>214</v>
      </c>
    </row>
    <row r="2984" ht="15" customHeight="1" spans="1:11">
      <c r="A2984" s="301" t="s">
        <v>1</v>
      </c>
      <c r="B2984" s="301"/>
      <c r="C2984" s="301"/>
      <c r="D2984" s="301"/>
      <c r="E2984" s="301"/>
      <c r="F2984" s="301"/>
      <c r="G2984" s="302" t="str">
        <f>IFERROR(VLOOKUP(K2983,'2026.01'!A:Y,2,0),0)</f>
        <v>NO:214</v>
      </c>
      <c r="K2984" s="300"/>
    </row>
    <row r="2985" ht="15" customHeight="1" spans="1:11">
      <c r="A2985" s="303" t="s">
        <v>2</v>
      </c>
      <c r="B2985" s="304">
        <f>IFERROR(VLOOKUP(K2983,'2026.01'!A:Y,6,0),0)</f>
        <v>3050</v>
      </c>
      <c r="C2985" s="304"/>
      <c r="D2985" s="305" t="s">
        <v>3</v>
      </c>
      <c r="E2985" s="305" t="str">
        <f>IFERROR(VLOOKUP(K2983,'2026.01'!A:Y,7,0),0)</f>
        <v>杨焕如</v>
      </c>
      <c r="F2985" s="305"/>
      <c r="G2985" s="306" t="s">
        <v>4</v>
      </c>
      <c r="K2985" s="300"/>
    </row>
    <row r="2986" ht="15" customHeight="1" spans="1:11">
      <c r="A2986" s="307" t="s">
        <v>5</v>
      </c>
      <c r="B2986" s="308" t="s">
        <v>6</v>
      </c>
      <c r="C2986" s="308" t="s">
        <v>7</v>
      </c>
      <c r="D2986" s="308" t="s">
        <v>8</v>
      </c>
      <c r="E2986" s="308" t="s">
        <v>9</v>
      </c>
      <c r="F2986" s="309" t="s">
        <v>10</v>
      </c>
      <c r="G2986" s="310" t="s">
        <v>11</v>
      </c>
      <c r="K2986" s="300"/>
    </row>
    <row r="2987" ht="15" customHeight="1" spans="1:11">
      <c r="A2987" s="307" t="s">
        <v>12</v>
      </c>
      <c r="B2987" s="308">
        <f>IFERROR(VLOOKUP(K2983,'2026.01'!A:Y,14,0),0)</f>
        <v>292</v>
      </c>
      <c r="C2987" s="308">
        <f>IFERROR(VLOOKUP(K2983,'2026.01'!A:Y,13,0),0)</f>
        <v>282</v>
      </c>
      <c r="D2987" s="308">
        <f>IFERROR(VLOOKUP(K2983,'2026.01'!A:Y,15,0),0)</f>
        <v>10</v>
      </c>
      <c r="E2987" s="311">
        <f>IFERROR(VLOOKUP(K2983,'2026.01'!A:Y,18,0),0)</f>
        <v>0.8</v>
      </c>
      <c r="F2987" s="309">
        <f>IFERROR(VLOOKUP(K2983,'2026.01'!A:Y,20,0),0)</f>
        <v>8</v>
      </c>
      <c r="G2987" s="310"/>
      <c r="K2987" s="300"/>
    </row>
    <row r="2988" ht="15" customHeight="1" spans="1:11">
      <c r="A2988" s="307" t="s">
        <v>13</v>
      </c>
      <c r="B2988" s="308"/>
      <c r="C2988" s="308"/>
      <c r="D2988" s="308"/>
      <c r="E2988" s="311"/>
      <c r="F2988" s="309">
        <f>IFERROR(VLOOKUP(K2983,'2026.01'!A:Y,24,0),0)</f>
        <v>51</v>
      </c>
      <c r="G2988" s="310"/>
      <c r="K2988" s="300"/>
    </row>
    <row r="2989" ht="15" customHeight="1" spans="1:11">
      <c r="A2989" s="307" t="s">
        <v>14</v>
      </c>
      <c r="B2989" s="308"/>
      <c r="C2989" s="308"/>
      <c r="D2989" s="308"/>
      <c r="E2989" s="311"/>
      <c r="F2989" s="309">
        <f>IFERROR(VLOOKUP(K2983,'2026.01'!A:Y,12,0),0)</f>
        <v>160</v>
      </c>
      <c r="G2989" s="310"/>
      <c r="K2989" s="300"/>
    </row>
    <row r="2990" ht="21" customHeight="1" spans="1:11">
      <c r="A2990" s="307" t="s">
        <v>15</v>
      </c>
      <c r="B2990" s="308"/>
      <c r="C2990" s="308"/>
      <c r="D2990" s="308"/>
      <c r="E2990" s="311"/>
      <c r="F2990" s="309">
        <f>IFERROR(VLOOKUP(K2983,'2026.01'!A:Y,9,0),0)</f>
        <v>5000</v>
      </c>
      <c r="G2990" s="310"/>
      <c r="K2990" s="300"/>
    </row>
    <row r="2991" ht="19" customHeight="1" spans="1:11">
      <c r="A2991" s="307" t="s">
        <v>16</v>
      </c>
      <c r="B2991" s="308"/>
      <c r="C2991" s="308"/>
      <c r="D2991" s="308"/>
      <c r="E2991" s="308"/>
      <c r="F2991" s="309">
        <f>IFERROR(VLOOKUP(K2983,'2026.01'!A:Y,10,0),0)</f>
        <v>500</v>
      </c>
      <c r="G2991" s="310"/>
      <c r="K2991" s="300"/>
    </row>
    <row r="2992" ht="21" customHeight="1" spans="1:11">
      <c r="A2992" s="307" t="s">
        <v>17</v>
      </c>
      <c r="B2992" s="308"/>
      <c r="C2992" s="308"/>
      <c r="D2992" s="308"/>
      <c r="E2992" s="308"/>
      <c r="F2992" s="309">
        <f>IFERROR(VLOOKUP(K2983,'2026.01'!A:Y,19,0),0)</f>
        <v>7</v>
      </c>
      <c r="G2992" s="310"/>
      <c r="K2992" s="300"/>
    </row>
    <row r="2993" ht="17.15" customHeight="1" spans="1:11">
      <c r="A2993" s="307" t="s">
        <v>18</v>
      </c>
      <c r="B2993" s="308"/>
      <c r="C2993" s="308"/>
      <c r="D2993" s="308"/>
      <c r="E2993" s="308"/>
      <c r="F2993" s="309">
        <f>IFERROR(VLOOKUP(K2983,'2026.01'!A:Y,22,0),0)</f>
        <v>267</v>
      </c>
      <c r="G2993" s="310"/>
      <c r="K2993" s="300"/>
    </row>
    <row r="2994" ht="17.15" customHeight="1" spans="1:11">
      <c r="A2994" s="307" t="s">
        <v>19</v>
      </c>
      <c r="B2994" s="312"/>
      <c r="C2994" s="308"/>
      <c r="D2994" s="313"/>
      <c r="E2994" s="308"/>
      <c r="F2994" s="309">
        <f>IFERROR(VLOOKUP(K2983,'2026.01'!A:Y,25,0),0)</f>
        <v>5993</v>
      </c>
      <c r="G2994" s="310"/>
      <c r="K2994" s="300"/>
    </row>
    <row r="2995" ht="15" customHeight="1" spans="1:11">
      <c r="A2995" s="314" t="s">
        <v>20</v>
      </c>
      <c r="B2995" s="315">
        <f>IF(F2994&lt;0,"金额为负，无效",INT(F2994))</f>
        <v>5993</v>
      </c>
      <c r="C2995" s="315"/>
      <c r="D2995" s="315"/>
      <c r="E2995" s="316" t="s">
        <v>21</v>
      </c>
      <c r="F2995" s="317"/>
      <c r="G2995" s="318"/>
      <c r="K2995" s="300"/>
    </row>
    <row r="2996" ht="23" customHeight="1" spans="1:11">
      <c r="A2996" s="319"/>
      <c r="B2996" s="320"/>
      <c r="C2996" s="320"/>
      <c r="D2996" s="320"/>
      <c r="E2996" s="319"/>
      <c r="F2996" s="321"/>
      <c r="G2996" s="322"/>
      <c r="K2996" s="300"/>
    </row>
    <row r="2997" ht="27" customHeight="1" spans="1:11">
      <c r="A2997" s="298" t="s">
        <v>0</v>
      </c>
      <c r="B2997" s="298"/>
      <c r="C2997" s="298"/>
      <c r="D2997" s="298"/>
      <c r="E2997" s="298"/>
      <c r="F2997" s="298"/>
      <c r="G2997" s="298"/>
      <c r="H2997" s="299"/>
      <c r="I2997" s="299"/>
      <c r="J2997" s="299"/>
      <c r="K2997" s="300">
        <v>215</v>
      </c>
    </row>
    <row r="2998" ht="15" customHeight="1" spans="1:11">
      <c r="A2998" s="301" t="s">
        <v>1</v>
      </c>
      <c r="B2998" s="301"/>
      <c r="C2998" s="301"/>
      <c r="D2998" s="301"/>
      <c r="E2998" s="301"/>
      <c r="F2998" s="301"/>
      <c r="G2998" s="302" t="str">
        <f>IFERROR(VLOOKUP(K2997,'2026.01'!A:Y,2,0),0)</f>
        <v>NO:215</v>
      </c>
      <c r="K2998" s="300"/>
    </row>
    <row r="2999" ht="15" customHeight="1" spans="1:11">
      <c r="A2999" s="303" t="s">
        <v>2</v>
      </c>
      <c r="B2999" s="304" t="str">
        <f>IFERROR(VLOOKUP(K2997,'2026.01'!A:Y,6,0),0)</f>
        <v>3050A</v>
      </c>
      <c r="C2999" s="304"/>
      <c r="D2999" s="305" t="s">
        <v>3</v>
      </c>
      <c r="E2999" s="305" t="str">
        <f>IFERROR(VLOOKUP(K2997,'2026.01'!A:Y,7,0),0)</f>
        <v>揭英榴</v>
      </c>
      <c r="F2999" s="305"/>
      <c r="G2999" s="306" t="s">
        <v>4</v>
      </c>
      <c r="K2999" s="300"/>
    </row>
    <row r="3000" ht="15" customHeight="1" spans="1:11">
      <c r="A3000" s="307" t="s">
        <v>5</v>
      </c>
      <c r="B3000" s="308" t="s">
        <v>6</v>
      </c>
      <c r="C3000" s="308" t="s">
        <v>7</v>
      </c>
      <c r="D3000" s="308" t="s">
        <v>8</v>
      </c>
      <c r="E3000" s="308" t="s">
        <v>9</v>
      </c>
      <c r="F3000" s="309" t="s">
        <v>10</v>
      </c>
      <c r="G3000" s="310" t="s">
        <v>11</v>
      </c>
      <c r="K3000" s="300"/>
    </row>
    <row r="3001" ht="15" customHeight="1" spans="1:11">
      <c r="A3001" s="307" t="s">
        <v>12</v>
      </c>
      <c r="B3001" s="308">
        <f>IFERROR(VLOOKUP(K2997,'2026.01'!A:Y,14,0),0)</f>
        <v>4697</v>
      </c>
      <c r="C3001" s="308">
        <f>IFERROR(VLOOKUP(K2997,'2026.01'!A:Y,13,0),0)</f>
        <v>4638</v>
      </c>
      <c r="D3001" s="308">
        <f>IFERROR(VLOOKUP(K2997,'2026.01'!A:Y,15,0),0)</f>
        <v>59</v>
      </c>
      <c r="E3001" s="311">
        <f>IFERROR(VLOOKUP(K2997,'2026.01'!A:Y,18,0),0)</f>
        <v>0.8</v>
      </c>
      <c r="F3001" s="309">
        <f>IFERROR(VLOOKUP(K2997,'2026.01'!A:Y,20,0),0)</f>
        <v>47</v>
      </c>
      <c r="G3001" s="310"/>
      <c r="K3001" s="300"/>
    </row>
    <row r="3002" ht="15" customHeight="1" spans="1:11">
      <c r="A3002" s="307" t="s">
        <v>13</v>
      </c>
      <c r="B3002" s="308"/>
      <c r="C3002" s="308"/>
      <c r="D3002" s="308"/>
      <c r="E3002" s="311"/>
      <c r="F3002" s="309">
        <f>IFERROR(VLOOKUP(K2997,'2026.01'!A:Y,24,0),0)</f>
        <v>43</v>
      </c>
      <c r="G3002" s="310"/>
      <c r="K3002" s="300"/>
    </row>
    <row r="3003" ht="15" customHeight="1" spans="1:11">
      <c r="A3003" s="307" t="s">
        <v>14</v>
      </c>
      <c r="B3003" s="308"/>
      <c r="C3003" s="308"/>
      <c r="D3003" s="308"/>
      <c r="E3003" s="311"/>
      <c r="F3003" s="309">
        <f>IFERROR(VLOOKUP(K2997,'2026.01'!A:Y,12,0),0)</f>
        <v>160</v>
      </c>
      <c r="G3003" s="310"/>
      <c r="K3003" s="300"/>
    </row>
    <row r="3004" ht="21" customHeight="1" spans="1:11">
      <c r="A3004" s="307" t="s">
        <v>15</v>
      </c>
      <c r="B3004" s="308"/>
      <c r="C3004" s="308"/>
      <c r="D3004" s="308"/>
      <c r="E3004" s="311"/>
      <c r="F3004" s="309">
        <f>IFERROR(VLOOKUP(K2997,'2026.01'!A:Y,9,0),0)</f>
        <v>1500</v>
      </c>
      <c r="G3004" s="310"/>
      <c r="K3004" s="300"/>
    </row>
    <row r="3005" ht="19" customHeight="1" spans="1:11">
      <c r="A3005" s="307" t="s">
        <v>16</v>
      </c>
      <c r="B3005" s="308"/>
      <c r="C3005" s="308"/>
      <c r="D3005" s="308"/>
      <c r="E3005" s="308"/>
      <c r="F3005" s="309">
        <f>IFERROR(VLOOKUP(K2997,'2026.01'!A:Y,10,0),0)</f>
        <v>100</v>
      </c>
      <c r="G3005" s="310"/>
      <c r="K3005" s="300"/>
    </row>
    <row r="3006" ht="21" customHeight="1" spans="1:11">
      <c r="A3006" s="307" t="s">
        <v>17</v>
      </c>
      <c r="B3006" s="308"/>
      <c r="C3006" s="308"/>
      <c r="D3006" s="308"/>
      <c r="E3006" s="308"/>
      <c r="F3006" s="309">
        <f>IFERROR(VLOOKUP(K2997,'2026.01'!A:Y,19,0),0)</f>
        <v>41</v>
      </c>
      <c r="G3006" s="310"/>
      <c r="K3006" s="300"/>
    </row>
    <row r="3007" ht="17.15" customHeight="1" spans="1:11">
      <c r="A3007" s="307" t="s">
        <v>18</v>
      </c>
      <c r="B3007" s="308"/>
      <c r="C3007" s="308"/>
      <c r="D3007" s="308"/>
      <c r="E3007" s="308"/>
      <c r="F3007" s="309">
        <f>IFERROR(VLOOKUP(K2997,'2026.01'!A:Y,22,0),0)</f>
        <v>0</v>
      </c>
      <c r="G3007" s="310"/>
      <c r="K3007" s="300"/>
    </row>
    <row r="3008" ht="17.15" customHeight="1" spans="1:11">
      <c r="A3008" s="307" t="s">
        <v>19</v>
      </c>
      <c r="B3008" s="312"/>
      <c r="C3008" s="308"/>
      <c r="D3008" s="313"/>
      <c r="E3008" s="308"/>
      <c r="F3008" s="309">
        <f>IFERROR(VLOOKUP(K2997,'2026.01'!A:Y,25,0),0)</f>
        <v>1891</v>
      </c>
      <c r="G3008" s="310"/>
      <c r="K3008" s="300"/>
    </row>
    <row r="3009" ht="15" customHeight="1" spans="1:11">
      <c r="A3009" s="314" t="s">
        <v>20</v>
      </c>
      <c r="B3009" s="315">
        <f>IF(F3008&lt;0,"金额为负，无效",INT(F3008))</f>
        <v>1891</v>
      </c>
      <c r="C3009" s="315"/>
      <c r="D3009" s="315"/>
      <c r="E3009" s="316" t="s">
        <v>21</v>
      </c>
      <c r="F3009" s="317"/>
      <c r="G3009" s="318"/>
      <c r="K3009" s="300"/>
    </row>
    <row r="3010" ht="23" customHeight="1" spans="1:11">
      <c r="A3010" s="319"/>
      <c r="B3010" s="320"/>
      <c r="C3010" s="320"/>
      <c r="D3010" s="320"/>
      <c r="E3010" s="319"/>
      <c r="F3010" s="321"/>
      <c r="G3010" s="322"/>
      <c r="K3010" s="300"/>
    </row>
    <row r="3011" ht="27" customHeight="1" spans="1:11">
      <c r="A3011" s="298" t="s">
        <v>0</v>
      </c>
      <c r="B3011" s="298"/>
      <c r="C3011" s="298"/>
      <c r="D3011" s="298"/>
      <c r="E3011" s="298"/>
      <c r="F3011" s="298"/>
      <c r="G3011" s="298"/>
      <c r="H3011" s="299"/>
      <c r="I3011" s="299"/>
      <c r="J3011" s="299"/>
      <c r="K3011" s="300">
        <v>216</v>
      </c>
    </row>
    <row r="3012" ht="15" customHeight="1" spans="1:11">
      <c r="A3012" s="301" t="s">
        <v>1</v>
      </c>
      <c r="B3012" s="301"/>
      <c r="C3012" s="301"/>
      <c r="D3012" s="301"/>
      <c r="E3012" s="301"/>
      <c r="F3012" s="301"/>
      <c r="G3012" s="302" t="str">
        <f>IFERROR(VLOOKUP(K3011,'2026.01'!A:Y,2,0),0)</f>
        <v>NO:216</v>
      </c>
      <c r="K3012" s="300"/>
    </row>
    <row r="3013" ht="15" customHeight="1" spans="1:11">
      <c r="A3013" s="303" t="s">
        <v>2</v>
      </c>
      <c r="B3013" s="304">
        <f>IFERROR(VLOOKUP(K3011,'2026.01'!A:Y,6,0),0)</f>
        <v>3051</v>
      </c>
      <c r="C3013" s="304"/>
      <c r="D3013" s="305" t="s">
        <v>3</v>
      </c>
      <c r="E3013" s="305" t="str">
        <f>IFERROR(VLOOKUP(K3011,'2026.01'!A:Y,7,0),0)</f>
        <v>刘美欣</v>
      </c>
      <c r="F3013" s="305"/>
      <c r="G3013" s="306" t="s">
        <v>4</v>
      </c>
      <c r="K3013" s="300"/>
    </row>
    <row r="3014" ht="15" customHeight="1" spans="1:11">
      <c r="A3014" s="307" t="s">
        <v>5</v>
      </c>
      <c r="B3014" s="308" t="s">
        <v>6</v>
      </c>
      <c r="C3014" s="308" t="s">
        <v>7</v>
      </c>
      <c r="D3014" s="308" t="s">
        <v>8</v>
      </c>
      <c r="E3014" s="308" t="s">
        <v>9</v>
      </c>
      <c r="F3014" s="309" t="s">
        <v>10</v>
      </c>
      <c r="G3014" s="310" t="s">
        <v>11</v>
      </c>
      <c r="K3014" s="300"/>
    </row>
    <row r="3015" ht="15" customHeight="1" spans="1:11">
      <c r="A3015" s="307" t="s">
        <v>12</v>
      </c>
      <c r="B3015" s="308">
        <f>IFERROR(VLOOKUP(K3011,'2026.01'!A:Y,14,0),0)</f>
        <v>4958</v>
      </c>
      <c r="C3015" s="308">
        <f>IFERROR(VLOOKUP(K3011,'2026.01'!A:Y,13,0),0)</f>
        <v>4831</v>
      </c>
      <c r="D3015" s="308">
        <f>IFERROR(VLOOKUP(K3011,'2026.01'!A:Y,15,0),0)</f>
        <v>127</v>
      </c>
      <c r="E3015" s="311">
        <f>IFERROR(VLOOKUP(K3011,'2026.01'!A:Y,18,0),0)</f>
        <v>0.8</v>
      </c>
      <c r="F3015" s="309">
        <f>IFERROR(VLOOKUP(K3011,'2026.01'!A:Y,20,0),0)</f>
        <v>102</v>
      </c>
      <c r="G3015" s="310"/>
      <c r="K3015" s="300"/>
    </row>
    <row r="3016" ht="15" customHeight="1" spans="1:11">
      <c r="A3016" s="307" t="s">
        <v>13</v>
      </c>
      <c r="B3016" s="308"/>
      <c r="C3016" s="308"/>
      <c r="D3016" s="308"/>
      <c r="E3016" s="311"/>
      <c r="F3016" s="309">
        <f>IFERROR(VLOOKUP(K3011,'2026.01'!A:Y,24,0),0)</f>
        <v>60</v>
      </c>
      <c r="G3016" s="310"/>
      <c r="K3016" s="300"/>
    </row>
    <row r="3017" ht="15" customHeight="1" spans="1:11">
      <c r="A3017" s="307" t="s">
        <v>14</v>
      </c>
      <c r="B3017" s="308"/>
      <c r="C3017" s="308"/>
      <c r="D3017" s="308"/>
      <c r="E3017" s="311"/>
      <c r="F3017" s="309">
        <f>IFERROR(VLOOKUP(K3011,'2026.01'!A:Y,12,0),0)</f>
        <v>160</v>
      </c>
      <c r="G3017" s="310"/>
      <c r="K3017" s="300"/>
    </row>
    <row r="3018" ht="21" customHeight="1" spans="1:11">
      <c r="A3018" s="307" t="s">
        <v>15</v>
      </c>
      <c r="B3018" s="308"/>
      <c r="C3018" s="308"/>
      <c r="D3018" s="308"/>
      <c r="E3018" s="311"/>
      <c r="F3018" s="309">
        <f>IFERROR(VLOOKUP(K3011,'2026.01'!A:Y,9,0),0)</f>
        <v>2500</v>
      </c>
      <c r="G3018" s="310"/>
      <c r="K3018" s="300"/>
    </row>
    <row r="3019" ht="19" customHeight="1" spans="1:11">
      <c r="A3019" s="307" t="s">
        <v>16</v>
      </c>
      <c r="B3019" s="308"/>
      <c r="C3019" s="308"/>
      <c r="D3019" s="308"/>
      <c r="E3019" s="308"/>
      <c r="F3019" s="309">
        <f>IFERROR(VLOOKUP(K3011,'2026.01'!A:Y,10,0),0)</f>
        <v>200</v>
      </c>
      <c r="G3019" s="310"/>
      <c r="K3019" s="300"/>
    </row>
    <row r="3020" ht="21" customHeight="1" spans="1:11">
      <c r="A3020" s="307" t="s">
        <v>17</v>
      </c>
      <c r="B3020" s="308"/>
      <c r="C3020" s="308"/>
      <c r="D3020" s="308"/>
      <c r="E3020" s="308"/>
      <c r="F3020" s="309">
        <f>IFERROR(VLOOKUP(K3011,'2026.01'!A:Y,19,0),0)</f>
        <v>89</v>
      </c>
      <c r="G3020" s="310"/>
      <c r="K3020" s="300"/>
    </row>
    <row r="3021" ht="17.15" customHeight="1" spans="1:11">
      <c r="A3021" s="307" t="s">
        <v>18</v>
      </c>
      <c r="B3021" s="308"/>
      <c r="C3021" s="308"/>
      <c r="D3021" s="308"/>
      <c r="E3021" s="308"/>
      <c r="F3021" s="309">
        <f>IFERROR(VLOOKUP(K3011,'2026.01'!A:Y,22,0),0)</f>
        <v>0</v>
      </c>
      <c r="G3021" s="310"/>
      <c r="K3021" s="300"/>
    </row>
    <row r="3022" ht="17.15" customHeight="1" spans="1:11">
      <c r="A3022" s="307" t="s">
        <v>19</v>
      </c>
      <c r="B3022" s="312"/>
      <c r="C3022" s="308"/>
      <c r="D3022" s="313"/>
      <c r="E3022" s="308"/>
      <c r="F3022" s="309">
        <f>IFERROR(VLOOKUP(K3011,'2026.01'!A:Y,25,0),0)</f>
        <v>3111</v>
      </c>
      <c r="G3022" s="310"/>
      <c r="K3022" s="300"/>
    </row>
    <row r="3023" ht="15" customHeight="1" spans="1:11">
      <c r="A3023" s="314" t="s">
        <v>20</v>
      </c>
      <c r="B3023" s="315">
        <f>IF(F3022&lt;0,"金额为负，无效",INT(F3022))</f>
        <v>3111</v>
      </c>
      <c r="C3023" s="315"/>
      <c r="D3023" s="315"/>
      <c r="E3023" s="316" t="s">
        <v>21</v>
      </c>
      <c r="F3023" s="317"/>
      <c r="G3023" s="318"/>
      <c r="K3023" s="300"/>
    </row>
    <row r="3024" ht="15" customHeight="1" spans="1:11">
      <c r="A3024" s="319"/>
      <c r="B3024" s="320"/>
      <c r="C3024" s="320"/>
      <c r="D3024" s="320"/>
      <c r="E3024" s="319"/>
      <c r="F3024" s="321"/>
      <c r="G3024" s="322"/>
      <c r="K3024" s="300"/>
    </row>
    <row r="3025" ht="27" customHeight="1" spans="1:11">
      <c r="A3025" s="298" t="s">
        <v>0</v>
      </c>
      <c r="B3025" s="298"/>
      <c r="C3025" s="298"/>
      <c r="D3025" s="298"/>
      <c r="E3025" s="298"/>
      <c r="F3025" s="298"/>
      <c r="G3025" s="298"/>
      <c r="H3025" s="299"/>
      <c r="I3025" s="299"/>
      <c r="J3025" s="299"/>
      <c r="K3025" s="300">
        <v>217</v>
      </c>
    </row>
    <row r="3026" ht="15" customHeight="1" spans="1:11">
      <c r="A3026" s="301" t="s">
        <v>1</v>
      </c>
      <c r="B3026" s="301"/>
      <c r="C3026" s="301"/>
      <c r="D3026" s="301"/>
      <c r="E3026" s="301"/>
      <c r="F3026" s="301"/>
      <c r="G3026" s="302" t="str">
        <f>IFERROR(VLOOKUP(K3025,'2026.01'!A:Y,2,0),0)</f>
        <v>NO:217</v>
      </c>
      <c r="K3026" s="300"/>
    </row>
    <row r="3027" ht="15" customHeight="1" spans="1:11">
      <c r="A3027" s="303" t="s">
        <v>2</v>
      </c>
      <c r="B3027" s="304">
        <f>IFERROR(VLOOKUP(K3025,'2026.01'!A:Y,6,0),0)</f>
        <v>3052</v>
      </c>
      <c r="C3027" s="304"/>
      <c r="D3027" s="305" t="s">
        <v>3</v>
      </c>
      <c r="E3027" s="305" t="str">
        <f>IFERROR(VLOOKUP(K3025,'2026.01'!A:Y,7,0),0)</f>
        <v>梁谦志</v>
      </c>
      <c r="F3027" s="305"/>
      <c r="G3027" s="306" t="s">
        <v>4</v>
      </c>
      <c r="K3027" s="300"/>
    </row>
    <row r="3028" ht="15" customHeight="1" spans="1:11">
      <c r="A3028" s="307" t="s">
        <v>5</v>
      </c>
      <c r="B3028" s="308" t="s">
        <v>6</v>
      </c>
      <c r="C3028" s="308" t="s">
        <v>7</v>
      </c>
      <c r="D3028" s="308" t="s">
        <v>8</v>
      </c>
      <c r="E3028" s="308" t="s">
        <v>9</v>
      </c>
      <c r="F3028" s="309" t="s">
        <v>10</v>
      </c>
      <c r="G3028" s="310" t="s">
        <v>11</v>
      </c>
      <c r="K3028" s="300"/>
    </row>
    <row r="3029" ht="15" customHeight="1" spans="1:11">
      <c r="A3029" s="307" t="s">
        <v>12</v>
      </c>
      <c r="B3029" s="308">
        <f>IFERROR(VLOOKUP(K3025,'2026.01'!A:Y,14,0),0)</f>
        <v>8450</v>
      </c>
      <c r="C3029" s="308">
        <f>IFERROR(VLOOKUP(K3025,'2026.01'!A:Y,13,0),0)</f>
        <v>8396</v>
      </c>
      <c r="D3029" s="308">
        <f>IFERROR(VLOOKUP(K3025,'2026.01'!A:Y,15,0),0)</f>
        <v>54</v>
      </c>
      <c r="E3029" s="311">
        <f>IFERROR(VLOOKUP(K3025,'2026.01'!A:Y,18,0),0)</f>
        <v>0.8</v>
      </c>
      <c r="F3029" s="309">
        <f>IFERROR(VLOOKUP(K3025,'2026.01'!A:Y,20,0),0)</f>
        <v>43</v>
      </c>
      <c r="G3029" s="310"/>
      <c r="K3029" s="300"/>
    </row>
    <row r="3030" ht="15" customHeight="1" spans="1:11">
      <c r="A3030" s="307" t="s">
        <v>13</v>
      </c>
      <c r="B3030" s="308"/>
      <c r="C3030" s="308"/>
      <c r="D3030" s="308"/>
      <c r="E3030" s="311"/>
      <c r="F3030" s="309">
        <f>IFERROR(VLOOKUP(K3025,'2026.01'!A:Y,24,0),0)</f>
        <v>60</v>
      </c>
      <c r="G3030" s="310"/>
      <c r="K3030" s="300"/>
    </row>
    <row r="3031" ht="15" customHeight="1" spans="1:11">
      <c r="A3031" s="307" t="s">
        <v>14</v>
      </c>
      <c r="B3031" s="308"/>
      <c r="C3031" s="308"/>
      <c r="D3031" s="308"/>
      <c r="E3031" s="311"/>
      <c r="F3031" s="309">
        <f>IFERROR(VLOOKUP(K3025,'2026.01'!A:Y,12,0),0)</f>
        <v>160</v>
      </c>
      <c r="G3031" s="310"/>
      <c r="K3031" s="300"/>
    </row>
    <row r="3032" ht="21" customHeight="1" spans="1:11">
      <c r="A3032" s="307" t="s">
        <v>15</v>
      </c>
      <c r="B3032" s="308"/>
      <c r="C3032" s="308"/>
      <c r="D3032" s="308"/>
      <c r="E3032" s="311"/>
      <c r="F3032" s="309">
        <f>IFERROR(VLOOKUP(K3025,'2026.01'!A:Y,9,0),0)</f>
        <v>2500</v>
      </c>
      <c r="G3032" s="310"/>
      <c r="K3032" s="300"/>
    </row>
    <row r="3033" ht="19" customHeight="1" spans="1:11">
      <c r="A3033" s="307" t="s">
        <v>16</v>
      </c>
      <c r="B3033" s="308"/>
      <c r="C3033" s="308"/>
      <c r="D3033" s="308"/>
      <c r="E3033" s="308"/>
      <c r="F3033" s="309">
        <f>IFERROR(VLOOKUP(K3025,'2026.01'!A:Y,10,0),0)</f>
        <v>200</v>
      </c>
      <c r="G3033" s="310"/>
      <c r="K3033" s="300"/>
    </row>
    <row r="3034" ht="21" customHeight="1" spans="1:11">
      <c r="A3034" s="307" t="s">
        <v>17</v>
      </c>
      <c r="B3034" s="308"/>
      <c r="C3034" s="308"/>
      <c r="D3034" s="308"/>
      <c r="E3034" s="308"/>
      <c r="F3034" s="309">
        <f>IFERROR(VLOOKUP(K3025,'2026.01'!A:Y,19,0),0)</f>
        <v>38</v>
      </c>
      <c r="G3034" s="310"/>
      <c r="K3034" s="300"/>
    </row>
    <row r="3035" ht="17.15" customHeight="1" spans="1:11">
      <c r="A3035" s="307" t="s">
        <v>18</v>
      </c>
      <c r="B3035" s="308"/>
      <c r="C3035" s="308"/>
      <c r="D3035" s="308"/>
      <c r="E3035" s="308"/>
      <c r="F3035" s="309">
        <f>IFERROR(VLOOKUP(K3025,'2026.01'!A:Y,22,0),0)</f>
        <v>0</v>
      </c>
      <c r="G3035" s="310"/>
      <c r="K3035" s="300"/>
    </row>
    <row r="3036" ht="17.15" customHeight="1" spans="1:11">
      <c r="A3036" s="307" t="s">
        <v>19</v>
      </c>
      <c r="B3036" s="312"/>
      <c r="C3036" s="308"/>
      <c r="D3036" s="313"/>
      <c r="E3036" s="308"/>
      <c r="F3036" s="309">
        <f>IFERROR(VLOOKUP(K3025,'2026.01'!A:Y,25,0),0)</f>
        <v>3001</v>
      </c>
      <c r="G3036" s="310"/>
      <c r="K3036" s="300"/>
    </row>
    <row r="3037" ht="15" customHeight="1" spans="1:11">
      <c r="A3037" s="314" t="s">
        <v>20</v>
      </c>
      <c r="B3037" s="315">
        <f>IF(F3036&lt;0,"金额为负，无效",INT(F3036))</f>
        <v>3001</v>
      </c>
      <c r="C3037" s="315"/>
      <c r="D3037" s="315"/>
      <c r="E3037" s="316" t="s">
        <v>21</v>
      </c>
      <c r="F3037" s="317"/>
      <c r="G3037" s="318"/>
      <c r="K3037" s="300"/>
    </row>
    <row r="3038" ht="23" customHeight="1" spans="1:11">
      <c r="A3038" s="319"/>
      <c r="B3038" s="320"/>
      <c r="C3038" s="320"/>
      <c r="D3038" s="320"/>
      <c r="E3038" s="319"/>
      <c r="F3038" s="321"/>
      <c r="G3038" s="322"/>
      <c r="K3038" s="300"/>
    </row>
    <row r="3039" ht="27" customHeight="1" spans="1:11">
      <c r="A3039" s="298" t="s">
        <v>0</v>
      </c>
      <c r="B3039" s="298"/>
      <c r="C3039" s="298"/>
      <c r="D3039" s="298"/>
      <c r="E3039" s="298"/>
      <c r="F3039" s="298"/>
      <c r="G3039" s="298"/>
      <c r="H3039" s="299"/>
      <c r="I3039" s="299"/>
      <c r="J3039" s="299"/>
      <c r="K3039" s="300">
        <v>218</v>
      </c>
    </row>
    <row r="3040" ht="15" customHeight="1" spans="1:11">
      <c r="A3040" s="301" t="s">
        <v>1</v>
      </c>
      <c r="B3040" s="301"/>
      <c r="C3040" s="301"/>
      <c r="D3040" s="301"/>
      <c r="E3040" s="301"/>
      <c r="F3040" s="301"/>
      <c r="G3040" s="302" t="str">
        <f>IFERROR(VLOOKUP(K3039,'2026.01'!A:Y,2,0),0)</f>
        <v>NO:218</v>
      </c>
      <c r="K3040" s="300"/>
    </row>
    <row r="3041" ht="15" customHeight="1" spans="1:11">
      <c r="A3041" s="303" t="s">
        <v>2</v>
      </c>
      <c r="B3041" s="304" t="str">
        <f>IFERROR(VLOOKUP(K3039,'2026.01'!A:Y,6,0),0)</f>
        <v>3028/3053/3054</v>
      </c>
      <c r="C3041" s="304"/>
      <c r="D3041" s="305" t="s">
        <v>3</v>
      </c>
      <c r="E3041" s="305" t="str">
        <f>IFERROR(VLOOKUP(K3039,'2026.01'!A:Y,7,0),0)</f>
        <v>张智森</v>
      </c>
      <c r="F3041" s="305"/>
      <c r="G3041" s="306" t="s">
        <v>4</v>
      </c>
      <c r="K3041" s="300"/>
    </row>
    <row r="3042" ht="15" customHeight="1" spans="1:11">
      <c r="A3042" s="307" t="s">
        <v>5</v>
      </c>
      <c r="B3042" s="308" t="s">
        <v>6</v>
      </c>
      <c r="C3042" s="308" t="s">
        <v>7</v>
      </c>
      <c r="D3042" s="308" t="s">
        <v>8</v>
      </c>
      <c r="E3042" s="308" t="s">
        <v>9</v>
      </c>
      <c r="F3042" s="309" t="s">
        <v>10</v>
      </c>
      <c r="G3042" s="310" t="s">
        <v>11</v>
      </c>
      <c r="K3042" s="300"/>
    </row>
    <row r="3043" ht="15" customHeight="1" spans="1:11">
      <c r="A3043" s="307" t="s">
        <v>12</v>
      </c>
      <c r="B3043" s="308">
        <f>IFERROR(VLOOKUP(K3039,'2026.01'!A:Y,14,0),0)</f>
        <v>50013</v>
      </c>
      <c r="C3043" s="308">
        <f>IFERROR(VLOOKUP(K3039,'2026.01'!A:Y,13,0),0)</f>
        <v>49788</v>
      </c>
      <c r="D3043" s="308">
        <f>IFERROR(VLOOKUP(K3039,'2026.01'!A:Y,15,0),0)</f>
        <v>225</v>
      </c>
      <c r="E3043" s="311">
        <f>IFERROR(VLOOKUP(K3039,'2026.01'!A:Y,18,0),0)</f>
        <v>0.8</v>
      </c>
      <c r="F3043" s="309">
        <f>IFERROR(VLOOKUP(K3039,'2026.01'!A:Y,20,0),0)</f>
        <v>180</v>
      </c>
      <c r="G3043" s="310"/>
      <c r="K3043" s="300"/>
    </row>
    <row r="3044" ht="15" customHeight="1" spans="1:11">
      <c r="A3044" s="307" t="s">
        <v>13</v>
      </c>
      <c r="B3044" s="308"/>
      <c r="C3044" s="308"/>
      <c r="D3044" s="308"/>
      <c r="E3044" s="311"/>
      <c r="F3044" s="309">
        <f>IFERROR(VLOOKUP(K3039,'2026.01'!A:Y,24,0),0)</f>
        <v>187</v>
      </c>
      <c r="G3044" s="310"/>
      <c r="K3044" s="300"/>
    </row>
    <row r="3045" ht="15" customHeight="1" spans="1:11">
      <c r="A3045" s="307" t="s">
        <v>14</v>
      </c>
      <c r="B3045" s="308"/>
      <c r="C3045" s="308"/>
      <c r="D3045" s="308"/>
      <c r="E3045" s="311"/>
      <c r="F3045" s="309">
        <f>IFERROR(VLOOKUP(K3039,'2026.01'!A:Y,12,0),0)</f>
        <v>160</v>
      </c>
      <c r="G3045" s="310"/>
      <c r="K3045" s="300"/>
    </row>
    <row r="3046" ht="21" customHeight="1" spans="1:11">
      <c r="A3046" s="307" t="s">
        <v>15</v>
      </c>
      <c r="B3046" s="308"/>
      <c r="C3046" s="308"/>
      <c r="D3046" s="308"/>
      <c r="E3046" s="311"/>
      <c r="F3046" s="309">
        <f>IFERROR(VLOOKUP(K3039,'2026.01'!A:Y,9,0),0)</f>
        <v>6000</v>
      </c>
      <c r="G3046" s="310"/>
      <c r="K3046" s="300"/>
    </row>
    <row r="3047" ht="19" customHeight="1" spans="1:11">
      <c r="A3047" s="307" t="s">
        <v>16</v>
      </c>
      <c r="B3047" s="308"/>
      <c r="C3047" s="308"/>
      <c r="D3047" s="308"/>
      <c r="E3047" s="308"/>
      <c r="F3047" s="309">
        <f>IFERROR(VLOOKUP(K3039,'2026.01'!A:Y,10,0),0)</f>
        <v>500</v>
      </c>
      <c r="G3047" s="310"/>
      <c r="K3047" s="300"/>
    </row>
    <row r="3048" ht="21" customHeight="1" spans="1:11">
      <c r="A3048" s="307" t="s">
        <v>17</v>
      </c>
      <c r="B3048" s="308"/>
      <c r="C3048" s="308"/>
      <c r="D3048" s="308"/>
      <c r="E3048" s="308"/>
      <c r="F3048" s="309">
        <f>IFERROR(VLOOKUP(K3039,'2026.01'!A:Y,19,0),0)</f>
        <v>158</v>
      </c>
      <c r="G3048" s="310"/>
      <c r="K3048" s="300"/>
    </row>
    <row r="3049" ht="17.15" customHeight="1" spans="1:11">
      <c r="A3049" s="307" t="s">
        <v>18</v>
      </c>
      <c r="B3049" s="308"/>
      <c r="C3049" s="308"/>
      <c r="D3049" s="308"/>
      <c r="E3049" s="308"/>
      <c r="F3049" s="309">
        <f>IFERROR(VLOOKUP(K3039,'2026.01'!A:Y,22,0),0)</f>
        <v>753</v>
      </c>
      <c r="G3049" s="310"/>
      <c r="K3049" s="300"/>
    </row>
    <row r="3050" ht="17.15" customHeight="1" spans="1:11">
      <c r="A3050" s="307" t="s">
        <v>19</v>
      </c>
      <c r="B3050" s="312"/>
      <c r="C3050" s="308"/>
      <c r="D3050" s="313"/>
      <c r="E3050" s="308"/>
      <c r="F3050" s="309">
        <f>IFERROR(VLOOKUP(K3039,'2026.01'!A:Y,25,0),0)</f>
        <v>7938</v>
      </c>
      <c r="G3050" s="310"/>
      <c r="K3050" s="300"/>
    </row>
    <row r="3051" ht="15" customHeight="1" spans="1:11">
      <c r="A3051" s="314" t="s">
        <v>20</v>
      </c>
      <c r="B3051" s="315">
        <f>IF(F3050&lt;0,"金额为负，无效",INT(F3050))</f>
        <v>7938</v>
      </c>
      <c r="C3051" s="315"/>
      <c r="D3051" s="315"/>
      <c r="E3051" s="316" t="s">
        <v>21</v>
      </c>
      <c r="F3051" s="317"/>
      <c r="G3051" s="318"/>
      <c r="K3051" s="300"/>
    </row>
    <row r="3052" ht="23" customHeight="1" spans="1:11">
      <c r="A3052" s="319"/>
      <c r="B3052" s="320"/>
      <c r="C3052" s="320"/>
      <c r="D3052" s="320"/>
      <c r="E3052" s="319"/>
      <c r="F3052" s="321"/>
      <c r="G3052" s="322"/>
      <c r="K3052" s="300"/>
    </row>
    <row r="3053" ht="27" customHeight="1" spans="1:11">
      <c r="A3053" s="298" t="s">
        <v>0</v>
      </c>
      <c r="B3053" s="298"/>
      <c r="C3053" s="298"/>
      <c r="D3053" s="298"/>
      <c r="E3053" s="298"/>
      <c r="F3053" s="298"/>
      <c r="G3053" s="298"/>
      <c r="H3053" s="299"/>
      <c r="I3053" s="299"/>
      <c r="J3053" s="299"/>
      <c r="K3053" s="300">
        <v>219</v>
      </c>
    </row>
    <row r="3054" ht="15" customHeight="1" spans="1:11">
      <c r="A3054" s="301" t="s">
        <v>1</v>
      </c>
      <c r="B3054" s="301"/>
      <c r="C3054" s="301"/>
      <c r="D3054" s="301"/>
      <c r="E3054" s="301"/>
      <c r="F3054" s="301"/>
      <c r="G3054" s="302" t="str">
        <f>IFERROR(VLOOKUP(K3053,'2026.01'!A:Y,2,0),0)</f>
        <v>NO:219</v>
      </c>
      <c r="K3054" s="300"/>
    </row>
    <row r="3055" ht="15" customHeight="1" spans="1:11">
      <c r="A3055" s="303" t="s">
        <v>2</v>
      </c>
      <c r="B3055" s="304">
        <f>IFERROR(VLOOKUP(K3053,'2026.01'!A:Y,6,0),0)</f>
        <v>3055</v>
      </c>
      <c r="C3055" s="304"/>
      <c r="D3055" s="305" t="s">
        <v>3</v>
      </c>
      <c r="E3055" s="305" t="str">
        <f>IFERROR(VLOOKUP(K3053,'2026.01'!A:Y,7,0),0)</f>
        <v>胡敏</v>
      </c>
      <c r="F3055" s="305"/>
      <c r="G3055" s="306" t="s">
        <v>4</v>
      </c>
      <c r="K3055" s="300"/>
    </row>
    <row r="3056" ht="15" customHeight="1" spans="1:11">
      <c r="A3056" s="307" t="s">
        <v>5</v>
      </c>
      <c r="B3056" s="308" t="s">
        <v>6</v>
      </c>
      <c r="C3056" s="308" t="s">
        <v>7</v>
      </c>
      <c r="D3056" s="308" t="s">
        <v>8</v>
      </c>
      <c r="E3056" s="308" t="s">
        <v>9</v>
      </c>
      <c r="F3056" s="309" t="s">
        <v>10</v>
      </c>
      <c r="G3056" s="310" t="s">
        <v>11</v>
      </c>
      <c r="K3056" s="300"/>
    </row>
    <row r="3057" ht="15" customHeight="1" spans="1:11">
      <c r="A3057" s="307" t="s">
        <v>12</v>
      </c>
      <c r="B3057" s="308">
        <f>IFERROR(VLOOKUP(K3053,'2026.01'!A:Y,14,0),0)</f>
        <v>5129</v>
      </c>
      <c r="C3057" s="308">
        <f>IFERROR(VLOOKUP(K3053,'2026.01'!A:Y,13,0),0)</f>
        <v>5108</v>
      </c>
      <c r="D3057" s="308">
        <f>IFERROR(VLOOKUP(K3053,'2026.01'!A:Y,15,0),0)</f>
        <v>21</v>
      </c>
      <c r="E3057" s="311">
        <f>IFERROR(VLOOKUP(K3053,'2026.01'!A:Y,18,0),0)</f>
        <v>0.8</v>
      </c>
      <c r="F3057" s="309">
        <f>IFERROR(VLOOKUP(K3053,'2026.01'!A:Y,20,0),0)</f>
        <v>17</v>
      </c>
      <c r="G3057" s="310"/>
      <c r="K3057" s="300"/>
    </row>
    <row r="3058" ht="15" customHeight="1" spans="1:11">
      <c r="A3058" s="307" t="s">
        <v>13</v>
      </c>
      <c r="B3058" s="308"/>
      <c r="C3058" s="308"/>
      <c r="D3058" s="308"/>
      <c r="E3058" s="311"/>
      <c r="F3058" s="309">
        <f>IFERROR(VLOOKUP(K3053,'2026.01'!A:Y,24,0),0)</f>
        <v>51</v>
      </c>
      <c r="G3058" s="310"/>
      <c r="K3058" s="300"/>
    </row>
    <row r="3059" ht="15" customHeight="1" spans="1:11">
      <c r="A3059" s="307" t="s">
        <v>14</v>
      </c>
      <c r="B3059" s="308"/>
      <c r="C3059" s="308"/>
      <c r="D3059" s="308"/>
      <c r="E3059" s="311"/>
      <c r="F3059" s="309">
        <f>IFERROR(VLOOKUP(K3053,'2026.01'!A:Y,12,0),0)</f>
        <v>160</v>
      </c>
      <c r="G3059" s="310"/>
      <c r="K3059" s="300"/>
    </row>
    <row r="3060" ht="21" customHeight="1" spans="1:11">
      <c r="A3060" s="307" t="s">
        <v>15</v>
      </c>
      <c r="B3060" s="308"/>
      <c r="C3060" s="308"/>
      <c r="D3060" s="308"/>
      <c r="E3060" s="311"/>
      <c r="F3060" s="309">
        <f>IFERROR(VLOOKUP(K3053,'2026.01'!A:Y,9,0),0)</f>
        <v>5000</v>
      </c>
      <c r="G3060" s="310"/>
      <c r="K3060" s="300"/>
    </row>
    <row r="3061" ht="19" customHeight="1" spans="1:11">
      <c r="A3061" s="307" t="s">
        <v>16</v>
      </c>
      <c r="B3061" s="308"/>
      <c r="C3061" s="308"/>
      <c r="D3061" s="308"/>
      <c r="E3061" s="308"/>
      <c r="F3061" s="309">
        <f>IFERROR(VLOOKUP(K3053,'2026.01'!A:Y,10,0),0)</f>
        <v>500</v>
      </c>
      <c r="G3061" s="310"/>
      <c r="K3061" s="300"/>
    </row>
    <row r="3062" ht="21" customHeight="1" spans="1:11">
      <c r="A3062" s="307" t="s">
        <v>17</v>
      </c>
      <c r="B3062" s="308"/>
      <c r="C3062" s="308"/>
      <c r="D3062" s="308"/>
      <c r="E3062" s="308"/>
      <c r="F3062" s="309">
        <f>IFERROR(VLOOKUP(K3053,'2026.01'!A:Y,19,0),0)</f>
        <v>15</v>
      </c>
      <c r="G3062" s="310"/>
      <c r="K3062" s="300"/>
    </row>
    <row r="3063" ht="17.15" customHeight="1" spans="1:11">
      <c r="A3063" s="307" t="s">
        <v>18</v>
      </c>
      <c r="B3063" s="308"/>
      <c r="C3063" s="308"/>
      <c r="D3063" s="308"/>
      <c r="E3063" s="308"/>
      <c r="F3063" s="309">
        <f>IFERROR(VLOOKUP(K3053,'2026.01'!A:Y,22,0),0)</f>
        <v>267</v>
      </c>
      <c r="G3063" s="310"/>
      <c r="K3063" s="300"/>
    </row>
    <row r="3064" ht="17.15" customHeight="1" spans="1:11">
      <c r="A3064" s="307" t="s">
        <v>19</v>
      </c>
      <c r="B3064" s="312"/>
      <c r="C3064" s="308"/>
      <c r="D3064" s="313"/>
      <c r="E3064" s="308"/>
      <c r="F3064" s="309">
        <f>IFERROR(VLOOKUP(K3053,'2026.01'!A:Y,25,0),0)</f>
        <v>6010</v>
      </c>
      <c r="G3064" s="310"/>
      <c r="K3064" s="300"/>
    </row>
    <row r="3065" ht="15" customHeight="1" spans="1:11">
      <c r="A3065" s="314" t="s">
        <v>20</v>
      </c>
      <c r="B3065" s="315">
        <f>IF(F3064&lt;0,"金额为负，无效",INT(F3064))</f>
        <v>6010</v>
      </c>
      <c r="C3065" s="315"/>
      <c r="D3065" s="315"/>
      <c r="E3065" s="316" t="s">
        <v>21</v>
      </c>
      <c r="F3065" s="317"/>
      <c r="G3065" s="318"/>
      <c r="K3065" s="300"/>
    </row>
    <row r="3066" ht="15" customHeight="1" spans="1:11">
      <c r="A3066" s="319"/>
      <c r="B3066" s="320"/>
      <c r="C3066" s="320"/>
      <c r="D3066" s="320"/>
      <c r="E3066" s="319"/>
      <c r="F3066" s="321"/>
      <c r="G3066" s="322"/>
      <c r="K3066" s="300"/>
    </row>
    <row r="3067" ht="27" customHeight="1" spans="1:11">
      <c r="A3067" s="298" t="s">
        <v>0</v>
      </c>
      <c r="B3067" s="298"/>
      <c r="C3067" s="298"/>
      <c r="D3067" s="298"/>
      <c r="E3067" s="298"/>
      <c r="F3067" s="298"/>
      <c r="G3067" s="298"/>
      <c r="H3067" s="299"/>
      <c r="I3067" s="299"/>
      <c r="J3067" s="299"/>
      <c r="K3067" s="300">
        <v>220</v>
      </c>
    </row>
    <row r="3068" ht="15" customHeight="1" spans="1:11">
      <c r="A3068" s="301" t="s">
        <v>1</v>
      </c>
      <c r="B3068" s="301"/>
      <c r="C3068" s="301"/>
      <c r="D3068" s="301"/>
      <c r="E3068" s="301"/>
      <c r="F3068" s="301"/>
      <c r="G3068" s="302" t="str">
        <f>IFERROR(VLOOKUP(K3067,'2026.01'!A:Y,2,0),0)</f>
        <v>NO:220</v>
      </c>
      <c r="K3068" s="300"/>
    </row>
    <row r="3069" ht="15" customHeight="1" spans="1:11">
      <c r="A3069" s="303" t="s">
        <v>2</v>
      </c>
      <c r="B3069" s="304" t="str">
        <f>IFERROR(VLOOKUP(K3067,'2026.01'!A:Y,6,0),0)</f>
        <v>三楼自编展柜</v>
      </c>
      <c r="C3069" s="304"/>
      <c r="D3069" s="305" t="s">
        <v>3</v>
      </c>
      <c r="E3069" s="305">
        <f>IFERROR(VLOOKUP(K3067,'2026.01'!A:Y,7,0),0)</f>
        <v>0</v>
      </c>
      <c r="F3069" s="305"/>
      <c r="G3069" s="306" t="s">
        <v>4</v>
      </c>
      <c r="K3069" s="300"/>
    </row>
    <row r="3070" ht="15" customHeight="1" spans="1:11">
      <c r="A3070" s="307" t="s">
        <v>5</v>
      </c>
      <c r="B3070" s="308" t="s">
        <v>6</v>
      </c>
      <c r="C3070" s="308" t="s">
        <v>7</v>
      </c>
      <c r="D3070" s="308" t="s">
        <v>8</v>
      </c>
      <c r="E3070" s="308" t="s">
        <v>9</v>
      </c>
      <c r="F3070" s="309" t="s">
        <v>10</v>
      </c>
      <c r="G3070" s="310" t="s">
        <v>11</v>
      </c>
      <c r="K3070" s="300"/>
    </row>
    <row r="3071" ht="15" customHeight="1" spans="1:11">
      <c r="A3071" s="307" t="s">
        <v>12</v>
      </c>
      <c r="B3071" s="308">
        <f>IFERROR(VLOOKUP(K3067,'2026.01'!A:Y,14,0),0)</f>
        <v>0</v>
      </c>
      <c r="C3071" s="308">
        <f>IFERROR(VLOOKUP(K3067,'2026.01'!A:Y,13,0),0)</f>
        <v>0</v>
      </c>
      <c r="D3071" s="308">
        <f>IFERROR(VLOOKUP(K3067,'2026.01'!A:Y,15,0),0)</f>
        <v>0</v>
      </c>
      <c r="E3071" s="311">
        <f>IFERROR(VLOOKUP(K3067,'2026.01'!A:Y,18,0),0)</f>
        <v>0</v>
      </c>
      <c r="F3071" s="309">
        <f>IFERROR(VLOOKUP(K3067,'2026.01'!A:Y,20,0),0)</f>
        <v>0</v>
      </c>
      <c r="G3071" s="310"/>
      <c r="K3071" s="300"/>
    </row>
    <row r="3072" ht="15" customHeight="1" spans="1:11">
      <c r="A3072" s="307" t="s">
        <v>13</v>
      </c>
      <c r="B3072" s="308"/>
      <c r="C3072" s="308"/>
      <c r="D3072" s="308"/>
      <c r="E3072" s="311"/>
      <c r="F3072" s="309">
        <f>IFERROR(VLOOKUP(K3067,'2026.01'!A:Y,24,0),0)</f>
        <v>0</v>
      </c>
      <c r="G3072" s="310"/>
      <c r="K3072" s="300"/>
    </row>
    <row r="3073" ht="15" customHeight="1" spans="1:11">
      <c r="A3073" s="307" t="s">
        <v>14</v>
      </c>
      <c r="B3073" s="308"/>
      <c r="C3073" s="308"/>
      <c r="D3073" s="308"/>
      <c r="E3073" s="311"/>
      <c r="F3073" s="309">
        <f>IFERROR(VLOOKUP(K3067,'2026.01'!A:Y,12,0),0)</f>
        <v>0</v>
      </c>
      <c r="G3073" s="310"/>
      <c r="K3073" s="300"/>
    </row>
    <row r="3074" ht="21" customHeight="1" spans="1:11">
      <c r="A3074" s="307" t="s">
        <v>15</v>
      </c>
      <c r="B3074" s="308"/>
      <c r="C3074" s="308"/>
      <c r="D3074" s="308"/>
      <c r="E3074" s="311"/>
      <c r="F3074" s="309">
        <f>IFERROR(VLOOKUP(K3067,'2026.01'!A:Y,9,0),0)</f>
        <v>0</v>
      </c>
      <c r="G3074" s="310"/>
      <c r="K3074" s="300"/>
    </row>
    <row r="3075" ht="19" customHeight="1" spans="1:11">
      <c r="A3075" s="307" t="s">
        <v>16</v>
      </c>
      <c r="B3075" s="308"/>
      <c r="C3075" s="308"/>
      <c r="D3075" s="308"/>
      <c r="E3075" s="308"/>
      <c r="F3075" s="309">
        <f>IFERROR(VLOOKUP(K3067,'2026.01'!A:Y,10,0),0)</f>
        <v>0</v>
      </c>
      <c r="G3075" s="310"/>
      <c r="K3075" s="300"/>
    </row>
    <row r="3076" ht="21" customHeight="1" spans="1:11">
      <c r="A3076" s="307" t="s">
        <v>17</v>
      </c>
      <c r="B3076" s="308"/>
      <c r="C3076" s="308"/>
      <c r="D3076" s="308"/>
      <c r="E3076" s="308"/>
      <c r="F3076" s="309">
        <f>IFERROR(VLOOKUP(K3067,'2026.01'!A:Y,19,0),0)</f>
        <v>0</v>
      </c>
      <c r="G3076" s="310"/>
      <c r="K3076" s="300"/>
    </row>
    <row r="3077" ht="17.15" customHeight="1" spans="1:11">
      <c r="A3077" s="307" t="s">
        <v>18</v>
      </c>
      <c r="B3077" s="308"/>
      <c r="C3077" s="308"/>
      <c r="D3077" s="308"/>
      <c r="E3077" s="308"/>
      <c r="F3077" s="309">
        <f>IFERROR(VLOOKUP(K3067,'2026.01'!A:Y,22,0),0)</f>
        <v>0</v>
      </c>
      <c r="G3077" s="310"/>
      <c r="K3077" s="300"/>
    </row>
    <row r="3078" ht="17.15" customHeight="1" spans="1:11">
      <c r="A3078" s="307" t="s">
        <v>19</v>
      </c>
      <c r="B3078" s="312"/>
      <c r="C3078" s="308"/>
      <c r="D3078" s="313"/>
      <c r="E3078" s="308"/>
      <c r="F3078" s="309">
        <f>IFERROR(VLOOKUP(K3067,'2026.01'!A:Y,25,0),0)</f>
        <v>0</v>
      </c>
      <c r="G3078" s="310"/>
      <c r="K3078" s="300"/>
    </row>
    <row r="3079" ht="15" customHeight="1" spans="1:11">
      <c r="A3079" s="314" t="s">
        <v>20</v>
      </c>
      <c r="B3079" s="315">
        <f>IF(F3078&lt;0,"金额为负，无效",INT(F3078))</f>
        <v>0</v>
      </c>
      <c r="C3079" s="315"/>
      <c r="D3079" s="315"/>
      <c r="E3079" s="316" t="s">
        <v>21</v>
      </c>
      <c r="F3079" s="317"/>
      <c r="G3079" s="318"/>
      <c r="K3079" s="300"/>
    </row>
    <row r="3080" ht="23" customHeight="1" spans="1:11">
      <c r="A3080" s="319"/>
      <c r="B3080" s="320"/>
      <c r="C3080" s="320"/>
      <c r="D3080" s="320"/>
      <c r="E3080" s="319"/>
      <c r="F3080" s="321"/>
      <c r="G3080" s="322"/>
      <c r="K3080" s="300"/>
    </row>
    <row r="3081" ht="27" customHeight="1" spans="1:11">
      <c r="A3081" s="298" t="s">
        <v>0</v>
      </c>
      <c r="B3081" s="298"/>
      <c r="C3081" s="298"/>
      <c r="D3081" s="298"/>
      <c r="E3081" s="298"/>
      <c r="F3081" s="298"/>
      <c r="G3081" s="298"/>
      <c r="H3081" s="299"/>
      <c r="I3081" s="299"/>
      <c r="J3081" s="299"/>
      <c r="K3081" s="300">
        <v>221</v>
      </c>
    </row>
    <row r="3082" ht="15" customHeight="1" spans="1:11">
      <c r="A3082" s="301" t="s">
        <v>1</v>
      </c>
      <c r="B3082" s="301"/>
      <c r="C3082" s="301"/>
      <c r="D3082" s="301"/>
      <c r="E3082" s="301"/>
      <c r="F3082" s="301"/>
      <c r="G3082" s="302" t="str">
        <f>IFERROR(VLOOKUP(K3081,'2026.01'!A:Y,2,0),0)</f>
        <v>NO:221</v>
      </c>
      <c r="K3082" s="300"/>
    </row>
    <row r="3083" ht="15" customHeight="1" spans="1:11">
      <c r="A3083" s="303" t="s">
        <v>2</v>
      </c>
      <c r="B3083" s="304" t="str">
        <f>IFERROR(VLOOKUP(K3081,'2026.01'!A:Y,6,0),0)</f>
        <v>3056展柜</v>
      </c>
      <c r="C3083" s="304"/>
      <c r="D3083" s="305" t="s">
        <v>3</v>
      </c>
      <c r="E3083" s="305">
        <f>IFERROR(VLOOKUP(K3081,'2026.01'!A:Y,7,0),0)</f>
        <v>0</v>
      </c>
      <c r="F3083" s="305"/>
      <c r="G3083" s="306" t="s">
        <v>4</v>
      </c>
      <c r="K3083" s="300"/>
    </row>
    <row r="3084" ht="15" customHeight="1" spans="1:11">
      <c r="A3084" s="307" t="s">
        <v>5</v>
      </c>
      <c r="B3084" s="308" t="s">
        <v>6</v>
      </c>
      <c r="C3084" s="308" t="s">
        <v>7</v>
      </c>
      <c r="D3084" s="308" t="s">
        <v>8</v>
      </c>
      <c r="E3084" s="308" t="s">
        <v>9</v>
      </c>
      <c r="F3084" s="309" t="s">
        <v>10</v>
      </c>
      <c r="G3084" s="310" t="s">
        <v>11</v>
      </c>
      <c r="K3084" s="300"/>
    </row>
    <row r="3085" ht="15" customHeight="1" spans="1:11">
      <c r="A3085" s="307" t="s">
        <v>12</v>
      </c>
      <c r="B3085" s="308">
        <f>IFERROR(VLOOKUP(K3081,'2026.01'!A:Y,14,0),0)</f>
        <v>0</v>
      </c>
      <c r="C3085" s="308">
        <f>IFERROR(VLOOKUP(K3081,'2026.01'!A:Y,13,0),0)</f>
        <v>0</v>
      </c>
      <c r="D3085" s="308">
        <f>IFERROR(VLOOKUP(K3081,'2026.01'!A:Y,15,0),0)</f>
        <v>0</v>
      </c>
      <c r="E3085" s="311">
        <f>IFERROR(VLOOKUP(K3081,'2026.01'!A:Y,18,0),0)</f>
        <v>0</v>
      </c>
      <c r="F3085" s="309">
        <f>IFERROR(VLOOKUP(K3081,'2026.01'!A:Y,20,0),0)</f>
        <v>0</v>
      </c>
      <c r="G3085" s="310"/>
      <c r="K3085" s="300"/>
    </row>
    <row r="3086" ht="15" customHeight="1" spans="1:11">
      <c r="A3086" s="307" t="s">
        <v>13</v>
      </c>
      <c r="B3086" s="308"/>
      <c r="C3086" s="308"/>
      <c r="D3086" s="308"/>
      <c r="E3086" s="311"/>
      <c r="F3086" s="309">
        <f>IFERROR(VLOOKUP(K3081,'2026.01'!A:Y,24,0),0)</f>
        <v>0</v>
      </c>
      <c r="G3086" s="310"/>
      <c r="K3086" s="300"/>
    </row>
    <row r="3087" ht="15" customHeight="1" spans="1:11">
      <c r="A3087" s="307" t="s">
        <v>14</v>
      </c>
      <c r="B3087" s="308"/>
      <c r="C3087" s="308"/>
      <c r="D3087" s="308"/>
      <c r="E3087" s="311"/>
      <c r="F3087" s="309">
        <f>IFERROR(VLOOKUP(K3081,'2026.01'!A:Y,12,0),0)</f>
        <v>0</v>
      </c>
      <c r="G3087" s="310"/>
      <c r="K3087" s="300"/>
    </row>
    <row r="3088" ht="21" customHeight="1" spans="1:11">
      <c r="A3088" s="307" t="s">
        <v>15</v>
      </c>
      <c r="B3088" s="308"/>
      <c r="C3088" s="308"/>
      <c r="D3088" s="308"/>
      <c r="E3088" s="311"/>
      <c r="F3088" s="309">
        <f>IFERROR(VLOOKUP(K3081,'2026.01'!A:Y,9,0),0)</f>
        <v>0</v>
      </c>
      <c r="G3088" s="310"/>
      <c r="K3088" s="300"/>
    </row>
    <row r="3089" ht="19" customHeight="1" spans="1:11">
      <c r="A3089" s="307" t="s">
        <v>16</v>
      </c>
      <c r="B3089" s="308"/>
      <c r="C3089" s="308"/>
      <c r="D3089" s="308"/>
      <c r="E3089" s="308"/>
      <c r="F3089" s="309">
        <f>IFERROR(VLOOKUP(K3081,'2026.01'!A:Y,10,0),0)</f>
        <v>0</v>
      </c>
      <c r="G3089" s="310"/>
      <c r="K3089" s="300"/>
    </row>
    <row r="3090" ht="21" customHeight="1" spans="1:11">
      <c r="A3090" s="307" t="s">
        <v>17</v>
      </c>
      <c r="B3090" s="308"/>
      <c r="C3090" s="308"/>
      <c r="D3090" s="308"/>
      <c r="E3090" s="308"/>
      <c r="F3090" s="309">
        <f>IFERROR(VLOOKUP(K3081,'2026.01'!A:Y,19,0),0)</f>
        <v>0</v>
      </c>
      <c r="G3090" s="310"/>
      <c r="K3090" s="300"/>
    </row>
    <row r="3091" ht="17.15" customHeight="1" spans="1:11">
      <c r="A3091" s="307" t="s">
        <v>18</v>
      </c>
      <c r="B3091" s="308"/>
      <c r="C3091" s="308"/>
      <c r="D3091" s="308"/>
      <c r="E3091" s="308"/>
      <c r="F3091" s="309">
        <f>IFERROR(VLOOKUP(K3081,'2026.01'!A:Y,22,0),0)</f>
        <v>0</v>
      </c>
      <c r="G3091" s="310"/>
      <c r="K3091" s="300"/>
    </row>
    <row r="3092" ht="17.15" customHeight="1" spans="1:11">
      <c r="A3092" s="307" t="s">
        <v>19</v>
      </c>
      <c r="B3092" s="312"/>
      <c r="C3092" s="308"/>
      <c r="D3092" s="313"/>
      <c r="E3092" s="308"/>
      <c r="F3092" s="309">
        <f>IFERROR(VLOOKUP(K3081,'2026.01'!A:Y,25,0),0)</f>
        <v>0</v>
      </c>
      <c r="G3092" s="310"/>
      <c r="K3092" s="300"/>
    </row>
    <row r="3093" ht="15" customHeight="1" spans="1:11">
      <c r="A3093" s="314" t="s">
        <v>20</v>
      </c>
      <c r="B3093" s="315">
        <f>IF(F3092&lt;0,"金额为负，无效",INT(F3092))</f>
        <v>0</v>
      </c>
      <c r="C3093" s="315"/>
      <c r="D3093" s="315"/>
      <c r="E3093" s="316" t="s">
        <v>21</v>
      </c>
      <c r="F3093" s="317"/>
      <c r="G3093" s="318"/>
      <c r="K3093" s="300"/>
    </row>
    <row r="3094" ht="23" customHeight="1" spans="1:11">
      <c r="A3094" s="319"/>
      <c r="B3094" s="320"/>
      <c r="C3094" s="320"/>
      <c r="D3094" s="320"/>
      <c r="E3094" s="319"/>
      <c r="F3094" s="321"/>
      <c r="G3094" s="322"/>
      <c r="K3094" s="300"/>
    </row>
    <row r="3095" ht="27" customHeight="1" spans="1:11">
      <c r="A3095" s="298" t="s">
        <v>0</v>
      </c>
      <c r="B3095" s="298"/>
      <c r="C3095" s="298"/>
      <c r="D3095" s="298"/>
      <c r="E3095" s="298"/>
      <c r="F3095" s="298"/>
      <c r="G3095" s="298"/>
      <c r="H3095" s="299"/>
      <c r="I3095" s="299"/>
      <c r="J3095" s="299"/>
      <c r="K3095" s="300">
        <v>222</v>
      </c>
    </row>
    <row r="3096" ht="15" customHeight="1" spans="1:11">
      <c r="A3096" s="301" t="s">
        <v>1</v>
      </c>
      <c r="B3096" s="301"/>
      <c r="C3096" s="301"/>
      <c r="D3096" s="301"/>
      <c r="E3096" s="301"/>
      <c r="F3096" s="301"/>
      <c r="G3096" s="302" t="str">
        <f>IFERROR(VLOOKUP(K3095,'2026.01'!A:Y,2,0),0)</f>
        <v>NO:222</v>
      </c>
      <c r="K3096" s="300"/>
    </row>
    <row r="3097" ht="15" customHeight="1" spans="1:11">
      <c r="A3097" s="303" t="s">
        <v>2</v>
      </c>
      <c r="B3097" s="304">
        <f>IFERROR(VLOOKUP(K3095,'2026.01'!A:Y,6,0),0)</f>
        <v>4001</v>
      </c>
      <c r="C3097" s="304"/>
      <c r="D3097" s="305" t="s">
        <v>3</v>
      </c>
      <c r="E3097" s="305" t="str">
        <f>IFERROR(VLOOKUP(K3095,'2026.01'!A:Y,7,0),0)</f>
        <v>王俊</v>
      </c>
      <c r="F3097" s="305"/>
      <c r="G3097" s="306" t="s">
        <v>4</v>
      </c>
      <c r="K3097" s="300"/>
    </row>
    <row r="3098" ht="15" customHeight="1" spans="1:11">
      <c r="A3098" s="307" t="s">
        <v>5</v>
      </c>
      <c r="B3098" s="308" t="s">
        <v>6</v>
      </c>
      <c r="C3098" s="308" t="s">
        <v>7</v>
      </c>
      <c r="D3098" s="308" t="s">
        <v>8</v>
      </c>
      <c r="E3098" s="308" t="s">
        <v>9</v>
      </c>
      <c r="F3098" s="309" t="s">
        <v>10</v>
      </c>
      <c r="G3098" s="310" t="s">
        <v>11</v>
      </c>
      <c r="K3098" s="300"/>
    </row>
    <row r="3099" ht="15" customHeight="1" spans="1:11">
      <c r="A3099" s="307" t="s">
        <v>12</v>
      </c>
      <c r="B3099" s="308">
        <f>IFERROR(VLOOKUP(K3095,'2026.01'!A:Y,14,0),0)</f>
        <v>698</v>
      </c>
      <c r="C3099" s="308">
        <f>IFERROR(VLOOKUP(K3095,'2026.01'!A:Y,13,0),0)</f>
        <v>671</v>
      </c>
      <c r="D3099" s="308">
        <f>IFERROR(VLOOKUP(K3095,'2026.01'!A:Y,15,0),0)</f>
        <v>27</v>
      </c>
      <c r="E3099" s="311">
        <f>IFERROR(VLOOKUP(K3095,'2026.01'!A:Y,18,0),0)</f>
        <v>0.8</v>
      </c>
      <c r="F3099" s="309">
        <f>IFERROR(VLOOKUP(K3095,'2026.01'!A:Y,20,0),0)</f>
        <v>22</v>
      </c>
      <c r="G3099" s="310"/>
      <c r="K3099" s="300"/>
    </row>
    <row r="3100" ht="15" customHeight="1" spans="1:11">
      <c r="A3100" s="307" t="s">
        <v>13</v>
      </c>
      <c r="B3100" s="308"/>
      <c r="C3100" s="308"/>
      <c r="D3100" s="308"/>
      <c r="E3100" s="311"/>
      <c r="F3100" s="309">
        <f>IFERROR(VLOOKUP(K3095,'2026.01'!A:Y,24,0),0)</f>
        <v>85</v>
      </c>
      <c r="G3100" s="310"/>
      <c r="K3100" s="300"/>
    </row>
    <row r="3101" ht="15" customHeight="1" spans="1:11">
      <c r="A3101" s="307" t="s">
        <v>14</v>
      </c>
      <c r="B3101" s="308"/>
      <c r="C3101" s="308"/>
      <c r="D3101" s="308"/>
      <c r="E3101" s="311"/>
      <c r="F3101" s="309">
        <f>IFERROR(VLOOKUP(K3095,'2026.01'!A:Y,12,0),0)</f>
        <v>160</v>
      </c>
      <c r="G3101" s="310"/>
      <c r="K3101" s="300"/>
    </row>
    <row r="3102" ht="21" customHeight="1" spans="1:11">
      <c r="A3102" s="307" t="s">
        <v>15</v>
      </c>
      <c r="B3102" s="308"/>
      <c r="C3102" s="308"/>
      <c r="D3102" s="308"/>
      <c r="E3102" s="311"/>
      <c r="F3102" s="309">
        <f>IFERROR(VLOOKUP(K3095,'2026.01'!A:Y,9,0),0)</f>
        <v>5000</v>
      </c>
      <c r="G3102" s="310"/>
      <c r="K3102" s="300"/>
    </row>
    <row r="3103" ht="19" customHeight="1" spans="1:11">
      <c r="A3103" s="307" t="s">
        <v>16</v>
      </c>
      <c r="B3103" s="308"/>
      <c r="C3103" s="308"/>
      <c r="D3103" s="308"/>
      <c r="E3103" s="308"/>
      <c r="F3103" s="309">
        <f>IFERROR(VLOOKUP(K3095,'2026.01'!A:Y,10,0),0)</f>
        <v>500</v>
      </c>
      <c r="G3103" s="310"/>
      <c r="K3103" s="300"/>
    </row>
    <row r="3104" ht="21" customHeight="1" spans="1:11">
      <c r="A3104" s="307" t="s">
        <v>17</v>
      </c>
      <c r="B3104" s="308"/>
      <c r="C3104" s="308"/>
      <c r="D3104" s="308"/>
      <c r="E3104" s="308"/>
      <c r="F3104" s="309">
        <f>IFERROR(VLOOKUP(K3095,'2026.01'!A:Y,19,0),0)</f>
        <v>19</v>
      </c>
      <c r="G3104" s="310"/>
      <c r="K3104" s="300"/>
    </row>
    <row r="3105" ht="17.15" customHeight="1" spans="1:11">
      <c r="A3105" s="307" t="s">
        <v>18</v>
      </c>
      <c r="B3105" s="308"/>
      <c r="C3105" s="308"/>
      <c r="D3105" s="308"/>
      <c r="E3105" s="308"/>
      <c r="F3105" s="309">
        <f>IFERROR(VLOOKUP(K3095,'2026.01'!A:Y,22,0),0)</f>
        <v>222</v>
      </c>
      <c r="G3105" s="310"/>
      <c r="K3105" s="300"/>
    </row>
    <row r="3106" ht="17.15" customHeight="1" spans="1:11">
      <c r="A3106" s="307" t="s">
        <v>19</v>
      </c>
      <c r="B3106" s="312"/>
      <c r="C3106" s="308"/>
      <c r="D3106" s="313"/>
      <c r="E3106" s="308"/>
      <c r="F3106" s="309">
        <f>IFERROR(VLOOKUP(K3095,'2026.01'!A:Y,25,0),0)</f>
        <v>6008</v>
      </c>
      <c r="G3106" s="310"/>
      <c r="K3106" s="300"/>
    </row>
    <row r="3107" ht="15" customHeight="1" spans="1:11">
      <c r="A3107" s="314" t="s">
        <v>20</v>
      </c>
      <c r="B3107" s="315">
        <f>IF(F3106&lt;0,"金额为负，无效",INT(F3106))</f>
        <v>6008</v>
      </c>
      <c r="C3107" s="315"/>
      <c r="D3107" s="315"/>
      <c r="E3107" s="316" t="s">
        <v>21</v>
      </c>
      <c r="F3107" s="317"/>
      <c r="G3107" s="318"/>
      <c r="K3107" s="300"/>
    </row>
    <row r="3108" ht="15" customHeight="1" spans="1:11">
      <c r="A3108" s="319"/>
      <c r="B3108" s="320"/>
      <c r="C3108" s="320"/>
      <c r="D3108" s="320"/>
      <c r="E3108" s="319"/>
      <c r="F3108" s="321"/>
      <c r="G3108" s="322"/>
      <c r="K3108" s="300"/>
    </row>
    <row r="3109" ht="27" customHeight="1" spans="1:11">
      <c r="A3109" s="298" t="s">
        <v>0</v>
      </c>
      <c r="B3109" s="298"/>
      <c r="C3109" s="298"/>
      <c r="D3109" s="298"/>
      <c r="E3109" s="298"/>
      <c r="F3109" s="298"/>
      <c r="G3109" s="298"/>
      <c r="H3109" s="299"/>
      <c r="I3109" s="299"/>
      <c r="J3109" s="299"/>
      <c r="K3109" s="300">
        <v>223</v>
      </c>
    </row>
    <row r="3110" ht="15" customHeight="1" spans="1:11">
      <c r="A3110" s="301" t="s">
        <v>1</v>
      </c>
      <c r="B3110" s="301"/>
      <c r="C3110" s="301"/>
      <c r="D3110" s="301"/>
      <c r="E3110" s="301"/>
      <c r="F3110" s="301"/>
      <c r="G3110" s="302" t="str">
        <f>IFERROR(VLOOKUP(K3109,'2026.01'!A:Y,2,0),0)</f>
        <v>NO:223</v>
      </c>
      <c r="K3110" s="300"/>
    </row>
    <row r="3111" ht="15" customHeight="1" spans="1:11">
      <c r="A3111" s="303" t="s">
        <v>2</v>
      </c>
      <c r="B3111" s="304">
        <f>IFERROR(VLOOKUP(K3109,'2026.01'!A:Y,6,0),0)</f>
        <v>4002</v>
      </c>
      <c r="C3111" s="304"/>
      <c r="D3111" s="305" t="s">
        <v>3</v>
      </c>
      <c r="E3111" s="305" t="str">
        <f>IFERROR(VLOOKUP(K3109,'2026.01'!A:Y,7,0),0)</f>
        <v>揭乐英</v>
      </c>
      <c r="F3111" s="305"/>
      <c r="G3111" s="306" t="s">
        <v>4</v>
      </c>
      <c r="K3111" s="300"/>
    </row>
    <row r="3112" ht="15" customHeight="1" spans="1:11">
      <c r="A3112" s="307" t="s">
        <v>5</v>
      </c>
      <c r="B3112" s="308" t="s">
        <v>6</v>
      </c>
      <c r="C3112" s="308" t="s">
        <v>7</v>
      </c>
      <c r="D3112" s="308" t="s">
        <v>8</v>
      </c>
      <c r="E3112" s="308" t="s">
        <v>9</v>
      </c>
      <c r="F3112" s="309" t="s">
        <v>10</v>
      </c>
      <c r="G3112" s="310" t="s">
        <v>11</v>
      </c>
      <c r="K3112" s="300"/>
    </row>
    <row r="3113" ht="15" customHeight="1" spans="1:11">
      <c r="A3113" s="307" t="s">
        <v>12</v>
      </c>
      <c r="B3113" s="308">
        <f>IFERROR(VLOOKUP(K3109,'2026.01'!A:Y,14,0),0)</f>
        <v>5201</v>
      </c>
      <c r="C3113" s="308">
        <f>IFERROR(VLOOKUP(K3109,'2026.01'!A:Y,13,0),0)</f>
        <v>5134</v>
      </c>
      <c r="D3113" s="308">
        <f>IFERROR(VLOOKUP(K3109,'2026.01'!A:Y,15,0),0)</f>
        <v>67</v>
      </c>
      <c r="E3113" s="311">
        <f>IFERROR(VLOOKUP(K3109,'2026.01'!A:Y,18,0),0)</f>
        <v>0.8</v>
      </c>
      <c r="F3113" s="309">
        <f>IFERROR(VLOOKUP(K3109,'2026.01'!A:Y,20,0),0)</f>
        <v>54</v>
      </c>
      <c r="G3113" s="310"/>
      <c r="K3113" s="300"/>
    </row>
    <row r="3114" ht="15" customHeight="1" spans="1:11">
      <c r="A3114" s="307" t="s">
        <v>13</v>
      </c>
      <c r="B3114" s="308"/>
      <c r="C3114" s="308"/>
      <c r="D3114" s="308"/>
      <c r="E3114" s="311"/>
      <c r="F3114" s="309">
        <f>IFERROR(VLOOKUP(K3109,'2026.01'!A:Y,24,0),0)</f>
        <v>51</v>
      </c>
      <c r="G3114" s="310"/>
      <c r="K3114" s="300"/>
    </row>
    <row r="3115" ht="15" customHeight="1" spans="1:11">
      <c r="A3115" s="307" t="s">
        <v>14</v>
      </c>
      <c r="B3115" s="308"/>
      <c r="C3115" s="308"/>
      <c r="D3115" s="308"/>
      <c r="E3115" s="311"/>
      <c r="F3115" s="309">
        <f>IFERROR(VLOOKUP(K3109,'2026.01'!A:Y,12,0),0)</f>
        <v>160</v>
      </c>
      <c r="G3115" s="310"/>
      <c r="K3115" s="300"/>
    </row>
    <row r="3116" ht="21" customHeight="1" spans="1:11">
      <c r="A3116" s="307" t="s">
        <v>15</v>
      </c>
      <c r="B3116" s="308"/>
      <c r="C3116" s="308"/>
      <c r="D3116" s="308"/>
      <c r="E3116" s="311"/>
      <c r="F3116" s="309">
        <f>IFERROR(VLOOKUP(K3109,'2026.01'!A:Y,9,0),0)</f>
        <v>5000</v>
      </c>
      <c r="G3116" s="310"/>
      <c r="K3116" s="300"/>
    </row>
    <row r="3117" ht="19" customHeight="1" spans="1:11">
      <c r="A3117" s="307" t="s">
        <v>16</v>
      </c>
      <c r="B3117" s="308"/>
      <c r="C3117" s="308"/>
      <c r="D3117" s="308"/>
      <c r="E3117" s="308"/>
      <c r="F3117" s="309">
        <f>IFERROR(VLOOKUP(K3109,'2026.01'!A:Y,10,0),0)</f>
        <v>500</v>
      </c>
      <c r="G3117" s="310"/>
      <c r="K3117" s="300"/>
    </row>
    <row r="3118" ht="21" customHeight="1" spans="1:11">
      <c r="A3118" s="307" t="s">
        <v>17</v>
      </c>
      <c r="B3118" s="308"/>
      <c r="C3118" s="308"/>
      <c r="D3118" s="308"/>
      <c r="E3118" s="308"/>
      <c r="F3118" s="309">
        <f>IFERROR(VLOOKUP(K3109,'2026.01'!A:Y,19,0),0)</f>
        <v>47</v>
      </c>
      <c r="G3118" s="310"/>
      <c r="K3118" s="300"/>
    </row>
    <row r="3119" ht="17.15" customHeight="1" spans="1:11">
      <c r="A3119" s="307" t="s">
        <v>18</v>
      </c>
      <c r="B3119" s="308"/>
      <c r="C3119" s="308"/>
      <c r="D3119" s="308"/>
      <c r="E3119" s="308"/>
      <c r="F3119" s="309">
        <f>IFERROR(VLOOKUP(K3109,'2026.01'!A:Y,22,0),0)</f>
        <v>146</v>
      </c>
      <c r="G3119" s="310"/>
      <c r="K3119" s="300"/>
    </row>
    <row r="3120" ht="17.15" customHeight="1" spans="1:11">
      <c r="A3120" s="307" t="s">
        <v>19</v>
      </c>
      <c r="B3120" s="312"/>
      <c r="C3120" s="308"/>
      <c r="D3120" s="313"/>
      <c r="E3120" s="308"/>
      <c r="F3120" s="309">
        <f>IFERROR(VLOOKUP(K3109,'2026.01'!A:Y,25,0),0)</f>
        <v>5958</v>
      </c>
      <c r="G3120" s="310"/>
      <c r="K3120" s="300"/>
    </row>
    <row r="3121" ht="15" customHeight="1" spans="1:11">
      <c r="A3121" s="314" t="s">
        <v>20</v>
      </c>
      <c r="B3121" s="315">
        <f>IF(F3120&lt;0,"金额为负，无效",INT(F3120))</f>
        <v>5958</v>
      </c>
      <c r="C3121" s="315"/>
      <c r="D3121" s="315"/>
      <c r="E3121" s="316" t="s">
        <v>21</v>
      </c>
      <c r="F3121" s="317"/>
      <c r="G3121" s="318"/>
      <c r="K3121" s="300"/>
    </row>
    <row r="3122" ht="23" customHeight="1" spans="1:11">
      <c r="A3122" s="319"/>
      <c r="B3122" s="320"/>
      <c r="C3122" s="320"/>
      <c r="D3122" s="320"/>
      <c r="E3122" s="319"/>
      <c r="F3122" s="321"/>
      <c r="G3122" s="322"/>
      <c r="K3122" s="300"/>
    </row>
    <row r="3123" ht="27" customHeight="1" spans="1:11">
      <c r="A3123" s="298" t="s">
        <v>0</v>
      </c>
      <c r="B3123" s="298"/>
      <c r="C3123" s="298"/>
      <c r="D3123" s="298"/>
      <c r="E3123" s="298"/>
      <c r="F3123" s="298"/>
      <c r="G3123" s="298"/>
      <c r="H3123" s="299"/>
      <c r="I3123" s="299"/>
      <c r="J3123" s="299"/>
      <c r="K3123" s="300">
        <v>224</v>
      </c>
    </row>
    <row r="3124" ht="15" customHeight="1" spans="1:11">
      <c r="A3124" s="301" t="s">
        <v>1</v>
      </c>
      <c r="B3124" s="301"/>
      <c r="C3124" s="301"/>
      <c r="D3124" s="301"/>
      <c r="E3124" s="301"/>
      <c r="F3124" s="301"/>
      <c r="G3124" s="302" t="str">
        <f>IFERROR(VLOOKUP(K3123,'2026.01'!A:Y,2,0),0)</f>
        <v>NO:224</v>
      </c>
      <c r="K3124" s="300"/>
    </row>
    <row r="3125" ht="15" customHeight="1" spans="1:11">
      <c r="A3125" s="303" t="s">
        <v>2</v>
      </c>
      <c r="B3125" s="304">
        <f>IFERROR(VLOOKUP(K3123,'2026.01'!A:Y,6,0),0)</f>
        <v>4003</v>
      </c>
      <c r="C3125" s="304"/>
      <c r="D3125" s="305" t="s">
        <v>3</v>
      </c>
      <c r="E3125" s="305" t="str">
        <f>IFERROR(VLOOKUP(K3123,'2026.01'!A:Y,7,0),0)</f>
        <v>卢世雍</v>
      </c>
      <c r="F3125" s="305"/>
      <c r="G3125" s="306" t="s">
        <v>4</v>
      </c>
      <c r="K3125" s="300"/>
    </row>
    <row r="3126" ht="15" customHeight="1" spans="1:11">
      <c r="A3126" s="307" t="s">
        <v>5</v>
      </c>
      <c r="B3126" s="308" t="s">
        <v>6</v>
      </c>
      <c r="C3126" s="308" t="s">
        <v>7</v>
      </c>
      <c r="D3126" s="308" t="s">
        <v>8</v>
      </c>
      <c r="E3126" s="308" t="s">
        <v>9</v>
      </c>
      <c r="F3126" s="309" t="s">
        <v>10</v>
      </c>
      <c r="G3126" s="310" t="s">
        <v>11</v>
      </c>
      <c r="K3126" s="300"/>
    </row>
    <row r="3127" ht="15" customHeight="1" spans="1:11">
      <c r="A3127" s="307" t="s">
        <v>12</v>
      </c>
      <c r="B3127" s="308">
        <f>IFERROR(VLOOKUP(K3123,'2026.01'!A:Y,14,0),0)</f>
        <v>5074</v>
      </c>
      <c r="C3127" s="308">
        <f>IFERROR(VLOOKUP(K3123,'2026.01'!A:Y,13,0),0)</f>
        <v>5020</v>
      </c>
      <c r="D3127" s="308">
        <f>IFERROR(VLOOKUP(K3123,'2026.01'!A:Y,15,0),0)</f>
        <v>54</v>
      </c>
      <c r="E3127" s="311">
        <f>IFERROR(VLOOKUP(K3123,'2026.01'!A:Y,18,0),0)</f>
        <v>0.8</v>
      </c>
      <c r="F3127" s="309">
        <f>IFERROR(VLOOKUP(K3123,'2026.01'!A:Y,20,0),0)</f>
        <v>43</v>
      </c>
      <c r="G3127" s="310"/>
      <c r="K3127" s="300"/>
    </row>
    <row r="3128" ht="15" customHeight="1" spans="1:11">
      <c r="A3128" s="307" t="s">
        <v>13</v>
      </c>
      <c r="B3128" s="308"/>
      <c r="C3128" s="308"/>
      <c r="D3128" s="308"/>
      <c r="E3128" s="311"/>
      <c r="F3128" s="309">
        <f>IFERROR(VLOOKUP(K3123,'2026.01'!A:Y,24,0),0)</f>
        <v>51</v>
      </c>
      <c r="G3128" s="310"/>
      <c r="K3128" s="300"/>
    </row>
    <row r="3129" ht="15" customHeight="1" spans="1:11">
      <c r="A3129" s="307" t="s">
        <v>14</v>
      </c>
      <c r="B3129" s="308"/>
      <c r="C3129" s="308"/>
      <c r="D3129" s="308"/>
      <c r="E3129" s="311"/>
      <c r="F3129" s="309">
        <f>IFERROR(VLOOKUP(K3123,'2026.01'!A:Y,12,0),0)</f>
        <v>160</v>
      </c>
      <c r="G3129" s="310"/>
      <c r="K3129" s="300"/>
    </row>
    <row r="3130" ht="21" customHeight="1" spans="1:11">
      <c r="A3130" s="307" t="s">
        <v>15</v>
      </c>
      <c r="B3130" s="308"/>
      <c r="C3130" s="308"/>
      <c r="D3130" s="308"/>
      <c r="E3130" s="311"/>
      <c r="F3130" s="309">
        <f>IFERROR(VLOOKUP(K3123,'2026.01'!A:Y,9,0),0)</f>
        <v>5000</v>
      </c>
      <c r="G3130" s="310"/>
      <c r="K3130" s="300"/>
    </row>
    <row r="3131" ht="19" customHeight="1" spans="1:11">
      <c r="A3131" s="307" t="s">
        <v>16</v>
      </c>
      <c r="B3131" s="308"/>
      <c r="C3131" s="308"/>
      <c r="D3131" s="308"/>
      <c r="E3131" s="308"/>
      <c r="F3131" s="309">
        <f>IFERROR(VLOOKUP(K3123,'2026.01'!A:Y,10,0),0)</f>
        <v>500</v>
      </c>
      <c r="G3131" s="310"/>
      <c r="K3131" s="300"/>
    </row>
    <row r="3132" ht="21" customHeight="1" spans="1:11">
      <c r="A3132" s="307" t="s">
        <v>17</v>
      </c>
      <c r="B3132" s="308"/>
      <c r="C3132" s="308"/>
      <c r="D3132" s="308"/>
      <c r="E3132" s="308"/>
      <c r="F3132" s="309">
        <f>IFERROR(VLOOKUP(K3123,'2026.01'!A:Y,19,0),0)</f>
        <v>38</v>
      </c>
      <c r="G3132" s="310"/>
      <c r="K3132" s="300"/>
    </row>
    <row r="3133" ht="17.15" customHeight="1" spans="1:11">
      <c r="A3133" s="307" t="s">
        <v>18</v>
      </c>
      <c r="B3133" s="308"/>
      <c r="C3133" s="308"/>
      <c r="D3133" s="308"/>
      <c r="E3133" s="308"/>
      <c r="F3133" s="309">
        <f>IFERROR(VLOOKUP(K3123,'2026.01'!A:Y,22,0),0)</f>
        <v>146</v>
      </c>
      <c r="G3133" s="310"/>
      <c r="K3133" s="300"/>
    </row>
    <row r="3134" ht="17.15" customHeight="1" spans="1:11">
      <c r="A3134" s="307" t="s">
        <v>19</v>
      </c>
      <c r="B3134" s="312"/>
      <c r="C3134" s="308"/>
      <c r="D3134" s="313"/>
      <c r="E3134" s="308"/>
      <c r="F3134" s="309">
        <f>IFERROR(VLOOKUP(K3123,'2026.01'!A:Y,25,0),0)</f>
        <v>5938</v>
      </c>
      <c r="G3134" s="310"/>
      <c r="K3134" s="300"/>
    </row>
    <row r="3135" ht="15" customHeight="1" spans="1:11">
      <c r="A3135" s="314" t="s">
        <v>20</v>
      </c>
      <c r="B3135" s="315">
        <f>IF(F3134&lt;0,"金额为负，无效",INT(F3134))</f>
        <v>5938</v>
      </c>
      <c r="C3135" s="315"/>
      <c r="D3135" s="315"/>
      <c r="E3135" s="316" t="s">
        <v>21</v>
      </c>
      <c r="F3135" s="317"/>
      <c r="G3135" s="318"/>
      <c r="K3135" s="300"/>
    </row>
    <row r="3136" ht="23" customHeight="1" spans="1:11">
      <c r="A3136" s="319"/>
      <c r="B3136" s="320"/>
      <c r="C3136" s="320"/>
      <c r="D3136" s="320"/>
      <c r="E3136" s="319"/>
      <c r="F3136" s="321"/>
      <c r="G3136" s="322"/>
      <c r="K3136" s="300"/>
    </row>
    <row r="3137" ht="27" customHeight="1" spans="1:11">
      <c r="A3137" s="298" t="s">
        <v>0</v>
      </c>
      <c r="B3137" s="298"/>
      <c r="C3137" s="298"/>
      <c r="D3137" s="298"/>
      <c r="E3137" s="298"/>
      <c r="F3137" s="298"/>
      <c r="G3137" s="298"/>
      <c r="H3137" s="299"/>
      <c r="I3137" s="299"/>
      <c r="J3137" s="299"/>
      <c r="K3137" s="300">
        <v>225</v>
      </c>
    </row>
    <row r="3138" ht="15" customHeight="1" spans="1:11">
      <c r="A3138" s="301" t="s">
        <v>1</v>
      </c>
      <c r="B3138" s="301"/>
      <c r="C3138" s="301"/>
      <c r="D3138" s="301"/>
      <c r="E3138" s="301"/>
      <c r="F3138" s="301"/>
      <c r="G3138" s="302" t="str">
        <f>IFERROR(VLOOKUP(K3137,'2026.01'!A:Y,2,0),0)</f>
        <v>NO:225</v>
      </c>
      <c r="K3138" s="300"/>
    </row>
    <row r="3139" ht="15" customHeight="1" spans="1:11">
      <c r="A3139" s="303" t="s">
        <v>2</v>
      </c>
      <c r="B3139" s="304">
        <f>IFERROR(VLOOKUP(K3137,'2026.01'!A:Y,6,0),0)</f>
        <v>4004</v>
      </c>
      <c r="C3139" s="304"/>
      <c r="D3139" s="305" t="s">
        <v>3</v>
      </c>
      <c r="E3139" s="305" t="str">
        <f>IFERROR(VLOOKUP(K3137,'2026.01'!A:Y,7,0),0)</f>
        <v>李春辉</v>
      </c>
      <c r="F3139" s="305"/>
      <c r="G3139" s="306" t="s">
        <v>4</v>
      </c>
      <c r="K3139" s="300"/>
    </row>
    <row r="3140" ht="15" customHeight="1" spans="1:11">
      <c r="A3140" s="307" t="s">
        <v>5</v>
      </c>
      <c r="B3140" s="308" t="s">
        <v>6</v>
      </c>
      <c r="C3140" s="308" t="s">
        <v>7</v>
      </c>
      <c r="D3140" s="308" t="s">
        <v>8</v>
      </c>
      <c r="E3140" s="308" t="s">
        <v>9</v>
      </c>
      <c r="F3140" s="309" t="s">
        <v>10</v>
      </c>
      <c r="G3140" s="310" t="s">
        <v>11</v>
      </c>
      <c r="K3140" s="300"/>
    </row>
    <row r="3141" ht="15" customHeight="1" spans="1:11">
      <c r="A3141" s="307" t="s">
        <v>12</v>
      </c>
      <c r="B3141" s="308">
        <f>IFERROR(VLOOKUP(K3137,'2026.01'!A:Y,14,0),0)</f>
        <v>9278</v>
      </c>
      <c r="C3141" s="308">
        <f>IFERROR(VLOOKUP(K3137,'2026.01'!A:Y,13,0),0)</f>
        <v>9278</v>
      </c>
      <c r="D3141" s="308">
        <f>IFERROR(VLOOKUP(K3137,'2026.01'!A:Y,15,0),0)</f>
        <v>0</v>
      </c>
      <c r="E3141" s="311">
        <f>IFERROR(VLOOKUP(K3137,'2026.01'!A:Y,18,0),0)</f>
        <v>0.8</v>
      </c>
      <c r="F3141" s="309">
        <f>IFERROR(VLOOKUP(K3137,'2026.01'!A:Y,20,0),0)</f>
        <v>0</v>
      </c>
      <c r="G3141" s="310"/>
      <c r="K3141" s="300"/>
    </row>
    <row r="3142" ht="15" customHeight="1" spans="1:11">
      <c r="A3142" s="307" t="s">
        <v>13</v>
      </c>
      <c r="B3142" s="308"/>
      <c r="C3142" s="308"/>
      <c r="D3142" s="308"/>
      <c r="E3142" s="311"/>
      <c r="F3142" s="309">
        <f>IFERROR(VLOOKUP(K3137,'2026.01'!A:Y,24,0),0)</f>
        <v>51</v>
      </c>
      <c r="G3142" s="310"/>
      <c r="K3142" s="300"/>
    </row>
    <row r="3143" ht="15" customHeight="1" spans="1:11">
      <c r="A3143" s="307" t="s">
        <v>14</v>
      </c>
      <c r="B3143" s="308"/>
      <c r="C3143" s="308"/>
      <c r="D3143" s="308"/>
      <c r="E3143" s="311"/>
      <c r="F3143" s="309">
        <f>IFERROR(VLOOKUP(K3137,'2026.01'!A:Y,12,0),0)</f>
        <v>160</v>
      </c>
      <c r="G3143" s="310"/>
      <c r="K3143" s="300"/>
    </row>
    <row r="3144" ht="21" customHeight="1" spans="1:11">
      <c r="A3144" s="307" t="s">
        <v>15</v>
      </c>
      <c r="B3144" s="308"/>
      <c r="C3144" s="308"/>
      <c r="D3144" s="308"/>
      <c r="E3144" s="311"/>
      <c r="F3144" s="309">
        <f>IFERROR(VLOOKUP(K3137,'2026.01'!A:Y,9,0),0)</f>
        <v>5000</v>
      </c>
      <c r="G3144" s="310"/>
      <c r="K3144" s="300"/>
    </row>
    <row r="3145" ht="19" customHeight="1" spans="1:11">
      <c r="A3145" s="307" t="s">
        <v>16</v>
      </c>
      <c r="B3145" s="308"/>
      <c r="C3145" s="308"/>
      <c r="D3145" s="308"/>
      <c r="E3145" s="308"/>
      <c r="F3145" s="309">
        <f>IFERROR(VLOOKUP(K3137,'2026.01'!A:Y,10,0),0)</f>
        <v>500</v>
      </c>
      <c r="G3145" s="310"/>
      <c r="K3145" s="300"/>
    </row>
    <row r="3146" ht="21" customHeight="1" spans="1:11">
      <c r="A3146" s="307" t="s">
        <v>17</v>
      </c>
      <c r="B3146" s="308"/>
      <c r="C3146" s="308"/>
      <c r="D3146" s="308"/>
      <c r="E3146" s="308"/>
      <c r="F3146" s="309">
        <f>IFERROR(VLOOKUP(K3137,'2026.01'!A:Y,19,0),0)</f>
        <v>0</v>
      </c>
      <c r="G3146" s="310"/>
      <c r="K3146" s="300"/>
    </row>
    <row r="3147" ht="17.15" customHeight="1" spans="1:11">
      <c r="A3147" s="307" t="s">
        <v>18</v>
      </c>
      <c r="B3147" s="308"/>
      <c r="C3147" s="308"/>
      <c r="D3147" s="308"/>
      <c r="E3147" s="308"/>
      <c r="F3147" s="309">
        <f>IFERROR(VLOOKUP(K3137,'2026.01'!A:Y,22,0),0)</f>
        <v>146</v>
      </c>
      <c r="G3147" s="310"/>
      <c r="K3147" s="300"/>
    </row>
    <row r="3148" ht="17.15" customHeight="1" spans="1:11">
      <c r="A3148" s="307" t="s">
        <v>19</v>
      </c>
      <c r="B3148" s="312"/>
      <c r="C3148" s="308"/>
      <c r="D3148" s="313"/>
      <c r="E3148" s="308"/>
      <c r="F3148" s="309">
        <f>IFERROR(VLOOKUP(K3137,'2026.01'!A:Y,25,0),0)</f>
        <v>5857</v>
      </c>
      <c r="G3148" s="310"/>
      <c r="K3148" s="300"/>
    </row>
    <row r="3149" ht="15" customHeight="1" spans="1:11">
      <c r="A3149" s="314" t="s">
        <v>20</v>
      </c>
      <c r="B3149" s="315">
        <f>IF(F3148&lt;0,"金额为负，无效",INT(F3148))</f>
        <v>5857</v>
      </c>
      <c r="C3149" s="315"/>
      <c r="D3149" s="315"/>
      <c r="E3149" s="316" t="s">
        <v>21</v>
      </c>
      <c r="F3149" s="317"/>
      <c r="G3149" s="318"/>
      <c r="K3149" s="300"/>
    </row>
    <row r="3150" ht="15" customHeight="1" spans="1:11">
      <c r="A3150" s="319"/>
      <c r="B3150" s="320"/>
      <c r="C3150" s="320"/>
      <c r="D3150" s="320"/>
      <c r="E3150" s="319"/>
      <c r="F3150" s="321"/>
      <c r="G3150" s="322"/>
      <c r="K3150" s="300"/>
    </row>
    <row r="3151" ht="27" customHeight="1" spans="1:11">
      <c r="A3151" s="298" t="s">
        <v>0</v>
      </c>
      <c r="B3151" s="298"/>
      <c r="C3151" s="298"/>
      <c r="D3151" s="298"/>
      <c r="E3151" s="298"/>
      <c r="F3151" s="298"/>
      <c r="G3151" s="298"/>
      <c r="H3151" s="299"/>
      <c r="I3151" s="299"/>
      <c r="J3151" s="299"/>
      <c r="K3151" s="300">
        <v>226</v>
      </c>
    </row>
    <row r="3152" ht="15" customHeight="1" spans="1:11">
      <c r="A3152" s="301" t="s">
        <v>1</v>
      </c>
      <c r="B3152" s="301"/>
      <c r="C3152" s="301"/>
      <c r="D3152" s="301"/>
      <c r="E3152" s="301"/>
      <c r="F3152" s="301"/>
      <c r="G3152" s="302" t="str">
        <f>IFERROR(VLOOKUP(K3151,'2026.01'!A:Y,2,0),0)</f>
        <v>NO:226</v>
      </c>
      <c r="K3152" s="300"/>
    </row>
    <row r="3153" ht="15" customHeight="1" spans="1:11">
      <c r="A3153" s="303" t="s">
        <v>2</v>
      </c>
      <c r="B3153" s="304">
        <f>IFERROR(VLOOKUP(K3151,'2026.01'!A:Y,6,0),0)</f>
        <v>4005</v>
      </c>
      <c r="C3153" s="304"/>
      <c r="D3153" s="305" t="s">
        <v>3</v>
      </c>
      <c r="E3153" s="305" t="str">
        <f>IFERROR(VLOOKUP(K3151,'2026.01'!A:Y,7,0),0)</f>
        <v>黄瑞凤</v>
      </c>
      <c r="F3153" s="305"/>
      <c r="G3153" s="306" t="s">
        <v>4</v>
      </c>
      <c r="K3153" s="300"/>
    </row>
    <row r="3154" ht="15" customHeight="1" spans="1:11">
      <c r="A3154" s="307" t="s">
        <v>5</v>
      </c>
      <c r="B3154" s="308" t="s">
        <v>6</v>
      </c>
      <c r="C3154" s="308" t="s">
        <v>7</v>
      </c>
      <c r="D3154" s="308" t="s">
        <v>8</v>
      </c>
      <c r="E3154" s="308" t="s">
        <v>9</v>
      </c>
      <c r="F3154" s="309" t="s">
        <v>10</v>
      </c>
      <c r="G3154" s="310" t="s">
        <v>11</v>
      </c>
      <c r="K3154" s="300"/>
    </row>
    <row r="3155" ht="15" customHeight="1" spans="1:11">
      <c r="A3155" s="307" t="s">
        <v>12</v>
      </c>
      <c r="B3155" s="308">
        <f>IFERROR(VLOOKUP(K3151,'2026.01'!A:Y,14,0),0)</f>
        <v>2278</v>
      </c>
      <c r="C3155" s="308">
        <f>IFERROR(VLOOKUP(K3151,'2026.01'!A:Y,13,0),0)</f>
        <v>2251</v>
      </c>
      <c r="D3155" s="308">
        <f>IFERROR(VLOOKUP(K3151,'2026.01'!A:Y,15,0),0)</f>
        <v>27</v>
      </c>
      <c r="E3155" s="311">
        <f>IFERROR(VLOOKUP(K3151,'2026.01'!A:Y,18,0),0)</f>
        <v>0.8</v>
      </c>
      <c r="F3155" s="309">
        <f>IFERROR(VLOOKUP(K3151,'2026.01'!A:Y,20,0),0)</f>
        <v>22</v>
      </c>
      <c r="G3155" s="310"/>
      <c r="K3155" s="300"/>
    </row>
    <row r="3156" ht="15" customHeight="1" spans="1:11">
      <c r="A3156" s="307" t="s">
        <v>13</v>
      </c>
      <c r="B3156" s="308"/>
      <c r="C3156" s="308"/>
      <c r="D3156" s="308"/>
      <c r="E3156" s="311"/>
      <c r="F3156" s="309">
        <f>IFERROR(VLOOKUP(K3151,'2026.01'!A:Y,24,0),0)</f>
        <v>51</v>
      </c>
      <c r="G3156" s="310"/>
      <c r="K3156" s="300"/>
    </row>
    <row r="3157" ht="15" customHeight="1" spans="1:11">
      <c r="A3157" s="307" t="s">
        <v>14</v>
      </c>
      <c r="B3157" s="308"/>
      <c r="C3157" s="308"/>
      <c r="D3157" s="308"/>
      <c r="E3157" s="311"/>
      <c r="F3157" s="309">
        <f>IFERROR(VLOOKUP(K3151,'2026.01'!A:Y,12,0),0)</f>
        <v>160</v>
      </c>
      <c r="G3157" s="310"/>
      <c r="K3157" s="300"/>
    </row>
    <row r="3158" ht="21" customHeight="1" spans="1:11">
      <c r="A3158" s="307" t="s">
        <v>15</v>
      </c>
      <c r="B3158" s="308"/>
      <c r="C3158" s="308"/>
      <c r="D3158" s="308"/>
      <c r="E3158" s="311"/>
      <c r="F3158" s="309">
        <f>IFERROR(VLOOKUP(K3151,'2026.01'!A:Y,9,0),0)</f>
        <v>5000</v>
      </c>
      <c r="G3158" s="310"/>
      <c r="K3158" s="300"/>
    </row>
    <row r="3159" ht="19" customHeight="1" spans="1:11">
      <c r="A3159" s="307" t="s">
        <v>16</v>
      </c>
      <c r="B3159" s="308"/>
      <c r="C3159" s="308"/>
      <c r="D3159" s="308"/>
      <c r="E3159" s="308"/>
      <c r="F3159" s="309">
        <f>IFERROR(VLOOKUP(K3151,'2026.01'!A:Y,10,0),0)</f>
        <v>500</v>
      </c>
      <c r="G3159" s="310"/>
      <c r="K3159" s="300"/>
    </row>
    <row r="3160" ht="21" customHeight="1" spans="1:11">
      <c r="A3160" s="307" t="s">
        <v>17</v>
      </c>
      <c r="B3160" s="308"/>
      <c r="C3160" s="308"/>
      <c r="D3160" s="308"/>
      <c r="E3160" s="308"/>
      <c r="F3160" s="309">
        <f>IFERROR(VLOOKUP(K3151,'2026.01'!A:Y,19,0),0)</f>
        <v>19</v>
      </c>
      <c r="G3160" s="310"/>
      <c r="K3160" s="300"/>
    </row>
    <row r="3161" ht="17.15" customHeight="1" spans="1:11">
      <c r="A3161" s="307" t="s">
        <v>18</v>
      </c>
      <c r="B3161" s="308"/>
      <c r="C3161" s="308"/>
      <c r="D3161" s="308"/>
      <c r="E3161" s="308"/>
      <c r="F3161" s="309">
        <f>IFERROR(VLOOKUP(K3151,'2026.01'!A:Y,22,0),0)</f>
        <v>146</v>
      </c>
      <c r="G3161" s="310"/>
      <c r="K3161" s="300"/>
    </row>
    <row r="3162" ht="17.15" customHeight="1" spans="1:11">
      <c r="A3162" s="307" t="s">
        <v>19</v>
      </c>
      <c r="B3162" s="312"/>
      <c r="C3162" s="308"/>
      <c r="D3162" s="313"/>
      <c r="E3162" s="308"/>
      <c r="F3162" s="309">
        <f>IFERROR(VLOOKUP(K3151,'2026.01'!A:Y,25,0),0)</f>
        <v>5898</v>
      </c>
      <c r="G3162" s="310"/>
      <c r="K3162" s="300"/>
    </row>
    <row r="3163" ht="15" customHeight="1" spans="1:11">
      <c r="A3163" s="314" t="s">
        <v>20</v>
      </c>
      <c r="B3163" s="315">
        <f>IF(F3162&lt;0,"金额为负，无效",INT(F3162))</f>
        <v>5898</v>
      </c>
      <c r="C3163" s="315"/>
      <c r="D3163" s="315"/>
      <c r="E3163" s="316" t="s">
        <v>21</v>
      </c>
      <c r="F3163" s="317"/>
      <c r="G3163" s="318"/>
      <c r="K3163" s="300"/>
    </row>
    <row r="3164" ht="23" customHeight="1" spans="1:11">
      <c r="A3164" s="319"/>
      <c r="B3164" s="320"/>
      <c r="C3164" s="320"/>
      <c r="D3164" s="320"/>
      <c r="E3164" s="319"/>
      <c r="F3164" s="321"/>
      <c r="G3164" s="322"/>
      <c r="K3164" s="300"/>
    </row>
    <row r="3165" ht="27" customHeight="1" spans="1:11">
      <c r="A3165" s="298" t="s">
        <v>0</v>
      </c>
      <c r="B3165" s="298"/>
      <c r="C3165" s="298"/>
      <c r="D3165" s="298"/>
      <c r="E3165" s="298"/>
      <c r="F3165" s="298"/>
      <c r="G3165" s="298"/>
      <c r="H3165" s="299"/>
      <c r="I3165" s="299"/>
      <c r="J3165" s="299"/>
      <c r="K3165" s="300">
        <v>227</v>
      </c>
    </row>
    <row r="3166" ht="15" customHeight="1" spans="1:11">
      <c r="A3166" s="301" t="s">
        <v>1</v>
      </c>
      <c r="B3166" s="301"/>
      <c r="C3166" s="301"/>
      <c r="D3166" s="301"/>
      <c r="E3166" s="301"/>
      <c r="F3166" s="301"/>
      <c r="G3166" s="302" t="str">
        <f>IFERROR(VLOOKUP(K3165,'2026.01'!A:Y,2,0),0)</f>
        <v>NO:227</v>
      </c>
      <c r="K3166" s="300"/>
    </row>
    <row r="3167" ht="15" customHeight="1" spans="1:11">
      <c r="A3167" s="303" t="s">
        <v>2</v>
      </c>
      <c r="B3167" s="304">
        <f>IFERROR(VLOOKUP(K3165,'2026.01'!A:Y,6,0),0)</f>
        <v>4006</v>
      </c>
      <c r="C3167" s="304"/>
      <c r="D3167" s="305" t="s">
        <v>3</v>
      </c>
      <c r="E3167" s="305" t="str">
        <f>IFERROR(VLOOKUP(K3165,'2026.01'!A:Y,7,0),0)</f>
        <v>李露露</v>
      </c>
      <c r="F3167" s="305"/>
      <c r="G3167" s="306" t="s">
        <v>4</v>
      </c>
      <c r="K3167" s="300"/>
    </row>
    <row r="3168" ht="15" customHeight="1" spans="1:11">
      <c r="A3168" s="307" t="s">
        <v>5</v>
      </c>
      <c r="B3168" s="308" t="s">
        <v>6</v>
      </c>
      <c r="C3168" s="308" t="s">
        <v>7</v>
      </c>
      <c r="D3168" s="308" t="s">
        <v>8</v>
      </c>
      <c r="E3168" s="308" t="s">
        <v>9</v>
      </c>
      <c r="F3168" s="309" t="s">
        <v>10</v>
      </c>
      <c r="G3168" s="310" t="s">
        <v>11</v>
      </c>
      <c r="K3168" s="300"/>
    </row>
    <row r="3169" ht="15" customHeight="1" spans="1:11">
      <c r="A3169" s="307" t="s">
        <v>12</v>
      </c>
      <c r="B3169" s="308">
        <f>IFERROR(VLOOKUP(K3165,'2026.01'!A:Y,14,0),0)</f>
        <v>4527</v>
      </c>
      <c r="C3169" s="308">
        <f>IFERROR(VLOOKUP(K3165,'2026.01'!A:Y,13,0),0)</f>
        <v>4446</v>
      </c>
      <c r="D3169" s="308">
        <f>IFERROR(VLOOKUP(K3165,'2026.01'!A:Y,15,0),0)</f>
        <v>81</v>
      </c>
      <c r="E3169" s="311">
        <f>IFERROR(VLOOKUP(K3165,'2026.01'!A:Y,18,0),0)</f>
        <v>0.8</v>
      </c>
      <c r="F3169" s="309">
        <f>IFERROR(VLOOKUP(K3165,'2026.01'!A:Y,20,0),0)</f>
        <v>65</v>
      </c>
      <c r="G3169" s="310"/>
      <c r="K3169" s="300"/>
    </row>
    <row r="3170" ht="15" customHeight="1" spans="1:11">
      <c r="A3170" s="307" t="s">
        <v>13</v>
      </c>
      <c r="B3170" s="308"/>
      <c r="C3170" s="308"/>
      <c r="D3170" s="308"/>
      <c r="E3170" s="311"/>
      <c r="F3170" s="309">
        <f>IFERROR(VLOOKUP(K3165,'2026.01'!A:Y,24,0),0)</f>
        <v>51</v>
      </c>
      <c r="G3170" s="310"/>
      <c r="K3170" s="300"/>
    </row>
    <row r="3171" ht="15" customHeight="1" spans="1:11">
      <c r="A3171" s="307" t="s">
        <v>14</v>
      </c>
      <c r="B3171" s="308"/>
      <c r="C3171" s="308"/>
      <c r="D3171" s="308"/>
      <c r="E3171" s="311"/>
      <c r="F3171" s="309">
        <f>IFERROR(VLOOKUP(K3165,'2026.01'!A:Y,12,0),0)</f>
        <v>160</v>
      </c>
      <c r="G3171" s="310"/>
      <c r="K3171" s="300"/>
    </row>
    <row r="3172" ht="21" customHeight="1" spans="1:11">
      <c r="A3172" s="307" t="s">
        <v>15</v>
      </c>
      <c r="B3172" s="308"/>
      <c r="C3172" s="308"/>
      <c r="D3172" s="308"/>
      <c r="E3172" s="311"/>
      <c r="F3172" s="309">
        <f>IFERROR(VLOOKUP(K3165,'2026.01'!A:Y,9,0),0)</f>
        <v>5000</v>
      </c>
      <c r="G3172" s="310"/>
      <c r="K3172" s="300"/>
    </row>
    <row r="3173" ht="19" customHeight="1" spans="1:11">
      <c r="A3173" s="307" t="s">
        <v>16</v>
      </c>
      <c r="B3173" s="308"/>
      <c r="C3173" s="308"/>
      <c r="D3173" s="308"/>
      <c r="E3173" s="308"/>
      <c r="F3173" s="309">
        <f>IFERROR(VLOOKUP(K3165,'2026.01'!A:Y,10,0),0)</f>
        <v>500</v>
      </c>
      <c r="G3173" s="310"/>
      <c r="K3173" s="300"/>
    </row>
    <row r="3174" ht="21" customHeight="1" spans="1:11">
      <c r="A3174" s="307" t="s">
        <v>17</v>
      </c>
      <c r="B3174" s="308"/>
      <c r="C3174" s="308"/>
      <c r="D3174" s="308"/>
      <c r="E3174" s="308"/>
      <c r="F3174" s="309">
        <f>IFERROR(VLOOKUP(K3165,'2026.01'!A:Y,19,0),0)</f>
        <v>57</v>
      </c>
      <c r="G3174" s="310"/>
      <c r="K3174" s="300"/>
    </row>
    <row r="3175" ht="17.15" customHeight="1" spans="1:11">
      <c r="A3175" s="307" t="s">
        <v>18</v>
      </c>
      <c r="B3175" s="308"/>
      <c r="C3175" s="308"/>
      <c r="D3175" s="308"/>
      <c r="E3175" s="308"/>
      <c r="F3175" s="309">
        <f>IFERROR(VLOOKUP(K3165,'2026.01'!A:Y,22,0),0)</f>
        <v>146</v>
      </c>
      <c r="G3175" s="310"/>
      <c r="K3175" s="300"/>
    </row>
    <row r="3176" ht="17.15" customHeight="1" spans="1:11">
      <c r="A3176" s="307" t="s">
        <v>19</v>
      </c>
      <c r="B3176" s="312"/>
      <c r="C3176" s="308"/>
      <c r="D3176" s="313"/>
      <c r="E3176" s="308"/>
      <c r="F3176" s="309">
        <f>IFERROR(VLOOKUP(K3165,'2026.01'!A:Y,25,0),0)</f>
        <v>5979</v>
      </c>
      <c r="G3176" s="310"/>
      <c r="K3176" s="300"/>
    </row>
    <row r="3177" ht="15" customHeight="1" spans="1:11">
      <c r="A3177" s="314" t="s">
        <v>20</v>
      </c>
      <c r="B3177" s="315">
        <f>IF(F3176&lt;0,"金额为负，无效",INT(F3176))</f>
        <v>5979</v>
      </c>
      <c r="C3177" s="315"/>
      <c r="D3177" s="315"/>
      <c r="E3177" s="316" t="s">
        <v>21</v>
      </c>
      <c r="F3177" s="317"/>
      <c r="G3177" s="318"/>
      <c r="K3177" s="300"/>
    </row>
    <row r="3178" ht="23" customHeight="1" spans="1:11">
      <c r="A3178" s="319"/>
      <c r="B3178" s="320"/>
      <c r="C3178" s="320"/>
      <c r="D3178" s="320"/>
      <c r="E3178" s="319"/>
      <c r="F3178" s="321"/>
      <c r="G3178" s="322"/>
      <c r="K3178" s="300"/>
    </row>
    <row r="3179" ht="27" customHeight="1" spans="1:11">
      <c r="A3179" s="298" t="s">
        <v>0</v>
      </c>
      <c r="B3179" s="298"/>
      <c r="C3179" s="298"/>
      <c r="D3179" s="298"/>
      <c r="E3179" s="298"/>
      <c r="F3179" s="298"/>
      <c r="G3179" s="298"/>
      <c r="H3179" s="299"/>
      <c r="I3179" s="299"/>
      <c r="J3179" s="299"/>
      <c r="K3179" s="300">
        <v>228</v>
      </c>
    </row>
    <row r="3180" ht="15" customHeight="1" spans="1:11">
      <c r="A3180" s="301" t="s">
        <v>1</v>
      </c>
      <c r="B3180" s="301"/>
      <c r="C3180" s="301"/>
      <c r="D3180" s="301"/>
      <c r="E3180" s="301"/>
      <c r="F3180" s="301"/>
      <c r="G3180" s="302" t="str">
        <f>IFERROR(VLOOKUP(K3179,'2026.01'!A:Y,2,0),0)</f>
        <v>NO:228</v>
      </c>
      <c r="K3180" s="300"/>
    </row>
    <row r="3181" ht="15" customHeight="1" spans="1:11">
      <c r="A3181" s="303" t="s">
        <v>2</v>
      </c>
      <c r="B3181" s="304">
        <f>IFERROR(VLOOKUP(K3179,'2026.01'!A:Y,6,0),0)</f>
        <v>4007</v>
      </c>
      <c r="C3181" s="304"/>
      <c r="D3181" s="305" t="s">
        <v>3</v>
      </c>
      <c r="E3181" s="305" t="str">
        <f>IFERROR(VLOOKUP(K3179,'2026.01'!A:Y,7,0),0)</f>
        <v>黄会中</v>
      </c>
      <c r="F3181" s="305"/>
      <c r="G3181" s="306" t="s">
        <v>4</v>
      </c>
      <c r="K3181" s="300"/>
    </row>
    <row r="3182" ht="15" customHeight="1" spans="1:11">
      <c r="A3182" s="307" t="s">
        <v>5</v>
      </c>
      <c r="B3182" s="308" t="s">
        <v>6</v>
      </c>
      <c r="C3182" s="308" t="s">
        <v>7</v>
      </c>
      <c r="D3182" s="308" t="s">
        <v>8</v>
      </c>
      <c r="E3182" s="308" t="s">
        <v>9</v>
      </c>
      <c r="F3182" s="309" t="s">
        <v>10</v>
      </c>
      <c r="G3182" s="310" t="s">
        <v>11</v>
      </c>
      <c r="K3182" s="300"/>
    </row>
    <row r="3183" ht="15" customHeight="1" spans="1:11">
      <c r="A3183" s="307" t="s">
        <v>12</v>
      </c>
      <c r="B3183" s="308">
        <f>IFERROR(VLOOKUP(K3179,'2026.01'!A:Y,14,0),0)</f>
        <v>8040</v>
      </c>
      <c r="C3183" s="308">
        <f>IFERROR(VLOOKUP(K3179,'2026.01'!A:Y,13,0),0)</f>
        <v>7984</v>
      </c>
      <c r="D3183" s="308">
        <f>IFERROR(VLOOKUP(K3179,'2026.01'!A:Y,15,0),0)</f>
        <v>56</v>
      </c>
      <c r="E3183" s="311">
        <f>IFERROR(VLOOKUP(K3179,'2026.01'!A:Y,18,0),0)</f>
        <v>0.8</v>
      </c>
      <c r="F3183" s="309">
        <f>IFERROR(VLOOKUP(K3179,'2026.01'!A:Y,20,0),0)</f>
        <v>45</v>
      </c>
      <c r="G3183" s="310"/>
      <c r="K3183" s="300"/>
    </row>
    <row r="3184" ht="15" customHeight="1" spans="1:11">
      <c r="A3184" s="307" t="s">
        <v>13</v>
      </c>
      <c r="B3184" s="308"/>
      <c r="C3184" s="308"/>
      <c r="D3184" s="308"/>
      <c r="E3184" s="311"/>
      <c r="F3184" s="309">
        <f>IFERROR(VLOOKUP(K3179,'2026.01'!A:Y,24,0),0)</f>
        <v>51</v>
      </c>
      <c r="G3184" s="310"/>
      <c r="K3184" s="300"/>
    </row>
    <row r="3185" ht="15" customHeight="1" spans="1:11">
      <c r="A3185" s="307" t="s">
        <v>14</v>
      </c>
      <c r="B3185" s="308"/>
      <c r="C3185" s="308"/>
      <c r="D3185" s="308"/>
      <c r="E3185" s="311"/>
      <c r="F3185" s="309">
        <f>IFERROR(VLOOKUP(K3179,'2026.01'!A:Y,12,0),0)</f>
        <v>160</v>
      </c>
      <c r="G3185" s="310"/>
      <c r="K3185" s="300"/>
    </row>
    <row r="3186" ht="21" customHeight="1" spans="1:11">
      <c r="A3186" s="307" t="s">
        <v>15</v>
      </c>
      <c r="B3186" s="308"/>
      <c r="C3186" s="308"/>
      <c r="D3186" s="308"/>
      <c r="E3186" s="311"/>
      <c r="F3186" s="309">
        <f>IFERROR(VLOOKUP(K3179,'2026.01'!A:Y,9,0),0)</f>
        <v>5000</v>
      </c>
      <c r="G3186" s="310"/>
      <c r="K3186" s="300"/>
    </row>
    <row r="3187" ht="19" customHeight="1" spans="1:11">
      <c r="A3187" s="307" t="s">
        <v>16</v>
      </c>
      <c r="B3187" s="308"/>
      <c r="C3187" s="308"/>
      <c r="D3187" s="308"/>
      <c r="E3187" s="308"/>
      <c r="F3187" s="309">
        <f>IFERROR(VLOOKUP(K3179,'2026.01'!A:Y,10,0),0)</f>
        <v>500</v>
      </c>
      <c r="G3187" s="310"/>
      <c r="K3187" s="300"/>
    </row>
    <row r="3188" ht="21" customHeight="1" spans="1:11">
      <c r="A3188" s="307" t="s">
        <v>17</v>
      </c>
      <c r="B3188" s="308"/>
      <c r="C3188" s="308"/>
      <c r="D3188" s="308"/>
      <c r="E3188" s="308"/>
      <c r="F3188" s="309">
        <f>IFERROR(VLOOKUP(K3179,'2026.01'!A:Y,19,0),0)</f>
        <v>39</v>
      </c>
      <c r="G3188" s="310"/>
      <c r="K3188" s="300"/>
    </row>
    <row r="3189" ht="17.15" customHeight="1" spans="1:11">
      <c r="A3189" s="307" t="s">
        <v>18</v>
      </c>
      <c r="B3189" s="308"/>
      <c r="C3189" s="308"/>
      <c r="D3189" s="308"/>
      <c r="E3189" s="308"/>
      <c r="F3189" s="309">
        <f>IFERROR(VLOOKUP(K3179,'2026.01'!A:Y,22,0),0)</f>
        <v>146</v>
      </c>
      <c r="G3189" s="310"/>
      <c r="K3189" s="300"/>
    </row>
    <row r="3190" ht="17.15" customHeight="1" spans="1:11">
      <c r="A3190" s="307" t="s">
        <v>19</v>
      </c>
      <c r="B3190" s="312"/>
      <c r="C3190" s="308"/>
      <c r="D3190" s="313"/>
      <c r="E3190" s="308"/>
      <c r="F3190" s="309">
        <f>IFERROR(VLOOKUP(K3179,'2026.01'!A:Y,25,0),0)</f>
        <v>5941</v>
      </c>
      <c r="G3190" s="310"/>
      <c r="K3190" s="300"/>
    </row>
    <row r="3191" ht="15" customHeight="1" spans="1:11">
      <c r="A3191" s="314" t="s">
        <v>20</v>
      </c>
      <c r="B3191" s="315">
        <f>IF(F3190&lt;0,"金额为负，无效",INT(F3190))</f>
        <v>5941</v>
      </c>
      <c r="C3191" s="315"/>
      <c r="D3191" s="315"/>
      <c r="E3191" s="316" t="s">
        <v>21</v>
      </c>
      <c r="F3191" s="317"/>
      <c r="G3191" s="318"/>
      <c r="K3191" s="300"/>
    </row>
    <row r="3192" ht="15" customHeight="1" spans="1:11">
      <c r="A3192" s="319"/>
      <c r="B3192" s="320"/>
      <c r="C3192" s="320"/>
      <c r="D3192" s="320"/>
      <c r="E3192" s="319"/>
      <c r="F3192" s="321"/>
      <c r="G3192" s="322"/>
      <c r="K3192" s="300"/>
    </row>
    <row r="3193" ht="27" customHeight="1" spans="1:11">
      <c r="A3193" s="298" t="s">
        <v>0</v>
      </c>
      <c r="B3193" s="298"/>
      <c r="C3193" s="298"/>
      <c r="D3193" s="298"/>
      <c r="E3193" s="298"/>
      <c r="F3193" s="298"/>
      <c r="G3193" s="298"/>
      <c r="H3193" s="299"/>
      <c r="I3193" s="299"/>
      <c r="J3193" s="299"/>
      <c r="K3193" s="300">
        <v>229</v>
      </c>
    </row>
    <row r="3194" ht="15" customHeight="1" spans="1:11">
      <c r="A3194" s="301" t="s">
        <v>1</v>
      </c>
      <c r="B3194" s="301"/>
      <c r="C3194" s="301"/>
      <c r="D3194" s="301"/>
      <c r="E3194" s="301"/>
      <c r="F3194" s="301"/>
      <c r="G3194" s="302" t="str">
        <f>IFERROR(VLOOKUP(K3193,'2026.01'!A:Y,2,0),0)</f>
        <v>NO:229</v>
      </c>
      <c r="K3194" s="300"/>
    </row>
    <row r="3195" ht="15" customHeight="1" spans="1:11">
      <c r="A3195" s="303" t="s">
        <v>2</v>
      </c>
      <c r="B3195" s="304">
        <f>IFERROR(VLOOKUP(K3193,'2026.01'!A:Y,6,0),0)</f>
        <v>4008</v>
      </c>
      <c r="C3195" s="304"/>
      <c r="D3195" s="305" t="s">
        <v>3</v>
      </c>
      <c r="E3195" s="305" t="str">
        <f>IFERROR(VLOOKUP(K3193,'2026.01'!A:Y,7,0),0)</f>
        <v>叶清菊</v>
      </c>
      <c r="F3195" s="305"/>
      <c r="G3195" s="306" t="s">
        <v>4</v>
      </c>
      <c r="K3195" s="300"/>
    </row>
    <row r="3196" ht="15" customHeight="1" spans="1:11">
      <c r="A3196" s="307" t="s">
        <v>5</v>
      </c>
      <c r="B3196" s="308" t="s">
        <v>6</v>
      </c>
      <c r="C3196" s="308" t="s">
        <v>7</v>
      </c>
      <c r="D3196" s="308" t="s">
        <v>8</v>
      </c>
      <c r="E3196" s="308" t="s">
        <v>9</v>
      </c>
      <c r="F3196" s="309" t="s">
        <v>10</v>
      </c>
      <c r="G3196" s="310" t="s">
        <v>11</v>
      </c>
      <c r="K3196" s="300"/>
    </row>
    <row r="3197" ht="15" customHeight="1" spans="1:11">
      <c r="A3197" s="307" t="s">
        <v>12</v>
      </c>
      <c r="B3197" s="308">
        <f>IFERROR(VLOOKUP(K3193,'2026.01'!A:Y,14,0),0)</f>
        <v>226</v>
      </c>
      <c r="C3197" s="308">
        <f>IFERROR(VLOOKUP(K3193,'2026.01'!A:Y,13,0),0)</f>
        <v>195</v>
      </c>
      <c r="D3197" s="308">
        <f>IFERROR(VLOOKUP(K3193,'2026.01'!A:Y,15,0),0)</f>
        <v>31</v>
      </c>
      <c r="E3197" s="311">
        <f>IFERROR(VLOOKUP(K3193,'2026.01'!A:Y,18,0),0)</f>
        <v>0.8</v>
      </c>
      <c r="F3197" s="309">
        <f>IFERROR(VLOOKUP(K3193,'2026.01'!A:Y,20,0),0)</f>
        <v>25</v>
      </c>
      <c r="G3197" s="310"/>
      <c r="K3197" s="300"/>
    </row>
    <row r="3198" ht="15" customHeight="1" spans="1:11">
      <c r="A3198" s="307" t="s">
        <v>13</v>
      </c>
      <c r="B3198" s="308"/>
      <c r="C3198" s="308"/>
      <c r="D3198" s="308"/>
      <c r="E3198" s="311"/>
      <c r="F3198" s="309">
        <f>IFERROR(VLOOKUP(K3193,'2026.01'!A:Y,24,0),0)</f>
        <v>51</v>
      </c>
      <c r="G3198" s="310"/>
      <c r="K3198" s="300"/>
    </row>
    <row r="3199" ht="15" customHeight="1" spans="1:11">
      <c r="A3199" s="307" t="s">
        <v>14</v>
      </c>
      <c r="B3199" s="308"/>
      <c r="C3199" s="308"/>
      <c r="D3199" s="308"/>
      <c r="E3199" s="311"/>
      <c r="F3199" s="309">
        <f>IFERROR(VLOOKUP(K3193,'2026.01'!A:Y,12,0),0)</f>
        <v>160</v>
      </c>
      <c r="G3199" s="310"/>
      <c r="K3199" s="300"/>
    </row>
    <row r="3200" ht="21" customHeight="1" spans="1:11">
      <c r="A3200" s="307" t="s">
        <v>15</v>
      </c>
      <c r="B3200" s="308"/>
      <c r="C3200" s="308"/>
      <c r="D3200" s="308"/>
      <c r="E3200" s="311"/>
      <c r="F3200" s="309">
        <f>IFERROR(VLOOKUP(K3193,'2026.01'!A:Y,9,0),0)</f>
        <v>5000</v>
      </c>
      <c r="G3200" s="310"/>
      <c r="K3200" s="300"/>
    </row>
    <row r="3201" ht="19" customHeight="1" spans="1:11">
      <c r="A3201" s="307" t="s">
        <v>16</v>
      </c>
      <c r="B3201" s="308"/>
      <c r="C3201" s="308"/>
      <c r="D3201" s="308"/>
      <c r="E3201" s="308"/>
      <c r="F3201" s="309">
        <f>IFERROR(VLOOKUP(K3193,'2026.01'!A:Y,10,0),0)</f>
        <v>500</v>
      </c>
      <c r="G3201" s="310"/>
      <c r="K3201" s="300"/>
    </row>
    <row r="3202" ht="21" customHeight="1" spans="1:11">
      <c r="A3202" s="307" t="s">
        <v>17</v>
      </c>
      <c r="B3202" s="308"/>
      <c r="C3202" s="308"/>
      <c r="D3202" s="308"/>
      <c r="E3202" s="308"/>
      <c r="F3202" s="309">
        <f>IFERROR(VLOOKUP(K3193,'2026.01'!A:Y,19,0),0)</f>
        <v>22</v>
      </c>
      <c r="G3202" s="310"/>
      <c r="K3202" s="300"/>
    </row>
    <row r="3203" ht="17.15" customHeight="1" spans="1:11">
      <c r="A3203" s="307" t="s">
        <v>18</v>
      </c>
      <c r="B3203" s="308"/>
      <c r="C3203" s="308"/>
      <c r="D3203" s="308"/>
      <c r="E3203" s="308"/>
      <c r="F3203" s="309">
        <f>IFERROR(VLOOKUP(K3193,'2026.01'!A:Y,22,0),0)</f>
        <v>146</v>
      </c>
      <c r="G3203" s="310"/>
      <c r="K3203" s="300"/>
    </row>
    <row r="3204" ht="17.15" customHeight="1" spans="1:11">
      <c r="A3204" s="307" t="s">
        <v>19</v>
      </c>
      <c r="B3204" s="312"/>
      <c r="C3204" s="308"/>
      <c r="D3204" s="313"/>
      <c r="E3204" s="308"/>
      <c r="F3204" s="309">
        <f>IFERROR(VLOOKUP(K3193,'2026.01'!A:Y,25,0),0)</f>
        <v>5904</v>
      </c>
      <c r="G3204" s="310"/>
      <c r="K3204" s="300"/>
    </row>
    <row r="3205" ht="15" customHeight="1" spans="1:11">
      <c r="A3205" s="314" t="s">
        <v>20</v>
      </c>
      <c r="B3205" s="315">
        <f>IF(F3204&lt;0,"金额为负，无效",INT(F3204))</f>
        <v>5904</v>
      </c>
      <c r="C3205" s="315"/>
      <c r="D3205" s="315"/>
      <c r="E3205" s="316" t="s">
        <v>21</v>
      </c>
      <c r="F3205" s="317"/>
      <c r="G3205" s="318"/>
      <c r="K3205" s="300"/>
    </row>
    <row r="3206" ht="23" customHeight="1" spans="1:11">
      <c r="A3206" s="319"/>
      <c r="B3206" s="320"/>
      <c r="C3206" s="320"/>
      <c r="D3206" s="320"/>
      <c r="E3206" s="319"/>
      <c r="F3206" s="321"/>
      <c r="G3206" s="322"/>
      <c r="K3206" s="300"/>
    </row>
    <row r="3207" ht="27" customHeight="1" spans="1:11">
      <c r="A3207" s="298" t="s">
        <v>0</v>
      </c>
      <c r="B3207" s="298"/>
      <c r="C3207" s="298"/>
      <c r="D3207" s="298"/>
      <c r="E3207" s="298"/>
      <c r="F3207" s="298"/>
      <c r="G3207" s="298"/>
      <c r="H3207" s="299"/>
      <c r="I3207" s="299"/>
      <c r="J3207" s="299"/>
      <c r="K3207" s="300">
        <v>230</v>
      </c>
    </row>
    <row r="3208" ht="15" customHeight="1" spans="1:11">
      <c r="A3208" s="301" t="s">
        <v>1</v>
      </c>
      <c r="B3208" s="301"/>
      <c r="C3208" s="301"/>
      <c r="D3208" s="301"/>
      <c r="E3208" s="301"/>
      <c r="F3208" s="301"/>
      <c r="G3208" s="302" t="str">
        <f>IFERROR(VLOOKUP(K3207,'2026.01'!A:Y,2,0),0)</f>
        <v>NO:230</v>
      </c>
      <c r="K3208" s="300"/>
    </row>
    <row r="3209" ht="15" customHeight="1" spans="1:11">
      <c r="A3209" s="303" t="s">
        <v>2</v>
      </c>
      <c r="B3209" s="304">
        <f>IFERROR(VLOOKUP(K3207,'2026.01'!A:Y,6,0),0)</f>
        <v>4009</v>
      </c>
      <c r="C3209" s="304"/>
      <c r="D3209" s="305" t="s">
        <v>3</v>
      </c>
      <c r="E3209" s="305" t="str">
        <f>IFERROR(VLOOKUP(K3207,'2026.01'!A:Y,7,0),0)</f>
        <v>屈峰</v>
      </c>
      <c r="F3209" s="305"/>
      <c r="G3209" s="306" t="s">
        <v>4</v>
      </c>
      <c r="K3209" s="300"/>
    </row>
    <row r="3210" ht="15" customHeight="1" spans="1:11">
      <c r="A3210" s="307" t="s">
        <v>5</v>
      </c>
      <c r="B3210" s="308" t="s">
        <v>6</v>
      </c>
      <c r="C3210" s="308" t="s">
        <v>7</v>
      </c>
      <c r="D3210" s="308" t="s">
        <v>8</v>
      </c>
      <c r="E3210" s="308" t="s">
        <v>9</v>
      </c>
      <c r="F3210" s="309" t="s">
        <v>10</v>
      </c>
      <c r="G3210" s="310" t="s">
        <v>11</v>
      </c>
      <c r="K3210" s="300"/>
    </row>
    <row r="3211" ht="15" customHeight="1" spans="1:11">
      <c r="A3211" s="307" t="s">
        <v>12</v>
      </c>
      <c r="B3211" s="308">
        <f>IFERROR(VLOOKUP(K3207,'2026.01'!A:Y,14,0),0)</f>
        <v>5711</v>
      </c>
      <c r="C3211" s="308">
        <f>IFERROR(VLOOKUP(K3207,'2026.01'!A:Y,13,0),0)</f>
        <v>5493</v>
      </c>
      <c r="D3211" s="308">
        <f>IFERROR(VLOOKUP(K3207,'2026.01'!A:Y,15,0),0)</f>
        <v>218</v>
      </c>
      <c r="E3211" s="311">
        <f>IFERROR(VLOOKUP(K3207,'2026.01'!A:Y,18,0),0)</f>
        <v>0.8</v>
      </c>
      <c r="F3211" s="309">
        <f>IFERROR(VLOOKUP(K3207,'2026.01'!A:Y,20,0),0)</f>
        <v>174</v>
      </c>
      <c r="G3211" s="310"/>
      <c r="K3211" s="300"/>
    </row>
    <row r="3212" ht="15" customHeight="1" spans="1:11">
      <c r="A3212" s="307" t="s">
        <v>13</v>
      </c>
      <c r="B3212" s="308"/>
      <c r="C3212" s="308"/>
      <c r="D3212" s="308"/>
      <c r="E3212" s="311"/>
      <c r="F3212" s="309">
        <f>IFERROR(VLOOKUP(K3207,'2026.01'!A:Y,24,0),0)</f>
        <v>51</v>
      </c>
      <c r="G3212" s="310"/>
      <c r="K3212" s="300"/>
    </row>
    <row r="3213" ht="15" customHeight="1" spans="1:11">
      <c r="A3213" s="307" t="s">
        <v>14</v>
      </c>
      <c r="B3213" s="308"/>
      <c r="C3213" s="308"/>
      <c r="D3213" s="308"/>
      <c r="E3213" s="311"/>
      <c r="F3213" s="309">
        <f>IFERROR(VLOOKUP(K3207,'2026.01'!A:Y,12,0),0)</f>
        <v>160</v>
      </c>
      <c r="G3213" s="310"/>
      <c r="K3213" s="300"/>
    </row>
    <row r="3214" ht="21" customHeight="1" spans="1:11">
      <c r="A3214" s="307" t="s">
        <v>15</v>
      </c>
      <c r="B3214" s="308"/>
      <c r="C3214" s="308"/>
      <c r="D3214" s="308"/>
      <c r="E3214" s="311"/>
      <c r="F3214" s="309">
        <f>IFERROR(VLOOKUP(K3207,'2026.01'!A:Y,9,0),0)</f>
        <v>5000</v>
      </c>
      <c r="G3214" s="310"/>
      <c r="K3214" s="300"/>
    </row>
    <row r="3215" ht="19" customHeight="1" spans="1:11">
      <c r="A3215" s="307" t="s">
        <v>16</v>
      </c>
      <c r="B3215" s="308"/>
      <c r="C3215" s="308"/>
      <c r="D3215" s="308"/>
      <c r="E3215" s="308"/>
      <c r="F3215" s="309">
        <f>IFERROR(VLOOKUP(K3207,'2026.01'!A:Y,10,0),0)</f>
        <v>500</v>
      </c>
      <c r="G3215" s="310"/>
      <c r="K3215" s="300"/>
    </row>
    <row r="3216" ht="21" customHeight="1" spans="1:11">
      <c r="A3216" s="307" t="s">
        <v>17</v>
      </c>
      <c r="B3216" s="308"/>
      <c r="C3216" s="308"/>
      <c r="D3216" s="308"/>
      <c r="E3216" s="308"/>
      <c r="F3216" s="309">
        <f>IFERROR(VLOOKUP(K3207,'2026.01'!A:Y,19,0),0)</f>
        <v>153</v>
      </c>
      <c r="G3216" s="310"/>
      <c r="K3216" s="300"/>
    </row>
    <row r="3217" ht="17.15" customHeight="1" spans="1:11">
      <c r="A3217" s="307" t="s">
        <v>18</v>
      </c>
      <c r="B3217" s="308"/>
      <c r="C3217" s="308"/>
      <c r="D3217" s="308"/>
      <c r="E3217" s="308"/>
      <c r="F3217" s="309">
        <f>IFERROR(VLOOKUP(K3207,'2026.01'!A:Y,22,0),0)</f>
        <v>146</v>
      </c>
      <c r="G3217" s="310"/>
      <c r="K3217" s="300"/>
    </row>
    <row r="3218" ht="17.15" customHeight="1" spans="1:11">
      <c r="A3218" s="307" t="s">
        <v>19</v>
      </c>
      <c r="B3218" s="312"/>
      <c r="C3218" s="308"/>
      <c r="D3218" s="313"/>
      <c r="E3218" s="308"/>
      <c r="F3218" s="309">
        <f>IFERROR(VLOOKUP(K3207,'2026.01'!A:Y,25,0),0)</f>
        <v>6184</v>
      </c>
      <c r="G3218" s="310"/>
      <c r="K3218" s="300"/>
    </row>
    <row r="3219" ht="15" customHeight="1" spans="1:11">
      <c r="A3219" s="314" t="s">
        <v>20</v>
      </c>
      <c r="B3219" s="315">
        <f>IF(F3218&lt;0,"金额为负，无效",INT(F3218))</f>
        <v>6184</v>
      </c>
      <c r="C3219" s="315"/>
      <c r="D3219" s="315"/>
      <c r="E3219" s="316" t="s">
        <v>21</v>
      </c>
      <c r="F3219" s="317"/>
      <c r="G3219" s="318"/>
      <c r="K3219" s="300"/>
    </row>
    <row r="3220" ht="23" customHeight="1" spans="1:11">
      <c r="A3220" s="319"/>
      <c r="B3220" s="320"/>
      <c r="C3220" s="320"/>
      <c r="D3220" s="320"/>
      <c r="E3220" s="319"/>
      <c r="F3220" s="321"/>
      <c r="G3220" s="322"/>
      <c r="K3220" s="300"/>
    </row>
    <row r="3221" ht="27" customHeight="1" spans="1:11">
      <c r="A3221" s="298" t="s">
        <v>0</v>
      </c>
      <c r="B3221" s="298"/>
      <c r="C3221" s="298"/>
      <c r="D3221" s="298"/>
      <c r="E3221" s="298"/>
      <c r="F3221" s="298"/>
      <c r="G3221" s="298"/>
      <c r="H3221" s="299"/>
      <c r="I3221" s="299"/>
      <c r="J3221" s="299"/>
      <c r="K3221" s="300">
        <v>231</v>
      </c>
    </row>
    <row r="3222" ht="15" customHeight="1" spans="1:11">
      <c r="A3222" s="301" t="s">
        <v>1</v>
      </c>
      <c r="B3222" s="301"/>
      <c r="C3222" s="301"/>
      <c r="D3222" s="301"/>
      <c r="E3222" s="301"/>
      <c r="F3222" s="301"/>
      <c r="G3222" s="302" t="str">
        <f>IFERROR(VLOOKUP(K3221,'2026.01'!A:Y,2,0),0)</f>
        <v>NO:231</v>
      </c>
      <c r="K3222" s="300"/>
    </row>
    <row r="3223" ht="15" customHeight="1" spans="1:11">
      <c r="A3223" s="303" t="s">
        <v>2</v>
      </c>
      <c r="B3223" s="304">
        <f>IFERROR(VLOOKUP(K3221,'2026.01'!A:Y,6,0),0)</f>
        <v>4010</v>
      </c>
      <c r="C3223" s="304"/>
      <c r="D3223" s="305" t="s">
        <v>3</v>
      </c>
      <c r="E3223" s="305" t="str">
        <f>IFERROR(VLOOKUP(K3221,'2026.01'!A:Y,7,0),0)</f>
        <v>刘楚飞</v>
      </c>
      <c r="F3223" s="305"/>
      <c r="G3223" s="306" t="s">
        <v>4</v>
      </c>
      <c r="K3223" s="300"/>
    </row>
    <row r="3224" ht="15" customHeight="1" spans="1:11">
      <c r="A3224" s="307" t="s">
        <v>5</v>
      </c>
      <c r="B3224" s="308" t="s">
        <v>6</v>
      </c>
      <c r="C3224" s="308" t="s">
        <v>7</v>
      </c>
      <c r="D3224" s="308" t="s">
        <v>8</v>
      </c>
      <c r="E3224" s="308" t="s">
        <v>9</v>
      </c>
      <c r="F3224" s="309" t="s">
        <v>10</v>
      </c>
      <c r="G3224" s="310" t="s">
        <v>11</v>
      </c>
      <c r="K3224" s="300"/>
    </row>
    <row r="3225" ht="15" customHeight="1" spans="1:11">
      <c r="A3225" s="307" t="s">
        <v>12</v>
      </c>
      <c r="B3225" s="308">
        <f>IFERROR(VLOOKUP(K3221,'2026.01'!A:Y,14,0),0)</f>
        <v>7019</v>
      </c>
      <c r="C3225" s="308">
        <f>IFERROR(VLOOKUP(K3221,'2026.01'!A:Y,13,0),0)</f>
        <v>6973</v>
      </c>
      <c r="D3225" s="308">
        <f>IFERROR(VLOOKUP(K3221,'2026.01'!A:Y,15,0),0)</f>
        <v>46</v>
      </c>
      <c r="E3225" s="311">
        <f>IFERROR(VLOOKUP(K3221,'2026.01'!A:Y,18,0),0)</f>
        <v>0.8</v>
      </c>
      <c r="F3225" s="309">
        <f>IFERROR(VLOOKUP(K3221,'2026.01'!A:Y,20,0),0)</f>
        <v>37</v>
      </c>
      <c r="G3225" s="310"/>
      <c r="K3225" s="300"/>
    </row>
    <row r="3226" ht="15" customHeight="1" spans="1:11">
      <c r="A3226" s="307" t="s">
        <v>13</v>
      </c>
      <c r="B3226" s="308"/>
      <c r="C3226" s="308"/>
      <c r="D3226" s="308"/>
      <c r="E3226" s="311"/>
      <c r="F3226" s="309">
        <f>IFERROR(VLOOKUP(K3221,'2026.01'!A:Y,24,0),0)</f>
        <v>51</v>
      </c>
      <c r="G3226" s="310"/>
      <c r="K3226" s="300"/>
    </row>
    <row r="3227" ht="15" customHeight="1" spans="1:11">
      <c r="A3227" s="307" t="s">
        <v>14</v>
      </c>
      <c r="B3227" s="308"/>
      <c r="C3227" s="308"/>
      <c r="D3227" s="308"/>
      <c r="E3227" s="311"/>
      <c r="F3227" s="309">
        <f>IFERROR(VLOOKUP(K3221,'2026.01'!A:Y,12,0),0)</f>
        <v>160</v>
      </c>
      <c r="G3227" s="310"/>
      <c r="K3227" s="300"/>
    </row>
    <row r="3228" ht="21" customHeight="1" spans="1:11">
      <c r="A3228" s="307" t="s">
        <v>15</v>
      </c>
      <c r="B3228" s="308"/>
      <c r="C3228" s="308"/>
      <c r="D3228" s="308"/>
      <c r="E3228" s="311"/>
      <c r="F3228" s="309">
        <f>IFERROR(VLOOKUP(K3221,'2026.01'!A:Y,9,0),0)</f>
        <v>5000</v>
      </c>
      <c r="G3228" s="310"/>
      <c r="K3228" s="300"/>
    </row>
    <row r="3229" ht="19" customHeight="1" spans="1:11">
      <c r="A3229" s="307" t="s">
        <v>16</v>
      </c>
      <c r="B3229" s="308"/>
      <c r="C3229" s="308"/>
      <c r="D3229" s="308"/>
      <c r="E3229" s="308"/>
      <c r="F3229" s="309">
        <f>IFERROR(VLOOKUP(K3221,'2026.01'!A:Y,10,0),0)</f>
        <v>500</v>
      </c>
      <c r="G3229" s="310"/>
      <c r="K3229" s="300"/>
    </row>
    <row r="3230" ht="21" customHeight="1" spans="1:11">
      <c r="A3230" s="307" t="s">
        <v>17</v>
      </c>
      <c r="B3230" s="308"/>
      <c r="C3230" s="308"/>
      <c r="D3230" s="308"/>
      <c r="E3230" s="308"/>
      <c r="F3230" s="309">
        <f>IFERROR(VLOOKUP(K3221,'2026.01'!A:Y,19,0),0)</f>
        <v>32</v>
      </c>
      <c r="G3230" s="310"/>
      <c r="K3230" s="300"/>
    </row>
    <row r="3231" ht="17.15" customHeight="1" spans="1:11">
      <c r="A3231" s="307" t="s">
        <v>18</v>
      </c>
      <c r="B3231" s="308"/>
      <c r="C3231" s="308"/>
      <c r="D3231" s="308"/>
      <c r="E3231" s="308"/>
      <c r="F3231" s="309">
        <f>IFERROR(VLOOKUP(K3221,'2026.01'!A:Y,22,0),0)</f>
        <v>146</v>
      </c>
      <c r="G3231" s="310"/>
      <c r="K3231" s="300"/>
    </row>
    <row r="3232" ht="17.15" customHeight="1" spans="1:11">
      <c r="A3232" s="307" t="s">
        <v>19</v>
      </c>
      <c r="B3232" s="312"/>
      <c r="C3232" s="308"/>
      <c r="D3232" s="313"/>
      <c r="E3232" s="308"/>
      <c r="F3232" s="309">
        <f>IFERROR(VLOOKUP(K3221,'2026.01'!A:Y,25,0),0)</f>
        <v>5926</v>
      </c>
      <c r="G3232" s="310"/>
      <c r="K3232" s="300"/>
    </row>
    <row r="3233" ht="15" customHeight="1" spans="1:11">
      <c r="A3233" s="314" t="s">
        <v>20</v>
      </c>
      <c r="B3233" s="315">
        <f>IF(F3232&lt;0,"金额为负，无效",INT(F3232))</f>
        <v>5926</v>
      </c>
      <c r="C3233" s="315"/>
      <c r="D3233" s="315"/>
      <c r="E3233" s="316" t="s">
        <v>21</v>
      </c>
      <c r="F3233" s="317"/>
      <c r="G3233" s="318"/>
      <c r="K3233" s="300"/>
    </row>
    <row r="3234" ht="15" customHeight="1" spans="1:11">
      <c r="A3234" s="319"/>
      <c r="B3234" s="320"/>
      <c r="C3234" s="320"/>
      <c r="D3234" s="320"/>
      <c r="E3234" s="319"/>
      <c r="F3234" s="321"/>
      <c r="G3234" s="322"/>
      <c r="K3234" s="300"/>
    </row>
    <row r="3235" ht="27" customHeight="1" spans="1:11">
      <c r="A3235" s="298" t="s">
        <v>0</v>
      </c>
      <c r="B3235" s="298"/>
      <c r="C3235" s="298"/>
      <c r="D3235" s="298"/>
      <c r="E3235" s="298"/>
      <c r="F3235" s="298"/>
      <c r="G3235" s="298"/>
      <c r="H3235" s="299"/>
      <c r="I3235" s="299"/>
      <c r="J3235" s="299"/>
      <c r="K3235" s="300">
        <v>232</v>
      </c>
    </row>
    <row r="3236" ht="15" customHeight="1" spans="1:11">
      <c r="A3236" s="301" t="s">
        <v>1</v>
      </c>
      <c r="B3236" s="301"/>
      <c r="C3236" s="301"/>
      <c r="D3236" s="301"/>
      <c r="E3236" s="301"/>
      <c r="F3236" s="301"/>
      <c r="G3236" s="302" t="str">
        <f>IFERROR(VLOOKUP(K3235,'2026.01'!A:Y,2,0),0)</f>
        <v>NO:232</v>
      </c>
      <c r="K3236" s="300"/>
    </row>
    <row r="3237" ht="15" customHeight="1" spans="1:11">
      <c r="A3237" s="303" t="s">
        <v>2</v>
      </c>
      <c r="B3237" s="304">
        <f>IFERROR(VLOOKUP(K3235,'2026.01'!A:Y,6,0),0)</f>
        <v>4011</v>
      </c>
      <c r="C3237" s="304"/>
      <c r="D3237" s="305" t="s">
        <v>3</v>
      </c>
      <c r="E3237" s="305" t="str">
        <f>IFERROR(VLOOKUP(K3235,'2026.01'!A:Y,7,0),0)</f>
        <v>郝文杰</v>
      </c>
      <c r="F3237" s="305"/>
      <c r="G3237" s="306" t="s">
        <v>4</v>
      </c>
      <c r="K3237" s="300"/>
    </row>
    <row r="3238" ht="15" customHeight="1" spans="1:11">
      <c r="A3238" s="307" t="s">
        <v>5</v>
      </c>
      <c r="B3238" s="308" t="s">
        <v>6</v>
      </c>
      <c r="C3238" s="308" t="s">
        <v>7</v>
      </c>
      <c r="D3238" s="308" t="s">
        <v>8</v>
      </c>
      <c r="E3238" s="308" t="s">
        <v>9</v>
      </c>
      <c r="F3238" s="309" t="s">
        <v>10</v>
      </c>
      <c r="G3238" s="310" t="s">
        <v>11</v>
      </c>
      <c r="K3238" s="300"/>
    </row>
    <row r="3239" ht="15" customHeight="1" spans="1:11">
      <c r="A3239" s="307" t="s">
        <v>12</v>
      </c>
      <c r="B3239" s="308">
        <f>IFERROR(VLOOKUP(K3235,'2026.01'!A:Y,14,0),0)</f>
        <v>17093</v>
      </c>
      <c r="C3239" s="308">
        <f>IFERROR(VLOOKUP(K3235,'2026.01'!A:Y,13,0),0)</f>
        <v>17003</v>
      </c>
      <c r="D3239" s="308">
        <f>IFERROR(VLOOKUP(K3235,'2026.01'!A:Y,15,0),0)</f>
        <v>90</v>
      </c>
      <c r="E3239" s="311">
        <f>IFERROR(VLOOKUP(K3235,'2026.01'!A:Y,18,0),0)</f>
        <v>0.8</v>
      </c>
      <c r="F3239" s="309">
        <f>IFERROR(VLOOKUP(K3235,'2026.01'!A:Y,20,0),0)</f>
        <v>72</v>
      </c>
      <c r="G3239" s="310"/>
      <c r="K3239" s="300"/>
    </row>
    <row r="3240" ht="15" customHeight="1" spans="1:11">
      <c r="A3240" s="307" t="s">
        <v>13</v>
      </c>
      <c r="B3240" s="308"/>
      <c r="C3240" s="308"/>
      <c r="D3240" s="308"/>
      <c r="E3240" s="311"/>
      <c r="F3240" s="309">
        <f>IFERROR(VLOOKUP(K3235,'2026.01'!A:Y,24,0),0)</f>
        <v>51</v>
      </c>
      <c r="G3240" s="310"/>
      <c r="K3240" s="300"/>
    </row>
    <row r="3241" ht="15" customHeight="1" spans="1:11">
      <c r="A3241" s="307" t="s">
        <v>14</v>
      </c>
      <c r="B3241" s="308"/>
      <c r="C3241" s="308"/>
      <c r="D3241" s="308"/>
      <c r="E3241" s="311"/>
      <c r="F3241" s="309">
        <f>IFERROR(VLOOKUP(K3235,'2026.01'!A:Y,12,0),0)</f>
        <v>160</v>
      </c>
      <c r="G3241" s="310"/>
      <c r="K3241" s="300"/>
    </row>
    <row r="3242" ht="21" customHeight="1" spans="1:11">
      <c r="A3242" s="307" t="s">
        <v>15</v>
      </c>
      <c r="B3242" s="308"/>
      <c r="C3242" s="308"/>
      <c r="D3242" s="308"/>
      <c r="E3242" s="311"/>
      <c r="F3242" s="309">
        <f>IFERROR(VLOOKUP(K3235,'2026.01'!A:Y,9,0),0)</f>
        <v>5000</v>
      </c>
      <c r="G3242" s="310"/>
      <c r="K3242" s="300"/>
    </row>
    <row r="3243" ht="19" customHeight="1" spans="1:11">
      <c r="A3243" s="307" t="s">
        <v>16</v>
      </c>
      <c r="B3243" s="308"/>
      <c r="C3243" s="308"/>
      <c r="D3243" s="308"/>
      <c r="E3243" s="308"/>
      <c r="F3243" s="309">
        <f>IFERROR(VLOOKUP(K3235,'2026.01'!A:Y,10,0),0)</f>
        <v>500</v>
      </c>
      <c r="G3243" s="310"/>
      <c r="K3243" s="300"/>
    </row>
    <row r="3244" ht="21" customHeight="1" spans="1:11">
      <c r="A3244" s="307" t="s">
        <v>17</v>
      </c>
      <c r="B3244" s="308"/>
      <c r="C3244" s="308"/>
      <c r="D3244" s="308"/>
      <c r="E3244" s="308"/>
      <c r="F3244" s="309">
        <f>IFERROR(VLOOKUP(K3235,'2026.01'!A:Y,19,0),0)</f>
        <v>63</v>
      </c>
      <c r="G3244" s="310"/>
      <c r="K3244" s="300"/>
    </row>
    <row r="3245" ht="17.15" customHeight="1" spans="1:11">
      <c r="A3245" s="307" t="s">
        <v>18</v>
      </c>
      <c r="B3245" s="308"/>
      <c r="C3245" s="308"/>
      <c r="D3245" s="308"/>
      <c r="E3245" s="308"/>
      <c r="F3245" s="309">
        <f>IFERROR(VLOOKUP(K3235,'2026.01'!A:Y,22,0),0)</f>
        <v>146</v>
      </c>
      <c r="G3245" s="310"/>
      <c r="K3245" s="300"/>
    </row>
    <row r="3246" ht="17.15" customHeight="1" spans="1:11">
      <c r="A3246" s="307" t="s">
        <v>19</v>
      </c>
      <c r="B3246" s="312"/>
      <c r="C3246" s="308"/>
      <c r="D3246" s="313"/>
      <c r="E3246" s="308"/>
      <c r="F3246" s="309">
        <f>IFERROR(VLOOKUP(K3235,'2026.01'!A:Y,25,0),0)</f>
        <v>5992</v>
      </c>
      <c r="G3246" s="310"/>
      <c r="K3246" s="300"/>
    </row>
    <row r="3247" ht="15" customHeight="1" spans="1:11">
      <c r="A3247" s="314" t="s">
        <v>20</v>
      </c>
      <c r="B3247" s="315">
        <f>IF(F3246&lt;0,"金额为负，无效",INT(F3246))</f>
        <v>5992</v>
      </c>
      <c r="C3247" s="315"/>
      <c r="D3247" s="315"/>
      <c r="E3247" s="316" t="s">
        <v>21</v>
      </c>
      <c r="F3247" s="317"/>
      <c r="G3247" s="318"/>
      <c r="K3247" s="300"/>
    </row>
    <row r="3248" ht="23" customHeight="1" spans="1:11">
      <c r="A3248" s="319"/>
      <c r="B3248" s="320"/>
      <c r="C3248" s="320"/>
      <c r="D3248" s="320"/>
      <c r="E3248" s="319"/>
      <c r="F3248" s="321"/>
      <c r="G3248" s="322"/>
      <c r="K3248" s="300"/>
    </row>
    <row r="3249" ht="27" customHeight="1" spans="1:11">
      <c r="A3249" s="298" t="s">
        <v>0</v>
      </c>
      <c r="B3249" s="298"/>
      <c r="C3249" s="298"/>
      <c r="D3249" s="298"/>
      <c r="E3249" s="298"/>
      <c r="F3249" s="298"/>
      <c r="G3249" s="298"/>
      <c r="H3249" s="299"/>
      <c r="I3249" s="299"/>
      <c r="J3249" s="299"/>
      <c r="K3249" s="300">
        <v>233</v>
      </c>
    </row>
    <row r="3250" ht="15" customHeight="1" spans="1:11">
      <c r="A3250" s="301" t="s">
        <v>1</v>
      </c>
      <c r="B3250" s="301"/>
      <c r="C3250" s="301"/>
      <c r="D3250" s="301"/>
      <c r="E3250" s="301"/>
      <c r="F3250" s="301"/>
      <c r="G3250" s="302" t="str">
        <f>IFERROR(VLOOKUP(K3249,'2026.01'!A:Y,2,0),0)</f>
        <v>NO:233</v>
      </c>
      <c r="K3250" s="300"/>
    </row>
    <row r="3251" ht="15" customHeight="1" spans="1:11">
      <c r="A3251" s="303" t="s">
        <v>2</v>
      </c>
      <c r="B3251" s="304">
        <f>IFERROR(VLOOKUP(K3249,'2026.01'!A:Y,6,0),0)</f>
        <v>4012</v>
      </c>
      <c r="C3251" s="304"/>
      <c r="D3251" s="305" t="s">
        <v>3</v>
      </c>
      <c r="E3251" s="305" t="str">
        <f>IFERROR(VLOOKUP(K3249,'2026.01'!A:Y,7,0),0)</f>
        <v>曾令阅</v>
      </c>
      <c r="F3251" s="305"/>
      <c r="G3251" s="306" t="s">
        <v>4</v>
      </c>
      <c r="K3251" s="300"/>
    </row>
    <row r="3252" ht="15" customHeight="1" spans="1:11">
      <c r="A3252" s="307" t="s">
        <v>5</v>
      </c>
      <c r="B3252" s="308" t="s">
        <v>6</v>
      </c>
      <c r="C3252" s="308" t="s">
        <v>7</v>
      </c>
      <c r="D3252" s="308" t="s">
        <v>8</v>
      </c>
      <c r="E3252" s="308" t="s">
        <v>9</v>
      </c>
      <c r="F3252" s="309" t="s">
        <v>10</v>
      </c>
      <c r="G3252" s="310" t="s">
        <v>11</v>
      </c>
      <c r="K3252" s="300"/>
    </row>
    <row r="3253" ht="15" customHeight="1" spans="1:11">
      <c r="A3253" s="307" t="s">
        <v>12</v>
      </c>
      <c r="B3253" s="308">
        <f>IFERROR(VLOOKUP(K3249,'2026.01'!A:Y,14,0),0)</f>
        <v>8583</v>
      </c>
      <c r="C3253" s="308">
        <f>IFERROR(VLOOKUP(K3249,'2026.01'!A:Y,13,0),0)</f>
        <v>8560</v>
      </c>
      <c r="D3253" s="308">
        <f>IFERROR(VLOOKUP(K3249,'2026.01'!A:Y,15,0),0)</f>
        <v>23</v>
      </c>
      <c r="E3253" s="311">
        <f>IFERROR(VLOOKUP(K3249,'2026.01'!A:Y,18,0),0)</f>
        <v>0.8</v>
      </c>
      <c r="F3253" s="309">
        <f>IFERROR(VLOOKUP(K3249,'2026.01'!A:Y,20,0),0)</f>
        <v>18</v>
      </c>
      <c r="G3253" s="310"/>
      <c r="K3253" s="300"/>
    </row>
    <row r="3254" ht="15" customHeight="1" spans="1:11">
      <c r="A3254" s="307" t="s">
        <v>13</v>
      </c>
      <c r="B3254" s="308"/>
      <c r="C3254" s="308"/>
      <c r="D3254" s="308"/>
      <c r="E3254" s="311"/>
      <c r="F3254" s="309">
        <f>IFERROR(VLOOKUP(K3249,'2026.01'!A:Y,24,0),0)</f>
        <v>51</v>
      </c>
      <c r="G3254" s="310"/>
      <c r="K3254" s="300"/>
    </row>
    <row r="3255" ht="15" customHeight="1" spans="1:11">
      <c r="A3255" s="307" t="s">
        <v>14</v>
      </c>
      <c r="B3255" s="308"/>
      <c r="C3255" s="308"/>
      <c r="D3255" s="308"/>
      <c r="E3255" s="311"/>
      <c r="F3255" s="309">
        <f>IFERROR(VLOOKUP(K3249,'2026.01'!A:Y,12,0),0)</f>
        <v>160</v>
      </c>
      <c r="G3255" s="310"/>
      <c r="K3255" s="300"/>
    </row>
    <row r="3256" ht="21" customHeight="1" spans="1:11">
      <c r="A3256" s="307" t="s">
        <v>15</v>
      </c>
      <c r="B3256" s="308"/>
      <c r="C3256" s="308"/>
      <c r="D3256" s="308"/>
      <c r="E3256" s="311"/>
      <c r="F3256" s="309">
        <f>IFERROR(VLOOKUP(K3249,'2026.01'!A:Y,9,0),0)</f>
        <v>5000</v>
      </c>
      <c r="G3256" s="310"/>
      <c r="K3256" s="300"/>
    </row>
    <row r="3257" ht="19" customHeight="1" spans="1:11">
      <c r="A3257" s="307" t="s">
        <v>16</v>
      </c>
      <c r="B3257" s="308"/>
      <c r="C3257" s="308"/>
      <c r="D3257" s="308"/>
      <c r="E3257" s="308"/>
      <c r="F3257" s="309">
        <f>IFERROR(VLOOKUP(K3249,'2026.01'!A:Y,10,0),0)</f>
        <v>500</v>
      </c>
      <c r="G3257" s="310"/>
      <c r="K3257" s="300"/>
    </row>
    <row r="3258" ht="21" customHeight="1" spans="1:11">
      <c r="A3258" s="307" t="s">
        <v>17</v>
      </c>
      <c r="B3258" s="308"/>
      <c r="C3258" s="308"/>
      <c r="D3258" s="308"/>
      <c r="E3258" s="308"/>
      <c r="F3258" s="309">
        <f>IFERROR(VLOOKUP(K3249,'2026.01'!A:Y,19,0),0)</f>
        <v>16</v>
      </c>
      <c r="G3258" s="310"/>
      <c r="K3258" s="300"/>
    </row>
    <row r="3259" ht="17.15" customHeight="1" spans="1:11">
      <c r="A3259" s="307" t="s">
        <v>18</v>
      </c>
      <c r="B3259" s="308"/>
      <c r="C3259" s="308"/>
      <c r="D3259" s="308"/>
      <c r="E3259" s="308"/>
      <c r="F3259" s="309">
        <f>IFERROR(VLOOKUP(K3249,'2026.01'!A:Y,22,0),0)</f>
        <v>146</v>
      </c>
      <c r="G3259" s="310"/>
      <c r="K3259" s="300"/>
    </row>
    <row r="3260" ht="17.15" customHeight="1" spans="1:11">
      <c r="A3260" s="307" t="s">
        <v>19</v>
      </c>
      <c r="B3260" s="312"/>
      <c r="C3260" s="308"/>
      <c r="D3260" s="313"/>
      <c r="E3260" s="308"/>
      <c r="F3260" s="309">
        <f>IFERROR(VLOOKUP(K3249,'2026.01'!A:Y,25,0),0)</f>
        <v>5891</v>
      </c>
      <c r="G3260" s="310"/>
      <c r="K3260" s="300"/>
    </row>
    <row r="3261" ht="15" customHeight="1" spans="1:11">
      <c r="A3261" s="314" t="s">
        <v>20</v>
      </c>
      <c r="B3261" s="315">
        <f>IF(F3260&lt;0,"金额为负，无效",INT(F3260))</f>
        <v>5891</v>
      </c>
      <c r="C3261" s="315"/>
      <c r="D3261" s="315"/>
      <c r="E3261" s="316" t="s">
        <v>21</v>
      </c>
      <c r="F3261" s="317"/>
      <c r="G3261" s="318"/>
      <c r="K3261" s="300"/>
    </row>
    <row r="3262" ht="23" customHeight="1" spans="1:11">
      <c r="A3262" s="319"/>
      <c r="B3262" s="320"/>
      <c r="C3262" s="320"/>
      <c r="D3262" s="320"/>
      <c r="E3262" s="319"/>
      <c r="F3262" s="321"/>
      <c r="G3262" s="322"/>
      <c r="K3262" s="300"/>
    </row>
    <row r="3263" ht="27" customHeight="1" spans="1:11">
      <c r="A3263" s="298" t="s">
        <v>0</v>
      </c>
      <c r="B3263" s="298"/>
      <c r="C3263" s="298"/>
      <c r="D3263" s="298"/>
      <c r="E3263" s="298"/>
      <c r="F3263" s="298"/>
      <c r="G3263" s="298"/>
      <c r="H3263" s="299"/>
      <c r="I3263" s="299"/>
      <c r="J3263" s="299"/>
      <c r="K3263" s="300">
        <v>234</v>
      </c>
    </row>
    <row r="3264" ht="15" customHeight="1" spans="1:11">
      <c r="A3264" s="301" t="s">
        <v>1</v>
      </c>
      <c r="B3264" s="301"/>
      <c r="C3264" s="301"/>
      <c r="D3264" s="301"/>
      <c r="E3264" s="301"/>
      <c r="F3264" s="301"/>
      <c r="G3264" s="302" t="str">
        <f>IFERROR(VLOOKUP(K3263,'2026.01'!A:Y,2,0),0)</f>
        <v>NO:234</v>
      </c>
      <c r="K3264" s="300"/>
    </row>
    <row r="3265" ht="15" customHeight="1" spans="1:11">
      <c r="A3265" s="303" t="s">
        <v>2</v>
      </c>
      <c r="B3265" s="304">
        <f>IFERROR(VLOOKUP(K3263,'2026.01'!A:Y,6,0),0)</f>
        <v>4013</v>
      </c>
      <c r="C3265" s="304"/>
      <c r="D3265" s="305" t="s">
        <v>3</v>
      </c>
      <c r="E3265" s="305" t="str">
        <f>IFERROR(VLOOKUP(K3263,'2026.01'!A:Y,7,0),0)</f>
        <v>刘俊芳</v>
      </c>
      <c r="F3265" s="305"/>
      <c r="G3265" s="306" t="s">
        <v>4</v>
      </c>
      <c r="K3265" s="300"/>
    </row>
    <row r="3266" ht="15" customHeight="1" spans="1:11">
      <c r="A3266" s="307" t="s">
        <v>5</v>
      </c>
      <c r="B3266" s="308" t="s">
        <v>6</v>
      </c>
      <c r="C3266" s="308" t="s">
        <v>7</v>
      </c>
      <c r="D3266" s="308" t="s">
        <v>8</v>
      </c>
      <c r="E3266" s="308" t="s">
        <v>9</v>
      </c>
      <c r="F3266" s="309" t="s">
        <v>10</v>
      </c>
      <c r="G3266" s="310" t="s">
        <v>11</v>
      </c>
      <c r="K3266" s="300"/>
    </row>
    <row r="3267" ht="15" customHeight="1" spans="1:11">
      <c r="A3267" s="307" t="s">
        <v>12</v>
      </c>
      <c r="B3267" s="308">
        <f>IFERROR(VLOOKUP(K3263,'2026.01'!A:Y,14,0),0)</f>
        <v>6680</v>
      </c>
      <c r="C3267" s="308">
        <f>IFERROR(VLOOKUP(K3263,'2026.01'!A:Y,13,0),0)</f>
        <v>6654</v>
      </c>
      <c r="D3267" s="308">
        <f>IFERROR(VLOOKUP(K3263,'2026.01'!A:Y,15,0),0)</f>
        <v>26</v>
      </c>
      <c r="E3267" s="311">
        <f>IFERROR(VLOOKUP(K3263,'2026.01'!A:Y,18,0),0)</f>
        <v>0.8</v>
      </c>
      <c r="F3267" s="309">
        <f>IFERROR(VLOOKUP(K3263,'2026.01'!A:Y,20,0),0)</f>
        <v>21</v>
      </c>
      <c r="G3267" s="310"/>
      <c r="K3267" s="300"/>
    </row>
    <row r="3268" ht="15" customHeight="1" spans="1:11">
      <c r="A3268" s="307" t="s">
        <v>13</v>
      </c>
      <c r="B3268" s="308"/>
      <c r="C3268" s="308"/>
      <c r="D3268" s="308"/>
      <c r="E3268" s="311"/>
      <c r="F3268" s="309">
        <f>IFERROR(VLOOKUP(K3263,'2026.01'!A:Y,24,0),0)</f>
        <v>51</v>
      </c>
      <c r="G3268" s="310"/>
      <c r="K3268" s="300"/>
    </row>
    <row r="3269" ht="15" customHeight="1" spans="1:11">
      <c r="A3269" s="307" t="s">
        <v>14</v>
      </c>
      <c r="B3269" s="308"/>
      <c r="C3269" s="308"/>
      <c r="D3269" s="308"/>
      <c r="E3269" s="311"/>
      <c r="F3269" s="309">
        <f>IFERROR(VLOOKUP(K3263,'2026.01'!A:Y,12,0),0)</f>
        <v>160</v>
      </c>
      <c r="G3269" s="310"/>
      <c r="K3269" s="300"/>
    </row>
    <row r="3270" ht="21" customHeight="1" spans="1:11">
      <c r="A3270" s="307" t="s">
        <v>15</v>
      </c>
      <c r="B3270" s="308"/>
      <c r="C3270" s="308"/>
      <c r="D3270" s="308"/>
      <c r="E3270" s="311"/>
      <c r="F3270" s="309">
        <f>IFERROR(VLOOKUP(K3263,'2026.01'!A:Y,9,0),0)</f>
        <v>5000</v>
      </c>
      <c r="G3270" s="310"/>
      <c r="K3270" s="300"/>
    </row>
    <row r="3271" ht="19" customHeight="1" spans="1:11">
      <c r="A3271" s="307" t="s">
        <v>16</v>
      </c>
      <c r="B3271" s="308"/>
      <c r="C3271" s="308"/>
      <c r="D3271" s="308"/>
      <c r="E3271" s="308"/>
      <c r="F3271" s="309">
        <f>IFERROR(VLOOKUP(K3263,'2026.01'!A:Y,10,0),0)</f>
        <v>500</v>
      </c>
      <c r="G3271" s="310"/>
      <c r="K3271" s="300"/>
    </row>
    <row r="3272" ht="21" customHeight="1" spans="1:11">
      <c r="A3272" s="307" t="s">
        <v>17</v>
      </c>
      <c r="B3272" s="308"/>
      <c r="C3272" s="308"/>
      <c r="D3272" s="308"/>
      <c r="E3272" s="308"/>
      <c r="F3272" s="309">
        <f>IFERROR(VLOOKUP(K3263,'2026.01'!A:Y,19,0),0)</f>
        <v>18</v>
      </c>
      <c r="G3272" s="310"/>
      <c r="K3272" s="300"/>
    </row>
    <row r="3273" ht="17.15" customHeight="1" spans="1:11">
      <c r="A3273" s="307" t="s">
        <v>18</v>
      </c>
      <c r="B3273" s="308"/>
      <c r="C3273" s="308"/>
      <c r="D3273" s="308"/>
      <c r="E3273" s="308"/>
      <c r="F3273" s="309">
        <f>IFERROR(VLOOKUP(K3263,'2026.01'!A:Y,22,0),0)</f>
        <v>146</v>
      </c>
      <c r="G3273" s="310"/>
      <c r="K3273" s="300"/>
    </row>
    <row r="3274" ht="17.15" customHeight="1" spans="1:11">
      <c r="A3274" s="307" t="s">
        <v>19</v>
      </c>
      <c r="B3274" s="312"/>
      <c r="C3274" s="308"/>
      <c r="D3274" s="313"/>
      <c r="E3274" s="308"/>
      <c r="F3274" s="309">
        <f>IFERROR(VLOOKUP(K3263,'2026.01'!A:Y,25,0),0)</f>
        <v>5896</v>
      </c>
      <c r="G3274" s="310"/>
      <c r="K3274" s="300"/>
    </row>
    <row r="3275" ht="15" customHeight="1" spans="1:11">
      <c r="A3275" s="314" t="s">
        <v>20</v>
      </c>
      <c r="B3275" s="315">
        <f>IF(F3274&lt;0,"金额为负，无效",INT(F3274))</f>
        <v>5896</v>
      </c>
      <c r="C3275" s="315"/>
      <c r="D3275" s="315"/>
      <c r="E3275" s="316" t="s">
        <v>21</v>
      </c>
      <c r="F3275" s="317"/>
      <c r="G3275" s="318"/>
      <c r="K3275" s="300"/>
    </row>
    <row r="3276" ht="15" customHeight="1" spans="1:11">
      <c r="A3276" s="319"/>
      <c r="B3276" s="320"/>
      <c r="C3276" s="320"/>
      <c r="D3276" s="320"/>
      <c r="E3276" s="319"/>
      <c r="F3276" s="321"/>
      <c r="G3276" s="322"/>
      <c r="K3276" s="300"/>
    </row>
    <row r="3277" ht="27" customHeight="1" spans="1:11">
      <c r="A3277" s="298" t="s">
        <v>0</v>
      </c>
      <c r="B3277" s="298"/>
      <c r="C3277" s="298"/>
      <c r="D3277" s="298"/>
      <c r="E3277" s="298"/>
      <c r="F3277" s="298"/>
      <c r="G3277" s="298"/>
      <c r="H3277" s="299"/>
      <c r="I3277" s="299"/>
      <c r="J3277" s="299"/>
      <c r="K3277" s="300">
        <v>235</v>
      </c>
    </row>
    <row r="3278" ht="15" customHeight="1" spans="1:11">
      <c r="A3278" s="301" t="s">
        <v>1</v>
      </c>
      <c r="B3278" s="301"/>
      <c r="C3278" s="301"/>
      <c r="D3278" s="301"/>
      <c r="E3278" s="301"/>
      <c r="F3278" s="301"/>
      <c r="G3278" s="302" t="str">
        <f>IFERROR(VLOOKUP(K3277,'2026.01'!A:Y,2,0),0)</f>
        <v>NO:235</v>
      </c>
      <c r="K3278" s="300"/>
    </row>
    <row r="3279" ht="15" customHeight="1" spans="1:11">
      <c r="A3279" s="303" t="s">
        <v>2</v>
      </c>
      <c r="B3279" s="304">
        <f>IFERROR(VLOOKUP(K3277,'2026.01'!A:Y,6,0),0)</f>
        <v>4014</v>
      </c>
      <c r="C3279" s="304"/>
      <c r="D3279" s="305" t="s">
        <v>3</v>
      </c>
      <c r="E3279" s="305" t="str">
        <f>IFERROR(VLOOKUP(K3277,'2026.01'!A:Y,7,0),0)</f>
        <v>黄伟军</v>
      </c>
      <c r="F3279" s="305"/>
      <c r="G3279" s="306" t="s">
        <v>4</v>
      </c>
      <c r="K3279" s="300"/>
    </row>
    <row r="3280" ht="15" customHeight="1" spans="1:11">
      <c r="A3280" s="307" t="s">
        <v>5</v>
      </c>
      <c r="B3280" s="308" t="s">
        <v>6</v>
      </c>
      <c r="C3280" s="308" t="s">
        <v>7</v>
      </c>
      <c r="D3280" s="308" t="s">
        <v>8</v>
      </c>
      <c r="E3280" s="308" t="s">
        <v>9</v>
      </c>
      <c r="F3280" s="309" t="s">
        <v>10</v>
      </c>
      <c r="G3280" s="310" t="s">
        <v>11</v>
      </c>
      <c r="K3280" s="300"/>
    </row>
    <row r="3281" ht="15" customHeight="1" spans="1:11">
      <c r="A3281" s="307" t="s">
        <v>12</v>
      </c>
      <c r="B3281" s="308">
        <f>IFERROR(VLOOKUP(K3277,'2026.01'!A:Y,14,0),0)</f>
        <v>7964</v>
      </c>
      <c r="C3281" s="308">
        <f>IFERROR(VLOOKUP(K3277,'2026.01'!A:Y,13,0),0)</f>
        <v>7832</v>
      </c>
      <c r="D3281" s="308">
        <f>IFERROR(VLOOKUP(K3277,'2026.01'!A:Y,15,0),0)</f>
        <v>132</v>
      </c>
      <c r="E3281" s="311">
        <f>IFERROR(VLOOKUP(K3277,'2026.01'!A:Y,18,0),0)</f>
        <v>0.8</v>
      </c>
      <c r="F3281" s="309">
        <f>IFERROR(VLOOKUP(K3277,'2026.01'!A:Y,20,0),0)</f>
        <v>106</v>
      </c>
      <c r="G3281" s="310"/>
      <c r="K3281" s="300"/>
    </row>
    <row r="3282" ht="15" customHeight="1" spans="1:11">
      <c r="A3282" s="307" t="s">
        <v>13</v>
      </c>
      <c r="B3282" s="308"/>
      <c r="C3282" s="308"/>
      <c r="D3282" s="308"/>
      <c r="E3282" s="311"/>
      <c r="F3282" s="309">
        <f>IFERROR(VLOOKUP(K3277,'2026.01'!A:Y,24,0),0)</f>
        <v>51</v>
      </c>
      <c r="G3282" s="310"/>
      <c r="K3282" s="300"/>
    </row>
    <row r="3283" ht="15" customHeight="1" spans="1:11">
      <c r="A3283" s="307" t="s">
        <v>14</v>
      </c>
      <c r="B3283" s="308"/>
      <c r="C3283" s="308"/>
      <c r="D3283" s="308"/>
      <c r="E3283" s="311"/>
      <c r="F3283" s="309">
        <f>IFERROR(VLOOKUP(K3277,'2026.01'!A:Y,12,0),0)</f>
        <v>160</v>
      </c>
      <c r="G3283" s="310"/>
      <c r="K3283" s="300"/>
    </row>
    <row r="3284" ht="21" customHeight="1" spans="1:11">
      <c r="A3284" s="307" t="s">
        <v>15</v>
      </c>
      <c r="B3284" s="308"/>
      <c r="C3284" s="308"/>
      <c r="D3284" s="308"/>
      <c r="E3284" s="311"/>
      <c r="F3284" s="309">
        <f>IFERROR(VLOOKUP(K3277,'2026.01'!A:Y,9,0),0)</f>
        <v>5000</v>
      </c>
      <c r="G3284" s="310"/>
      <c r="K3284" s="300"/>
    </row>
    <row r="3285" ht="19" customHeight="1" spans="1:11">
      <c r="A3285" s="307" t="s">
        <v>16</v>
      </c>
      <c r="B3285" s="308"/>
      <c r="C3285" s="308"/>
      <c r="D3285" s="308"/>
      <c r="E3285" s="308"/>
      <c r="F3285" s="309">
        <f>IFERROR(VLOOKUP(K3277,'2026.01'!A:Y,10,0),0)</f>
        <v>500</v>
      </c>
      <c r="G3285" s="310"/>
      <c r="K3285" s="300"/>
    </row>
    <row r="3286" ht="21" customHeight="1" spans="1:11">
      <c r="A3286" s="307" t="s">
        <v>17</v>
      </c>
      <c r="B3286" s="308"/>
      <c r="C3286" s="308"/>
      <c r="D3286" s="308"/>
      <c r="E3286" s="308"/>
      <c r="F3286" s="309">
        <f>IFERROR(VLOOKUP(K3277,'2026.01'!A:Y,19,0),0)</f>
        <v>92</v>
      </c>
      <c r="G3286" s="310"/>
      <c r="K3286" s="300"/>
    </row>
    <row r="3287" ht="17.15" customHeight="1" spans="1:11">
      <c r="A3287" s="307" t="s">
        <v>18</v>
      </c>
      <c r="B3287" s="308"/>
      <c r="C3287" s="308"/>
      <c r="D3287" s="308"/>
      <c r="E3287" s="308"/>
      <c r="F3287" s="309">
        <f>IFERROR(VLOOKUP(K3277,'2026.01'!A:Y,22,0),0)</f>
        <v>146</v>
      </c>
      <c r="G3287" s="310"/>
      <c r="K3287" s="300"/>
    </row>
    <row r="3288" ht="17.15" customHeight="1" spans="1:11">
      <c r="A3288" s="307" t="s">
        <v>19</v>
      </c>
      <c r="B3288" s="312"/>
      <c r="C3288" s="308"/>
      <c r="D3288" s="313"/>
      <c r="E3288" s="308"/>
      <c r="F3288" s="309">
        <f>IFERROR(VLOOKUP(K3277,'2026.01'!A:Y,25,0),0)</f>
        <v>6055</v>
      </c>
      <c r="G3288" s="310"/>
      <c r="K3288" s="300"/>
    </row>
    <row r="3289" ht="15" customHeight="1" spans="1:11">
      <c r="A3289" s="314" t="s">
        <v>20</v>
      </c>
      <c r="B3289" s="315">
        <f>IF(F3288&lt;0,"金额为负，无效",INT(F3288))</f>
        <v>6055</v>
      </c>
      <c r="C3289" s="315"/>
      <c r="D3289" s="315"/>
      <c r="E3289" s="316" t="s">
        <v>21</v>
      </c>
      <c r="F3289" s="317"/>
      <c r="G3289" s="318"/>
      <c r="K3289" s="300"/>
    </row>
    <row r="3290" ht="23" customHeight="1" spans="1:11">
      <c r="A3290" s="319"/>
      <c r="B3290" s="320"/>
      <c r="C3290" s="320"/>
      <c r="D3290" s="320"/>
      <c r="E3290" s="319"/>
      <c r="F3290" s="321"/>
      <c r="G3290" s="322"/>
      <c r="K3290" s="300"/>
    </row>
    <row r="3291" ht="27" customHeight="1" spans="1:11">
      <c r="A3291" s="298" t="s">
        <v>0</v>
      </c>
      <c r="B3291" s="298"/>
      <c r="C3291" s="298"/>
      <c r="D3291" s="298"/>
      <c r="E3291" s="298"/>
      <c r="F3291" s="298"/>
      <c r="G3291" s="298"/>
      <c r="H3291" s="299"/>
      <c r="I3291" s="299"/>
      <c r="J3291" s="299"/>
      <c r="K3291" s="300">
        <v>236</v>
      </c>
    </row>
    <row r="3292" ht="15" customHeight="1" spans="1:11">
      <c r="A3292" s="301" t="s">
        <v>1</v>
      </c>
      <c r="B3292" s="301"/>
      <c r="C3292" s="301"/>
      <c r="D3292" s="301"/>
      <c r="E3292" s="301"/>
      <c r="F3292" s="301"/>
      <c r="G3292" s="302" t="str">
        <f>IFERROR(VLOOKUP(K3291,'2026.01'!A:Y,2,0),0)</f>
        <v>NO:236</v>
      </c>
      <c r="K3292" s="300"/>
    </row>
    <row r="3293" ht="15" customHeight="1" spans="1:11">
      <c r="A3293" s="303" t="s">
        <v>2</v>
      </c>
      <c r="B3293" s="304">
        <f>IFERROR(VLOOKUP(K3291,'2026.01'!A:Y,6,0),0)</f>
        <v>4015</v>
      </c>
      <c r="C3293" s="304"/>
      <c r="D3293" s="305" t="s">
        <v>3</v>
      </c>
      <c r="E3293" s="305" t="str">
        <f>IFERROR(VLOOKUP(K3291,'2026.01'!A:Y,7,0),0)</f>
        <v>陈秋凡</v>
      </c>
      <c r="F3293" s="305"/>
      <c r="G3293" s="306" t="s">
        <v>4</v>
      </c>
      <c r="K3293" s="300"/>
    </row>
    <row r="3294" ht="15" customHeight="1" spans="1:11">
      <c r="A3294" s="307" t="s">
        <v>5</v>
      </c>
      <c r="B3294" s="308" t="s">
        <v>6</v>
      </c>
      <c r="C3294" s="308" t="s">
        <v>7</v>
      </c>
      <c r="D3294" s="308" t="s">
        <v>8</v>
      </c>
      <c r="E3294" s="308" t="s">
        <v>9</v>
      </c>
      <c r="F3294" s="309" t="s">
        <v>10</v>
      </c>
      <c r="G3294" s="310" t="s">
        <v>11</v>
      </c>
      <c r="K3294" s="300"/>
    </row>
    <row r="3295" ht="15" customHeight="1" spans="1:11">
      <c r="A3295" s="307" t="s">
        <v>12</v>
      </c>
      <c r="B3295" s="308">
        <f>IFERROR(VLOOKUP(K3291,'2026.01'!A:Y,14,0),0)</f>
        <v>3375</v>
      </c>
      <c r="C3295" s="308">
        <f>IFERROR(VLOOKUP(K3291,'2026.01'!A:Y,13,0),0)</f>
        <v>3353</v>
      </c>
      <c r="D3295" s="308">
        <f>IFERROR(VLOOKUP(K3291,'2026.01'!A:Y,15,0),0)</f>
        <v>22</v>
      </c>
      <c r="E3295" s="311">
        <f>IFERROR(VLOOKUP(K3291,'2026.01'!A:Y,18,0),0)</f>
        <v>0.8</v>
      </c>
      <c r="F3295" s="309">
        <f>IFERROR(VLOOKUP(K3291,'2026.01'!A:Y,20,0),0)</f>
        <v>18</v>
      </c>
      <c r="G3295" s="310"/>
      <c r="K3295" s="300"/>
    </row>
    <row r="3296" ht="15" customHeight="1" spans="1:11">
      <c r="A3296" s="307" t="s">
        <v>13</v>
      </c>
      <c r="B3296" s="308"/>
      <c r="C3296" s="308"/>
      <c r="D3296" s="308"/>
      <c r="E3296" s="311"/>
      <c r="F3296" s="309">
        <f>IFERROR(VLOOKUP(K3291,'2026.01'!A:Y,24,0),0)</f>
        <v>51</v>
      </c>
      <c r="G3296" s="310"/>
      <c r="K3296" s="300"/>
    </row>
    <row r="3297" ht="15" customHeight="1" spans="1:11">
      <c r="A3297" s="307" t="s">
        <v>14</v>
      </c>
      <c r="B3297" s="308"/>
      <c r="C3297" s="308"/>
      <c r="D3297" s="308"/>
      <c r="E3297" s="311"/>
      <c r="F3297" s="309">
        <f>IFERROR(VLOOKUP(K3291,'2026.01'!A:Y,12,0),0)</f>
        <v>160</v>
      </c>
      <c r="G3297" s="310"/>
      <c r="K3297" s="300"/>
    </row>
    <row r="3298" ht="21" customHeight="1" spans="1:11">
      <c r="A3298" s="307" t="s">
        <v>15</v>
      </c>
      <c r="B3298" s="308"/>
      <c r="C3298" s="308"/>
      <c r="D3298" s="308"/>
      <c r="E3298" s="311"/>
      <c r="F3298" s="309">
        <f>IFERROR(VLOOKUP(K3291,'2026.01'!A:Y,9,0),0)</f>
        <v>5000</v>
      </c>
      <c r="G3298" s="310"/>
      <c r="K3298" s="300"/>
    </row>
    <row r="3299" ht="19" customHeight="1" spans="1:11">
      <c r="A3299" s="307" t="s">
        <v>16</v>
      </c>
      <c r="B3299" s="308"/>
      <c r="C3299" s="308"/>
      <c r="D3299" s="308"/>
      <c r="E3299" s="308"/>
      <c r="F3299" s="309">
        <f>IFERROR(VLOOKUP(K3291,'2026.01'!A:Y,10,0),0)</f>
        <v>500</v>
      </c>
      <c r="G3299" s="310"/>
      <c r="K3299" s="300"/>
    </row>
    <row r="3300" ht="21" customHeight="1" spans="1:11">
      <c r="A3300" s="307" t="s">
        <v>17</v>
      </c>
      <c r="B3300" s="308"/>
      <c r="C3300" s="308"/>
      <c r="D3300" s="308"/>
      <c r="E3300" s="308"/>
      <c r="F3300" s="309">
        <f>IFERROR(VLOOKUP(K3291,'2026.01'!A:Y,19,0),0)</f>
        <v>15</v>
      </c>
      <c r="G3300" s="310"/>
      <c r="K3300" s="300"/>
    </row>
    <row r="3301" ht="17.15" customHeight="1" spans="1:11">
      <c r="A3301" s="307" t="s">
        <v>18</v>
      </c>
      <c r="B3301" s="308"/>
      <c r="C3301" s="308"/>
      <c r="D3301" s="308"/>
      <c r="E3301" s="308"/>
      <c r="F3301" s="309">
        <f>IFERROR(VLOOKUP(K3291,'2026.01'!A:Y,22,0),0)</f>
        <v>146</v>
      </c>
      <c r="G3301" s="310"/>
      <c r="K3301" s="300"/>
    </row>
    <row r="3302" ht="17.15" customHeight="1" spans="1:11">
      <c r="A3302" s="307" t="s">
        <v>19</v>
      </c>
      <c r="B3302" s="312"/>
      <c r="C3302" s="308"/>
      <c r="D3302" s="313"/>
      <c r="E3302" s="308"/>
      <c r="F3302" s="309">
        <f>IFERROR(VLOOKUP(K3291,'2026.01'!A:Y,25,0),0)</f>
        <v>5890</v>
      </c>
      <c r="G3302" s="310"/>
      <c r="K3302" s="300"/>
    </row>
    <row r="3303" ht="15" customHeight="1" spans="1:11">
      <c r="A3303" s="314" t="s">
        <v>20</v>
      </c>
      <c r="B3303" s="315">
        <f>IF(F3302&lt;0,"金额为负，无效",INT(F3302))</f>
        <v>5890</v>
      </c>
      <c r="C3303" s="315"/>
      <c r="D3303" s="315"/>
      <c r="E3303" s="316" t="s">
        <v>21</v>
      </c>
      <c r="F3303" s="317"/>
      <c r="G3303" s="318"/>
      <c r="K3303" s="300"/>
    </row>
    <row r="3304" ht="23" customHeight="1" spans="1:11">
      <c r="A3304" s="319"/>
      <c r="B3304" s="320"/>
      <c r="C3304" s="320"/>
      <c r="D3304" s="320"/>
      <c r="E3304" s="319"/>
      <c r="F3304" s="321"/>
      <c r="G3304" s="322"/>
      <c r="K3304" s="300"/>
    </row>
    <row r="3305" ht="27" customHeight="1" spans="1:11">
      <c r="A3305" s="298" t="s">
        <v>0</v>
      </c>
      <c r="B3305" s="298"/>
      <c r="C3305" s="298"/>
      <c r="D3305" s="298"/>
      <c r="E3305" s="298"/>
      <c r="F3305" s="298"/>
      <c r="G3305" s="298"/>
      <c r="H3305" s="299"/>
      <c r="I3305" s="299"/>
      <c r="J3305" s="299"/>
      <c r="K3305" s="300">
        <v>237</v>
      </c>
    </row>
    <row r="3306" ht="15" customHeight="1" spans="1:11">
      <c r="A3306" s="301" t="s">
        <v>1</v>
      </c>
      <c r="B3306" s="301"/>
      <c r="C3306" s="301"/>
      <c r="D3306" s="301"/>
      <c r="E3306" s="301"/>
      <c r="F3306" s="301"/>
      <c r="G3306" s="302" t="str">
        <f>IFERROR(VLOOKUP(K3305,'2026.01'!A:Y,2,0),0)</f>
        <v>NO:237</v>
      </c>
      <c r="K3306" s="300"/>
    </row>
    <row r="3307" ht="15" customHeight="1" spans="1:11">
      <c r="A3307" s="303" t="s">
        <v>2</v>
      </c>
      <c r="B3307" s="304">
        <f>IFERROR(VLOOKUP(K3305,'2026.01'!A:Y,6,0),0)</f>
        <v>4016</v>
      </c>
      <c r="C3307" s="304"/>
      <c r="D3307" s="305" t="s">
        <v>3</v>
      </c>
      <c r="E3307" s="305" t="str">
        <f>IFERROR(VLOOKUP(K3305,'2026.01'!A:Y,7,0),0)</f>
        <v>刘林</v>
      </c>
      <c r="F3307" s="305"/>
      <c r="G3307" s="306" t="s">
        <v>4</v>
      </c>
      <c r="K3307" s="300"/>
    </row>
    <row r="3308" ht="15" customHeight="1" spans="1:11">
      <c r="A3308" s="307" t="s">
        <v>5</v>
      </c>
      <c r="B3308" s="308" t="s">
        <v>6</v>
      </c>
      <c r="C3308" s="308" t="s">
        <v>7</v>
      </c>
      <c r="D3308" s="308" t="s">
        <v>8</v>
      </c>
      <c r="E3308" s="308" t="s">
        <v>9</v>
      </c>
      <c r="F3308" s="309" t="s">
        <v>10</v>
      </c>
      <c r="G3308" s="310" t="s">
        <v>11</v>
      </c>
      <c r="K3308" s="300"/>
    </row>
    <row r="3309" ht="15" customHeight="1" spans="1:11">
      <c r="A3309" s="307" t="s">
        <v>12</v>
      </c>
      <c r="B3309" s="308">
        <f>IFERROR(VLOOKUP(K3305,'2026.01'!A:Y,14,0),0)</f>
        <v>4937</v>
      </c>
      <c r="C3309" s="308">
        <f>IFERROR(VLOOKUP(K3305,'2026.01'!A:Y,13,0),0)</f>
        <v>4889</v>
      </c>
      <c r="D3309" s="308">
        <f>IFERROR(VLOOKUP(K3305,'2026.01'!A:Y,15,0),0)</f>
        <v>48</v>
      </c>
      <c r="E3309" s="311">
        <f>IFERROR(VLOOKUP(K3305,'2026.01'!A:Y,18,0),0)</f>
        <v>0.8</v>
      </c>
      <c r="F3309" s="309">
        <f>IFERROR(VLOOKUP(K3305,'2026.01'!A:Y,20,0),0)</f>
        <v>38</v>
      </c>
      <c r="G3309" s="310"/>
      <c r="K3309" s="300"/>
    </row>
    <row r="3310" ht="15" customHeight="1" spans="1:11">
      <c r="A3310" s="307" t="s">
        <v>13</v>
      </c>
      <c r="B3310" s="308"/>
      <c r="C3310" s="308"/>
      <c r="D3310" s="308"/>
      <c r="E3310" s="311"/>
      <c r="F3310" s="309">
        <f>IFERROR(VLOOKUP(K3305,'2026.01'!A:Y,24,0),0)</f>
        <v>51</v>
      </c>
      <c r="G3310" s="310"/>
      <c r="K3310" s="300"/>
    </row>
    <row r="3311" ht="15" customHeight="1" spans="1:11">
      <c r="A3311" s="307" t="s">
        <v>14</v>
      </c>
      <c r="B3311" s="308"/>
      <c r="C3311" s="308"/>
      <c r="D3311" s="308"/>
      <c r="E3311" s="311"/>
      <c r="F3311" s="309">
        <f>IFERROR(VLOOKUP(K3305,'2026.01'!A:Y,12,0),0)</f>
        <v>160</v>
      </c>
      <c r="G3311" s="310"/>
      <c r="K3311" s="300"/>
    </row>
    <row r="3312" ht="21" customHeight="1" spans="1:11">
      <c r="A3312" s="307" t="s">
        <v>15</v>
      </c>
      <c r="B3312" s="308"/>
      <c r="C3312" s="308"/>
      <c r="D3312" s="308"/>
      <c r="E3312" s="311"/>
      <c r="F3312" s="309">
        <f>IFERROR(VLOOKUP(K3305,'2026.01'!A:Y,9,0),0)</f>
        <v>5000</v>
      </c>
      <c r="G3312" s="310"/>
      <c r="K3312" s="300"/>
    </row>
    <row r="3313" ht="19" customHeight="1" spans="1:11">
      <c r="A3313" s="307" t="s">
        <v>16</v>
      </c>
      <c r="B3313" s="308"/>
      <c r="C3313" s="308"/>
      <c r="D3313" s="308"/>
      <c r="E3313" s="308"/>
      <c r="F3313" s="309">
        <f>IFERROR(VLOOKUP(K3305,'2026.01'!A:Y,10,0),0)</f>
        <v>500</v>
      </c>
      <c r="G3313" s="310"/>
      <c r="K3313" s="300"/>
    </row>
    <row r="3314" ht="21" customHeight="1" spans="1:11">
      <c r="A3314" s="307" t="s">
        <v>17</v>
      </c>
      <c r="B3314" s="308"/>
      <c r="C3314" s="308"/>
      <c r="D3314" s="308"/>
      <c r="E3314" s="308"/>
      <c r="F3314" s="309">
        <f>IFERROR(VLOOKUP(K3305,'2026.01'!A:Y,19,0),0)</f>
        <v>34</v>
      </c>
      <c r="G3314" s="310"/>
      <c r="K3314" s="300"/>
    </row>
    <row r="3315" ht="17.15" customHeight="1" spans="1:11">
      <c r="A3315" s="307" t="s">
        <v>18</v>
      </c>
      <c r="B3315" s="308"/>
      <c r="C3315" s="308"/>
      <c r="D3315" s="308"/>
      <c r="E3315" s="308"/>
      <c r="F3315" s="309">
        <f>IFERROR(VLOOKUP(K3305,'2026.01'!A:Y,22,0),0)</f>
        <v>146</v>
      </c>
      <c r="G3315" s="310"/>
      <c r="K3315" s="300"/>
    </row>
    <row r="3316" ht="17.15" customHeight="1" spans="1:11">
      <c r="A3316" s="307" t="s">
        <v>19</v>
      </c>
      <c r="B3316" s="312"/>
      <c r="C3316" s="308"/>
      <c r="D3316" s="313"/>
      <c r="E3316" s="308"/>
      <c r="F3316" s="309">
        <f>IFERROR(VLOOKUP(K3305,'2026.01'!A:Y,25,0),0)</f>
        <v>5929</v>
      </c>
      <c r="G3316" s="310"/>
      <c r="K3316" s="300"/>
    </row>
    <row r="3317" ht="15" customHeight="1" spans="1:11">
      <c r="A3317" s="314" t="s">
        <v>20</v>
      </c>
      <c r="B3317" s="315">
        <f>IF(F3316&lt;0,"金额为负，无效",INT(F3316))</f>
        <v>5929</v>
      </c>
      <c r="C3317" s="315"/>
      <c r="D3317" s="315"/>
      <c r="E3317" s="316" t="s">
        <v>21</v>
      </c>
      <c r="F3317" s="317"/>
      <c r="G3317" s="318"/>
      <c r="K3317" s="300"/>
    </row>
    <row r="3318" ht="15" customHeight="1" spans="1:11">
      <c r="A3318" s="319"/>
      <c r="B3318" s="320"/>
      <c r="C3318" s="320"/>
      <c r="D3318" s="320"/>
      <c r="E3318" s="319"/>
      <c r="F3318" s="321"/>
      <c r="G3318" s="322"/>
      <c r="K3318" s="300"/>
    </row>
    <row r="3319" ht="27" customHeight="1" spans="1:11">
      <c r="A3319" s="298" t="s">
        <v>0</v>
      </c>
      <c r="B3319" s="298"/>
      <c r="C3319" s="298"/>
      <c r="D3319" s="298"/>
      <c r="E3319" s="298"/>
      <c r="F3319" s="298"/>
      <c r="G3319" s="298"/>
      <c r="H3319" s="299"/>
      <c r="I3319" s="299"/>
      <c r="J3319" s="299"/>
      <c r="K3319" s="300">
        <v>238</v>
      </c>
    </row>
    <row r="3320" ht="15" customHeight="1" spans="1:11">
      <c r="A3320" s="301" t="s">
        <v>1</v>
      </c>
      <c r="B3320" s="301"/>
      <c r="C3320" s="301"/>
      <c r="D3320" s="301"/>
      <c r="E3320" s="301"/>
      <c r="F3320" s="301"/>
      <c r="G3320" s="302" t="str">
        <f>IFERROR(VLOOKUP(K3319,'2026.01'!A:Y,2,0),0)</f>
        <v>NO:238</v>
      </c>
      <c r="K3320" s="300"/>
    </row>
    <row r="3321" ht="15" customHeight="1" spans="1:11">
      <c r="A3321" s="303" t="s">
        <v>2</v>
      </c>
      <c r="B3321" s="304">
        <f>IFERROR(VLOOKUP(K3319,'2026.01'!A:Y,6,0),0)</f>
        <v>4017</v>
      </c>
      <c r="C3321" s="304"/>
      <c r="D3321" s="305" t="s">
        <v>3</v>
      </c>
      <c r="E3321" s="305" t="str">
        <f>IFERROR(VLOOKUP(K3319,'2026.01'!A:Y,7,0),0)</f>
        <v>汪莉娜</v>
      </c>
      <c r="F3321" s="305"/>
      <c r="G3321" s="306" t="s">
        <v>4</v>
      </c>
      <c r="K3321" s="300"/>
    </row>
    <row r="3322" ht="15" customHeight="1" spans="1:11">
      <c r="A3322" s="307" t="s">
        <v>5</v>
      </c>
      <c r="B3322" s="308" t="s">
        <v>6</v>
      </c>
      <c r="C3322" s="308" t="s">
        <v>7</v>
      </c>
      <c r="D3322" s="308" t="s">
        <v>8</v>
      </c>
      <c r="E3322" s="308" t="s">
        <v>9</v>
      </c>
      <c r="F3322" s="309" t="s">
        <v>10</v>
      </c>
      <c r="G3322" s="310" t="s">
        <v>11</v>
      </c>
      <c r="K3322" s="300"/>
    </row>
    <row r="3323" ht="15" customHeight="1" spans="1:11">
      <c r="A3323" s="307" t="s">
        <v>12</v>
      </c>
      <c r="B3323" s="308">
        <f>IFERROR(VLOOKUP(K3319,'2026.01'!A:Y,14,0),0)</f>
        <v>6572</v>
      </c>
      <c r="C3323" s="308">
        <f>IFERROR(VLOOKUP(K3319,'2026.01'!A:Y,13,0),0)</f>
        <v>6572</v>
      </c>
      <c r="D3323" s="308">
        <f>IFERROR(VLOOKUP(K3319,'2026.01'!A:Y,15,0),0)</f>
        <v>0</v>
      </c>
      <c r="E3323" s="311">
        <f>IFERROR(VLOOKUP(K3319,'2026.01'!A:Y,18,0),0)</f>
        <v>0.8</v>
      </c>
      <c r="F3323" s="309">
        <f>IFERROR(VLOOKUP(K3319,'2026.01'!A:Y,20,0),0)</f>
        <v>0</v>
      </c>
      <c r="G3323" s="310"/>
      <c r="K3323" s="300"/>
    </row>
    <row r="3324" ht="15" customHeight="1" spans="1:11">
      <c r="A3324" s="307" t="s">
        <v>13</v>
      </c>
      <c r="B3324" s="308"/>
      <c r="C3324" s="308"/>
      <c r="D3324" s="308"/>
      <c r="E3324" s="311"/>
      <c r="F3324" s="309">
        <f>IFERROR(VLOOKUP(K3319,'2026.01'!A:Y,24,0),0)</f>
        <v>51</v>
      </c>
      <c r="G3324" s="310"/>
      <c r="K3324" s="300"/>
    </row>
    <row r="3325" ht="15" customHeight="1" spans="1:11">
      <c r="A3325" s="307" t="s">
        <v>14</v>
      </c>
      <c r="B3325" s="308"/>
      <c r="C3325" s="308"/>
      <c r="D3325" s="308"/>
      <c r="E3325" s="311"/>
      <c r="F3325" s="309">
        <f>IFERROR(VLOOKUP(K3319,'2026.01'!A:Y,12,0),0)</f>
        <v>160</v>
      </c>
      <c r="G3325" s="310"/>
      <c r="K3325" s="300"/>
    </row>
    <row r="3326" ht="21" customHeight="1" spans="1:11">
      <c r="A3326" s="307" t="s">
        <v>15</v>
      </c>
      <c r="B3326" s="308"/>
      <c r="C3326" s="308"/>
      <c r="D3326" s="308"/>
      <c r="E3326" s="311"/>
      <c r="F3326" s="309">
        <f>IFERROR(VLOOKUP(K3319,'2026.01'!A:Y,9,0),0)</f>
        <v>5000</v>
      </c>
      <c r="G3326" s="310"/>
      <c r="K3326" s="300"/>
    </row>
    <row r="3327" ht="19" customHeight="1" spans="1:11">
      <c r="A3327" s="307" t="s">
        <v>16</v>
      </c>
      <c r="B3327" s="308"/>
      <c r="C3327" s="308"/>
      <c r="D3327" s="308"/>
      <c r="E3327" s="308"/>
      <c r="F3327" s="309">
        <f>IFERROR(VLOOKUP(K3319,'2026.01'!A:Y,10,0),0)</f>
        <v>500</v>
      </c>
      <c r="G3327" s="310"/>
      <c r="K3327" s="300"/>
    </row>
    <row r="3328" ht="21" customHeight="1" spans="1:11">
      <c r="A3328" s="307" t="s">
        <v>17</v>
      </c>
      <c r="B3328" s="308"/>
      <c r="C3328" s="308"/>
      <c r="D3328" s="308"/>
      <c r="E3328" s="308"/>
      <c r="F3328" s="309">
        <f>IFERROR(VLOOKUP(K3319,'2026.01'!A:Y,19,0),0)</f>
        <v>0</v>
      </c>
      <c r="G3328" s="310"/>
      <c r="K3328" s="300"/>
    </row>
    <row r="3329" ht="17.15" customHeight="1" spans="1:11">
      <c r="A3329" s="307" t="s">
        <v>18</v>
      </c>
      <c r="B3329" s="308"/>
      <c r="C3329" s="308"/>
      <c r="D3329" s="308"/>
      <c r="E3329" s="308"/>
      <c r="F3329" s="309">
        <f>IFERROR(VLOOKUP(K3319,'2026.01'!A:Y,22,0),0)</f>
        <v>146</v>
      </c>
      <c r="G3329" s="310"/>
      <c r="K3329" s="300"/>
    </row>
    <row r="3330" ht="17.15" customHeight="1" spans="1:11">
      <c r="A3330" s="307" t="s">
        <v>19</v>
      </c>
      <c r="B3330" s="312"/>
      <c r="C3330" s="308"/>
      <c r="D3330" s="313"/>
      <c r="E3330" s="308"/>
      <c r="F3330" s="309">
        <f>IFERROR(VLOOKUP(K3319,'2026.01'!A:Y,25,0),0)</f>
        <v>5857</v>
      </c>
      <c r="G3330" s="310"/>
      <c r="K3330" s="300"/>
    </row>
    <row r="3331" ht="15" customHeight="1" spans="1:11">
      <c r="A3331" s="314" t="s">
        <v>20</v>
      </c>
      <c r="B3331" s="315">
        <f>IF(F3330&lt;0,"金额为负，无效",INT(F3330))</f>
        <v>5857</v>
      </c>
      <c r="C3331" s="315"/>
      <c r="D3331" s="315"/>
      <c r="E3331" s="316" t="s">
        <v>21</v>
      </c>
      <c r="F3331" s="317"/>
      <c r="G3331" s="318"/>
      <c r="K3331" s="300"/>
    </row>
    <row r="3332" ht="23" customHeight="1" spans="1:11">
      <c r="A3332" s="319"/>
      <c r="B3332" s="320"/>
      <c r="C3332" s="320"/>
      <c r="D3332" s="320"/>
      <c r="E3332" s="319"/>
      <c r="F3332" s="321"/>
      <c r="G3332" s="322"/>
      <c r="K3332" s="300"/>
    </row>
    <row r="3333" ht="27" customHeight="1" spans="1:11">
      <c r="A3333" s="298" t="s">
        <v>0</v>
      </c>
      <c r="B3333" s="298"/>
      <c r="C3333" s="298"/>
      <c r="D3333" s="298"/>
      <c r="E3333" s="298"/>
      <c r="F3333" s="298"/>
      <c r="G3333" s="298"/>
      <c r="H3333" s="299"/>
      <c r="I3333" s="299"/>
      <c r="J3333" s="299"/>
      <c r="K3333" s="300">
        <v>239</v>
      </c>
    </row>
    <row r="3334" ht="15" customHeight="1" spans="1:11">
      <c r="A3334" s="301" t="s">
        <v>1</v>
      </c>
      <c r="B3334" s="301"/>
      <c r="C3334" s="301"/>
      <c r="D3334" s="301"/>
      <c r="E3334" s="301"/>
      <c r="F3334" s="301"/>
      <c r="G3334" s="302" t="str">
        <f>IFERROR(VLOOKUP(K3333,'2026.01'!A:Y,2,0),0)</f>
        <v>NO:239</v>
      </c>
      <c r="K3334" s="300"/>
    </row>
    <row r="3335" ht="15" customHeight="1" spans="1:11">
      <c r="A3335" s="303" t="s">
        <v>2</v>
      </c>
      <c r="B3335" s="304">
        <f>IFERROR(VLOOKUP(K3333,'2026.01'!A:Y,6,0),0)</f>
        <v>4018</v>
      </c>
      <c r="C3335" s="304"/>
      <c r="D3335" s="305" t="s">
        <v>3</v>
      </c>
      <c r="E3335" s="305" t="str">
        <f>IFERROR(VLOOKUP(K3333,'2026.01'!A:Y,7,0),0)</f>
        <v>张丽凤</v>
      </c>
      <c r="F3335" s="305"/>
      <c r="G3335" s="306" t="s">
        <v>4</v>
      </c>
      <c r="K3335" s="300"/>
    </row>
    <row r="3336" ht="15" customHeight="1" spans="1:11">
      <c r="A3336" s="307" t="s">
        <v>5</v>
      </c>
      <c r="B3336" s="308" t="s">
        <v>6</v>
      </c>
      <c r="C3336" s="308" t="s">
        <v>7</v>
      </c>
      <c r="D3336" s="308" t="s">
        <v>8</v>
      </c>
      <c r="E3336" s="308" t="s">
        <v>9</v>
      </c>
      <c r="F3336" s="309" t="s">
        <v>10</v>
      </c>
      <c r="G3336" s="310" t="s">
        <v>11</v>
      </c>
      <c r="K3336" s="300"/>
    </row>
    <row r="3337" ht="15" customHeight="1" spans="1:11">
      <c r="A3337" s="307" t="s">
        <v>12</v>
      </c>
      <c r="B3337" s="308">
        <f>IFERROR(VLOOKUP(K3333,'2026.01'!A:Y,14,0),0)</f>
        <v>9674</v>
      </c>
      <c r="C3337" s="308">
        <f>IFERROR(VLOOKUP(K3333,'2026.01'!A:Y,13,0),0)</f>
        <v>9624</v>
      </c>
      <c r="D3337" s="308">
        <f>IFERROR(VLOOKUP(K3333,'2026.01'!A:Y,15,0),0)</f>
        <v>50</v>
      </c>
      <c r="E3337" s="311">
        <f>IFERROR(VLOOKUP(K3333,'2026.01'!A:Y,18,0),0)</f>
        <v>0.8</v>
      </c>
      <c r="F3337" s="309">
        <f>IFERROR(VLOOKUP(K3333,'2026.01'!A:Y,20,0),0)</f>
        <v>40</v>
      </c>
      <c r="G3337" s="310"/>
      <c r="K3337" s="300"/>
    </row>
    <row r="3338" ht="15" customHeight="1" spans="1:11">
      <c r="A3338" s="307" t="s">
        <v>13</v>
      </c>
      <c r="B3338" s="308"/>
      <c r="C3338" s="308"/>
      <c r="D3338" s="308"/>
      <c r="E3338" s="311"/>
      <c r="F3338" s="309">
        <f>IFERROR(VLOOKUP(K3333,'2026.01'!A:Y,24,0),0)</f>
        <v>51</v>
      </c>
      <c r="G3338" s="310"/>
      <c r="K3338" s="300"/>
    </row>
    <row r="3339" ht="15" customHeight="1" spans="1:11">
      <c r="A3339" s="307" t="s">
        <v>14</v>
      </c>
      <c r="B3339" s="308"/>
      <c r="C3339" s="308"/>
      <c r="D3339" s="308"/>
      <c r="E3339" s="311"/>
      <c r="F3339" s="309">
        <f>IFERROR(VLOOKUP(K3333,'2026.01'!A:Y,12,0),0)</f>
        <v>160</v>
      </c>
      <c r="G3339" s="310"/>
      <c r="K3339" s="300"/>
    </row>
    <row r="3340" ht="21" customHeight="1" spans="1:11">
      <c r="A3340" s="307" t="s">
        <v>15</v>
      </c>
      <c r="B3340" s="308"/>
      <c r="C3340" s="308"/>
      <c r="D3340" s="308"/>
      <c r="E3340" s="311"/>
      <c r="F3340" s="309">
        <f>IFERROR(VLOOKUP(K3333,'2026.01'!A:Y,9,0),0)</f>
        <v>5000</v>
      </c>
      <c r="G3340" s="310"/>
      <c r="K3340" s="300"/>
    </row>
    <row r="3341" ht="19" customHeight="1" spans="1:11">
      <c r="A3341" s="307" t="s">
        <v>16</v>
      </c>
      <c r="B3341" s="308"/>
      <c r="C3341" s="308"/>
      <c r="D3341" s="308"/>
      <c r="E3341" s="308"/>
      <c r="F3341" s="309">
        <f>IFERROR(VLOOKUP(K3333,'2026.01'!A:Y,10,0),0)</f>
        <v>500</v>
      </c>
      <c r="G3341" s="310"/>
      <c r="K3341" s="300"/>
    </row>
    <row r="3342" ht="21" customHeight="1" spans="1:11">
      <c r="A3342" s="307" t="s">
        <v>17</v>
      </c>
      <c r="B3342" s="308"/>
      <c r="C3342" s="308"/>
      <c r="D3342" s="308"/>
      <c r="E3342" s="308"/>
      <c r="F3342" s="309">
        <f>IFERROR(VLOOKUP(K3333,'2026.01'!A:Y,19,0),0)</f>
        <v>35</v>
      </c>
      <c r="G3342" s="310"/>
      <c r="K3342" s="300"/>
    </row>
    <row r="3343" ht="17.15" customHeight="1" spans="1:11">
      <c r="A3343" s="307" t="s">
        <v>18</v>
      </c>
      <c r="B3343" s="308"/>
      <c r="C3343" s="308"/>
      <c r="D3343" s="308"/>
      <c r="E3343" s="308"/>
      <c r="F3343" s="309">
        <f>IFERROR(VLOOKUP(K3333,'2026.01'!A:Y,22,0),0)</f>
        <v>146</v>
      </c>
      <c r="G3343" s="310"/>
      <c r="K3343" s="300"/>
    </row>
    <row r="3344" ht="17.15" customHeight="1" spans="1:11">
      <c r="A3344" s="307" t="s">
        <v>19</v>
      </c>
      <c r="B3344" s="312"/>
      <c r="C3344" s="308"/>
      <c r="D3344" s="313"/>
      <c r="E3344" s="308"/>
      <c r="F3344" s="309">
        <f>IFERROR(VLOOKUP(K3333,'2026.01'!A:Y,25,0),0)</f>
        <v>5932</v>
      </c>
      <c r="G3344" s="310"/>
      <c r="K3344" s="300"/>
    </row>
    <row r="3345" ht="15" customHeight="1" spans="1:11">
      <c r="A3345" s="314" t="s">
        <v>20</v>
      </c>
      <c r="B3345" s="315">
        <f>IF(F3344&lt;0,"金额为负，无效",INT(F3344))</f>
        <v>5932</v>
      </c>
      <c r="C3345" s="315"/>
      <c r="D3345" s="315"/>
      <c r="E3345" s="316" t="s">
        <v>21</v>
      </c>
      <c r="F3345" s="317"/>
      <c r="G3345" s="318"/>
      <c r="K3345" s="300"/>
    </row>
    <row r="3346" ht="23" customHeight="1" spans="1:11">
      <c r="A3346" s="319"/>
      <c r="B3346" s="320"/>
      <c r="C3346" s="320"/>
      <c r="D3346" s="320"/>
      <c r="E3346" s="319"/>
      <c r="F3346" s="321"/>
      <c r="G3346" s="322"/>
      <c r="K3346" s="300"/>
    </row>
    <row r="3347" ht="27" customHeight="1" spans="1:11">
      <c r="A3347" s="298" t="s">
        <v>0</v>
      </c>
      <c r="B3347" s="298"/>
      <c r="C3347" s="298"/>
      <c r="D3347" s="298"/>
      <c r="E3347" s="298"/>
      <c r="F3347" s="298"/>
      <c r="G3347" s="298"/>
      <c r="H3347" s="299"/>
      <c r="I3347" s="299"/>
      <c r="J3347" s="299"/>
      <c r="K3347" s="300">
        <v>240</v>
      </c>
    </row>
    <row r="3348" ht="15" customHeight="1" spans="1:11">
      <c r="A3348" s="301" t="s">
        <v>1</v>
      </c>
      <c r="B3348" s="301"/>
      <c r="C3348" s="301"/>
      <c r="D3348" s="301"/>
      <c r="E3348" s="301"/>
      <c r="F3348" s="301"/>
      <c r="G3348" s="302" t="str">
        <f>IFERROR(VLOOKUP(K3347,'2026.01'!A:Y,2,0),0)</f>
        <v>NO:240</v>
      </c>
      <c r="K3348" s="300"/>
    </row>
    <row r="3349" ht="15" customHeight="1" spans="1:11">
      <c r="A3349" s="303" t="s">
        <v>2</v>
      </c>
      <c r="B3349" s="304">
        <f>IFERROR(VLOOKUP(K3347,'2026.01'!A:Y,6,0),0)</f>
        <v>4019</v>
      </c>
      <c r="C3349" s="304"/>
      <c r="D3349" s="305" t="s">
        <v>3</v>
      </c>
      <c r="E3349" s="305" t="str">
        <f>IFERROR(VLOOKUP(K3347,'2026.01'!A:Y,7,0),0)</f>
        <v>颜黎明</v>
      </c>
      <c r="F3349" s="305"/>
      <c r="G3349" s="306" t="s">
        <v>4</v>
      </c>
      <c r="K3349" s="300"/>
    </row>
    <row r="3350" ht="15" customHeight="1" spans="1:11">
      <c r="A3350" s="307" t="s">
        <v>5</v>
      </c>
      <c r="B3350" s="308" t="s">
        <v>6</v>
      </c>
      <c r="C3350" s="308" t="s">
        <v>7</v>
      </c>
      <c r="D3350" s="308" t="s">
        <v>8</v>
      </c>
      <c r="E3350" s="308" t="s">
        <v>9</v>
      </c>
      <c r="F3350" s="309" t="s">
        <v>10</v>
      </c>
      <c r="G3350" s="310" t="s">
        <v>11</v>
      </c>
      <c r="K3350" s="300"/>
    </row>
    <row r="3351" ht="15" customHeight="1" spans="1:11">
      <c r="A3351" s="307" t="s">
        <v>12</v>
      </c>
      <c r="B3351" s="308">
        <f>IFERROR(VLOOKUP(K3347,'2026.01'!A:Y,14,0),0)</f>
        <v>9499</v>
      </c>
      <c r="C3351" s="308">
        <f>IFERROR(VLOOKUP(K3347,'2026.01'!A:Y,13,0),0)</f>
        <v>9446</v>
      </c>
      <c r="D3351" s="308">
        <f>IFERROR(VLOOKUP(K3347,'2026.01'!A:Y,15,0),0)</f>
        <v>53</v>
      </c>
      <c r="E3351" s="311">
        <f>IFERROR(VLOOKUP(K3347,'2026.01'!A:Y,18,0),0)</f>
        <v>0.8</v>
      </c>
      <c r="F3351" s="309">
        <f>IFERROR(VLOOKUP(K3347,'2026.01'!A:Y,20,0),0)</f>
        <v>42</v>
      </c>
      <c r="G3351" s="310"/>
      <c r="K3351" s="300"/>
    </row>
    <row r="3352" ht="15" customHeight="1" spans="1:11">
      <c r="A3352" s="307" t="s">
        <v>13</v>
      </c>
      <c r="B3352" s="308"/>
      <c r="C3352" s="308"/>
      <c r="D3352" s="308"/>
      <c r="E3352" s="311"/>
      <c r="F3352" s="309">
        <f>IFERROR(VLOOKUP(K3347,'2026.01'!A:Y,24,0),0)</f>
        <v>51</v>
      </c>
      <c r="G3352" s="310"/>
      <c r="K3352" s="300"/>
    </row>
    <row r="3353" ht="15" customHeight="1" spans="1:11">
      <c r="A3353" s="307" t="s">
        <v>14</v>
      </c>
      <c r="B3353" s="308"/>
      <c r="C3353" s="308"/>
      <c r="D3353" s="308"/>
      <c r="E3353" s="311"/>
      <c r="F3353" s="309">
        <f>IFERROR(VLOOKUP(K3347,'2026.01'!A:Y,12,0),0)</f>
        <v>160</v>
      </c>
      <c r="G3353" s="310"/>
      <c r="K3353" s="300"/>
    </row>
    <row r="3354" ht="21" customHeight="1" spans="1:11">
      <c r="A3354" s="307" t="s">
        <v>15</v>
      </c>
      <c r="B3354" s="308"/>
      <c r="C3354" s="308"/>
      <c r="D3354" s="308"/>
      <c r="E3354" s="311"/>
      <c r="F3354" s="309">
        <f>IFERROR(VLOOKUP(K3347,'2026.01'!A:Y,9,0),0)</f>
        <v>5000</v>
      </c>
      <c r="G3354" s="310"/>
      <c r="K3354" s="300"/>
    </row>
    <row r="3355" ht="19" customHeight="1" spans="1:11">
      <c r="A3355" s="307" t="s">
        <v>16</v>
      </c>
      <c r="B3355" s="308"/>
      <c r="C3355" s="308"/>
      <c r="D3355" s="308"/>
      <c r="E3355" s="308"/>
      <c r="F3355" s="309">
        <f>IFERROR(VLOOKUP(K3347,'2026.01'!A:Y,10,0),0)</f>
        <v>500</v>
      </c>
      <c r="G3355" s="310"/>
      <c r="K3355" s="300"/>
    </row>
    <row r="3356" ht="21" customHeight="1" spans="1:11">
      <c r="A3356" s="307" t="s">
        <v>17</v>
      </c>
      <c r="B3356" s="308"/>
      <c r="C3356" s="308"/>
      <c r="D3356" s="308"/>
      <c r="E3356" s="308"/>
      <c r="F3356" s="309">
        <f>IFERROR(VLOOKUP(K3347,'2026.01'!A:Y,19,0),0)</f>
        <v>37</v>
      </c>
      <c r="G3356" s="310"/>
      <c r="K3356" s="300"/>
    </row>
    <row r="3357" ht="17.15" customHeight="1" spans="1:11">
      <c r="A3357" s="307" t="s">
        <v>18</v>
      </c>
      <c r="B3357" s="308"/>
      <c r="C3357" s="308"/>
      <c r="D3357" s="308"/>
      <c r="E3357" s="308"/>
      <c r="F3357" s="309">
        <f>IFERROR(VLOOKUP(K3347,'2026.01'!A:Y,22,0),0)</f>
        <v>146</v>
      </c>
      <c r="G3357" s="310"/>
      <c r="K3357" s="300"/>
    </row>
    <row r="3358" ht="17.15" customHeight="1" spans="1:11">
      <c r="A3358" s="307" t="s">
        <v>19</v>
      </c>
      <c r="B3358" s="312"/>
      <c r="C3358" s="308"/>
      <c r="D3358" s="313"/>
      <c r="E3358" s="308"/>
      <c r="F3358" s="309">
        <f>IFERROR(VLOOKUP(K3347,'2026.01'!A:Y,25,0),0)</f>
        <v>5936</v>
      </c>
      <c r="G3358" s="310"/>
      <c r="K3358" s="300"/>
    </row>
    <row r="3359" ht="15" customHeight="1" spans="1:11">
      <c r="A3359" s="314" t="s">
        <v>20</v>
      </c>
      <c r="B3359" s="315">
        <f>IF(F3358&lt;0,"金额为负，无效",INT(F3358))</f>
        <v>5936</v>
      </c>
      <c r="C3359" s="315"/>
      <c r="D3359" s="315"/>
      <c r="E3359" s="316" t="s">
        <v>21</v>
      </c>
      <c r="F3359" s="317"/>
      <c r="G3359" s="318"/>
      <c r="K3359" s="300"/>
    </row>
    <row r="3360" ht="15" customHeight="1" spans="1:11">
      <c r="A3360" s="319"/>
      <c r="B3360" s="320"/>
      <c r="C3360" s="320"/>
      <c r="D3360" s="320"/>
      <c r="E3360" s="319"/>
      <c r="F3360" s="321"/>
      <c r="G3360" s="322"/>
      <c r="K3360" s="300"/>
    </row>
    <row r="3361" ht="27" customHeight="1" spans="1:11">
      <c r="A3361" s="298" t="s">
        <v>0</v>
      </c>
      <c r="B3361" s="298"/>
      <c r="C3361" s="298"/>
      <c r="D3361" s="298"/>
      <c r="E3361" s="298"/>
      <c r="F3361" s="298"/>
      <c r="G3361" s="298"/>
      <c r="H3361" s="299"/>
      <c r="I3361" s="299"/>
      <c r="J3361" s="299"/>
      <c r="K3361" s="300">
        <v>241</v>
      </c>
    </row>
    <row r="3362" ht="15" customHeight="1" spans="1:11">
      <c r="A3362" s="301" t="s">
        <v>1</v>
      </c>
      <c r="B3362" s="301"/>
      <c r="C3362" s="301"/>
      <c r="D3362" s="301"/>
      <c r="E3362" s="301"/>
      <c r="F3362" s="301"/>
      <c r="G3362" s="302" t="str">
        <f>IFERROR(VLOOKUP(K3361,'2026.01'!A:Y,2,0),0)</f>
        <v>NO:241</v>
      </c>
      <c r="K3362" s="300"/>
    </row>
    <row r="3363" ht="15" customHeight="1" spans="1:11">
      <c r="A3363" s="303" t="s">
        <v>2</v>
      </c>
      <c r="B3363" s="304">
        <f>IFERROR(VLOOKUP(K3361,'2026.01'!A:Y,6,0),0)</f>
        <v>4020</v>
      </c>
      <c r="C3363" s="304"/>
      <c r="D3363" s="305" t="s">
        <v>3</v>
      </c>
      <c r="E3363" s="305" t="str">
        <f>IFERROR(VLOOKUP(K3361,'2026.01'!A:Y,7,0),0)</f>
        <v>唐盛文</v>
      </c>
      <c r="F3363" s="305"/>
      <c r="G3363" s="306" t="s">
        <v>4</v>
      </c>
      <c r="K3363" s="300"/>
    </row>
    <row r="3364" ht="15" customHeight="1" spans="1:11">
      <c r="A3364" s="307" t="s">
        <v>5</v>
      </c>
      <c r="B3364" s="308" t="s">
        <v>6</v>
      </c>
      <c r="C3364" s="308" t="s">
        <v>7</v>
      </c>
      <c r="D3364" s="308" t="s">
        <v>8</v>
      </c>
      <c r="E3364" s="308" t="s">
        <v>9</v>
      </c>
      <c r="F3364" s="309" t="s">
        <v>10</v>
      </c>
      <c r="G3364" s="310" t="s">
        <v>11</v>
      </c>
      <c r="K3364" s="300"/>
    </row>
    <row r="3365" ht="15" customHeight="1" spans="1:11">
      <c r="A3365" s="307" t="s">
        <v>12</v>
      </c>
      <c r="B3365" s="308">
        <f>IFERROR(VLOOKUP(K3361,'2026.01'!A:Y,14,0),0)</f>
        <v>9816</v>
      </c>
      <c r="C3365" s="308">
        <f>IFERROR(VLOOKUP(K3361,'2026.01'!A:Y,13,0),0)</f>
        <v>9794</v>
      </c>
      <c r="D3365" s="308">
        <f>IFERROR(VLOOKUP(K3361,'2026.01'!A:Y,15,0),0)</f>
        <v>22</v>
      </c>
      <c r="E3365" s="311">
        <f>IFERROR(VLOOKUP(K3361,'2026.01'!A:Y,18,0),0)</f>
        <v>0.8</v>
      </c>
      <c r="F3365" s="309">
        <f>IFERROR(VLOOKUP(K3361,'2026.01'!A:Y,20,0),0)</f>
        <v>18</v>
      </c>
      <c r="G3365" s="310"/>
      <c r="K3365" s="300"/>
    </row>
    <row r="3366" ht="15" customHeight="1" spans="1:11">
      <c r="A3366" s="307" t="s">
        <v>13</v>
      </c>
      <c r="B3366" s="308"/>
      <c r="C3366" s="308"/>
      <c r="D3366" s="308"/>
      <c r="E3366" s="311"/>
      <c r="F3366" s="309">
        <f>IFERROR(VLOOKUP(K3361,'2026.01'!A:Y,24,0),0)</f>
        <v>51</v>
      </c>
      <c r="G3366" s="310"/>
      <c r="K3366" s="300"/>
    </row>
    <row r="3367" ht="15" customHeight="1" spans="1:11">
      <c r="A3367" s="307" t="s">
        <v>14</v>
      </c>
      <c r="B3367" s="308"/>
      <c r="C3367" s="308"/>
      <c r="D3367" s="308"/>
      <c r="E3367" s="311"/>
      <c r="F3367" s="309">
        <f>IFERROR(VLOOKUP(K3361,'2026.01'!A:Y,12,0),0)</f>
        <v>160</v>
      </c>
      <c r="G3367" s="310"/>
      <c r="K3367" s="300"/>
    </row>
    <row r="3368" ht="21" customHeight="1" spans="1:11">
      <c r="A3368" s="307" t="s">
        <v>15</v>
      </c>
      <c r="B3368" s="308"/>
      <c r="C3368" s="308"/>
      <c r="D3368" s="308"/>
      <c r="E3368" s="311"/>
      <c r="F3368" s="309">
        <f>IFERROR(VLOOKUP(K3361,'2026.01'!A:Y,9,0),0)</f>
        <v>5000</v>
      </c>
      <c r="G3368" s="310"/>
      <c r="K3368" s="300"/>
    </row>
    <row r="3369" ht="19" customHeight="1" spans="1:11">
      <c r="A3369" s="307" t="s">
        <v>16</v>
      </c>
      <c r="B3369" s="308"/>
      <c r="C3369" s="308"/>
      <c r="D3369" s="308"/>
      <c r="E3369" s="308"/>
      <c r="F3369" s="309">
        <f>IFERROR(VLOOKUP(K3361,'2026.01'!A:Y,10,0),0)</f>
        <v>500</v>
      </c>
      <c r="G3369" s="310"/>
      <c r="K3369" s="300"/>
    </row>
    <row r="3370" ht="21" customHeight="1" spans="1:11">
      <c r="A3370" s="307" t="s">
        <v>17</v>
      </c>
      <c r="B3370" s="308"/>
      <c r="C3370" s="308"/>
      <c r="D3370" s="308"/>
      <c r="E3370" s="308"/>
      <c r="F3370" s="309">
        <f>IFERROR(VLOOKUP(K3361,'2026.01'!A:Y,19,0),0)</f>
        <v>15</v>
      </c>
      <c r="G3370" s="310"/>
      <c r="K3370" s="300"/>
    </row>
    <row r="3371" ht="17.15" customHeight="1" spans="1:11">
      <c r="A3371" s="307" t="s">
        <v>18</v>
      </c>
      <c r="B3371" s="308"/>
      <c r="C3371" s="308"/>
      <c r="D3371" s="308"/>
      <c r="E3371" s="308"/>
      <c r="F3371" s="309">
        <f>IFERROR(VLOOKUP(K3361,'2026.01'!A:Y,22,0),0)</f>
        <v>146</v>
      </c>
      <c r="G3371" s="310"/>
      <c r="K3371" s="300"/>
    </row>
    <row r="3372" ht="17.15" customHeight="1" spans="1:11">
      <c r="A3372" s="307" t="s">
        <v>19</v>
      </c>
      <c r="B3372" s="312"/>
      <c r="C3372" s="308"/>
      <c r="D3372" s="313"/>
      <c r="E3372" s="308"/>
      <c r="F3372" s="309">
        <f>IFERROR(VLOOKUP(K3361,'2026.01'!A:Y,25,0),0)</f>
        <v>5890</v>
      </c>
      <c r="G3372" s="310"/>
      <c r="K3372" s="300"/>
    </row>
    <row r="3373" ht="15" customHeight="1" spans="1:11">
      <c r="A3373" s="314" t="s">
        <v>20</v>
      </c>
      <c r="B3373" s="315">
        <f>IF(F3372&lt;0,"金额为负，无效",INT(F3372))</f>
        <v>5890</v>
      </c>
      <c r="C3373" s="315"/>
      <c r="D3373" s="315"/>
      <c r="E3373" s="316" t="s">
        <v>21</v>
      </c>
      <c r="F3373" s="317"/>
      <c r="G3373" s="318"/>
      <c r="K3373" s="300"/>
    </row>
    <row r="3374" ht="23" customHeight="1" spans="1:11">
      <c r="A3374" s="319"/>
      <c r="B3374" s="320"/>
      <c r="C3374" s="320"/>
      <c r="D3374" s="320"/>
      <c r="E3374" s="319"/>
      <c r="F3374" s="321"/>
      <c r="G3374" s="322"/>
      <c r="K3374" s="300"/>
    </row>
    <row r="3375" ht="27" customHeight="1" spans="1:11">
      <c r="A3375" s="298" t="s">
        <v>0</v>
      </c>
      <c r="B3375" s="298"/>
      <c r="C3375" s="298"/>
      <c r="D3375" s="298"/>
      <c r="E3375" s="298"/>
      <c r="F3375" s="298"/>
      <c r="G3375" s="298"/>
      <c r="H3375" s="299"/>
      <c r="I3375" s="299"/>
      <c r="J3375" s="299"/>
      <c r="K3375" s="300">
        <v>242</v>
      </c>
    </row>
    <row r="3376" ht="15" customHeight="1" spans="1:11">
      <c r="A3376" s="301" t="s">
        <v>1</v>
      </c>
      <c r="B3376" s="301"/>
      <c r="C3376" s="301"/>
      <c r="D3376" s="301"/>
      <c r="E3376" s="301"/>
      <c r="F3376" s="301"/>
      <c r="G3376" s="302" t="str">
        <f>IFERROR(VLOOKUP(K3375,'2026.01'!A:Y,2,0),0)</f>
        <v>NO:242</v>
      </c>
      <c r="K3376" s="300"/>
    </row>
    <row r="3377" ht="15" customHeight="1" spans="1:11">
      <c r="A3377" s="303" t="s">
        <v>2</v>
      </c>
      <c r="B3377" s="304">
        <f>IFERROR(VLOOKUP(K3375,'2026.01'!A:Y,6,0),0)</f>
        <v>4021</v>
      </c>
      <c r="C3377" s="304"/>
      <c r="D3377" s="305" t="s">
        <v>3</v>
      </c>
      <c r="E3377" s="305" t="str">
        <f>IFERROR(VLOOKUP(K3375,'2026.01'!A:Y,7,0),0)</f>
        <v>张丽风</v>
      </c>
      <c r="F3377" s="305"/>
      <c r="G3377" s="306" t="s">
        <v>4</v>
      </c>
      <c r="K3377" s="300"/>
    </row>
    <row r="3378" ht="15" customHeight="1" spans="1:11">
      <c r="A3378" s="307" t="s">
        <v>5</v>
      </c>
      <c r="B3378" s="308" t="s">
        <v>6</v>
      </c>
      <c r="C3378" s="308" t="s">
        <v>7</v>
      </c>
      <c r="D3378" s="308" t="s">
        <v>8</v>
      </c>
      <c r="E3378" s="308" t="s">
        <v>9</v>
      </c>
      <c r="F3378" s="309" t="s">
        <v>10</v>
      </c>
      <c r="G3378" s="310" t="s">
        <v>11</v>
      </c>
      <c r="K3378" s="300"/>
    </row>
    <row r="3379" ht="15" customHeight="1" spans="1:11">
      <c r="A3379" s="307" t="s">
        <v>12</v>
      </c>
      <c r="B3379" s="308">
        <f>IFERROR(VLOOKUP(K3375,'2026.01'!A:Y,14,0),0)</f>
        <v>3004</v>
      </c>
      <c r="C3379" s="308">
        <f>IFERROR(VLOOKUP(K3375,'2026.01'!A:Y,13,0),0)</f>
        <v>2943</v>
      </c>
      <c r="D3379" s="308">
        <f>IFERROR(VLOOKUP(K3375,'2026.01'!A:Y,15,0),0)</f>
        <v>61</v>
      </c>
      <c r="E3379" s="311">
        <f>IFERROR(VLOOKUP(K3375,'2026.01'!A:Y,18,0),0)</f>
        <v>0.8</v>
      </c>
      <c r="F3379" s="309">
        <f>IFERROR(VLOOKUP(K3375,'2026.01'!A:Y,20,0),0)</f>
        <v>49</v>
      </c>
      <c r="G3379" s="310"/>
      <c r="K3379" s="300"/>
    </row>
    <row r="3380" ht="15" customHeight="1" spans="1:11">
      <c r="A3380" s="307" t="s">
        <v>13</v>
      </c>
      <c r="B3380" s="308"/>
      <c r="C3380" s="308"/>
      <c r="D3380" s="308"/>
      <c r="E3380" s="311"/>
      <c r="F3380" s="309">
        <f>IFERROR(VLOOKUP(K3375,'2026.01'!A:Y,24,0),0)</f>
        <v>51</v>
      </c>
      <c r="G3380" s="310"/>
      <c r="K3380" s="300"/>
    </row>
    <row r="3381" ht="15" customHeight="1" spans="1:11">
      <c r="A3381" s="307" t="s">
        <v>14</v>
      </c>
      <c r="B3381" s="308"/>
      <c r="C3381" s="308"/>
      <c r="D3381" s="308"/>
      <c r="E3381" s="311"/>
      <c r="F3381" s="309">
        <f>IFERROR(VLOOKUP(K3375,'2026.01'!A:Y,12,0),0)</f>
        <v>160</v>
      </c>
      <c r="G3381" s="310"/>
      <c r="K3381" s="300"/>
    </row>
    <row r="3382" ht="21" customHeight="1" spans="1:11">
      <c r="A3382" s="307" t="s">
        <v>15</v>
      </c>
      <c r="B3382" s="308"/>
      <c r="C3382" s="308"/>
      <c r="D3382" s="308"/>
      <c r="E3382" s="311"/>
      <c r="F3382" s="309">
        <f>IFERROR(VLOOKUP(K3375,'2026.01'!A:Y,9,0),0)</f>
        <v>5000</v>
      </c>
      <c r="G3382" s="310"/>
      <c r="K3382" s="300"/>
    </row>
    <row r="3383" ht="19" customHeight="1" spans="1:11">
      <c r="A3383" s="307" t="s">
        <v>16</v>
      </c>
      <c r="B3383" s="308"/>
      <c r="C3383" s="308"/>
      <c r="D3383" s="308"/>
      <c r="E3383" s="308"/>
      <c r="F3383" s="309">
        <f>IFERROR(VLOOKUP(K3375,'2026.01'!A:Y,10,0),0)</f>
        <v>500</v>
      </c>
      <c r="G3383" s="310"/>
      <c r="K3383" s="300"/>
    </row>
    <row r="3384" ht="21" customHeight="1" spans="1:11">
      <c r="A3384" s="307" t="s">
        <v>17</v>
      </c>
      <c r="B3384" s="308"/>
      <c r="C3384" s="308"/>
      <c r="D3384" s="308"/>
      <c r="E3384" s="308"/>
      <c r="F3384" s="309">
        <f>IFERROR(VLOOKUP(K3375,'2026.01'!A:Y,19,0),0)</f>
        <v>43</v>
      </c>
      <c r="G3384" s="310"/>
      <c r="K3384" s="300"/>
    </row>
    <row r="3385" ht="17.15" customHeight="1" spans="1:11">
      <c r="A3385" s="307" t="s">
        <v>18</v>
      </c>
      <c r="B3385" s="308"/>
      <c r="C3385" s="308"/>
      <c r="D3385" s="308"/>
      <c r="E3385" s="308"/>
      <c r="F3385" s="309">
        <f>IFERROR(VLOOKUP(K3375,'2026.01'!A:Y,22,0),0)</f>
        <v>146</v>
      </c>
      <c r="G3385" s="310"/>
      <c r="K3385" s="300"/>
    </row>
    <row r="3386" ht="17.15" customHeight="1" spans="1:11">
      <c r="A3386" s="307" t="s">
        <v>19</v>
      </c>
      <c r="B3386" s="312"/>
      <c r="C3386" s="308"/>
      <c r="D3386" s="313"/>
      <c r="E3386" s="308"/>
      <c r="F3386" s="309">
        <f>IFERROR(VLOOKUP(K3375,'2026.01'!A:Y,25,0),0)</f>
        <v>5949</v>
      </c>
      <c r="G3386" s="310"/>
      <c r="K3386" s="300"/>
    </row>
    <row r="3387" ht="15" customHeight="1" spans="1:11">
      <c r="A3387" s="314" t="s">
        <v>20</v>
      </c>
      <c r="B3387" s="315">
        <f>IF(F3386&lt;0,"金额为负，无效",INT(F3386))</f>
        <v>5949</v>
      </c>
      <c r="C3387" s="315"/>
      <c r="D3387" s="315"/>
      <c r="E3387" s="316" t="s">
        <v>21</v>
      </c>
      <c r="F3387" s="317"/>
      <c r="G3387" s="318"/>
      <c r="K3387" s="300"/>
    </row>
    <row r="3388" ht="23" customHeight="1" spans="1:11">
      <c r="A3388" s="319"/>
      <c r="B3388" s="320"/>
      <c r="C3388" s="320"/>
      <c r="D3388" s="320"/>
      <c r="E3388" s="319"/>
      <c r="F3388" s="321"/>
      <c r="G3388" s="322"/>
      <c r="K3388" s="300"/>
    </row>
    <row r="3389" ht="27" customHeight="1" spans="1:11">
      <c r="A3389" s="298" t="s">
        <v>0</v>
      </c>
      <c r="B3389" s="298"/>
      <c r="C3389" s="298"/>
      <c r="D3389" s="298"/>
      <c r="E3389" s="298"/>
      <c r="F3389" s="298"/>
      <c r="G3389" s="298"/>
      <c r="H3389" s="299"/>
      <c r="I3389" s="299"/>
      <c r="J3389" s="299"/>
      <c r="K3389" s="300">
        <v>243</v>
      </c>
    </row>
    <row r="3390" ht="15" customHeight="1" spans="1:11">
      <c r="A3390" s="301" t="s">
        <v>1</v>
      </c>
      <c r="B3390" s="301"/>
      <c r="C3390" s="301"/>
      <c r="D3390" s="301"/>
      <c r="E3390" s="301"/>
      <c r="F3390" s="301"/>
      <c r="G3390" s="302" t="str">
        <f>IFERROR(VLOOKUP(K3389,'2026.01'!A:Y,2,0),0)</f>
        <v>NO:243</v>
      </c>
      <c r="K3390" s="300"/>
    </row>
    <row r="3391" ht="15" customHeight="1" spans="1:11">
      <c r="A3391" s="303" t="s">
        <v>2</v>
      </c>
      <c r="B3391" s="304">
        <f>IFERROR(VLOOKUP(K3389,'2026.01'!A:Y,6,0),0)</f>
        <v>4022</v>
      </c>
      <c r="C3391" s="304"/>
      <c r="D3391" s="305" t="s">
        <v>3</v>
      </c>
      <c r="E3391" s="305" t="str">
        <f>IFERROR(VLOOKUP(K3389,'2026.01'!A:Y,7,0),0)</f>
        <v>孙博</v>
      </c>
      <c r="F3391" s="305"/>
      <c r="G3391" s="306" t="s">
        <v>4</v>
      </c>
      <c r="K3391" s="300"/>
    </row>
    <row r="3392" ht="15" customHeight="1" spans="1:11">
      <c r="A3392" s="307" t="s">
        <v>5</v>
      </c>
      <c r="B3392" s="308" t="s">
        <v>6</v>
      </c>
      <c r="C3392" s="308" t="s">
        <v>7</v>
      </c>
      <c r="D3392" s="308" t="s">
        <v>8</v>
      </c>
      <c r="E3392" s="308" t="s">
        <v>9</v>
      </c>
      <c r="F3392" s="309" t="s">
        <v>10</v>
      </c>
      <c r="G3392" s="310" t="s">
        <v>11</v>
      </c>
      <c r="K3392" s="300"/>
    </row>
    <row r="3393" ht="15" customHeight="1" spans="1:11">
      <c r="A3393" s="307" t="s">
        <v>12</v>
      </c>
      <c r="B3393" s="308">
        <f>IFERROR(VLOOKUP(K3389,'2026.01'!A:Y,14,0),0)</f>
        <v>1937</v>
      </c>
      <c r="C3393" s="308">
        <f>IFERROR(VLOOKUP(K3389,'2026.01'!A:Y,13,0),0)</f>
        <v>1910</v>
      </c>
      <c r="D3393" s="308">
        <f>IFERROR(VLOOKUP(K3389,'2026.01'!A:Y,15,0),0)</f>
        <v>27</v>
      </c>
      <c r="E3393" s="311">
        <f>IFERROR(VLOOKUP(K3389,'2026.01'!A:Y,18,0),0)</f>
        <v>0.8</v>
      </c>
      <c r="F3393" s="309">
        <f>IFERROR(VLOOKUP(K3389,'2026.01'!A:Y,20,0),0)</f>
        <v>22</v>
      </c>
      <c r="G3393" s="310"/>
      <c r="K3393" s="300"/>
    </row>
    <row r="3394" ht="15" customHeight="1" spans="1:11">
      <c r="A3394" s="307" t="s">
        <v>13</v>
      </c>
      <c r="B3394" s="308"/>
      <c r="C3394" s="308"/>
      <c r="D3394" s="308"/>
      <c r="E3394" s="311"/>
      <c r="F3394" s="309">
        <f>IFERROR(VLOOKUP(K3389,'2026.01'!A:Y,24,0),0)</f>
        <v>51</v>
      </c>
      <c r="G3394" s="310"/>
      <c r="K3394" s="300"/>
    </row>
    <row r="3395" ht="15" customHeight="1" spans="1:11">
      <c r="A3395" s="307" t="s">
        <v>14</v>
      </c>
      <c r="B3395" s="308"/>
      <c r="C3395" s="308"/>
      <c r="D3395" s="308"/>
      <c r="E3395" s="311"/>
      <c r="F3395" s="309">
        <f>IFERROR(VLOOKUP(K3389,'2026.01'!A:Y,12,0),0)</f>
        <v>160</v>
      </c>
      <c r="G3395" s="310"/>
      <c r="K3395" s="300"/>
    </row>
    <row r="3396" ht="21" customHeight="1" spans="1:11">
      <c r="A3396" s="307" t="s">
        <v>15</v>
      </c>
      <c r="B3396" s="308"/>
      <c r="C3396" s="308"/>
      <c r="D3396" s="308"/>
      <c r="E3396" s="311"/>
      <c r="F3396" s="309">
        <f>IFERROR(VLOOKUP(K3389,'2026.01'!A:Y,9,0),0)</f>
        <v>5000</v>
      </c>
      <c r="G3396" s="310"/>
      <c r="K3396" s="300"/>
    </row>
    <row r="3397" ht="19" customHeight="1" spans="1:11">
      <c r="A3397" s="307" t="s">
        <v>16</v>
      </c>
      <c r="B3397" s="308"/>
      <c r="C3397" s="308"/>
      <c r="D3397" s="308"/>
      <c r="E3397" s="308"/>
      <c r="F3397" s="309">
        <f>IFERROR(VLOOKUP(K3389,'2026.01'!A:Y,10,0),0)</f>
        <v>500</v>
      </c>
      <c r="G3397" s="310"/>
      <c r="K3397" s="300"/>
    </row>
    <row r="3398" ht="21" customHeight="1" spans="1:11">
      <c r="A3398" s="307" t="s">
        <v>17</v>
      </c>
      <c r="B3398" s="308"/>
      <c r="C3398" s="308"/>
      <c r="D3398" s="308"/>
      <c r="E3398" s="308"/>
      <c r="F3398" s="309">
        <f>IFERROR(VLOOKUP(K3389,'2026.01'!A:Y,19,0),0)</f>
        <v>19</v>
      </c>
      <c r="G3398" s="310"/>
      <c r="K3398" s="300"/>
    </row>
    <row r="3399" ht="17.15" customHeight="1" spans="1:11">
      <c r="A3399" s="307" t="s">
        <v>18</v>
      </c>
      <c r="B3399" s="308"/>
      <c r="C3399" s="308"/>
      <c r="D3399" s="308"/>
      <c r="E3399" s="308"/>
      <c r="F3399" s="309">
        <f>IFERROR(VLOOKUP(K3389,'2026.01'!A:Y,22,0),0)</f>
        <v>146</v>
      </c>
      <c r="G3399" s="310"/>
      <c r="K3399" s="300"/>
    </row>
    <row r="3400" ht="17.15" customHeight="1" spans="1:11">
      <c r="A3400" s="307" t="s">
        <v>19</v>
      </c>
      <c r="B3400" s="312"/>
      <c r="C3400" s="308"/>
      <c r="D3400" s="313"/>
      <c r="E3400" s="308"/>
      <c r="F3400" s="309">
        <f>IFERROR(VLOOKUP(K3389,'2026.01'!A:Y,25,0),0)</f>
        <v>5898</v>
      </c>
      <c r="G3400" s="310"/>
      <c r="K3400" s="300"/>
    </row>
    <row r="3401" ht="15" customHeight="1" spans="1:11">
      <c r="A3401" s="314" t="s">
        <v>20</v>
      </c>
      <c r="B3401" s="315">
        <f>IF(F3400&lt;0,"金额为负，无效",INT(F3400))</f>
        <v>5898</v>
      </c>
      <c r="C3401" s="315"/>
      <c r="D3401" s="315"/>
      <c r="E3401" s="316" t="s">
        <v>21</v>
      </c>
      <c r="F3401" s="317"/>
      <c r="G3401" s="318"/>
      <c r="K3401" s="300"/>
    </row>
    <row r="3402" ht="15" customHeight="1" spans="1:11">
      <c r="A3402" s="319"/>
      <c r="B3402" s="320"/>
      <c r="C3402" s="320"/>
      <c r="D3402" s="320"/>
      <c r="E3402" s="319"/>
      <c r="F3402" s="321"/>
      <c r="G3402" s="322"/>
      <c r="K3402" s="300"/>
    </row>
    <row r="3403" ht="27" customHeight="1" spans="1:11">
      <c r="A3403" s="298" t="s">
        <v>0</v>
      </c>
      <c r="B3403" s="298"/>
      <c r="C3403" s="298"/>
      <c r="D3403" s="298"/>
      <c r="E3403" s="298"/>
      <c r="F3403" s="298"/>
      <c r="G3403" s="298"/>
      <c r="H3403" s="299"/>
      <c r="I3403" s="299"/>
      <c r="J3403" s="299"/>
      <c r="K3403" s="300">
        <v>244</v>
      </c>
    </row>
    <row r="3404" ht="15" customHeight="1" spans="1:11">
      <c r="A3404" s="301" t="s">
        <v>1</v>
      </c>
      <c r="B3404" s="301"/>
      <c r="C3404" s="301"/>
      <c r="D3404" s="301"/>
      <c r="E3404" s="301"/>
      <c r="F3404" s="301"/>
      <c r="G3404" s="302" t="str">
        <f>IFERROR(VLOOKUP(K3403,'2026.01'!A:Y,2,0),0)</f>
        <v>NO:244</v>
      </c>
      <c r="K3404" s="300"/>
    </row>
    <row r="3405" ht="15" customHeight="1" spans="1:11">
      <c r="A3405" s="303" t="s">
        <v>2</v>
      </c>
      <c r="B3405" s="304">
        <f>IFERROR(VLOOKUP(K3403,'2026.01'!A:Y,6,0),0)</f>
        <v>4023</v>
      </c>
      <c r="C3405" s="304"/>
      <c r="D3405" s="305" t="s">
        <v>3</v>
      </c>
      <c r="E3405" s="305" t="str">
        <f>IFERROR(VLOOKUP(K3403,'2026.01'!A:Y,7,0),0)</f>
        <v>王奎</v>
      </c>
      <c r="F3405" s="305"/>
      <c r="G3405" s="306" t="s">
        <v>4</v>
      </c>
      <c r="K3405" s="300"/>
    </row>
    <row r="3406" ht="15" customHeight="1" spans="1:11">
      <c r="A3406" s="307" t="s">
        <v>5</v>
      </c>
      <c r="B3406" s="308" t="s">
        <v>6</v>
      </c>
      <c r="C3406" s="308" t="s">
        <v>7</v>
      </c>
      <c r="D3406" s="308" t="s">
        <v>8</v>
      </c>
      <c r="E3406" s="308" t="s">
        <v>9</v>
      </c>
      <c r="F3406" s="309" t="s">
        <v>10</v>
      </c>
      <c r="G3406" s="310" t="s">
        <v>11</v>
      </c>
      <c r="K3406" s="300"/>
    </row>
    <row r="3407" ht="15" customHeight="1" spans="1:11">
      <c r="A3407" s="307" t="s">
        <v>12</v>
      </c>
      <c r="B3407" s="308">
        <f>IFERROR(VLOOKUP(K3403,'2026.01'!A:Y,14,0),0)</f>
        <v>8081</v>
      </c>
      <c r="C3407" s="308">
        <f>IFERROR(VLOOKUP(K3403,'2026.01'!A:Y,13,0),0)</f>
        <v>8041</v>
      </c>
      <c r="D3407" s="308">
        <f>IFERROR(VLOOKUP(K3403,'2026.01'!A:Y,15,0),0)</f>
        <v>40</v>
      </c>
      <c r="E3407" s="311">
        <f>IFERROR(VLOOKUP(K3403,'2026.01'!A:Y,18,0),0)</f>
        <v>0.8</v>
      </c>
      <c r="F3407" s="309">
        <f>IFERROR(VLOOKUP(K3403,'2026.01'!A:Y,20,0),0)</f>
        <v>32</v>
      </c>
      <c r="G3407" s="310"/>
      <c r="K3407" s="300"/>
    </row>
    <row r="3408" ht="15" customHeight="1" spans="1:11">
      <c r="A3408" s="307" t="s">
        <v>13</v>
      </c>
      <c r="B3408" s="308"/>
      <c r="C3408" s="308"/>
      <c r="D3408" s="308"/>
      <c r="E3408" s="311"/>
      <c r="F3408" s="309">
        <f>IFERROR(VLOOKUP(K3403,'2026.01'!A:Y,24,0),0)</f>
        <v>51</v>
      </c>
      <c r="G3408" s="310"/>
      <c r="K3408" s="300"/>
    </row>
    <row r="3409" ht="15" customHeight="1" spans="1:11">
      <c r="A3409" s="307" t="s">
        <v>14</v>
      </c>
      <c r="B3409" s="308"/>
      <c r="C3409" s="308"/>
      <c r="D3409" s="308"/>
      <c r="E3409" s="311"/>
      <c r="F3409" s="309">
        <f>IFERROR(VLOOKUP(K3403,'2026.01'!A:Y,12,0),0)</f>
        <v>160</v>
      </c>
      <c r="G3409" s="310"/>
      <c r="K3409" s="300"/>
    </row>
    <row r="3410" ht="21" customHeight="1" spans="1:11">
      <c r="A3410" s="307" t="s">
        <v>15</v>
      </c>
      <c r="B3410" s="308"/>
      <c r="C3410" s="308"/>
      <c r="D3410" s="308"/>
      <c r="E3410" s="311"/>
      <c r="F3410" s="309">
        <f>IFERROR(VLOOKUP(K3403,'2026.01'!A:Y,9,0),0)</f>
        <v>5000</v>
      </c>
      <c r="G3410" s="310"/>
      <c r="K3410" s="300"/>
    </row>
    <row r="3411" ht="19" customHeight="1" spans="1:11">
      <c r="A3411" s="307" t="s">
        <v>16</v>
      </c>
      <c r="B3411" s="308"/>
      <c r="C3411" s="308"/>
      <c r="D3411" s="308"/>
      <c r="E3411" s="308"/>
      <c r="F3411" s="309">
        <f>IFERROR(VLOOKUP(K3403,'2026.01'!A:Y,10,0),0)</f>
        <v>500</v>
      </c>
      <c r="G3411" s="310"/>
      <c r="K3411" s="300"/>
    </row>
    <row r="3412" ht="21" customHeight="1" spans="1:11">
      <c r="A3412" s="307" t="s">
        <v>17</v>
      </c>
      <c r="B3412" s="308"/>
      <c r="C3412" s="308"/>
      <c r="D3412" s="308"/>
      <c r="E3412" s="308"/>
      <c r="F3412" s="309">
        <f>IFERROR(VLOOKUP(K3403,'2026.01'!A:Y,19,0),0)</f>
        <v>28</v>
      </c>
      <c r="G3412" s="310"/>
      <c r="K3412" s="300"/>
    </row>
    <row r="3413" ht="17.15" customHeight="1" spans="1:11">
      <c r="A3413" s="307" t="s">
        <v>18</v>
      </c>
      <c r="B3413" s="308"/>
      <c r="C3413" s="308"/>
      <c r="D3413" s="308"/>
      <c r="E3413" s="308"/>
      <c r="F3413" s="309">
        <f>IFERROR(VLOOKUP(K3403,'2026.01'!A:Y,22,0),0)</f>
        <v>146</v>
      </c>
      <c r="G3413" s="310"/>
      <c r="K3413" s="300"/>
    </row>
    <row r="3414" ht="17.15" customHeight="1" spans="1:11">
      <c r="A3414" s="307" t="s">
        <v>19</v>
      </c>
      <c r="B3414" s="312"/>
      <c r="C3414" s="308"/>
      <c r="D3414" s="313"/>
      <c r="E3414" s="308"/>
      <c r="F3414" s="309">
        <f>IFERROR(VLOOKUP(K3403,'2026.01'!A:Y,25,0),0)</f>
        <v>5917</v>
      </c>
      <c r="G3414" s="310"/>
      <c r="K3414" s="300"/>
    </row>
    <row r="3415" ht="15" customHeight="1" spans="1:11">
      <c r="A3415" s="314" t="s">
        <v>20</v>
      </c>
      <c r="B3415" s="315">
        <f>IF(F3414&lt;0,"金额为负，无效",INT(F3414))</f>
        <v>5917</v>
      </c>
      <c r="C3415" s="315"/>
      <c r="D3415" s="315"/>
      <c r="E3415" s="316" t="s">
        <v>21</v>
      </c>
      <c r="F3415" s="317"/>
      <c r="G3415" s="318"/>
      <c r="K3415" s="300"/>
    </row>
    <row r="3416" ht="23" customHeight="1" spans="1:11">
      <c r="A3416" s="319"/>
      <c r="B3416" s="320"/>
      <c r="C3416" s="320"/>
      <c r="D3416" s="320"/>
      <c r="E3416" s="319"/>
      <c r="F3416" s="321"/>
      <c r="G3416" s="322"/>
      <c r="K3416" s="300"/>
    </row>
    <row r="3417" ht="27" customHeight="1" spans="1:11">
      <c r="A3417" s="298" t="s">
        <v>0</v>
      </c>
      <c r="B3417" s="298"/>
      <c r="C3417" s="298"/>
      <c r="D3417" s="298"/>
      <c r="E3417" s="298"/>
      <c r="F3417" s="298"/>
      <c r="G3417" s="298"/>
      <c r="H3417" s="299"/>
      <c r="I3417" s="299"/>
      <c r="J3417" s="299"/>
      <c r="K3417" s="300">
        <v>245</v>
      </c>
    </row>
    <row r="3418" ht="15" customHeight="1" spans="1:11">
      <c r="A3418" s="301" t="s">
        <v>1</v>
      </c>
      <c r="B3418" s="301"/>
      <c r="C3418" s="301"/>
      <c r="D3418" s="301"/>
      <c r="E3418" s="301"/>
      <c r="F3418" s="301"/>
      <c r="G3418" s="302" t="str">
        <f>IFERROR(VLOOKUP(K3417,'2026.01'!A:Y,2,0),0)</f>
        <v>NO:245</v>
      </c>
      <c r="K3418" s="300"/>
    </row>
    <row r="3419" ht="15" customHeight="1" spans="1:11">
      <c r="A3419" s="303" t="s">
        <v>2</v>
      </c>
      <c r="B3419" s="304">
        <f>IFERROR(VLOOKUP(K3417,'2026.01'!A:Y,6,0),0)</f>
        <v>4024</v>
      </c>
      <c r="C3419" s="304"/>
      <c r="D3419" s="305" t="s">
        <v>3</v>
      </c>
      <c r="E3419" s="305" t="str">
        <f>IFERROR(VLOOKUP(K3417,'2026.01'!A:Y,7,0),0)</f>
        <v>潘胤仿</v>
      </c>
      <c r="F3419" s="305"/>
      <c r="G3419" s="306" t="s">
        <v>4</v>
      </c>
      <c r="K3419" s="300"/>
    </row>
    <row r="3420" ht="15" customHeight="1" spans="1:11">
      <c r="A3420" s="307" t="s">
        <v>5</v>
      </c>
      <c r="B3420" s="308" t="s">
        <v>6</v>
      </c>
      <c r="C3420" s="308" t="s">
        <v>7</v>
      </c>
      <c r="D3420" s="308" t="s">
        <v>8</v>
      </c>
      <c r="E3420" s="308" t="s">
        <v>9</v>
      </c>
      <c r="F3420" s="309" t="s">
        <v>10</v>
      </c>
      <c r="G3420" s="310" t="s">
        <v>11</v>
      </c>
      <c r="K3420" s="300"/>
    </row>
    <row r="3421" ht="15" customHeight="1" spans="1:11">
      <c r="A3421" s="307" t="s">
        <v>12</v>
      </c>
      <c r="B3421" s="308">
        <f>IFERROR(VLOOKUP(K3417,'2026.01'!A:Y,14,0),0)</f>
        <v>4381</v>
      </c>
      <c r="C3421" s="308">
        <f>IFERROR(VLOOKUP(K3417,'2026.01'!A:Y,13,0),0)</f>
        <v>4292</v>
      </c>
      <c r="D3421" s="308">
        <f>IFERROR(VLOOKUP(K3417,'2026.01'!A:Y,15,0),0)</f>
        <v>89</v>
      </c>
      <c r="E3421" s="311">
        <f>IFERROR(VLOOKUP(K3417,'2026.01'!A:Y,18,0),0)</f>
        <v>0.8</v>
      </c>
      <c r="F3421" s="309">
        <f>IFERROR(VLOOKUP(K3417,'2026.01'!A:Y,20,0),0)</f>
        <v>71</v>
      </c>
      <c r="G3421" s="310"/>
      <c r="K3421" s="300"/>
    </row>
    <row r="3422" ht="15" customHeight="1" spans="1:11">
      <c r="A3422" s="307" t="s">
        <v>13</v>
      </c>
      <c r="B3422" s="308"/>
      <c r="C3422" s="308"/>
      <c r="D3422" s="308"/>
      <c r="E3422" s="311"/>
      <c r="F3422" s="309">
        <f>IFERROR(VLOOKUP(K3417,'2026.01'!A:Y,24,0),0)</f>
        <v>51</v>
      </c>
      <c r="G3422" s="310"/>
      <c r="K3422" s="300"/>
    </row>
    <row r="3423" ht="15" customHeight="1" spans="1:11">
      <c r="A3423" s="307" t="s">
        <v>14</v>
      </c>
      <c r="B3423" s="308"/>
      <c r="C3423" s="308"/>
      <c r="D3423" s="308"/>
      <c r="E3423" s="311"/>
      <c r="F3423" s="309">
        <f>IFERROR(VLOOKUP(K3417,'2026.01'!A:Y,12,0),0)</f>
        <v>160</v>
      </c>
      <c r="G3423" s="310"/>
      <c r="K3423" s="300"/>
    </row>
    <row r="3424" ht="21" customHeight="1" spans="1:11">
      <c r="A3424" s="307" t="s">
        <v>15</v>
      </c>
      <c r="B3424" s="308"/>
      <c r="C3424" s="308"/>
      <c r="D3424" s="308"/>
      <c r="E3424" s="311"/>
      <c r="F3424" s="309">
        <f>IFERROR(VLOOKUP(K3417,'2026.01'!A:Y,9,0),0)</f>
        <v>5000</v>
      </c>
      <c r="G3424" s="310"/>
      <c r="K3424" s="300"/>
    </row>
    <row r="3425" ht="19" customHeight="1" spans="1:11">
      <c r="A3425" s="307" t="s">
        <v>16</v>
      </c>
      <c r="B3425" s="308"/>
      <c r="C3425" s="308"/>
      <c r="D3425" s="308"/>
      <c r="E3425" s="308"/>
      <c r="F3425" s="309">
        <f>IFERROR(VLOOKUP(K3417,'2026.01'!A:Y,10,0),0)</f>
        <v>500</v>
      </c>
      <c r="G3425" s="310"/>
      <c r="K3425" s="300"/>
    </row>
    <row r="3426" ht="21" customHeight="1" spans="1:11">
      <c r="A3426" s="307" t="s">
        <v>17</v>
      </c>
      <c r="B3426" s="308"/>
      <c r="C3426" s="308"/>
      <c r="D3426" s="308"/>
      <c r="E3426" s="308"/>
      <c r="F3426" s="309">
        <f>IFERROR(VLOOKUP(K3417,'2026.01'!A:Y,19,0),0)</f>
        <v>62</v>
      </c>
      <c r="G3426" s="310"/>
      <c r="K3426" s="300"/>
    </row>
    <row r="3427" ht="17.15" customHeight="1" spans="1:11">
      <c r="A3427" s="307" t="s">
        <v>18</v>
      </c>
      <c r="B3427" s="308"/>
      <c r="C3427" s="308"/>
      <c r="D3427" s="308"/>
      <c r="E3427" s="308"/>
      <c r="F3427" s="309">
        <f>IFERROR(VLOOKUP(K3417,'2026.01'!A:Y,22,0),0)</f>
        <v>146</v>
      </c>
      <c r="G3427" s="310"/>
      <c r="K3427" s="300"/>
    </row>
    <row r="3428" ht="17.15" customHeight="1" spans="1:11">
      <c r="A3428" s="307" t="s">
        <v>19</v>
      </c>
      <c r="B3428" s="312"/>
      <c r="C3428" s="308"/>
      <c r="D3428" s="313"/>
      <c r="E3428" s="308"/>
      <c r="F3428" s="309">
        <f>IFERROR(VLOOKUP(K3417,'2026.01'!A:Y,25,0),0)</f>
        <v>5990</v>
      </c>
      <c r="G3428" s="310"/>
      <c r="K3428" s="300"/>
    </row>
    <row r="3429" ht="15" customHeight="1" spans="1:11">
      <c r="A3429" s="314" t="s">
        <v>20</v>
      </c>
      <c r="B3429" s="315">
        <f>IF(F3428&lt;0,"金额为负，无效",INT(F3428))</f>
        <v>5990</v>
      </c>
      <c r="C3429" s="315"/>
      <c r="D3429" s="315"/>
      <c r="E3429" s="316" t="s">
        <v>21</v>
      </c>
      <c r="F3429" s="317"/>
      <c r="G3429" s="318"/>
      <c r="K3429" s="300"/>
    </row>
    <row r="3430" ht="23" customHeight="1" spans="1:11">
      <c r="A3430" s="319"/>
      <c r="B3430" s="320"/>
      <c r="C3430" s="320"/>
      <c r="D3430" s="320"/>
      <c r="E3430" s="319"/>
      <c r="F3430" s="321"/>
      <c r="G3430" s="322"/>
      <c r="K3430" s="300"/>
    </row>
    <row r="3431" ht="27" customHeight="1" spans="1:11">
      <c r="A3431" s="298" t="s">
        <v>0</v>
      </c>
      <c r="B3431" s="298"/>
      <c r="C3431" s="298"/>
      <c r="D3431" s="298"/>
      <c r="E3431" s="298"/>
      <c r="F3431" s="298"/>
      <c r="G3431" s="298"/>
      <c r="H3431" s="299"/>
      <c r="I3431" s="299"/>
      <c r="J3431" s="299"/>
      <c r="K3431" s="300">
        <v>246</v>
      </c>
    </row>
    <row r="3432" ht="15" customHeight="1" spans="1:11">
      <c r="A3432" s="301" t="s">
        <v>1</v>
      </c>
      <c r="B3432" s="301"/>
      <c r="C3432" s="301"/>
      <c r="D3432" s="301"/>
      <c r="E3432" s="301"/>
      <c r="F3432" s="301"/>
      <c r="G3432" s="302" t="str">
        <f>IFERROR(VLOOKUP(K3431,'2026.01'!A:Y,2,0),0)</f>
        <v>NO:246</v>
      </c>
      <c r="K3432" s="300"/>
    </row>
    <row r="3433" ht="15" customHeight="1" spans="1:11">
      <c r="A3433" s="303" t="s">
        <v>2</v>
      </c>
      <c r="B3433" s="304">
        <f>IFERROR(VLOOKUP(K3431,'2026.01'!A:Y,6,0),0)</f>
        <v>4025</v>
      </c>
      <c r="C3433" s="304"/>
      <c r="D3433" s="305" t="s">
        <v>3</v>
      </c>
      <c r="E3433" s="305" t="str">
        <f>IFERROR(VLOOKUP(K3431,'2026.01'!A:Y,7,0),0)</f>
        <v>黄保军</v>
      </c>
      <c r="F3433" s="305"/>
      <c r="G3433" s="306" t="s">
        <v>4</v>
      </c>
      <c r="K3433" s="300"/>
    </row>
    <row r="3434" ht="15" customHeight="1" spans="1:11">
      <c r="A3434" s="307" t="s">
        <v>5</v>
      </c>
      <c r="B3434" s="308" t="s">
        <v>6</v>
      </c>
      <c r="C3434" s="308" t="s">
        <v>7</v>
      </c>
      <c r="D3434" s="308" t="s">
        <v>8</v>
      </c>
      <c r="E3434" s="308" t="s">
        <v>9</v>
      </c>
      <c r="F3434" s="309" t="s">
        <v>10</v>
      </c>
      <c r="G3434" s="310" t="s">
        <v>11</v>
      </c>
      <c r="K3434" s="300"/>
    </row>
    <row r="3435" ht="15" customHeight="1" spans="1:11">
      <c r="A3435" s="307" t="s">
        <v>12</v>
      </c>
      <c r="B3435" s="308">
        <f>IFERROR(VLOOKUP(K3431,'2026.01'!A:Y,14,0),0)</f>
        <v>8367</v>
      </c>
      <c r="C3435" s="308">
        <f>IFERROR(VLOOKUP(K3431,'2026.01'!A:Y,13,0),0)</f>
        <v>8156</v>
      </c>
      <c r="D3435" s="308">
        <f>IFERROR(VLOOKUP(K3431,'2026.01'!A:Y,15,0),0)</f>
        <v>211</v>
      </c>
      <c r="E3435" s="311">
        <f>IFERROR(VLOOKUP(K3431,'2026.01'!A:Y,18,0),0)</f>
        <v>0.8</v>
      </c>
      <c r="F3435" s="309">
        <f>IFERROR(VLOOKUP(K3431,'2026.01'!A:Y,20,0),0)</f>
        <v>169</v>
      </c>
      <c r="G3435" s="310"/>
      <c r="K3435" s="300"/>
    </row>
    <row r="3436" ht="15" customHeight="1" spans="1:11">
      <c r="A3436" s="307" t="s">
        <v>13</v>
      </c>
      <c r="B3436" s="308"/>
      <c r="C3436" s="308"/>
      <c r="D3436" s="308"/>
      <c r="E3436" s="311"/>
      <c r="F3436" s="309">
        <f>IFERROR(VLOOKUP(K3431,'2026.01'!A:Y,24,0),0)</f>
        <v>85</v>
      </c>
      <c r="G3436" s="310"/>
      <c r="K3436" s="300"/>
    </row>
    <row r="3437" ht="15" customHeight="1" spans="1:11">
      <c r="A3437" s="307" t="s">
        <v>14</v>
      </c>
      <c r="B3437" s="308"/>
      <c r="C3437" s="308"/>
      <c r="D3437" s="308"/>
      <c r="E3437" s="311"/>
      <c r="F3437" s="309">
        <f>IFERROR(VLOOKUP(K3431,'2026.01'!A:Y,12,0),0)</f>
        <v>160</v>
      </c>
      <c r="G3437" s="310"/>
      <c r="K3437" s="300"/>
    </row>
    <row r="3438" ht="21" customHeight="1" spans="1:11">
      <c r="A3438" s="307" t="s">
        <v>15</v>
      </c>
      <c r="B3438" s="308"/>
      <c r="C3438" s="308"/>
      <c r="D3438" s="308"/>
      <c r="E3438" s="311"/>
      <c r="F3438" s="309">
        <f>IFERROR(VLOOKUP(K3431,'2026.01'!A:Y,9,0),0)</f>
        <v>5000</v>
      </c>
      <c r="G3438" s="310"/>
      <c r="K3438" s="300"/>
    </row>
    <row r="3439" ht="19" customHeight="1" spans="1:11">
      <c r="A3439" s="307" t="s">
        <v>16</v>
      </c>
      <c r="B3439" s="308"/>
      <c r="C3439" s="308"/>
      <c r="D3439" s="308"/>
      <c r="E3439" s="308"/>
      <c r="F3439" s="309">
        <f>IFERROR(VLOOKUP(K3431,'2026.01'!A:Y,10,0),0)</f>
        <v>500</v>
      </c>
      <c r="G3439" s="310"/>
      <c r="K3439" s="300"/>
    </row>
    <row r="3440" ht="21" customHeight="1" spans="1:11">
      <c r="A3440" s="307" t="s">
        <v>17</v>
      </c>
      <c r="B3440" s="308"/>
      <c r="C3440" s="308"/>
      <c r="D3440" s="308"/>
      <c r="E3440" s="308"/>
      <c r="F3440" s="309">
        <f>IFERROR(VLOOKUP(K3431,'2026.01'!A:Y,19,0),0)</f>
        <v>148</v>
      </c>
      <c r="G3440" s="310"/>
      <c r="K3440" s="300"/>
    </row>
    <row r="3441" ht="17.15" customHeight="1" spans="1:11">
      <c r="A3441" s="307" t="s">
        <v>18</v>
      </c>
      <c r="B3441" s="308"/>
      <c r="C3441" s="308"/>
      <c r="D3441" s="308"/>
      <c r="E3441" s="308"/>
      <c r="F3441" s="309">
        <f>IFERROR(VLOOKUP(K3431,'2026.01'!A:Y,22,0),0)</f>
        <v>228</v>
      </c>
      <c r="G3441" s="310"/>
      <c r="K3441" s="300"/>
    </row>
    <row r="3442" ht="17.15" customHeight="1" spans="1:11">
      <c r="A3442" s="307" t="s">
        <v>19</v>
      </c>
      <c r="B3442" s="312"/>
      <c r="C3442" s="308"/>
      <c r="D3442" s="313"/>
      <c r="E3442" s="308"/>
      <c r="F3442" s="309">
        <f>IFERROR(VLOOKUP(K3431,'2026.01'!A:Y,25,0),0)</f>
        <v>6290</v>
      </c>
      <c r="G3442" s="310"/>
      <c r="K3442" s="300"/>
    </row>
    <row r="3443" ht="15" customHeight="1" spans="1:11">
      <c r="A3443" s="314" t="s">
        <v>20</v>
      </c>
      <c r="B3443" s="315">
        <f>IF(F3442&lt;0,"金额为负，无效",INT(F3442))</f>
        <v>6290</v>
      </c>
      <c r="C3443" s="315"/>
      <c r="D3443" s="315"/>
      <c r="E3443" s="316" t="s">
        <v>21</v>
      </c>
      <c r="F3443" s="317"/>
      <c r="G3443" s="318"/>
      <c r="K3443" s="300"/>
    </row>
    <row r="3444" ht="15" customHeight="1" spans="1:11">
      <c r="A3444" s="319"/>
      <c r="B3444" s="320"/>
      <c r="C3444" s="320"/>
      <c r="D3444" s="320"/>
      <c r="E3444" s="319"/>
      <c r="F3444" s="321"/>
      <c r="G3444" s="322"/>
      <c r="K3444" s="300"/>
    </row>
    <row r="3445" ht="27" customHeight="1" spans="1:11">
      <c r="A3445" s="298" t="s">
        <v>0</v>
      </c>
      <c r="B3445" s="298"/>
      <c r="C3445" s="298"/>
      <c r="D3445" s="298"/>
      <c r="E3445" s="298"/>
      <c r="F3445" s="298"/>
      <c r="G3445" s="298"/>
      <c r="H3445" s="299"/>
      <c r="I3445" s="299"/>
      <c r="J3445" s="299"/>
      <c r="K3445" s="300">
        <v>247</v>
      </c>
    </row>
    <row r="3446" ht="15" customHeight="1" spans="1:11">
      <c r="A3446" s="301" t="s">
        <v>1</v>
      </c>
      <c r="B3446" s="301"/>
      <c r="C3446" s="301"/>
      <c r="D3446" s="301"/>
      <c r="E3446" s="301"/>
      <c r="F3446" s="301"/>
      <c r="G3446" s="302" t="str">
        <f>IFERROR(VLOOKUP(K3445,'2026.01'!A:Y,2,0),0)</f>
        <v>NO:247</v>
      </c>
      <c r="K3446" s="300"/>
    </row>
    <row r="3447" ht="15" customHeight="1" spans="1:11">
      <c r="A3447" s="303" t="s">
        <v>2</v>
      </c>
      <c r="B3447" s="304">
        <f>IFERROR(VLOOKUP(K3445,'2026.01'!A:Y,6,0),0)</f>
        <v>4026</v>
      </c>
      <c r="C3447" s="304"/>
      <c r="D3447" s="305" t="s">
        <v>3</v>
      </c>
      <c r="E3447" s="305" t="str">
        <f>IFERROR(VLOOKUP(K3445,'2026.01'!A:Y,7,0),0)</f>
        <v>余家欣</v>
      </c>
      <c r="F3447" s="305"/>
      <c r="G3447" s="306" t="s">
        <v>4</v>
      </c>
      <c r="K3447" s="300"/>
    </row>
    <row r="3448" ht="15" customHeight="1" spans="1:11">
      <c r="A3448" s="307" t="s">
        <v>5</v>
      </c>
      <c r="B3448" s="308" t="s">
        <v>6</v>
      </c>
      <c r="C3448" s="308" t="s">
        <v>7</v>
      </c>
      <c r="D3448" s="308" t="s">
        <v>8</v>
      </c>
      <c r="E3448" s="308" t="s">
        <v>9</v>
      </c>
      <c r="F3448" s="309" t="s">
        <v>10</v>
      </c>
      <c r="G3448" s="310" t="s">
        <v>11</v>
      </c>
      <c r="K3448" s="300"/>
    </row>
    <row r="3449" ht="15" customHeight="1" spans="1:11">
      <c r="A3449" s="307" t="s">
        <v>12</v>
      </c>
      <c r="B3449" s="308">
        <f>IFERROR(VLOOKUP(K3445,'2026.01'!A:Y,14,0),0)</f>
        <v>5032</v>
      </c>
      <c r="C3449" s="308">
        <f>IFERROR(VLOOKUP(K3445,'2026.01'!A:Y,13,0),0)</f>
        <v>4982</v>
      </c>
      <c r="D3449" s="308">
        <f>IFERROR(VLOOKUP(K3445,'2026.01'!A:Y,15,0),0)</f>
        <v>50</v>
      </c>
      <c r="E3449" s="311">
        <f>IFERROR(VLOOKUP(K3445,'2026.01'!A:Y,18,0),0)</f>
        <v>0.8</v>
      </c>
      <c r="F3449" s="309">
        <f>IFERROR(VLOOKUP(K3445,'2026.01'!A:Y,20,0),0)</f>
        <v>40</v>
      </c>
      <c r="G3449" s="310"/>
      <c r="K3449" s="300"/>
    </row>
    <row r="3450" ht="15" customHeight="1" spans="1:11">
      <c r="A3450" s="307" t="s">
        <v>13</v>
      </c>
      <c r="B3450" s="308"/>
      <c r="C3450" s="308"/>
      <c r="D3450" s="308"/>
      <c r="E3450" s="311"/>
      <c r="F3450" s="309">
        <f>IFERROR(VLOOKUP(K3445,'2026.01'!A:Y,24,0),0)</f>
        <v>51</v>
      </c>
      <c r="G3450" s="310"/>
      <c r="K3450" s="300"/>
    </row>
    <row r="3451" ht="15" customHeight="1" spans="1:11">
      <c r="A3451" s="307" t="s">
        <v>14</v>
      </c>
      <c r="B3451" s="308"/>
      <c r="C3451" s="308"/>
      <c r="D3451" s="308"/>
      <c r="E3451" s="311"/>
      <c r="F3451" s="309">
        <f>IFERROR(VLOOKUP(K3445,'2026.01'!A:Y,12,0),0)</f>
        <v>160</v>
      </c>
      <c r="G3451" s="310"/>
      <c r="K3451" s="300"/>
    </row>
    <row r="3452" ht="21" customHeight="1" spans="1:11">
      <c r="A3452" s="307" t="s">
        <v>15</v>
      </c>
      <c r="B3452" s="308"/>
      <c r="C3452" s="308"/>
      <c r="D3452" s="308"/>
      <c r="E3452" s="311"/>
      <c r="F3452" s="309">
        <f>IFERROR(VLOOKUP(K3445,'2026.01'!A:Y,9,0),0)</f>
        <v>5000</v>
      </c>
      <c r="G3452" s="310"/>
      <c r="K3452" s="300"/>
    </row>
    <row r="3453" ht="19" customHeight="1" spans="1:11">
      <c r="A3453" s="307" t="s">
        <v>16</v>
      </c>
      <c r="B3453" s="308"/>
      <c r="C3453" s="308"/>
      <c r="D3453" s="308"/>
      <c r="E3453" s="308"/>
      <c r="F3453" s="309">
        <f>IFERROR(VLOOKUP(K3445,'2026.01'!A:Y,10,0),0)</f>
        <v>500</v>
      </c>
      <c r="G3453" s="310"/>
      <c r="K3453" s="300"/>
    </row>
    <row r="3454" ht="21" customHeight="1" spans="1:11">
      <c r="A3454" s="307" t="s">
        <v>17</v>
      </c>
      <c r="B3454" s="308"/>
      <c r="C3454" s="308"/>
      <c r="D3454" s="308"/>
      <c r="E3454" s="308"/>
      <c r="F3454" s="309">
        <f>IFERROR(VLOOKUP(K3445,'2026.01'!A:Y,19,0),0)</f>
        <v>35</v>
      </c>
      <c r="G3454" s="310"/>
      <c r="K3454" s="300"/>
    </row>
    <row r="3455" ht="17.15" customHeight="1" spans="1:11">
      <c r="A3455" s="307" t="s">
        <v>18</v>
      </c>
      <c r="B3455" s="308"/>
      <c r="C3455" s="308"/>
      <c r="D3455" s="308"/>
      <c r="E3455" s="308"/>
      <c r="F3455" s="309">
        <f>IFERROR(VLOOKUP(K3445,'2026.01'!A:Y,22,0),0)</f>
        <v>146</v>
      </c>
      <c r="G3455" s="310"/>
      <c r="K3455" s="300"/>
    </row>
    <row r="3456" ht="17.15" customHeight="1" spans="1:11">
      <c r="A3456" s="307" t="s">
        <v>19</v>
      </c>
      <c r="B3456" s="312"/>
      <c r="C3456" s="308"/>
      <c r="D3456" s="313"/>
      <c r="E3456" s="308"/>
      <c r="F3456" s="309">
        <f>IFERROR(VLOOKUP(K3445,'2026.01'!A:Y,25,0),0)</f>
        <v>5932</v>
      </c>
      <c r="G3456" s="310"/>
      <c r="K3456" s="300"/>
    </row>
    <row r="3457" ht="15" customHeight="1" spans="1:11">
      <c r="A3457" s="314" t="s">
        <v>20</v>
      </c>
      <c r="B3457" s="315">
        <f>IF(F3456&lt;0,"金额为负，无效",INT(F3456))</f>
        <v>5932</v>
      </c>
      <c r="C3457" s="315"/>
      <c r="D3457" s="315"/>
      <c r="E3457" s="316" t="s">
        <v>21</v>
      </c>
      <c r="F3457" s="317"/>
      <c r="G3457" s="318"/>
      <c r="K3457" s="300"/>
    </row>
    <row r="3458" ht="23" customHeight="1" spans="1:11">
      <c r="A3458" s="319"/>
      <c r="B3458" s="320"/>
      <c r="C3458" s="320"/>
      <c r="D3458" s="320"/>
      <c r="E3458" s="319"/>
      <c r="F3458" s="321"/>
      <c r="G3458" s="322"/>
      <c r="K3458" s="300"/>
    </row>
    <row r="3459" ht="27" customHeight="1" spans="1:11">
      <c r="A3459" s="298" t="s">
        <v>0</v>
      </c>
      <c r="B3459" s="298"/>
      <c r="C3459" s="298"/>
      <c r="D3459" s="298"/>
      <c r="E3459" s="298"/>
      <c r="F3459" s="298"/>
      <c r="G3459" s="298"/>
      <c r="H3459" s="299"/>
      <c r="I3459" s="299"/>
      <c r="J3459" s="299"/>
      <c r="K3459" s="300">
        <v>248</v>
      </c>
    </row>
    <row r="3460" ht="15" customHeight="1" spans="1:11">
      <c r="A3460" s="301" t="s">
        <v>1</v>
      </c>
      <c r="B3460" s="301"/>
      <c r="C3460" s="301"/>
      <c r="D3460" s="301"/>
      <c r="E3460" s="301"/>
      <c r="F3460" s="301"/>
      <c r="G3460" s="302" t="str">
        <f>IFERROR(VLOOKUP(K3459,'2026.01'!A:Y,2,0),0)</f>
        <v>NO:248</v>
      </c>
      <c r="K3460" s="300"/>
    </row>
    <row r="3461" ht="15" customHeight="1" spans="1:11">
      <c r="A3461" s="303" t="s">
        <v>2</v>
      </c>
      <c r="B3461" s="304">
        <f>IFERROR(VLOOKUP(K3459,'2026.01'!A:Y,6,0),0)</f>
        <v>4027</v>
      </c>
      <c r="C3461" s="304"/>
      <c r="D3461" s="305" t="s">
        <v>3</v>
      </c>
      <c r="E3461" s="305" t="str">
        <f>IFERROR(VLOOKUP(K3459,'2026.01'!A:Y,7,0),0)</f>
        <v>方静</v>
      </c>
      <c r="F3461" s="305"/>
      <c r="G3461" s="306" t="s">
        <v>4</v>
      </c>
      <c r="K3461" s="300"/>
    </row>
    <row r="3462" ht="15" customHeight="1" spans="1:11">
      <c r="A3462" s="307" t="s">
        <v>5</v>
      </c>
      <c r="B3462" s="308" t="s">
        <v>6</v>
      </c>
      <c r="C3462" s="308" t="s">
        <v>7</v>
      </c>
      <c r="D3462" s="308" t="s">
        <v>8</v>
      </c>
      <c r="E3462" s="308" t="s">
        <v>9</v>
      </c>
      <c r="F3462" s="309" t="s">
        <v>10</v>
      </c>
      <c r="G3462" s="310" t="s">
        <v>11</v>
      </c>
      <c r="K3462" s="300"/>
    </row>
    <row r="3463" ht="15" customHeight="1" spans="1:11">
      <c r="A3463" s="307" t="s">
        <v>12</v>
      </c>
      <c r="B3463" s="308">
        <f>IFERROR(VLOOKUP(K3459,'2026.01'!A:Y,14,0),0)</f>
        <v>5032</v>
      </c>
      <c r="C3463" s="308">
        <f>IFERROR(VLOOKUP(K3459,'2026.01'!A:Y,13,0),0)</f>
        <v>4982</v>
      </c>
      <c r="D3463" s="308">
        <f>IFERROR(VLOOKUP(K3459,'2026.01'!A:Y,15,0),0)</f>
        <v>50</v>
      </c>
      <c r="E3463" s="311">
        <f>IFERROR(VLOOKUP(K3459,'2026.01'!A:Y,18,0),0)</f>
        <v>0.8</v>
      </c>
      <c r="F3463" s="309">
        <f>IFERROR(VLOOKUP(K3459,'2026.01'!A:Y,20,0),0)</f>
        <v>40</v>
      </c>
      <c r="G3463" s="310"/>
      <c r="K3463" s="300"/>
    </row>
    <row r="3464" ht="15" customHeight="1" spans="1:11">
      <c r="A3464" s="307" t="s">
        <v>13</v>
      </c>
      <c r="B3464" s="308"/>
      <c r="C3464" s="308"/>
      <c r="D3464" s="308"/>
      <c r="E3464" s="311"/>
      <c r="F3464" s="309">
        <f>IFERROR(VLOOKUP(K3459,'2026.01'!A:Y,24,0),0)</f>
        <v>51</v>
      </c>
      <c r="G3464" s="310"/>
      <c r="K3464" s="300"/>
    </row>
    <row r="3465" ht="15" customHeight="1" spans="1:11">
      <c r="A3465" s="307" t="s">
        <v>14</v>
      </c>
      <c r="B3465" s="308"/>
      <c r="C3465" s="308"/>
      <c r="D3465" s="308"/>
      <c r="E3465" s="311"/>
      <c r="F3465" s="309">
        <f>IFERROR(VLOOKUP(K3459,'2026.01'!A:Y,12,0),0)</f>
        <v>160</v>
      </c>
      <c r="G3465" s="310"/>
      <c r="K3465" s="300"/>
    </row>
    <row r="3466" ht="21" customHeight="1" spans="1:11">
      <c r="A3466" s="307" t="s">
        <v>15</v>
      </c>
      <c r="B3466" s="308"/>
      <c r="C3466" s="308"/>
      <c r="D3466" s="308"/>
      <c r="E3466" s="311"/>
      <c r="F3466" s="309">
        <f>IFERROR(VLOOKUP(K3459,'2026.01'!A:Y,9,0),0)</f>
        <v>5000</v>
      </c>
      <c r="G3466" s="310"/>
      <c r="K3466" s="300"/>
    </row>
    <row r="3467" ht="19" customHeight="1" spans="1:11">
      <c r="A3467" s="307" t="s">
        <v>16</v>
      </c>
      <c r="B3467" s="308"/>
      <c r="C3467" s="308"/>
      <c r="D3467" s="308"/>
      <c r="E3467" s="308"/>
      <c r="F3467" s="309">
        <f>IFERROR(VLOOKUP(K3459,'2026.01'!A:Y,10,0),0)</f>
        <v>500</v>
      </c>
      <c r="G3467" s="310"/>
      <c r="K3467" s="300"/>
    </row>
    <row r="3468" ht="21" customHeight="1" spans="1:11">
      <c r="A3468" s="307" t="s">
        <v>17</v>
      </c>
      <c r="B3468" s="308"/>
      <c r="C3468" s="308"/>
      <c r="D3468" s="308"/>
      <c r="E3468" s="308"/>
      <c r="F3468" s="309">
        <f>IFERROR(VLOOKUP(K3459,'2026.01'!A:Y,19,0),0)</f>
        <v>35</v>
      </c>
      <c r="G3468" s="310"/>
      <c r="K3468" s="300"/>
    </row>
    <row r="3469" ht="17.15" customHeight="1" spans="1:11">
      <c r="A3469" s="307" t="s">
        <v>18</v>
      </c>
      <c r="B3469" s="308"/>
      <c r="C3469" s="308"/>
      <c r="D3469" s="308"/>
      <c r="E3469" s="308"/>
      <c r="F3469" s="309">
        <f>IFERROR(VLOOKUP(K3459,'2026.01'!A:Y,22,0),0)</f>
        <v>146</v>
      </c>
      <c r="G3469" s="310"/>
      <c r="K3469" s="300"/>
    </row>
    <row r="3470" ht="17.15" customHeight="1" spans="1:11">
      <c r="A3470" s="307" t="s">
        <v>19</v>
      </c>
      <c r="B3470" s="312"/>
      <c r="C3470" s="308"/>
      <c r="D3470" s="313"/>
      <c r="E3470" s="308"/>
      <c r="F3470" s="309">
        <f>IFERROR(VLOOKUP(K3459,'2026.01'!A:Y,25,0),0)</f>
        <v>5932</v>
      </c>
      <c r="G3470" s="310"/>
      <c r="K3470" s="300"/>
    </row>
    <row r="3471" ht="15" customHeight="1" spans="1:11">
      <c r="A3471" s="314" t="s">
        <v>20</v>
      </c>
      <c r="B3471" s="315">
        <f>IF(F3470&lt;0,"金额为负，无效",INT(F3470))</f>
        <v>5932</v>
      </c>
      <c r="C3471" s="315"/>
      <c r="D3471" s="315"/>
      <c r="E3471" s="316" t="s">
        <v>21</v>
      </c>
      <c r="F3471" s="317"/>
      <c r="G3471" s="318"/>
      <c r="K3471" s="300"/>
    </row>
    <row r="3472" ht="23" customHeight="1" spans="1:11">
      <c r="A3472" s="319"/>
      <c r="B3472" s="320"/>
      <c r="C3472" s="320"/>
      <c r="D3472" s="320"/>
      <c r="E3472" s="319"/>
      <c r="F3472" s="321"/>
      <c r="G3472" s="322"/>
      <c r="K3472" s="300"/>
    </row>
    <row r="3473" ht="27" customHeight="1" spans="1:11">
      <c r="A3473" s="298" t="s">
        <v>0</v>
      </c>
      <c r="B3473" s="298"/>
      <c r="C3473" s="298"/>
      <c r="D3473" s="298"/>
      <c r="E3473" s="298"/>
      <c r="F3473" s="298"/>
      <c r="G3473" s="298"/>
      <c r="H3473" s="299"/>
      <c r="I3473" s="299"/>
      <c r="J3473" s="299"/>
      <c r="K3473" s="300">
        <v>249</v>
      </c>
    </row>
    <row r="3474" ht="15" customHeight="1" spans="1:11">
      <c r="A3474" s="301" t="s">
        <v>1</v>
      </c>
      <c r="B3474" s="301"/>
      <c r="C3474" s="301"/>
      <c r="D3474" s="301"/>
      <c r="E3474" s="301"/>
      <c r="F3474" s="301"/>
      <c r="G3474" s="302" t="str">
        <f>IFERROR(VLOOKUP(K3473,'2026.01'!A:Y,2,0),0)</f>
        <v>NO:249</v>
      </c>
      <c r="K3474" s="300"/>
    </row>
    <row r="3475" ht="15" customHeight="1" spans="1:11">
      <c r="A3475" s="303" t="s">
        <v>2</v>
      </c>
      <c r="B3475" s="304">
        <f>IFERROR(VLOOKUP(K3473,'2026.01'!A:Y,6,0),0)</f>
        <v>4028</v>
      </c>
      <c r="C3475" s="304"/>
      <c r="D3475" s="305" t="s">
        <v>3</v>
      </c>
      <c r="E3475" s="305" t="str">
        <f>IFERROR(VLOOKUP(K3473,'2026.01'!A:Y,7,0),0)</f>
        <v>姚桂珍</v>
      </c>
      <c r="F3475" s="305"/>
      <c r="G3475" s="306" t="s">
        <v>4</v>
      </c>
      <c r="K3475" s="300"/>
    </row>
    <row r="3476" ht="15" customHeight="1" spans="1:11">
      <c r="A3476" s="307" t="s">
        <v>5</v>
      </c>
      <c r="B3476" s="308" t="s">
        <v>6</v>
      </c>
      <c r="C3476" s="308" t="s">
        <v>7</v>
      </c>
      <c r="D3476" s="308" t="s">
        <v>8</v>
      </c>
      <c r="E3476" s="308" t="s">
        <v>9</v>
      </c>
      <c r="F3476" s="309" t="s">
        <v>10</v>
      </c>
      <c r="G3476" s="310" t="s">
        <v>11</v>
      </c>
      <c r="K3476" s="300"/>
    </row>
    <row r="3477" ht="15" customHeight="1" spans="1:11">
      <c r="A3477" s="307" t="s">
        <v>12</v>
      </c>
      <c r="B3477" s="308">
        <f>IFERROR(VLOOKUP(K3473,'2026.01'!A:Y,14,0),0)</f>
        <v>3918</v>
      </c>
      <c r="C3477" s="308">
        <f>IFERROR(VLOOKUP(K3473,'2026.01'!A:Y,13,0),0)</f>
        <v>3779</v>
      </c>
      <c r="D3477" s="308">
        <f>IFERROR(VLOOKUP(K3473,'2026.01'!A:Y,15,0),0)</f>
        <v>139</v>
      </c>
      <c r="E3477" s="311">
        <f>IFERROR(VLOOKUP(K3473,'2026.01'!A:Y,18,0),0)</f>
        <v>0.8</v>
      </c>
      <c r="F3477" s="309">
        <f>IFERROR(VLOOKUP(K3473,'2026.01'!A:Y,20,0),0)</f>
        <v>111</v>
      </c>
      <c r="G3477" s="310"/>
      <c r="K3477" s="300"/>
    </row>
    <row r="3478" ht="15" customHeight="1" spans="1:11">
      <c r="A3478" s="307" t="s">
        <v>13</v>
      </c>
      <c r="B3478" s="308"/>
      <c r="C3478" s="308"/>
      <c r="D3478" s="308"/>
      <c r="E3478" s="311"/>
      <c r="F3478" s="309">
        <f>IFERROR(VLOOKUP(K3473,'2026.01'!A:Y,24,0),0)</f>
        <v>51</v>
      </c>
      <c r="G3478" s="310"/>
      <c r="K3478" s="300"/>
    </row>
    <row r="3479" ht="15" customHeight="1" spans="1:11">
      <c r="A3479" s="307" t="s">
        <v>14</v>
      </c>
      <c r="B3479" s="308"/>
      <c r="C3479" s="308"/>
      <c r="D3479" s="308"/>
      <c r="E3479" s="311"/>
      <c r="F3479" s="309">
        <f>IFERROR(VLOOKUP(K3473,'2026.01'!A:Y,12,0),0)</f>
        <v>160</v>
      </c>
      <c r="G3479" s="310"/>
      <c r="K3479" s="300"/>
    </row>
    <row r="3480" ht="21" customHeight="1" spans="1:11">
      <c r="A3480" s="307" t="s">
        <v>15</v>
      </c>
      <c r="B3480" s="308"/>
      <c r="C3480" s="308"/>
      <c r="D3480" s="308"/>
      <c r="E3480" s="311"/>
      <c r="F3480" s="309">
        <f>IFERROR(VLOOKUP(K3473,'2026.01'!A:Y,9,0),0)</f>
        <v>5000</v>
      </c>
      <c r="G3480" s="310"/>
      <c r="K3480" s="300"/>
    </row>
    <row r="3481" ht="19" customHeight="1" spans="1:11">
      <c r="A3481" s="307" t="s">
        <v>16</v>
      </c>
      <c r="B3481" s="308"/>
      <c r="C3481" s="308"/>
      <c r="D3481" s="308"/>
      <c r="E3481" s="308"/>
      <c r="F3481" s="309">
        <f>IFERROR(VLOOKUP(K3473,'2026.01'!A:Y,10,0),0)</f>
        <v>500</v>
      </c>
      <c r="G3481" s="310"/>
      <c r="K3481" s="300"/>
    </row>
    <row r="3482" ht="21" customHeight="1" spans="1:11">
      <c r="A3482" s="307" t="s">
        <v>17</v>
      </c>
      <c r="B3482" s="308"/>
      <c r="C3482" s="308"/>
      <c r="D3482" s="308"/>
      <c r="E3482" s="308"/>
      <c r="F3482" s="309">
        <f>IFERROR(VLOOKUP(K3473,'2026.01'!A:Y,19,0),0)</f>
        <v>97</v>
      </c>
      <c r="G3482" s="310"/>
      <c r="K3482" s="300"/>
    </row>
    <row r="3483" ht="17.15" customHeight="1" spans="1:11">
      <c r="A3483" s="307" t="s">
        <v>18</v>
      </c>
      <c r="B3483" s="308"/>
      <c r="C3483" s="308"/>
      <c r="D3483" s="308"/>
      <c r="E3483" s="308"/>
      <c r="F3483" s="309">
        <f>IFERROR(VLOOKUP(K3473,'2026.01'!A:Y,22,0),0)</f>
        <v>146</v>
      </c>
      <c r="G3483" s="310"/>
      <c r="K3483" s="300"/>
    </row>
    <row r="3484" ht="17.15" customHeight="1" spans="1:11">
      <c r="A3484" s="307" t="s">
        <v>19</v>
      </c>
      <c r="B3484" s="312"/>
      <c r="C3484" s="308"/>
      <c r="D3484" s="313"/>
      <c r="E3484" s="308"/>
      <c r="F3484" s="309">
        <f>IFERROR(VLOOKUP(K3473,'2026.01'!A:Y,25,0),0)</f>
        <v>6065</v>
      </c>
      <c r="G3484" s="310"/>
      <c r="K3484" s="300"/>
    </row>
    <row r="3485" ht="15" customHeight="1" spans="1:11">
      <c r="A3485" s="314" t="s">
        <v>20</v>
      </c>
      <c r="B3485" s="315">
        <f>IF(F3484&lt;0,"金额为负，无效",INT(F3484))</f>
        <v>6065</v>
      </c>
      <c r="C3485" s="315"/>
      <c r="D3485" s="315"/>
      <c r="E3485" s="316" t="s">
        <v>21</v>
      </c>
      <c r="F3485" s="317"/>
      <c r="G3485" s="318"/>
      <c r="K3485" s="300"/>
    </row>
    <row r="3486" ht="15" customHeight="1" spans="1:11">
      <c r="A3486" s="319"/>
      <c r="B3486" s="320"/>
      <c r="C3486" s="320"/>
      <c r="D3486" s="320"/>
      <c r="E3486" s="319"/>
      <c r="F3486" s="321"/>
      <c r="G3486" s="322"/>
      <c r="K3486" s="300"/>
    </row>
    <row r="3487" ht="27" customHeight="1" spans="1:11">
      <c r="A3487" s="298" t="s">
        <v>0</v>
      </c>
      <c r="B3487" s="298"/>
      <c r="C3487" s="298"/>
      <c r="D3487" s="298"/>
      <c r="E3487" s="298"/>
      <c r="F3487" s="298"/>
      <c r="G3487" s="298"/>
      <c r="H3487" s="299"/>
      <c r="I3487" s="299"/>
      <c r="J3487" s="299"/>
      <c r="K3487" s="300">
        <v>250</v>
      </c>
    </row>
    <row r="3488" ht="15" customHeight="1" spans="1:11">
      <c r="A3488" s="301" t="s">
        <v>1</v>
      </c>
      <c r="B3488" s="301"/>
      <c r="C3488" s="301"/>
      <c r="D3488" s="301"/>
      <c r="E3488" s="301"/>
      <c r="F3488" s="301"/>
      <c r="G3488" s="302" t="str">
        <f>IFERROR(VLOOKUP(K3487,'2026.01'!A:Y,2,0),0)</f>
        <v>NO:250</v>
      </c>
      <c r="K3488" s="300"/>
    </row>
    <row r="3489" ht="15" customHeight="1" spans="1:11">
      <c r="A3489" s="303" t="s">
        <v>2</v>
      </c>
      <c r="B3489" s="304">
        <f>IFERROR(VLOOKUP(K3487,'2026.01'!A:Y,6,0),0)</f>
        <v>4029</v>
      </c>
      <c r="C3489" s="304"/>
      <c r="D3489" s="305" t="s">
        <v>3</v>
      </c>
      <c r="E3489" s="305" t="str">
        <f>IFERROR(VLOOKUP(K3487,'2026.01'!A:Y,7,0),0)</f>
        <v>黄慧杰</v>
      </c>
      <c r="F3489" s="305"/>
      <c r="G3489" s="306" t="s">
        <v>4</v>
      </c>
      <c r="K3489" s="300"/>
    </row>
    <row r="3490" ht="15" customHeight="1" spans="1:11">
      <c r="A3490" s="307" t="s">
        <v>5</v>
      </c>
      <c r="B3490" s="308" t="s">
        <v>6</v>
      </c>
      <c r="C3490" s="308" t="s">
        <v>7</v>
      </c>
      <c r="D3490" s="308" t="s">
        <v>8</v>
      </c>
      <c r="E3490" s="308" t="s">
        <v>9</v>
      </c>
      <c r="F3490" s="309" t="s">
        <v>10</v>
      </c>
      <c r="G3490" s="310" t="s">
        <v>11</v>
      </c>
      <c r="K3490" s="300"/>
    </row>
    <row r="3491" ht="15" customHeight="1" spans="1:11">
      <c r="A3491" s="307" t="s">
        <v>12</v>
      </c>
      <c r="B3491" s="308">
        <f>IFERROR(VLOOKUP(K3487,'2026.01'!A:Y,14,0),0)</f>
        <v>4921</v>
      </c>
      <c r="C3491" s="308">
        <f>IFERROR(VLOOKUP(K3487,'2026.01'!A:Y,13,0),0)</f>
        <v>4883</v>
      </c>
      <c r="D3491" s="308">
        <f>IFERROR(VLOOKUP(K3487,'2026.01'!A:Y,15,0),0)</f>
        <v>38</v>
      </c>
      <c r="E3491" s="311">
        <f>IFERROR(VLOOKUP(K3487,'2026.01'!A:Y,18,0),0)</f>
        <v>0.8</v>
      </c>
      <c r="F3491" s="309">
        <f>IFERROR(VLOOKUP(K3487,'2026.01'!A:Y,20,0),0)</f>
        <v>30</v>
      </c>
      <c r="G3491" s="310"/>
      <c r="K3491" s="300"/>
    </row>
    <row r="3492" ht="15" customHeight="1" spans="1:11">
      <c r="A3492" s="307" t="s">
        <v>13</v>
      </c>
      <c r="B3492" s="308"/>
      <c r="C3492" s="308"/>
      <c r="D3492" s="308"/>
      <c r="E3492" s="311"/>
      <c r="F3492" s="309">
        <f>IFERROR(VLOOKUP(K3487,'2026.01'!A:Y,24,0),0)</f>
        <v>51</v>
      </c>
      <c r="G3492" s="310"/>
      <c r="K3492" s="300"/>
    </row>
    <row r="3493" ht="15" customHeight="1" spans="1:11">
      <c r="A3493" s="307" t="s">
        <v>14</v>
      </c>
      <c r="B3493" s="308"/>
      <c r="C3493" s="308"/>
      <c r="D3493" s="308"/>
      <c r="E3493" s="311"/>
      <c r="F3493" s="309">
        <f>IFERROR(VLOOKUP(K3487,'2026.01'!A:Y,12,0),0)</f>
        <v>160</v>
      </c>
      <c r="G3493" s="310"/>
      <c r="K3493" s="300"/>
    </row>
    <row r="3494" ht="21" customHeight="1" spans="1:11">
      <c r="A3494" s="307" t="s">
        <v>15</v>
      </c>
      <c r="B3494" s="308"/>
      <c r="C3494" s="308"/>
      <c r="D3494" s="308"/>
      <c r="E3494" s="311"/>
      <c r="F3494" s="309">
        <f>IFERROR(VLOOKUP(K3487,'2026.01'!A:Y,9,0),0)</f>
        <v>5000</v>
      </c>
      <c r="G3494" s="310"/>
      <c r="K3494" s="300"/>
    </row>
    <row r="3495" ht="19" customHeight="1" spans="1:11">
      <c r="A3495" s="307" t="s">
        <v>16</v>
      </c>
      <c r="B3495" s="308"/>
      <c r="C3495" s="308"/>
      <c r="D3495" s="308"/>
      <c r="E3495" s="308"/>
      <c r="F3495" s="309">
        <f>IFERROR(VLOOKUP(K3487,'2026.01'!A:Y,10,0),0)</f>
        <v>500</v>
      </c>
      <c r="G3495" s="310"/>
      <c r="K3495" s="300"/>
    </row>
    <row r="3496" ht="21" customHeight="1" spans="1:11">
      <c r="A3496" s="307" t="s">
        <v>17</v>
      </c>
      <c r="B3496" s="308"/>
      <c r="C3496" s="308"/>
      <c r="D3496" s="308"/>
      <c r="E3496" s="308"/>
      <c r="F3496" s="309">
        <f>IFERROR(VLOOKUP(K3487,'2026.01'!A:Y,19,0),0)</f>
        <v>27</v>
      </c>
      <c r="G3496" s="310"/>
      <c r="K3496" s="300"/>
    </row>
    <row r="3497" ht="17.15" customHeight="1" spans="1:11">
      <c r="A3497" s="307" t="s">
        <v>18</v>
      </c>
      <c r="B3497" s="308"/>
      <c r="C3497" s="308"/>
      <c r="D3497" s="308"/>
      <c r="E3497" s="308"/>
      <c r="F3497" s="309">
        <f>IFERROR(VLOOKUP(K3487,'2026.01'!A:Y,22,0),0)</f>
        <v>146</v>
      </c>
      <c r="G3497" s="310"/>
      <c r="K3497" s="300"/>
    </row>
    <row r="3498" ht="17.15" customHeight="1" spans="1:11">
      <c r="A3498" s="307" t="s">
        <v>19</v>
      </c>
      <c r="B3498" s="312"/>
      <c r="C3498" s="308"/>
      <c r="D3498" s="313"/>
      <c r="E3498" s="308"/>
      <c r="F3498" s="309">
        <f>IFERROR(VLOOKUP(K3487,'2026.01'!A:Y,25,0),0)</f>
        <v>5914</v>
      </c>
      <c r="G3498" s="310"/>
      <c r="K3498" s="300"/>
    </row>
    <row r="3499" ht="15" customHeight="1" spans="1:11">
      <c r="A3499" s="314" t="s">
        <v>20</v>
      </c>
      <c r="B3499" s="315">
        <f>IF(F3498&lt;0,"金额为负，无效",INT(F3498))</f>
        <v>5914</v>
      </c>
      <c r="C3499" s="315"/>
      <c r="D3499" s="315"/>
      <c r="E3499" s="316" t="s">
        <v>21</v>
      </c>
      <c r="F3499" s="317"/>
      <c r="G3499" s="318"/>
      <c r="K3499" s="300"/>
    </row>
    <row r="3500" ht="23" customHeight="1" spans="1:11">
      <c r="A3500" s="319"/>
      <c r="B3500" s="320"/>
      <c r="C3500" s="320"/>
      <c r="D3500" s="320"/>
      <c r="E3500" s="319"/>
      <c r="F3500" s="321"/>
      <c r="G3500" s="322"/>
      <c r="K3500" s="300"/>
    </row>
    <row r="3501" ht="27" customHeight="1" spans="1:11">
      <c r="A3501" s="298" t="s">
        <v>0</v>
      </c>
      <c r="B3501" s="298"/>
      <c r="C3501" s="298"/>
      <c r="D3501" s="298"/>
      <c r="E3501" s="298"/>
      <c r="F3501" s="298"/>
      <c r="G3501" s="298"/>
      <c r="H3501" s="299"/>
      <c r="I3501" s="299"/>
      <c r="J3501" s="299"/>
      <c r="K3501" s="300">
        <v>251</v>
      </c>
    </row>
    <row r="3502" ht="15" customHeight="1" spans="1:11">
      <c r="A3502" s="301" t="s">
        <v>1</v>
      </c>
      <c r="B3502" s="301"/>
      <c r="C3502" s="301"/>
      <c r="D3502" s="301"/>
      <c r="E3502" s="301"/>
      <c r="F3502" s="301"/>
      <c r="G3502" s="302" t="str">
        <f>IFERROR(VLOOKUP(K3501,'2026.01'!A:Y,2,0),0)</f>
        <v>NO:251</v>
      </c>
      <c r="K3502" s="300"/>
    </row>
    <row r="3503" ht="15" customHeight="1" spans="1:11">
      <c r="A3503" s="303" t="s">
        <v>2</v>
      </c>
      <c r="B3503" s="304">
        <f>IFERROR(VLOOKUP(K3501,'2026.01'!A:Y,6,0),0)</f>
        <v>4030</v>
      </c>
      <c r="C3503" s="304"/>
      <c r="D3503" s="305" t="s">
        <v>3</v>
      </c>
      <c r="E3503" s="305" t="str">
        <f>IFERROR(VLOOKUP(K3501,'2026.01'!A:Y,7,0),0)</f>
        <v>黄慧杰</v>
      </c>
      <c r="F3503" s="305"/>
      <c r="G3503" s="306" t="s">
        <v>4</v>
      </c>
      <c r="K3503" s="300"/>
    </row>
    <row r="3504" ht="15" customHeight="1" spans="1:11">
      <c r="A3504" s="307" t="s">
        <v>5</v>
      </c>
      <c r="B3504" s="308" t="s">
        <v>6</v>
      </c>
      <c r="C3504" s="308" t="s">
        <v>7</v>
      </c>
      <c r="D3504" s="308" t="s">
        <v>8</v>
      </c>
      <c r="E3504" s="308" t="s">
        <v>9</v>
      </c>
      <c r="F3504" s="309" t="s">
        <v>10</v>
      </c>
      <c r="G3504" s="310" t="s">
        <v>11</v>
      </c>
      <c r="K3504" s="300"/>
    </row>
    <row r="3505" ht="15" customHeight="1" spans="1:11">
      <c r="A3505" s="307" t="s">
        <v>12</v>
      </c>
      <c r="B3505" s="308">
        <f>IFERROR(VLOOKUP(K3501,'2026.01'!A:Y,14,0),0)</f>
        <v>1661</v>
      </c>
      <c r="C3505" s="308">
        <f>IFERROR(VLOOKUP(K3501,'2026.01'!A:Y,13,0),0)</f>
        <v>1623</v>
      </c>
      <c r="D3505" s="308">
        <f>IFERROR(VLOOKUP(K3501,'2026.01'!A:Y,15,0),0)</f>
        <v>38</v>
      </c>
      <c r="E3505" s="311">
        <f>IFERROR(VLOOKUP(K3501,'2026.01'!A:Y,18,0),0)</f>
        <v>0.8</v>
      </c>
      <c r="F3505" s="309">
        <f>IFERROR(VLOOKUP(K3501,'2026.01'!A:Y,20,0),0)</f>
        <v>30</v>
      </c>
      <c r="G3505" s="310"/>
      <c r="K3505" s="300"/>
    </row>
    <row r="3506" ht="15" customHeight="1" spans="1:11">
      <c r="A3506" s="307" t="s">
        <v>13</v>
      </c>
      <c r="B3506" s="308"/>
      <c r="C3506" s="308"/>
      <c r="D3506" s="308"/>
      <c r="E3506" s="311"/>
      <c r="F3506" s="309">
        <f>IFERROR(VLOOKUP(K3501,'2026.01'!A:Y,24,0),0)</f>
        <v>51</v>
      </c>
      <c r="G3506" s="310"/>
      <c r="K3506" s="300"/>
    </row>
    <row r="3507" ht="15" customHeight="1" spans="1:11">
      <c r="A3507" s="307" t="s">
        <v>14</v>
      </c>
      <c r="B3507" s="308"/>
      <c r="C3507" s="308"/>
      <c r="D3507" s="308"/>
      <c r="E3507" s="311"/>
      <c r="F3507" s="309">
        <f>IFERROR(VLOOKUP(K3501,'2026.01'!A:Y,12,0),0)</f>
        <v>160</v>
      </c>
      <c r="G3507" s="310"/>
      <c r="K3507" s="300"/>
    </row>
    <row r="3508" ht="21" customHeight="1" spans="1:11">
      <c r="A3508" s="307" t="s">
        <v>15</v>
      </c>
      <c r="B3508" s="308"/>
      <c r="C3508" s="308"/>
      <c r="D3508" s="308"/>
      <c r="E3508" s="311"/>
      <c r="F3508" s="309">
        <f>IFERROR(VLOOKUP(K3501,'2026.01'!A:Y,9,0),0)</f>
        <v>5000</v>
      </c>
      <c r="G3508" s="310"/>
      <c r="K3508" s="300"/>
    </row>
    <row r="3509" ht="19" customHeight="1" spans="1:11">
      <c r="A3509" s="307" t="s">
        <v>16</v>
      </c>
      <c r="B3509" s="308"/>
      <c r="C3509" s="308"/>
      <c r="D3509" s="308"/>
      <c r="E3509" s="308"/>
      <c r="F3509" s="309">
        <f>IFERROR(VLOOKUP(K3501,'2026.01'!A:Y,10,0),0)</f>
        <v>500</v>
      </c>
      <c r="G3509" s="310"/>
      <c r="K3509" s="300"/>
    </row>
    <row r="3510" ht="21" customHeight="1" spans="1:11">
      <c r="A3510" s="307" t="s">
        <v>17</v>
      </c>
      <c r="B3510" s="308"/>
      <c r="C3510" s="308"/>
      <c r="D3510" s="308"/>
      <c r="E3510" s="308"/>
      <c r="F3510" s="309">
        <f>IFERROR(VLOOKUP(K3501,'2026.01'!A:Y,19,0),0)</f>
        <v>27</v>
      </c>
      <c r="G3510" s="310"/>
      <c r="K3510" s="300"/>
    </row>
    <row r="3511" ht="17.15" customHeight="1" spans="1:11">
      <c r="A3511" s="307" t="s">
        <v>18</v>
      </c>
      <c r="B3511" s="308"/>
      <c r="C3511" s="308"/>
      <c r="D3511" s="308"/>
      <c r="E3511" s="308"/>
      <c r="F3511" s="309">
        <f>IFERROR(VLOOKUP(K3501,'2026.01'!A:Y,22,0),0)</f>
        <v>146</v>
      </c>
      <c r="G3511" s="310"/>
      <c r="K3511" s="300"/>
    </row>
    <row r="3512" ht="17.15" customHeight="1" spans="1:11">
      <c r="A3512" s="307" t="s">
        <v>19</v>
      </c>
      <c r="B3512" s="312"/>
      <c r="C3512" s="308"/>
      <c r="D3512" s="313"/>
      <c r="E3512" s="308"/>
      <c r="F3512" s="309">
        <f>IFERROR(VLOOKUP(K3501,'2026.01'!A:Y,25,0),0)</f>
        <v>5914</v>
      </c>
      <c r="G3512" s="310"/>
      <c r="K3512" s="300"/>
    </row>
    <row r="3513" ht="15" customHeight="1" spans="1:11">
      <c r="A3513" s="314" t="s">
        <v>20</v>
      </c>
      <c r="B3513" s="315">
        <f>IF(F3512&lt;0,"金额为负，无效",INT(F3512))</f>
        <v>5914</v>
      </c>
      <c r="C3513" s="315"/>
      <c r="D3513" s="315"/>
      <c r="E3513" s="316" t="s">
        <v>21</v>
      </c>
      <c r="F3513" s="317"/>
      <c r="G3513" s="318"/>
      <c r="K3513" s="300"/>
    </row>
    <row r="3514" ht="23" customHeight="1" spans="1:11">
      <c r="A3514" s="319"/>
      <c r="B3514" s="320"/>
      <c r="C3514" s="320"/>
      <c r="D3514" s="320"/>
      <c r="E3514" s="319"/>
      <c r="F3514" s="321"/>
      <c r="G3514" s="322"/>
      <c r="K3514" s="300"/>
    </row>
    <row r="3515" ht="27" customHeight="1" spans="1:11">
      <c r="A3515" s="298" t="s">
        <v>0</v>
      </c>
      <c r="B3515" s="298"/>
      <c r="C3515" s="298"/>
      <c r="D3515" s="298"/>
      <c r="E3515" s="298"/>
      <c r="F3515" s="298"/>
      <c r="G3515" s="298"/>
      <c r="H3515" s="299"/>
      <c r="I3515" s="299"/>
      <c r="J3515" s="299"/>
      <c r="K3515" s="300">
        <v>252</v>
      </c>
    </row>
    <row r="3516" ht="15" customHeight="1" spans="1:11">
      <c r="A3516" s="301" t="s">
        <v>1</v>
      </c>
      <c r="B3516" s="301"/>
      <c r="C3516" s="301"/>
      <c r="D3516" s="301"/>
      <c r="E3516" s="301"/>
      <c r="F3516" s="301"/>
      <c r="G3516" s="302" t="str">
        <f>IFERROR(VLOOKUP(K3515,'2026.01'!A:Y,2,0),0)</f>
        <v>NO:252</v>
      </c>
      <c r="K3516" s="300"/>
    </row>
    <row r="3517" ht="15" customHeight="1" spans="1:11">
      <c r="A3517" s="303" t="s">
        <v>2</v>
      </c>
      <c r="B3517" s="304">
        <f>IFERROR(VLOOKUP(K3515,'2026.01'!A:Y,6,0),0)</f>
        <v>4031</v>
      </c>
      <c r="C3517" s="304"/>
      <c r="D3517" s="305" t="s">
        <v>3</v>
      </c>
      <c r="E3517" s="305" t="str">
        <f>IFERROR(VLOOKUP(K3515,'2026.01'!A:Y,7,0),0)</f>
        <v>林茂</v>
      </c>
      <c r="F3517" s="305"/>
      <c r="G3517" s="306" t="s">
        <v>4</v>
      </c>
      <c r="K3517" s="300"/>
    </row>
    <row r="3518" ht="15" customHeight="1" spans="1:11">
      <c r="A3518" s="307" t="s">
        <v>5</v>
      </c>
      <c r="B3518" s="308" t="s">
        <v>6</v>
      </c>
      <c r="C3518" s="308" t="s">
        <v>7</v>
      </c>
      <c r="D3518" s="308" t="s">
        <v>8</v>
      </c>
      <c r="E3518" s="308" t="s">
        <v>9</v>
      </c>
      <c r="F3518" s="309" t="s">
        <v>10</v>
      </c>
      <c r="G3518" s="310" t="s">
        <v>11</v>
      </c>
      <c r="K3518" s="300"/>
    </row>
    <row r="3519" ht="15" customHeight="1" spans="1:11">
      <c r="A3519" s="307" t="s">
        <v>12</v>
      </c>
      <c r="B3519" s="308">
        <f>IFERROR(VLOOKUP(K3515,'2026.01'!A:Y,14,0),0)</f>
        <v>3938</v>
      </c>
      <c r="C3519" s="308">
        <f>IFERROR(VLOOKUP(K3515,'2026.01'!A:Y,13,0),0)</f>
        <v>3918</v>
      </c>
      <c r="D3519" s="308">
        <f>IFERROR(VLOOKUP(K3515,'2026.01'!A:Y,15,0),0)</f>
        <v>20</v>
      </c>
      <c r="E3519" s="311">
        <f>IFERROR(VLOOKUP(K3515,'2026.01'!A:Y,18,0),0)</f>
        <v>0.8</v>
      </c>
      <c r="F3519" s="309">
        <f>IFERROR(VLOOKUP(K3515,'2026.01'!A:Y,20,0),0)</f>
        <v>16</v>
      </c>
      <c r="G3519" s="310"/>
      <c r="K3519" s="300"/>
    </row>
    <row r="3520" ht="15" customHeight="1" spans="1:11">
      <c r="A3520" s="307" t="s">
        <v>13</v>
      </c>
      <c r="B3520" s="308"/>
      <c r="C3520" s="308"/>
      <c r="D3520" s="308"/>
      <c r="E3520" s="311"/>
      <c r="F3520" s="309">
        <f>IFERROR(VLOOKUP(K3515,'2026.01'!A:Y,24,0),0)</f>
        <v>51</v>
      </c>
      <c r="G3520" s="310"/>
      <c r="K3520" s="300"/>
    </row>
    <row r="3521" ht="15" customHeight="1" spans="1:11">
      <c r="A3521" s="307" t="s">
        <v>14</v>
      </c>
      <c r="B3521" s="308"/>
      <c r="C3521" s="308"/>
      <c r="D3521" s="308"/>
      <c r="E3521" s="311"/>
      <c r="F3521" s="309">
        <f>IFERROR(VLOOKUP(K3515,'2026.01'!A:Y,12,0),0)</f>
        <v>160</v>
      </c>
      <c r="G3521" s="310"/>
      <c r="K3521" s="300"/>
    </row>
    <row r="3522" ht="21" customHeight="1" spans="1:11">
      <c r="A3522" s="307" t="s">
        <v>15</v>
      </c>
      <c r="B3522" s="308"/>
      <c r="C3522" s="308"/>
      <c r="D3522" s="308"/>
      <c r="E3522" s="311"/>
      <c r="F3522" s="309">
        <f>IFERROR(VLOOKUP(K3515,'2026.01'!A:Y,9,0),0)</f>
        <v>5000</v>
      </c>
      <c r="G3522" s="310"/>
      <c r="K3522" s="300"/>
    </row>
    <row r="3523" ht="19" customHeight="1" spans="1:11">
      <c r="A3523" s="307" t="s">
        <v>16</v>
      </c>
      <c r="B3523" s="308"/>
      <c r="C3523" s="308"/>
      <c r="D3523" s="308"/>
      <c r="E3523" s="308"/>
      <c r="F3523" s="309">
        <f>IFERROR(VLOOKUP(K3515,'2026.01'!A:Y,10,0),0)</f>
        <v>500</v>
      </c>
      <c r="G3523" s="310"/>
      <c r="K3523" s="300"/>
    </row>
    <row r="3524" ht="21" customHeight="1" spans="1:11">
      <c r="A3524" s="307" t="s">
        <v>17</v>
      </c>
      <c r="B3524" s="308"/>
      <c r="C3524" s="308"/>
      <c r="D3524" s="308"/>
      <c r="E3524" s="308"/>
      <c r="F3524" s="309">
        <f>IFERROR(VLOOKUP(K3515,'2026.01'!A:Y,19,0),0)</f>
        <v>14</v>
      </c>
      <c r="G3524" s="310"/>
      <c r="K3524" s="300"/>
    </row>
    <row r="3525" ht="17.15" customHeight="1" spans="1:11">
      <c r="A3525" s="307" t="s">
        <v>18</v>
      </c>
      <c r="B3525" s="308"/>
      <c r="C3525" s="308"/>
      <c r="D3525" s="308"/>
      <c r="E3525" s="308"/>
      <c r="F3525" s="309">
        <f>IFERROR(VLOOKUP(K3515,'2026.01'!A:Y,22,0),0)</f>
        <v>146</v>
      </c>
      <c r="G3525" s="310"/>
      <c r="K3525" s="300"/>
    </row>
    <row r="3526" ht="17.15" customHeight="1" spans="1:11">
      <c r="A3526" s="307" t="s">
        <v>19</v>
      </c>
      <c r="B3526" s="312"/>
      <c r="C3526" s="308"/>
      <c r="D3526" s="313"/>
      <c r="E3526" s="308"/>
      <c r="F3526" s="309">
        <f>IFERROR(VLOOKUP(K3515,'2026.01'!A:Y,25,0),0)</f>
        <v>5887</v>
      </c>
      <c r="G3526" s="310"/>
      <c r="K3526" s="300"/>
    </row>
    <row r="3527" ht="15" customHeight="1" spans="1:11">
      <c r="A3527" s="314" t="s">
        <v>20</v>
      </c>
      <c r="B3527" s="315">
        <f>IF(F3526&lt;0,"金额为负，无效",INT(F3526))</f>
        <v>5887</v>
      </c>
      <c r="C3527" s="315"/>
      <c r="D3527" s="315"/>
      <c r="E3527" s="316" t="s">
        <v>21</v>
      </c>
      <c r="F3527" s="317"/>
      <c r="G3527" s="318"/>
      <c r="K3527" s="300"/>
    </row>
    <row r="3528" ht="15" customHeight="1" spans="1:11">
      <c r="A3528" s="319"/>
      <c r="B3528" s="320"/>
      <c r="C3528" s="320"/>
      <c r="D3528" s="320"/>
      <c r="E3528" s="319"/>
      <c r="F3528" s="321"/>
      <c r="G3528" s="322"/>
      <c r="K3528" s="300"/>
    </row>
    <row r="3529" ht="27" customHeight="1" spans="1:11">
      <c r="A3529" s="298" t="s">
        <v>0</v>
      </c>
      <c r="B3529" s="298"/>
      <c r="C3529" s="298"/>
      <c r="D3529" s="298"/>
      <c r="E3529" s="298"/>
      <c r="F3529" s="298"/>
      <c r="G3529" s="298"/>
      <c r="H3529" s="299"/>
      <c r="I3529" s="299"/>
      <c r="J3529" s="299"/>
      <c r="K3529" s="300">
        <v>253</v>
      </c>
    </row>
    <row r="3530" ht="15" customHeight="1" spans="1:11">
      <c r="A3530" s="301" t="s">
        <v>1</v>
      </c>
      <c r="B3530" s="301"/>
      <c r="C3530" s="301"/>
      <c r="D3530" s="301"/>
      <c r="E3530" s="301"/>
      <c r="F3530" s="301"/>
      <c r="G3530" s="302" t="str">
        <f>IFERROR(VLOOKUP(K3529,'2026.01'!A:Y,2,0),0)</f>
        <v>NO:253</v>
      </c>
      <c r="K3530" s="300"/>
    </row>
    <row r="3531" ht="15" customHeight="1" spans="1:11">
      <c r="A3531" s="303" t="s">
        <v>2</v>
      </c>
      <c r="B3531" s="304">
        <f>IFERROR(VLOOKUP(K3529,'2026.01'!A:Y,6,0),0)</f>
        <v>4032</v>
      </c>
      <c r="C3531" s="304"/>
      <c r="D3531" s="305" t="s">
        <v>3</v>
      </c>
      <c r="E3531" s="305" t="str">
        <f>IFERROR(VLOOKUP(K3529,'2026.01'!A:Y,7,0),0)</f>
        <v>刘敏</v>
      </c>
      <c r="F3531" s="305"/>
      <c r="G3531" s="306" t="s">
        <v>4</v>
      </c>
      <c r="K3531" s="300"/>
    </row>
    <row r="3532" ht="15" customHeight="1" spans="1:11">
      <c r="A3532" s="307" t="s">
        <v>5</v>
      </c>
      <c r="B3532" s="308" t="s">
        <v>6</v>
      </c>
      <c r="C3532" s="308" t="s">
        <v>7</v>
      </c>
      <c r="D3532" s="308" t="s">
        <v>8</v>
      </c>
      <c r="E3532" s="308" t="s">
        <v>9</v>
      </c>
      <c r="F3532" s="309" t="s">
        <v>10</v>
      </c>
      <c r="G3532" s="310" t="s">
        <v>11</v>
      </c>
      <c r="K3532" s="300"/>
    </row>
    <row r="3533" ht="15" customHeight="1" spans="1:11">
      <c r="A3533" s="307" t="s">
        <v>12</v>
      </c>
      <c r="B3533" s="308">
        <f>IFERROR(VLOOKUP(K3529,'2026.01'!A:Y,14,0),0)</f>
        <v>8151</v>
      </c>
      <c r="C3533" s="308">
        <f>IFERROR(VLOOKUP(K3529,'2026.01'!A:Y,13,0),0)</f>
        <v>8086</v>
      </c>
      <c r="D3533" s="308">
        <f>IFERROR(VLOOKUP(K3529,'2026.01'!A:Y,15,0),0)</f>
        <v>65</v>
      </c>
      <c r="E3533" s="311">
        <f>IFERROR(VLOOKUP(K3529,'2026.01'!A:Y,18,0),0)</f>
        <v>0.8</v>
      </c>
      <c r="F3533" s="309">
        <f>IFERROR(VLOOKUP(K3529,'2026.01'!A:Y,20,0),0)</f>
        <v>52</v>
      </c>
      <c r="G3533" s="310"/>
      <c r="K3533" s="300"/>
    </row>
    <row r="3534" ht="15" customHeight="1" spans="1:11">
      <c r="A3534" s="307" t="s">
        <v>13</v>
      </c>
      <c r="B3534" s="308"/>
      <c r="C3534" s="308"/>
      <c r="D3534" s="308"/>
      <c r="E3534" s="311"/>
      <c r="F3534" s="309">
        <f>IFERROR(VLOOKUP(K3529,'2026.01'!A:Y,24,0),0)</f>
        <v>51</v>
      </c>
      <c r="G3534" s="310"/>
      <c r="K3534" s="300"/>
    </row>
    <row r="3535" ht="15" customHeight="1" spans="1:11">
      <c r="A3535" s="307" t="s">
        <v>14</v>
      </c>
      <c r="B3535" s="308"/>
      <c r="C3535" s="308"/>
      <c r="D3535" s="308"/>
      <c r="E3535" s="311"/>
      <c r="F3535" s="309">
        <f>IFERROR(VLOOKUP(K3529,'2026.01'!A:Y,12,0),0)</f>
        <v>160</v>
      </c>
      <c r="G3535" s="310"/>
      <c r="K3535" s="300"/>
    </row>
    <row r="3536" ht="21" customHeight="1" spans="1:11">
      <c r="A3536" s="307" t="s">
        <v>15</v>
      </c>
      <c r="B3536" s="308"/>
      <c r="C3536" s="308"/>
      <c r="D3536" s="308"/>
      <c r="E3536" s="311"/>
      <c r="F3536" s="309">
        <f>IFERROR(VLOOKUP(K3529,'2026.01'!A:Y,9,0),0)</f>
        <v>5000</v>
      </c>
      <c r="G3536" s="310"/>
      <c r="K3536" s="300"/>
    </row>
    <row r="3537" ht="19" customHeight="1" spans="1:11">
      <c r="A3537" s="307" t="s">
        <v>16</v>
      </c>
      <c r="B3537" s="308"/>
      <c r="C3537" s="308"/>
      <c r="D3537" s="308"/>
      <c r="E3537" s="308"/>
      <c r="F3537" s="309">
        <f>IFERROR(VLOOKUP(K3529,'2026.01'!A:Y,10,0),0)</f>
        <v>500</v>
      </c>
      <c r="G3537" s="310"/>
      <c r="K3537" s="300"/>
    </row>
    <row r="3538" ht="21" customHeight="1" spans="1:11">
      <c r="A3538" s="307" t="s">
        <v>17</v>
      </c>
      <c r="B3538" s="308"/>
      <c r="C3538" s="308"/>
      <c r="D3538" s="308"/>
      <c r="E3538" s="308"/>
      <c r="F3538" s="309">
        <f>IFERROR(VLOOKUP(K3529,'2026.01'!A:Y,19,0),0)</f>
        <v>46</v>
      </c>
      <c r="G3538" s="310"/>
      <c r="K3538" s="300"/>
    </row>
    <row r="3539" ht="17.15" customHeight="1" spans="1:11">
      <c r="A3539" s="307" t="s">
        <v>18</v>
      </c>
      <c r="B3539" s="308"/>
      <c r="C3539" s="308"/>
      <c r="D3539" s="308"/>
      <c r="E3539" s="308"/>
      <c r="F3539" s="309">
        <f>IFERROR(VLOOKUP(K3529,'2026.01'!A:Y,22,0),0)</f>
        <v>146</v>
      </c>
      <c r="G3539" s="310"/>
      <c r="K3539" s="300"/>
    </row>
    <row r="3540" ht="17.15" customHeight="1" spans="1:11">
      <c r="A3540" s="307" t="s">
        <v>19</v>
      </c>
      <c r="B3540" s="312"/>
      <c r="C3540" s="308"/>
      <c r="D3540" s="313"/>
      <c r="E3540" s="308"/>
      <c r="F3540" s="309">
        <f>IFERROR(VLOOKUP(K3529,'2026.01'!A:Y,25,0),0)</f>
        <v>5955</v>
      </c>
      <c r="G3540" s="310"/>
      <c r="K3540" s="300"/>
    </row>
    <row r="3541" ht="15" customHeight="1" spans="1:11">
      <c r="A3541" s="314" t="s">
        <v>20</v>
      </c>
      <c r="B3541" s="315">
        <f>IF(F3540&lt;0,"金额为负，无效",INT(F3540))</f>
        <v>5955</v>
      </c>
      <c r="C3541" s="315"/>
      <c r="D3541" s="315"/>
      <c r="E3541" s="316" t="s">
        <v>21</v>
      </c>
      <c r="F3541" s="317"/>
      <c r="G3541" s="318"/>
      <c r="K3541" s="300"/>
    </row>
    <row r="3542" ht="23" customHeight="1" spans="1:11">
      <c r="A3542" s="319"/>
      <c r="B3542" s="320"/>
      <c r="C3542" s="320"/>
      <c r="D3542" s="320"/>
      <c r="E3542" s="319"/>
      <c r="F3542" s="321"/>
      <c r="G3542" s="322"/>
      <c r="K3542" s="300"/>
    </row>
    <row r="3543" ht="27" customHeight="1" spans="1:11">
      <c r="A3543" s="298" t="s">
        <v>0</v>
      </c>
      <c r="B3543" s="298"/>
      <c r="C3543" s="298"/>
      <c r="D3543" s="298"/>
      <c r="E3543" s="298"/>
      <c r="F3543" s="298"/>
      <c r="G3543" s="298"/>
      <c r="H3543" s="299"/>
      <c r="I3543" s="299"/>
      <c r="J3543" s="299"/>
      <c r="K3543" s="300">
        <v>254</v>
      </c>
    </row>
    <row r="3544" ht="15" customHeight="1" spans="1:11">
      <c r="A3544" s="301" t="s">
        <v>1</v>
      </c>
      <c r="B3544" s="301"/>
      <c r="C3544" s="301"/>
      <c r="D3544" s="301"/>
      <c r="E3544" s="301"/>
      <c r="F3544" s="301"/>
      <c r="G3544" s="302" t="str">
        <f>IFERROR(VLOOKUP(K3543,'2026.01'!A:Y,2,0),0)</f>
        <v>NO:254</v>
      </c>
      <c r="K3544" s="300"/>
    </row>
    <row r="3545" ht="15" customHeight="1" spans="1:11">
      <c r="A3545" s="303" t="s">
        <v>2</v>
      </c>
      <c r="B3545" s="304">
        <f>IFERROR(VLOOKUP(K3543,'2026.01'!A:Y,6,0),0)</f>
        <v>4033</v>
      </c>
      <c r="C3545" s="304"/>
      <c r="D3545" s="305" t="s">
        <v>3</v>
      </c>
      <c r="E3545" s="305" t="str">
        <f>IFERROR(VLOOKUP(K3543,'2026.01'!A:Y,7,0),0)</f>
        <v>王海亮</v>
      </c>
      <c r="F3545" s="305"/>
      <c r="G3545" s="306" t="s">
        <v>4</v>
      </c>
      <c r="K3545" s="300"/>
    </row>
    <row r="3546" ht="15" customHeight="1" spans="1:11">
      <c r="A3546" s="307" t="s">
        <v>5</v>
      </c>
      <c r="B3546" s="308" t="s">
        <v>6</v>
      </c>
      <c r="C3546" s="308" t="s">
        <v>7</v>
      </c>
      <c r="D3546" s="308" t="s">
        <v>8</v>
      </c>
      <c r="E3546" s="308" t="s">
        <v>9</v>
      </c>
      <c r="F3546" s="309" t="s">
        <v>10</v>
      </c>
      <c r="G3546" s="310" t="s">
        <v>11</v>
      </c>
      <c r="K3546" s="300"/>
    </row>
    <row r="3547" ht="15" customHeight="1" spans="1:11">
      <c r="A3547" s="307" t="s">
        <v>12</v>
      </c>
      <c r="B3547" s="308">
        <f>IFERROR(VLOOKUP(K3543,'2026.01'!A:Y,14,0),0)</f>
        <v>906</v>
      </c>
      <c r="C3547" s="308">
        <f>IFERROR(VLOOKUP(K3543,'2026.01'!A:Y,13,0),0)</f>
        <v>906</v>
      </c>
      <c r="D3547" s="308">
        <f>IFERROR(VLOOKUP(K3543,'2026.01'!A:Y,15,0),0)</f>
        <v>0</v>
      </c>
      <c r="E3547" s="311">
        <f>IFERROR(VLOOKUP(K3543,'2026.01'!A:Y,18,0),0)</f>
        <v>0.8</v>
      </c>
      <c r="F3547" s="309">
        <f>IFERROR(VLOOKUP(K3543,'2026.01'!A:Y,20,0),0)</f>
        <v>0</v>
      </c>
      <c r="G3547" s="310"/>
      <c r="K3547" s="300"/>
    </row>
    <row r="3548" ht="15" customHeight="1" spans="1:11">
      <c r="A3548" s="307" t="s">
        <v>13</v>
      </c>
      <c r="B3548" s="308"/>
      <c r="C3548" s="308"/>
      <c r="D3548" s="308"/>
      <c r="E3548" s="311"/>
      <c r="F3548" s="309">
        <f>IFERROR(VLOOKUP(K3543,'2026.01'!A:Y,24,0),0)</f>
        <v>51</v>
      </c>
      <c r="G3548" s="310"/>
      <c r="K3548" s="300"/>
    </row>
    <row r="3549" ht="15" customHeight="1" spans="1:11">
      <c r="A3549" s="307" t="s">
        <v>14</v>
      </c>
      <c r="B3549" s="308"/>
      <c r="C3549" s="308"/>
      <c r="D3549" s="308"/>
      <c r="E3549" s="311"/>
      <c r="F3549" s="309">
        <f>IFERROR(VLOOKUP(K3543,'2026.01'!A:Y,12,0),0)</f>
        <v>160</v>
      </c>
      <c r="G3549" s="310"/>
      <c r="K3549" s="300"/>
    </row>
    <row r="3550" ht="21" customHeight="1" spans="1:11">
      <c r="A3550" s="307" t="s">
        <v>15</v>
      </c>
      <c r="B3550" s="308"/>
      <c r="C3550" s="308"/>
      <c r="D3550" s="308"/>
      <c r="E3550" s="311"/>
      <c r="F3550" s="309">
        <f>IFERROR(VLOOKUP(K3543,'2026.01'!A:Y,9,0),0)</f>
        <v>5000</v>
      </c>
      <c r="G3550" s="310"/>
      <c r="K3550" s="300"/>
    </row>
    <row r="3551" ht="19" customHeight="1" spans="1:11">
      <c r="A3551" s="307" t="s">
        <v>16</v>
      </c>
      <c r="B3551" s="308"/>
      <c r="C3551" s="308"/>
      <c r="D3551" s="308"/>
      <c r="E3551" s="308"/>
      <c r="F3551" s="309">
        <f>IFERROR(VLOOKUP(K3543,'2026.01'!A:Y,10,0),0)</f>
        <v>500</v>
      </c>
      <c r="G3551" s="310"/>
      <c r="K3551" s="300"/>
    </row>
    <row r="3552" ht="21" customHeight="1" spans="1:11">
      <c r="A3552" s="307" t="s">
        <v>17</v>
      </c>
      <c r="B3552" s="308"/>
      <c r="C3552" s="308"/>
      <c r="D3552" s="308"/>
      <c r="E3552" s="308"/>
      <c r="F3552" s="309">
        <f>IFERROR(VLOOKUP(K3543,'2026.01'!A:Y,19,0),0)</f>
        <v>0</v>
      </c>
      <c r="G3552" s="310"/>
      <c r="K3552" s="300"/>
    </row>
    <row r="3553" ht="17.15" customHeight="1" spans="1:11">
      <c r="A3553" s="307" t="s">
        <v>18</v>
      </c>
      <c r="B3553" s="308"/>
      <c r="C3553" s="308"/>
      <c r="D3553" s="308"/>
      <c r="E3553" s="308"/>
      <c r="F3553" s="309">
        <f>IFERROR(VLOOKUP(K3543,'2026.01'!A:Y,22,0),0)</f>
        <v>146</v>
      </c>
      <c r="G3553" s="310"/>
      <c r="K3553" s="300"/>
    </row>
    <row r="3554" ht="17.15" customHeight="1" spans="1:11">
      <c r="A3554" s="307" t="s">
        <v>19</v>
      </c>
      <c r="B3554" s="312"/>
      <c r="C3554" s="308"/>
      <c r="D3554" s="313"/>
      <c r="E3554" s="308"/>
      <c r="F3554" s="309">
        <f>IFERROR(VLOOKUP(K3543,'2026.01'!A:Y,25,0),0)</f>
        <v>5857</v>
      </c>
      <c r="G3554" s="310"/>
      <c r="K3554" s="300"/>
    </row>
    <row r="3555" ht="15" customHeight="1" spans="1:11">
      <c r="A3555" s="314" t="s">
        <v>20</v>
      </c>
      <c r="B3555" s="315">
        <f>IF(F3554&lt;0,"金额为负，无效",INT(F3554))</f>
        <v>5857</v>
      </c>
      <c r="C3555" s="315"/>
      <c r="D3555" s="315"/>
      <c r="E3555" s="316" t="s">
        <v>21</v>
      </c>
      <c r="F3555" s="317"/>
      <c r="G3555" s="318"/>
      <c r="K3555" s="300"/>
    </row>
    <row r="3556" ht="23" customHeight="1" spans="1:11">
      <c r="A3556" s="319"/>
      <c r="B3556" s="320"/>
      <c r="C3556" s="320"/>
      <c r="D3556" s="320"/>
      <c r="E3556" s="319"/>
      <c r="F3556" s="321"/>
      <c r="G3556" s="322"/>
      <c r="K3556" s="300"/>
    </row>
    <row r="3557" ht="27" customHeight="1" spans="1:11">
      <c r="A3557" s="298" t="s">
        <v>0</v>
      </c>
      <c r="B3557" s="298"/>
      <c r="C3557" s="298"/>
      <c r="D3557" s="298"/>
      <c r="E3557" s="298"/>
      <c r="F3557" s="298"/>
      <c r="G3557" s="298"/>
      <c r="H3557" s="299"/>
      <c r="I3557" s="299"/>
      <c r="J3557" s="299"/>
      <c r="K3557" s="300">
        <v>255</v>
      </c>
    </row>
    <row r="3558" ht="15" customHeight="1" spans="1:11">
      <c r="A3558" s="301" t="s">
        <v>1</v>
      </c>
      <c r="B3558" s="301"/>
      <c r="C3558" s="301"/>
      <c r="D3558" s="301"/>
      <c r="E3558" s="301"/>
      <c r="F3558" s="301"/>
      <c r="G3558" s="302" t="str">
        <f>IFERROR(VLOOKUP(K3557,'2026.01'!A:Y,2,0),0)</f>
        <v>NO:255</v>
      </c>
      <c r="K3558" s="300"/>
    </row>
    <row r="3559" ht="15" customHeight="1" spans="1:11">
      <c r="A3559" s="303" t="s">
        <v>2</v>
      </c>
      <c r="B3559" s="304">
        <f>IFERROR(VLOOKUP(K3557,'2026.01'!A:Y,6,0),0)</f>
        <v>4035</v>
      </c>
      <c r="C3559" s="304"/>
      <c r="D3559" s="305" t="s">
        <v>3</v>
      </c>
      <c r="E3559" s="305" t="str">
        <f>IFERROR(VLOOKUP(K3557,'2026.01'!A:Y,7,0),0)</f>
        <v>黄廉兴</v>
      </c>
      <c r="F3559" s="305"/>
      <c r="G3559" s="306" t="s">
        <v>4</v>
      </c>
      <c r="K3559" s="300"/>
    </row>
    <row r="3560" ht="15" customHeight="1" spans="1:11">
      <c r="A3560" s="307" t="s">
        <v>5</v>
      </c>
      <c r="B3560" s="308" t="s">
        <v>6</v>
      </c>
      <c r="C3560" s="308" t="s">
        <v>7</v>
      </c>
      <c r="D3560" s="308" t="s">
        <v>8</v>
      </c>
      <c r="E3560" s="308" t="s">
        <v>9</v>
      </c>
      <c r="F3560" s="309" t="s">
        <v>10</v>
      </c>
      <c r="G3560" s="310" t="s">
        <v>11</v>
      </c>
      <c r="K3560" s="300"/>
    </row>
    <row r="3561" ht="15" customHeight="1" spans="1:11">
      <c r="A3561" s="307" t="s">
        <v>12</v>
      </c>
      <c r="B3561" s="308">
        <f>IFERROR(VLOOKUP(K3557,'2026.01'!A:Y,14,0),0)</f>
        <v>6863</v>
      </c>
      <c r="C3561" s="308">
        <f>IFERROR(VLOOKUP(K3557,'2026.01'!A:Y,13,0),0)</f>
        <v>6813</v>
      </c>
      <c r="D3561" s="308">
        <f>IFERROR(VLOOKUP(K3557,'2026.01'!A:Y,15,0),0)</f>
        <v>50</v>
      </c>
      <c r="E3561" s="311">
        <f>IFERROR(VLOOKUP(K3557,'2026.01'!A:Y,18,0),0)</f>
        <v>0.8</v>
      </c>
      <c r="F3561" s="309">
        <f>IFERROR(VLOOKUP(K3557,'2026.01'!A:Y,20,0),0)</f>
        <v>40</v>
      </c>
      <c r="G3561" s="310"/>
      <c r="K3561" s="300"/>
    </row>
    <row r="3562" ht="15" customHeight="1" spans="1:11">
      <c r="A3562" s="307" t="s">
        <v>13</v>
      </c>
      <c r="B3562" s="308"/>
      <c r="C3562" s="308"/>
      <c r="D3562" s="308"/>
      <c r="E3562" s="311"/>
      <c r="F3562" s="309">
        <f>IFERROR(VLOOKUP(K3557,'2026.01'!A:Y,24,0),0)</f>
        <v>51</v>
      </c>
      <c r="G3562" s="310"/>
      <c r="K3562" s="300"/>
    </row>
    <row r="3563" ht="15" customHeight="1" spans="1:11">
      <c r="A3563" s="307" t="s">
        <v>14</v>
      </c>
      <c r="B3563" s="308"/>
      <c r="C3563" s="308"/>
      <c r="D3563" s="308"/>
      <c r="E3563" s="311"/>
      <c r="F3563" s="309">
        <f>IFERROR(VLOOKUP(K3557,'2026.01'!A:Y,12,0),0)</f>
        <v>160</v>
      </c>
      <c r="G3563" s="310"/>
      <c r="K3563" s="300"/>
    </row>
    <row r="3564" ht="21" customHeight="1" spans="1:11">
      <c r="A3564" s="307" t="s">
        <v>15</v>
      </c>
      <c r="B3564" s="308"/>
      <c r="C3564" s="308"/>
      <c r="D3564" s="308"/>
      <c r="E3564" s="311"/>
      <c r="F3564" s="309">
        <f>IFERROR(VLOOKUP(K3557,'2026.01'!A:Y,9,0),0)</f>
        <v>5000</v>
      </c>
      <c r="G3564" s="310"/>
      <c r="K3564" s="300"/>
    </row>
    <row r="3565" ht="19" customHeight="1" spans="1:11">
      <c r="A3565" s="307" t="s">
        <v>16</v>
      </c>
      <c r="B3565" s="308"/>
      <c r="C3565" s="308"/>
      <c r="D3565" s="308"/>
      <c r="E3565" s="308"/>
      <c r="F3565" s="309">
        <f>IFERROR(VLOOKUP(K3557,'2026.01'!A:Y,10,0),0)</f>
        <v>500</v>
      </c>
      <c r="G3565" s="310"/>
      <c r="K3565" s="300"/>
    </row>
    <row r="3566" ht="21" customHeight="1" spans="1:11">
      <c r="A3566" s="307" t="s">
        <v>17</v>
      </c>
      <c r="B3566" s="308"/>
      <c r="C3566" s="308"/>
      <c r="D3566" s="308"/>
      <c r="E3566" s="308"/>
      <c r="F3566" s="309">
        <f>IFERROR(VLOOKUP(K3557,'2026.01'!A:Y,19,0),0)</f>
        <v>35</v>
      </c>
      <c r="G3566" s="310"/>
      <c r="K3566" s="300"/>
    </row>
    <row r="3567" ht="17.15" customHeight="1" spans="1:11">
      <c r="A3567" s="307" t="s">
        <v>18</v>
      </c>
      <c r="B3567" s="308"/>
      <c r="C3567" s="308"/>
      <c r="D3567" s="308"/>
      <c r="E3567" s="308"/>
      <c r="F3567" s="309">
        <f>IFERROR(VLOOKUP(K3557,'2026.01'!A:Y,22,0),0)</f>
        <v>146</v>
      </c>
      <c r="G3567" s="310"/>
      <c r="K3567" s="300"/>
    </row>
    <row r="3568" ht="17.15" customHeight="1" spans="1:11">
      <c r="A3568" s="307" t="s">
        <v>19</v>
      </c>
      <c r="B3568" s="312"/>
      <c r="C3568" s="308"/>
      <c r="D3568" s="313"/>
      <c r="E3568" s="308"/>
      <c r="F3568" s="309">
        <f>IFERROR(VLOOKUP(K3557,'2026.01'!A:Y,25,0),0)</f>
        <v>5932</v>
      </c>
      <c r="G3568" s="310"/>
      <c r="K3568" s="300"/>
    </row>
    <row r="3569" ht="15" customHeight="1" spans="1:11">
      <c r="A3569" s="314" t="s">
        <v>20</v>
      </c>
      <c r="B3569" s="315">
        <f>IF(F3568&lt;0,"金额为负，无效",INT(F3568))</f>
        <v>5932</v>
      </c>
      <c r="C3569" s="315"/>
      <c r="D3569" s="315"/>
      <c r="E3569" s="316" t="s">
        <v>21</v>
      </c>
      <c r="F3569" s="317"/>
      <c r="G3569" s="318"/>
      <c r="K3569" s="300"/>
    </row>
    <row r="3570" ht="15" customHeight="1" spans="1:11">
      <c r="A3570" s="319"/>
      <c r="B3570" s="320"/>
      <c r="C3570" s="320"/>
      <c r="D3570" s="320"/>
      <c r="E3570" s="319"/>
      <c r="F3570" s="321"/>
      <c r="G3570" s="322"/>
      <c r="K3570" s="300"/>
    </row>
    <row r="3571" ht="27" customHeight="1" spans="1:11">
      <c r="A3571" s="298" t="s">
        <v>0</v>
      </c>
      <c r="B3571" s="298"/>
      <c r="C3571" s="298"/>
      <c r="D3571" s="298"/>
      <c r="E3571" s="298"/>
      <c r="F3571" s="298"/>
      <c r="G3571" s="298"/>
      <c r="H3571" s="299"/>
      <c r="I3571" s="299"/>
      <c r="J3571" s="299"/>
      <c r="K3571" s="300">
        <v>256</v>
      </c>
    </row>
    <row r="3572" ht="15" customHeight="1" spans="1:11">
      <c r="A3572" s="301" t="s">
        <v>1</v>
      </c>
      <c r="B3572" s="301"/>
      <c r="C3572" s="301"/>
      <c r="D3572" s="301"/>
      <c r="E3572" s="301"/>
      <c r="F3572" s="301"/>
      <c r="G3572" s="302" t="str">
        <f>IFERROR(VLOOKUP(K3571,'2026.01'!A:Y,2,0),0)</f>
        <v>NO:256</v>
      </c>
      <c r="K3572" s="300"/>
    </row>
    <row r="3573" ht="15" customHeight="1" spans="1:11">
      <c r="A3573" s="303" t="s">
        <v>2</v>
      </c>
      <c r="B3573" s="304" t="str">
        <f>IFERROR(VLOOKUP(K3571,'2026.01'!A:Y,6,0),0)</f>
        <v>4035A</v>
      </c>
      <c r="C3573" s="304"/>
      <c r="D3573" s="305" t="s">
        <v>3</v>
      </c>
      <c r="E3573" s="305" t="str">
        <f>IFERROR(VLOOKUP(K3571,'2026.01'!A:Y,7,0),0)</f>
        <v>张禹</v>
      </c>
      <c r="F3573" s="305"/>
      <c r="G3573" s="306" t="s">
        <v>4</v>
      </c>
      <c r="K3573" s="300"/>
    </row>
    <row r="3574" ht="15" customHeight="1" spans="1:11">
      <c r="A3574" s="307" t="s">
        <v>5</v>
      </c>
      <c r="B3574" s="308" t="s">
        <v>6</v>
      </c>
      <c r="C3574" s="308" t="s">
        <v>7</v>
      </c>
      <c r="D3574" s="308" t="s">
        <v>8</v>
      </c>
      <c r="E3574" s="308" t="s">
        <v>9</v>
      </c>
      <c r="F3574" s="309" t="s">
        <v>10</v>
      </c>
      <c r="G3574" s="310" t="s">
        <v>11</v>
      </c>
      <c r="K3574" s="300"/>
    </row>
    <row r="3575" ht="15" customHeight="1" spans="1:11">
      <c r="A3575" s="307" t="s">
        <v>12</v>
      </c>
      <c r="B3575" s="308">
        <f>IFERROR(VLOOKUP(K3571,'2026.01'!A:Y,14,0),0)</f>
        <v>8178</v>
      </c>
      <c r="C3575" s="308">
        <f>IFERROR(VLOOKUP(K3571,'2026.01'!A:Y,13,0),0)</f>
        <v>8157</v>
      </c>
      <c r="D3575" s="308">
        <f>IFERROR(VLOOKUP(K3571,'2026.01'!A:Y,15,0),0)</f>
        <v>21</v>
      </c>
      <c r="E3575" s="311">
        <f>IFERROR(VLOOKUP(K3571,'2026.01'!A:Y,18,0),0)</f>
        <v>0.8</v>
      </c>
      <c r="F3575" s="309">
        <f>IFERROR(VLOOKUP(K3571,'2026.01'!A:Y,20,0),0)</f>
        <v>17</v>
      </c>
      <c r="G3575" s="310"/>
      <c r="K3575" s="300"/>
    </row>
    <row r="3576" ht="15" customHeight="1" spans="1:11">
      <c r="A3576" s="307" t="s">
        <v>13</v>
      </c>
      <c r="B3576" s="308"/>
      <c r="C3576" s="308"/>
      <c r="D3576" s="308"/>
      <c r="E3576" s="311"/>
      <c r="F3576" s="309">
        <f>IFERROR(VLOOKUP(K3571,'2026.01'!A:Y,24,0),0)</f>
        <v>51</v>
      </c>
      <c r="G3576" s="310"/>
      <c r="K3576" s="300"/>
    </row>
    <row r="3577" ht="15" customHeight="1" spans="1:11">
      <c r="A3577" s="307" t="s">
        <v>14</v>
      </c>
      <c r="B3577" s="308"/>
      <c r="C3577" s="308"/>
      <c r="D3577" s="308"/>
      <c r="E3577" s="311"/>
      <c r="F3577" s="309">
        <f>IFERROR(VLOOKUP(K3571,'2026.01'!A:Y,12,0),0)</f>
        <v>160</v>
      </c>
      <c r="G3577" s="310"/>
      <c r="K3577" s="300"/>
    </row>
    <row r="3578" ht="21" customHeight="1" spans="1:11">
      <c r="A3578" s="307" t="s">
        <v>15</v>
      </c>
      <c r="B3578" s="308"/>
      <c r="C3578" s="308"/>
      <c r="D3578" s="308"/>
      <c r="E3578" s="311"/>
      <c r="F3578" s="309">
        <f>IFERROR(VLOOKUP(K3571,'2026.01'!A:Y,9,0),0)</f>
        <v>5000</v>
      </c>
      <c r="G3578" s="310"/>
      <c r="K3578" s="300"/>
    </row>
    <row r="3579" ht="19" customHeight="1" spans="1:11">
      <c r="A3579" s="307" t="s">
        <v>16</v>
      </c>
      <c r="B3579" s="308"/>
      <c r="C3579" s="308"/>
      <c r="D3579" s="308"/>
      <c r="E3579" s="308"/>
      <c r="F3579" s="309">
        <f>IFERROR(VLOOKUP(K3571,'2026.01'!A:Y,10,0),0)</f>
        <v>500</v>
      </c>
      <c r="G3579" s="310"/>
      <c r="K3579" s="300"/>
    </row>
    <row r="3580" ht="21" customHeight="1" spans="1:11">
      <c r="A3580" s="307" t="s">
        <v>17</v>
      </c>
      <c r="B3580" s="308"/>
      <c r="C3580" s="308"/>
      <c r="D3580" s="308"/>
      <c r="E3580" s="308"/>
      <c r="F3580" s="309">
        <f>IFERROR(VLOOKUP(K3571,'2026.01'!A:Y,19,0),0)</f>
        <v>15</v>
      </c>
      <c r="G3580" s="310"/>
      <c r="K3580" s="300"/>
    </row>
    <row r="3581" ht="17.15" customHeight="1" spans="1:11">
      <c r="A3581" s="307" t="s">
        <v>18</v>
      </c>
      <c r="B3581" s="308"/>
      <c r="C3581" s="308"/>
      <c r="D3581" s="308"/>
      <c r="E3581" s="308"/>
      <c r="F3581" s="309">
        <f>IFERROR(VLOOKUP(K3571,'2026.01'!A:Y,22,0),0)</f>
        <v>146</v>
      </c>
      <c r="G3581" s="310"/>
      <c r="K3581" s="300"/>
    </row>
    <row r="3582" ht="17.15" customHeight="1" spans="1:11">
      <c r="A3582" s="307" t="s">
        <v>19</v>
      </c>
      <c r="B3582" s="312"/>
      <c r="C3582" s="308"/>
      <c r="D3582" s="313"/>
      <c r="E3582" s="308"/>
      <c r="F3582" s="309">
        <f>IFERROR(VLOOKUP(K3571,'2026.01'!A:Y,25,0),0)</f>
        <v>5889</v>
      </c>
      <c r="G3582" s="310"/>
      <c r="K3582" s="300"/>
    </row>
    <row r="3583" ht="15" customHeight="1" spans="1:11">
      <c r="A3583" s="314" t="s">
        <v>20</v>
      </c>
      <c r="B3583" s="315">
        <f>IF(F3582&lt;0,"金额为负，无效",INT(F3582))</f>
        <v>5889</v>
      </c>
      <c r="C3583" s="315"/>
      <c r="D3583" s="315"/>
      <c r="E3583" s="316" t="s">
        <v>21</v>
      </c>
      <c r="F3583" s="317"/>
      <c r="G3583" s="318"/>
      <c r="K3583" s="300"/>
    </row>
    <row r="3584" ht="23" customHeight="1" spans="1:11">
      <c r="A3584" s="319"/>
      <c r="B3584" s="320"/>
      <c r="C3584" s="320"/>
      <c r="D3584" s="320"/>
      <c r="E3584" s="319"/>
      <c r="F3584" s="321"/>
      <c r="G3584" s="322"/>
      <c r="K3584" s="300"/>
    </row>
    <row r="3585" ht="27" customHeight="1" spans="1:11">
      <c r="A3585" s="298" t="s">
        <v>0</v>
      </c>
      <c r="B3585" s="298"/>
      <c r="C3585" s="298"/>
      <c r="D3585" s="298"/>
      <c r="E3585" s="298"/>
      <c r="F3585" s="298"/>
      <c r="G3585" s="298"/>
      <c r="H3585" s="299"/>
      <c r="I3585" s="299"/>
      <c r="J3585" s="299"/>
      <c r="K3585" s="300">
        <v>257</v>
      </c>
    </row>
    <row r="3586" ht="15" customHeight="1" spans="1:11">
      <c r="A3586" s="301" t="s">
        <v>1</v>
      </c>
      <c r="B3586" s="301"/>
      <c r="C3586" s="301"/>
      <c r="D3586" s="301"/>
      <c r="E3586" s="301"/>
      <c r="F3586" s="301"/>
      <c r="G3586" s="302" t="str">
        <f>IFERROR(VLOOKUP(K3585,'2026.01'!A:Y,2,0),0)</f>
        <v>NO:257</v>
      </c>
      <c r="K3586" s="300"/>
    </row>
    <row r="3587" ht="15" customHeight="1" spans="1:11">
      <c r="A3587" s="303" t="s">
        <v>2</v>
      </c>
      <c r="B3587" s="304">
        <f>IFERROR(VLOOKUP(K3585,'2026.01'!A:Y,6,0),0)</f>
        <v>4036</v>
      </c>
      <c r="C3587" s="304"/>
      <c r="D3587" s="305" t="s">
        <v>3</v>
      </c>
      <c r="E3587" s="305" t="str">
        <f>IFERROR(VLOOKUP(K3585,'2026.01'!A:Y,7,0),0)</f>
        <v>谢强</v>
      </c>
      <c r="F3587" s="305"/>
      <c r="G3587" s="306" t="s">
        <v>4</v>
      </c>
      <c r="K3587" s="300"/>
    </row>
    <row r="3588" ht="15" customHeight="1" spans="1:11">
      <c r="A3588" s="307" t="s">
        <v>5</v>
      </c>
      <c r="B3588" s="308" t="s">
        <v>6</v>
      </c>
      <c r="C3588" s="308" t="s">
        <v>7</v>
      </c>
      <c r="D3588" s="308" t="s">
        <v>8</v>
      </c>
      <c r="E3588" s="308" t="s">
        <v>9</v>
      </c>
      <c r="F3588" s="309" t="s">
        <v>10</v>
      </c>
      <c r="G3588" s="310" t="s">
        <v>11</v>
      </c>
      <c r="K3588" s="300"/>
    </row>
    <row r="3589" ht="15" customHeight="1" spans="1:11">
      <c r="A3589" s="307" t="s">
        <v>12</v>
      </c>
      <c r="B3589" s="308">
        <f>IFERROR(VLOOKUP(K3585,'2026.01'!A:Y,14,0),0)</f>
        <v>7878</v>
      </c>
      <c r="C3589" s="308">
        <f>IFERROR(VLOOKUP(K3585,'2026.01'!A:Y,13,0),0)</f>
        <v>7843</v>
      </c>
      <c r="D3589" s="308">
        <f>IFERROR(VLOOKUP(K3585,'2026.01'!A:Y,15,0),0)</f>
        <v>35</v>
      </c>
      <c r="E3589" s="311">
        <f>IFERROR(VLOOKUP(K3585,'2026.01'!A:Y,18,0),0)</f>
        <v>0.8</v>
      </c>
      <c r="F3589" s="309">
        <f>IFERROR(VLOOKUP(K3585,'2026.01'!A:Y,20,0),0)</f>
        <v>28</v>
      </c>
      <c r="G3589" s="310"/>
      <c r="K3589" s="300"/>
    </row>
    <row r="3590" ht="15" customHeight="1" spans="1:11">
      <c r="A3590" s="307" t="s">
        <v>13</v>
      </c>
      <c r="B3590" s="308"/>
      <c r="C3590" s="308"/>
      <c r="D3590" s="308"/>
      <c r="E3590" s="311"/>
      <c r="F3590" s="309">
        <f>IFERROR(VLOOKUP(K3585,'2026.01'!A:Y,24,0),0)</f>
        <v>51</v>
      </c>
      <c r="G3590" s="310"/>
      <c r="K3590" s="300"/>
    </row>
    <row r="3591" ht="15" customHeight="1" spans="1:11">
      <c r="A3591" s="307" t="s">
        <v>14</v>
      </c>
      <c r="B3591" s="308"/>
      <c r="C3591" s="308"/>
      <c r="D3591" s="308"/>
      <c r="E3591" s="311"/>
      <c r="F3591" s="309">
        <f>IFERROR(VLOOKUP(K3585,'2026.01'!A:Y,12,0),0)</f>
        <v>160</v>
      </c>
      <c r="G3591" s="310"/>
      <c r="K3591" s="300"/>
    </row>
    <row r="3592" ht="21" customHeight="1" spans="1:11">
      <c r="A3592" s="307" t="s">
        <v>15</v>
      </c>
      <c r="B3592" s="308"/>
      <c r="C3592" s="308"/>
      <c r="D3592" s="308"/>
      <c r="E3592" s="311"/>
      <c r="F3592" s="309">
        <f>IFERROR(VLOOKUP(K3585,'2026.01'!A:Y,9,0),0)</f>
        <v>5000</v>
      </c>
      <c r="G3592" s="310"/>
      <c r="K3592" s="300"/>
    </row>
    <row r="3593" ht="19" customHeight="1" spans="1:11">
      <c r="A3593" s="307" t="s">
        <v>16</v>
      </c>
      <c r="B3593" s="308"/>
      <c r="C3593" s="308"/>
      <c r="D3593" s="308"/>
      <c r="E3593" s="308"/>
      <c r="F3593" s="309">
        <f>IFERROR(VLOOKUP(K3585,'2026.01'!A:Y,10,0),0)</f>
        <v>500</v>
      </c>
      <c r="G3593" s="310"/>
      <c r="K3593" s="300"/>
    </row>
    <row r="3594" ht="21" customHeight="1" spans="1:11">
      <c r="A3594" s="307" t="s">
        <v>17</v>
      </c>
      <c r="B3594" s="308"/>
      <c r="C3594" s="308"/>
      <c r="D3594" s="308"/>
      <c r="E3594" s="308"/>
      <c r="F3594" s="309">
        <f>IFERROR(VLOOKUP(K3585,'2026.01'!A:Y,19,0),0)</f>
        <v>25</v>
      </c>
      <c r="G3594" s="310"/>
      <c r="K3594" s="300"/>
    </row>
    <row r="3595" ht="17.15" customHeight="1" spans="1:11">
      <c r="A3595" s="307" t="s">
        <v>18</v>
      </c>
      <c r="B3595" s="308"/>
      <c r="C3595" s="308"/>
      <c r="D3595" s="308"/>
      <c r="E3595" s="308"/>
      <c r="F3595" s="309">
        <f>IFERROR(VLOOKUP(K3585,'2026.01'!A:Y,22,0),0)</f>
        <v>146</v>
      </c>
      <c r="G3595" s="310"/>
      <c r="K3595" s="300"/>
    </row>
    <row r="3596" ht="17.15" customHeight="1" spans="1:11">
      <c r="A3596" s="307" t="s">
        <v>19</v>
      </c>
      <c r="B3596" s="312"/>
      <c r="C3596" s="308"/>
      <c r="D3596" s="313"/>
      <c r="E3596" s="308"/>
      <c r="F3596" s="309">
        <f>IFERROR(VLOOKUP(K3585,'2026.01'!A:Y,25,0),0)</f>
        <v>5910</v>
      </c>
      <c r="G3596" s="310"/>
      <c r="K3596" s="300"/>
    </row>
    <row r="3597" ht="15" customHeight="1" spans="1:11">
      <c r="A3597" s="314" t="s">
        <v>20</v>
      </c>
      <c r="B3597" s="315">
        <f>IF(F3596&lt;0,"金额为负，无效",INT(F3596))</f>
        <v>5910</v>
      </c>
      <c r="C3597" s="315"/>
      <c r="D3597" s="315"/>
      <c r="E3597" s="316" t="s">
        <v>21</v>
      </c>
      <c r="F3597" s="317"/>
      <c r="G3597" s="318"/>
      <c r="K3597" s="300"/>
    </row>
    <row r="3598" ht="23" customHeight="1" spans="1:11">
      <c r="A3598" s="319"/>
      <c r="B3598" s="320"/>
      <c r="C3598" s="320"/>
      <c r="D3598" s="320"/>
      <c r="E3598" s="319"/>
      <c r="F3598" s="321"/>
      <c r="G3598" s="322"/>
      <c r="K3598" s="300"/>
    </row>
    <row r="3599" ht="27" customHeight="1" spans="1:11">
      <c r="A3599" s="298" t="s">
        <v>0</v>
      </c>
      <c r="B3599" s="298"/>
      <c r="C3599" s="298"/>
      <c r="D3599" s="298"/>
      <c r="E3599" s="298"/>
      <c r="F3599" s="298"/>
      <c r="G3599" s="298"/>
      <c r="H3599" s="299"/>
      <c r="I3599" s="299"/>
      <c r="J3599" s="299"/>
      <c r="K3599" s="300">
        <v>258</v>
      </c>
    </row>
    <row r="3600" ht="15" customHeight="1" spans="1:11">
      <c r="A3600" s="301" t="s">
        <v>1</v>
      </c>
      <c r="B3600" s="301"/>
      <c r="C3600" s="301"/>
      <c r="D3600" s="301"/>
      <c r="E3600" s="301"/>
      <c r="F3600" s="301"/>
      <c r="G3600" s="302" t="str">
        <f>IFERROR(VLOOKUP(K3599,'2026.01'!A:Y,2,0),0)</f>
        <v>NO:258</v>
      </c>
      <c r="K3600" s="300"/>
    </row>
    <row r="3601" ht="15" customHeight="1" spans="1:11">
      <c r="A3601" s="303" t="s">
        <v>2</v>
      </c>
      <c r="B3601" s="304">
        <f>IFERROR(VLOOKUP(K3599,'2026.01'!A:Y,6,0),0)</f>
        <v>4037</v>
      </c>
      <c r="C3601" s="304"/>
      <c r="D3601" s="305" t="s">
        <v>3</v>
      </c>
      <c r="E3601" s="305" t="str">
        <f>IFERROR(VLOOKUP(K3599,'2026.01'!A:Y,7,0),0)</f>
        <v>李佳航</v>
      </c>
      <c r="F3601" s="305"/>
      <c r="G3601" s="306" t="s">
        <v>4</v>
      </c>
      <c r="K3601" s="300"/>
    </row>
    <row r="3602" ht="15" customHeight="1" spans="1:11">
      <c r="A3602" s="307" t="s">
        <v>5</v>
      </c>
      <c r="B3602" s="308" t="s">
        <v>6</v>
      </c>
      <c r="C3602" s="308" t="s">
        <v>7</v>
      </c>
      <c r="D3602" s="308" t="s">
        <v>8</v>
      </c>
      <c r="E3602" s="308" t="s">
        <v>9</v>
      </c>
      <c r="F3602" s="309" t="s">
        <v>10</v>
      </c>
      <c r="G3602" s="310" t="s">
        <v>11</v>
      </c>
      <c r="K3602" s="300"/>
    </row>
    <row r="3603" ht="15" customHeight="1" spans="1:11">
      <c r="A3603" s="307" t="s">
        <v>12</v>
      </c>
      <c r="B3603" s="308">
        <f>IFERROR(VLOOKUP(K3599,'2026.01'!A:Y,14,0),0)</f>
        <v>3545</v>
      </c>
      <c r="C3603" s="308">
        <f>IFERROR(VLOOKUP(K3599,'2026.01'!A:Y,13,0),0)</f>
        <v>3417</v>
      </c>
      <c r="D3603" s="308">
        <f>IFERROR(VLOOKUP(K3599,'2026.01'!A:Y,15,0),0)</f>
        <v>128</v>
      </c>
      <c r="E3603" s="311">
        <f>IFERROR(VLOOKUP(K3599,'2026.01'!A:Y,18,0),0)</f>
        <v>0.8</v>
      </c>
      <c r="F3603" s="309">
        <f>IFERROR(VLOOKUP(K3599,'2026.01'!A:Y,20,0),0)</f>
        <v>102</v>
      </c>
      <c r="G3603" s="310"/>
      <c r="K3603" s="300"/>
    </row>
    <row r="3604" ht="15" customHeight="1" spans="1:11">
      <c r="A3604" s="307" t="s">
        <v>13</v>
      </c>
      <c r="B3604" s="308"/>
      <c r="C3604" s="308"/>
      <c r="D3604" s="308"/>
      <c r="E3604" s="311"/>
      <c r="F3604" s="309">
        <f>IFERROR(VLOOKUP(K3599,'2026.01'!A:Y,24,0),0)</f>
        <v>51</v>
      </c>
      <c r="G3604" s="310"/>
      <c r="K3604" s="300"/>
    </row>
    <row r="3605" ht="15" customHeight="1" spans="1:11">
      <c r="A3605" s="307" t="s">
        <v>14</v>
      </c>
      <c r="B3605" s="308"/>
      <c r="C3605" s="308"/>
      <c r="D3605" s="308"/>
      <c r="E3605" s="311"/>
      <c r="F3605" s="309">
        <f>IFERROR(VLOOKUP(K3599,'2026.01'!A:Y,12,0),0)</f>
        <v>160</v>
      </c>
      <c r="G3605" s="310"/>
      <c r="K3605" s="300"/>
    </row>
    <row r="3606" ht="21" customHeight="1" spans="1:11">
      <c r="A3606" s="307" t="s">
        <v>15</v>
      </c>
      <c r="B3606" s="308"/>
      <c r="C3606" s="308"/>
      <c r="D3606" s="308"/>
      <c r="E3606" s="311"/>
      <c r="F3606" s="309">
        <f>IFERROR(VLOOKUP(K3599,'2026.01'!A:Y,9,0),0)</f>
        <v>5000</v>
      </c>
      <c r="G3606" s="310"/>
      <c r="K3606" s="300"/>
    </row>
    <row r="3607" ht="19" customHeight="1" spans="1:11">
      <c r="A3607" s="307" t="s">
        <v>16</v>
      </c>
      <c r="B3607" s="308"/>
      <c r="C3607" s="308"/>
      <c r="D3607" s="308"/>
      <c r="E3607" s="308"/>
      <c r="F3607" s="309">
        <f>IFERROR(VLOOKUP(K3599,'2026.01'!A:Y,10,0),0)</f>
        <v>500</v>
      </c>
      <c r="G3607" s="310"/>
      <c r="K3607" s="300"/>
    </row>
    <row r="3608" ht="21" customHeight="1" spans="1:11">
      <c r="A3608" s="307" t="s">
        <v>17</v>
      </c>
      <c r="B3608" s="308"/>
      <c r="C3608" s="308"/>
      <c r="D3608" s="308"/>
      <c r="E3608" s="308"/>
      <c r="F3608" s="309">
        <f>IFERROR(VLOOKUP(K3599,'2026.01'!A:Y,19,0),0)</f>
        <v>90</v>
      </c>
      <c r="G3608" s="310"/>
      <c r="K3608" s="300"/>
    </row>
    <row r="3609" ht="17.15" customHeight="1" spans="1:11">
      <c r="A3609" s="307" t="s">
        <v>18</v>
      </c>
      <c r="B3609" s="308"/>
      <c r="C3609" s="308"/>
      <c r="D3609" s="308"/>
      <c r="E3609" s="308"/>
      <c r="F3609" s="309">
        <f>IFERROR(VLOOKUP(K3599,'2026.01'!A:Y,22,0),0)</f>
        <v>146</v>
      </c>
      <c r="G3609" s="310"/>
      <c r="K3609" s="300"/>
    </row>
    <row r="3610" ht="17.15" customHeight="1" spans="1:11">
      <c r="A3610" s="307" t="s">
        <v>19</v>
      </c>
      <c r="B3610" s="312"/>
      <c r="C3610" s="308"/>
      <c r="D3610" s="313"/>
      <c r="E3610" s="308"/>
      <c r="F3610" s="309">
        <f>IFERROR(VLOOKUP(K3599,'2026.01'!A:Y,25,0),0)</f>
        <v>6049</v>
      </c>
      <c r="G3610" s="310"/>
      <c r="K3610" s="300"/>
    </row>
    <row r="3611" ht="15" customHeight="1" spans="1:11">
      <c r="A3611" s="314" t="s">
        <v>20</v>
      </c>
      <c r="B3611" s="315">
        <f>IF(F3610&lt;0,"金额为负，无效",INT(F3610))</f>
        <v>6049</v>
      </c>
      <c r="C3611" s="315"/>
      <c r="D3611" s="315"/>
      <c r="E3611" s="316" t="s">
        <v>21</v>
      </c>
      <c r="F3611" s="317"/>
      <c r="G3611" s="318"/>
      <c r="K3611" s="300"/>
    </row>
    <row r="3612" ht="15" customHeight="1" spans="1:11">
      <c r="A3612" s="319"/>
      <c r="B3612" s="320"/>
      <c r="C3612" s="320"/>
      <c r="D3612" s="320"/>
      <c r="E3612" s="319"/>
      <c r="F3612" s="321"/>
      <c r="G3612" s="322"/>
      <c r="K3612" s="300"/>
    </row>
    <row r="3613" ht="27" customHeight="1" spans="1:11">
      <c r="A3613" s="298" t="s">
        <v>0</v>
      </c>
      <c r="B3613" s="298"/>
      <c r="C3613" s="298"/>
      <c r="D3613" s="298"/>
      <c r="E3613" s="298"/>
      <c r="F3613" s="298"/>
      <c r="G3613" s="298"/>
      <c r="H3613" s="299"/>
      <c r="I3613" s="299"/>
      <c r="J3613" s="299"/>
      <c r="K3613" s="300">
        <v>259</v>
      </c>
    </row>
    <row r="3614" ht="15" customHeight="1" spans="1:11">
      <c r="A3614" s="301" t="s">
        <v>1</v>
      </c>
      <c r="B3614" s="301"/>
      <c r="C3614" s="301"/>
      <c r="D3614" s="301"/>
      <c r="E3614" s="301"/>
      <c r="F3614" s="301"/>
      <c r="G3614" s="302" t="str">
        <f>IFERROR(VLOOKUP(K3613,'2026.01'!A:Y,2,0),0)</f>
        <v>NO:259</v>
      </c>
      <c r="K3614" s="300"/>
    </row>
    <row r="3615" ht="15" customHeight="1" spans="1:11">
      <c r="A3615" s="303" t="s">
        <v>2</v>
      </c>
      <c r="B3615" s="304">
        <f>IFERROR(VLOOKUP(K3613,'2026.01'!A:Y,6,0),0)</f>
        <v>4038</v>
      </c>
      <c r="C3615" s="304"/>
      <c r="D3615" s="305" t="s">
        <v>3</v>
      </c>
      <c r="E3615" s="305" t="str">
        <f>IFERROR(VLOOKUP(K3613,'2026.01'!A:Y,7,0),0)</f>
        <v>陈超</v>
      </c>
      <c r="F3615" s="305"/>
      <c r="G3615" s="306" t="s">
        <v>4</v>
      </c>
      <c r="K3615" s="300"/>
    </row>
    <row r="3616" ht="15" customHeight="1" spans="1:11">
      <c r="A3616" s="307" t="s">
        <v>5</v>
      </c>
      <c r="B3616" s="308" t="s">
        <v>6</v>
      </c>
      <c r="C3616" s="308" t="s">
        <v>7</v>
      </c>
      <c r="D3616" s="308" t="s">
        <v>8</v>
      </c>
      <c r="E3616" s="308" t="s">
        <v>9</v>
      </c>
      <c r="F3616" s="309" t="s">
        <v>10</v>
      </c>
      <c r="G3616" s="310" t="s">
        <v>11</v>
      </c>
      <c r="K3616" s="300"/>
    </row>
    <row r="3617" ht="15" customHeight="1" spans="1:11">
      <c r="A3617" s="307" t="s">
        <v>12</v>
      </c>
      <c r="B3617" s="308">
        <f>IFERROR(VLOOKUP(K3613,'2026.01'!A:Y,14,0),0)</f>
        <v>5486</v>
      </c>
      <c r="C3617" s="308">
        <f>IFERROR(VLOOKUP(K3613,'2026.01'!A:Y,13,0),0)</f>
        <v>5262</v>
      </c>
      <c r="D3617" s="308">
        <f>IFERROR(VLOOKUP(K3613,'2026.01'!A:Y,15,0),0)</f>
        <v>224</v>
      </c>
      <c r="E3617" s="311">
        <f>IFERROR(VLOOKUP(K3613,'2026.01'!A:Y,18,0),0)</f>
        <v>0.8</v>
      </c>
      <c r="F3617" s="309">
        <f>IFERROR(VLOOKUP(K3613,'2026.01'!A:Y,20,0),0)</f>
        <v>179</v>
      </c>
      <c r="G3617" s="310"/>
      <c r="K3617" s="300"/>
    </row>
    <row r="3618" ht="15" customHeight="1" spans="1:11">
      <c r="A3618" s="307" t="s">
        <v>13</v>
      </c>
      <c r="B3618" s="308"/>
      <c r="C3618" s="308"/>
      <c r="D3618" s="308"/>
      <c r="E3618" s="311"/>
      <c r="F3618" s="309">
        <f>IFERROR(VLOOKUP(K3613,'2026.01'!A:Y,24,0),0)</f>
        <v>51</v>
      </c>
      <c r="G3618" s="310"/>
      <c r="K3618" s="300"/>
    </row>
    <row r="3619" ht="15" customHeight="1" spans="1:11">
      <c r="A3619" s="307" t="s">
        <v>14</v>
      </c>
      <c r="B3619" s="308"/>
      <c r="C3619" s="308"/>
      <c r="D3619" s="308"/>
      <c r="E3619" s="311"/>
      <c r="F3619" s="309">
        <f>IFERROR(VLOOKUP(K3613,'2026.01'!A:Y,12,0),0)</f>
        <v>160</v>
      </c>
      <c r="G3619" s="310"/>
      <c r="K3619" s="300"/>
    </row>
    <row r="3620" ht="21" customHeight="1" spans="1:11">
      <c r="A3620" s="307" t="s">
        <v>15</v>
      </c>
      <c r="B3620" s="308"/>
      <c r="C3620" s="308"/>
      <c r="D3620" s="308"/>
      <c r="E3620" s="311"/>
      <c r="F3620" s="309">
        <f>IFERROR(VLOOKUP(K3613,'2026.01'!A:Y,9,0),0)</f>
        <v>5000</v>
      </c>
      <c r="G3620" s="310"/>
      <c r="K3620" s="300"/>
    </row>
    <row r="3621" ht="19" customHeight="1" spans="1:11">
      <c r="A3621" s="307" t="s">
        <v>16</v>
      </c>
      <c r="B3621" s="308"/>
      <c r="C3621" s="308"/>
      <c r="D3621" s="308"/>
      <c r="E3621" s="308"/>
      <c r="F3621" s="309">
        <f>IFERROR(VLOOKUP(K3613,'2026.01'!A:Y,10,0),0)</f>
        <v>500</v>
      </c>
      <c r="G3621" s="310"/>
      <c r="K3621" s="300"/>
    </row>
    <row r="3622" ht="21" customHeight="1" spans="1:11">
      <c r="A3622" s="307" t="s">
        <v>17</v>
      </c>
      <c r="B3622" s="308"/>
      <c r="C3622" s="308"/>
      <c r="D3622" s="308"/>
      <c r="E3622" s="308"/>
      <c r="F3622" s="309">
        <f>IFERROR(VLOOKUP(K3613,'2026.01'!A:Y,19,0),0)</f>
        <v>157</v>
      </c>
      <c r="G3622" s="310"/>
      <c r="K3622" s="300"/>
    </row>
    <row r="3623" ht="17.15" customHeight="1" spans="1:11">
      <c r="A3623" s="307" t="s">
        <v>18</v>
      </c>
      <c r="B3623" s="308"/>
      <c r="C3623" s="308"/>
      <c r="D3623" s="308"/>
      <c r="E3623" s="308"/>
      <c r="F3623" s="309">
        <f>IFERROR(VLOOKUP(K3613,'2026.01'!A:Y,22,0),0)</f>
        <v>146</v>
      </c>
      <c r="G3623" s="310"/>
      <c r="K3623" s="300"/>
    </row>
    <row r="3624" ht="17.15" customHeight="1" spans="1:11">
      <c r="A3624" s="307" t="s">
        <v>19</v>
      </c>
      <c r="B3624" s="312"/>
      <c r="C3624" s="308"/>
      <c r="D3624" s="313"/>
      <c r="E3624" s="308"/>
      <c r="F3624" s="309">
        <f>IFERROR(VLOOKUP(K3613,'2026.01'!A:Y,25,0),0)</f>
        <v>6193</v>
      </c>
      <c r="G3624" s="310"/>
      <c r="K3624" s="300"/>
    </row>
    <row r="3625" ht="15" customHeight="1" spans="1:11">
      <c r="A3625" s="314" t="s">
        <v>20</v>
      </c>
      <c r="B3625" s="315">
        <f>IF(F3624&lt;0,"金额为负，无效",INT(F3624))</f>
        <v>6193</v>
      </c>
      <c r="C3625" s="315"/>
      <c r="D3625" s="315"/>
      <c r="E3625" s="316" t="s">
        <v>21</v>
      </c>
      <c r="F3625" s="317"/>
      <c r="G3625" s="318"/>
      <c r="K3625" s="300"/>
    </row>
    <row r="3626" ht="23" customHeight="1" spans="1:11">
      <c r="A3626" s="319"/>
      <c r="B3626" s="320"/>
      <c r="C3626" s="320"/>
      <c r="D3626" s="320"/>
      <c r="E3626" s="319"/>
      <c r="F3626" s="321"/>
      <c r="G3626" s="322"/>
      <c r="K3626" s="300"/>
    </row>
    <row r="3627" ht="27" customHeight="1" spans="1:11">
      <c r="A3627" s="298" t="s">
        <v>0</v>
      </c>
      <c r="B3627" s="298"/>
      <c r="C3627" s="298"/>
      <c r="D3627" s="298"/>
      <c r="E3627" s="298"/>
      <c r="F3627" s="298"/>
      <c r="G3627" s="298"/>
      <c r="H3627" s="299"/>
      <c r="I3627" s="299"/>
      <c r="J3627" s="299"/>
      <c r="K3627" s="300">
        <v>260</v>
      </c>
    </row>
    <row r="3628" ht="15" customHeight="1" spans="1:11">
      <c r="A3628" s="301" t="s">
        <v>1</v>
      </c>
      <c r="B3628" s="301"/>
      <c r="C3628" s="301"/>
      <c r="D3628" s="301"/>
      <c r="E3628" s="301"/>
      <c r="F3628" s="301"/>
      <c r="G3628" s="302" t="str">
        <f>IFERROR(VLOOKUP(K3627,'2026.01'!A:Y,2,0),0)</f>
        <v>NO:260</v>
      </c>
      <c r="K3628" s="300"/>
    </row>
    <row r="3629" ht="15" customHeight="1" spans="1:11">
      <c r="A3629" s="303" t="s">
        <v>2</v>
      </c>
      <c r="B3629" s="304">
        <f>IFERROR(VLOOKUP(K3627,'2026.01'!A:Y,6,0),0)</f>
        <v>4039</v>
      </c>
      <c r="C3629" s="304"/>
      <c r="D3629" s="305" t="s">
        <v>3</v>
      </c>
      <c r="E3629" s="305" t="str">
        <f>IFERROR(VLOOKUP(K3627,'2026.01'!A:Y,7,0),0)</f>
        <v>林双来</v>
      </c>
      <c r="F3629" s="305"/>
      <c r="G3629" s="306" t="s">
        <v>4</v>
      </c>
      <c r="K3629" s="300"/>
    </row>
    <row r="3630" ht="15" customHeight="1" spans="1:11">
      <c r="A3630" s="307" t="s">
        <v>5</v>
      </c>
      <c r="B3630" s="308" t="s">
        <v>6</v>
      </c>
      <c r="C3630" s="308" t="s">
        <v>7</v>
      </c>
      <c r="D3630" s="308" t="s">
        <v>8</v>
      </c>
      <c r="E3630" s="308" t="s">
        <v>9</v>
      </c>
      <c r="F3630" s="309" t="s">
        <v>10</v>
      </c>
      <c r="G3630" s="310" t="s">
        <v>11</v>
      </c>
      <c r="K3630" s="300"/>
    </row>
    <row r="3631" ht="15" customHeight="1" spans="1:11">
      <c r="A3631" s="307" t="s">
        <v>12</v>
      </c>
      <c r="B3631" s="308">
        <f>IFERROR(VLOOKUP(K3627,'2026.01'!A:Y,14,0),0)</f>
        <v>9447</v>
      </c>
      <c r="C3631" s="308">
        <f>IFERROR(VLOOKUP(K3627,'2026.01'!A:Y,13,0),0)</f>
        <v>9420</v>
      </c>
      <c r="D3631" s="308">
        <f>IFERROR(VLOOKUP(K3627,'2026.01'!A:Y,15,0),0)</f>
        <v>27</v>
      </c>
      <c r="E3631" s="311">
        <f>IFERROR(VLOOKUP(K3627,'2026.01'!A:Y,18,0),0)</f>
        <v>0.8</v>
      </c>
      <c r="F3631" s="309">
        <f>IFERROR(VLOOKUP(K3627,'2026.01'!A:Y,20,0),0)</f>
        <v>22</v>
      </c>
      <c r="G3631" s="310"/>
      <c r="K3631" s="300"/>
    </row>
    <row r="3632" ht="15" customHeight="1" spans="1:11">
      <c r="A3632" s="307" t="s">
        <v>13</v>
      </c>
      <c r="B3632" s="308"/>
      <c r="C3632" s="308"/>
      <c r="D3632" s="308"/>
      <c r="E3632" s="311"/>
      <c r="F3632" s="309">
        <f>IFERROR(VLOOKUP(K3627,'2026.01'!A:Y,24,0),0)</f>
        <v>51</v>
      </c>
      <c r="G3632" s="310"/>
      <c r="K3632" s="300"/>
    </row>
    <row r="3633" ht="15" customHeight="1" spans="1:11">
      <c r="A3633" s="307" t="s">
        <v>14</v>
      </c>
      <c r="B3633" s="308"/>
      <c r="C3633" s="308"/>
      <c r="D3633" s="308"/>
      <c r="E3633" s="311"/>
      <c r="F3633" s="309">
        <f>IFERROR(VLOOKUP(K3627,'2026.01'!A:Y,12,0),0)</f>
        <v>160</v>
      </c>
      <c r="G3633" s="310"/>
      <c r="K3633" s="300"/>
    </row>
    <row r="3634" ht="21" customHeight="1" spans="1:11">
      <c r="A3634" s="307" t="s">
        <v>15</v>
      </c>
      <c r="B3634" s="308"/>
      <c r="C3634" s="308"/>
      <c r="D3634" s="308"/>
      <c r="E3634" s="311"/>
      <c r="F3634" s="309">
        <f>IFERROR(VLOOKUP(K3627,'2026.01'!A:Y,9,0),0)</f>
        <v>5000</v>
      </c>
      <c r="G3634" s="310"/>
      <c r="K3634" s="300"/>
    </row>
    <row r="3635" ht="19" customHeight="1" spans="1:11">
      <c r="A3635" s="307" t="s">
        <v>16</v>
      </c>
      <c r="B3635" s="308"/>
      <c r="C3635" s="308"/>
      <c r="D3635" s="308"/>
      <c r="E3635" s="308"/>
      <c r="F3635" s="309">
        <f>IFERROR(VLOOKUP(K3627,'2026.01'!A:Y,10,0),0)</f>
        <v>500</v>
      </c>
      <c r="G3635" s="310"/>
      <c r="K3635" s="300"/>
    </row>
    <row r="3636" ht="21" customHeight="1" spans="1:11">
      <c r="A3636" s="307" t="s">
        <v>17</v>
      </c>
      <c r="B3636" s="308"/>
      <c r="C3636" s="308"/>
      <c r="D3636" s="308"/>
      <c r="E3636" s="308"/>
      <c r="F3636" s="309">
        <f>IFERROR(VLOOKUP(K3627,'2026.01'!A:Y,19,0),0)</f>
        <v>19</v>
      </c>
      <c r="G3636" s="310"/>
      <c r="K3636" s="300"/>
    </row>
    <row r="3637" ht="17.15" customHeight="1" spans="1:11">
      <c r="A3637" s="307" t="s">
        <v>18</v>
      </c>
      <c r="B3637" s="308"/>
      <c r="C3637" s="308"/>
      <c r="D3637" s="308"/>
      <c r="E3637" s="308"/>
      <c r="F3637" s="309">
        <f>IFERROR(VLOOKUP(K3627,'2026.01'!A:Y,22,0),0)</f>
        <v>146</v>
      </c>
      <c r="G3637" s="310"/>
      <c r="K3637" s="300"/>
    </row>
    <row r="3638" ht="17.15" customHeight="1" spans="1:11">
      <c r="A3638" s="307" t="s">
        <v>19</v>
      </c>
      <c r="B3638" s="312"/>
      <c r="C3638" s="308"/>
      <c r="D3638" s="313"/>
      <c r="E3638" s="308"/>
      <c r="F3638" s="309">
        <f>IFERROR(VLOOKUP(K3627,'2026.01'!A:Y,25,0),0)</f>
        <v>5898</v>
      </c>
      <c r="G3638" s="310"/>
      <c r="K3638" s="300"/>
    </row>
    <row r="3639" ht="15" customHeight="1" spans="1:11">
      <c r="A3639" s="314" t="s">
        <v>20</v>
      </c>
      <c r="B3639" s="315">
        <f>IF(F3638&lt;0,"金额为负，无效",INT(F3638))</f>
        <v>5898</v>
      </c>
      <c r="C3639" s="315"/>
      <c r="D3639" s="315"/>
      <c r="E3639" s="316" t="s">
        <v>21</v>
      </c>
      <c r="F3639" s="317"/>
      <c r="G3639" s="318"/>
      <c r="K3639" s="300"/>
    </row>
    <row r="3640" ht="23" customHeight="1" spans="1:11">
      <c r="A3640" s="319"/>
      <c r="B3640" s="320"/>
      <c r="C3640" s="320"/>
      <c r="D3640" s="320"/>
      <c r="E3640" s="319"/>
      <c r="F3640" s="321"/>
      <c r="G3640" s="322"/>
      <c r="K3640" s="300"/>
    </row>
    <row r="3641" ht="27" customHeight="1" spans="1:11">
      <c r="A3641" s="298" t="s">
        <v>0</v>
      </c>
      <c r="B3641" s="298"/>
      <c r="C3641" s="298"/>
      <c r="D3641" s="298"/>
      <c r="E3641" s="298"/>
      <c r="F3641" s="298"/>
      <c r="G3641" s="298"/>
      <c r="H3641" s="299"/>
      <c r="I3641" s="299"/>
      <c r="J3641" s="299"/>
      <c r="K3641" s="300">
        <v>261</v>
      </c>
    </row>
    <row r="3642" ht="15" customHeight="1" spans="1:11">
      <c r="A3642" s="301" t="s">
        <v>1</v>
      </c>
      <c r="B3642" s="301"/>
      <c r="C3642" s="301"/>
      <c r="D3642" s="301"/>
      <c r="E3642" s="301"/>
      <c r="F3642" s="301"/>
      <c r="G3642" s="302" t="str">
        <f>IFERROR(VLOOKUP(K3641,'2026.01'!A:Y,2,0),0)</f>
        <v>NO:261</v>
      </c>
      <c r="K3642" s="300"/>
    </row>
    <row r="3643" ht="15" customHeight="1" spans="1:11">
      <c r="A3643" s="303" t="s">
        <v>2</v>
      </c>
      <c r="B3643" s="304">
        <f>IFERROR(VLOOKUP(K3641,'2026.01'!A:Y,6,0),0)</f>
        <v>4040</v>
      </c>
      <c r="C3643" s="304"/>
      <c r="D3643" s="305" t="s">
        <v>3</v>
      </c>
      <c r="E3643" s="305" t="str">
        <f>IFERROR(VLOOKUP(K3641,'2026.01'!A:Y,7,0),0)</f>
        <v>陈振威</v>
      </c>
      <c r="F3643" s="305"/>
      <c r="G3643" s="306" t="s">
        <v>4</v>
      </c>
      <c r="K3643" s="300"/>
    </row>
    <row r="3644" ht="15" customHeight="1" spans="1:11">
      <c r="A3644" s="307" t="s">
        <v>5</v>
      </c>
      <c r="B3644" s="308" t="s">
        <v>6</v>
      </c>
      <c r="C3644" s="308" t="s">
        <v>7</v>
      </c>
      <c r="D3644" s="308" t="s">
        <v>8</v>
      </c>
      <c r="E3644" s="308" t="s">
        <v>9</v>
      </c>
      <c r="F3644" s="309" t="s">
        <v>10</v>
      </c>
      <c r="G3644" s="310" t="s">
        <v>11</v>
      </c>
      <c r="K3644" s="300"/>
    </row>
    <row r="3645" ht="15" customHeight="1" spans="1:11">
      <c r="A3645" s="307" t="s">
        <v>12</v>
      </c>
      <c r="B3645" s="308">
        <f>IFERROR(VLOOKUP(K3641,'2026.01'!A:Y,14,0),0)</f>
        <v>1294</v>
      </c>
      <c r="C3645" s="308">
        <f>IFERROR(VLOOKUP(K3641,'2026.01'!A:Y,13,0),0)</f>
        <v>1272</v>
      </c>
      <c r="D3645" s="308">
        <f>IFERROR(VLOOKUP(K3641,'2026.01'!A:Y,15,0),0)</f>
        <v>22</v>
      </c>
      <c r="E3645" s="311">
        <f>IFERROR(VLOOKUP(K3641,'2026.01'!A:Y,18,0),0)</f>
        <v>0.8</v>
      </c>
      <c r="F3645" s="309">
        <f>IFERROR(VLOOKUP(K3641,'2026.01'!A:Y,20,0),0)</f>
        <v>18</v>
      </c>
      <c r="G3645" s="310"/>
      <c r="K3645" s="300"/>
    </row>
    <row r="3646" ht="15" customHeight="1" spans="1:11">
      <c r="A3646" s="307" t="s">
        <v>13</v>
      </c>
      <c r="B3646" s="308"/>
      <c r="C3646" s="308"/>
      <c r="D3646" s="308"/>
      <c r="E3646" s="311"/>
      <c r="F3646" s="309">
        <f>IFERROR(VLOOKUP(K3641,'2026.01'!A:Y,24,0),0)</f>
        <v>51</v>
      </c>
      <c r="G3646" s="310"/>
      <c r="K3646" s="300"/>
    </row>
    <row r="3647" ht="15" customHeight="1" spans="1:11">
      <c r="A3647" s="307" t="s">
        <v>14</v>
      </c>
      <c r="B3647" s="308"/>
      <c r="C3647" s="308"/>
      <c r="D3647" s="308"/>
      <c r="E3647" s="311"/>
      <c r="F3647" s="309">
        <f>IFERROR(VLOOKUP(K3641,'2026.01'!A:Y,12,0),0)</f>
        <v>160</v>
      </c>
      <c r="G3647" s="310"/>
      <c r="K3647" s="300"/>
    </row>
    <row r="3648" ht="21" customHeight="1" spans="1:11">
      <c r="A3648" s="307" t="s">
        <v>15</v>
      </c>
      <c r="B3648" s="308"/>
      <c r="C3648" s="308"/>
      <c r="D3648" s="308"/>
      <c r="E3648" s="311"/>
      <c r="F3648" s="309">
        <f>IFERROR(VLOOKUP(K3641,'2026.01'!A:Y,9,0),0)</f>
        <v>5000</v>
      </c>
      <c r="G3648" s="310"/>
      <c r="K3648" s="300"/>
    </row>
    <row r="3649" ht="19" customHeight="1" spans="1:11">
      <c r="A3649" s="307" t="s">
        <v>16</v>
      </c>
      <c r="B3649" s="308"/>
      <c r="C3649" s="308"/>
      <c r="D3649" s="308"/>
      <c r="E3649" s="308"/>
      <c r="F3649" s="309">
        <f>IFERROR(VLOOKUP(K3641,'2026.01'!A:Y,10,0),0)</f>
        <v>500</v>
      </c>
      <c r="G3649" s="310"/>
      <c r="K3649" s="300"/>
    </row>
    <row r="3650" ht="21" customHeight="1" spans="1:11">
      <c r="A3650" s="307" t="s">
        <v>17</v>
      </c>
      <c r="B3650" s="308"/>
      <c r="C3650" s="308"/>
      <c r="D3650" s="308"/>
      <c r="E3650" s="308"/>
      <c r="F3650" s="309">
        <f>IFERROR(VLOOKUP(K3641,'2026.01'!A:Y,19,0),0)</f>
        <v>15</v>
      </c>
      <c r="G3650" s="310"/>
      <c r="K3650" s="300"/>
    </row>
    <row r="3651" ht="17.15" customHeight="1" spans="1:11">
      <c r="A3651" s="307" t="s">
        <v>18</v>
      </c>
      <c r="B3651" s="308"/>
      <c r="C3651" s="308"/>
      <c r="D3651" s="308"/>
      <c r="E3651" s="308"/>
      <c r="F3651" s="309">
        <f>IFERROR(VLOOKUP(K3641,'2026.01'!A:Y,22,0),0)</f>
        <v>141</v>
      </c>
      <c r="G3651" s="310"/>
      <c r="K3651" s="300"/>
    </row>
    <row r="3652" ht="17.15" customHeight="1" spans="1:11">
      <c r="A3652" s="307" t="s">
        <v>19</v>
      </c>
      <c r="B3652" s="312"/>
      <c r="C3652" s="308"/>
      <c r="D3652" s="313"/>
      <c r="E3652" s="308"/>
      <c r="F3652" s="309">
        <f>IFERROR(VLOOKUP(K3641,'2026.01'!A:Y,25,0),0)</f>
        <v>5885</v>
      </c>
      <c r="G3652" s="310"/>
      <c r="K3652" s="300"/>
    </row>
    <row r="3653" ht="15" customHeight="1" spans="1:11">
      <c r="A3653" s="314" t="s">
        <v>20</v>
      </c>
      <c r="B3653" s="315">
        <f>IF(F3652&lt;0,"金额为负，无效",INT(F3652))</f>
        <v>5885</v>
      </c>
      <c r="C3653" s="315"/>
      <c r="D3653" s="315"/>
      <c r="E3653" s="316" t="s">
        <v>21</v>
      </c>
      <c r="F3653" s="317"/>
      <c r="G3653" s="318"/>
      <c r="K3653" s="300"/>
    </row>
    <row r="3654" ht="15" customHeight="1" spans="1:11">
      <c r="A3654" s="319"/>
      <c r="B3654" s="320"/>
      <c r="C3654" s="320"/>
      <c r="D3654" s="320"/>
      <c r="E3654" s="319"/>
      <c r="F3654" s="321"/>
      <c r="G3654" s="322"/>
      <c r="K3654" s="300"/>
    </row>
    <row r="3655" ht="27" customHeight="1" spans="1:11">
      <c r="A3655" s="298" t="s">
        <v>0</v>
      </c>
      <c r="B3655" s="298"/>
      <c r="C3655" s="298"/>
      <c r="D3655" s="298"/>
      <c r="E3655" s="298"/>
      <c r="F3655" s="298"/>
      <c r="G3655" s="298"/>
      <c r="H3655" s="299"/>
      <c r="I3655" s="299"/>
      <c r="J3655" s="299"/>
      <c r="K3655" s="300">
        <v>262</v>
      </c>
    </row>
    <row r="3656" ht="15" customHeight="1" spans="1:11">
      <c r="A3656" s="301" t="s">
        <v>1</v>
      </c>
      <c r="B3656" s="301"/>
      <c r="C3656" s="301"/>
      <c r="D3656" s="301"/>
      <c r="E3656" s="301"/>
      <c r="F3656" s="301"/>
      <c r="G3656" s="302" t="str">
        <f>IFERROR(VLOOKUP(K3655,'2026.01'!A:Y,2,0),0)</f>
        <v>NO:262</v>
      </c>
      <c r="K3656" s="300"/>
    </row>
    <row r="3657" ht="15" customHeight="1" spans="1:11">
      <c r="A3657" s="303" t="s">
        <v>2</v>
      </c>
      <c r="B3657" s="304">
        <f>IFERROR(VLOOKUP(K3655,'2026.01'!A:Y,6,0),0)</f>
        <v>4041</v>
      </c>
      <c r="C3657" s="304"/>
      <c r="D3657" s="305" t="s">
        <v>3</v>
      </c>
      <c r="E3657" s="305" t="str">
        <f>IFERROR(VLOOKUP(K3655,'2026.01'!A:Y,7,0),0)</f>
        <v>高英</v>
      </c>
      <c r="F3657" s="305"/>
      <c r="G3657" s="306" t="s">
        <v>4</v>
      </c>
      <c r="K3657" s="300"/>
    </row>
    <row r="3658" ht="15" customHeight="1" spans="1:11">
      <c r="A3658" s="307" t="s">
        <v>5</v>
      </c>
      <c r="B3658" s="308" t="s">
        <v>6</v>
      </c>
      <c r="C3658" s="308" t="s">
        <v>7</v>
      </c>
      <c r="D3658" s="308" t="s">
        <v>8</v>
      </c>
      <c r="E3658" s="308" t="s">
        <v>9</v>
      </c>
      <c r="F3658" s="309" t="s">
        <v>10</v>
      </c>
      <c r="G3658" s="310" t="s">
        <v>11</v>
      </c>
      <c r="K3658" s="300"/>
    </row>
    <row r="3659" ht="15" customHeight="1" spans="1:11">
      <c r="A3659" s="307" t="s">
        <v>12</v>
      </c>
      <c r="B3659" s="308">
        <f>IFERROR(VLOOKUP(K3655,'2026.01'!A:Y,14,0),0)</f>
        <v>4454</v>
      </c>
      <c r="C3659" s="308">
        <f>IFERROR(VLOOKUP(K3655,'2026.01'!A:Y,13,0),0)</f>
        <v>4450</v>
      </c>
      <c r="D3659" s="308">
        <f>IFERROR(VLOOKUP(K3655,'2026.01'!A:Y,15,0),0)</f>
        <v>4</v>
      </c>
      <c r="E3659" s="311">
        <f>IFERROR(VLOOKUP(K3655,'2026.01'!A:Y,18,0),0)</f>
        <v>0.8</v>
      </c>
      <c r="F3659" s="309">
        <f>IFERROR(VLOOKUP(K3655,'2026.01'!A:Y,20,0),0)</f>
        <v>3</v>
      </c>
      <c r="G3659" s="310"/>
      <c r="K3659" s="300"/>
    </row>
    <row r="3660" ht="15" customHeight="1" spans="1:11">
      <c r="A3660" s="307" t="s">
        <v>13</v>
      </c>
      <c r="B3660" s="308"/>
      <c r="C3660" s="308"/>
      <c r="D3660" s="308"/>
      <c r="E3660" s="311"/>
      <c r="F3660" s="309">
        <f>IFERROR(VLOOKUP(K3655,'2026.01'!A:Y,24,0),0)</f>
        <v>51</v>
      </c>
      <c r="G3660" s="310"/>
      <c r="K3660" s="300"/>
    </row>
    <row r="3661" ht="15" customHeight="1" spans="1:11">
      <c r="A3661" s="307" t="s">
        <v>14</v>
      </c>
      <c r="B3661" s="308"/>
      <c r="C3661" s="308"/>
      <c r="D3661" s="308"/>
      <c r="E3661" s="311"/>
      <c r="F3661" s="309">
        <f>IFERROR(VLOOKUP(K3655,'2026.01'!A:Y,12,0),0)</f>
        <v>160</v>
      </c>
      <c r="G3661" s="310"/>
      <c r="K3661" s="300"/>
    </row>
    <row r="3662" ht="21" customHeight="1" spans="1:11">
      <c r="A3662" s="307" t="s">
        <v>15</v>
      </c>
      <c r="B3662" s="308"/>
      <c r="C3662" s="308"/>
      <c r="D3662" s="308"/>
      <c r="E3662" s="311"/>
      <c r="F3662" s="309">
        <f>IFERROR(VLOOKUP(K3655,'2026.01'!A:Y,9,0),0)</f>
        <v>5000</v>
      </c>
      <c r="G3662" s="310"/>
      <c r="K3662" s="300"/>
    </row>
    <row r="3663" ht="19" customHeight="1" spans="1:11">
      <c r="A3663" s="307" t="s">
        <v>16</v>
      </c>
      <c r="B3663" s="308"/>
      <c r="C3663" s="308"/>
      <c r="D3663" s="308"/>
      <c r="E3663" s="308"/>
      <c r="F3663" s="309">
        <f>IFERROR(VLOOKUP(K3655,'2026.01'!A:Y,10,0),0)</f>
        <v>500</v>
      </c>
      <c r="G3663" s="310"/>
      <c r="K3663" s="300"/>
    </row>
    <row r="3664" ht="21" customHeight="1" spans="1:11">
      <c r="A3664" s="307" t="s">
        <v>17</v>
      </c>
      <c r="B3664" s="308"/>
      <c r="C3664" s="308"/>
      <c r="D3664" s="308"/>
      <c r="E3664" s="308"/>
      <c r="F3664" s="309">
        <f>IFERROR(VLOOKUP(K3655,'2026.01'!A:Y,19,0),0)</f>
        <v>3</v>
      </c>
      <c r="G3664" s="310"/>
      <c r="K3664" s="300"/>
    </row>
    <row r="3665" ht="17.15" customHeight="1" spans="1:11">
      <c r="A3665" s="307" t="s">
        <v>18</v>
      </c>
      <c r="B3665" s="308"/>
      <c r="C3665" s="308"/>
      <c r="D3665" s="308"/>
      <c r="E3665" s="308"/>
      <c r="F3665" s="309">
        <f>IFERROR(VLOOKUP(K3655,'2026.01'!A:Y,22,0),0)</f>
        <v>141</v>
      </c>
      <c r="G3665" s="310"/>
      <c r="K3665" s="300"/>
    </row>
    <row r="3666" ht="17.15" customHeight="1" spans="1:11">
      <c r="A3666" s="307" t="s">
        <v>19</v>
      </c>
      <c r="B3666" s="312"/>
      <c r="C3666" s="308"/>
      <c r="D3666" s="313"/>
      <c r="E3666" s="308"/>
      <c r="F3666" s="309">
        <f>IFERROR(VLOOKUP(K3655,'2026.01'!A:Y,25,0),0)</f>
        <v>5858</v>
      </c>
      <c r="G3666" s="310"/>
      <c r="K3666" s="300"/>
    </row>
    <row r="3667" ht="15" customHeight="1" spans="1:11">
      <c r="A3667" s="314" t="s">
        <v>20</v>
      </c>
      <c r="B3667" s="315">
        <f>IF(F3666&lt;0,"金额为负，无效",INT(F3666))</f>
        <v>5858</v>
      </c>
      <c r="C3667" s="315"/>
      <c r="D3667" s="315"/>
      <c r="E3667" s="316" t="s">
        <v>21</v>
      </c>
      <c r="F3667" s="317"/>
      <c r="G3667" s="318"/>
      <c r="K3667" s="300"/>
    </row>
    <row r="3668" ht="23" customHeight="1" spans="1:11">
      <c r="A3668" s="319"/>
      <c r="B3668" s="320"/>
      <c r="C3668" s="320"/>
      <c r="D3668" s="320"/>
      <c r="E3668" s="319"/>
      <c r="F3668" s="321"/>
      <c r="G3668" s="322"/>
      <c r="K3668" s="300"/>
    </row>
    <row r="3669" ht="27" customHeight="1" spans="1:11">
      <c r="A3669" s="298" t="s">
        <v>0</v>
      </c>
      <c r="B3669" s="298"/>
      <c r="C3669" s="298"/>
      <c r="D3669" s="298"/>
      <c r="E3669" s="298"/>
      <c r="F3669" s="298"/>
      <c r="G3669" s="298"/>
      <c r="H3669" s="299"/>
      <c r="I3669" s="299"/>
      <c r="J3669" s="299"/>
      <c r="K3669" s="300">
        <v>263</v>
      </c>
    </row>
    <row r="3670" ht="15" customHeight="1" spans="1:11">
      <c r="A3670" s="301" t="s">
        <v>1</v>
      </c>
      <c r="B3670" s="301"/>
      <c r="C3670" s="301"/>
      <c r="D3670" s="301"/>
      <c r="E3670" s="301"/>
      <c r="F3670" s="301"/>
      <c r="G3670" s="302" t="str">
        <f>IFERROR(VLOOKUP(K3669,'2026.01'!A:Y,2,0),0)</f>
        <v>NO:263</v>
      </c>
      <c r="K3670" s="300"/>
    </row>
    <row r="3671" ht="15" customHeight="1" spans="1:11">
      <c r="A3671" s="303" t="s">
        <v>2</v>
      </c>
      <c r="B3671" s="304">
        <f>IFERROR(VLOOKUP(K3669,'2026.01'!A:Y,6,0),0)</f>
        <v>4042</v>
      </c>
      <c r="C3671" s="304"/>
      <c r="D3671" s="305" t="s">
        <v>3</v>
      </c>
      <c r="E3671" s="305" t="str">
        <f>IFERROR(VLOOKUP(K3669,'2026.01'!A:Y,7,0),0)</f>
        <v>林美容</v>
      </c>
      <c r="F3671" s="305"/>
      <c r="G3671" s="306" t="s">
        <v>4</v>
      </c>
      <c r="K3671" s="300"/>
    </row>
    <row r="3672" ht="15" customHeight="1" spans="1:11">
      <c r="A3672" s="307" t="s">
        <v>5</v>
      </c>
      <c r="B3672" s="308" t="s">
        <v>6</v>
      </c>
      <c r="C3672" s="308" t="s">
        <v>7</v>
      </c>
      <c r="D3672" s="308" t="s">
        <v>8</v>
      </c>
      <c r="E3672" s="308" t="s">
        <v>9</v>
      </c>
      <c r="F3672" s="309" t="s">
        <v>10</v>
      </c>
      <c r="G3672" s="310" t="s">
        <v>11</v>
      </c>
      <c r="K3672" s="300"/>
    </row>
    <row r="3673" ht="15" customHeight="1" spans="1:11">
      <c r="A3673" s="307" t="s">
        <v>12</v>
      </c>
      <c r="B3673" s="308">
        <f>IFERROR(VLOOKUP(K3669,'2026.01'!A:Y,14,0),0)</f>
        <v>4324</v>
      </c>
      <c r="C3673" s="308">
        <f>IFERROR(VLOOKUP(K3669,'2026.01'!A:Y,13,0),0)</f>
        <v>4287</v>
      </c>
      <c r="D3673" s="308">
        <f>IFERROR(VLOOKUP(K3669,'2026.01'!A:Y,15,0),0)</f>
        <v>37</v>
      </c>
      <c r="E3673" s="311">
        <f>IFERROR(VLOOKUP(K3669,'2026.01'!A:Y,18,0),0)</f>
        <v>0.8</v>
      </c>
      <c r="F3673" s="309">
        <f>IFERROR(VLOOKUP(K3669,'2026.01'!A:Y,20,0),0)</f>
        <v>30</v>
      </c>
      <c r="G3673" s="310"/>
      <c r="K3673" s="300"/>
    </row>
    <row r="3674" ht="15" customHeight="1" spans="1:11">
      <c r="A3674" s="307" t="s">
        <v>13</v>
      </c>
      <c r="B3674" s="308"/>
      <c r="C3674" s="308"/>
      <c r="D3674" s="308"/>
      <c r="E3674" s="311"/>
      <c r="F3674" s="309">
        <f>IFERROR(VLOOKUP(K3669,'2026.01'!A:Y,24,0),0)</f>
        <v>51</v>
      </c>
      <c r="G3674" s="310"/>
      <c r="K3674" s="300"/>
    </row>
    <row r="3675" ht="15" customHeight="1" spans="1:11">
      <c r="A3675" s="307" t="s">
        <v>14</v>
      </c>
      <c r="B3675" s="308"/>
      <c r="C3675" s="308"/>
      <c r="D3675" s="308"/>
      <c r="E3675" s="311"/>
      <c r="F3675" s="309">
        <f>IFERROR(VLOOKUP(K3669,'2026.01'!A:Y,12,0),0)</f>
        <v>160</v>
      </c>
      <c r="G3675" s="310"/>
      <c r="K3675" s="300"/>
    </row>
    <row r="3676" ht="21" customHeight="1" spans="1:11">
      <c r="A3676" s="307" t="s">
        <v>15</v>
      </c>
      <c r="B3676" s="308"/>
      <c r="C3676" s="308"/>
      <c r="D3676" s="308"/>
      <c r="E3676" s="311"/>
      <c r="F3676" s="309">
        <f>IFERROR(VLOOKUP(K3669,'2026.01'!A:Y,9,0),0)</f>
        <v>5000</v>
      </c>
      <c r="G3676" s="310"/>
      <c r="K3676" s="300"/>
    </row>
    <row r="3677" ht="19" customHeight="1" spans="1:11">
      <c r="A3677" s="307" t="s">
        <v>16</v>
      </c>
      <c r="B3677" s="308"/>
      <c r="C3677" s="308"/>
      <c r="D3677" s="308"/>
      <c r="E3677" s="308"/>
      <c r="F3677" s="309">
        <f>IFERROR(VLOOKUP(K3669,'2026.01'!A:Y,10,0),0)</f>
        <v>500</v>
      </c>
      <c r="G3677" s="310"/>
      <c r="K3677" s="300"/>
    </row>
    <row r="3678" ht="21" customHeight="1" spans="1:11">
      <c r="A3678" s="307" t="s">
        <v>17</v>
      </c>
      <c r="B3678" s="308"/>
      <c r="C3678" s="308"/>
      <c r="D3678" s="308"/>
      <c r="E3678" s="308"/>
      <c r="F3678" s="309">
        <f>IFERROR(VLOOKUP(K3669,'2026.01'!A:Y,19,0),0)</f>
        <v>26</v>
      </c>
      <c r="G3678" s="310"/>
      <c r="K3678" s="300"/>
    </row>
    <row r="3679" ht="17.15" customHeight="1" spans="1:11">
      <c r="A3679" s="307" t="s">
        <v>18</v>
      </c>
      <c r="B3679" s="308"/>
      <c r="C3679" s="308"/>
      <c r="D3679" s="308"/>
      <c r="E3679" s="308"/>
      <c r="F3679" s="309">
        <f>IFERROR(VLOOKUP(K3669,'2026.01'!A:Y,22,0),0)</f>
        <v>146</v>
      </c>
      <c r="G3679" s="310"/>
      <c r="K3679" s="300"/>
    </row>
    <row r="3680" ht="17.15" customHeight="1" spans="1:11">
      <c r="A3680" s="307" t="s">
        <v>19</v>
      </c>
      <c r="B3680" s="312"/>
      <c r="C3680" s="308"/>
      <c r="D3680" s="313"/>
      <c r="E3680" s="308"/>
      <c r="F3680" s="309">
        <f>IFERROR(VLOOKUP(K3669,'2026.01'!A:Y,25,0),0)</f>
        <v>5913</v>
      </c>
      <c r="G3680" s="310"/>
      <c r="K3680" s="300"/>
    </row>
    <row r="3681" ht="15" customHeight="1" spans="1:11">
      <c r="A3681" s="314" t="s">
        <v>20</v>
      </c>
      <c r="B3681" s="315">
        <f>IF(F3680&lt;0,"金额为负，无效",INT(F3680))</f>
        <v>5913</v>
      </c>
      <c r="C3681" s="315"/>
      <c r="D3681" s="315"/>
      <c r="E3681" s="316" t="s">
        <v>21</v>
      </c>
      <c r="F3681" s="317"/>
      <c r="G3681" s="318"/>
      <c r="K3681" s="300"/>
    </row>
    <row r="3682" ht="23" customHeight="1" spans="1:11">
      <c r="A3682" s="319"/>
      <c r="B3682" s="320"/>
      <c r="C3682" s="320"/>
      <c r="D3682" s="320"/>
      <c r="E3682" s="319"/>
      <c r="F3682" s="321"/>
      <c r="G3682" s="322"/>
      <c r="K3682" s="300"/>
    </row>
    <row r="3683" ht="27" customHeight="1" spans="1:11">
      <c r="A3683" s="298" t="s">
        <v>0</v>
      </c>
      <c r="B3683" s="298"/>
      <c r="C3683" s="298"/>
      <c r="D3683" s="298"/>
      <c r="E3683" s="298"/>
      <c r="F3683" s="298"/>
      <c r="G3683" s="298"/>
      <c r="H3683" s="299"/>
      <c r="I3683" s="299"/>
      <c r="J3683" s="299"/>
      <c r="K3683" s="300">
        <v>264</v>
      </c>
    </row>
    <row r="3684" ht="15" customHeight="1" spans="1:11">
      <c r="A3684" s="301" t="s">
        <v>1</v>
      </c>
      <c r="B3684" s="301"/>
      <c r="C3684" s="301"/>
      <c r="D3684" s="301"/>
      <c r="E3684" s="301"/>
      <c r="F3684" s="301"/>
      <c r="G3684" s="302" t="str">
        <f>IFERROR(VLOOKUP(K3683,'2026.01'!A:Y,2,0),0)</f>
        <v>NO:264</v>
      </c>
      <c r="K3684" s="300"/>
    </row>
    <row r="3685" ht="15" customHeight="1" spans="1:11">
      <c r="A3685" s="303" t="s">
        <v>2</v>
      </c>
      <c r="B3685" s="304">
        <f>IFERROR(VLOOKUP(K3683,'2026.01'!A:Y,6,0),0)</f>
        <v>4043</v>
      </c>
      <c r="C3685" s="304"/>
      <c r="D3685" s="305" t="s">
        <v>3</v>
      </c>
      <c r="E3685" s="305" t="str">
        <f>IFERROR(VLOOKUP(K3683,'2026.01'!A:Y,7,0),0)</f>
        <v>黄杰清</v>
      </c>
      <c r="F3685" s="305"/>
      <c r="G3685" s="306" t="s">
        <v>4</v>
      </c>
      <c r="K3685" s="300"/>
    </row>
    <row r="3686" ht="15" customHeight="1" spans="1:11">
      <c r="A3686" s="307" t="s">
        <v>5</v>
      </c>
      <c r="B3686" s="308" t="s">
        <v>6</v>
      </c>
      <c r="C3686" s="308" t="s">
        <v>7</v>
      </c>
      <c r="D3686" s="308" t="s">
        <v>8</v>
      </c>
      <c r="E3686" s="308" t="s">
        <v>9</v>
      </c>
      <c r="F3686" s="309" t="s">
        <v>10</v>
      </c>
      <c r="G3686" s="310" t="s">
        <v>11</v>
      </c>
      <c r="K3686" s="300"/>
    </row>
    <row r="3687" ht="15" customHeight="1" spans="1:11">
      <c r="A3687" s="307" t="s">
        <v>12</v>
      </c>
      <c r="B3687" s="308">
        <f>IFERROR(VLOOKUP(K3683,'2026.01'!A:Y,14,0),0)</f>
        <v>7778</v>
      </c>
      <c r="C3687" s="308">
        <f>IFERROR(VLOOKUP(K3683,'2026.01'!A:Y,13,0),0)</f>
        <v>7777</v>
      </c>
      <c r="D3687" s="308">
        <f>IFERROR(VLOOKUP(K3683,'2026.01'!A:Y,15,0),0)</f>
        <v>1</v>
      </c>
      <c r="E3687" s="311">
        <f>IFERROR(VLOOKUP(K3683,'2026.01'!A:Y,18,0),0)</f>
        <v>0.8</v>
      </c>
      <c r="F3687" s="309">
        <f>IFERROR(VLOOKUP(K3683,'2026.01'!A:Y,20,0),0)</f>
        <v>1</v>
      </c>
      <c r="G3687" s="310"/>
      <c r="K3687" s="300"/>
    </row>
    <row r="3688" ht="15" customHeight="1" spans="1:11">
      <c r="A3688" s="307" t="s">
        <v>13</v>
      </c>
      <c r="B3688" s="308"/>
      <c r="C3688" s="308"/>
      <c r="D3688" s="308"/>
      <c r="E3688" s="311"/>
      <c r="F3688" s="309">
        <f>IFERROR(VLOOKUP(K3683,'2026.01'!A:Y,24,0),0)</f>
        <v>51</v>
      </c>
      <c r="G3688" s="310"/>
      <c r="K3688" s="300"/>
    </row>
    <row r="3689" ht="15" customHeight="1" spans="1:11">
      <c r="A3689" s="307" t="s">
        <v>14</v>
      </c>
      <c r="B3689" s="308"/>
      <c r="C3689" s="308"/>
      <c r="D3689" s="308"/>
      <c r="E3689" s="311"/>
      <c r="F3689" s="309">
        <f>IFERROR(VLOOKUP(K3683,'2026.01'!A:Y,12,0),0)</f>
        <v>160</v>
      </c>
      <c r="G3689" s="310"/>
      <c r="K3689" s="300"/>
    </row>
    <row r="3690" ht="21" customHeight="1" spans="1:11">
      <c r="A3690" s="307" t="s">
        <v>15</v>
      </c>
      <c r="B3690" s="308"/>
      <c r="C3690" s="308"/>
      <c r="D3690" s="308"/>
      <c r="E3690" s="311"/>
      <c r="F3690" s="309">
        <f>IFERROR(VLOOKUP(K3683,'2026.01'!A:Y,9,0),0)</f>
        <v>5000</v>
      </c>
      <c r="G3690" s="310"/>
      <c r="K3690" s="300"/>
    </row>
    <row r="3691" ht="19" customHeight="1" spans="1:11">
      <c r="A3691" s="307" t="s">
        <v>16</v>
      </c>
      <c r="B3691" s="308"/>
      <c r="C3691" s="308"/>
      <c r="D3691" s="308"/>
      <c r="E3691" s="308"/>
      <c r="F3691" s="309">
        <f>IFERROR(VLOOKUP(K3683,'2026.01'!A:Y,10,0),0)</f>
        <v>500</v>
      </c>
      <c r="G3691" s="310"/>
      <c r="K3691" s="300"/>
    </row>
    <row r="3692" ht="21" customHeight="1" spans="1:11">
      <c r="A3692" s="307" t="s">
        <v>17</v>
      </c>
      <c r="B3692" s="308"/>
      <c r="C3692" s="308"/>
      <c r="D3692" s="308"/>
      <c r="E3692" s="308"/>
      <c r="F3692" s="309">
        <f>IFERROR(VLOOKUP(K3683,'2026.01'!A:Y,19,0),0)</f>
        <v>1</v>
      </c>
      <c r="G3692" s="310"/>
      <c r="K3692" s="300"/>
    </row>
    <row r="3693" ht="17.15" customHeight="1" spans="1:11">
      <c r="A3693" s="307" t="s">
        <v>18</v>
      </c>
      <c r="B3693" s="308"/>
      <c r="C3693" s="308"/>
      <c r="D3693" s="308"/>
      <c r="E3693" s="308"/>
      <c r="F3693" s="309">
        <f>IFERROR(VLOOKUP(K3683,'2026.01'!A:Y,22,0),0)</f>
        <v>146</v>
      </c>
      <c r="G3693" s="310"/>
      <c r="K3693" s="300"/>
    </row>
    <row r="3694" ht="17.15" customHeight="1" spans="1:11">
      <c r="A3694" s="307" t="s">
        <v>19</v>
      </c>
      <c r="B3694" s="312"/>
      <c r="C3694" s="308"/>
      <c r="D3694" s="313"/>
      <c r="E3694" s="308"/>
      <c r="F3694" s="309">
        <f>IFERROR(VLOOKUP(K3683,'2026.01'!A:Y,25,0),0)</f>
        <v>5859</v>
      </c>
      <c r="G3694" s="310"/>
      <c r="K3694" s="300"/>
    </row>
    <row r="3695" ht="15" customHeight="1" spans="1:11">
      <c r="A3695" s="314" t="s">
        <v>20</v>
      </c>
      <c r="B3695" s="315">
        <f>IF(F3694&lt;0,"金额为负，无效",INT(F3694))</f>
        <v>5859</v>
      </c>
      <c r="C3695" s="315"/>
      <c r="D3695" s="315"/>
      <c r="E3695" s="316" t="s">
        <v>21</v>
      </c>
      <c r="F3695" s="317"/>
      <c r="G3695" s="318"/>
      <c r="K3695" s="300"/>
    </row>
    <row r="3696" ht="15" customHeight="1" spans="1:11">
      <c r="A3696" s="319"/>
      <c r="B3696" s="320"/>
      <c r="C3696" s="320"/>
      <c r="D3696" s="320"/>
      <c r="E3696" s="319"/>
      <c r="F3696" s="321"/>
      <c r="G3696" s="322"/>
      <c r="K3696" s="300"/>
    </row>
    <row r="3697" ht="27" customHeight="1" spans="1:11">
      <c r="A3697" s="298" t="s">
        <v>0</v>
      </c>
      <c r="B3697" s="298"/>
      <c r="C3697" s="298"/>
      <c r="D3697" s="298"/>
      <c r="E3697" s="298"/>
      <c r="F3697" s="298"/>
      <c r="G3697" s="298"/>
      <c r="H3697" s="299"/>
      <c r="I3697" s="299"/>
      <c r="J3697" s="299"/>
      <c r="K3697" s="300">
        <v>265</v>
      </c>
    </row>
    <row r="3698" ht="15" customHeight="1" spans="1:11">
      <c r="A3698" s="301" t="s">
        <v>1</v>
      </c>
      <c r="B3698" s="301"/>
      <c r="C3698" s="301"/>
      <c r="D3698" s="301"/>
      <c r="E3698" s="301"/>
      <c r="F3698" s="301"/>
      <c r="G3698" s="302" t="str">
        <f>IFERROR(VLOOKUP(K3697,'2026.01'!A:Y,2,0),0)</f>
        <v>NO:265</v>
      </c>
      <c r="K3698" s="300"/>
    </row>
    <row r="3699" ht="15" customHeight="1" spans="1:11">
      <c r="A3699" s="303" t="s">
        <v>2</v>
      </c>
      <c r="B3699" s="304">
        <f>IFERROR(VLOOKUP(K3697,'2026.01'!A:Y,6,0),0)</f>
        <v>4044</v>
      </c>
      <c r="C3699" s="304"/>
      <c r="D3699" s="305" t="s">
        <v>3</v>
      </c>
      <c r="E3699" s="305" t="str">
        <f>IFERROR(VLOOKUP(K3697,'2026.01'!A:Y,7,0),0)</f>
        <v>谢梅</v>
      </c>
      <c r="F3699" s="305"/>
      <c r="G3699" s="306" t="s">
        <v>4</v>
      </c>
      <c r="K3699" s="300"/>
    </row>
    <row r="3700" ht="15" customHeight="1" spans="1:11">
      <c r="A3700" s="307" t="s">
        <v>5</v>
      </c>
      <c r="B3700" s="308" t="s">
        <v>6</v>
      </c>
      <c r="C3700" s="308" t="s">
        <v>7</v>
      </c>
      <c r="D3700" s="308" t="s">
        <v>8</v>
      </c>
      <c r="E3700" s="308" t="s">
        <v>9</v>
      </c>
      <c r="F3700" s="309" t="s">
        <v>10</v>
      </c>
      <c r="G3700" s="310" t="s">
        <v>11</v>
      </c>
      <c r="K3700" s="300"/>
    </row>
    <row r="3701" ht="15" customHeight="1" spans="1:11">
      <c r="A3701" s="307" t="s">
        <v>12</v>
      </c>
      <c r="B3701" s="308">
        <f>IFERROR(VLOOKUP(K3697,'2026.01'!A:Y,14,0),0)</f>
        <v>5278</v>
      </c>
      <c r="C3701" s="308">
        <f>IFERROR(VLOOKUP(K3697,'2026.01'!A:Y,13,0),0)</f>
        <v>5254</v>
      </c>
      <c r="D3701" s="308">
        <f>IFERROR(VLOOKUP(K3697,'2026.01'!A:Y,15,0),0)</f>
        <v>24</v>
      </c>
      <c r="E3701" s="311">
        <f>IFERROR(VLOOKUP(K3697,'2026.01'!A:Y,18,0),0)</f>
        <v>0.8</v>
      </c>
      <c r="F3701" s="309">
        <f>IFERROR(VLOOKUP(K3697,'2026.01'!A:Y,20,0),0)</f>
        <v>19</v>
      </c>
      <c r="G3701" s="310"/>
      <c r="K3701" s="300"/>
    </row>
    <row r="3702" ht="15" customHeight="1" spans="1:11">
      <c r="A3702" s="307" t="s">
        <v>13</v>
      </c>
      <c r="B3702" s="308"/>
      <c r="C3702" s="308"/>
      <c r="D3702" s="308"/>
      <c r="E3702" s="311"/>
      <c r="F3702" s="309">
        <f>IFERROR(VLOOKUP(K3697,'2026.01'!A:Y,24,0),0)</f>
        <v>51</v>
      </c>
      <c r="G3702" s="310"/>
      <c r="K3702" s="300"/>
    </row>
    <row r="3703" ht="15" customHeight="1" spans="1:11">
      <c r="A3703" s="307" t="s">
        <v>14</v>
      </c>
      <c r="B3703" s="308"/>
      <c r="C3703" s="308"/>
      <c r="D3703" s="308"/>
      <c r="E3703" s="311"/>
      <c r="F3703" s="309">
        <f>IFERROR(VLOOKUP(K3697,'2026.01'!A:Y,12,0),0)</f>
        <v>160</v>
      </c>
      <c r="G3703" s="310"/>
      <c r="K3703" s="300"/>
    </row>
    <row r="3704" ht="21" customHeight="1" spans="1:11">
      <c r="A3704" s="307" t="s">
        <v>15</v>
      </c>
      <c r="B3704" s="308"/>
      <c r="C3704" s="308"/>
      <c r="D3704" s="308"/>
      <c r="E3704" s="311"/>
      <c r="F3704" s="309">
        <f>IFERROR(VLOOKUP(K3697,'2026.01'!A:Y,9,0),0)</f>
        <v>5000</v>
      </c>
      <c r="G3704" s="310"/>
      <c r="K3704" s="300"/>
    </row>
    <row r="3705" ht="19" customHeight="1" spans="1:11">
      <c r="A3705" s="307" t="s">
        <v>16</v>
      </c>
      <c r="B3705" s="308"/>
      <c r="C3705" s="308"/>
      <c r="D3705" s="308"/>
      <c r="E3705" s="308"/>
      <c r="F3705" s="309">
        <f>IFERROR(VLOOKUP(K3697,'2026.01'!A:Y,10,0),0)</f>
        <v>500</v>
      </c>
      <c r="G3705" s="310"/>
      <c r="K3705" s="300"/>
    </row>
    <row r="3706" ht="21" customHeight="1" spans="1:11">
      <c r="A3706" s="307" t="s">
        <v>17</v>
      </c>
      <c r="B3706" s="308"/>
      <c r="C3706" s="308"/>
      <c r="D3706" s="308"/>
      <c r="E3706" s="308"/>
      <c r="F3706" s="309">
        <f>IFERROR(VLOOKUP(K3697,'2026.01'!A:Y,19,0),0)</f>
        <v>17</v>
      </c>
      <c r="G3706" s="310"/>
      <c r="K3706" s="300"/>
    </row>
    <row r="3707" ht="17.15" customHeight="1" spans="1:11">
      <c r="A3707" s="307" t="s">
        <v>18</v>
      </c>
      <c r="B3707" s="308"/>
      <c r="C3707" s="308"/>
      <c r="D3707" s="308"/>
      <c r="E3707" s="308"/>
      <c r="F3707" s="309">
        <f>IFERROR(VLOOKUP(K3697,'2026.01'!A:Y,22,0),0)</f>
        <v>146</v>
      </c>
      <c r="G3707" s="310"/>
      <c r="K3707" s="300"/>
    </row>
    <row r="3708" ht="17.15" customHeight="1" spans="1:11">
      <c r="A3708" s="307" t="s">
        <v>19</v>
      </c>
      <c r="B3708" s="312"/>
      <c r="C3708" s="308"/>
      <c r="D3708" s="313"/>
      <c r="E3708" s="308"/>
      <c r="F3708" s="309">
        <f>IFERROR(VLOOKUP(K3697,'2026.01'!A:Y,25,0),0)</f>
        <v>5893</v>
      </c>
      <c r="G3708" s="310"/>
      <c r="K3708" s="300"/>
    </row>
    <row r="3709" ht="15" customHeight="1" spans="1:11">
      <c r="A3709" s="314" t="s">
        <v>20</v>
      </c>
      <c r="B3709" s="315">
        <f>IF(F3708&lt;0,"金额为负，无效",INT(F3708))</f>
        <v>5893</v>
      </c>
      <c r="C3709" s="315"/>
      <c r="D3709" s="315"/>
      <c r="E3709" s="316" t="s">
        <v>21</v>
      </c>
      <c r="F3709" s="317"/>
      <c r="G3709" s="318"/>
      <c r="K3709" s="300"/>
    </row>
    <row r="3710" ht="23" customHeight="1" spans="1:11">
      <c r="A3710" s="319"/>
      <c r="B3710" s="320"/>
      <c r="C3710" s="320"/>
      <c r="D3710" s="320"/>
      <c r="E3710" s="319"/>
      <c r="F3710" s="321"/>
      <c r="G3710" s="322"/>
      <c r="K3710" s="300"/>
    </row>
    <row r="3711" ht="27" customHeight="1" spans="1:11">
      <c r="A3711" s="298" t="s">
        <v>0</v>
      </c>
      <c r="B3711" s="298"/>
      <c r="C3711" s="298"/>
      <c r="D3711" s="298"/>
      <c r="E3711" s="298"/>
      <c r="F3711" s="298"/>
      <c r="G3711" s="298"/>
      <c r="H3711" s="299"/>
      <c r="I3711" s="299"/>
      <c r="J3711" s="299"/>
      <c r="K3711" s="300">
        <v>266</v>
      </c>
    </row>
    <row r="3712" ht="15" customHeight="1" spans="1:11">
      <c r="A3712" s="301" t="s">
        <v>1</v>
      </c>
      <c r="B3712" s="301"/>
      <c r="C3712" s="301"/>
      <c r="D3712" s="301"/>
      <c r="E3712" s="301"/>
      <c r="F3712" s="301"/>
      <c r="G3712" s="302" t="str">
        <f>IFERROR(VLOOKUP(K3711,'2026.01'!A:Y,2,0),0)</f>
        <v>NO:266</v>
      </c>
      <c r="K3712" s="300"/>
    </row>
    <row r="3713" ht="15" customHeight="1" spans="1:11">
      <c r="A3713" s="303" t="s">
        <v>2</v>
      </c>
      <c r="B3713" s="304">
        <f>IFERROR(VLOOKUP(K3711,'2026.01'!A:Y,6,0),0)</f>
        <v>4045</v>
      </c>
      <c r="C3713" s="304"/>
      <c r="D3713" s="305" t="s">
        <v>3</v>
      </c>
      <c r="E3713" s="305" t="str">
        <f>IFERROR(VLOOKUP(K3711,'2026.01'!A:Y,7,0),0)</f>
        <v>沈贝娜</v>
      </c>
      <c r="F3713" s="305"/>
      <c r="G3713" s="306" t="s">
        <v>4</v>
      </c>
      <c r="K3713" s="300"/>
    </row>
    <row r="3714" ht="15" customHeight="1" spans="1:11">
      <c r="A3714" s="307" t="s">
        <v>5</v>
      </c>
      <c r="B3714" s="308" t="s">
        <v>6</v>
      </c>
      <c r="C3714" s="308" t="s">
        <v>7</v>
      </c>
      <c r="D3714" s="308" t="s">
        <v>8</v>
      </c>
      <c r="E3714" s="308" t="s">
        <v>9</v>
      </c>
      <c r="F3714" s="309" t="s">
        <v>10</v>
      </c>
      <c r="G3714" s="310" t="s">
        <v>11</v>
      </c>
      <c r="K3714" s="300"/>
    </row>
    <row r="3715" ht="15" customHeight="1" spans="1:11">
      <c r="A3715" s="307" t="s">
        <v>12</v>
      </c>
      <c r="B3715" s="308">
        <f>IFERROR(VLOOKUP(K3711,'2026.01'!A:Y,14,0),0)</f>
        <v>8708</v>
      </c>
      <c r="C3715" s="308">
        <f>IFERROR(VLOOKUP(K3711,'2026.01'!A:Y,13,0),0)</f>
        <v>8674</v>
      </c>
      <c r="D3715" s="308">
        <f>IFERROR(VLOOKUP(K3711,'2026.01'!A:Y,15,0),0)</f>
        <v>34</v>
      </c>
      <c r="E3715" s="311">
        <f>IFERROR(VLOOKUP(K3711,'2026.01'!A:Y,18,0),0)</f>
        <v>0.8</v>
      </c>
      <c r="F3715" s="309">
        <f>IFERROR(VLOOKUP(K3711,'2026.01'!A:Y,20,0),0)</f>
        <v>27</v>
      </c>
      <c r="G3715" s="310"/>
      <c r="K3715" s="300"/>
    </row>
    <row r="3716" ht="15" customHeight="1" spans="1:11">
      <c r="A3716" s="307" t="s">
        <v>13</v>
      </c>
      <c r="B3716" s="308"/>
      <c r="C3716" s="308"/>
      <c r="D3716" s="308"/>
      <c r="E3716" s="311"/>
      <c r="F3716" s="309">
        <f>IFERROR(VLOOKUP(K3711,'2026.01'!A:Y,24,0),0)</f>
        <v>51</v>
      </c>
      <c r="G3716" s="310"/>
      <c r="K3716" s="300"/>
    </row>
    <row r="3717" ht="15" customHeight="1" spans="1:11">
      <c r="A3717" s="307" t="s">
        <v>14</v>
      </c>
      <c r="B3717" s="308"/>
      <c r="C3717" s="308"/>
      <c r="D3717" s="308"/>
      <c r="E3717" s="311"/>
      <c r="F3717" s="309">
        <f>IFERROR(VLOOKUP(K3711,'2026.01'!A:Y,12,0),0)</f>
        <v>160</v>
      </c>
      <c r="G3717" s="310"/>
      <c r="K3717" s="300"/>
    </row>
    <row r="3718" ht="21" customHeight="1" spans="1:11">
      <c r="A3718" s="307" t="s">
        <v>15</v>
      </c>
      <c r="B3718" s="308"/>
      <c r="C3718" s="308"/>
      <c r="D3718" s="308"/>
      <c r="E3718" s="311"/>
      <c r="F3718" s="309">
        <f>IFERROR(VLOOKUP(K3711,'2026.01'!A:Y,9,0),0)</f>
        <v>5000</v>
      </c>
      <c r="G3718" s="310"/>
      <c r="K3718" s="300"/>
    </row>
    <row r="3719" ht="19" customHeight="1" spans="1:11">
      <c r="A3719" s="307" t="s">
        <v>16</v>
      </c>
      <c r="B3719" s="308"/>
      <c r="C3719" s="308"/>
      <c r="D3719" s="308"/>
      <c r="E3719" s="308"/>
      <c r="F3719" s="309">
        <f>IFERROR(VLOOKUP(K3711,'2026.01'!A:Y,10,0),0)</f>
        <v>500</v>
      </c>
      <c r="G3719" s="310"/>
      <c r="K3719" s="300"/>
    </row>
    <row r="3720" ht="21" customHeight="1" spans="1:11">
      <c r="A3720" s="307" t="s">
        <v>17</v>
      </c>
      <c r="B3720" s="308"/>
      <c r="C3720" s="308"/>
      <c r="D3720" s="308"/>
      <c r="E3720" s="308"/>
      <c r="F3720" s="309">
        <f>IFERROR(VLOOKUP(K3711,'2026.01'!A:Y,19,0),0)</f>
        <v>24</v>
      </c>
      <c r="G3720" s="310"/>
      <c r="K3720" s="300"/>
    </row>
    <row r="3721" ht="17.15" customHeight="1" spans="1:11">
      <c r="A3721" s="307" t="s">
        <v>18</v>
      </c>
      <c r="B3721" s="308"/>
      <c r="C3721" s="308"/>
      <c r="D3721" s="308"/>
      <c r="E3721" s="308"/>
      <c r="F3721" s="309">
        <f>IFERROR(VLOOKUP(K3711,'2026.01'!A:Y,22,0),0)</f>
        <v>146</v>
      </c>
      <c r="G3721" s="310"/>
      <c r="K3721" s="300"/>
    </row>
    <row r="3722" ht="17.15" customHeight="1" spans="1:11">
      <c r="A3722" s="307" t="s">
        <v>19</v>
      </c>
      <c r="B3722" s="312"/>
      <c r="C3722" s="308"/>
      <c r="D3722" s="313"/>
      <c r="E3722" s="308"/>
      <c r="F3722" s="309">
        <f>IFERROR(VLOOKUP(K3711,'2026.01'!A:Y,25,0),0)</f>
        <v>5908</v>
      </c>
      <c r="G3722" s="310"/>
      <c r="K3722" s="300"/>
    </row>
    <row r="3723" ht="15" customHeight="1" spans="1:11">
      <c r="A3723" s="314" t="s">
        <v>20</v>
      </c>
      <c r="B3723" s="315">
        <f>IF(F3722&lt;0,"金额为负，无效",INT(F3722))</f>
        <v>5908</v>
      </c>
      <c r="C3723" s="315"/>
      <c r="D3723" s="315"/>
      <c r="E3723" s="316" t="s">
        <v>21</v>
      </c>
      <c r="F3723" s="317"/>
      <c r="G3723" s="318"/>
      <c r="K3723" s="300"/>
    </row>
    <row r="3724" ht="23" customHeight="1" spans="1:11">
      <c r="A3724" s="319"/>
      <c r="B3724" s="320"/>
      <c r="C3724" s="320"/>
      <c r="D3724" s="320"/>
      <c r="E3724" s="319"/>
      <c r="F3724" s="321"/>
      <c r="G3724" s="322"/>
      <c r="K3724" s="300"/>
    </row>
    <row r="3725" ht="27" customHeight="1" spans="1:11">
      <c r="A3725" s="298" t="s">
        <v>0</v>
      </c>
      <c r="B3725" s="298"/>
      <c r="C3725" s="298"/>
      <c r="D3725" s="298"/>
      <c r="E3725" s="298"/>
      <c r="F3725" s="298"/>
      <c r="G3725" s="298"/>
      <c r="H3725" s="299"/>
      <c r="I3725" s="299"/>
      <c r="J3725" s="299"/>
      <c r="K3725" s="300">
        <v>267</v>
      </c>
    </row>
    <row r="3726" ht="15" customHeight="1" spans="1:11">
      <c r="A3726" s="301" t="s">
        <v>1</v>
      </c>
      <c r="B3726" s="301"/>
      <c r="C3726" s="301"/>
      <c r="D3726" s="301"/>
      <c r="E3726" s="301"/>
      <c r="F3726" s="301"/>
      <c r="G3726" s="302" t="str">
        <f>IFERROR(VLOOKUP(K3725,'2026.01'!A:Y,2,0),0)</f>
        <v>NO:267</v>
      </c>
      <c r="K3726" s="300"/>
    </row>
    <row r="3727" ht="15" customHeight="1" spans="1:11">
      <c r="A3727" s="303" t="s">
        <v>2</v>
      </c>
      <c r="B3727" s="304">
        <f>IFERROR(VLOOKUP(K3725,'2026.01'!A:Y,6,0),0)</f>
        <v>4046</v>
      </c>
      <c r="C3727" s="304"/>
      <c r="D3727" s="305" t="s">
        <v>3</v>
      </c>
      <c r="E3727" s="305" t="str">
        <f>IFERROR(VLOOKUP(K3725,'2026.01'!A:Y,7,0),0)</f>
        <v>黄文波</v>
      </c>
      <c r="F3727" s="305"/>
      <c r="G3727" s="306" t="s">
        <v>4</v>
      </c>
      <c r="K3727" s="300"/>
    </row>
    <row r="3728" ht="15" customHeight="1" spans="1:11">
      <c r="A3728" s="307" t="s">
        <v>5</v>
      </c>
      <c r="B3728" s="308" t="s">
        <v>6</v>
      </c>
      <c r="C3728" s="308" t="s">
        <v>7</v>
      </c>
      <c r="D3728" s="308" t="s">
        <v>8</v>
      </c>
      <c r="E3728" s="308" t="s">
        <v>9</v>
      </c>
      <c r="F3728" s="309" t="s">
        <v>10</v>
      </c>
      <c r="G3728" s="310" t="s">
        <v>11</v>
      </c>
      <c r="K3728" s="300"/>
    </row>
    <row r="3729" ht="15" customHeight="1" spans="1:11">
      <c r="A3729" s="307" t="s">
        <v>12</v>
      </c>
      <c r="B3729" s="308">
        <f>IFERROR(VLOOKUP(K3725,'2026.01'!A:Y,14,0),0)</f>
        <v>2725</v>
      </c>
      <c r="C3729" s="308">
        <f>IFERROR(VLOOKUP(K3725,'2026.01'!A:Y,13,0),0)</f>
        <v>2564</v>
      </c>
      <c r="D3729" s="308">
        <f>IFERROR(VLOOKUP(K3725,'2026.01'!A:Y,15,0),0)</f>
        <v>161</v>
      </c>
      <c r="E3729" s="311">
        <f>IFERROR(VLOOKUP(K3725,'2026.01'!A:Y,18,0),0)</f>
        <v>0.8</v>
      </c>
      <c r="F3729" s="309">
        <f>IFERROR(VLOOKUP(K3725,'2026.01'!A:Y,20,0),0)</f>
        <v>129</v>
      </c>
      <c r="G3729" s="310"/>
      <c r="K3729" s="300"/>
    </row>
    <row r="3730" ht="15" customHeight="1" spans="1:11">
      <c r="A3730" s="307" t="s">
        <v>13</v>
      </c>
      <c r="B3730" s="308"/>
      <c r="C3730" s="308"/>
      <c r="D3730" s="308"/>
      <c r="E3730" s="311"/>
      <c r="F3730" s="309">
        <f>IFERROR(VLOOKUP(K3725,'2026.01'!A:Y,24,0),0)</f>
        <v>102</v>
      </c>
      <c r="G3730" s="310"/>
      <c r="K3730" s="300"/>
    </row>
    <row r="3731" ht="15" customHeight="1" spans="1:11">
      <c r="A3731" s="307" t="s">
        <v>14</v>
      </c>
      <c r="B3731" s="308"/>
      <c r="C3731" s="308"/>
      <c r="D3731" s="308"/>
      <c r="E3731" s="311"/>
      <c r="F3731" s="309">
        <f>IFERROR(VLOOKUP(K3725,'2026.01'!A:Y,12,0),0)</f>
        <v>160</v>
      </c>
      <c r="G3731" s="310"/>
      <c r="K3731" s="300"/>
    </row>
    <row r="3732" ht="21" customHeight="1" spans="1:11">
      <c r="A3732" s="307" t="s">
        <v>15</v>
      </c>
      <c r="B3732" s="308"/>
      <c r="C3732" s="308"/>
      <c r="D3732" s="308"/>
      <c r="E3732" s="311"/>
      <c r="F3732" s="309">
        <f>IFERROR(VLOOKUP(K3725,'2026.01'!A:Y,9,0),0)</f>
        <v>5000</v>
      </c>
      <c r="G3732" s="310"/>
      <c r="K3732" s="300"/>
    </row>
    <row r="3733" ht="19" customHeight="1" spans="1:11">
      <c r="A3733" s="307" t="s">
        <v>16</v>
      </c>
      <c r="B3733" s="308"/>
      <c r="C3733" s="308"/>
      <c r="D3733" s="308"/>
      <c r="E3733" s="308"/>
      <c r="F3733" s="309">
        <f>IFERROR(VLOOKUP(K3725,'2026.01'!A:Y,10,0),0)</f>
        <v>500</v>
      </c>
      <c r="G3733" s="310"/>
      <c r="K3733" s="300"/>
    </row>
    <row r="3734" ht="21" customHeight="1" spans="1:11">
      <c r="A3734" s="307" t="s">
        <v>17</v>
      </c>
      <c r="B3734" s="308"/>
      <c r="C3734" s="308"/>
      <c r="D3734" s="308"/>
      <c r="E3734" s="308"/>
      <c r="F3734" s="309">
        <f>IFERROR(VLOOKUP(K3725,'2026.01'!A:Y,19,0),0)</f>
        <v>113</v>
      </c>
      <c r="G3734" s="310"/>
      <c r="K3734" s="300"/>
    </row>
    <row r="3735" ht="17.15" customHeight="1" spans="1:11">
      <c r="A3735" s="307" t="s">
        <v>18</v>
      </c>
      <c r="B3735" s="308"/>
      <c r="C3735" s="308"/>
      <c r="D3735" s="308"/>
      <c r="E3735" s="308"/>
      <c r="F3735" s="309">
        <f>IFERROR(VLOOKUP(K3725,'2026.01'!A:Y,22,0),0)</f>
        <v>272</v>
      </c>
      <c r="G3735" s="310"/>
      <c r="K3735" s="300"/>
    </row>
    <row r="3736" ht="17.15" customHeight="1" spans="1:11">
      <c r="A3736" s="307" t="s">
        <v>19</v>
      </c>
      <c r="B3736" s="312"/>
      <c r="C3736" s="308"/>
      <c r="D3736" s="313"/>
      <c r="E3736" s="308"/>
      <c r="F3736" s="309">
        <f>IFERROR(VLOOKUP(K3725,'2026.01'!A:Y,25,0),0)</f>
        <v>6276</v>
      </c>
      <c r="G3736" s="310"/>
      <c r="K3736" s="300"/>
    </row>
    <row r="3737" ht="15" customHeight="1" spans="1:11">
      <c r="A3737" s="314" t="s">
        <v>20</v>
      </c>
      <c r="B3737" s="315">
        <f>IF(F3736&lt;0,"金额为负，无效",INT(F3736))</f>
        <v>6276</v>
      </c>
      <c r="C3737" s="315"/>
      <c r="D3737" s="315"/>
      <c r="E3737" s="316" t="s">
        <v>21</v>
      </c>
      <c r="F3737" s="317"/>
      <c r="G3737" s="318"/>
      <c r="K3737" s="300"/>
    </row>
    <row r="3738" ht="15" customHeight="1" spans="1:11">
      <c r="A3738" s="319"/>
      <c r="B3738" s="320"/>
      <c r="C3738" s="320"/>
      <c r="D3738" s="320"/>
      <c r="E3738" s="319"/>
      <c r="F3738" s="321"/>
      <c r="G3738" s="322"/>
      <c r="K3738" s="300"/>
    </row>
    <row r="3739" ht="27" customHeight="1" spans="1:11">
      <c r="A3739" s="298" t="s">
        <v>0</v>
      </c>
      <c r="B3739" s="298"/>
      <c r="C3739" s="298"/>
      <c r="D3739" s="298"/>
      <c r="E3739" s="298"/>
      <c r="F3739" s="298"/>
      <c r="G3739" s="298"/>
      <c r="H3739" s="299"/>
      <c r="I3739" s="299"/>
      <c r="J3739" s="299"/>
      <c r="K3739" s="300">
        <v>268</v>
      </c>
    </row>
    <row r="3740" ht="15" customHeight="1" spans="1:11">
      <c r="A3740" s="301" t="s">
        <v>1</v>
      </c>
      <c r="B3740" s="301"/>
      <c r="C3740" s="301"/>
      <c r="D3740" s="301"/>
      <c r="E3740" s="301"/>
      <c r="F3740" s="301"/>
      <c r="G3740" s="302" t="str">
        <f>IFERROR(VLOOKUP(K3739,'2026.01'!A:Y,2,0),0)</f>
        <v>NO:268</v>
      </c>
      <c r="K3740" s="300"/>
    </row>
    <row r="3741" ht="15" customHeight="1" spans="1:11">
      <c r="A3741" s="303" t="s">
        <v>2</v>
      </c>
      <c r="B3741" s="304" t="str">
        <f>IFERROR(VLOOKUP(K3739,'2026.01'!A:Y,6,0),0)</f>
        <v>4046A</v>
      </c>
      <c r="C3741" s="304"/>
      <c r="D3741" s="305" t="s">
        <v>3</v>
      </c>
      <c r="E3741" s="305" t="str">
        <f>IFERROR(VLOOKUP(K3739,'2026.01'!A:Y,7,0),0)</f>
        <v>李太焕</v>
      </c>
      <c r="F3741" s="305"/>
      <c r="G3741" s="306" t="s">
        <v>4</v>
      </c>
      <c r="K3741" s="300"/>
    </row>
    <row r="3742" ht="15" customHeight="1" spans="1:11">
      <c r="A3742" s="307" t="s">
        <v>5</v>
      </c>
      <c r="B3742" s="308" t="s">
        <v>6</v>
      </c>
      <c r="C3742" s="308" t="s">
        <v>7</v>
      </c>
      <c r="D3742" s="308" t="s">
        <v>8</v>
      </c>
      <c r="E3742" s="308" t="s">
        <v>9</v>
      </c>
      <c r="F3742" s="309" t="s">
        <v>10</v>
      </c>
      <c r="G3742" s="310" t="s">
        <v>11</v>
      </c>
      <c r="K3742" s="300"/>
    </row>
    <row r="3743" ht="15" customHeight="1" spans="1:11">
      <c r="A3743" s="307" t="s">
        <v>12</v>
      </c>
      <c r="B3743" s="308">
        <f>IFERROR(VLOOKUP(K3739,'2026.01'!A:Y,14,0),0)</f>
        <v>4129</v>
      </c>
      <c r="C3743" s="308">
        <f>IFERROR(VLOOKUP(K3739,'2026.01'!A:Y,13,0),0)</f>
        <v>4107</v>
      </c>
      <c r="D3743" s="308">
        <f>IFERROR(VLOOKUP(K3739,'2026.01'!A:Y,15,0),0)</f>
        <v>22</v>
      </c>
      <c r="E3743" s="311">
        <f>IFERROR(VLOOKUP(K3739,'2026.01'!A:Y,18,0),0)</f>
        <v>0.8</v>
      </c>
      <c r="F3743" s="309">
        <f>IFERROR(VLOOKUP(K3739,'2026.01'!A:Y,20,0),0)</f>
        <v>18</v>
      </c>
      <c r="G3743" s="310"/>
      <c r="K3743" s="300"/>
    </row>
    <row r="3744" ht="15" customHeight="1" spans="1:11">
      <c r="A3744" s="307" t="s">
        <v>13</v>
      </c>
      <c r="B3744" s="308"/>
      <c r="C3744" s="308"/>
      <c r="D3744" s="308"/>
      <c r="E3744" s="311"/>
      <c r="F3744" s="309">
        <f>IFERROR(VLOOKUP(K3739,'2026.01'!A:Y,24,0),0)</f>
        <v>51</v>
      </c>
      <c r="G3744" s="310"/>
      <c r="K3744" s="300"/>
    </row>
    <row r="3745" ht="15" customHeight="1" spans="1:11">
      <c r="A3745" s="307" t="s">
        <v>14</v>
      </c>
      <c r="B3745" s="308"/>
      <c r="C3745" s="308"/>
      <c r="D3745" s="308"/>
      <c r="E3745" s="311"/>
      <c r="F3745" s="309">
        <f>IFERROR(VLOOKUP(K3739,'2026.01'!A:Y,12,0),0)</f>
        <v>160</v>
      </c>
      <c r="G3745" s="310"/>
      <c r="K3745" s="300"/>
    </row>
    <row r="3746" ht="21" customHeight="1" spans="1:11">
      <c r="A3746" s="307" t="s">
        <v>15</v>
      </c>
      <c r="B3746" s="308"/>
      <c r="C3746" s="308"/>
      <c r="D3746" s="308"/>
      <c r="E3746" s="311"/>
      <c r="F3746" s="309">
        <f>IFERROR(VLOOKUP(K3739,'2026.01'!A:Y,9,0),0)</f>
        <v>5000</v>
      </c>
      <c r="G3746" s="310"/>
      <c r="K3746" s="300"/>
    </row>
    <row r="3747" ht="19" customHeight="1" spans="1:11">
      <c r="A3747" s="307" t="s">
        <v>16</v>
      </c>
      <c r="B3747" s="308"/>
      <c r="C3747" s="308"/>
      <c r="D3747" s="308"/>
      <c r="E3747" s="308"/>
      <c r="F3747" s="309">
        <f>IFERROR(VLOOKUP(K3739,'2026.01'!A:Y,10,0),0)</f>
        <v>500</v>
      </c>
      <c r="G3747" s="310"/>
      <c r="K3747" s="300"/>
    </row>
    <row r="3748" ht="21" customHeight="1" spans="1:11">
      <c r="A3748" s="307" t="s">
        <v>17</v>
      </c>
      <c r="B3748" s="308"/>
      <c r="C3748" s="308"/>
      <c r="D3748" s="308"/>
      <c r="E3748" s="308"/>
      <c r="F3748" s="309">
        <f>IFERROR(VLOOKUP(K3739,'2026.01'!A:Y,19,0),0)</f>
        <v>15</v>
      </c>
      <c r="G3748" s="310"/>
      <c r="K3748" s="300"/>
    </row>
    <row r="3749" ht="17.15" customHeight="1" spans="1:11">
      <c r="A3749" s="307" t="s">
        <v>18</v>
      </c>
      <c r="B3749" s="308"/>
      <c r="C3749" s="308"/>
      <c r="D3749" s="308"/>
      <c r="E3749" s="308"/>
      <c r="F3749" s="309">
        <f>IFERROR(VLOOKUP(K3739,'2026.01'!A:Y,22,0),0)</f>
        <v>146</v>
      </c>
      <c r="G3749" s="310"/>
      <c r="K3749" s="300"/>
    </row>
    <row r="3750" ht="17.15" customHeight="1" spans="1:11">
      <c r="A3750" s="307" t="s">
        <v>19</v>
      </c>
      <c r="B3750" s="312"/>
      <c r="C3750" s="308"/>
      <c r="D3750" s="313"/>
      <c r="E3750" s="308"/>
      <c r="F3750" s="309">
        <f>IFERROR(VLOOKUP(K3739,'2026.01'!A:Y,25,0),0)</f>
        <v>5890</v>
      </c>
      <c r="G3750" s="310"/>
      <c r="K3750" s="300"/>
    </row>
    <row r="3751" ht="15" customHeight="1" spans="1:11">
      <c r="A3751" s="314" t="s">
        <v>20</v>
      </c>
      <c r="B3751" s="315">
        <f>IF(F3750&lt;0,"金额为负，无效",INT(F3750))</f>
        <v>5890</v>
      </c>
      <c r="C3751" s="315"/>
      <c r="D3751" s="315"/>
      <c r="E3751" s="316" t="s">
        <v>21</v>
      </c>
      <c r="F3751" s="317"/>
      <c r="G3751" s="318"/>
      <c r="K3751" s="300"/>
    </row>
    <row r="3752" ht="23" customHeight="1" spans="1:11">
      <c r="A3752" s="319"/>
      <c r="B3752" s="320"/>
      <c r="C3752" s="320"/>
      <c r="D3752" s="320"/>
      <c r="E3752" s="319"/>
      <c r="F3752" s="321"/>
      <c r="G3752" s="322"/>
      <c r="K3752" s="300"/>
    </row>
    <row r="3753" ht="27" customHeight="1" spans="1:11">
      <c r="A3753" s="298" t="s">
        <v>0</v>
      </c>
      <c r="B3753" s="298"/>
      <c r="C3753" s="298"/>
      <c r="D3753" s="298"/>
      <c r="E3753" s="298"/>
      <c r="F3753" s="298"/>
      <c r="G3753" s="298"/>
      <c r="H3753" s="299"/>
      <c r="I3753" s="299"/>
      <c r="J3753" s="299"/>
      <c r="K3753" s="300">
        <v>269</v>
      </c>
    </row>
    <row r="3754" ht="15" customHeight="1" spans="1:11">
      <c r="A3754" s="301" t="s">
        <v>1</v>
      </c>
      <c r="B3754" s="301"/>
      <c r="C3754" s="301"/>
      <c r="D3754" s="301"/>
      <c r="E3754" s="301"/>
      <c r="F3754" s="301"/>
      <c r="G3754" s="302" t="str">
        <f>IFERROR(VLOOKUP(K3753,'2026.01'!A:Y,2,0),0)</f>
        <v>NO:269</v>
      </c>
      <c r="K3754" s="300"/>
    </row>
    <row r="3755" ht="15" customHeight="1" spans="1:11">
      <c r="A3755" s="303" t="s">
        <v>2</v>
      </c>
      <c r="B3755" s="304" t="str">
        <f>IFERROR(VLOOKUP(K3753,'2026.01'!A:Y,6,0),0)</f>
        <v>四楼展柜</v>
      </c>
      <c r="C3755" s="304"/>
      <c r="D3755" s="305" t="s">
        <v>3</v>
      </c>
      <c r="E3755" s="305" t="str">
        <f>IFERROR(VLOOKUP(K3753,'2026.01'!A:Y,7,0),0)</f>
        <v>欧作贤</v>
      </c>
      <c r="F3755" s="305"/>
      <c r="G3755" s="306" t="s">
        <v>4</v>
      </c>
      <c r="K3755" s="300"/>
    </row>
    <row r="3756" ht="15" customHeight="1" spans="1:11">
      <c r="A3756" s="307" t="s">
        <v>5</v>
      </c>
      <c r="B3756" s="308" t="s">
        <v>6</v>
      </c>
      <c r="C3756" s="308" t="s">
        <v>7</v>
      </c>
      <c r="D3756" s="308" t="s">
        <v>8</v>
      </c>
      <c r="E3756" s="308" t="s">
        <v>9</v>
      </c>
      <c r="F3756" s="309" t="s">
        <v>10</v>
      </c>
      <c r="G3756" s="310" t="s">
        <v>11</v>
      </c>
      <c r="K3756" s="300"/>
    </row>
    <row r="3757" ht="15" customHeight="1" spans="1:11">
      <c r="A3757" s="307" t="s">
        <v>12</v>
      </c>
      <c r="B3757" s="308">
        <f>IFERROR(VLOOKUP(K3753,'2026.01'!A:Y,14,0),0)</f>
        <v>0</v>
      </c>
      <c r="C3757" s="308">
        <f>IFERROR(VLOOKUP(K3753,'2026.01'!A:Y,13,0),0)</f>
        <v>0</v>
      </c>
      <c r="D3757" s="308">
        <f>IFERROR(VLOOKUP(K3753,'2026.01'!A:Y,15,0),0)</f>
        <v>0</v>
      </c>
      <c r="E3757" s="311">
        <f>IFERROR(VLOOKUP(K3753,'2026.01'!A:Y,18,0),0)</f>
        <v>0</v>
      </c>
      <c r="F3757" s="309">
        <f>IFERROR(VLOOKUP(K3753,'2026.01'!A:Y,20,0),0)</f>
        <v>0</v>
      </c>
      <c r="G3757" s="310"/>
      <c r="K3757" s="300"/>
    </row>
    <row r="3758" ht="15" customHeight="1" spans="1:11">
      <c r="A3758" s="307" t="s">
        <v>13</v>
      </c>
      <c r="B3758" s="308"/>
      <c r="C3758" s="308"/>
      <c r="D3758" s="308"/>
      <c r="E3758" s="311"/>
      <c r="F3758" s="309">
        <f>IFERROR(VLOOKUP(K3753,'2026.01'!A:Y,24,0),0)</f>
        <v>0</v>
      </c>
      <c r="G3758" s="310"/>
      <c r="K3758" s="300"/>
    </row>
    <row r="3759" ht="15" customHeight="1" spans="1:11">
      <c r="A3759" s="307" t="s">
        <v>14</v>
      </c>
      <c r="B3759" s="308"/>
      <c r="C3759" s="308"/>
      <c r="D3759" s="308"/>
      <c r="E3759" s="311"/>
      <c r="F3759" s="309">
        <f>IFERROR(VLOOKUP(K3753,'2026.01'!A:Y,12,0),0)</f>
        <v>0</v>
      </c>
      <c r="G3759" s="310"/>
      <c r="K3759" s="300"/>
    </row>
    <row r="3760" ht="21" customHeight="1" spans="1:11">
      <c r="A3760" s="307" t="s">
        <v>15</v>
      </c>
      <c r="B3760" s="308"/>
      <c r="C3760" s="308"/>
      <c r="D3760" s="308"/>
      <c r="E3760" s="311"/>
      <c r="F3760" s="309">
        <f>IFERROR(VLOOKUP(K3753,'2026.01'!A:Y,9,0),0)</f>
        <v>1500</v>
      </c>
      <c r="G3760" s="310"/>
      <c r="K3760" s="300"/>
    </row>
    <row r="3761" ht="19" customHeight="1" spans="1:11">
      <c r="A3761" s="307" t="s">
        <v>16</v>
      </c>
      <c r="B3761" s="308"/>
      <c r="C3761" s="308"/>
      <c r="D3761" s="308"/>
      <c r="E3761" s="308"/>
      <c r="F3761" s="309">
        <f>IFERROR(VLOOKUP(K3753,'2026.01'!A:Y,10,0),0)</f>
        <v>0</v>
      </c>
      <c r="G3761" s="310"/>
      <c r="K3761" s="300"/>
    </row>
    <row r="3762" ht="21" customHeight="1" spans="1:11">
      <c r="A3762" s="307" t="s">
        <v>17</v>
      </c>
      <c r="B3762" s="308"/>
      <c r="C3762" s="308"/>
      <c r="D3762" s="308"/>
      <c r="E3762" s="308"/>
      <c r="F3762" s="309">
        <f>IFERROR(VLOOKUP(K3753,'2026.01'!A:Y,19,0),0)</f>
        <v>0</v>
      </c>
      <c r="G3762" s="310"/>
      <c r="K3762" s="300"/>
    </row>
    <row r="3763" ht="17.15" customHeight="1" spans="1:11">
      <c r="A3763" s="307" t="s">
        <v>18</v>
      </c>
      <c r="B3763" s="308"/>
      <c r="C3763" s="308"/>
      <c r="D3763" s="308"/>
      <c r="E3763" s="308"/>
      <c r="F3763" s="309">
        <f>IFERROR(VLOOKUP(K3753,'2026.01'!A:Y,22,0),0)</f>
        <v>0</v>
      </c>
      <c r="G3763" s="310"/>
      <c r="K3763" s="300"/>
    </row>
    <row r="3764" ht="17.15" customHeight="1" spans="1:11">
      <c r="A3764" s="307" t="s">
        <v>19</v>
      </c>
      <c r="B3764" s="312"/>
      <c r="C3764" s="308"/>
      <c r="D3764" s="313"/>
      <c r="E3764" s="308"/>
      <c r="F3764" s="309">
        <f>IFERROR(VLOOKUP(K3753,'2026.01'!A:Y,25,0),0)</f>
        <v>1500</v>
      </c>
      <c r="G3764" s="310"/>
      <c r="K3764" s="300"/>
    </row>
    <row r="3765" ht="15" customHeight="1" spans="1:11">
      <c r="A3765" s="314" t="s">
        <v>20</v>
      </c>
      <c r="B3765" s="315">
        <f>IF(F3764&lt;0,"金额为负，无效",INT(F3764))</f>
        <v>1500</v>
      </c>
      <c r="C3765" s="315"/>
      <c r="D3765" s="315"/>
      <c r="E3765" s="316" t="s">
        <v>21</v>
      </c>
      <c r="F3765" s="317"/>
      <c r="G3765" s="318"/>
      <c r="K3765" s="300"/>
    </row>
    <row r="3766" ht="23" customHeight="1" spans="1:11">
      <c r="A3766" s="319"/>
      <c r="B3766" s="320"/>
      <c r="C3766" s="320"/>
      <c r="D3766" s="320"/>
      <c r="E3766" s="319"/>
      <c r="F3766" s="321"/>
      <c r="G3766" s="322"/>
      <c r="K3766" s="300"/>
    </row>
    <row r="3767" ht="27" customHeight="1" spans="1:11">
      <c r="A3767" s="298" t="s">
        <v>0</v>
      </c>
      <c r="B3767" s="298"/>
      <c r="C3767" s="298"/>
      <c r="D3767" s="298"/>
      <c r="E3767" s="298"/>
      <c r="F3767" s="298"/>
      <c r="G3767" s="298"/>
      <c r="H3767" s="299"/>
      <c r="I3767" s="299"/>
      <c r="J3767" s="299"/>
      <c r="K3767" s="300">
        <v>270</v>
      </c>
    </row>
    <row r="3768" ht="15" customHeight="1" spans="1:11">
      <c r="A3768" s="301" t="s">
        <v>1</v>
      </c>
      <c r="B3768" s="301"/>
      <c r="C3768" s="301"/>
      <c r="D3768" s="301"/>
      <c r="E3768" s="301"/>
      <c r="F3768" s="301"/>
      <c r="G3768" s="302" t="str">
        <f>IFERROR(VLOOKUP(K3767,'2026.01'!A:Y,2,0),0)</f>
        <v>NO:270</v>
      </c>
      <c r="K3768" s="300"/>
    </row>
    <row r="3769" ht="15" customHeight="1" spans="1:11">
      <c r="A3769" s="303" t="s">
        <v>2</v>
      </c>
      <c r="B3769" s="304">
        <f>IFERROR(VLOOKUP(K3767,'2026.01'!A:Y,6,0),0)</f>
        <v>5001</v>
      </c>
      <c r="C3769" s="304"/>
      <c r="D3769" s="305" t="s">
        <v>3</v>
      </c>
      <c r="E3769" s="305" t="str">
        <f>IFERROR(VLOOKUP(K3767,'2026.01'!A:Y,7,0),0)</f>
        <v>沈阳俊</v>
      </c>
      <c r="F3769" s="305"/>
      <c r="G3769" s="306" t="s">
        <v>4</v>
      </c>
      <c r="K3769" s="300"/>
    </row>
    <row r="3770" ht="15" customHeight="1" spans="1:11">
      <c r="A3770" s="307" t="s">
        <v>5</v>
      </c>
      <c r="B3770" s="308" t="s">
        <v>6</v>
      </c>
      <c r="C3770" s="308" t="s">
        <v>7</v>
      </c>
      <c r="D3770" s="308" t="s">
        <v>8</v>
      </c>
      <c r="E3770" s="308" t="s">
        <v>9</v>
      </c>
      <c r="F3770" s="309" t="s">
        <v>10</v>
      </c>
      <c r="G3770" s="310" t="s">
        <v>11</v>
      </c>
      <c r="K3770" s="300"/>
    </row>
    <row r="3771" ht="15" customHeight="1" spans="1:11">
      <c r="A3771" s="307" t="s">
        <v>12</v>
      </c>
      <c r="B3771" s="308">
        <f>IFERROR(VLOOKUP(K3767,'2026.01'!A:Y,14,0),0)</f>
        <v>36487</v>
      </c>
      <c r="C3771" s="308">
        <f>IFERROR(VLOOKUP(K3767,'2026.01'!A:Y,13,0),0)</f>
        <v>36428</v>
      </c>
      <c r="D3771" s="308">
        <f>IFERROR(VLOOKUP(K3767,'2026.01'!A:Y,15,0),0)</f>
        <v>59</v>
      </c>
      <c r="E3771" s="311">
        <f>IFERROR(VLOOKUP(K3767,'2026.01'!A:Y,18,0),0)</f>
        <v>0.8</v>
      </c>
      <c r="F3771" s="309">
        <f>IFERROR(VLOOKUP(K3767,'2026.01'!A:Y,20,0),0)</f>
        <v>47</v>
      </c>
      <c r="G3771" s="310"/>
      <c r="K3771" s="300"/>
    </row>
    <row r="3772" ht="15" customHeight="1" spans="1:11">
      <c r="A3772" s="307" t="s">
        <v>13</v>
      </c>
      <c r="B3772" s="308"/>
      <c r="C3772" s="308"/>
      <c r="D3772" s="308"/>
      <c r="E3772" s="311"/>
      <c r="F3772" s="309">
        <f>IFERROR(VLOOKUP(K3767,'2026.01'!A:Y,24,0),0)</f>
        <v>85</v>
      </c>
      <c r="G3772" s="310"/>
      <c r="K3772" s="300"/>
    </row>
    <row r="3773" ht="15" customHeight="1" spans="1:11">
      <c r="A3773" s="307" t="s">
        <v>14</v>
      </c>
      <c r="B3773" s="308"/>
      <c r="C3773" s="308"/>
      <c r="D3773" s="308"/>
      <c r="E3773" s="311"/>
      <c r="F3773" s="309">
        <f>IFERROR(VLOOKUP(K3767,'2026.01'!A:Y,12,0),0)</f>
        <v>160</v>
      </c>
      <c r="G3773" s="310"/>
      <c r="K3773" s="300"/>
    </row>
    <row r="3774" ht="21" customHeight="1" spans="1:11">
      <c r="A3774" s="307" t="s">
        <v>15</v>
      </c>
      <c r="B3774" s="308"/>
      <c r="C3774" s="308"/>
      <c r="D3774" s="308"/>
      <c r="E3774" s="311"/>
      <c r="F3774" s="309">
        <f>IFERROR(VLOOKUP(K3767,'2026.01'!A:Y,9,0),0)</f>
        <v>4500</v>
      </c>
      <c r="G3774" s="310"/>
      <c r="K3774" s="300"/>
    </row>
    <row r="3775" ht="19" customHeight="1" spans="1:11">
      <c r="A3775" s="307" t="s">
        <v>16</v>
      </c>
      <c r="B3775" s="308"/>
      <c r="C3775" s="308"/>
      <c r="D3775" s="308"/>
      <c r="E3775" s="308"/>
      <c r="F3775" s="309">
        <f>IFERROR(VLOOKUP(K3767,'2026.01'!A:Y,10,0),0)</f>
        <v>500</v>
      </c>
      <c r="G3775" s="310"/>
      <c r="K3775" s="300"/>
    </row>
    <row r="3776" ht="21" customHeight="1" spans="1:11">
      <c r="A3776" s="307" t="s">
        <v>17</v>
      </c>
      <c r="B3776" s="308"/>
      <c r="C3776" s="308"/>
      <c r="D3776" s="308"/>
      <c r="E3776" s="308"/>
      <c r="F3776" s="309">
        <f>IFERROR(VLOOKUP(K3767,'2026.01'!A:Y,19,0),0)</f>
        <v>41</v>
      </c>
      <c r="G3776" s="310"/>
      <c r="K3776" s="300"/>
    </row>
    <row r="3777" ht="17.15" customHeight="1" spans="1:11">
      <c r="A3777" s="307" t="s">
        <v>18</v>
      </c>
      <c r="B3777" s="308"/>
      <c r="C3777" s="308"/>
      <c r="D3777" s="308"/>
      <c r="E3777" s="308"/>
      <c r="F3777" s="309">
        <f>IFERROR(VLOOKUP(K3767,'2026.01'!A:Y,22,0),0)</f>
        <v>222</v>
      </c>
      <c r="G3777" s="310"/>
      <c r="K3777" s="300"/>
    </row>
    <row r="3778" ht="17.15" customHeight="1" spans="1:11">
      <c r="A3778" s="307" t="s">
        <v>19</v>
      </c>
      <c r="B3778" s="312"/>
      <c r="C3778" s="308"/>
      <c r="D3778" s="313"/>
      <c r="E3778" s="308"/>
      <c r="F3778" s="309">
        <f>IFERROR(VLOOKUP(K3767,'2026.01'!A:Y,25,0),0)</f>
        <v>5555</v>
      </c>
      <c r="G3778" s="310"/>
      <c r="K3778" s="300"/>
    </row>
    <row r="3779" ht="15" customHeight="1" spans="1:11">
      <c r="A3779" s="314" t="s">
        <v>20</v>
      </c>
      <c r="B3779" s="315">
        <f>IF(F3778&lt;0,"金额为负，无效",INT(F3778))</f>
        <v>5555</v>
      </c>
      <c r="C3779" s="315"/>
      <c r="D3779" s="315"/>
      <c r="E3779" s="316" t="s">
        <v>21</v>
      </c>
      <c r="F3779" s="317"/>
      <c r="G3779" s="318"/>
      <c r="K3779" s="300"/>
    </row>
    <row r="3780" ht="15" customHeight="1" spans="1:11">
      <c r="A3780" s="319"/>
      <c r="B3780" s="320"/>
      <c r="C3780" s="320"/>
      <c r="D3780" s="320"/>
      <c r="E3780" s="319"/>
      <c r="F3780" s="321"/>
      <c r="G3780" s="322"/>
      <c r="K3780" s="300"/>
    </row>
    <row r="3781" ht="27" customHeight="1" spans="1:11">
      <c r="A3781" s="298" t="s">
        <v>0</v>
      </c>
      <c r="B3781" s="298"/>
      <c r="C3781" s="298"/>
      <c r="D3781" s="298"/>
      <c r="E3781" s="298"/>
      <c r="F3781" s="298"/>
      <c r="G3781" s="298"/>
      <c r="H3781" s="299"/>
      <c r="I3781" s="299"/>
      <c r="J3781" s="299"/>
      <c r="K3781" s="300">
        <v>271</v>
      </c>
    </row>
    <row r="3782" ht="15" customHeight="1" spans="1:11">
      <c r="A3782" s="301" t="s">
        <v>1</v>
      </c>
      <c r="B3782" s="301"/>
      <c r="C3782" s="301"/>
      <c r="D3782" s="301"/>
      <c r="E3782" s="301"/>
      <c r="F3782" s="301"/>
      <c r="G3782" s="302" t="str">
        <f>IFERROR(VLOOKUP(K3781,'2026.01'!A:Y,2,0),0)</f>
        <v>NO:271</v>
      </c>
      <c r="K3782" s="300"/>
    </row>
    <row r="3783" ht="15" customHeight="1" spans="1:11">
      <c r="A3783" s="303" t="s">
        <v>2</v>
      </c>
      <c r="B3783" s="304">
        <f>IFERROR(VLOOKUP(K3781,'2026.01'!A:Y,6,0),0)</f>
        <v>5002</v>
      </c>
      <c r="C3783" s="304"/>
      <c r="D3783" s="305" t="s">
        <v>3</v>
      </c>
      <c r="E3783" s="305" t="str">
        <f>IFERROR(VLOOKUP(K3781,'2026.01'!A:Y,7,0),0)</f>
        <v>严生飞</v>
      </c>
      <c r="F3783" s="305"/>
      <c r="G3783" s="306" t="s">
        <v>4</v>
      </c>
      <c r="K3783" s="300"/>
    </row>
    <row r="3784" ht="15" customHeight="1" spans="1:11">
      <c r="A3784" s="307" t="s">
        <v>5</v>
      </c>
      <c r="B3784" s="308" t="s">
        <v>6</v>
      </c>
      <c r="C3784" s="308" t="s">
        <v>7</v>
      </c>
      <c r="D3784" s="308" t="s">
        <v>8</v>
      </c>
      <c r="E3784" s="308" t="s">
        <v>9</v>
      </c>
      <c r="F3784" s="309" t="s">
        <v>10</v>
      </c>
      <c r="G3784" s="310" t="s">
        <v>11</v>
      </c>
      <c r="K3784" s="300"/>
    </row>
    <row r="3785" ht="15" customHeight="1" spans="1:11">
      <c r="A3785" s="307" t="s">
        <v>12</v>
      </c>
      <c r="B3785" s="308">
        <f>IFERROR(VLOOKUP(K3781,'2026.01'!A:Y,14,0),0)</f>
        <v>16010</v>
      </c>
      <c r="C3785" s="308">
        <f>IFERROR(VLOOKUP(K3781,'2026.01'!A:Y,13,0),0)</f>
        <v>15997</v>
      </c>
      <c r="D3785" s="308">
        <f>IFERROR(VLOOKUP(K3781,'2026.01'!A:Y,15,0),0)</f>
        <v>13</v>
      </c>
      <c r="E3785" s="311">
        <f>IFERROR(VLOOKUP(K3781,'2026.01'!A:Y,18,0),0)</f>
        <v>0.8</v>
      </c>
      <c r="F3785" s="309">
        <f>IFERROR(VLOOKUP(K3781,'2026.01'!A:Y,20,0),0)</f>
        <v>10</v>
      </c>
      <c r="G3785" s="310"/>
      <c r="K3785" s="300"/>
    </row>
    <row r="3786" ht="15" customHeight="1" spans="1:11">
      <c r="A3786" s="307" t="s">
        <v>13</v>
      </c>
      <c r="B3786" s="308"/>
      <c r="C3786" s="308"/>
      <c r="D3786" s="308"/>
      <c r="E3786" s="311"/>
      <c r="F3786" s="309">
        <f>IFERROR(VLOOKUP(K3781,'2026.01'!A:Y,24,0),0)</f>
        <v>51</v>
      </c>
      <c r="G3786" s="310"/>
      <c r="K3786" s="300"/>
    </row>
    <row r="3787" ht="15" customHeight="1" spans="1:11">
      <c r="A3787" s="307" t="s">
        <v>14</v>
      </c>
      <c r="B3787" s="308"/>
      <c r="C3787" s="308"/>
      <c r="D3787" s="308"/>
      <c r="E3787" s="311"/>
      <c r="F3787" s="309">
        <f>IFERROR(VLOOKUP(K3781,'2026.01'!A:Y,12,0),0)</f>
        <v>160</v>
      </c>
      <c r="G3787" s="310"/>
      <c r="K3787" s="300"/>
    </row>
    <row r="3788" ht="21" customHeight="1" spans="1:11">
      <c r="A3788" s="307" t="s">
        <v>15</v>
      </c>
      <c r="B3788" s="308"/>
      <c r="C3788" s="308"/>
      <c r="D3788" s="308"/>
      <c r="E3788" s="311"/>
      <c r="F3788" s="309">
        <f>IFERROR(VLOOKUP(K3781,'2026.01'!A:Y,9,0),0)</f>
        <v>4500</v>
      </c>
      <c r="G3788" s="310"/>
      <c r="K3788" s="300"/>
    </row>
    <row r="3789" ht="19" customHeight="1" spans="1:11">
      <c r="A3789" s="307" t="s">
        <v>16</v>
      </c>
      <c r="B3789" s="308"/>
      <c r="C3789" s="308"/>
      <c r="D3789" s="308"/>
      <c r="E3789" s="308"/>
      <c r="F3789" s="309">
        <f>IFERROR(VLOOKUP(K3781,'2026.01'!A:Y,10,0),0)</f>
        <v>500</v>
      </c>
      <c r="G3789" s="310"/>
      <c r="K3789" s="300"/>
    </row>
    <row r="3790" ht="21" customHeight="1" spans="1:11">
      <c r="A3790" s="307" t="s">
        <v>17</v>
      </c>
      <c r="B3790" s="308"/>
      <c r="C3790" s="308"/>
      <c r="D3790" s="308"/>
      <c r="E3790" s="308"/>
      <c r="F3790" s="309">
        <f>IFERROR(VLOOKUP(K3781,'2026.01'!A:Y,19,0),0)</f>
        <v>9</v>
      </c>
      <c r="G3790" s="310"/>
      <c r="K3790" s="300"/>
    </row>
    <row r="3791" ht="17.15" customHeight="1" spans="1:11">
      <c r="A3791" s="307" t="s">
        <v>18</v>
      </c>
      <c r="B3791" s="308"/>
      <c r="C3791" s="308"/>
      <c r="D3791" s="308"/>
      <c r="E3791" s="308"/>
      <c r="F3791" s="309">
        <f>IFERROR(VLOOKUP(K3781,'2026.01'!A:Y,22,0),0)</f>
        <v>146</v>
      </c>
      <c r="G3791" s="310"/>
      <c r="K3791" s="300"/>
    </row>
    <row r="3792" ht="17.15" customHeight="1" spans="1:11">
      <c r="A3792" s="307" t="s">
        <v>19</v>
      </c>
      <c r="B3792" s="312"/>
      <c r="C3792" s="308"/>
      <c r="D3792" s="313"/>
      <c r="E3792" s="308"/>
      <c r="F3792" s="309">
        <f>IFERROR(VLOOKUP(K3781,'2026.01'!A:Y,25,0),0)</f>
        <v>5376</v>
      </c>
      <c r="G3792" s="310"/>
      <c r="K3792" s="300"/>
    </row>
    <row r="3793" ht="15" customHeight="1" spans="1:11">
      <c r="A3793" s="314" t="s">
        <v>20</v>
      </c>
      <c r="B3793" s="315">
        <f>IF(F3792&lt;0,"金额为负，无效",INT(F3792))</f>
        <v>5376</v>
      </c>
      <c r="C3793" s="315"/>
      <c r="D3793" s="315"/>
      <c r="E3793" s="316" t="s">
        <v>21</v>
      </c>
      <c r="F3793" s="317"/>
      <c r="G3793" s="318"/>
      <c r="K3793" s="300"/>
    </row>
    <row r="3794" ht="23" customHeight="1" spans="1:11">
      <c r="A3794" s="319"/>
      <c r="B3794" s="320"/>
      <c r="C3794" s="320"/>
      <c r="D3794" s="320"/>
      <c r="E3794" s="319"/>
      <c r="F3794" s="321"/>
      <c r="G3794" s="322"/>
      <c r="K3794" s="300"/>
    </row>
    <row r="3795" ht="27" customHeight="1" spans="1:11">
      <c r="A3795" s="298" t="s">
        <v>0</v>
      </c>
      <c r="B3795" s="298"/>
      <c r="C3795" s="298"/>
      <c r="D3795" s="298"/>
      <c r="E3795" s="298"/>
      <c r="F3795" s="298"/>
      <c r="G3795" s="298"/>
      <c r="H3795" s="299"/>
      <c r="I3795" s="299"/>
      <c r="J3795" s="299"/>
      <c r="K3795" s="300">
        <v>272</v>
      </c>
    </row>
    <row r="3796" ht="15" customHeight="1" spans="1:11">
      <c r="A3796" s="301" t="s">
        <v>1</v>
      </c>
      <c r="B3796" s="301"/>
      <c r="C3796" s="301"/>
      <c r="D3796" s="301"/>
      <c r="E3796" s="301"/>
      <c r="F3796" s="301"/>
      <c r="G3796" s="302" t="str">
        <f>IFERROR(VLOOKUP(K3795,'2026.01'!A:Y,2,0),0)</f>
        <v>NO:272</v>
      </c>
      <c r="K3796" s="300"/>
    </row>
    <row r="3797" ht="15" customHeight="1" spans="1:11">
      <c r="A3797" s="303" t="s">
        <v>2</v>
      </c>
      <c r="B3797" s="304">
        <f>IFERROR(VLOOKUP(K3795,'2026.01'!A:Y,6,0),0)</f>
        <v>5003</v>
      </c>
      <c r="C3797" s="304"/>
      <c r="D3797" s="305" t="s">
        <v>3</v>
      </c>
      <c r="E3797" s="305" t="str">
        <f>IFERROR(VLOOKUP(K3795,'2026.01'!A:Y,7,0),0)</f>
        <v>杨柳</v>
      </c>
      <c r="F3797" s="305"/>
      <c r="G3797" s="306" t="s">
        <v>4</v>
      </c>
      <c r="K3797" s="300"/>
    </row>
    <row r="3798" ht="15" customHeight="1" spans="1:11">
      <c r="A3798" s="307" t="s">
        <v>5</v>
      </c>
      <c r="B3798" s="308" t="s">
        <v>6</v>
      </c>
      <c r="C3798" s="308" t="s">
        <v>7</v>
      </c>
      <c r="D3798" s="308" t="s">
        <v>8</v>
      </c>
      <c r="E3798" s="308" t="s">
        <v>9</v>
      </c>
      <c r="F3798" s="309" t="s">
        <v>10</v>
      </c>
      <c r="G3798" s="310" t="s">
        <v>11</v>
      </c>
      <c r="K3798" s="300"/>
    </row>
    <row r="3799" ht="15" customHeight="1" spans="1:11">
      <c r="A3799" s="307" t="s">
        <v>12</v>
      </c>
      <c r="B3799" s="308">
        <f>IFERROR(VLOOKUP(K3795,'2026.01'!A:Y,14,0),0)</f>
        <v>29526</v>
      </c>
      <c r="C3799" s="308">
        <f>IFERROR(VLOOKUP(K3795,'2026.01'!A:Y,13,0),0)</f>
        <v>29478</v>
      </c>
      <c r="D3799" s="308">
        <f>IFERROR(VLOOKUP(K3795,'2026.01'!A:Y,15,0),0)</f>
        <v>48</v>
      </c>
      <c r="E3799" s="311">
        <f>IFERROR(VLOOKUP(K3795,'2026.01'!A:Y,18,0),0)</f>
        <v>0.8</v>
      </c>
      <c r="F3799" s="309">
        <f>IFERROR(VLOOKUP(K3795,'2026.01'!A:Y,20,0),0)</f>
        <v>38</v>
      </c>
      <c r="G3799" s="310"/>
      <c r="K3799" s="300"/>
    </row>
    <row r="3800" ht="15" customHeight="1" spans="1:11">
      <c r="A3800" s="307" t="s">
        <v>13</v>
      </c>
      <c r="B3800" s="308"/>
      <c r="C3800" s="308"/>
      <c r="D3800" s="308"/>
      <c r="E3800" s="311"/>
      <c r="F3800" s="309">
        <f>IFERROR(VLOOKUP(K3795,'2026.01'!A:Y,24,0),0)</f>
        <v>51</v>
      </c>
      <c r="G3800" s="310"/>
      <c r="K3800" s="300"/>
    </row>
    <row r="3801" ht="15" customHeight="1" spans="1:11">
      <c r="A3801" s="307" t="s">
        <v>14</v>
      </c>
      <c r="B3801" s="308"/>
      <c r="C3801" s="308"/>
      <c r="D3801" s="308"/>
      <c r="E3801" s="311"/>
      <c r="F3801" s="309">
        <f>IFERROR(VLOOKUP(K3795,'2026.01'!A:Y,12,0),0)</f>
        <v>160</v>
      </c>
      <c r="G3801" s="310"/>
      <c r="K3801" s="300"/>
    </row>
    <row r="3802" ht="21" customHeight="1" spans="1:11">
      <c r="A3802" s="307" t="s">
        <v>15</v>
      </c>
      <c r="B3802" s="308"/>
      <c r="C3802" s="308"/>
      <c r="D3802" s="308"/>
      <c r="E3802" s="311"/>
      <c r="F3802" s="309">
        <f>IFERROR(VLOOKUP(K3795,'2026.01'!A:Y,9,0),0)</f>
        <v>4500</v>
      </c>
      <c r="G3802" s="310"/>
      <c r="K3802" s="300"/>
    </row>
    <row r="3803" ht="19" customHeight="1" spans="1:11">
      <c r="A3803" s="307" t="s">
        <v>16</v>
      </c>
      <c r="B3803" s="308"/>
      <c r="C3803" s="308"/>
      <c r="D3803" s="308"/>
      <c r="E3803" s="308"/>
      <c r="F3803" s="309">
        <f>IFERROR(VLOOKUP(K3795,'2026.01'!A:Y,10,0),0)</f>
        <v>500</v>
      </c>
      <c r="G3803" s="310"/>
      <c r="K3803" s="300"/>
    </row>
    <row r="3804" ht="21" customHeight="1" spans="1:11">
      <c r="A3804" s="307" t="s">
        <v>17</v>
      </c>
      <c r="B3804" s="308"/>
      <c r="C3804" s="308"/>
      <c r="D3804" s="308"/>
      <c r="E3804" s="308"/>
      <c r="F3804" s="309">
        <f>IFERROR(VLOOKUP(K3795,'2026.01'!A:Y,19,0),0)</f>
        <v>34</v>
      </c>
      <c r="G3804" s="310"/>
      <c r="K3804" s="300"/>
    </row>
    <row r="3805" ht="17.15" customHeight="1" spans="1:11">
      <c r="A3805" s="307" t="s">
        <v>18</v>
      </c>
      <c r="B3805" s="308"/>
      <c r="C3805" s="308"/>
      <c r="D3805" s="308"/>
      <c r="E3805" s="308"/>
      <c r="F3805" s="309">
        <f>IFERROR(VLOOKUP(K3795,'2026.01'!A:Y,22,0),0)</f>
        <v>146</v>
      </c>
      <c r="G3805" s="310"/>
      <c r="K3805" s="300"/>
    </row>
    <row r="3806" ht="17.15" customHeight="1" spans="1:11">
      <c r="A3806" s="307" t="s">
        <v>19</v>
      </c>
      <c r="B3806" s="312"/>
      <c r="C3806" s="308"/>
      <c r="D3806" s="313"/>
      <c r="E3806" s="308"/>
      <c r="F3806" s="309">
        <f>IFERROR(VLOOKUP(K3795,'2026.01'!A:Y,25,0),0)</f>
        <v>5429</v>
      </c>
      <c r="G3806" s="310"/>
      <c r="K3806" s="300"/>
    </row>
    <row r="3807" ht="15" customHeight="1" spans="1:11">
      <c r="A3807" s="314" t="s">
        <v>20</v>
      </c>
      <c r="B3807" s="315">
        <f>IF(F3806&lt;0,"金额为负，无效",INT(F3806))</f>
        <v>5429</v>
      </c>
      <c r="C3807" s="315"/>
      <c r="D3807" s="315"/>
      <c r="E3807" s="316" t="s">
        <v>21</v>
      </c>
      <c r="F3807" s="317"/>
      <c r="G3807" s="318"/>
      <c r="K3807" s="300"/>
    </row>
    <row r="3808" ht="23" customHeight="1" spans="1:11">
      <c r="A3808" s="319"/>
      <c r="B3808" s="320"/>
      <c r="C3808" s="320"/>
      <c r="D3808" s="320"/>
      <c r="E3808" s="319"/>
      <c r="F3808" s="321"/>
      <c r="G3808" s="322"/>
      <c r="K3808" s="300"/>
    </row>
    <row r="3809" ht="27" customHeight="1" spans="1:11">
      <c r="A3809" s="298" t="s">
        <v>0</v>
      </c>
      <c r="B3809" s="298"/>
      <c r="C3809" s="298"/>
      <c r="D3809" s="298"/>
      <c r="E3809" s="298"/>
      <c r="F3809" s="298"/>
      <c r="G3809" s="298"/>
      <c r="H3809" s="299"/>
      <c r="I3809" s="299"/>
      <c r="J3809" s="299"/>
      <c r="K3809" s="300">
        <v>273</v>
      </c>
    </row>
    <row r="3810" ht="15" customHeight="1" spans="1:11">
      <c r="A3810" s="301" t="s">
        <v>1</v>
      </c>
      <c r="B3810" s="301"/>
      <c r="C3810" s="301"/>
      <c r="D3810" s="301"/>
      <c r="E3810" s="301"/>
      <c r="F3810" s="301"/>
      <c r="G3810" s="302" t="str">
        <f>IFERROR(VLOOKUP(K3809,'2026.01'!A:Y,2,0),0)</f>
        <v>NO:273</v>
      </c>
      <c r="K3810" s="300"/>
    </row>
    <row r="3811" ht="15" customHeight="1" spans="1:11">
      <c r="A3811" s="303" t="s">
        <v>2</v>
      </c>
      <c r="B3811" s="304" t="str">
        <f>IFERROR(VLOOKUP(K3809,'2026.01'!A:Y,6,0),0)</f>
        <v>5005A</v>
      </c>
      <c r="C3811" s="304"/>
      <c r="D3811" s="305" t="s">
        <v>3</v>
      </c>
      <c r="E3811" s="305" t="str">
        <f>IFERROR(VLOOKUP(K3809,'2026.01'!A:Y,7,0),0)</f>
        <v>秦福成</v>
      </c>
      <c r="F3811" s="305"/>
      <c r="G3811" s="306" t="s">
        <v>4</v>
      </c>
      <c r="K3811" s="300"/>
    </row>
    <row r="3812" ht="15" customHeight="1" spans="1:11">
      <c r="A3812" s="307" t="s">
        <v>5</v>
      </c>
      <c r="B3812" s="308" t="s">
        <v>6</v>
      </c>
      <c r="C3812" s="308" t="s">
        <v>7</v>
      </c>
      <c r="D3812" s="308" t="s">
        <v>8</v>
      </c>
      <c r="E3812" s="308" t="s">
        <v>9</v>
      </c>
      <c r="F3812" s="309" t="s">
        <v>10</v>
      </c>
      <c r="G3812" s="310" t="s">
        <v>11</v>
      </c>
      <c r="K3812" s="300"/>
    </row>
    <row r="3813" ht="15" customHeight="1" spans="1:11">
      <c r="A3813" s="307" t="s">
        <v>12</v>
      </c>
      <c r="B3813" s="308">
        <f>IFERROR(VLOOKUP(K3809,'2026.01'!A:Y,14,0),0)</f>
        <v>25674</v>
      </c>
      <c r="C3813" s="308">
        <f>IFERROR(VLOOKUP(K3809,'2026.01'!A:Y,13,0),0)</f>
        <v>25628</v>
      </c>
      <c r="D3813" s="308">
        <f>IFERROR(VLOOKUP(K3809,'2026.01'!A:Y,15,0),0)</f>
        <v>46</v>
      </c>
      <c r="E3813" s="311">
        <f>IFERROR(VLOOKUP(K3809,'2026.01'!A:Y,18,0),0)</f>
        <v>0.8</v>
      </c>
      <c r="F3813" s="309">
        <f>IFERROR(VLOOKUP(K3809,'2026.01'!A:Y,20,0),0)</f>
        <v>37</v>
      </c>
      <c r="G3813" s="310"/>
      <c r="K3813" s="300"/>
    </row>
    <row r="3814" ht="15" customHeight="1" spans="1:11">
      <c r="A3814" s="307" t="s">
        <v>13</v>
      </c>
      <c r="B3814" s="308"/>
      <c r="C3814" s="308"/>
      <c r="D3814" s="308"/>
      <c r="E3814" s="311"/>
      <c r="F3814" s="309">
        <f>IFERROR(VLOOKUP(K3809,'2026.01'!A:Y,24,0),0)</f>
        <v>51</v>
      </c>
      <c r="G3814" s="310"/>
      <c r="K3814" s="300"/>
    </row>
    <row r="3815" ht="15" customHeight="1" spans="1:11">
      <c r="A3815" s="307" t="s">
        <v>14</v>
      </c>
      <c r="B3815" s="308"/>
      <c r="C3815" s="308"/>
      <c r="D3815" s="308"/>
      <c r="E3815" s="311"/>
      <c r="F3815" s="309">
        <f>IFERROR(VLOOKUP(K3809,'2026.01'!A:Y,12,0),0)</f>
        <v>160</v>
      </c>
      <c r="G3815" s="310"/>
      <c r="K3815" s="300"/>
    </row>
    <row r="3816" ht="21" customHeight="1" spans="1:11">
      <c r="A3816" s="307" t="s">
        <v>15</v>
      </c>
      <c r="B3816" s="308"/>
      <c r="C3816" s="308"/>
      <c r="D3816" s="308"/>
      <c r="E3816" s="311"/>
      <c r="F3816" s="309">
        <f>IFERROR(VLOOKUP(K3809,'2026.01'!A:Y,9,0),0)</f>
        <v>4500</v>
      </c>
      <c r="G3816" s="310"/>
      <c r="K3816" s="300"/>
    </row>
    <row r="3817" ht="19" customHeight="1" spans="1:11">
      <c r="A3817" s="307" t="s">
        <v>16</v>
      </c>
      <c r="B3817" s="308"/>
      <c r="C3817" s="308"/>
      <c r="D3817" s="308"/>
      <c r="E3817" s="308"/>
      <c r="F3817" s="309">
        <f>IFERROR(VLOOKUP(K3809,'2026.01'!A:Y,10,0),0)</f>
        <v>500</v>
      </c>
      <c r="G3817" s="310"/>
      <c r="K3817" s="300"/>
    </row>
    <row r="3818" ht="21" customHeight="1" spans="1:11">
      <c r="A3818" s="307" t="s">
        <v>17</v>
      </c>
      <c r="B3818" s="308"/>
      <c r="C3818" s="308"/>
      <c r="D3818" s="308"/>
      <c r="E3818" s="308"/>
      <c r="F3818" s="309">
        <f>IFERROR(VLOOKUP(K3809,'2026.01'!A:Y,19,0),0)</f>
        <v>32</v>
      </c>
      <c r="G3818" s="310"/>
      <c r="K3818" s="300"/>
    </row>
    <row r="3819" ht="17.15" customHeight="1" spans="1:11">
      <c r="A3819" s="307" t="s">
        <v>18</v>
      </c>
      <c r="B3819" s="308"/>
      <c r="C3819" s="308"/>
      <c r="D3819" s="308"/>
      <c r="E3819" s="308"/>
      <c r="F3819" s="309">
        <f>IFERROR(VLOOKUP(K3809,'2026.01'!A:Y,22,0),0)</f>
        <v>146</v>
      </c>
      <c r="G3819" s="310"/>
      <c r="K3819" s="300"/>
    </row>
    <row r="3820" ht="17.15" customHeight="1" spans="1:11">
      <c r="A3820" s="307" t="s">
        <v>19</v>
      </c>
      <c r="B3820" s="312"/>
      <c r="C3820" s="308"/>
      <c r="D3820" s="313"/>
      <c r="E3820" s="308"/>
      <c r="F3820" s="309">
        <f>IFERROR(VLOOKUP(K3809,'2026.01'!A:Y,25,0),0)</f>
        <v>5426</v>
      </c>
      <c r="G3820" s="310"/>
      <c r="K3820" s="300"/>
    </row>
    <row r="3821" ht="15" customHeight="1" spans="1:11">
      <c r="A3821" s="314" t="s">
        <v>20</v>
      </c>
      <c r="B3821" s="315">
        <f>IF(F3820&lt;0,"金额为负，无效",INT(F3820))</f>
        <v>5426</v>
      </c>
      <c r="C3821" s="315"/>
      <c r="D3821" s="315"/>
      <c r="E3821" s="316" t="s">
        <v>21</v>
      </c>
      <c r="F3821" s="317"/>
      <c r="G3821" s="318"/>
      <c r="K3821" s="300"/>
    </row>
    <row r="3822" ht="15" customHeight="1" spans="1:11">
      <c r="A3822" s="319"/>
      <c r="B3822" s="320"/>
      <c r="C3822" s="320"/>
      <c r="D3822" s="320"/>
      <c r="E3822" s="319"/>
      <c r="F3822" s="321"/>
      <c r="G3822" s="322"/>
      <c r="K3822" s="300"/>
    </row>
    <row r="3823" ht="27" customHeight="1" spans="1:11">
      <c r="A3823" s="298" t="s">
        <v>0</v>
      </c>
      <c r="B3823" s="298"/>
      <c r="C3823" s="298"/>
      <c r="D3823" s="298"/>
      <c r="E3823" s="298"/>
      <c r="F3823" s="298"/>
      <c r="G3823" s="298"/>
      <c r="H3823" s="299"/>
      <c r="I3823" s="299"/>
      <c r="J3823" s="299"/>
      <c r="K3823" s="300">
        <v>274</v>
      </c>
    </row>
    <row r="3824" ht="15" customHeight="1" spans="1:11">
      <c r="A3824" s="301" t="s">
        <v>1</v>
      </c>
      <c r="B3824" s="301"/>
      <c r="C3824" s="301"/>
      <c r="D3824" s="301"/>
      <c r="E3824" s="301"/>
      <c r="F3824" s="301"/>
      <c r="G3824" s="302" t="str">
        <f>IFERROR(VLOOKUP(K3823,'2026.01'!A:Y,2,0),0)</f>
        <v>NO:274</v>
      </c>
      <c r="K3824" s="300"/>
    </row>
    <row r="3825" ht="15" customHeight="1" spans="1:11">
      <c r="A3825" s="303" t="s">
        <v>2</v>
      </c>
      <c r="B3825" s="304">
        <f>IFERROR(VLOOKUP(K3823,'2026.01'!A:Y,6,0),0)</f>
        <v>5005</v>
      </c>
      <c r="C3825" s="304"/>
      <c r="D3825" s="305" t="s">
        <v>3</v>
      </c>
      <c r="E3825" s="305" t="str">
        <f>IFERROR(VLOOKUP(K3823,'2026.01'!A:Y,7,0),0)</f>
        <v>王冬雪</v>
      </c>
      <c r="F3825" s="305"/>
      <c r="G3825" s="306" t="s">
        <v>4</v>
      </c>
      <c r="K3825" s="300"/>
    </row>
    <row r="3826" ht="15" customHeight="1" spans="1:11">
      <c r="A3826" s="307" t="s">
        <v>5</v>
      </c>
      <c r="B3826" s="308" t="s">
        <v>6</v>
      </c>
      <c r="C3826" s="308" t="s">
        <v>7</v>
      </c>
      <c r="D3826" s="308" t="s">
        <v>8</v>
      </c>
      <c r="E3826" s="308" t="s">
        <v>9</v>
      </c>
      <c r="F3826" s="309" t="s">
        <v>10</v>
      </c>
      <c r="G3826" s="310" t="s">
        <v>11</v>
      </c>
      <c r="K3826" s="300"/>
    </row>
    <row r="3827" ht="15" customHeight="1" spans="1:11">
      <c r="A3827" s="307" t="s">
        <v>12</v>
      </c>
      <c r="B3827" s="308">
        <f>IFERROR(VLOOKUP(K3823,'2026.01'!A:Y,14,0),0)</f>
        <v>25680</v>
      </c>
      <c r="C3827" s="308">
        <f>IFERROR(VLOOKUP(K3823,'2026.01'!A:Y,13,0),0)</f>
        <v>25567</v>
      </c>
      <c r="D3827" s="308">
        <f>IFERROR(VLOOKUP(K3823,'2026.01'!A:Y,15,0),0)</f>
        <v>113</v>
      </c>
      <c r="E3827" s="311">
        <f>IFERROR(VLOOKUP(K3823,'2026.01'!A:Y,18,0),0)</f>
        <v>0.8</v>
      </c>
      <c r="F3827" s="309">
        <f>IFERROR(VLOOKUP(K3823,'2026.01'!A:Y,20,0),0)</f>
        <v>90</v>
      </c>
      <c r="G3827" s="310"/>
      <c r="K3827" s="300"/>
    </row>
    <row r="3828" ht="15" customHeight="1" spans="1:11">
      <c r="A3828" s="307" t="s">
        <v>13</v>
      </c>
      <c r="B3828" s="308"/>
      <c r="C3828" s="308"/>
      <c r="D3828" s="308"/>
      <c r="E3828" s="311"/>
      <c r="F3828" s="309">
        <f>IFERROR(VLOOKUP(K3823,'2026.01'!A:Y,24,0),0)</f>
        <v>51</v>
      </c>
      <c r="G3828" s="310"/>
      <c r="K3828" s="300"/>
    </row>
    <row r="3829" ht="15" customHeight="1" spans="1:11">
      <c r="A3829" s="307" t="s">
        <v>14</v>
      </c>
      <c r="B3829" s="308"/>
      <c r="C3829" s="308"/>
      <c r="D3829" s="308"/>
      <c r="E3829" s="311"/>
      <c r="F3829" s="309">
        <f>IFERROR(VLOOKUP(K3823,'2026.01'!A:Y,12,0),0)</f>
        <v>160</v>
      </c>
      <c r="G3829" s="310"/>
      <c r="K3829" s="300"/>
    </row>
    <row r="3830" ht="21" customHeight="1" spans="1:11">
      <c r="A3830" s="307" t="s">
        <v>15</v>
      </c>
      <c r="B3830" s="308"/>
      <c r="C3830" s="308"/>
      <c r="D3830" s="308"/>
      <c r="E3830" s="311"/>
      <c r="F3830" s="309">
        <f>IFERROR(VLOOKUP(K3823,'2026.01'!A:Y,9,0),0)</f>
        <v>4500</v>
      </c>
      <c r="G3830" s="310"/>
      <c r="K3830" s="300"/>
    </row>
    <row r="3831" ht="19" customHeight="1" spans="1:11">
      <c r="A3831" s="307" t="s">
        <v>16</v>
      </c>
      <c r="B3831" s="308"/>
      <c r="C3831" s="308"/>
      <c r="D3831" s="308"/>
      <c r="E3831" s="308"/>
      <c r="F3831" s="309">
        <f>IFERROR(VLOOKUP(K3823,'2026.01'!A:Y,10,0),0)</f>
        <v>500</v>
      </c>
      <c r="G3831" s="310"/>
      <c r="K3831" s="300"/>
    </row>
    <row r="3832" ht="21" customHeight="1" spans="1:11">
      <c r="A3832" s="307" t="s">
        <v>17</v>
      </c>
      <c r="B3832" s="308"/>
      <c r="C3832" s="308"/>
      <c r="D3832" s="308"/>
      <c r="E3832" s="308"/>
      <c r="F3832" s="309">
        <f>IFERROR(VLOOKUP(K3823,'2026.01'!A:Y,19,0),0)</f>
        <v>79</v>
      </c>
      <c r="G3832" s="310"/>
      <c r="K3832" s="300"/>
    </row>
    <row r="3833" ht="17.15" customHeight="1" spans="1:11">
      <c r="A3833" s="307" t="s">
        <v>18</v>
      </c>
      <c r="B3833" s="308"/>
      <c r="C3833" s="308"/>
      <c r="D3833" s="308"/>
      <c r="E3833" s="308"/>
      <c r="F3833" s="309">
        <f>IFERROR(VLOOKUP(K3823,'2026.01'!A:Y,22,0),0)</f>
        <v>146</v>
      </c>
      <c r="G3833" s="310"/>
      <c r="K3833" s="300"/>
    </row>
    <row r="3834" ht="17.15" customHeight="1" spans="1:11">
      <c r="A3834" s="307" t="s">
        <v>19</v>
      </c>
      <c r="B3834" s="312"/>
      <c r="C3834" s="308"/>
      <c r="D3834" s="313"/>
      <c r="E3834" s="308"/>
      <c r="F3834" s="309">
        <f>IFERROR(VLOOKUP(K3823,'2026.01'!A:Y,25,0),0)</f>
        <v>5526</v>
      </c>
      <c r="G3834" s="310"/>
      <c r="K3834" s="300"/>
    </row>
    <row r="3835" ht="15" customHeight="1" spans="1:11">
      <c r="A3835" s="314" t="s">
        <v>20</v>
      </c>
      <c r="B3835" s="315">
        <f>IF(F3834&lt;0,"金额为负，无效",INT(F3834))</f>
        <v>5526</v>
      </c>
      <c r="C3835" s="315"/>
      <c r="D3835" s="315"/>
      <c r="E3835" s="316" t="s">
        <v>21</v>
      </c>
      <c r="F3835" s="317"/>
      <c r="G3835" s="318"/>
      <c r="K3835" s="300"/>
    </row>
    <row r="3836" ht="23" customHeight="1" spans="1:11">
      <c r="A3836" s="319"/>
      <c r="B3836" s="320"/>
      <c r="C3836" s="320"/>
      <c r="D3836" s="320"/>
      <c r="E3836" s="319"/>
      <c r="F3836" s="321"/>
      <c r="G3836" s="322"/>
      <c r="K3836" s="300"/>
    </row>
    <row r="3837" ht="27" customHeight="1" spans="1:11">
      <c r="A3837" s="298" t="s">
        <v>0</v>
      </c>
      <c r="B3837" s="298"/>
      <c r="C3837" s="298"/>
      <c r="D3837" s="298"/>
      <c r="E3837" s="298"/>
      <c r="F3837" s="298"/>
      <c r="G3837" s="298"/>
      <c r="H3837" s="299"/>
      <c r="I3837" s="299"/>
      <c r="J3837" s="299"/>
      <c r="K3837" s="300">
        <v>275</v>
      </c>
    </row>
    <row r="3838" ht="15" customHeight="1" spans="1:11">
      <c r="A3838" s="301" t="s">
        <v>1</v>
      </c>
      <c r="B3838" s="301"/>
      <c r="C3838" s="301"/>
      <c r="D3838" s="301"/>
      <c r="E3838" s="301"/>
      <c r="F3838" s="301"/>
      <c r="G3838" s="302" t="str">
        <f>IFERROR(VLOOKUP(K3837,'2026.01'!A:Y,2,0),0)</f>
        <v>NO:275</v>
      </c>
      <c r="K3838" s="300"/>
    </row>
    <row r="3839" ht="15" customHeight="1" spans="1:11">
      <c r="A3839" s="303" t="s">
        <v>2</v>
      </c>
      <c r="B3839" s="304">
        <f>IFERROR(VLOOKUP(K3837,'2026.01'!A:Y,6,0),0)</f>
        <v>5006</v>
      </c>
      <c r="C3839" s="304"/>
      <c r="D3839" s="305" t="s">
        <v>3</v>
      </c>
      <c r="E3839" s="305" t="str">
        <f>IFERROR(VLOOKUP(K3837,'2026.01'!A:Y,7,0),0)</f>
        <v>陈淡吟</v>
      </c>
      <c r="F3839" s="305"/>
      <c r="G3839" s="306" t="s">
        <v>4</v>
      </c>
      <c r="K3839" s="300"/>
    </row>
    <row r="3840" ht="15" customHeight="1" spans="1:11">
      <c r="A3840" s="307" t="s">
        <v>5</v>
      </c>
      <c r="B3840" s="308" t="s">
        <v>6</v>
      </c>
      <c r="C3840" s="308" t="s">
        <v>7</v>
      </c>
      <c r="D3840" s="308" t="s">
        <v>8</v>
      </c>
      <c r="E3840" s="308" t="s">
        <v>9</v>
      </c>
      <c r="F3840" s="309" t="s">
        <v>10</v>
      </c>
      <c r="G3840" s="310" t="s">
        <v>11</v>
      </c>
      <c r="K3840" s="300"/>
    </row>
    <row r="3841" ht="15" customHeight="1" spans="1:11">
      <c r="A3841" s="307" t="s">
        <v>12</v>
      </c>
      <c r="B3841" s="308">
        <f>IFERROR(VLOOKUP(K3837,'2026.01'!A:Y,14,0),0)</f>
        <v>24602</v>
      </c>
      <c r="C3841" s="308">
        <f>IFERROR(VLOOKUP(K3837,'2026.01'!A:Y,13,0),0)</f>
        <v>24542</v>
      </c>
      <c r="D3841" s="308">
        <f>IFERROR(VLOOKUP(K3837,'2026.01'!A:Y,15,0),0)</f>
        <v>60</v>
      </c>
      <c r="E3841" s="311">
        <f>IFERROR(VLOOKUP(K3837,'2026.01'!A:Y,18,0),0)</f>
        <v>0.8</v>
      </c>
      <c r="F3841" s="309">
        <f>IFERROR(VLOOKUP(K3837,'2026.01'!A:Y,20,0),0)</f>
        <v>48</v>
      </c>
      <c r="G3841" s="310"/>
      <c r="K3841" s="300"/>
    </row>
    <row r="3842" ht="15" customHeight="1" spans="1:11">
      <c r="A3842" s="307" t="s">
        <v>13</v>
      </c>
      <c r="B3842" s="308"/>
      <c r="C3842" s="308"/>
      <c r="D3842" s="308"/>
      <c r="E3842" s="311"/>
      <c r="F3842" s="309">
        <f>IFERROR(VLOOKUP(K3837,'2026.01'!A:Y,24,0),0)</f>
        <v>51</v>
      </c>
      <c r="G3842" s="310"/>
      <c r="K3842" s="300"/>
    </row>
    <row r="3843" ht="15" customHeight="1" spans="1:11">
      <c r="A3843" s="307" t="s">
        <v>14</v>
      </c>
      <c r="B3843" s="308"/>
      <c r="C3843" s="308"/>
      <c r="D3843" s="308"/>
      <c r="E3843" s="311"/>
      <c r="F3843" s="309">
        <f>IFERROR(VLOOKUP(K3837,'2026.01'!A:Y,12,0),0)</f>
        <v>160</v>
      </c>
      <c r="G3843" s="310"/>
      <c r="K3843" s="300"/>
    </row>
    <row r="3844" ht="21" customHeight="1" spans="1:11">
      <c r="A3844" s="307" t="s">
        <v>15</v>
      </c>
      <c r="B3844" s="308"/>
      <c r="C3844" s="308"/>
      <c r="D3844" s="308"/>
      <c r="E3844" s="311"/>
      <c r="F3844" s="309">
        <f>IFERROR(VLOOKUP(K3837,'2026.01'!A:Y,9,0),0)</f>
        <v>4500</v>
      </c>
      <c r="G3844" s="310"/>
      <c r="K3844" s="300"/>
    </row>
    <row r="3845" ht="19" customHeight="1" spans="1:11">
      <c r="A3845" s="307" t="s">
        <v>16</v>
      </c>
      <c r="B3845" s="308"/>
      <c r="C3845" s="308"/>
      <c r="D3845" s="308"/>
      <c r="E3845" s="308"/>
      <c r="F3845" s="309">
        <f>IFERROR(VLOOKUP(K3837,'2026.01'!A:Y,10,0),0)</f>
        <v>500</v>
      </c>
      <c r="G3845" s="310"/>
      <c r="K3845" s="300"/>
    </row>
    <row r="3846" ht="21" customHeight="1" spans="1:11">
      <c r="A3846" s="307" t="s">
        <v>17</v>
      </c>
      <c r="B3846" s="308"/>
      <c r="C3846" s="308"/>
      <c r="D3846" s="308"/>
      <c r="E3846" s="308"/>
      <c r="F3846" s="309">
        <f>IFERROR(VLOOKUP(K3837,'2026.01'!A:Y,19,0),0)</f>
        <v>42</v>
      </c>
      <c r="G3846" s="310"/>
      <c r="K3846" s="300"/>
    </row>
    <row r="3847" ht="17.15" customHeight="1" spans="1:11">
      <c r="A3847" s="307" t="s">
        <v>18</v>
      </c>
      <c r="B3847" s="308"/>
      <c r="C3847" s="308"/>
      <c r="D3847" s="308"/>
      <c r="E3847" s="308"/>
      <c r="F3847" s="309">
        <f>IFERROR(VLOOKUP(K3837,'2026.01'!A:Y,22,0),0)</f>
        <v>146</v>
      </c>
      <c r="G3847" s="310"/>
      <c r="K3847" s="300"/>
    </row>
    <row r="3848" ht="17.15" customHeight="1" spans="1:11">
      <c r="A3848" s="307" t="s">
        <v>19</v>
      </c>
      <c r="B3848" s="312"/>
      <c r="C3848" s="308"/>
      <c r="D3848" s="313"/>
      <c r="E3848" s="308"/>
      <c r="F3848" s="309">
        <f>IFERROR(VLOOKUP(K3837,'2026.01'!A:Y,25,0),0)</f>
        <v>5447</v>
      </c>
      <c r="G3848" s="310"/>
      <c r="K3848" s="300"/>
    </row>
    <row r="3849" ht="15" customHeight="1" spans="1:11">
      <c r="A3849" s="314" t="s">
        <v>20</v>
      </c>
      <c r="B3849" s="315">
        <f>IF(F3848&lt;0,"金额为负，无效",INT(F3848))</f>
        <v>5447</v>
      </c>
      <c r="C3849" s="315"/>
      <c r="D3849" s="315"/>
      <c r="E3849" s="316" t="s">
        <v>21</v>
      </c>
      <c r="F3849" s="317"/>
      <c r="G3849" s="318"/>
      <c r="K3849" s="300"/>
    </row>
    <row r="3850" ht="23" customHeight="1" spans="1:11">
      <c r="A3850" s="319"/>
      <c r="B3850" s="320"/>
      <c r="C3850" s="320"/>
      <c r="D3850" s="320"/>
      <c r="E3850" s="319"/>
      <c r="F3850" s="321"/>
      <c r="G3850" s="322"/>
      <c r="K3850" s="300"/>
    </row>
    <row r="3851" ht="27" customHeight="1" spans="1:11">
      <c r="A3851" s="298" t="s">
        <v>0</v>
      </c>
      <c r="B3851" s="298"/>
      <c r="C3851" s="298"/>
      <c r="D3851" s="298"/>
      <c r="E3851" s="298"/>
      <c r="F3851" s="298"/>
      <c r="G3851" s="298"/>
      <c r="H3851" s="299"/>
      <c r="I3851" s="299"/>
      <c r="J3851" s="299"/>
      <c r="K3851" s="300">
        <v>276</v>
      </c>
    </row>
    <row r="3852" ht="15" customHeight="1" spans="1:11">
      <c r="A3852" s="301" t="s">
        <v>1</v>
      </c>
      <c r="B3852" s="301"/>
      <c r="C3852" s="301"/>
      <c r="D3852" s="301"/>
      <c r="E3852" s="301"/>
      <c r="F3852" s="301"/>
      <c r="G3852" s="302" t="str">
        <f>IFERROR(VLOOKUP(K3851,'2026.01'!A:Y,2,0),0)</f>
        <v>NO:276</v>
      </c>
      <c r="K3852" s="300"/>
    </row>
    <row r="3853" ht="15" customHeight="1" spans="1:11">
      <c r="A3853" s="303" t="s">
        <v>2</v>
      </c>
      <c r="B3853" s="304">
        <f>IFERROR(VLOOKUP(K3851,'2026.01'!A:Y,6,0),0)</f>
        <v>5007</v>
      </c>
      <c r="C3853" s="304"/>
      <c r="D3853" s="305" t="s">
        <v>3</v>
      </c>
      <c r="E3853" s="305" t="str">
        <f>IFERROR(VLOOKUP(K3851,'2026.01'!A:Y,7,0),0)</f>
        <v>李春辉</v>
      </c>
      <c r="F3853" s="305"/>
      <c r="G3853" s="306" t="s">
        <v>4</v>
      </c>
      <c r="K3853" s="300"/>
    </row>
    <row r="3854" ht="15" customHeight="1" spans="1:11">
      <c r="A3854" s="307" t="s">
        <v>5</v>
      </c>
      <c r="B3854" s="308" t="s">
        <v>6</v>
      </c>
      <c r="C3854" s="308" t="s">
        <v>7</v>
      </c>
      <c r="D3854" s="308" t="s">
        <v>8</v>
      </c>
      <c r="E3854" s="308" t="s">
        <v>9</v>
      </c>
      <c r="F3854" s="309" t="s">
        <v>10</v>
      </c>
      <c r="G3854" s="310" t="s">
        <v>11</v>
      </c>
      <c r="K3854" s="300"/>
    </row>
    <row r="3855" ht="15" customHeight="1" spans="1:11">
      <c r="A3855" s="307" t="s">
        <v>12</v>
      </c>
      <c r="B3855" s="308">
        <f>IFERROR(VLOOKUP(K3851,'2026.01'!A:Y,14,0),0)</f>
        <v>28490</v>
      </c>
      <c r="C3855" s="308">
        <f>IFERROR(VLOOKUP(K3851,'2026.01'!A:Y,13,0),0)</f>
        <v>28365</v>
      </c>
      <c r="D3855" s="308">
        <f>IFERROR(VLOOKUP(K3851,'2026.01'!A:Y,15,0),0)</f>
        <v>125</v>
      </c>
      <c r="E3855" s="311">
        <f>IFERROR(VLOOKUP(K3851,'2026.01'!A:Y,18,0),0)</f>
        <v>0.8</v>
      </c>
      <c r="F3855" s="309">
        <f>IFERROR(VLOOKUP(K3851,'2026.01'!A:Y,20,0),0)</f>
        <v>100</v>
      </c>
      <c r="G3855" s="310"/>
      <c r="K3855" s="300"/>
    </row>
    <row r="3856" ht="15" customHeight="1" spans="1:11">
      <c r="A3856" s="307" t="s">
        <v>13</v>
      </c>
      <c r="B3856" s="308"/>
      <c r="C3856" s="308"/>
      <c r="D3856" s="308"/>
      <c r="E3856" s="311"/>
      <c r="F3856" s="309">
        <f>IFERROR(VLOOKUP(K3851,'2026.01'!A:Y,24,0),0)</f>
        <v>51</v>
      </c>
      <c r="G3856" s="310"/>
      <c r="K3856" s="300"/>
    </row>
    <row r="3857" ht="15" customHeight="1" spans="1:11">
      <c r="A3857" s="307" t="s">
        <v>14</v>
      </c>
      <c r="B3857" s="308"/>
      <c r="C3857" s="308"/>
      <c r="D3857" s="308"/>
      <c r="E3857" s="311"/>
      <c r="F3857" s="309">
        <f>IFERROR(VLOOKUP(K3851,'2026.01'!A:Y,12,0),0)</f>
        <v>160</v>
      </c>
      <c r="G3857" s="310"/>
      <c r="K3857" s="300"/>
    </row>
    <row r="3858" ht="21" customHeight="1" spans="1:11">
      <c r="A3858" s="307" t="s">
        <v>15</v>
      </c>
      <c r="B3858" s="308"/>
      <c r="C3858" s="308"/>
      <c r="D3858" s="308"/>
      <c r="E3858" s="311"/>
      <c r="F3858" s="309">
        <f>IFERROR(VLOOKUP(K3851,'2026.01'!A:Y,9,0),0)</f>
        <v>4500</v>
      </c>
      <c r="G3858" s="310"/>
      <c r="K3858" s="300"/>
    </row>
    <row r="3859" ht="19" customHeight="1" spans="1:11">
      <c r="A3859" s="307" t="s">
        <v>16</v>
      </c>
      <c r="B3859" s="308"/>
      <c r="C3859" s="308"/>
      <c r="D3859" s="308"/>
      <c r="E3859" s="308"/>
      <c r="F3859" s="309">
        <f>IFERROR(VLOOKUP(K3851,'2026.01'!A:Y,10,0),0)</f>
        <v>500</v>
      </c>
      <c r="G3859" s="310"/>
      <c r="K3859" s="300"/>
    </row>
    <row r="3860" ht="21" customHeight="1" spans="1:11">
      <c r="A3860" s="307" t="s">
        <v>17</v>
      </c>
      <c r="B3860" s="308"/>
      <c r="C3860" s="308"/>
      <c r="D3860" s="308"/>
      <c r="E3860" s="308"/>
      <c r="F3860" s="309">
        <f>IFERROR(VLOOKUP(K3851,'2026.01'!A:Y,19,0),0)</f>
        <v>88</v>
      </c>
      <c r="G3860" s="310"/>
      <c r="K3860" s="300"/>
    </row>
    <row r="3861" ht="17.15" customHeight="1" spans="1:11">
      <c r="A3861" s="307" t="s">
        <v>18</v>
      </c>
      <c r="B3861" s="308"/>
      <c r="C3861" s="308"/>
      <c r="D3861" s="308"/>
      <c r="E3861" s="308"/>
      <c r="F3861" s="309">
        <f>IFERROR(VLOOKUP(K3851,'2026.01'!A:Y,22,0),0)</f>
        <v>146</v>
      </c>
      <c r="G3861" s="310"/>
      <c r="K3861" s="300"/>
    </row>
    <row r="3862" ht="17.15" customHeight="1" spans="1:11">
      <c r="A3862" s="307" t="s">
        <v>19</v>
      </c>
      <c r="B3862" s="312"/>
      <c r="C3862" s="308"/>
      <c r="D3862" s="313"/>
      <c r="E3862" s="308"/>
      <c r="F3862" s="309">
        <f>IFERROR(VLOOKUP(K3851,'2026.01'!A:Y,25,0),0)</f>
        <v>5545</v>
      </c>
      <c r="G3862" s="310"/>
      <c r="K3862" s="300"/>
    </row>
    <row r="3863" ht="15" customHeight="1" spans="1:11">
      <c r="A3863" s="314" t="s">
        <v>20</v>
      </c>
      <c r="B3863" s="315">
        <f>IF(F3862&lt;0,"金额为负，无效",INT(F3862))</f>
        <v>5545</v>
      </c>
      <c r="C3863" s="315"/>
      <c r="D3863" s="315"/>
      <c r="E3863" s="316" t="s">
        <v>21</v>
      </c>
      <c r="F3863" s="317"/>
      <c r="G3863" s="318"/>
      <c r="K3863" s="300"/>
    </row>
    <row r="3864" ht="15" customHeight="1" spans="1:11">
      <c r="A3864" s="319"/>
      <c r="B3864" s="320"/>
      <c r="C3864" s="320"/>
      <c r="D3864" s="320"/>
      <c r="E3864" s="319"/>
      <c r="F3864" s="321"/>
      <c r="G3864" s="322"/>
      <c r="K3864" s="300"/>
    </row>
    <row r="3865" ht="27" customHeight="1" spans="1:11">
      <c r="A3865" s="298" t="s">
        <v>0</v>
      </c>
      <c r="B3865" s="298"/>
      <c r="C3865" s="298"/>
      <c r="D3865" s="298"/>
      <c r="E3865" s="298"/>
      <c r="F3865" s="298"/>
      <c r="G3865" s="298"/>
      <c r="H3865" s="299"/>
      <c r="I3865" s="299"/>
      <c r="J3865" s="299"/>
      <c r="K3865" s="300">
        <v>277</v>
      </c>
    </row>
    <row r="3866" ht="15" customHeight="1" spans="1:11">
      <c r="A3866" s="301" t="s">
        <v>1</v>
      </c>
      <c r="B3866" s="301"/>
      <c r="C3866" s="301"/>
      <c r="D3866" s="301"/>
      <c r="E3866" s="301"/>
      <c r="F3866" s="301"/>
      <c r="G3866" s="302" t="str">
        <f>IFERROR(VLOOKUP(K3865,'2026.01'!A:Y,2,0),0)</f>
        <v>NO:277</v>
      </c>
      <c r="K3866" s="300"/>
    </row>
    <row r="3867" ht="15" customHeight="1" spans="1:11">
      <c r="A3867" s="303" t="s">
        <v>2</v>
      </c>
      <c r="B3867" s="304">
        <f>IFERROR(VLOOKUP(K3865,'2026.01'!A:Y,6,0),0)</f>
        <v>5008</v>
      </c>
      <c r="C3867" s="304"/>
      <c r="D3867" s="305" t="s">
        <v>3</v>
      </c>
      <c r="E3867" s="305" t="str">
        <f>IFERROR(VLOOKUP(K3865,'2026.01'!A:Y,7,0),0)</f>
        <v>江瑞芝</v>
      </c>
      <c r="F3867" s="305"/>
      <c r="G3867" s="306" t="s">
        <v>4</v>
      </c>
      <c r="K3867" s="300"/>
    </row>
    <row r="3868" ht="15" customHeight="1" spans="1:11">
      <c r="A3868" s="307" t="s">
        <v>5</v>
      </c>
      <c r="B3868" s="308" t="s">
        <v>6</v>
      </c>
      <c r="C3868" s="308" t="s">
        <v>7</v>
      </c>
      <c r="D3868" s="308" t="s">
        <v>8</v>
      </c>
      <c r="E3868" s="308" t="s">
        <v>9</v>
      </c>
      <c r="F3868" s="309" t="s">
        <v>10</v>
      </c>
      <c r="G3868" s="310" t="s">
        <v>11</v>
      </c>
      <c r="K3868" s="300"/>
    </row>
    <row r="3869" ht="15" customHeight="1" spans="1:11">
      <c r="A3869" s="307" t="s">
        <v>12</v>
      </c>
      <c r="B3869" s="308">
        <f>IFERROR(VLOOKUP(K3865,'2026.01'!A:Y,14,0),0)</f>
        <v>28003</v>
      </c>
      <c r="C3869" s="308">
        <f>IFERROR(VLOOKUP(K3865,'2026.01'!A:Y,13,0),0)</f>
        <v>27946</v>
      </c>
      <c r="D3869" s="308">
        <f>IFERROR(VLOOKUP(K3865,'2026.01'!A:Y,15,0),0)</f>
        <v>57</v>
      </c>
      <c r="E3869" s="311">
        <f>IFERROR(VLOOKUP(K3865,'2026.01'!A:Y,18,0),0)</f>
        <v>0.8</v>
      </c>
      <c r="F3869" s="309">
        <f>IFERROR(VLOOKUP(K3865,'2026.01'!A:Y,20,0),0)</f>
        <v>46</v>
      </c>
      <c r="G3869" s="310"/>
      <c r="K3869" s="300"/>
    </row>
    <row r="3870" ht="15" customHeight="1" spans="1:11">
      <c r="A3870" s="307" t="s">
        <v>13</v>
      </c>
      <c r="B3870" s="308"/>
      <c r="C3870" s="308"/>
      <c r="D3870" s="308"/>
      <c r="E3870" s="311"/>
      <c r="F3870" s="309">
        <f>IFERROR(VLOOKUP(K3865,'2026.01'!A:Y,24,0),0)</f>
        <v>51</v>
      </c>
      <c r="G3870" s="310"/>
      <c r="K3870" s="300"/>
    </row>
    <row r="3871" ht="15" customHeight="1" spans="1:11">
      <c r="A3871" s="307" t="s">
        <v>14</v>
      </c>
      <c r="B3871" s="308"/>
      <c r="C3871" s="308"/>
      <c r="D3871" s="308"/>
      <c r="E3871" s="311"/>
      <c r="F3871" s="309">
        <f>IFERROR(VLOOKUP(K3865,'2026.01'!A:Y,12,0),0)</f>
        <v>160</v>
      </c>
      <c r="G3871" s="310"/>
      <c r="K3871" s="300"/>
    </row>
    <row r="3872" ht="21" customHeight="1" spans="1:11">
      <c r="A3872" s="307" t="s">
        <v>15</v>
      </c>
      <c r="B3872" s="308"/>
      <c r="C3872" s="308"/>
      <c r="D3872" s="308"/>
      <c r="E3872" s="311"/>
      <c r="F3872" s="309">
        <f>IFERROR(VLOOKUP(K3865,'2026.01'!A:Y,9,0),0)</f>
        <v>4500</v>
      </c>
      <c r="G3872" s="310"/>
      <c r="K3872" s="300"/>
    </row>
    <row r="3873" ht="19" customHeight="1" spans="1:11">
      <c r="A3873" s="307" t="s">
        <v>16</v>
      </c>
      <c r="B3873" s="308"/>
      <c r="C3873" s="308"/>
      <c r="D3873" s="308"/>
      <c r="E3873" s="308"/>
      <c r="F3873" s="309">
        <f>IFERROR(VLOOKUP(K3865,'2026.01'!A:Y,10,0),0)</f>
        <v>500</v>
      </c>
      <c r="G3873" s="310"/>
      <c r="K3873" s="300"/>
    </row>
    <row r="3874" ht="21" customHeight="1" spans="1:11">
      <c r="A3874" s="307" t="s">
        <v>17</v>
      </c>
      <c r="B3874" s="308"/>
      <c r="C3874" s="308"/>
      <c r="D3874" s="308"/>
      <c r="E3874" s="308"/>
      <c r="F3874" s="309">
        <f>IFERROR(VLOOKUP(K3865,'2026.01'!A:Y,19,0),0)</f>
        <v>40</v>
      </c>
      <c r="G3874" s="310"/>
      <c r="K3874" s="300"/>
    </row>
    <row r="3875" ht="17.15" customHeight="1" spans="1:11">
      <c r="A3875" s="307" t="s">
        <v>18</v>
      </c>
      <c r="B3875" s="308"/>
      <c r="C3875" s="308"/>
      <c r="D3875" s="308"/>
      <c r="E3875" s="308"/>
      <c r="F3875" s="309">
        <f>IFERROR(VLOOKUP(K3865,'2026.01'!A:Y,22,0),0)</f>
        <v>146</v>
      </c>
      <c r="G3875" s="310"/>
      <c r="K3875" s="300"/>
    </row>
    <row r="3876" ht="17.15" customHeight="1" spans="1:11">
      <c r="A3876" s="307" t="s">
        <v>19</v>
      </c>
      <c r="B3876" s="312"/>
      <c r="C3876" s="308"/>
      <c r="D3876" s="313"/>
      <c r="E3876" s="308"/>
      <c r="F3876" s="309">
        <f>IFERROR(VLOOKUP(K3865,'2026.01'!A:Y,25,0),0)</f>
        <v>5443</v>
      </c>
      <c r="G3876" s="310"/>
      <c r="K3876" s="300"/>
    </row>
    <row r="3877" ht="15" customHeight="1" spans="1:11">
      <c r="A3877" s="314" t="s">
        <v>20</v>
      </c>
      <c r="B3877" s="315">
        <f>IF(F3876&lt;0,"金额为负，无效",INT(F3876))</f>
        <v>5443</v>
      </c>
      <c r="C3877" s="315"/>
      <c r="D3877" s="315"/>
      <c r="E3877" s="316" t="s">
        <v>21</v>
      </c>
      <c r="F3877" s="317"/>
      <c r="G3877" s="318"/>
      <c r="K3877" s="300"/>
    </row>
    <row r="3878" ht="23" customHeight="1" spans="1:11">
      <c r="A3878" s="319"/>
      <c r="B3878" s="320"/>
      <c r="C3878" s="320"/>
      <c r="D3878" s="320"/>
      <c r="E3878" s="319"/>
      <c r="F3878" s="321"/>
      <c r="G3878" s="322"/>
      <c r="K3878" s="300"/>
    </row>
    <row r="3879" ht="27" customHeight="1" spans="1:11">
      <c r="A3879" s="298" t="s">
        <v>0</v>
      </c>
      <c r="B3879" s="298"/>
      <c r="C3879" s="298"/>
      <c r="D3879" s="298"/>
      <c r="E3879" s="298"/>
      <c r="F3879" s="298"/>
      <c r="G3879" s="298"/>
      <c r="H3879" s="299"/>
      <c r="I3879" s="299"/>
      <c r="J3879" s="299"/>
      <c r="K3879" s="300">
        <v>278</v>
      </c>
    </row>
    <row r="3880" ht="15" customHeight="1" spans="1:11">
      <c r="A3880" s="301" t="s">
        <v>1</v>
      </c>
      <c r="B3880" s="301"/>
      <c r="C3880" s="301"/>
      <c r="D3880" s="301"/>
      <c r="E3880" s="301"/>
      <c r="F3880" s="301"/>
      <c r="G3880" s="302" t="str">
        <f>IFERROR(VLOOKUP(K3879,'2026.01'!A:Y,2,0),0)</f>
        <v>NO:278</v>
      </c>
      <c r="K3880" s="300"/>
    </row>
    <row r="3881" ht="15" customHeight="1" spans="1:11">
      <c r="A3881" s="303" t="s">
        <v>2</v>
      </c>
      <c r="B3881" s="304">
        <f>IFERROR(VLOOKUP(K3879,'2026.01'!A:Y,6,0),0)</f>
        <v>5009</v>
      </c>
      <c r="C3881" s="304"/>
      <c r="D3881" s="305" t="s">
        <v>3</v>
      </c>
      <c r="E3881" s="305" t="str">
        <f>IFERROR(VLOOKUP(K3879,'2026.01'!A:Y,7,0),0)</f>
        <v>欧雅琴</v>
      </c>
      <c r="F3881" s="305"/>
      <c r="G3881" s="306" t="s">
        <v>4</v>
      </c>
      <c r="K3881" s="300"/>
    </row>
    <row r="3882" ht="15" customHeight="1" spans="1:11">
      <c r="A3882" s="307" t="s">
        <v>5</v>
      </c>
      <c r="B3882" s="308" t="s">
        <v>6</v>
      </c>
      <c r="C3882" s="308" t="s">
        <v>7</v>
      </c>
      <c r="D3882" s="308" t="s">
        <v>8</v>
      </c>
      <c r="E3882" s="308" t="s">
        <v>9</v>
      </c>
      <c r="F3882" s="309" t="s">
        <v>10</v>
      </c>
      <c r="G3882" s="310" t="s">
        <v>11</v>
      </c>
      <c r="K3882" s="300"/>
    </row>
    <row r="3883" ht="15" customHeight="1" spans="1:11">
      <c r="A3883" s="307" t="s">
        <v>12</v>
      </c>
      <c r="B3883" s="308">
        <f>IFERROR(VLOOKUP(K3879,'2026.01'!A:Y,14,0),0)</f>
        <v>31026</v>
      </c>
      <c r="C3883" s="308">
        <f>IFERROR(VLOOKUP(K3879,'2026.01'!A:Y,13,0),0)</f>
        <v>30989</v>
      </c>
      <c r="D3883" s="308">
        <f>IFERROR(VLOOKUP(K3879,'2026.01'!A:Y,15,0),0)</f>
        <v>37</v>
      </c>
      <c r="E3883" s="311">
        <f>IFERROR(VLOOKUP(K3879,'2026.01'!A:Y,18,0),0)</f>
        <v>0.8</v>
      </c>
      <c r="F3883" s="309">
        <f>IFERROR(VLOOKUP(K3879,'2026.01'!A:Y,20,0),0)</f>
        <v>30</v>
      </c>
      <c r="G3883" s="310"/>
      <c r="K3883" s="300"/>
    </row>
    <row r="3884" ht="15" customHeight="1" spans="1:11">
      <c r="A3884" s="307" t="s">
        <v>13</v>
      </c>
      <c r="B3884" s="308"/>
      <c r="C3884" s="308"/>
      <c r="D3884" s="308"/>
      <c r="E3884" s="311"/>
      <c r="F3884" s="309">
        <f>IFERROR(VLOOKUP(K3879,'2026.01'!A:Y,24,0),0)</f>
        <v>51</v>
      </c>
      <c r="G3884" s="310"/>
      <c r="K3884" s="300"/>
    </row>
    <row r="3885" ht="15" customHeight="1" spans="1:11">
      <c r="A3885" s="307" t="s">
        <v>14</v>
      </c>
      <c r="B3885" s="308"/>
      <c r="C3885" s="308"/>
      <c r="D3885" s="308"/>
      <c r="E3885" s="311"/>
      <c r="F3885" s="309">
        <f>IFERROR(VLOOKUP(K3879,'2026.01'!A:Y,12,0),0)</f>
        <v>160</v>
      </c>
      <c r="G3885" s="310"/>
      <c r="K3885" s="300"/>
    </row>
    <row r="3886" ht="21" customHeight="1" spans="1:11">
      <c r="A3886" s="307" t="s">
        <v>15</v>
      </c>
      <c r="B3886" s="308"/>
      <c r="C3886" s="308"/>
      <c r="D3886" s="308"/>
      <c r="E3886" s="311"/>
      <c r="F3886" s="309">
        <f>IFERROR(VLOOKUP(K3879,'2026.01'!A:Y,9,0),0)</f>
        <v>4500</v>
      </c>
      <c r="G3886" s="310"/>
      <c r="K3886" s="300"/>
    </row>
    <row r="3887" ht="19" customHeight="1" spans="1:11">
      <c r="A3887" s="307" t="s">
        <v>16</v>
      </c>
      <c r="B3887" s="308"/>
      <c r="C3887" s="308"/>
      <c r="D3887" s="308"/>
      <c r="E3887" s="308"/>
      <c r="F3887" s="309">
        <f>IFERROR(VLOOKUP(K3879,'2026.01'!A:Y,10,0),0)</f>
        <v>500</v>
      </c>
      <c r="G3887" s="310"/>
      <c r="K3887" s="300"/>
    </row>
    <row r="3888" ht="21" customHeight="1" spans="1:11">
      <c r="A3888" s="307" t="s">
        <v>17</v>
      </c>
      <c r="B3888" s="308"/>
      <c r="C3888" s="308"/>
      <c r="D3888" s="308"/>
      <c r="E3888" s="308"/>
      <c r="F3888" s="309">
        <f>IFERROR(VLOOKUP(K3879,'2026.01'!A:Y,19,0),0)</f>
        <v>26</v>
      </c>
      <c r="G3888" s="310"/>
      <c r="K3888" s="300"/>
    </row>
    <row r="3889" ht="17.15" customHeight="1" spans="1:11">
      <c r="A3889" s="307" t="s">
        <v>18</v>
      </c>
      <c r="B3889" s="308"/>
      <c r="C3889" s="308"/>
      <c r="D3889" s="308"/>
      <c r="E3889" s="308"/>
      <c r="F3889" s="309">
        <f>IFERROR(VLOOKUP(K3879,'2026.01'!A:Y,22,0),0)</f>
        <v>146</v>
      </c>
      <c r="G3889" s="310"/>
      <c r="K3889" s="300"/>
    </row>
    <row r="3890" ht="17.15" customHeight="1" spans="1:11">
      <c r="A3890" s="307" t="s">
        <v>19</v>
      </c>
      <c r="B3890" s="312"/>
      <c r="C3890" s="308"/>
      <c r="D3890" s="313"/>
      <c r="E3890" s="308"/>
      <c r="F3890" s="309">
        <f>IFERROR(VLOOKUP(K3879,'2026.01'!A:Y,25,0),0)</f>
        <v>5413</v>
      </c>
      <c r="G3890" s="310"/>
      <c r="K3890" s="300"/>
    </row>
    <row r="3891" ht="15" customHeight="1" spans="1:11">
      <c r="A3891" s="314" t="s">
        <v>20</v>
      </c>
      <c r="B3891" s="315">
        <f>IF(F3890&lt;0,"金额为负，无效",INT(F3890))</f>
        <v>5413</v>
      </c>
      <c r="C3891" s="315"/>
      <c r="D3891" s="315"/>
      <c r="E3891" s="316" t="s">
        <v>21</v>
      </c>
      <c r="F3891" s="317"/>
      <c r="G3891" s="318"/>
      <c r="K3891" s="300"/>
    </row>
    <row r="3892" ht="23" customHeight="1" spans="1:11">
      <c r="A3892" s="319"/>
      <c r="B3892" s="320"/>
      <c r="C3892" s="320"/>
      <c r="D3892" s="320"/>
      <c r="E3892" s="319"/>
      <c r="F3892" s="321"/>
      <c r="G3892" s="322"/>
      <c r="K3892" s="300"/>
    </row>
    <row r="3893" ht="27" customHeight="1" spans="1:11">
      <c r="A3893" s="298" t="s">
        <v>0</v>
      </c>
      <c r="B3893" s="298"/>
      <c r="C3893" s="298"/>
      <c r="D3893" s="298"/>
      <c r="E3893" s="298"/>
      <c r="F3893" s="298"/>
      <c r="G3893" s="298"/>
      <c r="H3893" s="299"/>
      <c r="I3893" s="299"/>
      <c r="J3893" s="299"/>
      <c r="K3893" s="300">
        <v>279</v>
      </c>
    </row>
    <row r="3894" ht="15" customHeight="1" spans="1:11">
      <c r="A3894" s="301" t="s">
        <v>1</v>
      </c>
      <c r="B3894" s="301"/>
      <c r="C3894" s="301"/>
      <c r="D3894" s="301"/>
      <c r="E3894" s="301"/>
      <c r="F3894" s="301"/>
      <c r="G3894" s="302" t="str">
        <f>IFERROR(VLOOKUP(K3893,'2026.01'!A:Y,2,0),0)</f>
        <v>NO:279</v>
      </c>
      <c r="K3894" s="300"/>
    </row>
    <row r="3895" ht="15" customHeight="1" spans="1:11">
      <c r="A3895" s="303" t="s">
        <v>2</v>
      </c>
      <c r="B3895" s="304">
        <f>IFERROR(VLOOKUP(K3893,'2026.01'!A:Y,6,0),0)</f>
        <v>5010</v>
      </c>
      <c r="C3895" s="304"/>
      <c r="D3895" s="305" t="s">
        <v>3</v>
      </c>
      <c r="E3895" s="305" t="str">
        <f>IFERROR(VLOOKUP(K3893,'2026.01'!A:Y,7,0),0)</f>
        <v>钟胜</v>
      </c>
      <c r="F3895" s="305"/>
      <c r="G3895" s="306" t="s">
        <v>4</v>
      </c>
      <c r="K3895" s="300"/>
    </row>
    <row r="3896" ht="15" customHeight="1" spans="1:11">
      <c r="A3896" s="307" t="s">
        <v>5</v>
      </c>
      <c r="B3896" s="308" t="s">
        <v>6</v>
      </c>
      <c r="C3896" s="308" t="s">
        <v>7</v>
      </c>
      <c r="D3896" s="308" t="s">
        <v>8</v>
      </c>
      <c r="E3896" s="308" t="s">
        <v>9</v>
      </c>
      <c r="F3896" s="309" t="s">
        <v>10</v>
      </c>
      <c r="G3896" s="310" t="s">
        <v>11</v>
      </c>
      <c r="K3896" s="300"/>
    </row>
    <row r="3897" ht="15" customHeight="1" spans="1:11">
      <c r="A3897" s="307" t="s">
        <v>12</v>
      </c>
      <c r="B3897" s="308">
        <f>IFERROR(VLOOKUP(K3893,'2026.01'!A:Y,14,0),0)</f>
        <v>25152</v>
      </c>
      <c r="C3897" s="308">
        <f>IFERROR(VLOOKUP(K3893,'2026.01'!A:Y,13,0),0)</f>
        <v>25063</v>
      </c>
      <c r="D3897" s="308">
        <f>IFERROR(VLOOKUP(K3893,'2026.01'!A:Y,15,0),0)</f>
        <v>89</v>
      </c>
      <c r="E3897" s="311">
        <f>IFERROR(VLOOKUP(K3893,'2026.01'!A:Y,18,0),0)</f>
        <v>0.8</v>
      </c>
      <c r="F3897" s="309">
        <f>IFERROR(VLOOKUP(K3893,'2026.01'!A:Y,20,0),0)</f>
        <v>71</v>
      </c>
      <c r="G3897" s="310"/>
      <c r="K3897" s="300"/>
    </row>
    <row r="3898" ht="15" customHeight="1" spans="1:11">
      <c r="A3898" s="307" t="s">
        <v>13</v>
      </c>
      <c r="B3898" s="308"/>
      <c r="C3898" s="308"/>
      <c r="D3898" s="308"/>
      <c r="E3898" s="311"/>
      <c r="F3898" s="309">
        <f>IFERROR(VLOOKUP(K3893,'2026.01'!A:Y,24,0),0)</f>
        <v>51</v>
      </c>
      <c r="G3898" s="310"/>
      <c r="K3898" s="300"/>
    </row>
    <row r="3899" ht="15" customHeight="1" spans="1:11">
      <c r="A3899" s="307" t="s">
        <v>14</v>
      </c>
      <c r="B3899" s="308"/>
      <c r="C3899" s="308"/>
      <c r="D3899" s="308"/>
      <c r="E3899" s="311"/>
      <c r="F3899" s="309">
        <f>IFERROR(VLOOKUP(K3893,'2026.01'!A:Y,12,0),0)</f>
        <v>160</v>
      </c>
      <c r="G3899" s="310"/>
      <c r="K3899" s="300"/>
    </row>
    <row r="3900" ht="21" customHeight="1" spans="1:11">
      <c r="A3900" s="307" t="s">
        <v>15</v>
      </c>
      <c r="B3900" s="308"/>
      <c r="C3900" s="308"/>
      <c r="D3900" s="308"/>
      <c r="E3900" s="311"/>
      <c r="F3900" s="309">
        <f>IFERROR(VLOOKUP(K3893,'2026.01'!A:Y,9,0),0)</f>
        <v>4500</v>
      </c>
      <c r="G3900" s="310"/>
      <c r="K3900" s="300"/>
    </row>
    <row r="3901" ht="19" customHeight="1" spans="1:11">
      <c r="A3901" s="307" t="s">
        <v>16</v>
      </c>
      <c r="B3901" s="308"/>
      <c r="C3901" s="308"/>
      <c r="D3901" s="308"/>
      <c r="E3901" s="308"/>
      <c r="F3901" s="309">
        <f>IFERROR(VLOOKUP(K3893,'2026.01'!A:Y,10,0),0)</f>
        <v>500</v>
      </c>
      <c r="G3901" s="310"/>
      <c r="K3901" s="300"/>
    </row>
    <row r="3902" ht="21" customHeight="1" spans="1:11">
      <c r="A3902" s="307" t="s">
        <v>17</v>
      </c>
      <c r="B3902" s="308"/>
      <c r="C3902" s="308"/>
      <c r="D3902" s="308"/>
      <c r="E3902" s="308"/>
      <c r="F3902" s="309">
        <f>IFERROR(VLOOKUP(K3893,'2026.01'!A:Y,19,0),0)</f>
        <v>62</v>
      </c>
      <c r="G3902" s="310"/>
      <c r="K3902" s="300"/>
    </row>
    <row r="3903" ht="17.15" customHeight="1" spans="1:11">
      <c r="A3903" s="307" t="s">
        <v>18</v>
      </c>
      <c r="B3903" s="308"/>
      <c r="C3903" s="308"/>
      <c r="D3903" s="308"/>
      <c r="E3903" s="308"/>
      <c r="F3903" s="309">
        <f>IFERROR(VLOOKUP(K3893,'2026.01'!A:Y,22,0),0)</f>
        <v>146</v>
      </c>
      <c r="G3903" s="310"/>
      <c r="K3903" s="300"/>
    </row>
    <row r="3904" ht="17.15" customHeight="1" spans="1:11">
      <c r="A3904" s="307" t="s">
        <v>19</v>
      </c>
      <c r="B3904" s="312"/>
      <c r="C3904" s="308"/>
      <c r="D3904" s="313"/>
      <c r="E3904" s="308"/>
      <c r="F3904" s="309">
        <f>IFERROR(VLOOKUP(K3893,'2026.01'!A:Y,25,0),0)</f>
        <v>5490</v>
      </c>
      <c r="G3904" s="310"/>
      <c r="K3904" s="300"/>
    </row>
    <row r="3905" ht="15" customHeight="1" spans="1:11">
      <c r="A3905" s="314" t="s">
        <v>20</v>
      </c>
      <c r="B3905" s="315">
        <f>IF(F3904&lt;0,"金额为负，无效",INT(F3904))</f>
        <v>5490</v>
      </c>
      <c r="C3905" s="315"/>
      <c r="D3905" s="315"/>
      <c r="E3905" s="316" t="s">
        <v>21</v>
      </c>
      <c r="F3905" s="317"/>
      <c r="G3905" s="318"/>
      <c r="K3905" s="300"/>
    </row>
    <row r="3906" ht="15" customHeight="1" spans="1:11">
      <c r="A3906" s="319"/>
      <c r="B3906" s="320"/>
      <c r="C3906" s="320"/>
      <c r="D3906" s="320"/>
      <c r="E3906" s="319"/>
      <c r="F3906" s="321"/>
      <c r="G3906" s="322"/>
      <c r="K3906" s="300"/>
    </row>
    <row r="3907" ht="27" customHeight="1" spans="1:11">
      <c r="A3907" s="298" t="s">
        <v>0</v>
      </c>
      <c r="B3907" s="298"/>
      <c r="C3907" s="298"/>
      <c r="D3907" s="298"/>
      <c r="E3907" s="298"/>
      <c r="F3907" s="298"/>
      <c r="G3907" s="298"/>
      <c r="H3907" s="299"/>
      <c r="I3907" s="299"/>
      <c r="J3907" s="299"/>
      <c r="K3907" s="300">
        <v>280</v>
      </c>
    </row>
    <row r="3908" ht="15" customHeight="1" spans="1:11">
      <c r="A3908" s="301" t="s">
        <v>1</v>
      </c>
      <c r="B3908" s="301"/>
      <c r="C3908" s="301"/>
      <c r="D3908" s="301"/>
      <c r="E3908" s="301"/>
      <c r="F3908" s="301"/>
      <c r="G3908" s="302" t="str">
        <f>IFERROR(VLOOKUP(K3907,'2026.01'!A:Y,2,0),0)</f>
        <v>NO:280</v>
      </c>
      <c r="K3908" s="300"/>
    </row>
    <row r="3909" ht="15" customHeight="1" spans="1:11">
      <c r="A3909" s="303" t="s">
        <v>2</v>
      </c>
      <c r="B3909" s="304">
        <f>IFERROR(VLOOKUP(K3907,'2026.01'!A:Y,6,0),0)</f>
        <v>5011</v>
      </c>
      <c r="C3909" s="304"/>
      <c r="D3909" s="305" t="s">
        <v>3</v>
      </c>
      <c r="E3909" s="305" t="str">
        <f>IFERROR(VLOOKUP(K3907,'2026.01'!A:Y,7,0),0)</f>
        <v>黄华清</v>
      </c>
      <c r="F3909" s="305"/>
      <c r="G3909" s="306" t="s">
        <v>4</v>
      </c>
      <c r="K3909" s="300"/>
    </row>
    <row r="3910" ht="15" customHeight="1" spans="1:11">
      <c r="A3910" s="307" t="s">
        <v>5</v>
      </c>
      <c r="B3910" s="308" t="s">
        <v>6</v>
      </c>
      <c r="C3910" s="308" t="s">
        <v>7</v>
      </c>
      <c r="D3910" s="308" t="s">
        <v>8</v>
      </c>
      <c r="E3910" s="308" t="s">
        <v>9</v>
      </c>
      <c r="F3910" s="309" t="s">
        <v>10</v>
      </c>
      <c r="G3910" s="310" t="s">
        <v>11</v>
      </c>
      <c r="K3910" s="300"/>
    </row>
    <row r="3911" ht="15" customHeight="1" spans="1:11">
      <c r="A3911" s="307" t="s">
        <v>12</v>
      </c>
      <c r="B3911" s="308">
        <f>IFERROR(VLOOKUP(K3907,'2026.01'!A:Y,14,0),0)</f>
        <v>24058</v>
      </c>
      <c r="C3911" s="308">
        <f>IFERROR(VLOOKUP(K3907,'2026.01'!A:Y,13,0),0)</f>
        <v>24032</v>
      </c>
      <c r="D3911" s="308">
        <f>IFERROR(VLOOKUP(K3907,'2026.01'!A:Y,15,0),0)</f>
        <v>26</v>
      </c>
      <c r="E3911" s="311">
        <f>IFERROR(VLOOKUP(K3907,'2026.01'!A:Y,18,0),0)</f>
        <v>0.8</v>
      </c>
      <c r="F3911" s="309">
        <f>IFERROR(VLOOKUP(K3907,'2026.01'!A:Y,20,0),0)</f>
        <v>21</v>
      </c>
      <c r="G3911" s="310"/>
      <c r="K3911" s="300"/>
    </row>
    <row r="3912" ht="15" customHeight="1" spans="1:11">
      <c r="A3912" s="307" t="s">
        <v>13</v>
      </c>
      <c r="B3912" s="308"/>
      <c r="C3912" s="308"/>
      <c r="D3912" s="308"/>
      <c r="E3912" s="311"/>
      <c r="F3912" s="309">
        <f>IFERROR(VLOOKUP(K3907,'2026.01'!A:Y,24,0),0)</f>
        <v>51</v>
      </c>
      <c r="G3912" s="310"/>
      <c r="K3912" s="300"/>
    </row>
    <row r="3913" ht="15" customHeight="1" spans="1:11">
      <c r="A3913" s="307" t="s">
        <v>14</v>
      </c>
      <c r="B3913" s="308"/>
      <c r="C3913" s="308"/>
      <c r="D3913" s="308"/>
      <c r="E3913" s="311"/>
      <c r="F3913" s="309">
        <f>IFERROR(VLOOKUP(K3907,'2026.01'!A:Y,12,0),0)</f>
        <v>160</v>
      </c>
      <c r="G3913" s="310"/>
      <c r="K3913" s="300"/>
    </row>
    <row r="3914" ht="21" customHeight="1" spans="1:11">
      <c r="A3914" s="307" t="s">
        <v>15</v>
      </c>
      <c r="B3914" s="308"/>
      <c r="C3914" s="308"/>
      <c r="D3914" s="308"/>
      <c r="E3914" s="311"/>
      <c r="F3914" s="309">
        <f>IFERROR(VLOOKUP(K3907,'2026.01'!A:Y,9,0),0)</f>
        <v>4500</v>
      </c>
      <c r="G3914" s="310"/>
      <c r="K3914" s="300"/>
    </row>
    <row r="3915" ht="19" customHeight="1" spans="1:11">
      <c r="A3915" s="307" t="s">
        <v>16</v>
      </c>
      <c r="B3915" s="308"/>
      <c r="C3915" s="308"/>
      <c r="D3915" s="308"/>
      <c r="E3915" s="308"/>
      <c r="F3915" s="309">
        <f>IFERROR(VLOOKUP(K3907,'2026.01'!A:Y,10,0),0)</f>
        <v>500</v>
      </c>
      <c r="G3915" s="310"/>
      <c r="K3915" s="300"/>
    </row>
    <row r="3916" ht="21" customHeight="1" spans="1:11">
      <c r="A3916" s="307" t="s">
        <v>17</v>
      </c>
      <c r="B3916" s="308"/>
      <c r="C3916" s="308"/>
      <c r="D3916" s="308"/>
      <c r="E3916" s="308"/>
      <c r="F3916" s="309">
        <f>IFERROR(VLOOKUP(K3907,'2026.01'!A:Y,19,0),0)</f>
        <v>18</v>
      </c>
      <c r="G3916" s="310"/>
      <c r="K3916" s="300"/>
    </row>
    <row r="3917" ht="17.15" customHeight="1" spans="1:11">
      <c r="A3917" s="307" t="s">
        <v>18</v>
      </c>
      <c r="B3917" s="308"/>
      <c r="C3917" s="308"/>
      <c r="D3917" s="308"/>
      <c r="E3917" s="308"/>
      <c r="F3917" s="309">
        <f>IFERROR(VLOOKUP(K3907,'2026.01'!A:Y,22,0),0)</f>
        <v>146</v>
      </c>
      <c r="G3917" s="310"/>
      <c r="K3917" s="300"/>
    </row>
    <row r="3918" ht="17.15" customHeight="1" spans="1:11">
      <c r="A3918" s="307" t="s">
        <v>19</v>
      </c>
      <c r="B3918" s="312"/>
      <c r="C3918" s="308"/>
      <c r="D3918" s="313"/>
      <c r="E3918" s="308"/>
      <c r="F3918" s="309">
        <f>IFERROR(VLOOKUP(K3907,'2026.01'!A:Y,25,0),0)</f>
        <v>5396</v>
      </c>
      <c r="G3918" s="310"/>
      <c r="K3918" s="300"/>
    </row>
    <row r="3919" ht="15" customHeight="1" spans="1:11">
      <c r="A3919" s="314" t="s">
        <v>20</v>
      </c>
      <c r="B3919" s="315">
        <f>IF(F3918&lt;0,"金额为负，无效",INT(F3918))</f>
        <v>5396</v>
      </c>
      <c r="C3919" s="315"/>
      <c r="D3919" s="315"/>
      <c r="E3919" s="316" t="s">
        <v>21</v>
      </c>
      <c r="F3919" s="317"/>
      <c r="G3919" s="318"/>
      <c r="K3919" s="300"/>
    </row>
    <row r="3920" ht="23" customHeight="1" spans="1:11">
      <c r="A3920" s="319"/>
      <c r="B3920" s="320"/>
      <c r="C3920" s="320"/>
      <c r="D3920" s="320"/>
      <c r="E3920" s="319"/>
      <c r="F3920" s="321"/>
      <c r="G3920" s="322"/>
      <c r="K3920" s="300"/>
    </row>
    <row r="3921" ht="27" customHeight="1" spans="1:11">
      <c r="A3921" s="298" t="s">
        <v>0</v>
      </c>
      <c r="B3921" s="298"/>
      <c r="C3921" s="298"/>
      <c r="D3921" s="298"/>
      <c r="E3921" s="298"/>
      <c r="F3921" s="298"/>
      <c r="G3921" s="298"/>
      <c r="H3921" s="299"/>
      <c r="I3921" s="299"/>
      <c r="J3921" s="299"/>
      <c r="K3921" s="300">
        <v>281</v>
      </c>
    </row>
    <row r="3922" ht="15" customHeight="1" spans="1:11">
      <c r="A3922" s="301" t="s">
        <v>1</v>
      </c>
      <c r="B3922" s="301"/>
      <c r="C3922" s="301"/>
      <c r="D3922" s="301"/>
      <c r="E3922" s="301"/>
      <c r="F3922" s="301"/>
      <c r="G3922" s="302" t="str">
        <f>IFERROR(VLOOKUP(K3921,'2026.01'!A:Y,2,0),0)</f>
        <v>NO:281</v>
      </c>
      <c r="K3922" s="300"/>
    </row>
    <row r="3923" ht="15" customHeight="1" spans="1:11">
      <c r="A3923" s="303" t="s">
        <v>2</v>
      </c>
      <c r="B3923" s="304">
        <f>IFERROR(VLOOKUP(K3921,'2026.01'!A:Y,6,0),0)</f>
        <v>5012</v>
      </c>
      <c r="C3923" s="304"/>
      <c r="D3923" s="305" t="s">
        <v>3</v>
      </c>
      <c r="E3923" s="305" t="str">
        <f>IFERROR(VLOOKUP(K3921,'2026.01'!A:Y,7,0),0)</f>
        <v>陈贤会</v>
      </c>
      <c r="F3923" s="305"/>
      <c r="G3923" s="306" t="s">
        <v>4</v>
      </c>
      <c r="K3923" s="300"/>
    </row>
    <row r="3924" ht="15" customHeight="1" spans="1:11">
      <c r="A3924" s="307" t="s">
        <v>5</v>
      </c>
      <c r="B3924" s="308" t="s">
        <v>6</v>
      </c>
      <c r="C3924" s="308" t="s">
        <v>7</v>
      </c>
      <c r="D3924" s="308" t="s">
        <v>8</v>
      </c>
      <c r="E3924" s="308" t="s">
        <v>9</v>
      </c>
      <c r="F3924" s="309" t="s">
        <v>10</v>
      </c>
      <c r="G3924" s="310" t="s">
        <v>11</v>
      </c>
      <c r="K3924" s="300"/>
    </row>
    <row r="3925" ht="15" customHeight="1" spans="1:11">
      <c r="A3925" s="307" t="s">
        <v>12</v>
      </c>
      <c r="B3925" s="308">
        <f>IFERROR(VLOOKUP(K3921,'2026.01'!A:Y,14,0),0)</f>
        <v>28057</v>
      </c>
      <c r="C3925" s="308">
        <f>IFERROR(VLOOKUP(K3921,'2026.01'!A:Y,13,0),0)</f>
        <v>28018</v>
      </c>
      <c r="D3925" s="308">
        <f>IFERROR(VLOOKUP(K3921,'2026.01'!A:Y,15,0),0)</f>
        <v>39</v>
      </c>
      <c r="E3925" s="311">
        <f>IFERROR(VLOOKUP(K3921,'2026.01'!A:Y,18,0),0)</f>
        <v>0.8</v>
      </c>
      <c r="F3925" s="309">
        <f>IFERROR(VLOOKUP(K3921,'2026.01'!A:Y,20,0),0)</f>
        <v>31</v>
      </c>
      <c r="G3925" s="310"/>
      <c r="K3925" s="300"/>
    </row>
    <row r="3926" ht="15" customHeight="1" spans="1:11">
      <c r="A3926" s="307" t="s">
        <v>13</v>
      </c>
      <c r="B3926" s="308"/>
      <c r="C3926" s="308"/>
      <c r="D3926" s="308"/>
      <c r="E3926" s="311"/>
      <c r="F3926" s="309">
        <f>IFERROR(VLOOKUP(K3921,'2026.01'!A:Y,24,0),0)</f>
        <v>51</v>
      </c>
      <c r="G3926" s="310"/>
      <c r="K3926" s="300"/>
    </row>
    <row r="3927" ht="15" customHeight="1" spans="1:11">
      <c r="A3927" s="307" t="s">
        <v>14</v>
      </c>
      <c r="B3927" s="308"/>
      <c r="C3927" s="308"/>
      <c r="D3927" s="308"/>
      <c r="E3927" s="311"/>
      <c r="F3927" s="309">
        <f>IFERROR(VLOOKUP(K3921,'2026.01'!A:Y,12,0),0)</f>
        <v>160</v>
      </c>
      <c r="G3927" s="310"/>
      <c r="K3927" s="300"/>
    </row>
    <row r="3928" ht="21" customHeight="1" spans="1:11">
      <c r="A3928" s="307" t="s">
        <v>15</v>
      </c>
      <c r="B3928" s="308"/>
      <c r="C3928" s="308"/>
      <c r="D3928" s="308"/>
      <c r="E3928" s="311"/>
      <c r="F3928" s="309">
        <f>IFERROR(VLOOKUP(K3921,'2026.01'!A:Y,9,0),0)</f>
        <v>4500</v>
      </c>
      <c r="G3928" s="310"/>
      <c r="K3928" s="300"/>
    </row>
    <row r="3929" ht="19" customHeight="1" spans="1:11">
      <c r="A3929" s="307" t="s">
        <v>16</v>
      </c>
      <c r="B3929" s="308"/>
      <c r="C3929" s="308"/>
      <c r="D3929" s="308"/>
      <c r="E3929" s="308"/>
      <c r="F3929" s="309">
        <f>IFERROR(VLOOKUP(K3921,'2026.01'!A:Y,10,0),0)</f>
        <v>500</v>
      </c>
      <c r="G3929" s="310"/>
      <c r="K3929" s="300"/>
    </row>
    <row r="3930" ht="21" customHeight="1" spans="1:11">
      <c r="A3930" s="307" t="s">
        <v>17</v>
      </c>
      <c r="B3930" s="308"/>
      <c r="C3930" s="308"/>
      <c r="D3930" s="308"/>
      <c r="E3930" s="308"/>
      <c r="F3930" s="309">
        <f>IFERROR(VLOOKUP(K3921,'2026.01'!A:Y,19,0),0)</f>
        <v>27</v>
      </c>
      <c r="G3930" s="310"/>
      <c r="K3930" s="300"/>
    </row>
    <row r="3931" ht="17.15" customHeight="1" spans="1:11">
      <c r="A3931" s="307" t="s">
        <v>18</v>
      </c>
      <c r="B3931" s="308"/>
      <c r="C3931" s="308"/>
      <c r="D3931" s="308"/>
      <c r="E3931" s="308"/>
      <c r="F3931" s="309">
        <f>IFERROR(VLOOKUP(K3921,'2026.01'!A:Y,22,0),0)</f>
        <v>146</v>
      </c>
      <c r="G3931" s="310"/>
      <c r="K3931" s="300"/>
    </row>
    <row r="3932" ht="17.15" customHeight="1" spans="1:11">
      <c r="A3932" s="307" t="s">
        <v>19</v>
      </c>
      <c r="B3932" s="312"/>
      <c r="C3932" s="308"/>
      <c r="D3932" s="313"/>
      <c r="E3932" s="308"/>
      <c r="F3932" s="309">
        <f>IFERROR(VLOOKUP(K3921,'2026.01'!A:Y,25,0),0)</f>
        <v>5415</v>
      </c>
      <c r="G3932" s="310"/>
      <c r="K3932" s="300"/>
    </row>
    <row r="3933" ht="15" customHeight="1" spans="1:11">
      <c r="A3933" s="314" t="s">
        <v>20</v>
      </c>
      <c r="B3933" s="315">
        <f>IF(F3932&lt;0,"金额为负，无效",INT(F3932))</f>
        <v>5415</v>
      </c>
      <c r="C3933" s="315"/>
      <c r="D3933" s="315"/>
      <c r="E3933" s="316" t="s">
        <v>21</v>
      </c>
      <c r="F3933" s="317"/>
      <c r="G3933" s="318"/>
      <c r="K3933" s="300"/>
    </row>
    <row r="3934" ht="23" customHeight="1" spans="1:11">
      <c r="A3934" s="319"/>
      <c r="B3934" s="320"/>
      <c r="C3934" s="320"/>
      <c r="D3934" s="320"/>
      <c r="E3934" s="319"/>
      <c r="F3934" s="321"/>
      <c r="G3934" s="322"/>
      <c r="K3934" s="300"/>
    </row>
    <row r="3935" ht="27" customHeight="1" spans="1:11">
      <c r="A3935" s="298" t="s">
        <v>0</v>
      </c>
      <c r="B3935" s="298"/>
      <c r="C3935" s="298"/>
      <c r="D3935" s="298"/>
      <c r="E3935" s="298"/>
      <c r="F3935" s="298"/>
      <c r="G3935" s="298"/>
      <c r="H3935" s="299"/>
      <c r="I3935" s="299"/>
      <c r="J3935" s="299"/>
      <c r="K3935" s="300">
        <v>282</v>
      </c>
    </row>
    <row r="3936" ht="15" customHeight="1" spans="1:11">
      <c r="A3936" s="301" t="s">
        <v>1</v>
      </c>
      <c r="B3936" s="301"/>
      <c r="C3936" s="301"/>
      <c r="D3936" s="301"/>
      <c r="E3936" s="301"/>
      <c r="F3936" s="301"/>
      <c r="G3936" s="302" t="str">
        <f>IFERROR(VLOOKUP(K3935,'2026.01'!A:Y,2,0),0)</f>
        <v>NO:282</v>
      </c>
      <c r="K3936" s="300"/>
    </row>
    <row r="3937" ht="15" customHeight="1" spans="1:11">
      <c r="A3937" s="303" t="s">
        <v>2</v>
      </c>
      <c r="B3937" s="304">
        <f>IFERROR(VLOOKUP(K3935,'2026.01'!A:Y,6,0),0)</f>
        <v>5013</v>
      </c>
      <c r="C3937" s="304"/>
      <c r="D3937" s="305" t="s">
        <v>3</v>
      </c>
      <c r="E3937" s="305" t="str">
        <f>IFERROR(VLOOKUP(K3935,'2026.01'!A:Y,7,0),0)</f>
        <v>薛扬</v>
      </c>
      <c r="F3937" s="305"/>
      <c r="G3937" s="306" t="s">
        <v>4</v>
      </c>
      <c r="K3937" s="300"/>
    </row>
    <row r="3938" ht="15" customHeight="1" spans="1:11">
      <c r="A3938" s="307" t="s">
        <v>5</v>
      </c>
      <c r="B3938" s="308" t="s">
        <v>6</v>
      </c>
      <c r="C3938" s="308" t="s">
        <v>7</v>
      </c>
      <c r="D3938" s="308" t="s">
        <v>8</v>
      </c>
      <c r="E3938" s="308" t="s">
        <v>9</v>
      </c>
      <c r="F3938" s="309" t="s">
        <v>10</v>
      </c>
      <c r="G3938" s="310" t="s">
        <v>11</v>
      </c>
      <c r="K3938" s="300"/>
    </row>
    <row r="3939" ht="15" customHeight="1" spans="1:11">
      <c r="A3939" s="307" t="s">
        <v>12</v>
      </c>
      <c r="B3939" s="308">
        <f>IFERROR(VLOOKUP(K3935,'2026.01'!A:Y,14,0),0)</f>
        <v>3409</v>
      </c>
      <c r="C3939" s="308">
        <f>IFERROR(VLOOKUP(K3935,'2026.01'!A:Y,13,0),0)</f>
        <v>3409</v>
      </c>
      <c r="D3939" s="308">
        <f>IFERROR(VLOOKUP(K3935,'2026.01'!A:Y,15,0),0)</f>
        <v>0</v>
      </c>
      <c r="E3939" s="311">
        <f>IFERROR(VLOOKUP(K3935,'2026.01'!A:Y,18,0),0)</f>
        <v>0.8</v>
      </c>
      <c r="F3939" s="309">
        <f>IFERROR(VLOOKUP(K3935,'2026.01'!A:Y,20,0),0)</f>
        <v>0</v>
      </c>
      <c r="G3939" s="310"/>
      <c r="K3939" s="300"/>
    </row>
    <row r="3940" ht="15" customHeight="1" spans="1:11">
      <c r="A3940" s="307" t="s">
        <v>13</v>
      </c>
      <c r="B3940" s="308"/>
      <c r="C3940" s="308"/>
      <c r="D3940" s="308"/>
      <c r="E3940" s="311"/>
      <c r="F3940" s="309">
        <f>IFERROR(VLOOKUP(K3935,'2026.01'!A:Y,24,0),0)</f>
        <v>51</v>
      </c>
      <c r="G3940" s="310"/>
      <c r="K3940" s="300"/>
    </row>
    <row r="3941" ht="15" customHeight="1" spans="1:11">
      <c r="A3941" s="307" t="s">
        <v>14</v>
      </c>
      <c r="B3941" s="308"/>
      <c r="C3941" s="308"/>
      <c r="D3941" s="308"/>
      <c r="E3941" s="311"/>
      <c r="F3941" s="309">
        <f>IFERROR(VLOOKUP(K3935,'2026.01'!A:Y,12,0),0)</f>
        <v>160</v>
      </c>
      <c r="G3941" s="310"/>
      <c r="K3941" s="300"/>
    </row>
    <row r="3942" ht="21" customHeight="1" spans="1:11">
      <c r="A3942" s="307" t="s">
        <v>15</v>
      </c>
      <c r="B3942" s="308"/>
      <c r="C3942" s="308"/>
      <c r="D3942" s="308"/>
      <c r="E3942" s="311"/>
      <c r="F3942" s="309">
        <f>IFERROR(VLOOKUP(K3935,'2026.01'!A:Y,9,0),0)</f>
        <v>4500</v>
      </c>
      <c r="G3942" s="310"/>
      <c r="K3942" s="300"/>
    </row>
    <row r="3943" ht="19" customHeight="1" spans="1:11">
      <c r="A3943" s="307" t="s">
        <v>16</v>
      </c>
      <c r="B3943" s="308"/>
      <c r="C3943" s="308"/>
      <c r="D3943" s="308"/>
      <c r="E3943" s="308"/>
      <c r="F3943" s="309">
        <f>IFERROR(VLOOKUP(K3935,'2026.01'!A:Y,10,0),0)</f>
        <v>500</v>
      </c>
      <c r="G3943" s="310"/>
      <c r="K3943" s="300"/>
    </row>
    <row r="3944" ht="21" customHeight="1" spans="1:11">
      <c r="A3944" s="307" t="s">
        <v>17</v>
      </c>
      <c r="B3944" s="308"/>
      <c r="C3944" s="308"/>
      <c r="D3944" s="308"/>
      <c r="E3944" s="308"/>
      <c r="F3944" s="309">
        <f>IFERROR(VLOOKUP(K3935,'2026.01'!A:Y,19,0),0)</f>
        <v>0</v>
      </c>
      <c r="G3944" s="310"/>
      <c r="K3944" s="300"/>
    </row>
    <row r="3945" ht="17.15" customHeight="1" spans="1:11">
      <c r="A3945" s="307" t="s">
        <v>18</v>
      </c>
      <c r="B3945" s="308"/>
      <c r="C3945" s="308"/>
      <c r="D3945" s="308"/>
      <c r="E3945" s="308"/>
      <c r="F3945" s="309">
        <f>IFERROR(VLOOKUP(K3935,'2026.01'!A:Y,22,0),0)</f>
        <v>146</v>
      </c>
      <c r="G3945" s="310"/>
      <c r="K3945" s="300"/>
    </row>
    <row r="3946" ht="17.15" customHeight="1" spans="1:11">
      <c r="A3946" s="307" t="s">
        <v>19</v>
      </c>
      <c r="B3946" s="312"/>
      <c r="C3946" s="308"/>
      <c r="D3946" s="313"/>
      <c r="E3946" s="308"/>
      <c r="F3946" s="309">
        <f>IFERROR(VLOOKUP(K3935,'2026.01'!A:Y,25,0),0)</f>
        <v>5357</v>
      </c>
      <c r="G3946" s="310"/>
      <c r="K3946" s="300"/>
    </row>
    <row r="3947" ht="15" customHeight="1" spans="1:11">
      <c r="A3947" s="314" t="s">
        <v>20</v>
      </c>
      <c r="B3947" s="315">
        <f>IF(F3946&lt;0,"金额为负，无效",INT(F3946))</f>
        <v>5357</v>
      </c>
      <c r="C3947" s="315"/>
      <c r="D3947" s="315"/>
      <c r="E3947" s="316" t="s">
        <v>21</v>
      </c>
      <c r="F3947" s="317"/>
      <c r="G3947" s="318"/>
      <c r="K3947" s="300"/>
    </row>
    <row r="3948" ht="15" customHeight="1" spans="1:11">
      <c r="A3948" s="319"/>
      <c r="B3948" s="320"/>
      <c r="C3948" s="320"/>
      <c r="D3948" s="320"/>
      <c r="E3948" s="319"/>
      <c r="F3948" s="321"/>
      <c r="G3948" s="322"/>
      <c r="K3948" s="300"/>
    </row>
    <row r="3949" ht="27" customHeight="1" spans="1:11">
      <c r="A3949" s="298" t="s">
        <v>0</v>
      </c>
      <c r="B3949" s="298"/>
      <c r="C3949" s="298"/>
      <c r="D3949" s="298"/>
      <c r="E3949" s="298"/>
      <c r="F3949" s="298"/>
      <c r="G3949" s="298"/>
      <c r="H3949" s="299"/>
      <c r="I3949" s="299"/>
      <c r="J3949" s="299"/>
      <c r="K3949" s="300">
        <v>283</v>
      </c>
    </row>
    <row r="3950" ht="15" customHeight="1" spans="1:11">
      <c r="A3950" s="301" t="s">
        <v>1</v>
      </c>
      <c r="B3950" s="301"/>
      <c r="C3950" s="301"/>
      <c r="D3950" s="301"/>
      <c r="E3950" s="301"/>
      <c r="F3950" s="301"/>
      <c r="G3950" s="302" t="str">
        <f>IFERROR(VLOOKUP(K3949,'2026.01'!A:Y,2,0),0)</f>
        <v>NO:283</v>
      </c>
      <c r="K3950" s="300"/>
    </row>
    <row r="3951" ht="15" customHeight="1" spans="1:11">
      <c r="A3951" s="303" t="s">
        <v>2</v>
      </c>
      <c r="B3951" s="304" t="str">
        <f>IFERROR(VLOOKUP(K3949,'2026.01'!A:Y,6,0),0)</f>
        <v>5013A</v>
      </c>
      <c r="C3951" s="304"/>
      <c r="D3951" s="305" t="s">
        <v>3</v>
      </c>
      <c r="E3951" s="305" t="str">
        <f>IFERROR(VLOOKUP(K3949,'2026.01'!A:Y,7,0),0)</f>
        <v>陈美丽</v>
      </c>
      <c r="F3951" s="305"/>
      <c r="G3951" s="306" t="s">
        <v>4</v>
      </c>
      <c r="K3951" s="300"/>
    </row>
    <row r="3952" ht="15" customHeight="1" spans="1:11">
      <c r="A3952" s="307" t="s">
        <v>5</v>
      </c>
      <c r="B3952" s="308" t="s">
        <v>6</v>
      </c>
      <c r="C3952" s="308" t="s">
        <v>7</v>
      </c>
      <c r="D3952" s="308" t="s">
        <v>8</v>
      </c>
      <c r="E3952" s="308" t="s">
        <v>9</v>
      </c>
      <c r="F3952" s="309" t="s">
        <v>10</v>
      </c>
      <c r="G3952" s="310" t="s">
        <v>11</v>
      </c>
      <c r="K3952" s="300"/>
    </row>
    <row r="3953" ht="15" customHeight="1" spans="1:11">
      <c r="A3953" s="307" t="s">
        <v>12</v>
      </c>
      <c r="B3953" s="308">
        <f>IFERROR(VLOOKUP(K3949,'2026.01'!A:Y,14,0),0)</f>
        <v>23176</v>
      </c>
      <c r="C3953" s="308">
        <f>IFERROR(VLOOKUP(K3949,'2026.01'!A:Y,13,0),0)</f>
        <v>23122</v>
      </c>
      <c r="D3953" s="308">
        <f>IFERROR(VLOOKUP(K3949,'2026.01'!A:Y,15,0),0)</f>
        <v>54</v>
      </c>
      <c r="E3953" s="311">
        <f>IFERROR(VLOOKUP(K3949,'2026.01'!A:Y,18,0),0)</f>
        <v>0.8</v>
      </c>
      <c r="F3953" s="309">
        <f>IFERROR(VLOOKUP(K3949,'2026.01'!A:Y,20,0),0)</f>
        <v>43</v>
      </c>
      <c r="G3953" s="310"/>
      <c r="K3953" s="300"/>
    </row>
    <row r="3954" ht="15" customHeight="1" spans="1:11">
      <c r="A3954" s="307" t="s">
        <v>13</v>
      </c>
      <c r="B3954" s="308"/>
      <c r="C3954" s="308"/>
      <c r="D3954" s="308"/>
      <c r="E3954" s="311"/>
      <c r="F3954" s="309">
        <f>IFERROR(VLOOKUP(K3949,'2026.01'!A:Y,24,0),0)</f>
        <v>51</v>
      </c>
      <c r="G3954" s="310"/>
      <c r="K3954" s="300"/>
    </row>
    <row r="3955" ht="15" customHeight="1" spans="1:11">
      <c r="A3955" s="307" t="s">
        <v>14</v>
      </c>
      <c r="B3955" s="308"/>
      <c r="C3955" s="308"/>
      <c r="D3955" s="308"/>
      <c r="E3955" s="311"/>
      <c r="F3955" s="309">
        <f>IFERROR(VLOOKUP(K3949,'2026.01'!A:Y,12,0),0)</f>
        <v>160</v>
      </c>
      <c r="G3955" s="310"/>
      <c r="K3955" s="300"/>
    </row>
    <row r="3956" ht="21" customHeight="1" spans="1:11">
      <c r="A3956" s="307" t="s">
        <v>15</v>
      </c>
      <c r="B3956" s="308"/>
      <c r="C3956" s="308"/>
      <c r="D3956" s="308"/>
      <c r="E3956" s="311"/>
      <c r="F3956" s="309">
        <f>IFERROR(VLOOKUP(K3949,'2026.01'!A:Y,9,0),0)</f>
        <v>4500</v>
      </c>
      <c r="G3956" s="310"/>
      <c r="K3956" s="300"/>
    </row>
    <row r="3957" ht="19" customHeight="1" spans="1:11">
      <c r="A3957" s="307" t="s">
        <v>16</v>
      </c>
      <c r="B3957" s="308"/>
      <c r="C3957" s="308"/>
      <c r="D3957" s="308"/>
      <c r="E3957" s="308"/>
      <c r="F3957" s="309">
        <f>IFERROR(VLOOKUP(K3949,'2026.01'!A:Y,10,0),0)</f>
        <v>500</v>
      </c>
      <c r="G3957" s="310"/>
      <c r="K3957" s="300"/>
    </row>
    <row r="3958" ht="21" customHeight="1" spans="1:11">
      <c r="A3958" s="307" t="s">
        <v>17</v>
      </c>
      <c r="B3958" s="308"/>
      <c r="C3958" s="308"/>
      <c r="D3958" s="308"/>
      <c r="E3958" s="308"/>
      <c r="F3958" s="309">
        <f>IFERROR(VLOOKUP(K3949,'2026.01'!A:Y,19,0),0)</f>
        <v>38</v>
      </c>
      <c r="G3958" s="310"/>
      <c r="K3958" s="300"/>
    </row>
    <row r="3959" ht="17.15" customHeight="1" spans="1:11">
      <c r="A3959" s="307" t="s">
        <v>18</v>
      </c>
      <c r="B3959" s="308"/>
      <c r="C3959" s="308"/>
      <c r="D3959" s="308"/>
      <c r="E3959" s="308"/>
      <c r="F3959" s="309">
        <f>IFERROR(VLOOKUP(K3949,'2026.01'!A:Y,22,0),0)</f>
        <v>146</v>
      </c>
      <c r="G3959" s="310"/>
      <c r="K3959" s="300"/>
    </row>
    <row r="3960" ht="17.15" customHeight="1" spans="1:11">
      <c r="A3960" s="307" t="s">
        <v>19</v>
      </c>
      <c r="B3960" s="312"/>
      <c r="C3960" s="308"/>
      <c r="D3960" s="313"/>
      <c r="E3960" s="308"/>
      <c r="F3960" s="309">
        <f>IFERROR(VLOOKUP(K3949,'2026.01'!A:Y,25,0),0)</f>
        <v>5438</v>
      </c>
      <c r="G3960" s="310"/>
      <c r="K3960" s="300"/>
    </row>
    <row r="3961" ht="15" customHeight="1" spans="1:11">
      <c r="A3961" s="314" t="s">
        <v>20</v>
      </c>
      <c r="B3961" s="315">
        <f>IF(F3960&lt;0,"金额为负，无效",INT(F3960))</f>
        <v>5438</v>
      </c>
      <c r="C3961" s="315"/>
      <c r="D3961" s="315"/>
      <c r="E3961" s="316" t="s">
        <v>21</v>
      </c>
      <c r="F3961" s="317"/>
      <c r="G3961" s="318"/>
      <c r="K3961" s="300"/>
    </row>
    <row r="3962" ht="23" customHeight="1" spans="1:11">
      <c r="A3962" s="319"/>
      <c r="B3962" s="320"/>
      <c r="C3962" s="320"/>
      <c r="D3962" s="320"/>
      <c r="E3962" s="319"/>
      <c r="F3962" s="321"/>
      <c r="G3962" s="322"/>
      <c r="K3962" s="300"/>
    </row>
    <row r="3963" ht="27" customHeight="1" spans="1:11">
      <c r="A3963" s="298" t="s">
        <v>0</v>
      </c>
      <c r="B3963" s="298"/>
      <c r="C3963" s="298"/>
      <c r="D3963" s="298"/>
      <c r="E3963" s="298"/>
      <c r="F3963" s="298"/>
      <c r="G3963" s="298"/>
      <c r="H3963" s="299"/>
      <c r="I3963" s="299"/>
      <c r="J3963" s="299"/>
      <c r="K3963" s="300">
        <v>284</v>
      </c>
    </row>
    <row r="3964" ht="15" customHeight="1" spans="1:11">
      <c r="A3964" s="301" t="s">
        <v>1</v>
      </c>
      <c r="B3964" s="301"/>
      <c r="C3964" s="301"/>
      <c r="D3964" s="301"/>
      <c r="E3964" s="301"/>
      <c r="F3964" s="301"/>
      <c r="G3964" s="302" t="str">
        <f>IFERROR(VLOOKUP(K3963,'2026.01'!A:Y,2,0),0)</f>
        <v>NO:284</v>
      </c>
      <c r="K3964" s="300"/>
    </row>
    <row r="3965" ht="15" customHeight="1" spans="1:11">
      <c r="A3965" s="303" t="s">
        <v>2</v>
      </c>
      <c r="B3965" s="304">
        <f>IFERROR(VLOOKUP(K3963,'2026.01'!A:Y,6,0),0)</f>
        <v>5015</v>
      </c>
      <c r="C3965" s="304"/>
      <c r="D3965" s="305" t="s">
        <v>3</v>
      </c>
      <c r="E3965" s="305" t="str">
        <f>IFERROR(VLOOKUP(K3963,'2026.01'!A:Y,7,0),0)</f>
        <v>韩宏霞</v>
      </c>
      <c r="F3965" s="305"/>
      <c r="G3965" s="306" t="s">
        <v>4</v>
      </c>
      <c r="K3965" s="300"/>
    </row>
    <row r="3966" ht="15" customHeight="1" spans="1:11">
      <c r="A3966" s="307" t="s">
        <v>5</v>
      </c>
      <c r="B3966" s="308" t="s">
        <v>6</v>
      </c>
      <c r="C3966" s="308" t="s">
        <v>7</v>
      </c>
      <c r="D3966" s="308" t="s">
        <v>8</v>
      </c>
      <c r="E3966" s="308" t="s">
        <v>9</v>
      </c>
      <c r="F3966" s="309" t="s">
        <v>10</v>
      </c>
      <c r="G3966" s="310" t="s">
        <v>11</v>
      </c>
      <c r="K3966" s="300"/>
    </row>
    <row r="3967" ht="15" customHeight="1" spans="1:11">
      <c r="A3967" s="307" t="s">
        <v>12</v>
      </c>
      <c r="B3967" s="308">
        <f>IFERROR(VLOOKUP(K3963,'2026.01'!A:Y,14,0),0)</f>
        <v>18594</v>
      </c>
      <c r="C3967" s="308">
        <f>IFERROR(VLOOKUP(K3963,'2026.01'!A:Y,13,0),0)</f>
        <v>18533</v>
      </c>
      <c r="D3967" s="308">
        <f>IFERROR(VLOOKUP(K3963,'2026.01'!A:Y,15,0),0)</f>
        <v>61</v>
      </c>
      <c r="E3967" s="311">
        <f>IFERROR(VLOOKUP(K3963,'2026.01'!A:Y,18,0),0)</f>
        <v>0.8</v>
      </c>
      <c r="F3967" s="309">
        <f>IFERROR(VLOOKUP(K3963,'2026.01'!A:Y,20,0),0)</f>
        <v>49</v>
      </c>
      <c r="G3967" s="310"/>
      <c r="K3967" s="300"/>
    </row>
    <row r="3968" ht="15" customHeight="1" spans="1:11">
      <c r="A3968" s="307" t="s">
        <v>13</v>
      </c>
      <c r="B3968" s="308"/>
      <c r="C3968" s="308"/>
      <c r="D3968" s="308"/>
      <c r="E3968" s="311"/>
      <c r="F3968" s="309">
        <f>IFERROR(VLOOKUP(K3963,'2026.01'!A:Y,24,0),0)</f>
        <v>51</v>
      </c>
      <c r="G3968" s="310"/>
      <c r="K3968" s="300"/>
    </row>
    <row r="3969" ht="15" customHeight="1" spans="1:11">
      <c r="A3969" s="307" t="s">
        <v>14</v>
      </c>
      <c r="B3969" s="308"/>
      <c r="C3969" s="308"/>
      <c r="D3969" s="308"/>
      <c r="E3969" s="311"/>
      <c r="F3969" s="309">
        <f>IFERROR(VLOOKUP(K3963,'2026.01'!A:Y,12,0),0)</f>
        <v>160</v>
      </c>
      <c r="G3969" s="310"/>
      <c r="K3969" s="300"/>
    </row>
    <row r="3970" ht="21" customHeight="1" spans="1:11">
      <c r="A3970" s="307" t="s">
        <v>15</v>
      </c>
      <c r="B3970" s="308"/>
      <c r="C3970" s="308"/>
      <c r="D3970" s="308"/>
      <c r="E3970" s="311"/>
      <c r="F3970" s="309">
        <f>IFERROR(VLOOKUP(K3963,'2026.01'!A:Y,9,0),0)</f>
        <v>4500</v>
      </c>
      <c r="G3970" s="310"/>
      <c r="K3970" s="300"/>
    </row>
    <row r="3971" ht="19" customHeight="1" spans="1:11">
      <c r="A3971" s="307" t="s">
        <v>16</v>
      </c>
      <c r="B3971" s="308"/>
      <c r="C3971" s="308"/>
      <c r="D3971" s="308"/>
      <c r="E3971" s="308"/>
      <c r="F3971" s="309">
        <f>IFERROR(VLOOKUP(K3963,'2026.01'!A:Y,10,0),0)</f>
        <v>500</v>
      </c>
      <c r="G3971" s="310"/>
      <c r="K3971" s="300"/>
    </row>
    <row r="3972" ht="21" customHeight="1" spans="1:11">
      <c r="A3972" s="307" t="s">
        <v>17</v>
      </c>
      <c r="B3972" s="308"/>
      <c r="C3972" s="308"/>
      <c r="D3972" s="308"/>
      <c r="E3972" s="308"/>
      <c r="F3972" s="309">
        <f>IFERROR(VLOOKUP(K3963,'2026.01'!A:Y,19,0),0)</f>
        <v>43</v>
      </c>
      <c r="G3972" s="310"/>
      <c r="K3972" s="300"/>
    </row>
    <row r="3973" ht="17.15" customHeight="1" spans="1:11">
      <c r="A3973" s="307" t="s">
        <v>18</v>
      </c>
      <c r="B3973" s="308"/>
      <c r="C3973" s="308"/>
      <c r="D3973" s="308"/>
      <c r="E3973" s="308"/>
      <c r="F3973" s="309">
        <f>IFERROR(VLOOKUP(K3963,'2026.01'!A:Y,22,0),0)</f>
        <v>146</v>
      </c>
      <c r="G3973" s="310"/>
      <c r="K3973" s="300"/>
    </row>
    <row r="3974" ht="17.15" customHeight="1" spans="1:11">
      <c r="A3974" s="307" t="s">
        <v>19</v>
      </c>
      <c r="B3974" s="312"/>
      <c r="C3974" s="308"/>
      <c r="D3974" s="313"/>
      <c r="E3974" s="308"/>
      <c r="F3974" s="309">
        <f>IFERROR(VLOOKUP(K3963,'2026.01'!A:Y,25,0),0)</f>
        <v>5449</v>
      </c>
      <c r="G3974" s="310"/>
      <c r="K3974" s="300"/>
    </row>
    <row r="3975" ht="15" customHeight="1" spans="1:11">
      <c r="A3975" s="314" t="s">
        <v>20</v>
      </c>
      <c r="B3975" s="315">
        <f>IF(F3974&lt;0,"金额为负，无效",INT(F3974))</f>
        <v>5449</v>
      </c>
      <c r="C3975" s="315"/>
      <c r="D3975" s="315"/>
      <c r="E3975" s="316" t="s">
        <v>21</v>
      </c>
      <c r="F3975" s="317"/>
      <c r="G3975" s="318"/>
      <c r="K3975" s="300"/>
    </row>
    <row r="3976" ht="23" customHeight="1" spans="1:11">
      <c r="A3976" s="319"/>
      <c r="B3976" s="320"/>
      <c r="C3976" s="320"/>
      <c r="D3976" s="320"/>
      <c r="E3976" s="319"/>
      <c r="F3976" s="321"/>
      <c r="G3976" s="322"/>
      <c r="K3976" s="300"/>
    </row>
    <row r="3977" ht="27" customHeight="1" spans="1:11">
      <c r="A3977" s="298" t="s">
        <v>0</v>
      </c>
      <c r="B3977" s="298"/>
      <c r="C3977" s="298"/>
      <c r="D3977" s="298"/>
      <c r="E3977" s="298"/>
      <c r="F3977" s="298"/>
      <c r="G3977" s="298"/>
      <c r="H3977" s="299"/>
      <c r="I3977" s="299"/>
      <c r="J3977" s="299"/>
      <c r="K3977" s="300">
        <v>285</v>
      </c>
    </row>
    <row r="3978" ht="15" customHeight="1" spans="1:11">
      <c r="A3978" s="301" t="s">
        <v>1</v>
      </c>
      <c r="B3978" s="301"/>
      <c r="C3978" s="301"/>
      <c r="D3978" s="301"/>
      <c r="E3978" s="301"/>
      <c r="F3978" s="301"/>
      <c r="G3978" s="302" t="str">
        <f>IFERROR(VLOOKUP(K3977,'2026.01'!A:Y,2,0),0)</f>
        <v>NO:285</v>
      </c>
      <c r="K3978" s="300"/>
    </row>
    <row r="3979" ht="15" customHeight="1" spans="1:11">
      <c r="A3979" s="303" t="s">
        <v>2</v>
      </c>
      <c r="B3979" s="304">
        <f>IFERROR(VLOOKUP(K3977,'2026.01'!A:Y,6,0),0)</f>
        <v>5016</v>
      </c>
      <c r="C3979" s="304"/>
      <c r="D3979" s="305" t="s">
        <v>3</v>
      </c>
      <c r="E3979" s="305" t="str">
        <f>IFERROR(VLOOKUP(K3977,'2026.01'!A:Y,7,0),0)</f>
        <v>刘福文</v>
      </c>
      <c r="F3979" s="305"/>
      <c r="G3979" s="306" t="s">
        <v>4</v>
      </c>
      <c r="K3979" s="300"/>
    </row>
    <row r="3980" ht="15" customHeight="1" spans="1:11">
      <c r="A3980" s="307" t="s">
        <v>5</v>
      </c>
      <c r="B3980" s="308" t="s">
        <v>6</v>
      </c>
      <c r="C3980" s="308" t="s">
        <v>7</v>
      </c>
      <c r="D3980" s="308" t="s">
        <v>8</v>
      </c>
      <c r="E3980" s="308" t="s">
        <v>9</v>
      </c>
      <c r="F3980" s="309" t="s">
        <v>10</v>
      </c>
      <c r="G3980" s="310" t="s">
        <v>11</v>
      </c>
      <c r="K3980" s="300"/>
    </row>
    <row r="3981" ht="15" customHeight="1" spans="1:11">
      <c r="A3981" s="307" t="s">
        <v>12</v>
      </c>
      <c r="B3981" s="308">
        <f>IFERROR(VLOOKUP(K3977,'2026.01'!A:Y,14,0),0)</f>
        <v>25451</v>
      </c>
      <c r="C3981" s="308">
        <f>IFERROR(VLOOKUP(K3977,'2026.01'!A:Y,13,0),0)</f>
        <v>25368</v>
      </c>
      <c r="D3981" s="308">
        <f>IFERROR(VLOOKUP(K3977,'2026.01'!A:Y,15,0),0)</f>
        <v>83</v>
      </c>
      <c r="E3981" s="311">
        <f>IFERROR(VLOOKUP(K3977,'2026.01'!A:Y,18,0),0)</f>
        <v>0.8</v>
      </c>
      <c r="F3981" s="309">
        <f>IFERROR(VLOOKUP(K3977,'2026.01'!A:Y,20,0),0)</f>
        <v>66</v>
      </c>
      <c r="G3981" s="310"/>
      <c r="K3981" s="300"/>
    </row>
    <row r="3982" ht="15" customHeight="1" spans="1:11">
      <c r="A3982" s="307" t="s">
        <v>13</v>
      </c>
      <c r="B3982" s="308"/>
      <c r="C3982" s="308"/>
      <c r="D3982" s="308"/>
      <c r="E3982" s="311"/>
      <c r="F3982" s="309">
        <f>IFERROR(VLOOKUP(K3977,'2026.01'!A:Y,24,0),0)</f>
        <v>51</v>
      </c>
      <c r="G3982" s="310"/>
      <c r="K3982" s="300"/>
    </row>
    <row r="3983" ht="15" customHeight="1" spans="1:11">
      <c r="A3983" s="307" t="s">
        <v>14</v>
      </c>
      <c r="B3983" s="308"/>
      <c r="C3983" s="308"/>
      <c r="D3983" s="308"/>
      <c r="E3983" s="311"/>
      <c r="F3983" s="309">
        <f>IFERROR(VLOOKUP(K3977,'2026.01'!A:Y,12,0),0)</f>
        <v>160</v>
      </c>
      <c r="G3983" s="310"/>
      <c r="K3983" s="300"/>
    </row>
    <row r="3984" ht="21" customHeight="1" spans="1:11">
      <c r="A3984" s="307" t="s">
        <v>15</v>
      </c>
      <c r="B3984" s="308"/>
      <c r="C3984" s="308"/>
      <c r="D3984" s="308"/>
      <c r="E3984" s="311"/>
      <c r="F3984" s="309">
        <f>IFERROR(VLOOKUP(K3977,'2026.01'!A:Y,9,0),0)</f>
        <v>4500</v>
      </c>
      <c r="G3984" s="310"/>
      <c r="K3984" s="300"/>
    </row>
    <row r="3985" ht="19" customHeight="1" spans="1:11">
      <c r="A3985" s="307" t="s">
        <v>16</v>
      </c>
      <c r="B3985" s="308"/>
      <c r="C3985" s="308"/>
      <c r="D3985" s="308"/>
      <c r="E3985" s="308"/>
      <c r="F3985" s="309">
        <f>IFERROR(VLOOKUP(K3977,'2026.01'!A:Y,10,0),0)</f>
        <v>500</v>
      </c>
      <c r="G3985" s="310"/>
      <c r="K3985" s="300"/>
    </row>
    <row r="3986" ht="21" customHeight="1" spans="1:11">
      <c r="A3986" s="307" t="s">
        <v>17</v>
      </c>
      <c r="B3986" s="308"/>
      <c r="C3986" s="308"/>
      <c r="D3986" s="308"/>
      <c r="E3986" s="308"/>
      <c r="F3986" s="309">
        <f>IFERROR(VLOOKUP(K3977,'2026.01'!A:Y,19,0),0)</f>
        <v>58</v>
      </c>
      <c r="G3986" s="310"/>
      <c r="K3986" s="300"/>
    </row>
    <row r="3987" ht="17.15" customHeight="1" spans="1:11">
      <c r="A3987" s="307" t="s">
        <v>18</v>
      </c>
      <c r="B3987" s="308"/>
      <c r="C3987" s="308"/>
      <c r="D3987" s="308"/>
      <c r="E3987" s="308"/>
      <c r="F3987" s="309">
        <f>IFERROR(VLOOKUP(K3977,'2026.01'!A:Y,22,0),0)</f>
        <v>146</v>
      </c>
      <c r="G3987" s="310"/>
      <c r="K3987" s="300"/>
    </row>
    <row r="3988" ht="17.15" customHeight="1" spans="1:11">
      <c r="A3988" s="307" t="s">
        <v>19</v>
      </c>
      <c r="B3988" s="312"/>
      <c r="C3988" s="308"/>
      <c r="D3988" s="313"/>
      <c r="E3988" s="308"/>
      <c r="F3988" s="309">
        <f>IFERROR(VLOOKUP(K3977,'2026.01'!A:Y,25,0),0)</f>
        <v>5481</v>
      </c>
      <c r="G3988" s="310"/>
      <c r="K3988" s="300"/>
    </row>
    <row r="3989" ht="15" customHeight="1" spans="1:11">
      <c r="A3989" s="314" t="s">
        <v>20</v>
      </c>
      <c r="B3989" s="315">
        <f>IF(F3988&lt;0,"金额为负，无效",INT(F3988))</f>
        <v>5481</v>
      </c>
      <c r="C3989" s="315"/>
      <c r="D3989" s="315"/>
      <c r="E3989" s="316" t="s">
        <v>21</v>
      </c>
      <c r="F3989" s="317"/>
      <c r="G3989" s="318"/>
      <c r="K3989" s="300"/>
    </row>
    <row r="3990" ht="15" customHeight="1" spans="1:11">
      <c r="A3990" s="319"/>
      <c r="B3990" s="320"/>
      <c r="C3990" s="320"/>
      <c r="D3990" s="320"/>
      <c r="E3990" s="319"/>
      <c r="F3990" s="321"/>
      <c r="G3990" s="322"/>
      <c r="K3990" s="300"/>
    </row>
    <row r="3991" ht="27" customHeight="1" spans="1:11">
      <c r="A3991" s="298" t="s">
        <v>0</v>
      </c>
      <c r="B3991" s="298"/>
      <c r="C3991" s="298"/>
      <c r="D3991" s="298"/>
      <c r="E3991" s="298"/>
      <c r="F3991" s="298"/>
      <c r="G3991" s="298"/>
      <c r="H3991" s="299"/>
      <c r="I3991" s="299"/>
      <c r="J3991" s="299"/>
      <c r="K3991" s="300">
        <v>286</v>
      </c>
    </row>
    <row r="3992" ht="15" customHeight="1" spans="1:11">
      <c r="A3992" s="301" t="s">
        <v>1</v>
      </c>
      <c r="B3992" s="301"/>
      <c r="C3992" s="301"/>
      <c r="D3992" s="301"/>
      <c r="E3992" s="301"/>
      <c r="F3992" s="301"/>
      <c r="G3992" s="302" t="str">
        <f>IFERROR(VLOOKUP(K3991,'2026.01'!A:Y,2,0),0)</f>
        <v>NO:286</v>
      </c>
      <c r="K3992" s="300"/>
    </row>
    <row r="3993" ht="15" customHeight="1" spans="1:11">
      <c r="A3993" s="303" t="s">
        <v>2</v>
      </c>
      <c r="B3993" s="304">
        <f>IFERROR(VLOOKUP(K3991,'2026.01'!A:Y,6,0),0)</f>
        <v>5017</v>
      </c>
      <c r="C3993" s="304"/>
      <c r="D3993" s="305" t="s">
        <v>3</v>
      </c>
      <c r="E3993" s="305" t="str">
        <f>IFERROR(VLOOKUP(K3991,'2026.01'!A:Y,7,0),0)</f>
        <v>何平</v>
      </c>
      <c r="F3993" s="305"/>
      <c r="G3993" s="306" t="s">
        <v>4</v>
      </c>
      <c r="K3993" s="300"/>
    </row>
    <row r="3994" ht="15" customHeight="1" spans="1:11">
      <c r="A3994" s="307" t="s">
        <v>5</v>
      </c>
      <c r="B3994" s="308" t="s">
        <v>6</v>
      </c>
      <c r="C3994" s="308" t="s">
        <v>7</v>
      </c>
      <c r="D3994" s="308" t="s">
        <v>8</v>
      </c>
      <c r="E3994" s="308" t="s">
        <v>9</v>
      </c>
      <c r="F3994" s="309" t="s">
        <v>10</v>
      </c>
      <c r="G3994" s="310" t="s">
        <v>11</v>
      </c>
      <c r="K3994" s="300"/>
    </row>
    <row r="3995" ht="15" customHeight="1" spans="1:11">
      <c r="A3995" s="307" t="s">
        <v>12</v>
      </c>
      <c r="B3995" s="308">
        <f>IFERROR(VLOOKUP(K3991,'2026.01'!A:Y,14,0),0)</f>
        <v>21354</v>
      </c>
      <c r="C3995" s="308">
        <f>IFERROR(VLOOKUP(K3991,'2026.01'!A:Y,13,0),0)</f>
        <v>21283</v>
      </c>
      <c r="D3995" s="308">
        <f>IFERROR(VLOOKUP(K3991,'2026.01'!A:Y,15,0),0)</f>
        <v>71</v>
      </c>
      <c r="E3995" s="311">
        <f>IFERROR(VLOOKUP(K3991,'2026.01'!A:Y,18,0),0)</f>
        <v>0.8</v>
      </c>
      <c r="F3995" s="309">
        <f>IFERROR(VLOOKUP(K3991,'2026.01'!A:Y,20,0),0)</f>
        <v>57</v>
      </c>
      <c r="G3995" s="310"/>
      <c r="K3995" s="300"/>
    </row>
    <row r="3996" ht="15" customHeight="1" spans="1:11">
      <c r="A3996" s="307" t="s">
        <v>13</v>
      </c>
      <c r="B3996" s="308"/>
      <c r="C3996" s="308"/>
      <c r="D3996" s="308"/>
      <c r="E3996" s="311"/>
      <c r="F3996" s="309">
        <f>IFERROR(VLOOKUP(K3991,'2026.01'!A:Y,24,0),0)</f>
        <v>51</v>
      </c>
      <c r="G3996" s="310"/>
      <c r="K3996" s="300"/>
    </row>
    <row r="3997" ht="15" customHeight="1" spans="1:11">
      <c r="A3997" s="307" t="s">
        <v>14</v>
      </c>
      <c r="B3997" s="308"/>
      <c r="C3997" s="308"/>
      <c r="D3997" s="308"/>
      <c r="E3997" s="311"/>
      <c r="F3997" s="309">
        <f>IFERROR(VLOOKUP(K3991,'2026.01'!A:Y,12,0),0)</f>
        <v>160</v>
      </c>
      <c r="G3997" s="310"/>
      <c r="K3997" s="300"/>
    </row>
    <row r="3998" ht="21" customHeight="1" spans="1:11">
      <c r="A3998" s="307" t="s">
        <v>15</v>
      </c>
      <c r="B3998" s="308"/>
      <c r="C3998" s="308"/>
      <c r="D3998" s="308"/>
      <c r="E3998" s="311"/>
      <c r="F3998" s="309">
        <f>IFERROR(VLOOKUP(K3991,'2026.01'!A:Y,9,0),0)</f>
        <v>4500</v>
      </c>
      <c r="G3998" s="310"/>
      <c r="K3998" s="300"/>
    </row>
    <row r="3999" ht="19" customHeight="1" spans="1:11">
      <c r="A3999" s="307" t="s">
        <v>16</v>
      </c>
      <c r="B3999" s="308"/>
      <c r="C3999" s="308"/>
      <c r="D3999" s="308"/>
      <c r="E3999" s="308"/>
      <c r="F3999" s="309">
        <f>IFERROR(VLOOKUP(K3991,'2026.01'!A:Y,10,0),0)</f>
        <v>500</v>
      </c>
      <c r="G3999" s="310"/>
      <c r="K3999" s="300"/>
    </row>
    <row r="4000" ht="21" customHeight="1" spans="1:11">
      <c r="A4000" s="307" t="s">
        <v>17</v>
      </c>
      <c r="B4000" s="308"/>
      <c r="C4000" s="308"/>
      <c r="D4000" s="308"/>
      <c r="E4000" s="308"/>
      <c r="F4000" s="309">
        <f>IFERROR(VLOOKUP(K3991,'2026.01'!A:Y,19,0),0)</f>
        <v>50</v>
      </c>
      <c r="G4000" s="310"/>
      <c r="K4000" s="300"/>
    </row>
    <row r="4001" ht="17.15" customHeight="1" spans="1:11">
      <c r="A4001" s="307" t="s">
        <v>18</v>
      </c>
      <c r="B4001" s="308"/>
      <c r="C4001" s="308"/>
      <c r="D4001" s="308"/>
      <c r="E4001" s="308"/>
      <c r="F4001" s="309">
        <f>IFERROR(VLOOKUP(K3991,'2026.01'!A:Y,22,0),0)</f>
        <v>146</v>
      </c>
      <c r="G4001" s="310"/>
      <c r="K4001" s="300"/>
    </row>
    <row r="4002" ht="17.15" customHeight="1" spans="1:11">
      <c r="A4002" s="307" t="s">
        <v>19</v>
      </c>
      <c r="B4002" s="312"/>
      <c r="C4002" s="308"/>
      <c r="D4002" s="313"/>
      <c r="E4002" s="308"/>
      <c r="F4002" s="309">
        <f>IFERROR(VLOOKUP(K3991,'2026.01'!A:Y,25,0),0)</f>
        <v>5464</v>
      </c>
      <c r="G4002" s="310"/>
      <c r="K4002" s="300"/>
    </row>
    <row r="4003" ht="15" customHeight="1" spans="1:11">
      <c r="A4003" s="314" t="s">
        <v>20</v>
      </c>
      <c r="B4003" s="315">
        <f>IF(F4002&lt;0,"金额为负，无效",INT(F4002))</f>
        <v>5464</v>
      </c>
      <c r="C4003" s="315"/>
      <c r="D4003" s="315"/>
      <c r="E4003" s="316" t="s">
        <v>21</v>
      </c>
      <c r="F4003" s="317"/>
      <c r="G4003" s="318"/>
      <c r="K4003" s="300"/>
    </row>
    <row r="4004" ht="23" customHeight="1" spans="1:11">
      <c r="A4004" s="319"/>
      <c r="B4004" s="320"/>
      <c r="C4004" s="320"/>
      <c r="D4004" s="320"/>
      <c r="E4004" s="319"/>
      <c r="F4004" s="321"/>
      <c r="G4004" s="322"/>
      <c r="K4004" s="300"/>
    </row>
    <row r="4005" ht="27" customHeight="1" spans="1:11">
      <c r="A4005" s="298" t="s">
        <v>0</v>
      </c>
      <c r="B4005" s="298"/>
      <c r="C4005" s="298"/>
      <c r="D4005" s="298"/>
      <c r="E4005" s="298"/>
      <c r="F4005" s="298"/>
      <c r="G4005" s="298"/>
      <c r="H4005" s="299"/>
      <c r="I4005" s="299"/>
      <c r="J4005" s="299"/>
      <c r="K4005" s="300">
        <v>287</v>
      </c>
    </row>
    <row r="4006" ht="15" customHeight="1" spans="1:11">
      <c r="A4006" s="301" t="s">
        <v>1</v>
      </c>
      <c r="B4006" s="301"/>
      <c r="C4006" s="301"/>
      <c r="D4006" s="301"/>
      <c r="E4006" s="301"/>
      <c r="F4006" s="301"/>
      <c r="G4006" s="302" t="str">
        <f>IFERROR(VLOOKUP(K4005,'2026.01'!A:Y,2,0),0)</f>
        <v>NO:287</v>
      </c>
      <c r="K4006" s="300"/>
    </row>
    <row r="4007" ht="15" customHeight="1" spans="1:11">
      <c r="A4007" s="303" t="s">
        <v>2</v>
      </c>
      <c r="B4007" s="304">
        <f>IFERROR(VLOOKUP(K4005,'2026.01'!A:Y,6,0),0)</f>
        <v>5018</v>
      </c>
      <c r="C4007" s="304"/>
      <c r="D4007" s="305" t="s">
        <v>3</v>
      </c>
      <c r="E4007" s="305" t="str">
        <f>IFERROR(VLOOKUP(K4005,'2026.01'!A:Y,7,0),0)</f>
        <v>杨艳艳</v>
      </c>
      <c r="F4007" s="305"/>
      <c r="G4007" s="306" t="s">
        <v>4</v>
      </c>
      <c r="K4007" s="300"/>
    </row>
    <row r="4008" ht="15" customHeight="1" spans="1:11">
      <c r="A4008" s="307" t="s">
        <v>5</v>
      </c>
      <c r="B4008" s="308" t="s">
        <v>6</v>
      </c>
      <c r="C4008" s="308" t="s">
        <v>7</v>
      </c>
      <c r="D4008" s="308" t="s">
        <v>8</v>
      </c>
      <c r="E4008" s="308" t="s">
        <v>9</v>
      </c>
      <c r="F4008" s="309" t="s">
        <v>10</v>
      </c>
      <c r="G4008" s="310" t="s">
        <v>11</v>
      </c>
      <c r="K4008" s="300"/>
    </row>
    <row r="4009" ht="15" customHeight="1" spans="1:11">
      <c r="A4009" s="307" t="s">
        <v>12</v>
      </c>
      <c r="B4009" s="308">
        <f>IFERROR(VLOOKUP(K4005,'2026.01'!A:Y,14,0),0)</f>
        <v>35594</v>
      </c>
      <c r="C4009" s="308">
        <f>IFERROR(VLOOKUP(K4005,'2026.01'!A:Y,13,0),0)</f>
        <v>35536</v>
      </c>
      <c r="D4009" s="308">
        <f>IFERROR(VLOOKUP(K4005,'2026.01'!A:Y,15,0),0)</f>
        <v>58</v>
      </c>
      <c r="E4009" s="311">
        <f>IFERROR(VLOOKUP(K4005,'2026.01'!A:Y,18,0),0)</f>
        <v>0.8</v>
      </c>
      <c r="F4009" s="309">
        <f>IFERROR(VLOOKUP(K4005,'2026.01'!A:Y,20,0),0)</f>
        <v>46</v>
      </c>
      <c r="G4009" s="310"/>
      <c r="K4009" s="300"/>
    </row>
    <row r="4010" ht="15" customHeight="1" spans="1:11">
      <c r="A4010" s="307" t="s">
        <v>13</v>
      </c>
      <c r="B4010" s="308"/>
      <c r="C4010" s="308"/>
      <c r="D4010" s="308"/>
      <c r="E4010" s="311"/>
      <c r="F4010" s="309">
        <f>IFERROR(VLOOKUP(K4005,'2026.01'!A:Y,24,0),0)</f>
        <v>51</v>
      </c>
      <c r="G4010" s="310"/>
      <c r="K4010" s="300"/>
    </row>
    <row r="4011" ht="15" customHeight="1" spans="1:11">
      <c r="A4011" s="307" t="s">
        <v>14</v>
      </c>
      <c r="B4011" s="308"/>
      <c r="C4011" s="308"/>
      <c r="D4011" s="308"/>
      <c r="E4011" s="311"/>
      <c r="F4011" s="309">
        <f>IFERROR(VLOOKUP(K4005,'2026.01'!A:Y,12,0),0)</f>
        <v>160</v>
      </c>
      <c r="G4011" s="310"/>
      <c r="K4011" s="300"/>
    </row>
    <row r="4012" ht="21" customHeight="1" spans="1:11">
      <c r="A4012" s="307" t="s">
        <v>15</v>
      </c>
      <c r="B4012" s="308"/>
      <c r="C4012" s="308"/>
      <c r="D4012" s="308"/>
      <c r="E4012" s="311"/>
      <c r="F4012" s="309">
        <f>IFERROR(VLOOKUP(K4005,'2026.01'!A:Y,9,0),0)</f>
        <v>4500</v>
      </c>
      <c r="G4012" s="310"/>
      <c r="K4012" s="300"/>
    </row>
    <row r="4013" ht="19" customHeight="1" spans="1:11">
      <c r="A4013" s="307" t="s">
        <v>16</v>
      </c>
      <c r="B4013" s="308"/>
      <c r="C4013" s="308"/>
      <c r="D4013" s="308"/>
      <c r="E4013" s="308"/>
      <c r="F4013" s="309">
        <f>IFERROR(VLOOKUP(K4005,'2026.01'!A:Y,10,0),0)</f>
        <v>500</v>
      </c>
      <c r="G4013" s="310"/>
      <c r="K4013" s="300"/>
    </row>
    <row r="4014" ht="21" customHeight="1" spans="1:11">
      <c r="A4014" s="307" t="s">
        <v>17</v>
      </c>
      <c r="B4014" s="308"/>
      <c r="C4014" s="308"/>
      <c r="D4014" s="308"/>
      <c r="E4014" s="308"/>
      <c r="F4014" s="309">
        <f>IFERROR(VLOOKUP(K4005,'2026.01'!A:Y,19,0),0)</f>
        <v>41</v>
      </c>
      <c r="G4014" s="310"/>
      <c r="K4014" s="300"/>
    </row>
    <row r="4015" ht="17.15" customHeight="1" spans="1:11">
      <c r="A4015" s="307" t="s">
        <v>18</v>
      </c>
      <c r="B4015" s="308"/>
      <c r="C4015" s="308"/>
      <c r="D4015" s="308"/>
      <c r="E4015" s="308"/>
      <c r="F4015" s="309">
        <f>IFERROR(VLOOKUP(K4005,'2026.01'!A:Y,22,0),0)</f>
        <v>146</v>
      </c>
      <c r="G4015" s="310"/>
      <c r="K4015" s="300"/>
    </row>
    <row r="4016" ht="17.15" customHeight="1" spans="1:11">
      <c r="A4016" s="307" t="s">
        <v>19</v>
      </c>
      <c r="B4016" s="312"/>
      <c r="C4016" s="308"/>
      <c r="D4016" s="313"/>
      <c r="E4016" s="308"/>
      <c r="F4016" s="309">
        <f>IFERROR(VLOOKUP(K4005,'2026.01'!A:Y,25,0),0)</f>
        <v>5444</v>
      </c>
      <c r="G4016" s="310"/>
      <c r="K4016" s="300"/>
    </row>
    <row r="4017" ht="15" customHeight="1" spans="1:11">
      <c r="A4017" s="314" t="s">
        <v>20</v>
      </c>
      <c r="B4017" s="315">
        <f>IF(F4016&lt;0,"金额为负，无效",INT(F4016))</f>
        <v>5444</v>
      </c>
      <c r="C4017" s="315"/>
      <c r="D4017" s="315"/>
      <c r="E4017" s="316" t="s">
        <v>21</v>
      </c>
      <c r="F4017" s="317"/>
      <c r="G4017" s="318"/>
      <c r="K4017" s="300"/>
    </row>
    <row r="4018" ht="23" customHeight="1" spans="1:11">
      <c r="A4018" s="319"/>
      <c r="B4018" s="320"/>
      <c r="C4018" s="320"/>
      <c r="D4018" s="320"/>
      <c r="E4018" s="319"/>
      <c r="F4018" s="321"/>
      <c r="G4018" s="322"/>
      <c r="K4018" s="300"/>
    </row>
    <row r="4019" ht="27" customHeight="1" spans="1:11">
      <c r="A4019" s="298" t="s">
        <v>0</v>
      </c>
      <c r="B4019" s="298"/>
      <c r="C4019" s="298"/>
      <c r="D4019" s="298"/>
      <c r="E4019" s="298"/>
      <c r="F4019" s="298"/>
      <c r="G4019" s="298"/>
      <c r="H4019" s="299"/>
      <c r="I4019" s="299"/>
      <c r="J4019" s="299"/>
      <c r="K4019" s="300">
        <v>288</v>
      </c>
    </row>
    <row r="4020" ht="15" customHeight="1" spans="1:11">
      <c r="A4020" s="301" t="s">
        <v>1</v>
      </c>
      <c r="B4020" s="301"/>
      <c r="C4020" s="301"/>
      <c r="D4020" s="301"/>
      <c r="E4020" s="301"/>
      <c r="F4020" s="301"/>
      <c r="G4020" s="302" t="str">
        <f>IFERROR(VLOOKUP(K4019,'2026.01'!A:Y,2,0),0)</f>
        <v>NO:288</v>
      </c>
      <c r="K4020" s="300"/>
    </row>
    <row r="4021" ht="15" customHeight="1" spans="1:11">
      <c r="A4021" s="303" t="s">
        <v>2</v>
      </c>
      <c r="B4021" s="304">
        <f>IFERROR(VLOOKUP(K4019,'2026.01'!A:Y,6,0),0)</f>
        <v>5019</v>
      </c>
      <c r="C4021" s="304"/>
      <c r="D4021" s="305" t="s">
        <v>3</v>
      </c>
      <c r="E4021" s="305" t="str">
        <f>IFERROR(VLOOKUP(K4019,'2026.01'!A:Y,7,0),0)</f>
        <v>赵忆文</v>
      </c>
      <c r="F4021" s="305"/>
      <c r="G4021" s="306" t="s">
        <v>4</v>
      </c>
      <c r="K4021" s="300"/>
    </row>
    <row r="4022" ht="15" customHeight="1" spans="1:11">
      <c r="A4022" s="307" t="s">
        <v>5</v>
      </c>
      <c r="B4022" s="308" t="s">
        <v>6</v>
      </c>
      <c r="C4022" s="308" t="s">
        <v>7</v>
      </c>
      <c r="D4022" s="308" t="s">
        <v>8</v>
      </c>
      <c r="E4022" s="308" t="s">
        <v>9</v>
      </c>
      <c r="F4022" s="309" t="s">
        <v>10</v>
      </c>
      <c r="G4022" s="310" t="s">
        <v>11</v>
      </c>
      <c r="K4022" s="300"/>
    </row>
    <row r="4023" ht="15" customHeight="1" spans="1:11">
      <c r="A4023" s="307" t="s">
        <v>12</v>
      </c>
      <c r="B4023" s="308">
        <f>IFERROR(VLOOKUP(K4019,'2026.01'!A:Y,14,0),0)</f>
        <v>21235</v>
      </c>
      <c r="C4023" s="308">
        <f>IFERROR(VLOOKUP(K4019,'2026.01'!A:Y,13,0),0)</f>
        <v>21170</v>
      </c>
      <c r="D4023" s="308">
        <f>IFERROR(VLOOKUP(K4019,'2026.01'!A:Y,15,0),0)</f>
        <v>65</v>
      </c>
      <c r="E4023" s="311">
        <f>IFERROR(VLOOKUP(K4019,'2026.01'!A:Y,18,0),0)</f>
        <v>0.8</v>
      </c>
      <c r="F4023" s="309">
        <f>IFERROR(VLOOKUP(K4019,'2026.01'!A:Y,20,0),0)</f>
        <v>52</v>
      </c>
      <c r="G4023" s="310"/>
      <c r="K4023" s="300"/>
    </row>
    <row r="4024" ht="15" customHeight="1" spans="1:11">
      <c r="A4024" s="307" t="s">
        <v>13</v>
      </c>
      <c r="B4024" s="308"/>
      <c r="C4024" s="308"/>
      <c r="D4024" s="308"/>
      <c r="E4024" s="311"/>
      <c r="F4024" s="309">
        <f>IFERROR(VLOOKUP(K4019,'2026.01'!A:Y,24,0),0)</f>
        <v>51</v>
      </c>
      <c r="G4024" s="310"/>
      <c r="K4024" s="300"/>
    </row>
    <row r="4025" ht="15" customHeight="1" spans="1:11">
      <c r="A4025" s="307" t="s">
        <v>14</v>
      </c>
      <c r="B4025" s="308"/>
      <c r="C4025" s="308"/>
      <c r="D4025" s="308"/>
      <c r="E4025" s="311"/>
      <c r="F4025" s="309">
        <f>IFERROR(VLOOKUP(K4019,'2026.01'!A:Y,12,0),0)</f>
        <v>160</v>
      </c>
      <c r="G4025" s="310"/>
      <c r="K4025" s="300"/>
    </row>
    <row r="4026" ht="21" customHeight="1" spans="1:11">
      <c r="A4026" s="307" t="s">
        <v>15</v>
      </c>
      <c r="B4026" s="308"/>
      <c r="C4026" s="308"/>
      <c r="D4026" s="308"/>
      <c r="E4026" s="311"/>
      <c r="F4026" s="309">
        <f>IFERROR(VLOOKUP(K4019,'2026.01'!A:Y,9,0),0)</f>
        <v>4500</v>
      </c>
      <c r="G4026" s="310"/>
      <c r="K4026" s="300"/>
    </row>
    <row r="4027" ht="19" customHeight="1" spans="1:11">
      <c r="A4027" s="307" t="s">
        <v>16</v>
      </c>
      <c r="B4027" s="308"/>
      <c r="C4027" s="308"/>
      <c r="D4027" s="308"/>
      <c r="E4027" s="308"/>
      <c r="F4027" s="309">
        <f>IFERROR(VLOOKUP(K4019,'2026.01'!A:Y,10,0),0)</f>
        <v>500</v>
      </c>
      <c r="G4027" s="310"/>
      <c r="K4027" s="300"/>
    </row>
    <row r="4028" ht="21" customHeight="1" spans="1:11">
      <c r="A4028" s="307" t="s">
        <v>17</v>
      </c>
      <c r="B4028" s="308"/>
      <c r="C4028" s="308"/>
      <c r="D4028" s="308"/>
      <c r="E4028" s="308"/>
      <c r="F4028" s="309">
        <f>IFERROR(VLOOKUP(K4019,'2026.01'!A:Y,19,0),0)</f>
        <v>46</v>
      </c>
      <c r="G4028" s="310"/>
      <c r="K4028" s="300"/>
    </row>
    <row r="4029" ht="17.15" customHeight="1" spans="1:11">
      <c r="A4029" s="307" t="s">
        <v>18</v>
      </c>
      <c r="B4029" s="308"/>
      <c r="C4029" s="308"/>
      <c r="D4029" s="308"/>
      <c r="E4029" s="308"/>
      <c r="F4029" s="309">
        <f>IFERROR(VLOOKUP(K4019,'2026.01'!A:Y,22,0),0)</f>
        <v>146</v>
      </c>
      <c r="G4029" s="310"/>
      <c r="K4029" s="300"/>
    </row>
    <row r="4030" ht="17.15" customHeight="1" spans="1:11">
      <c r="A4030" s="307" t="s">
        <v>19</v>
      </c>
      <c r="B4030" s="312"/>
      <c r="C4030" s="308"/>
      <c r="D4030" s="313"/>
      <c r="E4030" s="308"/>
      <c r="F4030" s="309">
        <f>IFERROR(VLOOKUP(K4019,'2026.01'!A:Y,25,0),0)</f>
        <v>5455</v>
      </c>
      <c r="G4030" s="310"/>
      <c r="K4030" s="300"/>
    </row>
    <row r="4031" ht="15" customHeight="1" spans="1:11">
      <c r="A4031" s="314" t="s">
        <v>20</v>
      </c>
      <c r="B4031" s="315">
        <f>IF(F4030&lt;0,"金额为负，无效",INT(F4030))</f>
        <v>5455</v>
      </c>
      <c r="C4031" s="315"/>
      <c r="D4031" s="315"/>
      <c r="E4031" s="316" t="s">
        <v>21</v>
      </c>
      <c r="F4031" s="317"/>
      <c r="G4031" s="318"/>
      <c r="K4031" s="300"/>
    </row>
    <row r="4032" ht="15" customHeight="1" spans="1:11">
      <c r="A4032" s="319"/>
      <c r="B4032" s="320"/>
      <c r="C4032" s="320"/>
      <c r="D4032" s="320"/>
      <c r="E4032" s="319"/>
      <c r="F4032" s="321"/>
      <c r="G4032" s="322"/>
      <c r="K4032" s="300"/>
    </row>
    <row r="4033" ht="27" customHeight="1" spans="1:11">
      <c r="A4033" s="298" t="s">
        <v>0</v>
      </c>
      <c r="B4033" s="298"/>
      <c r="C4033" s="298"/>
      <c r="D4033" s="298"/>
      <c r="E4033" s="298"/>
      <c r="F4033" s="298"/>
      <c r="G4033" s="298"/>
      <c r="H4033" s="299"/>
      <c r="I4033" s="299"/>
      <c r="J4033" s="299"/>
      <c r="K4033" s="300">
        <v>289</v>
      </c>
    </row>
    <row r="4034" ht="15" customHeight="1" spans="1:11">
      <c r="A4034" s="301" t="s">
        <v>1</v>
      </c>
      <c r="B4034" s="301"/>
      <c r="C4034" s="301"/>
      <c r="D4034" s="301"/>
      <c r="E4034" s="301"/>
      <c r="F4034" s="301"/>
      <c r="G4034" s="302" t="str">
        <f>IFERROR(VLOOKUP(K4033,'2026.01'!A:Y,2,0),0)</f>
        <v>NO:289</v>
      </c>
      <c r="K4034" s="300"/>
    </row>
    <row r="4035" ht="15" customHeight="1" spans="1:11">
      <c r="A4035" s="303" t="s">
        <v>2</v>
      </c>
      <c r="B4035" s="304">
        <f>IFERROR(VLOOKUP(K4033,'2026.01'!A:Y,6,0),0)</f>
        <v>5020</v>
      </c>
      <c r="C4035" s="304"/>
      <c r="D4035" s="305" t="s">
        <v>3</v>
      </c>
      <c r="E4035" s="305" t="str">
        <f>IFERROR(VLOOKUP(K4033,'2026.01'!A:Y,7,0),0)</f>
        <v>刘庆</v>
      </c>
      <c r="F4035" s="305"/>
      <c r="G4035" s="306" t="s">
        <v>4</v>
      </c>
      <c r="K4035" s="300"/>
    </row>
    <row r="4036" ht="15" customHeight="1" spans="1:11">
      <c r="A4036" s="307" t="s">
        <v>5</v>
      </c>
      <c r="B4036" s="308" t="s">
        <v>6</v>
      </c>
      <c r="C4036" s="308" t="s">
        <v>7</v>
      </c>
      <c r="D4036" s="308" t="s">
        <v>8</v>
      </c>
      <c r="E4036" s="308" t="s">
        <v>9</v>
      </c>
      <c r="F4036" s="309" t="s">
        <v>10</v>
      </c>
      <c r="G4036" s="310" t="s">
        <v>11</v>
      </c>
      <c r="K4036" s="300"/>
    </row>
    <row r="4037" ht="15" customHeight="1" spans="1:11">
      <c r="A4037" s="307" t="s">
        <v>12</v>
      </c>
      <c r="B4037" s="308">
        <f>IFERROR(VLOOKUP(K4033,'2026.01'!A:Y,14,0),0)</f>
        <v>23536</v>
      </c>
      <c r="C4037" s="308">
        <f>IFERROR(VLOOKUP(K4033,'2026.01'!A:Y,13,0),0)</f>
        <v>23503</v>
      </c>
      <c r="D4037" s="308">
        <f>IFERROR(VLOOKUP(K4033,'2026.01'!A:Y,15,0),0)</f>
        <v>33</v>
      </c>
      <c r="E4037" s="311">
        <f>IFERROR(VLOOKUP(K4033,'2026.01'!A:Y,18,0),0)</f>
        <v>0.8</v>
      </c>
      <c r="F4037" s="309">
        <f>IFERROR(VLOOKUP(K4033,'2026.01'!A:Y,20,0),0)</f>
        <v>26</v>
      </c>
      <c r="G4037" s="310"/>
      <c r="K4037" s="300"/>
    </row>
    <row r="4038" ht="15" customHeight="1" spans="1:11">
      <c r="A4038" s="307" t="s">
        <v>13</v>
      </c>
      <c r="B4038" s="308"/>
      <c r="C4038" s="308"/>
      <c r="D4038" s="308"/>
      <c r="E4038" s="311"/>
      <c r="F4038" s="309">
        <f>IFERROR(VLOOKUP(K4033,'2026.01'!A:Y,24,0),0)</f>
        <v>51</v>
      </c>
      <c r="G4038" s="310"/>
      <c r="K4038" s="300"/>
    </row>
    <row r="4039" ht="15" customHeight="1" spans="1:11">
      <c r="A4039" s="307" t="s">
        <v>14</v>
      </c>
      <c r="B4039" s="308"/>
      <c r="C4039" s="308"/>
      <c r="D4039" s="308"/>
      <c r="E4039" s="311"/>
      <c r="F4039" s="309">
        <f>IFERROR(VLOOKUP(K4033,'2026.01'!A:Y,12,0),0)</f>
        <v>160</v>
      </c>
      <c r="G4039" s="310"/>
      <c r="K4039" s="300"/>
    </row>
    <row r="4040" ht="21" customHeight="1" spans="1:11">
      <c r="A4040" s="307" t="s">
        <v>15</v>
      </c>
      <c r="B4040" s="308"/>
      <c r="C4040" s="308"/>
      <c r="D4040" s="308"/>
      <c r="E4040" s="311"/>
      <c r="F4040" s="309">
        <f>IFERROR(VLOOKUP(K4033,'2026.01'!A:Y,9,0),0)</f>
        <v>4500</v>
      </c>
      <c r="G4040" s="310"/>
      <c r="K4040" s="300"/>
    </row>
    <row r="4041" ht="19" customHeight="1" spans="1:11">
      <c r="A4041" s="307" t="s">
        <v>16</v>
      </c>
      <c r="B4041" s="308"/>
      <c r="C4041" s="308"/>
      <c r="D4041" s="308"/>
      <c r="E4041" s="308"/>
      <c r="F4041" s="309">
        <f>IFERROR(VLOOKUP(K4033,'2026.01'!A:Y,10,0),0)</f>
        <v>500</v>
      </c>
      <c r="G4041" s="310"/>
      <c r="K4041" s="300"/>
    </row>
    <row r="4042" ht="21" customHeight="1" spans="1:11">
      <c r="A4042" s="307" t="s">
        <v>17</v>
      </c>
      <c r="B4042" s="308"/>
      <c r="C4042" s="308"/>
      <c r="D4042" s="308"/>
      <c r="E4042" s="308"/>
      <c r="F4042" s="309">
        <f>IFERROR(VLOOKUP(K4033,'2026.01'!A:Y,19,0),0)</f>
        <v>23</v>
      </c>
      <c r="G4042" s="310"/>
      <c r="K4042" s="300"/>
    </row>
    <row r="4043" ht="17.15" customHeight="1" spans="1:11">
      <c r="A4043" s="307" t="s">
        <v>18</v>
      </c>
      <c r="B4043" s="308"/>
      <c r="C4043" s="308"/>
      <c r="D4043" s="308"/>
      <c r="E4043" s="308"/>
      <c r="F4043" s="309">
        <f>IFERROR(VLOOKUP(K4033,'2026.01'!A:Y,22,0),0)</f>
        <v>146</v>
      </c>
      <c r="G4043" s="310"/>
      <c r="K4043" s="300"/>
    </row>
    <row r="4044" ht="17.15" customHeight="1" spans="1:11">
      <c r="A4044" s="307" t="s">
        <v>19</v>
      </c>
      <c r="B4044" s="312"/>
      <c r="C4044" s="308"/>
      <c r="D4044" s="313"/>
      <c r="E4044" s="308"/>
      <c r="F4044" s="309">
        <f>IFERROR(VLOOKUP(K4033,'2026.01'!A:Y,25,0),0)</f>
        <v>5406</v>
      </c>
      <c r="G4044" s="310"/>
      <c r="K4044" s="300"/>
    </row>
    <row r="4045" ht="15" customHeight="1" spans="1:11">
      <c r="A4045" s="314" t="s">
        <v>20</v>
      </c>
      <c r="B4045" s="315">
        <f>IF(F4044&lt;0,"金额为负，无效",INT(F4044))</f>
        <v>5406</v>
      </c>
      <c r="C4045" s="315"/>
      <c r="D4045" s="315"/>
      <c r="E4045" s="316" t="s">
        <v>21</v>
      </c>
      <c r="F4045" s="317"/>
      <c r="G4045" s="318"/>
      <c r="K4045" s="300"/>
    </row>
    <row r="4046" ht="23" customHeight="1" spans="1:11">
      <c r="A4046" s="319"/>
      <c r="B4046" s="320"/>
      <c r="C4046" s="320"/>
      <c r="D4046" s="320"/>
      <c r="E4046" s="319"/>
      <c r="F4046" s="321"/>
      <c r="G4046" s="322"/>
      <c r="K4046" s="300"/>
    </row>
    <row r="4047" ht="27" customHeight="1" spans="1:11">
      <c r="A4047" s="298" t="s">
        <v>0</v>
      </c>
      <c r="B4047" s="298"/>
      <c r="C4047" s="298"/>
      <c r="D4047" s="298"/>
      <c r="E4047" s="298"/>
      <c r="F4047" s="298"/>
      <c r="G4047" s="298"/>
      <c r="H4047" s="299"/>
      <c r="I4047" s="299"/>
      <c r="J4047" s="299"/>
      <c r="K4047" s="300">
        <v>290</v>
      </c>
    </row>
    <row r="4048" ht="15" customHeight="1" spans="1:11">
      <c r="A4048" s="301" t="s">
        <v>1</v>
      </c>
      <c r="B4048" s="301"/>
      <c r="C4048" s="301"/>
      <c r="D4048" s="301"/>
      <c r="E4048" s="301"/>
      <c r="F4048" s="301"/>
      <c r="G4048" s="302" t="str">
        <f>IFERROR(VLOOKUP(K4047,'2026.01'!A:Y,2,0),0)</f>
        <v>NO:290</v>
      </c>
      <c r="K4048" s="300"/>
    </row>
    <row r="4049" ht="15" customHeight="1" spans="1:11">
      <c r="A4049" s="303" t="s">
        <v>2</v>
      </c>
      <c r="B4049" s="304">
        <f>IFERROR(VLOOKUP(K4047,'2026.01'!A:Y,6,0),0)</f>
        <v>5021</v>
      </c>
      <c r="C4049" s="304"/>
      <c r="D4049" s="305" t="s">
        <v>3</v>
      </c>
      <c r="E4049" s="305" t="str">
        <f>IFERROR(VLOOKUP(K4047,'2026.01'!A:Y,7,0),0)</f>
        <v>黄文俊</v>
      </c>
      <c r="F4049" s="305"/>
      <c r="G4049" s="306" t="s">
        <v>4</v>
      </c>
      <c r="K4049" s="300"/>
    </row>
    <row r="4050" ht="15" customHeight="1" spans="1:11">
      <c r="A4050" s="307" t="s">
        <v>5</v>
      </c>
      <c r="B4050" s="308" t="s">
        <v>6</v>
      </c>
      <c r="C4050" s="308" t="s">
        <v>7</v>
      </c>
      <c r="D4050" s="308" t="s">
        <v>8</v>
      </c>
      <c r="E4050" s="308" t="s">
        <v>9</v>
      </c>
      <c r="F4050" s="309" t="s">
        <v>10</v>
      </c>
      <c r="G4050" s="310" t="s">
        <v>11</v>
      </c>
      <c r="K4050" s="300"/>
    </row>
    <row r="4051" ht="15" customHeight="1" spans="1:11">
      <c r="A4051" s="307" t="s">
        <v>12</v>
      </c>
      <c r="B4051" s="308">
        <f>IFERROR(VLOOKUP(K4047,'2026.01'!A:Y,14,0),0)</f>
        <v>24830</v>
      </c>
      <c r="C4051" s="308">
        <f>IFERROR(VLOOKUP(K4047,'2026.01'!A:Y,13,0),0)</f>
        <v>24741</v>
      </c>
      <c r="D4051" s="308">
        <f>IFERROR(VLOOKUP(K4047,'2026.01'!A:Y,15,0),0)</f>
        <v>89</v>
      </c>
      <c r="E4051" s="311">
        <f>IFERROR(VLOOKUP(K4047,'2026.01'!A:Y,18,0),0)</f>
        <v>0.8</v>
      </c>
      <c r="F4051" s="309">
        <f>IFERROR(VLOOKUP(K4047,'2026.01'!A:Y,20,0),0)</f>
        <v>71</v>
      </c>
      <c r="G4051" s="310"/>
      <c r="K4051" s="300"/>
    </row>
    <row r="4052" ht="15" customHeight="1" spans="1:11">
      <c r="A4052" s="307" t="s">
        <v>13</v>
      </c>
      <c r="B4052" s="308"/>
      <c r="C4052" s="308"/>
      <c r="D4052" s="308"/>
      <c r="E4052" s="311"/>
      <c r="F4052" s="309">
        <f>IFERROR(VLOOKUP(K4047,'2026.01'!A:Y,24,0),0)</f>
        <v>51</v>
      </c>
      <c r="G4052" s="310"/>
      <c r="K4052" s="300"/>
    </row>
    <row r="4053" ht="15" customHeight="1" spans="1:11">
      <c r="A4053" s="307" t="s">
        <v>14</v>
      </c>
      <c r="B4053" s="308"/>
      <c r="C4053" s="308"/>
      <c r="D4053" s="308"/>
      <c r="E4053" s="311"/>
      <c r="F4053" s="309">
        <f>IFERROR(VLOOKUP(K4047,'2026.01'!A:Y,12,0),0)</f>
        <v>160</v>
      </c>
      <c r="G4053" s="310"/>
      <c r="K4053" s="300"/>
    </row>
    <row r="4054" ht="21" customHeight="1" spans="1:11">
      <c r="A4054" s="307" t="s">
        <v>15</v>
      </c>
      <c r="B4054" s="308"/>
      <c r="C4054" s="308"/>
      <c r="D4054" s="308"/>
      <c r="E4054" s="311"/>
      <c r="F4054" s="309">
        <f>IFERROR(VLOOKUP(K4047,'2026.01'!A:Y,9,0),0)</f>
        <v>4500</v>
      </c>
      <c r="G4054" s="310"/>
      <c r="K4054" s="300"/>
    </row>
    <row r="4055" ht="19" customHeight="1" spans="1:11">
      <c r="A4055" s="307" t="s">
        <v>16</v>
      </c>
      <c r="B4055" s="308"/>
      <c r="C4055" s="308"/>
      <c r="D4055" s="308"/>
      <c r="E4055" s="308"/>
      <c r="F4055" s="309">
        <f>IFERROR(VLOOKUP(K4047,'2026.01'!A:Y,10,0),0)</f>
        <v>500</v>
      </c>
      <c r="G4055" s="310"/>
      <c r="K4055" s="300"/>
    </row>
    <row r="4056" ht="21" customHeight="1" spans="1:11">
      <c r="A4056" s="307" t="s">
        <v>17</v>
      </c>
      <c r="B4056" s="308"/>
      <c r="C4056" s="308"/>
      <c r="D4056" s="308"/>
      <c r="E4056" s="308"/>
      <c r="F4056" s="309">
        <f>IFERROR(VLOOKUP(K4047,'2026.01'!A:Y,19,0),0)</f>
        <v>62</v>
      </c>
      <c r="G4056" s="310"/>
      <c r="K4056" s="300"/>
    </row>
    <row r="4057" ht="17.15" customHeight="1" spans="1:11">
      <c r="A4057" s="307" t="s">
        <v>18</v>
      </c>
      <c r="B4057" s="308"/>
      <c r="C4057" s="308"/>
      <c r="D4057" s="308"/>
      <c r="E4057" s="308"/>
      <c r="F4057" s="309">
        <f>IFERROR(VLOOKUP(K4047,'2026.01'!A:Y,22,0),0)</f>
        <v>146</v>
      </c>
      <c r="G4057" s="310"/>
      <c r="K4057" s="300"/>
    </row>
    <row r="4058" ht="17.15" customHeight="1" spans="1:11">
      <c r="A4058" s="307" t="s">
        <v>19</v>
      </c>
      <c r="B4058" s="312"/>
      <c r="C4058" s="308"/>
      <c r="D4058" s="313"/>
      <c r="E4058" s="308"/>
      <c r="F4058" s="309">
        <f>IFERROR(VLOOKUP(K4047,'2026.01'!A:Y,25,0),0)</f>
        <v>5490</v>
      </c>
      <c r="G4058" s="310"/>
      <c r="K4058" s="300"/>
    </row>
    <row r="4059" ht="15" customHeight="1" spans="1:11">
      <c r="A4059" s="314" t="s">
        <v>20</v>
      </c>
      <c r="B4059" s="315">
        <f>IF(F4058&lt;0,"金额为负，无效",INT(F4058))</f>
        <v>5490</v>
      </c>
      <c r="C4059" s="315"/>
      <c r="D4059" s="315"/>
      <c r="E4059" s="316" t="s">
        <v>21</v>
      </c>
      <c r="F4059" s="317"/>
      <c r="G4059" s="318"/>
      <c r="K4059" s="300"/>
    </row>
    <row r="4060" ht="23" customHeight="1" spans="1:11">
      <c r="A4060" s="319"/>
      <c r="B4060" s="320"/>
      <c r="C4060" s="320"/>
      <c r="D4060" s="320"/>
      <c r="E4060" s="319"/>
      <c r="F4060" s="321"/>
      <c r="G4060" s="322"/>
      <c r="K4060" s="300"/>
    </row>
    <row r="4061" ht="27" customHeight="1" spans="1:11">
      <c r="A4061" s="298" t="s">
        <v>0</v>
      </c>
      <c r="B4061" s="298"/>
      <c r="C4061" s="298"/>
      <c r="D4061" s="298"/>
      <c r="E4061" s="298"/>
      <c r="F4061" s="298"/>
      <c r="G4061" s="298"/>
      <c r="H4061" s="299"/>
      <c r="I4061" s="299"/>
      <c r="J4061" s="299"/>
      <c r="K4061" s="300">
        <v>291</v>
      </c>
    </row>
    <row r="4062" ht="15" customHeight="1" spans="1:11">
      <c r="A4062" s="301" t="s">
        <v>1</v>
      </c>
      <c r="B4062" s="301"/>
      <c r="C4062" s="301"/>
      <c r="D4062" s="301"/>
      <c r="E4062" s="301"/>
      <c r="F4062" s="301"/>
      <c r="G4062" s="302" t="str">
        <f>IFERROR(VLOOKUP(K4061,'2026.01'!A:Y,2,0),0)</f>
        <v>NO:291</v>
      </c>
      <c r="K4062" s="300"/>
    </row>
    <row r="4063" ht="15" customHeight="1" spans="1:11">
      <c r="A4063" s="303" t="s">
        <v>2</v>
      </c>
      <c r="B4063" s="304">
        <f>IFERROR(VLOOKUP(K4061,'2026.01'!A:Y,6,0),0)</f>
        <v>5022</v>
      </c>
      <c r="C4063" s="304"/>
      <c r="D4063" s="305" t="s">
        <v>3</v>
      </c>
      <c r="E4063" s="305" t="str">
        <f>IFERROR(VLOOKUP(K4061,'2026.01'!A:Y,7,0),0)</f>
        <v>张明亮</v>
      </c>
      <c r="F4063" s="305"/>
      <c r="G4063" s="306" t="s">
        <v>4</v>
      </c>
      <c r="K4063" s="300"/>
    </row>
    <row r="4064" ht="15" customHeight="1" spans="1:11">
      <c r="A4064" s="307" t="s">
        <v>5</v>
      </c>
      <c r="B4064" s="308" t="s">
        <v>6</v>
      </c>
      <c r="C4064" s="308" t="s">
        <v>7</v>
      </c>
      <c r="D4064" s="308" t="s">
        <v>8</v>
      </c>
      <c r="E4064" s="308" t="s">
        <v>9</v>
      </c>
      <c r="F4064" s="309" t="s">
        <v>10</v>
      </c>
      <c r="G4064" s="310" t="s">
        <v>11</v>
      </c>
      <c r="K4064" s="300"/>
    </row>
    <row r="4065" ht="15" customHeight="1" spans="1:11">
      <c r="A4065" s="307" t="s">
        <v>12</v>
      </c>
      <c r="B4065" s="308">
        <f>IFERROR(VLOOKUP(K4061,'2026.01'!A:Y,14,0),0)</f>
        <v>23693</v>
      </c>
      <c r="C4065" s="308">
        <f>IFERROR(VLOOKUP(K4061,'2026.01'!A:Y,13,0),0)</f>
        <v>23648</v>
      </c>
      <c r="D4065" s="308">
        <f>IFERROR(VLOOKUP(K4061,'2026.01'!A:Y,15,0),0)</f>
        <v>45</v>
      </c>
      <c r="E4065" s="311">
        <f>IFERROR(VLOOKUP(K4061,'2026.01'!A:Y,18,0),0)</f>
        <v>0.8</v>
      </c>
      <c r="F4065" s="309">
        <f>IFERROR(VLOOKUP(K4061,'2026.01'!A:Y,20,0),0)</f>
        <v>36</v>
      </c>
      <c r="G4065" s="310"/>
      <c r="K4065" s="300"/>
    </row>
    <row r="4066" ht="15" customHeight="1" spans="1:11">
      <c r="A4066" s="307" t="s">
        <v>13</v>
      </c>
      <c r="B4066" s="308"/>
      <c r="C4066" s="308"/>
      <c r="D4066" s="308"/>
      <c r="E4066" s="311"/>
      <c r="F4066" s="309">
        <f>IFERROR(VLOOKUP(K4061,'2026.01'!A:Y,24,0),0)</f>
        <v>51</v>
      </c>
      <c r="G4066" s="310"/>
      <c r="K4066" s="300"/>
    </row>
    <row r="4067" ht="15" customHeight="1" spans="1:11">
      <c r="A4067" s="307" t="s">
        <v>14</v>
      </c>
      <c r="B4067" s="308"/>
      <c r="C4067" s="308"/>
      <c r="D4067" s="308"/>
      <c r="E4067" s="311"/>
      <c r="F4067" s="309">
        <f>IFERROR(VLOOKUP(K4061,'2026.01'!A:Y,12,0),0)</f>
        <v>160</v>
      </c>
      <c r="G4067" s="310"/>
      <c r="K4067" s="300"/>
    </row>
    <row r="4068" ht="21" customHeight="1" spans="1:11">
      <c r="A4068" s="307" t="s">
        <v>15</v>
      </c>
      <c r="B4068" s="308"/>
      <c r="C4068" s="308"/>
      <c r="D4068" s="308"/>
      <c r="E4068" s="311"/>
      <c r="F4068" s="309">
        <f>IFERROR(VLOOKUP(K4061,'2026.01'!A:Y,9,0),0)</f>
        <v>4500</v>
      </c>
      <c r="G4068" s="310"/>
      <c r="K4068" s="300"/>
    </row>
    <row r="4069" ht="19" customHeight="1" spans="1:11">
      <c r="A4069" s="307" t="s">
        <v>16</v>
      </c>
      <c r="B4069" s="308"/>
      <c r="C4069" s="308"/>
      <c r="D4069" s="308"/>
      <c r="E4069" s="308"/>
      <c r="F4069" s="309">
        <f>IFERROR(VLOOKUP(K4061,'2026.01'!A:Y,10,0),0)</f>
        <v>500</v>
      </c>
      <c r="G4069" s="310"/>
      <c r="K4069" s="300"/>
    </row>
    <row r="4070" ht="21" customHeight="1" spans="1:11">
      <c r="A4070" s="307" t="s">
        <v>17</v>
      </c>
      <c r="B4070" s="308"/>
      <c r="C4070" s="308"/>
      <c r="D4070" s="308"/>
      <c r="E4070" s="308"/>
      <c r="F4070" s="309">
        <f>IFERROR(VLOOKUP(K4061,'2026.01'!A:Y,19,0),0)</f>
        <v>32</v>
      </c>
      <c r="G4070" s="310"/>
      <c r="K4070" s="300"/>
    </row>
    <row r="4071" ht="17.15" customHeight="1" spans="1:11">
      <c r="A4071" s="307" t="s">
        <v>18</v>
      </c>
      <c r="B4071" s="308"/>
      <c r="C4071" s="308"/>
      <c r="D4071" s="308"/>
      <c r="E4071" s="308"/>
      <c r="F4071" s="309">
        <f>IFERROR(VLOOKUP(K4061,'2026.01'!A:Y,22,0),0)</f>
        <v>146</v>
      </c>
      <c r="G4071" s="310"/>
      <c r="K4071" s="300"/>
    </row>
    <row r="4072" ht="17.15" customHeight="1" spans="1:11">
      <c r="A4072" s="307" t="s">
        <v>19</v>
      </c>
      <c r="B4072" s="312"/>
      <c r="C4072" s="308"/>
      <c r="D4072" s="313"/>
      <c r="E4072" s="308"/>
      <c r="F4072" s="309">
        <f>IFERROR(VLOOKUP(K4061,'2026.01'!A:Y,25,0),0)</f>
        <v>5425</v>
      </c>
      <c r="G4072" s="310"/>
      <c r="K4072" s="300"/>
    </row>
    <row r="4073" ht="15" customHeight="1" spans="1:11">
      <c r="A4073" s="314" t="s">
        <v>20</v>
      </c>
      <c r="B4073" s="315">
        <f>IF(F4072&lt;0,"金额为负，无效",INT(F4072))</f>
        <v>5425</v>
      </c>
      <c r="C4073" s="315"/>
      <c r="D4073" s="315"/>
      <c r="E4073" s="316" t="s">
        <v>21</v>
      </c>
      <c r="F4073" s="317"/>
      <c r="G4073" s="318"/>
      <c r="K4073" s="300"/>
    </row>
    <row r="4074" ht="15" customHeight="1" spans="1:11">
      <c r="A4074" s="319"/>
      <c r="B4074" s="320"/>
      <c r="C4074" s="320"/>
      <c r="D4074" s="320"/>
      <c r="E4074" s="319"/>
      <c r="F4074" s="321"/>
      <c r="G4074" s="322"/>
      <c r="K4074" s="300"/>
    </row>
    <row r="4075" ht="27" customHeight="1" spans="1:11">
      <c r="A4075" s="298" t="s">
        <v>0</v>
      </c>
      <c r="B4075" s="298"/>
      <c r="C4075" s="298"/>
      <c r="D4075" s="298"/>
      <c r="E4075" s="298"/>
      <c r="F4075" s="298"/>
      <c r="G4075" s="298"/>
      <c r="H4075" s="299"/>
      <c r="I4075" s="299"/>
      <c r="J4075" s="299"/>
      <c r="K4075" s="300">
        <v>292</v>
      </c>
    </row>
    <row r="4076" ht="15" customHeight="1" spans="1:11">
      <c r="A4076" s="301" t="s">
        <v>1</v>
      </c>
      <c r="B4076" s="301"/>
      <c r="C4076" s="301"/>
      <c r="D4076" s="301"/>
      <c r="E4076" s="301"/>
      <c r="F4076" s="301"/>
      <c r="G4076" s="302" t="str">
        <f>IFERROR(VLOOKUP(K4075,'2026.01'!A:Y,2,0),0)</f>
        <v>NO:292</v>
      </c>
      <c r="K4076" s="300"/>
    </row>
    <row r="4077" ht="15" customHeight="1" spans="1:11">
      <c r="A4077" s="303" t="s">
        <v>2</v>
      </c>
      <c r="B4077" s="304">
        <f>IFERROR(VLOOKUP(K4075,'2026.01'!A:Y,6,0),0)</f>
        <v>5023</v>
      </c>
      <c r="C4077" s="304"/>
      <c r="D4077" s="305" t="s">
        <v>3</v>
      </c>
      <c r="E4077" s="305" t="str">
        <f>IFERROR(VLOOKUP(K4075,'2026.01'!A:Y,7,0),0)</f>
        <v>王贵云</v>
      </c>
      <c r="F4077" s="305"/>
      <c r="G4077" s="306" t="s">
        <v>4</v>
      </c>
      <c r="K4077" s="300"/>
    </row>
    <row r="4078" ht="15" customHeight="1" spans="1:11">
      <c r="A4078" s="307" t="s">
        <v>5</v>
      </c>
      <c r="B4078" s="308" t="s">
        <v>6</v>
      </c>
      <c r="C4078" s="308" t="s">
        <v>7</v>
      </c>
      <c r="D4078" s="308" t="s">
        <v>8</v>
      </c>
      <c r="E4078" s="308" t="s">
        <v>9</v>
      </c>
      <c r="F4078" s="309" t="s">
        <v>10</v>
      </c>
      <c r="G4078" s="310" t="s">
        <v>11</v>
      </c>
      <c r="K4078" s="300"/>
    </row>
    <row r="4079" ht="15" customHeight="1" spans="1:11">
      <c r="A4079" s="307" t="s">
        <v>12</v>
      </c>
      <c r="B4079" s="308">
        <f>IFERROR(VLOOKUP(K4075,'2026.01'!A:Y,14,0),0)</f>
        <v>19540</v>
      </c>
      <c r="C4079" s="308">
        <f>IFERROR(VLOOKUP(K4075,'2026.01'!A:Y,13,0),0)</f>
        <v>19486</v>
      </c>
      <c r="D4079" s="308">
        <f>IFERROR(VLOOKUP(K4075,'2026.01'!A:Y,15,0),0)</f>
        <v>54</v>
      </c>
      <c r="E4079" s="311">
        <f>IFERROR(VLOOKUP(K4075,'2026.01'!A:Y,18,0),0)</f>
        <v>0.8</v>
      </c>
      <c r="F4079" s="309">
        <f>IFERROR(VLOOKUP(K4075,'2026.01'!A:Y,20,0),0)</f>
        <v>43</v>
      </c>
      <c r="G4079" s="310"/>
      <c r="K4079" s="300"/>
    </row>
    <row r="4080" ht="15" customHeight="1" spans="1:11">
      <c r="A4080" s="307" t="s">
        <v>13</v>
      </c>
      <c r="B4080" s="308"/>
      <c r="C4080" s="308"/>
      <c r="D4080" s="308"/>
      <c r="E4080" s="311"/>
      <c r="F4080" s="309">
        <f>IFERROR(VLOOKUP(K4075,'2026.01'!A:Y,24,0),0)</f>
        <v>51</v>
      </c>
      <c r="G4080" s="310"/>
      <c r="K4080" s="300"/>
    </row>
    <row r="4081" ht="15" customHeight="1" spans="1:11">
      <c r="A4081" s="307" t="s">
        <v>14</v>
      </c>
      <c r="B4081" s="308"/>
      <c r="C4081" s="308"/>
      <c r="D4081" s="308"/>
      <c r="E4081" s="311"/>
      <c r="F4081" s="309">
        <f>IFERROR(VLOOKUP(K4075,'2026.01'!A:Y,12,0),0)</f>
        <v>160</v>
      </c>
      <c r="G4081" s="310"/>
      <c r="K4081" s="300"/>
    </row>
    <row r="4082" ht="21" customHeight="1" spans="1:11">
      <c r="A4082" s="307" t="s">
        <v>15</v>
      </c>
      <c r="B4082" s="308"/>
      <c r="C4082" s="308"/>
      <c r="D4082" s="308"/>
      <c r="E4082" s="311"/>
      <c r="F4082" s="309">
        <f>IFERROR(VLOOKUP(K4075,'2026.01'!A:Y,9,0),0)</f>
        <v>4500</v>
      </c>
      <c r="G4082" s="310"/>
      <c r="K4082" s="300"/>
    </row>
    <row r="4083" ht="19" customHeight="1" spans="1:11">
      <c r="A4083" s="307" t="s">
        <v>16</v>
      </c>
      <c r="B4083" s="308"/>
      <c r="C4083" s="308"/>
      <c r="D4083" s="308"/>
      <c r="E4083" s="308"/>
      <c r="F4083" s="309">
        <f>IFERROR(VLOOKUP(K4075,'2026.01'!A:Y,10,0),0)</f>
        <v>500</v>
      </c>
      <c r="G4083" s="310"/>
      <c r="K4083" s="300"/>
    </row>
    <row r="4084" ht="21" customHeight="1" spans="1:11">
      <c r="A4084" s="307" t="s">
        <v>17</v>
      </c>
      <c r="B4084" s="308"/>
      <c r="C4084" s="308"/>
      <c r="D4084" s="308"/>
      <c r="E4084" s="308"/>
      <c r="F4084" s="309">
        <f>IFERROR(VLOOKUP(K4075,'2026.01'!A:Y,19,0),0)</f>
        <v>38</v>
      </c>
      <c r="G4084" s="310"/>
      <c r="K4084" s="300"/>
    </row>
    <row r="4085" ht="17.15" customHeight="1" spans="1:11">
      <c r="A4085" s="307" t="s">
        <v>18</v>
      </c>
      <c r="B4085" s="308"/>
      <c r="C4085" s="308"/>
      <c r="D4085" s="308"/>
      <c r="E4085" s="308"/>
      <c r="F4085" s="309">
        <f>IFERROR(VLOOKUP(K4075,'2026.01'!A:Y,22,0),0)</f>
        <v>146</v>
      </c>
      <c r="G4085" s="310"/>
      <c r="K4085" s="300"/>
    </row>
    <row r="4086" ht="17.15" customHeight="1" spans="1:11">
      <c r="A4086" s="307" t="s">
        <v>19</v>
      </c>
      <c r="B4086" s="312"/>
      <c r="C4086" s="308"/>
      <c r="D4086" s="313"/>
      <c r="E4086" s="308"/>
      <c r="F4086" s="309">
        <f>IFERROR(VLOOKUP(K4075,'2026.01'!A:Y,25,0),0)</f>
        <v>5438</v>
      </c>
      <c r="G4086" s="310"/>
      <c r="K4086" s="300"/>
    </row>
    <row r="4087" ht="15" customHeight="1" spans="1:11">
      <c r="A4087" s="314" t="s">
        <v>20</v>
      </c>
      <c r="B4087" s="315">
        <f>IF(F4086&lt;0,"金额为负，无效",INT(F4086))</f>
        <v>5438</v>
      </c>
      <c r="C4087" s="315"/>
      <c r="D4087" s="315"/>
      <c r="E4087" s="316" t="s">
        <v>21</v>
      </c>
      <c r="F4087" s="317"/>
      <c r="G4087" s="318"/>
      <c r="K4087" s="300"/>
    </row>
    <row r="4088" ht="23" customHeight="1" spans="1:11">
      <c r="A4088" s="319"/>
      <c r="B4088" s="320"/>
      <c r="C4088" s="320"/>
      <c r="D4088" s="320"/>
      <c r="E4088" s="319"/>
      <c r="F4088" s="321"/>
      <c r="G4088" s="322"/>
      <c r="K4088" s="300"/>
    </row>
    <row r="4089" ht="27" customHeight="1" spans="1:11">
      <c r="A4089" s="298" t="s">
        <v>0</v>
      </c>
      <c r="B4089" s="298"/>
      <c r="C4089" s="298"/>
      <c r="D4089" s="298"/>
      <c r="E4089" s="298"/>
      <c r="F4089" s="298"/>
      <c r="G4089" s="298"/>
      <c r="H4089" s="299"/>
      <c r="I4089" s="299"/>
      <c r="J4089" s="299"/>
      <c r="K4089" s="300">
        <v>293</v>
      </c>
    </row>
    <row r="4090" ht="15" customHeight="1" spans="1:11">
      <c r="A4090" s="301" t="s">
        <v>1</v>
      </c>
      <c r="B4090" s="301"/>
      <c r="C4090" s="301"/>
      <c r="D4090" s="301"/>
      <c r="E4090" s="301"/>
      <c r="F4090" s="301"/>
      <c r="G4090" s="302" t="str">
        <f>IFERROR(VLOOKUP(K4089,'2026.01'!A:Y,2,0),0)</f>
        <v>NO:293</v>
      </c>
      <c r="K4090" s="300"/>
    </row>
    <row r="4091" ht="15" customHeight="1" spans="1:11">
      <c r="A4091" s="303" t="s">
        <v>2</v>
      </c>
      <c r="B4091" s="304">
        <f>IFERROR(VLOOKUP(K4089,'2026.01'!A:Y,6,0),0)</f>
        <v>5024</v>
      </c>
      <c r="C4091" s="304"/>
      <c r="D4091" s="305" t="s">
        <v>3</v>
      </c>
      <c r="E4091" s="305" t="str">
        <f>IFERROR(VLOOKUP(K4089,'2026.01'!A:Y,7,0),0)</f>
        <v>王贵云</v>
      </c>
      <c r="F4091" s="305"/>
      <c r="G4091" s="306" t="s">
        <v>4</v>
      </c>
      <c r="K4091" s="300"/>
    </row>
    <row r="4092" ht="15" customHeight="1" spans="1:11">
      <c r="A4092" s="307" t="s">
        <v>5</v>
      </c>
      <c r="B4092" s="308" t="s">
        <v>6</v>
      </c>
      <c r="C4092" s="308" t="s">
        <v>7</v>
      </c>
      <c r="D4092" s="308" t="s">
        <v>8</v>
      </c>
      <c r="E4092" s="308" t="s">
        <v>9</v>
      </c>
      <c r="F4092" s="309" t="s">
        <v>10</v>
      </c>
      <c r="G4092" s="310" t="s">
        <v>11</v>
      </c>
      <c r="K4092" s="300"/>
    </row>
    <row r="4093" ht="15" customHeight="1" spans="1:11">
      <c r="A4093" s="307" t="s">
        <v>12</v>
      </c>
      <c r="B4093" s="308">
        <f>IFERROR(VLOOKUP(K4089,'2026.01'!A:Y,14,0),0)</f>
        <v>25701</v>
      </c>
      <c r="C4093" s="308">
        <f>IFERROR(VLOOKUP(K4089,'2026.01'!A:Y,13,0),0)</f>
        <v>25667</v>
      </c>
      <c r="D4093" s="308">
        <f>IFERROR(VLOOKUP(K4089,'2026.01'!A:Y,15,0),0)</f>
        <v>34</v>
      </c>
      <c r="E4093" s="311">
        <f>IFERROR(VLOOKUP(K4089,'2026.01'!A:Y,18,0),0)</f>
        <v>0.8</v>
      </c>
      <c r="F4093" s="309">
        <f>IFERROR(VLOOKUP(K4089,'2026.01'!A:Y,20,0),0)</f>
        <v>27</v>
      </c>
      <c r="G4093" s="310"/>
      <c r="K4093" s="300"/>
    </row>
    <row r="4094" ht="15" customHeight="1" spans="1:11">
      <c r="A4094" s="307" t="s">
        <v>13</v>
      </c>
      <c r="B4094" s="308"/>
      <c r="C4094" s="308"/>
      <c r="D4094" s="308"/>
      <c r="E4094" s="311"/>
      <c r="F4094" s="309">
        <f>IFERROR(VLOOKUP(K4089,'2026.01'!A:Y,24,0),0)</f>
        <v>51</v>
      </c>
      <c r="G4094" s="310"/>
      <c r="K4094" s="300"/>
    </row>
    <row r="4095" ht="15" customHeight="1" spans="1:11">
      <c r="A4095" s="307" t="s">
        <v>14</v>
      </c>
      <c r="B4095" s="308"/>
      <c r="C4095" s="308"/>
      <c r="D4095" s="308"/>
      <c r="E4095" s="311"/>
      <c r="F4095" s="309">
        <f>IFERROR(VLOOKUP(K4089,'2026.01'!A:Y,12,0),0)</f>
        <v>160</v>
      </c>
      <c r="G4095" s="310"/>
      <c r="K4095" s="300"/>
    </row>
    <row r="4096" ht="21" customHeight="1" spans="1:11">
      <c r="A4096" s="307" t="s">
        <v>15</v>
      </c>
      <c r="B4096" s="308"/>
      <c r="C4096" s="308"/>
      <c r="D4096" s="308"/>
      <c r="E4096" s="311"/>
      <c r="F4096" s="309">
        <f>IFERROR(VLOOKUP(K4089,'2026.01'!A:Y,9,0),0)</f>
        <v>4500</v>
      </c>
      <c r="G4096" s="310"/>
      <c r="K4096" s="300"/>
    </row>
    <row r="4097" ht="19" customHeight="1" spans="1:11">
      <c r="A4097" s="307" t="s">
        <v>16</v>
      </c>
      <c r="B4097" s="308"/>
      <c r="C4097" s="308"/>
      <c r="D4097" s="308"/>
      <c r="E4097" s="308"/>
      <c r="F4097" s="309">
        <f>IFERROR(VLOOKUP(K4089,'2026.01'!A:Y,10,0),0)</f>
        <v>500</v>
      </c>
      <c r="G4097" s="310"/>
      <c r="K4097" s="300"/>
    </row>
    <row r="4098" ht="21" customHeight="1" spans="1:11">
      <c r="A4098" s="307" t="s">
        <v>17</v>
      </c>
      <c r="B4098" s="308"/>
      <c r="C4098" s="308"/>
      <c r="D4098" s="308"/>
      <c r="E4098" s="308"/>
      <c r="F4098" s="309">
        <f>IFERROR(VLOOKUP(K4089,'2026.01'!A:Y,19,0),0)</f>
        <v>24</v>
      </c>
      <c r="G4098" s="310"/>
      <c r="K4098" s="300"/>
    </row>
    <row r="4099" ht="17.15" customHeight="1" spans="1:11">
      <c r="A4099" s="307" t="s">
        <v>18</v>
      </c>
      <c r="B4099" s="308"/>
      <c r="C4099" s="308"/>
      <c r="D4099" s="308"/>
      <c r="E4099" s="308"/>
      <c r="F4099" s="309">
        <f>IFERROR(VLOOKUP(K4089,'2026.01'!A:Y,22,0),0)</f>
        <v>146</v>
      </c>
      <c r="G4099" s="310"/>
      <c r="K4099" s="300"/>
    </row>
    <row r="4100" ht="17.15" customHeight="1" spans="1:11">
      <c r="A4100" s="307" t="s">
        <v>19</v>
      </c>
      <c r="B4100" s="312"/>
      <c r="C4100" s="308"/>
      <c r="D4100" s="313"/>
      <c r="E4100" s="308"/>
      <c r="F4100" s="309">
        <f>IFERROR(VLOOKUP(K4089,'2026.01'!A:Y,25,0),0)</f>
        <v>5408</v>
      </c>
      <c r="G4100" s="310"/>
      <c r="K4100" s="300"/>
    </row>
    <row r="4101" ht="15" customHeight="1" spans="1:11">
      <c r="A4101" s="314" t="s">
        <v>20</v>
      </c>
      <c r="B4101" s="315">
        <f>IF(F4100&lt;0,"金额为负，无效",INT(F4100))</f>
        <v>5408</v>
      </c>
      <c r="C4101" s="315"/>
      <c r="D4101" s="315"/>
      <c r="E4101" s="316" t="s">
        <v>21</v>
      </c>
      <c r="F4101" s="317"/>
      <c r="G4101" s="318"/>
      <c r="K4101" s="300"/>
    </row>
    <row r="4102" ht="23" customHeight="1" spans="1:11">
      <c r="A4102" s="319"/>
      <c r="B4102" s="320"/>
      <c r="C4102" s="320"/>
      <c r="D4102" s="320"/>
      <c r="E4102" s="319"/>
      <c r="F4102" s="321"/>
      <c r="G4102" s="322"/>
      <c r="K4102" s="300"/>
    </row>
    <row r="4103" ht="27" customHeight="1" spans="1:11">
      <c r="A4103" s="298" t="s">
        <v>0</v>
      </c>
      <c r="B4103" s="298"/>
      <c r="C4103" s="298"/>
      <c r="D4103" s="298"/>
      <c r="E4103" s="298"/>
      <c r="F4103" s="298"/>
      <c r="G4103" s="298"/>
      <c r="H4103" s="299"/>
      <c r="I4103" s="299"/>
      <c r="J4103" s="299"/>
      <c r="K4103" s="300">
        <v>294</v>
      </c>
    </row>
    <row r="4104" ht="15" customHeight="1" spans="1:11">
      <c r="A4104" s="301" t="s">
        <v>1</v>
      </c>
      <c r="B4104" s="301"/>
      <c r="C4104" s="301"/>
      <c r="D4104" s="301"/>
      <c r="E4104" s="301"/>
      <c r="F4104" s="301"/>
      <c r="G4104" s="302" t="str">
        <f>IFERROR(VLOOKUP(K4103,'2026.01'!A:Y,2,0),0)</f>
        <v>NO:294</v>
      </c>
      <c r="K4104" s="300"/>
    </row>
    <row r="4105" ht="15" customHeight="1" spans="1:11">
      <c r="A4105" s="303" t="s">
        <v>2</v>
      </c>
      <c r="B4105" s="304">
        <f>IFERROR(VLOOKUP(K4103,'2026.01'!A:Y,6,0),0)</f>
        <v>5025</v>
      </c>
      <c r="C4105" s="304"/>
      <c r="D4105" s="305" t="s">
        <v>3</v>
      </c>
      <c r="E4105" s="305" t="str">
        <f>IFERROR(VLOOKUP(K4103,'2026.01'!A:Y,7,0),0)</f>
        <v>钟兰</v>
      </c>
      <c r="F4105" s="305"/>
      <c r="G4105" s="306" t="s">
        <v>4</v>
      </c>
      <c r="K4105" s="300"/>
    </row>
    <row r="4106" ht="15" customHeight="1" spans="1:11">
      <c r="A4106" s="307" t="s">
        <v>5</v>
      </c>
      <c r="B4106" s="308" t="s">
        <v>6</v>
      </c>
      <c r="C4106" s="308" t="s">
        <v>7</v>
      </c>
      <c r="D4106" s="308" t="s">
        <v>8</v>
      </c>
      <c r="E4106" s="308" t="s">
        <v>9</v>
      </c>
      <c r="F4106" s="309" t="s">
        <v>10</v>
      </c>
      <c r="G4106" s="310" t="s">
        <v>11</v>
      </c>
      <c r="K4106" s="300"/>
    </row>
    <row r="4107" ht="15" customHeight="1" spans="1:11">
      <c r="A4107" s="307" t="s">
        <v>12</v>
      </c>
      <c r="B4107" s="308">
        <f>IFERROR(VLOOKUP(K4103,'2026.01'!A:Y,14,0),0)</f>
        <v>27377</v>
      </c>
      <c r="C4107" s="308">
        <f>IFERROR(VLOOKUP(K4103,'2026.01'!A:Y,13,0),0)</f>
        <v>27301</v>
      </c>
      <c r="D4107" s="308">
        <f>IFERROR(VLOOKUP(K4103,'2026.01'!A:Y,15,0),0)</f>
        <v>76</v>
      </c>
      <c r="E4107" s="311">
        <f>IFERROR(VLOOKUP(K4103,'2026.01'!A:Y,18,0),0)</f>
        <v>0.8</v>
      </c>
      <c r="F4107" s="309">
        <f>IFERROR(VLOOKUP(K4103,'2026.01'!A:Y,20,0),0)</f>
        <v>61</v>
      </c>
      <c r="G4107" s="310"/>
      <c r="K4107" s="300"/>
    </row>
    <row r="4108" ht="15" customHeight="1" spans="1:11">
      <c r="A4108" s="307" t="s">
        <v>13</v>
      </c>
      <c r="B4108" s="308"/>
      <c r="C4108" s="308"/>
      <c r="D4108" s="308"/>
      <c r="E4108" s="311"/>
      <c r="F4108" s="309">
        <f>IFERROR(VLOOKUP(K4103,'2026.01'!A:Y,24,0),0)</f>
        <v>51</v>
      </c>
      <c r="G4108" s="310"/>
      <c r="K4108" s="300"/>
    </row>
    <row r="4109" ht="15" customHeight="1" spans="1:11">
      <c r="A4109" s="307" t="s">
        <v>14</v>
      </c>
      <c r="B4109" s="308"/>
      <c r="C4109" s="308"/>
      <c r="D4109" s="308"/>
      <c r="E4109" s="311"/>
      <c r="F4109" s="309">
        <f>IFERROR(VLOOKUP(K4103,'2026.01'!A:Y,12,0),0)</f>
        <v>160</v>
      </c>
      <c r="G4109" s="310"/>
      <c r="K4109" s="300"/>
    </row>
    <row r="4110" ht="21" customHeight="1" spans="1:11">
      <c r="A4110" s="307" t="s">
        <v>15</v>
      </c>
      <c r="B4110" s="308"/>
      <c r="C4110" s="308"/>
      <c r="D4110" s="308"/>
      <c r="E4110" s="311"/>
      <c r="F4110" s="309">
        <f>IFERROR(VLOOKUP(K4103,'2026.01'!A:Y,9,0),0)</f>
        <v>4500</v>
      </c>
      <c r="G4110" s="310"/>
      <c r="K4110" s="300"/>
    </row>
    <row r="4111" ht="19" customHeight="1" spans="1:11">
      <c r="A4111" s="307" t="s">
        <v>16</v>
      </c>
      <c r="B4111" s="308"/>
      <c r="C4111" s="308"/>
      <c r="D4111" s="308"/>
      <c r="E4111" s="308"/>
      <c r="F4111" s="309">
        <f>IFERROR(VLOOKUP(K4103,'2026.01'!A:Y,10,0),0)</f>
        <v>500</v>
      </c>
      <c r="G4111" s="310"/>
      <c r="K4111" s="300"/>
    </row>
    <row r="4112" ht="21" customHeight="1" spans="1:11">
      <c r="A4112" s="307" t="s">
        <v>17</v>
      </c>
      <c r="B4112" s="308"/>
      <c r="C4112" s="308"/>
      <c r="D4112" s="308"/>
      <c r="E4112" s="308"/>
      <c r="F4112" s="309">
        <f>IFERROR(VLOOKUP(K4103,'2026.01'!A:Y,19,0),0)</f>
        <v>53</v>
      </c>
      <c r="G4112" s="310"/>
      <c r="K4112" s="300"/>
    </row>
    <row r="4113" ht="17.15" customHeight="1" spans="1:11">
      <c r="A4113" s="307" t="s">
        <v>18</v>
      </c>
      <c r="B4113" s="308"/>
      <c r="C4113" s="308"/>
      <c r="D4113" s="308"/>
      <c r="E4113" s="308"/>
      <c r="F4113" s="309">
        <f>IFERROR(VLOOKUP(K4103,'2026.01'!A:Y,22,0),0)</f>
        <v>146</v>
      </c>
      <c r="G4113" s="310"/>
      <c r="K4113" s="300"/>
    </row>
    <row r="4114" ht="17.15" customHeight="1" spans="1:11">
      <c r="A4114" s="307" t="s">
        <v>19</v>
      </c>
      <c r="B4114" s="312"/>
      <c r="C4114" s="308"/>
      <c r="D4114" s="313"/>
      <c r="E4114" s="308"/>
      <c r="F4114" s="309">
        <f>IFERROR(VLOOKUP(K4103,'2026.01'!A:Y,25,0),0)</f>
        <v>5471</v>
      </c>
      <c r="G4114" s="310"/>
      <c r="K4114" s="300"/>
    </row>
    <row r="4115" ht="15" customHeight="1" spans="1:11">
      <c r="A4115" s="314" t="s">
        <v>20</v>
      </c>
      <c r="B4115" s="315">
        <f>IF(F4114&lt;0,"金额为负，无效",INT(F4114))</f>
        <v>5471</v>
      </c>
      <c r="C4115" s="315"/>
      <c r="D4115" s="315"/>
      <c r="E4115" s="316" t="s">
        <v>21</v>
      </c>
      <c r="F4115" s="317"/>
      <c r="G4115" s="318"/>
      <c r="K4115" s="300"/>
    </row>
    <row r="4116" ht="15" customHeight="1" spans="1:11">
      <c r="A4116" s="319"/>
      <c r="B4116" s="320"/>
      <c r="C4116" s="320"/>
      <c r="D4116" s="320"/>
      <c r="E4116" s="319"/>
      <c r="F4116" s="321"/>
      <c r="G4116" s="322"/>
      <c r="K4116" s="300"/>
    </row>
    <row r="4117" ht="27" customHeight="1" spans="1:11">
      <c r="A4117" s="298" t="s">
        <v>0</v>
      </c>
      <c r="B4117" s="298"/>
      <c r="C4117" s="298"/>
      <c r="D4117" s="298"/>
      <c r="E4117" s="298"/>
      <c r="F4117" s="298"/>
      <c r="G4117" s="298"/>
      <c r="H4117" s="299"/>
      <c r="I4117" s="299"/>
      <c r="J4117" s="299"/>
      <c r="K4117" s="300">
        <v>295</v>
      </c>
    </row>
    <row r="4118" ht="15" customHeight="1" spans="1:11">
      <c r="A4118" s="301" t="s">
        <v>1</v>
      </c>
      <c r="B4118" s="301"/>
      <c r="C4118" s="301"/>
      <c r="D4118" s="301"/>
      <c r="E4118" s="301"/>
      <c r="F4118" s="301"/>
      <c r="G4118" s="302" t="str">
        <f>IFERROR(VLOOKUP(K4117,'2026.01'!A:Y,2,0),0)</f>
        <v>NO:295</v>
      </c>
      <c r="K4118" s="300"/>
    </row>
    <row r="4119" ht="15" customHeight="1" spans="1:11">
      <c r="A4119" s="303" t="s">
        <v>2</v>
      </c>
      <c r="B4119" s="304">
        <f>IFERROR(VLOOKUP(K4117,'2026.01'!A:Y,6,0),0)</f>
        <v>5026</v>
      </c>
      <c r="C4119" s="304"/>
      <c r="D4119" s="305" t="s">
        <v>3</v>
      </c>
      <c r="E4119" s="305" t="str">
        <f>IFERROR(VLOOKUP(K4117,'2026.01'!A:Y,7,0),0)</f>
        <v>李朝阳</v>
      </c>
      <c r="F4119" s="305"/>
      <c r="G4119" s="306" t="s">
        <v>4</v>
      </c>
      <c r="K4119" s="300"/>
    </row>
    <row r="4120" ht="15" customHeight="1" spans="1:11">
      <c r="A4120" s="307" t="s">
        <v>5</v>
      </c>
      <c r="B4120" s="308" t="s">
        <v>6</v>
      </c>
      <c r="C4120" s="308" t="s">
        <v>7</v>
      </c>
      <c r="D4120" s="308" t="s">
        <v>8</v>
      </c>
      <c r="E4120" s="308" t="s">
        <v>9</v>
      </c>
      <c r="F4120" s="309" t="s">
        <v>10</v>
      </c>
      <c r="G4120" s="310" t="s">
        <v>11</v>
      </c>
      <c r="K4120" s="300"/>
    </row>
    <row r="4121" ht="15" customHeight="1" spans="1:11">
      <c r="A4121" s="307" t="s">
        <v>12</v>
      </c>
      <c r="B4121" s="308">
        <f>IFERROR(VLOOKUP(K4117,'2026.01'!A:Y,14,0),0)</f>
        <v>26381</v>
      </c>
      <c r="C4121" s="308">
        <f>IFERROR(VLOOKUP(K4117,'2026.01'!A:Y,13,0),0)</f>
        <v>26297</v>
      </c>
      <c r="D4121" s="308">
        <f>IFERROR(VLOOKUP(K4117,'2026.01'!A:Y,15,0),0)</f>
        <v>84</v>
      </c>
      <c r="E4121" s="311">
        <f>IFERROR(VLOOKUP(K4117,'2026.01'!A:Y,18,0),0)</f>
        <v>0.8</v>
      </c>
      <c r="F4121" s="309">
        <f>IFERROR(VLOOKUP(K4117,'2026.01'!A:Y,20,0),0)</f>
        <v>67</v>
      </c>
      <c r="G4121" s="310"/>
      <c r="K4121" s="300"/>
    </row>
    <row r="4122" ht="15" customHeight="1" spans="1:11">
      <c r="A4122" s="307" t="s">
        <v>13</v>
      </c>
      <c r="B4122" s="308"/>
      <c r="C4122" s="308"/>
      <c r="D4122" s="308"/>
      <c r="E4122" s="311"/>
      <c r="F4122" s="309">
        <f>IFERROR(VLOOKUP(K4117,'2026.01'!A:Y,24,0),0)</f>
        <v>51</v>
      </c>
      <c r="G4122" s="310"/>
      <c r="K4122" s="300"/>
    </row>
    <row r="4123" ht="15" customHeight="1" spans="1:11">
      <c r="A4123" s="307" t="s">
        <v>14</v>
      </c>
      <c r="B4123" s="308"/>
      <c r="C4123" s="308"/>
      <c r="D4123" s="308"/>
      <c r="E4123" s="311"/>
      <c r="F4123" s="309">
        <f>IFERROR(VLOOKUP(K4117,'2026.01'!A:Y,12,0),0)</f>
        <v>160</v>
      </c>
      <c r="G4123" s="310"/>
      <c r="K4123" s="300"/>
    </row>
    <row r="4124" ht="21" customHeight="1" spans="1:11">
      <c r="A4124" s="307" t="s">
        <v>15</v>
      </c>
      <c r="B4124" s="308"/>
      <c r="C4124" s="308"/>
      <c r="D4124" s="308"/>
      <c r="E4124" s="311"/>
      <c r="F4124" s="309">
        <f>IFERROR(VLOOKUP(K4117,'2026.01'!A:Y,9,0),0)</f>
        <v>4500</v>
      </c>
      <c r="G4124" s="310"/>
      <c r="K4124" s="300"/>
    </row>
    <row r="4125" ht="19" customHeight="1" spans="1:11">
      <c r="A4125" s="307" t="s">
        <v>16</v>
      </c>
      <c r="B4125" s="308"/>
      <c r="C4125" s="308"/>
      <c r="D4125" s="308"/>
      <c r="E4125" s="308"/>
      <c r="F4125" s="309">
        <f>IFERROR(VLOOKUP(K4117,'2026.01'!A:Y,10,0),0)</f>
        <v>500</v>
      </c>
      <c r="G4125" s="310"/>
      <c r="K4125" s="300"/>
    </row>
    <row r="4126" ht="21" customHeight="1" spans="1:11">
      <c r="A4126" s="307" t="s">
        <v>17</v>
      </c>
      <c r="B4126" s="308"/>
      <c r="C4126" s="308"/>
      <c r="D4126" s="308"/>
      <c r="E4126" s="308"/>
      <c r="F4126" s="309">
        <f>IFERROR(VLOOKUP(K4117,'2026.01'!A:Y,19,0),0)</f>
        <v>59</v>
      </c>
      <c r="G4126" s="310"/>
      <c r="K4126" s="300"/>
    </row>
    <row r="4127" ht="17.15" customHeight="1" spans="1:11">
      <c r="A4127" s="307" t="s">
        <v>18</v>
      </c>
      <c r="B4127" s="308"/>
      <c r="C4127" s="308"/>
      <c r="D4127" s="308"/>
      <c r="E4127" s="308"/>
      <c r="F4127" s="309">
        <f>IFERROR(VLOOKUP(K4117,'2026.01'!A:Y,22,0),0)</f>
        <v>146</v>
      </c>
      <c r="G4127" s="310"/>
      <c r="K4127" s="300"/>
    </row>
    <row r="4128" ht="17.15" customHeight="1" spans="1:11">
      <c r="A4128" s="307" t="s">
        <v>19</v>
      </c>
      <c r="B4128" s="312"/>
      <c r="C4128" s="308"/>
      <c r="D4128" s="313"/>
      <c r="E4128" s="308"/>
      <c r="F4128" s="309">
        <f>IFERROR(VLOOKUP(K4117,'2026.01'!A:Y,25,0),0)</f>
        <v>5483</v>
      </c>
      <c r="G4128" s="310"/>
      <c r="K4128" s="300"/>
    </row>
    <row r="4129" ht="15" customHeight="1" spans="1:11">
      <c r="A4129" s="314" t="s">
        <v>20</v>
      </c>
      <c r="B4129" s="315">
        <f>IF(F4128&lt;0,"金额为负，无效",INT(F4128))</f>
        <v>5483</v>
      </c>
      <c r="C4129" s="315"/>
      <c r="D4129" s="315"/>
      <c r="E4129" s="316" t="s">
        <v>21</v>
      </c>
      <c r="F4129" s="317"/>
      <c r="G4129" s="318"/>
      <c r="K4129" s="300"/>
    </row>
    <row r="4130" ht="23" customHeight="1" spans="1:11">
      <c r="A4130" s="319"/>
      <c r="B4130" s="320"/>
      <c r="C4130" s="320"/>
      <c r="D4130" s="320"/>
      <c r="E4130" s="319"/>
      <c r="F4130" s="321"/>
      <c r="G4130" s="322"/>
      <c r="K4130" s="300"/>
    </row>
    <row r="4131" ht="27" customHeight="1" spans="1:11">
      <c r="A4131" s="298" t="s">
        <v>0</v>
      </c>
      <c r="B4131" s="298"/>
      <c r="C4131" s="298"/>
      <c r="D4131" s="298"/>
      <c r="E4131" s="298"/>
      <c r="F4131" s="298"/>
      <c r="G4131" s="298"/>
      <c r="H4131" s="299"/>
      <c r="I4131" s="299"/>
      <c r="J4131" s="299"/>
      <c r="K4131" s="300">
        <v>296</v>
      </c>
    </row>
    <row r="4132" ht="15" customHeight="1" spans="1:11">
      <c r="A4132" s="301" t="s">
        <v>1</v>
      </c>
      <c r="B4132" s="301"/>
      <c r="C4132" s="301"/>
      <c r="D4132" s="301"/>
      <c r="E4132" s="301"/>
      <c r="F4132" s="301"/>
      <c r="G4132" s="302" t="str">
        <f>IFERROR(VLOOKUP(K4131,'2026.01'!A:Y,2,0),0)</f>
        <v>NO:296</v>
      </c>
      <c r="K4132" s="300"/>
    </row>
    <row r="4133" ht="15" customHeight="1" spans="1:11">
      <c r="A4133" s="303" t="s">
        <v>2</v>
      </c>
      <c r="B4133" s="304">
        <f>IFERROR(VLOOKUP(K4131,'2026.01'!A:Y,6,0),0)</f>
        <v>5027</v>
      </c>
      <c r="C4133" s="304"/>
      <c r="D4133" s="305" t="s">
        <v>3</v>
      </c>
      <c r="E4133" s="305" t="str">
        <f>IFERROR(VLOOKUP(K4131,'2026.01'!A:Y,7,0),0)</f>
        <v>毛招娣</v>
      </c>
      <c r="F4133" s="305"/>
      <c r="G4133" s="306" t="s">
        <v>4</v>
      </c>
      <c r="K4133" s="300"/>
    </row>
    <row r="4134" ht="15" customHeight="1" spans="1:11">
      <c r="A4134" s="307" t="s">
        <v>5</v>
      </c>
      <c r="B4134" s="308" t="s">
        <v>6</v>
      </c>
      <c r="C4134" s="308" t="s">
        <v>7</v>
      </c>
      <c r="D4134" s="308" t="s">
        <v>8</v>
      </c>
      <c r="E4134" s="308" t="s">
        <v>9</v>
      </c>
      <c r="F4134" s="309" t="s">
        <v>10</v>
      </c>
      <c r="G4134" s="310" t="s">
        <v>11</v>
      </c>
      <c r="K4134" s="300"/>
    </row>
    <row r="4135" ht="15" customHeight="1" spans="1:11">
      <c r="A4135" s="307" t="s">
        <v>12</v>
      </c>
      <c r="B4135" s="308">
        <f>IFERROR(VLOOKUP(K4131,'2026.01'!A:Y,14,0),0)</f>
        <v>25220</v>
      </c>
      <c r="C4135" s="308">
        <f>IFERROR(VLOOKUP(K4131,'2026.01'!A:Y,13,0),0)</f>
        <v>25106</v>
      </c>
      <c r="D4135" s="308">
        <f>IFERROR(VLOOKUP(K4131,'2026.01'!A:Y,15,0),0)</f>
        <v>114</v>
      </c>
      <c r="E4135" s="311">
        <f>IFERROR(VLOOKUP(K4131,'2026.01'!A:Y,18,0),0)</f>
        <v>0.8</v>
      </c>
      <c r="F4135" s="309">
        <f>IFERROR(VLOOKUP(K4131,'2026.01'!A:Y,20,0),0)</f>
        <v>91</v>
      </c>
      <c r="G4135" s="310"/>
      <c r="K4135" s="300"/>
    </row>
    <row r="4136" ht="15" customHeight="1" spans="1:11">
      <c r="A4136" s="307" t="s">
        <v>13</v>
      </c>
      <c r="B4136" s="308"/>
      <c r="C4136" s="308"/>
      <c r="D4136" s="308"/>
      <c r="E4136" s="311"/>
      <c r="F4136" s="309">
        <f>IFERROR(VLOOKUP(K4131,'2026.01'!A:Y,24,0),0)</f>
        <v>51</v>
      </c>
      <c r="G4136" s="310"/>
      <c r="K4136" s="300"/>
    </row>
    <row r="4137" ht="15" customHeight="1" spans="1:11">
      <c r="A4137" s="307" t="s">
        <v>14</v>
      </c>
      <c r="B4137" s="308"/>
      <c r="C4137" s="308"/>
      <c r="D4137" s="308"/>
      <c r="E4137" s="311"/>
      <c r="F4137" s="309">
        <f>IFERROR(VLOOKUP(K4131,'2026.01'!A:Y,12,0),0)</f>
        <v>160</v>
      </c>
      <c r="G4137" s="310"/>
      <c r="K4137" s="300"/>
    </row>
    <row r="4138" ht="21" customHeight="1" spans="1:11">
      <c r="A4138" s="307" t="s">
        <v>15</v>
      </c>
      <c r="B4138" s="308"/>
      <c r="C4138" s="308"/>
      <c r="D4138" s="308"/>
      <c r="E4138" s="311"/>
      <c r="F4138" s="309">
        <f>IFERROR(VLOOKUP(K4131,'2026.01'!A:Y,9,0),0)</f>
        <v>4500</v>
      </c>
      <c r="G4138" s="310"/>
      <c r="K4138" s="300"/>
    </row>
    <row r="4139" ht="19" customHeight="1" spans="1:11">
      <c r="A4139" s="307" t="s">
        <v>16</v>
      </c>
      <c r="B4139" s="308"/>
      <c r="C4139" s="308"/>
      <c r="D4139" s="308"/>
      <c r="E4139" s="308"/>
      <c r="F4139" s="309">
        <f>IFERROR(VLOOKUP(K4131,'2026.01'!A:Y,10,0),0)</f>
        <v>500</v>
      </c>
      <c r="G4139" s="310"/>
      <c r="K4139" s="300"/>
    </row>
    <row r="4140" ht="21" customHeight="1" spans="1:11">
      <c r="A4140" s="307" t="s">
        <v>17</v>
      </c>
      <c r="B4140" s="308"/>
      <c r="C4140" s="308"/>
      <c r="D4140" s="308"/>
      <c r="E4140" s="308"/>
      <c r="F4140" s="309">
        <f>IFERROR(VLOOKUP(K4131,'2026.01'!A:Y,19,0),0)</f>
        <v>80</v>
      </c>
      <c r="G4140" s="310"/>
      <c r="K4140" s="300"/>
    </row>
    <row r="4141" ht="17.15" customHeight="1" spans="1:11">
      <c r="A4141" s="307" t="s">
        <v>18</v>
      </c>
      <c r="B4141" s="308"/>
      <c r="C4141" s="308"/>
      <c r="D4141" s="308"/>
      <c r="E4141" s="308"/>
      <c r="F4141" s="309">
        <f>IFERROR(VLOOKUP(K4131,'2026.01'!A:Y,22,0),0)</f>
        <v>146</v>
      </c>
      <c r="G4141" s="310"/>
      <c r="K4141" s="300"/>
    </row>
    <row r="4142" ht="17.15" customHeight="1" spans="1:11">
      <c r="A4142" s="307" t="s">
        <v>19</v>
      </c>
      <c r="B4142" s="312"/>
      <c r="C4142" s="308"/>
      <c r="D4142" s="313"/>
      <c r="E4142" s="308"/>
      <c r="F4142" s="309">
        <f>IFERROR(VLOOKUP(K4131,'2026.01'!A:Y,25,0),0)</f>
        <v>5528</v>
      </c>
      <c r="G4142" s="310"/>
      <c r="K4142" s="300"/>
    </row>
    <row r="4143" ht="15" customHeight="1" spans="1:11">
      <c r="A4143" s="314" t="s">
        <v>20</v>
      </c>
      <c r="B4143" s="315">
        <f>IF(F4142&lt;0,"金额为负，无效",INT(F4142))</f>
        <v>5528</v>
      </c>
      <c r="C4143" s="315"/>
      <c r="D4143" s="315"/>
      <c r="E4143" s="316" t="s">
        <v>21</v>
      </c>
      <c r="F4143" s="317"/>
      <c r="G4143" s="318"/>
      <c r="K4143" s="300"/>
    </row>
    <row r="4144" ht="23" customHeight="1" spans="1:11">
      <c r="A4144" s="319"/>
      <c r="B4144" s="320"/>
      <c r="C4144" s="320"/>
      <c r="D4144" s="320"/>
      <c r="E4144" s="319"/>
      <c r="F4144" s="321"/>
      <c r="G4144" s="322"/>
      <c r="K4144" s="300"/>
    </row>
    <row r="4145" ht="27" customHeight="1" spans="1:11">
      <c r="A4145" s="298" t="s">
        <v>0</v>
      </c>
      <c r="B4145" s="298"/>
      <c r="C4145" s="298"/>
      <c r="D4145" s="298"/>
      <c r="E4145" s="298"/>
      <c r="F4145" s="298"/>
      <c r="G4145" s="298"/>
      <c r="H4145" s="299"/>
      <c r="I4145" s="299"/>
      <c r="J4145" s="299"/>
      <c r="K4145" s="300">
        <v>297</v>
      </c>
    </row>
    <row r="4146" ht="15" customHeight="1" spans="1:11">
      <c r="A4146" s="301" t="s">
        <v>1</v>
      </c>
      <c r="B4146" s="301"/>
      <c r="C4146" s="301"/>
      <c r="D4146" s="301"/>
      <c r="E4146" s="301"/>
      <c r="F4146" s="301"/>
      <c r="G4146" s="302" t="str">
        <f>IFERROR(VLOOKUP(K4145,'2026.01'!A:Y,2,0),0)</f>
        <v>NO:297</v>
      </c>
      <c r="K4146" s="300"/>
    </row>
    <row r="4147" ht="15" customHeight="1" spans="1:11">
      <c r="A4147" s="303" t="s">
        <v>2</v>
      </c>
      <c r="B4147" s="304">
        <f>IFERROR(VLOOKUP(K4145,'2026.01'!A:Y,6,0),0)</f>
        <v>5028</v>
      </c>
      <c r="C4147" s="304"/>
      <c r="D4147" s="305" t="s">
        <v>3</v>
      </c>
      <c r="E4147" s="305" t="str">
        <f>IFERROR(VLOOKUP(K4145,'2026.01'!A:Y,7,0),0)</f>
        <v>钟兰</v>
      </c>
      <c r="F4147" s="305"/>
      <c r="G4147" s="306" t="s">
        <v>4</v>
      </c>
      <c r="K4147" s="300"/>
    </row>
    <row r="4148" ht="15" customHeight="1" spans="1:11">
      <c r="A4148" s="307" t="s">
        <v>5</v>
      </c>
      <c r="B4148" s="308" t="s">
        <v>6</v>
      </c>
      <c r="C4148" s="308" t="s">
        <v>7</v>
      </c>
      <c r="D4148" s="308" t="s">
        <v>8</v>
      </c>
      <c r="E4148" s="308" t="s">
        <v>9</v>
      </c>
      <c r="F4148" s="309" t="s">
        <v>10</v>
      </c>
      <c r="G4148" s="310" t="s">
        <v>11</v>
      </c>
      <c r="K4148" s="300"/>
    </row>
    <row r="4149" ht="15" customHeight="1" spans="1:11">
      <c r="A4149" s="307" t="s">
        <v>12</v>
      </c>
      <c r="B4149" s="308">
        <f>IFERROR(VLOOKUP(K4145,'2026.01'!A:Y,14,0),0)</f>
        <v>34643</v>
      </c>
      <c r="C4149" s="308">
        <f>IFERROR(VLOOKUP(K4145,'2026.01'!A:Y,13,0),0)</f>
        <v>34556</v>
      </c>
      <c r="D4149" s="308">
        <f>IFERROR(VLOOKUP(K4145,'2026.01'!A:Y,15,0),0)</f>
        <v>87</v>
      </c>
      <c r="E4149" s="311">
        <f>IFERROR(VLOOKUP(K4145,'2026.01'!A:Y,18,0),0)</f>
        <v>0.8</v>
      </c>
      <c r="F4149" s="309">
        <f>IFERROR(VLOOKUP(K4145,'2026.01'!A:Y,20,0),0)</f>
        <v>70</v>
      </c>
      <c r="G4149" s="310"/>
      <c r="K4149" s="300"/>
    </row>
    <row r="4150" ht="15" customHeight="1" spans="1:11">
      <c r="A4150" s="307" t="s">
        <v>13</v>
      </c>
      <c r="B4150" s="308"/>
      <c r="C4150" s="308"/>
      <c r="D4150" s="308"/>
      <c r="E4150" s="311"/>
      <c r="F4150" s="309">
        <f>IFERROR(VLOOKUP(K4145,'2026.01'!A:Y,24,0),0)</f>
        <v>51</v>
      </c>
      <c r="G4150" s="310"/>
      <c r="K4150" s="300"/>
    </row>
    <row r="4151" ht="15" customHeight="1" spans="1:11">
      <c r="A4151" s="307" t="s">
        <v>14</v>
      </c>
      <c r="B4151" s="308"/>
      <c r="C4151" s="308"/>
      <c r="D4151" s="308"/>
      <c r="E4151" s="311"/>
      <c r="F4151" s="309">
        <f>IFERROR(VLOOKUP(K4145,'2026.01'!A:Y,12,0),0)</f>
        <v>160</v>
      </c>
      <c r="G4151" s="310"/>
      <c r="K4151" s="300"/>
    </row>
    <row r="4152" ht="21" customHeight="1" spans="1:11">
      <c r="A4152" s="307" t="s">
        <v>15</v>
      </c>
      <c r="B4152" s="308"/>
      <c r="C4152" s="308"/>
      <c r="D4152" s="308"/>
      <c r="E4152" s="311"/>
      <c r="F4152" s="309">
        <f>IFERROR(VLOOKUP(K4145,'2026.01'!A:Y,9,0),0)</f>
        <v>4500</v>
      </c>
      <c r="G4152" s="310"/>
      <c r="K4152" s="300"/>
    </row>
    <row r="4153" ht="19" customHeight="1" spans="1:11">
      <c r="A4153" s="307" t="s">
        <v>16</v>
      </c>
      <c r="B4153" s="308"/>
      <c r="C4153" s="308"/>
      <c r="D4153" s="308"/>
      <c r="E4153" s="308"/>
      <c r="F4153" s="309">
        <f>IFERROR(VLOOKUP(K4145,'2026.01'!A:Y,10,0),0)</f>
        <v>500</v>
      </c>
      <c r="G4153" s="310"/>
      <c r="K4153" s="300"/>
    </row>
    <row r="4154" ht="21" customHeight="1" spans="1:11">
      <c r="A4154" s="307" t="s">
        <v>17</v>
      </c>
      <c r="B4154" s="308"/>
      <c r="C4154" s="308"/>
      <c r="D4154" s="308"/>
      <c r="E4154" s="308"/>
      <c r="F4154" s="309">
        <f>IFERROR(VLOOKUP(K4145,'2026.01'!A:Y,19,0),0)</f>
        <v>61</v>
      </c>
      <c r="G4154" s="310"/>
      <c r="K4154" s="300"/>
    </row>
    <row r="4155" ht="17.15" customHeight="1" spans="1:11">
      <c r="A4155" s="307" t="s">
        <v>18</v>
      </c>
      <c r="B4155" s="308"/>
      <c r="C4155" s="308"/>
      <c r="D4155" s="308"/>
      <c r="E4155" s="308"/>
      <c r="F4155" s="309">
        <f>IFERROR(VLOOKUP(K4145,'2026.01'!A:Y,22,0),0)</f>
        <v>146</v>
      </c>
      <c r="G4155" s="310"/>
      <c r="K4155" s="300"/>
    </row>
    <row r="4156" ht="17.15" customHeight="1" spans="1:11">
      <c r="A4156" s="307" t="s">
        <v>19</v>
      </c>
      <c r="B4156" s="312"/>
      <c r="C4156" s="308"/>
      <c r="D4156" s="313"/>
      <c r="E4156" s="308"/>
      <c r="F4156" s="309">
        <f>IFERROR(VLOOKUP(K4145,'2026.01'!A:Y,25,0),0)</f>
        <v>5488</v>
      </c>
      <c r="G4156" s="310"/>
      <c r="K4156" s="300"/>
    </row>
    <row r="4157" ht="15" customHeight="1" spans="1:11">
      <c r="A4157" s="314" t="s">
        <v>20</v>
      </c>
      <c r="B4157" s="315">
        <f>IF(F4156&lt;0,"金额为负，无效",INT(F4156))</f>
        <v>5488</v>
      </c>
      <c r="C4157" s="315"/>
      <c r="D4157" s="315"/>
      <c r="E4157" s="316" t="s">
        <v>21</v>
      </c>
      <c r="F4157" s="317"/>
      <c r="G4157" s="318"/>
      <c r="K4157" s="300"/>
    </row>
    <row r="4158" ht="15" customHeight="1" spans="1:11">
      <c r="A4158" s="319"/>
      <c r="B4158" s="320"/>
      <c r="C4158" s="320"/>
      <c r="D4158" s="320"/>
      <c r="E4158" s="319"/>
      <c r="F4158" s="321"/>
      <c r="G4158" s="322"/>
      <c r="K4158" s="300"/>
    </row>
    <row r="4159" ht="27" customHeight="1" spans="1:11">
      <c r="A4159" s="298" t="s">
        <v>0</v>
      </c>
      <c r="B4159" s="298"/>
      <c r="C4159" s="298"/>
      <c r="D4159" s="298"/>
      <c r="E4159" s="298"/>
      <c r="F4159" s="298"/>
      <c r="G4159" s="298"/>
      <c r="H4159" s="299"/>
      <c r="I4159" s="299"/>
      <c r="J4159" s="299"/>
      <c r="K4159" s="300">
        <v>298</v>
      </c>
    </row>
    <row r="4160" ht="15" customHeight="1" spans="1:11">
      <c r="A4160" s="301" t="s">
        <v>1</v>
      </c>
      <c r="B4160" s="301"/>
      <c r="C4160" s="301"/>
      <c r="D4160" s="301"/>
      <c r="E4160" s="301"/>
      <c r="F4160" s="301"/>
      <c r="G4160" s="302" t="str">
        <f>IFERROR(VLOOKUP(K4159,'2026.01'!A:Y,2,0),0)</f>
        <v>NO:298</v>
      </c>
      <c r="K4160" s="300"/>
    </row>
    <row r="4161" ht="15" customHeight="1" spans="1:11">
      <c r="A4161" s="303" t="s">
        <v>2</v>
      </c>
      <c r="B4161" s="304">
        <f>IFERROR(VLOOKUP(K4159,'2026.01'!A:Y,6,0),0)</f>
        <v>5029</v>
      </c>
      <c r="C4161" s="304"/>
      <c r="D4161" s="305" t="s">
        <v>3</v>
      </c>
      <c r="E4161" s="305" t="str">
        <f>IFERROR(VLOOKUP(K4159,'2026.01'!A:Y,7,0),0)</f>
        <v>郭梅</v>
      </c>
      <c r="F4161" s="305"/>
      <c r="G4161" s="306" t="s">
        <v>4</v>
      </c>
      <c r="K4161" s="300"/>
    </row>
    <row r="4162" ht="15" customHeight="1" spans="1:11">
      <c r="A4162" s="307" t="s">
        <v>5</v>
      </c>
      <c r="B4162" s="308" t="s">
        <v>6</v>
      </c>
      <c r="C4162" s="308" t="s">
        <v>7</v>
      </c>
      <c r="D4162" s="308" t="s">
        <v>8</v>
      </c>
      <c r="E4162" s="308" t="s">
        <v>9</v>
      </c>
      <c r="F4162" s="309" t="s">
        <v>10</v>
      </c>
      <c r="G4162" s="310" t="s">
        <v>11</v>
      </c>
      <c r="K4162" s="300"/>
    </row>
    <row r="4163" ht="15" customHeight="1" spans="1:11">
      <c r="A4163" s="307" t="s">
        <v>12</v>
      </c>
      <c r="B4163" s="308">
        <f>IFERROR(VLOOKUP(K4159,'2026.01'!A:Y,14,0),0)</f>
        <v>26521</v>
      </c>
      <c r="C4163" s="308">
        <f>IFERROR(VLOOKUP(K4159,'2026.01'!A:Y,13,0),0)</f>
        <v>26432</v>
      </c>
      <c r="D4163" s="308">
        <f>IFERROR(VLOOKUP(K4159,'2026.01'!A:Y,15,0),0)</f>
        <v>89</v>
      </c>
      <c r="E4163" s="311">
        <f>IFERROR(VLOOKUP(K4159,'2026.01'!A:Y,18,0),0)</f>
        <v>0.8</v>
      </c>
      <c r="F4163" s="309">
        <f>IFERROR(VLOOKUP(K4159,'2026.01'!A:Y,20,0),0)</f>
        <v>71</v>
      </c>
      <c r="G4163" s="310"/>
      <c r="K4163" s="300"/>
    </row>
    <row r="4164" ht="15" customHeight="1" spans="1:11">
      <c r="A4164" s="307" t="s">
        <v>13</v>
      </c>
      <c r="B4164" s="308"/>
      <c r="C4164" s="308"/>
      <c r="D4164" s="308"/>
      <c r="E4164" s="311"/>
      <c r="F4164" s="309">
        <f>IFERROR(VLOOKUP(K4159,'2026.01'!A:Y,24,0),0)</f>
        <v>51</v>
      </c>
      <c r="G4164" s="310"/>
      <c r="K4164" s="300"/>
    </row>
    <row r="4165" ht="15" customHeight="1" spans="1:11">
      <c r="A4165" s="307" t="s">
        <v>14</v>
      </c>
      <c r="B4165" s="308"/>
      <c r="C4165" s="308"/>
      <c r="D4165" s="308"/>
      <c r="E4165" s="311"/>
      <c r="F4165" s="309">
        <f>IFERROR(VLOOKUP(K4159,'2026.01'!A:Y,12,0),0)</f>
        <v>160</v>
      </c>
      <c r="G4165" s="310"/>
      <c r="K4165" s="300"/>
    </row>
    <row r="4166" ht="21" customHeight="1" spans="1:11">
      <c r="A4166" s="307" t="s">
        <v>15</v>
      </c>
      <c r="B4166" s="308"/>
      <c r="C4166" s="308"/>
      <c r="D4166" s="308"/>
      <c r="E4166" s="311"/>
      <c r="F4166" s="309">
        <f>IFERROR(VLOOKUP(K4159,'2026.01'!A:Y,9,0),0)</f>
        <v>4500</v>
      </c>
      <c r="G4166" s="310"/>
      <c r="K4166" s="300"/>
    </row>
    <row r="4167" ht="19" customHeight="1" spans="1:11">
      <c r="A4167" s="307" t="s">
        <v>16</v>
      </c>
      <c r="B4167" s="308"/>
      <c r="C4167" s="308"/>
      <c r="D4167" s="308"/>
      <c r="E4167" s="308"/>
      <c r="F4167" s="309">
        <f>IFERROR(VLOOKUP(K4159,'2026.01'!A:Y,10,0),0)</f>
        <v>500</v>
      </c>
      <c r="G4167" s="310"/>
      <c r="K4167" s="300"/>
    </row>
    <row r="4168" ht="21" customHeight="1" spans="1:11">
      <c r="A4168" s="307" t="s">
        <v>17</v>
      </c>
      <c r="B4168" s="308"/>
      <c r="C4168" s="308"/>
      <c r="D4168" s="308"/>
      <c r="E4168" s="308"/>
      <c r="F4168" s="309">
        <f>IFERROR(VLOOKUP(K4159,'2026.01'!A:Y,19,0),0)</f>
        <v>62</v>
      </c>
      <c r="G4168" s="310"/>
      <c r="K4168" s="300"/>
    </row>
    <row r="4169" ht="17.15" customHeight="1" spans="1:11">
      <c r="A4169" s="307" t="s">
        <v>18</v>
      </c>
      <c r="B4169" s="308"/>
      <c r="C4169" s="308"/>
      <c r="D4169" s="308"/>
      <c r="E4169" s="308"/>
      <c r="F4169" s="309">
        <f>IFERROR(VLOOKUP(K4159,'2026.01'!A:Y,22,0),0)</f>
        <v>146</v>
      </c>
      <c r="G4169" s="310"/>
      <c r="K4169" s="300"/>
    </row>
    <row r="4170" ht="17.15" customHeight="1" spans="1:11">
      <c r="A4170" s="307" t="s">
        <v>19</v>
      </c>
      <c r="B4170" s="312"/>
      <c r="C4170" s="308"/>
      <c r="D4170" s="313"/>
      <c r="E4170" s="308"/>
      <c r="F4170" s="309">
        <f>IFERROR(VLOOKUP(K4159,'2026.01'!A:Y,25,0),0)</f>
        <v>5490</v>
      </c>
      <c r="G4170" s="310"/>
      <c r="K4170" s="300"/>
    </row>
    <row r="4171" ht="15" customHeight="1" spans="1:11">
      <c r="A4171" s="314" t="s">
        <v>20</v>
      </c>
      <c r="B4171" s="315">
        <f>IF(F4170&lt;0,"金额为负，无效",INT(F4170))</f>
        <v>5490</v>
      </c>
      <c r="C4171" s="315"/>
      <c r="D4171" s="315"/>
      <c r="E4171" s="316" t="s">
        <v>21</v>
      </c>
      <c r="F4171" s="317"/>
      <c r="G4171" s="318"/>
      <c r="K4171" s="300"/>
    </row>
    <row r="4172" ht="23" customHeight="1" spans="1:11">
      <c r="A4172" s="319"/>
      <c r="B4172" s="320"/>
      <c r="C4172" s="320"/>
      <c r="D4172" s="320"/>
      <c r="E4172" s="319"/>
      <c r="F4172" s="321"/>
      <c r="G4172" s="322"/>
      <c r="K4172" s="300"/>
    </row>
    <row r="4173" ht="27" customHeight="1" spans="1:11">
      <c r="A4173" s="298" t="s">
        <v>0</v>
      </c>
      <c r="B4173" s="298"/>
      <c r="C4173" s="298"/>
      <c r="D4173" s="298"/>
      <c r="E4173" s="298"/>
      <c r="F4173" s="298"/>
      <c r="G4173" s="298"/>
      <c r="H4173" s="299"/>
      <c r="I4173" s="299"/>
      <c r="J4173" s="299"/>
      <c r="K4173" s="300">
        <v>299</v>
      </c>
    </row>
    <row r="4174" ht="15" customHeight="1" spans="1:11">
      <c r="A4174" s="301" t="s">
        <v>1</v>
      </c>
      <c r="B4174" s="301"/>
      <c r="C4174" s="301"/>
      <c r="D4174" s="301"/>
      <c r="E4174" s="301"/>
      <c r="F4174" s="301"/>
      <c r="G4174" s="302" t="str">
        <f>IFERROR(VLOOKUP(K4173,'2026.01'!A:Y,2,0),0)</f>
        <v>NO:299</v>
      </c>
      <c r="K4174" s="300"/>
    </row>
    <row r="4175" ht="15" customHeight="1" spans="1:11">
      <c r="A4175" s="303" t="s">
        <v>2</v>
      </c>
      <c r="B4175" s="304">
        <f>IFERROR(VLOOKUP(K4173,'2026.01'!A:Y,6,0),0)</f>
        <v>5030</v>
      </c>
      <c r="C4175" s="304"/>
      <c r="D4175" s="305" t="s">
        <v>3</v>
      </c>
      <c r="E4175" s="305" t="str">
        <f>IFERROR(VLOOKUP(K4173,'2026.01'!A:Y,7,0),0)</f>
        <v>梁谦志</v>
      </c>
      <c r="F4175" s="305"/>
      <c r="G4175" s="306" t="s">
        <v>4</v>
      </c>
      <c r="K4175" s="300"/>
    </row>
    <row r="4176" ht="15" customHeight="1" spans="1:11">
      <c r="A4176" s="307" t="s">
        <v>5</v>
      </c>
      <c r="B4176" s="308" t="s">
        <v>6</v>
      </c>
      <c r="C4176" s="308" t="s">
        <v>7</v>
      </c>
      <c r="D4176" s="308" t="s">
        <v>8</v>
      </c>
      <c r="E4176" s="308" t="s">
        <v>9</v>
      </c>
      <c r="F4176" s="309" t="s">
        <v>10</v>
      </c>
      <c r="G4176" s="310" t="s">
        <v>11</v>
      </c>
      <c r="K4176" s="300"/>
    </row>
    <row r="4177" ht="15" customHeight="1" spans="1:11">
      <c r="A4177" s="307" t="s">
        <v>12</v>
      </c>
      <c r="B4177" s="308">
        <f>IFERROR(VLOOKUP(K4173,'2026.01'!A:Y,14,0),0)</f>
        <v>26917</v>
      </c>
      <c r="C4177" s="308">
        <f>IFERROR(VLOOKUP(K4173,'2026.01'!A:Y,13,0),0)</f>
        <v>26842</v>
      </c>
      <c r="D4177" s="308">
        <f>IFERROR(VLOOKUP(K4173,'2026.01'!A:Y,15,0),0)</f>
        <v>75</v>
      </c>
      <c r="E4177" s="311">
        <f>IFERROR(VLOOKUP(K4173,'2026.01'!A:Y,18,0),0)</f>
        <v>0.8</v>
      </c>
      <c r="F4177" s="309">
        <f>IFERROR(VLOOKUP(K4173,'2026.01'!A:Y,20,0),0)</f>
        <v>60</v>
      </c>
      <c r="G4177" s="310"/>
      <c r="K4177" s="300"/>
    </row>
    <row r="4178" ht="15" customHeight="1" spans="1:11">
      <c r="A4178" s="307" t="s">
        <v>13</v>
      </c>
      <c r="B4178" s="308"/>
      <c r="C4178" s="308"/>
      <c r="D4178" s="308"/>
      <c r="E4178" s="311"/>
      <c r="F4178" s="309">
        <f>IFERROR(VLOOKUP(K4173,'2026.01'!A:Y,24,0),0)</f>
        <v>51</v>
      </c>
      <c r="G4178" s="310"/>
      <c r="K4178" s="300"/>
    </row>
    <row r="4179" ht="15" customHeight="1" spans="1:11">
      <c r="A4179" s="307" t="s">
        <v>14</v>
      </c>
      <c r="B4179" s="308"/>
      <c r="C4179" s="308"/>
      <c r="D4179" s="308"/>
      <c r="E4179" s="311"/>
      <c r="F4179" s="309">
        <f>IFERROR(VLOOKUP(K4173,'2026.01'!A:Y,12,0),0)</f>
        <v>160</v>
      </c>
      <c r="G4179" s="310"/>
      <c r="K4179" s="300"/>
    </row>
    <row r="4180" ht="21" customHeight="1" spans="1:11">
      <c r="A4180" s="307" t="s">
        <v>15</v>
      </c>
      <c r="B4180" s="308"/>
      <c r="C4180" s="308"/>
      <c r="D4180" s="308"/>
      <c r="E4180" s="311"/>
      <c r="F4180" s="309">
        <f>IFERROR(VLOOKUP(K4173,'2026.01'!A:Y,9,0),0)</f>
        <v>4500</v>
      </c>
      <c r="G4180" s="310"/>
      <c r="K4180" s="300"/>
    </row>
    <row r="4181" ht="19" customHeight="1" spans="1:11">
      <c r="A4181" s="307" t="s">
        <v>16</v>
      </c>
      <c r="B4181" s="308"/>
      <c r="C4181" s="308"/>
      <c r="D4181" s="308"/>
      <c r="E4181" s="308"/>
      <c r="F4181" s="309">
        <f>IFERROR(VLOOKUP(K4173,'2026.01'!A:Y,10,0),0)</f>
        <v>500</v>
      </c>
      <c r="G4181" s="310"/>
      <c r="K4181" s="300"/>
    </row>
    <row r="4182" ht="21" customHeight="1" spans="1:11">
      <c r="A4182" s="307" t="s">
        <v>17</v>
      </c>
      <c r="B4182" s="308"/>
      <c r="C4182" s="308"/>
      <c r="D4182" s="308"/>
      <c r="E4182" s="308"/>
      <c r="F4182" s="309">
        <f>IFERROR(VLOOKUP(K4173,'2026.01'!A:Y,19,0),0)</f>
        <v>53</v>
      </c>
      <c r="G4182" s="310"/>
      <c r="K4182" s="300"/>
    </row>
    <row r="4183" ht="17.15" customHeight="1" spans="1:11">
      <c r="A4183" s="307" t="s">
        <v>18</v>
      </c>
      <c r="B4183" s="308"/>
      <c r="C4183" s="308"/>
      <c r="D4183" s="308"/>
      <c r="E4183" s="308"/>
      <c r="F4183" s="309">
        <f>IFERROR(VLOOKUP(K4173,'2026.01'!A:Y,22,0),0)</f>
        <v>146</v>
      </c>
      <c r="G4183" s="310"/>
      <c r="K4183" s="300"/>
    </row>
    <row r="4184" ht="17.15" customHeight="1" spans="1:11">
      <c r="A4184" s="307" t="s">
        <v>19</v>
      </c>
      <c r="B4184" s="312"/>
      <c r="C4184" s="308"/>
      <c r="D4184" s="313"/>
      <c r="E4184" s="308"/>
      <c r="F4184" s="309">
        <f>IFERROR(VLOOKUP(K4173,'2026.01'!A:Y,25,0),0)</f>
        <v>5470</v>
      </c>
      <c r="G4184" s="310"/>
      <c r="K4184" s="300"/>
    </row>
    <row r="4185" ht="15" customHeight="1" spans="1:11">
      <c r="A4185" s="314" t="s">
        <v>20</v>
      </c>
      <c r="B4185" s="315">
        <f>IF(F4184&lt;0,"金额为负，无效",INT(F4184))</f>
        <v>5470</v>
      </c>
      <c r="C4185" s="315"/>
      <c r="D4185" s="315"/>
      <c r="E4185" s="316" t="s">
        <v>21</v>
      </c>
      <c r="F4185" s="317"/>
      <c r="G4185" s="318"/>
      <c r="K4185" s="300"/>
    </row>
    <row r="4186" ht="23" customHeight="1" spans="1:11">
      <c r="A4186" s="319"/>
      <c r="B4186" s="320"/>
      <c r="C4186" s="320"/>
      <c r="D4186" s="320"/>
      <c r="E4186" s="319"/>
      <c r="F4186" s="321"/>
      <c r="G4186" s="322"/>
      <c r="K4186" s="300"/>
    </row>
    <row r="4187" ht="27" customHeight="1" spans="1:11">
      <c r="A4187" s="298" t="s">
        <v>0</v>
      </c>
      <c r="B4187" s="298"/>
      <c r="C4187" s="298"/>
      <c r="D4187" s="298"/>
      <c r="E4187" s="298"/>
      <c r="F4187" s="298"/>
      <c r="G4187" s="298"/>
      <c r="H4187" s="299"/>
      <c r="I4187" s="299"/>
      <c r="J4187" s="299"/>
      <c r="K4187" s="300">
        <v>300</v>
      </c>
    </row>
    <row r="4188" ht="15" customHeight="1" spans="1:11">
      <c r="A4188" s="301" t="s">
        <v>1</v>
      </c>
      <c r="B4188" s="301"/>
      <c r="C4188" s="301"/>
      <c r="D4188" s="301"/>
      <c r="E4188" s="301"/>
      <c r="F4188" s="301"/>
      <c r="G4188" s="302" t="str">
        <f>IFERROR(VLOOKUP(K4187,'2026.01'!A:Y,2,0),0)</f>
        <v>NO:300</v>
      </c>
      <c r="K4188" s="300"/>
    </row>
    <row r="4189" ht="15" customHeight="1" spans="1:11">
      <c r="A4189" s="303" t="s">
        <v>2</v>
      </c>
      <c r="B4189" s="304">
        <f>IFERROR(VLOOKUP(K4187,'2026.01'!A:Y,6,0),0)</f>
        <v>5031</v>
      </c>
      <c r="C4189" s="304"/>
      <c r="D4189" s="305" t="s">
        <v>3</v>
      </c>
      <c r="E4189" s="305" t="str">
        <f>IFERROR(VLOOKUP(K4187,'2026.01'!A:Y,7,0),0)</f>
        <v>周玉清</v>
      </c>
      <c r="F4189" s="305"/>
      <c r="G4189" s="306" t="s">
        <v>4</v>
      </c>
      <c r="K4189" s="300"/>
    </row>
    <row r="4190" ht="15" customHeight="1" spans="1:11">
      <c r="A4190" s="307" t="s">
        <v>5</v>
      </c>
      <c r="B4190" s="308" t="s">
        <v>6</v>
      </c>
      <c r="C4190" s="308" t="s">
        <v>7</v>
      </c>
      <c r="D4190" s="308" t="s">
        <v>8</v>
      </c>
      <c r="E4190" s="308" t="s">
        <v>9</v>
      </c>
      <c r="F4190" s="309" t="s">
        <v>10</v>
      </c>
      <c r="G4190" s="310" t="s">
        <v>11</v>
      </c>
      <c r="K4190" s="300"/>
    </row>
    <row r="4191" ht="15" customHeight="1" spans="1:11">
      <c r="A4191" s="307" t="s">
        <v>12</v>
      </c>
      <c r="B4191" s="308">
        <f>IFERROR(VLOOKUP(K4187,'2026.01'!A:Y,14,0),0)</f>
        <v>7766</v>
      </c>
      <c r="C4191" s="308">
        <f>IFERROR(VLOOKUP(K4187,'2026.01'!A:Y,13,0),0)</f>
        <v>7697</v>
      </c>
      <c r="D4191" s="308">
        <f>IFERROR(VLOOKUP(K4187,'2026.01'!A:Y,15,0),0)</f>
        <v>69</v>
      </c>
      <c r="E4191" s="311">
        <f>IFERROR(VLOOKUP(K4187,'2026.01'!A:Y,18,0),0)</f>
        <v>0.8</v>
      </c>
      <c r="F4191" s="309">
        <f>IFERROR(VLOOKUP(K4187,'2026.01'!A:Y,20,0),0)</f>
        <v>55</v>
      </c>
      <c r="G4191" s="310"/>
      <c r="K4191" s="300"/>
    </row>
    <row r="4192" ht="15" customHeight="1" spans="1:11">
      <c r="A4192" s="307" t="s">
        <v>13</v>
      </c>
      <c r="B4192" s="308"/>
      <c r="C4192" s="308"/>
      <c r="D4192" s="308"/>
      <c r="E4192" s="311"/>
      <c r="F4192" s="309">
        <f>IFERROR(VLOOKUP(K4187,'2026.01'!A:Y,24,0),0)</f>
        <v>51</v>
      </c>
      <c r="G4192" s="310"/>
      <c r="K4192" s="300"/>
    </row>
    <row r="4193" ht="15" customHeight="1" spans="1:11">
      <c r="A4193" s="307" t="s">
        <v>14</v>
      </c>
      <c r="B4193" s="308"/>
      <c r="C4193" s="308"/>
      <c r="D4193" s="308"/>
      <c r="E4193" s="311"/>
      <c r="F4193" s="309">
        <f>IFERROR(VLOOKUP(K4187,'2026.01'!A:Y,12,0),0)</f>
        <v>160</v>
      </c>
      <c r="G4193" s="310"/>
      <c r="K4193" s="300"/>
    </row>
    <row r="4194" ht="21" customHeight="1" spans="1:11">
      <c r="A4194" s="307" t="s">
        <v>15</v>
      </c>
      <c r="B4194" s="308"/>
      <c r="C4194" s="308"/>
      <c r="D4194" s="308"/>
      <c r="E4194" s="311"/>
      <c r="F4194" s="309">
        <f>IFERROR(VLOOKUP(K4187,'2026.01'!A:Y,9,0),0)</f>
        <v>4500</v>
      </c>
      <c r="G4194" s="310"/>
      <c r="K4194" s="300"/>
    </row>
    <row r="4195" ht="19" customHeight="1" spans="1:11">
      <c r="A4195" s="307" t="s">
        <v>16</v>
      </c>
      <c r="B4195" s="308"/>
      <c r="C4195" s="308"/>
      <c r="D4195" s="308"/>
      <c r="E4195" s="308"/>
      <c r="F4195" s="309">
        <f>IFERROR(VLOOKUP(K4187,'2026.01'!A:Y,10,0),0)</f>
        <v>500</v>
      </c>
      <c r="G4195" s="310"/>
      <c r="K4195" s="300"/>
    </row>
    <row r="4196" ht="21" customHeight="1" spans="1:11">
      <c r="A4196" s="307" t="s">
        <v>17</v>
      </c>
      <c r="B4196" s="308"/>
      <c r="C4196" s="308"/>
      <c r="D4196" s="308"/>
      <c r="E4196" s="308"/>
      <c r="F4196" s="309">
        <f>IFERROR(VLOOKUP(K4187,'2026.01'!A:Y,19,0),0)</f>
        <v>48</v>
      </c>
      <c r="G4196" s="310"/>
      <c r="K4196" s="300"/>
    </row>
    <row r="4197" ht="17.15" customHeight="1" spans="1:11">
      <c r="A4197" s="307" t="s">
        <v>18</v>
      </c>
      <c r="B4197" s="308"/>
      <c r="C4197" s="308"/>
      <c r="D4197" s="308"/>
      <c r="E4197" s="308"/>
      <c r="F4197" s="309">
        <f>IFERROR(VLOOKUP(K4187,'2026.01'!A:Y,22,0),0)</f>
        <v>146</v>
      </c>
      <c r="G4197" s="310"/>
      <c r="K4197" s="300"/>
    </row>
    <row r="4198" ht="17.15" customHeight="1" spans="1:11">
      <c r="A4198" s="307" t="s">
        <v>19</v>
      </c>
      <c r="B4198" s="312"/>
      <c r="C4198" s="308"/>
      <c r="D4198" s="313"/>
      <c r="E4198" s="308"/>
      <c r="F4198" s="309">
        <f>IFERROR(VLOOKUP(K4187,'2026.01'!A:Y,25,0),0)</f>
        <v>5460</v>
      </c>
      <c r="G4198" s="310"/>
      <c r="K4198" s="300"/>
    </row>
    <row r="4199" ht="15" customHeight="1" spans="1:11">
      <c r="A4199" s="314" t="s">
        <v>20</v>
      </c>
      <c r="B4199" s="315">
        <f>IF(F4198&lt;0,"金额为负，无效",INT(F4198))</f>
        <v>5460</v>
      </c>
      <c r="C4199" s="315"/>
      <c r="D4199" s="315"/>
      <c r="E4199" s="316" t="s">
        <v>21</v>
      </c>
      <c r="F4199" s="317"/>
      <c r="G4199" s="318"/>
      <c r="K4199" s="300"/>
    </row>
    <row r="4200" ht="15" customHeight="1" spans="1:11">
      <c r="A4200" s="319"/>
      <c r="B4200" s="320"/>
      <c r="C4200" s="320"/>
      <c r="D4200" s="320"/>
      <c r="E4200" s="319"/>
      <c r="F4200" s="321"/>
      <c r="G4200" s="322"/>
      <c r="K4200" s="300"/>
    </row>
    <row r="4201" ht="27" customHeight="1" spans="1:11">
      <c r="A4201" s="298" t="s">
        <v>0</v>
      </c>
      <c r="B4201" s="298"/>
      <c r="C4201" s="298"/>
      <c r="D4201" s="298"/>
      <c r="E4201" s="298"/>
      <c r="F4201" s="298"/>
      <c r="G4201" s="298"/>
      <c r="H4201" s="299"/>
      <c r="I4201" s="299"/>
      <c r="J4201" s="299"/>
      <c r="K4201" s="300">
        <v>301</v>
      </c>
    </row>
    <row r="4202" ht="15" customHeight="1" spans="1:11">
      <c r="A4202" s="301" t="s">
        <v>1</v>
      </c>
      <c r="B4202" s="301"/>
      <c r="C4202" s="301"/>
      <c r="D4202" s="301"/>
      <c r="E4202" s="301"/>
      <c r="F4202" s="301"/>
      <c r="G4202" s="302" t="str">
        <f>IFERROR(VLOOKUP(K4201,'2026.01'!A:Y,2,0),0)</f>
        <v>NO:301</v>
      </c>
      <c r="K4202" s="300"/>
    </row>
    <row r="4203" ht="15" customHeight="1" spans="1:11">
      <c r="A4203" s="303" t="s">
        <v>2</v>
      </c>
      <c r="B4203" s="304">
        <f>IFERROR(VLOOKUP(K4201,'2026.01'!A:Y,6,0),0)</f>
        <v>5032</v>
      </c>
      <c r="C4203" s="304"/>
      <c r="D4203" s="305" t="s">
        <v>3</v>
      </c>
      <c r="E4203" s="305" t="str">
        <f>IFERROR(VLOOKUP(K4201,'2026.01'!A:Y,7,0),0)</f>
        <v>陈家惠</v>
      </c>
      <c r="F4203" s="305"/>
      <c r="G4203" s="306" t="s">
        <v>4</v>
      </c>
      <c r="K4203" s="300"/>
    </row>
    <row r="4204" ht="15" customHeight="1" spans="1:11">
      <c r="A4204" s="307" t="s">
        <v>5</v>
      </c>
      <c r="B4204" s="308" t="s">
        <v>6</v>
      </c>
      <c r="C4204" s="308" t="s">
        <v>7</v>
      </c>
      <c r="D4204" s="308" t="s">
        <v>8</v>
      </c>
      <c r="E4204" s="308" t="s">
        <v>9</v>
      </c>
      <c r="F4204" s="309" t="s">
        <v>10</v>
      </c>
      <c r="G4204" s="310" t="s">
        <v>11</v>
      </c>
      <c r="K4204" s="300"/>
    </row>
    <row r="4205" ht="15" customHeight="1" spans="1:11">
      <c r="A4205" s="307" t="s">
        <v>12</v>
      </c>
      <c r="B4205" s="308">
        <f>IFERROR(VLOOKUP(K4201,'2026.01'!A:Y,14,0),0)</f>
        <v>28740</v>
      </c>
      <c r="C4205" s="308">
        <f>IFERROR(VLOOKUP(K4201,'2026.01'!A:Y,13,0),0)</f>
        <v>28669</v>
      </c>
      <c r="D4205" s="308">
        <f>IFERROR(VLOOKUP(K4201,'2026.01'!A:Y,15,0),0)</f>
        <v>71</v>
      </c>
      <c r="E4205" s="311">
        <f>IFERROR(VLOOKUP(K4201,'2026.01'!A:Y,18,0),0)</f>
        <v>0.8</v>
      </c>
      <c r="F4205" s="309">
        <f>IFERROR(VLOOKUP(K4201,'2026.01'!A:Y,20,0),0)</f>
        <v>57</v>
      </c>
      <c r="G4205" s="310"/>
      <c r="K4205" s="300"/>
    </row>
    <row r="4206" ht="15" customHeight="1" spans="1:11">
      <c r="A4206" s="307" t="s">
        <v>13</v>
      </c>
      <c r="B4206" s="308"/>
      <c r="C4206" s="308"/>
      <c r="D4206" s="308"/>
      <c r="E4206" s="311"/>
      <c r="F4206" s="309">
        <f>IFERROR(VLOOKUP(K4201,'2026.01'!A:Y,24,0),0)</f>
        <v>51</v>
      </c>
      <c r="G4206" s="310"/>
      <c r="K4206" s="300"/>
    </row>
    <row r="4207" ht="15" customHeight="1" spans="1:11">
      <c r="A4207" s="307" t="s">
        <v>14</v>
      </c>
      <c r="B4207" s="308"/>
      <c r="C4207" s="308"/>
      <c r="D4207" s="308"/>
      <c r="E4207" s="311"/>
      <c r="F4207" s="309">
        <f>IFERROR(VLOOKUP(K4201,'2026.01'!A:Y,12,0),0)</f>
        <v>160</v>
      </c>
      <c r="G4207" s="310"/>
      <c r="K4207" s="300"/>
    </row>
    <row r="4208" ht="21" customHeight="1" spans="1:11">
      <c r="A4208" s="307" t="s">
        <v>15</v>
      </c>
      <c r="B4208" s="308"/>
      <c r="C4208" s="308"/>
      <c r="D4208" s="308"/>
      <c r="E4208" s="311"/>
      <c r="F4208" s="309">
        <f>IFERROR(VLOOKUP(K4201,'2026.01'!A:Y,9,0),0)</f>
        <v>4500</v>
      </c>
      <c r="G4208" s="310"/>
      <c r="K4208" s="300"/>
    </row>
    <row r="4209" ht="19" customHeight="1" spans="1:11">
      <c r="A4209" s="307" t="s">
        <v>16</v>
      </c>
      <c r="B4209" s="308"/>
      <c r="C4209" s="308"/>
      <c r="D4209" s="308"/>
      <c r="E4209" s="308"/>
      <c r="F4209" s="309">
        <f>IFERROR(VLOOKUP(K4201,'2026.01'!A:Y,10,0),0)</f>
        <v>500</v>
      </c>
      <c r="G4209" s="310"/>
      <c r="K4209" s="300"/>
    </row>
    <row r="4210" ht="21" customHeight="1" spans="1:11">
      <c r="A4210" s="307" t="s">
        <v>17</v>
      </c>
      <c r="B4210" s="308"/>
      <c r="C4210" s="308"/>
      <c r="D4210" s="308"/>
      <c r="E4210" s="308"/>
      <c r="F4210" s="309">
        <f>IFERROR(VLOOKUP(K4201,'2026.01'!A:Y,19,0),0)</f>
        <v>50</v>
      </c>
      <c r="G4210" s="310"/>
      <c r="K4210" s="300"/>
    </row>
    <row r="4211" ht="17.15" customHeight="1" spans="1:11">
      <c r="A4211" s="307" t="s">
        <v>18</v>
      </c>
      <c r="B4211" s="308"/>
      <c r="C4211" s="308"/>
      <c r="D4211" s="308"/>
      <c r="E4211" s="308"/>
      <c r="F4211" s="309">
        <f>IFERROR(VLOOKUP(K4201,'2026.01'!A:Y,22,0),0)</f>
        <v>146</v>
      </c>
      <c r="G4211" s="310"/>
      <c r="K4211" s="300"/>
    </row>
    <row r="4212" ht="17.15" customHeight="1" spans="1:11">
      <c r="A4212" s="307" t="s">
        <v>19</v>
      </c>
      <c r="B4212" s="312"/>
      <c r="C4212" s="308"/>
      <c r="D4212" s="313"/>
      <c r="E4212" s="308"/>
      <c r="F4212" s="309">
        <f>IFERROR(VLOOKUP(K4201,'2026.01'!A:Y,25,0),0)</f>
        <v>5464</v>
      </c>
      <c r="G4212" s="310"/>
      <c r="K4212" s="300"/>
    </row>
    <row r="4213" ht="15" customHeight="1" spans="1:11">
      <c r="A4213" s="314" t="s">
        <v>20</v>
      </c>
      <c r="B4213" s="315">
        <f>IF(F4212&lt;0,"金额为负，无效",INT(F4212))</f>
        <v>5464</v>
      </c>
      <c r="C4213" s="315"/>
      <c r="D4213" s="315"/>
      <c r="E4213" s="316" t="s">
        <v>21</v>
      </c>
      <c r="F4213" s="317"/>
      <c r="G4213" s="318"/>
      <c r="K4213" s="300"/>
    </row>
    <row r="4214" ht="23" customHeight="1" spans="1:11">
      <c r="A4214" s="319"/>
      <c r="B4214" s="320"/>
      <c r="C4214" s="320"/>
      <c r="D4214" s="320"/>
      <c r="E4214" s="319"/>
      <c r="F4214" s="321"/>
      <c r="G4214" s="322"/>
      <c r="K4214" s="300"/>
    </row>
    <row r="4215" ht="27" customHeight="1" spans="1:11">
      <c r="A4215" s="298" t="s">
        <v>0</v>
      </c>
      <c r="B4215" s="298"/>
      <c r="C4215" s="298"/>
      <c r="D4215" s="298"/>
      <c r="E4215" s="298"/>
      <c r="F4215" s="298"/>
      <c r="G4215" s="298"/>
      <c r="H4215" s="299"/>
      <c r="I4215" s="299"/>
      <c r="J4215" s="299"/>
      <c r="K4215" s="300">
        <v>302</v>
      </c>
    </row>
    <row r="4216" ht="15" customHeight="1" spans="1:11">
      <c r="A4216" s="301" t="s">
        <v>1</v>
      </c>
      <c r="B4216" s="301"/>
      <c r="C4216" s="301"/>
      <c r="D4216" s="301"/>
      <c r="E4216" s="301"/>
      <c r="F4216" s="301"/>
      <c r="G4216" s="302" t="str">
        <f>IFERROR(VLOOKUP(K4215,'2026.01'!A:Y,2,0),0)</f>
        <v>NO:302</v>
      </c>
      <c r="K4216" s="300"/>
    </row>
    <row r="4217" ht="15" customHeight="1" spans="1:11">
      <c r="A4217" s="303" t="s">
        <v>2</v>
      </c>
      <c r="B4217" s="304">
        <f>IFERROR(VLOOKUP(K4215,'2026.01'!A:Y,6,0),0)</f>
        <v>5033</v>
      </c>
      <c r="C4217" s="304"/>
      <c r="D4217" s="305" t="s">
        <v>3</v>
      </c>
      <c r="E4217" s="305" t="str">
        <f>IFERROR(VLOOKUP(K4215,'2026.01'!A:Y,7,0),0)</f>
        <v>陈文艳</v>
      </c>
      <c r="F4217" s="305"/>
      <c r="G4217" s="306" t="s">
        <v>4</v>
      </c>
      <c r="K4217" s="300"/>
    </row>
    <row r="4218" ht="15" customHeight="1" spans="1:11">
      <c r="A4218" s="307" t="s">
        <v>5</v>
      </c>
      <c r="B4218" s="308" t="s">
        <v>6</v>
      </c>
      <c r="C4218" s="308" t="s">
        <v>7</v>
      </c>
      <c r="D4218" s="308" t="s">
        <v>8</v>
      </c>
      <c r="E4218" s="308" t="s">
        <v>9</v>
      </c>
      <c r="F4218" s="309" t="s">
        <v>10</v>
      </c>
      <c r="G4218" s="310" t="s">
        <v>11</v>
      </c>
      <c r="K4218" s="300"/>
    </row>
    <row r="4219" ht="15" customHeight="1" spans="1:11">
      <c r="A4219" s="307" t="s">
        <v>12</v>
      </c>
      <c r="B4219" s="308">
        <f>IFERROR(VLOOKUP(K4215,'2026.01'!A:Y,14,0),0)</f>
        <v>32189</v>
      </c>
      <c r="C4219" s="308">
        <f>IFERROR(VLOOKUP(K4215,'2026.01'!A:Y,13,0),0)</f>
        <v>32174</v>
      </c>
      <c r="D4219" s="308">
        <f>IFERROR(VLOOKUP(K4215,'2026.01'!A:Y,15,0),0)</f>
        <v>15</v>
      </c>
      <c r="E4219" s="311">
        <f>IFERROR(VLOOKUP(K4215,'2026.01'!A:Y,18,0),0)</f>
        <v>0.8</v>
      </c>
      <c r="F4219" s="309">
        <f>IFERROR(VLOOKUP(K4215,'2026.01'!A:Y,20,0),0)</f>
        <v>12</v>
      </c>
      <c r="G4219" s="310"/>
      <c r="K4219" s="300"/>
    </row>
    <row r="4220" ht="15" customHeight="1" spans="1:11">
      <c r="A4220" s="307" t="s">
        <v>13</v>
      </c>
      <c r="B4220" s="308"/>
      <c r="C4220" s="308"/>
      <c r="D4220" s="308"/>
      <c r="E4220" s="311"/>
      <c r="F4220" s="309">
        <f>IFERROR(VLOOKUP(K4215,'2026.01'!A:Y,24,0),0)</f>
        <v>51</v>
      </c>
      <c r="G4220" s="310"/>
      <c r="K4220" s="300"/>
    </row>
    <row r="4221" ht="15" customHeight="1" spans="1:11">
      <c r="A4221" s="307" t="s">
        <v>14</v>
      </c>
      <c r="B4221" s="308"/>
      <c r="C4221" s="308"/>
      <c r="D4221" s="308"/>
      <c r="E4221" s="311"/>
      <c r="F4221" s="309">
        <f>IFERROR(VLOOKUP(K4215,'2026.01'!A:Y,12,0),0)</f>
        <v>160</v>
      </c>
      <c r="G4221" s="310"/>
      <c r="K4221" s="300"/>
    </row>
    <row r="4222" ht="21" customHeight="1" spans="1:11">
      <c r="A4222" s="307" t="s">
        <v>15</v>
      </c>
      <c r="B4222" s="308"/>
      <c r="C4222" s="308"/>
      <c r="D4222" s="308"/>
      <c r="E4222" s="311"/>
      <c r="F4222" s="309">
        <f>IFERROR(VLOOKUP(K4215,'2026.01'!A:Y,9,0),0)</f>
        <v>4500</v>
      </c>
      <c r="G4222" s="310"/>
      <c r="K4222" s="300"/>
    </row>
    <row r="4223" ht="19" customHeight="1" spans="1:11">
      <c r="A4223" s="307" t="s">
        <v>16</v>
      </c>
      <c r="B4223" s="308"/>
      <c r="C4223" s="308"/>
      <c r="D4223" s="308"/>
      <c r="E4223" s="308"/>
      <c r="F4223" s="309">
        <f>IFERROR(VLOOKUP(K4215,'2026.01'!A:Y,10,0),0)</f>
        <v>500</v>
      </c>
      <c r="G4223" s="310"/>
      <c r="K4223" s="300"/>
    </row>
    <row r="4224" ht="21" customHeight="1" spans="1:11">
      <c r="A4224" s="307" t="s">
        <v>17</v>
      </c>
      <c r="B4224" s="308"/>
      <c r="C4224" s="308"/>
      <c r="D4224" s="308"/>
      <c r="E4224" s="308"/>
      <c r="F4224" s="309">
        <f>IFERROR(VLOOKUP(K4215,'2026.01'!A:Y,19,0),0)</f>
        <v>11</v>
      </c>
      <c r="G4224" s="310"/>
      <c r="K4224" s="300"/>
    </row>
    <row r="4225" ht="17.15" customHeight="1" spans="1:11">
      <c r="A4225" s="307" t="s">
        <v>18</v>
      </c>
      <c r="B4225" s="308"/>
      <c r="C4225" s="308"/>
      <c r="D4225" s="308"/>
      <c r="E4225" s="308"/>
      <c r="F4225" s="309">
        <f>IFERROR(VLOOKUP(K4215,'2026.01'!A:Y,22,0),0)</f>
        <v>146</v>
      </c>
      <c r="G4225" s="310"/>
      <c r="K4225" s="300"/>
    </row>
    <row r="4226" ht="17.15" customHeight="1" spans="1:11">
      <c r="A4226" s="307" t="s">
        <v>19</v>
      </c>
      <c r="B4226" s="312"/>
      <c r="C4226" s="308"/>
      <c r="D4226" s="313"/>
      <c r="E4226" s="308"/>
      <c r="F4226" s="309">
        <f>IFERROR(VLOOKUP(K4215,'2026.01'!A:Y,25,0),0)</f>
        <v>5380</v>
      </c>
      <c r="G4226" s="310"/>
      <c r="K4226" s="300"/>
    </row>
    <row r="4227" ht="15" customHeight="1" spans="1:11">
      <c r="A4227" s="314" t="s">
        <v>20</v>
      </c>
      <c r="B4227" s="315">
        <f>IF(F4226&lt;0,"金额为负，无效",INT(F4226))</f>
        <v>5380</v>
      </c>
      <c r="C4227" s="315"/>
      <c r="D4227" s="315"/>
      <c r="E4227" s="316" t="s">
        <v>21</v>
      </c>
      <c r="F4227" s="317"/>
      <c r="G4227" s="318"/>
      <c r="K4227" s="300"/>
    </row>
    <row r="4228" ht="23" customHeight="1" spans="1:11">
      <c r="A4228" s="319"/>
      <c r="B4228" s="320"/>
      <c r="C4228" s="320"/>
      <c r="D4228" s="320"/>
      <c r="E4228" s="319"/>
      <c r="F4228" s="321"/>
      <c r="G4228" s="322"/>
      <c r="K4228" s="300"/>
    </row>
    <row r="4229" ht="27" customHeight="1" spans="1:11">
      <c r="A4229" s="298" t="s">
        <v>0</v>
      </c>
      <c r="B4229" s="298"/>
      <c r="C4229" s="298"/>
      <c r="D4229" s="298"/>
      <c r="E4229" s="298"/>
      <c r="F4229" s="298"/>
      <c r="G4229" s="298"/>
      <c r="H4229" s="299"/>
      <c r="I4229" s="299"/>
      <c r="J4229" s="299"/>
      <c r="K4229" s="300">
        <v>303</v>
      </c>
    </row>
    <row r="4230" ht="15" customHeight="1" spans="1:11">
      <c r="A4230" s="301" t="s">
        <v>1</v>
      </c>
      <c r="B4230" s="301"/>
      <c r="C4230" s="301"/>
      <c r="D4230" s="301"/>
      <c r="E4230" s="301"/>
      <c r="F4230" s="301"/>
      <c r="G4230" s="302" t="str">
        <f>IFERROR(VLOOKUP(K4229,'2026.01'!A:Y,2,0),0)</f>
        <v>NO:303</v>
      </c>
      <c r="K4230" s="300"/>
    </row>
    <row r="4231" ht="15" customHeight="1" spans="1:11">
      <c r="A4231" s="303" t="s">
        <v>2</v>
      </c>
      <c r="B4231" s="304">
        <f>IFERROR(VLOOKUP(K4229,'2026.01'!A:Y,6,0),0)</f>
        <v>5034</v>
      </c>
      <c r="C4231" s="304"/>
      <c r="D4231" s="305" t="s">
        <v>3</v>
      </c>
      <c r="E4231" s="305" t="str">
        <f>IFERROR(VLOOKUP(K4229,'2026.01'!A:Y,7,0),0)</f>
        <v>吕泽强</v>
      </c>
      <c r="F4231" s="305"/>
      <c r="G4231" s="306" t="s">
        <v>4</v>
      </c>
      <c r="K4231" s="300"/>
    </row>
    <row r="4232" ht="15" customHeight="1" spans="1:11">
      <c r="A4232" s="307" t="s">
        <v>5</v>
      </c>
      <c r="B4232" s="308" t="s">
        <v>6</v>
      </c>
      <c r="C4232" s="308" t="s">
        <v>7</v>
      </c>
      <c r="D4232" s="308" t="s">
        <v>8</v>
      </c>
      <c r="E4232" s="308" t="s">
        <v>9</v>
      </c>
      <c r="F4232" s="309" t="s">
        <v>10</v>
      </c>
      <c r="G4232" s="310" t="s">
        <v>11</v>
      </c>
      <c r="K4232" s="300"/>
    </row>
    <row r="4233" ht="15" customHeight="1" spans="1:11">
      <c r="A4233" s="307" t="s">
        <v>12</v>
      </c>
      <c r="B4233" s="308">
        <f>IFERROR(VLOOKUP(K4229,'2026.01'!A:Y,14,0),0)</f>
        <v>30299</v>
      </c>
      <c r="C4233" s="308">
        <f>IFERROR(VLOOKUP(K4229,'2026.01'!A:Y,13,0),0)</f>
        <v>30273</v>
      </c>
      <c r="D4233" s="308">
        <f>IFERROR(VLOOKUP(K4229,'2026.01'!A:Y,15,0),0)</f>
        <v>26</v>
      </c>
      <c r="E4233" s="311">
        <f>IFERROR(VLOOKUP(K4229,'2026.01'!A:Y,18,0),0)</f>
        <v>0.8</v>
      </c>
      <c r="F4233" s="309">
        <f>IFERROR(VLOOKUP(K4229,'2026.01'!A:Y,20,0),0)</f>
        <v>21</v>
      </c>
      <c r="G4233" s="310"/>
      <c r="K4233" s="300"/>
    </row>
    <row r="4234" ht="15" customHeight="1" spans="1:11">
      <c r="A4234" s="307" t="s">
        <v>13</v>
      </c>
      <c r="B4234" s="308"/>
      <c r="C4234" s="308"/>
      <c r="D4234" s="308"/>
      <c r="E4234" s="311"/>
      <c r="F4234" s="309">
        <f>IFERROR(VLOOKUP(K4229,'2026.01'!A:Y,24,0),0)</f>
        <v>51</v>
      </c>
      <c r="G4234" s="310"/>
      <c r="K4234" s="300"/>
    </row>
    <row r="4235" ht="15" customHeight="1" spans="1:11">
      <c r="A4235" s="307" t="s">
        <v>14</v>
      </c>
      <c r="B4235" s="308"/>
      <c r="C4235" s="308"/>
      <c r="D4235" s="308"/>
      <c r="E4235" s="311"/>
      <c r="F4235" s="309">
        <f>IFERROR(VLOOKUP(K4229,'2026.01'!A:Y,12,0),0)</f>
        <v>160</v>
      </c>
      <c r="G4235" s="310"/>
      <c r="K4235" s="300"/>
    </row>
    <row r="4236" ht="21" customHeight="1" spans="1:11">
      <c r="A4236" s="307" t="s">
        <v>15</v>
      </c>
      <c r="B4236" s="308"/>
      <c r="C4236" s="308"/>
      <c r="D4236" s="308"/>
      <c r="E4236" s="311"/>
      <c r="F4236" s="309">
        <f>IFERROR(VLOOKUP(K4229,'2026.01'!A:Y,9,0),0)</f>
        <v>4500</v>
      </c>
      <c r="G4236" s="310"/>
      <c r="K4236" s="300"/>
    </row>
    <row r="4237" ht="19" customHeight="1" spans="1:11">
      <c r="A4237" s="307" t="s">
        <v>16</v>
      </c>
      <c r="B4237" s="308"/>
      <c r="C4237" s="308"/>
      <c r="D4237" s="308"/>
      <c r="E4237" s="308"/>
      <c r="F4237" s="309">
        <f>IFERROR(VLOOKUP(K4229,'2026.01'!A:Y,10,0),0)</f>
        <v>500</v>
      </c>
      <c r="G4237" s="310"/>
      <c r="K4237" s="300"/>
    </row>
    <row r="4238" ht="21" customHeight="1" spans="1:11">
      <c r="A4238" s="307" t="s">
        <v>17</v>
      </c>
      <c r="B4238" s="308"/>
      <c r="C4238" s="308"/>
      <c r="D4238" s="308"/>
      <c r="E4238" s="308"/>
      <c r="F4238" s="309">
        <f>IFERROR(VLOOKUP(K4229,'2026.01'!A:Y,19,0),0)</f>
        <v>18</v>
      </c>
      <c r="G4238" s="310"/>
      <c r="K4238" s="300"/>
    </row>
    <row r="4239" ht="17.15" customHeight="1" spans="1:11">
      <c r="A4239" s="307" t="s">
        <v>18</v>
      </c>
      <c r="B4239" s="308"/>
      <c r="C4239" s="308"/>
      <c r="D4239" s="308"/>
      <c r="E4239" s="308"/>
      <c r="F4239" s="309">
        <f>IFERROR(VLOOKUP(K4229,'2026.01'!A:Y,22,0),0)</f>
        <v>146</v>
      </c>
      <c r="G4239" s="310"/>
      <c r="K4239" s="300"/>
    </row>
    <row r="4240" ht="17.15" customHeight="1" spans="1:11">
      <c r="A4240" s="307" t="s">
        <v>19</v>
      </c>
      <c r="B4240" s="312"/>
      <c r="C4240" s="308"/>
      <c r="D4240" s="313"/>
      <c r="E4240" s="308"/>
      <c r="F4240" s="309">
        <f>IFERROR(VLOOKUP(K4229,'2026.01'!A:Y,25,0),0)</f>
        <v>5396</v>
      </c>
      <c r="G4240" s="310"/>
      <c r="K4240" s="300"/>
    </row>
    <row r="4241" ht="15" customHeight="1" spans="1:11">
      <c r="A4241" s="314" t="s">
        <v>20</v>
      </c>
      <c r="B4241" s="315">
        <f>IF(F4240&lt;0,"金额为负，无效",INT(F4240))</f>
        <v>5396</v>
      </c>
      <c r="C4241" s="315"/>
      <c r="D4241" s="315"/>
      <c r="E4241" s="316" t="s">
        <v>21</v>
      </c>
      <c r="F4241" s="317"/>
      <c r="G4241" s="318"/>
      <c r="K4241" s="300"/>
    </row>
    <row r="4242" ht="15" customHeight="1" spans="1:11">
      <c r="A4242" s="319"/>
      <c r="B4242" s="320"/>
      <c r="C4242" s="320"/>
      <c r="D4242" s="320"/>
      <c r="E4242" s="319"/>
      <c r="F4242" s="321"/>
      <c r="G4242" s="322"/>
      <c r="K4242" s="300"/>
    </row>
    <row r="4243" ht="27" customHeight="1" spans="1:11">
      <c r="A4243" s="298" t="s">
        <v>0</v>
      </c>
      <c r="B4243" s="298"/>
      <c r="C4243" s="298"/>
      <c r="D4243" s="298"/>
      <c r="E4243" s="298"/>
      <c r="F4243" s="298"/>
      <c r="G4243" s="298"/>
      <c r="H4243" s="299"/>
      <c r="I4243" s="299"/>
      <c r="J4243" s="299"/>
      <c r="K4243" s="300">
        <v>304</v>
      </c>
    </row>
    <row r="4244" ht="15" customHeight="1" spans="1:11">
      <c r="A4244" s="301" t="s">
        <v>1</v>
      </c>
      <c r="B4244" s="301"/>
      <c r="C4244" s="301"/>
      <c r="D4244" s="301"/>
      <c r="E4244" s="301"/>
      <c r="F4244" s="301"/>
      <c r="G4244" s="302" t="str">
        <f>IFERROR(VLOOKUP(K4243,'2026.01'!A:Y,2,0),0)</f>
        <v>NO:304</v>
      </c>
      <c r="K4244" s="300"/>
    </row>
    <row r="4245" ht="15" customHeight="1" spans="1:11">
      <c r="A4245" s="303" t="s">
        <v>2</v>
      </c>
      <c r="B4245" s="304">
        <f>IFERROR(VLOOKUP(K4243,'2026.01'!A:Y,6,0),0)</f>
        <v>5035</v>
      </c>
      <c r="C4245" s="304"/>
      <c r="D4245" s="305" t="s">
        <v>3</v>
      </c>
      <c r="E4245" s="305" t="str">
        <f>IFERROR(VLOOKUP(K4243,'2026.01'!A:Y,7,0),0)</f>
        <v>黄廉兴</v>
      </c>
      <c r="F4245" s="305"/>
      <c r="G4245" s="306" t="s">
        <v>4</v>
      </c>
      <c r="K4245" s="300"/>
    </row>
    <row r="4246" ht="15" customHeight="1" spans="1:11">
      <c r="A4246" s="307" t="s">
        <v>5</v>
      </c>
      <c r="B4246" s="308" t="s">
        <v>6</v>
      </c>
      <c r="C4246" s="308" t="s">
        <v>7</v>
      </c>
      <c r="D4246" s="308" t="s">
        <v>8</v>
      </c>
      <c r="E4246" s="308" t="s">
        <v>9</v>
      </c>
      <c r="F4246" s="309" t="s">
        <v>10</v>
      </c>
      <c r="G4246" s="310" t="s">
        <v>11</v>
      </c>
      <c r="K4246" s="300"/>
    </row>
    <row r="4247" ht="15" customHeight="1" spans="1:11">
      <c r="A4247" s="307" t="s">
        <v>12</v>
      </c>
      <c r="B4247" s="308">
        <f>IFERROR(VLOOKUP(K4243,'2026.01'!A:Y,14,0),0)</f>
        <v>28400</v>
      </c>
      <c r="C4247" s="308">
        <f>IFERROR(VLOOKUP(K4243,'2026.01'!A:Y,13,0),0)</f>
        <v>28344</v>
      </c>
      <c r="D4247" s="308">
        <f>IFERROR(VLOOKUP(K4243,'2026.01'!A:Y,15,0),0)</f>
        <v>56</v>
      </c>
      <c r="E4247" s="311">
        <f>IFERROR(VLOOKUP(K4243,'2026.01'!A:Y,18,0),0)</f>
        <v>0.8</v>
      </c>
      <c r="F4247" s="309">
        <f>IFERROR(VLOOKUP(K4243,'2026.01'!A:Y,20,0),0)</f>
        <v>45</v>
      </c>
      <c r="G4247" s="310"/>
      <c r="K4247" s="300"/>
    </row>
    <row r="4248" ht="15" customHeight="1" spans="1:11">
      <c r="A4248" s="307" t="s">
        <v>13</v>
      </c>
      <c r="B4248" s="308"/>
      <c r="C4248" s="308"/>
      <c r="D4248" s="308"/>
      <c r="E4248" s="311"/>
      <c r="F4248" s="309">
        <f>IFERROR(VLOOKUP(K4243,'2026.01'!A:Y,24,0),0)</f>
        <v>51</v>
      </c>
      <c r="G4248" s="310"/>
      <c r="K4248" s="300"/>
    </row>
    <row r="4249" ht="15" customHeight="1" spans="1:11">
      <c r="A4249" s="307" t="s">
        <v>14</v>
      </c>
      <c r="B4249" s="308"/>
      <c r="C4249" s="308"/>
      <c r="D4249" s="308"/>
      <c r="E4249" s="311"/>
      <c r="F4249" s="309">
        <f>IFERROR(VLOOKUP(K4243,'2026.01'!A:Y,12,0),0)</f>
        <v>160</v>
      </c>
      <c r="G4249" s="310"/>
      <c r="K4249" s="300"/>
    </row>
    <row r="4250" ht="21" customHeight="1" spans="1:11">
      <c r="A4250" s="307" t="s">
        <v>15</v>
      </c>
      <c r="B4250" s="308"/>
      <c r="C4250" s="308"/>
      <c r="D4250" s="308"/>
      <c r="E4250" s="311"/>
      <c r="F4250" s="309">
        <f>IFERROR(VLOOKUP(K4243,'2026.01'!A:Y,9,0),0)</f>
        <v>4500</v>
      </c>
      <c r="G4250" s="310"/>
      <c r="K4250" s="300"/>
    </row>
    <row r="4251" ht="19" customHeight="1" spans="1:11">
      <c r="A4251" s="307" t="s">
        <v>16</v>
      </c>
      <c r="B4251" s="308"/>
      <c r="C4251" s="308"/>
      <c r="D4251" s="308"/>
      <c r="E4251" s="308"/>
      <c r="F4251" s="309">
        <f>IFERROR(VLOOKUP(K4243,'2026.01'!A:Y,10,0),0)</f>
        <v>500</v>
      </c>
      <c r="G4251" s="310"/>
      <c r="K4251" s="300"/>
    </row>
    <row r="4252" ht="21" customHeight="1" spans="1:11">
      <c r="A4252" s="307" t="s">
        <v>17</v>
      </c>
      <c r="B4252" s="308"/>
      <c r="C4252" s="308"/>
      <c r="D4252" s="308"/>
      <c r="E4252" s="308"/>
      <c r="F4252" s="309">
        <f>IFERROR(VLOOKUP(K4243,'2026.01'!A:Y,19,0),0)</f>
        <v>39</v>
      </c>
      <c r="G4252" s="310"/>
      <c r="K4252" s="300"/>
    </row>
    <row r="4253" ht="17.15" customHeight="1" spans="1:11">
      <c r="A4253" s="307" t="s">
        <v>18</v>
      </c>
      <c r="B4253" s="308"/>
      <c r="C4253" s="308"/>
      <c r="D4253" s="308"/>
      <c r="E4253" s="308"/>
      <c r="F4253" s="309">
        <f>IFERROR(VLOOKUP(K4243,'2026.01'!A:Y,22,0),0)</f>
        <v>146</v>
      </c>
      <c r="G4253" s="310"/>
      <c r="K4253" s="300"/>
    </row>
    <row r="4254" ht="17.15" customHeight="1" spans="1:11">
      <c r="A4254" s="307" t="s">
        <v>19</v>
      </c>
      <c r="B4254" s="312"/>
      <c r="C4254" s="308"/>
      <c r="D4254" s="313"/>
      <c r="E4254" s="308"/>
      <c r="F4254" s="309">
        <f>IFERROR(VLOOKUP(K4243,'2026.01'!A:Y,25,0),0)</f>
        <v>5441</v>
      </c>
      <c r="G4254" s="310"/>
      <c r="K4254" s="300"/>
    </row>
    <row r="4255" ht="15" customHeight="1" spans="1:11">
      <c r="A4255" s="314" t="s">
        <v>20</v>
      </c>
      <c r="B4255" s="315">
        <f>IF(F4254&lt;0,"金额为负，无效",INT(F4254))</f>
        <v>5441</v>
      </c>
      <c r="C4255" s="315"/>
      <c r="D4255" s="315"/>
      <c r="E4255" s="316" t="s">
        <v>21</v>
      </c>
      <c r="F4255" s="317"/>
      <c r="G4255" s="318"/>
      <c r="K4255" s="300"/>
    </row>
    <row r="4256" ht="23" customHeight="1" spans="1:11">
      <c r="A4256" s="319"/>
      <c r="B4256" s="320"/>
      <c r="C4256" s="320"/>
      <c r="D4256" s="320"/>
      <c r="E4256" s="319"/>
      <c r="F4256" s="321"/>
      <c r="G4256" s="322"/>
      <c r="K4256" s="300"/>
    </row>
    <row r="4257" ht="27" customHeight="1" spans="1:11">
      <c r="A4257" s="298" t="s">
        <v>0</v>
      </c>
      <c r="B4257" s="298"/>
      <c r="C4257" s="298"/>
      <c r="D4257" s="298"/>
      <c r="E4257" s="298"/>
      <c r="F4257" s="298"/>
      <c r="G4257" s="298"/>
      <c r="H4257" s="299"/>
      <c r="I4257" s="299"/>
      <c r="J4257" s="299"/>
      <c r="K4257" s="300">
        <v>305</v>
      </c>
    </row>
    <row r="4258" ht="15" customHeight="1" spans="1:11">
      <c r="A4258" s="301" t="s">
        <v>1</v>
      </c>
      <c r="B4258" s="301"/>
      <c r="C4258" s="301"/>
      <c r="D4258" s="301"/>
      <c r="E4258" s="301"/>
      <c r="F4258" s="301"/>
      <c r="G4258" s="302" t="str">
        <f>IFERROR(VLOOKUP(K4257,'2026.01'!A:Y,2,0),0)</f>
        <v>NO:305</v>
      </c>
      <c r="K4258" s="300"/>
    </row>
    <row r="4259" ht="15" customHeight="1" spans="1:11">
      <c r="A4259" s="303" t="s">
        <v>2</v>
      </c>
      <c r="B4259" s="304">
        <f>IFERROR(VLOOKUP(K4257,'2026.01'!A:Y,6,0),0)</f>
        <v>5036</v>
      </c>
      <c r="C4259" s="304"/>
      <c r="D4259" s="305" t="s">
        <v>3</v>
      </c>
      <c r="E4259" s="305" t="str">
        <f>IFERROR(VLOOKUP(K4257,'2026.01'!A:Y,7,0),0)</f>
        <v>刘南</v>
      </c>
      <c r="F4259" s="305"/>
      <c r="G4259" s="306" t="s">
        <v>4</v>
      </c>
      <c r="K4259" s="300"/>
    </row>
    <row r="4260" ht="15" customHeight="1" spans="1:11">
      <c r="A4260" s="307" t="s">
        <v>5</v>
      </c>
      <c r="B4260" s="308" t="s">
        <v>6</v>
      </c>
      <c r="C4260" s="308" t="s">
        <v>7</v>
      </c>
      <c r="D4260" s="308" t="s">
        <v>8</v>
      </c>
      <c r="E4260" s="308" t="s">
        <v>9</v>
      </c>
      <c r="F4260" s="309" t="s">
        <v>10</v>
      </c>
      <c r="G4260" s="310" t="s">
        <v>11</v>
      </c>
      <c r="K4260" s="300"/>
    </row>
    <row r="4261" ht="15" customHeight="1" spans="1:11">
      <c r="A4261" s="307" t="s">
        <v>12</v>
      </c>
      <c r="B4261" s="308">
        <f>IFERROR(VLOOKUP(K4257,'2026.01'!A:Y,14,0),0)</f>
        <v>24969</v>
      </c>
      <c r="C4261" s="308">
        <f>IFERROR(VLOOKUP(K4257,'2026.01'!A:Y,13,0),0)</f>
        <v>24890</v>
      </c>
      <c r="D4261" s="308">
        <f>IFERROR(VLOOKUP(K4257,'2026.01'!A:Y,15,0),0)</f>
        <v>79</v>
      </c>
      <c r="E4261" s="311">
        <f>IFERROR(VLOOKUP(K4257,'2026.01'!A:Y,18,0),0)</f>
        <v>0.8</v>
      </c>
      <c r="F4261" s="309">
        <f>IFERROR(VLOOKUP(K4257,'2026.01'!A:Y,20,0),0)</f>
        <v>63</v>
      </c>
      <c r="G4261" s="310"/>
      <c r="K4261" s="300"/>
    </row>
    <row r="4262" ht="15" customHeight="1" spans="1:11">
      <c r="A4262" s="307" t="s">
        <v>13</v>
      </c>
      <c r="B4262" s="308"/>
      <c r="C4262" s="308"/>
      <c r="D4262" s="308"/>
      <c r="E4262" s="311"/>
      <c r="F4262" s="309">
        <f>IFERROR(VLOOKUP(K4257,'2026.01'!A:Y,24,0),0)</f>
        <v>51</v>
      </c>
      <c r="G4262" s="310"/>
      <c r="K4262" s="300"/>
    </row>
    <row r="4263" ht="15" customHeight="1" spans="1:11">
      <c r="A4263" s="307" t="s">
        <v>14</v>
      </c>
      <c r="B4263" s="308"/>
      <c r="C4263" s="308"/>
      <c r="D4263" s="308"/>
      <c r="E4263" s="311"/>
      <c r="F4263" s="309">
        <f>IFERROR(VLOOKUP(K4257,'2026.01'!A:Y,12,0),0)</f>
        <v>160</v>
      </c>
      <c r="G4263" s="310"/>
      <c r="K4263" s="300"/>
    </row>
    <row r="4264" ht="21" customHeight="1" spans="1:11">
      <c r="A4264" s="307" t="s">
        <v>15</v>
      </c>
      <c r="B4264" s="308"/>
      <c r="C4264" s="308"/>
      <c r="D4264" s="308"/>
      <c r="E4264" s="311"/>
      <c r="F4264" s="309">
        <f>IFERROR(VLOOKUP(K4257,'2026.01'!A:Y,9,0),0)</f>
        <v>4500</v>
      </c>
      <c r="G4264" s="310"/>
      <c r="K4264" s="300"/>
    </row>
    <row r="4265" ht="19" customHeight="1" spans="1:11">
      <c r="A4265" s="307" t="s">
        <v>16</v>
      </c>
      <c r="B4265" s="308"/>
      <c r="C4265" s="308"/>
      <c r="D4265" s="308"/>
      <c r="E4265" s="308"/>
      <c r="F4265" s="309">
        <f>IFERROR(VLOOKUP(K4257,'2026.01'!A:Y,10,0),0)</f>
        <v>500</v>
      </c>
      <c r="G4265" s="310"/>
      <c r="K4265" s="300"/>
    </row>
    <row r="4266" ht="21" customHeight="1" spans="1:11">
      <c r="A4266" s="307" t="s">
        <v>17</v>
      </c>
      <c r="B4266" s="308"/>
      <c r="C4266" s="308"/>
      <c r="D4266" s="308"/>
      <c r="E4266" s="308"/>
      <c r="F4266" s="309">
        <f>IFERROR(VLOOKUP(K4257,'2026.01'!A:Y,19,0),0)</f>
        <v>55</v>
      </c>
      <c r="G4266" s="310"/>
      <c r="K4266" s="300"/>
    </row>
    <row r="4267" ht="17.15" customHeight="1" spans="1:11">
      <c r="A4267" s="307" t="s">
        <v>18</v>
      </c>
      <c r="B4267" s="308"/>
      <c r="C4267" s="308"/>
      <c r="D4267" s="308"/>
      <c r="E4267" s="308"/>
      <c r="F4267" s="309">
        <f>IFERROR(VLOOKUP(K4257,'2026.01'!A:Y,22,0),0)</f>
        <v>146</v>
      </c>
      <c r="G4267" s="310"/>
      <c r="K4267" s="300"/>
    </row>
    <row r="4268" ht="17.15" customHeight="1" spans="1:11">
      <c r="A4268" s="307" t="s">
        <v>19</v>
      </c>
      <c r="B4268" s="312"/>
      <c r="C4268" s="308"/>
      <c r="D4268" s="313"/>
      <c r="E4268" s="308"/>
      <c r="F4268" s="309">
        <f>IFERROR(VLOOKUP(K4257,'2026.01'!A:Y,25,0),0)</f>
        <v>5475</v>
      </c>
      <c r="G4268" s="310"/>
      <c r="K4268" s="300"/>
    </row>
    <row r="4269" ht="15" customHeight="1" spans="1:11">
      <c r="A4269" s="314" t="s">
        <v>20</v>
      </c>
      <c r="B4269" s="315">
        <f>IF(F4268&lt;0,"金额为负，无效",INT(F4268))</f>
        <v>5475</v>
      </c>
      <c r="C4269" s="315"/>
      <c r="D4269" s="315"/>
      <c r="E4269" s="316" t="s">
        <v>21</v>
      </c>
      <c r="F4269" s="317"/>
      <c r="G4269" s="318"/>
      <c r="K4269" s="300"/>
    </row>
    <row r="4270" ht="23" customHeight="1" spans="1:11">
      <c r="A4270" s="319"/>
      <c r="B4270" s="320"/>
      <c r="C4270" s="320"/>
      <c r="D4270" s="320"/>
      <c r="E4270" s="319"/>
      <c r="F4270" s="321"/>
      <c r="G4270" s="322"/>
      <c r="K4270" s="300"/>
    </row>
    <row r="4271" ht="27" customHeight="1" spans="1:11">
      <c r="A4271" s="298" t="s">
        <v>0</v>
      </c>
      <c r="B4271" s="298"/>
      <c r="C4271" s="298"/>
      <c r="D4271" s="298"/>
      <c r="E4271" s="298"/>
      <c r="F4271" s="298"/>
      <c r="G4271" s="298"/>
      <c r="H4271" s="299"/>
      <c r="I4271" s="299"/>
      <c r="J4271" s="299"/>
      <c r="K4271" s="300">
        <v>306</v>
      </c>
    </row>
    <row r="4272" ht="15" customHeight="1" spans="1:11">
      <c r="A4272" s="301" t="s">
        <v>1</v>
      </c>
      <c r="B4272" s="301"/>
      <c r="C4272" s="301"/>
      <c r="D4272" s="301"/>
      <c r="E4272" s="301"/>
      <c r="F4272" s="301"/>
      <c r="G4272" s="302" t="str">
        <f>IFERROR(VLOOKUP(K4271,'2026.01'!A:Y,2,0),0)</f>
        <v>NO:306</v>
      </c>
      <c r="K4272" s="300"/>
    </row>
    <row r="4273" ht="15" customHeight="1" spans="1:11">
      <c r="A4273" s="303" t="s">
        <v>2</v>
      </c>
      <c r="B4273" s="304">
        <f>IFERROR(VLOOKUP(K4271,'2026.01'!A:Y,6,0),0)</f>
        <v>5037</v>
      </c>
      <c r="C4273" s="304"/>
      <c r="D4273" s="305" t="s">
        <v>3</v>
      </c>
      <c r="E4273" s="305" t="str">
        <f>IFERROR(VLOOKUP(K4271,'2026.01'!A:Y,7,0),0)</f>
        <v>高艳红</v>
      </c>
      <c r="F4273" s="305"/>
      <c r="G4273" s="306" t="s">
        <v>4</v>
      </c>
      <c r="K4273" s="300"/>
    </row>
    <row r="4274" ht="15" customHeight="1" spans="1:11">
      <c r="A4274" s="307" t="s">
        <v>5</v>
      </c>
      <c r="B4274" s="308" t="s">
        <v>6</v>
      </c>
      <c r="C4274" s="308" t="s">
        <v>7</v>
      </c>
      <c r="D4274" s="308" t="s">
        <v>8</v>
      </c>
      <c r="E4274" s="308" t="s">
        <v>9</v>
      </c>
      <c r="F4274" s="309" t="s">
        <v>10</v>
      </c>
      <c r="G4274" s="310" t="s">
        <v>11</v>
      </c>
      <c r="K4274" s="300"/>
    </row>
    <row r="4275" ht="15" customHeight="1" spans="1:11">
      <c r="A4275" s="307" t="s">
        <v>12</v>
      </c>
      <c r="B4275" s="308">
        <f>IFERROR(VLOOKUP(K4271,'2026.01'!A:Y,14,0),0)</f>
        <v>26549</v>
      </c>
      <c r="C4275" s="308">
        <f>IFERROR(VLOOKUP(K4271,'2026.01'!A:Y,13,0),0)</f>
        <v>26460</v>
      </c>
      <c r="D4275" s="308">
        <f>IFERROR(VLOOKUP(K4271,'2026.01'!A:Y,15,0),0)</f>
        <v>89</v>
      </c>
      <c r="E4275" s="311">
        <f>IFERROR(VLOOKUP(K4271,'2026.01'!A:Y,18,0),0)</f>
        <v>0.8</v>
      </c>
      <c r="F4275" s="309">
        <f>IFERROR(VLOOKUP(K4271,'2026.01'!A:Y,20,0),0)</f>
        <v>71</v>
      </c>
      <c r="G4275" s="310"/>
      <c r="K4275" s="300"/>
    </row>
    <row r="4276" ht="15" customHeight="1" spans="1:11">
      <c r="A4276" s="307" t="s">
        <v>13</v>
      </c>
      <c r="B4276" s="308"/>
      <c r="C4276" s="308"/>
      <c r="D4276" s="308"/>
      <c r="E4276" s="311"/>
      <c r="F4276" s="309">
        <f>IFERROR(VLOOKUP(K4271,'2026.01'!A:Y,24,0),0)</f>
        <v>51</v>
      </c>
      <c r="G4276" s="310"/>
      <c r="K4276" s="300"/>
    </row>
    <row r="4277" ht="15" customHeight="1" spans="1:11">
      <c r="A4277" s="307" t="s">
        <v>14</v>
      </c>
      <c r="B4277" s="308"/>
      <c r="C4277" s="308"/>
      <c r="D4277" s="308"/>
      <c r="E4277" s="311"/>
      <c r="F4277" s="309">
        <f>IFERROR(VLOOKUP(K4271,'2026.01'!A:Y,12,0),0)</f>
        <v>160</v>
      </c>
      <c r="G4277" s="310"/>
      <c r="K4277" s="300"/>
    </row>
    <row r="4278" ht="21" customHeight="1" spans="1:11">
      <c r="A4278" s="307" t="s">
        <v>15</v>
      </c>
      <c r="B4278" s="308"/>
      <c r="C4278" s="308"/>
      <c r="D4278" s="308"/>
      <c r="E4278" s="311"/>
      <c r="F4278" s="309">
        <f>IFERROR(VLOOKUP(K4271,'2026.01'!A:Y,9,0),0)</f>
        <v>4500</v>
      </c>
      <c r="G4278" s="310"/>
      <c r="K4278" s="300"/>
    </row>
    <row r="4279" ht="19" customHeight="1" spans="1:11">
      <c r="A4279" s="307" t="s">
        <v>16</v>
      </c>
      <c r="B4279" s="308"/>
      <c r="C4279" s="308"/>
      <c r="D4279" s="308"/>
      <c r="E4279" s="308"/>
      <c r="F4279" s="309">
        <f>IFERROR(VLOOKUP(K4271,'2026.01'!A:Y,10,0),0)</f>
        <v>500</v>
      </c>
      <c r="G4279" s="310"/>
      <c r="K4279" s="300"/>
    </row>
    <row r="4280" ht="21" customHeight="1" spans="1:11">
      <c r="A4280" s="307" t="s">
        <v>17</v>
      </c>
      <c r="B4280" s="308"/>
      <c r="C4280" s="308"/>
      <c r="D4280" s="308"/>
      <c r="E4280" s="308"/>
      <c r="F4280" s="309">
        <f>IFERROR(VLOOKUP(K4271,'2026.01'!A:Y,19,0),0)</f>
        <v>62</v>
      </c>
      <c r="G4280" s="310"/>
      <c r="K4280" s="300"/>
    </row>
    <row r="4281" ht="17.15" customHeight="1" spans="1:11">
      <c r="A4281" s="307" t="s">
        <v>18</v>
      </c>
      <c r="B4281" s="308"/>
      <c r="C4281" s="308"/>
      <c r="D4281" s="308"/>
      <c r="E4281" s="308"/>
      <c r="F4281" s="309">
        <f>IFERROR(VLOOKUP(K4271,'2026.01'!A:Y,22,0),0)</f>
        <v>146</v>
      </c>
      <c r="G4281" s="310"/>
      <c r="K4281" s="300"/>
    </row>
    <row r="4282" ht="17.15" customHeight="1" spans="1:11">
      <c r="A4282" s="307" t="s">
        <v>19</v>
      </c>
      <c r="B4282" s="312"/>
      <c r="C4282" s="308"/>
      <c r="D4282" s="313"/>
      <c r="E4282" s="308"/>
      <c r="F4282" s="309">
        <f>IFERROR(VLOOKUP(K4271,'2026.01'!A:Y,25,0),0)</f>
        <v>5490</v>
      </c>
      <c r="G4282" s="310"/>
      <c r="K4282" s="300"/>
    </row>
    <row r="4283" ht="15" customHeight="1" spans="1:11">
      <c r="A4283" s="314" t="s">
        <v>20</v>
      </c>
      <c r="B4283" s="315">
        <f>IF(F4282&lt;0,"金额为负，无效",INT(F4282))</f>
        <v>5490</v>
      </c>
      <c r="C4283" s="315"/>
      <c r="D4283" s="315"/>
      <c r="E4283" s="316" t="s">
        <v>21</v>
      </c>
      <c r="F4283" s="317"/>
      <c r="G4283" s="318"/>
      <c r="K4283" s="300"/>
    </row>
    <row r="4284" ht="15" customHeight="1" spans="1:11">
      <c r="A4284" s="319"/>
      <c r="B4284" s="320"/>
      <c r="C4284" s="320"/>
      <c r="D4284" s="320"/>
      <c r="E4284" s="319"/>
      <c r="F4284" s="321"/>
      <c r="G4284" s="322"/>
      <c r="K4284" s="300"/>
    </row>
    <row r="4285" ht="27" customHeight="1" spans="1:11">
      <c r="A4285" s="298" t="s">
        <v>0</v>
      </c>
      <c r="B4285" s="298"/>
      <c r="C4285" s="298"/>
      <c r="D4285" s="298"/>
      <c r="E4285" s="298"/>
      <c r="F4285" s="298"/>
      <c r="G4285" s="298"/>
      <c r="H4285" s="299"/>
      <c r="I4285" s="299"/>
      <c r="J4285" s="299"/>
      <c r="K4285" s="300">
        <v>307</v>
      </c>
    </row>
    <row r="4286" ht="15" customHeight="1" spans="1:11">
      <c r="A4286" s="301" t="s">
        <v>1</v>
      </c>
      <c r="B4286" s="301"/>
      <c r="C4286" s="301"/>
      <c r="D4286" s="301"/>
      <c r="E4286" s="301"/>
      <c r="F4286" s="301"/>
      <c r="G4286" s="302" t="str">
        <f>IFERROR(VLOOKUP(K4285,'2026.01'!A:Y,2,0),0)</f>
        <v>NO:307</v>
      </c>
      <c r="K4286" s="300"/>
    </row>
    <row r="4287" ht="15" customHeight="1" spans="1:11">
      <c r="A4287" s="303" t="s">
        <v>2</v>
      </c>
      <c r="B4287" s="304">
        <f>IFERROR(VLOOKUP(K4285,'2026.01'!A:Y,6,0),0)</f>
        <v>5038</v>
      </c>
      <c r="C4287" s="304"/>
      <c r="D4287" s="305" t="s">
        <v>3</v>
      </c>
      <c r="E4287" s="305" t="str">
        <f>IFERROR(VLOOKUP(K4285,'2026.01'!A:Y,7,0),0)</f>
        <v>陈汉真</v>
      </c>
      <c r="F4287" s="305"/>
      <c r="G4287" s="306" t="s">
        <v>4</v>
      </c>
      <c r="K4287" s="300"/>
    </row>
    <row r="4288" ht="15" customHeight="1" spans="1:11">
      <c r="A4288" s="307" t="s">
        <v>5</v>
      </c>
      <c r="B4288" s="308" t="s">
        <v>6</v>
      </c>
      <c r="C4288" s="308" t="s">
        <v>7</v>
      </c>
      <c r="D4288" s="308" t="s">
        <v>8</v>
      </c>
      <c r="E4288" s="308" t="s">
        <v>9</v>
      </c>
      <c r="F4288" s="309" t="s">
        <v>10</v>
      </c>
      <c r="G4288" s="310" t="s">
        <v>11</v>
      </c>
      <c r="K4288" s="300"/>
    </row>
    <row r="4289" ht="15" customHeight="1" spans="1:11">
      <c r="A4289" s="307" t="s">
        <v>12</v>
      </c>
      <c r="B4289" s="308">
        <f>IFERROR(VLOOKUP(K4285,'2026.01'!A:Y,14,0),0)</f>
        <v>23863</v>
      </c>
      <c r="C4289" s="308">
        <f>IFERROR(VLOOKUP(K4285,'2026.01'!A:Y,13,0),0)</f>
        <v>23752</v>
      </c>
      <c r="D4289" s="308">
        <f>IFERROR(VLOOKUP(K4285,'2026.01'!A:Y,15,0),0)</f>
        <v>111</v>
      </c>
      <c r="E4289" s="311">
        <f>IFERROR(VLOOKUP(K4285,'2026.01'!A:Y,18,0),0)</f>
        <v>0.8</v>
      </c>
      <c r="F4289" s="309">
        <f>IFERROR(VLOOKUP(K4285,'2026.01'!A:Y,20,0),0)</f>
        <v>89</v>
      </c>
      <c r="G4289" s="310"/>
      <c r="K4289" s="300"/>
    </row>
    <row r="4290" ht="15" customHeight="1" spans="1:11">
      <c r="A4290" s="307" t="s">
        <v>13</v>
      </c>
      <c r="B4290" s="308"/>
      <c r="C4290" s="308"/>
      <c r="D4290" s="308"/>
      <c r="E4290" s="311"/>
      <c r="F4290" s="309">
        <f>IFERROR(VLOOKUP(K4285,'2026.01'!A:Y,24,0),0)</f>
        <v>51</v>
      </c>
      <c r="G4290" s="310"/>
      <c r="K4290" s="300"/>
    </row>
    <row r="4291" ht="15" customHeight="1" spans="1:11">
      <c r="A4291" s="307" t="s">
        <v>14</v>
      </c>
      <c r="B4291" s="308"/>
      <c r="C4291" s="308"/>
      <c r="D4291" s="308"/>
      <c r="E4291" s="311"/>
      <c r="F4291" s="309">
        <f>IFERROR(VLOOKUP(K4285,'2026.01'!A:Y,12,0),0)</f>
        <v>160</v>
      </c>
      <c r="G4291" s="310"/>
      <c r="K4291" s="300"/>
    </row>
    <row r="4292" ht="21" customHeight="1" spans="1:11">
      <c r="A4292" s="307" t="s">
        <v>15</v>
      </c>
      <c r="B4292" s="308"/>
      <c r="C4292" s="308"/>
      <c r="D4292" s="308"/>
      <c r="E4292" s="311"/>
      <c r="F4292" s="309">
        <f>IFERROR(VLOOKUP(K4285,'2026.01'!A:Y,9,0),0)</f>
        <v>4500</v>
      </c>
      <c r="G4292" s="310"/>
      <c r="K4292" s="300"/>
    </row>
    <row r="4293" ht="19" customHeight="1" spans="1:11">
      <c r="A4293" s="307" t="s">
        <v>16</v>
      </c>
      <c r="B4293" s="308"/>
      <c r="C4293" s="308"/>
      <c r="D4293" s="308"/>
      <c r="E4293" s="308"/>
      <c r="F4293" s="309">
        <f>IFERROR(VLOOKUP(K4285,'2026.01'!A:Y,10,0),0)</f>
        <v>500</v>
      </c>
      <c r="G4293" s="310"/>
      <c r="K4293" s="300"/>
    </row>
    <row r="4294" ht="21" customHeight="1" spans="1:11">
      <c r="A4294" s="307" t="s">
        <v>17</v>
      </c>
      <c r="B4294" s="308"/>
      <c r="C4294" s="308"/>
      <c r="D4294" s="308"/>
      <c r="E4294" s="308"/>
      <c r="F4294" s="309">
        <f>IFERROR(VLOOKUP(K4285,'2026.01'!A:Y,19,0),0)</f>
        <v>78</v>
      </c>
      <c r="G4294" s="310"/>
      <c r="K4294" s="300"/>
    </row>
    <row r="4295" ht="17.15" customHeight="1" spans="1:11">
      <c r="A4295" s="307" t="s">
        <v>18</v>
      </c>
      <c r="B4295" s="308"/>
      <c r="C4295" s="308"/>
      <c r="D4295" s="308"/>
      <c r="E4295" s="308"/>
      <c r="F4295" s="309">
        <f>IFERROR(VLOOKUP(K4285,'2026.01'!A:Y,22,0),0)</f>
        <v>146</v>
      </c>
      <c r="G4295" s="310"/>
      <c r="K4295" s="300"/>
    </row>
    <row r="4296" ht="17.15" customHeight="1" spans="1:11">
      <c r="A4296" s="307" t="s">
        <v>19</v>
      </c>
      <c r="B4296" s="312"/>
      <c r="C4296" s="308"/>
      <c r="D4296" s="313"/>
      <c r="E4296" s="308"/>
      <c r="F4296" s="309">
        <f>IFERROR(VLOOKUP(K4285,'2026.01'!A:Y,25,0),0)</f>
        <v>5524</v>
      </c>
      <c r="G4296" s="310"/>
      <c r="K4296" s="300"/>
    </row>
    <row r="4297" ht="15" customHeight="1" spans="1:11">
      <c r="A4297" s="314" t="s">
        <v>20</v>
      </c>
      <c r="B4297" s="315">
        <f>IF(F4296&lt;0,"金额为负，无效",INT(F4296))</f>
        <v>5524</v>
      </c>
      <c r="C4297" s="315"/>
      <c r="D4297" s="315"/>
      <c r="E4297" s="316" t="s">
        <v>21</v>
      </c>
      <c r="F4297" s="317"/>
      <c r="G4297" s="318"/>
      <c r="K4297" s="300"/>
    </row>
    <row r="4298" ht="23" customHeight="1" spans="1:11">
      <c r="A4298" s="319"/>
      <c r="B4298" s="320"/>
      <c r="C4298" s="320"/>
      <c r="D4298" s="320"/>
      <c r="E4298" s="319"/>
      <c r="F4298" s="321"/>
      <c r="G4298" s="322"/>
      <c r="K4298" s="300"/>
    </row>
    <row r="4299" ht="27" customHeight="1" spans="1:11">
      <c r="A4299" s="298" t="s">
        <v>0</v>
      </c>
      <c r="B4299" s="298"/>
      <c r="C4299" s="298"/>
      <c r="D4299" s="298"/>
      <c r="E4299" s="298"/>
      <c r="F4299" s="298"/>
      <c r="G4299" s="298"/>
      <c r="H4299" s="299"/>
      <c r="I4299" s="299"/>
      <c r="J4299" s="299"/>
      <c r="K4299" s="300">
        <v>308</v>
      </c>
    </row>
    <row r="4300" ht="15" customHeight="1" spans="1:11">
      <c r="A4300" s="301" t="s">
        <v>1</v>
      </c>
      <c r="B4300" s="301"/>
      <c r="C4300" s="301"/>
      <c r="D4300" s="301"/>
      <c r="E4300" s="301"/>
      <c r="F4300" s="301"/>
      <c r="G4300" s="302" t="str">
        <f>IFERROR(VLOOKUP(K4299,'2026.01'!A:Y,2,0),0)</f>
        <v>NO:308</v>
      </c>
      <c r="K4300" s="300"/>
    </row>
    <row r="4301" ht="15" customHeight="1" spans="1:11">
      <c r="A4301" s="303" t="s">
        <v>2</v>
      </c>
      <c r="B4301" s="304">
        <f>IFERROR(VLOOKUP(K4299,'2026.01'!A:Y,6,0),0)</f>
        <v>5039</v>
      </c>
      <c r="C4301" s="304"/>
      <c r="D4301" s="305" t="s">
        <v>3</v>
      </c>
      <c r="E4301" s="305" t="str">
        <f>IFERROR(VLOOKUP(K4299,'2026.01'!A:Y,7,0),0)</f>
        <v>王林波</v>
      </c>
      <c r="F4301" s="305"/>
      <c r="G4301" s="306" t="s">
        <v>4</v>
      </c>
      <c r="K4301" s="300"/>
    </row>
    <row r="4302" ht="15" customHeight="1" spans="1:11">
      <c r="A4302" s="307" t="s">
        <v>5</v>
      </c>
      <c r="B4302" s="308" t="s">
        <v>6</v>
      </c>
      <c r="C4302" s="308" t="s">
        <v>7</v>
      </c>
      <c r="D4302" s="308" t="s">
        <v>8</v>
      </c>
      <c r="E4302" s="308" t="s">
        <v>9</v>
      </c>
      <c r="F4302" s="309" t="s">
        <v>10</v>
      </c>
      <c r="G4302" s="310" t="s">
        <v>11</v>
      </c>
      <c r="K4302" s="300"/>
    </row>
    <row r="4303" ht="15" customHeight="1" spans="1:11">
      <c r="A4303" s="307" t="s">
        <v>12</v>
      </c>
      <c r="B4303" s="308">
        <f>IFERROR(VLOOKUP(K4299,'2026.01'!A:Y,14,0),0)</f>
        <v>23330</v>
      </c>
      <c r="C4303" s="308">
        <f>IFERROR(VLOOKUP(K4299,'2026.01'!A:Y,13,0),0)</f>
        <v>23278</v>
      </c>
      <c r="D4303" s="308">
        <f>IFERROR(VLOOKUP(K4299,'2026.01'!A:Y,15,0),0)</f>
        <v>52</v>
      </c>
      <c r="E4303" s="311">
        <f>IFERROR(VLOOKUP(K4299,'2026.01'!A:Y,18,0),0)</f>
        <v>0.8</v>
      </c>
      <c r="F4303" s="309">
        <f>IFERROR(VLOOKUP(K4299,'2026.01'!A:Y,20,0),0)</f>
        <v>42</v>
      </c>
      <c r="G4303" s="310"/>
      <c r="K4303" s="300"/>
    </row>
    <row r="4304" ht="15" customHeight="1" spans="1:11">
      <c r="A4304" s="307" t="s">
        <v>13</v>
      </c>
      <c r="B4304" s="308"/>
      <c r="C4304" s="308"/>
      <c r="D4304" s="308"/>
      <c r="E4304" s="311"/>
      <c r="F4304" s="309">
        <f>IFERROR(VLOOKUP(K4299,'2026.01'!A:Y,24,0),0)</f>
        <v>51</v>
      </c>
      <c r="G4304" s="310"/>
      <c r="K4304" s="300"/>
    </row>
    <row r="4305" ht="15" customHeight="1" spans="1:11">
      <c r="A4305" s="307" t="s">
        <v>14</v>
      </c>
      <c r="B4305" s="308"/>
      <c r="C4305" s="308"/>
      <c r="D4305" s="308"/>
      <c r="E4305" s="311"/>
      <c r="F4305" s="309">
        <f>IFERROR(VLOOKUP(K4299,'2026.01'!A:Y,12,0),0)</f>
        <v>160</v>
      </c>
      <c r="G4305" s="310"/>
      <c r="K4305" s="300"/>
    </row>
    <row r="4306" ht="21" customHeight="1" spans="1:11">
      <c r="A4306" s="307" t="s">
        <v>15</v>
      </c>
      <c r="B4306" s="308"/>
      <c r="C4306" s="308"/>
      <c r="D4306" s="308"/>
      <c r="E4306" s="311"/>
      <c r="F4306" s="309">
        <f>IFERROR(VLOOKUP(K4299,'2026.01'!A:Y,9,0),0)</f>
        <v>4500</v>
      </c>
      <c r="G4306" s="310"/>
      <c r="K4306" s="300"/>
    </row>
    <row r="4307" ht="19" customHeight="1" spans="1:11">
      <c r="A4307" s="307" t="s">
        <v>16</v>
      </c>
      <c r="B4307" s="308"/>
      <c r="C4307" s="308"/>
      <c r="D4307" s="308"/>
      <c r="E4307" s="308"/>
      <c r="F4307" s="309">
        <f>IFERROR(VLOOKUP(K4299,'2026.01'!A:Y,10,0),0)</f>
        <v>500</v>
      </c>
      <c r="G4307" s="310"/>
      <c r="K4307" s="300"/>
    </row>
    <row r="4308" ht="21" customHeight="1" spans="1:11">
      <c r="A4308" s="307" t="s">
        <v>17</v>
      </c>
      <c r="B4308" s="308"/>
      <c r="C4308" s="308"/>
      <c r="D4308" s="308"/>
      <c r="E4308" s="308"/>
      <c r="F4308" s="309">
        <f>IFERROR(VLOOKUP(K4299,'2026.01'!A:Y,19,0),0)</f>
        <v>36</v>
      </c>
      <c r="G4308" s="310"/>
      <c r="K4308" s="300"/>
    </row>
    <row r="4309" ht="17.15" customHeight="1" spans="1:11">
      <c r="A4309" s="307" t="s">
        <v>18</v>
      </c>
      <c r="B4309" s="308"/>
      <c r="C4309" s="308"/>
      <c r="D4309" s="308"/>
      <c r="E4309" s="308"/>
      <c r="F4309" s="309">
        <f>IFERROR(VLOOKUP(K4299,'2026.01'!A:Y,22,0),0)</f>
        <v>146</v>
      </c>
      <c r="G4309" s="310"/>
      <c r="K4309" s="300"/>
    </row>
    <row r="4310" ht="17.15" customHeight="1" spans="1:11">
      <c r="A4310" s="307" t="s">
        <v>19</v>
      </c>
      <c r="B4310" s="312"/>
      <c r="C4310" s="308"/>
      <c r="D4310" s="313"/>
      <c r="E4310" s="308"/>
      <c r="F4310" s="309">
        <f>IFERROR(VLOOKUP(K4299,'2026.01'!A:Y,25,0),0)</f>
        <v>5435</v>
      </c>
      <c r="G4310" s="310"/>
      <c r="K4310" s="300"/>
    </row>
    <row r="4311" ht="15" customHeight="1" spans="1:11">
      <c r="A4311" s="314" t="s">
        <v>20</v>
      </c>
      <c r="B4311" s="315">
        <f>IF(F4310&lt;0,"金额为负，无效",INT(F4310))</f>
        <v>5435</v>
      </c>
      <c r="C4311" s="315"/>
      <c r="D4311" s="315"/>
      <c r="E4311" s="316" t="s">
        <v>21</v>
      </c>
      <c r="F4311" s="317"/>
      <c r="G4311" s="318"/>
      <c r="K4311" s="300"/>
    </row>
    <row r="4312" ht="23" customHeight="1" spans="1:11">
      <c r="A4312" s="319"/>
      <c r="B4312" s="320"/>
      <c r="C4312" s="320"/>
      <c r="D4312" s="320"/>
      <c r="E4312" s="319"/>
      <c r="F4312" s="321"/>
      <c r="G4312" s="322"/>
      <c r="K4312" s="300"/>
    </row>
    <row r="4313" ht="27" customHeight="1" spans="1:11">
      <c r="A4313" s="298" t="s">
        <v>0</v>
      </c>
      <c r="B4313" s="298"/>
      <c r="C4313" s="298"/>
      <c r="D4313" s="298"/>
      <c r="E4313" s="298"/>
      <c r="F4313" s="298"/>
      <c r="G4313" s="298"/>
      <c r="H4313" s="299"/>
      <c r="I4313" s="299"/>
      <c r="J4313" s="299"/>
      <c r="K4313" s="300">
        <v>309</v>
      </c>
    </row>
    <row r="4314" ht="15" customHeight="1" spans="1:11">
      <c r="A4314" s="301" t="s">
        <v>1</v>
      </c>
      <c r="B4314" s="301"/>
      <c r="C4314" s="301"/>
      <c r="D4314" s="301"/>
      <c r="E4314" s="301"/>
      <c r="F4314" s="301"/>
      <c r="G4314" s="302" t="str">
        <f>IFERROR(VLOOKUP(K4313,'2026.01'!A:Y,2,0),0)</f>
        <v>NO:309</v>
      </c>
      <c r="K4314" s="300"/>
    </row>
    <row r="4315" ht="15" customHeight="1" spans="1:11">
      <c r="A4315" s="303" t="s">
        <v>2</v>
      </c>
      <c r="B4315" s="304">
        <f>IFERROR(VLOOKUP(K4313,'2026.01'!A:Y,6,0),0)</f>
        <v>5040</v>
      </c>
      <c r="C4315" s="304"/>
      <c r="D4315" s="305" t="s">
        <v>3</v>
      </c>
      <c r="E4315" s="305" t="str">
        <f>IFERROR(VLOOKUP(K4313,'2026.01'!A:Y,7,0),0)</f>
        <v>张璐</v>
      </c>
      <c r="F4315" s="305"/>
      <c r="G4315" s="306" t="s">
        <v>4</v>
      </c>
      <c r="K4315" s="300"/>
    </row>
    <row r="4316" ht="15" customHeight="1" spans="1:11">
      <c r="A4316" s="307" t="s">
        <v>5</v>
      </c>
      <c r="B4316" s="308" t="s">
        <v>6</v>
      </c>
      <c r="C4316" s="308" t="s">
        <v>7</v>
      </c>
      <c r="D4316" s="308" t="s">
        <v>8</v>
      </c>
      <c r="E4316" s="308" t="s">
        <v>9</v>
      </c>
      <c r="F4316" s="309" t="s">
        <v>10</v>
      </c>
      <c r="G4316" s="310" t="s">
        <v>11</v>
      </c>
      <c r="K4316" s="300"/>
    </row>
    <row r="4317" ht="15" customHeight="1" spans="1:11">
      <c r="A4317" s="307" t="s">
        <v>12</v>
      </c>
      <c r="B4317" s="308">
        <f>IFERROR(VLOOKUP(K4313,'2026.01'!A:Y,14,0),0)</f>
        <v>24204</v>
      </c>
      <c r="C4317" s="308">
        <f>IFERROR(VLOOKUP(K4313,'2026.01'!A:Y,13,0),0)</f>
        <v>24121</v>
      </c>
      <c r="D4317" s="308">
        <f>IFERROR(VLOOKUP(K4313,'2026.01'!A:Y,15,0),0)</f>
        <v>83</v>
      </c>
      <c r="E4317" s="311">
        <f>IFERROR(VLOOKUP(K4313,'2026.01'!A:Y,18,0),0)</f>
        <v>0.8</v>
      </c>
      <c r="F4317" s="309">
        <f>IFERROR(VLOOKUP(K4313,'2026.01'!A:Y,20,0),0)</f>
        <v>66</v>
      </c>
      <c r="G4317" s="310"/>
      <c r="K4317" s="300"/>
    </row>
    <row r="4318" ht="15" customHeight="1" spans="1:11">
      <c r="A4318" s="307" t="s">
        <v>13</v>
      </c>
      <c r="B4318" s="308"/>
      <c r="C4318" s="308"/>
      <c r="D4318" s="308"/>
      <c r="E4318" s="311"/>
      <c r="F4318" s="309">
        <f>IFERROR(VLOOKUP(K4313,'2026.01'!A:Y,24,0),0)</f>
        <v>51</v>
      </c>
      <c r="G4318" s="310"/>
      <c r="K4318" s="300"/>
    </row>
    <row r="4319" ht="15" customHeight="1" spans="1:11">
      <c r="A4319" s="307" t="s">
        <v>14</v>
      </c>
      <c r="B4319" s="308"/>
      <c r="C4319" s="308"/>
      <c r="D4319" s="308"/>
      <c r="E4319" s="311"/>
      <c r="F4319" s="309">
        <f>IFERROR(VLOOKUP(K4313,'2026.01'!A:Y,12,0),0)</f>
        <v>160</v>
      </c>
      <c r="G4319" s="310"/>
      <c r="K4319" s="300"/>
    </row>
    <row r="4320" ht="21" customHeight="1" spans="1:11">
      <c r="A4320" s="307" t="s">
        <v>15</v>
      </c>
      <c r="B4320" s="308"/>
      <c r="C4320" s="308"/>
      <c r="D4320" s="308"/>
      <c r="E4320" s="311"/>
      <c r="F4320" s="309">
        <f>IFERROR(VLOOKUP(K4313,'2026.01'!A:Y,9,0),0)</f>
        <v>4500</v>
      </c>
      <c r="G4320" s="310"/>
      <c r="K4320" s="300"/>
    </row>
    <row r="4321" ht="19" customHeight="1" spans="1:11">
      <c r="A4321" s="307" t="s">
        <v>16</v>
      </c>
      <c r="B4321" s="308"/>
      <c r="C4321" s="308"/>
      <c r="D4321" s="308"/>
      <c r="E4321" s="308"/>
      <c r="F4321" s="309">
        <f>IFERROR(VLOOKUP(K4313,'2026.01'!A:Y,10,0),0)</f>
        <v>500</v>
      </c>
      <c r="G4321" s="310"/>
      <c r="K4321" s="300"/>
    </row>
    <row r="4322" ht="21" customHeight="1" spans="1:11">
      <c r="A4322" s="307" t="s">
        <v>17</v>
      </c>
      <c r="B4322" s="308"/>
      <c r="C4322" s="308"/>
      <c r="D4322" s="308"/>
      <c r="E4322" s="308"/>
      <c r="F4322" s="309">
        <f>IFERROR(VLOOKUP(K4313,'2026.01'!A:Y,19,0),0)</f>
        <v>58</v>
      </c>
      <c r="G4322" s="310"/>
      <c r="K4322" s="300"/>
    </row>
    <row r="4323" ht="17.15" customHeight="1" spans="1:11">
      <c r="A4323" s="307" t="s">
        <v>18</v>
      </c>
      <c r="B4323" s="308"/>
      <c r="C4323" s="308"/>
      <c r="D4323" s="308"/>
      <c r="E4323" s="308"/>
      <c r="F4323" s="309">
        <f>IFERROR(VLOOKUP(K4313,'2026.01'!A:Y,22,0),0)</f>
        <v>146</v>
      </c>
      <c r="G4323" s="310"/>
      <c r="K4323" s="300"/>
    </row>
    <row r="4324" ht="17.15" customHeight="1" spans="1:11">
      <c r="A4324" s="307" t="s">
        <v>19</v>
      </c>
      <c r="B4324" s="312"/>
      <c r="C4324" s="308"/>
      <c r="D4324" s="313"/>
      <c r="E4324" s="308"/>
      <c r="F4324" s="309">
        <f>IFERROR(VLOOKUP(K4313,'2026.01'!A:Y,25,0),0)</f>
        <v>5481</v>
      </c>
      <c r="G4324" s="310"/>
      <c r="K4324" s="300"/>
    </row>
    <row r="4325" ht="15" customHeight="1" spans="1:11">
      <c r="A4325" s="314" t="s">
        <v>20</v>
      </c>
      <c r="B4325" s="315">
        <f>IF(F4324&lt;0,"金额为负，无效",INT(F4324))</f>
        <v>5481</v>
      </c>
      <c r="C4325" s="315"/>
      <c r="D4325" s="315"/>
      <c r="E4325" s="316" t="s">
        <v>21</v>
      </c>
      <c r="F4325" s="317"/>
      <c r="G4325" s="318"/>
      <c r="K4325" s="300"/>
    </row>
    <row r="4326" ht="15" customHeight="1" spans="1:11">
      <c r="A4326" s="319"/>
      <c r="B4326" s="320"/>
      <c r="C4326" s="320"/>
      <c r="D4326" s="320"/>
      <c r="E4326" s="319"/>
      <c r="F4326" s="321"/>
      <c r="G4326" s="322"/>
      <c r="K4326" s="300"/>
    </row>
    <row r="4327" ht="27" customHeight="1" spans="1:11">
      <c r="A4327" s="298" t="s">
        <v>0</v>
      </c>
      <c r="B4327" s="298"/>
      <c r="C4327" s="298"/>
      <c r="D4327" s="298"/>
      <c r="E4327" s="298"/>
      <c r="F4327" s="298"/>
      <c r="G4327" s="298"/>
      <c r="H4327" s="299"/>
      <c r="I4327" s="299"/>
      <c r="J4327" s="299"/>
      <c r="K4327" s="300">
        <v>310</v>
      </c>
    </row>
    <row r="4328" ht="15" customHeight="1" spans="1:11">
      <c r="A4328" s="301" t="s">
        <v>1</v>
      </c>
      <c r="B4328" s="301"/>
      <c r="C4328" s="301"/>
      <c r="D4328" s="301"/>
      <c r="E4328" s="301"/>
      <c r="F4328" s="301"/>
      <c r="G4328" s="302" t="str">
        <f>IFERROR(VLOOKUP(K4327,'2026.01'!A:Y,2,0),0)</f>
        <v>NO:310</v>
      </c>
      <c r="K4328" s="300"/>
    </row>
    <row r="4329" ht="15" customHeight="1" spans="1:11">
      <c r="A4329" s="303" t="s">
        <v>2</v>
      </c>
      <c r="B4329" s="304">
        <f>IFERROR(VLOOKUP(K4327,'2026.01'!A:Y,6,0),0)</f>
        <v>5041</v>
      </c>
      <c r="C4329" s="304"/>
      <c r="D4329" s="305" t="s">
        <v>3</v>
      </c>
      <c r="E4329" s="305" t="str">
        <f>IFERROR(VLOOKUP(K4327,'2026.01'!A:Y,7,0),0)</f>
        <v>黄会中</v>
      </c>
      <c r="F4329" s="305"/>
      <c r="G4329" s="306" t="s">
        <v>4</v>
      </c>
      <c r="K4329" s="300"/>
    </row>
    <row r="4330" ht="15" customHeight="1" spans="1:11">
      <c r="A4330" s="307" t="s">
        <v>5</v>
      </c>
      <c r="B4330" s="308" t="s">
        <v>6</v>
      </c>
      <c r="C4330" s="308" t="s">
        <v>7</v>
      </c>
      <c r="D4330" s="308" t="s">
        <v>8</v>
      </c>
      <c r="E4330" s="308" t="s">
        <v>9</v>
      </c>
      <c r="F4330" s="309" t="s">
        <v>10</v>
      </c>
      <c r="G4330" s="310" t="s">
        <v>11</v>
      </c>
      <c r="K4330" s="300"/>
    </row>
    <row r="4331" ht="15" customHeight="1" spans="1:11">
      <c r="A4331" s="307" t="s">
        <v>12</v>
      </c>
      <c r="B4331" s="308">
        <f>IFERROR(VLOOKUP(K4327,'2026.01'!A:Y,14,0),0)</f>
        <v>26298</v>
      </c>
      <c r="C4331" s="308">
        <f>IFERROR(VLOOKUP(K4327,'2026.01'!A:Y,13,0),0)</f>
        <v>26232</v>
      </c>
      <c r="D4331" s="308">
        <f>IFERROR(VLOOKUP(K4327,'2026.01'!A:Y,15,0),0)</f>
        <v>66</v>
      </c>
      <c r="E4331" s="311">
        <f>IFERROR(VLOOKUP(K4327,'2026.01'!A:Y,18,0),0)</f>
        <v>0.8</v>
      </c>
      <c r="F4331" s="309">
        <f>IFERROR(VLOOKUP(K4327,'2026.01'!A:Y,20,0),0)</f>
        <v>53</v>
      </c>
      <c r="G4331" s="310"/>
      <c r="K4331" s="300"/>
    </row>
    <row r="4332" ht="15" customHeight="1" spans="1:11">
      <c r="A4332" s="307" t="s">
        <v>13</v>
      </c>
      <c r="B4332" s="308"/>
      <c r="C4332" s="308"/>
      <c r="D4332" s="308"/>
      <c r="E4332" s="311"/>
      <c r="F4332" s="309">
        <f>IFERROR(VLOOKUP(K4327,'2026.01'!A:Y,24,0),0)</f>
        <v>51</v>
      </c>
      <c r="G4332" s="310"/>
      <c r="K4332" s="300"/>
    </row>
    <row r="4333" ht="15" customHeight="1" spans="1:11">
      <c r="A4333" s="307" t="s">
        <v>14</v>
      </c>
      <c r="B4333" s="308"/>
      <c r="C4333" s="308"/>
      <c r="D4333" s="308"/>
      <c r="E4333" s="311"/>
      <c r="F4333" s="309">
        <f>IFERROR(VLOOKUP(K4327,'2026.01'!A:Y,12,0),0)</f>
        <v>160</v>
      </c>
      <c r="G4333" s="310"/>
      <c r="K4333" s="300"/>
    </row>
    <row r="4334" ht="21" customHeight="1" spans="1:11">
      <c r="A4334" s="307" t="s">
        <v>15</v>
      </c>
      <c r="B4334" s="308"/>
      <c r="C4334" s="308"/>
      <c r="D4334" s="308"/>
      <c r="E4334" s="311"/>
      <c r="F4334" s="309">
        <f>IFERROR(VLOOKUP(K4327,'2026.01'!A:Y,9,0),0)</f>
        <v>4500</v>
      </c>
      <c r="G4334" s="310"/>
      <c r="K4334" s="300"/>
    </row>
    <row r="4335" ht="19" customHeight="1" spans="1:11">
      <c r="A4335" s="307" t="s">
        <v>16</v>
      </c>
      <c r="B4335" s="308"/>
      <c r="C4335" s="308"/>
      <c r="D4335" s="308"/>
      <c r="E4335" s="308"/>
      <c r="F4335" s="309">
        <f>IFERROR(VLOOKUP(K4327,'2026.01'!A:Y,10,0),0)</f>
        <v>500</v>
      </c>
      <c r="G4335" s="310"/>
      <c r="K4335" s="300"/>
    </row>
    <row r="4336" ht="21" customHeight="1" spans="1:11">
      <c r="A4336" s="307" t="s">
        <v>17</v>
      </c>
      <c r="B4336" s="308"/>
      <c r="C4336" s="308"/>
      <c r="D4336" s="308"/>
      <c r="E4336" s="308"/>
      <c r="F4336" s="309">
        <f>IFERROR(VLOOKUP(K4327,'2026.01'!A:Y,19,0),0)</f>
        <v>46</v>
      </c>
      <c r="G4336" s="310"/>
      <c r="K4336" s="300"/>
    </row>
    <row r="4337" ht="17.15" customHeight="1" spans="1:11">
      <c r="A4337" s="307" t="s">
        <v>18</v>
      </c>
      <c r="B4337" s="308"/>
      <c r="C4337" s="308"/>
      <c r="D4337" s="308"/>
      <c r="E4337" s="308"/>
      <c r="F4337" s="309">
        <f>IFERROR(VLOOKUP(K4327,'2026.01'!A:Y,22,0),0)</f>
        <v>146</v>
      </c>
      <c r="G4337" s="310"/>
      <c r="K4337" s="300"/>
    </row>
    <row r="4338" ht="17.15" customHeight="1" spans="1:11">
      <c r="A4338" s="307" t="s">
        <v>19</v>
      </c>
      <c r="B4338" s="312"/>
      <c r="C4338" s="308"/>
      <c r="D4338" s="313"/>
      <c r="E4338" s="308"/>
      <c r="F4338" s="309">
        <f>IFERROR(VLOOKUP(K4327,'2026.01'!A:Y,25,0),0)</f>
        <v>5456</v>
      </c>
      <c r="G4338" s="310"/>
      <c r="K4338" s="300"/>
    </row>
    <row r="4339" ht="15" customHeight="1" spans="1:11">
      <c r="A4339" s="314" t="s">
        <v>20</v>
      </c>
      <c r="B4339" s="315">
        <f>IF(F4338&lt;0,"金额为负，无效",INT(F4338))</f>
        <v>5456</v>
      </c>
      <c r="C4339" s="315"/>
      <c r="D4339" s="315"/>
      <c r="E4339" s="316" t="s">
        <v>21</v>
      </c>
      <c r="F4339" s="317"/>
      <c r="G4339" s="318"/>
      <c r="K4339" s="300"/>
    </row>
    <row r="4340" ht="23" customHeight="1" spans="1:11">
      <c r="A4340" s="319"/>
      <c r="B4340" s="320"/>
      <c r="C4340" s="320"/>
      <c r="D4340" s="320"/>
      <c r="E4340" s="319"/>
      <c r="F4340" s="321"/>
      <c r="G4340" s="322"/>
      <c r="K4340" s="300"/>
    </row>
    <row r="4341" ht="27" customHeight="1" spans="1:11">
      <c r="A4341" s="298" t="s">
        <v>0</v>
      </c>
      <c r="B4341" s="298"/>
      <c r="C4341" s="298"/>
      <c r="D4341" s="298"/>
      <c r="E4341" s="298"/>
      <c r="F4341" s="298"/>
      <c r="G4341" s="298"/>
      <c r="H4341" s="299"/>
      <c r="I4341" s="299"/>
      <c r="J4341" s="299"/>
      <c r="K4341" s="300">
        <v>311</v>
      </c>
    </row>
    <row r="4342" ht="15" customHeight="1" spans="1:11">
      <c r="A4342" s="301" t="s">
        <v>1</v>
      </c>
      <c r="B4342" s="301"/>
      <c r="C4342" s="301"/>
      <c r="D4342" s="301"/>
      <c r="E4342" s="301"/>
      <c r="F4342" s="301"/>
      <c r="G4342" s="302" t="str">
        <f>IFERROR(VLOOKUP(K4341,'2026.01'!A:Y,2,0),0)</f>
        <v>NO:311</v>
      </c>
      <c r="K4342" s="300"/>
    </row>
    <row r="4343" ht="15" customHeight="1" spans="1:11">
      <c r="A4343" s="303" t="s">
        <v>2</v>
      </c>
      <c r="B4343" s="304">
        <f>IFERROR(VLOOKUP(K4341,'2026.01'!A:Y,6,0),0)</f>
        <v>5042</v>
      </c>
      <c r="C4343" s="304"/>
      <c r="D4343" s="305" t="s">
        <v>3</v>
      </c>
      <c r="E4343" s="305" t="str">
        <f>IFERROR(VLOOKUP(K4341,'2026.01'!A:Y,7,0),0)</f>
        <v>黄廉颖</v>
      </c>
      <c r="F4343" s="305"/>
      <c r="G4343" s="306" t="s">
        <v>4</v>
      </c>
      <c r="K4343" s="300"/>
    </row>
    <row r="4344" ht="15" customHeight="1" spans="1:11">
      <c r="A4344" s="307" t="s">
        <v>5</v>
      </c>
      <c r="B4344" s="308" t="s">
        <v>6</v>
      </c>
      <c r="C4344" s="308" t="s">
        <v>7</v>
      </c>
      <c r="D4344" s="308" t="s">
        <v>8</v>
      </c>
      <c r="E4344" s="308" t="s">
        <v>9</v>
      </c>
      <c r="F4344" s="309" t="s">
        <v>10</v>
      </c>
      <c r="G4344" s="310" t="s">
        <v>11</v>
      </c>
      <c r="K4344" s="300"/>
    </row>
    <row r="4345" ht="15" customHeight="1" spans="1:11">
      <c r="A4345" s="307" t="s">
        <v>12</v>
      </c>
      <c r="B4345" s="308">
        <f>IFERROR(VLOOKUP(K4341,'2026.01'!A:Y,14,0),0)</f>
        <v>29988</v>
      </c>
      <c r="C4345" s="308">
        <f>IFERROR(VLOOKUP(K4341,'2026.01'!A:Y,13,0),0)</f>
        <v>29926</v>
      </c>
      <c r="D4345" s="308">
        <f>IFERROR(VLOOKUP(K4341,'2026.01'!A:Y,15,0),0)</f>
        <v>62</v>
      </c>
      <c r="E4345" s="311">
        <f>IFERROR(VLOOKUP(K4341,'2026.01'!A:Y,18,0),0)</f>
        <v>0.8</v>
      </c>
      <c r="F4345" s="309">
        <f>IFERROR(VLOOKUP(K4341,'2026.01'!A:Y,20,0),0)</f>
        <v>50</v>
      </c>
      <c r="G4345" s="310"/>
      <c r="K4345" s="300"/>
    </row>
    <row r="4346" ht="15" customHeight="1" spans="1:11">
      <c r="A4346" s="307" t="s">
        <v>13</v>
      </c>
      <c r="B4346" s="308"/>
      <c r="C4346" s="308"/>
      <c r="D4346" s="308"/>
      <c r="E4346" s="311"/>
      <c r="F4346" s="309">
        <f>IFERROR(VLOOKUP(K4341,'2026.01'!A:Y,24,0),0)</f>
        <v>51</v>
      </c>
      <c r="G4346" s="310"/>
      <c r="K4346" s="300"/>
    </row>
    <row r="4347" ht="15" customHeight="1" spans="1:11">
      <c r="A4347" s="307" t="s">
        <v>14</v>
      </c>
      <c r="B4347" s="308"/>
      <c r="C4347" s="308"/>
      <c r="D4347" s="308"/>
      <c r="E4347" s="311"/>
      <c r="F4347" s="309">
        <f>IFERROR(VLOOKUP(K4341,'2026.01'!A:Y,12,0),0)</f>
        <v>160</v>
      </c>
      <c r="G4347" s="310"/>
      <c r="K4347" s="300"/>
    </row>
    <row r="4348" ht="21" customHeight="1" spans="1:11">
      <c r="A4348" s="307" t="s">
        <v>15</v>
      </c>
      <c r="B4348" s="308"/>
      <c r="C4348" s="308"/>
      <c r="D4348" s="308"/>
      <c r="E4348" s="311"/>
      <c r="F4348" s="309">
        <f>IFERROR(VLOOKUP(K4341,'2026.01'!A:Y,9,0),0)</f>
        <v>4500</v>
      </c>
      <c r="G4348" s="310"/>
      <c r="K4348" s="300"/>
    </row>
    <row r="4349" ht="19" customHeight="1" spans="1:11">
      <c r="A4349" s="307" t="s">
        <v>16</v>
      </c>
      <c r="B4349" s="308"/>
      <c r="C4349" s="308"/>
      <c r="D4349" s="308"/>
      <c r="E4349" s="308"/>
      <c r="F4349" s="309">
        <f>IFERROR(VLOOKUP(K4341,'2026.01'!A:Y,10,0),0)</f>
        <v>500</v>
      </c>
      <c r="G4349" s="310"/>
      <c r="K4349" s="300"/>
    </row>
    <row r="4350" ht="21" customHeight="1" spans="1:11">
      <c r="A4350" s="307" t="s">
        <v>17</v>
      </c>
      <c r="B4350" s="308"/>
      <c r="C4350" s="308"/>
      <c r="D4350" s="308"/>
      <c r="E4350" s="308"/>
      <c r="F4350" s="309">
        <f>IFERROR(VLOOKUP(K4341,'2026.01'!A:Y,19,0),0)</f>
        <v>43</v>
      </c>
      <c r="G4350" s="310"/>
      <c r="K4350" s="300"/>
    </row>
    <row r="4351" ht="17.15" customHeight="1" spans="1:11">
      <c r="A4351" s="307" t="s">
        <v>18</v>
      </c>
      <c r="B4351" s="308"/>
      <c r="C4351" s="308"/>
      <c r="D4351" s="308"/>
      <c r="E4351" s="308"/>
      <c r="F4351" s="309">
        <f>IFERROR(VLOOKUP(K4341,'2026.01'!A:Y,22,0),0)</f>
        <v>146</v>
      </c>
      <c r="G4351" s="310"/>
      <c r="K4351" s="300"/>
    </row>
    <row r="4352" ht="17.15" customHeight="1" spans="1:11">
      <c r="A4352" s="307" t="s">
        <v>19</v>
      </c>
      <c r="B4352" s="312"/>
      <c r="C4352" s="308"/>
      <c r="D4352" s="313"/>
      <c r="E4352" s="308"/>
      <c r="F4352" s="309">
        <f>IFERROR(VLOOKUP(K4341,'2026.01'!A:Y,25,0),0)</f>
        <v>5450</v>
      </c>
      <c r="G4352" s="310"/>
      <c r="K4352" s="300"/>
    </row>
    <row r="4353" ht="15" customHeight="1" spans="1:11">
      <c r="A4353" s="314" t="s">
        <v>20</v>
      </c>
      <c r="B4353" s="315">
        <f>IF(F4352&lt;0,"金额为负，无效",INT(F4352))</f>
        <v>5450</v>
      </c>
      <c r="C4353" s="315"/>
      <c r="D4353" s="315"/>
      <c r="E4353" s="316" t="s">
        <v>21</v>
      </c>
      <c r="F4353" s="317"/>
      <c r="G4353" s="318"/>
      <c r="K4353" s="300"/>
    </row>
    <row r="4354" ht="23" customHeight="1" spans="1:11">
      <c r="A4354" s="319"/>
      <c r="B4354" s="320"/>
      <c r="C4354" s="320"/>
      <c r="D4354" s="320"/>
      <c r="E4354" s="319"/>
      <c r="F4354" s="321"/>
      <c r="G4354" s="322"/>
      <c r="K4354" s="300"/>
    </row>
    <row r="4355" ht="27" customHeight="1" spans="1:11">
      <c r="A4355" s="298" t="s">
        <v>0</v>
      </c>
      <c r="B4355" s="298"/>
      <c r="C4355" s="298"/>
      <c r="D4355" s="298"/>
      <c r="E4355" s="298"/>
      <c r="F4355" s="298"/>
      <c r="G4355" s="298"/>
      <c r="H4355" s="299"/>
      <c r="I4355" s="299"/>
      <c r="J4355" s="299"/>
      <c r="K4355" s="300">
        <v>312</v>
      </c>
    </row>
    <row r="4356" ht="15" customHeight="1" spans="1:11">
      <c r="A4356" s="301" t="s">
        <v>1</v>
      </c>
      <c r="B4356" s="301"/>
      <c r="C4356" s="301"/>
      <c r="D4356" s="301"/>
      <c r="E4356" s="301"/>
      <c r="F4356" s="301"/>
      <c r="G4356" s="302" t="str">
        <f>IFERROR(VLOOKUP(K4355,'2026.01'!A:Y,2,0),0)</f>
        <v>NO:312</v>
      </c>
      <c r="K4356" s="300"/>
    </row>
    <row r="4357" ht="15" customHeight="1" spans="1:11">
      <c r="A4357" s="303" t="s">
        <v>2</v>
      </c>
      <c r="B4357" s="304">
        <f>IFERROR(VLOOKUP(K4355,'2026.01'!A:Y,6,0),0)</f>
        <v>5043</v>
      </c>
      <c r="C4357" s="304"/>
      <c r="D4357" s="305" t="s">
        <v>3</v>
      </c>
      <c r="E4357" s="305" t="str">
        <f>IFERROR(VLOOKUP(K4355,'2026.01'!A:Y,7,0),0)</f>
        <v>尹里云</v>
      </c>
      <c r="F4357" s="305"/>
      <c r="G4357" s="306" t="s">
        <v>4</v>
      </c>
      <c r="K4357" s="300"/>
    </row>
    <row r="4358" ht="15" customHeight="1" spans="1:11">
      <c r="A4358" s="307" t="s">
        <v>5</v>
      </c>
      <c r="B4358" s="308" t="s">
        <v>6</v>
      </c>
      <c r="C4358" s="308" t="s">
        <v>7</v>
      </c>
      <c r="D4358" s="308" t="s">
        <v>8</v>
      </c>
      <c r="E4358" s="308" t="s">
        <v>9</v>
      </c>
      <c r="F4358" s="309" t="s">
        <v>10</v>
      </c>
      <c r="G4358" s="310" t="s">
        <v>11</v>
      </c>
      <c r="K4358" s="300"/>
    </row>
    <row r="4359" ht="15" customHeight="1" spans="1:11">
      <c r="A4359" s="307" t="s">
        <v>12</v>
      </c>
      <c r="B4359" s="308">
        <f>IFERROR(VLOOKUP(K4355,'2026.01'!A:Y,14,0),0)</f>
        <v>32882</v>
      </c>
      <c r="C4359" s="308">
        <f>IFERROR(VLOOKUP(K4355,'2026.01'!A:Y,13,0),0)</f>
        <v>32848</v>
      </c>
      <c r="D4359" s="308">
        <f>IFERROR(VLOOKUP(K4355,'2026.01'!A:Y,15,0),0)</f>
        <v>34</v>
      </c>
      <c r="E4359" s="311">
        <f>IFERROR(VLOOKUP(K4355,'2026.01'!A:Y,18,0),0)</f>
        <v>0.8</v>
      </c>
      <c r="F4359" s="309">
        <f>IFERROR(VLOOKUP(K4355,'2026.01'!A:Y,20,0),0)</f>
        <v>27</v>
      </c>
      <c r="G4359" s="310"/>
      <c r="K4359" s="300"/>
    </row>
    <row r="4360" ht="15" customHeight="1" spans="1:11">
      <c r="A4360" s="307" t="s">
        <v>13</v>
      </c>
      <c r="B4360" s="308"/>
      <c r="C4360" s="308"/>
      <c r="D4360" s="308"/>
      <c r="E4360" s="311"/>
      <c r="F4360" s="309">
        <f>IFERROR(VLOOKUP(K4355,'2026.01'!A:Y,24,0),0)</f>
        <v>51</v>
      </c>
      <c r="G4360" s="310"/>
      <c r="K4360" s="300"/>
    </row>
    <row r="4361" ht="15" customHeight="1" spans="1:11">
      <c r="A4361" s="307" t="s">
        <v>14</v>
      </c>
      <c r="B4361" s="308"/>
      <c r="C4361" s="308"/>
      <c r="D4361" s="308"/>
      <c r="E4361" s="311"/>
      <c r="F4361" s="309">
        <f>IFERROR(VLOOKUP(K4355,'2026.01'!A:Y,12,0),0)</f>
        <v>160</v>
      </c>
      <c r="G4361" s="310"/>
      <c r="K4361" s="300"/>
    </row>
    <row r="4362" ht="21" customHeight="1" spans="1:11">
      <c r="A4362" s="307" t="s">
        <v>15</v>
      </c>
      <c r="B4362" s="308"/>
      <c r="C4362" s="308"/>
      <c r="D4362" s="308"/>
      <c r="E4362" s="311"/>
      <c r="F4362" s="309">
        <f>IFERROR(VLOOKUP(K4355,'2026.01'!A:Y,9,0),0)</f>
        <v>4500</v>
      </c>
      <c r="G4362" s="310"/>
      <c r="K4362" s="300"/>
    </row>
    <row r="4363" ht="19" customHeight="1" spans="1:11">
      <c r="A4363" s="307" t="s">
        <v>16</v>
      </c>
      <c r="B4363" s="308"/>
      <c r="C4363" s="308"/>
      <c r="D4363" s="308"/>
      <c r="E4363" s="308"/>
      <c r="F4363" s="309">
        <f>IFERROR(VLOOKUP(K4355,'2026.01'!A:Y,10,0),0)</f>
        <v>500</v>
      </c>
      <c r="G4363" s="310"/>
      <c r="K4363" s="300"/>
    </row>
    <row r="4364" ht="21" customHeight="1" spans="1:11">
      <c r="A4364" s="307" t="s">
        <v>17</v>
      </c>
      <c r="B4364" s="308"/>
      <c r="C4364" s="308"/>
      <c r="D4364" s="308"/>
      <c r="E4364" s="308"/>
      <c r="F4364" s="309">
        <f>IFERROR(VLOOKUP(K4355,'2026.01'!A:Y,19,0),0)</f>
        <v>24</v>
      </c>
      <c r="G4364" s="310"/>
      <c r="K4364" s="300"/>
    </row>
    <row r="4365" ht="17.15" customHeight="1" spans="1:11">
      <c r="A4365" s="307" t="s">
        <v>18</v>
      </c>
      <c r="B4365" s="308"/>
      <c r="C4365" s="308"/>
      <c r="D4365" s="308"/>
      <c r="E4365" s="308"/>
      <c r="F4365" s="309">
        <f>IFERROR(VLOOKUP(K4355,'2026.01'!A:Y,22,0),0)</f>
        <v>146</v>
      </c>
      <c r="G4365" s="310"/>
      <c r="K4365" s="300"/>
    </row>
    <row r="4366" ht="17.15" customHeight="1" spans="1:11">
      <c r="A4366" s="307" t="s">
        <v>19</v>
      </c>
      <c r="B4366" s="312"/>
      <c r="C4366" s="308"/>
      <c r="D4366" s="313"/>
      <c r="E4366" s="308"/>
      <c r="F4366" s="309">
        <f>IFERROR(VLOOKUP(K4355,'2026.01'!A:Y,25,0),0)</f>
        <v>5408</v>
      </c>
      <c r="G4366" s="310"/>
      <c r="K4366" s="300"/>
    </row>
    <row r="4367" ht="15" customHeight="1" spans="1:11">
      <c r="A4367" s="314" t="s">
        <v>20</v>
      </c>
      <c r="B4367" s="315">
        <f>IF(F4366&lt;0,"金额为负，无效",INT(F4366))</f>
        <v>5408</v>
      </c>
      <c r="C4367" s="315"/>
      <c r="D4367" s="315"/>
      <c r="E4367" s="316" t="s">
        <v>21</v>
      </c>
      <c r="F4367" s="317"/>
      <c r="G4367" s="318"/>
      <c r="K4367" s="300"/>
    </row>
    <row r="4368" ht="15" customHeight="1" spans="1:11">
      <c r="A4368" s="319"/>
      <c r="B4368" s="320"/>
      <c r="C4368" s="320"/>
      <c r="D4368" s="320"/>
      <c r="E4368" s="319"/>
      <c r="F4368" s="321"/>
      <c r="G4368" s="322"/>
      <c r="K4368" s="300"/>
    </row>
    <row r="4369" ht="27" customHeight="1" spans="1:11">
      <c r="A4369" s="298" t="s">
        <v>0</v>
      </c>
      <c r="B4369" s="298"/>
      <c r="C4369" s="298"/>
      <c r="D4369" s="298"/>
      <c r="E4369" s="298"/>
      <c r="F4369" s="298"/>
      <c r="G4369" s="298"/>
      <c r="H4369" s="299"/>
      <c r="I4369" s="299"/>
      <c r="J4369" s="299"/>
      <c r="K4369" s="300">
        <v>313</v>
      </c>
    </row>
    <row r="4370" ht="15" customHeight="1" spans="1:11">
      <c r="A4370" s="301" t="s">
        <v>1</v>
      </c>
      <c r="B4370" s="301"/>
      <c r="C4370" s="301"/>
      <c r="D4370" s="301"/>
      <c r="E4370" s="301"/>
      <c r="F4370" s="301"/>
      <c r="G4370" s="302" t="str">
        <f>IFERROR(VLOOKUP(K4369,'2026.01'!A:Y,2,0),0)</f>
        <v>NO:312</v>
      </c>
      <c r="K4370" s="300"/>
    </row>
    <row r="4371" ht="15" customHeight="1" spans="1:11">
      <c r="A4371" s="303" t="s">
        <v>2</v>
      </c>
      <c r="B4371" s="304" t="str">
        <f>IFERROR(VLOOKUP(K4369,'2026.01'!A:Y,6,0),0)</f>
        <v>5043A</v>
      </c>
      <c r="C4371" s="304"/>
      <c r="D4371" s="305" t="s">
        <v>3</v>
      </c>
      <c r="E4371" s="305" t="str">
        <f>IFERROR(VLOOKUP(K4369,'2026.01'!A:Y,7,0),0)</f>
        <v>刘建池</v>
      </c>
      <c r="F4371" s="305"/>
      <c r="G4371" s="306" t="s">
        <v>4</v>
      </c>
      <c r="K4371" s="300"/>
    </row>
    <row r="4372" ht="15" customHeight="1" spans="1:11">
      <c r="A4372" s="307" t="s">
        <v>5</v>
      </c>
      <c r="B4372" s="308" t="s">
        <v>6</v>
      </c>
      <c r="C4372" s="308" t="s">
        <v>7</v>
      </c>
      <c r="D4372" s="308" t="s">
        <v>8</v>
      </c>
      <c r="E4372" s="308" t="s">
        <v>9</v>
      </c>
      <c r="F4372" s="309" t="s">
        <v>10</v>
      </c>
      <c r="G4372" s="310" t="s">
        <v>11</v>
      </c>
      <c r="K4372" s="300"/>
    </row>
    <row r="4373" ht="15" customHeight="1" spans="1:11">
      <c r="A4373" s="307" t="s">
        <v>12</v>
      </c>
      <c r="B4373" s="308">
        <f>IFERROR(VLOOKUP(K4369,'2026.01'!A:Y,14,0),0)</f>
        <v>25161</v>
      </c>
      <c r="C4373" s="308">
        <f>IFERROR(VLOOKUP(K4369,'2026.01'!A:Y,13,0),0)</f>
        <v>25028</v>
      </c>
      <c r="D4373" s="308">
        <f>IFERROR(VLOOKUP(K4369,'2026.01'!A:Y,15,0),0)</f>
        <v>133</v>
      </c>
      <c r="E4373" s="311">
        <f>IFERROR(VLOOKUP(K4369,'2026.01'!A:Y,18,0),0)</f>
        <v>0.8</v>
      </c>
      <c r="F4373" s="309">
        <f>IFERROR(VLOOKUP(K4369,'2026.01'!A:Y,20,0),0)</f>
        <v>106</v>
      </c>
      <c r="G4373" s="310"/>
      <c r="K4373" s="300"/>
    </row>
    <row r="4374" ht="15" customHeight="1" spans="1:11">
      <c r="A4374" s="307" t="s">
        <v>13</v>
      </c>
      <c r="B4374" s="308"/>
      <c r="C4374" s="308"/>
      <c r="D4374" s="308"/>
      <c r="E4374" s="311"/>
      <c r="F4374" s="309">
        <f>IFERROR(VLOOKUP(K4369,'2026.01'!A:Y,24,0),0)</f>
        <v>51</v>
      </c>
      <c r="G4374" s="310"/>
      <c r="K4374" s="300"/>
    </row>
    <row r="4375" ht="15" customHeight="1" spans="1:11">
      <c r="A4375" s="307" t="s">
        <v>14</v>
      </c>
      <c r="B4375" s="308"/>
      <c r="C4375" s="308"/>
      <c r="D4375" s="308"/>
      <c r="E4375" s="311"/>
      <c r="F4375" s="309">
        <f>IFERROR(VLOOKUP(K4369,'2026.01'!A:Y,12,0),0)</f>
        <v>160</v>
      </c>
      <c r="G4375" s="310"/>
      <c r="K4375" s="300"/>
    </row>
    <row r="4376" ht="21" customHeight="1" spans="1:11">
      <c r="A4376" s="307" t="s">
        <v>15</v>
      </c>
      <c r="B4376" s="308"/>
      <c r="C4376" s="308"/>
      <c r="D4376" s="308"/>
      <c r="E4376" s="311"/>
      <c r="F4376" s="309">
        <f>IFERROR(VLOOKUP(K4369,'2026.01'!A:Y,9,0),0)</f>
        <v>4500</v>
      </c>
      <c r="G4376" s="310"/>
      <c r="K4376" s="300"/>
    </row>
    <row r="4377" ht="19" customHeight="1" spans="1:11">
      <c r="A4377" s="307" t="s">
        <v>16</v>
      </c>
      <c r="B4377" s="308"/>
      <c r="C4377" s="308"/>
      <c r="D4377" s="308"/>
      <c r="E4377" s="308"/>
      <c r="F4377" s="309">
        <f>IFERROR(VLOOKUP(K4369,'2026.01'!A:Y,10,0),0)</f>
        <v>500</v>
      </c>
      <c r="G4377" s="310"/>
      <c r="K4377" s="300"/>
    </row>
    <row r="4378" ht="21" customHeight="1" spans="1:11">
      <c r="A4378" s="307" t="s">
        <v>17</v>
      </c>
      <c r="B4378" s="308"/>
      <c r="C4378" s="308"/>
      <c r="D4378" s="308"/>
      <c r="E4378" s="308"/>
      <c r="F4378" s="309">
        <f>IFERROR(VLOOKUP(K4369,'2026.01'!A:Y,19,0),0)</f>
        <v>93</v>
      </c>
      <c r="G4378" s="310"/>
      <c r="K4378" s="300"/>
    </row>
    <row r="4379" ht="17.15" customHeight="1" spans="1:11">
      <c r="A4379" s="307" t="s">
        <v>18</v>
      </c>
      <c r="B4379" s="308"/>
      <c r="C4379" s="308"/>
      <c r="D4379" s="308"/>
      <c r="E4379" s="308"/>
      <c r="F4379" s="309">
        <f>IFERROR(VLOOKUP(K4369,'2026.01'!A:Y,22,0),0)</f>
        <v>146</v>
      </c>
      <c r="G4379" s="310"/>
      <c r="K4379" s="300"/>
    </row>
    <row r="4380" ht="17.15" customHeight="1" spans="1:11">
      <c r="A4380" s="307" t="s">
        <v>19</v>
      </c>
      <c r="B4380" s="312"/>
      <c r="C4380" s="308"/>
      <c r="D4380" s="313"/>
      <c r="E4380" s="308"/>
      <c r="F4380" s="309">
        <f>IFERROR(VLOOKUP(K4369,'2026.01'!A:Y,25,0),0)</f>
        <v>5556</v>
      </c>
      <c r="G4380" s="310"/>
      <c r="K4380" s="300"/>
    </row>
    <row r="4381" ht="15" customHeight="1" spans="1:11">
      <c r="A4381" s="314" t="s">
        <v>20</v>
      </c>
      <c r="B4381" s="315">
        <f>IF(F4380&lt;0,"金额为负，无效",INT(F4380))</f>
        <v>5556</v>
      </c>
      <c r="C4381" s="315"/>
      <c r="D4381" s="315"/>
      <c r="E4381" s="316" t="s">
        <v>21</v>
      </c>
      <c r="F4381" s="317"/>
      <c r="G4381" s="318"/>
      <c r="K4381" s="300"/>
    </row>
    <row r="4382" ht="23" customHeight="1" spans="1:11">
      <c r="A4382" s="319"/>
      <c r="B4382" s="320"/>
      <c r="C4382" s="320"/>
      <c r="D4382" s="320"/>
      <c r="E4382" s="319"/>
      <c r="F4382" s="321"/>
      <c r="G4382" s="322"/>
      <c r="K4382" s="300"/>
    </row>
    <row r="4383" ht="27" customHeight="1" spans="1:11">
      <c r="A4383" s="298" t="s">
        <v>0</v>
      </c>
      <c r="B4383" s="298"/>
      <c r="C4383" s="298"/>
      <c r="D4383" s="298"/>
      <c r="E4383" s="298"/>
      <c r="F4383" s="298"/>
      <c r="G4383" s="298"/>
      <c r="H4383" s="299"/>
      <c r="I4383" s="299"/>
      <c r="J4383" s="299"/>
      <c r="K4383" s="300">
        <v>314</v>
      </c>
    </row>
    <row r="4384" ht="15" customHeight="1" spans="1:11">
      <c r="A4384" s="301" t="s">
        <v>1</v>
      </c>
      <c r="B4384" s="301"/>
      <c r="C4384" s="301"/>
      <c r="D4384" s="301"/>
      <c r="E4384" s="301"/>
      <c r="F4384" s="301"/>
      <c r="G4384" s="302" t="str">
        <f>IFERROR(VLOOKUP(K4383,'2026.01'!A:Y,2,0),0)</f>
        <v>NO:314</v>
      </c>
      <c r="K4384" s="300"/>
    </row>
    <row r="4385" ht="15" customHeight="1" spans="1:11">
      <c r="A4385" s="303" t="s">
        <v>2</v>
      </c>
      <c r="B4385" s="304">
        <f>IFERROR(VLOOKUP(K4383,'2026.01'!A:Y,6,0),0)</f>
        <v>5045</v>
      </c>
      <c r="C4385" s="304"/>
      <c r="D4385" s="305" t="s">
        <v>3</v>
      </c>
      <c r="E4385" s="305" t="str">
        <f>IFERROR(VLOOKUP(K4383,'2026.01'!A:Y,7,0),0)</f>
        <v>冯彬彬</v>
      </c>
      <c r="F4385" s="305"/>
      <c r="G4385" s="306" t="s">
        <v>4</v>
      </c>
      <c r="K4385" s="300"/>
    </row>
    <row r="4386" ht="15" customHeight="1" spans="1:11">
      <c r="A4386" s="307" t="s">
        <v>5</v>
      </c>
      <c r="B4386" s="308" t="s">
        <v>6</v>
      </c>
      <c r="C4386" s="308" t="s">
        <v>7</v>
      </c>
      <c r="D4386" s="308" t="s">
        <v>8</v>
      </c>
      <c r="E4386" s="308" t="s">
        <v>9</v>
      </c>
      <c r="F4386" s="309" t="s">
        <v>10</v>
      </c>
      <c r="G4386" s="310" t="s">
        <v>11</v>
      </c>
      <c r="K4386" s="300"/>
    </row>
    <row r="4387" ht="15" customHeight="1" spans="1:11">
      <c r="A4387" s="307" t="s">
        <v>12</v>
      </c>
      <c r="B4387" s="308">
        <f>IFERROR(VLOOKUP(K4383,'2026.01'!A:Y,14,0),0)</f>
        <v>29559</v>
      </c>
      <c r="C4387" s="308">
        <f>IFERROR(VLOOKUP(K4383,'2026.01'!A:Y,13,0),0)</f>
        <v>29429</v>
      </c>
      <c r="D4387" s="308">
        <f>IFERROR(VLOOKUP(K4383,'2026.01'!A:Y,15,0),0)</f>
        <v>130</v>
      </c>
      <c r="E4387" s="311">
        <f>IFERROR(VLOOKUP(K4383,'2026.01'!A:Y,18,0),0)</f>
        <v>0.8</v>
      </c>
      <c r="F4387" s="309">
        <f>IFERROR(VLOOKUP(K4383,'2026.01'!A:Y,20,0),0)</f>
        <v>104</v>
      </c>
      <c r="G4387" s="310"/>
      <c r="K4387" s="300"/>
    </row>
    <row r="4388" ht="15" customHeight="1" spans="1:11">
      <c r="A4388" s="307" t="s">
        <v>13</v>
      </c>
      <c r="B4388" s="308"/>
      <c r="C4388" s="308"/>
      <c r="D4388" s="308"/>
      <c r="E4388" s="311"/>
      <c r="F4388" s="309">
        <f>IFERROR(VLOOKUP(K4383,'2026.01'!A:Y,24,0),0)</f>
        <v>51</v>
      </c>
      <c r="G4388" s="310"/>
      <c r="K4388" s="300"/>
    </row>
    <row r="4389" ht="15" customHeight="1" spans="1:11">
      <c r="A4389" s="307" t="s">
        <v>14</v>
      </c>
      <c r="B4389" s="308"/>
      <c r="C4389" s="308"/>
      <c r="D4389" s="308"/>
      <c r="E4389" s="311"/>
      <c r="F4389" s="309">
        <f>IFERROR(VLOOKUP(K4383,'2026.01'!A:Y,12,0),0)</f>
        <v>160</v>
      </c>
      <c r="G4389" s="310"/>
      <c r="K4389" s="300"/>
    </row>
    <row r="4390" ht="21" customHeight="1" spans="1:11">
      <c r="A4390" s="307" t="s">
        <v>15</v>
      </c>
      <c r="B4390" s="308"/>
      <c r="C4390" s="308"/>
      <c r="D4390" s="308"/>
      <c r="E4390" s="311"/>
      <c r="F4390" s="309">
        <f>IFERROR(VLOOKUP(K4383,'2026.01'!A:Y,9,0),0)</f>
        <v>4500</v>
      </c>
      <c r="G4390" s="310"/>
      <c r="K4390" s="300"/>
    </row>
    <row r="4391" ht="19" customHeight="1" spans="1:11">
      <c r="A4391" s="307" t="s">
        <v>16</v>
      </c>
      <c r="B4391" s="308"/>
      <c r="C4391" s="308"/>
      <c r="D4391" s="308"/>
      <c r="E4391" s="308"/>
      <c r="F4391" s="309">
        <f>IFERROR(VLOOKUP(K4383,'2026.01'!A:Y,10,0),0)</f>
        <v>500</v>
      </c>
      <c r="G4391" s="310"/>
      <c r="K4391" s="300"/>
    </row>
    <row r="4392" ht="21" customHeight="1" spans="1:11">
      <c r="A4392" s="307" t="s">
        <v>17</v>
      </c>
      <c r="B4392" s="308"/>
      <c r="C4392" s="308"/>
      <c r="D4392" s="308"/>
      <c r="E4392" s="308"/>
      <c r="F4392" s="309">
        <f>IFERROR(VLOOKUP(K4383,'2026.01'!A:Y,19,0),0)</f>
        <v>91</v>
      </c>
      <c r="G4392" s="310"/>
      <c r="K4392" s="300"/>
    </row>
    <row r="4393" ht="17.15" customHeight="1" spans="1:11">
      <c r="A4393" s="307" t="s">
        <v>18</v>
      </c>
      <c r="B4393" s="308"/>
      <c r="C4393" s="308"/>
      <c r="D4393" s="308"/>
      <c r="E4393" s="308"/>
      <c r="F4393" s="309">
        <f>IFERROR(VLOOKUP(K4383,'2026.01'!A:Y,22,0),0)</f>
        <v>146</v>
      </c>
      <c r="G4393" s="310"/>
      <c r="K4393" s="300"/>
    </row>
    <row r="4394" ht="17.15" customHeight="1" spans="1:11">
      <c r="A4394" s="307" t="s">
        <v>19</v>
      </c>
      <c r="B4394" s="312"/>
      <c r="C4394" s="308"/>
      <c r="D4394" s="313"/>
      <c r="E4394" s="308"/>
      <c r="F4394" s="309">
        <f>IFERROR(VLOOKUP(K4383,'2026.01'!A:Y,25,0),0)</f>
        <v>5552</v>
      </c>
      <c r="G4394" s="310"/>
      <c r="K4394" s="300"/>
    </row>
    <row r="4395" ht="15" customHeight="1" spans="1:11">
      <c r="A4395" s="314" t="s">
        <v>20</v>
      </c>
      <c r="B4395" s="315">
        <f>IF(F4394&lt;0,"金额为负，无效",INT(F4394))</f>
        <v>5552</v>
      </c>
      <c r="C4395" s="315"/>
      <c r="D4395" s="315"/>
      <c r="E4395" s="316" t="s">
        <v>21</v>
      </c>
      <c r="F4395" s="317"/>
      <c r="G4395" s="318"/>
      <c r="K4395" s="300"/>
    </row>
    <row r="4396" ht="23" customHeight="1" spans="1:11">
      <c r="A4396" s="319"/>
      <c r="B4396" s="320"/>
      <c r="C4396" s="320"/>
      <c r="D4396" s="320"/>
      <c r="E4396" s="319"/>
      <c r="F4396" s="321"/>
      <c r="G4396" s="322"/>
      <c r="K4396" s="300"/>
    </row>
    <row r="4397" ht="27" customHeight="1" spans="1:11">
      <c r="A4397" s="298" t="s">
        <v>0</v>
      </c>
      <c r="B4397" s="298"/>
      <c r="C4397" s="298"/>
      <c r="D4397" s="298"/>
      <c r="E4397" s="298"/>
      <c r="F4397" s="298"/>
      <c r="G4397" s="298"/>
      <c r="H4397" s="299"/>
      <c r="I4397" s="299"/>
      <c r="J4397" s="299"/>
      <c r="K4397" s="300">
        <v>315</v>
      </c>
    </row>
    <row r="4398" ht="15" customHeight="1" spans="1:11">
      <c r="A4398" s="301" t="s">
        <v>1</v>
      </c>
      <c r="B4398" s="301"/>
      <c r="C4398" s="301"/>
      <c r="D4398" s="301"/>
      <c r="E4398" s="301"/>
      <c r="F4398" s="301"/>
      <c r="G4398" s="302" t="str">
        <f>IFERROR(VLOOKUP(K4397,'2026.01'!A:Y,2,0),0)</f>
        <v>NO:315</v>
      </c>
      <c r="K4398" s="300"/>
    </row>
    <row r="4399" ht="15" customHeight="1" spans="1:11">
      <c r="A4399" s="303" t="s">
        <v>2</v>
      </c>
      <c r="B4399" s="304" t="str">
        <f>IFERROR(VLOOKUP(K4397,'2026.01'!A:Y,6,0),0)</f>
        <v>5046-5047</v>
      </c>
      <c r="C4399" s="304"/>
      <c r="D4399" s="305" t="s">
        <v>3</v>
      </c>
      <c r="E4399" s="305" t="str">
        <f>IFERROR(VLOOKUP(K4397,'2026.01'!A:Y,7,0),0)</f>
        <v>邓杰</v>
      </c>
      <c r="F4399" s="305"/>
      <c r="G4399" s="306" t="s">
        <v>4</v>
      </c>
      <c r="K4399" s="300"/>
    </row>
    <row r="4400" ht="15" customHeight="1" spans="1:11">
      <c r="A4400" s="307" t="s">
        <v>5</v>
      </c>
      <c r="B4400" s="308" t="s">
        <v>6</v>
      </c>
      <c r="C4400" s="308" t="s">
        <v>7</v>
      </c>
      <c r="D4400" s="308" t="s">
        <v>8</v>
      </c>
      <c r="E4400" s="308" t="s">
        <v>9</v>
      </c>
      <c r="F4400" s="309" t="s">
        <v>10</v>
      </c>
      <c r="G4400" s="310" t="s">
        <v>11</v>
      </c>
      <c r="K4400" s="300"/>
    </row>
    <row r="4401" ht="15" customHeight="1" spans="1:11">
      <c r="A4401" s="307" t="s">
        <v>12</v>
      </c>
      <c r="B4401" s="308">
        <f>IFERROR(VLOOKUP(K4397,'2026.01'!A:Y,14,0),0)</f>
        <v>55364</v>
      </c>
      <c r="C4401" s="308">
        <f>IFERROR(VLOOKUP(K4397,'2026.01'!A:Y,13,0),0)</f>
        <v>55313</v>
      </c>
      <c r="D4401" s="308">
        <f>IFERROR(VLOOKUP(K4397,'2026.01'!A:Y,15,0),0)</f>
        <v>51</v>
      </c>
      <c r="E4401" s="311">
        <f>IFERROR(VLOOKUP(K4397,'2026.01'!A:Y,18,0),0)</f>
        <v>0.8</v>
      </c>
      <c r="F4401" s="309">
        <f>IFERROR(VLOOKUP(K4397,'2026.01'!A:Y,20,0),0)</f>
        <v>41</v>
      </c>
      <c r="G4401" s="310"/>
      <c r="K4401" s="300"/>
    </row>
    <row r="4402" ht="15" customHeight="1" spans="1:11">
      <c r="A4402" s="307" t="s">
        <v>13</v>
      </c>
      <c r="B4402" s="308"/>
      <c r="C4402" s="308"/>
      <c r="D4402" s="308"/>
      <c r="E4402" s="311"/>
      <c r="F4402" s="309">
        <f>IFERROR(VLOOKUP(K4397,'2026.01'!A:Y,24,0),0)</f>
        <v>85</v>
      </c>
      <c r="G4402" s="310"/>
      <c r="K4402" s="300"/>
    </row>
    <row r="4403" ht="15" customHeight="1" spans="1:11">
      <c r="A4403" s="307" t="s">
        <v>14</v>
      </c>
      <c r="B4403" s="308"/>
      <c r="C4403" s="308"/>
      <c r="D4403" s="308"/>
      <c r="E4403" s="311"/>
      <c r="F4403" s="309">
        <f>IFERROR(VLOOKUP(K4397,'2026.01'!A:Y,12,0),0)</f>
        <v>320</v>
      </c>
      <c r="G4403" s="310"/>
      <c r="K4403" s="300"/>
    </row>
    <row r="4404" ht="21" customHeight="1" spans="1:11">
      <c r="A4404" s="307" t="s">
        <v>15</v>
      </c>
      <c r="B4404" s="308"/>
      <c r="C4404" s="308"/>
      <c r="D4404" s="308"/>
      <c r="E4404" s="311"/>
      <c r="F4404" s="309">
        <f>IFERROR(VLOOKUP(K4397,'2026.01'!A:Y,9,0),0)</f>
        <v>5000</v>
      </c>
      <c r="G4404" s="310"/>
      <c r="K4404" s="300"/>
    </row>
    <row r="4405" ht="19" customHeight="1" spans="1:11">
      <c r="A4405" s="307" t="s">
        <v>16</v>
      </c>
      <c r="B4405" s="308"/>
      <c r="C4405" s="308"/>
      <c r="D4405" s="308"/>
      <c r="E4405" s="308"/>
      <c r="F4405" s="309">
        <f>IFERROR(VLOOKUP(K4397,'2026.01'!A:Y,10,0),0)</f>
        <v>500</v>
      </c>
      <c r="G4405" s="310"/>
      <c r="K4405" s="300"/>
    </row>
    <row r="4406" ht="21" customHeight="1" spans="1:11">
      <c r="A4406" s="307" t="s">
        <v>17</v>
      </c>
      <c r="B4406" s="308"/>
      <c r="C4406" s="308"/>
      <c r="D4406" s="308"/>
      <c r="E4406" s="308"/>
      <c r="F4406" s="309">
        <f>IFERROR(VLOOKUP(K4397,'2026.01'!A:Y,19,0),0)</f>
        <v>36</v>
      </c>
      <c r="G4406" s="310"/>
      <c r="K4406" s="300"/>
    </row>
    <row r="4407" ht="17.15" customHeight="1" spans="1:11">
      <c r="A4407" s="307" t="s">
        <v>18</v>
      </c>
      <c r="B4407" s="308"/>
      <c r="C4407" s="308"/>
      <c r="D4407" s="308"/>
      <c r="E4407" s="308"/>
      <c r="F4407" s="309">
        <f>IFERROR(VLOOKUP(K4397,'2026.01'!A:Y,22,0),0)</f>
        <v>227</v>
      </c>
      <c r="G4407" s="310"/>
      <c r="K4407" s="300"/>
    </row>
    <row r="4408" ht="17.15" customHeight="1" spans="1:11">
      <c r="A4408" s="307" t="s">
        <v>19</v>
      </c>
      <c r="B4408" s="312"/>
      <c r="C4408" s="308"/>
      <c r="D4408" s="313"/>
      <c r="E4408" s="308"/>
      <c r="F4408" s="309">
        <f>IFERROR(VLOOKUP(K4397,'2026.01'!A:Y,25,0),0)</f>
        <v>6209</v>
      </c>
      <c r="G4408" s="310"/>
      <c r="K4408" s="300"/>
    </row>
    <row r="4409" ht="15" customHeight="1" spans="1:11">
      <c r="A4409" s="314" t="s">
        <v>20</v>
      </c>
      <c r="B4409" s="315">
        <f>IF(F4408&lt;0,"金额为负，无效",INT(F4408))</f>
        <v>6209</v>
      </c>
      <c r="C4409" s="315"/>
      <c r="D4409" s="315"/>
      <c r="E4409" s="316" t="s">
        <v>21</v>
      </c>
      <c r="F4409" s="317"/>
      <c r="G4409" s="318"/>
      <c r="K4409" s="300"/>
    </row>
    <row r="4410" ht="15" customHeight="1" spans="1:11">
      <c r="A4410" s="319"/>
      <c r="B4410" s="320"/>
      <c r="C4410" s="320"/>
      <c r="D4410" s="320"/>
      <c r="E4410" s="319"/>
      <c r="F4410" s="321"/>
      <c r="G4410" s="322"/>
      <c r="K4410" s="300"/>
    </row>
    <row r="4411" ht="27" customHeight="1" spans="1:11">
      <c r="A4411" s="298" t="s">
        <v>0</v>
      </c>
      <c r="B4411" s="298"/>
      <c r="C4411" s="298"/>
      <c r="D4411" s="298"/>
      <c r="E4411" s="298"/>
      <c r="F4411" s="298"/>
      <c r="G4411" s="298"/>
      <c r="H4411" s="299"/>
      <c r="I4411" s="299"/>
      <c r="J4411" s="299"/>
      <c r="K4411" s="300">
        <v>316</v>
      </c>
    </row>
    <row r="4412" ht="15" customHeight="1" spans="1:11">
      <c r="A4412" s="301" t="s">
        <v>1</v>
      </c>
      <c r="B4412" s="301"/>
      <c r="C4412" s="301"/>
      <c r="D4412" s="301"/>
      <c r="E4412" s="301"/>
      <c r="F4412" s="301"/>
      <c r="G4412" s="302" t="str">
        <f>IFERROR(VLOOKUP(K4411,'2026.01'!A:Y,2,0),0)</f>
        <v>NO:316</v>
      </c>
      <c r="K4412" s="300"/>
    </row>
    <row r="4413" ht="15" customHeight="1" spans="1:11">
      <c r="A4413" s="303" t="s">
        <v>2</v>
      </c>
      <c r="B4413" s="304" t="str">
        <f>IFERROR(VLOOKUP(K4411,'2026.01'!A:Y,6,0),0)</f>
        <v>5046A</v>
      </c>
      <c r="C4413" s="304"/>
      <c r="D4413" s="305" t="s">
        <v>3</v>
      </c>
      <c r="E4413" s="305" t="str">
        <f>IFERROR(VLOOKUP(K4411,'2026.01'!A:Y,7,0),0)</f>
        <v>陈如</v>
      </c>
      <c r="F4413" s="305"/>
      <c r="G4413" s="306" t="s">
        <v>4</v>
      </c>
      <c r="K4413" s="300"/>
    </row>
    <row r="4414" ht="15" customHeight="1" spans="1:11">
      <c r="A4414" s="307" t="s">
        <v>5</v>
      </c>
      <c r="B4414" s="308" t="s">
        <v>6</v>
      </c>
      <c r="C4414" s="308" t="s">
        <v>7</v>
      </c>
      <c r="D4414" s="308" t="s">
        <v>8</v>
      </c>
      <c r="E4414" s="308" t="s">
        <v>9</v>
      </c>
      <c r="F4414" s="309" t="s">
        <v>10</v>
      </c>
      <c r="G4414" s="310" t="s">
        <v>11</v>
      </c>
      <c r="K4414" s="300"/>
    </row>
    <row r="4415" ht="15" customHeight="1" spans="1:11">
      <c r="A4415" s="307" t="s">
        <v>12</v>
      </c>
      <c r="B4415" s="308">
        <f>IFERROR(VLOOKUP(K4411,'2026.01'!A:Y,14,0),0)</f>
        <v>28544</v>
      </c>
      <c r="C4415" s="308">
        <f>IFERROR(VLOOKUP(K4411,'2026.01'!A:Y,13,0),0)</f>
        <v>28483</v>
      </c>
      <c r="D4415" s="308">
        <f>IFERROR(VLOOKUP(K4411,'2026.01'!A:Y,15,0),0)</f>
        <v>61</v>
      </c>
      <c r="E4415" s="311">
        <f>IFERROR(VLOOKUP(K4411,'2026.01'!A:Y,18,0),0)</f>
        <v>0.8</v>
      </c>
      <c r="F4415" s="309">
        <f>IFERROR(VLOOKUP(K4411,'2026.01'!A:Y,20,0),0)</f>
        <v>49</v>
      </c>
      <c r="G4415" s="310"/>
      <c r="K4415" s="300"/>
    </row>
    <row r="4416" ht="15" customHeight="1" spans="1:11">
      <c r="A4416" s="307" t="s">
        <v>13</v>
      </c>
      <c r="B4416" s="308"/>
      <c r="C4416" s="308"/>
      <c r="D4416" s="308"/>
      <c r="E4416" s="311"/>
      <c r="F4416" s="309">
        <f>IFERROR(VLOOKUP(K4411,'2026.01'!A:Y,24,0),0)</f>
        <v>51</v>
      </c>
      <c r="G4416" s="310"/>
      <c r="K4416" s="300"/>
    </row>
    <row r="4417" ht="15" customHeight="1" spans="1:11">
      <c r="A4417" s="307" t="s">
        <v>14</v>
      </c>
      <c r="B4417" s="308"/>
      <c r="C4417" s="308"/>
      <c r="D4417" s="308"/>
      <c r="E4417" s="311"/>
      <c r="F4417" s="309">
        <f>IFERROR(VLOOKUP(K4411,'2026.01'!A:Y,12,0),0)</f>
        <v>160</v>
      </c>
      <c r="G4417" s="310"/>
      <c r="K4417" s="300"/>
    </row>
    <row r="4418" ht="21" customHeight="1" spans="1:11">
      <c r="A4418" s="307" t="s">
        <v>15</v>
      </c>
      <c r="B4418" s="308"/>
      <c r="C4418" s="308"/>
      <c r="D4418" s="308"/>
      <c r="E4418" s="311"/>
      <c r="F4418" s="309">
        <f>IFERROR(VLOOKUP(K4411,'2026.01'!A:Y,9,0),0)</f>
        <v>4500</v>
      </c>
      <c r="G4418" s="310"/>
      <c r="K4418" s="300"/>
    </row>
    <row r="4419" ht="19" customHeight="1" spans="1:11">
      <c r="A4419" s="307" t="s">
        <v>16</v>
      </c>
      <c r="B4419" s="308"/>
      <c r="C4419" s="308"/>
      <c r="D4419" s="308"/>
      <c r="E4419" s="308"/>
      <c r="F4419" s="309">
        <f>IFERROR(VLOOKUP(K4411,'2026.01'!A:Y,10,0),0)</f>
        <v>500</v>
      </c>
      <c r="G4419" s="310"/>
      <c r="K4419" s="300"/>
    </row>
    <row r="4420" ht="21" customHeight="1" spans="1:11">
      <c r="A4420" s="307" t="s">
        <v>17</v>
      </c>
      <c r="B4420" s="308"/>
      <c r="C4420" s="308"/>
      <c r="D4420" s="308"/>
      <c r="E4420" s="308"/>
      <c r="F4420" s="309">
        <f>IFERROR(VLOOKUP(K4411,'2026.01'!A:Y,19,0),0)</f>
        <v>43</v>
      </c>
      <c r="G4420" s="310"/>
      <c r="K4420" s="300"/>
    </row>
    <row r="4421" ht="17.15" customHeight="1" spans="1:11">
      <c r="A4421" s="307" t="s">
        <v>18</v>
      </c>
      <c r="B4421" s="308"/>
      <c r="C4421" s="308"/>
      <c r="D4421" s="308"/>
      <c r="E4421" s="308"/>
      <c r="F4421" s="309">
        <f>IFERROR(VLOOKUP(K4411,'2026.01'!A:Y,22,0),0)</f>
        <v>146</v>
      </c>
      <c r="G4421" s="310"/>
      <c r="K4421" s="300"/>
    </row>
    <row r="4422" ht="17.15" customHeight="1" spans="1:11">
      <c r="A4422" s="307" t="s">
        <v>19</v>
      </c>
      <c r="B4422" s="312"/>
      <c r="C4422" s="308"/>
      <c r="D4422" s="313"/>
      <c r="E4422" s="308"/>
      <c r="F4422" s="309">
        <f>IFERROR(VLOOKUP(K4411,'2026.01'!A:Y,25,0),0)</f>
        <v>5449</v>
      </c>
      <c r="G4422" s="310"/>
      <c r="K4422" s="300"/>
    </row>
    <row r="4423" ht="15" customHeight="1" spans="1:11">
      <c r="A4423" s="314" t="s">
        <v>20</v>
      </c>
      <c r="B4423" s="315">
        <f>IF(F4422&lt;0,"金额为负，无效",INT(F4422))</f>
        <v>5449</v>
      </c>
      <c r="C4423" s="315"/>
      <c r="D4423" s="315"/>
      <c r="E4423" s="316" t="s">
        <v>21</v>
      </c>
      <c r="F4423" s="317"/>
      <c r="G4423" s="318"/>
      <c r="K4423" s="300"/>
    </row>
    <row r="4424" ht="23" customHeight="1" spans="1:11">
      <c r="A4424" s="319"/>
      <c r="B4424" s="320"/>
      <c r="C4424" s="320"/>
      <c r="D4424" s="320"/>
      <c r="E4424" s="319"/>
      <c r="F4424" s="321"/>
      <c r="G4424" s="322"/>
      <c r="K4424" s="300"/>
    </row>
    <row r="4425" ht="27" customHeight="1" spans="1:11">
      <c r="A4425" s="298" t="s">
        <v>0</v>
      </c>
      <c r="B4425" s="298"/>
      <c r="C4425" s="298"/>
      <c r="D4425" s="298"/>
      <c r="E4425" s="298"/>
      <c r="F4425" s="298"/>
      <c r="G4425" s="298"/>
      <c r="H4425" s="299"/>
      <c r="I4425" s="299"/>
      <c r="J4425" s="299"/>
      <c r="K4425" s="300">
        <v>317</v>
      </c>
    </row>
    <row r="4426" ht="15" customHeight="1" spans="1:11">
      <c r="A4426" s="301" t="s">
        <v>1</v>
      </c>
      <c r="B4426" s="301"/>
      <c r="C4426" s="301"/>
      <c r="D4426" s="301"/>
      <c r="E4426" s="301"/>
      <c r="F4426" s="301"/>
      <c r="G4426" s="302" t="str">
        <f>IFERROR(VLOOKUP(K4425,'2026.01'!A:Y,2,0),0)</f>
        <v>NO:317</v>
      </c>
      <c r="K4426" s="300"/>
    </row>
    <row r="4427" ht="15" customHeight="1" spans="1:11">
      <c r="A4427" s="303" t="s">
        <v>2</v>
      </c>
      <c r="B4427" s="304" t="str">
        <f>IFERROR(VLOOKUP(K4425,'2026.01'!A:Y,6,0),0)</f>
        <v>5楼展柜</v>
      </c>
      <c r="C4427" s="304"/>
      <c r="D4427" s="305" t="s">
        <v>3</v>
      </c>
      <c r="E4427" s="305">
        <f>IFERROR(VLOOKUP(K4425,'2026.01'!A:Y,7,0),0)</f>
        <v>0</v>
      </c>
      <c r="F4427" s="305"/>
      <c r="G4427" s="306" t="s">
        <v>4</v>
      </c>
      <c r="K4427" s="300"/>
    </row>
    <row r="4428" ht="15" customHeight="1" spans="1:11">
      <c r="A4428" s="307" t="s">
        <v>5</v>
      </c>
      <c r="B4428" s="308" t="s">
        <v>6</v>
      </c>
      <c r="C4428" s="308" t="s">
        <v>7</v>
      </c>
      <c r="D4428" s="308" t="s">
        <v>8</v>
      </c>
      <c r="E4428" s="308" t="s">
        <v>9</v>
      </c>
      <c r="F4428" s="309" t="s">
        <v>10</v>
      </c>
      <c r="G4428" s="310" t="s">
        <v>11</v>
      </c>
      <c r="K4428" s="300"/>
    </row>
    <row r="4429" ht="15" customHeight="1" spans="1:11">
      <c r="A4429" s="307" t="s">
        <v>12</v>
      </c>
      <c r="B4429" s="308">
        <f>IFERROR(VLOOKUP(K4425,'2026.01'!A:Y,14,0),0)</f>
        <v>0</v>
      </c>
      <c r="C4429" s="308">
        <f>IFERROR(VLOOKUP(K4425,'2026.01'!A:Y,13,0),0)</f>
        <v>0</v>
      </c>
      <c r="D4429" s="308">
        <f>IFERROR(VLOOKUP(K4425,'2026.01'!A:Y,15,0),0)</f>
        <v>0</v>
      </c>
      <c r="E4429" s="311">
        <f>IFERROR(VLOOKUP(K4425,'2026.01'!A:Y,18,0),0)</f>
        <v>0</v>
      </c>
      <c r="F4429" s="309">
        <f>IFERROR(VLOOKUP(K4425,'2026.01'!A:Y,20,0),0)</f>
        <v>0</v>
      </c>
      <c r="G4429" s="310"/>
      <c r="K4429" s="300"/>
    </row>
    <row r="4430" ht="15" customHeight="1" spans="1:11">
      <c r="A4430" s="307" t="s">
        <v>13</v>
      </c>
      <c r="B4430" s="308"/>
      <c r="C4430" s="308"/>
      <c r="D4430" s="308"/>
      <c r="E4430" s="311"/>
      <c r="F4430" s="309">
        <f>IFERROR(VLOOKUP(K4425,'2026.01'!A:Y,24,0),0)</f>
        <v>0</v>
      </c>
      <c r="G4430" s="310"/>
      <c r="K4430" s="300"/>
    </row>
    <row r="4431" ht="15" customHeight="1" spans="1:11">
      <c r="A4431" s="307" t="s">
        <v>14</v>
      </c>
      <c r="B4431" s="308"/>
      <c r="C4431" s="308"/>
      <c r="D4431" s="308"/>
      <c r="E4431" s="311"/>
      <c r="F4431" s="309">
        <f>IFERROR(VLOOKUP(K4425,'2026.01'!A:Y,12,0),0)</f>
        <v>0</v>
      </c>
      <c r="G4431" s="310"/>
      <c r="K4431" s="300"/>
    </row>
    <row r="4432" ht="21" customHeight="1" spans="1:11">
      <c r="A4432" s="307" t="s">
        <v>15</v>
      </c>
      <c r="B4432" s="308"/>
      <c r="C4432" s="308"/>
      <c r="D4432" s="308"/>
      <c r="E4432" s="311"/>
      <c r="F4432" s="309">
        <f>IFERROR(VLOOKUP(K4425,'2026.01'!A:Y,9,0),0)</f>
        <v>0</v>
      </c>
      <c r="G4432" s="310"/>
      <c r="K4432" s="300"/>
    </row>
    <row r="4433" ht="19" customHeight="1" spans="1:11">
      <c r="A4433" s="307" t="s">
        <v>16</v>
      </c>
      <c r="B4433" s="308"/>
      <c r="C4433" s="308"/>
      <c r="D4433" s="308"/>
      <c r="E4433" s="308"/>
      <c r="F4433" s="309">
        <f>IFERROR(VLOOKUP(K4425,'2026.01'!A:Y,10,0),0)</f>
        <v>0</v>
      </c>
      <c r="G4433" s="310"/>
      <c r="K4433" s="300"/>
    </row>
    <row r="4434" ht="21" customHeight="1" spans="1:11">
      <c r="A4434" s="307" t="s">
        <v>17</v>
      </c>
      <c r="B4434" s="308"/>
      <c r="C4434" s="308"/>
      <c r="D4434" s="308"/>
      <c r="E4434" s="308"/>
      <c r="F4434" s="309">
        <f>IFERROR(VLOOKUP(K4425,'2026.01'!A:Y,19,0),0)</f>
        <v>0</v>
      </c>
      <c r="G4434" s="310"/>
      <c r="K4434" s="300"/>
    </row>
    <row r="4435" ht="17.15" customHeight="1" spans="1:11">
      <c r="A4435" s="307" t="s">
        <v>18</v>
      </c>
      <c r="B4435" s="308"/>
      <c r="C4435" s="308"/>
      <c r="D4435" s="308"/>
      <c r="E4435" s="308"/>
      <c r="F4435" s="309">
        <f>IFERROR(VLOOKUP(K4425,'2026.01'!A:Y,22,0),0)</f>
        <v>0</v>
      </c>
      <c r="G4435" s="310"/>
      <c r="K4435" s="300"/>
    </row>
    <row r="4436" spans="1:11">
      <c r="A4436" s="307" t="s">
        <v>19</v>
      </c>
      <c r="B4436" s="312"/>
      <c r="C4436" s="308"/>
      <c r="D4436" s="313"/>
      <c r="E4436" s="308"/>
      <c r="F4436" s="309">
        <f>IFERROR(VLOOKUP(K4425,'2026.01'!A:Y,25,0),0)</f>
        <v>0</v>
      </c>
      <c r="G4436" s="310"/>
      <c r="K4436" s="300"/>
    </row>
    <row r="4437" spans="1:11">
      <c r="A4437" s="314" t="s">
        <v>20</v>
      </c>
      <c r="B4437" s="315">
        <f>IF(F4436&lt;0,"金额为负，无效",INT(F4436))</f>
        <v>0</v>
      </c>
      <c r="C4437" s="315"/>
      <c r="D4437" s="315"/>
      <c r="E4437" s="316" t="s">
        <v>21</v>
      </c>
      <c r="F4437" s="317"/>
      <c r="G4437" s="318"/>
      <c r="K4437" s="300"/>
    </row>
    <row r="4438" spans="1:11">
      <c r="A4438" s="319"/>
      <c r="B4438" s="320"/>
      <c r="C4438" s="320"/>
      <c r="D4438" s="320"/>
      <c r="E4438" s="319"/>
      <c r="F4438" s="321"/>
      <c r="G4438" s="322"/>
      <c r="K4438" s="300"/>
    </row>
  </sheetData>
  <mergeCells count="2219">
    <mergeCell ref="A1:G1"/>
    <mergeCell ref="A2:F2"/>
    <mergeCell ref="B3:C3"/>
    <mergeCell ref="E3:F3"/>
    <mergeCell ref="B13:D13"/>
    <mergeCell ref="A15:G15"/>
    <mergeCell ref="A16:F16"/>
    <mergeCell ref="B17:C17"/>
    <mergeCell ref="E17:F17"/>
    <mergeCell ref="B27:D27"/>
    <mergeCell ref="A29:G29"/>
    <mergeCell ref="A30:F30"/>
    <mergeCell ref="B31:C31"/>
    <mergeCell ref="E31:F31"/>
    <mergeCell ref="B41:D41"/>
    <mergeCell ref="A43:G43"/>
    <mergeCell ref="A44:F44"/>
    <mergeCell ref="B45:C45"/>
    <mergeCell ref="E45:F45"/>
    <mergeCell ref="B55:D55"/>
    <mergeCell ref="A57:G57"/>
    <mergeCell ref="A58:F58"/>
    <mergeCell ref="B59:C59"/>
    <mergeCell ref="E59:F59"/>
    <mergeCell ref="B69:D69"/>
    <mergeCell ref="A71:G71"/>
    <mergeCell ref="A72:F72"/>
    <mergeCell ref="B73:C73"/>
    <mergeCell ref="E73:F73"/>
    <mergeCell ref="B83:D83"/>
    <mergeCell ref="A85:G85"/>
    <mergeCell ref="A86:F86"/>
    <mergeCell ref="B87:C87"/>
    <mergeCell ref="E87:F87"/>
    <mergeCell ref="B97:D97"/>
    <mergeCell ref="A99:G99"/>
    <mergeCell ref="A100:F100"/>
    <mergeCell ref="B101:C101"/>
    <mergeCell ref="E101:F101"/>
    <mergeCell ref="B111:D111"/>
    <mergeCell ref="A113:G113"/>
    <mergeCell ref="A114:F114"/>
    <mergeCell ref="B115:C115"/>
    <mergeCell ref="E115:F115"/>
    <mergeCell ref="B125:D125"/>
    <mergeCell ref="A127:G127"/>
    <mergeCell ref="A128:F128"/>
    <mergeCell ref="B129:C129"/>
    <mergeCell ref="E129:F129"/>
    <mergeCell ref="B139:D139"/>
    <mergeCell ref="A141:G141"/>
    <mergeCell ref="A142:F142"/>
    <mergeCell ref="B143:C143"/>
    <mergeCell ref="E143:F143"/>
    <mergeCell ref="B153:D153"/>
    <mergeCell ref="A155:G155"/>
    <mergeCell ref="A156:F156"/>
    <mergeCell ref="B157:C157"/>
    <mergeCell ref="E157:F157"/>
    <mergeCell ref="B167:D167"/>
    <mergeCell ref="A169:G169"/>
    <mergeCell ref="A170:F170"/>
    <mergeCell ref="B171:C171"/>
    <mergeCell ref="E171:F171"/>
    <mergeCell ref="B181:D181"/>
    <mergeCell ref="A183:G183"/>
    <mergeCell ref="A184:F184"/>
    <mergeCell ref="B185:C185"/>
    <mergeCell ref="E185:F185"/>
    <mergeCell ref="B195:D195"/>
    <mergeCell ref="A197:G197"/>
    <mergeCell ref="A198:F198"/>
    <mergeCell ref="B199:C199"/>
    <mergeCell ref="E199:F199"/>
    <mergeCell ref="B209:D209"/>
    <mergeCell ref="A211:G211"/>
    <mergeCell ref="A212:F212"/>
    <mergeCell ref="B213:C213"/>
    <mergeCell ref="E213:F213"/>
    <mergeCell ref="B223:D223"/>
    <mergeCell ref="A225:G225"/>
    <mergeCell ref="A226:F226"/>
    <mergeCell ref="B227:C227"/>
    <mergeCell ref="E227:F227"/>
    <mergeCell ref="B237:D237"/>
    <mergeCell ref="A239:G239"/>
    <mergeCell ref="A240:F240"/>
    <mergeCell ref="B241:C241"/>
    <mergeCell ref="E241:F241"/>
    <mergeCell ref="B251:D251"/>
    <mergeCell ref="A253:G253"/>
    <mergeCell ref="A254:F254"/>
    <mergeCell ref="B255:C255"/>
    <mergeCell ref="E255:F255"/>
    <mergeCell ref="B265:D265"/>
    <mergeCell ref="A267:G267"/>
    <mergeCell ref="A268:F268"/>
    <mergeCell ref="B269:C269"/>
    <mergeCell ref="E269:F269"/>
    <mergeCell ref="B279:D279"/>
    <mergeCell ref="A281:G281"/>
    <mergeCell ref="A282:F282"/>
    <mergeCell ref="B283:C283"/>
    <mergeCell ref="E283:F283"/>
    <mergeCell ref="B293:D293"/>
    <mergeCell ref="A295:G295"/>
    <mergeCell ref="A296:F296"/>
    <mergeCell ref="B297:C297"/>
    <mergeCell ref="E297:F297"/>
    <mergeCell ref="B307:D307"/>
    <mergeCell ref="A309:G309"/>
    <mergeCell ref="A310:F310"/>
    <mergeCell ref="B311:C311"/>
    <mergeCell ref="E311:F311"/>
    <mergeCell ref="B321:D321"/>
    <mergeCell ref="A323:G323"/>
    <mergeCell ref="A324:F324"/>
    <mergeCell ref="B325:C325"/>
    <mergeCell ref="E325:F325"/>
    <mergeCell ref="B335:D335"/>
    <mergeCell ref="A337:G337"/>
    <mergeCell ref="A338:F338"/>
    <mergeCell ref="B339:C339"/>
    <mergeCell ref="E339:F339"/>
    <mergeCell ref="B349:D349"/>
    <mergeCell ref="A351:G351"/>
    <mergeCell ref="A352:F352"/>
    <mergeCell ref="B353:C353"/>
    <mergeCell ref="E353:F353"/>
    <mergeCell ref="B363:D363"/>
    <mergeCell ref="A365:G365"/>
    <mergeCell ref="A366:F366"/>
    <mergeCell ref="B367:C367"/>
    <mergeCell ref="E367:F367"/>
    <mergeCell ref="B377:D377"/>
    <mergeCell ref="A379:G379"/>
    <mergeCell ref="A380:F380"/>
    <mergeCell ref="B381:C381"/>
    <mergeCell ref="E381:F381"/>
    <mergeCell ref="B391:D391"/>
    <mergeCell ref="A393:G393"/>
    <mergeCell ref="A394:F394"/>
    <mergeCell ref="B395:C395"/>
    <mergeCell ref="E395:F395"/>
    <mergeCell ref="B405:D405"/>
    <mergeCell ref="A407:G407"/>
    <mergeCell ref="A408:F408"/>
    <mergeCell ref="B409:C409"/>
    <mergeCell ref="E409:F409"/>
    <mergeCell ref="B419:D419"/>
    <mergeCell ref="A421:G421"/>
    <mergeCell ref="A422:F422"/>
    <mergeCell ref="B423:C423"/>
    <mergeCell ref="E423:F423"/>
    <mergeCell ref="B433:D433"/>
    <mergeCell ref="A435:G435"/>
    <mergeCell ref="A436:F436"/>
    <mergeCell ref="B437:C437"/>
    <mergeCell ref="E437:F437"/>
    <mergeCell ref="B447:D447"/>
    <mergeCell ref="A449:G449"/>
    <mergeCell ref="A450:F450"/>
    <mergeCell ref="B451:C451"/>
    <mergeCell ref="E451:F451"/>
    <mergeCell ref="B461:D461"/>
    <mergeCell ref="A463:G463"/>
    <mergeCell ref="A464:F464"/>
    <mergeCell ref="B465:C465"/>
    <mergeCell ref="E465:F465"/>
    <mergeCell ref="B475:D475"/>
    <mergeCell ref="A477:G477"/>
    <mergeCell ref="A478:F478"/>
    <mergeCell ref="B479:C479"/>
    <mergeCell ref="E479:F479"/>
    <mergeCell ref="B489:D489"/>
    <mergeCell ref="A491:G491"/>
    <mergeCell ref="A492:F492"/>
    <mergeCell ref="B493:C493"/>
    <mergeCell ref="E493:F493"/>
    <mergeCell ref="B503:D503"/>
    <mergeCell ref="A505:G505"/>
    <mergeCell ref="A506:F506"/>
    <mergeCell ref="B507:C507"/>
    <mergeCell ref="E507:F507"/>
    <mergeCell ref="B517:D517"/>
    <mergeCell ref="A519:G519"/>
    <mergeCell ref="A520:F520"/>
    <mergeCell ref="B521:C521"/>
    <mergeCell ref="E521:F521"/>
    <mergeCell ref="B531:D531"/>
    <mergeCell ref="A533:G533"/>
    <mergeCell ref="A534:F534"/>
    <mergeCell ref="B535:C535"/>
    <mergeCell ref="E535:F535"/>
    <mergeCell ref="B545:D545"/>
    <mergeCell ref="A547:G547"/>
    <mergeCell ref="A548:F548"/>
    <mergeCell ref="B549:C549"/>
    <mergeCell ref="E549:F549"/>
    <mergeCell ref="B559:D559"/>
    <mergeCell ref="A561:G561"/>
    <mergeCell ref="A562:F562"/>
    <mergeCell ref="B563:C563"/>
    <mergeCell ref="E563:F563"/>
    <mergeCell ref="B573:D573"/>
    <mergeCell ref="A575:G575"/>
    <mergeCell ref="A576:F576"/>
    <mergeCell ref="B577:C577"/>
    <mergeCell ref="E577:F577"/>
    <mergeCell ref="B587:D587"/>
    <mergeCell ref="A589:G589"/>
    <mergeCell ref="A590:F590"/>
    <mergeCell ref="B591:C591"/>
    <mergeCell ref="E591:F591"/>
    <mergeCell ref="B601:D601"/>
    <mergeCell ref="A603:G603"/>
    <mergeCell ref="A604:F604"/>
    <mergeCell ref="B605:C605"/>
    <mergeCell ref="E605:F605"/>
    <mergeCell ref="B615:D615"/>
    <mergeCell ref="A617:G617"/>
    <mergeCell ref="A618:F618"/>
    <mergeCell ref="B619:C619"/>
    <mergeCell ref="E619:F619"/>
    <mergeCell ref="B629:D629"/>
    <mergeCell ref="A631:G631"/>
    <mergeCell ref="A632:F632"/>
    <mergeCell ref="B633:C633"/>
    <mergeCell ref="E633:F633"/>
    <mergeCell ref="B643:D643"/>
    <mergeCell ref="A645:G645"/>
    <mergeCell ref="A646:F646"/>
    <mergeCell ref="B647:C647"/>
    <mergeCell ref="E647:F647"/>
    <mergeCell ref="B657:D657"/>
    <mergeCell ref="A659:G659"/>
    <mergeCell ref="A660:F660"/>
    <mergeCell ref="B661:C661"/>
    <mergeCell ref="E661:F661"/>
    <mergeCell ref="B671:D671"/>
    <mergeCell ref="A673:G673"/>
    <mergeCell ref="A674:F674"/>
    <mergeCell ref="B675:C675"/>
    <mergeCell ref="E675:F675"/>
    <mergeCell ref="B685:D685"/>
    <mergeCell ref="A687:G687"/>
    <mergeCell ref="A688:F688"/>
    <mergeCell ref="B689:C689"/>
    <mergeCell ref="E689:F689"/>
    <mergeCell ref="B699:D699"/>
    <mergeCell ref="A701:G701"/>
    <mergeCell ref="A702:F702"/>
    <mergeCell ref="B703:C703"/>
    <mergeCell ref="E703:F703"/>
    <mergeCell ref="B713:D713"/>
    <mergeCell ref="A715:G715"/>
    <mergeCell ref="A716:F716"/>
    <mergeCell ref="B717:C717"/>
    <mergeCell ref="E717:F717"/>
    <mergeCell ref="B727:D727"/>
    <mergeCell ref="A729:G729"/>
    <mergeCell ref="A730:F730"/>
    <mergeCell ref="B731:C731"/>
    <mergeCell ref="E731:F731"/>
    <mergeCell ref="B741:D741"/>
    <mergeCell ref="A743:G743"/>
    <mergeCell ref="A744:F744"/>
    <mergeCell ref="B745:C745"/>
    <mergeCell ref="E745:F745"/>
    <mergeCell ref="B755:D755"/>
    <mergeCell ref="A757:G757"/>
    <mergeCell ref="A758:F758"/>
    <mergeCell ref="B759:C759"/>
    <mergeCell ref="E759:F759"/>
    <mergeCell ref="B769:D769"/>
    <mergeCell ref="A771:G771"/>
    <mergeCell ref="A772:F772"/>
    <mergeCell ref="B773:C773"/>
    <mergeCell ref="E773:F773"/>
    <mergeCell ref="B783:D783"/>
    <mergeCell ref="A785:G785"/>
    <mergeCell ref="A786:F786"/>
    <mergeCell ref="B787:C787"/>
    <mergeCell ref="E787:F787"/>
    <mergeCell ref="B797:D797"/>
    <mergeCell ref="A799:G799"/>
    <mergeCell ref="A800:F800"/>
    <mergeCell ref="B801:C801"/>
    <mergeCell ref="E801:F801"/>
    <mergeCell ref="B811:D811"/>
    <mergeCell ref="A813:G813"/>
    <mergeCell ref="A814:F814"/>
    <mergeCell ref="B815:C815"/>
    <mergeCell ref="E815:F815"/>
    <mergeCell ref="B825:D825"/>
    <mergeCell ref="A827:G827"/>
    <mergeCell ref="A828:F828"/>
    <mergeCell ref="B829:C829"/>
    <mergeCell ref="E829:F829"/>
    <mergeCell ref="B839:D839"/>
    <mergeCell ref="A841:G841"/>
    <mergeCell ref="A842:F842"/>
    <mergeCell ref="B843:C843"/>
    <mergeCell ref="E843:F843"/>
    <mergeCell ref="B853:D853"/>
    <mergeCell ref="A855:G855"/>
    <mergeCell ref="A856:F856"/>
    <mergeCell ref="B857:C857"/>
    <mergeCell ref="E857:F857"/>
    <mergeCell ref="B867:D867"/>
    <mergeCell ref="A869:G869"/>
    <mergeCell ref="A870:F870"/>
    <mergeCell ref="B871:C871"/>
    <mergeCell ref="E871:F871"/>
    <mergeCell ref="B881:D881"/>
    <mergeCell ref="A883:G883"/>
    <mergeCell ref="A884:F884"/>
    <mergeCell ref="B885:C885"/>
    <mergeCell ref="E885:F885"/>
    <mergeCell ref="B895:D895"/>
    <mergeCell ref="A897:G897"/>
    <mergeCell ref="A898:F898"/>
    <mergeCell ref="B899:C899"/>
    <mergeCell ref="E899:F899"/>
    <mergeCell ref="B909:D909"/>
    <mergeCell ref="A911:G911"/>
    <mergeCell ref="A912:F912"/>
    <mergeCell ref="B913:C913"/>
    <mergeCell ref="E913:F913"/>
    <mergeCell ref="B923:D923"/>
    <mergeCell ref="A925:G925"/>
    <mergeCell ref="A926:F926"/>
    <mergeCell ref="B927:C927"/>
    <mergeCell ref="E927:F927"/>
    <mergeCell ref="B937:D937"/>
    <mergeCell ref="A939:G939"/>
    <mergeCell ref="A940:F940"/>
    <mergeCell ref="B941:C941"/>
    <mergeCell ref="E941:F941"/>
    <mergeCell ref="B951:D951"/>
    <mergeCell ref="A953:G953"/>
    <mergeCell ref="A954:F954"/>
    <mergeCell ref="B955:C955"/>
    <mergeCell ref="E955:F955"/>
    <mergeCell ref="B965:D965"/>
    <mergeCell ref="A967:G967"/>
    <mergeCell ref="A968:F968"/>
    <mergeCell ref="B969:C969"/>
    <mergeCell ref="E969:F969"/>
    <mergeCell ref="B979:D979"/>
    <mergeCell ref="A981:G981"/>
    <mergeCell ref="A982:F982"/>
    <mergeCell ref="B983:C983"/>
    <mergeCell ref="E983:F983"/>
    <mergeCell ref="B993:D993"/>
    <mergeCell ref="A995:G995"/>
    <mergeCell ref="A996:F996"/>
    <mergeCell ref="B997:C997"/>
    <mergeCell ref="E997:F997"/>
    <mergeCell ref="B1007:D1007"/>
    <mergeCell ref="A1009:G1009"/>
    <mergeCell ref="A1010:F1010"/>
    <mergeCell ref="B1011:C1011"/>
    <mergeCell ref="E1011:F1011"/>
    <mergeCell ref="B1021:D1021"/>
    <mergeCell ref="A1023:G1023"/>
    <mergeCell ref="A1024:F1024"/>
    <mergeCell ref="B1025:C1025"/>
    <mergeCell ref="E1025:F1025"/>
    <mergeCell ref="B1035:D1035"/>
    <mergeCell ref="A1037:G1037"/>
    <mergeCell ref="A1038:F1038"/>
    <mergeCell ref="B1039:C1039"/>
    <mergeCell ref="E1039:F1039"/>
    <mergeCell ref="B1049:D1049"/>
    <mergeCell ref="A1051:G1051"/>
    <mergeCell ref="A1052:F1052"/>
    <mergeCell ref="B1053:C1053"/>
    <mergeCell ref="E1053:F1053"/>
    <mergeCell ref="B1063:D1063"/>
    <mergeCell ref="A1065:G1065"/>
    <mergeCell ref="A1066:F1066"/>
    <mergeCell ref="B1067:C1067"/>
    <mergeCell ref="E1067:F1067"/>
    <mergeCell ref="B1077:D1077"/>
    <mergeCell ref="A1079:G1079"/>
    <mergeCell ref="A1080:F1080"/>
    <mergeCell ref="B1081:C1081"/>
    <mergeCell ref="E1081:F1081"/>
    <mergeCell ref="B1091:D1091"/>
    <mergeCell ref="A1093:G1093"/>
    <mergeCell ref="A1094:F1094"/>
    <mergeCell ref="B1095:C1095"/>
    <mergeCell ref="E1095:F1095"/>
    <mergeCell ref="B1105:D1105"/>
    <mergeCell ref="A1107:G1107"/>
    <mergeCell ref="A1108:F1108"/>
    <mergeCell ref="B1109:C1109"/>
    <mergeCell ref="E1109:F1109"/>
    <mergeCell ref="B1119:D1119"/>
    <mergeCell ref="A1121:G1121"/>
    <mergeCell ref="A1122:F1122"/>
    <mergeCell ref="B1123:C1123"/>
    <mergeCell ref="E1123:F1123"/>
    <mergeCell ref="B1133:D1133"/>
    <mergeCell ref="A1135:G1135"/>
    <mergeCell ref="A1136:F1136"/>
    <mergeCell ref="B1137:C1137"/>
    <mergeCell ref="E1137:F1137"/>
    <mergeCell ref="B1147:D1147"/>
    <mergeCell ref="A1149:G1149"/>
    <mergeCell ref="A1150:F1150"/>
    <mergeCell ref="B1151:C1151"/>
    <mergeCell ref="E1151:F1151"/>
    <mergeCell ref="B1161:D1161"/>
    <mergeCell ref="A1163:G1163"/>
    <mergeCell ref="A1164:F1164"/>
    <mergeCell ref="B1165:C1165"/>
    <mergeCell ref="E1165:F1165"/>
    <mergeCell ref="B1175:D1175"/>
    <mergeCell ref="A1177:G1177"/>
    <mergeCell ref="A1178:F1178"/>
    <mergeCell ref="B1179:C1179"/>
    <mergeCell ref="E1179:F1179"/>
    <mergeCell ref="B1189:D1189"/>
    <mergeCell ref="A1191:G1191"/>
    <mergeCell ref="A1192:F1192"/>
    <mergeCell ref="B1193:C1193"/>
    <mergeCell ref="E1193:F1193"/>
    <mergeCell ref="B1203:D1203"/>
    <mergeCell ref="A1205:G1205"/>
    <mergeCell ref="A1206:F1206"/>
    <mergeCell ref="B1207:C1207"/>
    <mergeCell ref="E1207:F1207"/>
    <mergeCell ref="B1217:D1217"/>
    <mergeCell ref="A1219:G1219"/>
    <mergeCell ref="A1220:F1220"/>
    <mergeCell ref="B1221:C1221"/>
    <mergeCell ref="E1221:F1221"/>
    <mergeCell ref="B1231:D1231"/>
    <mergeCell ref="A1233:G1233"/>
    <mergeCell ref="A1234:F1234"/>
    <mergeCell ref="B1235:C1235"/>
    <mergeCell ref="E1235:F1235"/>
    <mergeCell ref="B1245:D1245"/>
    <mergeCell ref="A1247:G1247"/>
    <mergeCell ref="A1248:F1248"/>
    <mergeCell ref="B1249:C1249"/>
    <mergeCell ref="E1249:F1249"/>
    <mergeCell ref="B1259:D1259"/>
    <mergeCell ref="A1261:G1261"/>
    <mergeCell ref="A1262:F1262"/>
    <mergeCell ref="B1263:C1263"/>
    <mergeCell ref="E1263:F1263"/>
    <mergeCell ref="B1273:D1273"/>
    <mergeCell ref="A1275:G1275"/>
    <mergeCell ref="A1276:F1276"/>
    <mergeCell ref="B1277:C1277"/>
    <mergeCell ref="E1277:F1277"/>
    <mergeCell ref="B1287:D1287"/>
    <mergeCell ref="A1289:G1289"/>
    <mergeCell ref="A1290:F1290"/>
    <mergeCell ref="B1291:C1291"/>
    <mergeCell ref="E1291:F1291"/>
    <mergeCell ref="B1301:D1301"/>
    <mergeCell ref="A1303:G1303"/>
    <mergeCell ref="A1304:F1304"/>
    <mergeCell ref="B1305:C1305"/>
    <mergeCell ref="E1305:F1305"/>
    <mergeCell ref="B1315:D1315"/>
    <mergeCell ref="A1317:G1317"/>
    <mergeCell ref="A1318:F1318"/>
    <mergeCell ref="B1319:C1319"/>
    <mergeCell ref="E1319:F1319"/>
    <mergeCell ref="B1329:D1329"/>
    <mergeCell ref="A1331:G1331"/>
    <mergeCell ref="A1332:F1332"/>
    <mergeCell ref="B1333:C1333"/>
    <mergeCell ref="E1333:F1333"/>
    <mergeCell ref="B1343:D1343"/>
    <mergeCell ref="A1345:G1345"/>
    <mergeCell ref="A1346:F1346"/>
    <mergeCell ref="B1347:C1347"/>
    <mergeCell ref="E1347:F1347"/>
    <mergeCell ref="B1357:D1357"/>
    <mergeCell ref="A1359:G1359"/>
    <mergeCell ref="A1360:F1360"/>
    <mergeCell ref="B1361:C1361"/>
    <mergeCell ref="E1361:F1361"/>
    <mergeCell ref="B1371:D1371"/>
    <mergeCell ref="A1373:G1373"/>
    <mergeCell ref="A1374:F1374"/>
    <mergeCell ref="B1375:C1375"/>
    <mergeCell ref="E1375:F1375"/>
    <mergeCell ref="B1385:D1385"/>
    <mergeCell ref="A1387:G1387"/>
    <mergeCell ref="A1388:F1388"/>
    <mergeCell ref="B1389:C1389"/>
    <mergeCell ref="E1389:F1389"/>
    <mergeCell ref="B1399:D1399"/>
    <mergeCell ref="A1401:G1401"/>
    <mergeCell ref="A1402:F1402"/>
    <mergeCell ref="B1403:C1403"/>
    <mergeCell ref="E1403:F1403"/>
    <mergeCell ref="B1413:D1413"/>
    <mergeCell ref="A1415:G1415"/>
    <mergeCell ref="A1416:F1416"/>
    <mergeCell ref="B1417:C1417"/>
    <mergeCell ref="E1417:F1417"/>
    <mergeCell ref="B1427:D1427"/>
    <mergeCell ref="A1429:G1429"/>
    <mergeCell ref="A1430:F1430"/>
    <mergeCell ref="B1431:C1431"/>
    <mergeCell ref="E1431:F1431"/>
    <mergeCell ref="B1441:D1441"/>
    <mergeCell ref="A1443:G1443"/>
    <mergeCell ref="A1444:F1444"/>
    <mergeCell ref="B1445:C1445"/>
    <mergeCell ref="E1445:F1445"/>
    <mergeCell ref="B1455:D1455"/>
    <mergeCell ref="A1457:G1457"/>
    <mergeCell ref="A1458:F1458"/>
    <mergeCell ref="B1459:C1459"/>
    <mergeCell ref="E1459:F1459"/>
    <mergeCell ref="B1469:D1469"/>
    <mergeCell ref="A1471:G1471"/>
    <mergeCell ref="A1472:F1472"/>
    <mergeCell ref="B1473:C1473"/>
    <mergeCell ref="E1473:F1473"/>
    <mergeCell ref="B1483:D1483"/>
    <mergeCell ref="A1485:G1485"/>
    <mergeCell ref="A1486:F1486"/>
    <mergeCell ref="B1487:C1487"/>
    <mergeCell ref="E1487:F1487"/>
    <mergeCell ref="B1497:D1497"/>
    <mergeCell ref="A1499:G1499"/>
    <mergeCell ref="A1500:F1500"/>
    <mergeCell ref="B1501:C1501"/>
    <mergeCell ref="E1501:F1501"/>
    <mergeCell ref="B1511:D1511"/>
    <mergeCell ref="A1513:G1513"/>
    <mergeCell ref="A1514:F1514"/>
    <mergeCell ref="B1515:C1515"/>
    <mergeCell ref="E1515:F1515"/>
    <mergeCell ref="B1525:D1525"/>
    <mergeCell ref="A1527:G1527"/>
    <mergeCell ref="A1528:F1528"/>
    <mergeCell ref="B1529:C1529"/>
    <mergeCell ref="E1529:F1529"/>
    <mergeCell ref="B1539:D1539"/>
    <mergeCell ref="A1541:G1541"/>
    <mergeCell ref="A1542:F1542"/>
    <mergeCell ref="B1543:C1543"/>
    <mergeCell ref="E1543:F1543"/>
    <mergeCell ref="B1553:D1553"/>
    <mergeCell ref="A1555:G1555"/>
    <mergeCell ref="A1556:F1556"/>
    <mergeCell ref="B1557:C1557"/>
    <mergeCell ref="E1557:F1557"/>
    <mergeCell ref="B1567:D1567"/>
    <mergeCell ref="A1569:G1569"/>
    <mergeCell ref="A1570:F1570"/>
    <mergeCell ref="B1571:C1571"/>
    <mergeCell ref="E1571:F1571"/>
    <mergeCell ref="B1581:D1581"/>
    <mergeCell ref="A1583:G1583"/>
    <mergeCell ref="A1584:F1584"/>
    <mergeCell ref="B1585:C1585"/>
    <mergeCell ref="E1585:F1585"/>
    <mergeCell ref="B1595:D1595"/>
    <mergeCell ref="A1597:G1597"/>
    <mergeCell ref="A1598:F1598"/>
    <mergeCell ref="B1599:C1599"/>
    <mergeCell ref="E1599:F1599"/>
    <mergeCell ref="B1609:D1609"/>
    <mergeCell ref="A1611:G1611"/>
    <mergeCell ref="A1612:F1612"/>
    <mergeCell ref="B1613:C1613"/>
    <mergeCell ref="E1613:F1613"/>
    <mergeCell ref="B1623:D1623"/>
    <mergeCell ref="A1625:G1625"/>
    <mergeCell ref="A1626:F1626"/>
    <mergeCell ref="B1627:C1627"/>
    <mergeCell ref="E1627:F1627"/>
    <mergeCell ref="B1637:D1637"/>
    <mergeCell ref="A1639:G1639"/>
    <mergeCell ref="A1640:F1640"/>
    <mergeCell ref="B1641:C1641"/>
    <mergeCell ref="E1641:F1641"/>
    <mergeCell ref="B1651:D1651"/>
    <mergeCell ref="A1653:G1653"/>
    <mergeCell ref="A1654:F1654"/>
    <mergeCell ref="B1655:C1655"/>
    <mergeCell ref="E1655:F1655"/>
    <mergeCell ref="B1665:D1665"/>
    <mergeCell ref="A1667:G1667"/>
    <mergeCell ref="A1668:F1668"/>
    <mergeCell ref="B1669:C1669"/>
    <mergeCell ref="E1669:F1669"/>
    <mergeCell ref="B1679:D1679"/>
    <mergeCell ref="A1681:G1681"/>
    <mergeCell ref="A1682:F1682"/>
    <mergeCell ref="B1683:C1683"/>
    <mergeCell ref="E1683:F1683"/>
    <mergeCell ref="B1693:D1693"/>
    <mergeCell ref="A1695:G1695"/>
    <mergeCell ref="A1696:F1696"/>
    <mergeCell ref="B1697:C1697"/>
    <mergeCell ref="E1697:F1697"/>
    <mergeCell ref="B1707:D1707"/>
    <mergeCell ref="A1709:G1709"/>
    <mergeCell ref="A1710:F1710"/>
    <mergeCell ref="B1711:C1711"/>
    <mergeCell ref="E1711:F1711"/>
    <mergeCell ref="B1721:D1721"/>
    <mergeCell ref="A1723:G1723"/>
    <mergeCell ref="A1724:F1724"/>
    <mergeCell ref="B1725:C1725"/>
    <mergeCell ref="E1725:F1725"/>
    <mergeCell ref="B1735:D1735"/>
    <mergeCell ref="A1737:G1737"/>
    <mergeCell ref="A1738:F1738"/>
    <mergeCell ref="B1739:C1739"/>
    <mergeCell ref="E1739:F1739"/>
    <mergeCell ref="B1749:D1749"/>
    <mergeCell ref="A1751:G1751"/>
    <mergeCell ref="A1752:F1752"/>
    <mergeCell ref="B1753:C1753"/>
    <mergeCell ref="E1753:F1753"/>
    <mergeCell ref="B1763:D1763"/>
    <mergeCell ref="A1765:G1765"/>
    <mergeCell ref="A1766:F1766"/>
    <mergeCell ref="B1767:C1767"/>
    <mergeCell ref="E1767:F1767"/>
    <mergeCell ref="B1777:D1777"/>
    <mergeCell ref="A1779:G1779"/>
    <mergeCell ref="A1780:F1780"/>
    <mergeCell ref="B1781:C1781"/>
    <mergeCell ref="E1781:F1781"/>
    <mergeCell ref="B1791:D1791"/>
    <mergeCell ref="A1793:G1793"/>
    <mergeCell ref="A1794:F1794"/>
    <mergeCell ref="B1795:C1795"/>
    <mergeCell ref="E1795:F1795"/>
    <mergeCell ref="B1805:D1805"/>
    <mergeCell ref="A1807:G1807"/>
    <mergeCell ref="A1808:F1808"/>
    <mergeCell ref="B1809:C1809"/>
    <mergeCell ref="E1809:F1809"/>
    <mergeCell ref="B1819:D1819"/>
    <mergeCell ref="A1821:G1821"/>
    <mergeCell ref="A1822:F1822"/>
    <mergeCell ref="B1823:C1823"/>
    <mergeCell ref="E1823:F1823"/>
    <mergeCell ref="B1833:D1833"/>
    <mergeCell ref="A1835:G1835"/>
    <mergeCell ref="A1836:F1836"/>
    <mergeCell ref="B1837:C1837"/>
    <mergeCell ref="E1837:F1837"/>
    <mergeCell ref="B1847:D1847"/>
    <mergeCell ref="A1849:G1849"/>
    <mergeCell ref="A1850:F1850"/>
    <mergeCell ref="B1851:C1851"/>
    <mergeCell ref="E1851:F1851"/>
    <mergeCell ref="B1861:D1861"/>
    <mergeCell ref="A1863:G1863"/>
    <mergeCell ref="A1864:F1864"/>
    <mergeCell ref="B1865:C1865"/>
    <mergeCell ref="E1865:F1865"/>
    <mergeCell ref="B1875:D1875"/>
    <mergeCell ref="A1877:G1877"/>
    <mergeCell ref="A1878:F1878"/>
    <mergeCell ref="B1879:C1879"/>
    <mergeCell ref="E1879:F1879"/>
    <mergeCell ref="B1889:D1889"/>
    <mergeCell ref="A1891:G1891"/>
    <mergeCell ref="A1892:F1892"/>
    <mergeCell ref="B1893:C1893"/>
    <mergeCell ref="E1893:F1893"/>
    <mergeCell ref="B1903:D1903"/>
    <mergeCell ref="A1905:G1905"/>
    <mergeCell ref="A1906:F1906"/>
    <mergeCell ref="B1907:C1907"/>
    <mergeCell ref="E1907:F1907"/>
    <mergeCell ref="B1917:D1917"/>
    <mergeCell ref="A1919:G1919"/>
    <mergeCell ref="A1920:F1920"/>
    <mergeCell ref="B1921:C1921"/>
    <mergeCell ref="E1921:F1921"/>
    <mergeCell ref="B1931:D1931"/>
    <mergeCell ref="A1933:G1933"/>
    <mergeCell ref="A1934:F1934"/>
    <mergeCell ref="B1935:C1935"/>
    <mergeCell ref="E1935:F1935"/>
    <mergeCell ref="B1945:D1945"/>
    <mergeCell ref="A1947:G1947"/>
    <mergeCell ref="A1948:F1948"/>
    <mergeCell ref="B1949:C1949"/>
    <mergeCell ref="E1949:F1949"/>
    <mergeCell ref="B1959:D1959"/>
    <mergeCell ref="A1961:G1961"/>
    <mergeCell ref="A1962:F1962"/>
    <mergeCell ref="B1963:C1963"/>
    <mergeCell ref="E1963:F1963"/>
    <mergeCell ref="B1973:D1973"/>
    <mergeCell ref="A1975:G1975"/>
    <mergeCell ref="A1976:F1976"/>
    <mergeCell ref="B1977:C1977"/>
    <mergeCell ref="E1977:F1977"/>
    <mergeCell ref="B1987:D1987"/>
    <mergeCell ref="A1989:G1989"/>
    <mergeCell ref="A1990:F1990"/>
    <mergeCell ref="B1991:C1991"/>
    <mergeCell ref="E1991:F1991"/>
    <mergeCell ref="B2001:D2001"/>
    <mergeCell ref="A2003:G2003"/>
    <mergeCell ref="A2004:F2004"/>
    <mergeCell ref="B2005:C2005"/>
    <mergeCell ref="E2005:F2005"/>
    <mergeCell ref="B2015:D2015"/>
    <mergeCell ref="A2017:G2017"/>
    <mergeCell ref="A2018:F2018"/>
    <mergeCell ref="B2019:C2019"/>
    <mergeCell ref="E2019:F2019"/>
    <mergeCell ref="B2029:D2029"/>
    <mergeCell ref="A2031:G2031"/>
    <mergeCell ref="A2032:F2032"/>
    <mergeCell ref="B2033:C2033"/>
    <mergeCell ref="E2033:F2033"/>
    <mergeCell ref="B2043:D2043"/>
    <mergeCell ref="A2045:G2045"/>
    <mergeCell ref="A2046:F2046"/>
    <mergeCell ref="B2047:C2047"/>
    <mergeCell ref="E2047:F2047"/>
    <mergeCell ref="B2057:D2057"/>
    <mergeCell ref="A2059:G2059"/>
    <mergeCell ref="A2060:F2060"/>
    <mergeCell ref="B2061:C2061"/>
    <mergeCell ref="E2061:F2061"/>
    <mergeCell ref="B2071:D2071"/>
    <mergeCell ref="A2073:G2073"/>
    <mergeCell ref="A2074:F2074"/>
    <mergeCell ref="B2075:C2075"/>
    <mergeCell ref="E2075:F2075"/>
    <mergeCell ref="B2085:D2085"/>
    <mergeCell ref="A2087:G2087"/>
    <mergeCell ref="A2088:F2088"/>
    <mergeCell ref="B2089:C2089"/>
    <mergeCell ref="E2089:F2089"/>
    <mergeCell ref="B2099:D2099"/>
    <mergeCell ref="A2101:G2101"/>
    <mergeCell ref="A2102:F2102"/>
    <mergeCell ref="B2103:C2103"/>
    <mergeCell ref="E2103:F2103"/>
    <mergeCell ref="B2113:D2113"/>
    <mergeCell ref="A2115:G2115"/>
    <mergeCell ref="A2116:F2116"/>
    <mergeCell ref="B2117:C2117"/>
    <mergeCell ref="E2117:F2117"/>
    <mergeCell ref="B2127:D2127"/>
    <mergeCell ref="A2129:G2129"/>
    <mergeCell ref="A2130:F2130"/>
    <mergeCell ref="B2131:C2131"/>
    <mergeCell ref="E2131:F2131"/>
    <mergeCell ref="B2141:D2141"/>
    <mergeCell ref="A2143:G2143"/>
    <mergeCell ref="A2144:F2144"/>
    <mergeCell ref="B2145:C2145"/>
    <mergeCell ref="E2145:F2145"/>
    <mergeCell ref="B2155:D2155"/>
    <mergeCell ref="A2157:G2157"/>
    <mergeCell ref="A2158:F2158"/>
    <mergeCell ref="B2159:C2159"/>
    <mergeCell ref="E2159:F2159"/>
    <mergeCell ref="B2169:D2169"/>
    <mergeCell ref="A2171:G2171"/>
    <mergeCell ref="A2172:F2172"/>
    <mergeCell ref="B2173:C2173"/>
    <mergeCell ref="E2173:F2173"/>
    <mergeCell ref="B2183:D2183"/>
    <mergeCell ref="A2185:G2185"/>
    <mergeCell ref="A2186:F2186"/>
    <mergeCell ref="B2187:C2187"/>
    <mergeCell ref="E2187:F2187"/>
    <mergeCell ref="B2197:D2197"/>
    <mergeCell ref="A2199:G2199"/>
    <mergeCell ref="A2200:F2200"/>
    <mergeCell ref="B2201:C2201"/>
    <mergeCell ref="E2201:F2201"/>
    <mergeCell ref="B2211:D2211"/>
    <mergeCell ref="A2213:G2213"/>
    <mergeCell ref="A2214:F2214"/>
    <mergeCell ref="B2215:C2215"/>
    <mergeCell ref="E2215:F2215"/>
    <mergeCell ref="B2225:D2225"/>
    <mergeCell ref="A2227:G2227"/>
    <mergeCell ref="A2228:F2228"/>
    <mergeCell ref="B2229:C2229"/>
    <mergeCell ref="E2229:F2229"/>
    <mergeCell ref="B2239:D2239"/>
    <mergeCell ref="A2241:G2241"/>
    <mergeCell ref="A2242:F2242"/>
    <mergeCell ref="B2243:C2243"/>
    <mergeCell ref="E2243:F2243"/>
    <mergeCell ref="B2253:D2253"/>
    <mergeCell ref="A2255:G2255"/>
    <mergeCell ref="A2256:F2256"/>
    <mergeCell ref="B2257:C2257"/>
    <mergeCell ref="E2257:F2257"/>
    <mergeCell ref="B2267:D2267"/>
    <mergeCell ref="A2269:G2269"/>
    <mergeCell ref="A2270:F2270"/>
    <mergeCell ref="B2271:C2271"/>
    <mergeCell ref="E2271:F2271"/>
    <mergeCell ref="B2281:D2281"/>
    <mergeCell ref="A2283:G2283"/>
    <mergeCell ref="A2284:F2284"/>
    <mergeCell ref="B2285:C2285"/>
    <mergeCell ref="E2285:F2285"/>
    <mergeCell ref="B2295:D2295"/>
    <mergeCell ref="A2297:G2297"/>
    <mergeCell ref="A2298:F2298"/>
    <mergeCell ref="B2299:C2299"/>
    <mergeCell ref="E2299:F2299"/>
    <mergeCell ref="B2309:D2309"/>
    <mergeCell ref="A2311:G2311"/>
    <mergeCell ref="A2312:F2312"/>
    <mergeCell ref="B2313:C2313"/>
    <mergeCell ref="E2313:F2313"/>
    <mergeCell ref="B2323:D2323"/>
    <mergeCell ref="A2325:G2325"/>
    <mergeCell ref="A2326:F2326"/>
    <mergeCell ref="B2327:C2327"/>
    <mergeCell ref="E2327:F2327"/>
    <mergeCell ref="B2337:D2337"/>
    <mergeCell ref="A2339:G2339"/>
    <mergeCell ref="A2340:F2340"/>
    <mergeCell ref="B2341:C2341"/>
    <mergeCell ref="E2341:F2341"/>
    <mergeCell ref="B2351:D2351"/>
    <mergeCell ref="A2353:G2353"/>
    <mergeCell ref="A2354:F2354"/>
    <mergeCell ref="B2355:C2355"/>
    <mergeCell ref="E2355:F2355"/>
    <mergeCell ref="B2365:D2365"/>
    <mergeCell ref="A2367:G2367"/>
    <mergeCell ref="A2368:F2368"/>
    <mergeCell ref="B2369:C2369"/>
    <mergeCell ref="E2369:F2369"/>
    <mergeCell ref="B2379:D2379"/>
    <mergeCell ref="A2381:G2381"/>
    <mergeCell ref="A2382:F2382"/>
    <mergeCell ref="B2383:C2383"/>
    <mergeCell ref="E2383:F2383"/>
    <mergeCell ref="B2393:D2393"/>
    <mergeCell ref="A2395:G2395"/>
    <mergeCell ref="A2396:F2396"/>
    <mergeCell ref="B2397:C2397"/>
    <mergeCell ref="E2397:F2397"/>
    <mergeCell ref="B2407:D2407"/>
    <mergeCell ref="A2409:G2409"/>
    <mergeCell ref="A2410:F2410"/>
    <mergeCell ref="B2411:C2411"/>
    <mergeCell ref="E2411:F2411"/>
    <mergeCell ref="B2421:D2421"/>
    <mergeCell ref="A2423:G2423"/>
    <mergeCell ref="A2424:F2424"/>
    <mergeCell ref="B2425:C2425"/>
    <mergeCell ref="E2425:F2425"/>
    <mergeCell ref="B2435:D2435"/>
    <mergeCell ref="A2437:G2437"/>
    <mergeCell ref="A2438:F2438"/>
    <mergeCell ref="B2439:C2439"/>
    <mergeCell ref="E2439:F2439"/>
    <mergeCell ref="B2449:D2449"/>
    <mergeCell ref="A2451:G2451"/>
    <mergeCell ref="A2452:F2452"/>
    <mergeCell ref="B2453:C2453"/>
    <mergeCell ref="E2453:F2453"/>
    <mergeCell ref="B2463:D2463"/>
    <mergeCell ref="A2465:G2465"/>
    <mergeCell ref="A2466:F2466"/>
    <mergeCell ref="B2467:C2467"/>
    <mergeCell ref="E2467:F2467"/>
    <mergeCell ref="B2477:D2477"/>
    <mergeCell ref="A2479:G2479"/>
    <mergeCell ref="A2480:F2480"/>
    <mergeCell ref="B2481:C2481"/>
    <mergeCell ref="E2481:F2481"/>
    <mergeCell ref="B2491:D2491"/>
    <mergeCell ref="A2493:G2493"/>
    <mergeCell ref="A2494:F2494"/>
    <mergeCell ref="B2495:C2495"/>
    <mergeCell ref="E2495:F2495"/>
    <mergeCell ref="B2505:D2505"/>
    <mergeCell ref="A2507:G2507"/>
    <mergeCell ref="A2508:F2508"/>
    <mergeCell ref="B2509:C2509"/>
    <mergeCell ref="E2509:F2509"/>
    <mergeCell ref="B2519:D2519"/>
    <mergeCell ref="A2521:G2521"/>
    <mergeCell ref="A2522:F2522"/>
    <mergeCell ref="B2523:C2523"/>
    <mergeCell ref="E2523:F2523"/>
    <mergeCell ref="B2533:D2533"/>
    <mergeCell ref="A2535:G2535"/>
    <mergeCell ref="A2536:F2536"/>
    <mergeCell ref="B2537:C2537"/>
    <mergeCell ref="E2537:F2537"/>
    <mergeCell ref="B2547:D2547"/>
    <mergeCell ref="A2549:G2549"/>
    <mergeCell ref="A2550:F2550"/>
    <mergeCell ref="B2551:C2551"/>
    <mergeCell ref="E2551:F2551"/>
    <mergeCell ref="B2561:D2561"/>
    <mergeCell ref="A2563:G2563"/>
    <mergeCell ref="A2564:F2564"/>
    <mergeCell ref="B2565:C2565"/>
    <mergeCell ref="E2565:F2565"/>
    <mergeCell ref="B2575:D2575"/>
    <mergeCell ref="A2577:G2577"/>
    <mergeCell ref="A2578:F2578"/>
    <mergeCell ref="B2579:C2579"/>
    <mergeCell ref="E2579:F2579"/>
    <mergeCell ref="B2589:D2589"/>
    <mergeCell ref="A2591:G2591"/>
    <mergeCell ref="A2592:F2592"/>
    <mergeCell ref="B2593:C2593"/>
    <mergeCell ref="E2593:F2593"/>
    <mergeCell ref="B2603:D2603"/>
    <mergeCell ref="A2605:G2605"/>
    <mergeCell ref="A2606:F2606"/>
    <mergeCell ref="B2607:C2607"/>
    <mergeCell ref="E2607:F2607"/>
    <mergeCell ref="B2617:D2617"/>
    <mergeCell ref="A2619:G2619"/>
    <mergeCell ref="A2620:F2620"/>
    <mergeCell ref="B2621:C2621"/>
    <mergeCell ref="E2621:F2621"/>
    <mergeCell ref="B2631:D2631"/>
    <mergeCell ref="A2633:G2633"/>
    <mergeCell ref="A2634:F2634"/>
    <mergeCell ref="B2635:C2635"/>
    <mergeCell ref="E2635:F2635"/>
    <mergeCell ref="B2645:D2645"/>
    <mergeCell ref="A2647:G2647"/>
    <mergeCell ref="A2648:F2648"/>
    <mergeCell ref="B2649:C2649"/>
    <mergeCell ref="E2649:F2649"/>
    <mergeCell ref="B2659:D2659"/>
    <mergeCell ref="A2661:G2661"/>
    <mergeCell ref="A2662:F2662"/>
    <mergeCell ref="B2663:C2663"/>
    <mergeCell ref="E2663:F2663"/>
    <mergeCell ref="B2673:D2673"/>
    <mergeCell ref="A2675:G2675"/>
    <mergeCell ref="A2676:F2676"/>
    <mergeCell ref="B2677:C2677"/>
    <mergeCell ref="E2677:F2677"/>
    <mergeCell ref="B2687:D2687"/>
    <mergeCell ref="A2689:G2689"/>
    <mergeCell ref="A2690:F2690"/>
    <mergeCell ref="B2691:C2691"/>
    <mergeCell ref="E2691:F2691"/>
    <mergeCell ref="B2701:D2701"/>
    <mergeCell ref="A2703:G2703"/>
    <mergeCell ref="A2704:F2704"/>
    <mergeCell ref="B2705:C2705"/>
    <mergeCell ref="E2705:F2705"/>
    <mergeCell ref="B2715:D2715"/>
    <mergeCell ref="A2717:G2717"/>
    <mergeCell ref="A2718:F2718"/>
    <mergeCell ref="B2719:C2719"/>
    <mergeCell ref="E2719:F2719"/>
    <mergeCell ref="B2729:D2729"/>
    <mergeCell ref="A2731:G2731"/>
    <mergeCell ref="A2732:F2732"/>
    <mergeCell ref="B2733:C2733"/>
    <mergeCell ref="E2733:F2733"/>
    <mergeCell ref="B2743:D2743"/>
    <mergeCell ref="A2745:G2745"/>
    <mergeCell ref="A2746:F2746"/>
    <mergeCell ref="B2747:C2747"/>
    <mergeCell ref="E2747:F2747"/>
    <mergeCell ref="B2757:D2757"/>
    <mergeCell ref="A2759:G2759"/>
    <mergeCell ref="A2760:F2760"/>
    <mergeCell ref="B2761:C2761"/>
    <mergeCell ref="E2761:F2761"/>
    <mergeCell ref="B2771:D2771"/>
    <mergeCell ref="A2773:G2773"/>
    <mergeCell ref="A2774:F2774"/>
    <mergeCell ref="B2775:C2775"/>
    <mergeCell ref="E2775:F2775"/>
    <mergeCell ref="B2785:D2785"/>
    <mergeCell ref="A2787:G2787"/>
    <mergeCell ref="A2788:F2788"/>
    <mergeCell ref="B2789:C2789"/>
    <mergeCell ref="E2789:F2789"/>
    <mergeCell ref="B2799:D2799"/>
    <mergeCell ref="A2801:G2801"/>
    <mergeCell ref="A2802:F2802"/>
    <mergeCell ref="B2803:C2803"/>
    <mergeCell ref="E2803:F2803"/>
    <mergeCell ref="B2813:D2813"/>
    <mergeCell ref="A2815:G2815"/>
    <mergeCell ref="A2816:F2816"/>
    <mergeCell ref="B2817:C2817"/>
    <mergeCell ref="E2817:F2817"/>
    <mergeCell ref="B2827:D2827"/>
    <mergeCell ref="A2829:G2829"/>
    <mergeCell ref="A2830:F2830"/>
    <mergeCell ref="B2831:C2831"/>
    <mergeCell ref="E2831:F2831"/>
    <mergeCell ref="B2841:D2841"/>
    <mergeCell ref="A2843:G2843"/>
    <mergeCell ref="A2844:F2844"/>
    <mergeCell ref="B2845:C2845"/>
    <mergeCell ref="E2845:F2845"/>
    <mergeCell ref="B2855:D2855"/>
    <mergeCell ref="A2857:G2857"/>
    <mergeCell ref="A2858:F2858"/>
    <mergeCell ref="B2859:C2859"/>
    <mergeCell ref="E2859:F2859"/>
    <mergeCell ref="B2869:D2869"/>
    <mergeCell ref="A2871:G2871"/>
    <mergeCell ref="A2872:F2872"/>
    <mergeCell ref="B2873:C2873"/>
    <mergeCell ref="E2873:F2873"/>
    <mergeCell ref="B2883:D2883"/>
    <mergeCell ref="A2885:G2885"/>
    <mergeCell ref="A2886:F2886"/>
    <mergeCell ref="B2887:C2887"/>
    <mergeCell ref="E2887:F2887"/>
    <mergeCell ref="B2897:D2897"/>
    <mergeCell ref="A2899:G2899"/>
    <mergeCell ref="A2900:F2900"/>
    <mergeCell ref="B2901:C2901"/>
    <mergeCell ref="E2901:F2901"/>
    <mergeCell ref="B2911:D2911"/>
    <mergeCell ref="A2913:G2913"/>
    <mergeCell ref="A2914:F2914"/>
    <mergeCell ref="B2915:C2915"/>
    <mergeCell ref="E2915:F2915"/>
    <mergeCell ref="B2925:D2925"/>
    <mergeCell ref="A2927:G2927"/>
    <mergeCell ref="A2928:F2928"/>
    <mergeCell ref="B2929:C2929"/>
    <mergeCell ref="E2929:F2929"/>
    <mergeCell ref="B2939:D2939"/>
    <mergeCell ref="A2941:G2941"/>
    <mergeCell ref="A2942:F2942"/>
    <mergeCell ref="B2943:C2943"/>
    <mergeCell ref="E2943:F2943"/>
    <mergeCell ref="B2953:D2953"/>
    <mergeCell ref="A2955:G2955"/>
    <mergeCell ref="A2956:F2956"/>
    <mergeCell ref="B2957:C2957"/>
    <mergeCell ref="E2957:F2957"/>
    <mergeCell ref="B2967:D2967"/>
    <mergeCell ref="A2969:G2969"/>
    <mergeCell ref="A2970:F2970"/>
    <mergeCell ref="B2971:C2971"/>
    <mergeCell ref="E2971:F2971"/>
    <mergeCell ref="B2981:D2981"/>
    <mergeCell ref="A2983:G2983"/>
    <mergeCell ref="A2984:F2984"/>
    <mergeCell ref="B2985:C2985"/>
    <mergeCell ref="E2985:F2985"/>
    <mergeCell ref="B2995:D2995"/>
    <mergeCell ref="A2997:G2997"/>
    <mergeCell ref="A2998:F2998"/>
    <mergeCell ref="B2999:C2999"/>
    <mergeCell ref="E2999:F2999"/>
    <mergeCell ref="B3009:D3009"/>
    <mergeCell ref="A3011:G3011"/>
    <mergeCell ref="A3012:F3012"/>
    <mergeCell ref="B3013:C3013"/>
    <mergeCell ref="E3013:F3013"/>
    <mergeCell ref="B3023:D3023"/>
    <mergeCell ref="A3025:G3025"/>
    <mergeCell ref="A3026:F3026"/>
    <mergeCell ref="B3027:C3027"/>
    <mergeCell ref="E3027:F3027"/>
    <mergeCell ref="B3037:D3037"/>
    <mergeCell ref="A3039:G3039"/>
    <mergeCell ref="A3040:F3040"/>
    <mergeCell ref="B3041:C3041"/>
    <mergeCell ref="E3041:F3041"/>
    <mergeCell ref="B3051:D3051"/>
    <mergeCell ref="A3053:G3053"/>
    <mergeCell ref="A3054:F3054"/>
    <mergeCell ref="B3055:C3055"/>
    <mergeCell ref="E3055:F3055"/>
    <mergeCell ref="B3065:D3065"/>
    <mergeCell ref="A3067:G3067"/>
    <mergeCell ref="A3068:F3068"/>
    <mergeCell ref="B3069:C3069"/>
    <mergeCell ref="E3069:F3069"/>
    <mergeCell ref="B3079:D3079"/>
    <mergeCell ref="A3081:G3081"/>
    <mergeCell ref="A3082:F3082"/>
    <mergeCell ref="B3083:C3083"/>
    <mergeCell ref="E3083:F3083"/>
    <mergeCell ref="B3093:D3093"/>
    <mergeCell ref="A3095:G3095"/>
    <mergeCell ref="A3096:F3096"/>
    <mergeCell ref="B3097:C3097"/>
    <mergeCell ref="E3097:F3097"/>
    <mergeCell ref="B3107:D3107"/>
    <mergeCell ref="A3109:G3109"/>
    <mergeCell ref="A3110:F3110"/>
    <mergeCell ref="B3111:C3111"/>
    <mergeCell ref="E3111:F3111"/>
    <mergeCell ref="B3121:D3121"/>
    <mergeCell ref="A3123:G3123"/>
    <mergeCell ref="A3124:F3124"/>
    <mergeCell ref="B3125:C3125"/>
    <mergeCell ref="E3125:F3125"/>
    <mergeCell ref="B3135:D3135"/>
    <mergeCell ref="A3137:G3137"/>
    <mergeCell ref="A3138:F3138"/>
    <mergeCell ref="B3139:C3139"/>
    <mergeCell ref="E3139:F3139"/>
    <mergeCell ref="B3149:D3149"/>
    <mergeCell ref="A3151:G3151"/>
    <mergeCell ref="A3152:F3152"/>
    <mergeCell ref="B3153:C3153"/>
    <mergeCell ref="E3153:F3153"/>
    <mergeCell ref="B3163:D3163"/>
    <mergeCell ref="A3165:G3165"/>
    <mergeCell ref="A3166:F3166"/>
    <mergeCell ref="B3167:C3167"/>
    <mergeCell ref="E3167:F3167"/>
    <mergeCell ref="B3177:D3177"/>
    <mergeCell ref="A3179:G3179"/>
    <mergeCell ref="A3180:F3180"/>
    <mergeCell ref="B3181:C3181"/>
    <mergeCell ref="E3181:F3181"/>
    <mergeCell ref="B3191:D3191"/>
    <mergeCell ref="A3193:G3193"/>
    <mergeCell ref="A3194:F3194"/>
    <mergeCell ref="B3195:C3195"/>
    <mergeCell ref="E3195:F3195"/>
    <mergeCell ref="B3205:D3205"/>
    <mergeCell ref="A3207:G3207"/>
    <mergeCell ref="A3208:F3208"/>
    <mergeCell ref="B3209:C3209"/>
    <mergeCell ref="E3209:F3209"/>
    <mergeCell ref="B3219:D3219"/>
    <mergeCell ref="A3221:G3221"/>
    <mergeCell ref="A3222:F3222"/>
    <mergeCell ref="B3223:C3223"/>
    <mergeCell ref="E3223:F3223"/>
    <mergeCell ref="B3233:D3233"/>
    <mergeCell ref="A3235:G3235"/>
    <mergeCell ref="A3236:F3236"/>
    <mergeCell ref="B3237:C3237"/>
    <mergeCell ref="E3237:F3237"/>
    <mergeCell ref="B3247:D3247"/>
    <mergeCell ref="A3249:G3249"/>
    <mergeCell ref="A3250:F3250"/>
    <mergeCell ref="B3251:C3251"/>
    <mergeCell ref="E3251:F3251"/>
    <mergeCell ref="B3261:D3261"/>
    <mergeCell ref="A3263:G3263"/>
    <mergeCell ref="A3264:F3264"/>
    <mergeCell ref="B3265:C3265"/>
    <mergeCell ref="E3265:F3265"/>
    <mergeCell ref="B3275:D3275"/>
    <mergeCell ref="A3277:G3277"/>
    <mergeCell ref="A3278:F3278"/>
    <mergeCell ref="B3279:C3279"/>
    <mergeCell ref="E3279:F3279"/>
    <mergeCell ref="B3289:D3289"/>
    <mergeCell ref="A3291:G3291"/>
    <mergeCell ref="A3292:F3292"/>
    <mergeCell ref="B3293:C3293"/>
    <mergeCell ref="E3293:F3293"/>
    <mergeCell ref="B3303:D3303"/>
    <mergeCell ref="A3305:G3305"/>
    <mergeCell ref="A3306:F3306"/>
    <mergeCell ref="B3307:C3307"/>
    <mergeCell ref="E3307:F3307"/>
    <mergeCell ref="B3317:D3317"/>
    <mergeCell ref="A3319:G3319"/>
    <mergeCell ref="A3320:F3320"/>
    <mergeCell ref="B3321:C3321"/>
    <mergeCell ref="E3321:F3321"/>
    <mergeCell ref="B3331:D3331"/>
    <mergeCell ref="A3333:G3333"/>
    <mergeCell ref="A3334:F3334"/>
    <mergeCell ref="B3335:C3335"/>
    <mergeCell ref="E3335:F3335"/>
    <mergeCell ref="B3345:D3345"/>
    <mergeCell ref="A3347:G3347"/>
    <mergeCell ref="A3348:F3348"/>
    <mergeCell ref="B3349:C3349"/>
    <mergeCell ref="E3349:F3349"/>
    <mergeCell ref="B3359:D3359"/>
    <mergeCell ref="A3361:G3361"/>
    <mergeCell ref="A3362:F3362"/>
    <mergeCell ref="B3363:C3363"/>
    <mergeCell ref="E3363:F3363"/>
    <mergeCell ref="B3373:D3373"/>
    <mergeCell ref="A3375:G3375"/>
    <mergeCell ref="A3376:F3376"/>
    <mergeCell ref="B3377:C3377"/>
    <mergeCell ref="E3377:F3377"/>
    <mergeCell ref="B3387:D3387"/>
    <mergeCell ref="A3389:G3389"/>
    <mergeCell ref="A3390:F3390"/>
    <mergeCell ref="B3391:C3391"/>
    <mergeCell ref="E3391:F3391"/>
    <mergeCell ref="B3401:D3401"/>
    <mergeCell ref="A3403:G3403"/>
    <mergeCell ref="A3404:F3404"/>
    <mergeCell ref="B3405:C3405"/>
    <mergeCell ref="E3405:F3405"/>
    <mergeCell ref="B3415:D3415"/>
    <mergeCell ref="A3417:G3417"/>
    <mergeCell ref="A3418:F3418"/>
    <mergeCell ref="B3419:C3419"/>
    <mergeCell ref="E3419:F3419"/>
    <mergeCell ref="B3429:D3429"/>
    <mergeCell ref="A3431:G3431"/>
    <mergeCell ref="A3432:F3432"/>
    <mergeCell ref="B3433:C3433"/>
    <mergeCell ref="E3433:F3433"/>
    <mergeCell ref="B3443:D3443"/>
    <mergeCell ref="A3445:G3445"/>
    <mergeCell ref="A3446:F3446"/>
    <mergeCell ref="B3447:C3447"/>
    <mergeCell ref="E3447:F3447"/>
    <mergeCell ref="B3457:D3457"/>
    <mergeCell ref="A3459:G3459"/>
    <mergeCell ref="A3460:F3460"/>
    <mergeCell ref="B3461:C3461"/>
    <mergeCell ref="E3461:F3461"/>
    <mergeCell ref="B3471:D3471"/>
    <mergeCell ref="A3473:G3473"/>
    <mergeCell ref="A3474:F3474"/>
    <mergeCell ref="B3475:C3475"/>
    <mergeCell ref="E3475:F3475"/>
    <mergeCell ref="B3485:D3485"/>
    <mergeCell ref="A3487:G3487"/>
    <mergeCell ref="A3488:F3488"/>
    <mergeCell ref="B3489:C3489"/>
    <mergeCell ref="E3489:F3489"/>
    <mergeCell ref="B3499:D3499"/>
    <mergeCell ref="A3501:G3501"/>
    <mergeCell ref="A3502:F3502"/>
    <mergeCell ref="B3503:C3503"/>
    <mergeCell ref="E3503:F3503"/>
    <mergeCell ref="B3513:D3513"/>
    <mergeCell ref="A3515:G3515"/>
    <mergeCell ref="A3516:F3516"/>
    <mergeCell ref="B3517:C3517"/>
    <mergeCell ref="E3517:F3517"/>
    <mergeCell ref="B3527:D3527"/>
    <mergeCell ref="A3529:G3529"/>
    <mergeCell ref="A3530:F3530"/>
    <mergeCell ref="B3531:C3531"/>
    <mergeCell ref="E3531:F3531"/>
    <mergeCell ref="B3541:D3541"/>
    <mergeCell ref="A3543:G3543"/>
    <mergeCell ref="A3544:F3544"/>
    <mergeCell ref="B3545:C3545"/>
    <mergeCell ref="E3545:F3545"/>
    <mergeCell ref="B3555:D3555"/>
    <mergeCell ref="A3557:G3557"/>
    <mergeCell ref="A3558:F3558"/>
    <mergeCell ref="B3559:C3559"/>
    <mergeCell ref="E3559:F3559"/>
    <mergeCell ref="B3569:D3569"/>
    <mergeCell ref="A3571:G3571"/>
    <mergeCell ref="A3572:F3572"/>
    <mergeCell ref="B3573:C3573"/>
    <mergeCell ref="E3573:F3573"/>
    <mergeCell ref="B3583:D3583"/>
    <mergeCell ref="A3585:G3585"/>
    <mergeCell ref="A3586:F3586"/>
    <mergeCell ref="B3587:C3587"/>
    <mergeCell ref="E3587:F3587"/>
    <mergeCell ref="B3597:D3597"/>
    <mergeCell ref="A3599:G3599"/>
    <mergeCell ref="A3600:F3600"/>
    <mergeCell ref="B3601:C3601"/>
    <mergeCell ref="E3601:F3601"/>
    <mergeCell ref="B3611:D3611"/>
    <mergeCell ref="A3613:G3613"/>
    <mergeCell ref="A3614:F3614"/>
    <mergeCell ref="B3615:C3615"/>
    <mergeCell ref="E3615:F3615"/>
    <mergeCell ref="B3625:D3625"/>
    <mergeCell ref="A3627:G3627"/>
    <mergeCell ref="A3628:F3628"/>
    <mergeCell ref="B3629:C3629"/>
    <mergeCell ref="E3629:F3629"/>
    <mergeCell ref="B3639:D3639"/>
    <mergeCell ref="A3641:G3641"/>
    <mergeCell ref="A3642:F3642"/>
    <mergeCell ref="B3643:C3643"/>
    <mergeCell ref="E3643:F3643"/>
    <mergeCell ref="B3653:D3653"/>
    <mergeCell ref="A3655:G3655"/>
    <mergeCell ref="A3656:F3656"/>
    <mergeCell ref="B3657:C3657"/>
    <mergeCell ref="E3657:F3657"/>
    <mergeCell ref="B3667:D3667"/>
    <mergeCell ref="A3669:G3669"/>
    <mergeCell ref="A3670:F3670"/>
    <mergeCell ref="B3671:C3671"/>
    <mergeCell ref="E3671:F3671"/>
    <mergeCell ref="B3681:D3681"/>
    <mergeCell ref="A3683:G3683"/>
    <mergeCell ref="A3684:F3684"/>
    <mergeCell ref="B3685:C3685"/>
    <mergeCell ref="E3685:F3685"/>
    <mergeCell ref="B3695:D3695"/>
    <mergeCell ref="A3697:G3697"/>
    <mergeCell ref="A3698:F3698"/>
    <mergeCell ref="B3699:C3699"/>
    <mergeCell ref="E3699:F3699"/>
    <mergeCell ref="B3709:D3709"/>
    <mergeCell ref="A3711:G3711"/>
    <mergeCell ref="A3712:F3712"/>
    <mergeCell ref="B3713:C3713"/>
    <mergeCell ref="E3713:F3713"/>
    <mergeCell ref="B3723:D3723"/>
    <mergeCell ref="A3725:G3725"/>
    <mergeCell ref="A3726:F3726"/>
    <mergeCell ref="B3727:C3727"/>
    <mergeCell ref="E3727:F3727"/>
    <mergeCell ref="B3737:D3737"/>
    <mergeCell ref="A3739:G3739"/>
    <mergeCell ref="A3740:F3740"/>
    <mergeCell ref="B3741:C3741"/>
    <mergeCell ref="E3741:F3741"/>
    <mergeCell ref="B3751:D3751"/>
    <mergeCell ref="A3753:G3753"/>
    <mergeCell ref="A3754:F3754"/>
    <mergeCell ref="B3755:C3755"/>
    <mergeCell ref="E3755:F3755"/>
    <mergeCell ref="B3765:D3765"/>
    <mergeCell ref="A3767:G3767"/>
    <mergeCell ref="A3768:F3768"/>
    <mergeCell ref="B3769:C3769"/>
    <mergeCell ref="E3769:F3769"/>
    <mergeCell ref="B3779:D3779"/>
    <mergeCell ref="A3781:G3781"/>
    <mergeCell ref="A3782:F3782"/>
    <mergeCell ref="B3783:C3783"/>
    <mergeCell ref="E3783:F3783"/>
    <mergeCell ref="B3793:D3793"/>
    <mergeCell ref="A3795:G3795"/>
    <mergeCell ref="A3796:F3796"/>
    <mergeCell ref="B3797:C3797"/>
    <mergeCell ref="E3797:F3797"/>
    <mergeCell ref="B3807:D3807"/>
    <mergeCell ref="A3809:G3809"/>
    <mergeCell ref="A3810:F3810"/>
    <mergeCell ref="B3811:C3811"/>
    <mergeCell ref="E3811:F3811"/>
    <mergeCell ref="B3821:D3821"/>
    <mergeCell ref="A3823:G3823"/>
    <mergeCell ref="A3824:F3824"/>
    <mergeCell ref="B3825:C3825"/>
    <mergeCell ref="E3825:F3825"/>
    <mergeCell ref="B3835:D3835"/>
    <mergeCell ref="A3837:G3837"/>
    <mergeCell ref="A3838:F3838"/>
    <mergeCell ref="B3839:C3839"/>
    <mergeCell ref="E3839:F3839"/>
    <mergeCell ref="B3849:D3849"/>
    <mergeCell ref="A3851:G3851"/>
    <mergeCell ref="A3852:F3852"/>
    <mergeCell ref="B3853:C3853"/>
    <mergeCell ref="E3853:F3853"/>
    <mergeCell ref="B3863:D3863"/>
    <mergeCell ref="A3865:G3865"/>
    <mergeCell ref="A3866:F3866"/>
    <mergeCell ref="B3867:C3867"/>
    <mergeCell ref="E3867:F3867"/>
    <mergeCell ref="B3877:D3877"/>
    <mergeCell ref="A3879:G3879"/>
    <mergeCell ref="A3880:F3880"/>
    <mergeCell ref="B3881:C3881"/>
    <mergeCell ref="E3881:F3881"/>
    <mergeCell ref="B3891:D3891"/>
    <mergeCell ref="A3893:G3893"/>
    <mergeCell ref="A3894:F3894"/>
    <mergeCell ref="B3895:C3895"/>
    <mergeCell ref="E3895:F3895"/>
    <mergeCell ref="B3905:D3905"/>
    <mergeCell ref="A3907:G3907"/>
    <mergeCell ref="A3908:F3908"/>
    <mergeCell ref="B3909:C3909"/>
    <mergeCell ref="E3909:F3909"/>
    <mergeCell ref="B3919:D3919"/>
    <mergeCell ref="A3921:G3921"/>
    <mergeCell ref="A3922:F3922"/>
    <mergeCell ref="B3923:C3923"/>
    <mergeCell ref="E3923:F3923"/>
    <mergeCell ref="B3933:D3933"/>
    <mergeCell ref="A3935:G3935"/>
    <mergeCell ref="A3936:F3936"/>
    <mergeCell ref="B3937:C3937"/>
    <mergeCell ref="E3937:F3937"/>
    <mergeCell ref="B3947:D3947"/>
    <mergeCell ref="A3949:G3949"/>
    <mergeCell ref="A3950:F3950"/>
    <mergeCell ref="B3951:C3951"/>
    <mergeCell ref="E3951:F3951"/>
    <mergeCell ref="B3961:D3961"/>
    <mergeCell ref="A3963:G3963"/>
    <mergeCell ref="A3964:F3964"/>
    <mergeCell ref="B3965:C3965"/>
    <mergeCell ref="E3965:F3965"/>
    <mergeCell ref="B3975:D3975"/>
    <mergeCell ref="A3977:G3977"/>
    <mergeCell ref="A3978:F3978"/>
    <mergeCell ref="B3979:C3979"/>
    <mergeCell ref="E3979:F3979"/>
    <mergeCell ref="B3989:D3989"/>
    <mergeCell ref="A3991:G3991"/>
    <mergeCell ref="A3992:F3992"/>
    <mergeCell ref="B3993:C3993"/>
    <mergeCell ref="E3993:F3993"/>
    <mergeCell ref="B4003:D4003"/>
    <mergeCell ref="A4005:G4005"/>
    <mergeCell ref="A4006:F4006"/>
    <mergeCell ref="B4007:C4007"/>
    <mergeCell ref="E4007:F4007"/>
    <mergeCell ref="B4017:D4017"/>
    <mergeCell ref="A4019:G4019"/>
    <mergeCell ref="A4020:F4020"/>
    <mergeCell ref="B4021:C4021"/>
    <mergeCell ref="E4021:F4021"/>
    <mergeCell ref="B4031:D4031"/>
    <mergeCell ref="A4033:G4033"/>
    <mergeCell ref="A4034:F4034"/>
    <mergeCell ref="B4035:C4035"/>
    <mergeCell ref="E4035:F4035"/>
    <mergeCell ref="B4045:D4045"/>
    <mergeCell ref="A4047:G4047"/>
    <mergeCell ref="A4048:F4048"/>
    <mergeCell ref="B4049:C4049"/>
    <mergeCell ref="E4049:F4049"/>
    <mergeCell ref="B4059:D4059"/>
    <mergeCell ref="A4061:G4061"/>
    <mergeCell ref="A4062:F4062"/>
    <mergeCell ref="B4063:C4063"/>
    <mergeCell ref="E4063:F4063"/>
    <mergeCell ref="B4073:D4073"/>
    <mergeCell ref="A4075:G4075"/>
    <mergeCell ref="A4076:F4076"/>
    <mergeCell ref="B4077:C4077"/>
    <mergeCell ref="E4077:F4077"/>
    <mergeCell ref="B4087:D4087"/>
    <mergeCell ref="A4089:G4089"/>
    <mergeCell ref="A4090:F4090"/>
    <mergeCell ref="B4091:C4091"/>
    <mergeCell ref="E4091:F4091"/>
    <mergeCell ref="B4101:D4101"/>
    <mergeCell ref="A4103:G4103"/>
    <mergeCell ref="A4104:F4104"/>
    <mergeCell ref="B4105:C4105"/>
    <mergeCell ref="E4105:F4105"/>
    <mergeCell ref="B4115:D4115"/>
    <mergeCell ref="A4117:G4117"/>
    <mergeCell ref="A4118:F4118"/>
    <mergeCell ref="B4119:C4119"/>
    <mergeCell ref="E4119:F4119"/>
    <mergeCell ref="B4129:D4129"/>
    <mergeCell ref="A4131:G4131"/>
    <mergeCell ref="A4132:F4132"/>
    <mergeCell ref="B4133:C4133"/>
    <mergeCell ref="E4133:F4133"/>
    <mergeCell ref="B4143:D4143"/>
    <mergeCell ref="A4145:G4145"/>
    <mergeCell ref="A4146:F4146"/>
    <mergeCell ref="B4147:C4147"/>
    <mergeCell ref="E4147:F4147"/>
    <mergeCell ref="B4157:D4157"/>
    <mergeCell ref="A4159:G4159"/>
    <mergeCell ref="A4160:F4160"/>
    <mergeCell ref="B4161:C4161"/>
    <mergeCell ref="E4161:F4161"/>
    <mergeCell ref="B4171:D4171"/>
    <mergeCell ref="A4173:G4173"/>
    <mergeCell ref="A4174:F4174"/>
    <mergeCell ref="B4175:C4175"/>
    <mergeCell ref="E4175:F4175"/>
    <mergeCell ref="B4185:D4185"/>
    <mergeCell ref="A4187:G4187"/>
    <mergeCell ref="A4188:F4188"/>
    <mergeCell ref="B4189:C4189"/>
    <mergeCell ref="E4189:F4189"/>
    <mergeCell ref="B4199:D4199"/>
    <mergeCell ref="A4201:G4201"/>
    <mergeCell ref="A4202:F4202"/>
    <mergeCell ref="B4203:C4203"/>
    <mergeCell ref="E4203:F4203"/>
    <mergeCell ref="B4213:D4213"/>
    <mergeCell ref="A4215:G4215"/>
    <mergeCell ref="A4216:F4216"/>
    <mergeCell ref="B4217:C4217"/>
    <mergeCell ref="E4217:F4217"/>
    <mergeCell ref="B4227:D4227"/>
    <mergeCell ref="A4229:G4229"/>
    <mergeCell ref="A4230:F4230"/>
    <mergeCell ref="B4231:C4231"/>
    <mergeCell ref="E4231:F4231"/>
    <mergeCell ref="B4241:D4241"/>
    <mergeCell ref="A4243:G4243"/>
    <mergeCell ref="A4244:F4244"/>
    <mergeCell ref="B4245:C4245"/>
    <mergeCell ref="E4245:F4245"/>
    <mergeCell ref="B4255:D4255"/>
    <mergeCell ref="A4257:G4257"/>
    <mergeCell ref="A4258:F4258"/>
    <mergeCell ref="B4259:C4259"/>
    <mergeCell ref="E4259:F4259"/>
    <mergeCell ref="B4269:D4269"/>
    <mergeCell ref="A4271:G4271"/>
    <mergeCell ref="A4272:F4272"/>
    <mergeCell ref="B4273:C4273"/>
    <mergeCell ref="E4273:F4273"/>
    <mergeCell ref="B4283:D4283"/>
    <mergeCell ref="A4285:G4285"/>
    <mergeCell ref="A4286:F4286"/>
    <mergeCell ref="B4287:C4287"/>
    <mergeCell ref="E4287:F4287"/>
    <mergeCell ref="B4297:D4297"/>
    <mergeCell ref="A4299:G4299"/>
    <mergeCell ref="A4300:F4300"/>
    <mergeCell ref="B4301:C4301"/>
    <mergeCell ref="E4301:F4301"/>
    <mergeCell ref="B4311:D4311"/>
    <mergeCell ref="A4313:G4313"/>
    <mergeCell ref="A4314:F4314"/>
    <mergeCell ref="B4315:C4315"/>
    <mergeCell ref="E4315:F4315"/>
    <mergeCell ref="B4325:D4325"/>
    <mergeCell ref="A4327:G4327"/>
    <mergeCell ref="A4328:F4328"/>
    <mergeCell ref="B4329:C4329"/>
    <mergeCell ref="E4329:F4329"/>
    <mergeCell ref="B4339:D4339"/>
    <mergeCell ref="A4341:G4341"/>
    <mergeCell ref="A4342:F4342"/>
    <mergeCell ref="B4343:C4343"/>
    <mergeCell ref="E4343:F4343"/>
    <mergeCell ref="B4353:D4353"/>
    <mergeCell ref="A4355:G4355"/>
    <mergeCell ref="A4356:F4356"/>
    <mergeCell ref="B4357:C4357"/>
    <mergeCell ref="E4357:F4357"/>
    <mergeCell ref="B4367:D4367"/>
    <mergeCell ref="A4369:G4369"/>
    <mergeCell ref="A4370:F4370"/>
    <mergeCell ref="B4371:C4371"/>
    <mergeCell ref="E4371:F4371"/>
    <mergeCell ref="B4381:D4381"/>
    <mergeCell ref="A4383:G4383"/>
    <mergeCell ref="A4384:F4384"/>
    <mergeCell ref="B4385:C4385"/>
    <mergeCell ref="E4385:F4385"/>
    <mergeCell ref="B4395:D4395"/>
    <mergeCell ref="A4397:G4397"/>
    <mergeCell ref="A4398:F4398"/>
    <mergeCell ref="B4399:C4399"/>
    <mergeCell ref="E4399:F4399"/>
    <mergeCell ref="B4409:D4409"/>
    <mergeCell ref="A4411:G4411"/>
    <mergeCell ref="A4412:F4412"/>
    <mergeCell ref="B4413:C4413"/>
    <mergeCell ref="E4413:F4413"/>
    <mergeCell ref="B4423:D4423"/>
    <mergeCell ref="A4425:G4425"/>
    <mergeCell ref="A4426:F4426"/>
    <mergeCell ref="B4427:C4427"/>
    <mergeCell ref="E4427:F4427"/>
    <mergeCell ref="B4437:D4437"/>
    <mergeCell ref="G4:G13"/>
    <mergeCell ref="G18:G27"/>
    <mergeCell ref="G32:G41"/>
    <mergeCell ref="G46:G55"/>
    <mergeCell ref="G60:G69"/>
    <mergeCell ref="G74:G83"/>
    <mergeCell ref="G88:G97"/>
    <mergeCell ref="G102:G111"/>
    <mergeCell ref="G116:G125"/>
    <mergeCell ref="G130:G139"/>
    <mergeCell ref="G144:G153"/>
    <mergeCell ref="G158:G167"/>
    <mergeCell ref="G172:G181"/>
    <mergeCell ref="G186:G195"/>
    <mergeCell ref="G200:G209"/>
    <mergeCell ref="G214:G223"/>
    <mergeCell ref="G228:G237"/>
    <mergeCell ref="G242:G251"/>
    <mergeCell ref="G256:G265"/>
    <mergeCell ref="G270:G279"/>
    <mergeCell ref="G284:G293"/>
    <mergeCell ref="G298:G307"/>
    <mergeCell ref="G312:G321"/>
    <mergeCell ref="G326:G335"/>
    <mergeCell ref="G340:G349"/>
    <mergeCell ref="G354:G363"/>
    <mergeCell ref="G368:G377"/>
    <mergeCell ref="G382:G391"/>
    <mergeCell ref="G396:G405"/>
    <mergeCell ref="G410:G419"/>
    <mergeCell ref="G424:G433"/>
    <mergeCell ref="G438:G447"/>
    <mergeCell ref="G452:G461"/>
    <mergeCell ref="G466:G475"/>
    <mergeCell ref="G480:G489"/>
    <mergeCell ref="G494:G503"/>
    <mergeCell ref="G508:G517"/>
    <mergeCell ref="G522:G531"/>
    <mergeCell ref="G536:G545"/>
    <mergeCell ref="G550:G559"/>
    <mergeCell ref="G564:G573"/>
    <mergeCell ref="G578:G587"/>
    <mergeCell ref="G592:G601"/>
    <mergeCell ref="G606:G615"/>
    <mergeCell ref="G620:G629"/>
    <mergeCell ref="G634:G643"/>
    <mergeCell ref="G648:G657"/>
    <mergeCell ref="G662:G671"/>
    <mergeCell ref="G676:G685"/>
    <mergeCell ref="G690:G699"/>
    <mergeCell ref="G704:G713"/>
    <mergeCell ref="G718:G727"/>
    <mergeCell ref="G732:G741"/>
    <mergeCell ref="G746:G755"/>
    <mergeCell ref="G760:G769"/>
    <mergeCell ref="G774:G783"/>
    <mergeCell ref="G788:G797"/>
    <mergeCell ref="G802:G811"/>
    <mergeCell ref="G816:G825"/>
    <mergeCell ref="G830:G839"/>
    <mergeCell ref="G844:G853"/>
    <mergeCell ref="G858:G867"/>
    <mergeCell ref="G872:G881"/>
    <mergeCell ref="G886:G895"/>
    <mergeCell ref="G900:G909"/>
    <mergeCell ref="G914:G923"/>
    <mergeCell ref="G928:G937"/>
    <mergeCell ref="G942:G951"/>
    <mergeCell ref="G956:G965"/>
    <mergeCell ref="G970:G979"/>
    <mergeCell ref="G984:G993"/>
    <mergeCell ref="G998:G1007"/>
    <mergeCell ref="G1012:G1021"/>
    <mergeCell ref="G1026:G1035"/>
    <mergeCell ref="G1040:G1049"/>
    <mergeCell ref="G1054:G1063"/>
    <mergeCell ref="G1068:G1077"/>
    <mergeCell ref="G1082:G1091"/>
    <mergeCell ref="G1096:G1105"/>
    <mergeCell ref="G1110:G1119"/>
    <mergeCell ref="G1124:G1133"/>
    <mergeCell ref="G1138:G1147"/>
    <mergeCell ref="G1152:G1161"/>
    <mergeCell ref="G1166:G1175"/>
    <mergeCell ref="G1180:G1189"/>
    <mergeCell ref="G1194:G1203"/>
    <mergeCell ref="G1208:G1217"/>
    <mergeCell ref="G1222:G1231"/>
    <mergeCell ref="G1236:G1245"/>
    <mergeCell ref="G1250:G1259"/>
    <mergeCell ref="G1264:G1273"/>
    <mergeCell ref="G1278:G1287"/>
    <mergeCell ref="G1292:G1301"/>
    <mergeCell ref="G1306:G1315"/>
    <mergeCell ref="G1320:G1329"/>
    <mergeCell ref="G1334:G1343"/>
    <mergeCell ref="G1348:G1357"/>
    <mergeCell ref="G1362:G1371"/>
    <mergeCell ref="G1376:G1385"/>
    <mergeCell ref="G1390:G1399"/>
    <mergeCell ref="G1404:G1413"/>
    <mergeCell ref="G1418:G1427"/>
    <mergeCell ref="G1432:G1441"/>
    <mergeCell ref="G1446:G1455"/>
    <mergeCell ref="G1460:G1469"/>
    <mergeCell ref="G1474:G1483"/>
    <mergeCell ref="G1488:G1497"/>
    <mergeCell ref="G1502:G1511"/>
    <mergeCell ref="G1516:G1525"/>
    <mergeCell ref="G1530:G1539"/>
    <mergeCell ref="G1544:G1553"/>
    <mergeCell ref="G1558:G1567"/>
    <mergeCell ref="G1572:G1581"/>
    <mergeCell ref="G1586:G1595"/>
    <mergeCell ref="G1600:G1609"/>
    <mergeCell ref="G1614:G1623"/>
    <mergeCell ref="G1628:G1637"/>
    <mergeCell ref="G1642:G1651"/>
    <mergeCell ref="G1656:G1665"/>
    <mergeCell ref="G1670:G1679"/>
    <mergeCell ref="G1684:G1693"/>
    <mergeCell ref="G1698:G1707"/>
    <mergeCell ref="G1712:G1721"/>
    <mergeCell ref="G1726:G1735"/>
    <mergeCell ref="G1740:G1749"/>
    <mergeCell ref="G1754:G1763"/>
    <mergeCell ref="G1768:G1777"/>
    <mergeCell ref="G1782:G1791"/>
    <mergeCell ref="G1796:G1805"/>
    <mergeCell ref="G1810:G1819"/>
    <mergeCell ref="G1824:G1833"/>
    <mergeCell ref="G1838:G1847"/>
    <mergeCell ref="G1852:G1861"/>
    <mergeCell ref="G1866:G1875"/>
    <mergeCell ref="G1880:G1889"/>
    <mergeCell ref="G1894:G1903"/>
    <mergeCell ref="G1908:G1917"/>
    <mergeCell ref="G1922:G1931"/>
    <mergeCell ref="G1936:G1945"/>
    <mergeCell ref="G1950:G1959"/>
    <mergeCell ref="G1964:G1973"/>
    <mergeCell ref="G1978:G1987"/>
    <mergeCell ref="G1992:G2001"/>
    <mergeCell ref="G2006:G2015"/>
    <mergeCell ref="G2020:G2029"/>
    <mergeCell ref="G2034:G2043"/>
    <mergeCell ref="G2048:G2057"/>
    <mergeCell ref="G2062:G2071"/>
    <mergeCell ref="G2076:G2085"/>
    <mergeCell ref="G2090:G2099"/>
    <mergeCell ref="G2104:G2113"/>
    <mergeCell ref="G2118:G2127"/>
    <mergeCell ref="G2132:G2141"/>
    <mergeCell ref="G2146:G2155"/>
    <mergeCell ref="G2160:G2169"/>
    <mergeCell ref="G2174:G2183"/>
    <mergeCell ref="G2188:G2197"/>
    <mergeCell ref="G2202:G2211"/>
    <mergeCell ref="G2216:G2225"/>
    <mergeCell ref="G2230:G2239"/>
    <mergeCell ref="G2244:G2253"/>
    <mergeCell ref="G2258:G2267"/>
    <mergeCell ref="G2272:G2281"/>
    <mergeCell ref="G2286:G2295"/>
    <mergeCell ref="G2300:G2309"/>
    <mergeCell ref="G2314:G2323"/>
    <mergeCell ref="G2328:G2337"/>
    <mergeCell ref="G2342:G2351"/>
    <mergeCell ref="G2356:G2365"/>
    <mergeCell ref="G2370:G2379"/>
    <mergeCell ref="G2384:G2393"/>
    <mergeCell ref="G2398:G2407"/>
    <mergeCell ref="G2412:G2421"/>
    <mergeCell ref="G2426:G2435"/>
    <mergeCell ref="G2440:G2449"/>
    <mergeCell ref="G2454:G2463"/>
    <mergeCell ref="G2468:G2477"/>
    <mergeCell ref="G2482:G2491"/>
    <mergeCell ref="G2496:G2505"/>
    <mergeCell ref="G2510:G2519"/>
    <mergeCell ref="G2524:G2533"/>
    <mergeCell ref="G2538:G2547"/>
    <mergeCell ref="G2552:G2561"/>
    <mergeCell ref="G2566:G2575"/>
    <mergeCell ref="G2580:G2589"/>
    <mergeCell ref="G2594:G2603"/>
    <mergeCell ref="G2608:G2617"/>
    <mergeCell ref="G2622:G2631"/>
    <mergeCell ref="G2636:G2645"/>
    <mergeCell ref="G2650:G2659"/>
    <mergeCell ref="G2664:G2673"/>
    <mergeCell ref="G2678:G2687"/>
    <mergeCell ref="G2692:G2701"/>
    <mergeCell ref="G2706:G2715"/>
    <mergeCell ref="G2720:G2729"/>
    <mergeCell ref="G2734:G2743"/>
    <mergeCell ref="G2748:G2757"/>
    <mergeCell ref="G2762:G2771"/>
    <mergeCell ref="G2776:G2785"/>
    <mergeCell ref="G2790:G2799"/>
    <mergeCell ref="G2804:G2813"/>
    <mergeCell ref="G2818:G2827"/>
    <mergeCell ref="G2832:G2841"/>
    <mergeCell ref="G2846:G2855"/>
    <mergeCell ref="G2860:G2869"/>
    <mergeCell ref="G2874:G2883"/>
    <mergeCell ref="G2888:G2897"/>
    <mergeCell ref="G2902:G2911"/>
    <mergeCell ref="G2916:G2925"/>
    <mergeCell ref="G2930:G2939"/>
    <mergeCell ref="G2944:G2953"/>
    <mergeCell ref="G2958:G2967"/>
    <mergeCell ref="G2972:G2981"/>
    <mergeCell ref="G2986:G2995"/>
    <mergeCell ref="G3000:G3009"/>
    <mergeCell ref="G3014:G3023"/>
    <mergeCell ref="G3028:G3037"/>
    <mergeCell ref="G3042:G3051"/>
    <mergeCell ref="G3056:G3065"/>
    <mergeCell ref="G3070:G3079"/>
    <mergeCell ref="G3084:G3093"/>
    <mergeCell ref="G3098:G3107"/>
    <mergeCell ref="G3112:G3121"/>
    <mergeCell ref="G3126:G3135"/>
    <mergeCell ref="G3140:G3149"/>
    <mergeCell ref="G3154:G3163"/>
    <mergeCell ref="G3168:G3177"/>
    <mergeCell ref="G3182:G3191"/>
    <mergeCell ref="G3196:G3205"/>
    <mergeCell ref="G3210:G3219"/>
    <mergeCell ref="G3224:G3233"/>
    <mergeCell ref="G3238:G3247"/>
    <mergeCell ref="G3252:G3261"/>
    <mergeCell ref="G3266:G3275"/>
    <mergeCell ref="G3280:G3289"/>
    <mergeCell ref="G3294:G3303"/>
    <mergeCell ref="G3308:G3317"/>
    <mergeCell ref="G3322:G3331"/>
    <mergeCell ref="G3336:G3345"/>
    <mergeCell ref="G3350:G3359"/>
    <mergeCell ref="G3364:G3373"/>
    <mergeCell ref="G3378:G3387"/>
    <mergeCell ref="G3392:G3401"/>
    <mergeCell ref="G3406:G3415"/>
    <mergeCell ref="G3420:G3429"/>
    <mergeCell ref="G3434:G3443"/>
    <mergeCell ref="G3448:G3457"/>
    <mergeCell ref="G3462:G3471"/>
    <mergeCell ref="G3476:G3485"/>
    <mergeCell ref="G3490:G3499"/>
    <mergeCell ref="G3504:G3513"/>
    <mergeCell ref="G3518:G3527"/>
    <mergeCell ref="G3532:G3541"/>
    <mergeCell ref="G3546:G3555"/>
    <mergeCell ref="G3560:G3569"/>
    <mergeCell ref="G3574:G3583"/>
    <mergeCell ref="G3588:G3597"/>
    <mergeCell ref="G3602:G3611"/>
    <mergeCell ref="G3616:G3625"/>
    <mergeCell ref="G3630:G3639"/>
    <mergeCell ref="G3644:G3653"/>
    <mergeCell ref="G3658:G3667"/>
    <mergeCell ref="G3672:G3681"/>
    <mergeCell ref="G3686:G3695"/>
    <mergeCell ref="G3700:G3709"/>
    <mergeCell ref="G3714:G3723"/>
    <mergeCell ref="G3728:G3737"/>
    <mergeCell ref="G3742:G3751"/>
    <mergeCell ref="G3756:G3765"/>
    <mergeCell ref="G3770:G3779"/>
    <mergeCell ref="G3784:G3793"/>
    <mergeCell ref="G3798:G3807"/>
    <mergeCell ref="G3812:G3821"/>
    <mergeCell ref="G3826:G3835"/>
    <mergeCell ref="G3840:G3849"/>
    <mergeCell ref="G3854:G3863"/>
    <mergeCell ref="G3868:G3877"/>
    <mergeCell ref="G3882:G3891"/>
    <mergeCell ref="G3896:G3905"/>
    <mergeCell ref="G3910:G3919"/>
    <mergeCell ref="G3924:G3933"/>
    <mergeCell ref="G3938:G3947"/>
    <mergeCell ref="G3952:G3961"/>
    <mergeCell ref="G3966:G3975"/>
    <mergeCell ref="G3980:G3989"/>
    <mergeCell ref="G3994:G4003"/>
    <mergeCell ref="G4008:G4017"/>
    <mergeCell ref="G4022:G4031"/>
    <mergeCell ref="G4036:G4045"/>
    <mergeCell ref="G4050:G4059"/>
    <mergeCell ref="G4064:G4073"/>
    <mergeCell ref="G4078:G4087"/>
    <mergeCell ref="G4092:G4101"/>
    <mergeCell ref="G4106:G4115"/>
    <mergeCell ref="G4120:G4129"/>
    <mergeCell ref="G4134:G4143"/>
    <mergeCell ref="G4148:G4157"/>
    <mergeCell ref="G4162:G4171"/>
    <mergeCell ref="G4176:G4185"/>
    <mergeCell ref="G4190:G4199"/>
    <mergeCell ref="G4204:G4213"/>
    <mergeCell ref="G4218:G4227"/>
    <mergeCell ref="G4232:G4241"/>
    <mergeCell ref="G4246:G4255"/>
    <mergeCell ref="G4260:G4269"/>
    <mergeCell ref="G4274:G4283"/>
    <mergeCell ref="G4288:G4297"/>
    <mergeCell ref="G4302:G4311"/>
    <mergeCell ref="G4316:G4325"/>
    <mergeCell ref="G4330:G4339"/>
    <mergeCell ref="G4344:G4353"/>
    <mergeCell ref="G4358:G4367"/>
    <mergeCell ref="G4372:G4381"/>
    <mergeCell ref="G4386:G4395"/>
    <mergeCell ref="G4400:G4409"/>
    <mergeCell ref="G4414:G4423"/>
    <mergeCell ref="G4428:G4437"/>
    <mergeCell ref="K1:K14"/>
    <mergeCell ref="K15:K28"/>
    <mergeCell ref="K29:K42"/>
    <mergeCell ref="K43:K56"/>
    <mergeCell ref="K57:K70"/>
    <mergeCell ref="K71:K84"/>
    <mergeCell ref="K85:K98"/>
    <mergeCell ref="K99:K112"/>
    <mergeCell ref="K113:K126"/>
    <mergeCell ref="K127:K140"/>
    <mergeCell ref="K141:K154"/>
    <mergeCell ref="K155:K168"/>
    <mergeCell ref="K169:K182"/>
    <mergeCell ref="K183:K196"/>
    <mergeCell ref="K197:K210"/>
    <mergeCell ref="K211:K224"/>
    <mergeCell ref="K225:K238"/>
    <mergeCell ref="K239:K252"/>
    <mergeCell ref="K253:K266"/>
    <mergeCell ref="K267:K280"/>
    <mergeCell ref="K281:K294"/>
    <mergeCell ref="K295:K308"/>
    <mergeCell ref="K309:K322"/>
    <mergeCell ref="K323:K336"/>
    <mergeCell ref="K337:K350"/>
    <mergeCell ref="K351:K364"/>
    <mergeCell ref="K365:K378"/>
    <mergeCell ref="K379:K392"/>
    <mergeCell ref="K393:K406"/>
    <mergeCell ref="K407:K420"/>
    <mergeCell ref="K421:K434"/>
    <mergeCell ref="K435:K448"/>
    <mergeCell ref="K449:K462"/>
    <mergeCell ref="K463:K476"/>
    <mergeCell ref="K477:K490"/>
    <mergeCell ref="K491:K504"/>
    <mergeCell ref="K505:K518"/>
    <mergeCell ref="K519:K532"/>
    <mergeCell ref="K533:K546"/>
    <mergeCell ref="K547:K560"/>
    <mergeCell ref="K561:K574"/>
    <mergeCell ref="K575:K588"/>
    <mergeCell ref="K589:K602"/>
    <mergeCell ref="K603:K616"/>
    <mergeCell ref="K617:K630"/>
    <mergeCell ref="K631:K644"/>
    <mergeCell ref="K645:K658"/>
    <mergeCell ref="K659:K672"/>
    <mergeCell ref="K673:K686"/>
    <mergeCell ref="K687:K700"/>
    <mergeCell ref="K701:K714"/>
    <mergeCell ref="K715:K728"/>
    <mergeCell ref="K729:K742"/>
    <mergeCell ref="K743:K756"/>
    <mergeCell ref="K757:K770"/>
    <mergeCell ref="K771:K784"/>
    <mergeCell ref="K785:K798"/>
    <mergeCell ref="K799:K812"/>
    <mergeCell ref="K813:K826"/>
    <mergeCell ref="K827:K840"/>
    <mergeCell ref="K841:K854"/>
    <mergeCell ref="K855:K868"/>
    <mergeCell ref="K869:K882"/>
    <mergeCell ref="K883:K896"/>
    <mergeCell ref="K897:K910"/>
    <mergeCell ref="K911:K924"/>
    <mergeCell ref="K925:K938"/>
    <mergeCell ref="K939:K952"/>
    <mergeCell ref="K953:K966"/>
    <mergeCell ref="K967:K980"/>
    <mergeCell ref="K981:K994"/>
    <mergeCell ref="K995:K1008"/>
    <mergeCell ref="K1009:K1022"/>
    <mergeCell ref="K1023:K1036"/>
    <mergeCell ref="K1037:K1050"/>
    <mergeCell ref="K1051:K1064"/>
    <mergeCell ref="K1065:K1078"/>
    <mergeCell ref="K1079:K1092"/>
    <mergeCell ref="K1093:K1106"/>
    <mergeCell ref="K1107:K1120"/>
    <mergeCell ref="K1121:K1134"/>
    <mergeCell ref="K1135:K1148"/>
    <mergeCell ref="K1149:K1162"/>
    <mergeCell ref="K1163:K1176"/>
    <mergeCell ref="K1177:K1190"/>
    <mergeCell ref="K1191:K1204"/>
    <mergeCell ref="K1205:K1218"/>
    <mergeCell ref="K1219:K1232"/>
    <mergeCell ref="K1233:K1246"/>
    <mergeCell ref="K1247:K1260"/>
    <mergeCell ref="K1261:K1274"/>
    <mergeCell ref="K1275:K1288"/>
    <mergeCell ref="K1289:K1302"/>
    <mergeCell ref="K1303:K1316"/>
    <mergeCell ref="K1317:K1330"/>
    <mergeCell ref="K1331:K1344"/>
    <mergeCell ref="K1345:K1358"/>
    <mergeCell ref="K1359:K1372"/>
    <mergeCell ref="K1373:K1386"/>
    <mergeCell ref="K1387:K1400"/>
    <mergeCell ref="K1401:K1414"/>
    <mergeCell ref="K1415:K1428"/>
    <mergeCell ref="K1429:K1442"/>
    <mergeCell ref="K1443:K1456"/>
    <mergeCell ref="K1457:K1470"/>
    <mergeCell ref="K1471:K1484"/>
    <mergeCell ref="K1485:K1498"/>
    <mergeCell ref="K1499:K1512"/>
    <mergeCell ref="K1513:K1526"/>
    <mergeCell ref="K1527:K1540"/>
    <mergeCell ref="K1541:K1554"/>
    <mergeCell ref="K1555:K1568"/>
    <mergeCell ref="K1569:K1582"/>
    <mergeCell ref="K1583:K1596"/>
    <mergeCell ref="K1597:K1610"/>
    <mergeCell ref="K1611:K1624"/>
    <mergeCell ref="K1625:K1638"/>
    <mergeCell ref="K1639:K1652"/>
    <mergeCell ref="K1653:K1666"/>
    <mergeCell ref="K1667:K1680"/>
    <mergeCell ref="K1681:K1694"/>
    <mergeCell ref="K1695:K1708"/>
    <mergeCell ref="K1709:K1722"/>
    <mergeCell ref="K1723:K1736"/>
    <mergeCell ref="K1737:K1750"/>
    <mergeCell ref="K1751:K1764"/>
    <mergeCell ref="K1765:K1778"/>
    <mergeCell ref="K1779:K1792"/>
    <mergeCell ref="K1793:K1806"/>
    <mergeCell ref="K1807:K1820"/>
    <mergeCell ref="K1821:K1834"/>
    <mergeCell ref="K1835:K1848"/>
    <mergeCell ref="K1849:K1862"/>
    <mergeCell ref="K1863:K1876"/>
    <mergeCell ref="K1877:K1890"/>
    <mergeCell ref="K1891:K1904"/>
    <mergeCell ref="K1905:K1918"/>
    <mergeCell ref="K1919:K1932"/>
    <mergeCell ref="K1933:K1946"/>
    <mergeCell ref="K1947:K1960"/>
    <mergeCell ref="K1961:K1974"/>
    <mergeCell ref="K1975:K1988"/>
    <mergeCell ref="K1989:K2002"/>
    <mergeCell ref="K2003:K2016"/>
    <mergeCell ref="K2017:K2030"/>
    <mergeCell ref="K2031:K2044"/>
    <mergeCell ref="K2045:K2058"/>
    <mergeCell ref="K2059:K2072"/>
    <mergeCell ref="K2073:K2086"/>
    <mergeCell ref="K2087:K2100"/>
    <mergeCell ref="K2101:K2114"/>
    <mergeCell ref="K2115:K2128"/>
    <mergeCell ref="K2129:K2142"/>
    <mergeCell ref="K2143:K2156"/>
    <mergeCell ref="K2157:K2170"/>
    <mergeCell ref="K2171:K2184"/>
    <mergeCell ref="K2185:K2198"/>
    <mergeCell ref="K2199:K2212"/>
    <mergeCell ref="K2213:K2226"/>
    <mergeCell ref="K2227:K2240"/>
    <mergeCell ref="K2241:K2254"/>
    <mergeCell ref="K2255:K2268"/>
    <mergeCell ref="K2269:K2282"/>
    <mergeCell ref="K2283:K2296"/>
    <mergeCell ref="K2297:K2310"/>
    <mergeCell ref="K2311:K2324"/>
    <mergeCell ref="K2325:K2338"/>
    <mergeCell ref="K2339:K2352"/>
    <mergeCell ref="K2353:K2366"/>
    <mergeCell ref="K2367:K2380"/>
    <mergeCell ref="K2381:K2394"/>
    <mergeCell ref="K2395:K2408"/>
    <mergeCell ref="K2409:K2422"/>
    <mergeCell ref="K2423:K2436"/>
    <mergeCell ref="K2437:K2450"/>
    <mergeCell ref="K2451:K2464"/>
    <mergeCell ref="K2465:K2478"/>
    <mergeCell ref="K2479:K2492"/>
    <mergeCell ref="K2493:K2506"/>
    <mergeCell ref="K2507:K2520"/>
    <mergeCell ref="K2521:K2534"/>
    <mergeCell ref="K2535:K2548"/>
    <mergeCell ref="K2549:K2562"/>
    <mergeCell ref="K2563:K2576"/>
    <mergeCell ref="K2577:K2590"/>
    <mergeCell ref="K2591:K2604"/>
    <mergeCell ref="K2605:K2618"/>
    <mergeCell ref="K2619:K2632"/>
    <mergeCell ref="K2633:K2646"/>
    <mergeCell ref="K2647:K2660"/>
    <mergeCell ref="K2661:K2674"/>
    <mergeCell ref="K2675:K2688"/>
    <mergeCell ref="K2689:K2702"/>
    <mergeCell ref="K2703:K2716"/>
    <mergeCell ref="K2717:K2730"/>
    <mergeCell ref="K2731:K2744"/>
    <mergeCell ref="K2745:K2758"/>
    <mergeCell ref="K2759:K2772"/>
    <mergeCell ref="K2773:K2786"/>
    <mergeCell ref="K2787:K2800"/>
    <mergeCell ref="K2801:K2814"/>
    <mergeCell ref="K2815:K2828"/>
    <mergeCell ref="K2829:K2842"/>
    <mergeCell ref="K2843:K2856"/>
    <mergeCell ref="K2857:K2870"/>
    <mergeCell ref="K2871:K2884"/>
    <mergeCell ref="K2885:K2898"/>
    <mergeCell ref="K2899:K2912"/>
    <mergeCell ref="K2913:K2926"/>
    <mergeCell ref="K2927:K2940"/>
    <mergeCell ref="K2941:K2954"/>
    <mergeCell ref="K2955:K2968"/>
    <mergeCell ref="K2969:K2982"/>
    <mergeCell ref="K2983:K2996"/>
    <mergeCell ref="K2997:K3010"/>
    <mergeCell ref="K3011:K3024"/>
    <mergeCell ref="K3025:K3038"/>
    <mergeCell ref="K3039:K3052"/>
    <mergeCell ref="K3053:K3066"/>
    <mergeCell ref="K3067:K3080"/>
    <mergeCell ref="K3081:K3094"/>
    <mergeCell ref="K3095:K3108"/>
    <mergeCell ref="K3109:K3122"/>
    <mergeCell ref="K3123:K3136"/>
    <mergeCell ref="K3137:K3150"/>
    <mergeCell ref="K3151:K3164"/>
    <mergeCell ref="K3165:K3178"/>
    <mergeCell ref="K3179:K3192"/>
    <mergeCell ref="K3193:K3206"/>
    <mergeCell ref="K3207:K3220"/>
    <mergeCell ref="K3221:K3234"/>
    <mergeCell ref="K3235:K3248"/>
    <mergeCell ref="K3249:K3262"/>
    <mergeCell ref="K3263:K3276"/>
    <mergeCell ref="K3277:K3290"/>
    <mergeCell ref="K3291:K3304"/>
    <mergeCell ref="K3305:K3318"/>
    <mergeCell ref="K3319:K3332"/>
    <mergeCell ref="K3333:K3346"/>
    <mergeCell ref="K3347:K3360"/>
    <mergeCell ref="K3361:K3374"/>
    <mergeCell ref="K3375:K3388"/>
    <mergeCell ref="K3389:K3402"/>
    <mergeCell ref="K3403:K3416"/>
    <mergeCell ref="K3417:K3430"/>
    <mergeCell ref="K3431:K3444"/>
    <mergeCell ref="K3445:K3458"/>
    <mergeCell ref="K3459:K3472"/>
    <mergeCell ref="K3473:K3486"/>
    <mergeCell ref="K3487:K3500"/>
    <mergeCell ref="K3501:K3514"/>
    <mergeCell ref="K3515:K3528"/>
    <mergeCell ref="K3529:K3542"/>
    <mergeCell ref="K3543:K3556"/>
    <mergeCell ref="K3557:K3570"/>
    <mergeCell ref="K3571:K3584"/>
    <mergeCell ref="K3585:K3598"/>
    <mergeCell ref="K3599:K3612"/>
    <mergeCell ref="K3613:K3626"/>
    <mergeCell ref="K3627:K3640"/>
    <mergeCell ref="K3641:K3654"/>
    <mergeCell ref="K3655:K3668"/>
    <mergeCell ref="K3669:K3682"/>
    <mergeCell ref="K3683:K3696"/>
    <mergeCell ref="K3697:K3710"/>
    <mergeCell ref="K3711:K3724"/>
    <mergeCell ref="K3725:K3738"/>
    <mergeCell ref="K3739:K3752"/>
    <mergeCell ref="K3753:K3766"/>
    <mergeCell ref="K3767:K3780"/>
    <mergeCell ref="K3781:K3794"/>
    <mergeCell ref="K3795:K3808"/>
    <mergeCell ref="K3809:K3822"/>
    <mergeCell ref="K3823:K3836"/>
    <mergeCell ref="K3837:K3850"/>
    <mergeCell ref="K3851:K3864"/>
    <mergeCell ref="K3865:K3878"/>
    <mergeCell ref="K3879:K3892"/>
    <mergeCell ref="K3893:K3906"/>
    <mergeCell ref="K3907:K3920"/>
    <mergeCell ref="K3921:K3934"/>
    <mergeCell ref="K3935:K3948"/>
    <mergeCell ref="K3949:K3962"/>
    <mergeCell ref="K3963:K3976"/>
    <mergeCell ref="K3977:K3990"/>
    <mergeCell ref="K3991:K4004"/>
    <mergeCell ref="K4005:K4018"/>
    <mergeCell ref="K4019:K4032"/>
    <mergeCell ref="K4033:K4046"/>
    <mergeCell ref="K4047:K4060"/>
    <mergeCell ref="K4061:K4074"/>
    <mergeCell ref="K4075:K4088"/>
    <mergeCell ref="K4089:K4102"/>
    <mergeCell ref="K4103:K4116"/>
    <mergeCell ref="K4117:K4130"/>
    <mergeCell ref="K4131:K4144"/>
    <mergeCell ref="K4145:K4158"/>
    <mergeCell ref="K4159:K4172"/>
    <mergeCell ref="K4173:K4186"/>
    <mergeCell ref="K4187:K4200"/>
    <mergeCell ref="K4201:K4214"/>
    <mergeCell ref="K4215:K4228"/>
    <mergeCell ref="K4229:K4242"/>
    <mergeCell ref="K4243:K4256"/>
    <mergeCell ref="K4257:K4270"/>
    <mergeCell ref="K4271:K4284"/>
    <mergeCell ref="K4285:K4298"/>
    <mergeCell ref="K4299:K4312"/>
    <mergeCell ref="K4313:K4326"/>
    <mergeCell ref="K4327:K4340"/>
    <mergeCell ref="K4341:K4354"/>
    <mergeCell ref="K4355:K4368"/>
    <mergeCell ref="K4369:K4382"/>
    <mergeCell ref="K4383:K4396"/>
    <mergeCell ref="K4397:K4410"/>
    <mergeCell ref="K4411:K4424"/>
    <mergeCell ref="K4425:K4438"/>
  </mergeCells>
  <pageMargins left="0.314583333333333" right="0.275" top="0.236111111111111" bottom="0.0388888888888889" header="0.354166666666667" footer="0.196527777777778"/>
  <pageSetup paperSize="1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W359"/>
  <sheetViews>
    <sheetView tabSelected="1" zoomScale="110" zoomScaleNormal="110" topLeftCell="C1" workbookViewId="0">
      <selection activeCell="H179" sqref="H179:H268"/>
    </sheetView>
  </sheetViews>
  <sheetFormatPr defaultColWidth="9" defaultRowHeight="14.25"/>
  <cols>
    <col min="1" max="1" width="5" style="197" customWidth="1"/>
    <col min="2" max="2" width="7.75" style="1" customWidth="1"/>
    <col min="3" max="3" width="10.25" style="1" customWidth="1"/>
    <col min="4" max="4" width="10.25" style="3" hidden="1" customWidth="1"/>
    <col min="5" max="5" width="10.3333333333333" style="3" hidden="1" customWidth="1"/>
    <col min="6" max="6" width="18.4166666666667" style="144" customWidth="1"/>
    <col min="7" max="7" width="13.1666666666667" style="144" customWidth="1"/>
    <col min="8" max="8" width="12.25" style="198" customWidth="1"/>
    <col min="9" max="9" width="10.0833333333333" style="5" customWidth="1"/>
    <col min="10" max="10" width="8.25" style="199" customWidth="1"/>
    <col min="11" max="11" width="9.83333333333333" style="1" customWidth="1"/>
    <col min="12" max="12" width="9.08333333333333" style="1" customWidth="1"/>
    <col min="13" max="13" width="11.8333333333333" style="200" customWidth="1"/>
    <col min="14" max="14" width="11.8333333333333" style="1" customWidth="1"/>
    <col min="15" max="15" width="7.75" style="1" customWidth="1"/>
    <col min="16" max="16" width="8.08333333333333" style="201" hidden="1" customWidth="1"/>
    <col min="17" max="17" width="10.25" style="1" customWidth="1"/>
    <col min="18" max="18" width="9.83333333333333" style="1" customWidth="1"/>
    <col min="19" max="19" width="9.58333333333333" style="200" customWidth="1"/>
    <col min="20" max="20" width="9.33333333333333" style="200" customWidth="1"/>
    <col min="21" max="21" width="8.75" style="201" customWidth="1"/>
    <col min="22" max="22" width="8.75" style="200" customWidth="1"/>
    <col min="23" max="23" width="9.83333333333333" style="1" customWidth="1"/>
    <col min="24" max="24" width="9.75" style="200" customWidth="1"/>
    <col min="25" max="26" width="9.83333333333333" style="1" customWidth="1"/>
    <col min="27" max="27" width="5.58333333333333" style="1" customWidth="1"/>
    <col min="28" max="29" width="7.75" style="1" customWidth="1"/>
    <col min="30" max="30" width="5.58333333333333" style="1" customWidth="1"/>
    <col min="31" max="31" width="9" style="1" customWidth="1"/>
    <col min="32" max="32" width="7.83333333333333" style="1" customWidth="1"/>
    <col min="33" max="34" width="9.83333333333333" style="1" customWidth="1"/>
    <col min="35" max="35" width="12.8333333333333" style="1" customWidth="1"/>
    <col min="36" max="36" width="4" style="1" customWidth="1"/>
    <col min="37" max="37" width="13.5833333333333" style="202" customWidth="1"/>
    <col min="38" max="38" width="11.75" style="1" customWidth="1"/>
    <col min="39" max="39" width="13.8333333333333" style="1" hidden="1" customWidth="1"/>
    <col min="40" max="40" width="13.75" style="203" customWidth="1"/>
    <col min="41" max="41" width="14.5" style="1" customWidth="1"/>
    <col min="42" max="42" width="10" style="1" customWidth="1"/>
    <col min="43" max="43" width="9.83333333333333" style="196" hidden="1" customWidth="1"/>
    <col min="44" max="46" width="9.83333333333333" style="5" hidden="1" customWidth="1"/>
    <col min="47" max="47" width="8.33333333333333" style="5" hidden="1" customWidth="1"/>
    <col min="48" max="48" width="14.0833333333333" style="5" customWidth="1"/>
    <col min="49" max="49" width="46.75" style="204" customWidth="1"/>
    <col min="50" max="16384" width="9" style="1"/>
  </cols>
  <sheetData>
    <row r="1" ht="42" customHeight="1" spans="1:49">
      <c r="A1" s="151" t="s">
        <v>22</v>
      </c>
      <c r="B1" s="151"/>
      <c r="C1" s="151"/>
      <c r="D1" s="151"/>
      <c r="E1" s="151"/>
      <c r="F1" s="151"/>
      <c r="G1" s="151"/>
      <c r="H1" s="151"/>
      <c r="I1" s="205"/>
      <c r="J1" s="205"/>
      <c r="K1" s="205"/>
      <c r="L1" s="205"/>
      <c r="M1" s="206" t="s">
        <v>23</v>
      </c>
      <c r="N1" s="207" t="s">
        <v>23</v>
      </c>
      <c r="O1" s="208"/>
      <c r="P1" s="209"/>
      <c r="Q1" s="208"/>
      <c r="R1" s="208"/>
      <c r="S1" s="206"/>
      <c r="T1" s="206"/>
      <c r="U1" s="209"/>
      <c r="V1" s="206"/>
      <c r="W1" s="207"/>
      <c r="X1" s="206"/>
      <c r="Y1" s="207"/>
      <c r="Z1" s="207"/>
      <c r="AA1" s="207"/>
      <c r="AB1" s="207"/>
      <c r="AC1" s="207"/>
      <c r="AD1" s="207"/>
      <c r="AE1" s="210"/>
      <c r="AF1" s="207"/>
      <c r="AG1" s="207"/>
      <c r="AH1" s="207"/>
      <c r="AI1" s="207"/>
      <c r="AJ1" s="207"/>
      <c r="AK1" s="211"/>
      <c r="AL1" s="69"/>
      <c r="AM1" s="69"/>
      <c r="AN1" s="212"/>
      <c r="AO1" s="69"/>
      <c r="AP1" s="69"/>
      <c r="AQ1" s="7" t="s">
        <v>24</v>
      </c>
      <c r="AR1" s="67"/>
      <c r="AS1" s="67"/>
      <c r="AT1" s="67"/>
      <c r="AU1" s="67"/>
      <c r="AV1" s="67"/>
      <c r="AW1" s="213"/>
    </row>
    <row r="2" s="195" customFormat="1" spans="1:49">
      <c r="A2" s="3"/>
      <c r="B2" s="21" t="s">
        <v>25</v>
      </c>
      <c r="C2" s="214" t="s">
        <v>26</v>
      </c>
      <c r="D2" s="215"/>
      <c r="E2" s="215"/>
      <c r="F2" s="152" t="s">
        <v>27</v>
      </c>
      <c r="G2" s="152" t="s">
        <v>28</v>
      </c>
      <c r="H2" s="216" t="s">
        <v>29</v>
      </c>
      <c r="I2" s="217" t="s">
        <v>15</v>
      </c>
      <c r="J2" s="218" t="s">
        <v>16</v>
      </c>
      <c r="K2" s="219"/>
      <c r="L2" s="219"/>
      <c r="M2" s="220" t="s">
        <v>30</v>
      </c>
      <c r="N2" s="69" t="s">
        <v>31</v>
      </c>
      <c r="O2" s="221" t="s">
        <v>32</v>
      </c>
      <c r="P2" s="222" t="s">
        <v>33</v>
      </c>
      <c r="Q2" s="221" t="s">
        <v>34</v>
      </c>
      <c r="R2" s="221" t="s">
        <v>35</v>
      </c>
      <c r="S2" s="223" t="s">
        <v>36</v>
      </c>
      <c r="T2" s="220" t="s">
        <v>37</v>
      </c>
      <c r="U2" s="222" t="s">
        <v>38</v>
      </c>
      <c r="V2" s="220" t="s">
        <v>39</v>
      </c>
      <c r="W2" s="221" t="s">
        <v>40</v>
      </c>
      <c r="X2" s="220" t="s">
        <v>13</v>
      </c>
      <c r="Y2" s="221" t="s">
        <v>41</v>
      </c>
      <c r="Z2" s="221" t="s">
        <v>42</v>
      </c>
      <c r="AA2" s="221" t="s">
        <v>43</v>
      </c>
      <c r="AB2" s="221"/>
      <c r="AC2" s="221"/>
      <c r="AD2" s="221"/>
      <c r="AE2" s="69" t="s">
        <v>44</v>
      </c>
      <c r="AF2" s="69"/>
      <c r="AG2" s="69"/>
      <c r="AH2" s="69"/>
      <c r="AI2" s="221" t="s">
        <v>19</v>
      </c>
      <c r="AJ2" s="221" t="s">
        <v>45</v>
      </c>
      <c r="AK2" s="224" t="s">
        <v>46</v>
      </c>
      <c r="AL2" s="69"/>
      <c r="AM2" s="69"/>
      <c r="AN2" s="212"/>
      <c r="AO2" s="69"/>
      <c r="AP2" s="69"/>
      <c r="AQ2" s="7" t="s">
        <v>47</v>
      </c>
      <c r="AR2" s="67"/>
      <c r="AS2" s="67"/>
      <c r="AT2" s="67"/>
      <c r="AU2" s="67"/>
      <c r="AV2" s="67" t="s">
        <v>48</v>
      </c>
      <c r="AW2" s="213"/>
    </row>
    <row r="3" s="195" customFormat="1" ht="24" customHeight="1" spans="1:49">
      <c r="A3" s="3"/>
      <c r="B3" s="14"/>
      <c r="C3" s="21"/>
      <c r="D3" s="225" t="s">
        <v>49</v>
      </c>
      <c r="E3" s="225" t="s">
        <v>29</v>
      </c>
      <c r="F3" s="22"/>
      <c r="G3" s="22"/>
      <c r="H3" s="115"/>
      <c r="I3" s="67"/>
      <c r="J3" s="226"/>
      <c r="K3" s="69" t="s">
        <v>50</v>
      </c>
      <c r="L3" s="69" t="s">
        <v>14</v>
      </c>
      <c r="M3" s="220"/>
      <c r="N3" s="69"/>
      <c r="O3" s="221"/>
      <c r="P3" s="222"/>
      <c r="Q3" s="221"/>
      <c r="R3" s="221"/>
      <c r="S3" s="227"/>
      <c r="T3" s="220"/>
      <c r="U3" s="222"/>
      <c r="V3" s="220"/>
      <c r="W3" s="221"/>
      <c r="X3" s="220"/>
      <c r="Y3" s="221"/>
      <c r="Z3" s="221"/>
      <c r="AA3" s="221" t="s">
        <v>15</v>
      </c>
      <c r="AB3" s="221" t="s">
        <v>16</v>
      </c>
      <c r="AC3" s="221" t="s">
        <v>51</v>
      </c>
      <c r="AD3" s="221" t="s">
        <v>52</v>
      </c>
      <c r="AE3" s="69" t="s">
        <v>53</v>
      </c>
      <c r="AF3" s="69" t="s">
        <v>54</v>
      </c>
      <c r="AG3" s="69" t="s">
        <v>55</v>
      </c>
      <c r="AH3" s="69" t="s">
        <v>56</v>
      </c>
      <c r="AI3" s="221"/>
      <c r="AJ3" s="221"/>
      <c r="AK3" s="224" t="s">
        <v>57</v>
      </c>
      <c r="AL3" s="69" t="s">
        <v>58</v>
      </c>
      <c r="AM3" s="69" t="s">
        <v>59</v>
      </c>
      <c r="AN3" s="212" t="s">
        <v>60</v>
      </c>
      <c r="AO3" s="69" t="s">
        <v>61</v>
      </c>
      <c r="AP3" s="69" t="s">
        <v>52</v>
      </c>
      <c r="AQ3" s="7" t="s">
        <v>62</v>
      </c>
      <c r="AR3" s="67" t="s">
        <v>63</v>
      </c>
      <c r="AS3" s="67" t="s">
        <v>64</v>
      </c>
      <c r="AT3" s="67" t="s">
        <v>65</v>
      </c>
      <c r="AU3" s="67" t="s">
        <v>52</v>
      </c>
      <c r="AV3" s="67"/>
      <c r="AW3" s="213" t="s">
        <v>4</v>
      </c>
    </row>
    <row r="4" ht="25" customHeight="1" spans="1:49">
      <c r="A4" s="228">
        <f>SUBTOTAL(2,$Y$4:Y4)</f>
        <v>1</v>
      </c>
      <c r="B4" s="14" t="s">
        <v>66</v>
      </c>
      <c r="C4" s="14" t="s">
        <v>67</v>
      </c>
      <c r="D4" s="115" t="s">
        <v>68</v>
      </c>
      <c r="E4" s="229">
        <v>19.5</v>
      </c>
      <c r="F4" s="13" t="s">
        <v>68</v>
      </c>
      <c r="G4" s="13" t="s">
        <v>69</v>
      </c>
      <c r="H4" s="14">
        <f>E4</f>
        <v>19.5</v>
      </c>
      <c r="I4" s="67">
        <v>3052</v>
      </c>
      <c r="J4" s="230">
        <v>210</v>
      </c>
      <c r="K4" s="69">
        <f t="shared" ref="K4:K18" si="0">I4+J4</f>
        <v>3262</v>
      </c>
      <c r="L4" s="69">
        <v>160</v>
      </c>
      <c r="M4" s="69">
        <v>21125</v>
      </c>
      <c r="N4" s="69">
        <v>21255</v>
      </c>
      <c r="O4" s="69">
        <f>N4-M4</f>
        <v>130</v>
      </c>
      <c r="P4" s="231">
        <f>ROUND(H4*0,0)</f>
        <v>0</v>
      </c>
      <c r="Q4" s="69">
        <f t="shared" ref="Q4:Q17" si="1">O4+P4</f>
        <v>130</v>
      </c>
      <c r="R4" s="69">
        <v>0.8</v>
      </c>
      <c r="S4" s="220">
        <f>ROUND(Q4*0.7,0)</f>
        <v>91</v>
      </c>
      <c r="T4" s="220">
        <f>ROUND(Q4*R4,0)</f>
        <v>104</v>
      </c>
      <c r="U4" s="222">
        <f>ROUND(H4*5.6,0)</f>
        <v>109</v>
      </c>
      <c r="V4" s="220">
        <f>ROUND(U4*1.5,0)</f>
        <v>164</v>
      </c>
      <c r="W4" s="69">
        <f t="shared" ref="W4:W17" si="2">ROUND(H4*0.2,0)</f>
        <v>4</v>
      </c>
      <c r="X4" s="220">
        <f>ROUND(W4*8.5,0)</f>
        <v>34</v>
      </c>
      <c r="Y4" s="69">
        <f>I4+J4+L4+S4+T4+V4+X4</f>
        <v>3815</v>
      </c>
      <c r="Z4" s="69"/>
      <c r="AA4" s="69"/>
      <c r="AB4" s="69"/>
      <c r="AC4" s="69"/>
      <c r="AD4" s="69">
        <f>AA4+AB4+AC4</f>
        <v>0</v>
      </c>
      <c r="AE4" s="69"/>
      <c r="AF4" s="69"/>
      <c r="AG4" s="69"/>
      <c r="AH4" s="69">
        <f>AE4+AF4-AG4</f>
        <v>0</v>
      </c>
      <c r="AI4" s="69">
        <f>Y4+Z4+AJ4-AD4-AG4</f>
        <v>3815</v>
      </c>
      <c r="AJ4" s="69"/>
      <c r="AK4" s="232"/>
      <c r="AL4" s="212"/>
      <c r="AM4" s="212"/>
      <c r="AN4" s="212"/>
      <c r="AO4" s="212"/>
      <c r="AP4" s="69">
        <f>AL4+AN4+AM4+AO4</f>
        <v>0</v>
      </c>
      <c r="AQ4" s="7"/>
      <c r="AR4" s="69"/>
      <c r="AS4" s="69"/>
      <c r="AT4" s="69"/>
      <c r="AU4" s="69">
        <f>SUM(AQ4:AT4)</f>
        <v>0</v>
      </c>
      <c r="AV4" s="69">
        <f>AI4-AP4-AU4</f>
        <v>3815</v>
      </c>
      <c r="AW4" s="14"/>
    </row>
    <row r="5" ht="20.15" customHeight="1" spans="1:49">
      <c r="A5" s="228">
        <f>SUBTOTAL(2,$Y$4:Y5)</f>
        <v>2</v>
      </c>
      <c r="B5" s="14" t="s">
        <v>70</v>
      </c>
      <c r="C5" s="14" t="s">
        <v>67</v>
      </c>
      <c r="D5" s="115">
        <v>1001</v>
      </c>
      <c r="E5" s="229">
        <v>21.87</v>
      </c>
      <c r="F5" s="13">
        <v>1001</v>
      </c>
      <c r="G5" s="13" t="s">
        <v>71</v>
      </c>
      <c r="H5" s="14">
        <f>E5</f>
        <v>21.87</v>
      </c>
      <c r="I5" s="69">
        <v>4200</v>
      </c>
      <c r="J5" s="230">
        <v>500</v>
      </c>
      <c r="K5" s="69">
        <f t="shared" si="0"/>
        <v>4700</v>
      </c>
      <c r="L5" s="69">
        <v>160</v>
      </c>
      <c r="M5" s="69">
        <v>5427</v>
      </c>
      <c r="N5" s="69">
        <v>5545</v>
      </c>
      <c r="O5" s="69">
        <f t="shared" ref="O5:O17" si="3">N5-M5</f>
        <v>118</v>
      </c>
      <c r="P5" s="231">
        <f t="shared" ref="P5:P36" si="4">ROUND(H5*0,0)</f>
        <v>0</v>
      </c>
      <c r="Q5" s="69">
        <f t="shared" si="1"/>
        <v>118</v>
      </c>
      <c r="R5" s="69">
        <v>0.8</v>
      </c>
      <c r="S5" s="220">
        <f t="shared" ref="S5:S68" si="5">ROUND(Q5*0.7,0)</f>
        <v>83</v>
      </c>
      <c r="T5" s="220">
        <f t="shared" ref="T5:T17" si="6">ROUND(Q5*R5,0)</f>
        <v>94</v>
      </c>
      <c r="U5" s="222">
        <f t="shared" ref="U5:U10" si="7">ROUND(H5*5.6,0)</f>
        <v>122</v>
      </c>
      <c r="V5" s="220">
        <f t="shared" ref="V5:V17" si="8">ROUND(U5*1.5,0)</f>
        <v>183</v>
      </c>
      <c r="W5" s="69">
        <f t="shared" si="2"/>
        <v>4</v>
      </c>
      <c r="X5" s="220">
        <f t="shared" ref="X5:X36" si="9">ROUND(W5*8.5,0)</f>
        <v>34</v>
      </c>
      <c r="Y5" s="69">
        <f t="shared" ref="Y5:Y68" si="10">I5+J5+L5+S5+T5+V5+X5</f>
        <v>5254</v>
      </c>
      <c r="Z5" s="69"/>
      <c r="AA5" s="69"/>
      <c r="AB5" s="69"/>
      <c r="AC5" s="69"/>
      <c r="AD5" s="69">
        <f t="shared" ref="AD5:AD36" si="11">AA5+AB5+AC5</f>
        <v>0</v>
      </c>
      <c r="AE5" s="69"/>
      <c r="AF5" s="69"/>
      <c r="AG5" s="69"/>
      <c r="AH5" s="69">
        <f t="shared" ref="AH5:AH36" si="12">AE5+AF5-AG5</f>
        <v>0</v>
      </c>
      <c r="AI5" s="69">
        <f t="shared" ref="AI5:AI36" si="13">Y5+Z5+AJ5-AD5-AG5</f>
        <v>5254</v>
      </c>
      <c r="AJ5" s="69"/>
      <c r="AK5" s="232"/>
      <c r="AL5" s="212"/>
      <c r="AM5" s="212"/>
      <c r="AN5" s="212"/>
      <c r="AO5" s="212"/>
      <c r="AP5" s="69">
        <f t="shared" ref="AP5:AP68" si="14">AL5+AN5+AM5+AO5</f>
        <v>0</v>
      </c>
      <c r="AQ5" s="7"/>
      <c r="AR5" s="69"/>
      <c r="AS5" s="69"/>
      <c r="AT5" s="69"/>
      <c r="AU5" s="69">
        <f t="shared" ref="AU5:AU68" si="15">SUM(AQ5:AT5)</f>
        <v>0</v>
      </c>
      <c r="AV5" s="69">
        <f t="shared" ref="AV5:AV68" si="16">AI5-AP5-AU5</f>
        <v>5254</v>
      </c>
      <c r="AW5" s="14"/>
    </row>
    <row r="6" ht="20.15" customHeight="1" spans="1:49">
      <c r="A6" s="228">
        <f>SUBTOTAL(2,$Y$4:Y6)</f>
        <v>3</v>
      </c>
      <c r="B6" s="14" t="s">
        <v>72</v>
      </c>
      <c r="C6" s="14" t="s">
        <v>67</v>
      </c>
      <c r="D6" s="115">
        <v>1002</v>
      </c>
      <c r="E6" s="229">
        <v>21.87</v>
      </c>
      <c r="F6" s="13">
        <v>1002</v>
      </c>
      <c r="G6" s="13" t="s">
        <v>73</v>
      </c>
      <c r="H6" s="14">
        <f>E6</f>
        <v>21.87</v>
      </c>
      <c r="I6" s="67">
        <v>1500</v>
      </c>
      <c r="J6" s="230"/>
      <c r="K6" s="69">
        <f t="shared" si="0"/>
        <v>1500</v>
      </c>
      <c r="L6" s="69">
        <v>160</v>
      </c>
      <c r="M6" s="69">
        <v>8496</v>
      </c>
      <c r="N6" s="69">
        <v>8503</v>
      </c>
      <c r="O6" s="69">
        <f t="shared" si="3"/>
        <v>7</v>
      </c>
      <c r="P6" s="231">
        <f t="shared" si="4"/>
        <v>0</v>
      </c>
      <c r="Q6" s="69">
        <f t="shared" si="1"/>
        <v>7</v>
      </c>
      <c r="R6" s="69">
        <v>0.8</v>
      </c>
      <c r="S6" s="220">
        <f t="shared" si="5"/>
        <v>5</v>
      </c>
      <c r="T6" s="220">
        <f t="shared" si="6"/>
        <v>6</v>
      </c>
      <c r="U6" s="222">
        <f t="shared" si="7"/>
        <v>122</v>
      </c>
      <c r="V6" s="220">
        <f t="shared" si="8"/>
        <v>183</v>
      </c>
      <c r="W6" s="69">
        <f t="shared" si="2"/>
        <v>4</v>
      </c>
      <c r="X6" s="220">
        <f t="shared" si="9"/>
        <v>34</v>
      </c>
      <c r="Y6" s="69">
        <f t="shared" si="10"/>
        <v>1888</v>
      </c>
      <c r="Z6" s="7"/>
      <c r="AA6" s="69"/>
      <c r="AB6" s="69"/>
      <c r="AC6" s="69"/>
      <c r="AD6" s="69">
        <f t="shared" si="11"/>
        <v>0</v>
      </c>
      <c r="AE6" s="69"/>
      <c r="AF6" s="69"/>
      <c r="AG6" s="69"/>
      <c r="AH6" s="69">
        <f t="shared" si="12"/>
        <v>0</v>
      </c>
      <c r="AI6" s="69">
        <f t="shared" si="13"/>
        <v>1888</v>
      </c>
      <c r="AJ6" s="69"/>
      <c r="AK6" s="232"/>
      <c r="AL6" s="212"/>
      <c r="AM6" s="212"/>
      <c r="AN6" s="212"/>
      <c r="AO6" s="212"/>
      <c r="AP6" s="69">
        <f t="shared" si="14"/>
        <v>0</v>
      </c>
      <c r="AQ6" s="7"/>
      <c r="AR6" s="69"/>
      <c r="AS6" s="69"/>
      <c r="AT6" s="69"/>
      <c r="AU6" s="69">
        <f t="shared" si="15"/>
        <v>0</v>
      </c>
      <c r="AV6" s="69">
        <f t="shared" si="16"/>
        <v>1888</v>
      </c>
      <c r="AW6" s="14"/>
    </row>
    <row r="7" ht="18" customHeight="1" spans="1:49">
      <c r="A7" s="228">
        <f>SUBTOTAL(2,$Y$4:Y7)</f>
        <v>4</v>
      </c>
      <c r="B7" s="14" t="s">
        <v>74</v>
      </c>
      <c r="C7" s="14" t="s">
        <v>67</v>
      </c>
      <c r="D7" s="115" t="s">
        <v>75</v>
      </c>
      <c r="E7" s="229">
        <f>21.87+27.15</f>
        <v>49.02</v>
      </c>
      <c r="F7" s="22" t="s">
        <v>76</v>
      </c>
      <c r="G7" s="22" t="s">
        <v>77</v>
      </c>
      <c r="H7" s="14">
        <v>49.02</v>
      </c>
      <c r="I7" s="67">
        <v>3000</v>
      </c>
      <c r="J7" s="226"/>
      <c r="K7" s="69">
        <f t="shared" si="0"/>
        <v>3000</v>
      </c>
      <c r="L7" s="69">
        <v>320</v>
      </c>
      <c r="M7" s="69">
        <f>7009+9610</f>
        <v>16619</v>
      </c>
      <c r="N7" s="69">
        <f>7029+9610</f>
        <v>16639</v>
      </c>
      <c r="O7" s="69">
        <f t="shared" si="3"/>
        <v>20</v>
      </c>
      <c r="P7" s="231">
        <f t="shared" si="4"/>
        <v>0</v>
      </c>
      <c r="Q7" s="69">
        <f t="shared" si="1"/>
        <v>20</v>
      </c>
      <c r="R7" s="69">
        <v>0.8</v>
      </c>
      <c r="S7" s="220">
        <f t="shared" si="5"/>
        <v>14</v>
      </c>
      <c r="T7" s="220">
        <f t="shared" si="6"/>
        <v>16</v>
      </c>
      <c r="U7" s="222">
        <f t="shared" si="7"/>
        <v>275</v>
      </c>
      <c r="V7" s="220">
        <f t="shared" si="8"/>
        <v>413</v>
      </c>
      <c r="W7" s="69">
        <f t="shared" si="2"/>
        <v>10</v>
      </c>
      <c r="X7" s="220">
        <f t="shared" si="9"/>
        <v>85</v>
      </c>
      <c r="Y7" s="69">
        <f t="shared" si="10"/>
        <v>3848</v>
      </c>
      <c r="Z7" s="69"/>
      <c r="AA7" s="69"/>
      <c r="AB7" s="69"/>
      <c r="AC7" s="69"/>
      <c r="AD7" s="69">
        <f t="shared" si="11"/>
        <v>0</v>
      </c>
      <c r="AE7" s="69"/>
      <c r="AF7" s="69"/>
      <c r="AG7" s="69"/>
      <c r="AH7" s="69">
        <f t="shared" si="12"/>
        <v>0</v>
      </c>
      <c r="AI7" s="69">
        <f t="shared" si="13"/>
        <v>3848</v>
      </c>
      <c r="AJ7" s="69"/>
      <c r="AK7" s="232"/>
      <c r="AL7" s="212"/>
      <c r="AM7" s="212"/>
      <c r="AN7" s="212"/>
      <c r="AO7" s="212"/>
      <c r="AP7" s="69">
        <f t="shared" si="14"/>
        <v>0</v>
      </c>
      <c r="AQ7" s="7"/>
      <c r="AR7" s="69"/>
      <c r="AS7" s="69"/>
      <c r="AT7" s="69"/>
      <c r="AU7" s="69">
        <f t="shared" si="15"/>
        <v>0</v>
      </c>
      <c r="AV7" s="69">
        <f t="shared" si="16"/>
        <v>3848</v>
      </c>
      <c r="AW7" s="14"/>
    </row>
    <row r="8" ht="20.15" customHeight="1" spans="1:49">
      <c r="A8" s="228">
        <f>SUBTOTAL(2,$Y$4:Y8)</f>
        <v>5</v>
      </c>
      <c r="B8" s="14" t="s">
        <v>78</v>
      </c>
      <c r="C8" s="14" t="s">
        <v>67</v>
      </c>
      <c r="D8" s="115">
        <v>1005</v>
      </c>
      <c r="E8" s="229">
        <v>27.15</v>
      </c>
      <c r="F8" s="22">
        <v>1005</v>
      </c>
      <c r="G8" s="115" t="s">
        <v>79</v>
      </c>
      <c r="H8" s="115">
        <v>27.15</v>
      </c>
      <c r="I8" s="67">
        <v>1200</v>
      </c>
      <c r="J8" s="230">
        <v>200</v>
      </c>
      <c r="K8" s="69">
        <f t="shared" si="0"/>
        <v>1400</v>
      </c>
      <c r="L8" s="69">
        <v>160</v>
      </c>
      <c r="M8" s="69">
        <v>3318</v>
      </c>
      <c r="N8" s="69">
        <v>3354</v>
      </c>
      <c r="O8" s="69">
        <f t="shared" si="3"/>
        <v>36</v>
      </c>
      <c r="P8" s="231">
        <f t="shared" si="4"/>
        <v>0</v>
      </c>
      <c r="Q8" s="69">
        <f t="shared" si="1"/>
        <v>36</v>
      </c>
      <c r="R8" s="69">
        <v>0.8</v>
      </c>
      <c r="S8" s="220">
        <f t="shared" si="5"/>
        <v>25</v>
      </c>
      <c r="T8" s="220">
        <f t="shared" si="6"/>
        <v>29</v>
      </c>
      <c r="U8" s="222">
        <f t="shared" si="7"/>
        <v>152</v>
      </c>
      <c r="V8" s="220">
        <f t="shared" si="8"/>
        <v>228</v>
      </c>
      <c r="W8" s="69">
        <f t="shared" si="2"/>
        <v>5</v>
      </c>
      <c r="X8" s="220">
        <f t="shared" si="9"/>
        <v>43</v>
      </c>
      <c r="Y8" s="69">
        <f t="shared" si="10"/>
        <v>1885</v>
      </c>
      <c r="Z8" s="69"/>
      <c r="AA8" s="69"/>
      <c r="AB8" s="69"/>
      <c r="AC8" s="69"/>
      <c r="AD8" s="69">
        <f t="shared" si="11"/>
        <v>0</v>
      </c>
      <c r="AE8" s="69"/>
      <c r="AF8" s="69"/>
      <c r="AG8" s="69"/>
      <c r="AH8" s="69">
        <f t="shared" si="12"/>
        <v>0</v>
      </c>
      <c r="AI8" s="69">
        <f t="shared" si="13"/>
        <v>1885</v>
      </c>
      <c r="AJ8" s="69"/>
      <c r="AK8" s="232"/>
      <c r="AL8" s="212"/>
      <c r="AM8" s="233"/>
      <c r="AN8" s="212"/>
      <c r="AO8" s="212"/>
      <c r="AP8" s="69">
        <f t="shared" si="14"/>
        <v>0</v>
      </c>
      <c r="AQ8" s="7"/>
      <c r="AR8" s="69"/>
      <c r="AS8" s="69"/>
      <c r="AT8" s="69"/>
      <c r="AU8" s="69">
        <f t="shared" si="15"/>
        <v>0</v>
      </c>
      <c r="AV8" s="69">
        <f t="shared" si="16"/>
        <v>1885</v>
      </c>
      <c r="AW8" s="14"/>
    </row>
    <row r="9" ht="20.15" customHeight="1" spans="1:49">
      <c r="A9" s="228">
        <f>SUBTOTAL(2,$Y$4:Y9)</f>
        <v>6</v>
      </c>
      <c r="B9" s="14" t="s">
        <v>80</v>
      </c>
      <c r="C9" s="14" t="s">
        <v>67</v>
      </c>
      <c r="D9" s="115">
        <v>1006</v>
      </c>
      <c r="E9" s="229">
        <v>27.15</v>
      </c>
      <c r="F9" s="22">
        <v>1006</v>
      </c>
      <c r="G9" s="22" t="s">
        <v>81</v>
      </c>
      <c r="H9" s="115">
        <v>27.15</v>
      </c>
      <c r="I9" s="67">
        <v>1200</v>
      </c>
      <c r="J9" s="226">
        <v>200</v>
      </c>
      <c r="K9" s="69">
        <f t="shared" si="0"/>
        <v>1400</v>
      </c>
      <c r="L9" s="69">
        <v>160</v>
      </c>
      <c r="M9" s="69">
        <v>4555</v>
      </c>
      <c r="N9" s="69">
        <v>4587</v>
      </c>
      <c r="O9" s="69">
        <f t="shared" si="3"/>
        <v>32</v>
      </c>
      <c r="P9" s="231">
        <f t="shared" si="4"/>
        <v>0</v>
      </c>
      <c r="Q9" s="69">
        <f t="shared" si="1"/>
        <v>32</v>
      </c>
      <c r="R9" s="69">
        <v>0.8</v>
      </c>
      <c r="S9" s="220">
        <f t="shared" si="5"/>
        <v>22</v>
      </c>
      <c r="T9" s="220">
        <f t="shared" si="6"/>
        <v>26</v>
      </c>
      <c r="U9" s="222">
        <f t="shared" si="7"/>
        <v>152</v>
      </c>
      <c r="V9" s="220">
        <f t="shared" si="8"/>
        <v>228</v>
      </c>
      <c r="W9" s="69">
        <v>0</v>
      </c>
      <c r="X9" s="220">
        <f t="shared" si="9"/>
        <v>0</v>
      </c>
      <c r="Y9" s="69">
        <f t="shared" si="10"/>
        <v>1836</v>
      </c>
      <c r="Z9" s="69"/>
      <c r="AA9" s="69"/>
      <c r="AB9" s="69"/>
      <c r="AC9" s="69"/>
      <c r="AD9" s="69">
        <f t="shared" si="11"/>
        <v>0</v>
      </c>
      <c r="AE9" s="69"/>
      <c r="AF9" s="69"/>
      <c r="AG9" s="69"/>
      <c r="AH9" s="69">
        <f t="shared" si="12"/>
        <v>0</v>
      </c>
      <c r="AI9" s="69">
        <f t="shared" si="13"/>
        <v>1836</v>
      </c>
      <c r="AJ9" s="69"/>
      <c r="AK9" s="232"/>
      <c r="AL9" s="212"/>
      <c r="AM9" s="212"/>
      <c r="AN9" s="212"/>
      <c r="AO9" s="212"/>
      <c r="AP9" s="69">
        <f t="shared" si="14"/>
        <v>0</v>
      </c>
      <c r="AQ9" s="7"/>
      <c r="AR9" s="69"/>
      <c r="AS9" s="69"/>
      <c r="AT9" s="69"/>
      <c r="AU9" s="69">
        <f t="shared" si="15"/>
        <v>0</v>
      </c>
      <c r="AV9" s="69">
        <f t="shared" si="16"/>
        <v>1836</v>
      </c>
      <c r="AW9" s="14"/>
    </row>
    <row r="10" ht="20.15" customHeight="1" spans="1:49">
      <c r="A10" s="228">
        <f>SUBTOTAL(2,$Y$4:Y10)</f>
        <v>7</v>
      </c>
      <c r="B10" s="14" t="s">
        <v>82</v>
      </c>
      <c r="C10" s="14" t="s">
        <v>67</v>
      </c>
      <c r="D10" s="115">
        <v>1007</v>
      </c>
      <c r="E10" s="229">
        <v>27.15</v>
      </c>
      <c r="F10" s="13">
        <v>1007</v>
      </c>
      <c r="G10" s="13" t="s">
        <v>83</v>
      </c>
      <c r="H10" s="14">
        <f>E10</f>
        <v>27.15</v>
      </c>
      <c r="I10" s="69">
        <v>1200</v>
      </c>
      <c r="J10" s="230"/>
      <c r="K10" s="69">
        <f t="shared" si="0"/>
        <v>1200</v>
      </c>
      <c r="L10" s="69">
        <v>160</v>
      </c>
      <c r="M10" s="69">
        <v>759</v>
      </c>
      <c r="N10" s="69">
        <v>765</v>
      </c>
      <c r="O10" s="69">
        <f t="shared" si="3"/>
        <v>6</v>
      </c>
      <c r="P10" s="231">
        <f t="shared" si="4"/>
        <v>0</v>
      </c>
      <c r="Q10" s="69">
        <f t="shared" si="1"/>
        <v>6</v>
      </c>
      <c r="R10" s="69">
        <v>0.8</v>
      </c>
      <c r="S10" s="220">
        <f t="shared" si="5"/>
        <v>4</v>
      </c>
      <c r="T10" s="220">
        <f t="shared" si="6"/>
        <v>5</v>
      </c>
      <c r="U10" s="222">
        <f t="shared" si="7"/>
        <v>152</v>
      </c>
      <c r="V10" s="220">
        <f t="shared" si="8"/>
        <v>228</v>
      </c>
      <c r="W10" s="69">
        <f t="shared" si="2"/>
        <v>5</v>
      </c>
      <c r="X10" s="220">
        <f t="shared" si="9"/>
        <v>43</v>
      </c>
      <c r="Y10" s="69">
        <f t="shared" si="10"/>
        <v>1640</v>
      </c>
      <c r="Z10" s="69"/>
      <c r="AA10" s="69"/>
      <c r="AB10" s="69"/>
      <c r="AC10" s="69"/>
      <c r="AD10" s="69">
        <f t="shared" si="11"/>
        <v>0</v>
      </c>
      <c r="AE10" s="69"/>
      <c r="AF10" s="69"/>
      <c r="AG10" s="69"/>
      <c r="AH10" s="69">
        <f t="shared" si="12"/>
        <v>0</v>
      </c>
      <c r="AI10" s="69">
        <f t="shared" si="13"/>
        <v>1640</v>
      </c>
      <c r="AJ10" s="69"/>
      <c r="AK10" s="232"/>
      <c r="AL10" s="212"/>
      <c r="AM10" s="212"/>
      <c r="AN10" s="212"/>
      <c r="AO10" s="212"/>
      <c r="AP10" s="69">
        <f t="shared" si="14"/>
        <v>0</v>
      </c>
      <c r="AQ10" s="7"/>
      <c r="AR10" s="69"/>
      <c r="AS10" s="69"/>
      <c r="AT10" s="69"/>
      <c r="AU10" s="69">
        <f t="shared" si="15"/>
        <v>0</v>
      </c>
      <c r="AV10" s="69">
        <f t="shared" si="16"/>
        <v>1640</v>
      </c>
      <c r="AW10" s="234"/>
    </row>
    <row r="11" ht="20.15" customHeight="1" spans="1:49">
      <c r="A11" s="228">
        <f>SUBTOTAL(2,$Y$4:Y11)</f>
        <v>8</v>
      </c>
      <c r="B11" s="14" t="s">
        <v>84</v>
      </c>
      <c r="C11" s="14" t="s">
        <v>67</v>
      </c>
      <c r="D11" s="115">
        <v>1008</v>
      </c>
      <c r="E11" s="229">
        <v>27.15</v>
      </c>
      <c r="F11" s="13" t="s">
        <v>85</v>
      </c>
      <c r="G11" s="13" t="s">
        <v>86</v>
      </c>
      <c r="H11" s="14">
        <f>E11*2</f>
        <v>54.3</v>
      </c>
      <c r="I11" s="67">
        <v>2500</v>
      </c>
      <c r="J11" s="235"/>
      <c r="K11" s="69">
        <f t="shared" si="0"/>
        <v>2500</v>
      </c>
      <c r="L11" s="69">
        <v>320</v>
      </c>
      <c r="M11" s="69">
        <v>3460</v>
      </c>
      <c r="N11" s="69">
        <v>3682</v>
      </c>
      <c r="O11" s="69">
        <f t="shared" si="3"/>
        <v>222</v>
      </c>
      <c r="P11" s="231">
        <f t="shared" si="4"/>
        <v>0</v>
      </c>
      <c r="Q11" s="69">
        <f t="shared" si="1"/>
        <v>222</v>
      </c>
      <c r="R11" s="69">
        <v>0.8</v>
      </c>
      <c r="S11" s="220">
        <f t="shared" si="5"/>
        <v>155</v>
      </c>
      <c r="T11" s="220">
        <f t="shared" si="6"/>
        <v>178</v>
      </c>
      <c r="U11" s="236">
        <f>ROUND(H11*0,0)</f>
        <v>0</v>
      </c>
      <c r="V11" s="220">
        <f t="shared" si="8"/>
        <v>0</v>
      </c>
      <c r="W11" s="69">
        <f t="shared" si="2"/>
        <v>11</v>
      </c>
      <c r="X11" s="220">
        <f t="shared" si="9"/>
        <v>94</v>
      </c>
      <c r="Y11" s="69">
        <f t="shared" si="10"/>
        <v>3247</v>
      </c>
      <c r="Z11" s="69"/>
      <c r="AA11" s="69"/>
      <c r="AB11" s="69"/>
      <c r="AC11" s="69"/>
      <c r="AD11" s="69">
        <f t="shared" si="11"/>
        <v>0</v>
      </c>
      <c r="AE11" s="69"/>
      <c r="AF11" s="69"/>
      <c r="AG11" s="69"/>
      <c r="AH11" s="69">
        <f t="shared" si="12"/>
        <v>0</v>
      </c>
      <c r="AI11" s="69">
        <f t="shared" si="13"/>
        <v>3247</v>
      </c>
      <c r="AJ11" s="69"/>
      <c r="AK11" s="232"/>
      <c r="AL11" s="212"/>
      <c r="AM11" s="212"/>
      <c r="AN11" s="212"/>
      <c r="AO11" s="212"/>
      <c r="AP11" s="69">
        <f t="shared" si="14"/>
        <v>0</v>
      </c>
      <c r="AQ11" s="7"/>
      <c r="AR11" s="69"/>
      <c r="AS11" s="69"/>
      <c r="AT11" s="69"/>
      <c r="AU11" s="69">
        <f t="shared" si="15"/>
        <v>0</v>
      </c>
      <c r="AV11" s="69">
        <f t="shared" si="16"/>
        <v>3247</v>
      </c>
      <c r="AW11" s="213"/>
    </row>
    <row r="12" ht="20.15" customHeight="1" spans="1:49">
      <c r="A12" s="228">
        <f>SUBTOTAL(2,$Y$4:Y12)</f>
        <v>9</v>
      </c>
      <c r="B12" s="14" t="s">
        <v>87</v>
      </c>
      <c r="C12" s="14" t="s">
        <v>67</v>
      </c>
      <c r="D12" s="115">
        <v>1009</v>
      </c>
      <c r="E12" s="229">
        <v>27.15</v>
      </c>
      <c r="F12" s="13">
        <v>1009</v>
      </c>
      <c r="G12" s="153" t="s">
        <v>86</v>
      </c>
      <c r="H12" s="14"/>
      <c r="I12" s="69"/>
      <c r="J12" s="230"/>
      <c r="K12" s="69">
        <f t="shared" si="0"/>
        <v>0</v>
      </c>
      <c r="L12" s="237">
        <v>0</v>
      </c>
      <c r="M12" s="69">
        <v>3552</v>
      </c>
      <c r="N12" s="69">
        <v>3625</v>
      </c>
      <c r="O12" s="69">
        <f t="shared" si="3"/>
        <v>73</v>
      </c>
      <c r="P12" s="231">
        <f t="shared" si="4"/>
        <v>0</v>
      </c>
      <c r="Q12" s="69">
        <f t="shared" si="1"/>
        <v>73</v>
      </c>
      <c r="R12" s="69">
        <v>0.8</v>
      </c>
      <c r="S12" s="220">
        <f t="shared" si="5"/>
        <v>51</v>
      </c>
      <c r="T12" s="220">
        <f t="shared" si="6"/>
        <v>58</v>
      </c>
      <c r="U12" s="222">
        <f>ROUND(H12*5.6,0)</f>
        <v>0</v>
      </c>
      <c r="V12" s="220">
        <f t="shared" si="8"/>
        <v>0</v>
      </c>
      <c r="W12" s="69">
        <f t="shared" si="2"/>
        <v>0</v>
      </c>
      <c r="X12" s="220">
        <f t="shared" si="9"/>
        <v>0</v>
      </c>
      <c r="Y12" s="69">
        <f t="shared" si="10"/>
        <v>109</v>
      </c>
      <c r="Z12" s="69"/>
      <c r="AA12" s="69"/>
      <c r="AB12" s="69"/>
      <c r="AC12" s="69"/>
      <c r="AD12" s="69">
        <f t="shared" si="11"/>
        <v>0</v>
      </c>
      <c r="AE12" s="69"/>
      <c r="AF12" s="69"/>
      <c r="AG12" s="69"/>
      <c r="AH12" s="69">
        <f t="shared" si="12"/>
        <v>0</v>
      </c>
      <c r="AI12" s="69">
        <f t="shared" si="13"/>
        <v>109</v>
      </c>
      <c r="AJ12" s="69"/>
      <c r="AK12" s="232"/>
      <c r="AL12" s="212"/>
      <c r="AM12" s="212"/>
      <c r="AN12" s="212"/>
      <c r="AO12" s="212"/>
      <c r="AP12" s="69">
        <f t="shared" si="14"/>
        <v>0</v>
      </c>
      <c r="AQ12" s="7"/>
      <c r="AR12" s="69"/>
      <c r="AS12" s="69"/>
      <c r="AT12" s="69"/>
      <c r="AU12" s="69">
        <f t="shared" si="15"/>
        <v>0</v>
      </c>
      <c r="AV12" s="69">
        <f t="shared" si="16"/>
        <v>109</v>
      </c>
      <c r="AW12" s="14"/>
    </row>
    <row r="13" ht="20.15" customHeight="1" spans="1:49">
      <c r="A13" s="228">
        <f>SUBTOTAL(2,$Y$4:Y13)</f>
        <v>10</v>
      </c>
      <c r="B13" s="14" t="s">
        <v>88</v>
      </c>
      <c r="C13" s="14" t="s">
        <v>67</v>
      </c>
      <c r="D13" s="115">
        <v>1010</v>
      </c>
      <c r="E13" s="229">
        <v>23.77</v>
      </c>
      <c r="F13" s="13">
        <v>1010</v>
      </c>
      <c r="G13" s="13" t="s">
        <v>89</v>
      </c>
      <c r="H13" s="14">
        <f>E13</f>
        <v>23.77</v>
      </c>
      <c r="I13" s="69">
        <v>1500</v>
      </c>
      <c r="J13" s="230"/>
      <c r="K13" s="69">
        <f t="shared" si="0"/>
        <v>1500</v>
      </c>
      <c r="L13" s="69">
        <v>160</v>
      </c>
      <c r="M13" s="69">
        <v>8464</v>
      </c>
      <c r="N13" s="69">
        <v>8551</v>
      </c>
      <c r="O13" s="69">
        <f t="shared" si="3"/>
        <v>87</v>
      </c>
      <c r="P13" s="231">
        <f t="shared" si="4"/>
        <v>0</v>
      </c>
      <c r="Q13" s="69">
        <f t="shared" si="1"/>
        <v>87</v>
      </c>
      <c r="R13" s="69">
        <v>0.8</v>
      </c>
      <c r="S13" s="220">
        <f t="shared" si="5"/>
        <v>61</v>
      </c>
      <c r="T13" s="220">
        <f t="shared" si="6"/>
        <v>70</v>
      </c>
      <c r="U13" s="222">
        <f>ROUND(H13*5.6,0)</f>
        <v>133</v>
      </c>
      <c r="V13" s="220">
        <f t="shared" si="8"/>
        <v>200</v>
      </c>
      <c r="W13" s="69">
        <f t="shared" si="2"/>
        <v>5</v>
      </c>
      <c r="X13" s="220">
        <f t="shared" si="9"/>
        <v>43</v>
      </c>
      <c r="Y13" s="69">
        <f t="shared" si="10"/>
        <v>2034</v>
      </c>
      <c r="Z13" s="69"/>
      <c r="AA13" s="69"/>
      <c r="AB13" s="69"/>
      <c r="AC13" s="69"/>
      <c r="AD13" s="69">
        <f t="shared" si="11"/>
        <v>0</v>
      </c>
      <c r="AE13" s="69"/>
      <c r="AF13" s="69"/>
      <c r="AG13" s="69"/>
      <c r="AH13" s="69">
        <f t="shared" si="12"/>
        <v>0</v>
      </c>
      <c r="AI13" s="69">
        <f t="shared" si="13"/>
        <v>2034</v>
      </c>
      <c r="AJ13" s="69"/>
      <c r="AK13" s="232"/>
      <c r="AL13" s="212"/>
      <c r="AM13" s="212"/>
      <c r="AN13" s="212"/>
      <c r="AO13" s="212"/>
      <c r="AP13" s="69">
        <f t="shared" si="14"/>
        <v>0</v>
      </c>
      <c r="AQ13" s="7"/>
      <c r="AR13" s="69"/>
      <c r="AS13" s="69"/>
      <c r="AT13" s="69"/>
      <c r="AU13" s="69">
        <f t="shared" si="15"/>
        <v>0</v>
      </c>
      <c r="AV13" s="69">
        <f t="shared" si="16"/>
        <v>2034</v>
      </c>
      <c r="AW13" s="14"/>
    </row>
    <row r="14" ht="20.15" customHeight="1" spans="1:49">
      <c r="A14" s="228">
        <f>SUBTOTAL(2,$Y$4:Y14)</f>
        <v>11</v>
      </c>
      <c r="B14" s="14" t="s">
        <v>90</v>
      </c>
      <c r="C14" s="14" t="s">
        <v>67</v>
      </c>
      <c r="D14" s="115">
        <v>1011</v>
      </c>
      <c r="E14" s="229">
        <v>27.15</v>
      </c>
      <c r="F14" s="22">
        <v>1011</v>
      </c>
      <c r="G14" s="88" t="s">
        <v>91</v>
      </c>
      <c r="H14" s="229">
        <v>27.15</v>
      </c>
      <c r="I14" s="67">
        <v>750</v>
      </c>
      <c r="J14" s="238"/>
      <c r="K14" s="69">
        <f t="shared" si="0"/>
        <v>750</v>
      </c>
      <c r="L14" s="69">
        <v>160</v>
      </c>
      <c r="M14" s="69">
        <v>2210</v>
      </c>
      <c r="N14" s="69">
        <v>2260</v>
      </c>
      <c r="O14" s="69">
        <f t="shared" si="3"/>
        <v>50</v>
      </c>
      <c r="P14" s="231">
        <f t="shared" si="4"/>
        <v>0</v>
      </c>
      <c r="Q14" s="69">
        <f t="shared" si="1"/>
        <v>50</v>
      </c>
      <c r="R14" s="69">
        <v>0.8</v>
      </c>
      <c r="S14" s="220">
        <f t="shared" si="5"/>
        <v>35</v>
      </c>
      <c r="T14" s="220">
        <f t="shared" si="6"/>
        <v>40</v>
      </c>
      <c r="U14" s="222">
        <f>ROUND(H14*0,0)</f>
        <v>0</v>
      </c>
      <c r="V14" s="220">
        <f t="shared" si="8"/>
        <v>0</v>
      </c>
      <c r="W14" s="69">
        <f t="shared" si="2"/>
        <v>5</v>
      </c>
      <c r="X14" s="220">
        <f t="shared" si="9"/>
        <v>43</v>
      </c>
      <c r="Y14" s="69">
        <f t="shared" si="10"/>
        <v>1028</v>
      </c>
      <c r="Z14" s="69"/>
      <c r="AA14" s="69"/>
      <c r="AB14" s="69"/>
      <c r="AC14" s="69"/>
      <c r="AD14" s="69">
        <f t="shared" si="11"/>
        <v>0</v>
      </c>
      <c r="AE14" s="69"/>
      <c r="AF14" s="69"/>
      <c r="AG14" s="69"/>
      <c r="AH14" s="69">
        <f t="shared" si="12"/>
        <v>0</v>
      </c>
      <c r="AI14" s="69">
        <f t="shared" si="13"/>
        <v>1028</v>
      </c>
      <c r="AJ14" s="69"/>
      <c r="AK14" s="232"/>
      <c r="AL14" s="212"/>
      <c r="AM14" s="212"/>
      <c r="AN14" s="212"/>
      <c r="AO14" s="212"/>
      <c r="AP14" s="69">
        <f t="shared" si="14"/>
        <v>0</v>
      </c>
      <c r="AQ14" s="7"/>
      <c r="AR14" s="69"/>
      <c r="AS14" s="69"/>
      <c r="AT14" s="69"/>
      <c r="AU14" s="69">
        <f t="shared" si="15"/>
        <v>0</v>
      </c>
      <c r="AV14" s="69">
        <f t="shared" si="16"/>
        <v>1028</v>
      </c>
      <c r="AW14" s="14"/>
    </row>
    <row r="15" ht="20.15" customHeight="1" spans="1:49">
      <c r="A15" s="228">
        <f>SUBTOTAL(2,$Y$4:Y15)</f>
        <v>12</v>
      </c>
      <c r="B15" s="14" t="s">
        <v>92</v>
      </c>
      <c r="C15" s="14" t="s">
        <v>67</v>
      </c>
      <c r="D15" s="148">
        <v>1012</v>
      </c>
      <c r="E15" s="239">
        <v>27.5</v>
      </c>
      <c r="F15" s="13">
        <v>1012</v>
      </c>
      <c r="G15" s="13" t="s">
        <v>93</v>
      </c>
      <c r="H15" s="14">
        <v>27.5</v>
      </c>
      <c r="I15" s="69">
        <v>750</v>
      </c>
      <c r="J15" s="230">
        <v>0</v>
      </c>
      <c r="K15" s="69">
        <f t="shared" si="0"/>
        <v>750</v>
      </c>
      <c r="L15" s="69">
        <v>160</v>
      </c>
      <c r="M15" s="69">
        <v>2479</v>
      </c>
      <c r="N15" s="69">
        <v>2584</v>
      </c>
      <c r="O15" s="69">
        <f t="shared" si="3"/>
        <v>105</v>
      </c>
      <c r="P15" s="231">
        <f t="shared" si="4"/>
        <v>0</v>
      </c>
      <c r="Q15" s="69">
        <f t="shared" si="1"/>
        <v>105</v>
      </c>
      <c r="R15" s="69">
        <v>0.8</v>
      </c>
      <c r="S15" s="220">
        <f t="shared" si="5"/>
        <v>74</v>
      </c>
      <c r="T15" s="220">
        <f t="shared" si="6"/>
        <v>84</v>
      </c>
      <c r="U15" s="236">
        <f>ROUND(H15*0,0)</f>
        <v>0</v>
      </c>
      <c r="V15" s="220">
        <f t="shared" si="8"/>
        <v>0</v>
      </c>
      <c r="W15" s="69">
        <f t="shared" si="2"/>
        <v>6</v>
      </c>
      <c r="X15" s="220">
        <f t="shared" si="9"/>
        <v>51</v>
      </c>
      <c r="Y15" s="69">
        <f t="shared" si="10"/>
        <v>1119</v>
      </c>
      <c r="Z15" s="69"/>
      <c r="AA15" s="69"/>
      <c r="AB15" s="69"/>
      <c r="AC15" s="69"/>
      <c r="AD15" s="69">
        <f t="shared" si="11"/>
        <v>0</v>
      </c>
      <c r="AE15" s="69"/>
      <c r="AF15" s="69"/>
      <c r="AG15" s="69"/>
      <c r="AH15" s="69">
        <f t="shared" si="12"/>
        <v>0</v>
      </c>
      <c r="AI15" s="69">
        <f t="shared" si="13"/>
        <v>1119</v>
      </c>
      <c r="AJ15" s="69"/>
      <c r="AK15" s="232"/>
      <c r="AL15" s="212"/>
      <c r="AM15" s="212"/>
      <c r="AN15" s="212"/>
      <c r="AO15" s="212"/>
      <c r="AP15" s="69">
        <f t="shared" si="14"/>
        <v>0</v>
      </c>
      <c r="AQ15" s="7"/>
      <c r="AR15" s="69"/>
      <c r="AS15" s="69"/>
      <c r="AT15" s="69"/>
      <c r="AU15" s="69">
        <f t="shared" si="15"/>
        <v>0</v>
      </c>
      <c r="AV15" s="69">
        <f t="shared" si="16"/>
        <v>1119</v>
      </c>
      <c r="AW15" s="14"/>
    </row>
    <row r="16" ht="20.15" customHeight="1" spans="1:49">
      <c r="A16" s="228">
        <f>SUBTOTAL(2,$Y$4:Y16)</f>
        <v>13</v>
      </c>
      <c r="B16" s="14" t="s">
        <v>94</v>
      </c>
      <c r="C16" s="14" t="s">
        <v>67</v>
      </c>
      <c r="D16" s="115">
        <v>1013</v>
      </c>
      <c r="E16" s="229">
        <v>27.15</v>
      </c>
      <c r="F16" s="13">
        <v>1013</v>
      </c>
      <c r="G16" s="13" t="s">
        <v>95</v>
      </c>
      <c r="H16" s="14">
        <f>E16</f>
        <v>27.15</v>
      </c>
      <c r="I16" s="69">
        <v>1200</v>
      </c>
      <c r="J16" s="230"/>
      <c r="K16" s="69">
        <f t="shared" si="0"/>
        <v>1200</v>
      </c>
      <c r="L16" s="69">
        <v>160</v>
      </c>
      <c r="M16" s="69">
        <v>4343</v>
      </c>
      <c r="N16" s="69">
        <v>4410</v>
      </c>
      <c r="O16" s="69">
        <f t="shared" si="3"/>
        <v>67</v>
      </c>
      <c r="P16" s="231">
        <f t="shared" si="4"/>
        <v>0</v>
      </c>
      <c r="Q16" s="69">
        <f t="shared" si="1"/>
        <v>67</v>
      </c>
      <c r="R16" s="69">
        <v>0.8</v>
      </c>
      <c r="S16" s="69">
        <f t="shared" si="5"/>
        <v>47</v>
      </c>
      <c r="T16" s="69">
        <f t="shared" si="6"/>
        <v>54</v>
      </c>
      <c r="U16" s="222">
        <f t="shared" ref="U16:U23" si="17">ROUND(H16*5.6,0)</f>
        <v>152</v>
      </c>
      <c r="V16" s="69">
        <f t="shared" si="8"/>
        <v>228</v>
      </c>
      <c r="W16" s="69">
        <f t="shared" si="2"/>
        <v>5</v>
      </c>
      <c r="X16" s="69">
        <f t="shared" si="9"/>
        <v>43</v>
      </c>
      <c r="Y16" s="69">
        <f t="shared" si="10"/>
        <v>1732</v>
      </c>
      <c r="Z16" s="69"/>
      <c r="AA16" s="69"/>
      <c r="AB16" s="69"/>
      <c r="AC16" s="69"/>
      <c r="AD16" s="69">
        <f t="shared" si="11"/>
        <v>0</v>
      </c>
      <c r="AE16" s="69"/>
      <c r="AF16" s="69"/>
      <c r="AG16" s="69"/>
      <c r="AH16" s="69">
        <f t="shared" si="12"/>
        <v>0</v>
      </c>
      <c r="AI16" s="69">
        <f t="shared" si="13"/>
        <v>1732</v>
      </c>
      <c r="AJ16" s="69"/>
      <c r="AK16" s="232"/>
      <c r="AL16" s="212"/>
      <c r="AM16" s="212"/>
      <c r="AN16" s="212"/>
      <c r="AO16" s="212"/>
      <c r="AP16" s="69">
        <f t="shared" si="14"/>
        <v>0</v>
      </c>
      <c r="AQ16" s="7"/>
      <c r="AR16" s="69"/>
      <c r="AS16" s="69"/>
      <c r="AT16" s="69"/>
      <c r="AU16" s="69">
        <f t="shared" si="15"/>
        <v>0</v>
      </c>
      <c r="AV16" s="69">
        <f t="shared" si="16"/>
        <v>1732</v>
      </c>
      <c r="AW16" s="14"/>
    </row>
    <row r="17" ht="20.15" customHeight="1" spans="1:49">
      <c r="A17" s="228">
        <f>SUBTOTAL(2,$Y$4:Y17)</f>
        <v>14</v>
      </c>
      <c r="B17" s="14" t="s">
        <v>96</v>
      </c>
      <c r="C17" s="14" t="s">
        <v>67</v>
      </c>
      <c r="D17" s="115">
        <v>1014</v>
      </c>
      <c r="E17" s="229">
        <v>27.15</v>
      </c>
      <c r="F17" s="13">
        <v>1014</v>
      </c>
      <c r="G17" s="13" t="s">
        <v>97</v>
      </c>
      <c r="H17" s="14">
        <v>27.15</v>
      </c>
      <c r="I17" s="69">
        <v>1500</v>
      </c>
      <c r="J17" s="230">
        <v>0</v>
      </c>
      <c r="K17" s="69">
        <f t="shared" si="0"/>
        <v>1500</v>
      </c>
      <c r="L17" s="69">
        <v>160</v>
      </c>
      <c r="M17" s="69">
        <v>5894</v>
      </c>
      <c r="N17" s="69">
        <v>6102</v>
      </c>
      <c r="O17" s="69">
        <f t="shared" si="3"/>
        <v>208</v>
      </c>
      <c r="P17" s="231">
        <f t="shared" si="4"/>
        <v>0</v>
      </c>
      <c r="Q17" s="69">
        <f t="shared" si="1"/>
        <v>208</v>
      </c>
      <c r="R17" s="69">
        <v>0.8</v>
      </c>
      <c r="S17" s="220">
        <f t="shared" si="5"/>
        <v>146</v>
      </c>
      <c r="T17" s="220">
        <f t="shared" si="6"/>
        <v>166</v>
      </c>
      <c r="U17" s="222">
        <f t="shared" si="17"/>
        <v>152</v>
      </c>
      <c r="V17" s="220">
        <f t="shared" si="8"/>
        <v>228</v>
      </c>
      <c r="W17" s="69">
        <f t="shared" si="2"/>
        <v>5</v>
      </c>
      <c r="X17" s="220">
        <f t="shared" si="9"/>
        <v>43</v>
      </c>
      <c r="Y17" s="69">
        <f t="shared" si="10"/>
        <v>2243</v>
      </c>
      <c r="Z17" s="69"/>
      <c r="AA17" s="69"/>
      <c r="AB17" s="69"/>
      <c r="AC17" s="69"/>
      <c r="AD17" s="69">
        <f t="shared" si="11"/>
        <v>0</v>
      </c>
      <c r="AE17" s="69"/>
      <c r="AF17" s="69"/>
      <c r="AG17" s="69"/>
      <c r="AH17" s="69">
        <f t="shared" si="12"/>
        <v>0</v>
      </c>
      <c r="AI17" s="69">
        <f t="shared" si="13"/>
        <v>2243</v>
      </c>
      <c r="AJ17" s="69"/>
      <c r="AK17" s="232"/>
      <c r="AL17" s="212"/>
      <c r="AM17" s="212"/>
      <c r="AN17" s="212"/>
      <c r="AO17" s="212"/>
      <c r="AP17" s="69">
        <f t="shared" si="14"/>
        <v>0</v>
      </c>
      <c r="AQ17" s="7"/>
      <c r="AR17" s="69"/>
      <c r="AS17" s="69"/>
      <c r="AT17" s="69"/>
      <c r="AU17" s="69">
        <f t="shared" si="15"/>
        <v>0</v>
      </c>
      <c r="AV17" s="69">
        <f t="shared" si="16"/>
        <v>2243</v>
      </c>
      <c r="AW17" s="14"/>
    </row>
    <row r="18" ht="20.15" customHeight="1" spans="1:49">
      <c r="A18" s="228">
        <f>SUBTOTAL(2,$Y$4:Y18)</f>
        <v>15</v>
      </c>
      <c r="B18" s="14" t="s">
        <v>98</v>
      </c>
      <c r="C18" s="14" t="s">
        <v>67</v>
      </c>
      <c r="D18" s="115">
        <v>1015</v>
      </c>
      <c r="E18" s="229">
        <v>27.15</v>
      </c>
      <c r="F18" s="118">
        <v>1015</v>
      </c>
      <c r="G18" s="154" t="s">
        <v>99</v>
      </c>
      <c r="H18" s="240">
        <v>27.15</v>
      </c>
      <c r="I18" s="241">
        <v>1200</v>
      </c>
      <c r="J18" s="242">
        <v>0</v>
      </c>
      <c r="K18" s="69">
        <f t="shared" si="0"/>
        <v>1200</v>
      </c>
      <c r="L18" s="69">
        <v>160</v>
      </c>
      <c r="M18" s="69">
        <v>5484</v>
      </c>
      <c r="N18" s="69">
        <v>5506</v>
      </c>
      <c r="O18" s="69">
        <f t="shared" ref="O18:O68" si="18">N18-M18</f>
        <v>22</v>
      </c>
      <c r="P18" s="231">
        <f t="shared" si="4"/>
        <v>0</v>
      </c>
      <c r="Q18" s="69">
        <f t="shared" ref="Q18:Q27" si="19">O18+P18</f>
        <v>22</v>
      </c>
      <c r="R18" s="69">
        <v>0.8</v>
      </c>
      <c r="S18" s="220">
        <f t="shared" si="5"/>
        <v>15</v>
      </c>
      <c r="T18" s="220">
        <f t="shared" ref="T18:T27" si="20">ROUND(Q18*R18,0)</f>
        <v>18</v>
      </c>
      <c r="U18" s="222">
        <f t="shared" si="17"/>
        <v>152</v>
      </c>
      <c r="V18" s="220">
        <f t="shared" ref="V18:V27" si="21">ROUND(U18*1.5,0)</f>
        <v>228</v>
      </c>
      <c r="W18" s="69">
        <f t="shared" ref="W18:W37" si="22">ROUND(H18*0.2,0)</f>
        <v>5</v>
      </c>
      <c r="X18" s="220">
        <f t="shared" si="9"/>
        <v>43</v>
      </c>
      <c r="Y18" s="69">
        <f t="shared" si="10"/>
        <v>1664</v>
      </c>
      <c r="Z18" s="69"/>
      <c r="AA18" s="69"/>
      <c r="AB18" s="69"/>
      <c r="AC18" s="69"/>
      <c r="AD18" s="69">
        <f t="shared" si="11"/>
        <v>0</v>
      </c>
      <c r="AE18" s="69"/>
      <c r="AF18" s="69"/>
      <c r="AG18" s="69"/>
      <c r="AH18" s="69">
        <f t="shared" si="12"/>
        <v>0</v>
      </c>
      <c r="AI18" s="69">
        <f t="shared" si="13"/>
        <v>1664</v>
      </c>
      <c r="AJ18" s="69"/>
      <c r="AK18" s="232"/>
      <c r="AL18" s="212"/>
      <c r="AM18" s="212"/>
      <c r="AN18" s="212"/>
      <c r="AO18" s="212"/>
      <c r="AP18" s="69">
        <f t="shared" si="14"/>
        <v>0</v>
      </c>
      <c r="AQ18" s="7"/>
      <c r="AR18" s="69"/>
      <c r="AS18" s="69"/>
      <c r="AT18" s="69"/>
      <c r="AU18" s="69">
        <f t="shared" si="15"/>
        <v>0</v>
      </c>
      <c r="AV18" s="69">
        <f t="shared" si="16"/>
        <v>1664</v>
      </c>
      <c r="AW18" s="14"/>
    </row>
    <row r="19" ht="20.15" customHeight="1" spans="1:49">
      <c r="A19" s="228">
        <f>SUBTOTAL(2,$Y$4:Y19)</f>
        <v>16</v>
      </c>
      <c r="B19" s="14" t="s">
        <v>100</v>
      </c>
      <c r="C19" s="14" t="s">
        <v>67</v>
      </c>
      <c r="D19" s="115" t="s">
        <v>101</v>
      </c>
      <c r="E19" s="229">
        <f>27.15+27.5</f>
        <v>54.65</v>
      </c>
      <c r="F19" s="22" t="s">
        <v>102</v>
      </c>
      <c r="G19" s="22" t="s">
        <v>103</v>
      </c>
      <c r="H19" s="115">
        <f t="shared" ref="H19:H23" si="23">E19</f>
        <v>54.65</v>
      </c>
      <c r="I19" s="67">
        <v>2800</v>
      </c>
      <c r="J19" s="226">
        <v>200</v>
      </c>
      <c r="K19" s="69">
        <f t="shared" ref="K19:K37" si="24">I19+J19</f>
        <v>3000</v>
      </c>
      <c r="L19" s="69">
        <v>320</v>
      </c>
      <c r="M19" s="69">
        <f>5382+1645</f>
        <v>7027</v>
      </c>
      <c r="N19" s="69">
        <f>5413+1699</f>
        <v>7112</v>
      </c>
      <c r="O19" s="69">
        <f t="shared" si="18"/>
        <v>85</v>
      </c>
      <c r="P19" s="231">
        <f t="shared" si="4"/>
        <v>0</v>
      </c>
      <c r="Q19" s="69">
        <f t="shared" si="19"/>
        <v>85</v>
      </c>
      <c r="R19" s="69">
        <v>0.8</v>
      </c>
      <c r="S19" s="220">
        <f t="shared" si="5"/>
        <v>60</v>
      </c>
      <c r="T19" s="220">
        <f t="shared" si="20"/>
        <v>68</v>
      </c>
      <c r="U19" s="222">
        <f t="shared" si="17"/>
        <v>306</v>
      </c>
      <c r="V19" s="220">
        <f t="shared" si="21"/>
        <v>459</v>
      </c>
      <c r="W19" s="69">
        <f t="shared" si="22"/>
        <v>11</v>
      </c>
      <c r="X19" s="220">
        <f t="shared" si="9"/>
        <v>94</v>
      </c>
      <c r="Y19" s="69">
        <f t="shared" si="10"/>
        <v>4001</v>
      </c>
      <c r="Z19" s="69"/>
      <c r="AA19" s="69"/>
      <c r="AB19" s="69"/>
      <c r="AC19" s="69"/>
      <c r="AD19" s="69">
        <f t="shared" si="11"/>
        <v>0</v>
      </c>
      <c r="AE19" s="69"/>
      <c r="AF19" s="69"/>
      <c r="AG19" s="69"/>
      <c r="AH19" s="69">
        <f t="shared" si="12"/>
        <v>0</v>
      </c>
      <c r="AI19" s="69">
        <f t="shared" si="13"/>
        <v>4001</v>
      </c>
      <c r="AJ19" s="69"/>
      <c r="AK19" s="232"/>
      <c r="AL19" s="212"/>
      <c r="AM19" s="212"/>
      <c r="AN19" s="212"/>
      <c r="AO19" s="212"/>
      <c r="AP19" s="69">
        <f t="shared" si="14"/>
        <v>0</v>
      </c>
      <c r="AQ19" s="7"/>
      <c r="AR19" s="69"/>
      <c r="AS19" s="69"/>
      <c r="AT19" s="69"/>
      <c r="AU19" s="69">
        <f t="shared" si="15"/>
        <v>0</v>
      </c>
      <c r="AV19" s="69">
        <f t="shared" si="16"/>
        <v>4001</v>
      </c>
      <c r="AW19" s="14"/>
    </row>
    <row r="20" ht="20.15" customHeight="1" spans="1:49">
      <c r="A20" s="228">
        <f>SUBTOTAL(2,$Y$4:Y20)</f>
        <v>17</v>
      </c>
      <c r="B20" s="14" t="s">
        <v>104</v>
      </c>
      <c r="C20" s="14" t="s">
        <v>67</v>
      </c>
      <c r="D20" s="115">
        <v>1018</v>
      </c>
      <c r="E20" s="229">
        <v>27.5</v>
      </c>
      <c r="F20" s="13">
        <v>1018</v>
      </c>
      <c r="G20" s="13" t="s">
        <v>105</v>
      </c>
      <c r="H20" s="14">
        <f t="shared" si="23"/>
        <v>27.5</v>
      </c>
      <c r="I20" s="69">
        <v>2000</v>
      </c>
      <c r="J20" s="230">
        <v>0</v>
      </c>
      <c r="K20" s="69">
        <f t="shared" si="24"/>
        <v>2000</v>
      </c>
      <c r="L20" s="69">
        <v>160</v>
      </c>
      <c r="M20" s="69">
        <v>4204</v>
      </c>
      <c r="N20" s="69">
        <v>4239</v>
      </c>
      <c r="O20" s="69">
        <f t="shared" si="18"/>
        <v>35</v>
      </c>
      <c r="P20" s="231">
        <f t="shared" si="4"/>
        <v>0</v>
      </c>
      <c r="Q20" s="69">
        <f t="shared" si="19"/>
        <v>35</v>
      </c>
      <c r="R20" s="69">
        <v>0.8</v>
      </c>
      <c r="S20" s="220">
        <f t="shared" si="5"/>
        <v>25</v>
      </c>
      <c r="T20" s="220">
        <f t="shared" si="20"/>
        <v>28</v>
      </c>
      <c r="U20" s="222">
        <f t="shared" si="17"/>
        <v>154</v>
      </c>
      <c r="V20" s="220">
        <f t="shared" si="21"/>
        <v>231</v>
      </c>
      <c r="W20" s="69">
        <f t="shared" si="22"/>
        <v>6</v>
      </c>
      <c r="X20" s="220">
        <f t="shared" si="9"/>
        <v>51</v>
      </c>
      <c r="Y20" s="69">
        <f t="shared" si="10"/>
        <v>2495</v>
      </c>
      <c r="Z20" s="69"/>
      <c r="AA20" s="69"/>
      <c r="AB20" s="69"/>
      <c r="AC20" s="69"/>
      <c r="AD20" s="69">
        <f t="shared" si="11"/>
        <v>0</v>
      </c>
      <c r="AE20" s="69"/>
      <c r="AF20" s="69"/>
      <c r="AG20" s="69"/>
      <c r="AH20" s="69">
        <f t="shared" si="12"/>
        <v>0</v>
      </c>
      <c r="AI20" s="69">
        <f t="shared" si="13"/>
        <v>2495</v>
      </c>
      <c r="AJ20" s="69"/>
      <c r="AK20" s="232"/>
      <c r="AL20" s="212"/>
      <c r="AM20" s="212"/>
      <c r="AN20" s="212"/>
      <c r="AO20" s="212"/>
      <c r="AP20" s="69">
        <f t="shared" si="14"/>
        <v>0</v>
      </c>
      <c r="AQ20" s="7"/>
      <c r="AR20" s="69"/>
      <c r="AS20" s="69"/>
      <c r="AT20" s="69"/>
      <c r="AU20" s="69">
        <f t="shared" si="15"/>
        <v>0</v>
      </c>
      <c r="AV20" s="69">
        <f t="shared" si="16"/>
        <v>2495</v>
      </c>
      <c r="AW20" s="14"/>
    </row>
    <row r="21" ht="20.15" customHeight="1" spans="1:49">
      <c r="A21" s="228">
        <f>SUBTOTAL(2,$Y$4:Y21)</f>
        <v>18</v>
      </c>
      <c r="B21" s="14" t="s">
        <v>106</v>
      </c>
      <c r="C21" s="14" t="s">
        <v>67</v>
      </c>
      <c r="D21" s="115">
        <v>1019</v>
      </c>
      <c r="E21" s="229">
        <v>27.15</v>
      </c>
      <c r="F21" s="13">
        <v>1019</v>
      </c>
      <c r="G21" s="13" t="s">
        <v>89</v>
      </c>
      <c r="H21" s="14">
        <v>27.15</v>
      </c>
      <c r="I21" s="69">
        <v>1200</v>
      </c>
      <c r="J21" s="230"/>
      <c r="K21" s="69">
        <f t="shared" si="24"/>
        <v>1200</v>
      </c>
      <c r="L21" s="69">
        <v>160</v>
      </c>
      <c r="M21" s="69">
        <v>1623</v>
      </c>
      <c r="N21" s="69">
        <v>1634</v>
      </c>
      <c r="O21" s="69">
        <f t="shared" si="18"/>
        <v>11</v>
      </c>
      <c r="P21" s="7">
        <f t="shared" si="4"/>
        <v>0</v>
      </c>
      <c r="Q21" s="69">
        <f t="shared" si="19"/>
        <v>11</v>
      </c>
      <c r="R21" s="69">
        <v>0.8</v>
      </c>
      <c r="S21" s="69">
        <f t="shared" si="5"/>
        <v>8</v>
      </c>
      <c r="T21" s="69">
        <f t="shared" si="20"/>
        <v>9</v>
      </c>
      <c r="U21" s="222">
        <f t="shared" si="17"/>
        <v>152</v>
      </c>
      <c r="V21" s="69">
        <f t="shared" si="21"/>
        <v>228</v>
      </c>
      <c r="W21" s="69">
        <v>5</v>
      </c>
      <c r="X21" s="69">
        <f t="shared" si="9"/>
        <v>43</v>
      </c>
      <c r="Y21" s="69">
        <f t="shared" si="10"/>
        <v>1648</v>
      </c>
      <c r="Z21" s="69"/>
      <c r="AA21" s="69"/>
      <c r="AB21" s="69"/>
      <c r="AC21" s="69"/>
      <c r="AD21" s="69">
        <f t="shared" si="11"/>
        <v>0</v>
      </c>
      <c r="AE21" s="69"/>
      <c r="AF21" s="69"/>
      <c r="AG21" s="69"/>
      <c r="AH21" s="69">
        <f t="shared" si="12"/>
        <v>0</v>
      </c>
      <c r="AI21" s="69">
        <f t="shared" si="13"/>
        <v>1648</v>
      </c>
      <c r="AJ21" s="69"/>
      <c r="AK21" s="232"/>
      <c r="AL21" s="212"/>
      <c r="AM21" s="212"/>
      <c r="AN21" s="212"/>
      <c r="AO21" s="212"/>
      <c r="AP21" s="69">
        <f t="shared" si="14"/>
        <v>0</v>
      </c>
      <c r="AQ21" s="7"/>
      <c r="AR21" s="69"/>
      <c r="AS21" s="69"/>
      <c r="AT21" s="69"/>
      <c r="AU21" s="69">
        <f t="shared" si="15"/>
        <v>0</v>
      </c>
      <c r="AV21" s="69">
        <f t="shared" si="16"/>
        <v>1648</v>
      </c>
      <c r="AW21" s="14"/>
    </row>
    <row r="22" ht="20.15" customHeight="1" spans="1:49">
      <c r="A22" s="228">
        <f>SUBTOTAL(2,$Y$4:Y22)</f>
        <v>19</v>
      </c>
      <c r="B22" s="14" t="s">
        <v>107</v>
      </c>
      <c r="C22" s="14" t="s">
        <v>67</v>
      </c>
      <c r="D22" s="115">
        <v>1020</v>
      </c>
      <c r="E22" s="229">
        <v>27.15</v>
      </c>
      <c r="F22" s="13">
        <v>1020</v>
      </c>
      <c r="G22" s="13" t="s">
        <v>108</v>
      </c>
      <c r="H22" s="14">
        <f t="shared" si="23"/>
        <v>27.15</v>
      </c>
      <c r="I22" s="7">
        <v>1200</v>
      </c>
      <c r="J22" s="238">
        <v>0</v>
      </c>
      <c r="K22" s="69">
        <f t="shared" si="24"/>
        <v>1200</v>
      </c>
      <c r="L22" s="69">
        <v>160</v>
      </c>
      <c r="M22" s="69">
        <v>9421</v>
      </c>
      <c r="N22" s="69">
        <v>9455</v>
      </c>
      <c r="O22" s="69">
        <f t="shared" si="18"/>
        <v>34</v>
      </c>
      <c r="P22" s="231">
        <f t="shared" si="4"/>
        <v>0</v>
      </c>
      <c r="Q22" s="69">
        <f t="shared" si="19"/>
        <v>34</v>
      </c>
      <c r="R22" s="69">
        <v>0.8</v>
      </c>
      <c r="S22" s="220">
        <f t="shared" si="5"/>
        <v>24</v>
      </c>
      <c r="T22" s="220">
        <f t="shared" si="20"/>
        <v>27</v>
      </c>
      <c r="U22" s="222">
        <f t="shared" si="17"/>
        <v>152</v>
      </c>
      <c r="V22" s="220">
        <f t="shared" si="21"/>
        <v>228</v>
      </c>
      <c r="W22" s="69">
        <f t="shared" si="22"/>
        <v>5</v>
      </c>
      <c r="X22" s="220">
        <f t="shared" si="9"/>
        <v>43</v>
      </c>
      <c r="Y22" s="69">
        <f t="shared" si="10"/>
        <v>1682</v>
      </c>
      <c r="Z22" s="69"/>
      <c r="AA22" s="69"/>
      <c r="AB22" s="69"/>
      <c r="AC22" s="69"/>
      <c r="AD22" s="69">
        <f t="shared" si="11"/>
        <v>0</v>
      </c>
      <c r="AE22" s="69"/>
      <c r="AF22" s="69"/>
      <c r="AG22" s="69"/>
      <c r="AH22" s="69">
        <f t="shared" si="12"/>
        <v>0</v>
      </c>
      <c r="AI22" s="69">
        <f t="shared" si="13"/>
        <v>1682</v>
      </c>
      <c r="AJ22" s="69"/>
      <c r="AK22" s="232"/>
      <c r="AL22" s="212"/>
      <c r="AM22" s="212"/>
      <c r="AN22" s="212"/>
      <c r="AO22" s="212"/>
      <c r="AP22" s="69">
        <f t="shared" si="14"/>
        <v>0</v>
      </c>
      <c r="AQ22" s="7"/>
      <c r="AR22" s="69"/>
      <c r="AS22" s="69"/>
      <c r="AT22" s="69"/>
      <c r="AU22" s="69">
        <f t="shared" si="15"/>
        <v>0</v>
      </c>
      <c r="AV22" s="69">
        <f t="shared" si="16"/>
        <v>1682</v>
      </c>
      <c r="AW22" s="14"/>
    </row>
    <row r="23" ht="18" customHeight="1" spans="1:49">
      <c r="A23" s="228">
        <f>SUBTOTAL(2,$Y$4:Y23)</f>
        <v>20</v>
      </c>
      <c r="B23" s="14" t="s">
        <v>109</v>
      </c>
      <c r="C23" s="14" t="s">
        <v>67</v>
      </c>
      <c r="D23" s="115">
        <v>1021</v>
      </c>
      <c r="E23" s="229">
        <v>27.15</v>
      </c>
      <c r="F23" s="13">
        <v>1021</v>
      </c>
      <c r="G23" s="88" t="s">
        <v>110</v>
      </c>
      <c r="H23" s="14">
        <f t="shared" si="23"/>
        <v>27.15</v>
      </c>
      <c r="I23" s="67">
        <v>1200</v>
      </c>
      <c r="J23" s="238">
        <v>200</v>
      </c>
      <c r="K23" s="69">
        <f t="shared" si="24"/>
        <v>1400</v>
      </c>
      <c r="L23" s="69">
        <v>160</v>
      </c>
      <c r="M23" s="69">
        <v>6380</v>
      </c>
      <c r="N23" s="69">
        <v>6424</v>
      </c>
      <c r="O23" s="69">
        <f t="shared" si="18"/>
        <v>44</v>
      </c>
      <c r="P23" s="231">
        <f t="shared" si="4"/>
        <v>0</v>
      </c>
      <c r="Q23" s="69">
        <f t="shared" si="19"/>
        <v>44</v>
      </c>
      <c r="R23" s="69">
        <v>0.8</v>
      </c>
      <c r="S23" s="69">
        <f t="shared" si="5"/>
        <v>31</v>
      </c>
      <c r="T23" s="69">
        <f t="shared" si="20"/>
        <v>35</v>
      </c>
      <c r="U23" s="222">
        <f t="shared" si="17"/>
        <v>152</v>
      </c>
      <c r="V23" s="69">
        <f t="shared" si="21"/>
        <v>228</v>
      </c>
      <c r="W23" s="69">
        <f t="shared" si="22"/>
        <v>5</v>
      </c>
      <c r="X23" s="69">
        <f t="shared" si="9"/>
        <v>43</v>
      </c>
      <c r="Y23" s="69">
        <f t="shared" si="10"/>
        <v>1897</v>
      </c>
      <c r="Z23" s="69"/>
      <c r="AA23" s="69"/>
      <c r="AB23" s="69"/>
      <c r="AC23" s="69"/>
      <c r="AD23" s="69">
        <f t="shared" si="11"/>
        <v>0</v>
      </c>
      <c r="AE23" s="69"/>
      <c r="AF23" s="69"/>
      <c r="AG23" s="69"/>
      <c r="AH23" s="69">
        <f t="shared" si="12"/>
        <v>0</v>
      </c>
      <c r="AI23" s="69">
        <f t="shared" si="13"/>
        <v>1897</v>
      </c>
      <c r="AJ23" s="69"/>
      <c r="AK23" s="232"/>
      <c r="AL23" s="212"/>
      <c r="AM23" s="212"/>
      <c r="AN23" s="212"/>
      <c r="AO23" s="212"/>
      <c r="AP23" s="69">
        <f t="shared" si="14"/>
        <v>0</v>
      </c>
      <c r="AQ23" s="7"/>
      <c r="AR23" s="69"/>
      <c r="AS23" s="69"/>
      <c r="AT23" s="69"/>
      <c r="AU23" s="69">
        <f t="shared" si="15"/>
        <v>0</v>
      </c>
      <c r="AV23" s="69">
        <f t="shared" si="16"/>
        <v>1897</v>
      </c>
      <c r="AW23" s="14"/>
    </row>
    <row r="24" ht="20.15" customHeight="1" spans="1:49">
      <c r="A24" s="228">
        <f>SUBTOTAL(2,$Y$4:Y24)</f>
        <v>21</v>
      </c>
      <c r="B24" s="14" t="s">
        <v>111</v>
      </c>
      <c r="C24" s="14" t="s">
        <v>67</v>
      </c>
      <c r="D24" s="115">
        <v>1022</v>
      </c>
      <c r="E24" s="229">
        <v>56.26</v>
      </c>
      <c r="F24" s="155">
        <v>1022</v>
      </c>
      <c r="G24" s="155" t="s">
        <v>112</v>
      </c>
      <c r="H24" s="243">
        <f t="shared" ref="H24:H30" si="25">E24</f>
        <v>56.26</v>
      </c>
      <c r="I24" s="244">
        <v>2200</v>
      </c>
      <c r="J24" s="245"/>
      <c r="K24" s="69">
        <f t="shared" si="24"/>
        <v>2200</v>
      </c>
      <c r="L24" s="69">
        <v>160</v>
      </c>
      <c r="M24" s="69">
        <v>3123</v>
      </c>
      <c r="N24" s="69">
        <v>3147</v>
      </c>
      <c r="O24" s="69">
        <f t="shared" si="18"/>
        <v>24</v>
      </c>
      <c r="P24" s="231">
        <f t="shared" si="4"/>
        <v>0</v>
      </c>
      <c r="Q24" s="69">
        <f t="shared" si="19"/>
        <v>24</v>
      </c>
      <c r="R24" s="69">
        <v>0.8</v>
      </c>
      <c r="S24" s="220">
        <f t="shared" si="5"/>
        <v>17</v>
      </c>
      <c r="T24" s="220">
        <f t="shared" si="20"/>
        <v>19</v>
      </c>
      <c r="U24" s="236">
        <f>ROUND(H24*0,0)</f>
        <v>0</v>
      </c>
      <c r="V24" s="220">
        <f t="shared" si="21"/>
        <v>0</v>
      </c>
      <c r="W24" s="69">
        <f t="shared" si="22"/>
        <v>11</v>
      </c>
      <c r="X24" s="220">
        <f t="shared" si="9"/>
        <v>94</v>
      </c>
      <c r="Y24" s="69">
        <f t="shared" si="10"/>
        <v>2490</v>
      </c>
      <c r="Z24" s="69"/>
      <c r="AA24" s="69"/>
      <c r="AB24" s="69"/>
      <c r="AC24" s="69"/>
      <c r="AD24" s="69">
        <f t="shared" si="11"/>
        <v>0</v>
      </c>
      <c r="AE24" s="69"/>
      <c r="AF24" s="69"/>
      <c r="AG24" s="69"/>
      <c r="AH24" s="69">
        <f t="shared" si="12"/>
        <v>0</v>
      </c>
      <c r="AI24" s="69">
        <f t="shared" si="13"/>
        <v>2490</v>
      </c>
      <c r="AJ24" s="69"/>
      <c r="AK24" s="232"/>
      <c r="AL24" s="212"/>
      <c r="AM24" s="212"/>
      <c r="AN24" s="212"/>
      <c r="AO24" s="212"/>
      <c r="AP24" s="69">
        <f t="shared" si="14"/>
        <v>0</v>
      </c>
      <c r="AQ24" s="7"/>
      <c r="AR24" s="69"/>
      <c r="AS24" s="69"/>
      <c r="AT24" s="69"/>
      <c r="AU24" s="69">
        <f t="shared" si="15"/>
        <v>0</v>
      </c>
      <c r="AV24" s="69">
        <f t="shared" si="16"/>
        <v>2490</v>
      </c>
      <c r="AW24" s="14"/>
    </row>
    <row r="25" ht="20.15" customHeight="1" spans="1:49">
      <c r="A25" s="228">
        <f>SUBTOTAL(2,$Y$4:Y25)</f>
        <v>22</v>
      </c>
      <c r="B25" s="14" t="s">
        <v>113</v>
      </c>
      <c r="C25" s="14" t="s">
        <v>67</v>
      </c>
      <c r="D25" s="115">
        <v>1023</v>
      </c>
      <c r="E25" s="229">
        <v>31.79</v>
      </c>
      <c r="F25" s="13">
        <v>1023</v>
      </c>
      <c r="G25" s="156" t="s">
        <v>114</v>
      </c>
      <c r="H25" s="96">
        <f t="shared" si="25"/>
        <v>31.79</v>
      </c>
      <c r="I25" s="67">
        <v>600</v>
      </c>
      <c r="J25" s="230">
        <v>0</v>
      </c>
      <c r="K25" s="69">
        <f t="shared" si="24"/>
        <v>600</v>
      </c>
      <c r="L25" s="69">
        <v>160</v>
      </c>
      <c r="M25" s="69">
        <v>2500</v>
      </c>
      <c r="N25" s="69">
        <v>2568</v>
      </c>
      <c r="O25" s="69">
        <f t="shared" si="18"/>
        <v>68</v>
      </c>
      <c r="P25" s="231">
        <f t="shared" si="4"/>
        <v>0</v>
      </c>
      <c r="Q25" s="69">
        <f t="shared" si="19"/>
        <v>68</v>
      </c>
      <c r="R25" s="69">
        <v>0.8</v>
      </c>
      <c r="S25" s="220">
        <f t="shared" si="5"/>
        <v>48</v>
      </c>
      <c r="T25" s="220">
        <f t="shared" si="20"/>
        <v>54</v>
      </c>
      <c r="U25" s="236">
        <f>ROUND(H25*0,0)</f>
        <v>0</v>
      </c>
      <c r="V25" s="220">
        <f t="shared" si="21"/>
        <v>0</v>
      </c>
      <c r="W25" s="69">
        <f t="shared" si="22"/>
        <v>6</v>
      </c>
      <c r="X25" s="220">
        <f t="shared" si="9"/>
        <v>51</v>
      </c>
      <c r="Y25" s="69">
        <f t="shared" si="10"/>
        <v>913</v>
      </c>
      <c r="Z25" s="69"/>
      <c r="AA25" s="69"/>
      <c r="AB25" s="69"/>
      <c r="AC25" s="69"/>
      <c r="AD25" s="69">
        <f t="shared" si="11"/>
        <v>0</v>
      </c>
      <c r="AE25" s="69"/>
      <c r="AF25" s="69"/>
      <c r="AG25" s="69"/>
      <c r="AH25" s="69">
        <f t="shared" si="12"/>
        <v>0</v>
      </c>
      <c r="AI25" s="69">
        <f t="shared" si="13"/>
        <v>913</v>
      </c>
      <c r="AJ25" s="69"/>
      <c r="AK25" s="232"/>
      <c r="AL25" s="212"/>
      <c r="AM25" s="212"/>
      <c r="AN25" s="233"/>
      <c r="AO25" s="233"/>
      <c r="AP25" s="69">
        <f t="shared" si="14"/>
        <v>0</v>
      </c>
      <c r="AQ25" s="7"/>
      <c r="AR25" s="69"/>
      <c r="AS25" s="69"/>
      <c r="AT25" s="69"/>
      <c r="AU25" s="69">
        <f t="shared" si="15"/>
        <v>0</v>
      </c>
      <c r="AV25" s="69">
        <f t="shared" si="16"/>
        <v>913</v>
      </c>
      <c r="AW25" s="14"/>
    </row>
    <row r="26" ht="20.15" customHeight="1" spans="1:49">
      <c r="A26" s="228">
        <f>SUBTOTAL(2,$Y$4:Y26)</f>
        <v>23</v>
      </c>
      <c r="B26" s="14" t="s">
        <v>115</v>
      </c>
      <c r="C26" s="14" t="s">
        <v>67</v>
      </c>
      <c r="D26" s="115">
        <v>1024</v>
      </c>
      <c r="E26" s="229">
        <v>43.89</v>
      </c>
      <c r="F26" s="118">
        <v>1024</v>
      </c>
      <c r="G26" s="118" t="s">
        <v>116</v>
      </c>
      <c r="H26" s="240">
        <f t="shared" si="25"/>
        <v>43.89</v>
      </c>
      <c r="I26" s="241">
        <v>1448</v>
      </c>
      <c r="J26" s="242"/>
      <c r="K26" s="69">
        <f t="shared" si="24"/>
        <v>1448</v>
      </c>
      <c r="L26" s="69">
        <v>160</v>
      </c>
      <c r="M26" s="69">
        <v>593</v>
      </c>
      <c r="N26" s="69">
        <v>628</v>
      </c>
      <c r="O26" s="69">
        <f t="shared" si="18"/>
        <v>35</v>
      </c>
      <c r="P26" s="231">
        <f t="shared" si="4"/>
        <v>0</v>
      </c>
      <c r="Q26" s="69">
        <f t="shared" si="19"/>
        <v>35</v>
      </c>
      <c r="R26" s="69">
        <v>0.8</v>
      </c>
      <c r="S26" s="220">
        <f t="shared" si="5"/>
        <v>25</v>
      </c>
      <c r="T26" s="220">
        <f t="shared" si="20"/>
        <v>28</v>
      </c>
      <c r="U26" s="236">
        <f>ROUND(H26*0,0)</f>
        <v>0</v>
      </c>
      <c r="V26" s="220">
        <f t="shared" si="21"/>
        <v>0</v>
      </c>
      <c r="W26" s="69">
        <f t="shared" si="22"/>
        <v>9</v>
      </c>
      <c r="X26" s="220">
        <f t="shared" si="9"/>
        <v>77</v>
      </c>
      <c r="Y26" s="69">
        <f t="shared" si="10"/>
        <v>1738</v>
      </c>
      <c r="Z26" s="69"/>
      <c r="AA26" s="69"/>
      <c r="AB26" s="69"/>
      <c r="AC26" s="69"/>
      <c r="AD26" s="69">
        <f t="shared" si="11"/>
        <v>0</v>
      </c>
      <c r="AE26" s="69"/>
      <c r="AF26" s="69"/>
      <c r="AG26" s="69"/>
      <c r="AH26" s="69">
        <f t="shared" si="12"/>
        <v>0</v>
      </c>
      <c r="AI26" s="69">
        <f t="shared" si="13"/>
        <v>1738</v>
      </c>
      <c r="AJ26" s="69"/>
      <c r="AK26" s="232"/>
      <c r="AL26" s="212"/>
      <c r="AM26" s="212"/>
      <c r="AN26" s="212"/>
      <c r="AO26" s="212"/>
      <c r="AP26" s="69">
        <f t="shared" si="14"/>
        <v>0</v>
      </c>
      <c r="AQ26" s="7"/>
      <c r="AR26" s="69"/>
      <c r="AS26" s="69"/>
      <c r="AT26" s="69"/>
      <c r="AU26" s="69">
        <f t="shared" si="15"/>
        <v>0</v>
      </c>
      <c r="AV26" s="69">
        <f t="shared" si="16"/>
        <v>1738</v>
      </c>
      <c r="AW26" s="14"/>
    </row>
    <row r="27" ht="20.15" customHeight="1" spans="1:49">
      <c r="A27" s="228">
        <f>SUBTOTAL(2,$Y$4:Y27)</f>
        <v>24</v>
      </c>
      <c r="B27" s="14" t="s">
        <v>117</v>
      </c>
      <c r="C27" s="14" t="s">
        <v>67</v>
      </c>
      <c r="D27" s="115">
        <v>1025</v>
      </c>
      <c r="E27" s="229">
        <v>27.15</v>
      </c>
      <c r="F27" s="13">
        <v>1025</v>
      </c>
      <c r="G27" s="13" t="s">
        <v>118</v>
      </c>
      <c r="H27" s="14">
        <f t="shared" si="25"/>
        <v>27.15</v>
      </c>
      <c r="I27" s="69">
        <v>4200</v>
      </c>
      <c r="J27" s="230">
        <v>500</v>
      </c>
      <c r="K27" s="69">
        <f t="shared" si="24"/>
        <v>4700</v>
      </c>
      <c r="L27" s="69">
        <v>160</v>
      </c>
      <c r="M27" s="69">
        <v>1436</v>
      </c>
      <c r="N27" s="69">
        <v>1448</v>
      </c>
      <c r="O27" s="69">
        <f t="shared" si="18"/>
        <v>12</v>
      </c>
      <c r="P27" s="231">
        <f t="shared" si="4"/>
        <v>0</v>
      </c>
      <c r="Q27" s="69">
        <f t="shared" si="19"/>
        <v>12</v>
      </c>
      <c r="R27" s="69">
        <v>0.8</v>
      </c>
      <c r="S27" s="220">
        <f t="shared" si="5"/>
        <v>8</v>
      </c>
      <c r="T27" s="220">
        <f t="shared" si="20"/>
        <v>10</v>
      </c>
      <c r="U27" s="222">
        <f t="shared" ref="U27:U68" si="26">ROUND(H27*5.6,0)</f>
        <v>152</v>
      </c>
      <c r="V27" s="220">
        <f t="shared" si="21"/>
        <v>228</v>
      </c>
      <c r="W27" s="69">
        <f t="shared" si="22"/>
        <v>5</v>
      </c>
      <c r="X27" s="220">
        <f t="shared" si="9"/>
        <v>43</v>
      </c>
      <c r="Y27" s="69">
        <f t="shared" si="10"/>
        <v>5149</v>
      </c>
      <c r="Z27" s="69"/>
      <c r="AA27" s="69"/>
      <c r="AB27" s="69"/>
      <c r="AC27" s="69"/>
      <c r="AD27" s="69">
        <f t="shared" si="11"/>
        <v>0</v>
      </c>
      <c r="AE27" s="69"/>
      <c r="AF27" s="69"/>
      <c r="AG27" s="69"/>
      <c r="AH27" s="69">
        <f t="shared" si="12"/>
        <v>0</v>
      </c>
      <c r="AI27" s="69">
        <f t="shared" si="13"/>
        <v>5149</v>
      </c>
      <c r="AJ27" s="69"/>
      <c r="AK27" s="232"/>
      <c r="AL27" s="212"/>
      <c r="AM27" s="212"/>
      <c r="AN27" s="212"/>
      <c r="AO27" s="212"/>
      <c r="AP27" s="69">
        <f t="shared" si="14"/>
        <v>0</v>
      </c>
      <c r="AQ27" s="7"/>
      <c r="AR27" s="69"/>
      <c r="AS27" s="69"/>
      <c r="AT27" s="69"/>
      <c r="AU27" s="69">
        <f t="shared" si="15"/>
        <v>0</v>
      </c>
      <c r="AV27" s="69">
        <f t="shared" si="16"/>
        <v>5149</v>
      </c>
      <c r="AW27" s="14"/>
    </row>
    <row r="28" ht="20.15" customHeight="1" spans="1:49">
      <c r="A28" s="228">
        <f>SUBTOTAL(2,$Y$4:Y28)</f>
        <v>25</v>
      </c>
      <c r="B28" s="14" t="s">
        <v>119</v>
      </c>
      <c r="C28" s="14" t="s">
        <v>67</v>
      </c>
      <c r="D28" s="115" t="s">
        <v>120</v>
      </c>
      <c r="E28" s="229">
        <v>26.45</v>
      </c>
      <c r="F28" s="13" t="s">
        <v>120</v>
      </c>
      <c r="G28" s="13" t="s">
        <v>73</v>
      </c>
      <c r="H28" s="14">
        <f t="shared" si="25"/>
        <v>26.45</v>
      </c>
      <c r="I28" s="7">
        <v>2206</v>
      </c>
      <c r="J28" s="238">
        <v>250</v>
      </c>
      <c r="K28" s="69">
        <f t="shared" si="24"/>
        <v>2456</v>
      </c>
      <c r="L28" s="69">
        <v>160</v>
      </c>
      <c r="M28" s="69">
        <v>4759</v>
      </c>
      <c r="N28" s="69">
        <v>4859</v>
      </c>
      <c r="O28" s="69">
        <f t="shared" si="18"/>
        <v>100</v>
      </c>
      <c r="P28" s="231">
        <f t="shared" si="4"/>
        <v>0</v>
      </c>
      <c r="Q28" s="69">
        <f t="shared" ref="Q28:Q41" si="27">O28+P28</f>
        <v>100</v>
      </c>
      <c r="R28" s="69">
        <v>0.8</v>
      </c>
      <c r="S28" s="220">
        <f t="shared" si="5"/>
        <v>70</v>
      </c>
      <c r="T28" s="220">
        <f t="shared" ref="T28:T41" si="28">ROUND(Q28*R28,0)</f>
        <v>80</v>
      </c>
      <c r="U28" s="222">
        <f t="shared" si="26"/>
        <v>148</v>
      </c>
      <c r="V28" s="220">
        <f t="shared" ref="V28:V41" si="29">ROUND(U28*1.5,0)</f>
        <v>222</v>
      </c>
      <c r="W28" s="69">
        <f t="shared" si="22"/>
        <v>5</v>
      </c>
      <c r="X28" s="220">
        <f t="shared" si="9"/>
        <v>43</v>
      </c>
      <c r="Y28" s="69">
        <f t="shared" si="10"/>
        <v>3031</v>
      </c>
      <c r="Z28" s="69"/>
      <c r="AA28" s="69"/>
      <c r="AB28" s="69"/>
      <c r="AC28" s="69"/>
      <c r="AD28" s="69">
        <f t="shared" si="11"/>
        <v>0</v>
      </c>
      <c r="AE28" s="69"/>
      <c r="AF28" s="69"/>
      <c r="AG28" s="69"/>
      <c r="AH28" s="69">
        <f t="shared" si="12"/>
        <v>0</v>
      </c>
      <c r="AI28" s="69">
        <f t="shared" si="13"/>
        <v>3031</v>
      </c>
      <c r="AJ28" s="69"/>
      <c r="AK28" s="232"/>
      <c r="AL28" s="212"/>
      <c r="AM28" s="212"/>
      <c r="AN28" s="212"/>
      <c r="AO28" s="212"/>
      <c r="AP28" s="69">
        <f t="shared" si="14"/>
        <v>0</v>
      </c>
      <c r="AQ28" s="7"/>
      <c r="AR28" s="69"/>
      <c r="AS28" s="69"/>
      <c r="AT28" s="69"/>
      <c r="AU28" s="69">
        <f t="shared" si="15"/>
        <v>0</v>
      </c>
      <c r="AV28" s="69">
        <f t="shared" si="16"/>
        <v>3031</v>
      </c>
      <c r="AW28" s="14"/>
    </row>
    <row r="29" ht="20.15" customHeight="1" spans="1:49">
      <c r="A29" s="228">
        <f>SUBTOTAL(2,$Y$4:Y29)</f>
        <v>26</v>
      </c>
      <c r="B29" s="14" t="s">
        <v>121</v>
      </c>
      <c r="C29" s="14" t="s">
        <v>67</v>
      </c>
      <c r="D29" s="115">
        <v>1026</v>
      </c>
      <c r="E29" s="229">
        <v>27.15</v>
      </c>
      <c r="F29" s="13">
        <v>1026</v>
      </c>
      <c r="G29" s="13" t="s">
        <v>122</v>
      </c>
      <c r="H29" s="14">
        <f t="shared" si="25"/>
        <v>27.15</v>
      </c>
      <c r="I29" s="69">
        <v>4202</v>
      </c>
      <c r="J29" s="230">
        <v>500</v>
      </c>
      <c r="K29" s="69">
        <f t="shared" si="24"/>
        <v>4702</v>
      </c>
      <c r="L29" s="69">
        <v>160</v>
      </c>
      <c r="M29" s="69">
        <v>4176</v>
      </c>
      <c r="N29" s="69">
        <v>4216</v>
      </c>
      <c r="O29" s="69">
        <f t="shared" si="18"/>
        <v>40</v>
      </c>
      <c r="P29" s="231">
        <f t="shared" si="4"/>
        <v>0</v>
      </c>
      <c r="Q29" s="69">
        <f t="shared" si="27"/>
        <v>40</v>
      </c>
      <c r="R29" s="69">
        <v>0.8</v>
      </c>
      <c r="S29" s="220">
        <f t="shared" si="5"/>
        <v>28</v>
      </c>
      <c r="T29" s="220">
        <f t="shared" si="28"/>
        <v>32</v>
      </c>
      <c r="U29" s="222">
        <f t="shared" si="26"/>
        <v>152</v>
      </c>
      <c r="V29" s="220">
        <f t="shared" si="29"/>
        <v>228</v>
      </c>
      <c r="W29" s="69">
        <f t="shared" si="22"/>
        <v>5</v>
      </c>
      <c r="X29" s="220">
        <f t="shared" si="9"/>
        <v>43</v>
      </c>
      <c r="Y29" s="69">
        <f t="shared" si="10"/>
        <v>5193</v>
      </c>
      <c r="Z29" s="69"/>
      <c r="AA29" s="69"/>
      <c r="AB29" s="69"/>
      <c r="AC29" s="69"/>
      <c r="AD29" s="69">
        <f t="shared" si="11"/>
        <v>0</v>
      </c>
      <c r="AE29" s="69"/>
      <c r="AF29" s="69"/>
      <c r="AG29" s="69"/>
      <c r="AH29" s="69">
        <f t="shared" si="12"/>
        <v>0</v>
      </c>
      <c r="AI29" s="69">
        <f t="shared" si="13"/>
        <v>5193</v>
      </c>
      <c r="AJ29" s="69"/>
      <c r="AK29" s="232"/>
      <c r="AL29" s="212"/>
      <c r="AM29" s="212"/>
      <c r="AN29" s="212"/>
      <c r="AO29" s="212"/>
      <c r="AP29" s="69">
        <f t="shared" si="14"/>
        <v>0</v>
      </c>
      <c r="AQ29" s="7"/>
      <c r="AR29" s="69"/>
      <c r="AS29" s="69"/>
      <c r="AT29" s="69"/>
      <c r="AU29" s="69">
        <f t="shared" si="15"/>
        <v>0</v>
      </c>
      <c r="AV29" s="69">
        <f t="shared" si="16"/>
        <v>5193</v>
      </c>
      <c r="AW29" s="14"/>
    </row>
    <row r="30" ht="20.15" customHeight="1" spans="1:49">
      <c r="A30" s="228">
        <f>SUBTOTAL(2,$Y$4:Y30)</f>
        <v>27</v>
      </c>
      <c r="B30" s="14" t="s">
        <v>123</v>
      </c>
      <c r="C30" s="14" t="s">
        <v>67</v>
      </c>
      <c r="D30" s="115">
        <v>1027</v>
      </c>
      <c r="E30" s="229">
        <v>27.15</v>
      </c>
      <c r="F30" s="95">
        <v>1027</v>
      </c>
      <c r="G30" s="95" t="s">
        <v>124</v>
      </c>
      <c r="H30" s="246">
        <f t="shared" si="25"/>
        <v>27.15</v>
      </c>
      <c r="I30" s="7">
        <v>4200</v>
      </c>
      <c r="J30" s="238">
        <v>500</v>
      </c>
      <c r="K30" s="69">
        <f t="shared" si="24"/>
        <v>4700</v>
      </c>
      <c r="L30" s="69">
        <v>160</v>
      </c>
      <c r="M30" s="69">
        <v>3392</v>
      </c>
      <c r="N30" s="69">
        <v>3403</v>
      </c>
      <c r="O30" s="69">
        <f t="shared" si="18"/>
        <v>11</v>
      </c>
      <c r="P30" s="231">
        <f t="shared" si="4"/>
        <v>0</v>
      </c>
      <c r="Q30" s="69">
        <f t="shared" si="27"/>
        <v>11</v>
      </c>
      <c r="R30" s="69">
        <v>0.8</v>
      </c>
      <c r="S30" s="220">
        <f t="shared" si="5"/>
        <v>8</v>
      </c>
      <c r="T30" s="220">
        <f t="shared" si="28"/>
        <v>9</v>
      </c>
      <c r="U30" s="222">
        <f t="shared" si="26"/>
        <v>152</v>
      </c>
      <c r="V30" s="220">
        <f t="shared" si="29"/>
        <v>228</v>
      </c>
      <c r="W30" s="69">
        <f t="shared" si="22"/>
        <v>5</v>
      </c>
      <c r="X30" s="220">
        <f t="shared" si="9"/>
        <v>43</v>
      </c>
      <c r="Y30" s="69">
        <f t="shared" si="10"/>
        <v>5148</v>
      </c>
      <c r="Z30" s="69"/>
      <c r="AA30" s="69"/>
      <c r="AB30" s="69"/>
      <c r="AC30" s="69"/>
      <c r="AD30" s="69">
        <f t="shared" si="11"/>
        <v>0</v>
      </c>
      <c r="AE30" s="69"/>
      <c r="AF30" s="69"/>
      <c r="AG30" s="69"/>
      <c r="AH30" s="69">
        <f t="shared" si="12"/>
        <v>0</v>
      </c>
      <c r="AI30" s="69">
        <f t="shared" si="13"/>
        <v>5148</v>
      </c>
      <c r="AJ30" s="69"/>
      <c r="AK30" s="232"/>
      <c r="AL30" s="212"/>
      <c r="AM30" s="212"/>
      <c r="AN30" s="212"/>
      <c r="AO30" s="212"/>
      <c r="AP30" s="69">
        <f t="shared" si="14"/>
        <v>0</v>
      </c>
      <c r="AQ30" s="7"/>
      <c r="AR30" s="69"/>
      <c r="AS30" s="69"/>
      <c r="AT30" s="69"/>
      <c r="AU30" s="69">
        <f t="shared" si="15"/>
        <v>0</v>
      </c>
      <c r="AV30" s="69">
        <f t="shared" si="16"/>
        <v>5148</v>
      </c>
      <c r="AW30" s="14"/>
    </row>
    <row r="31" ht="20.15" customHeight="1" spans="1:49">
      <c r="A31" s="228">
        <f>SUBTOTAL(2,$Y$4:Y31)</f>
        <v>28</v>
      </c>
      <c r="B31" s="14" t="s">
        <v>125</v>
      </c>
      <c r="C31" s="14" t="s">
        <v>67</v>
      </c>
      <c r="D31" s="115">
        <v>1028</v>
      </c>
      <c r="E31" s="229">
        <v>27.15</v>
      </c>
      <c r="F31" s="13">
        <v>1028</v>
      </c>
      <c r="G31" s="13" t="s">
        <v>126</v>
      </c>
      <c r="H31" s="14">
        <v>27.15</v>
      </c>
      <c r="I31" s="69">
        <v>4200</v>
      </c>
      <c r="J31" s="230">
        <v>500</v>
      </c>
      <c r="K31" s="69">
        <f t="shared" si="24"/>
        <v>4700</v>
      </c>
      <c r="L31" s="69">
        <v>160</v>
      </c>
      <c r="M31" s="69">
        <v>8257</v>
      </c>
      <c r="N31" s="69">
        <v>8298</v>
      </c>
      <c r="O31" s="69">
        <f t="shared" si="18"/>
        <v>41</v>
      </c>
      <c r="P31" s="231">
        <f t="shared" si="4"/>
        <v>0</v>
      </c>
      <c r="Q31" s="69">
        <f t="shared" si="27"/>
        <v>41</v>
      </c>
      <c r="R31" s="69">
        <v>0.8</v>
      </c>
      <c r="S31" s="220">
        <f t="shared" si="5"/>
        <v>29</v>
      </c>
      <c r="T31" s="220">
        <f t="shared" si="28"/>
        <v>33</v>
      </c>
      <c r="U31" s="222">
        <f t="shared" si="26"/>
        <v>152</v>
      </c>
      <c r="V31" s="220">
        <f t="shared" si="29"/>
        <v>228</v>
      </c>
      <c r="W31" s="69">
        <f t="shared" si="22"/>
        <v>5</v>
      </c>
      <c r="X31" s="220">
        <f t="shared" si="9"/>
        <v>43</v>
      </c>
      <c r="Y31" s="69">
        <f t="shared" si="10"/>
        <v>5193</v>
      </c>
      <c r="Z31" s="69"/>
      <c r="AA31" s="69"/>
      <c r="AB31" s="69"/>
      <c r="AC31" s="69"/>
      <c r="AD31" s="69">
        <f t="shared" si="11"/>
        <v>0</v>
      </c>
      <c r="AE31" s="69"/>
      <c r="AF31" s="69"/>
      <c r="AG31" s="69"/>
      <c r="AH31" s="69">
        <f t="shared" si="12"/>
        <v>0</v>
      </c>
      <c r="AI31" s="69">
        <f t="shared" si="13"/>
        <v>5193</v>
      </c>
      <c r="AJ31" s="69"/>
      <c r="AK31" s="232"/>
      <c r="AL31" s="212"/>
      <c r="AM31" s="212"/>
      <c r="AN31" s="212"/>
      <c r="AO31" s="212"/>
      <c r="AP31" s="69">
        <f t="shared" si="14"/>
        <v>0</v>
      </c>
      <c r="AQ31" s="7"/>
      <c r="AR31" s="69"/>
      <c r="AS31" s="69"/>
      <c r="AT31" s="69"/>
      <c r="AU31" s="69">
        <f t="shared" si="15"/>
        <v>0</v>
      </c>
      <c r="AV31" s="69">
        <f t="shared" si="16"/>
        <v>5193</v>
      </c>
      <c r="AW31" s="14"/>
    </row>
    <row r="32" ht="20.15" customHeight="1" spans="1:49">
      <c r="A32" s="228">
        <f>SUBTOTAL(2,$Y$4:Y32)</f>
        <v>29</v>
      </c>
      <c r="B32" s="14" t="s">
        <v>127</v>
      </c>
      <c r="C32" s="14" t="s">
        <v>67</v>
      </c>
      <c r="D32" s="115">
        <v>1029</v>
      </c>
      <c r="E32" s="229">
        <v>27.15</v>
      </c>
      <c r="F32" s="13">
        <v>1029</v>
      </c>
      <c r="G32" s="13" t="s">
        <v>128</v>
      </c>
      <c r="H32" s="14">
        <f t="shared" ref="H32:H36" si="30">E32</f>
        <v>27.15</v>
      </c>
      <c r="I32" s="69">
        <v>4200</v>
      </c>
      <c r="J32" s="230">
        <v>500</v>
      </c>
      <c r="K32" s="69">
        <f t="shared" si="24"/>
        <v>4700</v>
      </c>
      <c r="L32" s="69">
        <v>160</v>
      </c>
      <c r="M32" s="69">
        <v>5452</v>
      </c>
      <c r="N32" s="69">
        <v>5489</v>
      </c>
      <c r="O32" s="69">
        <f t="shared" si="18"/>
        <v>37</v>
      </c>
      <c r="P32" s="231">
        <f t="shared" si="4"/>
        <v>0</v>
      </c>
      <c r="Q32" s="69">
        <f t="shared" si="27"/>
        <v>37</v>
      </c>
      <c r="R32" s="69">
        <v>0.8</v>
      </c>
      <c r="S32" s="220">
        <f t="shared" si="5"/>
        <v>26</v>
      </c>
      <c r="T32" s="220">
        <f t="shared" si="28"/>
        <v>30</v>
      </c>
      <c r="U32" s="222">
        <f t="shared" si="26"/>
        <v>152</v>
      </c>
      <c r="V32" s="220">
        <f t="shared" si="29"/>
        <v>228</v>
      </c>
      <c r="W32" s="69">
        <f t="shared" si="22"/>
        <v>5</v>
      </c>
      <c r="X32" s="220">
        <f t="shared" si="9"/>
        <v>43</v>
      </c>
      <c r="Y32" s="69">
        <f t="shared" si="10"/>
        <v>5187</v>
      </c>
      <c r="Z32" s="69"/>
      <c r="AA32" s="69"/>
      <c r="AB32" s="69"/>
      <c r="AC32" s="69"/>
      <c r="AD32" s="69">
        <f t="shared" si="11"/>
        <v>0</v>
      </c>
      <c r="AE32" s="69"/>
      <c r="AF32" s="69"/>
      <c r="AG32" s="69"/>
      <c r="AH32" s="69">
        <f t="shared" si="12"/>
        <v>0</v>
      </c>
      <c r="AI32" s="69">
        <f t="shared" si="13"/>
        <v>5187</v>
      </c>
      <c r="AJ32" s="69"/>
      <c r="AK32" s="232"/>
      <c r="AL32" s="212"/>
      <c r="AM32" s="212"/>
      <c r="AN32" s="212"/>
      <c r="AO32" s="212"/>
      <c r="AP32" s="69">
        <f t="shared" si="14"/>
        <v>0</v>
      </c>
      <c r="AQ32" s="7"/>
      <c r="AR32" s="69"/>
      <c r="AS32" s="69"/>
      <c r="AT32" s="69"/>
      <c r="AU32" s="69">
        <f t="shared" si="15"/>
        <v>0</v>
      </c>
      <c r="AV32" s="69">
        <f t="shared" si="16"/>
        <v>5187</v>
      </c>
      <c r="AW32" s="14"/>
    </row>
    <row r="33" ht="20.15" customHeight="1" spans="1:49">
      <c r="A33" s="228">
        <f>SUBTOTAL(2,$Y$4:Y33)</f>
        <v>30</v>
      </c>
      <c r="B33" s="14" t="s">
        <v>129</v>
      </c>
      <c r="C33" s="14" t="s">
        <v>67</v>
      </c>
      <c r="D33" s="115">
        <v>1030</v>
      </c>
      <c r="E33" s="229">
        <v>27.15</v>
      </c>
      <c r="F33" s="118">
        <v>1030</v>
      </c>
      <c r="G33" s="118" t="s">
        <v>130</v>
      </c>
      <c r="H33" s="240">
        <f t="shared" si="30"/>
        <v>27.15</v>
      </c>
      <c r="I33" s="241">
        <v>4200</v>
      </c>
      <c r="J33" s="242">
        <v>500</v>
      </c>
      <c r="K33" s="69">
        <f t="shared" si="24"/>
        <v>4700</v>
      </c>
      <c r="L33" s="69">
        <v>160</v>
      </c>
      <c r="M33" s="69">
        <v>5699</v>
      </c>
      <c r="N33" s="69">
        <v>5761</v>
      </c>
      <c r="O33" s="69">
        <f t="shared" si="18"/>
        <v>62</v>
      </c>
      <c r="P33" s="231">
        <f t="shared" si="4"/>
        <v>0</v>
      </c>
      <c r="Q33" s="69">
        <f t="shared" si="27"/>
        <v>62</v>
      </c>
      <c r="R33" s="69">
        <v>0.8</v>
      </c>
      <c r="S33" s="220">
        <f t="shared" si="5"/>
        <v>43</v>
      </c>
      <c r="T33" s="220">
        <f t="shared" si="28"/>
        <v>50</v>
      </c>
      <c r="U33" s="222">
        <f t="shared" si="26"/>
        <v>152</v>
      </c>
      <c r="V33" s="220">
        <f t="shared" si="29"/>
        <v>228</v>
      </c>
      <c r="W33" s="69">
        <f t="shared" si="22"/>
        <v>5</v>
      </c>
      <c r="X33" s="220">
        <f t="shared" si="9"/>
        <v>43</v>
      </c>
      <c r="Y33" s="69">
        <f t="shared" si="10"/>
        <v>5224</v>
      </c>
      <c r="Z33" s="69"/>
      <c r="AA33" s="69"/>
      <c r="AB33" s="69"/>
      <c r="AC33" s="69"/>
      <c r="AD33" s="69">
        <f t="shared" si="11"/>
        <v>0</v>
      </c>
      <c r="AE33" s="69"/>
      <c r="AF33" s="69"/>
      <c r="AG33" s="69"/>
      <c r="AH33" s="69">
        <f t="shared" si="12"/>
        <v>0</v>
      </c>
      <c r="AI33" s="69">
        <f t="shared" si="13"/>
        <v>5224</v>
      </c>
      <c r="AJ33" s="69"/>
      <c r="AK33" s="232"/>
      <c r="AL33" s="212"/>
      <c r="AM33" s="212"/>
      <c r="AN33" s="212"/>
      <c r="AO33" s="212"/>
      <c r="AP33" s="69">
        <f t="shared" si="14"/>
        <v>0</v>
      </c>
      <c r="AQ33" s="7"/>
      <c r="AR33" s="69"/>
      <c r="AS33" s="69"/>
      <c r="AT33" s="69"/>
      <c r="AU33" s="69">
        <f t="shared" si="15"/>
        <v>0</v>
      </c>
      <c r="AV33" s="69">
        <f t="shared" si="16"/>
        <v>5224</v>
      </c>
      <c r="AW33" s="14"/>
    </row>
    <row r="34" ht="20.15" customHeight="1" spans="1:49">
      <c r="A34" s="228">
        <f>SUBTOTAL(2,$Y$4:Y34)</f>
        <v>31</v>
      </c>
      <c r="B34" s="14" t="s">
        <v>131</v>
      </c>
      <c r="C34" s="14" t="s">
        <v>67</v>
      </c>
      <c r="D34" s="115">
        <v>1031</v>
      </c>
      <c r="E34" s="229">
        <v>23.77</v>
      </c>
      <c r="F34" s="13">
        <v>1031</v>
      </c>
      <c r="G34" s="13" t="s">
        <v>132</v>
      </c>
      <c r="H34" s="14">
        <v>23.77</v>
      </c>
      <c r="I34" s="69">
        <v>4200</v>
      </c>
      <c r="J34" s="230">
        <v>500</v>
      </c>
      <c r="K34" s="69">
        <f t="shared" si="24"/>
        <v>4700</v>
      </c>
      <c r="L34" s="69">
        <v>160</v>
      </c>
      <c r="M34" s="69">
        <v>6328</v>
      </c>
      <c r="N34" s="69">
        <v>6375</v>
      </c>
      <c r="O34" s="69">
        <f t="shared" si="18"/>
        <v>47</v>
      </c>
      <c r="P34" s="231">
        <f t="shared" si="4"/>
        <v>0</v>
      </c>
      <c r="Q34" s="69">
        <f t="shared" si="27"/>
        <v>47</v>
      </c>
      <c r="R34" s="69">
        <v>0.8</v>
      </c>
      <c r="S34" s="220">
        <f t="shared" si="5"/>
        <v>33</v>
      </c>
      <c r="T34" s="220">
        <f t="shared" si="28"/>
        <v>38</v>
      </c>
      <c r="U34" s="222">
        <f t="shared" si="26"/>
        <v>133</v>
      </c>
      <c r="V34" s="220">
        <f t="shared" si="29"/>
        <v>200</v>
      </c>
      <c r="W34" s="69">
        <f t="shared" si="22"/>
        <v>5</v>
      </c>
      <c r="X34" s="220">
        <f t="shared" si="9"/>
        <v>43</v>
      </c>
      <c r="Y34" s="69">
        <f t="shared" si="10"/>
        <v>5174</v>
      </c>
      <c r="Z34" s="69"/>
      <c r="AA34" s="69"/>
      <c r="AB34" s="69"/>
      <c r="AC34" s="69"/>
      <c r="AD34" s="69">
        <f t="shared" si="11"/>
        <v>0</v>
      </c>
      <c r="AE34" s="69"/>
      <c r="AF34" s="69"/>
      <c r="AG34" s="69"/>
      <c r="AH34" s="69">
        <f t="shared" si="12"/>
        <v>0</v>
      </c>
      <c r="AI34" s="69">
        <f t="shared" si="13"/>
        <v>5174</v>
      </c>
      <c r="AJ34" s="69"/>
      <c r="AK34" s="232"/>
      <c r="AL34" s="212"/>
      <c r="AM34" s="212"/>
      <c r="AN34" s="212"/>
      <c r="AO34" s="212"/>
      <c r="AP34" s="69">
        <f t="shared" si="14"/>
        <v>0</v>
      </c>
      <c r="AQ34" s="7"/>
      <c r="AR34" s="69"/>
      <c r="AS34" s="69"/>
      <c r="AT34" s="69"/>
      <c r="AU34" s="69">
        <f t="shared" si="15"/>
        <v>0</v>
      </c>
      <c r="AV34" s="69">
        <f t="shared" si="16"/>
        <v>5174</v>
      </c>
      <c r="AW34" s="14"/>
    </row>
    <row r="35" ht="20.15" customHeight="1" spans="1:49">
      <c r="A35" s="228">
        <f>SUBTOTAL(2,$Y$4:Y35)</f>
        <v>32</v>
      </c>
      <c r="B35" s="14" t="s">
        <v>133</v>
      </c>
      <c r="C35" s="14" t="s">
        <v>67</v>
      </c>
      <c r="D35" s="115">
        <v>1032</v>
      </c>
      <c r="E35" s="229">
        <v>27.15</v>
      </c>
      <c r="F35" s="13">
        <v>1032</v>
      </c>
      <c r="G35" s="13" t="s">
        <v>134</v>
      </c>
      <c r="H35" s="14">
        <f t="shared" si="30"/>
        <v>27.15</v>
      </c>
      <c r="I35" s="69">
        <v>4200</v>
      </c>
      <c r="J35" s="230">
        <v>500</v>
      </c>
      <c r="K35" s="69">
        <f t="shared" si="24"/>
        <v>4700</v>
      </c>
      <c r="L35" s="69">
        <v>160</v>
      </c>
      <c r="M35" s="69">
        <v>5983</v>
      </c>
      <c r="N35" s="69">
        <v>6025</v>
      </c>
      <c r="O35" s="69">
        <f t="shared" si="18"/>
        <v>42</v>
      </c>
      <c r="P35" s="231">
        <f t="shared" si="4"/>
        <v>0</v>
      </c>
      <c r="Q35" s="69">
        <f t="shared" si="27"/>
        <v>42</v>
      </c>
      <c r="R35" s="69">
        <v>0.8</v>
      </c>
      <c r="S35" s="220">
        <f t="shared" si="5"/>
        <v>29</v>
      </c>
      <c r="T35" s="220">
        <f t="shared" si="28"/>
        <v>34</v>
      </c>
      <c r="U35" s="222">
        <f t="shared" si="26"/>
        <v>152</v>
      </c>
      <c r="V35" s="220">
        <f t="shared" si="29"/>
        <v>228</v>
      </c>
      <c r="W35" s="69">
        <f t="shared" si="22"/>
        <v>5</v>
      </c>
      <c r="X35" s="220">
        <f t="shared" si="9"/>
        <v>43</v>
      </c>
      <c r="Y35" s="69">
        <f t="shared" si="10"/>
        <v>5194</v>
      </c>
      <c r="Z35" s="69"/>
      <c r="AA35" s="69"/>
      <c r="AB35" s="69"/>
      <c r="AC35" s="69"/>
      <c r="AD35" s="69">
        <f t="shared" si="11"/>
        <v>0</v>
      </c>
      <c r="AE35" s="69"/>
      <c r="AF35" s="69"/>
      <c r="AG35" s="69"/>
      <c r="AH35" s="69">
        <f t="shared" si="12"/>
        <v>0</v>
      </c>
      <c r="AI35" s="69">
        <f t="shared" si="13"/>
        <v>5194</v>
      </c>
      <c r="AJ35" s="69"/>
      <c r="AK35" s="232"/>
      <c r="AL35" s="212"/>
      <c r="AM35" s="212"/>
      <c r="AN35" s="212"/>
      <c r="AO35" s="212"/>
      <c r="AP35" s="69">
        <f t="shared" si="14"/>
        <v>0</v>
      </c>
      <c r="AQ35" s="7"/>
      <c r="AR35" s="69"/>
      <c r="AS35" s="69"/>
      <c r="AT35" s="69"/>
      <c r="AU35" s="69">
        <f t="shared" si="15"/>
        <v>0</v>
      </c>
      <c r="AV35" s="69">
        <f t="shared" si="16"/>
        <v>5194</v>
      </c>
      <c r="AW35" s="14"/>
    </row>
    <row r="36" ht="20.15" customHeight="1" spans="1:49">
      <c r="A36" s="228">
        <f>SUBTOTAL(2,$Y$4:Y36)</f>
        <v>33</v>
      </c>
      <c r="B36" s="14" t="s">
        <v>135</v>
      </c>
      <c r="C36" s="14" t="s">
        <v>67</v>
      </c>
      <c r="D36" s="115">
        <v>1033</v>
      </c>
      <c r="E36" s="229">
        <v>27.15</v>
      </c>
      <c r="F36" s="22">
        <v>1033</v>
      </c>
      <c r="G36" s="22" t="s">
        <v>136</v>
      </c>
      <c r="H36" s="14">
        <f t="shared" si="30"/>
        <v>27.15</v>
      </c>
      <c r="I36" s="7">
        <v>4200</v>
      </c>
      <c r="J36" s="7">
        <v>500</v>
      </c>
      <c r="K36" s="69">
        <f t="shared" si="24"/>
        <v>4700</v>
      </c>
      <c r="L36" s="69">
        <v>160</v>
      </c>
      <c r="M36" s="69">
        <v>9222</v>
      </c>
      <c r="N36" s="69">
        <v>9253</v>
      </c>
      <c r="O36" s="69">
        <f t="shared" si="18"/>
        <v>31</v>
      </c>
      <c r="P36" s="231">
        <f t="shared" si="4"/>
        <v>0</v>
      </c>
      <c r="Q36" s="69">
        <f t="shared" si="27"/>
        <v>31</v>
      </c>
      <c r="R36" s="69">
        <v>0.8</v>
      </c>
      <c r="S36" s="220">
        <f t="shared" si="5"/>
        <v>22</v>
      </c>
      <c r="T36" s="220">
        <f t="shared" si="28"/>
        <v>25</v>
      </c>
      <c r="U36" s="222">
        <f t="shared" si="26"/>
        <v>152</v>
      </c>
      <c r="V36" s="220">
        <f t="shared" si="29"/>
        <v>228</v>
      </c>
      <c r="W36" s="69">
        <f t="shared" si="22"/>
        <v>5</v>
      </c>
      <c r="X36" s="220">
        <f t="shared" si="9"/>
        <v>43</v>
      </c>
      <c r="Y36" s="69">
        <f t="shared" si="10"/>
        <v>5178</v>
      </c>
      <c r="Z36" s="69"/>
      <c r="AA36" s="69"/>
      <c r="AB36" s="69"/>
      <c r="AC36" s="69"/>
      <c r="AD36" s="69">
        <f t="shared" si="11"/>
        <v>0</v>
      </c>
      <c r="AE36" s="69"/>
      <c r="AF36" s="69"/>
      <c r="AG36" s="69"/>
      <c r="AH36" s="69">
        <f t="shared" si="12"/>
        <v>0</v>
      </c>
      <c r="AI36" s="69">
        <f t="shared" si="13"/>
        <v>5178</v>
      </c>
      <c r="AJ36" s="69"/>
      <c r="AK36" s="232"/>
      <c r="AL36" s="212"/>
      <c r="AM36" s="212"/>
      <c r="AN36" s="212"/>
      <c r="AO36" s="212"/>
      <c r="AP36" s="69">
        <f t="shared" si="14"/>
        <v>0</v>
      </c>
      <c r="AQ36" s="7"/>
      <c r="AR36" s="69"/>
      <c r="AS36" s="69"/>
      <c r="AT36" s="69"/>
      <c r="AU36" s="69">
        <f t="shared" si="15"/>
        <v>0</v>
      </c>
      <c r="AV36" s="69">
        <f t="shared" si="16"/>
        <v>5178</v>
      </c>
      <c r="AW36" s="14"/>
    </row>
    <row r="37" ht="19" customHeight="1" spans="1:49">
      <c r="A37" s="228">
        <f>SUBTOTAL(2,$Y$4:Y37)</f>
        <v>34</v>
      </c>
      <c r="B37" s="14" t="s">
        <v>137</v>
      </c>
      <c r="C37" s="14" t="s">
        <v>67</v>
      </c>
      <c r="D37" s="247">
        <v>1034</v>
      </c>
      <c r="E37" s="248">
        <v>27.15</v>
      </c>
      <c r="F37" s="13">
        <v>1034</v>
      </c>
      <c r="G37" s="13" t="s">
        <v>138</v>
      </c>
      <c r="H37" s="14">
        <f t="shared" ref="H37:H50" si="31">E37</f>
        <v>27.15</v>
      </c>
      <c r="I37" s="7">
        <v>4200</v>
      </c>
      <c r="J37" s="230">
        <v>500</v>
      </c>
      <c r="K37" s="69">
        <f t="shared" si="24"/>
        <v>4700</v>
      </c>
      <c r="L37" s="69">
        <v>160</v>
      </c>
      <c r="M37" s="69">
        <v>2989</v>
      </c>
      <c r="N37" s="69">
        <v>3002</v>
      </c>
      <c r="O37" s="69">
        <f t="shared" si="18"/>
        <v>13</v>
      </c>
      <c r="P37" s="231">
        <f t="shared" ref="P37:P68" si="32">ROUND(H37*0,0)</f>
        <v>0</v>
      </c>
      <c r="Q37" s="69">
        <f t="shared" si="27"/>
        <v>13</v>
      </c>
      <c r="R37" s="69">
        <v>0.8</v>
      </c>
      <c r="S37" s="220">
        <f t="shared" si="5"/>
        <v>9</v>
      </c>
      <c r="T37" s="220">
        <f t="shared" si="28"/>
        <v>10</v>
      </c>
      <c r="U37" s="222">
        <f t="shared" si="26"/>
        <v>152</v>
      </c>
      <c r="V37" s="220">
        <f t="shared" si="29"/>
        <v>228</v>
      </c>
      <c r="W37" s="69">
        <f t="shared" si="22"/>
        <v>5</v>
      </c>
      <c r="X37" s="220">
        <f t="shared" ref="X37:X70" si="33">ROUND(W37*8.5,0)</f>
        <v>43</v>
      </c>
      <c r="Y37" s="69">
        <f t="shared" si="10"/>
        <v>5150</v>
      </c>
      <c r="Z37" s="69"/>
      <c r="AA37" s="69"/>
      <c r="AB37" s="69"/>
      <c r="AC37" s="69"/>
      <c r="AD37" s="69">
        <f t="shared" ref="AD37:AD72" si="34">AA37+AB37+AC37</f>
        <v>0</v>
      </c>
      <c r="AE37" s="69"/>
      <c r="AF37" s="69"/>
      <c r="AG37" s="69"/>
      <c r="AH37" s="69">
        <f t="shared" ref="AH37:AH72" si="35">AE37+AF37-AG37</f>
        <v>0</v>
      </c>
      <c r="AI37" s="69">
        <f t="shared" ref="AI37:AI72" si="36">Y37+Z37+AJ37-AD37-AG37</f>
        <v>5150</v>
      </c>
      <c r="AJ37" s="69"/>
      <c r="AK37" s="232"/>
      <c r="AL37" s="212"/>
      <c r="AM37" s="212"/>
      <c r="AN37" s="212"/>
      <c r="AO37" s="212"/>
      <c r="AP37" s="69">
        <f t="shared" si="14"/>
        <v>0</v>
      </c>
      <c r="AQ37" s="249"/>
      <c r="AR37" s="69"/>
      <c r="AS37" s="69"/>
      <c r="AT37" s="69"/>
      <c r="AU37" s="69">
        <f t="shared" si="15"/>
        <v>0</v>
      </c>
      <c r="AV37" s="69">
        <f t="shared" si="16"/>
        <v>5150</v>
      </c>
      <c r="AW37" s="213"/>
    </row>
    <row r="38" ht="19" customHeight="1" spans="1:49">
      <c r="A38" s="228">
        <f>SUBTOTAL(2,$Y$4:Y38)</f>
        <v>35</v>
      </c>
      <c r="B38" s="14" t="s">
        <v>139</v>
      </c>
      <c r="C38" s="14" t="s">
        <v>67</v>
      </c>
      <c r="D38" s="115">
        <v>1035</v>
      </c>
      <c r="E38" s="229">
        <v>27.15</v>
      </c>
      <c r="F38" s="13">
        <v>1035</v>
      </c>
      <c r="G38" s="13" t="s">
        <v>83</v>
      </c>
      <c r="H38" s="14">
        <f t="shared" si="31"/>
        <v>27.15</v>
      </c>
      <c r="I38" s="69">
        <v>4200</v>
      </c>
      <c r="J38" s="230">
        <v>500</v>
      </c>
      <c r="K38" s="69">
        <f t="shared" ref="K38:K96" si="37">I38+J38</f>
        <v>4700</v>
      </c>
      <c r="L38" s="69">
        <v>160</v>
      </c>
      <c r="M38" s="69">
        <v>10414</v>
      </c>
      <c r="N38" s="69">
        <f>20900/2</f>
        <v>10450</v>
      </c>
      <c r="O38" s="69">
        <f t="shared" si="18"/>
        <v>36</v>
      </c>
      <c r="P38" s="231">
        <f t="shared" si="32"/>
        <v>0</v>
      </c>
      <c r="Q38" s="69">
        <f t="shared" si="27"/>
        <v>36</v>
      </c>
      <c r="R38" s="69">
        <v>0.8</v>
      </c>
      <c r="S38" s="220">
        <f t="shared" si="5"/>
        <v>25</v>
      </c>
      <c r="T38" s="220">
        <f t="shared" si="28"/>
        <v>29</v>
      </c>
      <c r="U38" s="222">
        <f t="shared" si="26"/>
        <v>152</v>
      </c>
      <c r="V38" s="220">
        <f t="shared" si="29"/>
        <v>228</v>
      </c>
      <c r="W38" s="69">
        <f t="shared" ref="W38:W68" si="38">ROUND(H38*0.2,0)</f>
        <v>5</v>
      </c>
      <c r="X38" s="220">
        <f t="shared" si="33"/>
        <v>43</v>
      </c>
      <c r="Y38" s="69">
        <f t="shared" si="10"/>
        <v>5185</v>
      </c>
      <c r="Z38" s="69"/>
      <c r="AA38" s="69"/>
      <c r="AB38" s="69"/>
      <c r="AC38" s="69"/>
      <c r="AD38" s="69">
        <f t="shared" si="34"/>
        <v>0</v>
      </c>
      <c r="AE38" s="69"/>
      <c r="AF38" s="69"/>
      <c r="AG38" s="69"/>
      <c r="AH38" s="69">
        <f t="shared" si="35"/>
        <v>0</v>
      </c>
      <c r="AI38" s="69">
        <f t="shared" si="36"/>
        <v>5185</v>
      </c>
      <c r="AJ38" s="69"/>
      <c r="AK38" s="232"/>
      <c r="AL38" s="212"/>
      <c r="AM38" s="212"/>
      <c r="AN38" s="212"/>
      <c r="AO38" s="212"/>
      <c r="AP38" s="69">
        <f t="shared" si="14"/>
        <v>0</v>
      </c>
      <c r="AQ38" s="7"/>
      <c r="AR38" s="69"/>
      <c r="AS38" s="69"/>
      <c r="AT38" s="69"/>
      <c r="AU38" s="69">
        <f t="shared" si="15"/>
        <v>0</v>
      </c>
      <c r="AV38" s="69">
        <f t="shared" si="16"/>
        <v>5185</v>
      </c>
      <c r="AW38" s="14"/>
    </row>
    <row r="39" ht="20.15" customHeight="1" spans="1:49">
      <c r="A39" s="228">
        <f>SUBTOTAL(2,$Y$4:Y39)</f>
        <v>36</v>
      </c>
      <c r="B39" s="14" t="s">
        <v>140</v>
      </c>
      <c r="C39" s="14" t="s">
        <v>67</v>
      </c>
      <c r="D39" s="115">
        <v>1036</v>
      </c>
      <c r="E39" s="229">
        <v>27.15</v>
      </c>
      <c r="F39" s="13">
        <v>1036</v>
      </c>
      <c r="G39" s="13" t="s">
        <v>141</v>
      </c>
      <c r="H39" s="14">
        <f t="shared" si="31"/>
        <v>27.15</v>
      </c>
      <c r="I39" s="69">
        <v>4200</v>
      </c>
      <c r="J39" s="230">
        <v>500</v>
      </c>
      <c r="K39" s="69">
        <f t="shared" si="37"/>
        <v>4700</v>
      </c>
      <c r="L39" s="69">
        <v>160</v>
      </c>
      <c r="M39" s="69">
        <v>10414</v>
      </c>
      <c r="N39" s="69">
        <v>10450</v>
      </c>
      <c r="O39" s="69">
        <f t="shared" si="18"/>
        <v>36</v>
      </c>
      <c r="P39" s="231">
        <f t="shared" si="32"/>
        <v>0</v>
      </c>
      <c r="Q39" s="69">
        <f t="shared" si="27"/>
        <v>36</v>
      </c>
      <c r="R39" s="69">
        <v>0.8</v>
      </c>
      <c r="S39" s="220">
        <f t="shared" si="5"/>
        <v>25</v>
      </c>
      <c r="T39" s="220">
        <f t="shared" si="28"/>
        <v>29</v>
      </c>
      <c r="U39" s="222">
        <f t="shared" si="26"/>
        <v>152</v>
      </c>
      <c r="V39" s="220">
        <f t="shared" si="29"/>
        <v>228</v>
      </c>
      <c r="W39" s="69">
        <f t="shared" si="38"/>
        <v>5</v>
      </c>
      <c r="X39" s="220">
        <f t="shared" si="33"/>
        <v>43</v>
      </c>
      <c r="Y39" s="69">
        <f t="shared" si="10"/>
        <v>5185</v>
      </c>
      <c r="Z39" s="69"/>
      <c r="AA39" s="69"/>
      <c r="AB39" s="69"/>
      <c r="AC39" s="69"/>
      <c r="AD39" s="69">
        <f t="shared" si="34"/>
        <v>0</v>
      </c>
      <c r="AE39" s="69"/>
      <c r="AF39" s="69"/>
      <c r="AG39" s="69"/>
      <c r="AH39" s="69">
        <f t="shared" si="35"/>
        <v>0</v>
      </c>
      <c r="AI39" s="69">
        <f t="shared" si="36"/>
        <v>5185</v>
      </c>
      <c r="AJ39" s="69"/>
      <c r="AK39" s="232"/>
      <c r="AL39" s="212"/>
      <c r="AM39" s="212"/>
      <c r="AN39" s="212"/>
      <c r="AO39" s="212"/>
      <c r="AP39" s="69">
        <f t="shared" si="14"/>
        <v>0</v>
      </c>
      <c r="AQ39" s="7"/>
      <c r="AR39" s="69"/>
      <c r="AS39" s="67"/>
      <c r="AT39" s="67"/>
      <c r="AU39" s="69">
        <f t="shared" si="15"/>
        <v>0</v>
      </c>
      <c r="AV39" s="69">
        <f t="shared" si="16"/>
        <v>5185</v>
      </c>
      <c r="AW39" s="14"/>
    </row>
    <row r="40" ht="20.15" customHeight="1" spans="1:49">
      <c r="A40" s="228">
        <f>SUBTOTAL(2,$Y$4:Y40)</f>
        <v>37</v>
      </c>
      <c r="B40" s="14" t="s">
        <v>142</v>
      </c>
      <c r="C40" s="14" t="s">
        <v>67</v>
      </c>
      <c r="D40" s="115">
        <v>1037</v>
      </c>
      <c r="E40" s="229">
        <v>27.15</v>
      </c>
      <c r="F40" s="13">
        <v>1037</v>
      </c>
      <c r="G40" s="13" t="s">
        <v>143</v>
      </c>
      <c r="H40" s="14">
        <f t="shared" si="31"/>
        <v>27.15</v>
      </c>
      <c r="I40" s="69">
        <v>4200</v>
      </c>
      <c r="J40" s="230">
        <v>500</v>
      </c>
      <c r="K40" s="69">
        <f t="shared" si="37"/>
        <v>4700</v>
      </c>
      <c r="L40" s="69">
        <v>160</v>
      </c>
      <c r="M40" s="69">
        <v>3570</v>
      </c>
      <c r="N40" s="69">
        <v>3615</v>
      </c>
      <c r="O40" s="69">
        <f t="shared" si="18"/>
        <v>45</v>
      </c>
      <c r="P40" s="231">
        <f t="shared" si="32"/>
        <v>0</v>
      </c>
      <c r="Q40" s="69">
        <f t="shared" si="27"/>
        <v>45</v>
      </c>
      <c r="R40" s="69">
        <v>0.8</v>
      </c>
      <c r="S40" s="220">
        <f t="shared" si="5"/>
        <v>32</v>
      </c>
      <c r="T40" s="220">
        <f t="shared" si="28"/>
        <v>36</v>
      </c>
      <c r="U40" s="222">
        <f t="shared" si="26"/>
        <v>152</v>
      </c>
      <c r="V40" s="220">
        <f t="shared" si="29"/>
        <v>228</v>
      </c>
      <c r="W40" s="69">
        <f t="shared" si="38"/>
        <v>5</v>
      </c>
      <c r="X40" s="220">
        <f t="shared" si="33"/>
        <v>43</v>
      </c>
      <c r="Y40" s="69">
        <f t="shared" si="10"/>
        <v>5199</v>
      </c>
      <c r="Z40" s="69"/>
      <c r="AA40" s="69"/>
      <c r="AB40" s="69"/>
      <c r="AC40" s="69"/>
      <c r="AD40" s="69">
        <f t="shared" si="34"/>
        <v>0</v>
      </c>
      <c r="AE40" s="69"/>
      <c r="AF40" s="69"/>
      <c r="AG40" s="69"/>
      <c r="AH40" s="69">
        <f t="shared" si="35"/>
        <v>0</v>
      </c>
      <c r="AI40" s="69">
        <f t="shared" si="36"/>
        <v>5199</v>
      </c>
      <c r="AJ40" s="69"/>
      <c r="AK40" s="232"/>
      <c r="AL40" s="212"/>
      <c r="AM40" s="212"/>
      <c r="AN40" s="212"/>
      <c r="AO40" s="212"/>
      <c r="AP40" s="69">
        <f t="shared" si="14"/>
        <v>0</v>
      </c>
      <c r="AQ40" s="7"/>
      <c r="AR40" s="69"/>
      <c r="AS40" s="69"/>
      <c r="AT40" s="69"/>
      <c r="AU40" s="69">
        <f t="shared" si="15"/>
        <v>0</v>
      </c>
      <c r="AV40" s="69">
        <f t="shared" si="16"/>
        <v>5199</v>
      </c>
      <c r="AW40" s="14"/>
    </row>
    <row r="41" ht="20.15" customHeight="1" spans="1:49">
      <c r="A41" s="250">
        <f>SUBTOTAL(2,$Y$4:Y41)</f>
        <v>38</v>
      </c>
      <c r="B41" s="139" t="s">
        <v>144</v>
      </c>
      <c r="C41" s="139" t="s">
        <v>67</v>
      </c>
      <c r="D41" s="136">
        <v>1038</v>
      </c>
      <c r="E41" s="251">
        <v>27.15</v>
      </c>
      <c r="F41" s="157">
        <v>1038</v>
      </c>
      <c r="G41" s="157" t="s">
        <v>145</v>
      </c>
      <c r="H41" s="139">
        <f t="shared" si="31"/>
        <v>27.15</v>
      </c>
      <c r="I41" s="140">
        <v>4200</v>
      </c>
      <c r="J41" s="252">
        <v>500</v>
      </c>
      <c r="K41" s="69">
        <f t="shared" si="37"/>
        <v>4700</v>
      </c>
      <c r="L41" s="69">
        <v>160</v>
      </c>
      <c r="M41" s="69">
        <v>4088</v>
      </c>
      <c r="N41" s="69">
        <v>4143</v>
      </c>
      <c r="O41" s="69">
        <f t="shared" si="18"/>
        <v>55</v>
      </c>
      <c r="P41" s="231">
        <f t="shared" si="32"/>
        <v>0</v>
      </c>
      <c r="Q41" s="69">
        <f t="shared" si="27"/>
        <v>55</v>
      </c>
      <c r="R41" s="69">
        <v>0.8</v>
      </c>
      <c r="S41" s="220">
        <f t="shared" si="5"/>
        <v>39</v>
      </c>
      <c r="T41" s="220">
        <f t="shared" si="28"/>
        <v>44</v>
      </c>
      <c r="U41" s="222">
        <f t="shared" si="26"/>
        <v>152</v>
      </c>
      <c r="V41" s="220">
        <f t="shared" si="29"/>
        <v>228</v>
      </c>
      <c r="W41" s="69">
        <f t="shared" si="38"/>
        <v>5</v>
      </c>
      <c r="X41" s="220">
        <f t="shared" si="33"/>
        <v>43</v>
      </c>
      <c r="Y41" s="69">
        <f t="shared" si="10"/>
        <v>5214</v>
      </c>
      <c r="Z41" s="69"/>
      <c r="AA41" s="69"/>
      <c r="AB41" s="69"/>
      <c r="AC41" s="69"/>
      <c r="AD41" s="69">
        <f t="shared" si="34"/>
        <v>0</v>
      </c>
      <c r="AE41" s="69"/>
      <c r="AF41" s="69"/>
      <c r="AG41" s="69"/>
      <c r="AH41" s="69">
        <f t="shared" si="35"/>
        <v>0</v>
      </c>
      <c r="AI41" s="69">
        <f t="shared" si="36"/>
        <v>5214</v>
      </c>
      <c r="AJ41" s="69"/>
      <c r="AK41" s="232"/>
      <c r="AL41" s="212"/>
      <c r="AM41" s="212"/>
      <c r="AN41" s="212"/>
      <c r="AO41" s="212"/>
      <c r="AP41" s="69">
        <f t="shared" si="14"/>
        <v>0</v>
      </c>
      <c r="AQ41" s="7"/>
      <c r="AR41" s="69"/>
      <c r="AS41" s="69"/>
      <c r="AT41" s="69"/>
      <c r="AU41" s="69">
        <f t="shared" si="15"/>
        <v>0</v>
      </c>
      <c r="AV41" s="69">
        <f t="shared" si="16"/>
        <v>5214</v>
      </c>
      <c r="AW41" s="14"/>
    </row>
    <row r="42" ht="20.15" customHeight="1" spans="1:49">
      <c r="A42" s="228">
        <f>SUBTOTAL(2,$Y$4:Y42)</f>
        <v>39</v>
      </c>
      <c r="B42" s="14" t="s">
        <v>146</v>
      </c>
      <c r="C42" s="115" t="s">
        <v>67</v>
      </c>
      <c r="D42" s="115">
        <v>1039</v>
      </c>
      <c r="E42" s="229">
        <v>27.15</v>
      </c>
      <c r="F42" s="22">
        <v>1039</v>
      </c>
      <c r="G42" s="13" t="s">
        <v>147</v>
      </c>
      <c r="H42" s="14">
        <f t="shared" si="31"/>
        <v>27.15</v>
      </c>
      <c r="I42" s="69">
        <v>4200</v>
      </c>
      <c r="J42" s="226">
        <v>500</v>
      </c>
      <c r="K42" s="69">
        <f t="shared" si="37"/>
        <v>4700</v>
      </c>
      <c r="L42" s="69">
        <v>160</v>
      </c>
      <c r="M42" s="69">
        <v>6193</v>
      </c>
      <c r="N42" s="69">
        <v>6216</v>
      </c>
      <c r="O42" s="69">
        <f t="shared" si="18"/>
        <v>23</v>
      </c>
      <c r="P42" s="231">
        <f t="shared" si="32"/>
        <v>0</v>
      </c>
      <c r="Q42" s="69">
        <f t="shared" ref="Q42:Q61" si="39">O42+P42</f>
        <v>23</v>
      </c>
      <c r="R42" s="69">
        <v>0.8</v>
      </c>
      <c r="S42" s="220">
        <f t="shared" si="5"/>
        <v>16</v>
      </c>
      <c r="T42" s="220">
        <f t="shared" ref="T42:T68" si="40">ROUND(Q42*R42,0)</f>
        <v>18</v>
      </c>
      <c r="U42" s="222">
        <f t="shared" si="26"/>
        <v>152</v>
      </c>
      <c r="V42" s="220">
        <f t="shared" ref="V42:V68" si="41">ROUND(U42*1.5,0)</f>
        <v>228</v>
      </c>
      <c r="W42" s="69">
        <f t="shared" si="38"/>
        <v>5</v>
      </c>
      <c r="X42" s="220">
        <f t="shared" si="33"/>
        <v>43</v>
      </c>
      <c r="Y42" s="69">
        <f t="shared" si="10"/>
        <v>5165</v>
      </c>
      <c r="Z42" s="69"/>
      <c r="AA42" s="69"/>
      <c r="AB42" s="69"/>
      <c r="AC42" s="69"/>
      <c r="AD42" s="69">
        <f t="shared" si="34"/>
        <v>0</v>
      </c>
      <c r="AE42" s="69"/>
      <c r="AF42" s="69"/>
      <c r="AG42" s="69"/>
      <c r="AH42" s="69">
        <f t="shared" si="35"/>
        <v>0</v>
      </c>
      <c r="AI42" s="69">
        <f t="shared" si="36"/>
        <v>5165</v>
      </c>
      <c r="AJ42" s="69"/>
      <c r="AK42" s="232"/>
      <c r="AL42" s="212"/>
      <c r="AM42" s="212"/>
      <c r="AN42" s="212"/>
      <c r="AO42" s="212"/>
      <c r="AP42" s="69">
        <f t="shared" si="14"/>
        <v>0</v>
      </c>
      <c r="AQ42" s="249"/>
      <c r="AR42" s="69"/>
      <c r="AS42" s="69"/>
      <c r="AT42" s="69"/>
      <c r="AU42" s="69">
        <f t="shared" si="15"/>
        <v>0</v>
      </c>
      <c r="AV42" s="69">
        <f t="shared" si="16"/>
        <v>5165</v>
      </c>
      <c r="AW42" s="213"/>
    </row>
    <row r="43" ht="20.15" customHeight="1" spans="1:49">
      <c r="A43" s="228">
        <f>SUBTOTAL(2,$Y$4:Y43)</f>
        <v>40</v>
      </c>
      <c r="B43" s="14" t="s">
        <v>148</v>
      </c>
      <c r="C43" s="14" t="s">
        <v>67</v>
      </c>
      <c r="D43" s="115">
        <v>1040</v>
      </c>
      <c r="E43" s="229">
        <v>27.15</v>
      </c>
      <c r="F43" s="22">
        <v>1040</v>
      </c>
      <c r="G43" s="22" t="s">
        <v>149</v>
      </c>
      <c r="H43" s="14">
        <f t="shared" si="31"/>
        <v>27.15</v>
      </c>
      <c r="I43" s="7">
        <v>4202</v>
      </c>
      <c r="J43" s="238">
        <v>500</v>
      </c>
      <c r="K43" s="69">
        <f t="shared" si="37"/>
        <v>4702</v>
      </c>
      <c r="L43" s="69">
        <v>160</v>
      </c>
      <c r="M43" s="69">
        <v>6603</v>
      </c>
      <c r="N43" s="69">
        <v>6642</v>
      </c>
      <c r="O43" s="69">
        <f t="shared" si="18"/>
        <v>39</v>
      </c>
      <c r="P43" s="231">
        <f t="shared" si="32"/>
        <v>0</v>
      </c>
      <c r="Q43" s="69">
        <f t="shared" si="39"/>
        <v>39</v>
      </c>
      <c r="R43" s="69">
        <v>0.8</v>
      </c>
      <c r="S43" s="220">
        <f t="shared" si="5"/>
        <v>27</v>
      </c>
      <c r="T43" s="220">
        <f t="shared" si="40"/>
        <v>31</v>
      </c>
      <c r="U43" s="222">
        <f t="shared" si="26"/>
        <v>152</v>
      </c>
      <c r="V43" s="220">
        <f t="shared" si="41"/>
        <v>228</v>
      </c>
      <c r="W43" s="69">
        <f t="shared" si="38"/>
        <v>5</v>
      </c>
      <c r="X43" s="220">
        <f t="shared" si="33"/>
        <v>43</v>
      </c>
      <c r="Y43" s="69">
        <f t="shared" si="10"/>
        <v>5191</v>
      </c>
      <c r="Z43" s="69"/>
      <c r="AA43" s="69"/>
      <c r="AB43" s="69"/>
      <c r="AC43" s="69"/>
      <c r="AD43" s="69">
        <f t="shared" si="34"/>
        <v>0</v>
      </c>
      <c r="AE43" s="69"/>
      <c r="AF43" s="69"/>
      <c r="AG43" s="69"/>
      <c r="AH43" s="69">
        <f t="shared" si="35"/>
        <v>0</v>
      </c>
      <c r="AI43" s="69">
        <f t="shared" si="36"/>
        <v>5191</v>
      </c>
      <c r="AJ43" s="69"/>
      <c r="AK43" s="232"/>
      <c r="AL43" s="212"/>
      <c r="AM43" s="212"/>
      <c r="AN43" s="212"/>
      <c r="AO43" s="212"/>
      <c r="AP43" s="69">
        <f t="shared" si="14"/>
        <v>0</v>
      </c>
      <c r="AQ43" s="7"/>
      <c r="AR43" s="69"/>
      <c r="AS43" s="69"/>
      <c r="AT43" s="69"/>
      <c r="AU43" s="69">
        <f t="shared" si="15"/>
        <v>0</v>
      </c>
      <c r="AV43" s="69">
        <f t="shared" si="16"/>
        <v>5191</v>
      </c>
      <c r="AW43" s="14"/>
    </row>
    <row r="44" ht="20.15" customHeight="1" spans="1:49">
      <c r="A44" s="228">
        <f>SUBTOTAL(2,$Y$4:Y44)</f>
        <v>41</v>
      </c>
      <c r="B44" s="14" t="s">
        <v>150</v>
      </c>
      <c r="C44" s="96" t="s">
        <v>67</v>
      </c>
      <c r="D44" s="253">
        <v>1041</v>
      </c>
      <c r="E44" s="254">
        <v>27.15</v>
      </c>
      <c r="F44" s="95">
        <v>1041</v>
      </c>
      <c r="G44" s="95" t="s">
        <v>151</v>
      </c>
      <c r="H44" s="14">
        <f t="shared" si="31"/>
        <v>27.15</v>
      </c>
      <c r="I44" s="7">
        <v>4200</v>
      </c>
      <c r="J44" s="238">
        <v>0</v>
      </c>
      <c r="K44" s="69">
        <f t="shared" si="37"/>
        <v>4200</v>
      </c>
      <c r="L44" s="69">
        <v>160</v>
      </c>
      <c r="M44" s="69">
        <v>5037</v>
      </c>
      <c r="N44" s="69">
        <v>5191</v>
      </c>
      <c r="O44" s="69">
        <f t="shared" si="18"/>
        <v>154</v>
      </c>
      <c r="P44" s="231">
        <f t="shared" si="32"/>
        <v>0</v>
      </c>
      <c r="Q44" s="69">
        <f t="shared" si="39"/>
        <v>154</v>
      </c>
      <c r="R44" s="69">
        <v>0.8</v>
      </c>
      <c r="S44" s="220">
        <f t="shared" si="5"/>
        <v>108</v>
      </c>
      <c r="T44" s="220">
        <f t="shared" si="40"/>
        <v>123</v>
      </c>
      <c r="U44" s="222">
        <f t="shared" si="26"/>
        <v>152</v>
      </c>
      <c r="V44" s="220">
        <f t="shared" si="41"/>
        <v>228</v>
      </c>
      <c r="W44" s="69">
        <f t="shared" si="38"/>
        <v>5</v>
      </c>
      <c r="X44" s="220">
        <f t="shared" si="33"/>
        <v>43</v>
      </c>
      <c r="Y44" s="69">
        <f t="shared" si="10"/>
        <v>4862</v>
      </c>
      <c r="Z44" s="69"/>
      <c r="AA44" s="69"/>
      <c r="AB44" s="69"/>
      <c r="AC44" s="69"/>
      <c r="AD44" s="69">
        <f t="shared" si="34"/>
        <v>0</v>
      </c>
      <c r="AE44" s="69"/>
      <c r="AF44" s="69"/>
      <c r="AG44" s="69"/>
      <c r="AH44" s="69">
        <f t="shared" si="35"/>
        <v>0</v>
      </c>
      <c r="AI44" s="69">
        <f t="shared" si="36"/>
        <v>4862</v>
      </c>
      <c r="AJ44" s="69"/>
      <c r="AK44" s="232"/>
      <c r="AL44" s="212"/>
      <c r="AM44" s="212"/>
      <c r="AN44" s="212"/>
      <c r="AO44" s="212"/>
      <c r="AP44" s="69">
        <f t="shared" si="14"/>
        <v>0</v>
      </c>
      <c r="AQ44" s="7"/>
      <c r="AR44" s="69"/>
      <c r="AS44" s="69"/>
      <c r="AT44" s="69"/>
      <c r="AU44" s="69">
        <f t="shared" si="15"/>
        <v>0</v>
      </c>
      <c r="AV44" s="69">
        <f t="shared" si="16"/>
        <v>4862</v>
      </c>
      <c r="AW44" s="14"/>
    </row>
    <row r="45" ht="20.15" customHeight="1" spans="1:49">
      <c r="A45" s="228">
        <f>SUBTOTAL(2,$Y$4:Y45)</f>
        <v>42</v>
      </c>
      <c r="B45" s="14" t="s">
        <v>152</v>
      </c>
      <c r="C45" s="14" t="s">
        <v>67</v>
      </c>
      <c r="D45" s="115">
        <v>1042</v>
      </c>
      <c r="E45" s="229">
        <v>27.15</v>
      </c>
      <c r="F45" s="13">
        <v>1042</v>
      </c>
      <c r="G45" s="13" t="s">
        <v>153</v>
      </c>
      <c r="H45" s="14">
        <f t="shared" si="31"/>
        <v>27.15</v>
      </c>
      <c r="I45" s="69">
        <v>4200</v>
      </c>
      <c r="J45" s="230">
        <v>500</v>
      </c>
      <c r="K45" s="69">
        <f t="shared" si="37"/>
        <v>4700</v>
      </c>
      <c r="L45" s="69">
        <v>160</v>
      </c>
      <c r="M45" s="69">
        <v>7525</v>
      </c>
      <c r="N45" s="69">
        <v>7613</v>
      </c>
      <c r="O45" s="69">
        <f t="shared" si="18"/>
        <v>88</v>
      </c>
      <c r="P45" s="231">
        <f t="shared" si="32"/>
        <v>0</v>
      </c>
      <c r="Q45" s="69">
        <f t="shared" si="39"/>
        <v>88</v>
      </c>
      <c r="R45" s="69">
        <v>0.8</v>
      </c>
      <c r="S45" s="220">
        <f t="shared" si="5"/>
        <v>62</v>
      </c>
      <c r="T45" s="220">
        <f t="shared" si="40"/>
        <v>70</v>
      </c>
      <c r="U45" s="222">
        <f t="shared" si="26"/>
        <v>152</v>
      </c>
      <c r="V45" s="220">
        <f t="shared" si="41"/>
        <v>228</v>
      </c>
      <c r="W45" s="69">
        <f t="shared" si="38"/>
        <v>5</v>
      </c>
      <c r="X45" s="220">
        <f t="shared" si="33"/>
        <v>43</v>
      </c>
      <c r="Y45" s="69">
        <f t="shared" si="10"/>
        <v>5263</v>
      </c>
      <c r="Z45" s="69"/>
      <c r="AA45" s="69"/>
      <c r="AB45" s="69"/>
      <c r="AC45" s="69"/>
      <c r="AD45" s="69">
        <f t="shared" si="34"/>
        <v>0</v>
      </c>
      <c r="AE45" s="69"/>
      <c r="AF45" s="69"/>
      <c r="AG45" s="69"/>
      <c r="AH45" s="69">
        <f t="shared" si="35"/>
        <v>0</v>
      </c>
      <c r="AI45" s="69">
        <f t="shared" si="36"/>
        <v>5263</v>
      </c>
      <c r="AJ45" s="69"/>
      <c r="AK45" s="232"/>
      <c r="AL45" s="212"/>
      <c r="AM45" s="212"/>
      <c r="AN45" s="212"/>
      <c r="AO45" s="212"/>
      <c r="AP45" s="69">
        <f t="shared" si="14"/>
        <v>0</v>
      </c>
      <c r="AQ45" s="7"/>
      <c r="AR45" s="69"/>
      <c r="AS45" s="69"/>
      <c r="AT45" s="69"/>
      <c r="AU45" s="69">
        <f t="shared" si="15"/>
        <v>0</v>
      </c>
      <c r="AV45" s="69">
        <f t="shared" si="16"/>
        <v>5263</v>
      </c>
      <c r="AW45" s="14"/>
    </row>
    <row r="46" ht="20.15" customHeight="1" spans="1:49">
      <c r="A46" s="228">
        <f>SUBTOTAL(2,$Y$4:Y46)</f>
        <v>43</v>
      </c>
      <c r="B46" s="14" t="s">
        <v>154</v>
      </c>
      <c r="C46" s="14" t="s">
        <v>67</v>
      </c>
      <c r="D46" s="148">
        <v>1043</v>
      </c>
      <c r="E46" s="239">
        <v>27.15</v>
      </c>
      <c r="F46" s="13">
        <v>1043</v>
      </c>
      <c r="G46" s="13" t="s">
        <v>155</v>
      </c>
      <c r="H46" s="14">
        <v>27.15</v>
      </c>
      <c r="I46" s="69">
        <v>3500</v>
      </c>
      <c r="J46" s="230">
        <v>0</v>
      </c>
      <c r="K46" s="69">
        <f t="shared" si="37"/>
        <v>3500</v>
      </c>
      <c r="L46" s="69">
        <v>160</v>
      </c>
      <c r="M46" s="69">
        <v>7132</v>
      </c>
      <c r="N46" s="69">
        <v>7184</v>
      </c>
      <c r="O46" s="69">
        <f t="shared" si="18"/>
        <v>52</v>
      </c>
      <c r="P46" s="231">
        <f t="shared" si="32"/>
        <v>0</v>
      </c>
      <c r="Q46" s="69">
        <f t="shared" si="39"/>
        <v>52</v>
      </c>
      <c r="R46" s="69">
        <v>0.8</v>
      </c>
      <c r="S46" s="220">
        <f t="shared" si="5"/>
        <v>36</v>
      </c>
      <c r="T46" s="220">
        <f t="shared" si="40"/>
        <v>42</v>
      </c>
      <c r="U46" s="222">
        <f t="shared" si="26"/>
        <v>152</v>
      </c>
      <c r="V46" s="220">
        <f t="shared" si="41"/>
        <v>228</v>
      </c>
      <c r="W46" s="69">
        <f t="shared" si="38"/>
        <v>5</v>
      </c>
      <c r="X46" s="220">
        <f t="shared" si="33"/>
        <v>43</v>
      </c>
      <c r="Y46" s="69">
        <f t="shared" si="10"/>
        <v>4009</v>
      </c>
      <c r="Z46" s="69"/>
      <c r="AA46" s="69"/>
      <c r="AB46" s="69"/>
      <c r="AC46" s="69"/>
      <c r="AD46" s="69">
        <f t="shared" si="34"/>
        <v>0</v>
      </c>
      <c r="AE46" s="69"/>
      <c r="AF46" s="69"/>
      <c r="AG46" s="69"/>
      <c r="AH46" s="69">
        <f t="shared" si="35"/>
        <v>0</v>
      </c>
      <c r="AI46" s="69">
        <f t="shared" si="36"/>
        <v>4009</v>
      </c>
      <c r="AJ46" s="69"/>
      <c r="AK46" s="232"/>
      <c r="AL46" s="212"/>
      <c r="AM46" s="212"/>
      <c r="AN46" s="212"/>
      <c r="AO46" s="212"/>
      <c r="AP46" s="69">
        <f t="shared" si="14"/>
        <v>0</v>
      </c>
      <c r="AQ46" s="7"/>
      <c r="AR46" s="69"/>
      <c r="AS46" s="69"/>
      <c r="AT46" s="69"/>
      <c r="AU46" s="69">
        <f t="shared" si="15"/>
        <v>0</v>
      </c>
      <c r="AV46" s="69">
        <f t="shared" si="16"/>
        <v>4009</v>
      </c>
      <c r="AW46" s="14"/>
    </row>
    <row r="47" ht="20.15" customHeight="1" spans="1:49">
      <c r="A47" s="228">
        <f>SUBTOTAL(2,$Y$4:Y47)</f>
        <v>44</v>
      </c>
      <c r="B47" s="14" t="s">
        <v>156</v>
      </c>
      <c r="C47" s="14" t="s">
        <v>67</v>
      </c>
      <c r="D47" s="115">
        <v>1044</v>
      </c>
      <c r="E47" s="229">
        <v>27.15</v>
      </c>
      <c r="F47" s="115">
        <v>1044</v>
      </c>
      <c r="G47" s="22" t="s">
        <v>157</v>
      </c>
      <c r="H47" s="14">
        <f t="shared" si="31"/>
        <v>27.15</v>
      </c>
      <c r="I47" s="7">
        <f>4202</f>
        <v>4202</v>
      </c>
      <c r="J47" s="226">
        <v>200</v>
      </c>
      <c r="K47" s="69">
        <f t="shared" si="37"/>
        <v>4402</v>
      </c>
      <c r="L47" s="69">
        <v>160</v>
      </c>
      <c r="M47" s="69">
        <v>4157</v>
      </c>
      <c r="N47" s="69">
        <v>4219</v>
      </c>
      <c r="O47" s="69">
        <f t="shared" si="18"/>
        <v>62</v>
      </c>
      <c r="P47" s="231">
        <f t="shared" si="32"/>
        <v>0</v>
      </c>
      <c r="Q47" s="69">
        <f t="shared" si="39"/>
        <v>62</v>
      </c>
      <c r="R47" s="69">
        <v>0.8</v>
      </c>
      <c r="S47" s="220">
        <f t="shared" si="5"/>
        <v>43</v>
      </c>
      <c r="T47" s="220">
        <f t="shared" si="40"/>
        <v>50</v>
      </c>
      <c r="U47" s="222">
        <f t="shared" si="26"/>
        <v>152</v>
      </c>
      <c r="V47" s="220">
        <f t="shared" si="41"/>
        <v>228</v>
      </c>
      <c r="W47" s="69">
        <f t="shared" si="38"/>
        <v>5</v>
      </c>
      <c r="X47" s="220">
        <f t="shared" si="33"/>
        <v>43</v>
      </c>
      <c r="Y47" s="69">
        <f t="shared" si="10"/>
        <v>4926</v>
      </c>
      <c r="Z47" s="69"/>
      <c r="AA47" s="69"/>
      <c r="AB47" s="69"/>
      <c r="AC47" s="69"/>
      <c r="AD47" s="69">
        <f t="shared" si="34"/>
        <v>0</v>
      </c>
      <c r="AE47" s="69"/>
      <c r="AF47" s="69"/>
      <c r="AG47" s="69"/>
      <c r="AH47" s="69">
        <f t="shared" si="35"/>
        <v>0</v>
      </c>
      <c r="AI47" s="69">
        <f t="shared" si="36"/>
        <v>4926</v>
      </c>
      <c r="AJ47" s="69"/>
      <c r="AK47" s="232"/>
      <c r="AL47" s="212"/>
      <c r="AM47" s="212"/>
      <c r="AN47" s="212"/>
      <c r="AO47" s="212"/>
      <c r="AP47" s="69">
        <f t="shared" si="14"/>
        <v>0</v>
      </c>
      <c r="AQ47" s="249"/>
      <c r="AR47" s="69"/>
      <c r="AS47" s="69"/>
      <c r="AT47" s="69"/>
      <c r="AU47" s="69">
        <f t="shared" si="15"/>
        <v>0</v>
      </c>
      <c r="AV47" s="69">
        <f t="shared" si="16"/>
        <v>4926</v>
      </c>
      <c r="AW47" s="14"/>
    </row>
    <row r="48" ht="20.15" customHeight="1" spans="1:49">
      <c r="A48" s="228">
        <f>SUBTOTAL(2,$Y$4:Y48)</f>
        <v>45</v>
      </c>
      <c r="B48" s="14" t="s">
        <v>158</v>
      </c>
      <c r="C48" s="14" t="s">
        <v>67</v>
      </c>
      <c r="D48" s="115">
        <v>1045</v>
      </c>
      <c r="E48" s="229">
        <v>26.49</v>
      </c>
      <c r="F48" s="118">
        <v>1045</v>
      </c>
      <c r="G48" s="118" t="s">
        <v>159</v>
      </c>
      <c r="H48" s="240">
        <f t="shared" si="31"/>
        <v>26.49</v>
      </c>
      <c r="I48" s="241">
        <v>4200</v>
      </c>
      <c r="J48" s="242">
        <v>500</v>
      </c>
      <c r="K48" s="69">
        <f t="shared" si="37"/>
        <v>4700</v>
      </c>
      <c r="L48" s="69">
        <v>160</v>
      </c>
      <c r="M48" s="69">
        <v>5823</v>
      </c>
      <c r="N48" s="69">
        <v>5885</v>
      </c>
      <c r="O48" s="69">
        <f t="shared" si="18"/>
        <v>62</v>
      </c>
      <c r="P48" s="231">
        <f t="shared" si="32"/>
        <v>0</v>
      </c>
      <c r="Q48" s="69">
        <f t="shared" si="39"/>
        <v>62</v>
      </c>
      <c r="R48" s="69">
        <v>0.8</v>
      </c>
      <c r="S48" s="220">
        <f t="shared" si="5"/>
        <v>43</v>
      </c>
      <c r="T48" s="220">
        <f t="shared" si="40"/>
        <v>50</v>
      </c>
      <c r="U48" s="222">
        <f t="shared" si="26"/>
        <v>148</v>
      </c>
      <c r="V48" s="220">
        <f t="shared" si="41"/>
        <v>222</v>
      </c>
      <c r="W48" s="69">
        <f t="shared" si="38"/>
        <v>5</v>
      </c>
      <c r="X48" s="220">
        <f t="shared" si="33"/>
        <v>43</v>
      </c>
      <c r="Y48" s="69">
        <f t="shared" si="10"/>
        <v>5218</v>
      </c>
      <c r="Z48" s="69"/>
      <c r="AA48" s="69"/>
      <c r="AB48" s="69"/>
      <c r="AC48" s="69"/>
      <c r="AD48" s="69">
        <f t="shared" si="34"/>
        <v>0</v>
      </c>
      <c r="AE48" s="69"/>
      <c r="AF48" s="69"/>
      <c r="AG48" s="249"/>
      <c r="AH48" s="69">
        <f t="shared" si="35"/>
        <v>0</v>
      </c>
      <c r="AI48" s="69">
        <f t="shared" si="36"/>
        <v>5218</v>
      </c>
      <c r="AJ48" s="69"/>
      <c r="AK48" s="232"/>
      <c r="AL48" s="212"/>
      <c r="AM48" s="212"/>
      <c r="AN48" s="212"/>
      <c r="AO48" s="212"/>
      <c r="AP48" s="69">
        <f t="shared" si="14"/>
        <v>0</v>
      </c>
      <c r="AQ48" s="7"/>
      <c r="AR48" s="69"/>
      <c r="AS48" s="69"/>
      <c r="AT48" s="69"/>
      <c r="AU48" s="69">
        <f t="shared" si="15"/>
        <v>0</v>
      </c>
      <c r="AV48" s="69">
        <f t="shared" si="16"/>
        <v>5218</v>
      </c>
      <c r="AW48" s="14"/>
    </row>
    <row r="49" ht="20.15" customHeight="1" spans="1:49">
      <c r="A49" s="228">
        <f>SUBTOTAL(2,$Y$4:Y49)</f>
        <v>46</v>
      </c>
      <c r="B49" s="14" t="s">
        <v>160</v>
      </c>
      <c r="C49" s="14" t="s">
        <v>67</v>
      </c>
      <c r="D49" s="115">
        <v>1046</v>
      </c>
      <c r="E49" s="229">
        <v>26.49</v>
      </c>
      <c r="F49" s="13">
        <v>1046</v>
      </c>
      <c r="G49" s="13" t="s">
        <v>161</v>
      </c>
      <c r="H49" s="14">
        <f t="shared" si="31"/>
        <v>26.49</v>
      </c>
      <c r="I49" s="69">
        <v>4200</v>
      </c>
      <c r="J49" s="230">
        <v>500</v>
      </c>
      <c r="K49" s="69">
        <f t="shared" si="37"/>
        <v>4700</v>
      </c>
      <c r="L49" s="69">
        <v>160</v>
      </c>
      <c r="M49" s="69">
        <v>5655</v>
      </c>
      <c r="N49" s="69">
        <v>5746</v>
      </c>
      <c r="O49" s="69">
        <f t="shared" si="18"/>
        <v>91</v>
      </c>
      <c r="P49" s="231">
        <f t="shared" si="32"/>
        <v>0</v>
      </c>
      <c r="Q49" s="69">
        <f t="shared" si="39"/>
        <v>91</v>
      </c>
      <c r="R49" s="69">
        <v>0.8</v>
      </c>
      <c r="S49" s="220">
        <f t="shared" si="5"/>
        <v>64</v>
      </c>
      <c r="T49" s="220">
        <f t="shared" si="40"/>
        <v>73</v>
      </c>
      <c r="U49" s="222">
        <f t="shared" si="26"/>
        <v>148</v>
      </c>
      <c r="V49" s="220">
        <f t="shared" si="41"/>
        <v>222</v>
      </c>
      <c r="W49" s="69">
        <f t="shared" si="38"/>
        <v>5</v>
      </c>
      <c r="X49" s="220">
        <f t="shared" si="33"/>
        <v>43</v>
      </c>
      <c r="Y49" s="69">
        <f t="shared" si="10"/>
        <v>5262</v>
      </c>
      <c r="Z49" s="69"/>
      <c r="AA49" s="69"/>
      <c r="AB49" s="69"/>
      <c r="AC49" s="69"/>
      <c r="AD49" s="69">
        <f t="shared" si="34"/>
        <v>0</v>
      </c>
      <c r="AE49" s="69"/>
      <c r="AF49" s="69"/>
      <c r="AG49" s="69"/>
      <c r="AH49" s="69">
        <f t="shared" si="35"/>
        <v>0</v>
      </c>
      <c r="AI49" s="69">
        <f t="shared" si="36"/>
        <v>5262</v>
      </c>
      <c r="AJ49" s="69"/>
      <c r="AK49" s="232"/>
      <c r="AL49" s="212"/>
      <c r="AM49" s="212"/>
      <c r="AN49" s="212"/>
      <c r="AO49" s="212"/>
      <c r="AP49" s="69">
        <f t="shared" si="14"/>
        <v>0</v>
      </c>
      <c r="AQ49" s="7"/>
      <c r="AR49" s="69"/>
      <c r="AS49" s="69"/>
      <c r="AT49" s="69"/>
      <c r="AU49" s="69">
        <f t="shared" si="15"/>
        <v>0</v>
      </c>
      <c r="AV49" s="69">
        <f t="shared" si="16"/>
        <v>5262</v>
      </c>
      <c r="AW49" s="255"/>
    </row>
    <row r="50" ht="20.15" customHeight="1" spans="1:49">
      <c r="A50" s="228">
        <f>SUBTOTAL(2,$Y$4:Y50)</f>
        <v>47</v>
      </c>
      <c r="B50" s="14" t="s">
        <v>162</v>
      </c>
      <c r="C50" s="14" t="s">
        <v>67</v>
      </c>
      <c r="D50" s="115">
        <v>1047</v>
      </c>
      <c r="E50" s="229">
        <v>26.49</v>
      </c>
      <c r="F50" s="95">
        <v>1047</v>
      </c>
      <c r="G50" s="95" t="s">
        <v>163</v>
      </c>
      <c r="H50" s="246">
        <f t="shared" si="31"/>
        <v>26.49</v>
      </c>
      <c r="I50" s="7">
        <v>4200</v>
      </c>
      <c r="J50" s="238">
        <v>500</v>
      </c>
      <c r="K50" s="69">
        <f t="shared" si="37"/>
        <v>4700</v>
      </c>
      <c r="L50" s="69">
        <v>160</v>
      </c>
      <c r="M50" s="69">
        <v>7795</v>
      </c>
      <c r="N50" s="69">
        <v>7887</v>
      </c>
      <c r="O50" s="69">
        <f t="shared" si="18"/>
        <v>92</v>
      </c>
      <c r="P50" s="231">
        <f t="shared" si="32"/>
        <v>0</v>
      </c>
      <c r="Q50" s="69">
        <f t="shared" si="39"/>
        <v>92</v>
      </c>
      <c r="R50" s="69">
        <v>0.8</v>
      </c>
      <c r="S50" s="220">
        <f t="shared" si="5"/>
        <v>64</v>
      </c>
      <c r="T50" s="220">
        <f t="shared" si="40"/>
        <v>74</v>
      </c>
      <c r="U50" s="222">
        <f t="shared" si="26"/>
        <v>148</v>
      </c>
      <c r="V50" s="220">
        <f t="shared" si="41"/>
        <v>222</v>
      </c>
      <c r="W50" s="69">
        <f t="shared" si="38"/>
        <v>5</v>
      </c>
      <c r="X50" s="220">
        <f t="shared" si="33"/>
        <v>43</v>
      </c>
      <c r="Y50" s="69">
        <f t="shared" si="10"/>
        <v>5263</v>
      </c>
      <c r="Z50" s="69"/>
      <c r="AA50" s="69"/>
      <c r="AB50" s="69"/>
      <c r="AC50" s="69"/>
      <c r="AD50" s="69">
        <f t="shared" si="34"/>
        <v>0</v>
      </c>
      <c r="AE50" s="69"/>
      <c r="AF50" s="69"/>
      <c r="AG50" s="69"/>
      <c r="AH50" s="69">
        <f t="shared" si="35"/>
        <v>0</v>
      </c>
      <c r="AI50" s="69">
        <f t="shared" si="36"/>
        <v>5263</v>
      </c>
      <c r="AJ50" s="69"/>
      <c r="AK50" s="232"/>
      <c r="AL50" s="212"/>
      <c r="AM50" s="212"/>
      <c r="AN50" s="212"/>
      <c r="AO50" s="212"/>
      <c r="AP50" s="69">
        <f t="shared" si="14"/>
        <v>0</v>
      </c>
      <c r="AQ50" s="249"/>
      <c r="AR50" s="69"/>
      <c r="AS50" s="69"/>
      <c r="AT50" s="69"/>
      <c r="AU50" s="69">
        <f t="shared" si="15"/>
        <v>0</v>
      </c>
      <c r="AV50" s="69">
        <f t="shared" si="16"/>
        <v>5263</v>
      </c>
      <c r="AW50" s="14"/>
    </row>
    <row r="51" ht="20.15" customHeight="1" spans="1:49">
      <c r="A51" s="228">
        <f>SUBTOTAL(2,$Y$4:Y51)</f>
        <v>48</v>
      </c>
      <c r="B51" s="14" t="s">
        <v>164</v>
      </c>
      <c r="C51" s="14" t="s">
        <v>67</v>
      </c>
      <c r="D51" s="115">
        <v>1048</v>
      </c>
      <c r="E51" s="229">
        <v>26.49</v>
      </c>
      <c r="F51" s="13">
        <v>1048</v>
      </c>
      <c r="G51" s="13" t="s">
        <v>165</v>
      </c>
      <c r="H51" s="14">
        <f t="shared" ref="H51:H68" si="42">E51</f>
        <v>26.49</v>
      </c>
      <c r="I51" s="7">
        <v>4202</v>
      </c>
      <c r="J51" s="238">
        <v>500</v>
      </c>
      <c r="K51" s="69">
        <f t="shared" si="37"/>
        <v>4702</v>
      </c>
      <c r="L51" s="69">
        <v>160</v>
      </c>
      <c r="M51" s="69">
        <v>5509</v>
      </c>
      <c r="N51" s="69">
        <v>5529</v>
      </c>
      <c r="O51" s="69">
        <f t="shared" si="18"/>
        <v>20</v>
      </c>
      <c r="P51" s="231">
        <f t="shared" si="32"/>
        <v>0</v>
      </c>
      <c r="Q51" s="69">
        <f t="shared" si="39"/>
        <v>20</v>
      </c>
      <c r="R51" s="69">
        <v>0.8</v>
      </c>
      <c r="S51" s="220">
        <f t="shared" si="5"/>
        <v>14</v>
      </c>
      <c r="T51" s="220">
        <f t="shared" si="40"/>
        <v>16</v>
      </c>
      <c r="U51" s="222">
        <f t="shared" si="26"/>
        <v>148</v>
      </c>
      <c r="V51" s="220">
        <f t="shared" si="41"/>
        <v>222</v>
      </c>
      <c r="W51" s="69">
        <f t="shared" si="38"/>
        <v>5</v>
      </c>
      <c r="X51" s="220">
        <f t="shared" si="33"/>
        <v>43</v>
      </c>
      <c r="Y51" s="69">
        <f t="shared" si="10"/>
        <v>5157</v>
      </c>
      <c r="Z51" s="69"/>
      <c r="AA51" s="69"/>
      <c r="AB51" s="69"/>
      <c r="AC51" s="69"/>
      <c r="AD51" s="69">
        <f t="shared" si="34"/>
        <v>0</v>
      </c>
      <c r="AE51" s="69"/>
      <c r="AF51" s="69"/>
      <c r="AG51" s="69"/>
      <c r="AH51" s="69">
        <f t="shared" si="35"/>
        <v>0</v>
      </c>
      <c r="AI51" s="69">
        <f t="shared" si="36"/>
        <v>5157</v>
      </c>
      <c r="AJ51" s="69"/>
      <c r="AK51" s="232"/>
      <c r="AL51" s="212"/>
      <c r="AM51" s="212"/>
      <c r="AN51" s="212"/>
      <c r="AO51" s="212"/>
      <c r="AP51" s="69">
        <f t="shared" si="14"/>
        <v>0</v>
      </c>
      <c r="AQ51" s="7"/>
      <c r="AR51" s="69"/>
      <c r="AS51" s="69"/>
      <c r="AT51" s="69"/>
      <c r="AU51" s="69">
        <f t="shared" si="15"/>
        <v>0</v>
      </c>
      <c r="AV51" s="69">
        <f t="shared" si="16"/>
        <v>5157</v>
      </c>
      <c r="AW51" s="14"/>
    </row>
    <row r="52" ht="20.15" customHeight="1" spans="1:49">
      <c r="A52" s="228">
        <f>SUBTOTAL(2,$Y$4:Y52)</f>
        <v>49</v>
      </c>
      <c r="B52" s="14" t="s">
        <v>166</v>
      </c>
      <c r="C52" s="14" t="s">
        <v>67</v>
      </c>
      <c r="D52" s="115">
        <v>1049</v>
      </c>
      <c r="E52" s="229">
        <v>26.49</v>
      </c>
      <c r="F52" s="13">
        <v>1049</v>
      </c>
      <c r="G52" s="13" t="s">
        <v>167</v>
      </c>
      <c r="H52" s="14">
        <f t="shared" si="42"/>
        <v>26.49</v>
      </c>
      <c r="I52" s="69">
        <v>4200</v>
      </c>
      <c r="J52" s="230">
        <v>500</v>
      </c>
      <c r="K52" s="69">
        <f t="shared" si="37"/>
        <v>4700</v>
      </c>
      <c r="L52" s="69">
        <v>160</v>
      </c>
      <c r="M52" s="69">
        <v>2001</v>
      </c>
      <c r="N52" s="69">
        <v>2001</v>
      </c>
      <c r="O52" s="69">
        <f t="shared" si="18"/>
        <v>0</v>
      </c>
      <c r="P52" s="231">
        <f t="shared" si="32"/>
        <v>0</v>
      </c>
      <c r="Q52" s="69">
        <f t="shared" si="39"/>
        <v>0</v>
      </c>
      <c r="R52" s="69">
        <v>0.8</v>
      </c>
      <c r="S52" s="220">
        <f t="shared" si="5"/>
        <v>0</v>
      </c>
      <c r="T52" s="220">
        <f t="shared" si="40"/>
        <v>0</v>
      </c>
      <c r="U52" s="222">
        <f t="shared" si="26"/>
        <v>148</v>
      </c>
      <c r="V52" s="220">
        <f t="shared" si="41"/>
        <v>222</v>
      </c>
      <c r="W52" s="69">
        <f t="shared" si="38"/>
        <v>5</v>
      </c>
      <c r="X52" s="220">
        <f t="shared" si="33"/>
        <v>43</v>
      </c>
      <c r="Y52" s="69">
        <f t="shared" si="10"/>
        <v>5125</v>
      </c>
      <c r="Z52" s="69"/>
      <c r="AA52" s="69"/>
      <c r="AB52" s="69"/>
      <c r="AC52" s="69"/>
      <c r="AD52" s="69">
        <f t="shared" si="34"/>
        <v>0</v>
      </c>
      <c r="AE52" s="69"/>
      <c r="AF52" s="69"/>
      <c r="AG52" s="69"/>
      <c r="AH52" s="69">
        <f t="shared" si="35"/>
        <v>0</v>
      </c>
      <c r="AI52" s="69">
        <f t="shared" si="36"/>
        <v>5125</v>
      </c>
      <c r="AJ52" s="69"/>
      <c r="AK52" s="232"/>
      <c r="AL52" s="212"/>
      <c r="AM52" s="212"/>
      <c r="AN52" s="212"/>
      <c r="AO52" s="212"/>
      <c r="AP52" s="69">
        <f t="shared" si="14"/>
        <v>0</v>
      </c>
      <c r="AQ52" s="7"/>
      <c r="AR52" s="69"/>
      <c r="AS52" s="69"/>
      <c r="AT52" s="69"/>
      <c r="AU52" s="69">
        <f t="shared" si="15"/>
        <v>0</v>
      </c>
      <c r="AV52" s="69">
        <f t="shared" si="16"/>
        <v>5125</v>
      </c>
      <c r="AW52" s="14"/>
    </row>
    <row r="53" ht="20.15" customHeight="1" spans="1:49">
      <c r="A53" s="228">
        <f>SUBTOTAL(2,$Y$4:Y53)</f>
        <v>50</v>
      </c>
      <c r="B53" s="14" t="s">
        <v>168</v>
      </c>
      <c r="C53" s="14" t="s">
        <v>67</v>
      </c>
      <c r="D53" s="115">
        <v>1050</v>
      </c>
      <c r="E53" s="229">
        <v>26.49</v>
      </c>
      <c r="F53" s="13">
        <v>1050</v>
      </c>
      <c r="G53" s="13" t="s">
        <v>169</v>
      </c>
      <c r="H53" s="14">
        <f t="shared" si="42"/>
        <v>26.49</v>
      </c>
      <c r="I53" s="69">
        <v>4200</v>
      </c>
      <c r="J53" s="230">
        <v>500</v>
      </c>
      <c r="K53" s="69">
        <f t="shared" si="37"/>
        <v>4700</v>
      </c>
      <c r="L53" s="69">
        <v>160</v>
      </c>
      <c r="M53" s="69">
        <v>8017</v>
      </c>
      <c r="N53" s="69">
        <v>8075</v>
      </c>
      <c r="O53" s="69">
        <f t="shared" si="18"/>
        <v>58</v>
      </c>
      <c r="P53" s="231">
        <f t="shared" si="32"/>
        <v>0</v>
      </c>
      <c r="Q53" s="69">
        <f t="shared" si="39"/>
        <v>58</v>
      </c>
      <c r="R53" s="69">
        <v>0.8</v>
      </c>
      <c r="S53" s="220">
        <f t="shared" si="5"/>
        <v>41</v>
      </c>
      <c r="T53" s="220">
        <f t="shared" si="40"/>
        <v>46</v>
      </c>
      <c r="U53" s="222">
        <f t="shared" si="26"/>
        <v>148</v>
      </c>
      <c r="V53" s="220">
        <f t="shared" si="41"/>
        <v>222</v>
      </c>
      <c r="W53" s="69">
        <f t="shared" si="38"/>
        <v>5</v>
      </c>
      <c r="X53" s="220">
        <f t="shared" si="33"/>
        <v>43</v>
      </c>
      <c r="Y53" s="69">
        <f t="shared" si="10"/>
        <v>5212</v>
      </c>
      <c r="Z53" s="69"/>
      <c r="AA53" s="69"/>
      <c r="AB53" s="69"/>
      <c r="AC53" s="69"/>
      <c r="AD53" s="69">
        <f t="shared" si="34"/>
        <v>0</v>
      </c>
      <c r="AE53" s="69"/>
      <c r="AF53" s="69"/>
      <c r="AG53" s="69"/>
      <c r="AH53" s="69">
        <f t="shared" si="35"/>
        <v>0</v>
      </c>
      <c r="AI53" s="69">
        <f t="shared" si="36"/>
        <v>5212</v>
      </c>
      <c r="AJ53" s="69"/>
      <c r="AK53" s="232"/>
      <c r="AL53" s="212"/>
      <c r="AM53" s="212"/>
      <c r="AN53" s="212"/>
      <c r="AO53" s="212"/>
      <c r="AP53" s="69">
        <f t="shared" si="14"/>
        <v>0</v>
      </c>
      <c r="AQ53" s="7"/>
      <c r="AR53" s="69"/>
      <c r="AS53" s="69"/>
      <c r="AT53" s="69"/>
      <c r="AU53" s="69">
        <f t="shared" si="15"/>
        <v>0</v>
      </c>
      <c r="AV53" s="69">
        <f t="shared" si="16"/>
        <v>5212</v>
      </c>
      <c r="AW53" s="14"/>
    </row>
    <row r="54" ht="20.15" customHeight="1" spans="1:49">
      <c r="A54" s="228">
        <f>SUBTOTAL(2,$Y$4:Y54)</f>
        <v>51</v>
      </c>
      <c r="B54" s="14" t="s">
        <v>170</v>
      </c>
      <c r="C54" s="14" t="s">
        <v>67</v>
      </c>
      <c r="D54" s="115">
        <v>1051</v>
      </c>
      <c r="E54" s="229">
        <v>26.49</v>
      </c>
      <c r="F54" s="13">
        <v>1051</v>
      </c>
      <c r="G54" s="13" t="s">
        <v>171</v>
      </c>
      <c r="H54" s="14">
        <f t="shared" si="42"/>
        <v>26.49</v>
      </c>
      <c r="I54" s="69">
        <v>4200</v>
      </c>
      <c r="J54" s="230">
        <v>500</v>
      </c>
      <c r="K54" s="69">
        <f t="shared" si="37"/>
        <v>4700</v>
      </c>
      <c r="L54" s="69">
        <v>160</v>
      </c>
      <c r="M54" s="69">
        <v>480</v>
      </c>
      <c r="N54" s="69">
        <v>512</v>
      </c>
      <c r="O54" s="69">
        <f t="shared" si="18"/>
        <v>32</v>
      </c>
      <c r="P54" s="231">
        <f t="shared" si="32"/>
        <v>0</v>
      </c>
      <c r="Q54" s="69">
        <f t="shared" si="39"/>
        <v>32</v>
      </c>
      <c r="R54" s="69">
        <v>0.8</v>
      </c>
      <c r="S54" s="220">
        <f t="shared" si="5"/>
        <v>22</v>
      </c>
      <c r="T54" s="220">
        <f t="shared" si="40"/>
        <v>26</v>
      </c>
      <c r="U54" s="222">
        <f t="shared" si="26"/>
        <v>148</v>
      </c>
      <c r="V54" s="220">
        <f t="shared" si="41"/>
        <v>222</v>
      </c>
      <c r="W54" s="69">
        <f t="shared" si="38"/>
        <v>5</v>
      </c>
      <c r="X54" s="220">
        <f t="shared" si="33"/>
        <v>43</v>
      </c>
      <c r="Y54" s="69">
        <f t="shared" si="10"/>
        <v>5173</v>
      </c>
      <c r="Z54" s="69"/>
      <c r="AA54" s="69"/>
      <c r="AB54" s="69"/>
      <c r="AC54" s="69"/>
      <c r="AD54" s="69">
        <f t="shared" si="34"/>
        <v>0</v>
      </c>
      <c r="AE54" s="69"/>
      <c r="AF54" s="69"/>
      <c r="AG54" s="69"/>
      <c r="AH54" s="69">
        <f t="shared" si="35"/>
        <v>0</v>
      </c>
      <c r="AI54" s="69">
        <f t="shared" si="36"/>
        <v>5173</v>
      </c>
      <c r="AJ54" s="69"/>
      <c r="AK54" s="232"/>
      <c r="AL54" s="212"/>
      <c r="AM54" s="212"/>
      <c r="AN54" s="212"/>
      <c r="AO54" s="212"/>
      <c r="AP54" s="69">
        <f t="shared" si="14"/>
        <v>0</v>
      </c>
      <c r="AQ54" s="7"/>
      <c r="AR54" s="69"/>
      <c r="AS54" s="69"/>
      <c r="AT54" s="69"/>
      <c r="AU54" s="69">
        <f t="shared" si="15"/>
        <v>0</v>
      </c>
      <c r="AV54" s="69">
        <f t="shared" si="16"/>
        <v>5173</v>
      </c>
      <c r="AW54" s="14"/>
    </row>
    <row r="55" ht="20.15" customHeight="1" spans="1:49">
      <c r="A55" s="228">
        <f>SUBTOTAL(2,$Y$4:Y55)</f>
        <v>52</v>
      </c>
      <c r="B55" s="96" t="s">
        <v>172</v>
      </c>
      <c r="C55" s="96" t="s">
        <v>67</v>
      </c>
      <c r="D55" s="115">
        <v>1052</v>
      </c>
      <c r="E55" s="229">
        <v>26.49</v>
      </c>
      <c r="F55" s="22">
        <v>1052</v>
      </c>
      <c r="G55" s="22" t="s">
        <v>173</v>
      </c>
      <c r="H55" s="14">
        <f t="shared" si="42"/>
        <v>26.49</v>
      </c>
      <c r="I55" s="52">
        <v>4202</v>
      </c>
      <c r="J55" s="52">
        <v>500</v>
      </c>
      <c r="K55" s="69">
        <f t="shared" si="37"/>
        <v>4702</v>
      </c>
      <c r="L55" s="69">
        <v>160</v>
      </c>
      <c r="M55" s="69">
        <v>4458</v>
      </c>
      <c r="N55" s="69">
        <v>4532</v>
      </c>
      <c r="O55" s="69">
        <f t="shared" si="18"/>
        <v>74</v>
      </c>
      <c r="P55" s="231">
        <f t="shared" si="32"/>
        <v>0</v>
      </c>
      <c r="Q55" s="69">
        <f t="shared" si="39"/>
        <v>74</v>
      </c>
      <c r="R55" s="69">
        <v>0.8</v>
      </c>
      <c r="S55" s="220">
        <f t="shared" si="5"/>
        <v>52</v>
      </c>
      <c r="T55" s="220">
        <f t="shared" si="40"/>
        <v>59</v>
      </c>
      <c r="U55" s="222">
        <f t="shared" si="26"/>
        <v>148</v>
      </c>
      <c r="V55" s="220">
        <f t="shared" si="41"/>
        <v>222</v>
      </c>
      <c r="W55" s="69">
        <f t="shared" si="38"/>
        <v>5</v>
      </c>
      <c r="X55" s="220">
        <f t="shared" si="33"/>
        <v>43</v>
      </c>
      <c r="Y55" s="69">
        <f t="shared" si="10"/>
        <v>5238</v>
      </c>
      <c r="Z55" s="69"/>
      <c r="AA55" s="69"/>
      <c r="AB55" s="69"/>
      <c r="AC55" s="69"/>
      <c r="AD55" s="69">
        <f t="shared" si="34"/>
        <v>0</v>
      </c>
      <c r="AE55" s="69"/>
      <c r="AF55" s="69"/>
      <c r="AG55" s="69"/>
      <c r="AH55" s="69">
        <f t="shared" si="35"/>
        <v>0</v>
      </c>
      <c r="AI55" s="69">
        <f t="shared" si="36"/>
        <v>5238</v>
      </c>
      <c r="AJ55" s="69"/>
      <c r="AK55" s="232"/>
      <c r="AL55" s="212"/>
      <c r="AM55" s="212"/>
      <c r="AN55" s="212"/>
      <c r="AO55" s="212"/>
      <c r="AP55" s="69">
        <f t="shared" si="14"/>
        <v>0</v>
      </c>
      <c r="AQ55" s="7"/>
      <c r="AR55" s="69"/>
      <c r="AS55" s="67"/>
      <c r="AT55" s="67"/>
      <c r="AU55" s="69">
        <f t="shared" si="15"/>
        <v>0</v>
      </c>
      <c r="AV55" s="69">
        <f t="shared" si="16"/>
        <v>5238</v>
      </c>
      <c r="AW55" s="14"/>
    </row>
    <row r="56" ht="20.15" customHeight="1" spans="1:49">
      <c r="A56" s="228">
        <f>SUBTOTAL(2,$Y$4:Y56)</f>
        <v>53</v>
      </c>
      <c r="B56" s="14" t="s">
        <v>174</v>
      </c>
      <c r="C56" s="14" t="s">
        <v>67</v>
      </c>
      <c r="D56" s="115">
        <v>1053</v>
      </c>
      <c r="E56" s="229">
        <v>26.15</v>
      </c>
      <c r="F56" s="13">
        <v>1053</v>
      </c>
      <c r="G56" s="13" t="s">
        <v>175</v>
      </c>
      <c r="H56" s="14">
        <f t="shared" si="42"/>
        <v>26.15</v>
      </c>
      <c r="I56" s="69">
        <v>4202</v>
      </c>
      <c r="J56" s="230">
        <v>500</v>
      </c>
      <c r="K56" s="69">
        <f t="shared" si="37"/>
        <v>4702</v>
      </c>
      <c r="L56" s="69">
        <v>160</v>
      </c>
      <c r="M56" s="69">
        <v>6032</v>
      </c>
      <c r="N56" s="69">
        <v>6061</v>
      </c>
      <c r="O56" s="69">
        <f t="shared" si="18"/>
        <v>29</v>
      </c>
      <c r="P56" s="231">
        <f t="shared" si="32"/>
        <v>0</v>
      </c>
      <c r="Q56" s="69">
        <f t="shared" si="39"/>
        <v>29</v>
      </c>
      <c r="R56" s="69">
        <v>0.8</v>
      </c>
      <c r="S56" s="220">
        <f t="shared" si="5"/>
        <v>20</v>
      </c>
      <c r="T56" s="220">
        <f t="shared" si="40"/>
        <v>23</v>
      </c>
      <c r="U56" s="222">
        <f t="shared" si="26"/>
        <v>146</v>
      </c>
      <c r="V56" s="220">
        <f t="shared" si="41"/>
        <v>219</v>
      </c>
      <c r="W56" s="69">
        <f t="shared" si="38"/>
        <v>5</v>
      </c>
      <c r="X56" s="220">
        <f t="shared" si="33"/>
        <v>43</v>
      </c>
      <c r="Y56" s="69">
        <f t="shared" si="10"/>
        <v>5167</v>
      </c>
      <c r="Z56" s="69"/>
      <c r="AA56" s="69"/>
      <c r="AB56" s="69"/>
      <c r="AC56" s="69"/>
      <c r="AD56" s="69">
        <f t="shared" si="34"/>
        <v>0</v>
      </c>
      <c r="AE56" s="69"/>
      <c r="AF56" s="69"/>
      <c r="AG56" s="69"/>
      <c r="AH56" s="69">
        <f t="shared" si="35"/>
        <v>0</v>
      </c>
      <c r="AI56" s="69">
        <f t="shared" si="36"/>
        <v>5167</v>
      </c>
      <c r="AJ56" s="69"/>
      <c r="AK56" s="232"/>
      <c r="AL56" s="212"/>
      <c r="AM56" s="212"/>
      <c r="AN56" s="212"/>
      <c r="AO56" s="212"/>
      <c r="AP56" s="69">
        <f t="shared" si="14"/>
        <v>0</v>
      </c>
      <c r="AQ56" s="7"/>
      <c r="AR56" s="69"/>
      <c r="AS56" s="69"/>
      <c r="AT56" s="69"/>
      <c r="AU56" s="69">
        <f t="shared" si="15"/>
        <v>0</v>
      </c>
      <c r="AV56" s="69">
        <f t="shared" si="16"/>
        <v>5167</v>
      </c>
      <c r="AW56" s="14"/>
    </row>
    <row r="57" ht="20.15" customHeight="1" spans="1:49">
      <c r="A57" s="228">
        <f>SUBTOTAL(2,$Y$4:Y57)</f>
        <v>54</v>
      </c>
      <c r="B57" s="14" t="s">
        <v>176</v>
      </c>
      <c r="C57" s="14" t="s">
        <v>67</v>
      </c>
      <c r="D57" s="115">
        <v>1054</v>
      </c>
      <c r="E57" s="229">
        <v>27.15</v>
      </c>
      <c r="F57" s="13">
        <v>1054</v>
      </c>
      <c r="G57" s="13" t="s">
        <v>177</v>
      </c>
      <c r="H57" s="14">
        <f t="shared" si="42"/>
        <v>27.15</v>
      </c>
      <c r="I57" s="69">
        <v>4200</v>
      </c>
      <c r="J57" s="230">
        <v>500</v>
      </c>
      <c r="K57" s="69">
        <f t="shared" si="37"/>
        <v>4700</v>
      </c>
      <c r="L57" s="69">
        <v>160</v>
      </c>
      <c r="M57" s="69">
        <v>6355</v>
      </c>
      <c r="N57" s="69">
        <v>6411</v>
      </c>
      <c r="O57" s="69">
        <f t="shared" si="18"/>
        <v>56</v>
      </c>
      <c r="P57" s="231">
        <f t="shared" si="32"/>
        <v>0</v>
      </c>
      <c r="Q57" s="69">
        <f t="shared" si="39"/>
        <v>56</v>
      </c>
      <c r="R57" s="69">
        <v>0.8</v>
      </c>
      <c r="S57" s="220">
        <f t="shared" si="5"/>
        <v>39</v>
      </c>
      <c r="T57" s="220">
        <f t="shared" si="40"/>
        <v>45</v>
      </c>
      <c r="U57" s="222">
        <f t="shared" si="26"/>
        <v>152</v>
      </c>
      <c r="V57" s="220">
        <f t="shared" si="41"/>
        <v>228</v>
      </c>
      <c r="W57" s="69">
        <f t="shared" si="38"/>
        <v>5</v>
      </c>
      <c r="X57" s="220">
        <f t="shared" si="33"/>
        <v>43</v>
      </c>
      <c r="Y57" s="69">
        <f t="shared" si="10"/>
        <v>5215</v>
      </c>
      <c r="Z57" s="69"/>
      <c r="AA57" s="69"/>
      <c r="AB57" s="69"/>
      <c r="AC57" s="69"/>
      <c r="AD57" s="69">
        <f t="shared" si="34"/>
        <v>0</v>
      </c>
      <c r="AE57" s="69"/>
      <c r="AF57" s="69"/>
      <c r="AG57" s="69"/>
      <c r="AH57" s="69">
        <f t="shared" si="35"/>
        <v>0</v>
      </c>
      <c r="AI57" s="69">
        <f t="shared" si="36"/>
        <v>5215</v>
      </c>
      <c r="AJ57" s="69"/>
      <c r="AK57" s="232"/>
      <c r="AL57" s="212"/>
      <c r="AM57" s="212"/>
      <c r="AN57" s="212"/>
      <c r="AO57" s="212"/>
      <c r="AP57" s="69">
        <f t="shared" si="14"/>
        <v>0</v>
      </c>
      <c r="AQ57" s="7"/>
      <c r="AR57" s="69"/>
      <c r="AS57" s="69"/>
      <c r="AT57" s="69"/>
      <c r="AU57" s="69">
        <f t="shared" si="15"/>
        <v>0</v>
      </c>
      <c r="AV57" s="69">
        <f t="shared" si="16"/>
        <v>5215</v>
      </c>
      <c r="AW57" s="14"/>
    </row>
    <row r="58" ht="20.15" customHeight="1" spans="1:49">
      <c r="A58" s="228">
        <f>SUBTOTAL(2,$Y$4:Y58)</f>
        <v>55</v>
      </c>
      <c r="B58" s="14" t="s">
        <v>178</v>
      </c>
      <c r="C58" s="14" t="s">
        <v>67</v>
      </c>
      <c r="D58" s="115">
        <v>1055</v>
      </c>
      <c r="E58" s="229">
        <v>26.49</v>
      </c>
      <c r="F58" s="13">
        <v>1055</v>
      </c>
      <c r="G58" s="13" t="s">
        <v>179</v>
      </c>
      <c r="H58" s="14">
        <f t="shared" si="42"/>
        <v>26.49</v>
      </c>
      <c r="I58" s="7">
        <v>4200</v>
      </c>
      <c r="J58" s="238">
        <v>500</v>
      </c>
      <c r="K58" s="69">
        <f t="shared" si="37"/>
        <v>4700</v>
      </c>
      <c r="L58" s="69">
        <v>160</v>
      </c>
      <c r="M58" s="69">
        <v>8887</v>
      </c>
      <c r="N58" s="69">
        <v>8962</v>
      </c>
      <c r="O58" s="69">
        <f t="shared" si="18"/>
        <v>75</v>
      </c>
      <c r="P58" s="231">
        <f t="shared" si="32"/>
        <v>0</v>
      </c>
      <c r="Q58" s="69">
        <f t="shared" si="39"/>
        <v>75</v>
      </c>
      <c r="R58" s="69">
        <v>0.8</v>
      </c>
      <c r="S58" s="220">
        <f t="shared" si="5"/>
        <v>53</v>
      </c>
      <c r="T58" s="220">
        <f t="shared" si="40"/>
        <v>60</v>
      </c>
      <c r="U58" s="222">
        <f t="shared" si="26"/>
        <v>148</v>
      </c>
      <c r="V58" s="220">
        <f t="shared" si="41"/>
        <v>222</v>
      </c>
      <c r="W58" s="69">
        <f t="shared" si="38"/>
        <v>5</v>
      </c>
      <c r="X58" s="220">
        <f t="shared" si="33"/>
        <v>43</v>
      </c>
      <c r="Y58" s="69">
        <f t="shared" si="10"/>
        <v>5238</v>
      </c>
      <c r="Z58" s="69"/>
      <c r="AA58" s="69"/>
      <c r="AB58" s="69"/>
      <c r="AC58" s="69"/>
      <c r="AD58" s="69">
        <f t="shared" si="34"/>
        <v>0</v>
      </c>
      <c r="AE58" s="69"/>
      <c r="AF58" s="69"/>
      <c r="AG58" s="69"/>
      <c r="AH58" s="69">
        <f t="shared" si="35"/>
        <v>0</v>
      </c>
      <c r="AI58" s="69">
        <f t="shared" si="36"/>
        <v>5238</v>
      </c>
      <c r="AJ58" s="69"/>
      <c r="AK58" s="232"/>
      <c r="AL58" s="212"/>
      <c r="AM58" s="212"/>
      <c r="AN58" s="212"/>
      <c r="AO58" s="212"/>
      <c r="AP58" s="69">
        <f t="shared" si="14"/>
        <v>0</v>
      </c>
      <c r="AQ58" s="7"/>
      <c r="AR58" s="69"/>
      <c r="AS58" s="69"/>
      <c r="AT58" s="69"/>
      <c r="AU58" s="69">
        <f t="shared" si="15"/>
        <v>0</v>
      </c>
      <c r="AV58" s="69">
        <f t="shared" si="16"/>
        <v>5238</v>
      </c>
      <c r="AW58" s="14"/>
    </row>
    <row r="59" ht="20.15" customHeight="1" spans="1:49">
      <c r="A59" s="228">
        <f>SUBTOTAL(2,$Y$4:Y59)</f>
        <v>56</v>
      </c>
      <c r="B59" s="14" t="s">
        <v>180</v>
      </c>
      <c r="C59" s="14" t="s">
        <v>67</v>
      </c>
      <c r="D59" s="115">
        <v>1056</v>
      </c>
      <c r="E59" s="229">
        <v>26.49</v>
      </c>
      <c r="F59" s="13">
        <v>1056</v>
      </c>
      <c r="G59" s="13" t="s">
        <v>181</v>
      </c>
      <c r="H59" s="14">
        <f t="shared" si="42"/>
        <v>26.49</v>
      </c>
      <c r="I59" s="69">
        <v>4200</v>
      </c>
      <c r="J59" s="230">
        <v>500</v>
      </c>
      <c r="K59" s="69">
        <f t="shared" si="37"/>
        <v>4700</v>
      </c>
      <c r="L59" s="69">
        <v>160</v>
      </c>
      <c r="M59" s="69">
        <v>5536</v>
      </c>
      <c r="N59" s="69">
        <v>5591</v>
      </c>
      <c r="O59" s="69">
        <f t="shared" si="18"/>
        <v>55</v>
      </c>
      <c r="P59" s="231">
        <f t="shared" si="32"/>
        <v>0</v>
      </c>
      <c r="Q59" s="69">
        <f t="shared" si="39"/>
        <v>55</v>
      </c>
      <c r="R59" s="69">
        <v>0.8</v>
      </c>
      <c r="S59" s="220">
        <f t="shared" si="5"/>
        <v>39</v>
      </c>
      <c r="T59" s="220">
        <f t="shared" si="40"/>
        <v>44</v>
      </c>
      <c r="U59" s="222">
        <f t="shared" si="26"/>
        <v>148</v>
      </c>
      <c r="V59" s="220">
        <f t="shared" si="41"/>
        <v>222</v>
      </c>
      <c r="W59" s="69">
        <f t="shared" si="38"/>
        <v>5</v>
      </c>
      <c r="X59" s="220">
        <f t="shared" si="33"/>
        <v>43</v>
      </c>
      <c r="Y59" s="69">
        <f t="shared" si="10"/>
        <v>5208</v>
      </c>
      <c r="Z59" s="69"/>
      <c r="AA59" s="69"/>
      <c r="AB59" s="69"/>
      <c r="AC59" s="69"/>
      <c r="AD59" s="69">
        <f t="shared" si="34"/>
        <v>0</v>
      </c>
      <c r="AE59" s="69"/>
      <c r="AF59" s="69"/>
      <c r="AG59" s="69"/>
      <c r="AH59" s="69">
        <f t="shared" si="35"/>
        <v>0</v>
      </c>
      <c r="AI59" s="69">
        <f t="shared" si="36"/>
        <v>5208</v>
      </c>
      <c r="AJ59" s="69"/>
      <c r="AK59" s="232"/>
      <c r="AL59" s="212"/>
      <c r="AM59" s="212"/>
      <c r="AN59" s="212"/>
      <c r="AO59" s="212"/>
      <c r="AP59" s="69">
        <f t="shared" si="14"/>
        <v>0</v>
      </c>
      <c r="AQ59" s="7"/>
      <c r="AR59" s="69"/>
      <c r="AS59" s="67"/>
      <c r="AT59" s="67"/>
      <c r="AU59" s="69">
        <f t="shared" si="15"/>
        <v>0</v>
      </c>
      <c r="AV59" s="69">
        <f t="shared" si="16"/>
        <v>5208</v>
      </c>
      <c r="AW59" s="14"/>
    </row>
    <row r="60" ht="20.15" customHeight="1" spans="1:49">
      <c r="A60" s="228">
        <f>SUBTOTAL(2,$Y$4:Y60)</f>
        <v>57</v>
      </c>
      <c r="B60" s="14" t="s">
        <v>182</v>
      </c>
      <c r="C60" s="14" t="s">
        <v>67</v>
      </c>
      <c r="D60" s="115">
        <v>1057</v>
      </c>
      <c r="E60" s="229">
        <v>26.49</v>
      </c>
      <c r="F60" s="13">
        <v>1057</v>
      </c>
      <c r="G60" s="13" t="s">
        <v>183</v>
      </c>
      <c r="H60" s="14">
        <f t="shared" si="42"/>
        <v>26.49</v>
      </c>
      <c r="I60" s="69">
        <v>4200</v>
      </c>
      <c r="J60" s="230">
        <v>500</v>
      </c>
      <c r="K60" s="69">
        <f t="shared" si="37"/>
        <v>4700</v>
      </c>
      <c r="L60" s="69">
        <v>160</v>
      </c>
      <c r="M60" s="69">
        <v>1970</v>
      </c>
      <c r="N60" s="69">
        <v>2048</v>
      </c>
      <c r="O60" s="69">
        <f t="shared" si="18"/>
        <v>78</v>
      </c>
      <c r="P60" s="231">
        <f t="shared" si="32"/>
        <v>0</v>
      </c>
      <c r="Q60" s="69">
        <f t="shared" si="39"/>
        <v>78</v>
      </c>
      <c r="R60" s="69">
        <v>0.8</v>
      </c>
      <c r="S60" s="220">
        <f t="shared" si="5"/>
        <v>55</v>
      </c>
      <c r="T60" s="220">
        <f t="shared" si="40"/>
        <v>62</v>
      </c>
      <c r="U60" s="222">
        <f t="shared" si="26"/>
        <v>148</v>
      </c>
      <c r="V60" s="220">
        <f t="shared" si="41"/>
        <v>222</v>
      </c>
      <c r="W60" s="69">
        <f t="shared" si="38"/>
        <v>5</v>
      </c>
      <c r="X60" s="220">
        <f t="shared" si="33"/>
        <v>43</v>
      </c>
      <c r="Y60" s="69">
        <f t="shared" si="10"/>
        <v>5242</v>
      </c>
      <c r="Z60" s="69"/>
      <c r="AA60" s="69"/>
      <c r="AB60" s="69"/>
      <c r="AC60" s="69"/>
      <c r="AD60" s="69">
        <f t="shared" si="34"/>
        <v>0</v>
      </c>
      <c r="AE60" s="69"/>
      <c r="AF60" s="69"/>
      <c r="AG60" s="69"/>
      <c r="AH60" s="69">
        <f t="shared" si="35"/>
        <v>0</v>
      </c>
      <c r="AI60" s="69">
        <f t="shared" si="36"/>
        <v>5242</v>
      </c>
      <c r="AJ60" s="69"/>
      <c r="AK60" s="232"/>
      <c r="AL60" s="212"/>
      <c r="AM60" s="212"/>
      <c r="AN60" s="212"/>
      <c r="AO60" s="212"/>
      <c r="AP60" s="69">
        <f t="shared" si="14"/>
        <v>0</v>
      </c>
      <c r="AQ60" s="7"/>
      <c r="AR60" s="69"/>
      <c r="AS60" s="69"/>
      <c r="AT60" s="69"/>
      <c r="AU60" s="69">
        <f t="shared" si="15"/>
        <v>0</v>
      </c>
      <c r="AV60" s="69">
        <f t="shared" si="16"/>
        <v>5242</v>
      </c>
      <c r="AW60" s="14"/>
    </row>
    <row r="61" ht="20.15" customHeight="1" spans="1:49">
      <c r="A61" s="228">
        <f>SUBTOTAL(2,$Y$4:Y61)</f>
        <v>58</v>
      </c>
      <c r="B61" s="14" t="s">
        <v>184</v>
      </c>
      <c r="C61" s="139" t="s">
        <v>67</v>
      </c>
      <c r="D61" s="115">
        <v>1058</v>
      </c>
      <c r="E61" s="229">
        <v>26.49</v>
      </c>
      <c r="F61" s="137">
        <v>1058</v>
      </c>
      <c r="G61" s="137" t="s">
        <v>185</v>
      </c>
      <c r="H61" s="229">
        <v>26.49</v>
      </c>
      <c r="I61" s="212">
        <v>4200</v>
      </c>
      <c r="J61" s="256">
        <v>500</v>
      </c>
      <c r="K61" s="212">
        <f t="shared" si="37"/>
        <v>4700</v>
      </c>
      <c r="L61" s="69">
        <v>160</v>
      </c>
      <c r="M61" s="69">
        <v>8423</v>
      </c>
      <c r="N61" s="69">
        <v>8527</v>
      </c>
      <c r="O61" s="69">
        <f t="shared" si="18"/>
        <v>104</v>
      </c>
      <c r="P61" s="231">
        <f t="shared" si="32"/>
        <v>0</v>
      </c>
      <c r="Q61" s="69">
        <f t="shared" si="39"/>
        <v>104</v>
      </c>
      <c r="R61" s="69">
        <v>0.8</v>
      </c>
      <c r="S61" s="220">
        <f t="shared" si="5"/>
        <v>73</v>
      </c>
      <c r="T61" s="220">
        <f t="shared" si="40"/>
        <v>83</v>
      </c>
      <c r="U61" s="222">
        <f t="shared" si="26"/>
        <v>148</v>
      </c>
      <c r="V61" s="220">
        <f t="shared" si="41"/>
        <v>222</v>
      </c>
      <c r="W61" s="69">
        <f t="shared" si="38"/>
        <v>5</v>
      </c>
      <c r="X61" s="220">
        <f t="shared" si="33"/>
        <v>43</v>
      </c>
      <c r="Y61" s="69">
        <f t="shared" si="10"/>
        <v>5281</v>
      </c>
      <c r="Z61" s="69"/>
      <c r="AA61" s="69"/>
      <c r="AB61" s="69"/>
      <c r="AC61" s="69"/>
      <c r="AD61" s="69">
        <f t="shared" si="34"/>
        <v>0</v>
      </c>
      <c r="AE61" s="69"/>
      <c r="AF61" s="69"/>
      <c r="AG61" s="69"/>
      <c r="AH61" s="69">
        <f t="shared" si="35"/>
        <v>0</v>
      </c>
      <c r="AI61" s="69">
        <f t="shared" si="36"/>
        <v>5281</v>
      </c>
      <c r="AJ61" s="69"/>
      <c r="AK61" s="232"/>
      <c r="AL61" s="212"/>
      <c r="AM61" s="212"/>
      <c r="AN61" s="212"/>
      <c r="AO61" s="212"/>
      <c r="AP61" s="69">
        <f t="shared" si="14"/>
        <v>0</v>
      </c>
      <c r="AQ61" s="7"/>
      <c r="AR61" s="69"/>
      <c r="AS61" s="69"/>
      <c r="AT61" s="69"/>
      <c r="AU61" s="69">
        <f t="shared" si="15"/>
        <v>0</v>
      </c>
      <c r="AV61" s="69">
        <f t="shared" si="16"/>
        <v>5281</v>
      </c>
      <c r="AW61" s="14"/>
    </row>
    <row r="62" ht="20.15" customHeight="1" spans="1:49">
      <c r="A62" s="228">
        <f>SUBTOTAL(2,$Y$4:Y62)</f>
        <v>59</v>
      </c>
      <c r="B62" s="14" t="s">
        <v>186</v>
      </c>
      <c r="C62" s="14" t="s">
        <v>67</v>
      </c>
      <c r="D62" s="115">
        <v>1059</v>
      </c>
      <c r="E62" s="229">
        <v>26.49</v>
      </c>
      <c r="F62" s="13">
        <v>1059</v>
      </c>
      <c r="G62" s="13" t="s">
        <v>187</v>
      </c>
      <c r="H62" s="14">
        <f t="shared" si="42"/>
        <v>26.49</v>
      </c>
      <c r="I62" s="69">
        <v>4200</v>
      </c>
      <c r="J62" s="230">
        <v>500</v>
      </c>
      <c r="K62" s="69">
        <f t="shared" si="37"/>
        <v>4700</v>
      </c>
      <c r="L62" s="69">
        <v>160</v>
      </c>
      <c r="M62" s="69">
        <v>7981</v>
      </c>
      <c r="N62" s="69">
        <v>8081</v>
      </c>
      <c r="O62" s="69">
        <f t="shared" si="18"/>
        <v>100</v>
      </c>
      <c r="P62" s="231">
        <f t="shared" si="32"/>
        <v>0</v>
      </c>
      <c r="Q62" s="69">
        <f t="shared" ref="Q62:Q68" si="43">O62+P62</f>
        <v>100</v>
      </c>
      <c r="R62" s="69">
        <v>0.8</v>
      </c>
      <c r="S62" s="220">
        <f t="shared" si="5"/>
        <v>70</v>
      </c>
      <c r="T62" s="220">
        <f t="shared" si="40"/>
        <v>80</v>
      </c>
      <c r="U62" s="222">
        <f t="shared" si="26"/>
        <v>148</v>
      </c>
      <c r="V62" s="220">
        <f t="shared" si="41"/>
        <v>222</v>
      </c>
      <c r="W62" s="69">
        <f t="shared" si="38"/>
        <v>5</v>
      </c>
      <c r="X62" s="220">
        <f t="shared" si="33"/>
        <v>43</v>
      </c>
      <c r="Y62" s="69">
        <f t="shared" si="10"/>
        <v>5275</v>
      </c>
      <c r="Z62" s="69"/>
      <c r="AA62" s="69"/>
      <c r="AB62" s="69"/>
      <c r="AC62" s="69"/>
      <c r="AD62" s="69">
        <f t="shared" si="34"/>
        <v>0</v>
      </c>
      <c r="AE62" s="69"/>
      <c r="AF62" s="69"/>
      <c r="AG62" s="69"/>
      <c r="AH62" s="69">
        <f t="shared" si="35"/>
        <v>0</v>
      </c>
      <c r="AI62" s="69">
        <f t="shared" si="36"/>
        <v>5275</v>
      </c>
      <c r="AJ62" s="69"/>
      <c r="AK62" s="232"/>
      <c r="AL62" s="212"/>
      <c r="AM62" s="212"/>
      <c r="AN62" s="212"/>
      <c r="AO62" s="212"/>
      <c r="AP62" s="69">
        <f t="shared" si="14"/>
        <v>0</v>
      </c>
      <c r="AQ62" s="7"/>
      <c r="AR62" s="69"/>
      <c r="AS62" s="69"/>
      <c r="AT62" s="69"/>
      <c r="AU62" s="69">
        <f t="shared" si="15"/>
        <v>0</v>
      </c>
      <c r="AV62" s="69">
        <f t="shared" si="16"/>
        <v>5275</v>
      </c>
      <c r="AW62" s="14"/>
    </row>
    <row r="63" ht="20.15" customHeight="1" spans="1:49">
      <c r="A63" s="228">
        <f>SUBTOTAL(2,$Y$4:Y63)</f>
        <v>60</v>
      </c>
      <c r="B63" s="14" t="s">
        <v>188</v>
      </c>
      <c r="C63" s="14" t="s">
        <v>67</v>
      </c>
      <c r="D63" s="115">
        <v>1060</v>
      </c>
      <c r="E63" s="229">
        <v>26.49</v>
      </c>
      <c r="F63" s="13">
        <v>1060</v>
      </c>
      <c r="G63" s="13" t="s">
        <v>189</v>
      </c>
      <c r="H63" s="14">
        <f t="shared" si="42"/>
        <v>26.49</v>
      </c>
      <c r="I63" s="69">
        <v>4200</v>
      </c>
      <c r="J63" s="230">
        <v>500</v>
      </c>
      <c r="K63" s="69">
        <f t="shared" si="37"/>
        <v>4700</v>
      </c>
      <c r="L63" s="69">
        <v>160</v>
      </c>
      <c r="M63" s="69">
        <v>6219</v>
      </c>
      <c r="N63" s="69">
        <v>6257</v>
      </c>
      <c r="O63" s="69">
        <f t="shared" si="18"/>
        <v>38</v>
      </c>
      <c r="P63" s="231">
        <f t="shared" si="32"/>
        <v>0</v>
      </c>
      <c r="Q63" s="69">
        <f t="shared" si="43"/>
        <v>38</v>
      </c>
      <c r="R63" s="69">
        <v>0.8</v>
      </c>
      <c r="S63" s="220">
        <f t="shared" si="5"/>
        <v>27</v>
      </c>
      <c r="T63" s="220">
        <f t="shared" si="40"/>
        <v>30</v>
      </c>
      <c r="U63" s="222">
        <f t="shared" si="26"/>
        <v>148</v>
      </c>
      <c r="V63" s="220">
        <f t="shared" si="41"/>
        <v>222</v>
      </c>
      <c r="W63" s="69">
        <f t="shared" si="38"/>
        <v>5</v>
      </c>
      <c r="X63" s="220">
        <f t="shared" si="33"/>
        <v>43</v>
      </c>
      <c r="Y63" s="69">
        <f t="shared" si="10"/>
        <v>5182</v>
      </c>
      <c r="Z63" s="69"/>
      <c r="AA63" s="69"/>
      <c r="AB63" s="69"/>
      <c r="AC63" s="69"/>
      <c r="AD63" s="69">
        <f t="shared" si="34"/>
        <v>0</v>
      </c>
      <c r="AE63" s="69"/>
      <c r="AF63" s="69"/>
      <c r="AG63" s="69"/>
      <c r="AH63" s="69">
        <f t="shared" si="35"/>
        <v>0</v>
      </c>
      <c r="AI63" s="69">
        <f t="shared" si="36"/>
        <v>5182</v>
      </c>
      <c r="AJ63" s="69"/>
      <c r="AK63" s="232"/>
      <c r="AL63" s="212"/>
      <c r="AM63" s="212"/>
      <c r="AN63" s="212"/>
      <c r="AO63" s="212"/>
      <c r="AP63" s="69">
        <f t="shared" si="14"/>
        <v>0</v>
      </c>
      <c r="AQ63" s="7"/>
      <c r="AR63" s="69"/>
      <c r="AS63" s="69"/>
      <c r="AT63" s="69"/>
      <c r="AU63" s="69">
        <f t="shared" si="15"/>
        <v>0</v>
      </c>
      <c r="AV63" s="69">
        <f t="shared" si="16"/>
        <v>5182</v>
      </c>
      <c r="AW63" s="14"/>
    </row>
    <row r="64" ht="20.15" customHeight="1" spans="1:49">
      <c r="A64" s="228">
        <f>SUBTOTAL(2,$Y$4:Y64)</f>
        <v>61</v>
      </c>
      <c r="B64" s="14" t="s">
        <v>190</v>
      </c>
      <c r="C64" s="14" t="s">
        <v>67</v>
      </c>
      <c r="D64" s="115">
        <v>1061</v>
      </c>
      <c r="E64" s="229">
        <v>26.49</v>
      </c>
      <c r="F64" s="118">
        <v>1061</v>
      </c>
      <c r="G64" s="118" t="s">
        <v>191</v>
      </c>
      <c r="H64" s="240">
        <f t="shared" si="42"/>
        <v>26.49</v>
      </c>
      <c r="I64" s="241">
        <v>3500</v>
      </c>
      <c r="J64" s="242">
        <v>200</v>
      </c>
      <c r="K64" s="69">
        <f t="shared" si="37"/>
        <v>3700</v>
      </c>
      <c r="L64" s="69">
        <v>160</v>
      </c>
      <c r="M64" s="69">
        <v>6585</v>
      </c>
      <c r="N64" s="69">
        <v>6833</v>
      </c>
      <c r="O64" s="69">
        <f t="shared" si="18"/>
        <v>248</v>
      </c>
      <c r="P64" s="231">
        <f t="shared" si="32"/>
        <v>0</v>
      </c>
      <c r="Q64" s="69">
        <f t="shared" si="43"/>
        <v>248</v>
      </c>
      <c r="R64" s="69">
        <v>0.8</v>
      </c>
      <c r="S64" s="220">
        <f t="shared" si="5"/>
        <v>174</v>
      </c>
      <c r="T64" s="220">
        <f t="shared" si="40"/>
        <v>198</v>
      </c>
      <c r="U64" s="222">
        <f t="shared" si="26"/>
        <v>148</v>
      </c>
      <c r="V64" s="220">
        <f t="shared" si="41"/>
        <v>222</v>
      </c>
      <c r="W64" s="69">
        <f t="shared" si="38"/>
        <v>5</v>
      </c>
      <c r="X64" s="220">
        <f t="shared" si="33"/>
        <v>43</v>
      </c>
      <c r="Y64" s="69">
        <f t="shared" si="10"/>
        <v>4497</v>
      </c>
      <c r="Z64" s="69"/>
      <c r="AA64" s="69"/>
      <c r="AB64" s="69"/>
      <c r="AC64" s="69"/>
      <c r="AD64" s="69">
        <f t="shared" si="34"/>
        <v>0</v>
      </c>
      <c r="AE64" s="69"/>
      <c r="AF64" s="69"/>
      <c r="AG64" s="69"/>
      <c r="AH64" s="69">
        <f t="shared" si="35"/>
        <v>0</v>
      </c>
      <c r="AI64" s="69">
        <f t="shared" si="36"/>
        <v>4497</v>
      </c>
      <c r="AJ64" s="69"/>
      <c r="AK64" s="232"/>
      <c r="AL64" s="212"/>
      <c r="AM64" s="212"/>
      <c r="AN64" s="212"/>
      <c r="AO64" s="212"/>
      <c r="AP64" s="69">
        <f t="shared" si="14"/>
        <v>0</v>
      </c>
      <c r="AQ64" s="7"/>
      <c r="AR64" s="69"/>
      <c r="AS64" s="69"/>
      <c r="AT64" s="69"/>
      <c r="AU64" s="69">
        <f t="shared" si="15"/>
        <v>0</v>
      </c>
      <c r="AV64" s="69">
        <f t="shared" si="16"/>
        <v>4497</v>
      </c>
      <c r="AW64" s="14"/>
    </row>
    <row r="65" ht="20.15" customHeight="1" spans="1:49">
      <c r="A65" s="228">
        <f>SUBTOTAL(2,$Y$4:Y65)</f>
        <v>62</v>
      </c>
      <c r="B65" s="14" t="s">
        <v>192</v>
      </c>
      <c r="C65" s="14" t="s">
        <v>67</v>
      </c>
      <c r="D65" s="115">
        <v>1062</v>
      </c>
      <c r="E65" s="229">
        <v>27.15</v>
      </c>
      <c r="F65" s="13">
        <v>1062</v>
      </c>
      <c r="G65" s="13" t="s">
        <v>193</v>
      </c>
      <c r="H65" s="14">
        <f t="shared" si="42"/>
        <v>27.15</v>
      </c>
      <c r="I65" s="67">
        <v>3000</v>
      </c>
      <c r="J65" s="230">
        <v>0</v>
      </c>
      <c r="K65" s="69">
        <f t="shared" si="37"/>
        <v>3000</v>
      </c>
      <c r="L65" s="69">
        <v>160</v>
      </c>
      <c r="M65" s="69">
        <v>590</v>
      </c>
      <c r="N65" s="69">
        <v>728</v>
      </c>
      <c r="O65" s="69">
        <f t="shared" si="18"/>
        <v>138</v>
      </c>
      <c r="P65" s="231">
        <f t="shared" si="32"/>
        <v>0</v>
      </c>
      <c r="Q65" s="69">
        <f t="shared" si="43"/>
        <v>138</v>
      </c>
      <c r="R65" s="69">
        <v>0.8</v>
      </c>
      <c r="S65" s="220">
        <f t="shared" si="5"/>
        <v>97</v>
      </c>
      <c r="T65" s="220">
        <f t="shared" si="40"/>
        <v>110</v>
      </c>
      <c r="U65" s="222">
        <f t="shared" si="26"/>
        <v>152</v>
      </c>
      <c r="V65" s="220">
        <f t="shared" si="41"/>
        <v>228</v>
      </c>
      <c r="W65" s="69">
        <f t="shared" si="38"/>
        <v>5</v>
      </c>
      <c r="X65" s="220">
        <f t="shared" si="33"/>
        <v>43</v>
      </c>
      <c r="Y65" s="69">
        <f t="shared" si="10"/>
        <v>3638</v>
      </c>
      <c r="Z65" s="69"/>
      <c r="AA65" s="69"/>
      <c r="AB65" s="69"/>
      <c r="AC65" s="69"/>
      <c r="AD65" s="69">
        <f t="shared" si="34"/>
        <v>0</v>
      </c>
      <c r="AE65" s="69"/>
      <c r="AF65" s="69"/>
      <c r="AG65" s="69"/>
      <c r="AH65" s="69">
        <f t="shared" si="35"/>
        <v>0</v>
      </c>
      <c r="AI65" s="69">
        <f t="shared" si="36"/>
        <v>3638</v>
      </c>
      <c r="AJ65" s="69"/>
      <c r="AK65" s="232"/>
      <c r="AL65" s="212"/>
      <c r="AM65" s="212"/>
      <c r="AN65" s="212"/>
      <c r="AO65" s="212"/>
      <c r="AP65" s="69">
        <f t="shared" si="14"/>
        <v>0</v>
      </c>
      <c r="AQ65" s="7"/>
      <c r="AR65" s="69"/>
      <c r="AS65" s="69"/>
      <c r="AT65" s="69"/>
      <c r="AU65" s="69">
        <f t="shared" si="15"/>
        <v>0</v>
      </c>
      <c r="AV65" s="69">
        <f t="shared" si="16"/>
        <v>3638</v>
      </c>
      <c r="AW65" s="213"/>
    </row>
    <row r="66" ht="20.15" customHeight="1" spans="1:49">
      <c r="A66" s="228">
        <f>SUBTOTAL(2,$Y$4:Y66)</f>
        <v>63</v>
      </c>
      <c r="B66" s="14" t="s">
        <v>194</v>
      </c>
      <c r="C66" s="14" t="s">
        <v>67</v>
      </c>
      <c r="D66" s="115">
        <v>1063</v>
      </c>
      <c r="E66" s="229">
        <v>6.21</v>
      </c>
      <c r="F66" s="13">
        <v>1063</v>
      </c>
      <c r="G66" s="13" t="s">
        <v>195</v>
      </c>
      <c r="H66" s="14">
        <f t="shared" si="42"/>
        <v>6.21</v>
      </c>
      <c r="I66" s="7">
        <f>2240-640</f>
        <v>1600</v>
      </c>
      <c r="J66" s="230">
        <v>0</v>
      </c>
      <c r="K66" s="69">
        <f t="shared" si="37"/>
        <v>1600</v>
      </c>
      <c r="L66" s="69">
        <v>160</v>
      </c>
      <c r="M66" s="69">
        <v>6067</v>
      </c>
      <c r="N66" s="69">
        <v>6093</v>
      </c>
      <c r="O66" s="69">
        <f t="shared" si="18"/>
        <v>26</v>
      </c>
      <c r="P66" s="231">
        <f t="shared" si="32"/>
        <v>0</v>
      </c>
      <c r="Q66" s="69">
        <f t="shared" si="43"/>
        <v>26</v>
      </c>
      <c r="R66" s="69">
        <v>0.8</v>
      </c>
      <c r="S66" s="220">
        <f t="shared" si="5"/>
        <v>18</v>
      </c>
      <c r="T66" s="220">
        <f t="shared" si="40"/>
        <v>21</v>
      </c>
      <c r="U66" s="222">
        <f t="shared" si="26"/>
        <v>35</v>
      </c>
      <c r="V66" s="220">
        <f t="shared" si="41"/>
        <v>53</v>
      </c>
      <c r="W66" s="69">
        <f t="shared" si="38"/>
        <v>1</v>
      </c>
      <c r="X66" s="220">
        <f t="shared" si="33"/>
        <v>9</v>
      </c>
      <c r="Y66" s="69">
        <f t="shared" si="10"/>
        <v>1861</v>
      </c>
      <c r="Z66" s="69"/>
      <c r="AA66" s="69"/>
      <c r="AB66" s="69"/>
      <c r="AC66" s="69"/>
      <c r="AD66" s="69">
        <f t="shared" si="34"/>
        <v>0</v>
      </c>
      <c r="AE66" s="69"/>
      <c r="AF66" s="69"/>
      <c r="AG66" s="69"/>
      <c r="AH66" s="69">
        <f t="shared" si="35"/>
        <v>0</v>
      </c>
      <c r="AI66" s="69">
        <f t="shared" si="36"/>
        <v>1861</v>
      </c>
      <c r="AJ66" s="69"/>
      <c r="AK66" s="232"/>
      <c r="AL66" s="212"/>
      <c r="AM66" s="212"/>
      <c r="AN66" s="212"/>
      <c r="AO66" s="212"/>
      <c r="AP66" s="69">
        <f t="shared" si="14"/>
        <v>0</v>
      </c>
      <c r="AQ66" s="7"/>
      <c r="AR66" s="69"/>
      <c r="AS66" s="69"/>
      <c r="AT66" s="69"/>
      <c r="AU66" s="69">
        <f t="shared" si="15"/>
        <v>0</v>
      </c>
      <c r="AV66" s="69">
        <f t="shared" si="16"/>
        <v>1861</v>
      </c>
      <c r="AW66" s="213"/>
    </row>
    <row r="67" ht="20.15" customHeight="1" spans="1:49">
      <c r="A67" s="228">
        <f>SUBTOTAL(2,$Y$4:Y67)</f>
        <v>64</v>
      </c>
      <c r="B67" s="14" t="s">
        <v>196</v>
      </c>
      <c r="C67" s="14" t="s">
        <v>67</v>
      </c>
      <c r="D67" s="115">
        <v>1065</v>
      </c>
      <c r="E67" s="229">
        <v>6.21</v>
      </c>
      <c r="F67" s="13">
        <v>1065</v>
      </c>
      <c r="G67" s="13" t="s">
        <v>197</v>
      </c>
      <c r="H67" s="14">
        <f t="shared" si="42"/>
        <v>6.21</v>
      </c>
      <c r="I67" s="67">
        <v>1200</v>
      </c>
      <c r="J67" s="226">
        <v>0</v>
      </c>
      <c r="K67" s="69">
        <f t="shared" si="37"/>
        <v>1200</v>
      </c>
      <c r="L67" s="69">
        <v>160</v>
      </c>
      <c r="M67" s="69">
        <v>6909</v>
      </c>
      <c r="N67" s="69">
        <v>6910</v>
      </c>
      <c r="O67" s="69">
        <f t="shared" si="18"/>
        <v>1</v>
      </c>
      <c r="P67" s="231">
        <f t="shared" si="32"/>
        <v>0</v>
      </c>
      <c r="Q67" s="69">
        <f t="shared" si="43"/>
        <v>1</v>
      </c>
      <c r="R67" s="69">
        <v>0.8</v>
      </c>
      <c r="S67" s="220">
        <f t="shared" si="5"/>
        <v>1</v>
      </c>
      <c r="T67" s="220">
        <f t="shared" si="40"/>
        <v>1</v>
      </c>
      <c r="U67" s="222">
        <f t="shared" si="26"/>
        <v>35</v>
      </c>
      <c r="V67" s="220">
        <f t="shared" si="41"/>
        <v>53</v>
      </c>
      <c r="W67" s="69">
        <f t="shared" si="38"/>
        <v>1</v>
      </c>
      <c r="X67" s="220">
        <f t="shared" si="33"/>
        <v>9</v>
      </c>
      <c r="Y67" s="69">
        <f t="shared" si="10"/>
        <v>1424</v>
      </c>
      <c r="Z67" s="69"/>
      <c r="AA67" s="69"/>
      <c r="AB67" s="69"/>
      <c r="AC67" s="69"/>
      <c r="AD67" s="69">
        <f t="shared" si="34"/>
        <v>0</v>
      </c>
      <c r="AE67" s="69"/>
      <c r="AF67" s="69"/>
      <c r="AG67" s="69"/>
      <c r="AH67" s="69">
        <f t="shared" si="35"/>
        <v>0</v>
      </c>
      <c r="AI67" s="69">
        <f t="shared" si="36"/>
        <v>1424</v>
      </c>
      <c r="AJ67" s="69"/>
      <c r="AK67" s="232"/>
      <c r="AL67" s="212"/>
      <c r="AM67" s="212"/>
      <c r="AN67" s="212"/>
      <c r="AO67" s="212"/>
      <c r="AP67" s="69">
        <f t="shared" si="14"/>
        <v>0</v>
      </c>
      <c r="AQ67" s="7"/>
      <c r="AR67" s="69"/>
      <c r="AS67" s="69"/>
      <c r="AT67" s="69"/>
      <c r="AU67" s="69">
        <f t="shared" si="15"/>
        <v>0</v>
      </c>
      <c r="AV67" s="69">
        <f t="shared" si="16"/>
        <v>1424</v>
      </c>
      <c r="AW67" s="234"/>
    </row>
    <row r="68" ht="20.15" customHeight="1" spans="1:49">
      <c r="A68" s="228">
        <f>SUBTOTAL(2,$Y$4:Y68)</f>
        <v>65</v>
      </c>
      <c r="B68" s="14" t="s">
        <v>198</v>
      </c>
      <c r="C68" s="14" t="s">
        <v>67</v>
      </c>
      <c r="D68" s="115">
        <v>1066</v>
      </c>
      <c r="E68" s="229">
        <v>27.15</v>
      </c>
      <c r="F68" s="13">
        <v>1066</v>
      </c>
      <c r="G68" s="13" t="s">
        <v>199</v>
      </c>
      <c r="H68" s="14">
        <f t="shared" si="42"/>
        <v>27.15</v>
      </c>
      <c r="I68" s="7">
        <v>4200</v>
      </c>
      <c r="J68" s="238">
        <v>500</v>
      </c>
      <c r="K68" s="69">
        <f t="shared" si="37"/>
        <v>4700</v>
      </c>
      <c r="L68" s="69">
        <v>160</v>
      </c>
      <c r="M68" s="69">
        <v>9256</v>
      </c>
      <c r="N68" s="69">
        <v>9306</v>
      </c>
      <c r="O68" s="69">
        <f t="shared" si="18"/>
        <v>50</v>
      </c>
      <c r="P68" s="231">
        <f t="shared" si="32"/>
        <v>0</v>
      </c>
      <c r="Q68" s="69">
        <f t="shared" si="43"/>
        <v>50</v>
      </c>
      <c r="R68" s="69">
        <v>0.8</v>
      </c>
      <c r="S68" s="220">
        <f t="shared" si="5"/>
        <v>35</v>
      </c>
      <c r="T68" s="220">
        <f t="shared" si="40"/>
        <v>40</v>
      </c>
      <c r="U68" s="222">
        <f t="shared" si="26"/>
        <v>152</v>
      </c>
      <c r="V68" s="220">
        <f t="shared" si="41"/>
        <v>228</v>
      </c>
      <c r="W68" s="69">
        <f t="shared" si="38"/>
        <v>5</v>
      </c>
      <c r="X68" s="220">
        <f t="shared" si="33"/>
        <v>43</v>
      </c>
      <c r="Y68" s="69">
        <f t="shared" si="10"/>
        <v>5206</v>
      </c>
      <c r="Z68" s="69"/>
      <c r="AA68" s="69"/>
      <c r="AB68" s="69"/>
      <c r="AC68" s="69"/>
      <c r="AD68" s="69">
        <f t="shared" si="34"/>
        <v>0</v>
      </c>
      <c r="AE68" s="69"/>
      <c r="AF68" s="69"/>
      <c r="AG68" s="69"/>
      <c r="AH68" s="69">
        <f t="shared" si="35"/>
        <v>0</v>
      </c>
      <c r="AI68" s="69">
        <f t="shared" si="36"/>
        <v>5206</v>
      </c>
      <c r="AJ68" s="69"/>
      <c r="AK68" s="232"/>
      <c r="AL68" s="212"/>
      <c r="AM68" s="212"/>
      <c r="AN68" s="212"/>
      <c r="AO68" s="212"/>
      <c r="AP68" s="69">
        <f t="shared" si="14"/>
        <v>0</v>
      </c>
      <c r="AQ68" s="7"/>
      <c r="AR68" s="69"/>
      <c r="AS68" s="69"/>
      <c r="AT68" s="69"/>
      <c r="AU68" s="69">
        <f t="shared" si="15"/>
        <v>0</v>
      </c>
      <c r="AV68" s="69">
        <f t="shared" si="16"/>
        <v>5206</v>
      </c>
      <c r="AW68" s="234"/>
    </row>
    <row r="69" ht="18" customHeight="1" spans="1:49">
      <c r="A69" s="228">
        <f>SUBTOTAL(2,$Y$4:Y69)</f>
        <v>66</v>
      </c>
      <c r="B69" s="14" t="s">
        <v>200</v>
      </c>
      <c r="C69" s="14" t="s">
        <v>201</v>
      </c>
      <c r="D69" s="14"/>
      <c r="E69" s="14"/>
      <c r="F69" s="30" t="s">
        <v>202</v>
      </c>
      <c r="G69" s="13" t="s">
        <v>193</v>
      </c>
      <c r="H69" s="14"/>
      <c r="I69" s="7">
        <v>1500</v>
      </c>
      <c r="J69" s="238"/>
      <c r="K69" s="69">
        <f t="shared" si="37"/>
        <v>1500</v>
      </c>
      <c r="L69" s="237">
        <v>0</v>
      </c>
      <c r="M69" s="69"/>
      <c r="N69" s="69"/>
      <c r="O69" s="69"/>
      <c r="P69" s="231"/>
      <c r="Q69" s="69"/>
      <c r="R69" s="69"/>
      <c r="S69" s="220">
        <f>ROUND(Q69*0.7,0)</f>
        <v>0</v>
      </c>
      <c r="T69" s="220"/>
      <c r="U69" s="222"/>
      <c r="V69" s="220"/>
      <c r="W69" s="69"/>
      <c r="X69" s="220">
        <f t="shared" si="33"/>
        <v>0</v>
      </c>
      <c r="Y69" s="69">
        <f>I69+J69+L69+S69+T69+V69+X69</f>
        <v>1500</v>
      </c>
      <c r="Z69" s="69"/>
      <c r="AA69" s="69"/>
      <c r="AB69" s="69"/>
      <c r="AC69" s="69"/>
      <c r="AD69" s="69">
        <f t="shared" si="34"/>
        <v>0</v>
      </c>
      <c r="AE69" s="69"/>
      <c r="AF69" s="69"/>
      <c r="AG69" s="69"/>
      <c r="AH69" s="69">
        <f t="shared" si="35"/>
        <v>0</v>
      </c>
      <c r="AI69" s="69">
        <f t="shared" si="36"/>
        <v>1500</v>
      </c>
      <c r="AJ69" s="69"/>
      <c r="AK69" s="232"/>
      <c r="AL69" s="212"/>
      <c r="AM69" s="212"/>
      <c r="AN69" s="212"/>
      <c r="AO69" s="212"/>
      <c r="AP69" s="69">
        <f>AL69+AN69+AM69+AO69</f>
        <v>0</v>
      </c>
      <c r="AQ69" s="7"/>
      <c r="AR69" s="69"/>
      <c r="AS69" s="69"/>
      <c r="AT69" s="69"/>
      <c r="AU69" s="69">
        <f>SUM(AQ69:AT69)</f>
        <v>0</v>
      </c>
      <c r="AV69" s="69">
        <f>AI69-AP69-AU69</f>
        <v>1500</v>
      </c>
      <c r="AW69" s="14"/>
    </row>
    <row r="70" ht="18" customHeight="1" spans="1:49">
      <c r="A70" s="228">
        <f>SUBTOTAL(2,$Y$4:Y70)</f>
        <v>67</v>
      </c>
      <c r="B70" s="14" t="s">
        <v>203</v>
      </c>
      <c r="C70" s="14" t="s">
        <v>201</v>
      </c>
      <c r="D70" s="14"/>
      <c r="E70" s="14"/>
      <c r="F70" s="30" t="s">
        <v>204</v>
      </c>
      <c r="G70" s="13" t="s">
        <v>205</v>
      </c>
      <c r="H70" s="14"/>
      <c r="I70" s="67">
        <v>1200</v>
      </c>
      <c r="J70" s="226"/>
      <c r="K70" s="69">
        <f t="shared" si="37"/>
        <v>1200</v>
      </c>
      <c r="L70" s="237">
        <v>0</v>
      </c>
      <c r="M70" s="69"/>
      <c r="N70" s="69"/>
      <c r="O70" s="69"/>
      <c r="P70" s="231"/>
      <c r="Q70" s="69"/>
      <c r="R70" s="69"/>
      <c r="S70" s="220">
        <f>ROUND(Q70*0.7,0)</f>
        <v>0</v>
      </c>
      <c r="T70" s="220"/>
      <c r="U70" s="222"/>
      <c r="V70" s="220"/>
      <c r="W70" s="69"/>
      <c r="X70" s="220">
        <f t="shared" si="33"/>
        <v>0</v>
      </c>
      <c r="Y70" s="69">
        <f>I70+J70+L70+S70+T70+V70+X70</f>
        <v>1200</v>
      </c>
      <c r="Z70" s="69"/>
      <c r="AA70" s="69"/>
      <c r="AB70" s="69"/>
      <c r="AC70" s="69"/>
      <c r="AD70" s="69">
        <f t="shared" si="34"/>
        <v>0</v>
      </c>
      <c r="AE70" s="69"/>
      <c r="AF70" s="69"/>
      <c r="AG70" s="69"/>
      <c r="AH70" s="69">
        <f t="shared" si="35"/>
        <v>0</v>
      </c>
      <c r="AI70" s="69">
        <f t="shared" si="36"/>
        <v>1200</v>
      </c>
      <c r="AJ70" s="69"/>
      <c r="AK70" s="232"/>
      <c r="AL70" s="212"/>
      <c r="AM70" s="212"/>
      <c r="AN70" s="212"/>
      <c r="AO70" s="212"/>
      <c r="AP70" s="69">
        <f>AL70+AN70+AM70+AO70</f>
        <v>0</v>
      </c>
      <c r="AQ70" s="7"/>
      <c r="AR70" s="69"/>
      <c r="AS70" s="69"/>
      <c r="AT70" s="69"/>
      <c r="AU70" s="69">
        <f>SUM(AQ70:AT70)</f>
        <v>0</v>
      </c>
      <c r="AV70" s="69">
        <f>AI70-AP70-AU70</f>
        <v>1200</v>
      </c>
      <c r="AW70" s="14"/>
    </row>
    <row r="71" customFormat="1" ht="18" customHeight="1" spans="1:49">
      <c r="A71" s="228">
        <f>SUBTOTAL(2,$Y$4:Y71)</f>
        <v>68</v>
      </c>
      <c r="B71" s="14" t="s">
        <v>206</v>
      </c>
      <c r="C71" s="14" t="s">
        <v>201</v>
      </c>
      <c r="D71" s="14"/>
      <c r="E71" s="14"/>
      <c r="F71" s="13" t="s">
        <v>207</v>
      </c>
      <c r="G71" s="13" t="s">
        <v>208</v>
      </c>
      <c r="H71" s="14"/>
      <c r="I71" s="67">
        <v>2000</v>
      </c>
      <c r="J71" s="226"/>
      <c r="K71" s="69">
        <f t="shared" si="37"/>
        <v>2000</v>
      </c>
      <c r="L71" s="237">
        <v>0</v>
      </c>
      <c r="M71" s="69"/>
      <c r="N71" s="69"/>
      <c r="O71" s="69"/>
      <c r="P71" s="231"/>
      <c r="Q71" s="69"/>
      <c r="R71" s="69"/>
      <c r="S71" s="220">
        <f>ROUND(Q71*0.7,0)</f>
        <v>0</v>
      </c>
      <c r="T71" s="220"/>
      <c r="U71" s="222"/>
      <c r="V71" s="220"/>
      <c r="W71" s="69"/>
      <c r="X71" s="220"/>
      <c r="Y71" s="69">
        <f>I71+J71+L71+S71+T71+V71+X71</f>
        <v>2000</v>
      </c>
      <c r="Z71" s="69"/>
      <c r="AA71" s="69"/>
      <c r="AB71" s="69"/>
      <c r="AC71" s="69"/>
      <c r="AD71" s="69">
        <f t="shared" si="34"/>
        <v>0</v>
      </c>
      <c r="AE71" s="69"/>
      <c r="AF71" s="69"/>
      <c r="AG71" s="69"/>
      <c r="AH71" s="69">
        <f t="shared" si="35"/>
        <v>0</v>
      </c>
      <c r="AI71" s="69">
        <f t="shared" si="36"/>
        <v>2000</v>
      </c>
      <c r="AJ71" s="69"/>
      <c r="AK71" s="232"/>
      <c r="AL71" s="212"/>
      <c r="AM71" s="212"/>
      <c r="AN71" s="212"/>
      <c r="AO71" s="212"/>
      <c r="AP71" s="69">
        <f>AL71+AN71+AM71+AO71</f>
        <v>0</v>
      </c>
      <c r="AQ71" s="7"/>
      <c r="AR71" s="69"/>
      <c r="AS71" s="69"/>
      <c r="AT71" s="69"/>
      <c r="AU71" s="69">
        <f>SUM(AQ71:AT71)</f>
        <v>0</v>
      </c>
      <c r="AV71" s="69">
        <f>AI71-AP71-AU71</f>
        <v>2000</v>
      </c>
      <c r="AW71" s="234" t="s">
        <v>209</v>
      </c>
    </row>
    <row r="72" customFormat="1" ht="18" customHeight="1" spans="1:49">
      <c r="A72" s="228">
        <f>SUBTOTAL(2,$Y$4:Y72)</f>
        <v>69</v>
      </c>
      <c r="B72" s="14" t="s">
        <v>210</v>
      </c>
      <c r="C72" s="14" t="s">
        <v>201</v>
      </c>
      <c r="D72" s="14"/>
      <c r="E72" s="14"/>
      <c r="F72" s="118" t="s">
        <v>211</v>
      </c>
      <c r="G72" s="118" t="s">
        <v>212</v>
      </c>
      <c r="H72" s="240"/>
      <c r="I72" s="257">
        <v>1500</v>
      </c>
      <c r="J72" s="258"/>
      <c r="K72" s="69">
        <f t="shared" si="37"/>
        <v>1500</v>
      </c>
      <c r="L72" s="237">
        <v>0</v>
      </c>
      <c r="M72" s="69"/>
      <c r="N72" s="69"/>
      <c r="O72" s="69"/>
      <c r="P72" s="231"/>
      <c r="Q72" s="69"/>
      <c r="R72" s="69"/>
      <c r="S72" s="220"/>
      <c r="T72" s="220"/>
      <c r="U72" s="222"/>
      <c r="V72" s="220">
        <v>200</v>
      </c>
      <c r="W72" s="69"/>
      <c r="X72" s="220"/>
      <c r="Y72" s="69">
        <f>I72+J72+L72+S72+T72+V72+X72</f>
        <v>1700</v>
      </c>
      <c r="Z72" s="69"/>
      <c r="AA72" s="69"/>
      <c r="AB72" s="69"/>
      <c r="AC72" s="69"/>
      <c r="AD72" s="69">
        <f t="shared" si="34"/>
        <v>0</v>
      </c>
      <c r="AE72" s="69"/>
      <c r="AF72" s="69"/>
      <c r="AG72" s="69"/>
      <c r="AH72" s="69">
        <f t="shared" si="35"/>
        <v>0</v>
      </c>
      <c r="AI72" s="69">
        <f t="shared" si="36"/>
        <v>1700</v>
      </c>
      <c r="AJ72" s="69"/>
      <c r="AK72" s="232"/>
      <c r="AL72" s="212"/>
      <c r="AM72" s="212"/>
      <c r="AN72" s="212"/>
      <c r="AO72" s="212"/>
      <c r="AP72" s="69">
        <f>AL72+AN72+AM72+AO72</f>
        <v>0</v>
      </c>
      <c r="AQ72" s="7"/>
      <c r="AR72" s="69"/>
      <c r="AS72" s="69"/>
      <c r="AT72" s="69"/>
      <c r="AU72" s="69">
        <f>SUM(AQ72:AT72)</f>
        <v>0</v>
      </c>
      <c r="AV72" s="69">
        <f>AI72-AP72-AU72</f>
        <v>1700</v>
      </c>
      <c r="AW72" s="234"/>
    </row>
    <row r="73" ht="20.15" customHeight="1" spans="1:49">
      <c r="A73" s="228">
        <f>SUBTOTAL(2,$Y$4:Y73)</f>
        <v>70</v>
      </c>
      <c r="B73" s="14" t="s">
        <v>213</v>
      </c>
      <c r="C73" s="14" t="s">
        <v>214</v>
      </c>
      <c r="D73" s="115">
        <v>2001</v>
      </c>
      <c r="E73" s="259">
        <v>27.42</v>
      </c>
      <c r="F73" s="154">
        <v>2001</v>
      </c>
      <c r="G73" s="154" t="s">
        <v>215</v>
      </c>
      <c r="H73" s="240">
        <f t="shared" ref="H73:H94" si="44">E73</f>
        <v>27.42</v>
      </c>
      <c r="I73" s="257">
        <v>2500</v>
      </c>
      <c r="J73" s="258">
        <v>200</v>
      </c>
      <c r="K73" s="69">
        <f t="shared" si="37"/>
        <v>2700</v>
      </c>
      <c r="L73" s="69">
        <v>160</v>
      </c>
      <c r="M73" s="69">
        <v>9072</v>
      </c>
      <c r="N73" s="69">
        <v>9184</v>
      </c>
      <c r="O73" s="69">
        <f>N73-M73</f>
        <v>112</v>
      </c>
      <c r="P73" s="231">
        <f>ROUND(H73*0,0)</f>
        <v>0</v>
      </c>
      <c r="Q73" s="69">
        <f t="shared" ref="Q73:Q100" si="45">O73+P73</f>
        <v>112</v>
      </c>
      <c r="R73" s="69">
        <v>0.8</v>
      </c>
      <c r="S73" s="220">
        <f t="shared" ref="S73:S133" si="46">ROUND(Q73*0.7,0)</f>
        <v>78</v>
      </c>
      <c r="T73" s="220">
        <f t="shared" ref="T73:T95" si="47">ROUND(Q73*R73,0)</f>
        <v>90</v>
      </c>
      <c r="U73" s="222">
        <f t="shared" ref="U73:U79" si="48">ROUND(H73*5.6,0)</f>
        <v>154</v>
      </c>
      <c r="V73" s="220">
        <f t="shared" ref="V73:V95" si="49">ROUND(U73*1.5,0)</f>
        <v>231</v>
      </c>
      <c r="W73" s="69">
        <f t="shared" ref="W73:W103" si="50">ROUND(H73*0.2,0)</f>
        <v>5</v>
      </c>
      <c r="X73" s="220">
        <f t="shared" ref="X73:X102" si="51">ROUND(W73*8.5,0)</f>
        <v>43</v>
      </c>
      <c r="Y73" s="69">
        <f t="shared" ref="Y73:Y133" si="52">I73+J73+L73+S73+T73+V73+X73</f>
        <v>3302</v>
      </c>
      <c r="Z73" s="69"/>
      <c r="AA73" s="69"/>
      <c r="AB73" s="69"/>
      <c r="AC73" s="69"/>
      <c r="AD73" s="69">
        <f t="shared" ref="AD73:AD101" si="53">AA73+AB73+AC73</f>
        <v>0</v>
      </c>
      <c r="AE73" s="69"/>
      <c r="AF73" s="69"/>
      <c r="AG73" s="69"/>
      <c r="AH73" s="69">
        <f t="shared" ref="AH73:AH101" si="54">AE73+AF73-AG73</f>
        <v>0</v>
      </c>
      <c r="AI73" s="69">
        <f t="shared" ref="AI73:AI101" si="55">Y73+Z73+AJ73-AD73-AG73</f>
        <v>3302</v>
      </c>
      <c r="AJ73" s="69"/>
      <c r="AK73" s="232"/>
      <c r="AL73" s="212"/>
      <c r="AM73" s="212"/>
      <c r="AN73" s="212"/>
      <c r="AO73" s="212"/>
      <c r="AP73" s="69">
        <f t="shared" ref="AP73:AP133" si="56">AL73+AN73+AM73+AO73</f>
        <v>0</v>
      </c>
      <c r="AQ73" s="7"/>
      <c r="AR73" s="69"/>
      <c r="AS73" s="69"/>
      <c r="AT73" s="69"/>
      <c r="AU73" s="69">
        <f t="shared" ref="AU73:AU134" si="57">SUM(AQ73:AT73)</f>
        <v>0</v>
      </c>
      <c r="AV73" s="69">
        <f t="shared" ref="AV73:AV134" si="58">AI73-AP73-AU73</f>
        <v>3302</v>
      </c>
      <c r="AW73" s="14"/>
    </row>
    <row r="74" ht="20.15" customHeight="1" spans="1:49">
      <c r="A74" s="228">
        <f>SUBTOTAL(2,$Y$4:Y74)</f>
        <v>71</v>
      </c>
      <c r="B74" s="14" t="s">
        <v>216</v>
      </c>
      <c r="C74" s="115" t="s">
        <v>214</v>
      </c>
      <c r="D74" s="115">
        <v>2002</v>
      </c>
      <c r="E74" s="229">
        <v>19.54</v>
      </c>
      <c r="F74" s="22">
        <v>2002</v>
      </c>
      <c r="G74" s="22" t="s">
        <v>217</v>
      </c>
      <c r="H74" s="115">
        <f t="shared" si="44"/>
        <v>19.54</v>
      </c>
      <c r="I74" s="67">
        <v>2500</v>
      </c>
      <c r="J74" s="226">
        <v>200</v>
      </c>
      <c r="K74" s="69">
        <f t="shared" si="37"/>
        <v>2700</v>
      </c>
      <c r="L74" s="69">
        <v>160</v>
      </c>
      <c r="M74" s="69">
        <v>7806</v>
      </c>
      <c r="N74" s="69">
        <v>7840</v>
      </c>
      <c r="O74" s="69">
        <f t="shared" ref="O74:O105" si="59">N74-M74</f>
        <v>34</v>
      </c>
      <c r="P74" s="231">
        <f t="shared" ref="P74:P97" si="60">ROUND(H74*0,0)</f>
        <v>0</v>
      </c>
      <c r="Q74" s="69">
        <f t="shared" si="45"/>
        <v>34</v>
      </c>
      <c r="R74" s="69">
        <v>0.8</v>
      </c>
      <c r="S74" s="220">
        <f t="shared" si="46"/>
        <v>24</v>
      </c>
      <c r="T74" s="220">
        <f t="shared" si="47"/>
        <v>27</v>
      </c>
      <c r="U74" s="222">
        <f t="shared" si="48"/>
        <v>109</v>
      </c>
      <c r="V74" s="220">
        <f t="shared" si="49"/>
        <v>164</v>
      </c>
      <c r="W74" s="69">
        <f t="shared" si="50"/>
        <v>4</v>
      </c>
      <c r="X74" s="220">
        <f t="shared" si="51"/>
        <v>34</v>
      </c>
      <c r="Y74" s="69">
        <f t="shared" si="52"/>
        <v>3109</v>
      </c>
      <c r="Z74" s="69"/>
      <c r="AA74" s="69"/>
      <c r="AB74" s="69"/>
      <c r="AC74" s="69"/>
      <c r="AD74" s="69">
        <f t="shared" si="53"/>
        <v>0</v>
      </c>
      <c r="AE74" s="69"/>
      <c r="AF74" s="69"/>
      <c r="AG74" s="69"/>
      <c r="AH74" s="69">
        <f t="shared" si="54"/>
        <v>0</v>
      </c>
      <c r="AI74" s="69">
        <f t="shared" si="55"/>
        <v>3109</v>
      </c>
      <c r="AJ74" s="69"/>
      <c r="AK74" s="232"/>
      <c r="AL74" s="212"/>
      <c r="AM74" s="212"/>
      <c r="AN74" s="212"/>
      <c r="AO74" s="212"/>
      <c r="AP74" s="69">
        <f t="shared" si="56"/>
        <v>0</v>
      </c>
      <c r="AQ74" s="7"/>
      <c r="AR74" s="69"/>
      <c r="AS74" s="69"/>
      <c r="AT74" s="69"/>
      <c r="AU74" s="69">
        <f t="shared" si="57"/>
        <v>0</v>
      </c>
      <c r="AV74" s="69">
        <f t="shared" si="58"/>
        <v>3109</v>
      </c>
      <c r="AW74" s="14"/>
    </row>
    <row r="75" ht="20.15" customHeight="1" spans="1:49">
      <c r="A75" s="228">
        <f>SUBTOTAL(2,$Y$4:Y75)</f>
        <v>72</v>
      </c>
      <c r="B75" s="14" t="s">
        <v>218</v>
      </c>
      <c r="C75" s="115" t="s">
        <v>214</v>
      </c>
      <c r="D75" s="115">
        <v>2003</v>
      </c>
      <c r="E75" s="229">
        <v>19.54</v>
      </c>
      <c r="F75" s="22">
        <v>2003</v>
      </c>
      <c r="G75" s="22" t="s">
        <v>219</v>
      </c>
      <c r="H75" s="14">
        <f t="shared" si="44"/>
        <v>19.54</v>
      </c>
      <c r="I75" s="67">
        <v>2500</v>
      </c>
      <c r="J75" s="226">
        <v>200</v>
      </c>
      <c r="K75" s="69">
        <f t="shared" si="37"/>
        <v>2700</v>
      </c>
      <c r="L75" s="69">
        <v>160</v>
      </c>
      <c r="M75" s="69">
        <v>8606</v>
      </c>
      <c r="N75" s="69">
        <v>8638</v>
      </c>
      <c r="O75" s="69">
        <f t="shared" si="59"/>
        <v>32</v>
      </c>
      <c r="P75" s="231">
        <f t="shared" si="60"/>
        <v>0</v>
      </c>
      <c r="Q75" s="69">
        <f t="shared" si="45"/>
        <v>32</v>
      </c>
      <c r="R75" s="69">
        <v>0.8</v>
      </c>
      <c r="S75" s="220">
        <f t="shared" si="46"/>
        <v>22</v>
      </c>
      <c r="T75" s="220">
        <f t="shared" si="47"/>
        <v>26</v>
      </c>
      <c r="U75" s="222">
        <f t="shared" si="48"/>
        <v>109</v>
      </c>
      <c r="V75" s="220">
        <f t="shared" si="49"/>
        <v>164</v>
      </c>
      <c r="W75" s="69">
        <f t="shared" si="50"/>
        <v>4</v>
      </c>
      <c r="X75" s="220">
        <f t="shared" si="51"/>
        <v>34</v>
      </c>
      <c r="Y75" s="69">
        <f t="shared" si="52"/>
        <v>3106</v>
      </c>
      <c r="Z75" s="69"/>
      <c r="AA75" s="69"/>
      <c r="AB75" s="69"/>
      <c r="AC75" s="69"/>
      <c r="AD75" s="69">
        <f t="shared" si="53"/>
        <v>0</v>
      </c>
      <c r="AE75" s="69"/>
      <c r="AF75" s="69"/>
      <c r="AG75" s="69"/>
      <c r="AH75" s="69">
        <f t="shared" si="54"/>
        <v>0</v>
      </c>
      <c r="AI75" s="69">
        <f t="shared" si="55"/>
        <v>3106</v>
      </c>
      <c r="AJ75" s="69"/>
      <c r="AK75" s="232"/>
      <c r="AL75" s="212"/>
      <c r="AM75" s="212"/>
      <c r="AN75" s="212"/>
      <c r="AO75" s="212"/>
      <c r="AP75" s="69">
        <f t="shared" si="56"/>
        <v>0</v>
      </c>
      <c r="AQ75" s="7"/>
      <c r="AR75" s="69"/>
      <c r="AS75" s="69"/>
      <c r="AT75" s="69"/>
      <c r="AU75" s="69">
        <f t="shared" si="57"/>
        <v>0</v>
      </c>
      <c r="AV75" s="69">
        <f t="shared" si="58"/>
        <v>3106</v>
      </c>
      <c r="AW75" s="14"/>
    </row>
    <row r="76" ht="20.15" customHeight="1" spans="1:49">
      <c r="A76" s="228">
        <f>SUBTOTAL(2,$Y$4:Y76)</f>
        <v>73</v>
      </c>
      <c r="B76" s="14" t="s">
        <v>220</v>
      </c>
      <c r="C76" s="14" t="s">
        <v>214</v>
      </c>
      <c r="D76" s="115">
        <v>2004</v>
      </c>
      <c r="E76" s="229">
        <v>19.54</v>
      </c>
      <c r="F76" s="22">
        <v>2004</v>
      </c>
      <c r="G76" s="22" t="s">
        <v>221</v>
      </c>
      <c r="H76" s="14">
        <f t="shared" si="44"/>
        <v>19.54</v>
      </c>
      <c r="I76" s="7">
        <v>2500</v>
      </c>
      <c r="J76" s="226">
        <v>200</v>
      </c>
      <c r="K76" s="69">
        <f t="shared" si="37"/>
        <v>2700</v>
      </c>
      <c r="L76" s="69">
        <v>160</v>
      </c>
      <c r="M76" s="69">
        <v>8878</v>
      </c>
      <c r="N76" s="69">
        <v>8900</v>
      </c>
      <c r="O76" s="69">
        <f t="shared" si="59"/>
        <v>22</v>
      </c>
      <c r="P76" s="231">
        <f t="shared" si="60"/>
        <v>0</v>
      </c>
      <c r="Q76" s="69">
        <f t="shared" si="45"/>
        <v>22</v>
      </c>
      <c r="R76" s="69">
        <v>0.8</v>
      </c>
      <c r="S76" s="220">
        <f t="shared" si="46"/>
        <v>15</v>
      </c>
      <c r="T76" s="220">
        <f t="shared" si="47"/>
        <v>18</v>
      </c>
      <c r="U76" s="222">
        <f t="shared" si="48"/>
        <v>109</v>
      </c>
      <c r="V76" s="220">
        <f t="shared" si="49"/>
        <v>164</v>
      </c>
      <c r="W76" s="69">
        <f t="shared" si="50"/>
        <v>4</v>
      </c>
      <c r="X76" s="220">
        <f t="shared" si="51"/>
        <v>34</v>
      </c>
      <c r="Y76" s="69">
        <f t="shared" si="52"/>
        <v>3091</v>
      </c>
      <c r="Z76" s="69"/>
      <c r="AA76" s="69"/>
      <c r="AB76" s="69"/>
      <c r="AC76" s="69"/>
      <c r="AD76" s="69">
        <f t="shared" si="53"/>
        <v>0</v>
      </c>
      <c r="AE76" s="69"/>
      <c r="AF76" s="69"/>
      <c r="AG76" s="69"/>
      <c r="AH76" s="69">
        <f t="shared" si="54"/>
        <v>0</v>
      </c>
      <c r="AI76" s="69">
        <f t="shared" si="55"/>
        <v>3091</v>
      </c>
      <c r="AJ76" s="69"/>
      <c r="AK76" s="232"/>
      <c r="AL76" s="212"/>
      <c r="AM76" s="212"/>
      <c r="AN76" s="212"/>
      <c r="AO76" s="212"/>
      <c r="AP76" s="69">
        <f t="shared" si="56"/>
        <v>0</v>
      </c>
      <c r="AQ76" s="7"/>
      <c r="AR76" s="69"/>
      <c r="AS76" s="69"/>
      <c r="AT76" s="69"/>
      <c r="AU76" s="69">
        <f t="shared" si="57"/>
        <v>0</v>
      </c>
      <c r="AV76" s="69">
        <f t="shared" si="58"/>
        <v>3091</v>
      </c>
      <c r="AW76" s="14"/>
    </row>
    <row r="77" ht="20.15" customHeight="1" spans="1:49">
      <c r="A77" s="228">
        <f>SUBTOTAL(2,$Y$4:Y77)</f>
        <v>74</v>
      </c>
      <c r="B77" s="14" t="s">
        <v>222</v>
      </c>
      <c r="C77" s="14" t="s">
        <v>214</v>
      </c>
      <c r="D77" s="115">
        <v>2005</v>
      </c>
      <c r="E77" s="229">
        <v>19.54</v>
      </c>
      <c r="F77" s="22">
        <v>2005</v>
      </c>
      <c r="G77" s="22" t="s">
        <v>223</v>
      </c>
      <c r="H77" s="14">
        <f t="shared" si="44"/>
        <v>19.54</v>
      </c>
      <c r="I77" s="7">
        <v>2500</v>
      </c>
      <c r="J77" s="238">
        <v>200</v>
      </c>
      <c r="K77" s="7">
        <f t="shared" si="37"/>
        <v>2700</v>
      </c>
      <c r="L77" s="7">
        <v>160</v>
      </c>
      <c r="M77" s="69">
        <v>8650</v>
      </c>
      <c r="N77" s="69">
        <v>8692</v>
      </c>
      <c r="O77" s="69">
        <f t="shared" si="59"/>
        <v>42</v>
      </c>
      <c r="P77" s="231">
        <f t="shared" si="60"/>
        <v>0</v>
      </c>
      <c r="Q77" s="69">
        <f t="shared" si="45"/>
        <v>42</v>
      </c>
      <c r="R77" s="69">
        <v>0.8</v>
      </c>
      <c r="S77" s="220">
        <f t="shared" si="46"/>
        <v>29</v>
      </c>
      <c r="T77" s="220">
        <f t="shared" si="47"/>
        <v>34</v>
      </c>
      <c r="U77" s="222">
        <f t="shared" si="48"/>
        <v>109</v>
      </c>
      <c r="V77" s="220">
        <f t="shared" si="49"/>
        <v>164</v>
      </c>
      <c r="W77" s="69">
        <f t="shared" si="50"/>
        <v>4</v>
      </c>
      <c r="X77" s="220">
        <f t="shared" si="51"/>
        <v>34</v>
      </c>
      <c r="Y77" s="69">
        <f t="shared" si="52"/>
        <v>3121</v>
      </c>
      <c r="Z77" s="69"/>
      <c r="AA77" s="69"/>
      <c r="AB77" s="69"/>
      <c r="AC77" s="69"/>
      <c r="AD77" s="69">
        <f t="shared" si="53"/>
        <v>0</v>
      </c>
      <c r="AE77" s="69"/>
      <c r="AF77" s="69"/>
      <c r="AG77" s="69"/>
      <c r="AH77" s="69">
        <f t="shared" si="54"/>
        <v>0</v>
      </c>
      <c r="AI77" s="69">
        <f t="shared" si="55"/>
        <v>3121</v>
      </c>
      <c r="AJ77" s="69"/>
      <c r="AK77" s="232"/>
      <c r="AL77" s="212"/>
      <c r="AM77" s="212"/>
      <c r="AN77" s="212"/>
      <c r="AO77" s="212"/>
      <c r="AP77" s="69">
        <f t="shared" si="56"/>
        <v>0</v>
      </c>
      <c r="AQ77" s="7"/>
      <c r="AR77" s="69"/>
      <c r="AS77" s="69"/>
      <c r="AT77" s="69"/>
      <c r="AU77" s="69">
        <f t="shared" si="57"/>
        <v>0</v>
      </c>
      <c r="AV77" s="69">
        <f t="shared" si="58"/>
        <v>3121</v>
      </c>
      <c r="AW77" s="14"/>
    </row>
    <row r="78" ht="20.15" customHeight="1" spans="1:49">
      <c r="A78" s="228">
        <f>SUBTOTAL(2,$Y$4:Y78)</f>
        <v>75</v>
      </c>
      <c r="B78" s="14" t="s">
        <v>224</v>
      </c>
      <c r="C78" s="115" t="s">
        <v>214</v>
      </c>
      <c r="D78" s="115">
        <v>2006</v>
      </c>
      <c r="E78" s="229">
        <v>19.54</v>
      </c>
      <c r="F78" s="22">
        <v>2006</v>
      </c>
      <c r="G78" s="22" t="s">
        <v>225</v>
      </c>
      <c r="H78" s="14">
        <f t="shared" si="44"/>
        <v>19.54</v>
      </c>
      <c r="I78" s="67">
        <v>2500</v>
      </c>
      <c r="J78" s="226">
        <v>200</v>
      </c>
      <c r="K78" s="69">
        <f t="shared" si="37"/>
        <v>2700</v>
      </c>
      <c r="L78" s="69">
        <v>160</v>
      </c>
      <c r="M78" s="69">
        <v>795</v>
      </c>
      <c r="N78" s="69">
        <v>816</v>
      </c>
      <c r="O78" s="69">
        <f t="shared" si="59"/>
        <v>21</v>
      </c>
      <c r="P78" s="231">
        <f t="shared" si="60"/>
        <v>0</v>
      </c>
      <c r="Q78" s="69">
        <f t="shared" si="45"/>
        <v>21</v>
      </c>
      <c r="R78" s="69">
        <v>0.8</v>
      </c>
      <c r="S78" s="220">
        <f t="shared" si="46"/>
        <v>15</v>
      </c>
      <c r="T78" s="220">
        <f t="shared" si="47"/>
        <v>17</v>
      </c>
      <c r="U78" s="222">
        <f t="shared" si="48"/>
        <v>109</v>
      </c>
      <c r="V78" s="220">
        <f t="shared" si="49"/>
        <v>164</v>
      </c>
      <c r="W78" s="69">
        <f t="shared" si="50"/>
        <v>4</v>
      </c>
      <c r="X78" s="220">
        <f t="shared" si="51"/>
        <v>34</v>
      </c>
      <c r="Y78" s="69">
        <f t="shared" si="52"/>
        <v>3090</v>
      </c>
      <c r="Z78" s="69"/>
      <c r="AA78" s="69"/>
      <c r="AB78" s="69"/>
      <c r="AC78" s="69"/>
      <c r="AD78" s="69">
        <f t="shared" si="53"/>
        <v>0</v>
      </c>
      <c r="AE78" s="69"/>
      <c r="AF78" s="69"/>
      <c r="AG78" s="69"/>
      <c r="AH78" s="69">
        <f t="shared" si="54"/>
        <v>0</v>
      </c>
      <c r="AI78" s="69">
        <f t="shared" si="55"/>
        <v>3090</v>
      </c>
      <c r="AJ78" s="69"/>
      <c r="AK78" s="232"/>
      <c r="AL78" s="212"/>
      <c r="AM78" s="212"/>
      <c r="AN78" s="212"/>
      <c r="AO78" s="212"/>
      <c r="AP78" s="69">
        <f t="shared" si="56"/>
        <v>0</v>
      </c>
      <c r="AQ78" s="7"/>
      <c r="AR78" s="69"/>
      <c r="AS78" s="69"/>
      <c r="AT78" s="69"/>
      <c r="AU78" s="69">
        <f t="shared" si="57"/>
        <v>0</v>
      </c>
      <c r="AV78" s="69">
        <f t="shared" si="58"/>
        <v>3090</v>
      </c>
      <c r="AW78" s="14"/>
    </row>
    <row r="79" ht="20.15" customHeight="1" spans="1:49">
      <c r="A79" s="228">
        <f>SUBTOTAL(2,$Y$4:Y79)</f>
        <v>76</v>
      </c>
      <c r="B79" s="14" t="s">
        <v>226</v>
      </c>
      <c r="C79" s="14" t="s">
        <v>214</v>
      </c>
      <c r="D79" s="115">
        <v>2007</v>
      </c>
      <c r="E79" s="229">
        <v>19.54</v>
      </c>
      <c r="F79" s="22" t="s">
        <v>227</v>
      </c>
      <c r="G79" s="22" t="s">
        <v>228</v>
      </c>
      <c r="H79" s="14">
        <f>E79*2</f>
        <v>39.08</v>
      </c>
      <c r="I79" s="7">
        <v>5000</v>
      </c>
      <c r="J79" s="226">
        <v>400</v>
      </c>
      <c r="K79" s="69">
        <f t="shared" si="37"/>
        <v>5400</v>
      </c>
      <c r="L79" s="69">
        <v>320</v>
      </c>
      <c r="M79" s="69">
        <v>7374</v>
      </c>
      <c r="N79" s="69">
        <v>7391</v>
      </c>
      <c r="O79" s="69">
        <f t="shared" si="59"/>
        <v>17</v>
      </c>
      <c r="P79" s="231">
        <f t="shared" si="60"/>
        <v>0</v>
      </c>
      <c r="Q79" s="69">
        <f t="shared" si="45"/>
        <v>17</v>
      </c>
      <c r="R79" s="69">
        <v>0.8</v>
      </c>
      <c r="S79" s="220">
        <f t="shared" si="46"/>
        <v>12</v>
      </c>
      <c r="T79" s="220">
        <f t="shared" si="47"/>
        <v>14</v>
      </c>
      <c r="U79" s="222">
        <f t="shared" si="48"/>
        <v>219</v>
      </c>
      <c r="V79" s="220">
        <f t="shared" si="49"/>
        <v>329</v>
      </c>
      <c r="W79" s="69">
        <f t="shared" si="50"/>
        <v>8</v>
      </c>
      <c r="X79" s="220">
        <f t="shared" si="51"/>
        <v>68</v>
      </c>
      <c r="Y79" s="69">
        <f t="shared" si="52"/>
        <v>6143</v>
      </c>
      <c r="Z79" s="69"/>
      <c r="AA79" s="69"/>
      <c r="AB79" s="69"/>
      <c r="AC79" s="69"/>
      <c r="AD79" s="69">
        <f t="shared" si="53"/>
        <v>0</v>
      </c>
      <c r="AE79" s="69"/>
      <c r="AF79" s="69"/>
      <c r="AG79" s="69"/>
      <c r="AH79" s="69">
        <f t="shared" si="54"/>
        <v>0</v>
      </c>
      <c r="AI79" s="69">
        <f t="shared" si="55"/>
        <v>6143</v>
      </c>
      <c r="AJ79" s="69"/>
      <c r="AK79" s="232"/>
      <c r="AL79" s="212"/>
      <c r="AM79" s="212"/>
      <c r="AN79" s="212"/>
      <c r="AO79" s="212"/>
      <c r="AP79" s="69">
        <f t="shared" si="56"/>
        <v>0</v>
      </c>
      <c r="AQ79" s="7"/>
      <c r="AR79" s="69"/>
      <c r="AS79" s="69"/>
      <c r="AT79" s="69"/>
      <c r="AU79" s="69">
        <f t="shared" si="57"/>
        <v>0</v>
      </c>
      <c r="AV79" s="69">
        <f t="shared" si="58"/>
        <v>6143</v>
      </c>
      <c r="AW79" s="14"/>
    </row>
    <row r="80" ht="20.15" customHeight="1" spans="1:49">
      <c r="A80" s="228">
        <f>SUBTOTAL(2,$Y$4:Y80)</f>
        <v>77</v>
      </c>
      <c r="B80" s="14" t="s">
        <v>229</v>
      </c>
      <c r="C80" s="14" t="s">
        <v>214</v>
      </c>
      <c r="D80" s="115">
        <v>2008</v>
      </c>
      <c r="E80" s="229">
        <v>19.54</v>
      </c>
      <c r="F80" s="13">
        <v>2008</v>
      </c>
      <c r="G80" s="158" t="s">
        <v>228</v>
      </c>
      <c r="H80" s="14"/>
      <c r="I80" s="69"/>
      <c r="J80" s="230"/>
      <c r="K80" s="69">
        <f t="shared" si="37"/>
        <v>0</v>
      </c>
      <c r="L80" s="237">
        <v>0</v>
      </c>
      <c r="M80" s="69">
        <v>12</v>
      </c>
      <c r="N80" s="69">
        <v>52</v>
      </c>
      <c r="O80" s="69">
        <f t="shared" si="59"/>
        <v>40</v>
      </c>
      <c r="P80" s="231">
        <f t="shared" si="60"/>
        <v>0</v>
      </c>
      <c r="Q80" s="69">
        <f t="shared" si="45"/>
        <v>40</v>
      </c>
      <c r="R80" s="69">
        <v>0.8</v>
      </c>
      <c r="S80" s="220">
        <f t="shared" si="46"/>
        <v>28</v>
      </c>
      <c r="T80" s="220">
        <f t="shared" si="47"/>
        <v>32</v>
      </c>
      <c r="U80" s="222">
        <f t="shared" ref="U80:U88" si="61">ROUND(H80*5.6,0)</f>
        <v>0</v>
      </c>
      <c r="V80" s="220">
        <f t="shared" si="49"/>
        <v>0</v>
      </c>
      <c r="W80" s="69">
        <f t="shared" si="50"/>
        <v>0</v>
      </c>
      <c r="X80" s="220">
        <f t="shared" si="51"/>
        <v>0</v>
      </c>
      <c r="Y80" s="69">
        <f t="shared" si="52"/>
        <v>60</v>
      </c>
      <c r="Z80" s="69"/>
      <c r="AA80" s="69"/>
      <c r="AB80" s="69"/>
      <c r="AC80" s="69"/>
      <c r="AD80" s="69">
        <f t="shared" si="53"/>
        <v>0</v>
      </c>
      <c r="AE80" s="69"/>
      <c r="AF80" s="69"/>
      <c r="AG80" s="69"/>
      <c r="AH80" s="69">
        <f t="shared" si="54"/>
        <v>0</v>
      </c>
      <c r="AI80" s="69">
        <f t="shared" si="55"/>
        <v>60</v>
      </c>
      <c r="AJ80" s="69"/>
      <c r="AK80" s="232"/>
      <c r="AL80" s="212"/>
      <c r="AM80" s="212"/>
      <c r="AN80" s="212"/>
      <c r="AO80" s="212"/>
      <c r="AP80" s="69">
        <f t="shared" si="56"/>
        <v>0</v>
      </c>
      <c r="AQ80" s="7"/>
      <c r="AR80" s="69"/>
      <c r="AS80" s="69"/>
      <c r="AT80" s="69"/>
      <c r="AU80" s="69">
        <f t="shared" si="57"/>
        <v>0</v>
      </c>
      <c r="AV80" s="69">
        <f t="shared" si="58"/>
        <v>60</v>
      </c>
      <c r="AW80" s="14"/>
    </row>
    <row r="81" ht="20.15" customHeight="1" spans="1:49">
      <c r="A81" s="228">
        <f>SUBTOTAL(2,$Y$4:Y81)</f>
        <v>78</v>
      </c>
      <c r="B81" s="14" t="s">
        <v>230</v>
      </c>
      <c r="C81" s="115" t="s">
        <v>214</v>
      </c>
      <c r="D81" s="115">
        <v>2009</v>
      </c>
      <c r="E81" s="229">
        <v>19.54</v>
      </c>
      <c r="F81" s="22">
        <v>2009</v>
      </c>
      <c r="G81" s="22" t="s">
        <v>231</v>
      </c>
      <c r="H81" s="14">
        <f t="shared" si="44"/>
        <v>19.54</v>
      </c>
      <c r="I81" s="67">
        <v>2500</v>
      </c>
      <c r="J81" s="226">
        <v>200</v>
      </c>
      <c r="K81" s="69">
        <f t="shared" si="37"/>
        <v>2700</v>
      </c>
      <c r="L81" s="69">
        <v>160</v>
      </c>
      <c r="M81" s="69">
        <v>4634</v>
      </c>
      <c r="N81" s="69">
        <v>4660</v>
      </c>
      <c r="O81" s="69">
        <f t="shared" si="59"/>
        <v>26</v>
      </c>
      <c r="P81" s="231">
        <f t="shared" si="60"/>
        <v>0</v>
      </c>
      <c r="Q81" s="69">
        <f t="shared" si="45"/>
        <v>26</v>
      </c>
      <c r="R81" s="69">
        <v>0.8</v>
      </c>
      <c r="S81" s="220">
        <f t="shared" si="46"/>
        <v>18</v>
      </c>
      <c r="T81" s="220">
        <f t="shared" si="47"/>
        <v>21</v>
      </c>
      <c r="U81" s="222">
        <f t="shared" si="61"/>
        <v>109</v>
      </c>
      <c r="V81" s="220">
        <f t="shared" si="49"/>
        <v>164</v>
      </c>
      <c r="W81" s="69">
        <f t="shared" si="50"/>
        <v>4</v>
      </c>
      <c r="X81" s="220">
        <f t="shared" si="51"/>
        <v>34</v>
      </c>
      <c r="Y81" s="69">
        <f t="shared" si="52"/>
        <v>3097</v>
      </c>
      <c r="Z81" s="69"/>
      <c r="AA81" s="69"/>
      <c r="AB81" s="69"/>
      <c r="AC81" s="69"/>
      <c r="AD81" s="69">
        <f t="shared" si="53"/>
        <v>0</v>
      </c>
      <c r="AE81" s="69"/>
      <c r="AF81" s="69"/>
      <c r="AG81" s="69"/>
      <c r="AH81" s="69">
        <f t="shared" si="54"/>
        <v>0</v>
      </c>
      <c r="AI81" s="69">
        <f t="shared" si="55"/>
        <v>3097</v>
      </c>
      <c r="AJ81" s="69"/>
      <c r="AK81" s="232"/>
      <c r="AL81" s="212"/>
      <c r="AM81" s="212"/>
      <c r="AN81" s="233"/>
      <c r="AO81" s="212"/>
      <c r="AP81" s="69">
        <f t="shared" si="56"/>
        <v>0</v>
      </c>
      <c r="AQ81" s="7"/>
      <c r="AR81" s="69"/>
      <c r="AS81" s="69"/>
      <c r="AT81" s="69"/>
      <c r="AU81" s="69">
        <f t="shared" si="57"/>
        <v>0</v>
      </c>
      <c r="AV81" s="69">
        <f t="shared" si="58"/>
        <v>3097</v>
      </c>
      <c r="AW81" s="14"/>
    </row>
    <row r="82" ht="20.15" customHeight="1" spans="1:49">
      <c r="A82" s="228">
        <f>SUBTOTAL(2,$Y$4:Y82)</f>
        <v>79</v>
      </c>
      <c r="B82" s="14" t="s">
        <v>232</v>
      </c>
      <c r="C82" s="115" t="s">
        <v>214</v>
      </c>
      <c r="D82" s="115">
        <v>2010</v>
      </c>
      <c r="E82" s="229">
        <v>19.54</v>
      </c>
      <c r="F82" s="22">
        <v>2010</v>
      </c>
      <c r="G82" s="22" t="s">
        <v>233</v>
      </c>
      <c r="H82" s="14">
        <f t="shared" si="44"/>
        <v>19.54</v>
      </c>
      <c r="I82" s="7">
        <v>2500</v>
      </c>
      <c r="J82" s="226">
        <v>200</v>
      </c>
      <c r="K82" s="69">
        <f t="shared" si="37"/>
        <v>2700</v>
      </c>
      <c r="L82" s="69">
        <v>160</v>
      </c>
      <c r="M82" s="69">
        <v>1267</v>
      </c>
      <c r="N82" s="69">
        <v>1301</v>
      </c>
      <c r="O82" s="69">
        <f t="shared" si="59"/>
        <v>34</v>
      </c>
      <c r="P82" s="231">
        <f t="shared" si="60"/>
        <v>0</v>
      </c>
      <c r="Q82" s="69">
        <f t="shared" si="45"/>
        <v>34</v>
      </c>
      <c r="R82" s="69">
        <v>0.8</v>
      </c>
      <c r="S82" s="220">
        <f t="shared" si="46"/>
        <v>24</v>
      </c>
      <c r="T82" s="220">
        <f t="shared" si="47"/>
        <v>27</v>
      </c>
      <c r="U82" s="222">
        <f t="shared" si="61"/>
        <v>109</v>
      </c>
      <c r="V82" s="220">
        <f t="shared" si="49"/>
        <v>164</v>
      </c>
      <c r="W82" s="69">
        <f t="shared" si="50"/>
        <v>4</v>
      </c>
      <c r="X82" s="220">
        <f t="shared" si="51"/>
        <v>34</v>
      </c>
      <c r="Y82" s="69">
        <f t="shared" si="52"/>
        <v>3109</v>
      </c>
      <c r="Z82" s="69"/>
      <c r="AA82" s="69"/>
      <c r="AB82" s="69"/>
      <c r="AC82" s="69"/>
      <c r="AD82" s="69">
        <f t="shared" si="53"/>
        <v>0</v>
      </c>
      <c r="AE82" s="69"/>
      <c r="AF82" s="69"/>
      <c r="AG82" s="69"/>
      <c r="AH82" s="69">
        <f t="shared" si="54"/>
        <v>0</v>
      </c>
      <c r="AI82" s="69">
        <f t="shared" si="55"/>
        <v>3109</v>
      </c>
      <c r="AJ82" s="69"/>
      <c r="AK82" s="232"/>
      <c r="AL82" s="212"/>
      <c r="AM82" s="212"/>
      <c r="AN82" s="212"/>
      <c r="AO82" s="212"/>
      <c r="AP82" s="69">
        <f t="shared" si="56"/>
        <v>0</v>
      </c>
      <c r="AQ82" s="7"/>
      <c r="AR82" s="69"/>
      <c r="AS82" s="69"/>
      <c r="AT82" s="69"/>
      <c r="AU82" s="69">
        <f t="shared" si="57"/>
        <v>0</v>
      </c>
      <c r="AV82" s="69">
        <f t="shared" si="58"/>
        <v>3109</v>
      </c>
      <c r="AW82" s="14"/>
    </row>
    <row r="83" ht="20.15" customHeight="1" spans="1:49">
      <c r="A83" s="228">
        <f>SUBTOTAL(2,$Y$4:Y83)</f>
        <v>80</v>
      </c>
      <c r="B83" s="14" t="s">
        <v>234</v>
      </c>
      <c r="C83" s="14" t="s">
        <v>214</v>
      </c>
      <c r="D83" s="115">
        <v>2011</v>
      </c>
      <c r="E83" s="229">
        <v>19.54</v>
      </c>
      <c r="F83" s="22">
        <v>2011</v>
      </c>
      <c r="G83" s="22" t="s">
        <v>235</v>
      </c>
      <c r="H83" s="89">
        <f t="shared" si="44"/>
        <v>19.54</v>
      </c>
      <c r="I83" s="67">
        <v>2500</v>
      </c>
      <c r="J83" s="226">
        <v>200</v>
      </c>
      <c r="K83" s="69">
        <f t="shared" si="37"/>
        <v>2700</v>
      </c>
      <c r="L83" s="69">
        <v>160</v>
      </c>
      <c r="M83" s="69">
        <v>8680</v>
      </c>
      <c r="N83" s="69">
        <v>8743</v>
      </c>
      <c r="O83" s="69">
        <f t="shared" si="59"/>
        <v>63</v>
      </c>
      <c r="P83" s="231">
        <f t="shared" si="60"/>
        <v>0</v>
      </c>
      <c r="Q83" s="69">
        <f t="shared" si="45"/>
        <v>63</v>
      </c>
      <c r="R83" s="69">
        <v>0.8</v>
      </c>
      <c r="S83" s="220">
        <f t="shared" si="46"/>
        <v>44</v>
      </c>
      <c r="T83" s="220">
        <f t="shared" si="47"/>
        <v>50</v>
      </c>
      <c r="U83" s="222">
        <f t="shared" si="61"/>
        <v>109</v>
      </c>
      <c r="V83" s="220">
        <f t="shared" si="49"/>
        <v>164</v>
      </c>
      <c r="W83" s="69">
        <f t="shared" si="50"/>
        <v>4</v>
      </c>
      <c r="X83" s="220">
        <f t="shared" si="51"/>
        <v>34</v>
      </c>
      <c r="Y83" s="69">
        <f t="shared" si="52"/>
        <v>3152</v>
      </c>
      <c r="Z83" s="69"/>
      <c r="AA83" s="69"/>
      <c r="AB83" s="69"/>
      <c r="AC83" s="69"/>
      <c r="AD83" s="69">
        <f t="shared" si="53"/>
        <v>0</v>
      </c>
      <c r="AE83" s="69"/>
      <c r="AF83" s="69"/>
      <c r="AG83" s="69"/>
      <c r="AH83" s="69">
        <f t="shared" si="54"/>
        <v>0</v>
      </c>
      <c r="AI83" s="69">
        <f t="shared" si="55"/>
        <v>3152</v>
      </c>
      <c r="AJ83" s="69"/>
      <c r="AK83" s="232"/>
      <c r="AL83" s="212"/>
      <c r="AM83" s="212"/>
      <c r="AN83" s="212"/>
      <c r="AO83" s="212"/>
      <c r="AP83" s="69">
        <f t="shared" si="56"/>
        <v>0</v>
      </c>
      <c r="AQ83" s="7"/>
      <c r="AR83" s="69"/>
      <c r="AS83" s="69"/>
      <c r="AT83" s="69"/>
      <c r="AU83" s="69">
        <f t="shared" si="57"/>
        <v>0</v>
      </c>
      <c r="AV83" s="69">
        <f t="shared" si="58"/>
        <v>3152</v>
      </c>
      <c r="AW83" s="14"/>
    </row>
    <row r="84" ht="20.15" customHeight="1" spans="1:49">
      <c r="A84" s="228">
        <f>SUBTOTAL(2,$Y$4:Y84)</f>
        <v>81</v>
      </c>
      <c r="B84" s="14" t="s">
        <v>236</v>
      </c>
      <c r="C84" s="115" t="s">
        <v>214</v>
      </c>
      <c r="D84" s="115">
        <v>2012</v>
      </c>
      <c r="E84" s="229">
        <v>19.54</v>
      </c>
      <c r="F84" s="22">
        <v>2012</v>
      </c>
      <c r="G84" s="22" t="s">
        <v>237</v>
      </c>
      <c r="H84" s="14">
        <f t="shared" si="44"/>
        <v>19.54</v>
      </c>
      <c r="I84" s="67">
        <v>2500</v>
      </c>
      <c r="J84" s="226">
        <v>200</v>
      </c>
      <c r="K84" s="69">
        <f t="shared" si="37"/>
        <v>2700</v>
      </c>
      <c r="L84" s="69">
        <v>160</v>
      </c>
      <c r="M84" s="69">
        <v>554</v>
      </c>
      <c r="N84" s="69">
        <v>592</v>
      </c>
      <c r="O84" s="69">
        <f t="shared" si="59"/>
        <v>38</v>
      </c>
      <c r="P84" s="231">
        <f t="shared" si="60"/>
        <v>0</v>
      </c>
      <c r="Q84" s="69">
        <f t="shared" si="45"/>
        <v>38</v>
      </c>
      <c r="R84" s="69">
        <v>0.8</v>
      </c>
      <c r="S84" s="220">
        <f t="shared" si="46"/>
        <v>27</v>
      </c>
      <c r="T84" s="220">
        <f t="shared" si="47"/>
        <v>30</v>
      </c>
      <c r="U84" s="222">
        <f t="shared" si="61"/>
        <v>109</v>
      </c>
      <c r="V84" s="220">
        <f t="shared" si="49"/>
        <v>164</v>
      </c>
      <c r="W84" s="69">
        <f t="shared" si="50"/>
        <v>4</v>
      </c>
      <c r="X84" s="220">
        <f t="shared" si="51"/>
        <v>34</v>
      </c>
      <c r="Y84" s="69">
        <f t="shared" si="52"/>
        <v>3115</v>
      </c>
      <c r="Z84" s="69"/>
      <c r="AA84" s="69"/>
      <c r="AB84" s="69"/>
      <c r="AC84" s="69"/>
      <c r="AD84" s="69">
        <f t="shared" si="53"/>
        <v>0</v>
      </c>
      <c r="AE84" s="69"/>
      <c r="AF84" s="69"/>
      <c r="AG84" s="69"/>
      <c r="AH84" s="69">
        <f t="shared" si="54"/>
        <v>0</v>
      </c>
      <c r="AI84" s="69">
        <f t="shared" si="55"/>
        <v>3115</v>
      </c>
      <c r="AJ84" s="69"/>
      <c r="AK84" s="232"/>
      <c r="AL84" s="212"/>
      <c r="AM84" s="212"/>
      <c r="AN84" s="212"/>
      <c r="AO84" s="212"/>
      <c r="AP84" s="69">
        <f t="shared" si="56"/>
        <v>0</v>
      </c>
      <c r="AQ84" s="7"/>
      <c r="AR84" s="69"/>
      <c r="AS84" s="67"/>
      <c r="AT84" s="67"/>
      <c r="AU84" s="69">
        <f t="shared" si="57"/>
        <v>0</v>
      </c>
      <c r="AV84" s="69">
        <f t="shared" si="58"/>
        <v>3115</v>
      </c>
      <c r="AW84" s="14"/>
    </row>
    <row r="85" ht="20.15" customHeight="1" spans="1:49">
      <c r="A85" s="228">
        <f>SUBTOTAL(2,$Y$4:Y85)</f>
        <v>82</v>
      </c>
      <c r="B85" s="14" t="s">
        <v>238</v>
      </c>
      <c r="C85" s="115" t="s">
        <v>214</v>
      </c>
      <c r="D85" s="115">
        <v>2013</v>
      </c>
      <c r="E85" s="229">
        <v>19.54</v>
      </c>
      <c r="F85" s="22">
        <v>2013</v>
      </c>
      <c r="G85" s="22" t="s">
        <v>239</v>
      </c>
      <c r="H85" s="14">
        <f t="shared" si="44"/>
        <v>19.54</v>
      </c>
      <c r="I85" s="67">
        <v>2500</v>
      </c>
      <c r="J85" s="226">
        <v>200</v>
      </c>
      <c r="K85" s="69">
        <f t="shared" si="37"/>
        <v>2700</v>
      </c>
      <c r="L85" s="69">
        <v>160</v>
      </c>
      <c r="M85" s="69">
        <v>2047</v>
      </c>
      <c r="N85" s="69">
        <v>2056</v>
      </c>
      <c r="O85" s="69">
        <f t="shared" si="59"/>
        <v>9</v>
      </c>
      <c r="P85" s="231">
        <f t="shared" si="60"/>
        <v>0</v>
      </c>
      <c r="Q85" s="69">
        <f t="shared" si="45"/>
        <v>9</v>
      </c>
      <c r="R85" s="69">
        <v>0.8</v>
      </c>
      <c r="S85" s="220">
        <f t="shared" si="46"/>
        <v>6</v>
      </c>
      <c r="T85" s="220">
        <f t="shared" si="47"/>
        <v>7</v>
      </c>
      <c r="U85" s="222">
        <f t="shared" si="61"/>
        <v>109</v>
      </c>
      <c r="V85" s="220">
        <f t="shared" si="49"/>
        <v>164</v>
      </c>
      <c r="W85" s="69">
        <f t="shared" si="50"/>
        <v>4</v>
      </c>
      <c r="X85" s="220">
        <f t="shared" si="51"/>
        <v>34</v>
      </c>
      <c r="Y85" s="69">
        <f t="shared" si="52"/>
        <v>3071</v>
      </c>
      <c r="Z85" s="69"/>
      <c r="AA85" s="69"/>
      <c r="AB85" s="69"/>
      <c r="AC85" s="69"/>
      <c r="AD85" s="69">
        <f t="shared" si="53"/>
        <v>0</v>
      </c>
      <c r="AE85" s="69"/>
      <c r="AF85" s="69"/>
      <c r="AG85" s="69"/>
      <c r="AH85" s="69">
        <f t="shared" si="54"/>
        <v>0</v>
      </c>
      <c r="AI85" s="69">
        <f t="shared" si="55"/>
        <v>3071</v>
      </c>
      <c r="AJ85" s="69"/>
      <c r="AK85" s="232"/>
      <c r="AL85" s="212"/>
      <c r="AM85" s="212"/>
      <c r="AN85" s="212"/>
      <c r="AO85" s="212"/>
      <c r="AP85" s="69">
        <f t="shared" si="56"/>
        <v>0</v>
      </c>
      <c r="AQ85" s="7"/>
      <c r="AR85" s="69"/>
      <c r="AS85" s="69"/>
      <c r="AT85" s="69"/>
      <c r="AU85" s="69">
        <f t="shared" si="57"/>
        <v>0</v>
      </c>
      <c r="AV85" s="69">
        <f t="shared" si="58"/>
        <v>3071</v>
      </c>
      <c r="AW85" s="14"/>
    </row>
    <row r="86" ht="20.15" customHeight="1" spans="1:49">
      <c r="A86" s="228">
        <f>SUBTOTAL(2,$Y$4:Y86)</f>
        <v>83</v>
      </c>
      <c r="B86" s="14" t="s">
        <v>240</v>
      </c>
      <c r="C86" s="14" t="s">
        <v>214</v>
      </c>
      <c r="D86" s="115">
        <v>2014</v>
      </c>
      <c r="E86" s="229">
        <v>19.54</v>
      </c>
      <c r="F86" s="22">
        <v>2014</v>
      </c>
      <c r="G86" s="22" t="s">
        <v>241</v>
      </c>
      <c r="H86" s="14">
        <f t="shared" si="44"/>
        <v>19.54</v>
      </c>
      <c r="I86" s="7">
        <v>2500</v>
      </c>
      <c r="J86" s="226">
        <v>200</v>
      </c>
      <c r="K86" s="69">
        <f t="shared" si="37"/>
        <v>2700</v>
      </c>
      <c r="L86" s="69">
        <v>160</v>
      </c>
      <c r="M86" s="69">
        <v>2403</v>
      </c>
      <c r="N86" s="69">
        <v>2405</v>
      </c>
      <c r="O86" s="69">
        <f t="shared" si="59"/>
        <v>2</v>
      </c>
      <c r="P86" s="231">
        <f t="shared" si="60"/>
        <v>0</v>
      </c>
      <c r="Q86" s="69">
        <f t="shared" si="45"/>
        <v>2</v>
      </c>
      <c r="R86" s="69">
        <v>0.8</v>
      </c>
      <c r="S86" s="220">
        <f t="shared" si="46"/>
        <v>1</v>
      </c>
      <c r="T86" s="220">
        <f t="shared" si="47"/>
        <v>2</v>
      </c>
      <c r="U86" s="222">
        <f t="shared" si="61"/>
        <v>109</v>
      </c>
      <c r="V86" s="220">
        <f t="shared" si="49"/>
        <v>164</v>
      </c>
      <c r="W86" s="69">
        <f t="shared" si="50"/>
        <v>4</v>
      </c>
      <c r="X86" s="220">
        <f t="shared" si="51"/>
        <v>34</v>
      </c>
      <c r="Y86" s="69">
        <f t="shared" si="52"/>
        <v>3061</v>
      </c>
      <c r="Z86" s="69"/>
      <c r="AA86" s="69"/>
      <c r="AB86" s="69"/>
      <c r="AC86" s="69"/>
      <c r="AD86" s="69">
        <f t="shared" si="53"/>
        <v>0</v>
      </c>
      <c r="AE86" s="69"/>
      <c r="AF86" s="69"/>
      <c r="AG86" s="69"/>
      <c r="AH86" s="69">
        <f t="shared" si="54"/>
        <v>0</v>
      </c>
      <c r="AI86" s="69">
        <f t="shared" si="55"/>
        <v>3061</v>
      </c>
      <c r="AJ86" s="69"/>
      <c r="AK86" s="232"/>
      <c r="AL86" s="212"/>
      <c r="AM86" s="212"/>
      <c r="AN86" s="212"/>
      <c r="AO86" s="212"/>
      <c r="AP86" s="69">
        <f t="shared" si="56"/>
        <v>0</v>
      </c>
      <c r="AQ86" s="7"/>
      <c r="AR86" s="69"/>
      <c r="AS86" s="69"/>
      <c r="AT86" s="69"/>
      <c r="AU86" s="69">
        <f t="shared" si="57"/>
        <v>0</v>
      </c>
      <c r="AV86" s="69">
        <f t="shared" si="58"/>
        <v>3061</v>
      </c>
      <c r="AW86" s="14"/>
    </row>
    <row r="87" ht="20.15" customHeight="1" spans="1:49">
      <c r="A87" s="228">
        <f>SUBTOTAL(2,$Y$4:Y87)</f>
        <v>84</v>
      </c>
      <c r="B87" s="14" t="s">
        <v>242</v>
      </c>
      <c r="C87" s="14" t="s">
        <v>214</v>
      </c>
      <c r="D87" s="115">
        <v>2015</v>
      </c>
      <c r="E87" s="229">
        <v>19.54</v>
      </c>
      <c r="F87" s="22">
        <v>2015</v>
      </c>
      <c r="G87" s="22" t="s">
        <v>243</v>
      </c>
      <c r="H87" s="14">
        <f t="shared" si="44"/>
        <v>19.54</v>
      </c>
      <c r="I87" s="7">
        <v>2500</v>
      </c>
      <c r="J87" s="226">
        <v>200</v>
      </c>
      <c r="K87" s="69">
        <f t="shared" si="37"/>
        <v>2700</v>
      </c>
      <c r="L87" s="69">
        <v>160</v>
      </c>
      <c r="M87" s="69">
        <v>9589</v>
      </c>
      <c r="N87" s="69">
        <v>9615</v>
      </c>
      <c r="O87" s="69">
        <f t="shared" si="59"/>
        <v>26</v>
      </c>
      <c r="P87" s="231">
        <f t="shared" si="60"/>
        <v>0</v>
      </c>
      <c r="Q87" s="69">
        <f t="shared" si="45"/>
        <v>26</v>
      </c>
      <c r="R87" s="69">
        <v>0.8</v>
      </c>
      <c r="S87" s="220">
        <f t="shared" si="46"/>
        <v>18</v>
      </c>
      <c r="T87" s="220">
        <f t="shared" si="47"/>
        <v>21</v>
      </c>
      <c r="U87" s="222">
        <f t="shared" si="61"/>
        <v>109</v>
      </c>
      <c r="V87" s="220">
        <f t="shared" si="49"/>
        <v>164</v>
      </c>
      <c r="W87" s="69">
        <f t="shared" si="50"/>
        <v>4</v>
      </c>
      <c r="X87" s="220">
        <f t="shared" si="51"/>
        <v>34</v>
      </c>
      <c r="Y87" s="69">
        <f t="shared" si="52"/>
        <v>3097</v>
      </c>
      <c r="Z87" s="69"/>
      <c r="AA87" s="69"/>
      <c r="AB87" s="69"/>
      <c r="AC87" s="69"/>
      <c r="AD87" s="69">
        <f t="shared" si="53"/>
        <v>0</v>
      </c>
      <c r="AE87" s="69"/>
      <c r="AF87" s="69"/>
      <c r="AG87" s="69"/>
      <c r="AH87" s="69">
        <f t="shared" si="54"/>
        <v>0</v>
      </c>
      <c r="AI87" s="69">
        <f t="shared" si="55"/>
        <v>3097</v>
      </c>
      <c r="AJ87" s="69"/>
      <c r="AK87" s="232"/>
      <c r="AL87" s="212"/>
      <c r="AM87" s="212"/>
      <c r="AN87" s="212"/>
      <c r="AO87" s="212"/>
      <c r="AP87" s="69">
        <f t="shared" si="56"/>
        <v>0</v>
      </c>
      <c r="AQ87" s="7"/>
      <c r="AR87" s="69"/>
      <c r="AS87" s="69"/>
      <c r="AT87" s="69"/>
      <c r="AU87" s="69">
        <f t="shared" si="57"/>
        <v>0</v>
      </c>
      <c r="AV87" s="69">
        <f t="shared" si="58"/>
        <v>3097</v>
      </c>
      <c r="AW87" s="14"/>
    </row>
    <row r="88" ht="20.15" customHeight="1" spans="1:49">
      <c r="A88" s="228">
        <f>SUBTOTAL(2,$Y$4:Y88)</f>
        <v>85</v>
      </c>
      <c r="B88" s="14" t="s">
        <v>244</v>
      </c>
      <c r="C88" s="14" t="s">
        <v>214</v>
      </c>
      <c r="D88" s="115">
        <v>2016</v>
      </c>
      <c r="E88" s="229">
        <v>19.54</v>
      </c>
      <c r="F88" s="22">
        <v>2016</v>
      </c>
      <c r="G88" s="22" t="s">
        <v>245</v>
      </c>
      <c r="H88" s="14">
        <f t="shared" si="44"/>
        <v>19.54</v>
      </c>
      <c r="I88" s="67">
        <v>2500</v>
      </c>
      <c r="J88" s="226">
        <v>200</v>
      </c>
      <c r="K88" s="69">
        <f t="shared" si="37"/>
        <v>2700</v>
      </c>
      <c r="L88" s="69">
        <v>160</v>
      </c>
      <c r="M88" s="69">
        <v>9080</v>
      </c>
      <c r="N88" s="69">
        <v>9131</v>
      </c>
      <c r="O88" s="69">
        <f t="shared" si="59"/>
        <v>51</v>
      </c>
      <c r="P88" s="231">
        <f t="shared" si="60"/>
        <v>0</v>
      </c>
      <c r="Q88" s="69">
        <f t="shared" si="45"/>
        <v>51</v>
      </c>
      <c r="R88" s="69">
        <v>0.8</v>
      </c>
      <c r="S88" s="220">
        <f t="shared" si="46"/>
        <v>36</v>
      </c>
      <c r="T88" s="220">
        <f t="shared" si="47"/>
        <v>41</v>
      </c>
      <c r="U88" s="222">
        <f t="shared" si="61"/>
        <v>109</v>
      </c>
      <c r="V88" s="220">
        <f t="shared" si="49"/>
        <v>164</v>
      </c>
      <c r="W88" s="69">
        <f t="shared" si="50"/>
        <v>4</v>
      </c>
      <c r="X88" s="220">
        <f t="shared" si="51"/>
        <v>34</v>
      </c>
      <c r="Y88" s="69">
        <f t="shared" si="52"/>
        <v>3135</v>
      </c>
      <c r="Z88" s="69"/>
      <c r="AA88" s="69"/>
      <c r="AB88" s="69"/>
      <c r="AC88" s="69"/>
      <c r="AD88" s="69">
        <f t="shared" si="53"/>
        <v>0</v>
      </c>
      <c r="AE88" s="69"/>
      <c r="AF88" s="69"/>
      <c r="AG88" s="69"/>
      <c r="AH88" s="69">
        <f t="shared" si="54"/>
        <v>0</v>
      </c>
      <c r="AI88" s="69">
        <f t="shared" si="55"/>
        <v>3135</v>
      </c>
      <c r="AJ88" s="69"/>
      <c r="AK88" s="232"/>
      <c r="AL88" s="212"/>
      <c r="AM88" s="212"/>
      <c r="AN88" s="212"/>
      <c r="AO88" s="212"/>
      <c r="AP88" s="69">
        <f t="shared" si="56"/>
        <v>0</v>
      </c>
      <c r="AQ88" s="7"/>
      <c r="AR88" s="69"/>
      <c r="AS88" s="69"/>
      <c r="AT88" s="69"/>
      <c r="AU88" s="69">
        <f t="shared" si="57"/>
        <v>0</v>
      </c>
      <c r="AV88" s="69">
        <f t="shared" si="58"/>
        <v>3135</v>
      </c>
      <c r="AW88" s="14"/>
    </row>
    <row r="89" ht="20.15" customHeight="1" spans="1:49">
      <c r="A89" s="228">
        <f>SUBTOTAL(2,$Y$4:Y89)</f>
        <v>86</v>
      </c>
      <c r="B89" s="14" t="s">
        <v>246</v>
      </c>
      <c r="C89" s="14" t="s">
        <v>214</v>
      </c>
      <c r="D89" s="115">
        <v>2017</v>
      </c>
      <c r="E89" s="229">
        <v>19.54</v>
      </c>
      <c r="F89" s="13">
        <v>2017</v>
      </c>
      <c r="G89" s="13" t="s">
        <v>245</v>
      </c>
      <c r="H89" s="14">
        <f t="shared" si="44"/>
        <v>19.54</v>
      </c>
      <c r="I89" s="69">
        <v>2500</v>
      </c>
      <c r="J89" s="230">
        <v>200</v>
      </c>
      <c r="K89" s="69">
        <f t="shared" si="37"/>
        <v>2700</v>
      </c>
      <c r="L89" s="69">
        <v>160</v>
      </c>
      <c r="M89" s="69">
        <v>9485</v>
      </c>
      <c r="N89" s="69">
        <v>9532</v>
      </c>
      <c r="O89" s="69">
        <f t="shared" si="59"/>
        <v>47</v>
      </c>
      <c r="P89" s="231">
        <f t="shared" si="60"/>
        <v>0</v>
      </c>
      <c r="Q89" s="69">
        <f t="shared" si="45"/>
        <v>47</v>
      </c>
      <c r="R89" s="69">
        <v>0.8</v>
      </c>
      <c r="S89" s="220">
        <f t="shared" si="46"/>
        <v>33</v>
      </c>
      <c r="T89" s="220">
        <f t="shared" si="47"/>
        <v>38</v>
      </c>
      <c r="U89" s="222">
        <f t="shared" ref="U89:U97" si="62">ROUND(H89*5.6,0)</f>
        <v>109</v>
      </c>
      <c r="V89" s="220">
        <f t="shared" si="49"/>
        <v>164</v>
      </c>
      <c r="W89" s="69">
        <f t="shared" si="50"/>
        <v>4</v>
      </c>
      <c r="X89" s="220">
        <f t="shared" si="51"/>
        <v>34</v>
      </c>
      <c r="Y89" s="69">
        <f t="shared" si="52"/>
        <v>3129</v>
      </c>
      <c r="Z89" s="69"/>
      <c r="AA89" s="69"/>
      <c r="AB89" s="69"/>
      <c r="AC89" s="69"/>
      <c r="AD89" s="69">
        <f t="shared" si="53"/>
        <v>0</v>
      </c>
      <c r="AE89" s="69"/>
      <c r="AF89" s="69"/>
      <c r="AG89" s="69"/>
      <c r="AH89" s="69">
        <f t="shared" si="54"/>
        <v>0</v>
      </c>
      <c r="AI89" s="69">
        <f t="shared" si="55"/>
        <v>3129</v>
      </c>
      <c r="AJ89" s="69"/>
      <c r="AK89" s="232"/>
      <c r="AL89" s="212"/>
      <c r="AM89" s="212"/>
      <c r="AN89" s="212"/>
      <c r="AO89" s="212"/>
      <c r="AP89" s="69">
        <f t="shared" si="56"/>
        <v>0</v>
      </c>
      <c r="AQ89" s="7"/>
      <c r="AR89" s="69"/>
      <c r="AS89" s="67"/>
      <c r="AT89" s="67"/>
      <c r="AU89" s="69">
        <f t="shared" si="57"/>
        <v>0</v>
      </c>
      <c r="AV89" s="69">
        <f t="shared" si="58"/>
        <v>3129</v>
      </c>
      <c r="AW89" s="14"/>
    </row>
    <row r="90" ht="20.15" customHeight="1" spans="1:49">
      <c r="A90" s="228">
        <f>SUBTOTAL(2,$Y$4:Y90)</f>
        <v>87</v>
      </c>
      <c r="B90" s="14" t="s">
        <v>247</v>
      </c>
      <c r="C90" s="14" t="s">
        <v>214</v>
      </c>
      <c r="D90" s="115">
        <v>2018</v>
      </c>
      <c r="E90" s="229">
        <v>19.54</v>
      </c>
      <c r="F90" s="13">
        <v>2018</v>
      </c>
      <c r="G90" s="13" t="s">
        <v>248</v>
      </c>
      <c r="H90" s="14">
        <f t="shared" si="44"/>
        <v>19.54</v>
      </c>
      <c r="I90" s="69">
        <v>2500</v>
      </c>
      <c r="J90" s="230">
        <v>200</v>
      </c>
      <c r="K90" s="69">
        <f t="shared" si="37"/>
        <v>2700</v>
      </c>
      <c r="L90" s="69">
        <v>160</v>
      </c>
      <c r="M90" s="69">
        <v>2004</v>
      </c>
      <c r="N90" s="69">
        <v>2099</v>
      </c>
      <c r="O90" s="69">
        <f t="shared" si="59"/>
        <v>95</v>
      </c>
      <c r="P90" s="231">
        <f t="shared" si="60"/>
        <v>0</v>
      </c>
      <c r="Q90" s="69">
        <f t="shared" si="45"/>
        <v>95</v>
      </c>
      <c r="R90" s="69">
        <v>0.8</v>
      </c>
      <c r="S90" s="220">
        <f t="shared" si="46"/>
        <v>67</v>
      </c>
      <c r="T90" s="220">
        <f t="shared" si="47"/>
        <v>76</v>
      </c>
      <c r="U90" s="222">
        <f t="shared" si="62"/>
        <v>109</v>
      </c>
      <c r="V90" s="220">
        <f t="shared" si="49"/>
        <v>164</v>
      </c>
      <c r="W90" s="69">
        <f t="shared" si="50"/>
        <v>4</v>
      </c>
      <c r="X90" s="220">
        <f t="shared" si="51"/>
        <v>34</v>
      </c>
      <c r="Y90" s="69">
        <f t="shared" si="52"/>
        <v>3201</v>
      </c>
      <c r="Z90" s="69"/>
      <c r="AA90" s="69"/>
      <c r="AB90" s="69"/>
      <c r="AC90" s="69"/>
      <c r="AD90" s="69">
        <f t="shared" si="53"/>
        <v>0</v>
      </c>
      <c r="AE90" s="69"/>
      <c r="AF90" s="69"/>
      <c r="AG90" s="69"/>
      <c r="AH90" s="69">
        <f t="shared" si="54"/>
        <v>0</v>
      </c>
      <c r="AI90" s="69">
        <f t="shared" si="55"/>
        <v>3201</v>
      </c>
      <c r="AJ90" s="69"/>
      <c r="AK90" s="232"/>
      <c r="AL90" s="212"/>
      <c r="AM90" s="212"/>
      <c r="AN90" s="212"/>
      <c r="AO90" s="212"/>
      <c r="AP90" s="69">
        <f t="shared" si="56"/>
        <v>0</v>
      </c>
      <c r="AQ90" s="7"/>
      <c r="AR90" s="69"/>
      <c r="AS90" s="67"/>
      <c r="AT90" s="67"/>
      <c r="AU90" s="69">
        <f t="shared" si="57"/>
        <v>0</v>
      </c>
      <c r="AV90" s="69">
        <f t="shared" si="58"/>
        <v>3201</v>
      </c>
      <c r="AW90" s="14"/>
    </row>
    <row r="91" ht="20.15" customHeight="1" spans="1:49">
      <c r="A91" s="228">
        <f>SUBTOTAL(2,$Y$4:Y91)</f>
        <v>88</v>
      </c>
      <c r="B91" s="14" t="s">
        <v>249</v>
      </c>
      <c r="C91" s="14" t="s">
        <v>214</v>
      </c>
      <c r="D91" s="115">
        <v>2019</v>
      </c>
      <c r="E91" s="229">
        <v>19.54</v>
      </c>
      <c r="F91" s="22">
        <v>2019</v>
      </c>
      <c r="G91" s="22" t="s">
        <v>250</v>
      </c>
      <c r="H91" s="14">
        <f t="shared" si="44"/>
        <v>19.54</v>
      </c>
      <c r="I91" s="7">
        <v>2500</v>
      </c>
      <c r="J91" s="226">
        <v>200</v>
      </c>
      <c r="K91" s="69">
        <f t="shared" si="37"/>
        <v>2700</v>
      </c>
      <c r="L91" s="69">
        <v>160</v>
      </c>
      <c r="M91" s="69">
        <v>1295</v>
      </c>
      <c r="N91" s="69">
        <v>1359</v>
      </c>
      <c r="O91" s="69">
        <f t="shared" si="59"/>
        <v>64</v>
      </c>
      <c r="P91" s="231">
        <f t="shared" si="60"/>
        <v>0</v>
      </c>
      <c r="Q91" s="69">
        <f t="shared" si="45"/>
        <v>64</v>
      </c>
      <c r="R91" s="69">
        <v>0.8</v>
      </c>
      <c r="S91" s="220">
        <f t="shared" si="46"/>
        <v>45</v>
      </c>
      <c r="T91" s="220">
        <f t="shared" si="47"/>
        <v>51</v>
      </c>
      <c r="U91" s="222">
        <f t="shared" si="62"/>
        <v>109</v>
      </c>
      <c r="V91" s="220">
        <f t="shared" si="49"/>
        <v>164</v>
      </c>
      <c r="W91" s="69">
        <f t="shared" si="50"/>
        <v>4</v>
      </c>
      <c r="X91" s="220">
        <f t="shared" si="51"/>
        <v>34</v>
      </c>
      <c r="Y91" s="69">
        <f t="shared" si="52"/>
        <v>3154</v>
      </c>
      <c r="Z91" s="69"/>
      <c r="AA91" s="69"/>
      <c r="AB91" s="69"/>
      <c r="AC91" s="69"/>
      <c r="AD91" s="69">
        <f t="shared" si="53"/>
        <v>0</v>
      </c>
      <c r="AE91" s="69"/>
      <c r="AF91" s="69"/>
      <c r="AG91" s="69"/>
      <c r="AH91" s="69">
        <f t="shared" si="54"/>
        <v>0</v>
      </c>
      <c r="AI91" s="69">
        <f t="shared" si="55"/>
        <v>3154</v>
      </c>
      <c r="AJ91" s="69"/>
      <c r="AK91" s="232"/>
      <c r="AL91" s="212"/>
      <c r="AM91" s="212"/>
      <c r="AN91" s="212"/>
      <c r="AO91" s="212"/>
      <c r="AP91" s="69">
        <f t="shared" si="56"/>
        <v>0</v>
      </c>
      <c r="AQ91" s="7"/>
      <c r="AR91" s="69"/>
      <c r="AS91" s="69"/>
      <c r="AT91" s="69"/>
      <c r="AU91" s="69">
        <f t="shared" si="57"/>
        <v>0</v>
      </c>
      <c r="AV91" s="69">
        <f t="shared" si="58"/>
        <v>3154</v>
      </c>
      <c r="AW91" s="260"/>
    </row>
    <row r="92" s="196" customFormat="1" ht="20.15" customHeight="1" spans="1:49">
      <c r="A92" s="228">
        <f>SUBTOTAL(2,$Y$4:Y92)</f>
        <v>89</v>
      </c>
      <c r="B92" s="14" t="s">
        <v>251</v>
      </c>
      <c r="C92" s="96" t="s">
        <v>214</v>
      </c>
      <c r="D92" s="115">
        <v>2020</v>
      </c>
      <c r="E92" s="229">
        <v>19.54</v>
      </c>
      <c r="F92" s="22">
        <v>2020</v>
      </c>
      <c r="G92" s="22" t="s">
        <v>252</v>
      </c>
      <c r="H92" s="14">
        <f t="shared" si="44"/>
        <v>19.54</v>
      </c>
      <c r="I92" s="7">
        <v>2500</v>
      </c>
      <c r="J92" s="226">
        <v>200</v>
      </c>
      <c r="K92" s="7">
        <f t="shared" si="37"/>
        <v>2700</v>
      </c>
      <c r="L92" s="69">
        <v>160</v>
      </c>
      <c r="M92" s="7">
        <v>8770</v>
      </c>
      <c r="N92" s="7">
        <v>8808</v>
      </c>
      <c r="O92" s="69">
        <f t="shared" si="59"/>
        <v>38</v>
      </c>
      <c r="P92" s="231">
        <f t="shared" si="60"/>
        <v>0</v>
      </c>
      <c r="Q92" s="69">
        <f t="shared" si="45"/>
        <v>38</v>
      </c>
      <c r="R92" s="7">
        <v>0.8</v>
      </c>
      <c r="S92" s="220">
        <f t="shared" si="46"/>
        <v>27</v>
      </c>
      <c r="T92" s="261">
        <f t="shared" si="47"/>
        <v>30</v>
      </c>
      <c r="U92" s="222">
        <f t="shared" si="62"/>
        <v>109</v>
      </c>
      <c r="V92" s="261">
        <f t="shared" si="49"/>
        <v>164</v>
      </c>
      <c r="W92" s="69">
        <f t="shared" si="50"/>
        <v>4</v>
      </c>
      <c r="X92" s="220">
        <f t="shared" si="51"/>
        <v>34</v>
      </c>
      <c r="Y92" s="69">
        <f t="shared" si="52"/>
        <v>3115</v>
      </c>
      <c r="Z92" s="7"/>
      <c r="AA92" s="7"/>
      <c r="AB92" s="7"/>
      <c r="AC92" s="7"/>
      <c r="AD92" s="69">
        <f t="shared" si="53"/>
        <v>0</v>
      </c>
      <c r="AE92" s="7"/>
      <c r="AF92" s="7"/>
      <c r="AG92" s="7"/>
      <c r="AH92" s="69">
        <f t="shared" si="54"/>
        <v>0</v>
      </c>
      <c r="AI92" s="69">
        <f t="shared" si="55"/>
        <v>3115</v>
      </c>
      <c r="AJ92" s="7"/>
      <c r="AK92" s="262"/>
      <c r="AL92" s="177"/>
      <c r="AM92" s="177"/>
      <c r="AN92" s="177"/>
      <c r="AO92" s="177"/>
      <c r="AP92" s="69">
        <f t="shared" si="56"/>
        <v>0</v>
      </c>
      <c r="AQ92" s="7"/>
      <c r="AR92" s="69"/>
      <c r="AS92" s="7"/>
      <c r="AT92" s="7"/>
      <c r="AU92" s="69">
        <f t="shared" si="57"/>
        <v>0</v>
      </c>
      <c r="AV92" s="69">
        <f t="shared" si="58"/>
        <v>3115</v>
      </c>
      <c r="AW92" s="96"/>
    </row>
    <row r="93" ht="20.15" customHeight="1" spans="1:49">
      <c r="A93" s="228">
        <f>SUBTOTAL(2,$Y$4:Y93)</f>
        <v>90</v>
      </c>
      <c r="B93" s="14" t="s">
        <v>253</v>
      </c>
      <c r="C93" s="14" t="s">
        <v>214</v>
      </c>
      <c r="D93" s="115">
        <v>2021</v>
      </c>
      <c r="E93" s="229">
        <v>19.54</v>
      </c>
      <c r="F93" s="22">
        <v>2021</v>
      </c>
      <c r="G93" s="22" t="s">
        <v>254</v>
      </c>
      <c r="H93" s="14">
        <f t="shared" si="44"/>
        <v>19.54</v>
      </c>
      <c r="I93" s="67">
        <v>2500</v>
      </c>
      <c r="J93" s="226">
        <v>200</v>
      </c>
      <c r="K93" s="69">
        <f t="shared" si="37"/>
        <v>2700</v>
      </c>
      <c r="L93" s="69">
        <v>160</v>
      </c>
      <c r="M93" s="69">
        <v>9290</v>
      </c>
      <c r="N93" s="69">
        <v>9351</v>
      </c>
      <c r="O93" s="69">
        <f t="shared" si="59"/>
        <v>61</v>
      </c>
      <c r="P93" s="231">
        <f t="shared" si="60"/>
        <v>0</v>
      </c>
      <c r="Q93" s="69">
        <f t="shared" si="45"/>
        <v>61</v>
      </c>
      <c r="R93" s="69">
        <v>0.8</v>
      </c>
      <c r="S93" s="220">
        <f t="shared" si="46"/>
        <v>43</v>
      </c>
      <c r="T93" s="220">
        <f t="shared" si="47"/>
        <v>49</v>
      </c>
      <c r="U93" s="222">
        <f t="shared" si="62"/>
        <v>109</v>
      </c>
      <c r="V93" s="220">
        <f t="shared" si="49"/>
        <v>164</v>
      </c>
      <c r="W93" s="69">
        <f t="shared" si="50"/>
        <v>4</v>
      </c>
      <c r="X93" s="220">
        <f t="shared" si="51"/>
        <v>34</v>
      </c>
      <c r="Y93" s="69">
        <f t="shared" si="52"/>
        <v>3150</v>
      </c>
      <c r="Z93" s="69"/>
      <c r="AA93" s="69"/>
      <c r="AB93" s="69"/>
      <c r="AC93" s="69"/>
      <c r="AD93" s="69">
        <f t="shared" si="53"/>
        <v>0</v>
      </c>
      <c r="AE93" s="69"/>
      <c r="AF93" s="69"/>
      <c r="AG93" s="69"/>
      <c r="AH93" s="69">
        <f t="shared" si="54"/>
        <v>0</v>
      </c>
      <c r="AI93" s="69">
        <f t="shared" si="55"/>
        <v>3150</v>
      </c>
      <c r="AJ93" s="69"/>
      <c r="AK93" s="232"/>
      <c r="AL93" s="212"/>
      <c r="AM93" s="212"/>
      <c r="AN93" s="177"/>
      <c r="AO93" s="212"/>
      <c r="AP93" s="69">
        <f t="shared" si="56"/>
        <v>0</v>
      </c>
      <c r="AQ93" s="7"/>
      <c r="AR93" s="69"/>
      <c r="AS93" s="69"/>
      <c r="AT93" s="69"/>
      <c r="AU93" s="69">
        <f t="shared" si="57"/>
        <v>0</v>
      </c>
      <c r="AV93" s="69">
        <f t="shared" si="58"/>
        <v>3150</v>
      </c>
      <c r="AW93" s="14"/>
    </row>
    <row r="94" ht="20.15" customHeight="1" spans="1:49">
      <c r="A94" s="228">
        <f>SUBTOTAL(2,$Y$4:Y94)</f>
        <v>91</v>
      </c>
      <c r="B94" s="14" t="s">
        <v>255</v>
      </c>
      <c r="C94" s="14" t="s">
        <v>214</v>
      </c>
      <c r="D94" s="115">
        <v>2022</v>
      </c>
      <c r="E94" s="229">
        <v>19.54</v>
      </c>
      <c r="F94" s="13">
        <v>2022</v>
      </c>
      <c r="G94" s="22" t="s">
        <v>256</v>
      </c>
      <c r="H94" s="14">
        <f t="shared" si="44"/>
        <v>19.54</v>
      </c>
      <c r="I94" s="7">
        <v>2500</v>
      </c>
      <c r="J94" s="230">
        <v>200</v>
      </c>
      <c r="K94" s="69">
        <f t="shared" si="37"/>
        <v>2700</v>
      </c>
      <c r="L94" s="69">
        <v>160</v>
      </c>
      <c r="M94" s="69">
        <v>8762</v>
      </c>
      <c r="N94" s="69">
        <v>8774</v>
      </c>
      <c r="O94" s="69">
        <f t="shared" si="59"/>
        <v>12</v>
      </c>
      <c r="P94" s="231">
        <f t="shared" si="60"/>
        <v>0</v>
      </c>
      <c r="Q94" s="69">
        <f t="shared" si="45"/>
        <v>12</v>
      </c>
      <c r="R94" s="69">
        <v>0.8</v>
      </c>
      <c r="S94" s="220">
        <f t="shared" si="46"/>
        <v>8</v>
      </c>
      <c r="T94" s="220">
        <f t="shared" si="47"/>
        <v>10</v>
      </c>
      <c r="U94" s="222">
        <f t="shared" si="62"/>
        <v>109</v>
      </c>
      <c r="V94" s="220">
        <f t="shared" si="49"/>
        <v>164</v>
      </c>
      <c r="W94" s="69">
        <f t="shared" si="50"/>
        <v>4</v>
      </c>
      <c r="X94" s="220">
        <f t="shared" si="51"/>
        <v>34</v>
      </c>
      <c r="Y94" s="69">
        <f t="shared" si="52"/>
        <v>3076</v>
      </c>
      <c r="Z94" s="69"/>
      <c r="AA94" s="69"/>
      <c r="AB94" s="69"/>
      <c r="AC94" s="69"/>
      <c r="AD94" s="69">
        <f t="shared" si="53"/>
        <v>0</v>
      </c>
      <c r="AE94" s="69"/>
      <c r="AF94" s="69"/>
      <c r="AG94" s="69"/>
      <c r="AH94" s="69">
        <f t="shared" si="54"/>
        <v>0</v>
      </c>
      <c r="AI94" s="69">
        <f t="shared" si="55"/>
        <v>3076</v>
      </c>
      <c r="AJ94" s="69"/>
      <c r="AK94" s="232"/>
      <c r="AL94" s="212"/>
      <c r="AM94" s="212"/>
      <c r="AN94" s="212"/>
      <c r="AO94" s="212"/>
      <c r="AP94" s="69">
        <f t="shared" si="56"/>
        <v>0</v>
      </c>
      <c r="AQ94" s="7"/>
      <c r="AR94" s="69"/>
      <c r="AS94" s="67"/>
      <c r="AT94" s="67"/>
      <c r="AU94" s="69">
        <f t="shared" si="57"/>
        <v>0</v>
      </c>
      <c r="AV94" s="69">
        <f t="shared" si="58"/>
        <v>3076</v>
      </c>
      <c r="AW94" s="14"/>
    </row>
    <row r="95" ht="20.15" customHeight="1" spans="1:49">
      <c r="A95" s="228">
        <f>SUBTOTAL(2,$Y$4:Y95)</f>
        <v>92</v>
      </c>
      <c r="B95" s="14" t="s">
        <v>257</v>
      </c>
      <c r="C95" s="115" t="s">
        <v>214</v>
      </c>
      <c r="D95" s="115">
        <v>2023</v>
      </c>
      <c r="E95" s="229">
        <v>19.54</v>
      </c>
      <c r="F95" s="22">
        <v>2023</v>
      </c>
      <c r="G95" s="22" t="s">
        <v>258</v>
      </c>
      <c r="H95" s="14">
        <f t="shared" ref="H95:H115" si="63">E95</f>
        <v>19.54</v>
      </c>
      <c r="I95" s="67">
        <v>2500</v>
      </c>
      <c r="J95" s="226">
        <v>200</v>
      </c>
      <c r="K95" s="69">
        <f t="shared" si="37"/>
        <v>2700</v>
      </c>
      <c r="L95" s="69">
        <v>160</v>
      </c>
      <c r="M95" s="69">
        <v>7906</v>
      </c>
      <c r="N95" s="69">
        <v>7958</v>
      </c>
      <c r="O95" s="69">
        <f t="shared" si="59"/>
        <v>52</v>
      </c>
      <c r="P95" s="231">
        <f t="shared" si="60"/>
        <v>0</v>
      </c>
      <c r="Q95" s="69">
        <f t="shared" si="45"/>
        <v>52</v>
      </c>
      <c r="R95" s="69">
        <v>0.8</v>
      </c>
      <c r="S95" s="220">
        <f t="shared" si="46"/>
        <v>36</v>
      </c>
      <c r="T95" s="220">
        <f t="shared" si="47"/>
        <v>42</v>
      </c>
      <c r="U95" s="222">
        <f t="shared" si="62"/>
        <v>109</v>
      </c>
      <c r="V95" s="220">
        <f t="shared" si="49"/>
        <v>164</v>
      </c>
      <c r="W95" s="69">
        <f t="shared" si="50"/>
        <v>4</v>
      </c>
      <c r="X95" s="220">
        <f t="shared" si="51"/>
        <v>34</v>
      </c>
      <c r="Y95" s="69">
        <f t="shared" si="52"/>
        <v>3136</v>
      </c>
      <c r="Z95" s="69"/>
      <c r="AA95" s="69"/>
      <c r="AB95" s="69"/>
      <c r="AC95" s="69"/>
      <c r="AD95" s="69">
        <f t="shared" si="53"/>
        <v>0</v>
      </c>
      <c r="AE95" s="69"/>
      <c r="AF95" s="69"/>
      <c r="AG95" s="69"/>
      <c r="AH95" s="69">
        <f t="shared" si="54"/>
        <v>0</v>
      </c>
      <c r="AI95" s="69">
        <f t="shared" si="55"/>
        <v>3136</v>
      </c>
      <c r="AJ95" s="69"/>
      <c r="AK95" s="232"/>
      <c r="AL95" s="212"/>
      <c r="AM95" s="212"/>
      <c r="AN95" s="212"/>
      <c r="AO95" s="212"/>
      <c r="AP95" s="69">
        <f t="shared" si="56"/>
        <v>0</v>
      </c>
      <c r="AQ95" s="7"/>
      <c r="AR95" s="69"/>
      <c r="AS95" s="69"/>
      <c r="AT95" s="69"/>
      <c r="AU95" s="69">
        <f t="shared" si="57"/>
        <v>0</v>
      </c>
      <c r="AV95" s="69">
        <f t="shared" si="58"/>
        <v>3136</v>
      </c>
      <c r="AW95" s="14"/>
    </row>
    <row r="96" ht="20.15" customHeight="1" spans="1:49">
      <c r="A96" s="228">
        <f>SUBTOTAL(2,$Y$4:Y96)</f>
        <v>93</v>
      </c>
      <c r="B96" s="14" t="s">
        <v>259</v>
      </c>
      <c r="C96" s="14" t="s">
        <v>214</v>
      </c>
      <c r="D96" s="115">
        <v>2024</v>
      </c>
      <c r="E96" s="229">
        <v>19.54</v>
      </c>
      <c r="F96" s="22">
        <v>2024</v>
      </c>
      <c r="G96" s="22" t="s">
        <v>260</v>
      </c>
      <c r="H96" s="14">
        <f t="shared" si="63"/>
        <v>19.54</v>
      </c>
      <c r="I96" s="67">
        <v>2500</v>
      </c>
      <c r="J96" s="226">
        <v>200</v>
      </c>
      <c r="K96" s="69">
        <f t="shared" si="37"/>
        <v>2700</v>
      </c>
      <c r="L96" s="69">
        <v>160</v>
      </c>
      <c r="M96" s="69">
        <v>8257</v>
      </c>
      <c r="N96" s="69">
        <v>8286</v>
      </c>
      <c r="O96" s="69">
        <f t="shared" si="59"/>
        <v>29</v>
      </c>
      <c r="P96" s="231">
        <f t="shared" si="60"/>
        <v>0</v>
      </c>
      <c r="Q96" s="69">
        <f t="shared" si="45"/>
        <v>29</v>
      </c>
      <c r="R96" s="69">
        <v>0.8</v>
      </c>
      <c r="S96" s="220">
        <f t="shared" si="46"/>
        <v>20</v>
      </c>
      <c r="T96" s="220">
        <f t="shared" ref="T96:T134" si="64">ROUND(Q96*R96,0)</f>
        <v>23</v>
      </c>
      <c r="U96" s="222">
        <f t="shared" si="62"/>
        <v>109</v>
      </c>
      <c r="V96" s="220">
        <f t="shared" ref="V96:V135" si="65">ROUND(U96*1.5,0)</f>
        <v>164</v>
      </c>
      <c r="W96" s="69">
        <f t="shared" si="50"/>
        <v>4</v>
      </c>
      <c r="X96" s="220">
        <f t="shared" si="51"/>
        <v>34</v>
      </c>
      <c r="Y96" s="69">
        <f t="shared" si="52"/>
        <v>3101</v>
      </c>
      <c r="Z96" s="69"/>
      <c r="AA96" s="69"/>
      <c r="AB96" s="69"/>
      <c r="AC96" s="69"/>
      <c r="AD96" s="69">
        <f t="shared" si="53"/>
        <v>0</v>
      </c>
      <c r="AE96" s="69"/>
      <c r="AF96" s="69"/>
      <c r="AG96" s="69"/>
      <c r="AH96" s="69">
        <f t="shared" si="54"/>
        <v>0</v>
      </c>
      <c r="AI96" s="69">
        <f t="shared" si="55"/>
        <v>3101</v>
      </c>
      <c r="AJ96" s="69"/>
      <c r="AK96" s="232"/>
      <c r="AL96" s="212"/>
      <c r="AM96" s="212"/>
      <c r="AN96" s="212"/>
      <c r="AO96" s="212"/>
      <c r="AP96" s="69">
        <f t="shared" si="56"/>
        <v>0</v>
      </c>
      <c r="AQ96" s="7"/>
      <c r="AR96" s="69"/>
      <c r="AS96" s="69"/>
      <c r="AT96" s="69"/>
      <c r="AU96" s="69">
        <f t="shared" si="57"/>
        <v>0</v>
      </c>
      <c r="AV96" s="69">
        <f t="shared" si="58"/>
        <v>3101</v>
      </c>
      <c r="AW96" s="14"/>
    </row>
    <row r="97" ht="20.15" customHeight="1" spans="1:49">
      <c r="A97" s="228">
        <f>SUBTOTAL(2,$Y$4:Y97)</f>
        <v>94</v>
      </c>
      <c r="B97" s="14" t="s">
        <v>261</v>
      </c>
      <c r="C97" s="115" t="s">
        <v>214</v>
      </c>
      <c r="D97" s="115">
        <v>2025</v>
      </c>
      <c r="E97" s="229">
        <v>23.84</v>
      </c>
      <c r="F97" s="22">
        <v>2025</v>
      </c>
      <c r="G97" s="22" t="s">
        <v>262</v>
      </c>
      <c r="H97" s="14">
        <f t="shared" si="63"/>
        <v>23.84</v>
      </c>
      <c r="I97" s="7">
        <v>2500</v>
      </c>
      <c r="J97" s="226">
        <v>200</v>
      </c>
      <c r="K97" s="69">
        <f t="shared" ref="K97:K160" si="66">I97+J97</f>
        <v>2700</v>
      </c>
      <c r="L97" s="69">
        <v>160</v>
      </c>
      <c r="M97" s="69">
        <v>853</v>
      </c>
      <c r="N97" s="69">
        <v>870</v>
      </c>
      <c r="O97" s="69">
        <f t="shared" si="59"/>
        <v>17</v>
      </c>
      <c r="P97" s="231">
        <f t="shared" si="60"/>
        <v>0</v>
      </c>
      <c r="Q97" s="69">
        <f t="shared" si="45"/>
        <v>17</v>
      </c>
      <c r="R97" s="69">
        <v>0.8</v>
      </c>
      <c r="S97" s="220">
        <f t="shared" si="46"/>
        <v>12</v>
      </c>
      <c r="T97" s="220">
        <f t="shared" si="64"/>
        <v>14</v>
      </c>
      <c r="U97" s="222">
        <f t="shared" si="62"/>
        <v>134</v>
      </c>
      <c r="V97" s="220">
        <f t="shared" si="65"/>
        <v>201</v>
      </c>
      <c r="W97" s="69">
        <f t="shared" si="50"/>
        <v>5</v>
      </c>
      <c r="X97" s="220">
        <f t="shared" si="51"/>
        <v>43</v>
      </c>
      <c r="Y97" s="69">
        <f t="shared" si="52"/>
        <v>3130</v>
      </c>
      <c r="Z97" s="69"/>
      <c r="AA97" s="69"/>
      <c r="AB97" s="69"/>
      <c r="AC97" s="69"/>
      <c r="AD97" s="69">
        <f t="shared" si="53"/>
        <v>0</v>
      </c>
      <c r="AE97" s="69"/>
      <c r="AF97" s="69"/>
      <c r="AG97" s="69"/>
      <c r="AH97" s="69">
        <f t="shared" si="54"/>
        <v>0</v>
      </c>
      <c r="AI97" s="69">
        <f t="shared" si="55"/>
        <v>3130</v>
      </c>
      <c r="AJ97" s="69"/>
      <c r="AK97" s="232"/>
      <c r="AL97" s="212"/>
      <c r="AM97" s="212"/>
      <c r="AN97" s="212"/>
      <c r="AO97" s="212"/>
      <c r="AP97" s="69">
        <f t="shared" si="56"/>
        <v>0</v>
      </c>
      <c r="AQ97" s="7"/>
      <c r="AR97" s="69"/>
      <c r="AS97" s="67"/>
      <c r="AT97" s="67"/>
      <c r="AU97" s="69">
        <f t="shared" si="57"/>
        <v>0</v>
      </c>
      <c r="AV97" s="69">
        <f t="shared" si="58"/>
        <v>3130</v>
      </c>
      <c r="AW97" s="14"/>
    </row>
    <row r="98" ht="20.15" customHeight="1" spans="1:49">
      <c r="A98" s="228">
        <f>SUBTOTAL(2,$Y$4:Y98)</f>
        <v>95</v>
      </c>
      <c r="B98" s="14" t="s">
        <v>263</v>
      </c>
      <c r="C98" s="14" t="s">
        <v>214</v>
      </c>
      <c r="D98" s="115">
        <v>2026</v>
      </c>
      <c r="E98" s="229">
        <v>38.03</v>
      </c>
      <c r="F98" s="85">
        <v>2026</v>
      </c>
      <c r="G98" s="85" t="s">
        <v>264</v>
      </c>
      <c r="H98" s="98"/>
      <c r="I98" s="236"/>
      <c r="J98" s="263"/>
      <c r="K98" s="69">
        <f t="shared" si="66"/>
        <v>0</v>
      </c>
      <c r="L98" s="69"/>
      <c r="M98" s="69">
        <v>5755</v>
      </c>
      <c r="N98" s="69">
        <v>5755</v>
      </c>
      <c r="O98" s="69">
        <f t="shared" si="59"/>
        <v>0</v>
      </c>
      <c r="P98" s="264">
        <f>ROUND(H97*0,0)</f>
        <v>0</v>
      </c>
      <c r="Q98" s="69">
        <f t="shared" si="45"/>
        <v>0</v>
      </c>
      <c r="R98" s="69">
        <v>0.8</v>
      </c>
      <c r="S98" s="220">
        <f t="shared" si="46"/>
        <v>0</v>
      </c>
      <c r="T98" s="220">
        <f t="shared" si="64"/>
        <v>0</v>
      </c>
      <c r="U98" s="236">
        <f>ROUND(H98*0,0)</f>
        <v>0</v>
      </c>
      <c r="V98" s="220">
        <f t="shared" si="65"/>
        <v>0</v>
      </c>
      <c r="W98" s="69">
        <f t="shared" si="50"/>
        <v>0</v>
      </c>
      <c r="X98" s="220"/>
      <c r="Y98" s="69">
        <f t="shared" si="52"/>
        <v>0</v>
      </c>
      <c r="Z98" s="69"/>
      <c r="AA98" s="69"/>
      <c r="AB98" s="69"/>
      <c r="AC98" s="69"/>
      <c r="AD98" s="69">
        <f t="shared" si="53"/>
        <v>0</v>
      </c>
      <c r="AE98" s="69"/>
      <c r="AF98" s="69"/>
      <c r="AG98" s="69"/>
      <c r="AH98" s="69">
        <f t="shared" si="54"/>
        <v>0</v>
      </c>
      <c r="AI98" s="69">
        <f t="shared" si="55"/>
        <v>0</v>
      </c>
      <c r="AJ98" s="69"/>
      <c r="AK98" s="232"/>
      <c r="AL98" s="212"/>
      <c r="AM98" s="212"/>
      <c r="AN98" s="212"/>
      <c r="AO98" s="212"/>
      <c r="AP98" s="69">
        <f t="shared" si="56"/>
        <v>0</v>
      </c>
      <c r="AQ98" s="7"/>
      <c r="AR98" s="69"/>
      <c r="AS98" s="69"/>
      <c r="AT98" s="69"/>
      <c r="AU98" s="69">
        <f t="shared" si="57"/>
        <v>0</v>
      </c>
      <c r="AV98" s="69">
        <f t="shared" si="58"/>
        <v>0</v>
      </c>
      <c r="AW98" s="260" t="s">
        <v>24</v>
      </c>
    </row>
    <row r="99" ht="20.15" customHeight="1" spans="1:49">
      <c r="A99" s="228">
        <f>SUBTOTAL(2,$Y$4:Y99)</f>
        <v>96</v>
      </c>
      <c r="B99" s="14" t="s">
        <v>265</v>
      </c>
      <c r="C99" s="14" t="s">
        <v>214</v>
      </c>
      <c r="D99" s="115">
        <v>2027</v>
      </c>
      <c r="E99" s="229">
        <v>39.33</v>
      </c>
      <c r="F99" s="85">
        <v>2027</v>
      </c>
      <c r="G99" s="85" t="s">
        <v>264</v>
      </c>
      <c r="H99" s="98"/>
      <c r="I99" s="236"/>
      <c r="J99" s="263"/>
      <c r="K99" s="69">
        <f t="shared" si="66"/>
        <v>0</v>
      </c>
      <c r="L99" s="69"/>
      <c r="M99" s="69">
        <v>5816</v>
      </c>
      <c r="N99" s="69">
        <v>5816</v>
      </c>
      <c r="O99" s="69">
        <f t="shared" si="59"/>
        <v>0</v>
      </c>
      <c r="P99" s="264">
        <f>ROUND(H98*0,0)</f>
        <v>0</v>
      </c>
      <c r="Q99" s="69">
        <f t="shared" si="45"/>
        <v>0</v>
      </c>
      <c r="R99" s="69">
        <v>0.8</v>
      </c>
      <c r="S99" s="220">
        <f t="shared" si="46"/>
        <v>0</v>
      </c>
      <c r="T99" s="220">
        <f t="shared" si="64"/>
        <v>0</v>
      </c>
      <c r="U99" s="236">
        <f>ROUND(H99*0,0)</f>
        <v>0</v>
      </c>
      <c r="V99" s="220">
        <f t="shared" si="65"/>
        <v>0</v>
      </c>
      <c r="W99" s="69">
        <f t="shared" si="50"/>
        <v>0</v>
      </c>
      <c r="X99" s="220"/>
      <c r="Y99" s="69">
        <f t="shared" si="52"/>
        <v>0</v>
      </c>
      <c r="Z99" s="69"/>
      <c r="AA99" s="69"/>
      <c r="AB99" s="69"/>
      <c r="AC99" s="69"/>
      <c r="AD99" s="69">
        <f t="shared" si="53"/>
        <v>0</v>
      </c>
      <c r="AE99" s="69"/>
      <c r="AF99" s="69"/>
      <c r="AG99" s="69"/>
      <c r="AH99" s="69">
        <f t="shared" si="54"/>
        <v>0</v>
      </c>
      <c r="AI99" s="69">
        <f t="shared" si="55"/>
        <v>0</v>
      </c>
      <c r="AJ99" s="69"/>
      <c r="AK99" s="232"/>
      <c r="AL99" s="212"/>
      <c r="AM99" s="212"/>
      <c r="AN99" s="212"/>
      <c r="AO99" s="212"/>
      <c r="AP99" s="69">
        <f t="shared" si="56"/>
        <v>0</v>
      </c>
      <c r="AQ99" s="7"/>
      <c r="AR99" s="69"/>
      <c r="AS99" s="69"/>
      <c r="AT99" s="69"/>
      <c r="AU99" s="69">
        <f t="shared" si="57"/>
        <v>0</v>
      </c>
      <c r="AV99" s="69">
        <f t="shared" si="58"/>
        <v>0</v>
      </c>
      <c r="AW99" s="14"/>
    </row>
    <row r="100" ht="20.15" customHeight="1" spans="1:49">
      <c r="A100" s="228">
        <f>SUBTOTAL(2,$Y$4:Y100)</f>
        <v>97</v>
      </c>
      <c r="B100" s="14" t="s">
        <v>266</v>
      </c>
      <c r="C100" s="14" t="s">
        <v>214</v>
      </c>
      <c r="D100" s="115">
        <v>2029</v>
      </c>
      <c r="E100" s="229">
        <v>18.32</v>
      </c>
      <c r="F100" s="13">
        <v>2029</v>
      </c>
      <c r="G100" s="13" t="s">
        <v>267</v>
      </c>
      <c r="H100" s="14">
        <f t="shared" si="63"/>
        <v>18.32</v>
      </c>
      <c r="I100" s="67">
        <v>2500</v>
      </c>
      <c r="J100" s="230">
        <v>200</v>
      </c>
      <c r="K100" s="69">
        <f t="shared" si="66"/>
        <v>2700</v>
      </c>
      <c r="L100" s="69">
        <v>160</v>
      </c>
      <c r="M100" s="69">
        <v>2976</v>
      </c>
      <c r="N100" s="69">
        <v>3072</v>
      </c>
      <c r="O100" s="69">
        <f t="shared" si="59"/>
        <v>96</v>
      </c>
      <c r="P100" s="231">
        <f>ROUND(H100*0,0)</f>
        <v>0</v>
      </c>
      <c r="Q100" s="69">
        <f t="shared" si="45"/>
        <v>96</v>
      </c>
      <c r="R100" s="69">
        <v>0.8</v>
      </c>
      <c r="S100" s="220">
        <f t="shared" si="46"/>
        <v>67</v>
      </c>
      <c r="T100" s="220">
        <f t="shared" si="64"/>
        <v>77</v>
      </c>
      <c r="U100" s="222">
        <f t="shared" ref="U100:U138" si="67">ROUND(H100*5.6,0)</f>
        <v>103</v>
      </c>
      <c r="V100" s="220">
        <f t="shared" si="65"/>
        <v>155</v>
      </c>
      <c r="W100" s="69">
        <f t="shared" si="50"/>
        <v>4</v>
      </c>
      <c r="X100" s="220">
        <f t="shared" si="51"/>
        <v>34</v>
      </c>
      <c r="Y100" s="69">
        <f t="shared" si="52"/>
        <v>3193</v>
      </c>
      <c r="Z100" s="69"/>
      <c r="AA100" s="69"/>
      <c r="AB100" s="69"/>
      <c r="AC100" s="69"/>
      <c r="AD100" s="69">
        <f t="shared" si="53"/>
        <v>0</v>
      </c>
      <c r="AE100" s="69"/>
      <c r="AF100" s="69"/>
      <c r="AG100" s="69"/>
      <c r="AH100" s="69">
        <f t="shared" si="54"/>
        <v>0</v>
      </c>
      <c r="AI100" s="69">
        <f t="shared" si="55"/>
        <v>3193</v>
      </c>
      <c r="AJ100" s="69"/>
      <c r="AK100" s="232"/>
      <c r="AL100" s="212"/>
      <c r="AM100" s="212"/>
      <c r="AN100" s="212"/>
      <c r="AO100" s="212"/>
      <c r="AP100" s="69">
        <f t="shared" si="56"/>
        <v>0</v>
      </c>
      <c r="AQ100" s="7"/>
      <c r="AR100" s="69"/>
      <c r="AS100" s="69"/>
      <c r="AT100" s="69"/>
      <c r="AU100" s="69">
        <f t="shared" si="57"/>
        <v>0</v>
      </c>
      <c r="AV100" s="69">
        <f t="shared" si="58"/>
        <v>3193</v>
      </c>
      <c r="AW100" s="14"/>
    </row>
    <row r="101" ht="20.15" customHeight="1" spans="1:49">
      <c r="A101" s="228">
        <f>SUBTOTAL(2,$Y$4:Y101)</f>
        <v>98</v>
      </c>
      <c r="B101" s="14" t="s">
        <v>268</v>
      </c>
      <c r="C101" s="115" t="s">
        <v>214</v>
      </c>
      <c r="D101" s="115">
        <v>2030</v>
      </c>
      <c r="E101" s="229">
        <v>16.54</v>
      </c>
      <c r="F101" s="22">
        <v>2030</v>
      </c>
      <c r="G101" s="156" t="s">
        <v>267</v>
      </c>
      <c r="H101" s="14">
        <f t="shared" si="63"/>
        <v>16.54</v>
      </c>
      <c r="I101" s="7">
        <v>2500</v>
      </c>
      <c r="J101" s="226">
        <v>200</v>
      </c>
      <c r="K101" s="69">
        <f t="shared" si="66"/>
        <v>2700</v>
      </c>
      <c r="L101" s="69">
        <v>160</v>
      </c>
      <c r="M101" s="69">
        <v>9094</v>
      </c>
      <c r="N101" s="69">
        <v>9140</v>
      </c>
      <c r="O101" s="69">
        <f t="shared" si="59"/>
        <v>46</v>
      </c>
      <c r="P101" s="231">
        <f t="shared" ref="P101:P137" si="68">ROUND(H101*0,0)</f>
        <v>0</v>
      </c>
      <c r="Q101" s="69">
        <f t="shared" ref="Q101:Q120" si="69">O101+P101</f>
        <v>46</v>
      </c>
      <c r="R101" s="69">
        <v>0.8</v>
      </c>
      <c r="S101" s="220">
        <f t="shared" si="46"/>
        <v>32</v>
      </c>
      <c r="T101" s="220">
        <f t="shared" si="64"/>
        <v>37</v>
      </c>
      <c r="U101" s="222">
        <f t="shared" si="67"/>
        <v>93</v>
      </c>
      <c r="V101" s="220">
        <f t="shared" si="65"/>
        <v>140</v>
      </c>
      <c r="W101" s="69">
        <f t="shared" si="50"/>
        <v>3</v>
      </c>
      <c r="X101" s="220">
        <f t="shared" si="51"/>
        <v>26</v>
      </c>
      <c r="Y101" s="69">
        <f t="shared" si="52"/>
        <v>3095</v>
      </c>
      <c r="Z101" s="69"/>
      <c r="AA101" s="69"/>
      <c r="AB101" s="69"/>
      <c r="AC101" s="69"/>
      <c r="AD101" s="69">
        <f t="shared" si="53"/>
        <v>0</v>
      </c>
      <c r="AE101" s="69"/>
      <c r="AF101" s="69"/>
      <c r="AG101" s="69"/>
      <c r="AH101" s="69">
        <f t="shared" si="54"/>
        <v>0</v>
      </c>
      <c r="AI101" s="69">
        <f t="shared" si="55"/>
        <v>3095</v>
      </c>
      <c r="AJ101" s="69"/>
      <c r="AK101" s="232"/>
      <c r="AL101" s="212"/>
      <c r="AM101" s="212"/>
      <c r="AN101" s="212"/>
      <c r="AO101" s="212"/>
      <c r="AP101" s="69">
        <f t="shared" si="56"/>
        <v>0</v>
      </c>
      <c r="AQ101" s="7"/>
      <c r="AR101" s="69"/>
      <c r="AS101" s="67"/>
      <c r="AT101" s="67"/>
      <c r="AU101" s="69">
        <f t="shared" si="57"/>
        <v>0</v>
      </c>
      <c r="AV101" s="69">
        <f t="shared" si="58"/>
        <v>3095</v>
      </c>
      <c r="AW101" s="14"/>
    </row>
    <row r="102" ht="20.15" customHeight="1" spans="1:49">
      <c r="A102" s="228">
        <f>SUBTOTAL(2,$Y$4:Y102)</f>
        <v>99</v>
      </c>
      <c r="B102" s="14" t="s">
        <v>269</v>
      </c>
      <c r="C102" s="115" t="s">
        <v>214</v>
      </c>
      <c r="D102" s="115">
        <v>2031</v>
      </c>
      <c r="E102" s="229">
        <v>16.54</v>
      </c>
      <c r="F102" s="95">
        <v>2031</v>
      </c>
      <c r="G102" s="95" t="s">
        <v>270</v>
      </c>
      <c r="H102" s="96">
        <f t="shared" si="63"/>
        <v>16.54</v>
      </c>
      <c r="I102" s="7">
        <v>2500</v>
      </c>
      <c r="J102" s="238">
        <v>200</v>
      </c>
      <c r="K102" s="69">
        <f t="shared" si="66"/>
        <v>2700</v>
      </c>
      <c r="L102" s="69">
        <v>160</v>
      </c>
      <c r="M102" s="69">
        <v>9551</v>
      </c>
      <c r="N102" s="69">
        <v>9581</v>
      </c>
      <c r="O102" s="69">
        <f t="shared" si="59"/>
        <v>30</v>
      </c>
      <c r="P102" s="231">
        <f t="shared" si="68"/>
        <v>0</v>
      </c>
      <c r="Q102" s="69">
        <f t="shared" si="69"/>
        <v>30</v>
      </c>
      <c r="R102" s="69">
        <v>0.8</v>
      </c>
      <c r="S102" s="220">
        <f t="shared" si="46"/>
        <v>21</v>
      </c>
      <c r="T102" s="220">
        <f t="shared" si="64"/>
        <v>24</v>
      </c>
      <c r="U102" s="222">
        <f t="shared" si="67"/>
        <v>93</v>
      </c>
      <c r="V102" s="220">
        <f t="shared" si="65"/>
        <v>140</v>
      </c>
      <c r="W102" s="69">
        <f t="shared" si="50"/>
        <v>3</v>
      </c>
      <c r="X102" s="220">
        <f t="shared" si="51"/>
        <v>26</v>
      </c>
      <c r="Y102" s="69">
        <f t="shared" si="52"/>
        <v>3071</v>
      </c>
      <c r="Z102" s="69"/>
      <c r="AA102" s="69"/>
      <c r="AB102" s="69"/>
      <c r="AC102" s="69"/>
      <c r="AD102" s="69">
        <f t="shared" ref="AD102:AD133" si="70">AA102+AB102+AC102</f>
        <v>0</v>
      </c>
      <c r="AE102" s="69"/>
      <c r="AF102" s="69"/>
      <c r="AG102" s="69"/>
      <c r="AH102" s="69">
        <f t="shared" ref="AH102:AH133" si="71">AE102+AF102-AG102</f>
        <v>0</v>
      </c>
      <c r="AI102" s="69">
        <f t="shared" ref="AI102:AI133" si="72">Y102+Z102+AJ102-AD102-AG102</f>
        <v>3071</v>
      </c>
      <c r="AJ102" s="69"/>
      <c r="AK102" s="232"/>
      <c r="AL102" s="212"/>
      <c r="AM102" s="212"/>
      <c r="AN102" s="212"/>
      <c r="AO102" s="212"/>
      <c r="AP102" s="69">
        <f t="shared" si="56"/>
        <v>0</v>
      </c>
      <c r="AQ102" s="7"/>
      <c r="AR102" s="69"/>
      <c r="AS102" s="69"/>
      <c r="AT102" s="69"/>
      <c r="AU102" s="69">
        <f t="shared" si="57"/>
        <v>0</v>
      </c>
      <c r="AV102" s="69">
        <f t="shared" si="58"/>
        <v>3071</v>
      </c>
      <c r="AW102" s="14"/>
    </row>
    <row r="103" ht="20.15" customHeight="1" spans="1:49">
      <c r="A103" s="228">
        <f>SUBTOTAL(2,$Y$4:Y103)</f>
        <v>100</v>
      </c>
      <c r="B103" s="14" t="s">
        <v>271</v>
      </c>
      <c r="C103" s="14" t="s">
        <v>214</v>
      </c>
      <c r="D103" s="115">
        <v>2032</v>
      </c>
      <c r="E103" s="229">
        <v>16.54</v>
      </c>
      <c r="F103" s="95">
        <v>2032</v>
      </c>
      <c r="G103" s="95" t="s">
        <v>272</v>
      </c>
      <c r="H103" s="14">
        <f t="shared" si="63"/>
        <v>16.54</v>
      </c>
      <c r="I103" s="7">
        <v>2500</v>
      </c>
      <c r="J103" s="238">
        <v>200</v>
      </c>
      <c r="K103" s="69">
        <f t="shared" si="66"/>
        <v>2700</v>
      </c>
      <c r="L103" s="69">
        <v>160</v>
      </c>
      <c r="M103" s="69">
        <v>8940</v>
      </c>
      <c r="N103" s="69">
        <v>8973</v>
      </c>
      <c r="O103" s="69">
        <f t="shared" si="59"/>
        <v>33</v>
      </c>
      <c r="P103" s="231">
        <f t="shared" si="68"/>
        <v>0</v>
      </c>
      <c r="Q103" s="69">
        <f t="shared" si="69"/>
        <v>33</v>
      </c>
      <c r="R103" s="69">
        <v>0.8</v>
      </c>
      <c r="S103" s="220">
        <f t="shared" si="46"/>
        <v>23</v>
      </c>
      <c r="T103" s="220">
        <f t="shared" si="64"/>
        <v>26</v>
      </c>
      <c r="U103" s="222">
        <f t="shared" si="67"/>
        <v>93</v>
      </c>
      <c r="V103" s="220">
        <f t="shared" si="65"/>
        <v>140</v>
      </c>
      <c r="W103" s="69">
        <f t="shared" si="50"/>
        <v>3</v>
      </c>
      <c r="X103" s="220">
        <f t="shared" ref="X103:X134" si="73">ROUND(W103*8.5,0)</f>
        <v>26</v>
      </c>
      <c r="Y103" s="69">
        <f t="shared" si="52"/>
        <v>3075</v>
      </c>
      <c r="Z103" s="249"/>
      <c r="AA103" s="69"/>
      <c r="AB103" s="69"/>
      <c r="AC103" s="69"/>
      <c r="AD103" s="69">
        <f t="shared" si="70"/>
        <v>0</v>
      </c>
      <c r="AE103" s="69"/>
      <c r="AF103" s="69"/>
      <c r="AG103" s="69"/>
      <c r="AH103" s="69">
        <f t="shared" si="71"/>
        <v>0</v>
      </c>
      <c r="AI103" s="69">
        <f t="shared" si="72"/>
        <v>3075</v>
      </c>
      <c r="AJ103" s="69"/>
      <c r="AK103" s="232"/>
      <c r="AL103" s="212"/>
      <c r="AM103" s="212"/>
      <c r="AN103" s="233"/>
      <c r="AO103" s="233"/>
      <c r="AP103" s="69">
        <f t="shared" si="56"/>
        <v>0</v>
      </c>
      <c r="AQ103" s="7"/>
      <c r="AR103" s="69"/>
      <c r="AS103" s="69"/>
      <c r="AT103" s="69"/>
      <c r="AU103" s="69">
        <f t="shared" si="57"/>
        <v>0</v>
      </c>
      <c r="AV103" s="69">
        <f t="shared" si="58"/>
        <v>3075</v>
      </c>
      <c r="AW103" s="14"/>
    </row>
    <row r="104" ht="20.15" customHeight="1" spans="1:49">
      <c r="A104" s="228">
        <f>SUBTOTAL(2,$Y$4:Y104)</f>
        <v>101</v>
      </c>
      <c r="B104" s="14" t="s">
        <v>273</v>
      </c>
      <c r="C104" s="115" t="s">
        <v>214</v>
      </c>
      <c r="D104" s="115">
        <v>2033</v>
      </c>
      <c r="E104" s="229">
        <v>16.54</v>
      </c>
      <c r="F104" s="22">
        <v>2033</v>
      </c>
      <c r="G104" s="22" t="s">
        <v>274</v>
      </c>
      <c r="H104" s="14">
        <f t="shared" si="63"/>
        <v>16.54</v>
      </c>
      <c r="I104" s="7">
        <v>2500</v>
      </c>
      <c r="J104" s="226">
        <v>200</v>
      </c>
      <c r="K104" s="69">
        <f t="shared" si="66"/>
        <v>2700</v>
      </c>
      <c r="L104" s="69">
        <v>160</v>
      </c>
      <c r="M104" s="69">
        <v>9622</v>
      </c>
      <c r="N104" s="69">
        <v>9641</v>
      </c>
      <c r="O104" s="69">
        <f t="shared" si="59"/>
        <v>19</v>
      </c>
      <c r="P104" s="231">
        <f t="shared" si="68"/>
        <v>0</v>
      </c>
      <c r="Q104" s="69">
        <f t="shared" si="69"/>
        <v>19</v>
      </c>
      <c r="R104" s="69">
        <v>0.8</v>
      </c>
      <c r="S104" s="220">
        <f t="shared" si="46"/>
        <v>13</v>
      </c>
      <c r="T104" s="220">
        <f t="shared" si="64"/>
        <v>15</v>
      </c>
      <c r="U104" s="222">
        <f t="shared" si="67"/>
        <v>93</v>
      </c>
      <c r="V104" s="220">
        <f t="shared" si="65"/>
        <v>140</v>
      </c>
      <c r="W104" s="69">
        <f t="shared" ref="W104:W135" si="74">ROUND(H104*0.2,0)</f>
        <v>3</v>
      </c>
      <c r="X104" s="220">
        <f t="shared" si="73"/>
        <v>26</v>
      </c>
      <c r="Y104" s="69">
        <f t="shared" si="52"/>
        <v>3054</v>
      </c>
      <c r="Z104" s="69"/>
      <c r="AA104" s="69"/>
      <c r="AB104" s="69"/>
      <c r="AC104" s="69"/>
      <c r="AD104" s="69">
        <f t="shared" si="70"/>
        <v>0</v>
      </c>
      <c r="AE104" s="69"/>
      <c r="AF104" s="69"/>
      <c r="AG104" s="69"/>
      <c r="AH104" s="69">
        <f t="shared" si="71"/>
        <v>0</v>
      </c>
      <c r="AI104" s="69">
        <f t="shared" si="72"/>
        <v>3054</v>
      </c>
      <c r="AJ104" s="69"/>
      <c r="AK104" s="232"/>
      <c r="AL104" s="212"/>
      <c r="AM104" s="212"/>
      <c r="AN104" s="212"/>
      <c r="AO104" s="212"/>
      <c r="AP104" s="69">
        <f t="shared" si="56"/>
        <v>0</v>
      </c>
      <c r="AQ104" s="7"/>
      <c r="AR104" s="69"/>
      <c r="AS104" s="69"/>
      <c r="AT104" s="69"/>
      <c r="AU104" s="69">
        <f t="shared" si="57"/>
        <v>0</v>
      </c>
      <c r="AV104" s="69">
        <f t="shared" si="58"/>
        <v>3054</v>
      </c>
      <c r="AW104" s="14" t="s">
        <v>275</v>
      </c>
    </row>
    <row r="105" ht="20.15" customHeight="1" spans="1:49">
      <c r="A105" s="228">
        <f>SUBTOTAL(2,$Y$4:Y105)</f>
        <v>102</v>
      </c>
      <c r="B105" s="14" t="s">
        <v>276</v>
      </c>
      <c r="C105" s="14" t="s">
        <v>214</v>
      </c>
      <c r="D105" s="115">
        <v>2034</v>
      </c>
      <c r="E105" s="229">
        <v>16.54</v>
      </c>
      <c r="F105" s="22">
        <v>2034</v>
      </c>
      <c r="G105" s="22" t="s">
        <v>274</v>
      </c>
      <c r="H105" s="115">
        <f t="shared" si="63"/>
        <v>16.54</v>
      </c>
      <c r="I105" s="67">
        <v>2500</v>
      </c>
      <c r="J105" s="226">
        <v>200</v>
      </c>
      <c r="K105" s="69">
        <f t="shared" si="66"/>
        <v>2700</v>
      </c>
      <c r="L105" s="69">
        <v>160</v>
      </c>
      <c r="M105" s="69">
        <v>16</v>
      </c>
      <c r="N105" s="69">
        <v>43</v>
      </c>
      <c r="O105" s="69">
        <f t="shared" si="59"/>
        <v>27</v>
      </c>
      <c r="P105" s="231">
        <f t="shared" si="68"/>
        <v>0</v>
      </c>
      <c r="Q105" s="69">
        <f t="shared" si="69"/>
        <v>27</v>
      </c>
      <c r="R105" s="69">
        <v>0.8</v>
      </c>
      <c r="S105" s="220">
        <f t="shared" si="46"/>
        <v>19</v>
      </c>
      <c r="T105" s="220">
        <f t="shared" si="64"/>
        <v>22</v>
      </c>
      <c r="U105" s="222">
        <f t="shared" si="67"/>
        <v>93</v>
      </c>
      <c r="V105" s="220">
        <f t="shared" si="65"/>
        <v>140</v>
      </c>
      <c r="W105" s="69">
        <f t="shared" si="74"/>
        <v>3</v>
      </c>
      <c r="X105" s="220">
        <f t="shared" si="73"/>
        <v>26</v>
      </c>
      <c r="Y105" s="69">
        <f t="shared" si="52"/>
        <v>3067</v>
      </c>
      <c r="Z105" s="69"/>
      <c r="AA105" s="69"/>
      <c r="AB105" s="69"/>
      <c r="AC105" s="69"/>
      <c r="AD105" s="69">
        <f t="shared" si="70"/>
        <v>0</v>
      </c>
      <c r="AE105" s="69"/>
      <c r="AF105" s="69"/>
      <c r="AG105" s="69"/>
      <c r="AH105" s="69">
        <f t="shared" si="71"/>
        <v>0</v>
      </c>
      <c r="AI105" s="69">
        <f t="shared" si="72"/>
        <v>3067</v>
      </c>
      <c r="AJ105" s="69"/>
      <c r="AK105" s="232"/>
      <c r="AL105" s="212"/>
      <c r="AM105" s="212"/>
      <c r="AN105" s="212"/>
      <c r="AO105" s="212"/>
      <c r="AP105" s="69">
        <f t="shared" si="56"/>
        <v>0</v>
      </c>
      <c r="AQ105" s="7"/>
      <c r="AR105" s="69"/>
      <c r="AS105" s="69"/>
      <c r="AT105" s="69"/>
      <c r="AU105" s="69">
        <f t="shared" si="57"/>
        <v>0</v>
      </c>
      <c r="AV105" s="69">
        <f t="shared" si="58"/>
        <v>3067</v>
      </c>
      <c r="AW105" s="14" t="s">
        <v>275</v>
      </c>
    </row>
    <row r="106" ht="20.15" customHeight="1" spans="1:49">
      <c r="A106" s="228">
        <f>SUBTOTAL(2,$Y$4:Y106)</f>
        <v>103</v>
      </c>
      <c r="B106" s="14" t="s">
        <v>277</v>
      </c>
      <c r="C106" s="14" t="s">
        <v>214</v>
      </c>
      <c r="D106" s="115">
        <v>2035</v>
      </c>
      <c r="E106" s="229">
        <v>16.54</v>
      </c>
      <c r="F106" s="22">
        <v>2035</v>
      </c>
      <c r="G106" s="22" t="s">
        <v>278</v>
      </c>
      <c r="H106" s="115">
        <f t="shared" si="63"/>
        <v>16.54</v>
      </c>
      <c r="I106" s="67">
        <v>2500</v>
      </c>
      <c r="J106" s="226">
        <v>200</v>
      </c>
      <c r="K106" s="69">
        <f t="shared" si="66"/>
        <v>2700</v>
      </c>
      <c r="L106" s="69">
        <v>160</v>
      </c>
      <c r="M106" s="69">
        <v>139</v>
      </c>
      <c r="N106" s="69">
        <v>160</v>
      </c>
      <c r="O106" s="69">
        <f t="shared" ref="O106:O137" si="75">N106-M106</f>
        <v>21</v>
      </c>
      <c r="P106" s="231">
        <f t="shared" si="68"/>
        <v>0</v>
      </c>
      <c r="Q106" s="69">
        <f t="shared" si="69"/>
        <v>21</v>
      </c>
      <c r="R106" s="69">
        <v>0.8</v>
      </c>
      <c r="S106" s="220">
        <f t="shared" si="46"/>
        <v>15</v>
      </c>
      <c r="T106" s="220">
        <f t="shared" si="64"/>
        <v>17</v>
      </c>
      <c r="U106" s="222">
        <f t="shared" si="67"/>
        <v>93</v>
      </c>
      <c r="V106" s="220">
        <f t="shared" si="65"/>
        <v>140</v>
      </c>
      <c r="W106" s="69">
        <f t="shared" si="74"/>
        <v>3</v>
      </c>
      <c r="X106" s="220">
        <f t="shared" si="73"/>
        <v>26</v>
      </c>
      <c r="Y106" s="69">
        <f t="shared" si="52"/>
        <v>3058</v>
      </c>
      <c r="Z106" s="69"/>
      <c r="AA106" s="69"/>
      <c r="AB106" s="69"/>
      <c r="AC106" s="69"/>
      <c r="AD106" s="69">
        <f t="shared" si="70"/>
        <v>0</v>
      </c>
      <c r="AE106" s="69"/>
      <c r="AF106" s="69"/>
      <c r="AG106" s="69"/>
      <c r="AH106" s="69">
        <f t="shared" si="71"/>
        <v>0</v>
      </c>
      <c r="AI106" s="69">
        <f t="shared" si="72"/>
        <v>3058</v>
      </c>
      <c r="AJ106" s="69"/>
      <c r="AK106" s="232"/>
      <c r="AL106" s="212"/>
      <c r="AM106" s="212"/>
      <c r="AN106" s="212"/>
      <c r="AO106" s="212"/>
      <c r="AP106" s="69">
        <f t="shared" si="56"/>
        <v>0</v>
      </c>
      <c r="AQ106" s="7"/>
      <c r="AR106" s="69"/>
      <c r="AS106" s="69"/>
      <c r="AT106" s="69"/>
      <c r="AU106" s="69">
        <f t="shared" si="57"/>
        <v>0</v>
      </c>
      <c r="AV106" s="69">
        <f t="shared" si="58"/>
        <v>3058</v>
      </c>
      <c r="AW106" s="14"/>
    </row>
    <row r="107" ht="20.15" customHeight="1" spans="1:49">
      <c r="A107" s="228">
        <f>SUBTOTAL(2,$Y$4:Y107)</f>
        <v>104</v>
      </c>
      <c r="B107" s="14" t="s">
        <v>279</v>
      </c>
      <c r="C107" s="96" t="s">
        <v>214</v>
      </c>
      <c r="D107" s="115" t="s">
        <v>280</v>
      </c>
      <c r="E107" s="229">
        <v>16.54</v>
      </c>
      <c r="F107" s="95" t="s">
        <v>280</v>
      </c>
      <c r="G107" s="95" t="s">
        <v>281</v>
      </c>
      <c r="H107" s="96">
        <f t="shared" si="63"/>
        <v>16.54</v>
      </c>
      <c r="I107" s="7">
        <v>2500</v>
      </c>
      <c r="J107" s="238">
        <v>200</v>
      </c>
      <c r="K107" s="7">
        <f t="shared" si="66"/>
        <v>2700</v>
      </c>
      <c r="L107" s="69">
        <v>160</v>
      </c>
      <c r="M107" s="7">
        <v>1596</v>
      </c>
      <c r="N107" s="7">
        <v>1607</v>
      </c>
      <c r="O107" s="7">
        <f t="shared" si="75"/>
        <v>11</v>
      </c>
      <c r="P107" s="231">
        <f t="shared" si="68"/>
        <v>0</v>
      </c>
      <c r="Q107" s="7">
        <f t="shared" si="69"/>
        <v>11</v>
      </c>
      <c r="R107" s="7">
        <v>0.8</v>
      </c>
      <c r="S107" s="220">
        <f t="shared" si="46"/>
        <v>8</v>
      </c>
      <c r="T107" s="261">
        <f t="shared" si="64"/>
        <v>9</v>
      </c>
      <c r="U107" s="222">
        <f t="shared" si="67"/>
        <v>93</v>
      </c>
      <c r="V107" s="261">
        <f t="shared" si="65"/>
        <v>140</v>
      </c>
      <c r="W107" s="7">
        <f t="shared" si="74"/>
        <v>3</v>
      </c>
      <c r="X107" s="220">
        <f t="shared" si="73"/>
        <v>26</v>
      </c>
      <c r="Y107" s="69">
        <f t="shared" si="52"/>
        <v>3043</v>
      </c>
      <c r="Z107" s="69"/>
      <c r="AA107" s="69"/>
      <c r="AB107" s="69"/>
      <c r="AC107" s="69"/>
      <c r="AD107" s="69">
        <f t="shared" si="70"/>
        <v>0</v>
      </c>
      <c r="AE107" s="69"/>
      <c r="AF107" s="69"/>
      <c r="AG107" s="69"/>
      <c r="AH107" s="69">
        <f t="shared" si="71"/>
        <v>0</v>
      </c>
      <c r="AI107" s="69">
        <f t="shared" si="72"/>
        <v>3043</v>
      </c>
      <c r="AJ107" s="69"/>
      <c r="AK107" s="232"/>
      <c r="AL107" s="212"/>
      <c r="AM107" s="212"/>
      <c r="AN107" s="212"/>
      <c r="AO107" s="212"/>
      <c r="AP107" s="69">
        <f t="shared" si="56"/>
        <v>0</v>
      </c>
      <c r="AQ107" s="7"/>
      <c r="AR107" s="69"/>
      <c r="AS107" s="69"/>
      <c r="AT107" s="69"/>
      <c r="AU107" s="69">
        <f t="shared" si="57"/>
        <v>0</v>
      </c>
      <c r="AV107" s="69">
        <f t="shared" si="58"/>
        <v>3043</v>
      </c>
      <c r="AW107" s="14"/>
    </row>
    <row r="108" ht="20.15" customHeight="1" spans="1:49">
      <c r="A108" s="228">
        <f>SUBTOTAL(2,$Y$4:Y108)</f>
        <v>105</v>
      </c>
      <c r="B108" s="14" t="s">
        <v>282</v>
      </c>
      <c r="C108" s="115" t="s">
        <v>214</v>
      </c>
      <c r="D108" s="115">
        <v>2036</v>
      </c>
      <c r="E108" s="229">
        <v>20.69</v>
      </c>
      <c r="F108" s="22">
        <v>2036</v>
      </c>
      <c r="G108" s="22" t="s">
        <v>283</v>
      </c>
      <c r="H108" s="14">
        <f t="shared" si="63"/>
        <v>20.69</v>
      </c>
      <c r="I108" s="67">
        <v>2500</v>
      </c>
      <c r="J108" s="226">
        <v>200</v>
      </c>
      <c r="K108" s="69">
        <f t="shared" si="66"/>
        <v>2700</v>
      </c>
      <c r="L108" s="69">
        <v>160</v>
      </c>
      <c r="M108" s="69">
        <v>7432</v>
      </c>
      <c r="N108" s="69">
        <v>7432</v>
      </c>
      <c r="O108" s="69">
        <f t="shared" si="75"/>
        <v>0</v>
      </c>
      <c r="P108" s="231">
        <f t="shared" si="68"/>
        <v>0</v>
      </c>
      <c r="Q108" s="69">
        <f t="shared" si="69"/>
        <v>0</v>
      </c>
      <c r="R108" s="69">
        <v>0.8</v>
      </c>
      <c r="S108" s="220">
        <f t="shared" si="46"/>
        <v>0</v>
      </c>
      <c r="T108" s="220">
        <f t="shared" si="64"/>
        <v>0</v>
      </c>
      <c r="U108" s="222">
        <f t="shared" si="67"/>
        <v>116</v>
      </c>
      <c r="V108" s="220">
        <f t="shared" si="65"/>
        <v>174</v>
      </c>
      <c r="W108" s="69">
        <f t="shared" si="74"/>
        <v>4</v>
      </c>
      <c r="X108" s="220">
        <f t="shared" si="73"/>
        <v>34</v>
      </c>
      <c r="Y108" s="69">
        <f t="shared" si="52"/>
        <v>3068</v>
      </c>
      <c r="Z108" s="69"/>
      <c r="AA108" s="69"/>
      <c r="AB108" s="69"/>
      <c r="AC108" s="69"/>
      <c r="AD108" s="69">
        <f t="shared" si="70"/>
        <v>0</v>
      </c>
      <c r="AE108" s="69"/>
      <c r="AF108" s="69"/>
      <c r="AG108" s="69"/>
      <c r="AH108" s="69">
        <f t="shared" si="71"/>
        <v>0</v>
      </c>
      <c r="AI108" s="69">
        <f t="shared" si="72"/>
        <v>3068</v>
      </c>
      <c r="AJ108" s="69"/>
      <c r="AK108" s="232"/>
      <c r="AL108" s="212"/>
      <c r="AM108" s="212"/>
      <c r="AN108" s="212"/>
      <c r="AO108" s="212"/>
      <c r="AP108" s="69">
        <f t="shared" si="56"/>
        <v>0</v>
      </c>
      <c r="AQ108" s="7"/>
      <c r="AR108" s="69"/>
      <c r="AS108" s="69"/>
      <c r="AT108" s="69"/>
      <c r="AU108" s="69">
        <f t="shared" si="57"/>
        <v>0</v>
      </c>
      <c r="AV108" s="69">
        <f t="shared" si="58"/>
        <v>3068</v>
      </c>
      <c r="AW108" s="14"/>
    </row>
    <row r="109" ht="20.15" customHeight="1" spans="1:49">
      <c r="A109" s="228">
        <f>SUBTOTAL(2,$Y$4:Y109)</f>
        <v>106</v>
      </c>
      <c r="B109" s="14" t="s">
        <v>284</v>
      </c>
      <c r="C109" s="14" t="s">
        <v>214</v>
      </c>
      <c r="D109" s="115">
        <v>2036</v>
      </c>
      <c r="E109" s="229"/>
      <c r="F109" s="22">
        <v>2036</v>
      </c>
      <c r="G109" s="158" t="s">
        <v>283</v>
      </c>
      <c r="H109" s="14"/>
      <c r="I109" s="67"/>
      <c r="J109" s="226"/>
      <c r="K109" s="69">
        <f t="shared" si="66"/>
        <v>0</v>
      </c>
      <c r="L109" s="237">
        <v>0</v>
      </c>
      <c r="M109" s="69">
        <v>8851</v>
      </c>
      <c r="N109" s="69">
        <v>8877</v>
      </c>
      <c r="O109" s="69">
        <f t="shared" si="75"/>
        <v>26</v>
      </c>
      <c r="P109" s="231">
        <f t="shared" si="68"/>
        <v>0</v>
      </c>
      <c r="Q109" s="69">
        <f t="shared" si="69"/>
        <v>26</v>
      </c>
      <c r="R109" s="69">
        <v>0.8</v>
      </c>
      <c r="S109" s="220">
        <f t="shared" si="46"/>
        <v>18</v>
      </c>
      <c r="T109" s="220">
        <f t="shared" si="64"/>
        <v>21</v>
      </c>
      <c r="U109" s="222">
        <f t="shared" si="67"/>
        <v>0</v>
      </c>
      <c r="V109" s="220">
        <f t="shared" si="65"/>
        <v>0</v>
      </c>
      <c r="W109" s="69">
        <f t="shared" si="74"/>
        <v>0</v>
      </c>
      <c r="X109" s="220">
        <f t="shared" si="73"/>
        <v>0</v>
      </c>
      <c r="Y109" s="69">
        <f t="shared" si="52"/>
        <v>39</v>
      </c>
      <c r="Z109" s="69"/>
      <c r="AA109" s="69"/>
      <c r="AB109" s="69"/>
      <c r="AC109" s="69"/>
      <c r="AD109" s="69">
        <f t="shared" si="70"/>
        <v>0</v>
      </c>
      <c r="AE109" s="69"/>
      <c r="AF109" s="69"/>
      <c r="AG109" s="69"/>
      <c r="AH109" s="69">
        <f t="shared" si="71"/>
        <v>0</v>
      </c>
      <c r="AI109" s="69">
        <f t="shared" si="72"/>
        <v>39</v>
      </c>
      <c r="AJ109" s="69"/>
      <c r="AK109" s="232"/>
      <c r="AL109" s="212"/>
      <c r="AM109" s="212"/>
      <c r="AN109" s="212"/>
      <c r="AO109" s="212"/>
      <c r="AP109" s="69">
        <f t="shared" si="56"/>
        <v>0</v>
      </c>
      <c r="AQ109" s="7"/>
      <c r="AR109" s="69"/>
      <c r="AS109" s="69"/>
      <c r="AT109" s="69"/>
      <c r="AU109" s="69">
        <f t="shared" si="57"/>
        <v>0</v>
      </c>
      <c r="AV109" s="69">
        <f t="shared" si="58"/>
        <v>39</v>
      </c>
      <c r="AW109" s="14"/>
    </row>
    <row r="110" ht="20.15" customHeight="1" spans="1:49">
      <c r="A110" s="228">
        <f>SUBTOTAL(2,$Y$4:Y110)</f>
        <v>107</v>
      </c>
      <c r="B110" s="14" t="s">
        <v>285</v>
      </c>
      <c r="C110" s="115" t="s">
        <v>214</v>
      </c>
      <c r="D110" s="115">
        <v>2037</v>
      </c>
      <c r="E110" s="229">
        <v>16.54</v>
      </c>
      <c r="F110" s="22">
        <v>2037</v>
      </c>
      <c r="G110" s="22" t="s">
        <v>286</v>
      </c>
      <c r="H110" s="14">
        <f t="shared" si="63"/>
        <v>16.54</v>
      </c>
      <c r="I110" s="67">
        <v>2500</v>
      </c>
      <c r="J110" s="226">
        <v>200</v>
      </c>
      <c r="K110" s="69">
        <f t="shared" si="66"/>
        <v>2700</v>
      </c>
      <c r="L110" s="69">
        <v>160</v>
      </c>
      <c r="M110" s="69">
        <v>2680</v>
      </c>
      <c r="N110" s="69">
        <v>2732</v>
      </c>
      <c r="O110" s="69">
        <f t="shared" si="75"/>
        <v>52</v>
      </c>
      <c r="P110" s="231">
        <f t="shared" si="68"/>
        <v>0</v>
      </c>
      <c r="Q110" s="69">
        <f t="shared" si="69"/>
        <v>52</v>
      </c>
      <c r="R110" s="69">
        <v>0.8</v>
      </c>
      <c r="S110" s="220">
        <f t="shared" si="46"/>
        <v>36</v>
      </c>
      <c r="T110" s="220">
        <f t="shared" si="64"/>
        <v>42</v>
      </c>
      <c r="U110" s="222">
        <f t="shared" si="67"/>
        <v>93</v>
      </c>
      <c r="V110" s="220">
        <f t="shared" si="65"/>
        <v>140</v>
      </c>
      <c r="W110" s="69">
        <f t="shared" si="74"/>
        <v>3</v>
      </c>
      <c r="X110" s="220">
        <f t="shared" si="73"/>
        <v>26</v>
      </c>
      <c r="Y110" s="69">
        <f t="shared" si="52"/>
        <v>3104</v>
      </c>
      <c r="Z110" s="69"/>
      <c r="AA110" s="69"/>
      <c r="AB110" s="69"/>
      <c r="AC110" s="69"/>
      <c r="AD110" s="69">
        <f t="shared" si="70"/>
        <v>0</v>
      </c>
      <c r="AE110" s="69"/>
      <c r="AF110" s="69"/>
      <c r="AG110" s="69"/>
      <c r="AH110" s="69">
        <f t="shared" si="71"/>
        <v>0</v>
      </c>
      <c r="AI110" s="69">
        <f t="shared" si="72"/>
        <v>3104</v>
      </c>
      <c r="AJ110" s="69"/>
      <c r="AK110" s="232"/>
      <c r="AL110" s="212"/>
      <c r="AM110" s="212"/>
      <c r="AN110" s="212"/>
      <c r="AO110" s="212"/>
      <c r="AP110" s="69">
        <f t="shared" si="56"/>
        <v>0</v>
      </c>
      <c r="AQ110" s="7"/>
      <c r="AR110" s="69"/>
      <c r="AS110" s="69"/>
      <c r="AT110" s="69"/>
      <c r="AU110" s="69">
        <f t="shared" si="57"/>
        <v>0</v>
      </c>
      <c r="AV110" s="69">
        <f t="shared" si="58"/>
        <v>3104</v>
      </c>
      <c r="AW110" s="14"/>
    </row>
    <row r="111" ht="20.15" customHeight="1" spans="1:49">
      <c r="A111" s="228">
        <f>SUBTOTAL(2,$Y$4:Y111)</f>
        <v>108</v>
      </c>
      <c r="B111" s="14" t="s">
        <v>287</v>
      </c>
      <c r="C111" s="115" t="s">
        <v>214</v>
      </c>
      <c r="D111" s="115">
        <v>2038</v>
      </c>
      <c r="E111" s="229">
        <v>16.54</v>
      </c>
      <c r="F111" s="22">
        <v>2038</v>
      </c>
      <c r="G111" s="22" t="s">
        <v>286</v>
      </c>
      <c r="H111" s="14">
        <f t="shared" si="63"/>
        <v>16.54</v>
      </c>
      <c r="I111" s="7">
        <v>2500</v>
      </c>
      <c r="J111" s="226">
        <v>200</v>
      </c>
      <c r="K111" s="69">
        <f t="shared" si="66"/>
        <v>2700</v>
      </c>
      <c r="L111" s="69">
        <v>160</v>
      </c>
      <c r="M111" s="69">
        <v>7876</v>
      </c>
      <c r="N111" s="69">
        <v>7876</v>
      </c>
      <c r="O111" s="69">
        <f t="shared" si="75"/>
        <v>0</v>
      </c>
      <c r="P111" s="231">
        <f t="shared" si="68"/>
        <v>0</v>
      </c>
      <c r="Q111" s="69">
        <f t="shared" si="69"/>
        <v>0</v>
      </c>
      <c r="R111" s="69">
        <v>0.8</v>
      </c>
      <c r="S111" s="220">
        <f t="shared" si="46"/>
        <v>0</v>
      </c>
      <c r="T111" s="220">
        <f t="shared" si="64"/>
        <v>0</v>
      </c>
      <c r="U111" s="222">
        <f t="shared" si="67"/>
        <v>93</v>
      </c>
      <c r="V111" s="220">
        <f t="shared" si="65"/>
        <v>140</v>
      </c>
      <c r="W111" s="69">
        <f t="shared" si="74"/>
        <v>3</v>
      </c>
      <c r="X111" s="220">
        <f t="shared" si="73"/>
        <v>26</v>
      </c>
      <c r="Y111" s="69">
        <f t="shared" si="52"/>
        <v>3026</v>
      </c>
      <c r="Z111" s="69"/>
      <c r="AA111" s="69"/>
      <c r="AB111" s="69"/>
      <c r="AC111" s="69"/>
      <c r="AD111" s="69">
        <f t="shared" si="70"/>
        <v>0</v>
      </c>
      <c r="AE111" s="69"/>
      <c r="AF111" s="69"/>
      <c r="AG111" s="69"/>
      <c r="AH111" s="69">
        <f t="shared" si="71"/>
        <v>0</v>
      </c>
      <c r="AI111" s="69">
        <f t="shared" si="72"/>
        <v>3026</v>
      </c>
      <c r="AJ111" s="69"/>
      <c r="AK111" s="232"/>
      <c r="AL111" s="212"/>
      <c r="AM111" s="212"/>
      <c r="AN111" s="212"/>
      <c r="AO111" s="212"/>
      <c r="AP111" s="69">
        <f t="shared" si="56"/>
        <v>0</v>
      </c>
      <c r="AQ111" s="7"/>
      <c r="AR111" s="69"/>
      <c r="AS111" s="69"/>
      <c r="AT111" s="69"/>
      <c r="AU111" s="69">
        <f t="shared" si="57"/>
        <v>0</v>
      </c>
      <c r="AV111" s="69">
        <f t="shared" si="58"/>
        <v>3026</v>
      </c>
      <c r="AW111" s="14"/>
    </row>
    <row r="112" ht="20.15" customHeight="1" spans="1:49">
      <c r="A112" s="228">
        <f>SUBTOTAL(2,$Y$4:Y112)</f>
        <v>109</v>
      </c>
      <c r="B112" s="14" t="s">
        <v>288</v>
      </c>
      <c r="C112" s="115" t="s">
        <v>214</v>
      </c>
      <c r="D112" s="115">
        <v>2039</v>
      </c>
      <c r="E112" s="229">
        <v>16.54</v>
      </c>
      <c r="F112" s="22">
        <v>2039</v>
      </c>
      <c r="G112" s="22" t="s">
        <v>289</v>
      </c>
      <c r="H112" s="14">
        <f t="shared" si="63"/>
        <v>16.54</v>
      </c>
      <c r="I112" s="67">
        <v>2500</v>
      </c>
      <c r="J112" s="226">
        <v>200</v>
      </c>
      <c r="K112" s="69">
        <f t="shared" si="66"/>
        <v>2700</v>
      </c>
      <c r="L112" s="69">
        <v>160</v>
      </c>
      <c r="M112" s="69">
        <v>6136</v>
      </c>
      <c r="N112" s="69">
        <v>6182</v>
      </c>
      <c r="O112" s="69">
        <f t="shared" si="75"/>
        <v>46</v>
      </c>
      <c r="P112" s="231">
        <f t="shared" si="68"/>
        <v>0</v>
      </c>
      <c r="Q112" s="69">
        <f t="shared" si="69"/>
        <v>46</v>
      </c>
      <c r="R112" s="69">
        <v>0.8</v>
      </c>
      <c r="S112" s="220">
        <f t="shared" si="46"/>
        <v>32</v>
      </c>
      <c r="T112" s="220">
        <f t="shared" si="64"/>
        <v>37</v>
      </c>
      <c r="U112" s="222">
        <f t="shared" si="67"/>
        <v>93</v>
      </c>
      <c r="V112" s="220">
        <f t="shared" si="65"/>
        <v>140</v>
      </c>
      <c r="W112" s="69">
        <f t="shared" si="74"/>
        <v>3</v>
      </c>
      <c r="X112" s="220">
        <f t="shared" si="73"/>
        <v>26</v>
      </c>
      <c r="Y112" s="69">
        <f t="shared" si="52"/>
        <v>3095</v>
      </c>
      <c r="Z112" s="69"/>
      <c r="AA112" s="69"/>
      <c r="AB112" s="69"/>
      <c r="AC112" s="69"/>
      <c r="AD112" s="69">
        <f t="shared" si="70"/>
        <v>0</v>
      </c>
      <c r="AE112" s="69"/>
      <c r="AF112" s="69"/>
      <c r="AG112" s="69"/>
      <c r="AH112" s="69">
        <f t="shared" si="71"/>
        <v>0</v>
      </c>
      <c r="AI112" s="69">
        <f t="shared" si="72"/>
        <v>3095</v>
      </c>
      <c r="AJ112" s="69"/>
      <c r="AK112" s="232"/>
      <c r="AL112" s="212"/>
      <c r="AM112" s="212"/>
      <c r="AN112" s="212"/>
      <c r="AO112" s="212"/>
      <c r="AP112" s="69">
        <f t="shared" si="56"/>
        <v>0</v>
      </c>
      <c r="AQ112" s="7"/>
      <c r="AR112" s="69"/>
      <c r="AS112" s="69"/>
      <c r="AT112" s="69"/>
      <c r="AU112" s="69">
        <f t="shared" si="57"/>
        <v>0</v>
      </c>
      <c r="AV112" s="69">
        <f t="shared" si="58"/>
        <v>3095</v>
      </c>
      <c r="AW112" s="14"/>
    </row>
    <row r="113" ht="20.15" customHeight="1" spans="1:49">
      <c r="A113" s="228">
        <f>SUBTOTAL(2,$Y$4:Y113)</f>
        <v>110</v>
      </c>
      <c r="B113" s="14" t="s">
        <v>290</v>
      </c>
      <c r="C113" s="14" t="s">
        <v>214</v>
      </c>
      <c r="D113" s="115">
        <v>2040</v>
      </c>
      <c r="E113" s="229">
        <v>16.54</v>
      </c>
      <c r="F113" s="22">
        <v>2040</v>
      </c>
      <c r="G113" s="22" t="s">
        <v>291</v>
      </c>
      <c r="H113" s="14">
        <f t="shared" si="63"/>
        <v>16.54</v>
      </c>
      <c r="I113" s="7">
        <v>5000</v>
      </c>
      <c r="J113" s="226">
        <v>400</v>
      </c>
      <c r="K113" s="69">
        <f t="shared" si="66"/>
        <v>5400</v>
      </c>
      <c r="L113" s="69">
        <v>320</v>
      </c>
      <c r="M113" s="69">
        <v>5420</v>
      </c>
      <c r="N113" s="69">
        <v>5425</v>
      </c>
      <c r="O113" s="69">
        <f t="shared" si="75"/>
        <v>5</v>
      </c>
      <c r="P113" s="231">
        <f t="shared" si="68"/>
        <v>0</v>
      </c>
      <c r="Q113" s="69">
        <f t="shared" si="69"/>
        <v>5</v>
      </c>
      <c r="R113" s="69">
        <v>0.8</v>
      </c>
      <c r="S113" s="220">
        <f t="shared" si="46"/>
        <v>4</v>
      </c>
      <c r="T113" s="220">
        <f t="shared" si="64"/>
        <v>4</v>
      </c>
      <c r="U113" s="222">
        <f t="shared" si="67"/>
        <v>93</v>
      </c>
      <c r="V113" s="220">
        <f t="shared" si="65"/>
        <v>140</v>
      </c>
      <c r="W113" s="69">
        <f t="shared" si="74"/>
        <v>3</v>
      </c>
      <c r="X113" s="220">
        <f t="shared" si="73"/>
        <v>26</v>
      </c>
      <c r="Y113" s="69">
        <f t="shared" si="52"/>
        <v>5894</v>
      </c>
      <c r="Z113" s="69"/>
      <c r="AA113" s="69"/>
      <c r="AB113" s="69"/>
      <c r="AC113" s="69"/>
      <c r="AD113" s="69">
        <f t="shared" si="70"/>
        <v>0</v>
      </c>
      <c r="AE113" s="69"/>
      <c r="AF113" s="69"/>
      <c r="AG113" s="69"/>
      <c r="AH113" s="69">
        <f t="shared" si="71"/>
        <v>0</v>
      </c>
      <c r="AI113" s="69">
        <f t="shared" si="72"/>
        <v>5894</v>
      </c>
      <c r="AJ113" s="69"/>
      <c r="AK113" s="232"/>
      <c r="AL113" s="212"/>
      <c r="AM113" s="212"/>
      <c r="AN113" s="212"/>
      <c r="AO113" s="212"/>
      <c r="AP113" s="69">
        <f t="shared" si="56"/>
        <v>0</v>
      </c>
      <c r="AQ113" s="7"/>
      <c r="AR113" s="69"/>
      <c r="AS113" s="69"/>
      <c r="AT113" s="69"/>
      <c r="AU113" s="69">
        <f t="shared" si="57"/>
        <v>0</v>
      </c>
      <c r="AV113" s="69">
        <f t="shared" si="58"/>
        <v>5894</v>
      </c>
      <c r="AW113" s="14"/>
    </row>
    <row r="114" ht="20.15" customHeight="1" spans="1:49">
      <c r="A114" s="228">
        <f>SUBTOTAL(2,$Y$4:Y114)</f>
        <v>111</v>
      </c>
      <c r="B114" s="14" t="s">
        <v>292</v>
      </c>
      <c r="C114" s="14" t="s">
        <v>214</v>
      </c>
      <c r="D114" s="115">
        <v>2041</v>
      </c>
      <c r="E114" s="229">
        <v>16.54</v>
      </c>
      <c r="F114" s="22">
        <v>2041</v>
      </c>
      <c r="G114" s="22" t="s">
        <v>291</v>
      </c>
      <c r="H114" s="14">
        <f t="shared" si="63"/>
        <v>16.54</v>
      </c>
      <c r="I114" s="67"/>
      <c r="J114" s="226"/>
      <c r="K114" s="69">
        <f t="shared" si="66"/>
        <v>0</v>
      </c>
      <c r="L114" s="69"/>
      <c r="M114" s="69">
        <v>8009</v>
      </c>
      <c r="N114" s="69">
        <v>8026</v>
      </c>
      <c r="O114" s="69">
        <f t="shared" si="75"/>
        <v>17</v>
      </c>
      <c r="P114" s="231">
        <f t="shared" si="68"/>
        <v>0</v>
      </c>
      <c r="Q114" s="69">
        <f t="shared" si="69"/>
        <v>17</v>
      </c>
      <c r="R114" s="69">
        <v>0.8</v>
      </c>
      <c r="S114" s="220">
        <f t="shared" si="46"/>
        <v>12</v>
      </c>
      <c r="T114" s="220">
        <f t="shared" si="64"/>
        <v>14</v>
      </c>
      <c r="U114" s="222">
        <f t="shared" si="67"/>
        <v>93</v>
      </c>
      <c r="V114" s="220">
        <f t="shared" si="65"/>
        <v>140</v>
      </c>
      <c r="W114" s="69">
        <f t="shared" si="74"/>
        <v>3</v>
      </c>
      <c r="X114" s="220">
        <f t="shared" si="73"/>
        <v>26</v>
      </c>
      <c r="Y114" s="69">
        <f t="shared" si="52"/>
        <v>192</v>
      </c>
      <c r="Z114" s="69"/>
      <c r="AA114" s="69"/>
      <c r="AB114" s="69"/>
      <c r="AC114" s="69"/>
      <c r="AD114" s="69">
        <f t="shared" si="70"/>
        <v>0</v>
      </c>
      <c r="AE114" s="69"/>
      <c r="AF114" s="69"/>
      <c r="AG114" s="69"/>
      <c r="AH114" s="69">
        <f t="shared" si="71"/>
        <v>0</v>
      </c>
      <c r="AI114" s="69">
        <f t="shared" si="72"/>
        <v>192</v>
      </c>
      <c r="AJ114" s="69"/>
      <c r="AK114" s="232"/>
      <c r="AL114" s="212"/>
      <c r="AM114" s="212"/>
      <c r="AN114" s="212"/>
      <c r="AO114" s="212"/>
      <c r="AP114" s="69">
        <f t="shared" si="56"/>
        <v>0</v>
      </c>
      <c r="AQ114" s="7"/>
      <c r="AR114" s="69"/>
      <c r="AS114" s="69"/>
      <c r="AT114" s="69"/>
      <c r="AU114" s="69">
        <f t="shared" si="57"/>
        <v>0</v>
      </c>
      <c r="AV114" s="69">
        <f t="shared" si="58"/>
        <v>192</v>
      </c>
      <c r="AW114" s="14"/>
    </row>
    <row r="115" ht="20.15" customHeight="1" spans="1:49">
      <c r="A115" s="228">
        <f>SUBTOTAL(2,$Y$4:Y115)</f>
        <v>112</v>
      </c>
      <c r="B115" s="14" t="s">
        <v>293</v>
      </c>
      <c r="C115" s="115" t="s">
        <v>214</v>
      </c>
      <c r="D115" s="115">
        <v>2042</v>
      </c>
      <c r="E115" s="229">
        <v>16.54</v>
      </c>
      <c r="F115" s="22">
        <v>2042</v>
      </c>
      <c r="G115" s="22" t="s">
        <v>294</v>
      </c>
      <c r="H115" s="14">
        <f t="shared" si="63"/>
        <v>16.54</v>
      </c>
      <c r="I115" s="67">
        <v>2500</v>
      </c>
      <c r="J115" s="238">
        <v>200</v>
      </c>
      <c r="K115" s="69">
        <f t="shared" si="66"/>
        <v>2700</v>
      </c>
      <c r="L115" s="69">
        <v>160</v>
      </c>
      <c r="M115" s="69">
        <v>6478</v>
      </c>
      <c r="N115" s="69">
        <v>6503</v>
      </c>
      <c r="O115" s="69">
        <f t="shared" si="75"/>
        <v>25</v>
      </c>
      <c r="P115" s="231">
        <f t="shared" si="68"/>
        <v>0</v>
      </c>
      <c r="Q115" s="69">
        <f t="shared" si="69"/>
        <v>25</v>
      </c>
      <c r="R115" s="69">
        <v>0.8</v>
      </c>
      <c r="S115" s="220">
        <f t="shared" si="46"/>
        <v>18</v>
      </c>
      <c r="T115" s="220">
        <f t="shared" si="64"/>
        <v>20</v>
      </c>
      <c r="U115" s="222">
        <f t="shared" si="67"/>
        <v>93</v>
      </c>
      <c r="V115" s="220">
        <f t="shared" si="65"/>
        <v>140</v>
      </c>
      <c r="W115" s="69">
        <f t="shared" si="74"/>
        <v>3</v>
      </c>
      <c r="X115" s="220">
        <f t="shared" si="73"/>
        <v>26</v>
      </c>
      <c r="Y115" s="69">
        <f t="shared" si="52"/>
        <v>3064</v>
      </c>
      <c r="Z115" s="69"/>
      <c r="AA115" s="69"/>
      <c r="AB115" s="69"/>
      <c r="AC115" s="69"/>
      <c r="AD115" s="69">
        <f t="shared" si="70"/>
        <v>0</v>
      </c>
      <c r="AE115" s="69"/>
      <c r="AF115" s="69"/>
      <c r="AG115" s="69"/>
      <c r="AH115" s="69">
        <f t="shared" si="71"/>
        <v>0</v>
      </c>
      <c r="AI115" s="69">
        <f t="shared" si="72"/>
        <v>3064</v>
      </c>
      <c r="AJ115" s="69"/>
      <c r="AK115" s="232"/>
      <c r="AL115" s="212"/>
      <c r="AM115" s="212"/>
      <c r="AN115" s="212"/>
      <c r="AO115" s="212"/>
      <c r="AP115" s="69">
        <f t="shared" si="56"/>
        <v>0</v>
      </c>
      <c r="AQ115" s="7"/>
      <c r="AR115" s="69"/>
      <c r="AS115" s="69"/>
      <c r="AT115" s="69"/>
      <c r="AU115" s="69">
        <f t="shared" si="57"/>
        <v>0</v>
      </c>
      <c r="AV115" s="69">
        <f t="shared" si="58"/>
        <v>3064</v>
      </c>
      <c r="AW115" s="14"/>
    </row>
    <row r="116" ht="20.15" customHeight="1" spans="1:49">
      <c r="A116" s="228">
        <f>SUBTOTAL(2,$Y$4:Y116)</f>
        <v>113</v>
      </c>
      <c r="B116" s="14" t="s">
        <v>295</v>
      </c>
      <c r="C116" s="115" t="s">
        <v>214</v>
      </c>
      <c r="D116" s="115">
        <v>2043</v>
      </c>
      <c r="E116" s="229">
        <v>16.54</v>
      </c>
      <c r="F116" s="22" t="s">
        <v>296</v>
      </c>
      <c r="G116" s="22" t="s">
        <v>297</v>
      </c>
      <c r="H116" s="14">
        <f>E116*2</f>
        <v>33.08</v>
      </c>
      <c r="I116" s="67">
        <v>5000</v>
      </c>
      <c r="J116" s="230">
        <v>400</v>
      </c>
      <c r="K116" s="69">
        <f t="shared" si="66"/>
        <v>5400</v>
      </c>
      <c r="L116" s="69">
        <v>320</v>
      </c>
      <c r="M116" s="69">
        <v>1711</v>
      </c>
      <c r="N116" s="69">
        <v>1774</v>
      </c>
      <c r="O116" s="69">
        <f t="shared" si="75"/>
        <v>63</v>
      </c>
      <c r="P116" s="231">
        <f t="shared" si="68"/>
        <v>0</v>
      </c>
      <c r="Q116" s="69">
        <f t="shared" si="69"/>
        <v>63</v>
      </c>
      <c r="R116" s="69">
        <v>0.8</v>
      </c>
      <c r="S116" s="220">
        <f t="shared" si="46"/>
        <v>44</v>
      </c>
      <c r="T116" s="220">
        <f t="shared" si="64"/>
        <v>50</v>
      </c>
      <c r="U116" s="222">
        <f t="shared" si="67"/>
        <v>185</v>
      </c>
      <c r="V116" s="220">
        <f t="shared" si="65"/>
        <v>278</v>
      </c>
      <c r="W116" s="69">
        <f t="shared" si="74"/>
        <v>7</v>
      </c>
      <c r="X116" s="220">
        <f t="shared" si="73"/>
        <v>60</v>
      </c>
      <c r="Y116" s="69">
        <f t="shared" si="52"/>
        <v>6152</v>
      </c>
      <c r="Z116" s="69"/>
      <c r="AA116" s="69"/>
      <c r="AB116" s="69"/>
      <c r="AC116" s="69"/>
      <c r="AD116" s="69">
        <f t="shared" si="70"/>
        <v>0</v>
      </c>
      <c r="AE116" s="69"/>
      <c r="AF116" s="69"/>
      <c r="AG116" s="69"/>
      <c r="AH116" s="69">
        <f t="shared" si="71"/>
        <v>0</v>
      </c>
      <c r="AI116" s="69">
        <f t="shared" si="72"/>
        <v>6152</v>
      </c>
      <c r="AJ116" s="69"/>
      <c r="AK116" s="232"/>
      <c r="AL116" s="212"/>
      <c r="AM116" s="212"/>
      <c r="AN116" s="212"/>
      <c r="AO116" s="212"/>
      <c r="AP116" s="69">
        <f t="shared" si="56"/>
        <v>0</v>
      </c>
      <c r="AQ116" s="7"/>
      <c r="AR116" s="69"/>
      <c r="AS116" s="69"/>
      <c r="AT116" s="69"/>
      <c r="AU116" s="69">
        <f t="shared" si="57"/>
        <v>0</v>
      </c>
      <c r="AV116" s="69">
        <f t="shared" si="58"/>
        <v>6152</v>
      </c>
      <c r="AW116" s="14"/>
    </row>
    <row r="117" ht="20.15" customHeight="1" spans="1:49">
      <c r="A117" s="228">
        <f>SUBTOTAL(2,$Y$4:Y117)</f>
        <v>114</v>
      </c>
      <c r="B117" s="14" t="s">
        <v>298</v>
      </c>
      <c r="C117" s="14" t="s">
        <v>214</v>
      </c>
      <c r="D117" s="115">
        <v>2044</v>
      </c>
      <c r="E117" s="229">
        <v>16.54</v>
      </c>
      <c r="F117" s="13">
        <v>2044</v>
      </c>
      <c r="G117" s="159" t="s">
        <v>297</v>
      </c>
      <c r="H117" s="14"/>
      <c r="I117" s="69"/>
      <c r="J117" s="230"/>
      <c r="K117" s="69">
        <f t="shared" si="66"/>
        <v>0</v>
      </c>
      <c r="L117" s="237">
        <v>0</v>
      </c>
      <c r="M117" s="69">
        <v>42</v>
      </c>
      <c r="N117" s="69">
        <v>79</v>
      </c>
      <c r="O117" s="69">
        <f t="shared" si="75"/>
        <v>37</v>
      </c>
      <c r="P117" s="231">
        <f t="shared" si="68"/>
        <v>0</v>
      </c>
      <c r="Q117" s="69">
        <f t="shared" si="69"/>
        <v>37</v>
      </c>
      <c r="R117" s="69">
        <v>0.8</v>
      </c>
      <c r="S117" s="220">
        <f t="shared" si="46"/>
        <v>26</v>
      </c>
      <c r="T117" s="220">
        <f t="shared" si="64"/>
        <v>30</v>
      </c>
      <c r="U117" s="222">
        <f t="shared" si="67"/>
        <v>0</v>
      </c>
      <c r="V117" s="220">
        <f t="shared" si="65"/>
        <v>0</v>
      </c>
      <c r="W117" s="69">
        <f t="shared" si="74"/>
        <v>0</v>
      </c>
      <c r="X117" s="220">
        <f t="shared" si="73"/>
        <v>0</v>
      </c>
      <c r="Y117" s="69">
        <f t="shared" si="52"/>
        <v>56</v>
      </c>
      <c r="Z117" s="69"/>
      <c r="AA117" s="69"/>
      <c r="AB117" s="69"/>
      <c r="AC117" s="69"/>
      <c r="AD117" s="69">
        <f t="shared" si="70"/>
        <v>0</v>
      </c>
      <c r="AE117" s="69"/>
      <c r="AF117" s="69"/>
      <c r="AG117" s="69"/>
      <c r="AH117" s="69">
        <f t="shared" si="71"/>
        <v>0</v>
      </c>
      <c r="AI117" s="69">
        <f t="shared" si="72"/>
        <v>56</v>
      </c>
      <c r="AJ117" s="69"/>
      <c r="AK117" s="232"/>
      <c r="AL117" s="212"/>
      <c r="AM117" s="212"/>
      <c r="AN117" s="212"/>
      <c r="AO117" s="212"/>
      <c r="AP117" s="69">
        <f t="shared" si="56"/>
        <v>0</v>
      </c>
      <c r="AQ117" s="7"/>
      <c r="AR117" s="69"/>
      <c r="AS117" s="67"/>
      <c r="AT117" s="67"/>
      <c r="AU117" s="69">
        <f t="shared" si="57"/>
        <v>0</v>
      </c>
      <c r="AV117" s="69">
        <f t="shared" si="58"/>
        <v>56</v>
      </c>
      <c r="AW117" s="14"/>
    </row>
    <row r="118" ht="20.15" customHeight="1" spans="1:49">
      <c r="A118" s="228">
        <f>SUBTOTAL(2,$Y$4:Y118)</f>
        <v>115</v>
      </c>
      <c r="B118" s="14" t="s">
        <v>299</v>
      </c>
      <c r="C118" s="14" t="s">
        <v>214</v>
      </c>
      <c r="D118" s="115">
        <v>2045</v>
      </c>
      <c r="E118" s="229">
        <v>16.54</v>
      </c>
      <c r="F118" s="22">
        <v>2045</v>
      </c>
      <c r="G118" s="22" t="s">
        <v>300</v>
      </c>
      <c r="H118" s="14">
        <f t="shared" ref="H118:H126" si="76">E118</f>
        <v>16.54</v>
      </c>
      <c r="I118" s="7">
        <v>2500</v>
      </c>
      <c r="J118" s="226">
        <v>200</v>
      </c>
      <c r="K118" s="69">
        <f t="shared" si="66"/>
        <v>2700</v>
      </c>
      <c r="L118" s="69">
        <v>160</v>
      </c>
      <c r="M118" s="69">
        <v>7640</v>
      </c>
      <c r="N118" s="69">
        <v>7684</v>
      </c>
      <c r="O118" s="69">
        <f t="shared" si="75"/>
        <v>44</v>
      </c>
      <c r="P118" s="231">
        <f t="shared" si="68"/>
        <v>0</v>
      </c>
      <c r="Q118" s="69">
        <f t="shared" si="69"/>
        <v>44</v>
      </c>
      <c r="R118" s="69">
        <v>0.8</v>
      </c>
      <c r="S118" s="220">
        <f t="shared" si="46"/>
        <v>31</v>
      </c>
      <c r="T118" s="220">
        <f t="shared" si="64"/>
        <v>35</v>
      </c>
      <c r="U118" s="222">
        <f t="shared" si="67"/>
        <v>93</v>
      </c>
      <c r="V118" s="220">
        <f t="shared" si="65"/>
        <v>140</v>
      </c>
      <c r="W118" s="69">
        <f t="shared" si="74"/>
        <v>3</v>
      </c>
      <c r="X118" s="220">
        <f t="shared" si="73"/>
        <v>26</v>
      </c>
      <c r="Y118" s="69">
        <f t="shared" si="52"/>
        <v>3092</v>
      </c>
      <c r="Z118" s="69"/>
      <c r="AA118" s="69"/>
      <c r="AB118" s="69"/>
      <c r="AC118" s="69"/>
      <c r="AD118" s="69">
        <f t="shared" si="70"/>
        <v>0</v>
      </c>
      <c r="AE118" s="69"/>
      <c r="AF118" s="69"/>
      <c r="AG118" s="69"/>
      <c r="AH118" s="69">
        <f t="shared" si="71"/>
        <v>0</v>
      </c>
      <c r="AI118" s="69">
        <f t="shared" si="72"/>
        <v>3092</v>
      </c>
      <c r="AJ118" s="69"/>
      <c r="AK118" s="232"/>
      <c r="AL118" s="212"/>
      <c r="AM118" s="212"/>
      <c r="AN118" s="212"/>
      <c r="AO118" s="212"/>
      <c r="AP118" s="69">
        <f t="shared" si="56"/>
        <v>0</v>
      </c>
      <c r="AQ118" s="7"/>
      <c r="AR118" s="69"/>
      <c r="AS118" s="69"/>
      <c r="AT118" s="69"/>
      <c r="AU118" s="69">
        <f t="shared" si="57"/>
        <v>0</v>
      </c>
      <c r="AV118" s="69">
        <f t="shared" si="58"/>
        <v>3092</v>
      </c>
      <c r="AW118" s="14"/>
    </row>
    <row r="119" ht="20.15" customHeight="1" spans="1:49">
      <c r="A119" s="228">
        <f>SUBTOTAL(2,$Y$4:Y119)</f>
        <v>116</v>
      </c>
      <c r="B119" s="14" t="s">
        <v>301</v>
      </c>
      <c r="C119" s="14" t="s">
        <v>214</v>
      </c>
      <c r="D119" s="115">
        <v>2046</v>
      </c>
      <c r="E119" s="229">
        <v>16.54</v>
      </c>
      <c r="F119" s="22">
        <v>2046</v>
      </c>
      <c r="G119" s="22" t="s">
        <v>302</v>
      </c>
      <c r="H119" s="14">
        <f t="shared" si="76"/>
        <v>16.54</v>
      </c>
      <c r="I119" s="7">
        <v>2500</v>
      </c>
      <c r="J119" s="226">
        <v>200</v>
      </c>
      <c r="K119" s="69">
        <f t="shared" si="66"/>
        <v>2700</v>
      </c>
      <c r="L119" s="69">
        <v>160</v>
      </c>
      <c r="M119" s="69">
        <v>5507</v>
      </c>
      <c r="N119" s="69">
        <v>5540</v>
      </c>
      <c r="O119" s="69">
        <f t="shared" si="75"/>
        <v>33</v>
      </c>
      <c r="P119" s="231">
        <f t="shared" si="68"/>
        <v>0</v>
      </c>
      <c r="Q119" s="69">
        <f t="shared" si="69"/>
        <v>33</v>
      </c>
      <c r="R119" s="69">
        <v>0.8</v>
      </c>
      <c r="S119" s="220">
        <f t="shared" si="46"/>
        <v>23</v>
      </c>
      <c r="T119" s="220">
        <f t="shared" si="64"/>
        <v>26</v>
      </c>
      <c r="U119" s="222">
        <f t="shared" si="67"/>
        <v>93</v>
      </c>
      <c r="V119" s="220">
        <f t="shared" si="65"/>
        <v>140</v>
      </c>
      <c r="W119" s="69">
        <f t="shared" si="74"/>
        <v>3</v>
      </c>
      <c r="X119" s="220">
        <f t="shared" si="73"/>
        <v>26</v>
      </c>
      <c r="Y119" s="69">
        <f t="shared" si="52"/>
        <v>3075</v>
      </c>
      <c r="Z119" s="69"/>
      <c r="AA119" s="69"/>
      <c r="AB119" s="69"/>
      <c r="AC119" s="69"/>
      <c r="AD119" s="69">
        <f t="shared" si="70"/>
        <v>0</v>
      </c>
      <c r="AE119" s="69"/>
      <c r="AF119" s="69"/>
      <c r="AG119" s="69"/>
      <c r="AH119" s="69">
        <f t="shared" si="71"/>
        <v>0</v>
      </c>
      <c r="AI119" s="69">
        <f t="shared" si="72"/>
        <v>3075</v>
      </c>
      <c r="AJ119" s="69"/>
      <c r="AK119" s="232"/>
      <c r="AL119" s="212"/>
      <c r="AM119" s="212"/>
      <c r="AN119" s="212"/>
      <c r="AO119" s="212"/>
      <c r="AP119" s="69">
        <f t="shared" si="56"/>
        <v>0</v>
      </c>
      <c r="AQ119" s="7"/>
      <c r="AR119" s="69"/>
      <c r="AS119" s="69"/>
      <c r="AT119" s="69"/>
      <c r="AU119" s="69">
        <f t="shared" si="57"/>
        <v>0</v>
      </c>
      <c r="AV119" s="69">
        <f t="shared" si="58"/>
        <v>3075</v>
      </c>
      <c r="AW119" s="14"/>
    </row>
    <row r="120" ht="20.15" customHeight="1" spans="1:49">
      <c r="A120" s="228">
        <f>SUBTOTAL(2,$Y$4:Y120)</f>
        <v>117</v>
      </c>
      <c r="B120" s="14" t="s">
        <v>303</v>
      </c>
      <c r="C120" s="14" t="s">
        <v>214</v>
      </c>
      <c r="D120" s="115">
        <v>2047</v>
      </c>
      <c r="E120" s="229">
        <v>36.48</v>
      </c>
      <c r="F120" s="13">
        <v>2047</v>
      </c>
      <c r="G120" s="13" t="s">
        <v>304</v>
      </c>
      <c r="H120" s="14">
        <f t="shared" si="76"/>
        <v>36.48</v>
      </c>
      <c r="I120" s="69">
        <v>2000</v>
      </c>
      <c r="J120" s="230">
        <v>0</v>
      </c>
      <c r="K120" s="69">
        <f t="shared" si="66"/>
        <v>2000</v>
      </c>
      <c r="L120" s="69">
        <v>160</v>
      </c>
      <c r="M120" s="69">
        <v>1663</v>
      </c>
      <c r="N120" s="69">
        <v>1694</v>
      </c>
      <c r="O120" s="69">
        <f t="shared" si="75"/>
        <v>31</v>
      </c>
      <c r="P120" s="231">
        <f t="shared" si="68"/>
        <v>0</v>
      </c>
      <c r="Q120" s="69">
        <f t="shared" si="69"/>
        <v>31</v>
      </c>
      <c r="R120" s="69">
        <v>0.8</v>
      </c>
      <c r="S120" s="220">
        <f t="shared" si="46"/>
        <v>22</v>
      </c>
      <c r="T120" s="220">
        <f t="shared" si="64"/>
        <v>25</v>
      </c>
      <c r="U120" s="222">
        <f t="shared" si="67"/>
        <v>204</v>
      </c>
      <c r="V120" s="220">
        <f t="shared" si="65"/>
        <v>306</v>
      </c>
      <c r="W120" s="69">
        <f t="shared" si="74"/>
        <v>7</v>
      </c>
      <c r="X120" s="220">
        <f t="shared" si="73"/>
        <v>60</v>
      </c>
      <c r="Y120" s="69">
        <f t="shared" si="52"/>
        <v>2573</v>
      </c>
      <c r="Z120" s="69"/>
      <c r="AA120" s="69"/>
      <c r="AB120" s="69"/>
      <c r="AC120" s="69"/>
      <c r="AD120" s="69">
        <f t="shared" si="70"/>
        <v>0</v>
      </c>
      <c r="AE120" s="69"/>
      <c r="AF120" s="69"/>
      <c r="AG120" s="69"/>
      <c r="AH120" s="69">
        <f t="shared" si="71"/>
        <v>0</v>
      </c>
      <c r="AI120" s="69">
        <f t="shared" si="72"/>
        <v>2573</v>
      </c>
      <c r="AJ120" s="69"/>
      <c r="AK120" s="232"/>
      <c r="AL120" s="212"/>
      <c r="AM120" s="212"/>
      <c r="AN120" s="212"/>
      <c r="AO120" s="212"/>
      <c r="AP120" s="69">
        <f t="shared" si="56"/>
        <v>0</v>
      </c>
      <c r="AQ120" s="7"/>
      <c r="AR120" s="69"/>
      <c r="AS120" s="69"/>
      <c r="AT120" s="69"/>
      <c r="AU120" s="69">
        <f t="shared" si="57"/>
        <v>0</v>
      </c>
      <c r="AV120" s="69">
        <f t="shared" si="58"/>
        <v>2573</v>
      </c>
      <c r="AW120" s="213"/>
    </row>
    <row r="121" ht="20.15" customHeight="1" spans="1:49">
      <c r="A121" s="228">
        <f>SUBTOTAL(2,$Y$4:Y121)</f>
        <v>118</v>
      </c>
      <c r="B121" s="14" t="s">
        <v>305</v>
      </c>
      <c r="C121" s="14" t="s">
        <v>214</v>
      </c>
      <c r="D121" s="115">
        <v>2048</v>
      </c>
      <c r="E121" s="229">
        <v>16.54</v>
      </c>
      <c r="F121" s="22">
        <v>2048</v>
      </c>
      <c r="G121" s="22" t="s">
        <v>306</v>
      </c>
      <c r="H121" s="14">
        <f t="shared" si="76"/>
        <v>16.54</v>
      </c>
      <c r="I121" s="7">
        <v>2500</v>
      </c>
      <c r="J121" s="226">
        <v>200</v>
      </c>
      <c r="K121" s="69">
        <f t="shared" si="66"/>
        <v>2700</v>
      </c>
      <c r="L121" s="69">
        <v>160</v>
      </c>
      <c r="M121" s="69">
        <v>7431</v>
      </c>
      <c r="N121" s="69">
        <v>7463</v>
      </c>
      <c r="O121" s="69">
        <f t="shared" si="75"/>
        <v>32</v>
      </c>
      <c r="P121" s="231">
        <f t="shared" si="68"/>
        <v>0</v>
      </c>
      <c r="Q121" s="69">
        <f t="shared" ref="Q121:Q142" si="77">O121+P121</f>
        <v>32</v>
      </c>
      <c r="R121" s="69">
        <v>0.8</v>
      </c>
      <c r="S121" s="220">
        <f t="shared" si="46"/>
        <v>22</v>
      </c>
      <c r="T121" s="220">
        <f t="shared" si="64"/>
        <v>26</v>
      </c>
      <c r="U121" s="222">
        <f t="shared" si="67"/>
        <v>93</v>
      </c>
      <c r="V121" s="220">
        <f t="shared" si="65"/>
        <v>140</v>
      </c>
      <c r="W121" s="69">
        <f t="shared" si="74"/>
        <v>3</v>
      </c>
      <c r="X121" s="220">
        <f t="shared" si="73"/>
        <v>26</v>
      </c>
      <c r="Y121" s="69">
        <f t="shared" si="52"/>
        <v>3074</v>
      </c>
      <c r="Z121" s="69"/>
      <c r="AA121" s="69"/>
      <c r="AB121" s="69"/>
      <c r="AC121" s="69"/>
      <c r="AD121" s="69">
        <f t="shared" si="70"/>
        <v>0</v>
      </c>
      <c r="AE121" s="69"/>
      <c r="AF121" s="69"/>
      <c r="AG121" s="69"/>
      <c r="AH121" s="69">
        <f t="shared" si="71"/>
        <v>0</v>
      </c>
      <c r="AI121" s="69">
        <f t="shared" si="72"/>
        <v>3074</v>
      </c>
      <c r="AJ121" s="69"/>
      <c r="AK121" s="232"/>
      <c r="AL121" s="212"/>
      <c r="AM121" s="212"/>
      <c r="AN121" s="212"/>
      <c r="AO121" s="212"/>
      <c r="AP121" s="69">
        <f t="shared" si="56"/>
        <v>0</v>
      </c>
      <c r="AQ121" s="7"/>
      <c r="AR121" s="69"/>
      <c r="AS121" s="69"/>
      <c r="AT121" s="69"/>
      <c r="AU121" s="69">
        <f t="shared" si="57"/>
        <v>0</v>
      </c>
      <c r="AV121" s="69">
        <f t="shared" si="58"/>
        <v>3074</v>
      </c>
      <c r="AW121" s="14"/>
    </row>
    <row r="122" ht="20.15" customHeight="1" spans="1:49">
      <c r="A122" s="228">
        <f>SUBTOTAL(2,$Y$4:Y122)</f>
        <v>119</v>
      </c>
      <c r="B122" s="14" t="s">
        <v>307</v>
      </c>
      <c r="C122" s="14" t="s">
        <v>214</v>
      </c>
      <c r="D122" s="115">
        <v>2049</v>
      </c>
      <c r="E122" s="229">
        <v>16.54</v>
      </c>
      <c r="F122" s="22">
        <v>2049</v>
      </c>
      <c r="G122" s="22" t="s">
        <v>308</v>
      </c>
      <c r="H122" s="14">
        <f t="shared" si="76"/>
        <v>16.54</v>
      </c>
      <c r="I122" s="7">
        <v>2500</v>
      </c>
      <c r="J122" s="226">
        <v>200</v>
      </c>
      <c r="K122" s="69">
        <f t="shared" si="66"/>
        <v>2700</v>
      </c>
      <c r="L122" s="69">
        <v>160</v>
      </c>
      <c r="M122" s="69">
        <v>8118</v>
      </c>
      <c r="N122" s="69">
        <v>8147</v>
      </c>
      <c r="O122" s="69">
        <f t="shared" si="75"/>
        <v>29</v>
      </c>
      <c r="P122" s="231">
        <f t="shared" si="68"/>
        <v>0</v>
      </c>
      <c r="Q122" s="69">
        <f t="shared" si="77"/>
        <v>29</v>
      </c>
      <c r="R122" s="69">
        <v>0.8</v>
      </c>
      <c r="S122" s="220">
        <f t="shared" si="46"/>
        <v>20</v>
      </c>
      <c r="T122" s="220">
        <f t="shared" si="64"/>
        <v>23</v>
      </c>
      <c r="U122" s="222">
        <f t="shared" si="67"/>
        <v>93</v>
      </c>
      <c r="V122" s="220">
        <f t="shared" si="65"/>
        <v>140</v>
      </c>
      <c r="W122" s="69">
        <f t="shared" si="74"/>
        <v>3</v>
      </c>
      <c r="X122" s="220">
        <f t="shared" si="73"/>
        <v>26</v>
      </c>
      <c r="Y122" s="69">
        <f t="shared" si="52"/>
        <v>3069</v>
      </c>
      <c r="Z122" s="69"/>
      <c r="AA122" s="69"/>
      <c r="AB122" s="69"/>
      <c r="AC122" s="69"/>
      <c r="AD122" s="69">
        <f t="shared" si="70"/>
        <v>0</v>
      </c>
      <c r="AE122" s="69"/>
      <c r="AF122" s="69"/>
      <c r="AG122" s="69"/>
      <c r="AH122" s="69">
        <f t="shared" si="71"/>
        <v>0</v>
      </c>
      <c r="AI122" s="69">
        <f t="shared" si="72"/>
        <v>3069</v>
      </c>
      <c r="AJ122" s="69"/>
      <c r="AK122" s="232"/>
      <c r="AL122" s="212"/>
      <c r="AM122" s="212"/>
      <c r="AN122" s="212"/>
      <c r="AO122" s="212"/>
      <c r="AP122" s="69">
        <f t="shared" si="56"/>
        <v>0</v>
      </c>
      <c r="AQ122" s="7"/>
      <c r="AR122" s="69"/>
      <c r="AS122" s="69"/>
      <c r="AT122" s="69"/>
      <c r="AU122" s="69">
        <f t="shared" si="57"/>
        <v>0</v>
      </c>
      <c r="AV122" s="69">
        <f t="shared" si="58"/>
        <v>3069</v>
      </c>
      <c r="AW122" s="14"/>
    </row>
    <row r="123" ht="20.15" customHeight="1" spans="1:49">
      <c r="A123" s="228">
        <f>SUBTOTAL(2,$Y$4:Y123)</f>
        <v>120</v>
      </c>
      <c r="B123" s="14" t="s">
        <v>309</v>
      </c>
      <c r="C123" s="14" t="s">
        <v>214</v>
      </c>
      <c r="D123" s="115">
        <v>2050</v>
      </c>
      <c r="E123" s="229">
        <v>16.54</v>
      </c>
      <c r="F123" s="95">
        <v>2050</v>
      </c>
      <c r="G123" s="95" t="s">
        <v>310</v>
      </c>
      <c r="H123" s="96">
        <f t="shared" si="76"/>
        <v>16.54</v>
      </c>
      <c r="I123" s="7">
        <v>2500</v>
      </c>
      <c r="J123" s="238">
        <v>200</v>
      </c>
      <c r="K123" s="69">
        <f t="shared" si="66"/>
        <v>2700</v>
      </c>
      <c r="L123" s="69">
        <v>160</v>
      </c>
      <c r="M123" s="69">
        <v>7246</v>
      </c>
      <c r="N123" s="69">
        <v>7260</v>
      </c>
      <c r="O123" s="69">
        <f t="shared" si="75"/>
        <v>14</v>
      </c>
      <c r="P123" s="231">
        <f t="shared" si="68"/>
        <v>0</v>
      </c>
      <c r="Q123" s="69">
        <f t="shared" si="77"/>
        <v>14</v>
      </c>
      <c r="R123" s="69">
        <v>0.8</v>
      </c>
      <c r="S123" s="220">
        <f t="shared" si="46"/>
        <v>10</v>
      </c>
      <c r="T123" s="220">
        <f t="shared" si="64"/>
        <v>11</v>
      </c>
      <c r="U123" s="222">
        <f t="shared" si="67"/>
        <v>93</v>
      </c>
      <c r="V123" s="220">
        <f t="shared" si="65"/>
        <v>140</v>
      </c>
      <c r="W123" s="69">
        <f t="shared" si="74"/>
        <v>3</v>
      </c>
      <c r="X123" s="220">
        <f t="shared" si="73"/>
        <v>26</v>
      </c>
      <c r="Y123" s="69">
        <f t="shared" si="52"/>
        <v>3047</v>
      </c>
      <c r="Z123" s="69"/>
      <c r="AA123" s="69"/>
      <c r="AB123" s="69"/>
      <c r="AC123" s="69"/>
      <c r="AD123" s="69">
        <f t="shared" si="70"/>
        <v>0</v>
      </c>
      <c r="AE123" s="69"/>
      <c r="AF123" s="69"/>
      <c r="AG123" s="69"/>
      <c r="AH123" s="69">
        <f t="shared" si="71"/>
        <v>0</v>
      </c>
      <c r="AI123" s="69">
        <f t="shared" si="72"/>
        <v>3047</v>
      </c>
      <c r="AJ123" s="69"/>
      <c r="AK123" s="232"/>
      <c r="AL123" s="212"/>
      <c r="AM123" s="212"/>
      <c r="AN123" s="212"/>
      <c r="AO123" s="212"/>
      <c r="AP123" s="69">
        <f t="shared" si="56"/>
        <v>0</v>
      </c>
      <c r="AQ123" s="7"/>
      <c r="AR123" s="69"/>
      <c r="AS123" s="69"/>
      <c r="AT123" s="69"/>
      <c r="AU123" s="69">
        <f t="shared" si="57"/>
        <v>0</v>
      </c>
      <c r="AV123" s="69">
        <f t="shared" si="58"/>
        <v>3047</v>
      </c>
      <c r="AW123" s="14"/>
    </row>
    <row r="124" ht="18" customHeight="1" spans="1:49">
      <c r="A124" s="228">
        <f>SUBTOTAL(2,$Y$4:Y124)</f>
        <v>121</v>
      </c>
      <c r="B124" s="14" t="s">
        <v>311</v>
      </c>
      <c r="C124" s="14" t="s">
        <v>214</v>
      </c>
      <c r="D124" s="115">
        <v>2051</v>
      </c>
      <c r="E124" s="229">
        <v>16.54</v>
      </c>
      <c r="F124" s="95">
        <v>2051</v>
      </c>
      <c r="G124" s="95" t="s">
        <v>312</v>
      </c>
      <c r="H124" s="14">
        <f t="shared" si="76"/>
        <v>16.54</v>
      </c>
      <c r="I124" s="7">
        <v>2500</v>
      </c>
      <c r="J124" s="238">
        <v>200</v>
      </c>
      <c r="K124" s="69">
        <f t="shared" si="66"/>
        <v>2700</v>
      </c>
      <c r="L124" s="69">
        <v>160</v>
      </c>
      <c r="M124" s="69">
        <v>1120</v>
      </c>
      <c r="N124" s="69">
        <v>1146</v>
      </c>
      <c r="O124" s="69">
        <f t="shared" si="75"/>
        <v>26</v>
      </c>
      <c r="P124" s="231">
        <f t="shared" si="68"/>
        <v>0</v>
      </c>
      <c r="Q124" s="69">
        <f t="shared" si="77"/>
        <v>26</v>
      </c>
      <c r="R124" s="69">
        <v>0.8</v>
      </c>
      <c r="S124" s="220">
        <f t="shared" si="46"/>
        <v>18</v>
      </c>
      <c r="T124" s="220">
        <f t="shared" si="64"/>
        <v>21</v>
      </c>
      <c r="U124" s="222">
        <f t="shared" si="67"/>
        <v>93</v>
      </c>
      <c r="V124" s="220">
        <f t="shared" si="65"/>
        <v>140</v>
      </c>
      <c r="W124" s="69">
        <f t="shared" si="74"/>
        <v>3</v>
      </c>
      <c r="X124" s="220">
        <f t="shared" si="73"/>
        <v>26</v>
      </c>
      <c r="Y124" s="69">
        <f t="shared" si="52"/>
        <v>3065</v>
      </c>
      <c r="Z124" s="69"/>
      <c r="AA124" s="69"/>
      <c r="AB124" s="69"/>
      <c r="AC124" s="69"/>
      <c r="AD124" s="69">
        <f t="shared" si="70"/>
        <v>0</v>
      </c>
      <c r="AE124" s="69"/>
      <c r="AF124" s="69"/>
      <c r="AG124" s="69"/>
      <c r="AH124" s="69">
        <f t="shared" si="71"/>
        <v>0</v>
      </c>
      <c r="AI124" s="69">
        <f t="shared" si="72"/>
        <v>3065</v>
      </c>
      <c r="AJ124" s="69"/>
      <c r="AK124" s="232"/>
      <c r="AL124" s="212"/>
      <c r="AM124" s="212"/>
      <c r="AN124" s="212"/>
      <c r="AO124" s="212"/>
      <c r="AP124" s="69">
        <f t="shared" si="56"/>
        <v>0</v>
      </c>
      <c r="AQ124" s="7"/>
      <c r="AR124" s="69"/>
      <c r="AS124" s="69"/>
      <c r="AT124" s="69"/>
      <c r="AU124" s="69">
        <f t="shared" si="57"/>
        <v>0</v>
      </c>
      <c r="AV124" s="69">
        <f t="shared" si="58"/>
        <v>3065</v>
      </c>
      <c r="AW124" s="14"/>
    </row>
    <row r="125" ht="18" customHeight="1" spans="1:49">
      <c r="A125" s="228">
        <f>SUBTOTAL(2,$Y$4:Y125)</f>
        <v>122</v>
      </c>
      <c r="B125" s="14" t="s">
        <v>313</v>
      </c>
      <c r="C125" s="14" t="s">
        <v>214</v>
      </c>
      <c r="D125" s="115">
        <v>2052</v>
      </c>
      <c r="E125" s="229">
        <v>16.54</v>
      </c>
      <c r="F125" s="22">
        <v>2052</v>
      </c>
      <c r="G125" s="22" t="s">
        <v>314</v>
      </c>
      <c r="H125" s="14">
        <f t="shared" si="76"/>
        <v>16.54</v>
      </c>
      <c r="I125" s="7">
        <v>2500</v>
      </c>
      <c r="J125" s="226">
        <v>200</v>
      </c>
      <c r="K125" s="69">
        <f t="shared" si="66"/>
        <v>2700</v>
      </c>
      <c r="L125" s="69">
        <v>160</v>
      </c>
      <c r="M125" s="69">
        <v>7403</v>
      </c>
      <c r="N125" s="69">
        <v>7418</v>
      </c>
      <c r="O125" s="69">
        <f t="shared" si="75"/>
        <v>15</v>
      </c>
      <c r="P125" s="231">
        <f t="shared" si="68"/>
        <v>0</v>
      </c>
      <c r="Q125" s="69">
        <f t="shared" si="77"/>
        <v>15</v>
      </c>
      <c r="R125" s="69">
        <v>0.8</v>
      </c>
      <c r="S125" s="220">
        <f t="shared" si="46"/>
        <v>11</v>
      </c>
      <c r="T125" s="220">
        <f t="shared" si="64"/>
        <v>12</v>
      </c>
      <c r="U125" s="222">
        <f t="shared" si="67"/>
        <v>93</v>
      </c>
      <c r="V125" s="220">
        <f t="shared" si="65"/>
        <v>140</v>
      </c>
      <c r="W125" s="69">
        <f t="shared" si="74"/>
        <v>3</v>
      </c>
      <c r="X125" s="220">
        <f t="shared" si="73"/>
        <v>26</v>
      </c>
      <c r="Y125" s="69">
        <f t="shared" si="52"/>
        <v>3049</v>
      </c>
      <c r="Z125" s="69"/>
      <c r="AA125" s="69"/>
      <c r="AB125" s="69"/>
      <c r="AC125" s="69"/>
      <c r="AD125" s="69">
        <f t="shared" si="70"/>
        <v>0</v>
      </c>
      <c r="AE125" s="69"/>
      <c r="AF125" s="69"/>
      <c r="AG125" s="69"/>
      <c r="AH125" s="69">
        <f t="shared" si="71"/>
        <v>0</v>
      </c>
      <c r="AI125" s="69">
        <f t="shared" si="72"/>
        <v>3049</v>
      </c>
      <c r="AJ125" s="69"/>
      <c r="AK125" s="232"/>
      <c r="AL125" s="212"/>
      <c r="AM125" s="212"/>
      <c r="AN125" s="212"/>
      <c r="AO125" s="212"/>
      <c r="AP125" s="69">
        <f t="shared" si="56"/>
        <v>0</v>
      </c>
      <c r="AQ125" s="7"/>
      <c r="AR125" s="69"/>
      <c r="AS125" s="69"/>
      <c r="AT125" s="69"/>
      <c r="AU125" s="69">
        <f t="shared" si="57"/>
        <v>0</v>
      </c>
      <c r="AV125" s="69">
        <f t="shared" si="58"/>
        <v>3049</v>
      </c>
      <c r="AW125" s="14"/>
    </row>
    <row r="126" ht="20.15" customHeight="1" spans="1:49">
      <c r="A126" s="228">
        <f>SUBTOTAL(2,$Y$4:Y126)</f>
        <v>123</v>
      </c>
      <c r="B126" s="14" t="s">
        <v>315</v>
      </c>
      <c r="C126" s="14" t="s">
        <v>214</v>
      </c>
      <c r="D126" s="115">
        <v>2053</v>
      </c>
      <c r="E126" s="229">
        <v>16.54</v>
      </c>
      <c r="F126" s="22">
        <v>2053</v>
      </c>
      <c r="G126" s="22" t="s">
        <v>316</v>
      </c>
      <c r="H126" s="14">
        <f t="shared" si="76"/>
        <v>16.54</v>
      </c>
      <c r="I126" s="67">
        <v>2500</v>
      </c>
      <c r="J126" s="226">
        <v>200</v>
      </c>
      <c r="K126" s="69">
        <f t="shared" si="66"/>
        <v>2700</v>
      </c>
      <c r="L126" s="69">
        <v>160</v>
      </c>
      <c r="M126" s="69">
        <v>8476</v>
      </c>
      <c r="N126" s="69">
        <v>8532</v>
      </c>
      <c r="O126" s="69">
        <f t="shared" si="75"/>
        <v>56</v>
      </c>
      <c r="P126" s="231">
        <f t="shared" si="68"/>
        <v>0</v>
      </c>
      <c r="Q126" s="69">
        <f t="shared" si="77"/>
        <v>56</v>
      </c>
      <c r="R126" s="69">
        <v>0.8</v>
      </c>
      <c r="S126" s="220">
        <f t="shared" si="46"/>
        <v>39</v>
      </c>
      <c r="T126" s="220">
        <f t="shared" si="64"/>
        <v>45</v>
      </c>
      <c r="U126" s="222">
        <f t="shared" si="67"/>
        <v>93</v>
      </c>
      <c r="V126" s="220">
        <f t="shared" si="65"/>
        <v>140</v>
      </c>
      <c r="W126" s="69">
        <f t="shared" si="74"/>
        <v>3</v>
      </c>
      <c r="X126" s="220">
        <f t="shared" si="73"/>
        <v>26</v>
      </c>
      <c r="Y126" s="69">
        <f t="shared" si="52"/>
        <v>3110</v>
      </c>
      <c r="Z126" s="69"/>
      <c r="AA126" s="69"/>
      <c r="AB126" s="69"/>
      <c r="AC126" s="69"/>
      <c r="AD126" s="69">
        <f t="shared" si="70"/>
        <v>0</v>
      </c>
      <c r="AE126" s="69"/>
      <c r="AF126" s="69"/>
      <c r="AG126" s="69"/>
      <c r="AH126" s="69">
        <f t="shared" si="71"/>
        <v>0</v>
      </c>
      <c r="AI126" s="69">
        <f t="shared" si="72"/>
        <v>3110</v>
      </c>
      <c r="AJ126" s="69"/>
      <c r="AK126" s="232"/>
      <c r="AL126" s="212"/>
      <c r="AM126" s="212"/>
      <c r="AN126" s="212"/>
      <c r="AO126" s="212"/>
      <c r="AP126" s="69">
        <f t="shared" si="56"/>
        <v>0</v>
      </c>
      <c r="AQ126" s="7"/>
      <c r="AR126" s="69"/>
      <c r="AS126" s="69"/>
      <c r="AT126" s="69"/>
      <c r="AU126" s="69">
        <f t="shared" si="57"/>
        <v>0</v>
      </c>
      <c r="AV126" s="69">
        <f t="shared" si="58"/>
        <v>3110</v>
      </c>
      <c r="AW126" s="14"/>
    </row>
    <row r="127" ht="20.15" customHeight="1" spans="1:49">
      <c r="A127" s="228">
        <f>SUBTOTAL(2,$Y$4:Y127)</f>
        <v>124</v>
      </c>
      <c r="B127" s="14" t="s">
        <v>317</v>
      </c>
      <c r="C127" s="14" t="s">
        <v>214</v>
      </c>
      <c r="D127" s="115">
        <v>2054</v>
      </c>
      <c r="E127" s="229">
        <v>16.54</v>
      </c>
      <c r="F127" s="13">
        <v>2054</v>
      </c>
      <c r="G127" s="13" t="s">
        <v>318</v>
      </c>
      <c r="H127" s="96">
        <v>16.54</v>
      </c>
      <c r="I127" s="69">
        <v>2500</v>
      </c>
      <c r="J127" s="230">
        <v>200</v>
      </c>
      <c r="K127" s="69">
        <f t="shared" si="66"/>
        <v>2700</v>
      </c>
      <c r="L127" s="69">
        <v>160</v>
      </c>
      <c r="M127" s="69">
        <v>1398</v>
      </c>
      <c r="N127" s="69">
        <v>1440</v>
      </c>
      <c r="O127" s="69">
        <f t="shared" si="75"/>
        <v>42</v>
      </c>
      <c r="P127" s="231">
        <f t="shared" si="68"/>
        <v>0</v>
      </c>
      <c r="Q127" s="69">
        <f t="shared" si="77"/>
        <v>42</v>
      </c>
      <c r="R127" s="69">
        <v>0.8</v>
      </c>
      <c r="S127" s="220">
        <f t="shared" si="46"/>
        <v>29</v>
      </c>
      <c r="T127" s="220">
        <f t="shared" si="64"/>
        <v>34</v>
      </c>
      <c r="U127" s="222">
        <f t="shared" si="67"/>
        <v>93</v>
      </c>
      <c r="V127" s="220">
        <f t="shared" si="65"/>
        <v>140</v>
      </c>
      <c r="W127" s="69">
        <f t="shared" si="74"/>
        <v>3</v>
      </c>
      <c r="X127" s="220">
        <f t="shared" si="73"/>
        <v>26</v>
      </c>
      <c r="Y127" s="69">
        <f t="shared" si="52"/>
        <v>3089</v>
      </c>
      <c r="Z127" s="69"/>
      <c r="AA127" s="69"/>
      <c r="AB127" s="69"/>
      <c r="AC127" s="69"/>
      <c r="AD127" s="69">
        <f t="shared" si="70"/>
        <v>0</v>
      </c>
      <c r="AE127" s="69"/>
      <c r="AF127" s="69"/>
      <c r="AG127" s="69"/>
      <c r="AH127" s="69">
        <f t="shared" si="71"/>
        <v>0</v>
      </c>
      <c r="AI127" s="69">
        <f t="shared" si="72"/>
        <v>3089</v>
      </c>
      <c r="AJ127" s="69"/>
      <c r="AK127" s="232"/>
      <c r="AL127" s="212"/>
      <c r="AM127" s="212"/>
      <c r="AN127" s="212"/>
      <c r="AO127" s="212"/>
      <c r="AP127" s="69">
        <f t="shared" si="56"/>
        <v>0</v>
      </c>
      <c r="AQ127" s="7"/>
      <c r="AR127" s="69"/>
      <c r="AS127" s="69"/>
      <c r="AT127" s="69"/>
      <c r="AU127" s="69">
        <f t="shared" si="57"/>
        <v>0</v>
      </c>
      <c r="AV127" s="69">
        <f t="shared" si="58"/>
        <v>3089</v>
      </c>
      <c r="AW127" s="14"/>
    </row>
    <row r="128" ht="20.15" customHeight="1" spans="1:49">
      <c r="A128" s="228">
        <f>SUBTOTAL(2,$Y$4:Y128)</f>
        <v>125</v>
      </c>
      <c r="B128" s="14" t="s">
        <v>319</v>
      </c>
      <c r="C128" s="14" t="s">
        <v>214</v>
      </c>
      <c r="D128" s="115">
        <v>2055</v>
      </c>
      <c r="E128" s="229">
        <v>16.54</v>
      </c>
      <c r="F128" s="13">
        <v>2055</v>
      </c>
      <c r="G128" s="13" t="s">
        <v>318</v>
      </c>
      <c r="H128" s="96">
        <f>E128</f>
        <v>16.54</v>
      </c>
      <c r="I128" s="69">
        <v>2500</v>
      </c>
      <c r="J128" s="230">
        <v>200</v>
      </c>
      <c r="K128" s="69">
        <f t="shared" si="66"/>
        <v>2700</v>
      </c>
      <c r="L128" s="69">
        <v>160</v>
      </c>
      <c r="M128" s="69">
        <v>6508</v>
      </c>
      <c r="N128" s="69">
        <v>6508</v>
      </c>
      <c r="O128" s="69">
        <f t="shared" si="75"/>
        <v>0</v>
      </c>
      <c r="P128" s="231">
        <f t="shared" si="68"/>
        <v>0</v>
      </c>
      <c r="Q128" s="69">
        <f t="shared" si="77"/>
        <v>0</v>
      </c>
      <c r="R128" s="69">
        <v>0.8</v>
      </c>
      <c r="S128" s="220">
        <f t="shared" si="46"/>
        <v>0</v>
      </c>
      <c r="T128" s="220">
        <f t="shared" si="64"/>
        <v>0</v>
      </c>
      <c r="U128" s="222">
        <f t="shared" si="67"/>
        <v>93</v>
      </c>
      <c r="V128" s="220">
        <f t="shared" si="65"/>
        <v>140</v>
      </c>
      <c r="W128" s="69">
        <f t="shared" si="74"/>
        <v>3</v>
      </c>
      <c r="X128" s="220">
        <f t="shared" si="73"/>
        <v>26</v>
      </c>
      <c r="Y128" s="69">
        <f t="shared" si="52"/>
        <v>3026</v>
      </c>
      <c r="Z128" s="69"/>
      <c r="AA128" s="69"/>
      <c r="AB128" s="69"/>
      <c r="AC128" s="69"/>
      <c r="AD128" s="69">
        <f t="shared" si="70"/>
        <v>0</v>
      </c>
      <c r="AE128" s="69"/>
      <c r="AF128" s="69"/>
      <c r="AG128" s="69"/>
      <c r="AH128" s="69">
        <f t="shared" si="71"/>
        <v>0</v>
      </c>
      <c r="AI128" s="69">
        <f t="shared" si="72"/>
        <v>3026</v>
      </c>
      <c r="AJ128" s="69"/>
      <c r="AK128" s="232"/>
      <c r="AL128" s="212"/>
      <c r="AM128" s="212"/>
      <c r="AN128" s="212"/>
      <c r="AO128" s="212"/>
      <c r="AP128" s="69">
        <f t="shared" si="56"/>
        <v>0</v>
      </c>
      <c r="AQ128" s="7"/>
      <c r="AR128" s="69"/>
      <c r="AS128" s="69"/>
      <c r="AT128" s="69"/>
      <c r="AU128" s="69">
        <f t="shared" si="57"/>
        <v>0</v>
      </c>
      <c r="AV128" s="69">
        <f t="shared" si="58"/>
        <v>3026</v>
      </c>
      <c r="AW128" s="14"/>
    </row>
    <row r="129" ht="20.15" customHeight="1" spans="1:49">
      <c r="A129" s="228">
        <f>SUBTOTAL(2,$Y$4:Y129)</f>
        <v>126</v>
      </c>
      <c r="B129" s="14" t="s">
        <v>320</v>
      </c>
      <c r="C129" s="115" t="s">
        <v>214</v>
      </c>
      <c r="D129" s="115">
        <v>2056</v>
      </c>
      <c r="E129" s="229">
        <v>16.54</v>
      </c>
      <c r="F129" s="22">
        <v>2056</v>
      </c>
      <c r="G129" s="22" t="s">
        <v>321</v>
      </c>
      <c r="H129" s="115">
        <f t="shared" ref="H129:H142" si="78">E129</f>
        <v>16.54</v>
      </c>
      <c r="I129" s="7">
        <v>2500</v>
      </c>
      <c r="J129" s="226">
        <v>200</v>
      </c>
      <c r="K129" s="69">
        <f t="shared" si="66"/>
        <v>2700</v>
      </c>
      <c r="L129" s="69">
        <v>160</v>
      </c>
      <c r="M129" s="69">
        <v>582</v>
      </c>
      <c r="N129" s="69">
        <v>624</v>
      </c>
      <c r="O129" s="69">
        <f t="shared" si="75"/>
        <v>42</v>
      </c>
      <c r="P129" s="231">
        <f t="shared" si="68"/>
        <v>0</v>
      </c>
      <c r="Q129" s="69">
        <f t="shared" si="77"/>
        <v>42</v>
      </c>
      <c r="R129" s="69">
        <v>0.8</v>
      </c>
      <c r="S129" s="220">
        <f t="shared" si="46"/>
        <v>29</v>
      </c>
      <c r="T129" s="220">
        <f t="shared" si="64"/>
        <v>34</v>
      </c>
      <c r="U129" s="222">
        <f t="shared" si="67"/>
        <v>93</v>
      </c>
      <c r="V129" s="220">
        <f t="shared" si="65"/>
        <v>140</v>
      </c>
      <c r="W129" s="69">
        <f t="shared" si="74"/>
        <v>3</v>
      </c>
      <c r="X129" s="220">
        <f t="shared" si="73"/>
        <v>26</v>
      </c>
      <c r="Y129" s="69">
        <f t="shared" si="52"/>
        <v>3089</v>
      </c>
      <c r="Z129" s="69"/>
      <c r="AA129" s="69"/>
      <c r="AB129" s="69"/>
      <c r="AC129" s="69"/>
      <c r="AD129" s="69">
        <f t="shared" si="70"/>
        <v>0</v>
      </c>
      <c r="AE129" s="69"/>
      <c r="AF129" s="69"/>
      <c r="AG129" s="69"/>
      <c r="AH129" s="69">
        <f t="shared" si="71"/>
        <v>0</v>
      </c>
      <c r="AI129" s="69">
        <f t="shared" si="72"/>
        <v>3089</v>
      </c>
      <c r="AJ129" s="69"/>
      <c r="AK129" s="232"/>
      <c r="AL129" s="212"/>
      <c r="AM129" s="212"/>
      <c r="AN129" s="212"/>
      <c r="AO129" s="212"/>
      <c r="AP129" s="69">
        <f t="shared" si="56"/>
        <v>0</v>
      </c>
      <c r="AQ129" s="7"/>
      <c r="AR129" s="69"/>
      <c r="AS129" s="69"/>
      <c r="AT129" s="69"/>
      <c r="AU129" s="69">
        <f t="shared" si="57"/>
        <v>0</v>
      </c>
      <c r="AV129" s="69">
        <f t="shared" si="58"/>
        <v>3089</v>
      </c>
      <c r="AW129" s="14"/>
    </row>
    <row r="130" ht="20.15" customHeight="1" spans="1:49">
      <c r="A130" s="228">
        <f>SUBTOTAL(2,$Y$4:Y130)</f>
        <v>127</v>
      </c>
      <c r="B130" s="14" t="s">
        <v>322</v>
      </c>
      <c r="C130" s="115" t="s">
        <v>214</v>
      </c>
      <c r="D130" s="115">
        <v>2057</v>
      </c>
      <c r="E130" s="229">
        <v>16.54</v>
      </c>
      <c r="F130" s="22">
        <v>2057</v>
      </c>
      <c r="G130" s="22" t="s">
        <v>323</v>
      </c>
      <c r="H130" s="14">
        <f t="shared" si="78"/>
        <v>16.54</v>
      </c>
      <c r="I130" s="67">
        <v>2500</v>
      </c>
      <c r="J130" s="226">
        <v>200</v>
      </c>
      <c r="K130" s="69">
        <f t="shared" si="66"/>
        <v>2700</v>
      </c>
      <c r="L130" s="69">
        <v>160</v>
      </c>
      <c r="M130" s="69">
        <v>8533</v>
      </c>
      <c r="N130" s="69">
        <v>8565</v>
      </c>
      <c r="O130" s="69">
        <f t="shared" si="75"/>
        <v>32</v>
      </c>
      <c r="P130" s="231">
        <f t="shared" si="68"/>
        <v>0</v>
      </c>
      <c r="Q130" s="69">
        <f t="shared" si="77"/>
        <v>32</v>
      </c>
      <c r="R130" s="69">
        <v>0.8</v>
      </c>
      <c r="S130" s="220">
        <f t="shared" si="46"/>
        <v>22</v>
      </c>
      <c r="T130" s="220">
        <f t="shared" si="64"/>
        <v>26</v>
      </c>
      <c r="U130" s="222">
        <f t="shared" si="67"/>
        <v>93</v>
      </c>
      <c r="V130" s="220">
        <f t="shared" si="65"/>
        <v>140</v>
      </c>
      <c r="W130" s="69">
        <f t="shared" si="74"/>
        <v>3</v>
      </c>
      <c r="X130" s="220">
        <f t="shared" si="73"/>
        <v>26</v>
      </c>
      <c r="Y130" s="69">
        <f t="shared" si="52"/>
        <v>3074</v>
      </c>
      <c r="Z130" s="69"/>
      <c r="AA130" s="69"/>
      <c r="AB130" s="69"/>
      <c r="AC130" s="69"/>
      <c r="AD130" s="69">
        <f t="shared" si="70"/>
        <v>0</v>
      </c>
      <c r="AE130" s="69"/>
      <c r="AF130" s="69"/>
      <c r="AG130" s="69"/>
      <c r="AH130" s="69">
        <f t="shared" si="71"/>
        <v>0</v>
      </c>
      <c r="AI130" s="69">
        <f t="shared" si="72"/>
        <v>3074</v>
      </c>
      <c r="AJ130" s="69"/>
      <c r="AK130" s="232"/>
      <c r="AL130" s="212"/>
      <c r="AM130" s="212"/>
      <c r="AN130" s="212"/>
      <c r="AO130" s="212"/>
      <c r="AP130" s="69">
        <f t="shared" si="56"/>
        <v>0</v>
      </c>
      <c r="AQ130" s="7"/>
      <c r="AR130" s="69"/>
      <c r="AS130" s="69"/>
      <c r="AT130" s="69"/>
      <c r="AU130" s="69">
        <f t="shared" si="57"/>
        <v>0</v>
      </c>
      <c r="AV130" s="69">
        <f t="shared" si="58"/>
        <v>3074</v>
      </c>
      <c r="AW130" s="14"/>
    </row>
    <row r="131" ht="20.15" customHeight="1" spans="1:49">
      <c r="A131" s="228">
        <f>SUBTOTAL(2,$Y$4:Y131)</f>
        <v>128</v>
      </c>
      <c r="B131" s="14" t="s">
        <v>324</v>
      </c>
      <c r="C131" s="14" t="s">
        <v>214</v>
      </c>
      <c r="D131" s="115">
        <v>2058</v>
      </c>
      <c r="E131" s="229">
        <v>16.54</v>
      </c>
      <c r="F131" s="22">
        <v>2058</v>
      </c>
      <c r="G131" s="22" t="s">
        <v>323</v>
      </c>
      <c r="H131" s="115">
        <f t="shared" si="78"/>
        <v>16.54</v>
      </c>
      <c r="I131" s="67">
        <v>2500</v>
      </c>
      <c r="J131" s="226">
        <v>200</v>
      </c>
      <c r="K131" s="69">
        <f t="shared" si="66"/>
        <v>2700</v>
      </c>
      <c r="L131" s="69">
        <v>160</v>
      </c>
      <c r="M131" s="69">
        <v>170</v>
      </c>
      <c r="N131" s="69">
        <v>212</v>
      </c>
      <c r="O131" s="69">
        <f t="shared" si="75"/>
        <v>42</v>
      </c>
      <c r="P131" s="231">
        <f t="shared" si="68"/>
        <v>0</v>
      </c>
      <c r="Q131" s="69">
        <f t="shared" si="77"/>
        <v>42</v>
      </c>
      <c r="R131" s="69">
        <v>0.8</v>
      </c>
      <c r="S131" s="220">
        <f t="shared" si="46"/>
        <v>29</v>
      </c>
      <c r="T131" s="220">
        <f t="shared" si="64"/>
        <v>34</v>
      </c>
      <c r="U131" s="222">
        <f t="shared" si="67"/>
        <v>93</v>
      </c>
      <c r="V131" s="220">
        <f t="shared" si="65"/>
        <v>140</v>
      </c>
      <c r="W131" s="69">
        <f t="shared" si="74"/>
        <v>3</v>
      </c>
      <c r="X131" s="220">
        <f t="shared" si="73"/>
        <v>26</v>
      </c>
      <c r="Y131" s="69">
        <f t="shared" si="52"/>
        <v>3089</v>
      </c>
      <c r="Z131" s="69"/>
      <c r="AA131" s="69"/>
      <c r="AB131" s="69"/>
      <c r="AC131" s="69"/>
      <c r="AD131" s="69">
        <f t="shared" si="70"/>
        <v>0</v>
      </c>
      <c r="AE131" s="69"/>
      <c r="AF131" s="69"/>
      <c r="AG131" s="69"/>
      <c r="AH131" s="69">
        <f t="shared" si="71"/>
        <v>0</v>
      </c>
      <c r="AI131" s="69">
        <f t="shared" si="72"/>
        <v>3089</v>
      </c>
      <c r="AJ131" s="69"/>
      <c r="AK131" s="232"/>
      <c r="AL131" s="212"/>
      <c r="AM131" s="212"/>
      <c r="AN131" s="212"/>
      <c r="AO131" s="212"/>
      <c r="AP131" s="69">
        <f t="shared" si="56"/>
        <v>0</v>
      </c>
      <c r="AQ131" s="7"/>
      <c r="AR131" s="69"/>
      <c r="AS131" s="69"/>
      <c r="AT131" s="69"/>
      <c r="AU131" s="69">
        <f t="shared" si="57"/>
        <v>0</v>
      </c>
      <c r="AV131" s="69">
        <f t="shared" si="58"/>
        <v>3089</v>
      </c>
      <c r="AW131" s="14"/>
    </row>
    <row r="132" ht="20.15" customHeight="1" spans="1:49">
      <c r="A132" s="228">
        <f>SUBTOTAL(2,$Y$4:Y132)</f>
        <v>129</v>
      </c>
      <c r="B132" s="14" t="s">
        <v>325</v>
      </c>
      <c r="C132" s="115" t="s">
        <v>214</v>
      </c>
      <c r="D132" s="115">
        <v>2059</v>
      </c>
      <c r="E132" s="229">
        <v>16.54</v>
      </c>
      <c r="F132" s="22">
        <v>2059</v>
      </c>
      <c r="G132" s="22" t="s">
        <v>326</v>
      </c>
      <c r="H132" s="14">
        <f t="shared" si="78"/>
        <v>16.54</v>
      </c>
      <c r="I132" s="7">
        <v>2500</v>
      </c>
      <c r="J132" s="226">
        <v>200</v>
      </c>
      <c r="K132" s="69">
        <f t="shared" si="66"/>
        <v>2700</v>
      </c>
      <c r="L132" s="69">
        <v>160</v>
      </c>
      <c r="M132" s="69">
        <v>245</v>
      </c>
      <c r="N132" s="69">
        <v>319</v>
      </c>
      <c r="O132" s="69">
        <f t="shared" si="75"/>
        <v>74</v>
      </c>
      <c r="P132" s="231">
        <f t="shared" si="68"/>
        <v>0</v>
      </c>
      <c r="Q132" s="69">
        <f t="shared" si="77"/>
        <v>74</v>
      </c>
      <c r="R132" s="69">
        <v>0.8</v>
      </c>
      <c r="S132" s="220">
        <f t="shared" si="46"/>
        <v>52</v>
      </c>
      <c r="T132" s="220">
        <f t="shared" si="64"/>
        <v>59</v>
      </c>
      <c r="U132" s="222">
        <f t="shared" si="67"/>
        <v>93</v>
      </c>
      <c r="V132" s="220">
        <f t="shared" si="65"/>
        <v>140</v>
      </c>
      <c r="W132" s="69">
        <f t="shared" si="74"/>
        <v>3</v>
      </c>
      <c r="X132" s="220">
        <f t="shared" si="73"/>
        <v>26</v>
      </c>
      <c r="Y132" s="69">
        <f t="shared" si="52"/>
        <v>3137</v>
      </c>
      <c r="Z132" s="69"/>
      <c r="AA132" s="69"/>
      <c r="AB132" s="69"/>
      <c r="AC132" s="69"/>
      <c r="AD132" s="69">
        <f t="shared" si="70"/>
        <v>0</v>
      </c>
      <c r="AE132" s="69"/>
      <c r="AF132" s="69"/>
      <c r="AG132" s="69"/>
      <c r="AH132" s="69">
        <f t="shared" si="71"/>
        <v>0</v>
      </c>
      <c r="AI132" s="69">
        <f t="shared" si="72"/>
        <v>3137</v>
      </c>
      <c r="AJ132" s="69"/>
      <c r="AK132" s="232"/>
      <c r="AL132" s="212"/>
      <c r="AM132" s="212"/>
      <c r="AN132" s="212"/>
      <c r="AO132" s="212"/>
      <c r="AP132" s="69">
        <f t="shared" si="56"/>
        <v>0</v>
      </c>
      <c r="AQ132" s="7"/>
      <c r="AR132" s="69"/>
      <c r="AS132" s="69"/>
      <c r="AT132" s="69"/>
      <c r="AU132" s="69">
        <f t="shared" si="57"/>
        <v>0</v>
      </c>
      <c r="AV132" s="69">
        <f t="shared" si="58"/>
        <v>3137</v>
      </c>
      <c r="AW132" s="14"/>
    </row>
    <row r="133" ht="20.15" customHeight="1" spans="1:49">
      <c r="A133" s="228">
        <f>SUBTOTAL(2,$Y$4:Y133)</f>
        <v>130</v>
      </c>
      <c r="B133" s="14" t="s">
        <v>327</v>
      </c>
      <c r="C133" s="14" t="s">
        <v>214</v>
      </c>
      <c r="D133" s="115">
        <v>2060</v>
      </c>
      <c r="E133" s="229">
        <v>16.54</v>
      </c>
      <c r="F133" s="22">
        <v>2060</v>
      </c>
      <c r="G133" s="22" t="s">
        <v>328</v>
      </c>
      <c r="H133" s="115">
        <f t="shared" si="78"/>
        <v>16.54</v>
      </c>
      <c r="I133" s="67">
        <v>2500</v>
      </c>
      <c r="J133" s="226">
        <v>200</v>
      </c>
      <c r="K133" s="69">
        <f t="shared" si="66"/>
        <v>2700</v>
      </c>
      <c r="L133" s="69">
        <v>160</v>
      </c>
      <c r="M133" s="69">
        <v>2027</v>
      </c>
      <c r="N133" s="69">
        <v>2074</v>
      </c>
      <c r="O133" s="69">
        <f t="shared" si="75"/>
        <v>47</v>
      </c>
      <c r="P133" s="231">
        <f t="shared" si="68"/>
        <v>0</v>
      </c>
      <c r="Q133" s="69">
        <f t="shared" si="77"/>
        <v>47</v>
      </c>
      <c r="R133" s="69">
        <v>0.8</v>
      </c>
      <c r="S133" s="220">
        <f t="shared" si="46"/>
        <v>33</v>
      </c>
      <c r="T133" s="220">
        <f t="shared" si="64"/>
        <v>38</v>
      </c>
      <c r="U133" s="222">
        <f t="shared" si="67"/>
        <v>93</v>
      </c>
      <c r="V133" s="220">
        <f t="shared" si="65"/>
        <v>140</v>
      </c>
      <c r="W133" s="69">
        <f t="shared" si="74"/>
        <v>3</v>
      </c>
      <c r="X133" s="220">
        <f t="shared" si="73"/>
        <v>26</v>
      </c>
      <c r="Y133" s="69">
        <f t="shared" si="52"/>
        <v>3097</v>
      </c>
      <c r="Z133" s="69"/>
      <c r="AA133" s="69"/>
      <c r="AB133" s="69"/>
      <c r="AC133" s="69"/>
      <c r="AD133" s="69">
        <f t="shared" si="70"/>
        <v>0</v>
      </c>
      <c r="AE133" s="69"/>
      <c r="AF133" s="69"/>
      <c r="AG133" s="69"/>
      <c r="AH133" s="69">
        <f t="shared" si="71"/>
        <v>0</v>
      </c>
      <c r="AI133" s="69">
        <f t="shared" si="72"/>
        <v>3097</v>
      </c>
      <c r="AJ133" s="69"/>
      <c r="AK133" s="232"/>
      <c r="AL133" s="212"/>
      <c r="AM133" s="212"/>
      <c r="AN133" s="212"/>
      <c r="AO133" s="212"/>
      <c r="AP133" s="69">
        <f t="shared" si="56"/>
        <v>0</v>
      </c>
      <c r="AQ133" s="7"/>
      <c r="AR133" s="69"/>
      <c r="AS133" s="69"/>
      <c r="AT133" s="69"/>
      <c r="AU133" s="69">
        <f t="shared" si="57"/>
        <v>0</v>
      </c>
      <c r="AV133" s="69">
        <f t="shared" si="58"/>
        <v>3097</v>
      </c>
      <c r="AW133" s="14"/>
    </row>
    <row r="134" ht="20.15" customHeight="1" spans="1:49">
      <c r="A134" s="228">
        <f>SUBTOTAL(2,$Y$4:Y134)</f>
        <v>131</v>
      </c>
      <c r="B134" s="14" t="s">
        <v>329</v>
      </c>
      <c r="C134" s="115" t="s">
        <v>214</v>
      </c>
      <c r="D134" s="115">
        <v>2061</v>
      </c>
      <c r="E134" s="229">
        <v>16.54</v>
      </c>
      <c r="F134" s="22">
        <v>2061</v>
      </c>
      <c r="G134" s="22" t="s">
        <v>330</v>
      </c>
      <c r="H134" s="14">
        <f t="shared" si="78"/>
        <v>16.54</v>
      </c>
      <c r="I134" s="7">
        <v>2500</v>
      </c>
      <c r="J134" s="238">
        <v>200</v>
      </c>
      <c r="K134" s="69">
        <f t="shared" si="66"/>
        <v>2700</v>
      </c>
      <c r="L134" s="69">
        <v>160</v>
      </c>
      <c r="M134" s="69">
        <v>9879</v>
      </c>
      <c r="N134" s="69">
        <v>9924</v>
      </c>
      <c r="O134" s="69">
        <f t="shared" si="75"/>
        <v>45</v>
      </c>
      <c r="P134" s="231">
        <f t="shared" si="68"/>
        <v>0</v>
      </c>
      <c r="Q134" s="69">
        <f t="shared" si="77"/>
        <v>45</v>
      </c>
      <c r="R134" s="69">
        <v>0.8</v>
      </c>
      <c r="S134" s="220">
        <f t="shared" ref="S134:S197" si="79">ROUND(Q134*0.7,0)</f>
        <v>32</v>
      </c>
      <c r="T134" s="220">
        <f t="shared" si="64"/>
        <v>36</v>
      </c>
      <c r="U134" s="222">
        <f t="shared" si="67"/>
        <v>93</v>
      </c>
      <c r="V134" s="220">
        <f t="shared" si="65"/>
        <v>140</v>
      </c>
      <c r="W134" s="69">
        <f t="shared" si="74"/>
        <v>3</v>
      </c>
      <c r="X134" s="220">
        <f t="shared" si="73"/>
        <v>26</v>
      </c>
      <c r="Y134" s="69">
        <f t="shared" ref="Y134:Y197" si="80">I134+J134+L134+S134+T134+V134+X134</f>
        <v>3094</v>
      </c>
      <c r="Z134" s="69"/>
      <c r="AA134" s="69"/>
      <c r="AB134" s="69"/>
      <c r="AC134" s="69"/>
      <c r="AD134" s="69">
        <f t="shared" ref="AD134:AD167" si="81">AA134+AB134+AC134</f>
        <v>0</v>
      </c>
      <c r="AE134" s="69"/>
      <c r="AF134" s="69"/>
      <c r="AG134" s="69"/>
      <c r="AH134" s="69">
        <f t="shared" ref="AH134:AH169" si="82">AE134+AF134-AG134</f>
        <v>0</v>
      </c>
      <c r="AI134" s="69">
        <f t="shared" ref="AI134:AI169" si="83">Y134+Z134+AJ134-AD134-AG134</f>
        <v>3094</v>
      </c>
      <c r="AJ134" s="69"/>
      <c r="AK134" s="232"/>
      <c r="AL134" s="212"/>
      <c r="AM134" s="212"/>
      <c r="AN134" s="212"/>
      <c r="AO134" s="212"/>
      <c r="AP134" s="69">
        <f t="shared" ref="AP134:AP197" si="84">AL134+AN134+AM134+AO134</f>
        <v>0</v>
      </c>
      <c r="AQ134" s="7"/>
      <c r="AR134" s="69"/>
      <c r="AS134" s="69"/>
      <c r="AT134" s="69"/>
      <c r="AU134" s="69">
        <f t="shared" si="57"/>
        <v>0</v>
      </c>
      <c r="AV134" s="69">
        <f t="shared" si="58"/>
        <v>3094</v>
      </c>
      <c r="AW134" s="14"/>
    </row>
    <row r="135" ht="20.15" customHeight="1" spans="1:49">
      <c r="A135" s="228">
        <f>SUBTOTAL(2,$Y$4:Y135)</f>
        <v>132</v>
      </c>
      <c r="B135" s="14" t="s">
        <v>331</v>
      </c>
      <c r="C135" s="14" t="s">
        <v>214</v>
      </c>
      <c r="D135" s="115">
        <v>2062</v>
      </c>
      <c r="E135" s="229">
        <v>16.54</v>
      </c>
      <c r="F135" s="95">
        <v>2062</v>
      </c>
      <c r="G135" s="95" t="s">
        <v>332</v>
      </c>
      <c r="H135" s="14">
        <f t="shared" si="78"/>
        <v>16.54</v>
      </c>
      <c r="I135" s="7">
        <v>2500</v>
      </c>
      <c r="J135" s="226">
        <v>200</v>
      </c>
      <c r="K135" s="69">
        <f t="shared" si="66"/>
        <v>2700</v>
      </c>
      <c r="L135" s="69">
        <v>160</v>
      </c>
      <c r="M135" s="69">
        <v>7882</v>
      </c>
      <c r="N135" s="69">
        <v>7888</v>
      </c>
      <c r="O135" s="69">
        <f t="shared" si="75"/>
        <v>6</v>
      </c>
      <c r="P135" s="231">
        <f t="shared" si="68"/>
        <v>0</v>
      </c>
      <c r="Q135" s="69">
        <f t="shared" si="77"/>
        <v>6</v>
      </c>
      <c r="R135" s="69">
        <v>0.8</v>
      </c>
      <c r="S135" s="220">
        <f t="shared" si="79"/>
        <v>4</v>
      </c>
      <c r="T135" s="220">
        <f t="shared" ref="T135:T162" si="85">ROUND(Q135*R135,0)</f>
        <v>5</v>
      </c>
      <c r="U135" s="222">
        <f t="shared" si="67"/>
        <v>93</v>
      </c>
      <c r="V135" s="220">
        <f t="shared" si="65"/>
        <v>140</v>
      </c>
      <c r="W135" s="69">
        <f t="shared" si="74"/>
        <v>3</v>
      </c>
      <c r="X135" s="220">
        <f t="shared" ref="X135:X162" si="86">ROUND(W135*8.5,0)</f>
        <v>26</v>
      </c>
      <c r="Y135" s="69">
        <f t="shared" si="80"/>
        <v>3035</v>
      </c>
      <c r="Z135" s="69"/>
      <c r="AA135" s="69"/>
      <c r="AB135" s="69"/>
      <c r="AC135" s="69"/>
      <c r="AD135" s="69">
        <f t="shared" si="81"/>
        <v>0</v>
      </c>
      <c r="AE135" s="69"/>
      <c r="AF135" s="69"/>
      <c r="AG135" s="69"/>
      <c r="AH135" s="69">
        <f t="shared" si="82"/>
        <v>0</v>
      </c>
      <c r="AI135" s="69">
        <f t="shared" si="83"/>
        <v>3035</v>
      </c>
      <c r="AJ135" s="69"/>
      <c r="AK135" s="232"/>
      <c r="AL135" s="212"/>
      <c r="AM135" s="212"/>
      <c r="AN135" s="212"/>
      <c r="AO135" s="212"/>
      <c r="AP135" s="69">
        <f t="shared" si="84"/>
        <v>0</v>
      </c>
      <c r="AQ135" s="7"/>
      <c r="AR135" s="69"/>
      <c r="AS135" s="69"/>
      <c r="AT135" s="69"/>
      <c r="AU135" s="69">
        <f t="shared" ref="AU135:AU198" si="87">SUM(AQ135:AT135)</f>
        <v>0</v>
      </c>
      <c r="AV135" s="69">
        <f t="shared" ref="AV135:AV198" si="88">AI135-AP135-AU135</f>
        <v>3035</v>
      </c>
      <c r="AW135" s="14"/>
    </row>
    <row r="136" ht="20.15" customHeight="1" spans="1:49">
      <c r="A136" s="228">
        <f>SUBTOTAL(2,$Y$4:Y136)</f>
        <v>133</v>
      </c>
      <c r="B136" s="14" t="s">
        <v>333</v>
      </c>
      <c r="C136" s="115" t="s">
        <v>214</v>
      </c>
      <c r="D136" s="115">
        <v>2063</v>
      </c>
      <c r="E136" s="229">
        <v>16.54</v>
      </c>
      <c r="F136" s="22" t="s">
        <v>334</v>
      </c>
      <c r="G136" s="22" t="s">
        <v>335</v>
      </c>
      <c r="H136" s="14">
        <f>E136*2</f>
        <v>33.08</v>
      </c>
      <c r="I136" s="67">
        <v>5000</v>
      </c>
      <c r="J136" s="226">
        <v>400</v>
      </c>
      <c r="K136" s="69">
        <f t="shared" si="66"/>
        <v>5400</v>
      </c>
      <c r="L136" s="69">
        <v>320</v>
      </c>
      <c r="M136" s="69">
        <v>0</v>
      </c>
      <c r="N136" s="69">
        <v>0</v>
      </c>
      <c r="O136" s="69">
        <f t="shared" si="75"/>
        <v>0</v>
      </c>
      <c r="P136" s="231">
        <f t="shared" si="68"/>
        <v>0</v>
      </c>
      <c r="Q136" s="69">
        <f t="shared" si="77"/>
        <v>0</v>
      </c>
      <c r="R136" s="69">
        <v>0.8</v>
      </c>
      <c r="S136" s="220">
        <f t="shared" si="79"/>
        <v>0</v>
      </c>
      <c r="T136" s="220">
        <f t="shared" si="85"/>
        <v>0</v>
      </c>
      <c r="U136" s="222">
        <f t="shared" si="67"/>
        <v>185</v>
      </c>
      <c r="V136" s="220">
        <f t="shared" ref="V136:V162" si="89">ROUND(U136*1.5,0)</f>
        <v>278</v>
      </c>
      <c r="W136" s="69">
        <f t="shared" ref="W136:W162" si="90">ROUND(H136*0.2,0)</f>
        <v>7</v>
      </c>
      <c r="X136" s="220">
        <f t="shared" si="86"/>
        <v>60</v>
      </c>
      <c r="Y136" s="69">
        <f t="shared" si="80"/>
        <v>6058</v>
      </c>
      <c r="Z136" s="69"/>
      <c r="AA136" s="69"/>
      <c r="AB136" s="69"/>
      <c r="AC136" s="69"/>
      <c r="AD136" s="69">
        <f t="shared" si="81"/>
        <v>0</v>
      </c>
      <c r="AE136" s="69"/>
      <c r="AF136" s="69"/>
      <c r="AG136" s="69"/>
      <c r="AH136" s="69">
        <f t="shared" si="82"/>
        <v>0</v>
      </c>
      <c r="AI136" s="69">
        <f t="shared" si="83"/>
        <v>6058</v>
      </c>
      <c r="AJ136" s="69"/>
      <c r="AK136" s="232"/>
      <c r="AL136" s="212"/>
      <c r="AM136" s="212"/>
      <c r="AN136" s="212"/>
      <c r="AO136" s="212"/>
      <c r="AP136" s="69">
        <f t="shared" si="84"/>
        <v>0</v>
      </c>
      <c r="AQ136" s="7"/>
      <c r="AR136" s="69"/>
      <c r="AS136" s="69"/>
      <c r="AT136" s="69"/>
      <c r="AU136" s="69">
        <f t="shared" si="87"/>
        <v>0</v>
      </c>
      <c r="AV136" s="69">
        <f t="shared" si="88"/>
        <v>6058</v>
      </c>
      <c r="AW136" s="14"/>
    </row>
    <row r="137" ht="20.15" customHeight="1" spans="1:49">
      <c r="A137" s="228">
        <f>SUBTOTAL(2,$Y$4:Y137)</f>
        <v>134</v>
      </c>
      <c r="B137" s="14" t="s">
        <v>336</v>
      </c>
      <c r="C137" s="14" t="s">
        <v>214</v>
      </c>
      <c r="D137" s="115">
        <v>2064</v>
      </c>
      <c r="E137" s="229">
        <v>16.54</v>
      </c>
      <c r="F137" s="22">
        <v>2064</v>
      </c>
      <c r="G137" s="158" t="s">
        <v>335</v>
      </c>
      <c r="H137" s="14"/>
      <c r="I137" s="7"/>
      <c r="J137" s="226"/>
      <c r="K137" s="69">
        <f t="shared" si="66"/>
        <v>0</v>
      </c>
      <c r="L137" s="237">
        <v>0</v>
      </c>
      <c r="M137" s="69">
        <v>2375</v>
      </c>
      <c r="N137" s="69">
        <v>2454</v>
      </c>
      <c r="O137" s="69">
        <f t="shared" si="75"/>
        <v>79</v>
      </c>
      <c r="P137" s="231">
        <f t="shared" si="68"/>
        <v>0</v>
      </c>
      <c r="Q137" s="69">
        <f t="shared" si="77"/>
        <v>79</v>
      </c>
      <c r="R137" s="69">
        <v>0.8</v>
      </c>
      <c r="S137" s="220">
        <f t="shared" si="79"/>
        <v>55</v>
      </c>
      <c r="T137" s="220">
        <f t="shared" si="85"/>
        <v>63</v>
      </c>
      <c r="U137" s="222">
        <f t="shared" si="67"/>
        <v>0</v>
      </c>
      <c r="V137" s="220">
        <f t="shared" si="89"/>
        <v>0</v>
      </c>
      <c r="W137" s="69">
        <f t="shared" si="90"/>
        <v>0</v>
      </c>
      <c r="X137" s="220">
        <f t="shared" si="86"/>
        <v>0</v>
      </c>
      <c r="Y137" s="69">
        <f t="shared" si="80"/>
        <v>118</v>
      </c>
      <c r="Z137" s="69"/>
      <c r="AA137" s="69"/>
      <c r="AB137" s="69"/>
      <c r="AC137" s="69"/>
      <c r="AD137" s="69">
        <f t="shared" si="81"/>
        <v>0</v>
      </c>
      <c r="AE137" s="69"/>
      <c r="AF137" s="69"/>
      <c r="AG137" s="69"/>
      <c r="AH137" s="69">
        <f t="shared" si="82"/>
        <v>0</v>
      </c>
      <c r="AI137" s="69">
        <f t="shared" si="83"/>
        <v>118</v>
      </c>
      <c r="AJ137" s="69"/>
      <c r="AK137" s="232"/>
      <c r="AL137" s="212"/>
      <c r="AM137" s="212"/>
      <c r="AN137" s="212"/>
      <c r="AO137" s="212"/>
      <c r="AP137" s="69">
        <f t="shared" si="84"/>
        <v>0</v>
      </c>
      <c r="AQ137" s="7"/>
      <c r="AR137" s="69"/>
      <c r="AS137" s="69"/>
      <c r="AT137" s="69"/>
      <c r="AU137" s="69">
        <f t="shared" si="87"/>
        <v>0</v>
      </c>
      <c r="AV137" s="69">
        <f t="shared" si="88"/>
        <v>118</v>
      </c>
      <c r="AW137" s="14"/>
    </row>
    <row r="138" ht="20.15" customHeight="1" spans="1:49">
      <c r="A138" s="228">
        <f>SUBTOTAL(2,$Y$4:Y138)</f>
        <v>135</v>
      </c>
      <c r="B138" s="14" t="s">
        <v>337</v>
      </c>
      <c r="C138" s="14" t="s">
        <v>214</v>
      </c>
      <c r="D138" s="115">
        <v>2066</v>
      </c>
      <c r="E138" s="229">
        <v>30.62</v>
      </c>
      <c r="F138" s="95">
        <v>2066</v>
      </c>
      <c r="G138" s="95" t="s">
        <v>116</v>
      </c>
      <c r="H138" s="14">
        <f>E138</f>
        <v>30.62</v>
      </c>
      <c r="I138" s="7">
        <v>1500</v>
      </c>
      <c r="J138" s="238">
        <v>200</v>
      </c>
      <c r="K138" s="69">
        <f t="shared" si="66"/>
        <v>1700</v>
      </c>
      <c r="L138" s="69">
        <v>160</v>
      </c>
      <c r="M138" s="69">
        <v>1158</v>
      </c>
      <c r="N138" s="69">
        <v>1238</v>
      </c>
      <c r="O138" s="69">
        <f t="shared" ref="O138:O162" si="91">N138-M138</f>
        <v>80</v>
      </c>
      <c r="P138" s="231">
        <f>ROUND(H137*0,0)</f>
        <v>0</v>
      </c>
      <c r="Q138" s="69">
        <f t="shared" si="77"/>
        <v>80</v>
      </c>
      <c r="R138" s="69">
        <v>0.8</v>
      </c>
      <c r="S138" s="220">
        <f t="shared" si="79"/>
        <v>56</v>
      </c>
      <c r="T138" s="220">
        <f t="shared" si="85"/>
        <v>64</v>
      </c>
      <c r="U138" s="222">
        <f t="shared" si="67"/>
        <v>171</v>
      </c>
      <c r="V138" s="220">
        <f t="shared" si="89"/>
        <v>257</v>
      </c>
      <c r="W138" s="69">
        <v>0</v>
      </c>
      <c r="X138" s="220">
        <f t="shared" si="86"/>
        <v>0</v>
      </c>
      <c r="Y138" s="69">
        <f t="shared" si="80"/>
        <v>2237</v>
      </c>
      <c r="Z138" s="69"/>
      <c r="AA138" s="69"/>
      <c r="AB138" s="69"/>
      <c r="AC138" s="69"/>
      <c r="AD138" s="69">
        <f t="shared" si="81"/>
        <v>0</v>
      </c>
      <c r="AE138" s="69"/>
      <c r="AF138" s="69"/>
      <c r="AG138" s="69"/>
      <c r="AH138" s="69">
        <f t="shared" si="82"/>
        <v>0</v>
      </c>
      <c r="AI138" s="69">
        <f t="shared" si="83"/>
        <v>2237</v>
      </c>
      <c r="AJ138" s="69"/>
      <c r="AK138" s="232"/>
      <c r="AL138" s="212"/>
      <c r="AM138" s="212"/>
      <c r="AN138" s="212"/>
      <c r="AO138" s="212"/>
      <c r="AP138" s="69">
        <f t="shared" si="84"/>
        <v>0</v>
      </c>
      <c r="AQ138" s="7"/>
      <c r="AR138" s="69"/>
      <c r="AS138" s="69"/>
      <c r="AT138" s="69"/>
      <c r="AU138" s="69">
        <f t="shared" si="87"/>
        <v>0</v>
      </c>
      <c r="AV138" s="69">
        <f t="shared" si="88"/>
        <v>2237</v>
      </c>
      <c r="AW138" s="14"/>
    </row>
    <row r="139" ht="20.15" customHeight="1" spans="1:49">
      <c r="A139" s="228">
        <f>SUBTOTAL(2,$Y$4:Y139)</f>
        <v>136</v>
      </c>
      <c r="B139" s="14" t="s">
        <v>338</v>
      </c>
      <c r="C139" s="14" t="s">
        <v>214</v>
      </c>
      <c r="D139" s="115">
        <v>2067</v>
      </c>
      <c r="E139" s="229">
        <v>33.67</v>
      </c>
      <c r="F139" s="265">
        <v>2067</v>
      </c>
      <c r="G139" s="265" t="s">
        <v>339</v>
      </c>
      <c r="H139" s="98">
        <f>E139</f>
        <v>33.67</v>
      </c>
      <c r="I139" s="264">
        <v>1200</v>
      </c>
      <c r="J139" s="266"/>
      <c r="K139" s="236">
        <f t="shared" si="66"/>
        <v>1200</v>
      </c>
      <c r="L139" s="69">
        <v>160</v>
      </c>
      <c r="M139" s="69">
        <v>5254</v>
      </c>
      <c r="N139" s="69">
        <v>5256</v>
      </c>
      <c r="O139" s="69">
        <f t="shared" si="91"/>
        <v>2</v>
      </c>
      <c r="P139" s="264">
        <f>ROUND(H138*0,0)</f>
        <v>0</v>
      </c>
      <c r="Q139" s="69">
        <f t="shared" si="77"/>
        <v>2</v>
      </c>
      <c r="R139" s="69">
        <v>0.8</v>
      </c>
      <c r="S139" s="220">
        <f t="shared" si="79"/>
        <v>1</v>
      </c>
      <c r="T139" s="220">
        <f t="shared" si="85"/>
        <v>2</v>
      </c>
      <c r="U139" s="236">
        <f>ROUND(H139*0,0)</f>
        <v>0</v>
      </c>
      <c r="V139" s="220">
        <f t="shared" si="89"/>
        <v>0</v>
      </c>
      <c r="W139" s="69">
        <f t="shared" si="90"/>
        <v>7</v>
      </c>
      <c r="X139" s="220">
        <f t="shared" si="86"/>
        <v>60</v>
      </c>
      <c r="Y139" s="69">
        <f t="shared" si="80"/>
        <v>1423</v>
      </c>
      <c r="Z139" s="69"/>
      <c r="AA139" s="69"/>
      <c r="AB139" s="69"/>
      <c r="AC139" s="69"/>
      <c r="AD139" s="69">
        <f t="shared" si="81"/>
        <v>0</v>
      </c>
      <c r="AE139" s="69"/>
      <c r="AF139" s="69"/>
      <c r="AG139" s="69"/>
      <c r="AH139" s="69">
        <f t="shared" si="82"/>
        <v>0</v>
      </c>
      <c r="AI139" s="69">
        <f t="shared" si="83"/>
        <v>1423</v>
      </c>
      <c r="AJ139" s="69"/>
      <c r="AK139" s="232"/>
      <c r="AL139" s="212"/>
      <c r="AM139" s="212"/>
      <c r="AN139" s="212"/>
      <c r="AO139" s="212"/>
      <c r="AP139" s="69">
        <f t="shared" si="84"/>
        <v>0</v>
      </c>
      <c r="AQ139" s="7"/>
      <c r="AR139" s="69"/>
      <c r="AS139" s="69"/>
      <c r="AT139" s="69"/>
      <c r="AU139" s="69">
        <f t="shared" si="87"/>
        <v>0</v>
      </c>
      <c r="AV139" s="69">
        <f t="shared" si="88"/>
        <v>1423</v>
      </c>
      <c r="AW139" s="267"/>
    </row>
    <row r="140" ht="20.15" customHeight="1" spans="1:49">
      <c r="A140" s="228">
        <f>SUBTOTAL(2,$Y$4:Y140)</f>
        <v>137</v>
      </c>
      <c r="B140" s="14" t="s">
        <v>340</v>
      </c>
      <c r="C140" s="115" t="s">
        <v>214</v>
      </c>
      <c r="D140" s="115">
        <v>2068</v>
      </c>
      <c r="E140" s="229">
        <v>19.54</v>
      </c>
      <c r="F140" s="22">
        <v>2068</v>
      </c>
      <c r="G140" s="22" t="s">
        <v>341</v>
      </c>
      <c r="H140" s="96">
        <f t="shared" si="78"/>
        <v>19.54</v>
      </c>
      <c r="I140" s="67">
        <v>2000</v>
      </c>
      <c r="J140" s="238"/>
      <c r="K140" s="69">
        <f t="shared" si="66"/>
        <v>2000</v>
      </c>
      <c r="L140" s="69">
        <v>160</v>
      </c>
      <c r="M140" s="69">
        <v>1182</v>
      </c>
      <c r="N140" s="69">
        <v>1245</v>
      </c>
      <c r="O140" s="69">
        <f t="shared" si="91"/>
        <v>63</v>
      </c>
      <c r="P140" s="231">
        <f>ROUND(H140*0,0)</f>
        <v>0</v>
      </c>
      <c r="Q140" s="69">
        <f t="shared" si="77"/>
        <v>63</v>
      </c>
      <c r="R140" s="69">
        <v>0.8</v>
      </c>
      <c r="S140" s="220">
        <f t="shared" si="79"/>
        <v>44</v>
      </c>
      <c r="T140" s="220">
        <f t="shared" si="85"/>
        <v>50</v>
      </c>
      <c r="U140" s="222">
        <f t="shared" ref="U140:U161" si="92">ROUND(H140*5.6,0)</f>
        <v>109</v>
      </c>
      <c r="V140" s="220">
        <f t="shared" si="89"/>
        <v>164</v>
      </c>
      <c r="W140" s="69">
        <f t="shared" si="90"/>
        <v>4</v>
      </c>
      <c r="X140" s="220">
        <f t="shared" si="86"/>
        <v>34</v>
      </c>
      <c r="Y140" s="69">
        <f t="shared" si="80"/>
        <v>2452</v>
      </c>
      <c r="Z140" s="69"/>
      <c r="AA140" s="69"/>
      <c r="AB140" s="69"/>
      <c r="AC140" s="69"/>
      <c r="AD140" s="69">
        <f t="shared" si="81"/>
        <v>0</v>
      </c>
      <c r="AE140" s="69"/>
      <c r="AF140" s="69"/>
      <c r="AG140" s="69"/>
      <c r="AH140" s="69">
        <f t="shared" si="82"/>
        <v>0</v>
      </c>
      <c r="AI140" s="69">
        <f t="shared" si="83"/>
        <v>2452</v>
      </c>
      <c r="AJ140" s="69"/>
      <c r="AK140" s="232"/>
      <c r="AL140" s="212"/>
      <c r="AM140" s="212"/>
      <c r="AN140" s="212"/>
      <c r="AO140" s="212"/>
      <c r="AP140" s="69">
        <f t="shared" si="84"/>
        <v>0</v>
      </c>
      <c r="AQ140" s="7"/>
      <c r="AR140" s="69"/>
      <c r="AS140" s="69"/>
      <c r="AT140" s="69"/>
      <c r="AU140" s="69">
        <f t="shared" si="87"/>
        <v>0</v>
      </c>
      <c r="AV140" s="69">
        <f t="shared" si="88"/>
        <v>2452</v>
      </c>
      <c r="AW140" s="213"/>
    </row>
    <row r="141" ht="20.15" customHeight="1" spans="1:49">
      <c r="A141" s="228">
        <f>SUBTOTAL(2,$Y$4:Y141)</f>
        <v>138</v>
      </c>
      <c r="B141" s="14" t="s">
        <v>342</v>
      </c>
      <c r="C141" s="14" t="s">
        <v>214</v>
      </c>
      <c r="D141" s="115">
        <v>2069</v>
      </c>
      <c r="E141" s="229">
        <v>19.54</v>
      </c>
      <c r="F141" s="13">
        <v>2069</v>
      </c>
      <c r="G141" s="13" t="s">
        <v>343</v>
      </c>
      <c r="H141" s="14">
        <f t="shared" si="78"/>
        <v>19.54</v>
      </c>
      <c r="I141" s="67">
        <v>2500</v>
      </c>
      <c r="J141" s="226">
        <v>200</v>
      </c>
      <c r="K141" s="69">
        <f t="shared" si="66"/>
        <v>2700</v>
      </c>
      <c r="L141" s="69">
        <v>160</v>
      </c>
      <c r="M141" s="69">
        <v>8308</v>
      </c>
      <c r="N141" s="69">
        <v>8316</v>
      </c>
      <c r="O141" s="69">
        <f t="shared" si="91"/>
        <v>8</v>
      </c>
      <c r="P141" s="231">
        <f t="shared" ref="P141:P161" si="93">ROUND(H141*0,0)</f>
        <v>0</v>
      </c>
      <c r="Q141" s="69">
        <f t="shared" si="77"/>
        <v>8</v>
      </c>
      <c r="R141" s="69">
        <v>0.8</v>
      </c>
      <c r="S141" s="220">
        <f t="shared" si="79"/>
        <v>6</v>
      </c>
      <c r="T141" s="220">
        <f t="shared" si="85"/>
        <v>6</v>
      </c>
      <c r="U141" s="222">
        <f t="shared" si="92"/>
        <v>109</v>
      </c>
      <c r="V141" s="220">
        <f t="shared" si="89"/>
        <v>164</v>
      </c>
      <c r="W141" s="69">
        <f t="shared" si="90"/>
        <v>4</v>
      </c>
      <c r="X141" s="220">
        <f t="shared" si="86"/>
        <v>34</v>
      </c>
      <c r="Y141" s="69">
        <f t="shared" si="80"/>
        <v>3070</v>
      </c>
      <c r="Z141" s="69"/>
      <c r="AA141" s="69"/>
      <c r="AB141" s="69"/>
      <c r="AC141" s="69"/>
      <c r="AD141" s="69">
        <f t="shared" si="81"/>
        <v>0</v>
      </c>
      <c r="AE141" s="69"/>
      <c r="AF141" s="69"/>
      <c r="AG141" s="69"/>
      <c r="AH141" s="69">
        <f t="shared" si="82"/>
        <v>0</v>
      </c>
      <c r="AI141" s="69">
        <f t="shared" si="83"/>
        <v>3070</v>
      </c>
      <c r="AJ141" s="69"/>
      <c r="AK141" s="232"/>
      <c r="AL141" s="212"/>
      <c r="AM141" s="212"/>
      <c r="AN141" s="212"/>
      <c r="AO141" s="212"/>
      <c r="AP141" s="69">
        <f t="shared" si="84"/>
        <v>0</v>
      </c>
      <c r="AQ141" s="7"/>
      <c r="AR141" s="69"/>
      <c r="AS141" s="69"/>
      <c r="AT141" s="69"/>
      <c r="AU141" s="69">
        <f t="shared" si="87"/>
        <v>0</v>
      </c>
      <c r="AV141" s="69">
        <f t="shared" si="88"/>
        <v>3070</v>
      </c>
      <c r="AW141" s="14"/>
    </row>
    <row r="142" ht="20.15" customHeight="1" spans="1:49">
      <c r="A142" s="228">
        <f>SUBTOTAL(2,$Y$4:Y142)</f>
        <v>139</v>
      </c>
      <c r="B142" s="14" t="s">
        <v>344</v>
      </c>
      <c r="C142" s="115" t="s">
        <v>214</v>
      </c>
      <c r="D142" s="115">
        <v>2070</v>
      </c>
      <c r="E142" s="229">
        <v>19.54</v>
      </c>
      <c r="F142" s="22">
        <v>2070</v>
      </c>
      <c r="G142" s="22" t="s">
        <v>345</v>
      </c>
      <c r="H142" s="96">
        <f t="shared" si="78"/>
        <v>19.54</v>
      </c>
      <c r="I142" s="7">
        <v>2500</v>
      </c>
      <c r="J142" s="238">
        <v>200</v>
      </c>
      <c r="K142" s="69">
        <f t="shared" si="66"/>
        <v>2700</v>
      </c>
      <c r="L142" s="69">
        <v>160</v>
      </c>
      <c r="M142" s="69">
        <v>8245</v>
      </c>
      <c r="N142" s="69">
        <v>8321</v>
      </c>
      <c r="O142" s="69">
        <f t="shared" si="91"/>
        <v>76</v>
      </c>
      <c r="P142" s="231">
        <f t="shared" si="93"/>
        <v>0</v>
      </c>
      <c r="Q142" s="69">
        <f t="shared" si="77"/>
        <v>76</v>
      </c>
      <c r="R142" s="69">
        <v>0.8</v>
      </c>
      <c r="S142" s="220">
        <f t="shared" si="79"/>
        <v>53</v>
      </c>
      <c r="T142" s="220">
        <f t="shared" si="85"/>
        <v>61</v>
      </c>
      <c r="U142" s="222">
        <f t="shared" si="92"/>
        <v>109</v>
      </c>
      <c r="V142" s="220">
        <f t="shared" si="89"/>
        <v>164</v>
      </c>
      <c r="W142" s="69">
        <f t="shared" si="90"/>
        <v>4</v>
      </c>
      <c r="X142" s="220">
        <f t="shared" si="86"/>
        <v>34</v>
      </c>
      <c r="Y142" s="69">
        <f t="shared" si="80"/>
        <v>3172</v>
      </c>
      <c r="Z142" s="69"/>
      <c r="AA142" s="69"/>
      <c r="AB142" s="69"/>
      <c r="AC142" s="69"/>
      <c r="AD142" s="69">
        <f t="shared" si="81"/>
        <v>0</v>
      </c>
      <c r="AE142" s="69"/>
      <c r="AF142" s="69"/>
      <c r="AG142" s="69"/>
      <c r="AH142" s="69">
        <f t="shared" si="82"/>
        <v>0</v>
      </c>
      <c r="AI142" s="69">
        <f t="shared" si="83"/>
        <v>3172</v>
      </c>
      <c r="AJ142" s="69"/>
      <c r="AK142" s="232"/>
      <c r="AL142" s="212"/>
      <c r="AM142" s="212"/>
      <c r="AN142" s="212"/>
      <c r="AO142" s="212"/>
      <c r="AP142" s="69">
        <f t="shared" si="84"/>
        <v>0</v>
      </c>
      <c r="AQ142" s="7"/>
      <c r="AR142" s="69"/>
      <c r="AS142" s="69"/>
      <c r="AT142" s="69"/>
      <c r="AU142" s="69">
        <f t="shared" si="87"/>
        <v>0</v>
      </c>
      <c r="AV142" s="69">
        <f t="shared" si="88"/>
        <v>3172</v>
      </c>
      <c r="AW142" s="14"/>
    </row>
    <row r="143" ht="20.15" customHeight="1" spans="1:49">
      <c r="A143" s="228">
        <f>SUBTOTAL(2,$Y$4:Y143)</f>
        <v>140</v>
      </c>
      <c r="B143" s="14" t="s">
        <v>346</v>
      </c>
      <c r="C143" s="115" t="s">
        <v>214</v>
      </c>
      <c r="D143" s="115">
        <v>2071</v>
      </c>
      <c r="E143" s="229">
        <v>19.54</v>
      </c>
      <c r="F143" s="22">
        <v>2071</v>
      </c>
      <c r="G143" s="22" t="s">
        <v>347</v>
      </c>
      <c r="H143" s="14">
        <f t="shared" ref="H143:H154" si="94">E143</f>
        <v>19.54</v>
      </c>
      <c r="I143" s="7">
        <v>2500</v>
      </c>
      <c r="J143" s="226">
        <v>200</v>
      </c>
      <c r="K143" s="69">
        <f t="shared" si="66"/>
        <v>2700</v>
      </c>
      <c r="L143" s="69">
        <v>160</v>
      </c>
      <c r="M143" s="69">
        <v>8300</v>
      </c>
      <c r="N143" s="69">
        <v>8325</v>
      </c>
      <c r="O143" s="69">
        <f t="shared" si="91"/>
        <v>25</v>
      </c>
      <c r="P143" s="231">
        <f t="shared" si="93"/>
        <v>0</v>
      </c>
      <c r="Q143" s="69">
        <f t="shared" ref="Q143:Q162" si="95">O143+P143</f>
        <v>25</v>
      </c>
      <c r="R143" s="69">
        <v>0.8</v>
      </c>
      <c r="S143" s="220">
        <f t="shared" si="79"/>
        <v>18</v>
      </c>
      <c r="T143" s="220">
        <f t="shared" si="85"/>
        <v>20</v>
      </c>
      <c r="U143" s="222">
        <f t="shared" si="92"/>
        <v>109</v>
      </c>
      <c r="V143" s="220">
        <f t="shared" si="89"/>
        <v>164</v>
      </c>
      <c r="W143" s="69">
        <f t="shared" si="90"/>
        <v>4</v>
      </c>
      <c r="X143" s="220">
        <f t="shared" si="86"/>
        <v>34</v>
      </c>
      <c r="Y143" s="69">
        <f t="shared" si="80"/>
        <v>3096</v>
      </c>
      <c r="Z143" s="69"/>
      <c r="AA143" s="69"/>
      <c r="AB143" s="69"/>
      <c r="AC143" s="69"/>
      <c r="AD143" s="69">
        <f t="shared" si="81"/>
        <v>0</v>
      </c>
      <c r="AE143" s="69"/>
      <c r="AF143" s="69"/>
      <c r="AG143" s="69"/>
      <c r="AH143" s="69">
        <f t="shared" si="82"/>
        <v>0</v>
      </c>
      <c r="AI143" s="69">
        <f t="shared" si="83"/>
        <v>3096</v>
      </c>
      <c r="AJ143" s="69"/>
      <c r="AK143" s="232"/>
      <c r="AL143" s="212"/>
      <c r="AM143" s="212"/>
      <c r="AN143" s="212"/>
      <c r="AO143" s="212"/>
      <c r="AP143" s="69">
        <f t="shared" si="84"/>
        <v>0</v>
      </c>
      <c r="AQ143" s="7"/>
      <c r="AR143" s="69"/>
      <c r="AS143" s="69"/>
      <c r="AT143" s="69"/>
      <c r="AU143" s="69">
        <f t="shared" si="87"/>
        <v>0</v>
      </c>
      <c r="AV143" s="69">
        <f t="shared" si="88"/>
        <v>3096</v>
      </c>
      <c r="AW143" s="14"/>
    </row>
    <row r="144" ht="20.15" customHeight="1" spans="1:49">
      <c r="A144" s="228">
        <f>SUBTOTAL(2,$Y$4:Y144)</f>
        <v>141</v>
      </c>
      <c r="B144" s="14" t="s">
        <v>348</v>
      </c>
      <c r="C144" s="115" t="s">
        <v>214</v>
      </c>
      <c r="D144" s="115">
        <v>2072</v>
      </c>
      <c r="E144" s="229">
        <v>19.54</v>
      </c>
      <c r="F144" s="22">
        <v>2072</v>
      </c>
      <c r="G144" s="22" t="s">
        <v>349</v>
      </c>
      <c r="H144" s="14">
        <f t="shared" si="94"/>
        <v>19.54</v>
      </c>
      <c r="I144" s="7">
        <v>2500</v>
      </c>
      <c r="J144" s="226">
        <v>200</v>
      </c>
      <c r="K144" s="69">
        <f t="shared" si="66"/>
        <v>2700</v>
      </c>
      <c r="L144" s="69">
        <v>160</v>
      </c>
      <c r="M144" s="69">
        <v>4168</v>
      </c>
      <c r="N144" s="69">
        <v>4197</v>
      </c>
      <c r="O144" s="69">
        <f t="shared" si="91"/>
        <v>29</v>
      </c>
      <c r="P144" s="231">
        <f t="shared" si="93"/>
        <v>0</v>
      </c>
      <c r="Q144" s="69">
        <f t="shared" si="95"/>
        <v>29</v>
      </c>
      <c r="R144" s="69">
        <v>0.8</v>
      </c>
      <c r="S144" s="220">
        <f t="shared" si="79"/>
        <v>20</v>
      </c>
      <c r="T144" s="220">
        <f t="shared" si="85"/>
        <v>23</v>
      </c>
      <c r="U144" s="222">
        <f t="shared" si="92"/>
        <v>109</v>
      </c>
      <c r="V144" s="220">
        <f t="shared" si="89"/>
        <v>164</v>
      </c>
      <c r="W144" s="69">
        <f t="shared" si="90"/>
        <v>4</v>
      </c>
      <c r="X144" s="220">
        <f t="shared" si="86"/>
        <v>34</v>
      </c>
      <c r="Y144" s="69">
        <f t="shared" si="80"/>
        <v>3101</v>
      </c>
      <c r="Z144" s="69"/>
      <c r="AA144" s="69"/>
      <c r="AB144" s="69"/>
      <c r="AC144" s="69"/>
      <c r="AD144" s="69">
        <f t="shared" si="81"/>
        <v>0</v>
      </c>
      <c r="AE144" s="69"/>
      <c r="AF144" s="69"/>
      <c r="AG144" s="69"/>
      <c r="AH144" s="69">
        <f t="shared" si="82"/>
        <v>0</v>
      </c>
      <c r="AI144" s="69">
        <f t="shared" si="83"/>
        <v>3101</v>
      </c>
      <c r="AJ144" s="69"/>
      <c r="AK144" s="232"/>
      <c r="AL144" s="212"/>
      <c r="AM144" s="212"/>
      <c r="AN144" s="212"/>
      <c r="AO144" s="212"/>
      <c r="AP144" s="69">
        <f t="shared" si="84"/>
        <v>0</v>
      </c>
      <c r="AQ144" s="7"/>
      <c r="AR144" s="69"/>
      <c r="AS144" s="69"/>
      <c r="AT144" s="69"/>
      <c r="AU144" s="69">
        <f t="shared" si="87"/>
        <v>0</v>
      </c>
      <c r="AV144" s="69">
        <f t="shared" si="88"/>
        <v>3101</v>
      </c>
      <c r="AW144" s="14"/>
    </row>
    <row r="145" ht="20.15" customHeight="1" spans="1:49">
      <c r="A145" s="228">
        <f>SUBTOTAL(2,$Y$4:Y145)</f>
        <v>142</v>
      </c>
      <c r="B145" s="14" t="s">
        <v>350</v>
      </c>
      <c r="C145" s="115" t="s">
        <v>214</v>
      </c>
      <c r="D145" s="115">
        <v>2073</v>
      </c>
      <c r="E145" s="229">
        <v>19.54</v>
      </c>
      <c r="F145" s="22">
        <v>2073</v>
      </c>
      <c r="G145" s="22" t="s">
        <v>351</v>
      </c>
      <c r="H145" s="96">
        <f t="shared" si="94"/>
        <v>19.54</v>
      </c>
      <c r="I145" s="67">
        <v>2500</v>
      </c>
      <c r="J145" s="238">
        <v>200</v>
      </c>
      <c r="K145" s="69">
        <f t="shared" si="66"/>
        <v>2700</v>
      </c>
      <c r="L145" s="69">
        <v>160</v>
      </c>
      <c r="M145" s="69">
        <v>7017</v>
      </c>
      <c r="N145" s="69">
        <v>7070</v>
      </c>
      <c r="O145" s="69">
        <f t="shared" si="91"/>
        <v>53</v>
      </c>
      <c r="P145" s="231">
        <f t="shared" si="93"/>
        <v>0</v>
      </c>
      <c r="Q145" s="69">
        <f t="shared" si="95"/>
        <v>53</v>
      </c>
      <c r="R145" s="69">
        <v>0.8</v>
      </c>
      <c r="S145" s="220">
        <f t="shared" si="79"/>
        <v>37</v>
      </c>
      <c r="T145" s="220">
        <f t="shared" si="85"/>
        <v>42</v>
      </c>
      <c r="U145" s="222">
        <f t="shared" si="92"/>
        <v>109</v>
      </c>
      <c r="V145" s="220">
        <f t="shared" si="89"/>
        <v>164</v>
      </c>
      <c r="W145" s="69">
        <f t="shared" si="90"/>
        <v>4</v>
      </c>
      <c r="X145" s="220">
        <f t="shared" si="86"/>
        <v>34</v>
      </c>
      <c r="Y145" s="69">
        <f t="shared" si="80"/>
        <v>3137</v>
      </c>
      <c r="Z145" s="69"/>
      <c r="AA145" s="69"/>
      <c r="AB145" s="69"/>
      <c r="AC145" s="69"/>
      <c r="AD145" s="69">
        <f t="shared" si="81"/>
        <v>0</v>
      </c>
      <c r="AE145" s="69"/>
      <c r="AF145" s="69"/>
      <c r="AG145" s="69"/>
      <c r="AH145" s="69">
        <f t="shared" si="82"/>
        <v>0</v>
      </c>
      <c r="AI145" s="69">
        <f t="shared" si="83"/>
        <v>3137</v>
      </c>
      <c r="AJ145" s="69"/>
      <c r="AK145" s="232"/>
      <c r="AL145" s="212"/>
      <c r="AM145" s="212"/>
      <c r="AN145" s="212"/>
      <c r="AO145" s="212"/>
      <c r="AP145" s="69">
        <f t="shared" si="84"/>
        <v>0</v>
      </c>
      <c r="AQ145" s="7"/>
      <c r="AR145" s="69"/>
      <c r="AS145" s="69"/>
      <c r="AT145" s="69"/>
      <c r="AU145" s="69">
        <f t="shared" si="87"/>
        <v>0</v>
      </c>
      <c r="AV145" s="69">
        <f t="shared" si="88"/>
        <v>3137</v>
      </c>
      <c r="AW145" s="14"/>
    </row>
    <row r="146" ht="20.15" customHeight="1" spans="1:49">
      <c r="A146" s="228">
        <f>SUBTOTAL(2,$Y$4:Y146)</f>
        <v>143</v>
      </c>
      <c r="B146" s="14" t="s">
        <v>352</v>
      </c>
      <c r="C146" s="115" t="s">
        <v>214</v>
      </c>
      <c r="D146" s="115" t="s">
        <v>353</v>
      </c>
      <c r="E146" s="229">
        <v>19.54</v>
      </c>
      <c r="F146" s="22">
        <v>2074</v>
      </c>
      <c r="G146" s="22" t="s">
        <v>354</v>
      </c>
      <c r="H146" s="14">
        <f t="shared" si="94"/>
        <v>19.54</v>
      </c>
      <c r="I146" s="67">
        <v>2500</v>
      </c>
      <c r="J146" s="226">
        <v>200</v>
      </c>
      <c r="K146" s="69">
        <f t="shared" si="66"/>
        <v>2700</v>
      </c>
      <c r="L146" s="69">
        <v>160</v>
      </c>
      <c r="M146" s="69">
        <v>7215</v>
      </c>
      <c r="N146" s="69">
        <v>7262</v>
      </c>
      <c r="O146" s="69">
        <f t="shared" si="91"/>
        <v>47</v>
      </c>
      <c r="P146" s="231">
        <f t="shared" si="93"/>
        <v>0</v>
      </c>
      <c r="Q146" s="69">
        <f t="shared" si="95"/>
        <v>47</v>
      </c>
      <c r="R146" s="69">
        <v>0.8</v>
      </c>
      <c r="S146" s="220">
        <f t="shared" si="79"/>
        <v>33</v>
      </c>
      <c r="T146" s="220">
        <f t="shared" si="85"/>
        <v>38</v>
      </c>
      <c r="U146" s="222">
        <f t="shared" si="92"/>
        <v>109</v>
      </c>
      <c r="V146" s="220">
        <f t="shared" si="89"/>
        <v>164</v>
      </c>
      <c r="W146" s="69">
        <f t="shared" si="90"/>
        <v>4</v>
      </c>
      <c r="X146" s="220">
        <f t="shared" si="86"/>
        <v>34</v>
      </c>
      <c r="Y146" s="69">
        <f t="shared" si="80"/>
        <v>3129</v>
      </c>
      <c r="Z146" s="69"/>
      <c r="AA146" s="69"/>
      <c r="AB146" s="69"/>
      <c r="AC146" s="69"/>
      <c r="AD146" s="69">
        <f t="shared" si="81"/>
        <v>0</v>
      </c>
      <c r="AE146" s="69"/>
      <c r="AF146" s="69"/>
      <c r="AG146" s="69"/>
      <c r="AH146" s="69">
        <f t="shared" si="82"/>
        <v>0</v>
      </c>
      <c r="AI146" s="69">
        <f t="shared" si="83"/>
        <v>3129</v>
      </c>
      <c r="AJ146" s="69"/>
      <c r="AK146" s="232"/>
      <c r="AL146" s="212"/>
      <c r="AM146" s="212"/>
      <c r="AN146" s="212"/>
      <c r="AO146" s="212"/>
      <c r="AP146" s="69">
        <f t="shared" si="84"/>
        <v>0</v>
      </c>
      <c r="AQ146" s="7"/>
      <c r="AR146" s="69"/>
      <c r="AS146" s="69"/>
      <c r="AT146" s="69"/>
      <c r="AU146" s="69">
        <f t="shared" si="87"/>
        <v>0</v>
      </c>
      <c r="AV146" s="69">
        <f t="shared" si="88"/>
        <v>3129</v>
      </c>
      <c r="AW146" s="14"/>
    </row>
    <row r="147" ht="20.15" customHeight="1" spans="1:49">
      <c r="A147" s="228">
        <f>SUBTOTAL(2,$Y$4:Y147)</f>
        <v>144</v>
      </c>
      <c r="B147" s="14" t="s">
        <v>355</v>
      </c>
      <c r="C147" s="14" t="s">
        <v>214</v>
      </c>
      <c r="D147" s="115">
        <v>2075</v>
      </c>
      <c r="E147" s="229">
        <v>16.54</v>
      </c>
      <c r="F147" s="155">
        <v>2075</v>
      </c>
      <c r="G147" s="155" t="s">
        <v>356</v>
      </c>
      <c r="H147" s="243">
        <v>19.54</v>
      </c>
      <c r="I147" s="268">
        <v>2500</v>
      </c>
      <c r="J147" s="245">
        <v>200</v>
      </c>
      <c r="K147" s="69">
        <f t="shared" si="66"/>
        <v>2700</v>
      </c>
      <c r="L147" s="69">
        <v>160</v>
      </c>
      <c r="M147" s="69">
        <v>8840</v>
      </c>
      <c r="N147" s="69">
        <v>8871</v>
      </c>
      <c r="O147" s="69">
        <f t="shared" si="91"/>
        <v>31</v>
      </c>
      <c r="P147" s="231">
        <f t="shared" si="93"/>
        <v>0</v>
      </c>
      <c r="Q147" s="69">
        <f t="shared" si="95"/>
        <v>31</v>
      </c>
      <c r="R147" s="69">
        <v>0.8</v>
      </c>
      <c r="S147" s="220">
        <f t="shared" si="79"/>
        <v>22</v>
      </c>
      <c r="T147" s="220">
        <f t="shared" si="85"/>
        <v>25</v>
      </c>
      <c r="U147" s="222">
        <f t="shared" si="92"/>
        <v>109</v>
      </c>
      <c r="V147" s="220">
        <f t="shared" si="89"/>
        <v>164</v>
      </c>
      <c r="W147" s="69">
        <f t="shared" si="90"/>
        <v>4</v>
      </c>
      <c r="X147" s="220">
        <f t="shared" si="86"/>
        <v>34</v>
      </c>
      <c r="Y147" s="69">
        <f t="shared" si="80"/>
        <v>3105</v>
      </c>
      <c r="Z147" s="69"/>
      <c r="AA147" s="69"/>
      <c r="AB147" s="69"/>
      <c r="AC147" s="69"/>
      <c r="AD147" s="69">
        <f t="shared" si="81"/>
        <v>0</v>
      </c>
      <c r="AE147" s="69"/>
      <c r="AF147" s="69"/>
      <c r="AG147" s="69"/>
      <c r="AH147" s="69">
        <f t="shared" si="82"/>
        <v>0</v>
      </c>
      <c r="AI147" s="69">
        <f t="shared" si="83"/>
        <v>3105</v>
      </c>
      <c r="AJ147" s="69"/>
      <c r="AK147" s="232"/>
      <c r="AL147" s="212"/>
      <c r="AM147" s="212"/>
      <c r="AN147" s="212"/>
      <c r="AO147" s="212"/>
      <c r="AP147" s="69">
        <f t="shared" si="84"/>
        <v>0</v>
      </c>
      <c r="AQ147" s="7"/>
      <c r="AR147" s="69"/>
      <c r="AS147" s="69"/>
      <c r="AT147" s="69"/>
      <c r="AU147" s="69">
        <f t="shared" si="87"/>
        <v>0</v>
      </c>
      <c r="AV147" s="69">
        <f t="shared" si="88"/>
        <v>3105</v>
      </c>
      <c r="AW147" s="14"/>
    </row>
    <row r="148" ht="20.15" customHeight="1" spans="1:49">
      <c r="A148" s="228">
        <f>SUBTOTAL(2,$Y$4:Y148)</f>
        <v>145</v>
      </c>
      <c r="B148" s="14" t="s">
        <v>357</v>
      </c>
      <c r="C148" s="14" t="s">
        <v>214</v>
      </c>
      <c r="D148" s="115">
        <v>2076</v>
      </c>
      <c r="E148" s="229">
        <v>19.54</v>
      </c>
      <c r="F148" s="22">
        <v>2076</v>
      </c>
      <c r="G148" s="22" t="s">
        <v>318</v>
      </c>
      <c r="H148" s="115">
        <f t="shared" si="94"/>
        <v>19.54</v>
      </c>
      <c r="I148" s="67">
        <v>2500</v>
      </c>
      <c r="J148" s="226">
        <v>200</v>
      </c>
      <c r="K148" s="69">
        <f t="shared" si="66"/>
        <v>2700</v>
      </c>
      <c r="L148" s="69">
        <v>160</v>
      </c>
      <c r="M148" s="69">
        <v>1759</v>
      </c>
      <c r="N148" s="69">
        <v>1786</v>
      </c>
      <c r="O148" s="69">
        <f t="shared" si="91"/>
        <v>27</v>
      </c>
      <c r="P148" s="231">
        <f t="shared" si="93"/>
        <v>0</v>
      </c>
      <c r="Q148" s="69">
        <f t="shared" si="95"/>
        <v>27</v>
      </c>
      <c r="R148" s="69">
        <v>0.8</v>
      </c>
      <c r="S148" s="220">
        <f t="shared" si="79"/>
        <v>19</v>
      </c>
      <c r="T148" s="220">
        <f t="shared" si="85"/>
        <v>22</v>
      </c>
      <c r="U148" s="222">
        <f t="shared" si="92"/>
        <v>109</v>
      </c>
      <c r="V148" s="220">
        <f t="shared" si="89"/>
        <v>164</v>
      </c>
      <c r="W148" s="69">
        <f t="shared" si="90"/>
        <v>4</v>
      </c>
      <c r="X148" s="220">
        <f t="shared" si="86"/>
        <v>34</v>
      </c>
      <c r="Y148" s="69">
        <f t="shared" si="80"/>
        <v>3099</v>
      </c>
      <c r="Z148" s="69"/>
      <c r="AA148" s="69"/>
      <c r="AB148" s="69"/>
      <c r="AC148" s="69"/>
      <c r="AD148" s="69">
        <f t="shared" si="81"/>
        <v>0</v>
      </c>
      <c r="AE148" s="69"/>
      <c r="AF148" s="69"/>
      <c r="AG148" s="69"/>
      <c r="AH148" s="69">
        <f t="shared" si="82"/>
        <v>0</v>
      </c>
      <c r="AI148" s="69">
        <f t="shared" si="83"/>
        <v>3099</v>
      </c>
      <c r="AJ148" s="69"/>
      <c r="AK148" s="232"/>
      <c r="AL148" s="212"/>
      <c r="AM148" s="212"/>
      <c r="AN148" s="212"/>
      <c r="AO148" s="212"/>
      <c r="AP148" s="69">
        <f t="shared" si="84"/>
        <v>0</v>
      </c>
      <c r="AQ148" s="7"/>
      <c r="AR148" s="69"/>
      <c r="AS148" s="69"/>
      <c r="AT148" s="69"/>
      <c r="AU148" s="69">
        <f t="shared" si="87"/>
        <v>0</v>
      </c>
      <c r="AV148" s="69">
        <f t="shared" si="88"/>
        <v>3099</v>
      </c>
      <c r="AW148" s="14"/>
    </row>
    <row r="149" ht="20.15" customHeight="1" spans="1:49">
      <c r="A149" s="228">
        <f>SUBTOTAL(2,$Y$4:Y149)</f>
        <v>146</v>
      </c>
      <c r="B149" s="14" t="s">
        <v>358</v>
      </c>
      <c r="C149" s="115" t="s">
        <v>214</v>
      </c>
      <c r="D149" s="115">
        <v>2077</v>
      </c>
      <c r="E149" s="229">
        <v>19.54</v>
      </c>
      <c r="F149" s="22">
        <v>2077</v>
      </c>
      <c r="G149" s="22" t="s">
        <v>359</v>
      </c>
      <c r="H149" s="89">
        <f t="shared" si="94"/>
        <v>19.54</v>
      </c>
      <c r="I149" s="7">
        <v>2500</v>
      </c>
      <c r="J149" s="238">
        <v>200</v>
      </c>
      <c r="K149" s="69">
        <f t="shared" si="66"/>
        <v>2700</v>
      </c>
      <c r="L149" s="69">
        <v>160</v>
      </c>
      <c r="M149" s="69">
        <v>9603</v>
      </c>
      <c r="N149" s="69">
        <v>9618</v>
      </c>
      <c r="O149" s="69">
        <f t="shared" si="91"/>
        <v>15</v>
      </c>
      <c r="P149" s="231">
        <f t="shared" si="93"/>
        <v>0</v>
      </c>
      <c r="Q149" s="69">
        <f t="shared" si="95"/>
        <v>15</v>
      </c>
      <c r="R149" s="69">
        <v>0.8</v>
      </c>
      <c r="S149" s="220">
        <f t="shared" si="79"/>
        <v>11</v>
      </c>
      <c r="T149" s="220">
        <f t="shared" si="85"/>
        <v>12</v>
      </c>
      <c r="U149" s="222">
        <f t="shared" si="92"/>
        <v>109</v>
      </c>
      <c r="V149" s="220">
        <f t="shared" si="89"/>
        <v>164</v>
      </c>
      <c r="W149" s="69">
        <f t="shared" si="90"/>
        <v>4</v>
      </c>
      <c r="X149" s="220">
        <f t="shared" si="86"/>
        <v>34</v>
      </c>
      <c r="Y149" s="69">
        <f t="shared" si="80"/>
        <v>3081</v>
      </c>
      <c r="Z149" s="69"/>
      <c r="AA149" s="69"/>
      <c r="AB149" s="69"/>
      <c r="AC149" s="69"/>
      <c r="AD149" s="69">
        <f t="shared" si="81"/>
        <v>0</v>
      </c>
      <c r="AE149" s="69"/>
      <c r="AF149" s="69"/>
      <c r="AG149" s="69"/>
      <c r="AH149" s="69">
        <f t="shared" si="82"/>
        <v>0</v>
      </c>
      <c r="AI149" s="69">
        <f t="shared" si="83"/>
        <v>3081</v>
      </c>
      <c r="AJ149" s="69"/>
      <c r="AK149" s="232"/>
      <c r="AL149" s="212"/>
      <c r="AM149" s="212"/>
      <c r="AN149" s="212"/>
      <c r="AO149" s="212"/>
      <c r="AP149" s="69">
        <f t="shared" si="84"/>
        <v>0</v>
      </c>
      <c r="AQ149" s="7"/>
      <c r="AR149" s="69"/>
      <c r="AS149" s="69"/>
      <c r="AT149" s="69"/>
      <c r="AU149" s="69">
        <f t="shared" si="87"/>
        <v>0</v>
      </c>
      <c r="AV149" s="69">
        <f t="shared" si="88"/>
        <v>3081</v>
      </c>
      <c r="AW149" s="14"/>
    </row>
    <row r="150" ht="20.15" customHeight="1" spans="1:49">
      <c r="A150" s="228">
        <f>SUBTOTAL(2,$Y$4:Y150)</f>
        <v>147</v>
      </c>
      <c r="B150" s="14" t="s">
        <v>360</v>
      </c>
      <c r="C150" s="115" t="s">
        <v>214</v>
      </c>
      <c r="D150" s="115">
        <v>2078</v>
      </c>
      <c r="E150" s="229">
        <v>19.54</v>
      </c>
      <c r="F150" s="22" t="s">
        <v>361</v>
      </c>
      <c r="G150" s="22" t="s">
        <v>362</v>
      </c>
      <c r="H150" s="14">
        <f>E150*2</f>
        <v>39.08</v>
      </c>
      <c r="I150" s="67">
        <v>5000</v>
      </c>
      <c r="J150" s="230">
        <v>400</v>
      </c>
      <c r="K150" s="69">
        <f t="shared" si="66"/>
        <v>5400</v>
      </c>
      <c r="L150" s="69">
        <v>320</v>
      </c>
      <c r="M150" s="69">
        <v>849</v>
      </c>
      <c r="N150" s="69">
        <v>914</v>
      </c>
      <c r="O150" s="69">
        <f t="shared" si="91"/>
        <v>65</v>
      </c>
      <c r="P150" s="231">
        <f t="shared" si="93"/>
        <v>0</v>
      </c>
      <c r="Q150" s="69">
        <f t="shared" si="95"/>
        <v>65</v>
      </c>
      <c r="R150" s="69">
        <v>0.8</v>
      </c>
      <c r="S150" s="220">
        <f t="shared" si="79"/>
        <v>46</v>
      </c>
      <c r="T150" s="220">
        <f t="shared" si="85"/>
        <v>52</v>
      </c>
      <c r="U150" s="222">
        <f t="shared" si="92"/>
        <v>219</v>
      </c>
      <c r="V150" s="220">
        <f t="shared" si="89"/>
        <v>329</v>
      </c>
      <c r="W150" s="69">
        <f t="shared" si="90"/>
        <v>8</v>
      </c>
      <c r="X150" s="220">
        <f t="shared" si="86"/>
        <v>68</v>
      </c>
      <c r="Y150" s="69">
        <f t="shared" si="80"/>
        <v>6215</v>
      </c>
      <c r="Z150" s="69"/>
      <c r="AA150" s="69"/>
      <c r="AB150" s="69"/>
      <c r="AC150" s="69"/>
      <c r="AD150" s="69">
        <f t="shared" si="81"/>
        <v>0</v>
      </c>
      <c r="AE150" s="69"/>
      <c r="AF150" s="69"/>
      <c r="AG150" s="69"/>
      <c r="AH150" s="69">
        <f t="shared" si="82"/>
        <v>0</v>
      </c>
      <c r="AI150" s="69">
        <f t="shared" si="83"/>
        <v>6215</v>
      </c>
      <c r="AJ150" s="69"/>
      <c r="AK150" s="232"/>
      <c r="AL150" s="212"/>
      <c r="AM150" s="212"/>
      <c r="AN150" s="212"/>
      <c r="AO150" s="212"/>
      <c r="AP150" s="69">
        <f t="shared" si="84"/>
        <v>0</v>
      </c>
      <c r="AQ150" s="7"/>
      <c r="AR150" s="69"/>
      <c r="AS150" s="67"/>
      <c r="AT150" s="67"/>
      <c r="AU150" s="69">
        <f t="shared" si="87"/>
        <v>0</v>
      </c>
      <c r="AV150" s="69">
        <f t="shared" si="88"/>
        <v>6215</v>
      </c>
      <c r="AW150" s="14"/>
    </row>
    <row r="151" ht="20.15" customHeight="1" spans="1:49">
      <c r="A151" s="228">
        <f>SUBTOTAL(2,$Y$4:Y151)</f>
        <v>148</v>
      </c>
      <c r="B151" s="14" t="s">
        <v>363</v>
      </c>
      <c r="C151" s="14" t="s">
        <v>214</v>
      </c>
      <c r="D151" s="115">
        <v>2079</v>
      </c>
      <c r="E151" s="229">
        <v>19.54</v>
      </c>
      <c r="F151" s="22">
        <v>2079</v>
      </c>
      <c r="G151" s="159" t="s">
        <v>362</v>
      </c>
      <c r="H151" s="14"/>
      <c r="I151" s="7"/>
      <c r="J151" s="226"/>
      <c r="K151" s="69">
        <f t="shared" si="66"/>
        <v>0</v>
      </c>
      <c r="L151" s="237">
        <v>0</v>
      </c>
      <c r="M151" s="69">
        <v>3244</v>
      </c>
      <c r="N151" s="69">
        <v>3244</v>
      </c>
      <c r="O151" s="69">
        <f t="shared" si="91"/>
        <v>0</v>
      </c>
      <c r="P151" s="231">
        <f t="shared" si="93"/>
        <v>0</v>
      </c>
      <c r="Q151" s="69">
        <f t="shared" si="95"/>
        <v>0</v>
      </c>
      <c r="R151" s="69">
        <v>0.8</v>
      </c>
      <c r="S151" s="220">
        <f t="shared" si="79"/>
        <v>0</v>
      </c>
      <c r="T151" s="220">
        <f t="shared" si="85"/>
        <v>0</v>
      </c>
      <c r="U151" s="222">
        <f t="shared" si="92"/>
        <v>0</v>
      </c>
      <c r="V151" s="220">
        <f t="shared" si="89"/>
        <v>0</v>
      </c>
      <c r="W151" s="69">
        <f t="shared" si="90"/>
        <v>0</v>
      </c>
      <c r="X151" s="220">
        <f t="shared" si="86"/>
        <v>0</v>
      </c>
      <c r="Y151" s="69">
        <f t="shared" si="80"/>
        <v>0</v>
      </c>
      <c r="Z151" s="69"/>
      <c r="AA151" s="69"/>
      <c r="AB151" s="69"/>
      <c r="AC151" s="69"/>
      <c r="AD151" s="69">
        <f t="shared" si="81"/>
        <v>0</v>
      </c>
      <c r="AE151" s="69"/>
      <c r="AF151" s="69"/>
      <c r="AG151" s="69"/>
      <c r="AH151" s="69">
        <f t="shared" si="82"/>
        <v>0</v>
      </c>
      <c r="AI151" s="69">
        <f t="shared" si="83"/>
        <v>0</v>
      </c>
      <c r="AJ151" s="69"/>
      <c r="AK151" s="232"/>
      <c r="AL151" s="212"/>
      <c r="AM151" s="212"/>
      <c r="AN151" s="212"/>
      <c r="AO151" s="212"/>
      <c r="AP151" s="69">
        <f t="shared" si="84"/>
        <v>0</v>
      </c>
      <c r="AQ151" s="7"/>
      <c r="AR151" s="69"/>
      <c r="AS151" s="69"/>
      <c r="AT151" s="69"/>
      <c r="AU151" s="69">
        <f t="shared" si="87"/>
        <v>0</v>
      </c>
      <c r="AV151" s="69">
        <f t="shared" si="88"/>
        <v>0</v>
      </c>
      <c r="AW151" s="14"/>
    </row>
    <row r="152" ht="20.15" customHeight="1" spans="1:49">
      <c r="A152" s="228">
        <f>SUBTOTAL(2,$Y$4:Y152)</f>
        <v>149</v>
      </c>
      <c r="B152" s="14" t="s">
        <v>364</v>
      </c>
      <c r="C152" s="14" t="s">
        <v>214</v>
      </c>
      <c r="D152" s="115">
        <v>2080</v>
      </c>
      <c r="E152" s="229">
        <v>19.54</v>
      </c>
      <c r="F152" s="22">
        <v>2080</v>
      </c>
      <c r="G152" s="95" t="s">
        <v>365</v>
      </c>
      <c r="H152" s="14">
        <f>E152</f>
        <v>19.54</v>
      </c>
      <c r="I152" s="7">
        <v>2500</v>
      </c>
      <c r="J152" s="238">
        <v>200</v>
      </c>
      <c r="K152" s="69">
        <f t="shared" si="66"/>
        <v>2700</v>
      </c>
      <c r="L152" s="69">
        <v>160</v>
      </c>
      <c r="M152" s="69">
        <v>1674</v>
      </c>
      <c r="N152" s="69">
        <v>1727</v>
      </c>
      <c r="O152" s="69">
        <f t="shared" si="91"/>
        <v>53</v>
      </c>
      <c r="P152" s="231">
        <f t="shared" si="93"/>
        <v>0</v>
      </c>
      <c r="Q152" s="69">
        <f t="shared" si="95"/>
        <v>53</v>
      </c>
      <c r="R152" s="69">
        <v>0.8</v>
      </c>
      <c r="S152" s="220">
        <f t="shared" si="79"/>
        <v>37</v>
      </c>
      <c r="T152" s="220">
        <f t="shared" si="85"/>
        <v>42</v>
      </c>
      <c r="U152" s="222">
        <f t="shared" si="92"/>
        <v>109</v>
      </c>
      <c r="V152" s="220">
        <f t="shared" si="89"/>
        <v>164</v>
      </c>
      <c r="W152" s="69">
        <f t="shared" si="90"/>
        <v>4</v>
      </c>
      <c r="X152" s="220">
        <f t="shared" si="86"/>
        <v>34</v>
      </c>
      <c r="Y152" s="69">
        <f t="shared" si="80"/>
        <v>3137</v>
      </c>
      <c r="Z152" s="69"/>
      <c r="AA152" s="69"/>
      <c r="AB152" s="69"/>
      <c r="AC152" s="69"/>
      <c r="AD152" s="69">
        <f t="shared" si="81"/>
        <v>0</v>
      </c>
      <c r="AE152" s="69"/>
      <c r="AF152" s="69"/>
      <c r="AG152" s="69"/>
      <c r="AH152" s="69">
        <f t="shared" si="82"/>
        <v>0</v>
      </c>
      <c r="AI152" s="69">
        <f t="shared" si="83"/>
        <v>3137</v>
      </c>
      <c r="AJ152" s="69"/>
      <c r="AK152" s="232"/>
      <c r="AL152" s="212"/>
      <c r="AM152" s="212"/>
      <c r="AN152" s="212"/>
      <c r="AO152" s="212"/>
      <c r="AP152" s="69">
        <f t="shared" si="84"/>
        <v>0</v>
      </c>
      <c r="AQ152" s="7"/>
      <c r="AR152" s="69"/>
      <c r="AS152" s="69"/>
      <c r="AT152" s="69"/>
      <c r="AU152" s="69">
        <f t="shared" si="87"/>
        <v>0</v>
      </c>
      <c r="AV152" s="69">
        <f t="shared" si="88"/>
        <v>3137</v>
      </c>
      <c r="AW152" s="14"/>
    </row>
    <row r="153" ht="20.15" customHeight="1" spans="1:49">
      <c r="A153" s="228">
        <f>SUBTOTAL(2,$Y$4:Y153)</f>
        <v>150</v>
      </c>
      <c r="B153" s="14" t="s">
        <v>366</v>
      </c>
      <c r="C153" s="14" t="s">
        <v>214</v>
      </c>
      <c r="D153" s="115">
        <v>2081</v>
      </c>
      <c r="E153" s="229">
        <v>19.54</v>
      </c>
      <c r="F153" s="95">
        <v>2081</v>
      </c>
      <c r="G153" s="95" t="s">
        <v>367</v>
      </c>
      <c r="H153" s="96">
        <f t="shared" si="94"/>
        <v>19.54</v>
      </c>
      <c r="I153" s="67">
        <v>2500</v>
      </c>
      <c r="J153" s="238">
        <v>200</v>
      </c>
      <c r="K153" s="69">
        <f t="shared" si="66"/>
        <v>2700</v>
      </c>
      <c r="L153" s="69">
        <v>160</v>
      </c>
      <c r="M153" s="69">
        <v>9109</v>
      </c>
      <c r="N153" s="69">
        <v>9130</v>
      </c>
      <c r="O153" s="69">
        <f t="shared" si="91"/>
        <v>21</v>
      </c>
      <c r="P153" s="231">
        <f t="shared" si="93"/>
        <v>0</v>
      </c>
      <c r="Q153" s="69">
        <f t="shared" si="95"/>
        <v>21</v>
      </c>
      <c r="R153" s="69">
        <v>0.8</v>
      </c>
      <c r="S153" s="220">
        <f t="shared" si="79"/>
        <v>15</v>
      </c>
      <c r="T153" s="220">
        <f t="shared" si="85"/>
        <v>17</v>
      </c>
      <c r="U153" s="222">
        <f t="shared" si="92"/>
        <v>109</v>
      </c>
      <c r="V153" s="220">
        <f t="shared" si="89"/>
        <v>164</v>
      </c>
      <c r="W153" s="69">
        <f t="shared" si="90"/>
        <v>4</v>
      </c>
      <c r="X153" s="220">
        <f t="shared" si="86"/>
        <v>34</v>
      </c>
      <c r="Y153" s="69">
        <f t="shared" si="80"/>
        <v>3090</v>
      </c>
      <c r="Z153" s="69"/>
      <c r="AA153" s="69"/>
      <c r="AB153" s="69"/>
      <c r="AC153" s="69"/>
      <c r="AD153" s="69">
        <f t="shared" si="81"/>
        <v>0</v>
      </c>
      <c r="AE153" s="69"/>
      <c r="AF153" s="69"/>
      <c r="AG153" s="69"/>
      <c r="AH153" s="69">
        <f t="shared" si="82"/>
        <v>0</v>
      </c>
      <c r="AI153" s="69">
        <f t="shared" si="83"/>
        <v>3090</v>
      </c>
      <c r="AJ153" s="69"/>
      <c r="AK153" s="232"/>
      <c r="AL153" s="212"/>
      <c r="AM153" s="212"/>
      <c r="AN153" s="212"/>
      <c r="AO153" s="212"/>
      <c r="AP153" s="69">
        <f t="shared" si="84"/>
        <v>0</v>
      </c>
      <c r="AQ153" s="7"/>
      <c r="AR153" s="69"/>
      <c r="AS153" s="69"/>
      <c r="AT153" s="69"/>
      <c r="AU153" s="69">
        <f t="shared" si="87"/>
        <v>0</v>
      </c>
      <c r="AV153" s="69">
        <f t="shared" si="88"/>
        <v>3090</v>
      </c>
      <c r="AW153" s="14"/>
    </row>
    <row r="154" ht="20.15" customHeight="1" spans="1:49">
      <c r="A154" s="228">
        <f>SUBTOTAL(2,$Y$4:Y154)</f>
        <v>151</v>
      </c>
      <c r="B154" s="14" t="s">
        <v>368</v>
      </c>
      <c r="C154" s="115" t="s">
        <v>214</v>
      </c>
      <c r="D154" s="115">
        <v>2082</v>
      </c>
      <c r="E154" s="229">
        <v>19.54</v>
      </c>
      <c r="F154" s="22">
        <v>2082</v>
      </c>
      <c r="G154" s="22" t="s">
        <v>369</v>
      </c>
      <c r="H154" s="14">
        <f t="shared" si="94"/>
        <v>19.54</v>
      </c>
      <c r="I154" s="67">
        <v>2500</v>
      </c>
      <c r="J154" s="230">
        <v>200</v>
      </c>
      <c r="K154" s="69">
        <f t="shared" si="66"/>
        <v>2700</v>
      </c>
      <c r="L154" s="69">
        <v>160</v>
      </c>
      <c r="M154" s="69">
        <v>9659</v>
      </c>
      <c r="N154" s="69">
        <v>9724</v>
      </c>
      <c r="O154" s="69">
        <f t="shared" si="91"/>
        <v>65</v>
      </c>
      <c r="P154" s="231">
        <f t="shared" si="93"/>
        <v>0</v>
      </c>
      <c r="Q154" s="69">
        <f t="shared" si="95"/>
        <v>65</v>
      </c>
      <c r="R154" s="69">
        <v>0.8</v>
      </c>
      <c r="S154" s="220">
        <f t="shared" si="79"/>
        <v>46</v>
      </c>
      <c r="T154" s="220">
        <f t="shared" si="85"/>
        <v>52</v>
      </c>
      <c r="U154" s="222">
        <f t="shared" si="92"/>
        <v>109</v>
      </c>
      <c r="V154" s="220">
        <f t="shared" si="89"/>
        <v>164</v>
      </c>
      <c r="W154" s="69">
        <f t="shared" si="90"/>
        <v>4</v>
      </c>
      <c r="X154" s="220">
        <f t="shared" si="86"/>
        <v>34</v>
      </c>
      <c r="Y154" s="69">
        <f t="shared" si="80"/>
        <v>3156</v>
      </c>
      <c r="Z154" s="69"/>
      <c r="AA154" s="69"/>
      <c r="AB154" s="69"/>
      <c r="AC154" s="69"/>
      <c r="AD154" s="69">
        <f t="shared" si="81"/>
        <v>0</v>
      </c>
      <c r="AE154" s="69"/>
      <c r="AF154" s="69"/>
      <c r="AG154" s="69"/>
      <c r="AH154" s="69">
        <f t="shared" si="82"/>
        <v>0</v>
      </c>
      <c r="AI154" s="69">
        <f t="shared" si="83"/>
        <v>3156</v>
      </c>
      <c r="AJ154" s="69"/>
      <c r="AK154" s="232"/>
      <c r="AL154" s="212"/>
      <c r="AM154" s="212"/>
      <c r="AN154" s="212"/>
      <c r="AO154" s="212"/>
      <c r="AP154" s="69">
        <f t="shared" si="84"/>
        <v>0</v>
      </c>
      <c r="AQ154" s="7"/>
      <c r="AR154" s="69"/>
      <c r="AS154" s="69"/>
      <c r="AT154" s="69"/>
      <c r="AU154" s="69">
        <f t="shared" si="87"/>
        <v>0</v>
      </c>
      <c r="AV154" s="69">
        <f t="shared" si="88"/>
        <v>3156</v>
      </c>
      <c r="AW154" s="14"/>
    </row>
    <row r="155" ht="20.15" customHeight="1" spans="1:49">
      <c r="A155" s="228">
        <f>SUBTOTAL(2,$Y$4:Y155)</f>
        <v>152</v>
      </c>
      <c r="B155" s="14" t="s">
        <v>370</v>
      </c>
      <c r="C155" s="14" t="s">
        <v>214</v>
      </c>
      <c r="D155" s="115">
        <v>2083</v>
      </c>
      <c r="E155" s="229">
        <v>19.54</v>
      </c>
      <c r="F155" s="22">
        <v>2083</v>
      </c>
      <c r="G155" s="22" t="s">
        <v>371</v>
      </c>
      <c r="H155" s="115">
        <f t="shared" ref="H155:H162" si="96">E155</f>
        <v>19.54</v>
      </c>
      <c r="I155" s="67">
        <v>2500</v>
      </c>
      <c r="J155" s="226">
        <v>200</v>
      </c>
      <c r="K155" s="69">
        <f t="shared" si="66"/>
        <v>2700</v>
      </c>
      <c r="L155" s="69">
        <v>160</v>
      </c>
      <c r="M155" s="69">
        <v>9657</v>
      </c>
      <c r="N155" s="69">
        <v>9690</v>
      </c>
      <c r="O155" s="69">
        <f t="shared" si="91"/>
        <v>33</v>
      </c>
      <c r="P155" s="231">
        <f t="shared" si="93"/>
        <v>0</v>
      </c>
      <c r="Q155" s="69">
        <f t="shared" si="95"/>
        <v>33</v>
      </c>
      <c r="R155" s="69">
        <v>0.8</v>
      </c>
      <c r="S155" s="220">
        <f t="shared" si="79"/>
        <v>23</v>
      </c>
      <c r="T155" s="220">
        <f t="shared" si="85"/>
        <v>26</v>
      </c>
      <c r="U155" s="222">
        <f t="shared" si="92"/>
        <v>109</v>
      </c>
      <c r="V155" s="220">
        <f t="shared" si="89"/>
        <v>164</v>
      </c>
      <c r="W155" s="69">
        <f t="shared" si="90"/>
        <v>4</v>
      </c>
      <c r="X155" s="220">
        <f t="shared" si="86"/>
        <v>34</v>
      </c>
      <c r="Y155" s="69">
        <f t="shared" si="80"/>
        <v>3107</v>
      </c>
      <c r="Z155" s="69"/>
      <c r="AA155" s="69"/>
      <c r="AB155" s="69"/>
      <c r="AC155" s="69"/>
      <c r="AD155" s="69">
        <f t="shared" si="81"/>
        <v>0</v>
      </c>
      <c r="AE155" s="69"/>
      <c r="AF155" s="69"/>
      <c r="AG155" s="69"/>
      <c r="AH155" s="69">
        <f t="shared" si="82"/>
        <v>0</v>
      </c>
      <c r="AI155" s="69">
        <f t="shared" si="83"/>
        <v>3107</v>
      </c>
      <c r="AJ155" s="69"/>
      <c r="AK155" s="232"/>
      <c r="AL155" s="212"/>
      <c r="AM155" s="212"/>
      <c r="AN155" s="212"/>
      <c r="AO155" s="212"/>
      <c r="AP155" s="69">
        <f t="shared" si="84"/>
        <v>0</v>
      </c>
      <c r="AQ155" s="7"/>
      <c r="AR155" s="69"/>
      <c r="AS155" s="69"/>
      <c r="AT155" s="69"/>
      <c r="AU155" s="69">
        <f t="shared" si="87"/>
        <v>0</v>
      </c>
      <c r="AV155" s="69">
        <f t="shared" si="88"/>
        <v>3107</v>
      </c>
      <c r="AW155" s="14"/>
    </row>
    <row r="156" ht="20.15" customHeight="1" spans="1:49">
      <c r="A156" s="228">
        <f>SUBTOTAL(2,$Y$4:Y156)</f>
        <v>153</v>
      </c>
      <c r="B156" s="14" t="s">
        <v>372</v>
      </c>
      <c r="C156" s="115" t="s">
        <v>214</v>
      </c>
      <c r="D156" s="115">
        <v>2084</v>
      </c>
      <c r="E156" s="229">
        <v>19.54</v>
      </c>
      <c r="F156" s="22">
        <v>2084</v>
      </c>
      <c r="G156" s="22" t="s">
        <v>373</v>
      </c>
      <c r="H156" s="14">
        <f t="shared" si="96"/>
        <v>19.54</v>
      </c>
      <c r="I156" s="67">
        <v>2500</v>
      </c>
      <c r="J156" s="226">
        <v>200</v>
      </c>
      <c r="K156" s="69">
        <f t="shared" si="66"/>
        <v>2700</v>
      </c>
      <c r="L156" s="69">
        <v>160</v>
      </c>
      <c r="M156" s="69">
        <v>9814</v>
      </c>
      <c r="N156" s="69">
        <v>9874</v>
      </c>
      <c r="O156" s="69">
        <f t="shared" si="91"/>
        <v>60</v>
      </c>
      <c r="P156" s="231">
        <f t="shared" si="93"/>
        <v>0</v>
      </c>
      <c r="Q156" s="69">
        <f t="shared" si="95"/>
        <v>60</v>
      </c>
      <c r="R156" s="69">
        <v>0.8</v>
      </c>
      <c r="S156" s="220">
        <f t="shared" si="79"/>
        <v>42</v>
      </c>
      <c r="T156" s="220">
        <f t="shared" si="85"/>
        <v>48</v>
      </c>
      <c r="U156" s="222">
        <f t="shared" si="92"/>
        <v>109</v>
      </c>
      <c r="V156" s="220">
        <f t="shared" si="89"/>
        <v>164</v>
      </c>
      <c r="W156" s="69">
        <f t="shared" si="90"/>
        <v>4</v>
      </c>
      <c r="X156" s="220">
        <f t="shared" si="86"/>
        <v>34</v>
      </c>
      <c r="Y156" s="69">
        <f t="shared" si="80"/>
        <v>3148</v>
      </c>
      <c r="Z156" s="69"/>
      <c r="AA156" s="69"/>
      <c r="AB156" s="69"/>
      <c r="AC156" s="69"/>
      <c r="AD156" s="69">
        <f t="shared" si="81"/>
        <v>0</v>
      </c>
      <c r="AE156" s="69"/>
      <c r="AF156" s="69"/>
      <c r="AG156" s="69"/>
      <c r="AH156" s="69">
        <f t="shared" si="82"/>
        <v>0</v>
      </c>
      <c r="AI156" s="69">
        <f t="shared" si="83"/>
        <v>3148</v>
      </c>
      <c r="AJ156" s="69"/>
      <c r="AK156" s="232"/>
      <c r="AL156" s="212"/>
      <c r="AM156" s="212"/>
      <c r="AN156" s="212"/>
      <c r="AO156" s="212"/>
      <c r="AP156" s="69">
        <f t="shared" si="84"/>
        <v>0</v>
      </c>
      <c r="AQ156" s="7"/>
      <c r="AR156" s="69"/>
      <c r="AS156" s="69"/>
      <c r="AT156" s="69"/>
      <c r="AU156" s="69">
        <f t="shared" si="87"/>
        <v>0</v>
      </c>
      <c r="AV156" s="69">
        <f t="shared" si="88"/>
        <v>3148</v>
      </c>
      <c r="AW156" s="14"/>
    </row>
    <row r="157" ht="20.15" customHeight="1" spans="1:49">
      <c r="A157" s="228">
        <f>SUBTOTAL(2,$Y$4:Y157)</f>
        <v>154</v>
      </c>
      <c r="B157" s="14" t="s">
        <v>374</v>
      </c>
      <c r="C157" s="115" t="s">
        <v>214</v>
      </c>
      <c r="D157" s="115">
        <v>2085</v>
      </c>
      <c r="E157" s="229">
        <v>19.54</v>
      </c>
      <c r="F157" s="22">
        <v>2085</v>
      </c>
      <c r="G157" s="156" t="s">
        <v>250</v>
      </c>
      <c r="H157" s="14">
        <f t="shared" si="96"/>
        <v>19.54</v>
      </c>
      <c r="I157" s="7">
        <v>2500</v>
      </c>
      <c r="J157" s="226">
        <v>200</v>
      </c>
      <c r="K157" s="69">
        <f t="shared" si="66"/>
        <v>2700</v>
      </c>
      <c r="L157" s="69">
        <v>160</v>
      </c>
      <c r="M157" s="69">
        <v>1772</v>
      </c>
      <c r="N157" s="69">
        <v>1837</v>
      </c>
      <c r="O157" s="69">
        <f t="shared" si="91"/>
        <v>65</v>
      </c>
      <c r="P157" s="231">
        <f t="shared" si="93"/>
        <v>0</v>
      </c>
      <c r="Q157" s="69">
        <f t="shared" si="95"/>
        <v>65</v>
      </c>
      <c r="R157" s="69">
        <v>0.8</v>
      </c>
      <c r="S157" s="220">
        <f t="shared" si="79"/>
        <v>46</v>
      </c>
      <c r="T157" s="220">
        <f t="shared" si="85"/>
        <v>52</v>
      </c>
      <c r="U157" s="222">
        <f t="shared" si="92"/>
        <v>109</v>
      </c>
      <c r="V157" s="220">
        <f t="shared" si="89"/>
        <v>164</v>
      </c>
      <c r="W157" s="69">
        <f t="shared" si="90"/>
        <v>4</v>
      </c>
      <c r="X157" s="220">
        <f t="shared" si="86"/>
        <v>34</v>
      </c>
      <c r="Y157" s="69">
        <f t="shared" si="80"/>
        <v>3156</v>
      </c>
      <c r="Z157" s="69"/>
      <c r="AA157" s="69"/>
      <c r="AB157" s="69"/>
      <c r="AC157" s="69"/>
      <c r="AD157" s="69">
        <f t="shared" si="81"/>
        <v>0</v>
      </c>
      <c r="AE157" s="69"/>
      <c r="AF157" s="69"/>
      <c r="AG157" s="69"/>
      <c r="AH157" s="69">
        <f t="shared" si="82"/>
        <v>0</v>
      </c>
      <c r="AI157" s="69">
        <f t="shared" si="83"/>
        <v>3156</v>
      </c>
      <c r="AJ157" s="69"/>
      <c r="AK157" s="232"/>
      <c r="AL157" s="212"/>
      <c r="AM157" s="212"/>
      <c r="AN157" s="212"/>
      <c r="AO157" s="212"/>
      <c r="AP157" s="69">
        <f t="shared" si="84"/>
        <v>0</v>
      </c>
      <c r="AQ157" s="7"/>
      <c r="AR157" s="69"/>
      <c r="AS157" s="69"/>
      <c r="AT157" s="69"/>
      <c r="AU157" s="69">
        <f t="shared" si="87"/>
        <v>0</v>
      </c>
      <c r="AV157" s="69">
        <f t="shared" si="88"/>
        <v>3156</v>
      </c>
      <c r="AW157" s="14"/>
    </row>
    <row r="158" ht="20.15" customHeight="1" spans="1:49">
      <c r="A158" s="228">
        <f>SUBTOTAL(2,$Y$4:Y158)</f>
        <v>155</v>
      </c>
      <c r="B158" s="14" t="s">
        <v>375</v>
      </c>
      <c r="C158" s="115" t="s">
        <v>214</v>
      </c>
      <c r="D158" s="115">
        <v>2086</v>
      </c>
      <c r="E158" s="229">
        <v>19.54</v>
      </c>
      <c r="F158" s="22">
        <v>2086</v>
      </c>
      <c r="G158" s="22" t="s">
        <v>376</v>
      </c>
      <c r="H158" s="14">
        <f t="shared" si="96"/>
        <v>19.54</v>
      </c>
      <c r="I158" s="67">
        <v>2500</v>
      </c>
      <c r="J158" s="226">
        <v>200</v>
      </c>
      <c r="K158" s="69">
        <f t="shared" si="66"/>
        <v>2700</v>
      </c>
      <c r="L158" s="69">
        <v>160</v>
      </c>
      <c r="M158" s="69">
        <v>663</v>
      </c>
      <c r="N158" s="69">
        <v>717</v>
      </c>
      <c r="O158" s="69">
        <f t="shared" si="91"/>
        <v>54</v>
      </c>
      <c r="P158" s="231">
        <f t="shared" si="93"/>
        <v>0</v>
      </c>
      <c r="Q158" s="69">
        <f t="shared" si="95"/>
        <v>54</v>
      </c>
      <c r="R158" s="69">
        <v>0.8</v>
      </c>
      <c r="S158" s="220">
        <f t="shared" si="79"/>
        <v>38</v>
      </c>
      <c r="T158" s="220">
        <f t="shared" si="85"/>
        <v>43</v>
      </c>
      <c r="U158" s="222">
        <f t="shared" si="92"/>
        <v>109</v>
      </c>
      <c r="V158" s="220">
        <f t="shared" si="89"/>
        <v>164</v>
      </c>
      <c r="W158" s="69">
        <f t="shared" si="90"/>
        <v>4</v>
      </c>
      <c r="X158" s="220">
        <f t="shared" si="86"/>
        <v>34</v>
      </c>
      <c r="Y158" s="69">
        <f t="shared" si="80"/>
        <v>3139</v>
      </c>
      <c r="Z158" s="69"/>
      <c r="AA158" s="69"/>
      <c r="AB158" s="69"/>
      <c r="AC158" s="69"/>
      <c r="AD158" s="69">
        <f t="shared" si="81"/>
        <v>0</v>
      </c>
      <c r="AE158" s="69"/>
      <c r="AF158" s="69"/>
      <c r="AG158" s="69"/>
      <c r="AH158" s="69">
        <f t="shared" si="82"/>
        <v>0</v>
      </c>
      <c r="AI158" s="69">
        <f t="shared" si="83"/>
        <v>3139</v>
      </c>
      <c r="AJ158" s="69"/>
      <c r="AK158" s="232"/>
      <c r="AL158" s="212"/>
      <c r="AM158" s="212"/>
      <c r="AN158" s="212"/>
      <c r="AO158" s="212"/>
      <c r="AP158" s="69">
        <f t="shared" si="84"/>
        <v>0</v>
      </c>
      <c r="AQ158" s="7"/>
      <c r="AR158" s="69"/>
      <c r="AS158" s="69"/>
      <c r="AT158" s="69"/>
      <c r="AU158" s="69">
        <f t="shared" si="87"/>
        <v>0</v>
      </c>
      <c r="AV158" s="69">
        <f t="shared" si="88"/>
        <v>3139</v>
      </c>
      <c r="AW158" s="14"/>
    </row>
    <row r="159" ht="20.15" customHeight="1" spans="1:49">
      <c r="A159" s="228">
        <f>SUBTOTAL(2,$Y$4:Y159)</f>
        <v>156</v>
      </c>
      <c r="B159" s="14" t="s">
        <v>377</v>
      </c>
      <c r="C159" s="14" t="s">
        <v>214</v>
      </c>
      <c r="D159" s="115">
        <v>2087</v>
      </c>
      <c r="E159" s="229">
        <v>19.54</v>
      </c>
      <c r="F159" s="22">
        <v>2087</v>
      </c>
      <c r="G159" s="22" t="s">
        <v>378</v>
      </c>
      <c r="H159" s="14">
        <f t="shared" si="96"/>
        <v>19.54</v>
      </c>
      <c r="I159" s="67">
        <v>2500</v>
      </c>
      <c r="J159" s="226">
        <v>200</v>
      </c>
      <c r="K159" s="69">
        <f t="shared" si="66"/>
        <v>2700</v>
      </c>
      <c r="L159" s="69">
        <v>160</v>
      </c>
      <c r="M159" s="69">
        <v>9518</v>
      </c>
      <c r="N159" s="69">
        <v>9561</v>
      </c>
      <c r="O159" s="69">
        <f t="shared" si="91"/>
        <v>43</v>
      </c>
      <c r="P159" s="231">
        <f t="shared" si="93"/>
        <v>0</v>
      </c>
      <c r="Q159" s="69">
        <f t="shared" si="95"/>
        <v>43</v>
      </c>
      <c r="R159" s="69">
        <v>0.8</v>
      </c>
      <c r="S159" s="220">
        <f t="shared" si="79"/>
        <v>30</v>
      </c>
      <c r="T159" s="220">
        <f t="shared" si="85"/>
        <v>34</v>
      </c>
      <c r="U159" s="222">
        <f t="shared" si="92"/>
        <v>109</v>
      </c>
      <c r="V159" s="220">
        <f t="shared" si="89"/>
        <v>164</v>
      </c>
      <c r="W159" s="69">
        <f t="shared" si="90"/>
        <v>4</v>
      </c>
      <c r="X159" s="220">
        <f t="shared" si="86"/>
        <v>34</v>
      </c>
      <c r="Y159" s="69">
        <f t="shared" si="80"/>
        <v>3122</v>
      </c>
      <c r="Z159" s="69"/>
      <c r="AA159" s="69"/>
      <c r="AB159" s="69"/>
      <c r="AC159" s="69"/>
      <c r="AD159" s="69">
        <f t="shared" si="81"/>
        <v>0</v>
      </c>
      <c r="AE159" s="69"/>
      <c r="AF159" s="69"/>
      <c r="AG159" s="69"/>
      <c r="AH159" s="69">
        <f t="shared" si="82"/>
        <v>0</v>
      </c>
      <c r="AI159" s="69">
        <f t="shared" si="83"/>
        <v>3122</v>
      </c>
      <c r="AJ159" s="69"/>
      <c r="AK159" s="232"/>
      <c r="AL159" s="212"/>
      <c r="AM159" s="212"/>
      <c r="AN159" s="212"/>
      <c r="AO159" s="212"/>
      <c r="AP159" s="69">
        <f t="shared" si="84"/>
        <v>0</v>
      </c>
      <c r="AQ159" s="7"/>
      <c r="AR159" s="69"/>
      <c r="AS159" s="69"/>
      <c r="AT159" s="69"/>
      <c r="AU159" s="69">
        <f t="shared" si="87"/>
        <v>0</v>
      </c>
      <c r="AV159" s="69">
        <f t="shared" si="88"/>
        <v>3122</v>
      </c>
      <c r="AW159" s="14"/>
    </row>
    <row r="160" ht="20.15" customHeight="1" spans="1:49">
      <c r="A160" s="228">
        <f>SUBTOTAL(2,$Y$4:Y160)</f>
        <v>157</v>
      </c>
      <c r="B160" s="14" t="s">
        <v>379</v>
      </c>
      <c r="C160" s="115" t="s">
        <v>214</v>
      </c>
      <c r="D160" s="115">
        <v>2088</v>
      </c>
      <c r="E160" s="229">
        <v>23.84</v>
      </c>
      <c r="F160" s="22">
        <v>2088</v>
      </c>
      <c r="G160" s="22" t="s">
        <v>380</v>
      </c>
      <c r="H160" s="14">
        <f t="shared" si="96"/>
        <v>23.84</v>
      </c>
      <c r="I160" s="67">
        <v>2500</v>
      </c>
      <c r="J160" s="226">
        <v>200</v>
      </c>
      <c r="K160" s="69">
        <f t="shared" si="66"/>
        <v>2700</v>
      </c>
      <c r="L160" s="69">
        <v>160</v>
      </c>
      <c r="M160" s="69">
        <v>297</v>
      </c>
      <c r="N160" s="69">
        <v>359</v>
      </c>
      <c r="O160" s="69">
        <f t="shared" si="91"/>
        <v>62</v>
      </c>
      <c r="P160" s="231">
        <f t="shared" si="93"/>
        <v>0</v>
      </c>
      <c r="Q160" s="69">
        <f t="shared" si="95"/>
        <v>62</v>
      </c>
      <c r="R160" s="69">
        <v>0.8</v>
      </c>
      <c r="S160" s="220">
        <f t="shared" si="79"/>
        <v>43</v>
      </c>
      <c r="T160" s="220">
        <f t="shared" si="85"/>
        <v>50</v>
      </c>
      <c r="U160" s="222">
        <f t="shared" si="92"/>
        <v>134</v>
      </c>
      <c r="V160" s="220">
        <f t="shared" si="89"/>
        <v>201</v>
      </c>
      <c r="W160" s="69">
        <f t="shared" si="90"/>
        <v>5</v>
      </c>
      <c r="X160" s="220">
        <f t="shared" si="86"/>
        <v>43</v>
      </c>
      <c r="Y160" s="69">
        <f t="shared" si="80"/>
        <v>3197</v>
      </c>
      <c r="Z160" s="69"/>
      <c r="AA160" s="69"/>
      <c r="AB160" s="69"/>
      <c r="AC160" s="69"/>
      <c r="AD160" s="69">
        <f t="shared" si="81"/>
        <v>0</v>
      </c>
      <c r="AE160" s="69"/>
      <c r="AF160" s="69"/>
      <c r="AG160" s="69"/>
      <c r="AH160" s="69">
        <f t="shared" si="82"/>
        <v>0</v>
      </c>
      <c r="AI160" s="69">
        <f t="shared" si="83"/>
        <v>3197</v>
      </c>
      <c r="AJ160" s="69"/>
      <c r="AK160" s="232"/>
      <c r="AL160" s="212"/>
      <c r="AM160" s="212"/>
      <c r="AN160" s="212"/>
      <c r="AO160" s="212"/>
      <c r="AP160" s="69">
        <f t="shared" si="84"/>
        <v>0</v>
      </c>
      <c r="AQ160" s="7"/>
      <c r="AR160" s="69"/>
      <c r="AS160" s="69"/>
      <c r="AT160" s="69"/>
      <c r="AU160" s="69">
        <f t="shared" si="87"/>
        <v>0</v>
      </c>
      <c r="AV160" s="69">
        <f t="shared" si="88"/>
        <v>3197</v>
      </c>
      <c r="AW160" s="14"/>
    </row>
    <row r="161" ht="20.15" customHeight="1" spans="1:49">
      <c r="A161" s="228">
        <f>SUBTOTAL(2,$Y$4:Y161)</f>
        <v>158</v>
      </c>
      <c r="B161" s="14" t="s">
        <v>381</v>
      </c>
      <c r="C161" s="14" t="s">
        <v>214</v>
      </c>
      <c r="D161" s="115">
        <v>2089</v>
      </c>
      <c r="E161" s="229">
        <v>18.6</v>
      </c>
      <c r="F161" s="95">
        <v>2089</v>
      </c>
      <c r="G161" s="95" t="s">
        <v>382</v>
      </c>
      <c r="H161" s="14">
        <f t="shared" si="96"/>
        <v>18.6</v>
      </c>
      <c r="I161" s="7">
        <v>2500</v>
      </c>
      <c r="J161" s="238">
        <v>200</v>
      </c>
      <c r="K161" s="69">
        <f t="shared" ref="K161:K168" si="97">I161+J161</f>
        <v>2700</v>
      </c>
      <c r="L161" s="69">
        <v>160</v>
      </c>
      <c r="M161" s="69">
        <v>2345</v>
      </c>
      <c r="N161" s="69">
        <v>2355</v>
      </c>
      <c r="O161" s="69">
        <f t="shared" si="91"/>
        <v>10</v>
      </c>
      <c r="P161" s="231">
        <f t="shared" si="93"/>
        <v>0</v>
      </c>
      <c r="Q161" s="69">
        <f t="shared" si="95"/>
        <v>10</v>
      </c>
      <c r="R161" s="69">
        <v>0.8</v>
      </c>
      <c r="S161" s="220">
        <f t="shared" si="79"/>
        <v>7</v>
      </c>
      <c r="T161" s="220">
        <f t="shared" si="85"/>
        <v>8</v>
      </c>
      <c r="U161" s="222">
        <f t="shared" si="92"/>
        <v>104</v>
      </c>
      <c r="V161" s="220">
        <f t="shared" si="89"/>
        <v>156</v>
      </c>
      <c r="W161" s="69">
        <f t="shared" si="90"/>
        <v>4</v>
      </c>
      <c r="X161" s="220">
        <f t="shared" si="86"/>
        <v>34</v>
      </c>
      <c r="Y161" s="69">
        <f t="shared" si="80"/>
        <v>3065</v>
      </c>
      <c r="Z161" s="69"/>
      <c r="AA161" s="69"/>
      <c r="AB161" s="69"/>
      <c r="AC161" s="69"/>
      <c r="AD161" s="69">
        <f t="shared" si="81"/>
        <v>0</v>
      </c>
      <c r="AE161" s="69"/>
      <c r="AF161" s="69"/>
      <c r="AG161" s="69"/>
      <c r="AH161" s="69">
        <f t="shared" si="82"/>
        <v>0</v>
      </c>
      <c r="AI161" s="69">
        <f t="shared" si="83"/>
        <v>3065</v>
      </c>
      <c r="AJ161" s="69"/>
      <c r="AK161" s="232"/>
      <c r="AL161" s="212"/>
      <c r="AM161" s="212"/>
      <c r="AN161" s="212"/>
      <c r="AO161" s="212"/>
      <c r="AP161" s="69">
        <f t="shared" si="84"/>
        <v>0</v>
      </c>
      <c r="AQ161" s="7"/>
      <c r="AR161" s="69"/>
      <c r="AS161" s="69"/>
      <c r="AT161" s="69"/>
      <c r="AU161" s="69">
        <f t="shared" si="87"/>
        <v>0</v>
      </c>
      <c r="AV161" s="69">
        <f t="shared" si="88"/>
        <v>3065</v>
      </c>
      <c r="AW161" s="14"/>
    </row>
    <row r="162" ht="20.15" customHeight="1" spans="1:49">
      <c r="A162" s="228">
        <f>SUBTOTAL(2,$Y$4:Y162)</f>
        <v>159</v>
      </c>
      <c r="B162" s="14" t="s">
        <v>383</v>
      </c>
      <c r="C162" s="14" t="s">
        <v>214</v>
      </c>
      <c r="D162" s="115">
        <v>2090</v>
      </c>
      <c r="E162" s="229">
        <v>6</v>
      </c>
      <c r="F162" s="13">
        <v>2090</v>
      </c>
      <c r="G162" s="13" t="s">
        <v>95</v>
      </c>
      <c r="H162" s="14">
        <f t="shared" si="96"/>
        <v>6</v>
      </c>
      <c r="I162" s="69">
        <v>1100</v>
      </c>
      <c r="J162" s="230"/>
      <c r="K162" s="69">
        <f t="shared" si="97"/>
        <v>1100</v>
      </c>
      <c r="L162" s="69">
        <v>160</v>
      </c>
      <c r="M162" s="69">
        <v>329</v>
      </c>
      <c r="N162" s="69">
        <v>340</v>
      </c>
      <c r="O162" s="69">
        <f t="shared" si="91"/>
        <v>11</v>
      </c>
      <c r="P162" s="231">
        <f>ROUND(H161*0,0)</f>
        <v>0</v>
      </c>
      <c r="Q162" s="69">
        <f t="shared" si="95"/>
        <v>11</v>
      </c>
      <c r="R162" s="69">
        <v>0.8</v>
      </c>
      <c r="S162" s="69">
        <f t="shared" si="79"/>
        <v>8</v>
      </c>
      <c r="T162" s="69">
        <f t="shared" si="85"/>
        <v>9</v>
      </c>
      <c r="U162" s="222">
        <f>ROUND(H162*0,0)</f>
        <v>0</v>
      </c>
      <c r="V162" s="69">
        <f t="shared" si="89"/>
        <v>0</v>
      </c>
      <c r="W162" s="69">
        <f t="shared" si="90"/>
        <v>1</v>
      </c>
      <c r="X162" s="69">
        <f t="shared" si="86"/>
        <v>9</v>
      </c>
      <c r="Y162" s="69">
        <f t="shared" si="80"/>
        <v>1286</v>
      </c>
      <c r="Z162" s="69"/>
      <c r="AA162" s="69"/>
      <c r="AB162" s="69"/>
      <c r="AC162" s="69"/>
      <c r="AD162" s="69">
        <f t="shared" si="81"/>
        <v>0</v>
      </c>
      <c r="AE162" s="69"/>
      <c r="AF162" s="69"/>
      <c r="AG162" s="69"/>
      <c r="AH162" s="69">
        <f t="shared" si="82"/>
        <v>0</v>
      </c>
      <c r="AI162" s="69">
        <f t="shared" si="83"/>
        <v>1286</v>
      </c>
      <c r="AJ162" s="69"/>
      <c r="AK162" s="232"/>
      <c r="AL162" s="212"/>
      <c r="AM162" s="212"/>
      <c r="AN162" s="212"/>
      <c r="AO162" s="212"/>
      <c r="AP162" s="69">
        <f t="shared" si="84"/>
        <v>0</v>
      </c>
      <c r="AQ162" s="7"/>
      <c r="AR162" s="69"/>
      <c r="AS162" s="69"/>
      <c r="AT162" s="69"/>
      <c r="AU162" s="69">
        <f t="shared" si="87"/>
        <v>0</v>
      </c>
      <c r="AV162" s="69">
        <f t="shared" si="88"/>
        <v>1286</v>
      </c>
      <c r="AW162" s="14"/>
    </row>
    <row r="163" ht="20.15" customHeight="1" spans="1:49">
      <c r="A163" s="228">
        <f>SUBTOTAL(2,$Y$4:Y163)</f>
        <v>160</v>
      </c>
      <c r="B163" s="14" t="s">
        <v>384</v>
      </c>
      <c r="C163" s="14" t="s">
        <v>385</v>
      </c>
      <c r="D163" s="14" t="s">
        <v>386</v>
      </c>
      <c r="E163" s="14"/>
      <c r="F163" s="13" t="s">
        <v>386</v>
      </c>
      <c r="G163" s="13" t="s">
        <v>272</v>
      </c>
      <c r="H163" s="14"/>
      <c r="I163" s="69">
        <v>800</v>
      </c>
      <c r="J163" s="230"/>
      <c r="K163" s="69">
        <f t="shared" si="97"/>
        <v>800</v>
      </c>
      <c r="L163" s="237">
        <v>0</v>
      </c>
      <c r="M163" s="69"/>
      <c r="N163" s="69"/>
      <c r="O163" s="69"/>
      <c r="P163" s="222"/>
      <c r="Q163" s="69"/>
      <c r="R163" s="69"/>
      <c r="S163" s="220">
        <f t="shared" si="79"/>
        <v>0</v>
      </c>
      <c r="T163" s="220"/>
      <c r="U163" s="222"/>
      <c r="V163" s="220"/>
      <c r="W163" s="69"/>
      <c r="X163" s="220"/>
      <c r="Y163" s="69">
        <f t="shared" si="80"/>
        <v>800</v>
      </c>
      <c r="Z163" s="69"/>
      <c r="AA163" s="69"/>
      <c r="AB163" s="69"/>
      <c r="AC163" s="69"/>
      <c r="AD163" s="69">
        <f t="shared" si="81"/>
        <v>0</v>
      </c>
      <c r="AE163" s="69"/>
      <c r="AF163" s="69"/>
      <c r="AG163" s="69"/>
      <c r="AH163" s="69">
        <f t="shared" si="82"/>
        <v>0</v>
      </c>
      <c r="AI163" s="69">
        <f t="shared" si="83"/>
        <v>800</v>
      </c>
      <c r="AJ163" s="69"/>
      <c r="AK163" s="232"/>
      <c r="AL163" s="212"/>
      <c r="AM163" s="212"/>
      <c r="AN163" s="212"/>
      <c r="AO163" s="212"/>
      <c r="AP163" s="69">
        <f t="shared" si="84"/>
        <v>0</v>
      </c>
      <c r="AQ163" s="7"/>
      <c r="AR163" s="69"/>
      <c r="AS163" s="69"/>
      <c r="AT163" s="69"/>
      <c r="AU163" s="69">
        <f t="shared" si="87"/>
        <v>0</v>
      </c>
      <c r="AV163" s="69">
        <f t="shared" si="88"/>
        <v>800</v>
      </c>
      <c r="AW163" s="14"/>
    </row>
    <row r="164" ht="20.15" customHeight="1" spans="1:49">
      <c r="A164" s="228">
        <f>SUBTOTAL(2,$Y$4:Y164)</f>
        <v>161</v>
      </c>
      <c r="B164" s="14" t="s">
        <v>387</v>
      </c>
      <c r="C164" s="14" t="s">
        <v>385</v>
      </c>
      <c r="D164" s="14" t="s">
        <v>388</v>
      </c>
      <c r="E164" s="14"/>
      <c r="F164" s="22" t="s">
        <v>388</v>
      </c>
      <c r="G164" s="160" t="s">
        <v>219</v>
      </c>
      <c r="H164" s="14"/>
      <c r="I164" s="7">
        <v>1000</v>
      </c>
      <c r="J164" s="226"/>
      <c r="K164" s="69">
        <f t="shared" si="97"/>
        <v>1000</v>
      </c>
      <c r="L164" s="237">
        <v>0</v>
      </c>
      <c r="M164" s="69"/>
      <c r="N164" s="69"/>
      <c r="O164" s="69"/>
      <c r="P164" s="222"/>
      <c r="Q164" s="69"/>
      <c r="R164" s="69"/>
      <c r="S164" s="220">
        <f t="shared" si="79"/>
        <v>0</v>
      </c>
      <c r="T164" s="220"/>
      <c r="U164" s="222"/>
      <c r="V164" s="220"/>
      <c r="W164" s="69"/>
      <c r="X164" s="220"/>
      <c r="Y164" s="69">
        <f t="shared" si="80"/>
        <v>1000</v>
      </c>
      <c r="Z164" s="69"/>
      <c r="AA164" s="69"/>
      <c r="AB164" s="69"/>
      <c r="AC164" s="69"/>
      <c r="AD164" s="69">
        <f t="shared" si="81"/>
        <v>0</v>
      </c>
      <c r="AE164" s="69"/>
      <c r="AF164" s="69"/>
      <c r="AG164" s="69"/>
      <c r="AH164" s="69">
        <f t="shared" si="82"/>
        <v>0</v>
      </c>
      <c r="AI164" s="69">
        <f t="shared" si="83"/>
        <v>1000</v>
      </c>
      <c r="AJ164" s="69"/>
      <c r="AK164" s="232"/>
      <c r="AL164" s="212"/>
      <c r="AM164" s="212"/>
      <c r="AN164" s="212"/>
      <c r="AO164" s="212"/>
      <c r="AP164" s="69">
        <f t="shared" si="84"/>
        <v>0</v>
      </c>
      <c r="AQ164" s="7"/>
      <c r="AR164" s="69"/>
      <c r="AS164" s="69"/>
      <c r="AT164" s="69"/>
      <c r="AU164" s="69">
        <f t="shared" si="87"/>
        <v>0</v>
      </c>
      <c r="AV164" s="69">
        <f t="shared" si="88"/>
        <v>1000</v>
      </c>
      <c r="AW164" s="14"/>
    </row>
    <row r="165" ht="20.15" customHeight="1" spans="1:49">
      <c r="A165" s="228">
        <f>SUBTOTAL(2,$Y$4:Y165)</f>
        <v>162</v>
      </c>
      <c r="B165" s="14" t="s">
        <v>389</v>
      </c>
      <c r="C165" s="14" t="s">
        <v>385</v>
      </c>
      <c r="D165" s="14"/>
      <c r="E165" s="14"/>
      <c r="F165" s="161" t="s">
        <v>390</v>
      </c>
      <c r="G165" s="161"/>
      <c r="H165" s="269"/>
      <c r="I165" s="270"/>
      <c r="J165" s="271"/>
      <c r="K165" s="69">
        <f t="shared" si="97"/>
        <v>0</v>
      </c>
      <c r="L165" s="237">
        <v>0</v>
      </c>
      <c r="M165" s="69"/>
      <c r="N165" s="69"/>
      <c r="O165" s="69"/>
      <c r="P165" s="222"/>
      <c r="Q165" s="69"/>
      <c r="R165" s="69"/>
      <c r="S165" s="220">
        <f t="shared" si="79"/>
        <v>0</v>
      </c>
      <c r="T165" s="220"/>
      <c r="U165" s="222"/>
      <c r="V165" s="220"/>
      <c r="W165" s="69"/>
      <c r="X165" s="220"/>
      <c r="Y165" s="69">
        <f t="shared" si="80"/>
        <v>0</v>
      </c>
      <c r="Z165" s="69"/>
      <c r="AA165" s="69"/>
      <c r="AB165" s="69"/>
      <c r="AC165" s="69"/>
      <c r="AD165" s="69">
        <f t="shared" si="81"/>
        <v>0</v>
      </c>
      <c r="AE165" s="69"/>
      <c r="AF165" s="69"/>
      <c r="AG165" s="69"/>
      <c r="AH165" s="69">
        <f t="shared" si="82"/>
        <v>0</v>
      </c>
      <c r="AI165" s="69">
        <f t="shared" si="83"/>
        <v>0</v>
      </c>
      <c r="AJ165" s="69"/>
      <c r="AK165" s="232"/>
      <c r="AL165" s="212"/>
      <c r="AM165" s="212"/>
      <c r="AN165" s="212"/>
      <c r="AO165" s="212"/>
      <c r="AP165" s="69">
        <f t="shared" si="84"/>
        <v>0</v>
      </c>
      <c r="AQ165" s="7"/>
      <c r="AR165" s="69"/>
      <c r="AS165" s="69"/>
      <c r="AT165" s="69"/>
      <c r="AU165" s="69">
        <f t="shared" si="87"/>
        <v>0</v>
      </c>
      <c r="AV165" s="69">
        <f t="shared" si="88"/>
        <v>0</v>
      </c>
      <c r="AW165" s="14"/>
    </row>
    <row r="166" ht="20.15" customHeight="1" spans="1:49">
      <c r="A166" s="228">
        <f>SUBTOTAL(2,$Y$4:Y166)</f>
        <v>163</v>
      </c>
      <c r="B166" s="14" t="s">
        <v>391</v>
      </c>
      <c r="C166" s="14" t="s">
        <v>385</v>
      </c>
      <c r="D166" s="14"/>
      <c r="E166" s="14"/>
      <c r="F166" s="162" t="s">
        <v>392</v>
      </c>
      <c r="G166" s="85"/>
      <c r="H166" s="98"/>
      <c r="I166" s="236"/>
      <c r="J166" s="263"/>
      <c r="K166" s="69">
        <f t="shared" si="97"/>
        <v>0</v>
      </c>
      <c r="L166" s="69"/>
      <c r="M166" s="69"/>
      <c r="N166" s="69"/>
      <c r="O166" s="69"/>
      <c r="P166" s="222"/>
      <c r="Q166" s="69"/>
      <c r="R166" s="69"/>
      <c r="S166" s="220">
        <f t="shared" si="79"/>
        <v>0</v>
      </c>
      <c r="T166" s="220"/>
      <c r="U166" s="222"/>
      <c r="V166" s="220"/>
      <c r="W166" s="69"/>
      <c r="X166" s="220"/>
      <c r="Y166" s="69">
        <f t="shared" si="80"/>
        <v>0</v>
      </c>
      <c r="Z166" s="69"/>
      <c r="AA166" s="69"/>
      <c r="AB166" s="69"/>
      <c r="AC166" s="69"/>
      <c r="AD166" s="69">
        <f t="shared" si="81"/>
        <v>0</v>
      </c>
      <c r="AE166" s="69"/>
      <c r="AF166" s="69"/>
      <c r="AG166" s="69"/>
      <c r="AH166" s="69">
        <f t="shared" si="82"/>
        <v>0</v>
      </c>
      <c r="AI166" s="69">
        <f t="shared" si="83"/>
        <v>0</v>
      </c>
      <c r="AJ166" s="69"/>
      <c r="AK166" s="232"/>
      <c r="AL166" s="212"/>
      <c r="AM166" s="212"/>
      <c r="AN166" s="212"/>
      <c r="AO166" s="212"/>
      <c r="AP166" s="69">
        <f t="shared" si="84"/>
        <v>0</v>
      </c>
      <c r="AQ166" s="7"/>
      <c r="AR166" s="69"/>
      <c r="AS166" s="69"/>
      <c r="AT166" s="69"/>
      <c r="AU166" s="69">
        <f t="shared" si="87"/>
        <v>0</v>
      </c>
      <c r="AV166" s="69">
        <f t="shared" si="88"/>
        <v>0</v>
      </c>
      <c r="AW166" s="14"/>
    </row>
    <row r="167" ht="20.15" customHeight="1" spans="1:49">
      <c r="A167" s="228">
        <f>SUBTOTAL(2,$Y$4:Y167)</f>
        <v>164</v>
      </c>
      <c r="B167" s="14" t="s">
        <v>393</v>
      </c>
      <c r="C167" s="14" t="s">
        <v>385</v>
      </c>
      <c r="D167" s="14"/>
      <c r="E167" s="14"/>
      <c r="F167" s="162" t="s">
        <v>394</v>
      </c>
      <c r="G167" s="85"/>
      <c r="H167" s="98"/>
      <c r="I167" s="236"/>
      <c r="J167" s="263"/>
      <c r="K167" s="69">
        <f t="shared" si="97"/>
        <v>0</v>
      </c>
      <c r="L167" s="237">
        <v>0</v>
      </c>
      <c r="M167" s="69"/>
      <c r="N167" s="69"/>
      <c r="O167" s="69"/>
      <c r="P167" s="222"/>
      <c r="Q167" s="69"/>
      <c r="R167" s="69"/>
      <c r="S167" s="220">
        <f t="shared" si="79"/>
        <v>0</v>
      </c>
      <c r="T167" s="220"/>
      <c r="U167" s="222"/>
      <c r="V167" s="220"/>
      <c r="W167" s="69"/>
      <c r="X167" s="220"/>
      <c r="Y167" s="69">
        <f t="shared" si="80"/>
        <v>0</v>
      </c>
      <c r="Z167" s="69"/>
      <c r="AA167" s="69"/>
      <c r="AB167" s="69"/>
      <c r="AC167" s="69"/>
      <c r="AD167" s="69">
        <f t="shared" si="81"/>
        <v>0</v>
      </c>
      <c r="AE167" s="69"/>
      <c r="AF167" s="69"/>
      <c r="AG167" s="69"/>
      <c r="AH167" s="69">
        <f t="shared" si="82"/>
        <v>0</v>
      </c>
      <c r="AI167" s="69">
        <f t="shared" si="83"/>
        <v>0</v>
      </c>
      <c r="AJ167" s="69"/>
      <c r="AK167" s="232"/>
      <c r="AL167" s="212"/>
      <c r="AM167" s="212"/>
      <c r="AN167" s="212"/>
      <c r="AO167" s="212"/>
      <c r="AP167" s="69">
        <f t="shared" si="84"/>
        <v>0</v>
      </c>
      <c r="AQ167" s="7"/>
      <c r="AR167" s="69"/>
      <c r="AS167" s="69"/>
      <c r="AT167" s="69"/>
      <c r="AU167" s="69">
        <f t="shared" si="87"/>
        <v>0</v>
      </c>
      <c r="AV167" s="69">
        <f t="shared" si="88"/>
        <v>0</v>
      </c>
      <c r="AW167" s="14"/>
    </row>
    <row r="168" ht="20.15" customHeight="1" spans="1:49">
      <c r="A168" s="228">
        <f>SUBTOTAL(2,$Y$4:Y168)</f>
        <v>165</v>
      </c>
      <c r="B168" s="14" t="s">
        <v>395</v>
      </c>
      <c r="C168" s="14" t="s">
        <v>385</v>
      </c>
      <c r="D168" s="14" t="s">
        <v>396</v>
      </c>
      <c r="E168" s="14"/>
      <c r="F168" s="163" t="s">
        <v>396</v>
      </c>
      <c r="G168" s="118" t="s">
        <v>212</v>
      </c>
      <c r="H168" s="240"/>
      <c r="I168" s="241">
        <v>800</v>
      </c>
      <c r="J168" s="242"/>
      <c r="K168" s="69">
        <f t="shared" si="97"/>
        <v>800</v>
      </c>
      <c r="L168" s="237">
        <v>0</v>
      </c>
      <c r="M168" s="69"/>
      <c r="N168" s="69"/>
      <c r="O168" s="69"/>
      <c r="P168" s="222"/>
      <c r="Q168" s="69"/>
      <c r="R168" s="69"/>
      <c r="S168" s="220">
        <f t="shared" si="79"/>
        <v>0</v>
      </c>
      <c r="T168" s="220"/>
      <c r="U168" s="222"/>
      <c r="V168" s="220"/>
      <c r="W168" s="69"/>
      <c r="X168" s="220"/>
      <c r="Y168" s="69">
        <f t="shared" si="80"/>
        <v>800</v>
      </c>
      <c r="Z168" s="69"/>
      <c r="AA168" s="69"/>
      <c r="AB168" s="69"/>
      <c r="AC168" s="69"/>
      <c r="AD168" s="69"/>
      <c r="AE168" s="69"/>
      <c r="AF168" s="69"/>
      <c r="AG168" s="69"/>
      <c r="AH168" s="69">
        <f t="shared" si="82"/>
        <v>0</v>
      </c>
      <c r="AI168" s="69">
        <f t="shared" si="83"/>
        <v>800</v>
      </c>
      <c r="AJ168" s="69"/>
      <c r="AK168" s="232"/>
      <c r="AL168" s="212"/>
      <c r="AM168" s="212"/>
      <c r="AN168" s="212"/>
      <c r="AO168" s="212"/>
      <c r="AP168" s="69">
        <f t="shared" si="84"/>
        <v>0</v>
      </c>
      <c r="AQ168" s="7"/>
      <c r="AR168" s="69"/>
      <c r="AS168" s="69"/>
      <c r="AT168" s="69"/>
      <c r="AU168" s="69">
        <f t="shared" si="87"/>
        <v>0</v>
      </c>
      <c r="AV168" s="69">
        <f t="shared" si="88"/>
        <v>800</v>
      </c>
      <c r="AW168" s="14"/>
    </row>
    <row r="169" ht="20.15" customHeight="1" spans="1:49">
      <c r="A169" s="228">
        <f>SUBTOTAL(2,$Y$4:Y169)</f>
        <v>166</v>
      </c>
      <c r="B169" s="14" t="s">
        <v>397</v>
      </c>
      <c r="C169" s="14" t="s">
        <v>385</v>
      </c>
      <c r="D169" s="14"/>
      <c r="E169" s="14"/>
      <c r="F169" s="118" t="s">
        <v>398</v>
      </c>
      <c r="G169" s="118" t="s">
        <v>399</v>
      </c>
      <c r="H169" s="240"/>
      <c r="I169" s="241">
        <v>1300</v>
      </c>
      <c r="J169" s="242"/>
      <c r="K169" s="69">
        <f t="shared" ref="K169:K206" si="98">I169+J169</f>
        <v>1300</v>
      </c>
      <c r="L169" s="237">
        <v>0</v>
      </c>
      <c r="M169" s="69"/>
      <c r="N169" s="69"/>
      <c r="O169" s="69"/>
      <c r="P169" s="222"/>
      <c r="Q169" s="69"/>
      <c r="R169" s="69"/>
      <c r="S169" s="220">
        <f t="shared" si="79"/>
        <v>0</v>
      </c>
      <c r="T169" s="220"/>
      <c r="U169" s="222"/>
      <c r="V169" s="220"/>
      <c r="W169" s="69"/>
      <c r="X169" s="220"/>
      <c r="Y169" s="69">
        <f t="shared" si="80"/>
        <v>1300</v>
      </c>
      <c r="Z169" s="69"/>
      <c r="AA169" s="69"/>
      <c r="AB169" s="69"/>
      <c r="AC169" s="69"/>
      <c r="AD169" s="69">
        <f t="shared" ref="AD169:AD224" si="99">AA169+AB169+AC169</f>
        <v>0</v>
      </c>
      <c r="AE169" s="69"/>
      <c r="AF169" s="69"/>
      <c r="AG169" s="69"/>
      <c r="AH169" s="69">
        <f t="shared" si="82"/>
        <v>0</v>
      </c>
      <c r="AI169" s="69">
        <f t="shared" si="83"/>
        <v>1300</v>
      </c>
      <c r="AJ169" s="69"/>
      <c r="AK169" s="232"/>
      <c r="AL169" s="212"/>
      <c r="AM169" s="212"/>
      <c r="AN169" s="212"/>
      <c r="AO169" s="212"/>
      <c r="AP169" s="69">
        <f t="shared" si="84"/>
        <v>0</v>
      </c>
      <c r="AQ169" s="7"/>
      <c r="AR169" s="69"/>
      <c r="AS169" s="69"/>
      <c r="AT169" s="69"/>
      <c r="AU169" s="69">
        <f t="shared" si="87"/>
        <v>0</v>
      </c>
      <c r="AV169" s="69">
        <f t="shared" si="88"/>
        <v>1300</v>
      </c>
      <c r="AW169" s="14"/>
    </row>
    <row r="170" ht="21" customHeight="1" spans="1:49">
      <c r="A170" s="228">
        <f>SUBTOTAL(2,$Y$4:Y170)</f>
        <v>167</v>
      </c>
      <c r="B170" s="14" t="s">
        <v>400</v>
      </c>
      <c r="C170" s="14" t="s">
        <v>401</v>
      </c>
      <c r="D170" s="115">
        <v>3001</v>
      </c>
      <c r="E170" s="229">
        <v>48.08</v>
      </c>
      <c r="F170" s="22">
        <v>3001</v>
      </c>
      <c r="G170" s="22" t="s">
        <v>402</v>
      </c>
      <c r="H170" s="14">
        <f t="shared" ref="H170:H176" si="100">E170</f>
        <v>48.08</v>
      </c>
      <c r="I170" s="7">
        <v>5000</v>
      </c>
      <c r="J170" s="238">
        <v>500</v>
      </c>
      <c r="K170" s="67">
        <f t="shared" si="98"/>
        <v>5500</v>
      </c>
      <c r="L170" s="69">
        <v>160</v>
      </c>
      <c r="M170" s="69">
        <v>4998</v>
      </c>
      <c r="N170" s="69">
        <v>5108</v>
      </c>
      <c r="O170" s="69">
        <f t="shared" ref="O170:O222" si="101">N170-M170</f>
        <v>110</v>
      </c>
      <c r="P170" s="231">
        <f>ROUND(H170*0,0)</f>
        <v>0</v>
      </c>
      <c r="Q170" s="69">
        <f>O170+P170</f>
        <v>110</v>
      </c>
      <c r="R170" s="69">
        <v>0.8</v>
      </c>
      <c r="S170" s="220">
        <f t="shared" si="79"/>
        <v>77</v>
      </c>
      <c r="T170" s="220">
        <f>ROUND(Q170*R170,0)</f>
        <v>88</v>
      </c>
      <c r="U170" s="222">
        <f>ROUND(H170*5.6,0)</f>
        <v>269</v>
      </c>
      <c r="V170" s="220">
        <f>ROUND(U170*1.5,0)</f>
        <v>404</v>
      </c>
      <c r="W170" s="69">
        <f t="shared" ref="W170:W193" si="102">ROUND(H170*0.2,0)</f>
        <v>10</v>
      </c>
      <c r="X170" s="220">
        <f>ROUND(W170*8.5,0)</f>
        <v>85</v>
      </c>
      <c r="Y170" s="69">
        <f t="shared" si="80"/>
        <v>6314</v>
      </c>
      <c r="Z170" s="69"/>
      <c r="AA170" s="69"/>
      <c r="AB170" s="69"/>
      <c r="AC170" s="69"/>
      <c r="AD170" s="69">
        <f t="shared" si="99"/>
        <v>0</v>
      </c>
      <c r="AE170" s="69"/>
      <c r="AF170" s="69"/>
      <c r="AG170" s="69"/>
      <c r="AH170" s="69">
        <f t="shared" ref="AH170:AH201" si="103">AE170+AF170-AG170</f>
        <v>0</v>
      </c>
      <c r="AI170" s="69">
        <f t="shared" ref="AI170:AI201" si="104">Y170+Z170+AJ170-AD170-AG170</f>
        <v>6314</v>
      </c>
      <c r="AJ170" s="69"/>
      <c r="AK170" s="232"/>
      <c r="AL170" s="212"/>
      <c r="AM170" s="212"/>
      <c r="AN170" s="212"/>
      <c r="AO170" s="212"/>
      <c r="AP170" s="69">
        <f t="shared" si="84"/>
        <v>0</v>
      </c>
      <c r="AQ170" s="7"/>
      <c r="AR170" s="69"/>
      <c r="AS170" s="69"/>
      <c r="AT170" s="69"/>
      <c r="AU170" s="69">
        <f t="shared" si="87"/>
        <v>0</v>
      </c>
      <c r="AV170" s="69">
        <f t="shared" si="88"/>
        <v>6314</v>
      </c>
      <c r="AW170" s="14"/>
    </row>
    <row r="171" ht="18" customHeight="1" spans="1:49">
      <c r="A171" s="228">
        <f>SUBTOTAL(2,$Y$4:Y171)</f>
        <v>168</v>
      </c>
      <c r="B171" s="14" t="s">
        <v>403</v>
      </c>
      <c r="C171" s="14" t="s">
        <v>401</v>
      </c>
      <c r="D171" s="115">
        <v>3002</v>
      </c>
      <c r="E171" s="229">
        <v>32.5</v>
      </c>
      <c r="F171" s="13">
        <v>3002</v>
      </c>
      <c r="G171" s="13" t="s">
        <v>404</v>
      </c>
      <c r="H171" s="14">
        <f t="shared" si="100"/>
        <v>32.5</v>
      </c>
      <c r="I171" s="69">
        <v>5000</v>
      </c>
      <c r="J171" s="230">
        <v>500</v>
      </c>
      <c r="K171" s="69">
        <f t="shared" si="98"/>
        <v>5500</v>
      </c>
      <c r="L171" s="69">
        <v>160</v>
      </c>
      <c r="M171" s="69">
        <v>1200</v>
      </c>
      <c r="N171" s="69">
        <v>1303</v>
      </c>
      <c r="O171" s="69">
        <f t="shared" si="101"/>
        <v>103</v>
      </c>
      <c r="P171" s="231">
        <f t="shared" ref="P171:P194" si="105">ROUND(H171*0,0)</f>
        <v>0</v>
      </c>
      <c r="Q171" s="69">
        <f t="shared" ref="Q171:Q222" si="106">O171+P171</f>
        <v>103</v>
      </c>
      <c r="R171" s="69">
        <v>0.8</v>
      </c>
      <c r="S171" s="220">
        <f t="shared" si="79"/>
        <v>72</v>
      </c>
      <c r="T171" s="220">
        <f t="shared" ref="T171:T222" si="107">ROUND(Q171*R171,0)</f>
        <v>82</v>
      </c>
      <c r="U171" s="222">
        <f t="shared" ref="U171:U194" si="108">ROUND(H171*5.6,0)</f>
        <v>182</v>
      </c>
      <c r="V171" s="220">
        <f t="shared" ref="V171:V222" si="109">ROUND(U171*1.5,0)</f>
        <v>273</v>
      </c>
      <c r="W171" s="69">
        <f t="shared" si="102"/>
        <v>7</v>
      </c>
      <c r="X171" s="220">
        <f t="shared" ref="X171:X202" si="110">ROUND(W171*8.5,0)</f>
        <v>60</v>
      </c>
      <c r="Y171" s="69">
        <f t="shared" si="80"/>
        <v>6147</v>
      </c>
      <c r="Z171" s="69"/>
      <c r="AA171" s="69"/>
      <c r="AB171" s="69"/>
      <c r="AC171" s="69"/>
      <c r="AD171" s="69">
        <f t="shared" si="99"/>
        <v>0</v>
      </c>
      <c r="AE171" s="69"/>
      <c r="AF171" s="69"/>
      <c r="AG171" s="69"/>
      <c r="AH171" s="69">
        <f t="shared" si="103"/>
        <v>0</v>
      </c>
      <c r="AI171" s="69">
        <f t="shared" si="104"/>
        <v>6147</v>
      </c>
      <c r="AJ171" s="69"/>
      <c r="AK171" s="232"/>
      <c r="AL171" s="212"/>
      <c r="AM171" s="212"/>
      <c r="AN171" s="212"/>
      <c r="AO171" s="212"/>
      <c r="AP171" s="69">
        <f t="shared" si="84"/>
        <v>0</v>
      </c>
      <c r="AQ171" s="7"/>
      <c r="AR171" s="69"/>
      <c r="AS171" s="69"/>
      <c r="AT171" s="69"/>
      <c r="AU171" s="69">
        <f t="shared" si="87"/>
        <v>0</v>
      </c>
      <c r="AV171" s="69">
        <f t="shared" si="88"/>
        <v>6147</v>
      </c>
      <c r="AW171" s="14"/>
    </row>
    <row r="172" ht="20.15" customHeight="1" spans="1:49">
      <c r="A172" s="228">
        <f>SUBTOTAL(2,$Y$4:Y172)</f>
        <v>169</v>
      </c>
      <c r="B172" s="14" t="s">
        <v>405</v>
      </c>
      <c r="C172" s="14" t="s">
        <v>401</v>
      </c>
      <c r="D172" s="115">
        <v>3003</v>
      </c>
      <c r="E172" s="229">
        <v>31.76</v>
      </c>
      <c r="F172" s="13">
        <v>3003</v>
      </c>
      <c r="G172" s="13" t="s">
        <v>406</v>
      </c>
      <c r="H172" s="14">
        <f t="shared" si="100"/>
        <v>31.76</v>
      </c>
      <c r="I172" s="69">
        <v>5000</v>
      </c>
      <c r="J172" s="230">
        <v>500</v>
      </c>
      <c r="K172" s="69">
        <f t="shared" si="98"/>
        <v>5500</v>
      </c>
      <c r="L172" s="69">
        <v>160</v>
      </c>
      <c r="M172" s="69">
        <v>1851</v>
      </c>
      <c r="N172" s="69">
        <v>1876</v>
      </c>
      <c r="O172" s="69">
        <f t="shared" si="101"/>
        <v>25</v>
      </c>
      <c r="P172" s="231">
        <f t="shared" si="105"/>
        <v>0</v>
      </c>
      <c r="Q172" s="69">
        <f t="shared" si="106"/>
        <v>25</v>
      </c>
      <c r="R172" s="69">
        <v>0.8</v>
      </c>
      <c r="S172" s="220">
        <f t="shared" si="79"/>
        <v>18</v>
      </c>
      <c r="T172" s="220">
        <f t="shared" si="107"/>
        <v>20</v>
      </c>
      <c r="U172" s="222">
        <f t="shared" si="108"/>
        <v>178</v>
      </c>
      <c r="V172" s="220">
        <f t="shared" si="109"/>
        <v>267</v>
      </c>
      <c r="W172" s="69">
        <f t="shared" si="102"/>
        <v>6</v>
      </c>
      <c r="X172" s="220">
        <f t="shared" si="110"/>
        <v>51</v>
      </c>
      <c r="Y172" s="69">
        <f t="shared" si="80"/>
        <v>6016</v>
      </c>
      <c r="Z172" s="69"/>
      <c r="AA172" s="69"/>
      <c r="AB172" s="69"/>
      <c r="AC172" s="69"/>
      <c r="AD172" s="69">
        <f t="shared" si="99"/>
        <v>0</v>
      </c>
      <c r="AE172" s="69"/>
      <c r="AF172" s="69"/>
      <c r="AG172" s="69"/>
      <c r="AH172" s="69">
        <f t="shared" si="103"/>
        <v>0</v>
      </c>
      <c r="AI172" s="69">
        <f t="shared" si="104"/>
        <v>6016</v>
      </c>
      <c r="AJ172" s="69"/>
      <c r="AK172" s="232"/>
      <c r="AL172" s="212"/>
      <c r="AM172" s="212"/>
      <c r="AN172" s="212"/>
      <c r="AO172" s="212"/>
      <c r="AP172" s="69">
        <f t="shared" si="84"/>
        <v>0</v>
      </c>
      <c r="AQ172" s="7"/>
      <c r="AR172" s="69"/>
      <c r="AS172" s="69"/>
      <c r="AT172" s="69"/>
      <c r="AU172" s="69">
        <f t="shared" si="87"/>
        <v>0</v>
      </c>
      <c r="AV172" s="69">
        <f t="shared" si="88"/>
        <v>6016</v>
      </c>
      <c r="AW172" s="14"/>
    </row>
    <row r="173" s="3" customFormat="1" ht="20.15" customHeight="1" spans="1:49">
      <c r="A173" s="228">
        <f>SUBTOTAL(2,$Y$4:Y173)</f>
        <v>170</v>
      </c>
      <c r="B173" s="14" t="s">
        <v>407</v>
      </c>
      <c r="C173" s="14" t="s">
        <v>401</v>
      </c>
      <c r="D173" s="115">
        <v>3004</v>
      </c>
      <c r="E173" s="229">
        <v>31.76</v>
      </c>
      <c r="F173" s="95">
        <v>3004</v>
      </c>
      <c r="G173" s="95" t="s">
        <v>408</v>
      </c>
      <c r="H173" s="14">
        <f t="shared" si="100"/>
        <v>31.76</v>
      </c>
      <c r="I173" s="7">
        <v>5000</v>
      </c>
      <c r="J173" s="238">
        <v>500</v>
      </c>
      <c r="K173" s="69">
        <f t="shared" si="98"/>
        <v>5500</v>
      </c>
      <c r="L173" s="69">
        <v>160</v>
      </c>
      <c r="M173" s="69">
        <v>6393</v>
      </c>
      <c r="N173" s="69">
        <v>6420</v>
      </c>
      <c r="O173" s="69">
        <f t="shared" si="101"/>
        <v>27</v>
      </c>
      <c r="P173" s="231">
        <f t="shared" si="105"/>
        <v>0</v>
      </c>
      <c r="Q173" s="69">
        <f t="shared" si="106"/>
        <v>27</v>
      </c>
      <c r="R173" s="69">
        <v>0.8</v>
      </c>
      <c r="S173" s="220">
        <f t="shared" si="79"/>
        <v>19</v>
      </c>
      <c r="T173" s="220">
        <f t="shared" si="107"/>
        <v>22</v>
      </c>
      <c r="U173" s="222">
        <f t="shared" si="108"/>
        <v>178</v>
      </c>
      <c r="V173" s="220">
        <f t="shared" si="109"/>
        <v>267</v>
      </c>
      <c r="W173" s="69">
        <f t="shared" si="102"/>
        <v>6</v>
      </c>
      <c r="X173" s="220">
        <f t="shared" si="110"/>
        <v>51</v>
      </c>
      <c r="Y173" s="69">
        <f t="shared" si="80"/>
        <v>6019</v>
      </c>
      <c r="Z173" s="69"/>
      <c r="AA173" s="69"/>
      <c r="AB173" s="69"/>
      <c r="AC173" s="69"/>
      <c r="AD173" s="69">
        <f t="shared" si="99"/>
        <v>0</v>
      </c>
      <c r="AE173" s="69"/>
      <c r="AF173" s="69"/>
      <c r="AG173" s="69"/>
      <c r="AH173" s="69">
        <f t="shared" si="103"/>
        <v>0</v>
      </c>
      <c r="AI173" s="69">
        <f t="shared" si="104"/>
        <v>6019</v>
      </c>
      <c r="AJ173" s="69"/>
      <c r="AK173" s="232"/>
      <c r="AL173" s="212"/>
      <c r="AM173" s="212"/>
      <c r="AN173" s="212"/>
      <c r="AO173" s="212"/>
      <c r="AP173" s="69">
        <f t="shared" si="84"/>
        <v>0</v>
      </c>
      <c r="AQ173" s="7"/>
      <c r="AR173" s="69"/>
      <c r="AS173" s="69"/>
      <c r="AT173" s="69"/>
      <c r="AU173" s="69">
        <f t="shared" si="87"/>
        <v>0</v>
      </c>
      <c r="AV173" s="69">
        <f t="shared" si="88"/>
        <v>6019</v>
      </c>
      <c r="AW173" s="14"/>
    </row>
    <row r="174" ht="20.15" customHeight="1" spans="1:49">
      <c r="A174" s="228">
        <f>SUBTOTAL(2,$Y$4:Y174)</f>
        <v>171</v>
      </c>
      <c r="B174" s="14" t="s">
        <v>409</v>
      </c>
      <c r="C174" s="14" t="s">
        <v>401</v>
      </c>
      <c r="D174" s="115">
        <v>3005</v>
      </c>
      <c r="E174" s="229">
        <v>32.42</v>
      </c>
      <c r="F174" s="95">
        <v>3005</v>
      </c>
      <c r="G174" s="95" t="s">
        <v>410</v>
      </c>
      <c r="H174" s="246">
        <f t="shared" si="100"/>
        <v>32.42</v>
      </c>
      <c r="I174" s="7">
        <v>5000</v>
      </c>
      <c r="J174" s="238">
        <v>500</v>
      </c>
      <c r="K174" s="69">
        <f t="shared" si="98"/>
        <v>5500</v>
      </c>
      <c r="L174" s="69">
        <v>160</v>
      </c>
      <c r="M174" s="69">
        <v>6230</v>
      </c>
      <c r="N174" s="69">
        <v>6262</v>
      </c>
      <c r="O174" s="69">
        <f t="shared" si="101"/>
        <v>32</v>
      </c>
      <c r="P174" s="231">
        <f t="shared" si="105"/>
        <v>0</v>
      </c>
      <c r="Q174" s="69">
        <f t="shared" si="106"/>
        <v>32</v>
      </c>
      <c r="R174" s="69">
        <v>0.8</v>
      </c>
      <c r="S174" s="220">
        <f t="shared" si="79"/>
        <v>22</v>
      </c>
      <c r="T174" s="220">
        <f t="shared" si="107"/>
        <v>26</v>
      </c>
      <c r="U174" s="222">
        <f t="shared" si="108"/>
        <v>182</v>
      </c>
      <c r="V174" s="220">
        <f t="shared" si="109"/>
        <v>273</v>
      </c>
      <c r="W174" s="69">
        <f t="shared" si="102"/>
        <v>6</v>
      </c>
      <c r="X174" s="220">
        <f t="shared" si="110"/>
        <v>51</v>
      </c>
      <c r="Y174" s="69">
        <f t="shared" si="80"/>
        <v>6032</v>
      </c>
      <c r="Z174" s="69"/>
      <c r="AA174" s="69"/>
      <c r="AB174" s="69"/>
      <c r="AC174" s="69"/>
      <c r="AD174" s="69">
        <f t="shared" si="99"/>
        <v>0</v>
      </c>
      <c r="AE174" s="69"/>
      <c r="AF174" s="69"/>
      <c r="AG174" s="69"/>
      <c r="AH174" s="69">
        <f t="shared" si="103"/>
        <v>0</v>
      </c>
      <c r="AI174" s="69">
        <f t="shared" si="104"/>
        <v>6032</v>
      </c>
      <c r="AJ174" s="69"/>
      <c r="AK174" s="232"/>
      <c r="AL174" s="212"/>
      <c r="AM174" s="212"/>
      <c r="AN174" s="212"/>
      <c r="AO174" s="212"/>
      <c r="AP174" s="69">
        <f t="shared" si="84"/>
        <v>0</v>
      </c>
      <c r="AQ174" s="249"/>
      <c r="AR174" s="69"/>
      <c r="AS174" s="69"/>
      <c r="AT174" s="69"/>
      <c r="AU174" s="69">
        <f t="shared" si="87"/>
        <v>0</v>
      </c>
      <c r="AV174" s="69">
        <f t="shared" si="88"/>
        <v>6032</v>
      </c>
      <c r="AW174" s="14"/>
    </row>
    <row r="175" s="3" customFormat="1" ht="20.15" customHeight="1" spans="1:49">
      <c r="A175" s="228">
        <f>SUBTOTAL(2,$Y$4:Y175)</f>
        <v>172</v>
      </c>
      <c r="B175" s="14" t="s">
        <v>411</v>
      </c>
      <c r="C175" s="14" t="s">
        <v>401</v>
      </c>
      <c r="D175" s="115">
        <v>3006</v>
      </c>
      <c r="E175" s="229">
        <v>32.42</v>
      </c>
      <c r="F175" s="22">
        <v>3006</v>
      </c>
      <c r="G175" s="22" t="s">
        <v>243</v>
      </c>
      <c r="H175" s="14">
        <f t="shared" si="100"/>
        <v>32.42</v>
      </c>
      <c r="I175" s="7">
        <v>5000</v>
      </c>
      <c r="J175" s="226">
        <v>500</v>
      </c>
      <c r="K175" s="69">
        <f t="shared" si="98"/>
        <v>5500</v>
      </c>
      <c r="L175" s="69">
        <v>160</v>
      </c>
      <c r="M175" s="69">
        <v>5413</v>
      </c>
      <c r="N175" s="69">
        <v>5607</v>
      </c>
      <c r="O175" s="69">
        <f t="shared" si="101"/>
        <v>194</v>
      </c>
      <c r="P175" s="231">
        <f t="shared" si="105"/>
        <v>0</v>
      </c>
      <c r="Q175" s="69">
        <f t="shared" si="106"/>
        <v>194</v>
      </c>
      <c r="R175" s="69">
        <v>0.8</v>
      </c>
      <c r="S175" s="220">
        <f t="shared" si="79"/>
        <v>136</v>
      </c>
      <c r="T175" s="220">
        <f t="shared" si="107"/>
        <v>155</v>
      </c>
      <c r="U175" s="222">
        <f t="shared" si="108"/>
        <v>182</v>
      </c>
      <c r="V175" s="220">
        <f t="shared" si="109"/>
        <v>273</v>
      </c>
      <c r="W175" s="69">
        <f t="shared" si="102"/>
        <v>6</v>
      </c>
      <c r="X175" s="220">
        <f t="shared" si="110"/>
        <v>51</v>
      </c>
      <c r="Y175" s="69">
        <f t="shared" si="80"/>
        <v>6275</v>
      </c>
      <c r="Z175" s="69"/>
      <c r="AA175" s="69"/>
      <c r="AB175" s="69"/>
      <c r="AC175" s="69"/>
      <c r="AD175" s="69">
        <f t="shared" si="99"/>
        <v>0</v>
      </c>
      <c r="AE175" s="69"/>
      <c r="AF175" s="69"/>
      <c r="AG175" s="69"/>
      <c r="AH175" s="69">
        <f t="shared" si="103"/>
        <v>0</v>
      </c>
      <c r="AI175" s="69">
        <f t="shared" si="104"/>
        <v>6275</v>
      </c>
      <c r="AJ175" s="69"/>
      <c r="AK175" s="232"/>
      <c r="AL175" s="212"/>
      <c r="AM175" s="212"/>
      <c r="AN175" s="212"/>
      <c r="AO175" s="212"/>
      <c r="AP175" s="69">
        <f t="shared" si="84"/>
        <v>0</v>
      </c>
      <c r="AQ175" s="7"/>
      <c r="AR175" s="69"/>
      <c r="AS175" s="69"/>
      <c r="AT175" s="69"/>
      <c r="AU175" s="69">
        <f t="shared" si="87"/>
        <v>0</v>
      </c>
      <c r="AV175" s="69">
        <f t="shared" si="88"/>
        <v>6275</v>
      </c>
      <c r="AW175" s="14"/>
    </row>
    <row r="176" ht="20.15" customHeight="1" spans="1:49">
      <c r="A176" s="228">
        <f>SUBTOTAL(2,$Y$4:Y176)</f>
        <v>173</v>
      </c>
      <c r="B176" s="14" t="s">
        <v>412</v>
      </c>
      <c r="C176" s="14" t="s">
        <v>401</v>
      </c>
      <c r="D176" s="115">
        <v>3007</v>
      </c>
      <c r="E176" s="229">
        <v>32.42</v>
      </c>
      <c r="F176" s="95">
        <v>3007</v>
      </c>
      <c r="G176" s="156" t="s">
        <v>413</v>
      </c>
      <c r="H176" s="96">
        <f t="shared" si="100"/>
        <v>32.42</v>
      </c>
      <c r="I176" s="7">
        <v>5000</v>
      </c>
      <c r="J176" s="7">
        <v>500</v>
      </c>
      <c r="K176" s="69">
        <f t="shared" si="98"/>
        <v>5500</v>
      </c>
      <c r="L176" s="69">
        <v>160</v>
      </c>
      <c r="M176" s="69">
        <v>91117</v>
      </c>
      <c r="N176" s="69">
        <v>91200</v>
      </c>
      <c r="O176" s="69">
        <f t="shared" si="101"/>
        <v>83</v>
      </c>
      <c r="P176" s="231">
        <f t="shared" si="105"/>
        <v>0</v>
      </c>
      <c r="Q176" s="69">
        <f t="shared" si="106"/>
        <v>83</v>
      </c>
      <c r="R176" s="69">
        <v>0.8</v>
      </c>
      <c r="S176" s="220">
        <f t="shared" si="79"/>
        <v>58</v>
      </c>
      <c r="T176" s="220">
        <f t="shared" si="107"/>
        <v>66</v>
      </c>
      <c r="U176" s="222">
        <f t="shared" si="108"/>
        <v>182</v>
      </c>
      <c r="V176" s="220">
        <f t="shared" si="109"/>
        <v>273</v>
      </c>
      <c r="W176" s="69">
        <f t="shared" si="102"/>
        <v>6</v>
      </c>
      <c r="X176" s="220">
        <f t="shared" si="110"/>
        <v>51</v>
      </c>
      <c r="Y176" s="69">
        <f t="shared" si="80"/>
        <v>6108</v>
      </c>
      <c r="Z176" s="69"/>
      <c r="AA176" s="69"/>
      <c r="AB176" s="69"/>
      <c r="AC176" s="69"/>
      <c r="AD176" s="69">
        <f t="shared" si="99"/>
        <v>0</v>
      </c>
      <c r="AE176" s="69"/>
      <c r="AF176" s="69"/>
      <c r="AG176" s="69"/>
      <c r="AH176" s="69">
        <f t="shared" si="103"/>
        <v>0</v>
      </c>
      <c r="AI176" s="69">
        <f t="shared" si="104"/>
        <v>6108</v>
      </c>
      <c r="AJ176" s="69"/>
      <c r="AK176" s="232"/>
      <c r="AL176" s="212"/>
      <c r="AM176" s="212"/>
      <c r="AN176" s="212"/>
      <c r="AO176" s="212"/>
      <c r="AP176" s="69">
        <f t="shared" si="84"/>
        <v>0</v>
      </c>
      <c r="AQ176" s="7"/>
      <c r="AR176" s="69"/>
      <c r="AS176" s="67"/>
      <c r="AT176" s="67"/>
      <c r="AU176" s="69">
        <f t="shared" si="87"/>
        <v>0</v>
      </c>
      <c r="AV176" s="69">
        <f t="shared" si="88"/>
        <v>6108</v>
      </c>
      <c r="AW176" s="14"/>
    </row>
    <row r="177" ht="20.15" customHeight="1" spans="1:49">
      <c r="A177" s="228">
        <f>SUBTOTAL(2,$Y$4:Y177)</f>
        <v>174</v>
      </c>
      <c r="B177" s="14" t="s">
        <v>414</v>
      </c>
      <c r="C177" s="14" t="s">
        <v>401</v>
      </c>
      <c r="D177" s="115">
        <v>3008</v>
      </c>
      <c r="E177" s="229">
        <v>32.42</v>
      </c>
      <c r="F177" s="13">
        <v>3008</v>
      </c>
      <c r="G177" s="13" t="s">
        <v>415</v>
      </c>
      <c r="H177" s="14">
        <f t="shared" ref="H177:H194" si="111">E177</f>
        <v>32.42</v>
      </c>
      <c r="I177" s="69">
        <v>5000</v>
      </c>
      <c r="J177" s="230">
        <v>500</v>
      </c>
      <c r="K177" s="69">
        <f t="shared" si="98"/>
        <v>5500</v>
      </c>
      <c r="L177" s="69">
        <v>160</v>
      </c>
      <c r="M177" s="69">
        <v>1502</v>
      </c>
      <c r="N177" s="69">
        <v>1540</v>
      </c>
      <c r="O177" s="69">
        <f t="shared" si="101"/>
        <v>38</v>
      </c>
      <c r="P177" s="231">
        <f t="shared" si="105"/>
        <v>0</v>
      </c>
      <c r="Q177" s="69">
        <f t="shared" si="106"/>
        <v>38</v>
      </c>
      <c r="R177" s="69">
        <v>0.8</v>
      </c>
      <c r="S177" s="220">
        <f t="shared" si="79"/>
        <v>27</v>
      </c>
      <c r="T177" s="220">
        <f t="shared" si="107"/>
        <v>30</v>
      </c>
      <c r="U177" s="222">
        <f t="shared" si="108"/>
        <v>182</v>
      </c>
      <c r="V177" s="220">
        <f t="shared" si="109"/>
        <v>273</v>
      </c>
      <c r="W177" s="69">
        <f t="shared" si="102"/>
        <v>6</v>
      </c>
      <c r="X177" s="220">
        <f t="shared" si="110"/>
        <v>51</v>
      </c>
      <c r="Y177" s="69">
        <f t="shared" si="80"/>
        <v>6041</v>
      </c>
      <c r="Z177" s="69"/>
      <c r="AA177" s="69"/>
      <c r="AB177" s="69"/>
      <c r="AC177" s="69"/>
      <c r="AD177" s="69">
        <f t="shared" si="99"/>
        <v>0</v>
      </c>
      <c r="AE177" s="69"/>
      <c r="AF177" s="69"/>
      <c r="AG177" s="69"/>
      <c r="AH177" s="69">
        <f t="shared" si="103"/>
        <v>0</v>
      </c>
      <c r="AI177" s="69">
        <f t="shared" si="104"/>
        <v>6041</v>
      </c>
      <c r="AJ177" s="69"/>
      <c r="AK177" s="232"/>
      <c r="AL177" s="212"/>
      <c r="AM177" s="212"/>
      <c r="AN177" s="212"/>
      <c r="AO177" s="212"/>
      <c r="AP177" s="69">
        <f t="shared" si="84"/>
        <v>0</v>
      </c>
      <c r="AQ177" s="7"/>
      <c r="AR177" s="69"/>
      <c r="AS177" s="69"/>
      <c r="AT177" s="69"/>
      <c r="AU177" s="69">
        <f t="shared" si="87"/>
        <v>0</v>
      </c>
      <c r="AV177" s="69">
        <f t="shared" si="88"/>
        <v>6041</v>
      </c>
      <c r="AW177" s="14"/>
    </row>
    <row r="178" ht="20.15" customHeight="1" spans="1:49">
      <c r="A178" s="228">
        <f>SUBTOTAL(2,$Y$4:Y178)</f>
        <v>175</v>
      </c>
      <c r="B178" s="14" t="s">
        <v>416</v>
      </c>
      <c r="C178" s="14" t="s">
        <v>401</v>
      </c>
      <c r="D178" s="115">
        <v>3009</v>
      </c>
      <c r="E178" s="229">
        <v>32.425</v>
      </c>
      <c r="F178" s="13">
        <v>3009</v>
      </c>
      <c r="G178" s="13" t="s">
        <v>417</v>
      </c>
      <c r="H178" s="14">
        <f t="shared" si="111"/>
        <v>32.425</v>
      </c>
      <c r="I178" s="69">
        <v>5000</v>
      </c>
      <c r="J178" s="230">
        <v>500</v>
      </c>
      <c r="K178" s="69">
        <f t="shared" si="98"/>
        <v>5500</v>
      </c>
      <c r="L178" s="69">
        <v>160</v>
      </c>
      <c r="M178" s="69">
        <v>6128</v>
      </c>
      <c r="N178" s="69">
        <v>6152</v>
      </c>
      <c r="O178" s="69">
        <f t="shared" si="101"/>
        <v>24</v>
      </c>
      <c r="P178" s="231">
        <f t="shared" si="105"/>
        <v>0</v>
      </c>
      <c r="Q178" s="69">
        <f t="shared" si="106"/>
        <v>24</v>
      </c>
      <c r="R178" s="69">
        <v>0.8</v>
      </c>
      <c r="S178" s="220">
        <f t="shared" si="79"/>
        <v>17</v>
      </c>
      <c r="T178" s="220">
        <f t="shared" si="107"/>
        <v>19</v>
      </c>
      <c r="U178" s="222">
        <f t="shared" si="108"/>
        <v>182</v>
      </c>
      <c r="V178" s="220">
        <f t="shared" si="109"/>
        <v>273</v>
      </c>
      <c r="W178" s="69">
        <f t="shared" si="102"/>
        <v>6</v>
      </c>
      <c r="X178" s="220">
        <f t="shared" si="110"/>
        <v>51</v>
      </c>
      <c r="Y178" s="69">
        <f t="shared" si="80"/>
        <v>6020</v>
      </c>
      <c r="Z178" s="69"/>
      <c r="AA178" s="69"/>
      <c r="AB178" s="69"/>
      <c r="AC178" s="69"/>
      <c r="AD178" s="69">
        <f t="shared" si="99"/>
        <v>0</v>
      </c>
      <c r="AE178" s="69"/>
      <c r="AF178" s="69"/>
      <c r="AG178" s="69"/>
      <c r="AH178" s="69">
        <f t="shared" si="103"/>
        <v>0</v>
      </c>
      <c r="AI178" s="69">
        <f t="shared" si="104"/>
        <v>6020</v>
      </c>
      <c r="AJ178" s="69"/>
      <c r="AK178" s="232"/>
      <c r="AL178" s="212"/>
      <c r="AM178" s="212"/>
      <c r="AN178" s="212"/>
      <c r="AO178" s="212"/>
      <c r="AP178" s="69">
        <f t="shared" si="84"/>
        <v>0</v>
      </c>
      <c r="AQ178" s="7"/>
      <c r="AR178" s="69"/>
      <c r="AS178" s="69"/>
      <c r="AT178" s="69"/>
      <c r="AU178" s="69">
        <f t="shared" si="87"/>
        <v>0</v>
      </c>
      <c r="AV178" s="69">
        <f t="shared" si="88"/>
        <v>6020</v>
      </c>
      <c r="AW178" s="14"/>
    </row>
    <row r="179" ht="20.15" customHeight="1" spans="1:49">
      <c r="A179" s="228">
        <f>SUBTOTAL(2,$Y$4:Y179)</f>
        <v>176</v>
      </c>
      <c r="B179" s="14" t="s">
        <v>418</v>
      </c>
      <c r="C179" s="14" t="s">
        <v>401</v>
      </c>
      <c r="D179" s="115">
        <v>3010</v>
      </c>
      <c r="E179" s="229">
        <v>32.425</v>
      </c>
      <c r="F179" s="13">
        <v>3010</v>
      </c>
      <c r="G179" s="13" t="s">
        <v>339</v>
      </c>
      <c r="H179" s="14">
        <f t="shared" si="111"/>
        <v>32.425</v>
      </c>
      <c r="I179" s="67">
        <v>5000</v>
      </c>
      <c r="J179" s="230">
        <v>500</v>
      </c>
      <c r="K179" s="69">
        <f t="shared" si="98"/>
        <v>5500</v>
      </c>
      <c r="L179" s="69">
        <v>160</v>
      </c>
      <c r="M179" s="69">
        <v>6835</v>
      </c>
      <c r="N179" s="69">
        <v>6869</v>
      </c>
      <c r="O179" s="69">
        <f t="shared" si="101"/>
        <v>34</v>
      </c>
      <c r="P179" s="231">
        <f t="shared" si="105"/>
        <v>0</v>
      </c>
      <c r="Q179" s="69">
        <f t="shared" si="106"/>
        <v>34</v>
      </c>
      <c r="R179" s="69">
        <v>0.8</v>
      </c>
      <c r="S179" s="220">
        <f t="shared" si="79"/>
        <v>24</v>
      </c>
      <c r="T179" s="220">
        <f t="shared" si="107"/>
        <v>27</v>
      </c>
      <c r="U179" s="222">
        <f t="shared" si="108"/>
        <v>182</v>
      </c>
      <c r="V179" s="220">
        <f t="shared" si="109"/>
        <v>273</v>
      </c>
      <c r="W179" s="69">
        <f t="shared" si="102"/>
        <v>6</v>
      </c>
      <c r="X179" s="220">
        <f t="shared" si="110"/>
        <v>51</v>
      </c>
      <c r="Y179" s="69">
        <f t="shared" si="80"/>
        <v>6035</v>
      </c>
      <c r="Z179" s="69"/>
      <c r="AA179" s="69"/>
      <c r="AB179" s="69"/>
      <c r="AC179" s="69"/>
      <c r="AD179" s="69">
        <f t="shared" si="99"/>
        <v>0</v>
      </c>
      <c r="AE179" s="69"/>
      <c r="AF179" s="69"/>
      <c r="AG179" s="69"/>
      <c r="AH179" s="69">
        <f t="shared" si="103"/>
        <v>0</v>
      </c>
      <c r="AI179" s="69">
        <f t="shared" si="104"/>
        <v>6035</v>
      </c>
      <c r="AJ179" s="69"/>
      <c r="AK179" s="262"/>
      <c r="AL179" s="212"/>
      <c r="AM179" s="212"/>
      <c r="AN179" s="212"/>
      <c r="AO179" s="212"/>
      <c r="AP179" s="69">
        <f t="shared" si="84"/>
        <v>0</v>
      </c>
      <c r="AQ179" s="7"/>
      <c r="AR179" s="69"/>
      <c r="AS179" s="69"/>
      <c r="AT179" s="69"/>
      <c r="AU179" s="69">
        <f t="shared" si="87"/>
        <v>0</v>
      </c>
      <c r="AV179" s="69">
        <f t="shared" si="88"/>
        <v>6035</v>
      </c>
      <c r="AW179" s="14"/>
    </row>
    <row r="180" ht="20.15" customHeight="1" spans="1:49">
      <c r="A180" s="228">
        <f>SUBTOTAL(2,$Y$4:Y180)</f>
        <v>177</v>
      </c>
      <c r="B180" s="14" t="s">
        <v>419</v>
      </c>
      <c r="C180" s="14" t="s">
        <v>401</v>
      </c>
      <c r="D180" s="115">
        <v>3011</v>
      </c>
      <c r="E180" s="229">
        <v>31.765</v>
      </c>
      <c r="F180" s="22">
        <v>3011</v>
      </c>
      <c r="G180" s="22" t="s">
        <v>339</v>
      </c>
      <c r="H180" s="14">
        <f t="shared" si="111"/>
        <v>31.765</v>
      </c>
      <c r="I180" s="67">
        <v>5000</v>
      </c>
      <c r="J180" s="226">
        <v>500</v>
      </c>
      <c r="K180" s="69">
        <f t="shared" si="98"/>
        <v>5500</v>
      </c>
      <c r="L180" s="69">
        <v>160</v>
      </c>
      <c r="M180" s="69">
        <v>9599</v>
      </c>
      <c r="N180" s="69">
        <v>9649</v>
      </c>
      <c r="O180" s="69">
        <f t="shared" si="101"/>
        <v>50</v>
      </c>
      <c r="P180" s="231">
        <f t="shared" si="105"/>
        <v>0</v>
      </c>
      <c r="Q180" s="69">
        <f t="shared" si="106"/>
        <v>50</v>
      </c>
      <c r="R180" s="69">
        <v>0.8</v>
      </c>
      <c r="S180" s="220">
        <f t="shared" si="79"/>
        <v>35</v>
      </c>
      <c r="T180" s="220">
        <f t="shared" si="107"/>
        <v>40</v>
      </c>
      <c r="U180" s="222">
        <f t="shared" si="108"/>
        <v>178</v>
      </c>
      <c r="V180" s="220">
        <f t="shared" si="109"/>
        <v>267</v>
      </c>
      <c r="W180" s="69">
        <f t="shared" si="102"/>
        <v>6</v>
      </c>
      <c r="X180" s="220">
        <f t="shared" si="110"/>
        <v>51</v>
      </c>
      <c r="Y180" s="69">
        <f t="shared" si="80"/>
        <v>6053</v>
      </c>
      <c r="Z180" s="69"/>
      <c r="AA180" s="69"/>
      <c r="AB180" s="69"/>
      <c r="AC180" s="69"/>
      <c r="AD180" s="69">
        <f t="shared" si="99"/>
        <v>0</v>
      </c>
      <c r="AE180" s="69"/>
      <c r="AF180" s="69"/>
      <c r="AG180" s="69"/>
      <c r="AH180" s="69">
        <f t="shared" si="103"/>
        <v>0</v>
      </c>
      <c r="AI180" s="69">
        <f t="shared" si="104"/>
        <v>6053</v>
      </c>
      <c r="AJ180" s="69"/>
      <c r="AK180" s="232"/>
      <c r="AL180" s="212"/>
      <c r="AM180" s="212"/>
      <c r="AN180" s="212"/>
      <c r="AO180" s="212"/>
      <c r="AP180" s="69">
        <f t="shared" si="84"/>
        <v>0</v>
      </c>
      <c r="AQ180" s="7"/>
      <c r="AR180" s="69"/>
      <c r="AS180" s="69"/>
      <c r="AT180" s="69"/>
      <c r="AU180" s="69">
        <f t="shared" si="87"/>
        <v>0</v>
      </c>
      <c r="AV180" s="69">
        <f t="shared" si="88"/>
        <v>6053</v>
      </c>
      <c r="AW180" s="14"/>
    </row>
    <row r="181" ht="20.15" customHeight="1" spans="1:49">
      <c r="A181" s="228">
        <f>SUBTOTAL(2,$Y$4:Y181)</f>
        <v>178</v>
      </c>
      <c r="B181" s="14" t="s">
        <v>420</v>
      </c>
      <c r="C181" s="14" t="s">
        <v>401</v>
      </c>
      <c r="D181" s="115">
        <v>3012</v>
      </c>
      <c r="E181" s="229">
        <v>31.765</v>
      </c>
      <c r="F181" s="13">
        <v>3012</v>
      </c>
      <c r="G181" s="13" t="s">
        <v>421</v>
      </c>
      <c r="H181" s="14">
        <f t="shared" si="111"/>
        <v>31.765</v>
      </c>
      <c r="I181" s="67">
        <v>5000</v>
      </c>
      <c r="J181" s="226">
        <v>500</v>
      </c>
      <c r="K181" s="69">
        <f t="shared" si="98"/>
        <v>5500</v>
      </c>
      <c r="L181" s="69">
        <v>160</v>
      </c>
      <c r="M181" s="69">
        <v>7034</v>
      </c>
      <c r="N181" s="69">
        <v>7199</v>
      </c>
      <c r="O181" s="69">
        <f t="shared" si="101"/>
        <v>165</v>
      </c>
      <c r="P181" s="231">
        <f t="shared" si="105"/>
        <v>0</v>
      </c>
      <c r="Q181" s="69">
        <f t="shared" si="106"/>
        <v>165</v>
      </c>
      <c r="R181" s="69">
        <v>0.8</v>
      </c>
      <c r="S181" s="220">
        <f t="shared" si="79"/>
        <v>116</v>
      </c>
      <c r="T181" s="220">
        <f t="shared" si="107"/>
        <v>132</v>
      </c>
      <c r="U181" s="222">
        <f t="shared" si="108"/>
        <v>178</v>
      </c>
      <c r="V181" s="220">
        <f t="shared" si="109"/>
        <v>267</v>
      </c>
      <c r="W181" s="69">
        <f t="shared" si="102"/>
        <v>6</v>
      </c>
      <c r="X181" s="220">
        <f t="shared" si="110"/>
        <v>51</v>
      </c>
      <c r="Y181" s="69">
        <f t="shared" si="80"/>
        <v>6226</v>
      </c>
      <c r="Z181" s="69"/>
      <c r="AA181" s="69"/>
      <c r="AB181" s="69"/>
      <c r="AC181" s="69"/>
      <c r="AD181" s="69">
        <f t="shared" si="99"/>
        <v>0</v>
      </c>
      <c r="AE181" s="69"/>
      <c r="AF181" s="69"/>
      <c r="AG181" s="69"/>
      <c r="AH181" s="69">
        <f t="shared" si="103"/>
        <v>0</v>
      </c>
      <c r="AI181" s="69">
        <f t="shared" si="104"/>
        <v>6226</v>
      </c>
      <c r="AJ181" s="69"/>
      <c r="AK181" s="232"/>
      <c r="AL181" s="212"/>
      <c r="AM181" s="212"/>
      <c r="AN181" s="212"/>
      <c r="AO181" s="212"/>
      <c r="AP181" s="69">
        <f t="shared" si="84"/>
        <v>0</v>
      </c>
      <c r="AQ181" s="7"/>
      <c r="AR181" s="69"/>
      <c r="AS181" s="69"/>
      <c r="AT181" s="69"/>
      <c r="AU181" s="69">
        <f t="shared" si="87"/>
        <v>0</v>
      </c>
      <c r="AV181" s="69">
        <f t="shared" si="88"/>
        <v>6226</v>
      </c>
      <c r="AW181" s="14"/>
    </row>
    <row r="182" ht="20.15" customHeight="1" spans="1:49">
      <c r="A182" s="228">
        <f>SUBTOTAL(2,$Y$4:Y182)</f>
        <v>179</v>
      </c>
      <c r="B182" s="14" t="s">
        <v>422</v>
      </c>
      <c r="C182" s="14" t="s">
        <v>401</v>
      </c>
      <c r="D182" s="115">
        <v>3013</v>
      </c>
      <c r="E182" s="229">
        <v>31.765</v>
      </c>
      <c r="F182" s="118">
        <v>3013</v>
      </c>
      <c r="G182" s="118" t="s">
        <v>423</v>
      </c>
      <c r="H182" s="240">
        <f t="shared" si="111"/>
        <v>31.765</v>
      </c>
      <c r="I182" s="268">
        <v>5000</v>
      </c>
      <c r="J182" s="245">
        <v>500</v>
      </c>
      <c r="K182" s="67">
        <f t="shared" si="98"/>
        <v>5500</v>
      </c>
      <c r="L182" s="69">
        <v>160</v>
      </c>
      <c r="M182" s="69">
        <v>7866</v>
      </c>
      <c r="N182" s="69">
        <v>8038</v>
      </c>
      <c r="O182" s="69">
        <f t="shared" si="101"/>
        <v>172</v>
      </c>
      <c r="P182" s="231">
        <f t="shared" si="105"/>
        <v>0</v>
      </c>
      <c r="Q182" s="69">
        <f t="shared" si="106"/>
        <v>172</v>
      </c>
      <c r="R182" s="69">
        <v>0.8</v>
      </c>
      <c r="S182" s="220">
        <f t="shared" si="79"/>
        <v>120</v>
      </c>
      <c r="T182" s="220">
        <f t="shared" si="107"/>
        <v>138</v>
      </c>
      <c r="U182" s="222">
        <f t="shared" si="108"/>
        <v>178</v>
      </c>
      <c r="V182" s="220">
        <f t="shared" si="109"/>
        <v>267</v>
      </c>
      <c r="W182" s="69">
        <f t="shared" si="102"/>
        <v>6</v>
      </c>
      <c r="X182" s="220">
        <f t="shared" si="110"/>
        <v>51</v>
      </c>
      <c r="Y182" s="69">
        <f t="shared" si="80"/>
        <v>6236</v>
      </c>
      <c r="Z182" s="69"/>
      <c r="AA182" s="69"/>
      <c r="AB182" s="69"/>
      <c r="AC182" s="69"/>
      <c r="AD182" s="69">
        <f t="shared" si="99"/>
        <v>0</v>
      </c>
      <c r="AE182" s="69"/>
      <c r="AF182" s="69"/>
      <c r="AG182" s="69"/>
      <c r="AH182" s="69">
        <f t="shared" si="103"/>
        <v>0</v>
      </c>
      <c r="AI182" s="69">
        <f t="shared" si="104"/>
        <v>6236</v>
      </c>
      <c r="AJ182" s="69"/>
      <c r="AK182" s="232"/>
      <c r="AL182" s="212"/>
      <c r="AM182" s="212"/>
      <c r="AN182" s="212"/>
      <c r="AO182" s="212"/>
      <c r="AP182" s="69">
        <f t="shared" si="84"/>
        <v>0</v>
      </c>
      <c r="AQ182" s="7"/>
      <c r="AR182" s="69"/>
      <c r="AS182" s="69"/>
      <c r="AT182" s="69"/>
      <c r="AU182" s="69">
        <f t="shared" si="87"/>
        <v>0</v>
      </c>
      <c r="AV182" s="69">
        <f t="shared" si="88"/>
        <v>6236</v>
      </c>
      <c r="AW182" s="14"/>
    </row>
    <row r="183" ht="20.15" customHeight="1" spans="1:49">
      <c r="A183" s="228">
        <f>SUBTOTAL(2,$Y$4:Y183)</f>
        <v>180</v>
      </c>
      <c r="B183" s="14" t="s">
        <v>424</v>
      </c>
      <c r="C183" s="14" t="s">
        <v>401</v>
      </c>
      <c r="D183" s="115">
        <v>3014</v>
      </c>
      <c r="E183" s="229">
        <v>31.765</v>
      </c>
      <c r="F183" s="154">
        <v>3014</v>
      </c>
      <c r="G183" s="154" t="s">
        <v>425</v>
      </c>
      <c r="H183" s="240">
        <f t="shared" si="111"/>
        <v>31.765</v>
      </c>
      <c r="I183" s="268">
        <v>5000</v>
      </c>
      <c r="J183" s="258">
        <v>500</v>
      </c>
      <c r="K183" s="67">
        <f t="shared" si="98"/>
        <v>5500</v>
      </c>
      <c r="L183" s="69">
        <v>160</v>
      </c>
      <c r="M183" s="69">
        <v>3597</v>
      </c>
      <c r="N183" s="69">
        <v>3788</v>
      </c>
      <c r="O183" s="69">
        <f t="shared" si="101"/>
        <v>191</v>
      </c>
      <c r="P183" s="231">
        <f t="shared" si="105"/>
        <v>0</v>
      </c>
      <c r="Q183" s="69">
        <f t="shared" si="106"/>
        <v>191</v>
      </c>
      <c r="R183" s="69">
        <v>0.8</v>
      </c>
      <c r="S183" s="220">
        <f t="shared" si="79"/>
        <v>134</v>
      </c>
      <c r="T183" s="220">
        <f t="shared" si="107"/>
        <v>153</v>
      </c>
      <c r="U183" s="222">
        <f t="shared" si="108"/>
        <v>178</v>
      </c>
      <c r="V183" s="220">
        <f t="shared" si="109"/>
        <v>267</v>
      </c>
      <c r="W183" s="69">
        <f t="shared" si="102"/>
        <v>6</v>
      </c>
      <c r="X183" s="220">
        <f t="shared" si="110"/>
        <v>51</v>
      </c>
      <c r="Y183" s="69">
        <f t="shared" si="80"/>
        <v>6265</v>
      </c>
      <c r="Z183" s="69"/>
      <c r="AA183" s="69"/>
      <c r="AB183" s="69"/>
      <c r="AC183" s="69"/>
      <c r="AD183" s="69">
        <f t="shared" si="99"/>
        <v>0</v>
      </c>
      <c r="AE183" s="69"/>
      <c r="AF183" s="69"/>
      <c r="AG183" s="69"/>
      <c r="AH183" s="69">
        <f t="shared" si="103"/>
        <v>0</v>
      </c>
      <c r="AI183" s="69">
        <f t="shared" si="104"/>
        <v>6265</v>
      </c>
      <c r="AJ183" s="69"/>
      <c r="AK183" s="232"/>
      <c r="AL183" s="212"/>
      <c r="AM183" s="212"/>
      <c r="AN183" s="212"/>
      <c r="AO183" s="212"/>
      <c r="AP183" s="69">
        <f t="shared" si="84"/>
        <v>0</v>
      </c>
      <c r="AQ183" s="7"/>
      <c r="AR183" s="69"/>
      <c r="AS183" s="69"/>
      <c r="AT183" s="69"/>
      <c r="AU183" s="69">
        <f t="shared" si="87"/>
        <v>0</v>
      </c>
      <c r="AV183" s="69">
        <f t="shared" si="88"/>
        <v>6265</v>
      </c>
      <c r="AW183" s="14"/>
    </row>
    <row r="184" ht="20.15" customHeight="1" spans="1:49">
      <c r="A184" s="228">
        <f>SUBTOTAL(2,$Y$4:Y184)</f>
        <v>181</v>
      </c>
      <c r="B184" s="14" t="s">
        <v>426</v>
      </c>
      <c r="C184" s="14" t="s">
        <v>401</v>
      </c>
      <c r="D184" s="115">
        <v>3015</v>
      </c>
      <c r="E184" s="229">
        <v>31.76</v>
      </c>
      <c r="F184" s="13">
        <v>3015</v>
      </c>
      <c r="G184" s="13" t="s">
        <v>427</v>
      </c>
      <c r="H184" s="14">
        <f t="shared" si="111"/>
        <v>31.76</v>
      </c>
      <c r="I184" s="69">
        <v>5000</v>
      </c>
      <c r="J184" s="230">
        <v>500</v>
      </c>
      <c r="K184" s="69">
        <f t="shared" si="98"/>
        <v>5500</v>
      </c>
      <c r="L184" s="69">
        <v>160</v>
      </c>
      <c r="M184" s="69">
        <v>325</v>
      </c>
      <c r="N184" s="69">
        <v>446</v>
      </c>
      <c r="O184" s="69">
        <f t="shared" si="101"/>
        <v>121</v>
      </c>
      <c r="P184" s="231">
        <f t="shared" si="105"/>
        <v>0</v>
      </c>
      <c r="Q184" s="69">
        <f t="shared" si="106"/>
        <v>121</v>
      </c>
      <c r="R184" s="69">
        <v>0.8</v>
      </c>
      <c r="S184" s="220">
        <f t="shared" si="79"/>
        <v>85</v>
      </c>
      <c r="T184" s="220">
        <f t="shared" si="107"/>
        <v>97</v>
      </c>
      <c r="U184" s="222">
        <f t="shared" si="108"/>
        <v>178</v>
      </c>
      <c r="V184" s="220">
        <f t="shared" si="109"/>
        <v>267</v>
      </c>
      <c r="W184" s="69">
        <f t="shared" si="102"/>
        <v>6</v>
      </c>
      <c r="X184" s="220">
        <f t="shared" si="110"/>
        <v>51</v>
      </c>
      <c r="Y184" s="69">
        <f t="shared" si="80"/>
        <v>6160</v>
      </c>
      <c r="Z184" s="69"/>
      <c r="AA184" s="69"/>
      <c r="AB184" s="69"/>
      <c r="AC184" s="69"/>
      <c r="AD184" s="69">
        <f t="shared" si="99"/>
        <v>0</v>
      </c>
      <c r="AE184" s="69"/>
      <c r="AF184" s="69"/>
      <c r="AG184" s="69"/>
      <c r="AH184" s="69">
        <f t="shared" si="103"/>
        <v>0</v>
      </c>
      <c r="AI184" s="69">
        <f t="shared" si="104"/>
        <v>6160</v>
      </c>
      <c r="AJ184" s="69"/>
      <c r="AK184" s="232"/>
      <c r="AL184" s="212"/>
      <c r="AM184" s="212"/>
      <c r="AN184" s="212"/>
      <c r="AO184" s="212"/>
      <c r="AP184" s="69">
        <f t="shared" si="84"/>
        <v>0</v>
      </c>
      <c r="AQ184" s="7"/>
      <c r="AR184" s="69"/>
      <c r="AS184" s="69"/>
      <c r="AT184" s="69"/>
      <c r="AU184" s="69">
        <f t="shared" si="87"/>
        <v>0</v>
      </c>
      <c r="AV184" s="69">
        <f t="shared" si="88"/>
        <v>6160</v>
      </c>
      <c r="AW184" s="14"/>
    </row>
    <row r="185" ht="20.15" customHeight="1" spans="1:49">
      <c r="A185" s="228">
        <f>SUBTOTAL(2,$Y$4:Y185)</f>
        <v>182</v>
      </c>
      <c r="B185" s="14" t="s">
        <v>428</v>
      </c>
      <c r="C185" s="14" t="s">
        <v>401</v>
      </c>
      <c r="D185" s="115">
        <v>3016</v>
      </c>
      <c r="E185" s="229">
        <v>31.76</v>
      </c>
      <c r="F185" s="13">
        <v>3016</v>
      </c>
      <c r="G185" s="13" t="s">
        <v>429</v>
      </c>
      <c r="H185" s="14">
        <f t="shared" si="111"/>
        <v>31.76</v>
      </c>
      <c r="I185" s="69">
        <v>5000</v>
      </c>
      <c r="J185" s="230">
        <v>500</v>
      </c>
      <c r="K185" s="69">
        <f t="shared" si="98"/>
        <v>5500</v>
      </c>
      <c r="L185" s="69">
        <v>160</v>
      </c>
      <c r="M185" s="69">
        <v>3375</v>
      </c>
      <c r="N185" s="69">
        <v>3396</v>
      </c>
      <c r="O185" s="69">
        <f t="shared" si="101"/>
        <v>21</v>
      </c>
      <c r="P185" s="231">
        <f t="shared" si="105"/>
        <v>0</v>
      </c>
      <c r="Q185" s="69">
        <f t="shared" si="106"/>
        <v>21</v>
      </c>
      <c r="R185" s="69">
        <v>0.8</v>
      </c>
      <c r="S185" s="220">
        <f t="shared" si="79"/>
        <v>15</v>
      </c>
      <c r="T185" s="220">
        <f t="shared" si="107"/>
        <v>17</v>
      </c>
      <c r="U185" s="222">
        <f t="shared" si="108"/>
        <v>178</v>
      </c>
      <c r="V185" s="220">
        <f t="shared" si="109"/>
        <v>267</v>
      </c>
      <c r="W185" s="69">
        <f t="shared" si="102"/>
        <v>6</v>
      </c>
      <c r="X185" s="220">
        <f t="shared" si="110"/>
        <v>51</v>
      </c>
      <c r="Y185" s="69">
        <f t="shared" si="80"/>
        <v>6010</v>
      </c>
      <c r="Z185" s="69"/>
      <c r="AA185" s="69"/>
      <c r="AB185" s="69"/>
      <c r="AC185" s="69"/>
      <c r="AD185" s="69">
        <f t="shared" si="99"/>
        <v>0</v>
      </c>
      <c r="AE185" s="69"/>
      <c r="AF185" s="69"/>
      <c r="AG185" s="69"/>
      <c r="AH185" s="69">
        <f t="shared" si="103"/>
        <v>0</v>
      </c>
      <c r="AI185" s="69">
        <f t="shared" si="104"/>
        <v>6010</v>
      </c>
      <c r="AJ185" s="69"/>
      <c r="AK185" s="232"/>
      <c r="AL185" s="212"/>
      <c r="AM185" s="212"/>
      <c r="AN185" s="212"/>
      <c r="AO185" s="212"/>
      <c r="AP185" s="69">
        <f t="shared" si="84"/>
        <v>0</v>
      </c>
      <c r="AQ185" s="7"/>
      <c r="AR185" s="69"/>
      <c r="AS185" s="69"/>
      <c r="AT185" s="69"/>
      <c r="AU185" s="69">
        <f t="shared" si="87"/>
        <v>0</v>
      </c>
      <c r="AV185" s="69">
        <f t="shared" si="88"/>
        <v>6010</v>
      </c>
      <c r="AW185" s="14"/>
    </row>
    <row r="186" ht="20.15" customHeight="1" spans="1:49">
      <c r="A186" s="228">
        <f>SUBTOTAL(2,$Y$4:Y186)</f>
        <v>183</v>
      </c>
      <c r="B186" s="14" t="s">
        <v>430</v>
      </c>
      <c r="C186" s="14" t="s">
        <v>401</v>
      </c>
      <c r="D186" s="115">
        <v>3017</v>
      </c>
      <c r="E186" s="229">
        <v>31.76</v>
      </c>
      <c r="F186" s="22">
        <v>3017</v>
      </c>
      <c r="G186" s="22" t="s">
        <v>241</v>
      </c>
      <c r="H186" s="14">
        <f t="shared" si="111"/>
        <v>31.76</v>
      </c>
      <c r="I186" s="67">
        <v>5000</v>
      </c>
      <c r="J186" s="226">
        <v>500</v>
      </c>
      <c r="K186" s="69">
        <f t="shared" si="98"/>
        <v>5500</v>
      </c>
      <c r="L186" s="69">
        <v>160</v>
      </c>
      <c r="M186" s="69">
        <v>3017</v>
      </c>
      <c r="N186" s="69">
        <v>3038</v>
      </c>
      <c r="O186" s="69">
        <f t="shared" si="101"/>
        <v>21</v>
      </c>
      <c r="P186" s="231">
        <f t="shared" si="105"/>
        <v>0</v>
      </c>
      <c r="Q186" s="69">
        <f t="shared" si="106"/>
        <v>21</v>
      </c>
      <c r="R186" s="69">
        <v>0.8</v>
      </c>
      <c r="S186" s="220">
        <f t="shared" si="79"/>
        <v>15</v>
      </c>
      <c r="T186" s="220">
        <f t="shared" si="107"/>
        <v>17</v>
      </c>
      <c r="U186" s="222">
        <f t="shared" si="108"/>
        <v>178</v>
      </c>
      <c r="V186" s="220">
        <f t="shared" si="109"/>
        <v>267</v>
      </c>
      <c r="W186" s="69">
        <f t="shared" si="102"/>
        <v>6</v>
      </c>
      <c r="X186" s="220">
        <f t="shared" si="110"/>
        <v>51</v>
      </c>
      <c r="Y186" s="69">
        <f t="shared" si="80"/>
        <v>6010</v>
      </c>
      <c r="Z186" s="69"/>
      <c r="AA186" s="69"/>
      <c r="AB186" s="69"/>
      <c r="AC186" s="69"/>
      <c r="AD186" s="69">
        <f t="shared" si="99"/>
        <v>0</v>
      </c>
      <c r="AE186" s="69"/>
      <c r="AF186" s="69"/>
      <c r="AG186" s="69"/>
      <c r="AH186" s="69">
        <f t="shared" si="103"/>
        <v>0</v>
      </c>
      <c r="AI186" s="69">
        <f t="shared" si="104"/>
        <v>6010</v>
      </c>
      <c r="AJ186" s="69"/>
      <c r="AK186" s="232"/>
      <c r="AL186" s="212"/>
      <c r="AM186" s="212"/>
      <c r="AN186" s="212"/>
      <c r="AO186" s="212"/>
      <c r="AP186" s="69">
        <f t="shared" si="84"/>
        <v>0</v>
      </c>
      <c r="AQ186" s="7"/>
      <c r="AR186" s="69"/>
      <c r="AS186" s="67"/>
      <c r="AT186" s="67"/>
      <c r="AU186" s="69">
        <f t="shared" si="87"/>
        <v>0</v>
      </c>
      <c r="AV186" s="69">
        <f t="shared" si="88"/>
        <v>6010</v>
      </c>
      <c r="AW186" s="14"/>
    </row>
    <row r="187" ht="20.15" customHeight="1" spans="1:49">
      <c r="A187" s="228">
        <f>SUBTOTAL(2,$Y$4:Y187)</f>
        <v>184</v>
      </c>
      <c r="B187" s="14" t="s">
        <v>431</v>
      </c>
      <c r="C187" s="14" t="s">
        <v>401</v>
      </c>
      <c r="D187" s="115">
        <v>3018</v>
      </c>
      <c r="E187" s="229">
        <v>31.76</v>
      </c>
      <c r="F187" s="13">
        <v>3018</v>
      </c>
      <c r="G187" s="13" t="s">
        <v>432</v>
      </c>
      <c r="H187" s="14">
        <f t="shared" si="111"/>
        <v>31.76</v>
      </c>
      <c r="I187" s="69">
        <v>5000</v>
      </c>
      <c r="J187" s="230">
        <v>500</v>
      </c>
      <c r="K187" s="69">
        <f t="shared" si="98"/>
        <v>5500</v>
      </c>
      <c r="L187" s="69">
        <v>160</v>
      </c>
      <c r="M187" s="69">
        <v>1335</v>
      </c>
      <c r="N187" s="69">
        <v>1407</v>
      </c>
      <c r="O187" s="69">
        <f t="shared" si="101"/>
        <v>72</v>
      </c>
      <c r="P187" s="231">
        <f t="shared" si="105"/>
        <v>0</v>
      </c>
      <c r="Q187" s="69">
        <f t="shared" si="106"/>
        <v>72</v>
      </c>
      <c r="R187" s="69">
        <v>0.8</v>
      </c>
      <c r="S187" s="220">
        <f t="shared" si="79"/>
        <v>50</v>
      </c>
      <c r="T187" s="220">
        <f t="shared" si="107"/>
        <v>58</v>
      </c>
      <c r="U187" s="222">
        <f t="shared" si="108"/>
        <v>178</v>
      </c>
      <c r="V187" s="220">
        <f t="shared" si="109"/>
        <v>267</v>
      </c>
      <c r="W187" s="69">
        <f t="shared" si="102"/>
        <v>6</v>
      </c>
      <c r="X187" s="220">
        <f t="shared" si="110"/>
        <v>51</v>
      </c>
      <c r="Y187" s="69">
        <f t="shared" si="80"/>
        <v>6086</v>
      </c>
      <c r="Z187" s="69"/>
      <c r="AA187" s="69"/>
      <c r="AB187" s="69"/>
      <c r="AC187" s="69"/>
      <c r="AD187" s="69">
        <f t="shared" si="99"/>
        <v>0</v>
      </c>
      <c r="AE187" s="69"/>
      <c r="AF187" s="69"/>
      <c r="AG187" s="69"/>
      <c r="AH187" s="69">
        <f t="shared" si="103"/>
        <v>0</v>
      </c>
      <c r="AI187" s="69">
        <f t="shared" si="104"/>
        <v>6086</v>
      </c>
      <c r="AJ187" s="69"/>
      <c r="AK187" s="232"/>
      <c r="AL187" s="212"/>
      <c r="AM187" s="212"/>
      <c r="AN187" s="212"/>
      <c r="AO187" s="212"/>
      <c r="AP187" s="69">
        <f t="shared" si="84"/>
        <v>0</v>
      </c>
      <c r="AQ187" s="7"/>
      <c r="AR187" s="69"/>
      <c r="AS187" s="69"/>
      <c r="AT187" s="69"/>
      <c r="AU187" s="69">
        <f t="shared" si="87"/>
        <v>0</v>
      </c>
      <c r="AV187" s="69">
        <f t="shared" si="88"/>
        <v>6086</v>
      </c>
      <c r="AW187" s="14"/>
    </row>
    <row r="188" ht="20.15" customHeight="1" spans="1:49">
      <c r="A188" s="228">
        <f>SUBTOTAL(2,$Y$4:Y188)</f>
        <v>185</v>
      </c>
      <c r="B188" s="14" t="s">
        <v>433</v>
      </c>
      <c r="C188" s="14" t="s">
        <v>401</v>
      </c>
      <c r="D188" s="247">
        <v>3019</v>
      </c>
      <c r="E188" s="248">
        <v>31.76</v>
      </c>
      <c r="F188" s="22">
        <v>3019</v>
      </c>
      <c r="G188" s="22" t="s">
        <v>434</v>
      </c>
      <c r="H188" s="115">
        <f t="shared" si="111"/>
        <v>31.76</v>
      </c>
      <c r="I188" s="67">
        <v>5000</v>
      </c>
      <c r="J188" s="67">
        <v>500</v>
      </c>
      <c r="K188" s="69">
        <f t="shared" si="98"/>
        <v>5500</v>
      </c>
      <c r="L188" s="69">
        <v>160</v>
      </c>
      <c r="M188" s="69">
        <v>1078</v>
      </c>
      <c r="N188" s="69">
        <v>1202</v>
      </c>
      <c r="O188" s="69">
        <f t="shared" si="101"/>
        <v>124</v>
      </c>
      <c r="P188" s="231">
        <f t="shared" si="105"/>
        <v>0</v>
      </c>
      <c r="Q188" s="69">
        <f t="shared" si="106"/>
        <v>124</v>
      </c>
      <c r="R188" s="69">
        <v>0.8</v>
      </c>
      <c r="S188" s="220">
        <f t="shared" si="79"/>
        <v>87</v>
      </c>
      <c r="T188" s="220">
        <f t="shared" si="107"/>
        <v>99</v>
      </c>
      <c r="U188" s="222">
        <f t="shared" si="108"/>
        <v>178</v>
      </c>
      <c r="V188" s="220">
        <f t="shared" si="109"/>
        <v>267</v>
      </c>
      <c r="W188" s="69">
        <f t="shared" si="102"/>
        <v>6</v>
      </c>
      <c r="X188" s="220">
        <f t="shared" si="110"/>
        <v>51</v>
      </c>
      <c r="Y188" s="69">
        <f t="shared" si="80"/>
        <v>6164</v>
      </c>
      <c r="Z188" s="69"/>
      <c r="AA188" s="69"/>
      <c r="AB188" s="69"/>
      <c r="AC188" s="69"/>
      <c r="AD188" s="69">
        <f t="shared" si="99"/>
        <v>0</v>
      </c>
      <c r="AE188" s="69"/>
      <c r="AF188" s="69"/>
      <c r="AG188" s="69"/>
      <c r="AH188" s="69">
        <f t="shared" si="103"/>
        <v>0</v>
      </c>
      <c r="AI188" s="69">
        <f t="shared" si="104"/>
        <v>6164</v>
      </c>
      <c r="AJ188" s="69"/>
      <c r="AK188" s="232"/>
      <c r="AL188" s="212"/>
      <c r="AM188" s="212"/>
      <c r="AN188" s="212"/>
      <c r="AO188" s="212"/>
      <c r="AP188" s="69">
        <f t="shared" si="84"/>
        <v>0</v>
      </c>
      <c r="AQ188" s="7"/>
      <c r="AR188" s="69"/>
      <c r="AS188" s="69"/>
      <c r="AT188" s="69"/>
      <c r="AU188" s="69">
        <f t="shared" si="87"/>
        <v>0</v>
      </c>
      <c r="AV188" s="69">
        <f t="shared" si="88"/>
        <v>6164</v>
      </c>
      <c r="AW188" s="14"/>
    </row>
    <row r="189" ht="20.15" customHeight="1" spans="1:49">
      <c r="A189" s="228">
        <f>SUBTOTAL(2,$Y$4:Y189)</f>
        <v>186</v>
      </c>
      <c r="B189" s="14" t="s">
        <v>435</v>
      </c>
      <c r="C189" s="14" t="s">
        <v>401</v>
      </c>
      <c r="D189" s="115">
        <v>3020</v>
      </c>
      <c r="E189" s="229">
        <v>31.76</v>
      </c>
      <c r="F189" s="13">
        <v>3020</v>
      </c>
      <c r="G189" s="13" t="s">
        <v>436</v>
      </c>
      <c r="H189" s="14">
        <f t="shared" si="111"/>
        <v>31.76</v>
      </c>
      <c r="I189" s="69">
        <v>5000</v>
      </c>
      <c r="J189" s="230">
        <v>500</v>
      </c>
      <c r="K189" s="69">
        <f t="shared" si="98"/>
        <v>5500</v>
      </c>
      <c r="L189" s="69">
        <v>160</v>
      </c>
      <c r="M189" s="67">
        <v>3989</v>
      </c>
      <c r="N189" s="67">
        <v>4007</v>
      </c>
      <c r="O189" s="69">
        <f t="shared" si="101"/>
        <v>18</v>
      </c>
      <c r="P189" s="231">
        <f t="shared" si="105"/>
        <v>0</v>
      </c>
      <c r="Q189" s="69">
        <f t="shared" si="106"/>
        <v>18</v>
      </c>
      <c r="R189" s="69">
        <v>0.8</v>
      </c>
      <c r="S189" s="220">
        <f t="shared" si="79"/>
        <v>13</v>
      </c>
      <c r="T189" s="220">
        <f t="shared" si="107"/>
        <v>14</v>
      </c>
      <c r="U189" s="222">
        <f t="shared" si="108"/>
        <v>178</v>
      </c>
      <c r="V189" s="220">
        <f t="shared" si="109"/>
        <v>267</v>
      </c>
      <c r="W189" s="69">
        <f t="shared" si="102"/>
        <v>6</v>
      </c>
      <c r="X189" s="220">
        <f t="shared" si="110"/>
        <v>51</v>
      </c>
      <c r="Y189" s="69">
        <f t="shared" si="80"/>
        <v>6005</v>
      </c>
      <c r="Z189" s="69"/>
      <c r="AA189" s="69"/>
      <c r="AB189" s="69"/>
      <c r="AC189" s="69"/>
      <c r="AD189" s="69">
        <f t="shared" si="99"/>
        <v>0</v>
      </c>
      <c r="AE189" s="69"/>
      <c r="AF189" s="69"/>
      <c r="AG189" s="69"/>
      <c r="AH189" s="69">
        <f t="shared" si="103"/>
        <v>0</v>
      </c>
      <c r="AI189" s="69">
        <f t="shared" si="104"/>
        <v>6005</v>
      </c>
      <c r="AJ189" s="69"/>
      <c r="AK189" s="232"/>
      <c r="AL189" s="212"/>
      <c r="AM189" s="212"/>
      <c r="AN189" s="212"/>
      <c r="AO189" s="212"/>
      <c r="AP189" s="69">
        <f t="shared" si="84"/>
        <v>0</v>
      </c>
      <c r="AQ189" s="7"/>
      <c r="AR189" s="69"/>
      <c r="AS189" s="69"/>
      <c r="AT189" s="69"/>
      <c r="AU189" s="69">
        <f t="shared" si="87"/>
        <v>0</v>
      </c>
      <c r="AV189" s="69">
        <f t="shared" si="88"/>
        <v>6005</v>
      </c>
      <c r="AW189" s="14"/>
    </row>
    <row r="190" ht="20.15" customHeight="1" spans="1:49">
      <c r="A190" s="228">
        <f>SUBTOTAL(2,$Y$4:Y190)</f>
        <v>187</v>
      </c>
      <c r="B190" s="14" t="s">
        <v>437</v>
      </c>
      <c r="C190" s="14" t="s">
        <v>401</v>
      </c>
      <c r="D190" s="115">
        <v>3021</v>
      </c>
      <c r="E190" s="229">
        <v>31.765</v>
      </c>
      <c r="F190" s="22">
        <v>3021</v>
      </c>
      <c r="G190" s="22" t="s">
        <v>438</v>
      </c>
      <c r="H190" s="14">
        <f t="shared" si="111"/>
        <v>31.765</v>
      </c>
      <c r="I190" s="67">
        <v>5000</v>
      </c>
      <c r="J190" s="226">
        <v>500</v>
      </c>
      <c r="K190" s="69">
        <f t="shared" si="98"/>
        <v>5500</v>
      </c>
      <c r="L190" s="69">
        <v>160</v>
      </c>
      <c r="M190" s="67">
        <v>8530</v>
      </c>
      <c r="N190" s="67">
        <v>8559</v>
      </c>
      <c r="O190" s="69">
        <f t="shared" si="101"/>
        <v>29</v>
      </c>
      <c r="P190" s="231">
        <f t="shared" si="105"/>
        <v>0</v>
      </c>
      <c r="Q190" s="69">
        <f t="shared" si="106"/>
        <v>29</v>
      </c>
      <c r="R190" s="69">
        <v>0.8</v>
      </c>
      <c r="S190" s="220">
        <f t="shared" si="79"/>
        <v>20</v>
      </c>
      <c r="T190" s="220">
        <f t="shared" si="107"/>
        <v>23</v>
      </c>
      <c r="U190" s="222">
        <f t="shared" si="108"/>
        <v>178</v>
      </c>
      <c r="V190" s="220">
        <f t="shared" si="109"/>
        <v>267</v>
      </c>
      <c r="W190" s="69">
        <f t="shared" si="102"/>
        <v>6</v>
      </c>
      <c r="X190" s="220">
        <f t="shared" si="110"/>
        <v>51</v>
      </c>
      <c r="Y190" s="69">
        <f t="shared" si="80"/>
        <v>6021</v>
      </c>
      <c r="Z190" s="69"/>
      <c r="AA190" s="69"/>
      <c r="AB190" s="69"/>
      <c r="AC190" s="69"/>
      <c r="AD190" s="69">
        <f t="shared" si="99"/>
        <v>0</v>
      </c>
      <c r="AE190" s="69"/>
      <c r="AF190" s="69"/>
      <c r="AG190" s="69"/>
      <c r="AH190" s="69">
        <f t="shared" si="103"/>
        <v>0</v>
      </c>
      <c r="AI190" s="69">
        <f t="shared" si="104"/>
        <v>6021</v>
      </c>
      <c r="AJ190" s="69"/>
      <c r="AK190" s="232"/>
      <c r="AL190" s="212"/>
      <c r="AM190" s="212"/>
      <c r="AN190" s="212"/>
      <c r="AO190" s="212"/>
      <c r="AP190" s="69">
        <f t="shared" si="84"/>
        <v>0</v>
      </c>
      <c r="AQ190" s="7"/>
      <c r="AR190" s="69"/>
      <c r="AS190" s="69"/>
      <c r="AT190" s="69"/>
      <c r="AU190" s="69">
        <f t="shared" si="87"/>
        <v>0</v>
      </c>
      <c r="AV190" s="69">
        <f t="shared" si="88"/>
        <v>6021</v>
      </c>
      <c r="AW190" s="14"/>
    </row>
    <row r="191" ht="20.15" customHeight="1" spans="1:49">
      <c r="A191" s="228">
        <f>SUBTOTAL(2,$Y$4:Y191)</f>
        <v>188</v>
      </c>
      <c r="B191" s="14" t="s">
        <v>439</v>
      </c>
      <c r="C191" s="14" t="s">
        <v>401</v>
      </c>
      <c r="D191" s="115">
        <v>3022</v>
      </c>
      <c r="E191" s="229">
        <v>31.765</v>
      </c>
      <c r="F191" s="13">
        <v>3022</v>
      </c>
      <c r="G191" s="13" t="s">
        <v>440</v>
      </c>
      <c r="H191" s="14">
        <f t="shared" si="111"/>
        <v>31.765</v>
      </c>
      <c r="I191" s="69">
        <v>5000</v>
      </c>
      <c r="J191" s="230">
        <v>500</v>
      </c>
      <c r="K191" s="69">
        <f t="shared" si="98"/>
        <v>5500</v>
      </c>
      <c r="L191" s="69">
        <v>160</v>
      </c>
      <c r="M191" s="69">
        <v>1814</v>
      </c>
      <c r="N191" s="69">
        <v>1879</v>
      </c>
      <c r="O191" s="69">
        <f t="shared" si="101"/>
        <v>65</v>
      </c>
      <c r="P191" s="231">
        <f t="shared" si="105"/>
        <v>0</v>
      </c>
      <c r="Q191" s="69">
        <f t="shared" si="106"/>
        <v>65</v>
      </c>
      <c r="R191" s="69">
        <v>0.8</v>
      </c>
      <c r="S191" s="220">
        <f t="shared" si="79"/>
        <v>46</v>
      </c>
      <c r="T191" s="220">
        <f t="shared" si="107"/>
        <v>52</v>
      </c>
      <c r="U191" s="222">
        <f t="shared" si="108"/>
        <v>178</v>
      </c>
      <c r="V191" s="220">
        <f t="shared" si="109"/>
        <v>267</v>
      </c>
      <c r="W191" s="69">
        <f t="shared" si="102"/>
        <v>6</v>
      </c>
      <c r="X191" s="220">
        <f t="shared" si="110"/>
        <v>51</v>
      </c>
      <c r="Y191" s="69">
        <f t="shared" si="80"/>
        <v>6076</v>
      </c>
      <c r="Z191" s="69"/>
      <c r="AA191" s="69"/>
      <c r="AB191" s="69"/>
      <c r="AC191" s="69"/>
      <c r="AD191" s="69">
        <f t="shared" si="99"/>
        <v>0</v>
      </c>
      <c r="AE191" s="69"/>
      <c r="AF191" s="69"/>
      <c r="AG191" s="69"/>
      <c r="AH191" s="69">
        <f t="shared" si="103"/>
        <v>0</v>
      </c>
      <c r="AI191" s="69">
        <f t="shared" si="104"/>
        <v>6076</v>
      </c>
      <c r="AJ191" s="69"/>
      <c r="AK191" s="232"/>
      <c r="AL191" s="212"/>
      <c r="AM191" s="212"/>
      <c r="AN191" s="212"/>
      <c r="AO191" s="212"/>
      <c r="AP191" s="69">
        <f t="shared" si="84"/>
        <v>0</v>
      </c>
      <c r="AQ191" s="7"/>
      <c r="AR191" s="69"/>
      <c r="AS191" s="69"/>
      <c r="AT191" s="69"/>
      <c r="AU191" s="69">
        <f t="shared" si="87"/>
        <v>0</v>
      </c>
      <c r="AV191" s="69">
        <f t="shared" si="88"/>
        <v>6076</v>
      </c>
      <c r="AW191" s="14"/>
    </row>
    <row r="192" ht="20.15" customHeight="1" spans="1:49">
      <c r="A192" s="228">
        <f>SUBTOTAL(2,$Y$4:Y192)</f>
        <v>189</v>
      </c>
      <c r="B192" s="14" t="s">
        <v>441</v>
      </c>
      <c r="C192" s="14" t="s">
        <v>401</v>
      </c>
      <c r="D192" s="115">
        <v>3023</v>
      </c>
      <c r="E192" s="229">
        <v>31.76</v>
      </c>
      <c r="F192" s="95">
        <v>3023</v>
      </c>
      <c r="G192" s="95" t="s">
        <v>442</v>
      </c>
      <c r="H192" s="246">
        <f t="shared" si="111"/>
        <v>31.76</v>
      </c>
      <c r="I192" s="7">
        <v>5000</v>
      </c>
      <c r="J192" s="238">
        <v>500</v>
      </c>
      <c r="K192" s="69">
        <f t="shared" si="98"/>
        <v>5500</v>
      </c>
      <c r="L192" s="69">
        <v>160</v>
      </c>
      <c r="M192" s="67">
        <v>5312</v>
      </c>
      <c r="N192" s="67">
        <v>5578</v>
      </c>
      <c r="O192" s="69">
        <f t="shared" si="101"/>
        <v>266</v>
      </c>
      <c r="P192" s="231">
        <f t="shared" si="105"/>
        <v>0</v>
      </c>
      <c r="Q192" s="69">
        <f t="shared" si="106"/>
        <v>266</v>
      </c>
      <c r="R192" s="69">
        <v>0.8</v>
      </c>
      <c r="S192" s="220">
        <f t="shared" si="79"/>
        <v>186</v>
      </c>
      <c r="T192" s="220">
        <f t="shared" si="107"/>
        <v>213</v>
      </c>
      <c r="U192" s="222">
        <f t="shared" si="108"/>
        <v>178</v>
      </c>
      <c r="V192" s="220">
        <f t="shared" si="109"/>
        <v>267</v>
      </c>
      <c r="W192" s="69">
        <f t="shared" si="102"/>
        <v>6</v>
      </c>
      <c r="X192" s="220">
        <f t="shared" si="110"/>
        <v>51</v>
      </c>
      <c r="Y192" s="69">
        <f t="shared" si="80"/>
        <v>6377</v>
      </c>
      <c r="Z192" s="69"/>
      <c r="AA192" s="69"/>
      <c r="AB192" s="69"/>
      <c r="AC192" s="69"/>
      <c r="AD192" s="69">
        <f t="shared" si="99"/>
        <v>0</v>
      </c>
      <c r="AE192" s="69"/>
      <c r="AF192" s="69"/>
      <c r="AG192" s="69"/>
      <c r="AH192" s="69">
        <f t="shared" si="103"/>
        <v>0</v>
      </c>
      <c r="AI192" s="69">
        <f t="shared" si="104"/>
        <v>6377</v>
      </c>
      <c r="AJ192" s="69"/>
      <c r="AK192" s="232"/>
      <c r="AL192" s="212"/>
      <c r="AM192" s="212"/>
      <c r="AN192" s="212"/>
      <c r="AO192" s="212"/>
      <c r="AP192" s="69">
        <f t="shared" si="84"/>
        <v>0</v>
      </c>
      <c r="AQ192" s="7"/>
      <c r="AR192" s="69"/>
      <c r="AS192" s="69"/>
      <c r="AT192" s="69"/>
      <c r="AU192" s="69">
        <f t="shared" si="87"/>
        <v>0</v>
      </c>
      <c r="AV192" s="69">
        <f t="shared" si="88"/>
        <v>6377</v>
      </c>
      <c r="AW192" s="14"/>
    </row>
    <row r="193" ht="20.15" customHeight="1" spans="1:49">
      <c r="A193" s="228">
        <f>SUBTOTAL(2,$Y$4:Y193)</f>
        <v>190</v>
      </c>
      <c r="B193" s="14" t="s">
        <v>443</v>
      </c>
      <c r="C193" s="14" t="s">
        <v>401</v>
      </c>
      <c r="D193" s="115">
        <v>3024</v>
      </c>
      <c r="E193" s="229">
        <v>31.765</v>
      </c>
      <c r="F193" s="154">
        <v>3024</v>
      </c>
      <c r="G193" s="154" t="s">
        <v>444</v>
      </c>
      <c r="H193" s="240">
        <f t="shared" si="111"/>
        <v>31.765</v>
      </c>
      <c r="I193" s="268">
        <v>5000</v>
      </c>
      <c r="J193" s="245">
        <v>500</v>
      </c>
      <c r="K193" s="67">
        <f t="shared" si="98"/>
        <v>5500</v>
      </c>
      <c r="L193" s="69">
        <v>160</v>
      </c>
      <c r="M193" s="69">
        <v>1180</v>
      </c>
      <c r="N193" s="69">
        <v>1203</v>
      </c>
      <c r="O193" s="69">
        <f t="shared" si="101"/>
        <v>23</v>
      </c>
      <c r="P193" s="231">
        <f t="shared" si="105"/>
        <v>0</v>
      </c>
      <c r="Q193" s="69">
        <f t="shared" si="106"/>
        <v>23</v>
      </c>
      <c r="R193" s="69">
        <v>0.8</v>
      </c>
      <c r="S193" s="220">
        <f t="shared" si="79"/>
        <v>16</v>
      </c>
      <c r="T193" s="220">
        <f t="shared" si="107"/>
        <v>18</v>
      </c>
      <c r="U193" s="222">
        <f t="shared" si="108"/>
        <v>178</v>
      </c>
      <c r="V193" s="220">
        <f t="shared" si="109"/>
        <v>267</v>
      </c>
      <c r="W193" s="69">
        <f t="shared" si="102"/>
        <v>6</v>
      </c>
      <c r="X193" s="220">
        <f t="shared" si="110"/>
        <v>51</v>
      </c>
      <c r="Y193" s="69">
        <f t="shared" si="80"/>
        <v>6012</v>
      </c>
      <c r="Z193" s="69"/>
      <c r="AA193" s="69"/>
      <c r="AB193" s="69"/>
      <c r="AC193" s="69"/>
      <c r="AD193" s="69">
        <f t="shared" si="99"/>
        <v>0</v>
      </c>
      <c r="AE193" s="69"/>
      <c r="AF193" s="69"/>
      <c r="AG193" s="69"/>
      <c r="AH193" s="69">
        <f t="shared" si="103"/>
        <v>0</v>
      </c>
      <c r="AI193" s="69">
        <f t="shared" si="104"/>
        <v>6012</v>
      </c>
      <c r="AJ193" s="69"/>
      <c r="AK193" s="232"/>
      <c r="AL193" s="212"/>
      <c r="AM193" s="212"/>
      <c r="AN193" s="212"/>
      <c r="AO193" s="212"/>
      <c r="AP193" s="69">
        <f t="shared" si="84"/>
        <v>0</v>
      </c>
      <c r="AQ193" s="7"/>
      <c r="AR193" s="69"/>
      <c r="AS193" s="69"/>
      <c r="AT193" s="69"/>
      <c r="AU193" s="69">
        <f t="shared" si="87"/>
        <v>0</v>
      </c>
      <c r="AV193" s="69">
        <f t="shared" si="88"/>
        <v>6012</v>
      </c>
      <c r="AW193" s="14"/>
    </row>
    <row r="194" ht="20.15" customHeight="1" spans="1:49">
      <c r="A194" s="228">
        <f>SUBTOTAL(2,$Y$4:Y194)</f>
        <v>191</v>
      </c>
      <c r="B194" s="14" t="s">
        <v>445</v>
      </c>
      <c r="C194" s="14" t="s">
        <v>401</v>
      </c>
      <c r="D194" s="115">
        <v>3025</v>
      </c>
      <c r="E194" s="229">
        <v>49.18</v>
      </c>
      <c r="F194" s="13">
        <v>3025</v>
      </c>
      <c r="G194" s="13" t="s">
        <v>446</v>
      </c>
      <c r="H194" s="14">
        <f t="shared" si="111"/>
        <v>49.18</v>
      </c>
      <c r="I194" s="7">
        <v>5500</v>
      </c>
      <c r="J194" s="238">
        <v>500</v>
      </c>
      <c r="K194" s="69">
        <f t="shared" si="98"/>
        <v>6000</v>
      </c>
      <c r="L194" s="69">
        <v>160</v>
      </c>
      <c r="M194" s="69">
        <v>5256</v>
      </c>
      <c r="N194" s="69">
        <v>5280</v>
      </c>
      <c r="O194" s="69">
        <f t="shared" si="101"/>
        <v>24</v>
      </c>
      <c r="P194" s="231">
        <f t="shared" si="105"/>
        <v>0</v>
      </c>
      <c r="Q194" s="69">
        <f t="shared" si="106"/>
        <v>24</v>
      </c>
      <c r="R194" s="69">
        <v>0.8</v>
      </c>
      <c r="S194" s="220">
        <f t="shared" si="79"/>
        <v>17</v>
      </c>
      <c r="T194" s="220">
        <f t="shared" si="107"/>
        <v>19</v>
      </c>
      <c r="U194" s="222">
        <f t="shared" si="108"/>
        <v>275</v>
      </c>
      <c r="V194" s="220">
        <f t="shared" si="109"/>
        <v>413</v>
      </c>
      <c r="W194" s="69">
        <f t="shared" ref="W194:W220" si="112">ROUND(H194*0.2,0)</f>
        <v>10</v>
      </c>
      <c r="X194" s="220">
        <f t="shared" si="110"/>
        <v>85</v>
      </c>
      <c r="Y194" s="69">
        <f t="shared" si="80"/>
        <v>6694</v>
      </c>
      <c r="Z194" s="69"/>
      <c r="AA194" s="69"/>
      <c r="AB194" s="69"/>
      <c r="AC194" s="69"/>
      <c r="AD194" s="69">
        <f t="shared" si="99"/>
        <v>0</v>
      </c>
      <c r="AE194" s="69"/>
      <c r="AF194" s="69"/>
      <c r="AG194" s="69"/>
      <c r="AH194" s="69">
        <f t="shared" si="103"/>
        <v>0</v>
      </c>
      <c r="AI194" s="69">
        <f t="shared" si="104"/>
        <v>6694</v>
      </c>
      <c r="AJ194" s="69"/>
      <c r="AK194" s="232"/>
      <c r="AL194" s="212"/>
      <c r="AM194" s="212"/>
      <c r="AN194" s="212"/>
      <c r="AO194" s="212"/>
      <c r="AP194" s="69">
        <f t="shared" si="84"/>
        <v>0</v>
      </c>
      <c r="AQ194" s="7"/>
      <c r="AR194" s="69"/>
      <c r="AS194" s="69"/>
      <c r="AT194" s="69"/>
      <c r="AU194" s="69">
        <f t="shared" si="87"/>
        <v>0</v>
      </c>
      <c r="AV194" s="69">
        <f t="shared" si="88"/>
        <v>6694</v>
      </c>
      <c r="AW194" s="14"/>
    </row>
    <row r="195" ht="20.15" customHeight="1" spans="1:49">
      <c r="A195" s="228">
        <f>SUBTOTAL(2,$Y$4:Y195)</f>
        <v>192</v>
      </c>
      <c r="B195" s="14" t="s">
        <v>447</v>
      </c>
      <c r="C195" s="14" t="s">
        <v>401</v>
      </c>
      <c r="D195" s="115">
        <v>3026</v>
      </c>
      <c r="E195" s="229">
        <v>42.68</v>
      </c>
      <c r="F195" s="13" t="s">
        <v>448</v>
      </c>
      <c r="G195" s="13" t="s">
        <v>449</v>
      </c>
      <c r="H195" s="14">
        <v>77.95</v>
      </c>
      <c r="I195" s="7">
        <v>5000</v>
      </c>
      <c r="J195" s="238">
        <v>500</v>
      </c>
      <c r="K195" s="69">
        <f t="shared" si="98"/>
        <v>5500</v>
      </c>
      <c r="L195" s="69">
        <v>320</v>
      </c>
      <c r="M195" s="69">
        <v>4043</v>
      </c>
      <c r="N195" s="69">
        <v>4199</v>
      </c>
      <c r="O195" s="69">
        <f t="shared" si="101"/>
        <v>156</v>
      </c>
      <c r="P195" s="264">
        <f>ROUND(H194*0,0)</f>
        <v>0</v>
      </c>
      <c r="Q195" s="69">
        <f t="shared" si="106"/>
        <v>156</v>
      </c>
      <c r="R195" s="69">
        <v>0.8</v>
      </c>
      <c r="S195" s="220">
        <f t="shared" si="79"/>
        <v>109</v>
      </c>
      <c r="T195" s="220">
        <f t="shared" si="107"/>
        <v>125</v>
      </c>
      <c r="U195" s="236">
        <f>ROUND(H195*0,0)</f>
        <v>0</v>
      </c>
      <c r="V195" s="220">
        <f t="shared" si="109"/>
        <v>0</v>
      </c>
      <c r="W195" s="69">
        <f t="shared" si="112"/>
        <v>16</v>
      </c>
      <c r="X195" s="220">
        <f t="shared" si="110"/>
        <v>136</v>
      </c>
      <c r="Y195" s="69">
        <f t="shared" si="80"/>
        <v>6190</v>
      </c>
      <c r="Z195" s="69"/>
      <c r="AA195" s="69"/>
      <c r="AB195" s="69"/>
      <c r="AC195" s="69"/>
      <c r="AD195" s="69">
        <f t="shared" si="99"/>
        <v>0</v>
      </c>
      <c r="AE195" s="69"/>
      <c r="AF195" s="69"/>
      <c r="AG195" s="69"/>
      <c r="AH195" s="69">
        <f t="shared" si="103"/>
        <v>0</v>
      </c>
      <c r="AI195" s="69">
        <f t="shared" si="104"/>
        <v>6190</v>
      </c>
      <c r="AJ195" s="69"/>
      <c r="AK195" s="232"/>
      <c r="AL195" s="212"/>
      <c r="AM195" s="212"/>
      <c r="AN195" s="212"/>
      <c r="AO195" s="212"/>
      <c r="AP195" s="69">
        <f t="shared" si="84"/>
        <v>0</v>
      </c>
      <c r="AQ195" s="7"/>
      <c r="AR195" s="69"/>
      <c r="AS195" s="69"/>
      <c r="AT195" s="69"/>
      <c r="AU195" s="69">
        <f t="shared" si="87"/>
        <v>0</v>
      </c>
      <c r="AV195" s="69">
        <f t="shared" si="88"/>
        <v>6190</v>
      </c>
      <c r="AW195" s="14"/>
    </row>
    <row r="196" ht="20.15" customHeight="1" spans="1:49">
      <c r="A196" s="228">
        <f>SUBTOTAL(2,$Y$4:Y196)</f>
        <v>193</v>
      </c>
      <c r="B196" s="14" t="s">
        <v>450</v>
      </c>
      <c r="C196" s="14" t="s">
        <v>401</v>
      </c>
      <c r="D196" s="115">
        <v>3027</v>
      </c>
      <c r="E196" s="229">
        <v>35.27</v>
      </c>
      <c r="F196" s="13">
        <v>3027</v>
      </c>
      <c r="G196" s="159" t="s">
        <v>449</v>
      </c>
      <c r="H196" s="14"/>
      <c r="I196" s="69"/>
      <c r="J196" s="230"/>
      <c r="K196" s="69">
        <f t="shared" si="98"/>
        <v>0</v>
      </c>
      <c r="L196" s="237">
        <v>0</v>
      </c>
      <c r="M196" s="69">
        <v>7556</v>
      </c>
      <c r="N196" s="69">
        <v>7749</v>
      </c>
      <c r="O196" s="69">
        <f t="shared" si="101"/>
        <v>193</v>
      </c>
      <c r="P196" s="231">
        <f>ROUND(H196*0,0)</f>
        <v>0</v>
      </c>
      <c r="Q196" s="69">
        <f t="shared" si="106"/>
        <v>193</v>
      </c>
      <c r="R196" s="69">
        <v>0.8</v>
      </c>
      <c r="S196" s="220">
        <f t="shared" si="79"/>
        <v>135</v>
      </c>
      <c r="T196" s="220">
        <f t="shared" si="107"/>
        <v>154</v>
      </c>
      <c r="U196" s="222">
        <f t="shared" ref="U196:U217" si="113">ROUND(H196*5.6,0)</f>
        <v>0</v>
      </c>
      <c r="V196" s="220">
        <f t="shared" si="109"/>
        <v>0</v>
      </c>
      <c r="W196" s="69">
        <f t="shared" si="112"/>
        <v>0</v>
      </c>
      <c r="X196" s="220">
        <f t="shared" si="110"/>
        <v>0</v>
      </c>
      <c r="Y196" s="69">
        <f t="shared" si="80"/>
        <v>289</v>
      </c>
      <c r="Z196" s="69"/>
      <c r="AA196" s="69"/>
      <c r="AB196" s="69"/>
      <c r="AC196" s="69"/>
      <c r="AD196" s="69">
        <f t="shared" si="99"/>
        <v>0</v>
      </c>
      <c r="AE196" s="69"/>
      <c r="AF196" s="69"/>
      <c r="AG196" s="69"/>
      <c r="AH196" s="69">
        <f t="shared" si="103"/>
        <v>0</v>
      </c>
      <c r="AI196" s="69">
        <f t="shared" si="104"/>
        <v>289</v>
      </c>
      <c r="AJ196" s="69"/>
      <c r="AK196" s="232"/>
      <c r="AL196" s="212"/>
      <c r="AM196" s="212"/>
      <c r="AN196" s="212"/>
      <c r="AO196" s="212"/>
      <c r="AP196" s="69">
        <f t="shared" si="84"/>
        <v>0</v>
      </c>
      <c r="AQ196" s="7"/>
      <c r="AR196" s="69"/>
      <c r="AS196" s="69"/>
      <c r="AT196" s="69"/>
      <c r="AU196" s="69">
        <f t="shared" si="87"/>
        <v>0</v>
      </c>
      <c r="AV196" s="69">
        <f t="shared" si="88"/>
        <v>289</v>
      </c>
      <c r="AW196" s="14"/>
    </row>
    <row r="197" ht="20.15" customHeight="1" spans="1:49">
      <c r="A197" s="228">
        <f>SUBTOTAL(2,$Y$4:Y197)</f>
        <v>194</v>
      </c>
      <c r="B197" s="14" t="s">
        <v>451</v>
      </c>
      <c r="C197" s="14" t="s">
        <v>401</v>
      </c>
      <c r="D197" s="115">
        <v>3030</v>
      </c>
      <c r="E197" s="229">
        <v>30.53</v>
      </c>
      <c r="F197" s="22">
        <v>3030</v>
      </c>
      <c r="G197" s="22" t="s">
        <v>452</v>
      </c>
      <c r="H197" s="14">
        <f t="shared" ref="H197:H205" si="114">E197</f>
        <v>30.53</v>
      </c>
      <c r="I197" s="7">
        <v>5000</v>
      </c>
      <c r="J197" s="7">
        <v>500</v>
      </c>
      <c r="K197" s="67">
        <f t="shared" si="98"/>
        <v>5500</v>
      </c>
      <c r="L197" s="69">
        <v>160</v>
      </c>
      <c r="M197" s="67">
        <v>9867</v>
      </c>
      <c r="N197" s="67">
        <v>9976</v>
      </c>
      <c r="O197" s="69">
        <f t="shared" si="101"/>
        <v>109</v>
      </c>
      <c r="P197" s="231">
        <f>ROUND(H197*0,0)</f>
        <v>0</v>
      </c>
      <c r="Q197" s="69">
        <f t="shared" si="106"/>
        <v>109</v>
      </c>
      <c r="R197" s="69">
        <v>0.8</v>
      </c>
      <c r="S197" s="220">
        <f t="shared" si="79"/>
        <v>76</v>
      </c>
      <c r="T197" s="220">
        <f t="shared" si="107"/>
        <v>87</v>
      </c>
      <c r="U197" s="222">
        <f t="shared" si="113"/>
        <v>171</v>
      </c>
      <c r="V197" s="220">
        <f t="shared" si="109"/>
        <v>257</v>
      </c>
      <c r="W197" s="69">
        <f t="shared" si="112"/>
        <v>6</v>
      </c>
      <c r="X197" s="220">
        <f t="shared" si="110"/>
        <v>51</v>
      </c>
      <c r="Y197" s="69">
        <f t="shared" si="80"/>
        <v>6131</v>
      </c>
      <c r="Z197" s="69"/>
      <c r="AA197" s="69"/>
      <c r="AB197" s="69"/>
      <c r="AC197" s="69"/>
      <c r="AD197" s="69">
        <f t="shared" si="99"/>
        <v>0</v>
      </c>
      <c r="AE197" s="69"/>
      <c r="AF197" s="69"/>
      <c r="AG197" s="69"/>
      <c r="AH197" s="69">
        <f t="shared" si="103"/>
        <v>0</v>
      </c>
      <c r="AI197" s="69">
        <f t="shared" si="104"/>
        <v>6131</v>
      </c>
      <c r="AJ197" s="69"/>
      <c r="AK197" s="232"/>
      <c r="AL197" s="212"/>
      <c r="AM197" s="212"/>
      <c r="AN197" s="212"/>
      <c r="AO197" s="212"/>
      <c r="AP197" s="69">
        <f t="shared" si="84"/>
        <v>0</v>
      </c>
      <c r="AQ197" s="7"/>
      <c r="AR197" s="69"/>
      <c r="AS197" s="69"/>
      <c r="AT197" s="69"/>
      <c r="AU197" s="69">
        <f t="shared" si="87"/>
        <v>0</v>
      </c>
      <c r="AV197" s="69">
        <f t="shared" si="88"/>
        <v>6131</v>
      </c>
      <c r="AW197" s="14"/>
    </row>
    <row r="198" ht="20.15" customHeight="1" spans="1:49">
      <c r="A198" s="228">
        <f>SUBTOTAL(2,$Y$4:Y198)</f>
        <v>195</v>
      </c>
      <c r="B198" s="14" t="s">
        <v>453</v>
      </c>
      <c r="C198" s="14" t="s">
        <v>401</v>
      </c>
      <c r="D198" s="115">
        <v>3031</v>
      </c>
      <c r="E198" s="229">
        <v>33</v>
      </c>
      <c r="F198" s="13">
        <v>3031</v>
      </c>
      <c r="G198" s="13" t="s">
        <v>454</v>
      </c>
      <c r="H198" s="14">
        <f t="shared" si="114"/>
        <v>33</v>
      </c>
      <c r="I198" s="69">
        <v>5000</v>
      </c>
      <c r="J198" s="230">
        <v>500</v>
      </c>
      <c r="K198" s="69">
        <f t="shared" si="98"/>
        <v>5500</v>
      </c>
      <c r="L198" s="69">
        <v>160</v>
      </c>
      <c r="M198" s="69">
        <v>5081</v>
      </c>
      <c r="N198" s="69">
        <v>5095</v>
      </c>
      <c r="O198" s="69">
        <f t="shared" si="101"/>
        <v>14</v>
      </c>
      <c r="P198" s="231">
        <f t="shared" ref="P198:P217" si="115">ROUND(H198*0,0)</f>
        <v>0</v>
      </c>
      <c r="Q198" s="69">
        <f t="shared" si="106"/>
        <v>14</v>
      </c>
      <c r="R198" s="69">
        <v>0.8</v>
      </c>
      <c r="S198" s="220">
        <f t="shared" ref="S198:S224" si="116">ROUND(Q198*0.7,0)</f>
        <v>10</v>
      </c>
      <c r="T198" s="220">
        <f t="shared" si="107"/>
        <v>11</v>
      </c>
      <c r="U198" s="222">
        <f t="shared" si="113"/>
        <v>185</v>
      </c>
      <c r="V198" s="220">
        <f t="shared" si="109"/>
        <v>278</v>
      </c>
      <c r="W198" s="69">
        <f t="shared" si="112"/>
        <v>7</v>
      </c>
      <c r="X198" s="220">
        <f t="shared" si="110"/>
        <v>60</v>
      </c>
      <c r="Y198" s="69">
        <f t="shared" ref="Y198:Y216" si="117">I198+J198+L198+S198+T198+V198+X198</f>
        <v>6019</v>
      </c>
      <c r="Z198" s="69"/>
      <c r="AA198" s="69"/>
      <c r="AB198" s="69"/>
      <c r="AC198" s="69"/>
      <c r="AD198" s="69">
        <f t="shared" si="99"/>
        <v>0</v>
      </c>
      <c r="AE198" s="69"/>
      <c r="AF198" s="69"/>
      <c r="AG198" s="69"/>
      <c r="AH198" s="69">
        <f t="shared" si="103"/>
        <v>0</v>
      </c>
      <c r="AI198" s="69">
        <f t="shared" si="104"/>
        <v>6019</v>
      </c>
      <c r="AJ198" s="69"/>
      <c r="AK198" s="232"/>
      <c r="AL198" s="212"/>
      <c r="AM198" s="212"/>
      <c r="AN198" s="212"/>
      <c r="AO198" s="212"/>
      <c r="AP198" s="69">
        <f t="shared" ref="AP198:AP224" si="118">AL198+AN198+AM198+AO198</f>
        <v>0</v>
      </c>
      <c r="AQ198" s="7"/>
      <c r="AR198" s="69"/>
      <c r="AS198" s="69"/>
      <c r="AT198" s="69"/>
      <c r="AU198" s="69">
        <f t="shared" si="87"/>
        <v>0</v>
      </c>
      <c r="AV198" s="69">
        <f t="shared" si="88"/>
        <v>6019</v>
      </c>
      <c r="AW198" s="14"/>
    </row>
    <row r="199" ht="20.15" customHeight="1" spans="1:49">
      <c r="A199" s="228">
        <f>SUBTOTAL(2,$Y$4:Y199)</f>
        <v>196</v>
      </c>
      <c r="B199" s="14" t="s">
        <v>455</v>
      </c>
      <c r="C199" s="14" t="s">
        <v>401</v>
      </c>
      <c r="D199" s="115">
        <v>3032</v>
      </c>
      <c r="E199" s="229">
        <v>31.765</v>
      </c>
      <c r="F199" s="13">
        <v>3032</v>
      </c>
      <c r="G199" s="13" t="s">
        <v>456</v>
      </c>
      <c r="H199" s="14">
        <f t="shared" si="114"/>
        <v>31.765</v>
      </c>
      <c r="I199" s="69">
        <v>5000</v>
      </c>
      <c r="J199" s="230">
        <v>500</v>
      </c>
      <c r="K199" s="69">
        <f t="shared" si="98"/>
        <v>5500</v>
      </c>
      <c r="L199" s="69">
        <v>160</v>
      </c>
      <c r="M199" s="69">
        <v>1272</v>
      </c>
      <c r="N199" s="69">
        <v>1293</v>
      </c>
      <c r="O199" s="69">
        <f t="shared" si="101"/>
        <v>21</v>
      </c>
      <c r="P199" s="231">
        <f t="shared" si="115"/>
        <v>0</v>
      </c>
      <c r="Q199" s="69">
        <f t="shared" si="106"/>
        <v>21</v>
      </c>
      <c r="R199" s="69">
        <v>0.8</v>
      </c>
      <c r="S199" s="220">
        <f t="shared" si="116"/>
        <v>15</v>
      </c>
      <c r="T199" s="220">
        <f t="shared" si="107"/>
        <v>17</v>
      </c>
      <c r="U199" s="222">
        <f t="shared" si="113"/>
        <v>178</v>
      </c>
      <c r="V199" s="220">
        <f t="shared" si="109"/>
        <v>267</v>
      </c>
      <c r="W199" s="69">
        <f t="shared" si="112"/>
        <v>6</v>
      </c>
      <c r="X199" s="220">
        <f t="shared" si="110"/>
        <v>51</v>
      </c>
      <c r="Y199" s="69">
        <f t="shared" si="117"/>
        <v>6010</v>
      </c>
      <c r="Z199" s="69"/>
      <c r="AA199" s="69"/>
      <c r="AB199" s="69"/>
      <c r="AC199" s="69"/>
      <c r="AD199" s="69">
        <f t="shared" si="99"/>
        <v>0</v>
      </c>
      <c r="AE199" s="69"/>
      <c r="AF199" s="69"/>
      <c r="AG199" s="69"/>
      <c r="AH199" s="69">
        <f t="shared" si="103"/>
        <v>0</v>
      </c>
      <c r="AI199" s="69">
        <f t="shared" si="104"/>
        <v>6010</v>
      </c>
      <c r="AJ199" s="69"/>
      <c r="AK199" s="232"/>
      <c r="AL199" s="212"/>
      <c r="AM199" s="212"/>
      <c r="AN199" s="212"/>
      <c r="AO199" s="212"/>
      <c r="AP199" s="69">
        <f t="shared" si="118"/>
        <v>0</v>
      </c>
      <c r="AQ199" s="7"/>
      <c r="AR199" s="69"/>
      <c r="AS199" s="69"/>
      <c r="AT199" s="69"/>
      <c r="AU199" s="69">
        <f t="shared" ref="AU199:AU224" si="119">SUM(AQ199:AT199)</f>
        <v>0</v>
      </c>
      <c r="AV199" s="69">
        <f t="shared" ref="AV199:AV224" si="120">AI199-AP199-AU199</f>
        <v>6010</v>
      </c>
      <c r="AW199" s="14"/>
    </row>
    <row r="200" ht="20.15" customHeight="1" spans="1:49">
      <c r="A200" s="228">
        <f>SUBTOTAL(2,$Y$4:Y200)</f>
        <v>197</v>
      </c>
      <c r="B200" s="14" t="s">
        <v>457</v>
      </c>
      <c r="C200" s="14" t="s">
        <v>401</v>
      </c>
      <c r="D200" s="115">
        <v>3033</v>
      </c>
      <c r="E200" s="229">
        <v>31.76</v>
      </c>
      <c r="F200" s="13">
        <v>3033</v>
      </c>
      <c r="G200" s="13" t="s">
        <v>458</v>
      </c>
      <c r="H200" s="14">
        <f t="shared" si="114"/>
        <v>31.76</v>
      </c>
      <c r="I200" s="69">
        <v>5000</v>
      </c>
      <c r="J200" s="230">
        <v>500</v>
      </c>
      <c r="K200" s="69">
        <f t="shared" si="98"/>
        <v>5500</v>
      </c>
      <c r="L200" s="69">
        <v>160</v>
      </c>
      <c r="M200" s="69">
        <v>9193</v>
      </c>
      <c r="N200" s="69">
        <v>9266</v>
      </c>
      <c r="O200" s="69">
        <f t="shared" si="101"/>
        <v>73</v>
      </c>
      <c r="P200" s="231">
        <f t="shared" si="115"/>
        <v>0</v>
      </c>
      <c r="Q200" s="69">
        <f t="shared" si="106"/>
        <v>73</v>
      </c>
      <c r="R200" s="69">
        <v>0.8</v>
      </c>
      <c r="S200" s="220">
        <f t="shared" si="116"/>
        <v>51</v>
      </c>
      <c r="T200" s="220">
        <f t="shared" si="107"/>
        <v>58</v>
      </c>
      <c r="U200" s="222">
        <f t="shared" si="113"/>
        <v>178</v>
      </c>
      <c r="V200" s="220">
        <f t="shared" si="109"/>
        <v>267</v>
      </c>
      <c r="W200" s="69">
        <f t="shared" si="112"/>
        <v>6</v>
      </c>
      <c r="X200" s="220">
        <f t="shared" si="110"/>
        <v>51</v>
      </c>
      <c r="Y200" s="69">
        <f t="shared" si="117"/>
        <v>6087</v>
      </c>
      <c r="Z200" s="69"/>
      <c r="AA200" s="69"/>
      <c r="AB200" s="69"/>
      <c r="AC200" s="69"/>
      <c r="AD200" s="69">
        <f t="shared" si="99"/>
        <v>0</v>
      </c>
      <c r="AE200" s="69"/>
      <c r="AF200" s="69"/>
      <c r="AG200" s="69"/>
      <c r="AH200" s="69">
        <f t="shared" si="103"/>
        <v>0</v>
      </c>
      <c r="AI200" s="69">
        <f t="shared" si="104"/>
        <v>6087</v>
      </c>
      <c r="AJ200" s="69"/>
      <c r="AK200" s="232"/>
      <c r="AL200" s="212"/>
      <c r="AM200" s="212"/>
      <c r="AN200" s="212"/>
      <c r="AO200" s="212"/>
      <c r="AP200" s="69">
        <f t="shared" si="118"/>
        <v>0</v>
      </c>
      <c r="AQ200" s="7"/>
      <c r="AR200" s="69"/>
      <c r="AS200" s="69"/>
      <c r="AT200" s="69"/>
      <c r="AU200" s="69">
        <f t="shared" si="119"/>
        <v>0</v>
      </c>
      <c r="AV200" s="69">
        <f t="shared" si="120"/>
        <v>6087</v>
      </c>
      <c r="AW200" s="14"/>
    </row>
    <row r="201" ht="20.15" customHeight="1" spans="1:49">
      <c r="A201" s="228">
        <f>SUBTOTAL(2,$Y$4:Y201)</f>
        <v>198</v>
      </c>
      <c r="B201" s="14" t="s">
        <v>459</v>
      </c>
      <c r="C201" s="14" t="s">
        <v>401</v>
      </c>
      <c r="D201" s="115">
        <v>3034</v>
      </c>
      <c r="E201" s="229">
        <v>31.765</v>
      </c>
      <c r="F201" s="95">
        <v>3034</v>
      </c>
      <c r="G201" s="95" t="s">
        <v>460</v>
      </c>
      <c r="H201" s="96">
        <f t="shared" si="114"/>
        <v>31.765</v>
      </c>
      <c r="I201" s="7">
        <v>5000</v>
      </c>
      <c r="J201" s="7">
        <v>500</v>
      </c>
      <c r="K201" s="69">
        <f t="shared" si="98"/>
        <v>5500</v>
      </c>
      <c r="L201" s="69">
        <v>160</v>
      </c>
      <c r="M201" s="69">
        <v>9421</v>
      </c>
      <c r="N201" s="69">
        <v>9497</v>
      </c>
      <c r="O201" s="69">
        <f t="shared" si="101"/>
        <v>76</v>
      </c>
      <c r="P201" s="231">
        <f t="shared" si="115"/>
        <v>0</v>
      </c>
      <c r="Q201" s="69">
        <f t="shared" si="106"/>
        <v>76</v>
      </c>
      <c r="R201" s="69">
        <v>0.8</v>
      </c>
      <c r="S201" s="220">
        <f t="shared" si="116"/>
        <v>53</v>
      </c>
      <c r="T201" s="220">
        <f t="shared" si="107"/>
        <v>61</v>
      </c>
      <c r="U201" s="222">
        <f t="shared" si="113"/>
        <v>178</v>
      </c>
      <c r="V201" s="220">
        <f t="shared" si="109"/>
        <v>267</v>
      </c>
      <c r="W201" s="69">
        <f t="shared" si="112"/>
        <v>6</v>
      </c>
      <c r="X201" s="220">
        <f t="shared" si="110"/>
        <v>51</v>
      </c>
      <c r="Y201" s="69">
        <f t="shared" si="117"/>
        <v>6092</v>
      </c>
      <c r="Z201" s="69"/>
      <c r="AA201" s="69"/>
      <c r="AB201" s="69"/>
      <c r="AC201" s="69"/>
      <c r="AD201" s="69">
        <f t="shared" si="99"/>
        <v>0</v>
      </c>
      <c r="AE201" s="69"/>
      <c r="AF201" s="69"/>
      <c r="AG201" s="69"/>
      <c r="AH201" s="69">
        <f t="shared" si="103"/>
        <v>0</v>
      </c>
      <c r="AI201" s="69">
        <f t="shared" si="104"/>
        <v>6092</v>
      </c>
      <c r="AJ201" s="69"/>
      <c r="AK201" s="232"/>
      <c r="AL201" s="212"/>
      <c r="AM201" s="212"/>
      <c r="AN201" s="212"/>
      <c r="AO201" s="212"/>
      <c r="AP201" s="69">
        <f t="shared" si="118"/>
        <v>0</v>
      </c>
      <c r="AQ201" s="7"/>
      <c r="AR201" s="69"/>
      <c r="AS201" s="69"/>
      <c r="AT201" s="69"/>
      <c r="AU201" s="69">
        <f t="shared" si="119"/>
        <v>0</v>
      </c>
      <c r="AV201" s="69">
        <f t="shared" si="120"/>
        <v>6092</v>
      </c>
      <c r="AW201" s="14"/>
    </row>
    <row r="202" ht="20.15" customHeight="1" spans="1:49">
      <c r="A202" s="228">
        <f>SUBTOTAL(2,$Y$4:Y202)</f>
        <v>199</v>
      </c>
      <c r="B202" s="14" t="s">
        <v>461</v>
      </c>
      <c r="C202" s="14" t="s">
        <v>401</v>
      </c>
      <c r="D202" s="115">
        <v>3035</v>
      </c>
      <c r="E202" s="229">
        <v>31.765</v>
      </c>
      <c r="F202" s="13">
        <v>3035</v>
      </c>
      <c r="G202" s="13" t="s">
        <v>462</v>
      </c>
      <c r="H202" s="14">
        <f t="shared" si="114"/>
        <v>31.765</v>
      </c>
      <c r="I202" s="69">
        <v>5000</v>
      </c>
      <c r="J202" s="230">
        <v>500</v>
      </c>
      <c r="K202" s="69">
        <f t="shared" si="98"/>
        <v>5500</v>
      </c>
      <c r="L202" s="69">
        <v>160</v>
      </c>
      <c r="M202" s="69">
        <v>8137</v>
      </c>
      <c r="N202" s="69">
        <v>8253</v>
      </c>
      <c r="O202" s="69">
        <f t="shared" si="101"/>
        <v>116</v>
      </c>
      <c r="P202" s="231">
        <f t="shared" si="115"/>
        <v>0</v>
      </c>
      <c r="Q202" s="69">
        <f t="shared" si="106"/>
        <v>116</v>
      </c>
      <c r="R202" s="69">
        <v>0.8</v>
      </c>
      <c r="S202" s="220">
        <f t="shared" si="116"/>
        <v>81</v>
      </c>
      <c r="T202" s="220">
        <f t="shared" si="107"/>
        <v>93</v>
      </c>
      <c r="U202" s="222">
        <f t="shared" si="113"/>
        <v>178</v>
      </c>
      <c r="V202" s="220">
        <f t="shared" si="109"/>
        <v>267</v>
      </c>
      <c r="W202" s="69">
        <f t="shared" si="112"/>
        <v>6</v>
      </c>
      <c r="X202" s="220">
        <f t="shared" si="110"/>
        <v>51</v>
      </c>
      <c r="Y202" s="69">
        <f t="shared" si="117"/>
        <v>6152</v>
      </c>
      <c r="Z202" s="69"/>
      <c r="AA202" s="69"/>
      <c r="AB202" s="69"/>
      <c r="AC202" s="69"/>
      <c r="AD202" s="69">
        <f t="shared" si="99"/>
        <v>0</v>
      </c>
      <c r="AE202" s="69"/>
      <c r="AF202" s="69"/>
      <c r="AG202" s="69"/>
      <c r="AH202" s="69">
        <f t="shared" ref="AH202:AH233" si="121">AE202+AF202-AG202</f>
        <v>0</v>
      </c>
      <c r="AI202" s="69">
        <f t="shared" ref="AI202:AI233" si="122">Y202+Z202+AJ202-AD202-AG202</f>
        <v>6152</v>
      </c>
      <c r="AJ202" s="69"/>
      <c r="AK202" s="232"/>
      <c r="AL202" s="212"/>
      <c r="AM202" s="212"/>
      <c r="AN202" s="212"/>
      <c r="AO202" s="212"/>
      <c r="AP202" s="69">
        <f t="shared" si="118"/>
        <v>0</v>
      </c>
      <c r="AQ202" s="7"/>
      <c r="AR202" s="69"/>
      <c r="AS202" s="69"/>
      <c r="AT202" s="69"/>
      <c r="AU202" s="69">
        <f t="shared" si="119"/>
        <v>0</v>
      </c>
      <c r="AV202" s="69">
        <f t="shared" si="120"/>
        <v>6152</v>
      </c>
      <c r="AW202" s="14"/>
    </row>
    <row r="203" ht="20.15" customHeight="1" spans="1:49">
      <c r="A203" s="228">
        <f>SUBTOTAL(2,$Y$4:Y203)</f>
        <v>200</v>
      </c>
      <c r="B203" s="14" t="s">
        <v>463</v>
      </c>
      <c r="C203" s="14" t="s">
        <v>401</v>
      </c>
      <c r="D203" s="115">
        <v>3036</v>
      </c>
      <c r="E203" s="229">
        <v>31.765</v>
      </c>
      <c r="F203" s="13">
        <v>3036</v>
      </c>
      <c r="G203" s="13" t="s">
        <v>464</v>
      </c>
      <c r="H203" s="14">
        <f t="shared" si="114"/>
        <v>31.765</v>
      </c>
      <c r="I203" s="69">
        <v>5000</v>
      </c>
      <c r="J203" s="230">
        <v>500</v>
      </c>
      <c r="K203" s="69">
        <f t="shared" si="98"/>
        <v>5500</v>
      </c>
      <c r="L203" s="69">
        <v>160</v>
      </c>
      <c r="M203" s="69">
        <v>1157</v>
      </c>
      <c r="N203" s="69">
        <v>1214</v>
      </c>
      <c r="O203" s="69">
        <f t="shared" si="101"/>
        <v>57</v>
      </c>
      <c r="P203" s="231">
        <f t="shared" si="115"/>
        <v>0</v>
      </c>
      <c r="Q203" s="69">
        <f t="shared" si="106"/>
        <v>57</v>
      </c>
      <c r="R203" s="69">
        <v>0.8</v>
      </c>
      <c r="S203" s="220">
        <f t="shared" si="116"/>
        <v>40</v>
      </c>
      <c r="T203" s="220">
        <f t="shared" si="107"/>
        <v>46</v>
      </c>
      <c r="U203" s="222">
        <f t="shared" si="113"/>
        <v>178</v>
      </c>
      <c r="V203" s="220">
        <f t="shared" si="109"/>
        <v>267</v>
      </c>
      <c r="W203" s="69">
        <f t="shared" si="112"/>
        <v>6</v>
      </c>
      <c r="X203" s="220">
        <f t="shared" ref="X203:X222" si="123">ROUND(W203*8.5,0)</f>
        <v>51</v>
      </c>
      <c r="Y203" s="69">
        <f t="shared" si="117"/>
        <v>6064</v>
      </c>
      <c r="Z203" s="69"/>
      <c r="AA203" s="69"/>
      <c r="AB203" s="69"/>
      <c r="AC203" s="69"/>
      <c r="AD203" s="69">
        <f t="shared" si="99"/>
        <v>0</v>
      </c>
      <c r="AE203" s="69"/>
      <c r="AF203" s="69"/>
      <c r="AG203" s="69"/>
      <c r="AH203" s="69">
        <f t="shared" si="121"/>
        <v>0</v>
      </c>
      <c r="AI203" s="69">
        <f t="shared" si="122"/>
        <v>6064</v>
      </c>
      <c r="AJ203" s="69"/>
      <c r="AK203" s="232"/>
      <c r="AL203" s="212"/>
      <c r="AM203" s="212"/>
      <c r="AN203" s="212"/>
      <c r="AO203" s="212"/>
      <c r="AP203" s="69">
        <f t="shared" si="118"/>
        <v>0</v>
      </c>
      <c r="AQ203" s="7"/>
      <c r="AR203" s="69"/>
      <c r="AS203" s="69"/>
      <c r="AT203" s="69"/>
      <c r="AU203" s="69">
        <f t="shared" si="119"/>
        <v>0</v>
      </c>
      <c r="AV203" s="69">
        <f t="shared" si="120"/>
        <v>6064</v>
      </c>
      <c r="AW203" s="14"/>
    </row>
    <row r="204" ht="20.15" customHeight="1" spans="1:49">
      <c r="A204" s="228">
        <f>SUBTOTAL(2,$Y$4:Y204)</f>
        <v>201</v>
      </c>
      <c r="B204" s="14" t="s">
        <v>465</v>
      </c>
      <c r="C204" s="14" t="s">
        <v>401</v>
      </c>
      <c r="D204" s="115" t="s">
        <v>466</v>
      </c>
      <c r="E204" s="229">
        <v>31.76</v>
      </c>
      <c r="F204" s="13">
        <v>3037</v>
      </c>
      <c r="G204" s="13" t="s">
        <v>467</v>
      </c>
      <c r="H204" s="14">
        <f t="shared" si="114"/>
        <v>31.76</v>
      </c>
      <c r="I204" s="69">
        <v>5000</v>
      </c>
      <c r="J204" s="230">
        <v>500</v>
      </c>
      <c r="K204" s="69">
        <f t="shared" si="98"/>
        <v>5500</v>
      </c>
      <c r="L204" s="69">
        <v>160</v>
      </c>
      <c r="M204" s="69">
        <v>5251</v>
      </c>
      <c r="N204" s="69">
        <v>5344</v>
      </c>
      <c r="O204" s="69">
        <f t="shared" si="101"/>
        <v>93</v>
      </c>
      <c r="P204" s="231">
        <f t="shared" si="115"/>
        <v>0</v>
      </c>
      <c r="Q204" s="69">
        <f t="shared" si="106"/>
        <v>93</v>
      </c>
      <c r="R204" s="69">
        <v>0.8</v>
      </c>
      <c r="S204" s="220">
        <f t="shared" si="116"/>
        <v>65</v>
      </c>
      <c r="T204" s="220">
        <f t="shared" si="107"/>
        <v>74</v>
      </c>
      <c r="U204" s="222">
        <f t="shared" si="113"/>
        <v>178</v>
      </c>
      <c r="V204" s="220">
        <f t="shared" si="109"/>
        <v>267</v>
      </c>
      <c r="W204" s="69">
        <f t="shared" si="112"/>
        <v>6</v>
      </c>
      <c r="X204" s="220">
        <f t="shared" si="123"/>
        <v>51</v>
      </c>
      <c r="Y204" s="69">
        <f t="shared" si="117"/>
        <v>6117</v>
      </c>
      <c r="Z204" s="69"/>
      <c r="AA204" s="69"/>
      <c r="AB204" s="69"/>
      <c r="AC204" s="69"/>
      <c r="AD204" s="69">
        <f t="shared" si="99"/>
        <v>0</v>
      </c>
      <c r="AE204" s="69"/>
      <c r="AF204" s="69"/>
      <c r="AG204" s="69"/>
      <c r="AH204" s="69">
        <f t="shared" si="121"/>
        <v>0</v>
      </c>
      <c r="AI204" s="69">
        <f t="shared" si="122"/>
        <v>6117</v>
      </c>
      <c r="AJ204" s="69"/>
      <c r="AK204" s="232"/>
      <c r="AL204" s="212"/>
      <c r="AM204" s="212"/>
      <c r="AN204" s="212"/>
      <c r="AO204" s="212"/>
      <c r="AP204" s="69">
        <f t="shared" si="118"/>
        <v>0</v>
      </c>
      <c r="AQ204" s="7"/>
      <c r="AR204" s="69"/>
      <c r="AS204" s="69"/>
      <c r="AT204" s="69"/>
      <c r="AU204" s="69">
        <f t="shared" si="119"/>
        <v>0</v>
      </c>
      <c r="AV204" s="69">
        <f t="shared" si="120"/>
        <v>6117</v>
      </c>
      <c r="AW204" s="14"/>
    </row>
    <row r="205" s="3" customFormat="1" ht="20.15" customHeight="1" spans="1:49">
      <c r="A205" s="228">
        <f>SUBTOTAL(2,$Y$4:Y205)</f>
        <v>202</v>
      </c>
      <c r="B205" s="14" t="s">
        <v>468</v>
      </c>
      <c r="C205" s="14" t="s">
        <v>401</v>
      </c>
      <c r="D205" s="115">
        <v>3038</v>
      </c>
      <c r="E205" s="229">
        <v>31.76</v>
      </c>
      <c r="F205" s="95">
        <v>3038</v>
      </c>
      <c r="G205" s="95" t="s">
        <v>469</v>
      </c>
      <c r="H205" s="14">
        <f t="shared" si="114"/>
        <v>31.76</v>
      </c>
      <c r="I205" s="7">
        <v>5000</v>
      </c>
      <c r="J205" s="7">
        <v>500</v>
      </c>
      <c r="K205" s="69">
        <f t="shared" si="98"/>
        <v>5500</v>
      </c>
      <c r="L205" s="69">
        <v>160</v>
      </c>
      <c r="M205" s="69">
        <v>5913</v>
      </c>
      <c r="N205" s="69">
        <v>5988</v>
      </c>
      <c r="O205" s="69">
        <f t="shared" si="101"/>
        <v>75</v>
      </c>
      <c r="P205" s="231">
        <f t="shared" si="115"/>
        <v>0</v>
      </c>
      <c r="Q205" s="69">
        <f t="shared" si="106"/>
        <v>75</v>
      </c>
      <c r="R205" s="69">
        <v>0.8</v>
      </c>
      <c r="S205" s="220">
        <f t="shared" si="116"/>
        <v>53</v>
      </c>
      <c r="T205" s="220">
        <f t="shared" si="107"/>
        <v>60</v>
      </c>
      <c r="U205" s="222">
        <f t="shared" si="113"/>
        <v>178</v>
      </c>
      <c r="V205" s="220">
        <f t="shared" si="109"/>
        <v>267</v>
      </c>
      <c r="W205" s="69">
        <f t="shared" si="112"/>
        <v>6</v>
      </c>
      <c r="X205" s="220">
        <f t="shared" si="123"/>
        <v>51</v>
      </c>
      <c r="Y205" s="69">
        <f t="shared" si="117"/>
        <v>6091</v>
      </c>
      <c r="Z205" s="69"/>
      <c r="AA205" s="69"/>
      <c r="AB205" s="69"/>
      <c r="AC205" s="69"/>
      <c r="AD205" s="69">
        <f t="shared" si="99"/>
        <v>0</v>
      </c>
      <c r="AE205" s="69"/>
      <c r="AF205" s="69"/>
      <c r="AG205" s="69"/>
      <c r="AH205" s="69">
        <f t="shared" si="121"/>
        <v>0</v>
      </c>
      <c r="AI205" s="69">
        <f t="shared" si="122"/>
        <v>6091</v>
      </c>
      <c r="AJ205" s="69"/>
      <c r="AK205" s="232"/>
      <c r="AL205" s="212"/>
      <c r="AM205" s="212"/>
      <c r="AN205" s="212"/>
      <c r="AO205" s="212"/>
      <c r="AP205" s="69">
        <f t="shared" si="118"/>
        <v>0</v>
      </c>
      <c r="AQ205" s="7"/>
      <c r="AR205" s="69"/>
      <c r="AS205" s="69"/>
      <c r="AT205" s="69"/>
      <c r="AU205" s="69">
        <f t="shared" si="119"/>
        <v>0</v>
      </c>
      <c r="AV205" s="69">
        <f t="shared" si="120"/>
        <v>6091</v>
      </c>
      <c r="AW205" s="14"/>
    </row>
    <row r="206" ht="20.15" customHeight="1" spans="1:49">
      <c r="A206" s="228">
        <f>SUBTOTAL(2,$Y$4:Y206)</f>
        <v>203</v>
      </c>
      <c r="B206" s="14" t="s">
        <v>470</v>
      </c>
      <c r="C206" s="14" t="s">
        <v>401</v>
      </c>
      <c r="D206" s="115">
        <v>3039</v>
      </c>
      <c r="E206" s="229">
        <v>31.76</v>
      </c>
      <c r="F206" s="13">
        <v>3039</v>
      </c>
      <c r="G206" s="13" t="s">
        <v>471</v>
      </c>
      <c r="H206" s="14">
        <f t="shared" ref="H206:H217" si="124">E206</f>
        <v>31.76</v>
      </c>
      <c r="I206" s="69">
        <v>5000</v>
      </c>
      <c r="J206" s="230">
        <v>500</v>
      </c>
      <c r="K206" s="69">
        <f t="shared" si="98"/>
        <v>5500</v>
      </c>
      <c r="L206" s="69">
        <v>160</v>
      </c>
      <c r="M206" s="67">
        <v>2655</v>
      </c>
      <c r="N206" s="67">
        <v>2803</v>
      </c>
      <c r="O206" s="69">
        <f t="shared" si="101"/>
        <v>148</v>
      </c>
      <c r="P206" s="231">
        <f t="shared" si="115"/>
        <v>0</v>
      </c>
      <c r="Q206" s="69">
        <f t="shared" si="106"/>
        <v>148</v>
      </c>
      <c r="R206" s="69">
        <v>0.8</v>
      </c>
      <c r="S206" s="220">
        <f t="shared" si="116"/>
        <v>104</v>
      </c>
      <c r="T206" s="220">
        <f t="shared" si="107"/>
        <v>118</v>
      </c>
      <c r="U206" s="222">
        <f t="shared" si="113"/>
        <v>178</v>
      </c>
      <c r="V206" s="220">
        <f t="shared" si="109"/>
        <v>267</v>
      </c>
      <c r="W206" s="69">
        <f t="shared" si="112"/>
        <v>6</v>
      </c>
      <c r="X206" s="220">
        <f t="shared" si="123"/>
        <v>51</v>
      </c>
      <c r="Y206" s="69">
        <f t="shared" si="117"/>
        <v>6200</v>
      </c>
      <c r="Z206" s="69"/>
      <c r="AA206" s="69"/>
      <c r="AB206" s="69"/>
      <c r="AC206" s="69"/>
      <c r="AD206" s="69">
        <f t="shared" si="99"/>
        <v>0</v>
      </c>
      <c r="AE206" s="69"/>
      <c r="AF206" s="69"/>
      <c r="AG206" s="69"/>
      <c r="AH206" s="69">
        <f t="shared" si="121"/>
        <v>0</v>
      </c>
      <c r="AI206" s="69">
        <f t="shared" si="122"/>
        <v>6200</v>
      </c>
      <c r="AJ206" s="69"/>
      <c r="AK206" s="232"/>
      <c r="AL206" s="212"/>
      <c r="AM206" s="212"/>
      <c r="AN206" s="212"/>
      <c r="AO206" s="212"/>
      <c r="AP206" s="69">
        <f t="shared" si="118"/>
        <v>0</v>
      </c>
      <c r="AQ206" s="7"/>
      <c r="AR206" s="69"/>
      <c r="AS206" s="69"/>
      <c r="AT206" s="69"/>
      <c r="AU206" s="69">
        <f t="shared" si="119"/>
        <v>0</v>
      </c>
      <c r="AV206" s="69">
        <f t="shared" si="120"/>
        <v>6200</v>
      </c>
      <c r="AW206" s="14"/>
    </row>
    <row r="207" ht="20.15" customHeight="1" spans="1:49">
      <c r="A207" s="228">
        <f>SUBTOTAL(2,$Y$4:Y207)</f>
        <v>204</v>
      </c>
      <c r="B207" s="14" t="s">
        <v>472</v>
      </c>
      <c r="C207" s="14" t="s">
        <v>401</v>
      </c>
      <c r="D207" s="115">
        <v>3040</v>
      </c>
      <c r="E207" s="229">
        <v>31.76</v>
      </c>
      <c r="F207" s="118">
        <v>3040</v>
      </c>
      <c r="G207" s="118" t="s">
        <v>473</v>
      </c>
      <c r="H207" s="240">
        <f t="shared" si="124"/>
        <v>31.76</v>
      </c>
      <c r="I207" s="241">
        <v>5000</v>
      </c>
      <c r="J207" s="242">
        <v>500</v>
      </c>
      <c r="K207" s="69">
        <f t="shared" ref="K207:K224" si="125">I207+J207</f>
        <v>5500</v>
      </c>
      <c r="L207" s="69">
        <v>160</v>
      </c>
      <c r="M207" s="67">
        <v>6990</v>
      </c>
      <c r="N207" s="67">
        <v>7123</v>
      </c>
      <c r="O207" s="69">
        <f t="shared" si="101"/>
        <v>133</v>
      </c>
      <c r="P207" s="231">
        <f t="shared" si="115"/>
        <v>0</v>
      </c>
      <c r="Q207" s="69">
        <f t="shared" si="106"/>
        <v>133</v>
      </c>
      <c r="R207" s="69">
        <v>0.8</v>
      </c>
      <c r="S207" s="220">
        <f t="shared" si="116"/>
        <v>93</v>
      </c>
      <c r="T207" s="220">
        <f t="shared" si="107"/>
        <v>106</v>
      </c>
      <c r="U207" s="222">
        <f t="shared" si="113"/>
        <v>178</v>
      </c>
      <c r="V207" s="220">
        <f t="shared" si="109"/>
        <v>267</v>
      </c>
      <c r="W207" s="69">
        <f t="shared" si="112"/>
        <v>6</v>
      </c>
      <c r="X207" s="220">
        <f t="shared" si="123"/>
        <v>51</v>
      </c>
      <c r="Y207" s="69">
        <f t="shared" si="117"/>
        <v>6177</v>
      </c>
      <c r="Z207" s="69"/>
      <c r="AA207" s="69"/>
      <c r="AB207" s="69"/>
      <c r="AC207" s="69"/>
      <c r="AD207" s="69">
        <f t="shared" si="99"/>
        <v>0</v>
      </c>
      <c r="AE207" s="69"/>
      <c r="AF207" s="69"/>
      <c r="AG207" s="69"/>
      <c r="AH207" s="69">
        <f t="shared" si="121"/>
        <v>0</v>
      </c>
      <c r="AI207" s="69">
        <f t="shared" si="122"/>
        <v>6177</v>
      </c>
      <c r="AJ207" s="69"/>
      <c r="AK207" s="232"/>
      <c r="AL207" s="212"/>
      <c r="AM207" s="212"/>
      <c r="AN207" s="212"/>
      <c r="AO207" s="212"/>
      <c r="AP207" s="69">
        <f t="shared" si="118"/>
        <v>0</v>
      </c>
      <c r="AQ207" s="7"/>
      <c r="AR207" s="69"/>
      <c r="AS207" s="69"/>
      <c r="AT207" s="69"/>
      <c r="AU207" s="69">
        <f t="shared" si="119"/>
        <v>0</v>
      </c>
      <c r="AV207" s="69">
        <f t="shared" si="120"/>
        <v>6177</v>
      </c>
      <c r="AW207" s="14"/>
    </row>
    <row r="208" ht="20.15" customHeight="1" spans="1:49">
      <c r="A208" s="228">
        <f>SUBTOTAL(2,$Y$4:Y208)</f>
        <v>205</v>
      </c>
      <c r="B208" s="14" t="s">
        <v>474</v>
      </c>
      <c r="C208" s="14" t="s">
        <v>401</v>
      </c>
      <c r="D208" s="115">
        <v>3041</v>
      </c>
      <c r="E208" s="229">
        <v>31.76</v>
      </c>
      <c r="F208" s="118">
        <v>3041</v>
      </c>
      <c r="G208" s="118" t="s">
        <v>436</v>
      </c>
      <c r="H208" s="240">
        <f t="shared" si="124"/>
        <v>31.76</v>
      </c>
      <c r="I208" s="257">
        <v>5000</v>
      </c>
      <c r="J208" s="242">
        <v>500</v>
      </c>
      <c r="K208" s="69">
        <f t="shared" si="125"/>
        <v>5500</v>
      </c>
      <c r="L208" s="69">
        <v>160</v>
      </c>
      <c r="M208" s="69">
        <v>8834</v>
      </c>
      <c r="N208" s="69">
        <v>8856</v>
      </c>
      <c r="O208" s="69">
        <f t="shared" si="101"/>
        <v>22</v>
      </c>
      <c r="P208" s="231">
        <f t="shared" si="115"/>
        <v>0</v>
      </c>
      <c r="Q208" s="69">
        <f t="shared" si="106"/>
        <v>22</v>
      </c>
      <c r="R208" s="69">
        <v>0.8</v>
      </c>
      <c r="S208" s="220">
        <f t="shared" si="116"/>
        <v>15</v>
      </c>
      <c r="T208" s="220">
        <f t="shared" si="107"/>
        <v>18</v>
      </c>
      <c r="U208" s="222">
        <f t="shared" si="113"/>
        <v>178</v>
      </c>
      <c r="V208" s="220">
        <f t="shared" si="109"/>
        <v>267</v>
      </c>
      <c r="W208" s="69">
        <f t="shared" si="112"/>
        <v>6</v>
      </c>
      <c r="X208" s="220">
        <f t="shared" si="123"/>
        <v>51</v>
      </c>
      <c r="Y208" s="69">
        <f t="shared" si="117"/>
        <v>6011</v>
      </c>
      <c r="Z208" s="69"/>
      <c r="AA208" s="69"/>
      <c r="AB208" s="69"/>
      <c r="AC208" s="69"/>
      <c r="AD208" s="69">
        <f t="shared" si="99"/>
        <v>0</v>
      </c>
      <c r="AE208" s="69"/>
      <c r="AF208" s="69"/>
      <c r="AG208" s="69"/>
      <c r="AH208" s="69">
        <f t="shared" si="121"/>
        <v>0</v>
      </c>
      <c r="AI208" s="69">
        <f t="shared" si="122"/>
        <v>6011</v>
      </c>
      <c r="AJ208" s="69"/>
      <c r="AK208" s="232"/>
      <c r="AL208" s="212"/>
      <c r="AM208" s="212"/>
      <c r="AN208" s="212"/>
      <c r="AO208" s="212"/>
      <c r="AP208" s="69">
        <f t="shared" si="118"/>
        <v>0</v>
      </c>
      <c r="AQ208" s="7"/>
      <c r="AR208" s="69"/>
      <c r="AS208" s="69"/>
      <c r="AT208" s="69"/>
      <c r="AU208" s="69">
        <f t="shared" si="119"/>
        <v>0</v>
      </c>
      <c r="AV208" s="69">
        <f t="shared" si="120"/>
        <v>6011</v>
      </c>
      <c r="AW208" s="14"/>
    </row>
    <row r="209" ht="20.15" customHeight="1" spans="1:49">
      <c r="A209" s="228">
        <f>SUBTOTAL(2,$Y$4:Y209)</f>
        <v>206</v>
      </c>
      <c r="B209" s="14" t="s">
        <v>475</v>
      </c>
      <c r="C209" s="14" t="s">
        <v>401</v>
      </c>
      <c r="D209" s="115">
        <v>3042</v>
      </c>
      <c r="E209" s="229">
        <v>31.76</v>
      </c>
      <c r="F209" s="13">
        <v>3042</v>
      </c>
      <c r="G209" s="13" t="s">
        <v>476</v>
      </c>
      <c r="H209" s="14">
        <f t="shared" si="124"/>
        <v>31.76</v>
      </c>
      <c r="I209" s="67">
        <v>5000</v>
      </c>
      <c r="J209" s="226">
        <v>500</v>
      </c>
      <c r="K209" s="69">
        <f t="shared" si="125"/>
        <v>5500</v>
      </c>
      <c r="L209" s="69">
        <v>160</v>
      </c>
      <c r="M209" s="69">
        <v>1662</v>
      </c>
      <c r="N209" s="69">
        <v>1684</v>
      </c>
      <c r="O209" s="69">
        <f t="shared" si="101"/>
        <v>22</v>
      </c>
      <c r="P209" s="231">
        <f t="shared" si="115"/>
        <v>0</v>
      </c>
      <c r="Q209" s="69">
        <f t="shared" si="106"/>
        <v>22</v>
      </c>
      <c r="R209" s="69">
        <v>0.8</v>
      </c>
      <c r="S209" s="220">
        <f t="shared" si="116"/>
        <v>15</v>
      </c>
      <c r="T209" s="220">
        <f t="shared" si="107"/>
        <v>18</v>
      </c>
      <c r="U209" s="222">
        <f t="shared" si="113"/>
        <v>178</v>
      </c>
      <c r="V209" s="220">
        <f t="shared" si="109"/>
        <v>267</v>
      </c>
      <c r="W209" s="69">
        <f t="shared" si="112"/>
        <v>6</v>
      </c>
      <c r="X209" s="220">
        <f t="shared" si="123"/>
        <v>51</v>
      </c>
      <c r="Y209" s="69">
        <f t="shared" si="117"/>
        <v>6011</v>
      </c>
      <c r="Z209" s="69"/>
      <c r="AA209" s="69"/>
      <c r="AB209" s="69"/>
      <c r="AC209" s="69"/>
      <c r="AD209" s="69">
        <f t="shared" si="99"/>
        <v>0</v>
      </c>
      <c r="AE209" s="69"/>
      <c r="AF209" s="69"/>
      <c r="AG209" s="69"/>
      <c r="AH209" s="69">
        <f t="shared" si="121"/>
        <v>0</v>
      </c>
      <c r="AI209" s="69">
        <f t="shared" si="122"/>
        <v>6011</v>
      </c>
      <c r="AJ209" s="69"/>
      <c r="AK209" s="232"/>
      <c r="AL209" s="212"/>
      <c r="AM209" s="212"/>
      <c r="AN209" s="212"/>
      <c r="AO209" s="212"/>
      <c r="AP209" s="69">
        <f t="shared" si="118"/>
        <v>0</v>
      </c>
      <c r="AQ209" s="7"/>
      <c r="AR209" s="69"/>
      <c r="AS209" s="69"/>
      <c r="AT209" s="69"/>
      <c r="AU209" s="69">
        <f t="shared" si="119"/>
        <v>0</v>
      </c>
      <c r="AV209" s="69">
        <f t="shared" si="120"/>
        <v>6011</v>
      </c>
      <c r="AW209" s="14"/>
    </row>
    <row r="210" ht="20.15" customHeight="1" spans="1:49">
      <c r="A210" s="228">
        <f>SUBTOTAL(2,$Y$4:Y210)</f>
        <v>207</v>
      </c>
      <c r="B210" s="14" t="s">
        <v>477</v>
      </c>
      <c r="C210" s="14" t="s">
        <v>401</v>
      </c>
      <c r="D210" s="115">
        <v>3043</v>
      </c>
      <c r="E210" s="229">
        <v>31.765</v>
      </c>
      <c r="F210" s="22">
        <v>3043</v>
      </c>
      <c r="G210" s="22" t="s">
        <v>286</v>
      </c>
      <c r="H210" s="14">
        <f t="shared" si="124"/>
        <v>31.765</v>
      </c>
      <c r="I210" s="67">
        <v>5000</v>
      </c>
      <c r="J210" s="226">
        <v>500</v>
      </c>
      <c r="K210" s="69">
        <f t="shared" si="125"/>
        <v>5500</v>
      </c>
      <c r="L210" s="69">
        <v>160</v>
      </c>
      <c r="M210" s="69">
        <v>647</v>
      </c>
      <c r="N210" s="69">
        <v>784</v>
      </c>
      <c r="O210" s="69">
        <f t="shared" si="101"/>
        <v>137</v>
      </c>
      <c r="P210" s="231">
        <f t="shared" si="115"/>
        <v>0</v>
      </c>
      <c r="Q210" s="69">
        <f t="shared" si="106"/>
        <v>137</v>
      </c>
      <c r="R210" s="69">
        <v>0.8</v>
      </c>
      <c r="S210" s="220">
        <f t="shared" si="116"/>
        <v>96</v>
      </c>
      <c r="T210" s="220">
        <f t="shared" si="107"/>
        <v>110</v>
      </c>
      <c r="U210" s="222">
        <f t="shared" si="113"/>
        <v>178</v>
      </c>
      <c r="V210" s="220">
        <f t="shared" si="109"/>
        <v>267</v>
      </c>
      <c r="W210" s="69">
        <f t="shared" si="112"/>
        <v>6</v>
      </c>
      <c r="X210" s="220">
        <f t="shared" si="123"/>
        <v>51</v>
      </c>
      <c r="Y210" s="69">
        <f t="shared" si="117"/>
        <v>6184</v>
      </c>
      <c r="Z210" s="69"/>
      <c r="AA210" s="69"/>
      <c r="AB210" s="69"/>
      <c r="AC210" s="69"/>
      <c r="AD210" s="69">
        <f t="shared" si="99"/>
        <v>0</v>
      </c>
      <c r="AE210" s="69"/>
      <c r="AF210" s="69"/>
      <c r="AG210" s="69"/>
      <c r="AH210" s="69">
        <f t="shared" si="121"/>
        <v>0</v>
      </c>
      <c r="AI210" s="69">
        <f t="shared" si="122"/>
        <v>6184</v>
      </c>
      <c r="AJ210" s="69"/>
      <c r="AK210" s="232"/>
      <c r="AL210" s="212"/>
      <c r="AM210" s="212"/>
      <c r="AN210" s="212"/>
      <c r="AO210" s="212"/>
      <c r="AP210" s="69">
        <f t="shared" si="118"/>
        <v>0</v>
      </c>
      <c r="AQ210" s="7"/>
      <c r="AR210" s="69"/>
      <c r="AS210" s="67"/>
      <c r="AT210" s="67"/>
      <c r="AU210" s="69">
        <f t="shared" si="119"/>
        <v>0</v>
      </c>
      <c r="AV210" s="69">
        <f t="shared" si="120"/>
        <v>6184</v>
      </c>
      <c r="AW210" s="14"/>
    </row>
    <row r="211" ht="25" customHeight="1" spans="1:49">
      <c r="A211" s="228">
        <f>SUBTOTAL(2,$Y$4:Y211)</f>
        <v>208</v>
      </c>
      <c r="B211" s="14" t="s">
        <v>478</v>
      </c>
      <c r="C211" s="14" t="s">
        <v>401</v>
      </c>
      <c r="D211" s="115" t="s">
        <v>479</v>
      </c>
      <c r="E211" s="229">
        <v>31.765</v>
      </c>
      <c r="F211" s="118" t="s">
        <v>479</v>
      </c>
      <c r="G211" s="118" t="s">
        <v>480</v>
      </c>
      <c r="H211" s="240">
        <f t="shared" si="124"/>
        <v>31.765</v>
      </c>
      <c r="I211" s="257">
        <v>5000</v>
      </c>
      <c r="J211" s="258">
        <v>500</v>
      </c>
      <c r="K211" s="69">
        <f t="shared" si="125"/>
        <v>5500</v>
      </c>
      <c r="L211" s="69">
        <v>160</v>
      </c>
      <c r="M211" s="69">
        <v>2447</v>
      </c>
      <c r="N211" s="69">
        <v>2549</v>
      </c>
      <c r="O211" s="69">
        <f t="shared" si="101"/>
        <v>102</v>
      </c>
      <c r="P211" s="231">
        <f t="shared" si="115"/>
        <v>0</v>
      </c>
      <c r="Q211" s="69">
        <f t="shared" si="106"/>
        <v>102</v>
      </c>
      <c r="R211" s="69">
        <v>0.8</v>
      </c>
      <c r="S211" s="220">
        <f t="shared" si="116"/>
        <v>71</v>
      </c>
      <c r="T211" s="220">
        <f t="shared" si="107"/>
        <v>82</v>
      </c>
      <c r="U211" s="222">
        <f t="shared" si="113"/>
        <v>178</v>
      </c>
      <c r="V211" s="220">
        <f t="shared" si="109"/>
        <v>267</v>
      </c>
      <c r="W211" s="69">
        <f t="shared" si="112"/>
        <v>6</v>
      </c>
      <c r="X211" s="220">
        <f t="shared" si="123"/>
        <v>51</v>
      </c>
      <c r="Y211" s="69">
        <f t="shared" si="117"/>
        <v>6131</v>
      </c>
      <c r="Z211" s="69"/>
      <c r="AA211" s="69"/>
      <c r="AB211" s="69"/>
      <c r="AC211" s="69"/>
      <c r="AD211" s="69">
        <f t="shared" si="99"/>
        <v>0</v>
      </c>
      <c r="AE211" s="69"/>
      <c r="AF211" s="69"/>
      <c r="AG211" s="249"/>
      <c r="AH211" s="69">
        <f t="shared" si="121"/>
        <v>0</v>
      </c>
      <c r="AI211" s="69">
        <f t="shared" si="122"/>
        <v>6131</v>
      </c>
      <c r="AJ211" s="69"/>
      <c r="AK211" s="232"/>
      <c r="AL211" s="212"/>
      <c r="AM211" s="212"/>
      <c r="AN211" s="212"/>
      <c r="AO211" s="212"/>
      <c r="AP211" s="69">
        <f t="shared" si="118"/>
        <v>0</v>
      </c>
      <c r="AQ211" s="7"/>
      <c r="AR211" s="69"/>
      <c r="AS211" s="69"/>
      <c r="AT211" s="69"/>
      <c r="AU211" s="69">
        <f t="shared" si="119"/>
        <v>0</v>
      </c>
      <c r="AV211" s="69">
        <f t="shared" si="120"/>
        <v>6131</v>
      </c>
      <c r="AW211" s="14"/>
    </row>
    <row r="212" ht="23.15" customHeight="1" spans="1:49">
      <c r="A212" s="228">
        <f>SUBTOTAL(2,$Y$4:Y212)</f>
        <v>209</v>
      </c>
      <c r="B212" s="14" t="s">
        <v>481</v>
      </c>
      <c r="C212" s="14" t="s">
        <v>401</v>
      </c>
      <c r="D212" s="115">
        <v>3045</v>
      </c>
      <c r="E212" s="229">
        <v>31.76</v>
      </c>
      <c r="F212" s="118">
        <v>3045</v>
      </c>
      <c r="G212" s="118" t="s">
        <v>482</v>
      </c>
      <c r="H212" s="240">
        <f t="shared" si="124"/>
        <v>31.76</v>
      </c>
      <c r="I212" s="241">
        <v>5000</v>
      </c>
      <c r="J212" s="242">
        <v>500</v>
      </c>
      <c r="K212" s="69">
        <f t="shared" si="125"/>
        <v>5500</v>
      </c>
      <c r="L212" s="69">
        <v>160</v>
      </c>
      <c r="M212" s="69">
        <v>9494</v>
      </c>
      <c r="N212" s="69">
        <v>9517</v>
      </c>
      <c r="O212" s="69">
        <f t="shared" si="101"/>
        <v>23</v>
      </c>
      <c r="P212" s="231">
        <f t="shared" si="115"/>
        <v>0</v>
      </c>
      <c r="Q212" s="69">
        <f t="shared" si="106"/>
        <v>23</v>
      </c>
      <c r="R212" s="69">
        <v>0.8</v>
      </c>
      <c r="S212" s="220">
        <f t="shared" si="116"/>
        <v>16</v>
      </c>
      <c r="T212" s="220">
        <f t="shared" si="107"/>
        <v>18</v>
      </c>
      <c r="U212" s="222">
        <f t="shared" si="113"/>
        <v>178</v>
      </c>
      <c r="V212" s="220">
        <f t="shared" si="109"/>
        <v>267</v>
      </c>
      <c r="W212" s="69">
        <f t="shared" si="112"/>
        <v>6</v>
      </c>
      <c r="X212" s="220">
        <f t="shared" si="123"/>
        <v>51</v>
      </c>
      <c r="Y212" s="69">
        <f t="shared" si="117"/>
        <v>6012</v>
      </c>
      <c r="Z212" s="69"/>
      <c r="AA212" s="69"/>
      <c r="AB212" s="69"/>
      <c r="AC212" s="69"/>
      <c r="AD212" s="69">
        <f t="shared" si="99"/>
        <v>0</v>
      </c>
      <c r="AE212" s="69"/>
      <c r="AF212" s="69"/>
      <c r="AG212" s="69"/>
      <c r="AH212" s="69">
        <f t="shared" si="121"/>
        <v>0</v>
      </c>
      <c r="AI212" s="69">
        <f t="shared" si="122"/>
        <v>6012</v>
      </c>
      <c r="AJ212" s="69"/>
      <c r="AK212" s="232"/>
      <c r="AL212" s="212"/>
      <c r="AM212" s="212"/>
      <c r="AN212" s="212"/>
      <c r="AO212" s="212"/>
      <c r="AP212" s="69">
        <f t="shared" si="118"/>
        <v>0</v>
      </c>
      <c r="AQ212" s="7"/>
      <c r="AR212" s="69"/>
      <c r="AS212" s="69"/>
      <c r="AT212" s="69"/>
      <c r="AU212" s="69">
        <f t="shared" si="119"/>
        <v>0</v>
      </c>
      <c r="AV212" s="69">
        <f t="shared" si="120"/>
        <v>6012</v>
      </c>
      <c r="AW212" s="14"/>
    </row>
    <row r="213" ht="20.15" customHeight="1" spans="1:49">
      <c r="A213" s="228">
        <f>SUBTOTAL(2,$Y$4:Y213)</f>
        <v>210</v>
      </c>
      <c r="B213" s="14" t="s">
        <v>483</v>
      </c>
      <c r="C213" s="14" t="s">
        <v>401</v>
      </c>
      <c r="D213" s="115">
        <v>3046</v>
      </c>
      <c r="E213" s="229">
        <v>31.765</v>
      </c>
      <c r="F213" s="118">
        <v>3046</v>
      </c>
      <c r="G213" s="118" t="s">
        <v>484</v>
      </c>
      <c r="H213" s="240">
        <f t="shared" si="124"/>
        <v>31.765</v>
      </c>
      <c r="I213" s="268">
        <v>5000</v>
      </c>
      <c r="J213" s="258">
        <v>500</v>
      </c>
      <c r="K213" s="67">
        <f t="shared" si="125"/>
        <v>5500</v>
      </c>
      <c r="L213" s="69">
        <v>160</v>
      </c>
      <c r="M213" s="69">
        <v>9698</v>
      </c>
      <c r="N213" s="69">
        <v>9707</v>
      </c>
      <c r="O213" s="69">
        <f t="shared" si="101"/>
        <v>9</v>
      </c>
      <c r="P213" s="231">
        <f t="shared" si="115"/>
        <v>0</v>
      </c>
      <c r="Q213" s="69">
        <f t="shared" si="106"/>
        <v>9</v>
      </c>
      <c r="R213" s="69">
        <v>0.8</v>
      </c>
      <c r="S213" s="220">
        <f t="shared" si="116"/>
        <v>6</v>
      </c>
      <c r="T213" s="220">
        <f t="shared" si="107"/>
        <v>7</v>
      </c>
      <c r="U213" s="222">
        <f t="shared" si="113"/>
        <v>178</v>
      </c>
      <c r="V213" s="220">
        <f t="shared" si="109"/>
        <v>267</v>
      </c>
      <c r="W213" s="69">
        <f t="shared" si="112"/>
        <v>6</v>
      </c>
      <c r="X213" s="220">
        <f t="shared" si="123"/>
        <v>51</v>
      </c>
      <c r="Y213" s="69">
        <f t="shared" si="117"/>
        <v>5991</v>
      </c>
      <c r="Z213" s="69"/>
      <c r="AA213" s="69"/>
      <c r="AB213" s="69"/>
      <c r="AC213" s="69"/>
      <c r="AD213" s="69">
        <f t="shared" si="99"/>
        <v>0</v>
      </c>
      <c r="AE213" s="69"/>
      <c r="AF213" s="69"/>
      <c r="AG213" s="69"/>
      <c r="AH213" s="69">
        <f t="shared" si="121"/>
        <v>0</v>
      </c>
      <c r="AI213" s="69">
        <f t="shared" si="122"/>
        <v>5991</v>
      </c>
      <c r="AJ213" s="69"/>
      <c r="AK213" s="232"/>
      <c r="AL213" s="212"/>
      <c r="AM213" s="212"/>
      <c r="AN213" s="212"/>
      <c r="AO213" s="212"/>
      <c r="AP213" s="69">
        <f t="shared" si="118"/>
        <v>0</v>
      </c>
      <c r="AQ213" s="249"/>
      <c r="AR213" s="69"/>
      <c r="AS213" s="69"/>
      <c r="AT213" s="69"/>
      <c r="AU213" s="69">
        <f t="shared" si="119"/>
        <v>0</v>
      </c>
      <c r="AV213" s="69">
        <f t="shared" si="120"/>
        <v>5991</v>
      </c>
      <c r="AW213" s="14"/>
    </row>
    <row r="214" ht="20.15" customHeight="1" spans="1:49">
      <c r="A214" s="228">
        <f>SUBTOTAL(2,$Y$4:Y214)</f>
        <v>211</v>
      </c>
      <c r="B214" s="14" t="s">
        <v>485</v>
      </c>
      <c r="C214" s="14" t="s">
        <v>401</v>
      </c>
      <c r="D214" s="115">
        <v>3047</v>
      </c>
      <c r="E214" s="229">
        <v>31.76</v>
      </c>
      <c r="F214" s="13">
        <v>3047</v>
      </c>
      <c r="G214" s="13" t="s">
        <v>486</v>
      </c>
      <c r="H214" s="14">
        <f t="shared" si="124"/>
        <v>31.76</v>
      </c>
      <c r="I214" s="69">
        <v>5000</v>
      </c>
      <c r="J214" s="230">
        <v>500</v>
      </c>
      <c r="K214" s="69">
        <f t="shared" si="125"/>
        <v>5500</v>
      </c>
      <c r="L214" s="69">
        <v>160</v>
      </c>
      <c r="M214" s="69">
        <v>11201</v>
      </c>
      <c r="N214" s="69">
        <v>11285</v>
      </c>
      <c r="O214" s="69">
        <f t="shared" si="101"/>
        <v>84</v>
      </c>
      <c r="P214" s="231">
        <f t="shared" si="115"/>
        <v>0</v>
      </c>
      <c r="Q214" s="69">
        <f t="shared" si="106"/>
        <v>84</v>
      </c>
      <c r="R214" s="69">
        <v>0.8</v>
      </c>
      <c r="S214" s="220">
        <f t="shared" si="116"/>
        <v>59</v>
      </c>
      <c r="T214" s="220">
        <f t="shared" si="107"/>
        <v>67</v>
      </c>
      <c r="U214" s="222">
        <f t="shared" si="113"/>
        <v>178</v>
      </c>
      <c r="V214" s="220">
        <f t="shared" si="109"/>
        <v>267</v>
      </c>
      <c r="W214" s="69">
        <f t="shared" si="112"/>
        <v>6</v>
      </c>
      <c r="X214" s="220">
        <f t="shared" si="123"/>
        <v>51</v>
      </c>
      <c r="Y214" s="69">
        <f t="shared" si="117"/>
        <v>6104</v>
      </c>
      <c r="Z214" s="69"/>
      <c r="AA214" s="69"/>
      <c r="AB214" s="69"/>
      <c r="AC214" s="69"/>
      <c r="AD214" s="69">
        <f t="shared" si="99"/>
        <v>0</v>
      </c>
      <c r="AE214" s="69"/>
      <c r="AF214" s="69"/>
      <c r="AG214" s="69"/>
      <c r="AH214" s="69">
        <f t="shared" si="121"/>
        <v>0</v>
      </c>
      <c r="AI214" s="69">
        <f t="shared" si="122"/>
        <v>6104</v>
      </c>
      <c r="AJ214" s="69"/>
      <c r="AK214" s="232"/>
      <c r="AL214" s="212"/>
      <c r="AM214" s="212"/>
      <c r="AN214" s="212"/>
      <c r="AO214" s="212"/>
      <c r="AP214" s="69">
        <f t="shared" si="118"/>
        <v>0</v>
      </c>
      <c r="AQ214" s="7"/>
      <c r="AR214" s="69"/>
      <c r="AS214" s="69"/>
      <c r="AT214" s="69"/>
      <c r="AU214" s="69">
        <f t="shared" si="119"/>
        <v>0</v>
      </c>
      <c r="AV214" s="69">
        <f t="shared" si="120"/>
        <v>6104</v>
      </c>
      <c r="AW214" s="14"/>
    </row>
    <row r="215" ht="20.15" customHeight="1" spans="1:49">
      <c r="A215" s="228">
        <f>SUBTOTAL(2,$Y$4:Y215)</f>
        <v>212</v>
      </c>
      <c r="B215" s="14" t="s">
        <v>487</v>
      </c>
      <c r="C215" s="115" t="s">
        <v>401</v>
      </c>
      <c r="D215" s="115">
        <v>3048</v>
      </c>
      <c r="E215" s="229">
        <v>31.76</v>
      </c>
      <c r="F215" s="22">
        <v>3048</v>
      </c>
      <c r="G215" s="22" t="s">
        <v>488</v>
      </c>
      <c r="H215" s="14">
        <f t="shared" si="124"/>
        <v>31.76</v>
      </c>
      <c r="I215" s="67">
        <v>5000</v>
      </c>
      <c r="J215" s="230">
        <v>500</v>
      </c>
      <c r="K215" s="69">
        <f t="shared" si="125"/>
        <v>5500</v>
      </c>
      <c r="L215" s="69">
        <v>160</v>
      </c>
      <c r="M215" s="69">
        <v>8685</v>
      </c>
      <c r="N215" s="69">
        <v>8715</v>
      </c>
      <c r="O215" s="69">
        <f t="shared" si="101"/>
        <v>30</v>
      </c>
      <c r="P215" s="231">
        <f t="shared" si="115"/>
        <v>0</v>
      </c>
      <c r="Q215" s="69">
        <f t="shared" si="106"/>
        <v>30</v>
      </c>
      <c r="R215" s="69">
        <v>0.8</v>
      </c>
      <c r="S215" s="220">
        <f t="shared" si="116"/>
        <v>21</v>
      </c>
      <c r="T215" s="220">
        <f t="shared" si="107"/>
        <v>24</v>
      </c>
      <c r="U215" s="222">
        <f t="shared" si="113"/>
        <v>178</v>
      </c>
      <c r="V215" s="220">
        <f t="shared" si="109"/>
        <v>267</v>
      </c>
      <c r="W215" s="69">
        <f t="shared" si="112"/>
        <v>6</v>
      </c>
      <c r="X215" s="220">
        <f t="shared" si="123"/>
        <v>51</v>
      </c>
      <c r="Y215" s="69">
        <f t="shared" si="117"/>
        <v>6023</v>
      </c>
      <c r="Z215" s="69"/>
      <c r="AA215" s="69"/>
      <c r="AB215" s="69"/>
      <c r="AC215" s="69"/>
      <c r="AD215" s="69">
        <f t="shared" si="99"/>
        <v>0</v>
      </c>
      <c r="AE215" s="69"/>
      <c r="AF215" s="69"/>
      <c r="AG215" s="69"/>
      <c r="AH215" s="69">
        <f t="shared" si="121"/>
        <v>0</v>
      </c>
      <c r="AI215" s="69">
        <f t="shared" si="122"/>
        <v>6023</v>
      </c>
      <c r="AJ215" s="69"/>
      <c r="AK215" s="232"/>
      <c r="AL215" s="212"/>
      <c r="AM215" s="212"/>
      <c r="AN215" s="212"/>
      <c r="AO215" s="212"/>
      <c r="AP215" s="69">
        <f t="shared" si="118"/>
        <v>0</v>
      </c>
      <c r="AQ215" s="7"/>
      <c r="AR215" s="69"/>
      <c r="AS215" s="69"/>
      <c r="AT215" s="69"/>
      <c r="AU215" s="69">
        <f t="shared" si="119"/>
        <v>0</v>
      </c>
      <c r="AV215" s="69">
        <f t="shared" si="120"/>
        <v>6023</v>
      </c>
      <c r="AW215" s="14"/>
    </row>
    <row r="216" ht="20.15" customHeight="1" spans="1:49">
      <c r="A216" s="228">
        <f>SUBTOTAL(2,$Y$4:Y216)</f>
        <v>213</v>
      </c>
      <c r="B216" s="14" t="s">
        <v>489</v>
      </c>
      <c r="C216" s="115" t="s">
        <v>401</v>
      </c>
      <c r="D216" s="115">
        <v>3049</v>
      </c>
      <c r="E216" s="229">
        <v>31.76</v>
      </c>
      <c r="F216" s="22">
        <v>3049</v>
      </c>
      <c r="G216" s="22" t="s">
        <v>490</v>
      </c>
      <c r="H216" s="14">
        <f t="shared" si="124"/>
        <v>31.76</v>
      </c>
      <c r="I216" s="67">
        <v>5000</v>
      </c>
      <c r="J216" s="226">
        <v>500</v>
      </c>
      <c r="K216" s="69">
        <f t="shared" si="125"/>
        <v>5500</v>
      </c>
      <c r="L216" s="69">
        <v>160</v>
      </c>
      <c r="M216" s="69">
        <v>1918</v>
      </c>
      <c r="N216" s="69">
        <v>2004</v>
      </c>
      <c r="O216" s="69">
        <f t="shared" si="101"/>
        <v>86</v>
      </c>
      <c r="P216" s="231">
        <f t="shared" si="115"/>
        <v>0</v>
      </c>
      <c r="Q216" s="69">
        <f t="shared" si="106"/>
        <v>86</v>
      </c>
      <c r="R216" s="69">
        <v>0.8</v>
      </c>
      <c r="S216" s="220">
        <f t="shared" si="116"/>
        <v>60</v>
      </c>
      <c r="T216" s="220">
        <f t="shared" si="107"/>
        <v>69</v>
      </c>
      <c r="U216" s="222">
        <f t="shared" si="113"/>
        <v>178</v>
      </c>
      <c r="V216" s="220">
        <f t="shared" si="109"/>
        <v>267</v>
      </c>
      <c r="W216" s="69">
        <f t="shared" si="112"/>
        <v>6</v>
      </c>
      <c r="X216" s="220">
        <f t="shared" si="123"/>
        <v>51</v>
      </c>
      <c r="Y216" s="69">
        <f t="shared" si="117"/>
        <v>6107</v>
      </c>
      <c r="Z216" s="69"/>
      <c r="AA216" s="69"/>
      <c r="AB216" s="69"/>
      <c r="AC216" s="69"/>
      <c r="AD216" s="69">
        <f t="shared" si="99"/>
        <v>0</v>
      </c>
      <c r="AE216" s="69"/>
      <c r="AF216" s="69"/>
      <c r="AG216" s="69"/>
      <c r="AH216" s="69">
        <f t="shared" si="121"/>
        <v>0</v>
      </c>
      <c r="AI216" s="69">
        <f t="shared" si="122"/>
        <v>6107</v>
      </c>
      <c r="AJ216" s="69"/>
      <c r="AK216" s="232"/>
      <c r="AL216" s="212"/>
      <c r="AM216" s="212"/>
      <c r="AN216" s="212"/>
      <c r="AO216" s="212"/>
      <c r="AP216" s="69">
        <f t="shared" si="118"/>
        <v>0</v>
      </c>
      <c r="AQ216" s="7"/>
      <c r="AR216" s="69"/>
      <c r="AS216" s="69"/>
      <c r="AT216" s="69"/>
      <c r="AU216" s="69">
        <f t="shared" si="119"/>
        <v>0</v>
      </c>
      <c r="AV216" s="69">
        <f t="shared" si="120"/>
        <v>6107</v>
      </c>
      <c r="AW216" s="14"/>
    </row>
    <row r="217" ht="20.15" customHeight="1" spans="1:49">
      <c r="A217" s="228">
        <f>SUBTOTAL(2,$Y$4:Y217)</f>
        <v>214</v>
      </c>
      <c r="B217" s="14" t="s">
        <v>491</v>
      </c>
      <c r="C217" s="14" t="s">
        <v>401</v>
      </c>
      <c r="D217" s="115">
        <v>3050</v>
      </c>
      <c r="E217" s="229">
        <v>31.76</v>
      </c>
      <c r="F217" s="95">
        <v>3050</v>
      </c>
      <c r="G217" s="95" t="s">
        <v>492</v>
      </c>
      <c r="H217" s="14">
        <f t="shared" si="124"/>
        <v>31.76</v>
      </c>
      <c r="I217" s="7">
        <v>5000</v>
      </c>
      <c r="J217" s="238">
        <v>500</v>
      </c>
      <c r="K217" s="69">
        <f t="shared" si="125"/>
        <v>5500</v>
      </c>
      <c r="L217" s="69">
        <v>160</v>
      </c>
      <c r="M217" s="69">
        <v>282</v>
      </c>
      <c r="N217" s="69">
        <v>292</v>
      </c>
      <c r="O217" s="69">
        <f t="shared" si="101"/>
        <v>10</v>
      </c>
      <c r="P217" s="231">
        <f t="shared" si="115"/>
        <v>0</v>
      </c>
      <c r="Q217" s="69">
        <f t="shared" si="106"/>
        <v>10</v>
      </c>
      <c r="R217" s="69">
        <v>0.8</v>
      </c>
      <c r="S217" s="220">
        <f t="shared" si="116"/>
        <v>7</v>
      </c>
      <c r="T217" s="220">
        <f t="shared" si="107"/>
        <v>8</v>
      </c>
      <c r="U217" s="222">
        <f t="shared" si="113"/>
        <v>178</v>
      </c>
      <c r="V217" s="220">
        <f t="shared" si="109"/>
        <v>267</v>
      </c>
      <c r="W217" s="69">
        <f t="shared" si="112"/>
        <v>6</v>
      </c>
      <c r="X217" s="220">
        <f t="shared" si="123"/>
        <v>51</v>
      </c>
      <c r="Y217" s="69">
        <f t="shared" ref="Y217:Y227" si="126">I217+J217+L217+S217+T217+V217+X217</f>
        <v>5993</v>
      </c>
      <c r="Z217" s="69"/>
      <c r="AA217" s="69"/>
      <c r="AB217" s="69"/>
      <c r="AC217" s="69"/>
      <c r="AD217" s="69">
        <f t="shared" si="99"/>
        <v>0</v>
      </c>
      <c r="AE217" s="69"/>
      <c r="AF217" s="69"/>
      <c r="AG217" s="69"/>
      <c r="AH217" s="69">
        <f t="shared" si="121"/>
        <v>0</v>
      </c>
      <c r="AI217" s="69">
        <f t="shared" si="122"/>
        <v>5993</v>
      </c>
      <c r="AJ217" s="69"/>
      <c r="AK217" s="232"/>
      <c r="AL217" s="212"/>
      <c r="AM217" s="212"/>
      <c r="AN217" s="212"/>
      <c r="AO217" s="212"/>
      <c r="AP217" s="69">
        <f t="shared" si="118"/>
        <v>0</v>
      </c>
      <c r="AQ217" s="7"/>
      <c r="AR217" s="69"/>
      <c r="AS217" s="249"/>
      <c r="AT217" s="69"/>
      <c r="AU217" s="69">
        <f t="shared" si="119"/>
        <v>0</v>
      </c>
      <c r="AV217" s="69">
        <f t="shared" si="120"/>
        <v>5993</v>
      </c>
      <c r="AW217" s="14"/>
    </row>
    <row r="218" ht="20.15" customHeight="1" spans="1:49">
      <c r="A218" s="228">
        <f>SUBTOTAL(2,$Y$4:Y218)</f>
        <v>215</v>
      </c>
      <c r="B218" s="14" t="s">
        <v>493</v>
      </c>
      <c r="C218" s="115" t="s">
        <v>401</v>
      </c>
      <c r="D218" s="115" t="s">
        <v>494</v>
      </c>
      <c r="E218" s="229">
        <v>27.41</v>
      </c>
      <c r="F218" s="22" t="s">
        <v>494</v>
      </c>
      <c r="G218" s="22" t="s">
        <v>495</v>
      </c>
      <c r="H218" s="229">
        <v>27.41</v>
      </c>
      <c r="I218" s="67">
        <v>1500</v>
      </c>
      <c r="J218" s="226">
        <v>100</v>
      </c>
      <c r="K218" s="69">
        <f t="shared" si="125"/>
        <v>1600</v>
      </c>
      <c r="L218" s="69">
        <v>160</v>
      </c>
      <c r="M218" s="69">
        <v>4638</v>
      </c>
      <c r="N218" s="69">
        <v>4697</v>
      </c>
      <c r="O218" s="69">
        <f t="shared" si="101"/>
        <v>59</v>
      </c>
      <c r="P218" s="264">
        <f>ROUND(H217*0,0)</f>
        <v>0</v>
      </c>
      <c r="Q218" s="69">
        <f t="shared" si="106"/>
        <v>59</v>
      </c>
      <c r="R218" s="69">
        <v>0.8</v>
      </c>
      <c r="S218" s="220">
        <f t="shared" si="116"/>
        <v>41</v>
      </c>
      <c r="T218" s="220">
        <f t="shared" si="107"/>
        <v>47</v>
      </c>
      <c r="U218" s="236">
        <f>ROUND(H218*0,0)</f>
        <v>0</v>
      </c>
      <c r="V218" s="220">
        <f t="shared" si="109"/>
        <v>0</v>
      </c>
      <c r="W218" s="69">
        <f t="shared" si="112"/>
        <v>5</v>
      </c>
      <c r="X218" s="220">
        <f t="shared" si="123"/>
        <v>43</v>
      </c>
      <c r="Y218" s="69">
        <f t="shared" si="126"/>
        <v>1891</v>
      </c>
      <c r="Z218" s="69"/>
      <c r="AA218" s="69"/>
      <c r="AB218" s="69"/>
      <c r="AC218" s="69"/>
      <c r="AD218" s="69">
        <f t="shared" si="99"/>
        <v>0</v>
      </c>
      <c r="AE218" s="69"/>
      <c r="AF218" s="69"/>
      <c r="AG218" s="69"/>
      <c r="AH218" s="69">
        <f t="shared" si="121"/>
        <v>0</v>
      </c>
      <c r="AI218" s="69">
        <f t="shared" si="122"/>
        <v>1891</v>
      </c>
      <c r="AJ218" s="69"/>
      <c r="AK218" s="232"/>
      <c r="AL218" s="212"/>
      <c r="AM218" s="212"/>
      <c r="AN218" s="212"/>
      <c r="AO218" s="212"/>
      <c r="AP218" s="69">
        <f t="shared" si="118"/>
        <v>0</v>
      </c>
      <c r="AQ218" s="7"/>
      <c r="AR218" s="69"/>
      <c r="AS218" s="249"/>
      <c r="AT218" s="69"/>
      <c r="AU218" s="69">
        <f t="shared" si="119"/>
        <v>0</v>
      </c>
      <c r="AV218" s="69">
        <f t="shared" si="120"/>
        <v>1891</v>
      </c>
      <c r="AW218" s="14"/>
    </row>
    <row r="219" ht="20.15" customHeight="1" spans="1:49">
      <c r="A219" s="228">
        <f>SUBTOTAL(2,$Y$4:Y219)</f>
        <v>216</v>
      </c>
      <c r="B219" s="14" t="s">
        <v>496</v>
      </c>
      <c r="C219" s="14" t="s">
        <v>401</v>
      </c>
      <c r="D219" s="115">
        <v>3051</v>
      </c>
      <c r="E219" s="229">
        <v>34.28</v>
      </c>
      <c r="F219" s="13">
        <v>3051</v>
      </c>
      <c r="G219" s="13" t="s">
        <v>497</v>
      </c>
      <c r="H219" s="229">
        <v>34.28</v>
      </c>
      <c r="I219" s="7">
        <v>2500</v>
      </c>
      <c r="J219" s="238">
        <v>200</v>
      </c>
      <c r="K219" s="69">
        <f t="shared" si="125"/>
        <v>2700</v>
      </c>
      <c r="L219" s="69">
        <v>160</v>
      </c>
      <c r="M219" s="69">
        <v>4831</v>
      </c>
      <c r="N219" s="69">
        <v>4958</v>
      </c>
      <c r="O219" s="69">
        <f t="shared" si="101"/>
        <v>127</v>
      </c>
      <c r="P219" s="264">
        <f>ROUND(H218*0,0)</f>
        <v>0</v>
      </c>
      <c r="Q219" s="69">
        <f t="shared" si="106"/>
        <v>127</v>
      </c>
      <c r="R219" s="69">
        <v>0.8</v>
      </c>
      <c r="S219" s="220">
        <f t="shared" si="116"/>
        <v>89</v>
      </c>
      <c r="T219" s="220">
        <f t="shared" si="107"/>
        <v>102</v>
      </c>
      <c r="U219" s="236">
        <f>ROUND(H219*0,0)</f>
        <v>0</v>
      </c>
      <c r="V219" s="220">
        <f t="shared" si="109"/>
        <v>0</v>
      </c>
      <c r="W219" s="69">
        <f t="shared" si="112"/>
        <v>7</v>
      </c>
      <c r="X219" s="220">
        <f t="shared" si="123"/>
        <v>60</v>
      </c>
      <c r="Y219" s="69">
        <f t="shared" si="126"/>
        <v>3111</v>
      </c>
      <c r="Z219" s="69"/>
      <c r="AA219" s="69"/>
      <c r="AB219" s="69"/>
      <c r="AC219" s="69"/>
      <c r="AD219" s="69">
        <f t="shared" si="99"/>
        <v>0</v>
      </c>
      <c r="AE219" s="69"/>
      <c r="AF219" s="69"/>
      <c r="AG219" s="69"/>
      <c r="AH219" s="69">
        <f t="shared" si="121"/>
        <v>0</v>
      </c>
      <c r="AI219" s="69">
        <f t="shared" si="122"/>
        <v>3111</v>
      </c>
      <c r="AJ219" s="69"/>
      <c r="AK219" s="232"/>
      <c r="AL219" s="212"/>
      <c r="AM219" s="212"/>
      <c r="AN219" s="212"/>
      <c r="AO219" s="212"/>
      <c r="AP219" s="69">
        <f t="shared" si="118"/>
        <v>0</v>
      </c>
      <c r="AQ219" s="7"/>
      <c r="AR219" s="69"/>
      <c r="AS219" s="69"/>
      <c r="AT219" s="69"/>
      <c r="AU219" s="69">
        <f t="shared" si="119"/>
        <v>0</v>
      </c>
      <c r="AV219" s="69">
        <f t="shared" si="120"/>
        <v>3111</v>
      </c>
      <c r="AW219" s="14"/>
    </row>
    <row r="220" ht="20.15" customHeight="1" spans="1:49">
      <c r="A220" s="228">
        <f>SUBTOTAL(2,$Y$4:Y220)</f>
        <v>217</v>
      </c>
      <c r="B220" s="14" t="s">
        <v>498</v>
      </c>
      <c r="C220" s="14" t="s">
        <v>401</v>
      </c>
      <c r="D220" s="115">
        <v>3052</v>
      </c>
      <c r="E220" s="229">
        <v>35.27</v>
      </c>
      <c r="F220" s="22">
        <v>3052</v>
      </c>
      <c r="G220" s="22" t="s">
        <v>499</v>
      </c>
      <c r="H220" s="229">
        <v>35.27</v>
      </c>
      <c r="I220" s="67">
        <v>2500</v>
      </c>
      <c r="J220" s="226">
        <v>200</v>
      </c>
      <c r="K220" s="69">
        <f t="shared" si="125"/>
        <v>2700</v>
      </c>
      <c r="L220" s="69">
        <v>160</v>
      </c>
      <c r="M220" s="69">
        <v>8396</v>
      </c>
      <c r="N220" s="69">
        <v>8450</v>
      </c>
      <c r="O220" s="69">
        <f t="shared" si="101"/>
        <v>54</v>
      </c>
      <c r="P220" s="264">
        <f>ROUND(H219*0,0)</f>
        <v>0</v>
      </c>
      <c r="Q220" s="69">
        <f t="shared" si="106"/>
        <v>54</v>
      </c>
      <c r="R220" s="69">
        <v>0.8</v>
      </c>
      <c r="S220" s="220">
        <f t="shared" si="116"/>
        <v>38</v>
      </c>
      <c r="T220" s="220">
        <f t="shared" si="107"/>
        <v>43</v>
      </c>
      <c r="U220" s="236">
        <f>ROUND(H220*0,0)</f>
        <v>0</v>
      </c>
      <c r="V220" s="220">
        <f t="shared" si="109"/>
        <v>0</v>
      </c>
      <c r="W220" s="69">
        <f t="shared" si="112"/>
        <v>7</v>
      </c>
      <c r="X220" s="220">
        <f t="shared" si="123"/>
        <v>60</v>
      </c>
      <c r="Y220" s="69">
        <f t="shared" si="126"/>
        <v>3001</v>
      </c>
      <c r="Z220" s="69"/>
      <c r="AA220" s="69"/>
      <c r="AB220" s="69"/>
      <c r="AC220" s="69"/>
      <c r="AD220" s="69">
        <f t="shared" si="99"/>
        <v>0</v>
      </c>
      <c r="AE220" s="69"/>
      <c r="AF220" s="69"/>
      <c r="AG220" s="69"/>
      <c r="AH220" s="69">
        <f t="shared" si="121"/>
        <v>0</v>
      </c>
      <c r="AI220" s="69">
        <f t="shared" si="122"/>
        <v>3001</v>
      </c>
      <c r="AJ220" s="69"/>
      <c r="AK220" s="232"/>
      <c r="AL220" s="212"/>
      <c r="AM220" s="212"/>
      <c r="AN220" s="212"/>
      <c r="AO220" s="212"/>
      <c r="AP220" s="69">
        <f t="shared" si="118"/>
        <v>0</v>
      </c>
      <c r="AQ220" s="7"/>
      <c r="AR220" s="69"/>
      <c r="AS220" s="69"/>
      <c r="AT220" s="69"/>
      <c r="AU220" s="69">
        <f t="shared" si="119"/>
        <v>0</v>
      </c>
      <c r="AV220" s="69">
        <f t="shared" si="120"/>
        <v>3001</v>
      </c>
      <c r="AW220" s="14"/>
    </row>
    <row r="221" ht="20.15" customHeight="1" spans="1:49">
      <c r="A221" s="228">
        <f>SUBTOTAL(2,$Y$4:Y221)</f>
        <v>218</v>
      </c>
      <c r="B221" s="14" t="s">
        <v>500</v>
      </c>
      <c r="C221" s="14" t="s">
        <v>401</v>
      </c>
      <c r="D221" s="115" t="s">
        <v>501</v>
      </c>
      <c r="E221" s="229">
        <f>93.2+48.18+25.86</f>
        <v>167.24</v>
      </c>
      <c r="F221" s="13" t="s">
        <v>502</v>
      </c>
      <c r="G221" s="13" t="s">
        <v>503</v>
      </c>
      <c r="H221" s="14">
        <f>E221</f>
        <v>167.24</v>
      </c>
      <c r="I221" s="69">
        <v>6000</v>
      </c>
      <c r="J221" s="230">
        <v>500</v>
      </c>
      <c r="K221" s="69">
        <f t="shared" si="125"/>
        <v>6500</v>
      </c>
      <c r="L221" s="69">
        <v>160</v>
      </c>
      <c r="M221" s="69">
        <f>2895+25250+21643</f>
        <v>49788</v>
      </c>
      <c r="N221" s="69">
        <f>2895+25461+21657</f>
        <v>50013</v>
      </c>
      <c r="O221" s="69">
        <f t="shared" si="101"/>
        <v>225</v>
      </c>
      <c r="P221" s="264">
        <f>ROUND(H220*0,0)</f>
        <v>0</v>
      </c>
      <c r="Q221" s="69">
        <f t="shared" si="106"/>
        <v>225</v>
      </c>
      <c r="R221" s="69">
        <v>0.8</v>
      </c>
      <c r="S221" s="220">
        <f t="shared" si="116"/>
        <v>158</v>
      </c>
      <c r="T221" s="220">
        <f t="shared" si="107"/>
        <v>180</v>
      </c>
      <c r="U221" s="236">
        <f>ROUND(H221*3,0)</f>
        <v>502</v>
      </c>
      <c r="V221" s="220">
        <f t="shared" si="109"/>
        <v>753</v>
      </c>
      <c r="W221" s="69">
        <f>ROUND(H221*0.2,0)/3*2</f>
        <v>22</v>
      </c>
      <c r="X221" s="220">
        <f t="shared" si="123"/>
        <v>187</v>
      </c>
      <c r="Y221" s="69">
        <f t="shared" si="126"/>
        <v>7938</v>
      </c>
      <c r="Z221" s="69"/>
      <c r="AA221" s="69"/>
      <c r="AB221" s="69"/>
      <c r="AC221" s="69"/>
      <c r="AD221" s="69">
        <f t="shared" si="99"/>
        <v>0</v>
      </c>
      <c r="AE221" s="69"/>
      <c r="AF221" s="69"/>
      <c r="AG221" s="69"/>
      <c r="AH221" s="69">
        <f t="shared" si="121"/>
        <v>0</v>
      </c>
      <c r="AI221" s="69">
        <f t="shared" si="122"/>
        <v>7938</v>
      </c>
      <c r="AJ221" s="69"/>
      <c r="AK221" s="232"/>
      <c r="AL221" s="212"/>
      <c r="AM221" s="212"/>
      <c r="AN221" s="212"/>
      <c r="AO221" s="212"/>
      <c r="AP221" s="69">
        <f t="shared" si="118"/>
        <v>0</v>
      </c>
      <c r="AQ221" s="249"/>
      <c r="AR221" s="69"/>
      <c r="AS221" s="69"/>
      <c r="AT221" s="69"/>
      <c r="AU221" s="69">
        <f t="shared" si="119"/>
        <v>0</v>
      </c>
      <c r="AV221" s="69">
        <f t="shared" si="120"/>
        <v>7938</v>
      </c>
      <c r="AW221" s="14"/>
    </row>
    <row r="222" ht="18" customHeight="1" spans="1:49">
      <c r="A222" s="228">
        <f>SUBTOTAL(2,$Y$4:Y222)</f>
        <v>219</v>
      </c>
      <c r="B222" s="14" t="s">
        <v>504</v>
      </c>
      <c r="C222" s="14" t="s">
        <v>401</v>
      </c>
      <c r="D222" s="115">
        <v>3055</v>
      </c>
      <c r="E222" s="229">
        <v>31.76</v>
      </c>
      <c r="F222" s="13">
        <v>3055</v>
      </c>
      <c r="G222" s="13" t="s">
        <v>505</v>
      </c>
      <c r="H222" s="14">
        <f>E222</f>
        <v>31.76</v>
      </c>
      <c r="I222" s="69">
        <v>5000</v>
      </c>
      <c r="J222" s="230">
        <v>500</v>
      </c>
      <c r="K222" s="69">
        <f t="shared" si="125"/>
        <v>5500</v>
      </c>
      <c r="L222" s="69">
        <v>160</v>
      </c>
      <c r="M222" s="69">
        <v>5108</v>
      </c>
      <c r="N222" s="69">
        <v>5129</v>
      </c>
      <c r="O222" s="69">
        <f t="shared" si="101"/>
        <v>21</v>
      </c>
      <c r="P222" s="231">
        <f>ROUND(H222*0,0)</f>
        <v>0</v>
      </c>
      <c r="Q222" s="69">
        <f t="shared" si="106"/>
        <v>21</v>
      </c>
      <c r="R222" s="69">
        <v>0.8</v>
      </c>
      <c r="S222" s="220">
        <f t="shared" si="116"/>
        <v>15</v>
      </c>
      <c r="T222" s="220">
        <f t="shared" si="107"/>
        <v>17</v>
      </c>
      <c r="U222" s="222">
        <f>ROUND(H222*5.6,0)</f>
        <v>178</v>
      </c>
      <c r="V222" s="220">
        <f t="shared" si="109"/>
        <v>267</v>
      </c>
      <c r="W222" s="69">
        <f>ROUND(H222*0.2,0)</f>
        <v>6</v>
      </c>
      <c r="X222" s="220">
        <f t="shared" si="123"/>
        <v>51</v>
      </c>
      <c r="Y222" s="69">
        <f t="shared" si="126"/>
        <v>6010</v>
      </c>
      <c r="Z222" s="69"/>
      <c r="AA222" s="69"/>
      <c r="AB222" s="69"/>
      <c r="AC222" s="69"/>
      <c r="AD222" s="69">
        <f t="shared" si="99"/>
        <v>0</v>
      </c>
      <c r="AE222" s="69"/>
      <c r="AF222" s="69"/>
      <c r="AG222" s="69"/>
      <c r="AH222" s="69">
        <f t="shared" si="121"/>
        <v>0</v>
      </c>
      <c r="AI222" s="69">
        <f t="shared" si="122"/>
        <v>6010</v>
      </c>
      <c r="AJ222" s="69"/>
      <c r="AK222" s="232"/>
      <c r="AL222" s="212"/>
      <c r="AM222" s="212"/>
      <c r="AN222" s="212"/>
      <c r="AO222" s="212"/>
      <c r="AP222" s="69">
        <f t="shared" si="118"/>
        <v>0</v>
      </c>
      <c r="AQ222" s="7"/>
      <c r="AR222" s="69"/>
      <c r="AS222" s="69"/>
      <c r="AT222" s="69"/>
      <c r="AU222" s="69">
        <f t="shared" si="119"/>
        <v>0</v>
      </c>
      <c r="AV222" s="69">
        <f t="shared" si="120"/>
        <v>6010</v>
      </c>
      <c r="AW222" s="14"/>
    </row>
    <row r="223" ht="20.15" customHeight="1" spans="1:49">
      <c r="A223" s="228">
        <f>SUBTOTAL(2,$Y$4:Y223)</f>
        <v>220</v>
      </c>
      <c r="B223" s="14" t="s">
        <v>506</v>
      </c>
      <c r="C223" s="14" t="s">
        <v>507</v>
      </c>
      <c r="D223" s="115"/>
      <c r="E223" s="229"/>
      <c r="F223" s="161" t="s">
        <v>508</v>
      </c>
      <c r="G223" s="164"/>
      <c r="H223" s="98"/>
      <c r="I223" s="270"/>
      <c r="J223" s="271"/>
      <c r="K223" s="69">
        <f t="shared" si="125"/>
        <v>0</v>
      </c>
      <c r="L223" s="69"/>
      <c r="M223" s="69"/>
      <c r="N223" s="69"/>
      <c r="O223" s="69"/>
      <c r="P223" s="231"/>
      <c r="Q223" s="69"/>
      <c r="R223" s="69"/>
      <c r="S223" s="220">
        <f t="shared" si="116"/>
        <v>0</v>
      </c>
      <c r="T223" s="220"/>
      <c r="U223" s="222"/>
      <c r="V223" s="220"/>
      <c r="W223" s="69"/>
      <c r="X223" s="220"/>
      <c r="Y223" s="69">
        <f t="shared" si="126"/>
        <v>0</v>
      </c>
      <c r="Z223" s="69"/>
      <c r="AA223" s="69"/>
      <c r="AB223" s="69"/>
      <c r="AC223" s="69"/>
      <c r="AD223" s="69">
        <f t="shared" si="99"/>
        <v>0</v>
      </c>
      <c r="AE223" s="69"/>
      <c r="AF223" s="69"/>
      <c r="AG223" s="69"/>
      <c r="AH223" s="69">
        <f t="shared" si="121"/>
        <v>0</v>
      </c>
      <c r="AI223" s="69">
        <f t="shared" si="122"/>
        <v>0</v>
      </c>
      <c r="AJ223" s="69"/>
      <c r="AK223" s="232"/>
      <c r="AL223" s="212"/>
      <c r="AM223" s="212"/>
      <c r="AN223" s="212"/>
      <c r="AO223" s="212"/>
      <c r="AP223" s="69">
        <f t="shared" si="118"/>
        <v>0</v>
      </c>
      <c r="AQ223" s="7"/>
      <c r="AR223" s="69"/>
      <c r="AS223" s="69"/>
      <c r="AT223" s="69"/>
      <c r="AU223" s="69">
        <f t="shared" si="119"/>
        <v>0</v>
      </c>
      <c r="AV223" s="69">
        <f t="shared" si="120"/>
        <v>0</v>
      </c>
      <c r="AW223" s="14"/>
    </row>
    <row r="224" ht="20.15" customHeight="1" spans="1:49">
      <c r="A224" s="228">
        <f>SUBTOTAL(2,$Y$4:Y224)</f>
        <v>221</v>
      </c>
      <c r="B224" s="14" t="s">
        <v>509</v>
      </c>
      <c r="C224" s="14" t="s">
        <v>507</v>
      </c>
      <c r="D224" s="115"/>
      <c r="E224" s="229"/>
      <c r="F224" s="161" t="s">
        <v>510</v>
      </c>
      <c r="G224" s="161"/>
      <c r="H224" s="98"/>
      <c r="I224" s="270"/>
      <c r="J224" s="271"/>
      <c r="K224" s="69">
        <f t="shared" si="125"/>
        <v>0</v>
      </c>
      <c r="L224" s="69"/>
      <c r="M224" s="69"/>
      <c r="N224" s="69"/>
      <c r="O224" s="69"/>
      <c r="P224" s="231"/>
      <c r="Q224" s="69"/>
      <c r="R224" s="69"/>
      <c r="S224" s="220">
        <f t="shared" si="116"/>
        <v>0</v>
      </c>
      <c r="T224" s="220"/>
      <c r="U224" s="222"/>
      <c r="V224" s="220"/>
      <c r="W224" s="69"/>
      <c r="X224" s="220"/>
      <c r="Y224" s="69">
        <f t="shared" si="126"/>
        <v>0</v>
      </c>
      <c r="Z224" s="69"/>
      <c r="AA224" s="69"/>
      <c r="AB224" s="69"/>
      <c r="AC224" s="69"/>
      <c r="AD224" s="69">
        <f t="shared" si="99"/>
        <v>0</v>
      </c>
      <c r="AE224" s="249"/>
      <c r="AF224" s="69"/>
      <c r="AG224" s="69"/>
      <c r="AH224" s="69">
        <f t="shared" si="121"/>
        <v>0</v>
      </c>
      <c r="AI224" s="69">
        <f t="shared" si="122"/>
        <v>0</v>
      </c>
      <c r="AJ224" s="69"/>
      <c r="AK224" s="232"/>
      <c r="AL224" s="212"/>
      <c r="AM224" s="212"/>
      <c r="AN224" s="212"/>
      <c r="AO224" s="212"/>
      <c r="AP224" s="69">
        <f t="shared" si="118"/>
        <v>0</v>
      </c>
      <c r="AQ224" s="7"/>
      <c r="AR224" s="69"/>
      <c r="AS224" s="69"/>
      <c r="AT224" s="69"/>
      <c r="AU224" s="69">
        <f t="shared" si="119"/>
        <v>0</v>
      </c>
      <c r="AV224" s="69">
        <f t="shared" si="120"/>
        <v>0</v>
      </c>
      <c r="AW224" s="14"/>
    </row>
    <row r="225" ht="20.15" customHeight="1" spans="1:49">
      <c r="A225" s="228">
        <f>SUBTOTAL(2,$Y$4:Y225)</f>
        <v>222</v>
      </c>
      <c r="B225" s="14" t="s">
        <v>511</v>
      </c>
      <c r="C225" s="115" t="s">
        <v>512</v>
      </c>
      <c r="D225" s="272">
        <v>4001</v>
      </c>
      <c r="E225" s="273">
        <f>81.9-32.425</f>
        <v>49.475</v>
      </c>
      <c r="F225" s="149">
        <v>4001</v>
      </c>
      <c r="G225" s="22" t="s">
        <v>513</v>
      </c>
      <c r="H225" s="14">
        <f>E225</f>
        <v>49.475</v>
      </c>
      <c r="I225" s="67">
        <v>5000</v>
      </c>
      <c r="J225" s="226">
        <v>500</v>
      </c>
      <c r="K225" s="69">
        <f t="shared" ref="K225:K271" si="127">I225+J225</f>
        <v>5500</v>
      </c>
      <c r="L225" s="69">
        <v>160</v>
      </c>
      <c r="M225" s="69">
        <v>671</v>
      </c>
      <c r="N225" s="69">
        <v>698</v>
      </c>
      <c r="O225" s="69">
        <f t="shared" ref="O225:O271" si="128">N225-M225</f>
        <v>27</v>
      </c>
      <c r="P225" s="231">
        <f>ROUND(H225*0,0)</f>
        <v>0</v>
      </c>
      <c r="Q225" s="69">
        <f t="shared" ref="Q225:Q271" si="129">O225+P225</f>
        <v>27</v>
      </c>
      <c r="R225" s="69">
        <v>0.8</v>
      </c>
      <c r="S225" s="220">
        <f t="shared" ref="S225:S261" si="130">ROUND(Q225*0.7,0)</f>
        <v>19</v>
      </c>
      <c r="T225" s="220">
        <f t="shared" ref="T225:T286" si="131">ROUND(Q225*R225,0)</f>
        <v>22</v>
      </c>
      <c r="U225" s="222">
        <f>ROUND(H225*3,0)</f>
        <v>148</v>
      </c>
      <c r="V225" s="220">
        <f t="shared" ref="V225:V263" si="132">ROUND(U225*1.5,0)</f>
        <v>222</v>
      </c>
      <c r="W225" s="69">
        <f>ROUND(H225*0.2,0)</f>
        <v>10</v>
      </c>
      <c r="X225" s="220">
        <f t="shared" ref="X225:X271" si="133">ROUND(W225*8.5,0)</f>
        <v>85</v>
      </c>
      <c r="Y225" s="69">
        <f t="shared" si="126"/>
        <v>6008</v>
      </c>
      <c r="Z225" s="69"/>
      <c r="AA225" s="69"/>
      <c r="AB225" s="69"/>
      <c r="AC225" s="69"/>
      <c r="AD225" s="69">
        <f t="shared" ref="AD225:AD233" si="134">AA225+AB225+AC225</f>
        <v>0</v>
      </c>
      <c r="AE225" s="69"/>
      <c r="AF225" s="69"/>
      <c r="AG225" s="69"/>
      <c r="AH225" s="69">
        <f t="shared" si="121"/>
        <v>0</v>
      </c>
      <c r="AI225" s="69">
        <f t="shared" si="122"/>
        <v>6008</v>
      </c>
      <c r="AJ225" s="69"/>
      <c r="AK225" s="232"/>
      <c r="AL225" s="212"/>
      <c r="AM225" s="212"/>
      <c r="AN225" s="212"/>
      <c r="AO225" s="212"/>
      <c r="AP225" s="69">
        <f t="shared" ref="AP225:AP261" si="135">AL225+AN225+AM225+AO225</f>
        <v>0</v>
      </c>
      <c r="AQ225" s="7"/>
      <c r="AR225" s="69"/>
      <c r="AS225" s="69"/>
      <c r="AT225" s="69"/>
      <c r="AU225" s="69">
        <f t="shared" ref="AU225:AU262" si="136">SUM(AQ225:AT225)</f>
        <v>0</v>
      </c>
      <c r="AV225" s="69">
        <f t="shared" ref="AV225:AV262" si="137">AI225-AP225-AU225</f>
        <v>6008</v>
      </c>
      <c r="AW225" s="14"/>
    </row>
    <row r="226" ht="20.15" customHeight="1" spans="1:49">
      <c r="A226" s="228">
        <f>SUBTOTAL(2,$Y$4:Y226)</f>
        <v>223</v>
      </c>
      <c r="B226" s="14" t="s">
        <v>514</v>
      </c>
      <c r="C226" s="115" t="s">
        <v>512</v>
      </c>
      <c r="D226" s="115">
        <v>4002</v>
      </c>
      <c r="E226" s="229">
        <v>32.425</v>
      </c>
      <c r="F226" s="22">
        <v>4002</v>
      </c>
      <c r="G226" s="22" t="s">
        <v>515</v>
      </c>
      <c r="H226" s="96">
        <f>E226</f>
        <v>32.425</v>
      </c>
      <c r="I226" s="7">
        <v>5000</v>
      </c>
      <c r="J226" s="7">
        <v>500</v>
      </c>
      <c r="K226" s="69">
        <f t="shared" si="127"/>
        <v>5500</v>
      </c>
      <c r="L226" s="69">
        <v>160</v>
      </c>
      <c r="M226" s="69">
        <v>5134</v>
      </c>
      <c r="N226" s="69">
        <v>5201</v>
      </c>
      <c r="O226" s="69">
        <f t="shared" si="128"/>
        <v>67</v>
      </c>
      <c r="P226" s="231">
        <f t="shared" ref="P226:P271" si="138">ROUND(H226*0,0)</f>
        <v>0</v>
      </c>
      <c r="Q226" s="69">
        <f t="shared" si="129"/>
        <v>67</v>
      </c>
      <c r="R226" s="69">
        <v>0.8</v>
      </c>
      <c r="S226" s="220">
        <f t="shared" si="130"/>
        <v>47</v>
      </c>
      <c r="T226" s="220">
        <f t="shared" si="131"/>
        <v>54</v>
      </c>
      <c r="U226" s="222">
        <f t="shared" ref="U226:U257" si="139">ROUND(H226*3,0)</f>
        <v>97</v>
      </c>
      <c r="V226" s="220">
        <f t="shared" si="132"/>
        <v>146</v>
      </c>
      <c r="W226" s="69">
        <f>ROUND(H226*0.2,0)</f>
        <v>6</v>
      </c>
      <c r="X226" s="220">
        <f t="shared" si="133"/>
        <v>51</v>
      </c>
      <c r="Y226" s="69">
        <f t="shared" si="126"/>
        <v>5958</v>
      </c>
      <c r="Z226" s="69"/>
      <c r="AA226" s="69"/>
      <c r="AB226" s="69"/>
      <c r="AC226" s="69"/>
      <c r="AD226" s="69">
        <f t="shared" si="134"/>
        <v>0</v>
      </c>
      <c r="AE226" s="69"/>
      <c r="AF226" s="69"/>
      <c r="AG226" s="69"/>
      <c r="AH226" s="69">
        <f t="shared" si="121"/>
        <v>0</v>
      </c>
      <c r="AI226" s="69">
        <f t="shared" si="122"/>
        <v>5958</v>
      </c>
      <c r="AJ226" s="69"/>
      <c r="AK226" s="232"/>
      <c r="AL226" s="212"/>
      <c r="AM226" s="212"/>
      <c r="AN226" s="212"/>
      <c r="AO226" s="212"/>
      <c r="AP226" s="69">
        <f t="shared" si="135"/>
        <v>0</v>
      </c>
      <c r="AQ226" s="7"/>
      <c r="AR226" s="69"/>
      <c r="AS226" s="69"/>
      <c r="AT226" s="69"/>
      <c r="AU226" s="69">
        <f t="shared" si="136"/>
        <v>0</v>
      </c>
      <c r="AV226" s="69">
        <f t="shared" si="137"/>
        <v>5958</v>
      </c>
      <c r="AW226" s="14"/>
    </row>
    <row r="227" ht="20.15" customHeight="1" spans="1:49">
      <c r="A227" s="228">
        <f>SUBTOTAL(2,$Y$4:Y227)</f>
        <v>224</v>
      </c>
      <c r="B227" s="14" t="s">
        <v>516</v>
      </c>
      <c r="C227" s="115" t="s">
        <v>512</v>
      </c>
      <c r="D227" s="115">
        <v>4003</v>
      </c>
      <c r="E227" s="229">
        <v>32.425</v>
      </c>
      <c r="F227" s="22">
        <v>4003</v>
      </c>
      <c r="G227" s="22" t="s">
        <v>517</v>
      </c>
      <c r="H227" s="14">
        <f t="shared" ref="H227:H261" si="140">E227</f>
        <v>32.425</v>
      </c>
      <c r="I227" s="67">
        <v>5000</v>
      </c>
      <c r="J227" s="226">
        <v>500</v>
      </c>
      <c r="K227" s="69">
        <f t="shared" si="127"/>
        <v>5500</v>
      </c>
      <c r="L227" s="69">
        <v>160</v>
      </c>
      <c r="M227" s="69">
        <v>5020</v>
      </c>
      <c r="N227" s="69">
        <v>5074</v>
      </c>
      <c r="O227" s="69">
        <f t="shared" si="128"/>
        <v>54</v>
      </c>
      <c r="P227" s="231">
        <f t="shared" si="138"/>
        <v>0</v>
      </c>
      <c r="Q227" s="69">
        <f t="shared" si="129"/>
        <v>54</v>
      </c>
      <c r="R227" s="69">
        <v>0.8</v>
      </c>
      <c r="S227" s="220">
        <f t="shared" si="130"/>
        <v>38</v>
      </c>
      <c r="T227" s="220">
        <f t="shared" si="131"/>
        <v>43</v>
      </c>
      <c r="U227" s="222">
        <f t="shared" si="139"/>
        <v>97</v>
      </c>
      <c r="V227" s="220">
        <f t="shared" si="132"/>
        <v>146</v>
      </c>
      <c r="W227" s="69">
        <f t="shared" ref="W227:W258" si="141">ROUND(H227*0.2,0)</f>
        <v>6</v>
      </c>
      <c r="X227" s="220">
        <f t="shared" si="133"/>
        <v>51</v>
      </c>
      <c r="Y227" s="69">
        <f t="shared" si="126"/>
        <v>5938</v>
      </c>
      <c r="Z227" s="69"/>
      <c r="AA227" s="69"/>
      <c r="AB227" s="69"/>
      <c r="AC227" s="69"/>
      <c r="AD227" s="69">
        <f t="shared" si="134"/>
        <v>0</v>
      </c>
      <c r="AE227" s="69"/>
      <c r="AF227" s="69"/>
      <c r="AG227" s="69"/>
      <c r="AH227" s="69">
        <f t="shared" si="121"/>
        <v>0</v>
      </c>
      <c r="AI227" s="69">
        <f t="shared" si="122"/>
        <v>5938</v>
      </c>
      <c r="AJ227" s="69"/>
      <c r="AK227" s="232"/>
      <c r="AL227" s="212"/>
      <c r="AM227" s="212"/>
      <c r="AN227" s="212"/>
      <c r="AO227" s="212"/>
      <c r="AP227" s="69">
        <f t="shared" si="135"/>
        <v>0</v>
      </c>
      <c r="AQ227" s="7"/>
      <c r="AR227" s="69"/>
      <c r="AS227" s="67"/>
      <c r="AT227" s="67"/>
      <c r="AU227" s="69">
        <f t="shared" si="136"/>
        <v>0</v>
      </c>
      <c r="AV227" s="69">
        <f t="shared" si="137"/>
        <v>5938</v>
      </c>
      <c r="AW227" s="14"/>
    </row>
    <row r="228" ht="20.15" customHeight="1" spans="1:49">
      <c r="A228" s="228">
        <f>SUBTOTAL(2,$Y$4:Y228)</f>
        <v>225</v>
      </c>
      <c r="B228" s="14" t="s">
        <v>518</v>
      </c>
      <c r="C228" s="115" t="s">
        <v>512</v>
      </c>
      <c r="D228" s="115">
        <v>4004</v>
      </c>
      <c r="E228" s="229">
        <v>32.425</v>
      </c>
      <c r="F228" s="22">
        <v>4004</v>
      </c>
      <c r="G228" s="22" t="s">
        <v>519</v>
      </c>
      <c r="H228" s="14">
        <f t="shared" si="140"/>
        <v>32.425</v>
      </c>
      <c r="I228" s="67">
        <v>5000</v>
      </c>
      <c r="J228" s="230">
        <v>500</v>
      </c>
      <c r="K228" s="69">
        <f t="shared" si="127"/>
        <v>5500</v>
      </c>
      <c r="L228" s="69">
        <v>160</v>
      </c>
      <c r="M228" s="69">
        <v>9278</v>
      </c>
      <c r="N228" s="69">
        <v>9278</v>
      </c>
      <c r="O228" s="69">
        <f t="shared" si="128"/>
        <v>0</v>
      </c>
      <c r="P228" s="231">
        <f t="shared" si="138"/>
        <v>0</v>
      </c>
      <c r="Q228" s="69">
        <f t="shared" si="129"/>
        <v>0</v>
      </c>
      <c r="R228" s="69">
        <v>0.8</v>
      </c>
      <c r="S228" s="220">
        <f t="shared" si="130"/>
        <v>0</v>
      </c>
      <c r="T228" s="220">
        <f t="shared" si="131"/>
        <v>0</v>
      </c>
      <c r="U228" s="222">
        <f t="shared" si="139"/>
        <v>97</v>
      </c>
      <c r="V228" s="220">
        <f t="shared" si="132"/>
        <v>146</v>
      </c>
      <c r="W228" s="69">
        <f t="shared" si="141"/>
        <v>6</v>
      </c>
      <c r="X228" s="220">
        <f t="shared" si="133"/>
        <v>51</v>
      </c>
      <c r="Y228" s="69">
        <f t="shared" ref="Y228:Y261" si="142">I228+J228+L228+S228+T228+V228+X228</f>
        <v>5857</v>
      </c>
      <c r="Z228" s="69"/>
      <c r="AA228" s="69"/>
      <c r="AB228" s="69"/>
      <c r="AC228" s="69"/>
      <c r="AD228" s="69">
        <f t="shared" si="134"/>
        <v>0</v>
      </c>
      <c r="AE228" s="69"/>
      <c r="AF228" s="69"/>
      <c r="AG228" s="69"/>
      <c r="AH228" s="69">
        <f t="shared" si="121"/>
        <v>0</v>
      </c>
      <c r="AI228" s="69">
        <f t="shared" si="122"/>
        <v>5857</v>
      </c>
      <c r="AJ228" s="69"/>
      <c r="AK228" s="232"/>
      <c r="AL228" s="212"/>
      <c r="AM228" s="212"/>
      <c r="AN228" s="212"/>
      <c r="AO228" s="212"/>
      <c r="AP228" s="69">
        <f t="shared" si="135"/>
        <v>0</v>
      </c>
      <c r="AQ228" s="7"/>
      <c r="AR228" s="69"/>
      <c r="AS228" s="69"/>
      <c r="AT228" s="69"/>
      <c r="AU228" s="69">
        <f t="shared" si="136"/>
        <v>0</v>
      </c>
      <c r="AV228" s="69">
        <f t="shared" si="137"/>
        <v>5857</v>
      </c>
      <c r="AW228" s="14"/>
    </row>
    <row r="229" ht="20.15" customHeight="1" spans="1:49">
      <c r="A229" s="228">
        <f>SUBTOTAL(2,$Y$4:Y229)</f>
        <v>226</v>
      </c>
      <c r="B229" s="14" t="s">
        <v>520</v>
      </c>
      <c r="C229" s="14" t="s">
        <v>512</v>
      </c>
      <c r="D229" s="115">
        <v>4005</v>
      </c>
      <c r="E229" s="229">
        <v>32.425</v>
      </c>
      <c r="F229" s="118">
        <v>4005</v>
      </c>
      <c r="G229" s="118" t="s">
        <v>521</v>
      </c>
      <c r="H229" s="240">
        <f t="shared" si="140"/>
        <v>32.425</v>
      </c>
      <c r="I229" s="268">
        <v>5000</v>
      </c>
      <c r="J229" s="245">
        <v>500</v>
      </c>
      <c r="K229" s="69">
        <f t="shared" si="127"/>
        <v>5500</v>
      </c>
      <c r="L229" s="69">
        <v>160</v>
      </c>
      <c r="M229" s="69">
        <v>2251</v>
      </c>
      <c r="N229" s="69">
        <v>2278</v>
      </c>
      <c r="O229" s="69">
        <f t="shared" si="128"/>
        <v>27</v>
      </c>
      <c r="P229" s="231">
        <f t="shared" si="138"/>
        <v>0</v>
      </c>
      <c r="Q229" s="69">
        <f t="shared" si="129"/>
        <v>27</v>
      </c>
      <c r="R229" s="69">
        <v>0.8</v>
      </c>
      <c r="S229" s="220">
        <f t="shared" si="130"/>
        <v>19</v>
      </c>
      <c r="T229" s="220">
        <f t="shared" si="131"/>
        <v>22</v>
      </c>
      <c r="U229" s="222">
        <f t="shared" si="139"/>
        <v>97</v>
      </c>
      <c r="V229" s="220">
        <f t="shared" si="132"/>
        <v>146</v>
      </c>
      <c r="W229" s="69">
        <f t="shared" si="141"/>
        <v>6</v>
      </c>
      <c r="X229" s="220">
        <f t="shared" si="133"/>
        <v>51</v>
      </c>
      <c r="Y229" s="69">
        <f t="shared" si="142"/>
        <v>5898</v>
      </c>
      <c r="Z229" s="249"/>
      <c r="AA229" s="69"/>
      <c r="AB229" s="69"/>
      <c r="AC229" s="69"/>
      <c r="AD229" s="69">
        <f t="shared" si="134"/>
        <v>0</v>
      </c>
      <c r="AE229" s="69"/>
      <c r="AF229" s="69"/>
      <c r="AG229" s="69"/>
      <c r="AH229" s="69">
        <f t="shared" si="121"/>
        <v>0</v>
      </c>
      <c r="AI229" s="69">
        <f t="shared" si="122"/>
        <v>5898</v>
      </c>
      <c r="AJ229" s="69"/>
      <c r="AK229" s="232"/>
      <c r="AL229" s="212"/>
      <c r="AM229" s="212"/>
      <c r="AN229" s="212"/>
      <c r="AO229" s="212"/>
      <c r="AP229" s="69">
        <f t="shared" si="135"/>
        <v>0</v>
      </c>
      <c r="AQ229" s="7"/>
      <c r="AR229" s="69"/>
      <c r="AS229" s="69"/>
      <c r="AT229" s="69"/>
      <c r="AU229" s="69">
        <f t="shared" si="136"/>
        <v>0</v>
      </c>
      <c r="AV229" s="69">
        <f t="shared" si="137"/>
        <v>5898</v>
      </c>
      <c r="AW229" s="14"/>
    </row>
    <row r="230" ht="20.15" customHeight="1" spans="1:49">
      <c r="A230" s="228">
        <f>SUBTOTAL(2,$Y$4:Y230)</f>
        <v>227</v>
      </c>
      <c r="B230" s="14" t="s">
        <v>522</v>
      </c>
      <c r="C230" s="115" t="s">
        <v>512</v>
      </c>
      <c r="D230" s="115">
        <v>4006</v>
      </c>
      <c r="E230" s="229">
        <v>32.425</v>
      </c>
      <c r="F230" s="22">
        <v>4006</v>
      </c>
      <c r="G230" s="22" t="s">
        <v>523</v>
      </c>
      <c r="H230" s="14">
        <f t="shared" si="140"/>
        <v>32.425</v>
      </c>
      <c r="I230" s="67">
        <v>5000</v>
      </c>
      <c r="J230" s="230">
        <v>500</v>
      </c>
      <c r="K230" s="69">
        <f t="shared" si="127"/>
        <v>5500</v>
      </c>
      <c r="L230" s="69">
        <v>160</v>
      </c>
      <c r="M230" s="69">
        <v>4446</v>
      </c>
      <c r="N230" s="69">
        <v>4527</v>
      </c>
      <c r="O230" s="69">
        <f t="shared" si="128"/>
        <v>81</v>
      </c>
      <c r="P230" s="231">
        <f t="shared" si="138"/>
        <v>0</v>
      </c>
      <c r="Q230" s="69">
        <f t="shared" si="129"/>
        <v>81</v>
      </c>
      <c r="R230" s="69">
        <v>0.8</v>
      </c>
      <c r="S230" s="220">
        <f t="shared" si="130"/>
        <v>57</v>
      </c>
      <c r="T230" s="220">
        <f t="shared" si="131"/>
        <v>65</v>
      </c>
      <c r="U230" s="222">
        <f t="shared" si="139"/>
        <v>97</v>
      </c>
      <c r="V230" s="220">
        <f t="shared" si="132"/>
        <v>146</v>
      </c>
      <c r="W230" s="69">
        <f t="shared" si="141"/>
        <v>6</v>
      </c>
      <c r="X230" s="220">
        <f t="shared" si="133"/>
        <v>51</v>
      </c>
      <c r="Y230" s="69">
        <f t="shared" si="142"/>
        <v>5979</v>
      </c>
      <c r="Z230" s="69"/>
      <c r="AA230" s="69"/>
      <c r="AB230" s="69"/>
      <c r="AC230" s="69"/>
      <c r="AD230" s="69">
        <f t="shared" si="134"/>
        <v>0</v>
      </c>
      <c r="AE230" s="69"/>
      <c r="AF230" s="69"/>
      <c r="AG230" s="69"/>
      <c r="AH230" s="69">
        <f t="shared" si="121"/>
        <v>0</v>
      </c>
      <c r="AI230" s="69">
        <f t="shared" si="122"/>
        <v>5979</v>
      </c>
      <c r="AJ230" s="69"/>
      <c r="AK230" s="232"/>
      <c r="AL230" s="212"/>
      <c r="AM230" s="212"/>
      <c r="AN230" s="212"/>
      <c r="AO230" s="212"/>
      <c r="AP230" s="69">
        <f t="shared" si="135"/>
        <v>0</v>
      </c>
      <c r="AQ230" s="7"/>
      <c r="AR230" s="69"/>
      <c r="AS230" s="69"/>
      <c r="AT230" s="69"/>
      <c r="AU230" s="69">
        <f t="shared" si="136"/>
        <v>0</v>
      </c>
      <c r="AV230" s="69">
        <f t="shared" si="137"/>
        <v>5979</v>
      </c>
      <c r="AW230" s="14"/>
    </row>
    <row r="231" ht="20.15" customHeight="1" spans="1:49">
      <c r="A231" s="228">
        <f>SUBTOTAL(2,$Y$4:Y231)</f>
        <v>228</v>
      </c>
      <c r="B231" s="14" t="s">
        <v>524</v>
      </c>
      <c r="C231" s="115" t="s">
        <v>512</v>
      </c>
      <c r="D231" s="115">
        <v>4007</v>
      </c>
      <c r="E231" s="229">
        <v>32.425</v>
      </c>
      <c r="F231" s="22">
        <v>4007</v>
      </c>
      <c r="G231" s="22" t="s">
        <v>525</v>
      </c>
      <c r="H231" s="14">
        <f t="shared" si="140"/>
        <v>32.425</v>
      </c>
      <c r="I231" s="67">
        <v>5000</v>
      </c>
      <c r="J231" s="230">
        <v>500</v>
      </c>
      <c r="K231" s="69">
        <f t="shared" si="127"/>
        <v>5500</v>
      </c>
      <c r="L231" s="69">
        <v>160</v>
      </c>
      <c r="M231" s="69">
        <v>7984</v>
      </c>
      <c r="N231" s="69">
        <v>8040</v>
      </c>
      <c r="O231" s="69">
        <f t="shared" si="128"/>
        <v>56</v>
      </c>
      <c r="P231" s="231">
        <f t="shared" si="138"/>
        <v>0</v>
      </c>
      <c r="Q231" s="69">
        <f t="shared" si="129"/>
        <v>56</v>
      </c>
      <c r="R231" s="69">
        <v>0.8</v>
      </c>
      <c r="S231" s="220">
        <f t="shared" si="130"/>
        <v>39</v>
      </c>
      <c r="T231" s="220">
        <f t="shared" si="131"/>
        <v>45</v>
      </c>
      <c r="U231" s="222">
        <f t="shared" si="139"/>
        <v>97</v>
      </c>
      <c r="V231" s="220">
        <f t="shared" si="132"/>
        <v>146</v>
      </c>
      <c r="W231" s="69">
        <f t="shared" si="141"/>
        <v>6</v>
      </c>
      <c r="X231" s="220">
        <f t="shared" si="133"/>
        <v>51</v>
      </c>
      <c r="Y231" s="69">
        <f t="shared" si="142"/>
        <v>5941</v>
      </c>
      <c r="Z231" s="69"/>
      <c r="AA231" s="69"/>
      <c r="AB231" s="69"/>
      <c r="AC231" s="69"/>
      <c r="AD231" s="69">
        <f t="shared" si="134"/>
        <v>0</v>
      </c>
      <c r="AE231" s="69"/>
      <c r="AF231" s="69"/>
      <c r="AG231" s="69"/>
      <c r="AH231" s="69">
        <f t="shared" si="121"/>
        <v>0</v>
      </c>
      <c r="AI231" s="69">
        <f t="shared" si="122"/>
        <v>5941</v>
      </c>
      <c r="AJ231" s="69"/>
      <c r="AK231" s="232"/>
      <c r="AL231" s="212"/>
      <c r="AM231" s="212"/>
      <c r="AN231" s="212"/>
      <c r="AO231" s="212"/>
      <c r="AP231" s="69">
        <f t="shared" si="135"/>
        <v>0</v>
      </c>
      <c r="AQ231" s="7"/>
      <c r="AR231" s="69"/>
      <c r="AS231" s="69"/>
      <c r="AT231" s="69"/>
      <c r="AU231" s="69">
        <f t="shared" si="136"/>
        <v>0</v>
      </c>
      <c r="AV231" s="69">
        <f t="shared" si="137"/>
        <v>5941</v>
      </c>
      <c r="AW231" s="14"/>
    </row>
    <row r="232" ht="20.15" customHeight="1" spans="1:49">
      <c r="A232" s="228">
        <f>SUBTOTAL(2,$Y$4:Y232)</f>
        <v>229</v>
      </c>
      <c r="B232" s="14" t="s">
        <v>526</v>
      </c>
      <c r="C232" s="115" t="s">
        <v>512</v>
      </c>
      <c r="D232" s="115">
        <v>4008</v>
      </c>
      <c r="E232" s="229">
        <v>32.425</v>
      </c>
      <c r="F232" s="22">
        <v>4008</v>
      </c>
      <c r="G232" s="22" t="s">
        <v>527</v>
      </c>
      <c r="H232" s="14">
        <f t="shared" si="140"/>
        <v>32.425</v>
      </c>
      <c r="I232" s="7">
        <v>5000</v>
      </c>
      <c r="J232" s="238">
        <v>500</v>
      </c>
      <c r="K232" s="69">
        <f t="shared" si="127"/>
        <v>5500</v>
      </c>
      <c r="L232" s="69">
        <v>160</v>
      </c>
      <c r="M232" s="69">
        <v>195</v>
      </c>
      <c r="N232" s="69">
        <v>226</v>
      </c>
      <c r="O232" s="69">
        <f t="shared" si="128"/>
        <v>31</v>
      </c>
      <c r="P232" s="231">
        <f t="shared" si="138"/>
        <v>0</v>
      </c>
      <c r="Q232" s="69">
        <f t="shared" si="129"/>
        <v>31</v>
      </c>
      <c r="R232" s="69">
        <v>0.8</v>
      </c>
      <c r="S232" s="220">
        <f t="shared" si="130"/>
        <v>22</v>
      </c>
      <c r="T232" s="220">
        <f t="shared" si="131"/>
        <v>25</v>
      </c>
      <c r="U232" s="222">
        <f t="shared" si="139"/>
        <v>97</v>
      </c>
      <c r="V232" s="220">
        <f t="shared" si="132"/>
        <v>146</v>
      </c>
      <c r="W232" s="69">
        <f t="shared" si="141"/>
        <v>6</v>
      </c>
      <c r="X232" s="220">
        <f t="shared" si="133"/>
        <v>51</v>
      </c>
      <c r="Y232" s="69">
        <f t="shared" si="142"/>
        <v>5904</v>
      </c>
      <c r="Z232" s="69"/>
      <c r="AA232" s="69"/>
      <c r="AB232" s="69"/>
      <c r="AC232" s="69"/>
      <c r="AD232" s="69">
        <f t="shared" si="134"/>
        <v>0</v>
      </c>
      <c r="AE232" s="69"/>
      <c r="AF232" s="69"/>
      <c r="AG232" s="69"/>
      <c r="AH232" s="69">
        <f t="shared" si="121"/>
        <v>0</v>
      </c>
      <c r="AI232" s="69">
        <f t="shared" si="122"/>
        <v>5904</v>
      </c>
      <c r="AJ232" s="69"/>
      <c r="AK232" s="232"/>
      <c r="AL232" s="212"/>
      <c r="AM232" s="212"/>
      <c r="AN232" s="212"/>
      <c r="AO232" s="212"/>
      <c r="AP232" s="69">
        <f t="shared" si="135"/>
        <v>0</v>
      </c>
      <c r="AQ232" s="7"/>
      <c r="AR232" s="69"/>
      <c r="AS232" s="67"/>
      <c r="AT232" s="67"/>
      <c r="AU232" s="69">
        <f t="shared" si="136"/>
        <v>0</v>
      </c>
      <c r="AV232" s="69">
        <f t="shared" si="137"/>
        <v>5904</v>
      </c>
      <c r="AW232" s="14"/>
    </row>
    <row r="233" ht="20.15" customHeight="1" spans="1:49">
      <c r="A233" s="228">
        <f>SUBTOTAL(2,$Y$4:Y233)</f>
        <v>230</v>
      </c>
      <c r="B233" s="14" t="s">
        <v>528</v>
      </c>
      <c r="C233" s="115" t="s">
        <v>512</v>
      </c>
      <c r="D233" s="115">
        <v>4009</v>
      </c>
      <c r="E233" s="229">
        <v>32.425</v>
      </c>
      <c r="F233" s="22">
        <v>4009</v>
      </c>
      <c r="G233" s="22" t="s">
        <v>529</v>
      </c>
      <c r="H233" s="14">
        <f t="shared" si="140"/>
        <v>32.425</v>
      </c>
      <c r="I233" s="7">
        <v>5000</v>
      </c>
      <c r="J233" s="226">
        <v>500</v>
      </c>
      <c r="K233" s="69">
        <f t="shared" si="127"/>
        <v>5500</v>
      </c>
      <c r="L233" s="69">
        <v>160</v>
      </c>
      <c r="M233" s="69">
        <v>5493</v>
      </c>
      <c r="N233" s="69">
        <v>5711</v>
      </c>
      <c r="O233" s="69">
        <f t="shared" si="128"/>
        <v>218</v>
      </c>
      <c r="P233" s="231">
        <f t="shared" si="138"/>
        <v>0</v>
      </c>
      <c r="Q233" s="69">
        <f t="shared" si="129"/>
        <v>218</v>
      </c>
      <c r="R233" s="69">
        <v>0.8</v>
      </c>
      <c r="S233" s="220">
        <f t="shared" si="130"/>
        <v>153</v>
      </c>
      <c r="T233" s="220">
        <f t="shared" si="131"/>
        <v>174</v>
      </c>
      <c r="U233" s="222">
        <f t="shared" si="139"/>
        <v>97</v>
      </c>
      <c r="V233" s="220">
        <f t="shared" si="132"/>
        <v>146</v>
      </c>
      <c r="W233" s="69">
        <f t="shared" si="141"/>
        <v>6</v>
      </c>
      <c r="X233" s="220">
        <f t="shared" si="133"/>
        <v>51</v>
      </c>
      <c r="Y233" s="69">
        <f t="shared" si="142"/>
        <v>6184</v>
      </c>
      <c r="Z233" s="69"/>
      <c r="AA233" s="69"/>
      <c r="AB233" s="69"/>
      <c r="AC233" s="69"/>
      <c r="AD233" s="69">
        <f t="shared" si="134"/>
        <v>0</v>
      </c>
      <c r="AE233" s="69"/>
      <c r="AF233" s="69"/>
      <c r="AG233" s="69"/>
      <c r="AH233" s="69">
        <f t="shared" si="121"/>
        <v>0</v>
      </c>
      <c r="AI233" s="69">
        <f t="shared" si="122"/>
        <v>6184</v>
      </c>
      <c r="AJ233" s="69"/>
      <c r="AK233" s="232"/>
      <c r="AL233" s="212"/>
      <c r="AM233" s="233"/>
      <c r="AN233" s="212"/>
      <c r="AO233" s="212"/>
      <c r="AP233" s="69">
        <f t="shared" si="135"/>
        <v>0</v>
      </c>
      <c r="AQ233" s="7"/>
      <c r="AR233" s="69"/>
      <c r="AS233" s="69"/>
      <c r="AT233" s="69"/>
      <c r="AU233" s="69">
        <f t="shared" si="136"/>
        <v>0</v>
      </c>
      <c r="AV233" s="69">
        <f t="shared" si="137"/>
        <v>6184</v>
      </c>
      <c r="AW233" s="14"/>
    </row>
    <row r="234" ht="20.15" customHeight="1" spans="1:49">
      <c r="A234" s="228">
        <f>SUBTOTAL(2,$Y$4:Y234)</f>
        <v>231</v>
      </c>
      <c r="B234" s="14" t="s">
        <v>530</v>
      </c>
      <c r="C234" s="14" t="s">
        <v>512</v>
      </c>
      <c r="D234" s="115">
        <v>4010</v>
      </c>
      <c r="E234" s="229">
        <v>32.425</v>
      </c>
      <c r="F234" s="118">
        <v>4010</v>
      </c>
      <c r="G234" s="118" t="s">
        <v>531</v>
      </c>
      <c r="H234" s="240">
        <f t="shared" si="140"/>
        <v>32.425</v>
      </c>
      <c r="I234" s="241">
        <v>5000</v>
      </c>
      <c r="J234" s="242">
        <v>500</v>
      </c>
      <c r="K234" s="69">
        <f t="shared" si="127"/>
        <v>5500</v>
      </c>
      <c r="L234" s="69">
        <v>160</v>
      </c>
      <c r="M234" s="69">
        <v>6973</v>
      </c>
      <c r="N234" s="69">
        <v>7019</v>
      </c>
      <c r="O234" s="69">
        <f t="shared" si="128"/>
        <v>46</v>
      </c>
      <c r="P234" s="231">
        <f t="shared" si="138"/>
        <v>0</v>
      </c>
      <c r="Q234" s="69">
        <f t="shared" si="129"/>
        <v>46</v>
      </c>
      <c r="R234" s="69">
        <v>0.8</v>
      </c>
      <c r="S234" s="220">
        <f t="shared" si="130"/>
        <v>32</v>
      </c>
      <c r="T234" s="220">
        <f t="shared" si="131"/>
        <v>37</v>
      </c>
      <c r="U234" s="222">
        <f t="shared" si="139"/>
        <v>97</v>
      </c>
      <c r="V234" s="220">
        <f t="shared" si="132"/>
        <v>146</v>
      </c>
      <c r="W234" s="69">
        <f t="shared" si="141"/>
        <v>6</v>
      </c>
      <c r="X234" s="220">
        <f t="shared" si="133"/>
        <v>51</v>
      </c>
      <c r="Y234" s="69">
        <f t="shared" si="142"/>
        <v>5926</v>
      </c>
      <c r="Z234" s="69"/>
      <c r="AA234" s="69"/>
      <c r="AB234" s="69"/>
      <c r="AC234" s="69"/>
      <c r="AD234" s="69">
        <f t="shared" ref="AD234:AD259" si="143">AA234+AB234+AC234</f>
        <v>0</v>
      </c>
      <c r="AE234" s="69"/>
      <c r="AF234" s="69"/>
      <c r="AG234" s="69"/>
      <c r="AH234" s="69">
        <f t="shared" ref="AH234:AH265" si="144">AE234+AF234-AG234</f>
        <v>0</v>
      </c>
      <c r="AI234" s="69">
        <f t="shared" ref="AI234:AI265" si="145">Y234+Z234+AJ234-AD234-AG234</f>
        <v>5926</v>
      </c>
      <c r="AJ234" s="69"/>
      <c r="AK234" s="232"/>
      <c r="AL234" s="212"/>
      <c r="AM234" s="212"/>
      <c r="AN234" s="212"/>
      <c r="AO234" s="212"/>
      <c r="AP234" s="69">
        <f t="shared" si="135"/>
        <v>0</v>
      </c>
      <c r="AQ234" s="7"/>
      <c r="AR234" s="69"/>
      <c r="AS234" s="69"/>
      <c r="AT234" s="69"/>
      <c r="AU234" s="69">
        <f t="shared" si="136"/>
        <v>0</v>
      </c>
      <c r="AV234" s="69">
        <f t="shared" si="137"/>
        <v>5926</v>
      </c>
      <c r="AW234" s="14"/>
    </row>
    <row r="235" ht="20.15" customHeight="1" spans="1:49">
      <c r="A235" s="228">
        <f>SUBTOTAL(2,$Y$4:Y235)</f>
        <v>232</v>
      </c>
      <c r="B235" s="14" t="s">
        <v>532</v>
      </c>
      <c r="C235" s="14" t="s">
        <v>512</v>
      </c>
      <c r="D235" s="115">
        <v>4011</v>
      </c>
      <c r="E235" s="229">
        <v>32.425</v>
      </c>
      <c r="F235" s="13">
        <v>4011</v>
      </c>
      <c r="G235" s="13" t="s">
        <v>533</v>
      </c>
      <c r="H235" s="14">
        <f t="shared" si="140"/>
        <v>32.425</v>
      </c>
      <c r="I235" s="67">
        <v>5000</v>
      </c>
      <c r="J235" s="226">
        <v>500</v>
      </c>
      <c r="K235" s="69">
        <f t="shared" si="127"/>
        <v>5500</v>
      </c>
      <c r="L235" s="69">
        <v>160</v>
      </c>
      <c r="M235" s="69">
        <v>17003</v>
      </c>
      <c r="N235" s="69">
        <v>17093</v>
      </c>
      <c r="O235" s="69">
        <f t="shared" si="128"/>
        <v>90</v>
      </c>
      <c r="P235" s="231">
        <f t="shared" si="138"/>
        <v>0</v>
      </c>
      <c r="Q235" s="69">
        <f t="shared" si="129"/>
        <v>90</v>
      </c>
      <c r="R235" s="69">
        <v>0.8</v>
      </c>
      <c r="S235" s="220">
        <f t="shared" si="130"/>
        <v>63</v>
      </c>
      <c r="T235" s="220">
        <f t="shared" si="131"/>
        <v>72</v>
      </c>
      <c r="U235" s="222">
        <f t="shared" si="139"/>
        <v>97</v>
      </c>
      <c r="V235" s="220">
        <f t="shared" si="132"/>
        <v>146</v>
      </c>
      <c r="W235" s="69">
        <f t="shared" si="141"/>
        <v>6</v>
      </c>
      <c r="X235" s="220">
        <f t="shared" si="133"/>
        <v>51</v>
      </c>
      <c r="Y235" s="69">
        <f t="shared" si="142"/>
        <v>5992</v>
      </c>
      <c r="Z235" s="69"/>
      <c r="AA235" s="69"/>
      <c r="AB235" s="69"/>
      <c r="AC235" s="69"/>
      <c r="AD235" s="69">
        <f t="shared" si="143"/>
        <v>0</v>
      </c>
      <c r="AE235" s="69"/>
      <c r="AF235" s="69"/>
      <c r="AG235" s="69"/>
      <c r="AH235" s="69">
        <f t="shared" si="144"/>
        <v>0</v>
      </c>
      <c r="AI235" s="69">
        <f t="shared" si="145"/>
        <v>5992</v>
      </c>
      <c r="AJ235" s="69"/>
      <c r="AK235" s="232"/>
      <c r="AL235" s="212"/>
      <c r="AM235" s="212"/>
      <c r="AN235" s="212"/>
      <c r="AO235" s="212"/>
      <c r="AP235" s="69">
        <f t="shared" si="135"/>
        <v>0</v>
      </c>
      <c r="AQ235" s="7"/>
      <c r="AR235" s="69"/>
      <c r="AS235" s="69"/>
      <c r="AT235" s="69"/>
      <c r="AU235" s="69">
        <f t="shared" si="136"/>
        <v>0</v>
      </c>
      <c r="AV235" s="69">
        <f t="shared" si="137"/>
        <v>5992</v>
      </c>
      <c r="AW235" s="14"/>
    </row>
    <row r="236" ht="20.15" customHeight="1" spans="1:49">
      <c r="A236" s="228">
        <f>SUBTOTAL(2,$Y$4:Y236)</f>
        <v>233</v>
      </c>
      <c r="B236" s="14" t="s">
        <v>534</v>
      </c>
      <c r="C236" s="14" t="s">
        <v>512</v>
      </c>
      <c r="D236" s="115">
        <v>4012</v>
      </c>
      <c r="E236" s="229">
        <v>32.425</v>
      </c>
      <c r="F236" s="13">
        <v>4012</v>
      </c>
      <c r="G236" s="13" t="s">
        <v>535</v>
      </c>
      <c r="H236" s="14">
        <f t="shared" si="140"/>
        <v>32.425</v>
      </c>
      <c r="I236" s="7">
        <v>5000</v>
      </c>
      <c r="J236" s="238">
        <v>500</v>
      </c>
      <c r="K236" s="69">
        <f t="shared" si="127"/>
        <v>5500</v>
      </c>
      <c r="L236" s="69">
        <v>160</v>
      </c>
      <c r="M236" s="69">
        <v>8560</v>
      </c>
      <c r="N236" s="69">
        <v>8583</v>
      </c>
      <c r="O236" s="69">
        <f t="shared" si="128"/>
        <v>23</v>
      </c>
      <c r="P236" s="231">
        <f t="shared" si="138"/>
        <v>0</v>
      </c>
      <c r="Q236" s="69">
        <f t="shared" si="129"/>
        <v>23</v>
      </c>
      <c r="R236" s="69">
        <v>0.8</v>
      </c>
      <c r="S236" s="220">
        <f t="shared" si="130"/>
        <v>16</v>
      </c>
      <c r="T236" s="220">
        <f t="shared" si="131"/>
        <v>18</v>
      </c>
      <c r="U236" s="222">
        <f t="shared" si="139"/>
        <v>97</v>
      </c>
      <c r="V236" s="220">
        <f t="shared" si="132"/>
        <v>146</v>
      </c>
      <c r="W236" s="69">
        <f t="shared" si="141"/>
        <v>6</v>
      </c>
      <c r="X236" s="220">
        <f t="shared" si="133"/>
        <v>51</v>
      </c>
      <c r="Y236" s="69">
        <f t="shared" si="142"/>
        <v>5891</v>
      </c>
      <c r="Z236" s="69"/>
      <c r="AA236" s="69"/>
      <c r="AB236" s="69"/>
      <c r="AC236" s="69"/>
      <c r="AD236" s="69">
        <f t="shared" si="143"/>
        <v>0</v>
      </c>
      <c r="AE236" s="69"/>
      <c r="AF236" s="69"/>
      <c r="AG236" s="69"/>
      <c r="AH236" s="69">
        <f t="shared" si="144"/>
        <v>0</v>
      </c>
      <c r="AI236" s="69">
        <f t="shared" si="145"/>
        <v>5891</v>
      </c>
      <c r="AJ236" s="69"/>
      <c r="AK236" s="232"/>
      <c r="AL236" s="212"/>
      <c r="AM236" s="212"/>
      <c r="AN236" s="212"/>
      <c r="AO236" s="212"/>
      <c r="AP236" s="69">
        <f t="shared" si="135"/>
        <v>0</v>
      </c>
      <c r="AQ236" s="7"/>
      <c r="AR236" s="69"/>
      <c r="AS236" s="69"/>
      <c r="AT236" s="69"/>
      <c r="AU236" s="69">
        <f t="shared" si="136"/>
        <v>0</v>
      </c>
      <c r="AV236" s="69">
        <f t="shared" si="137"/>
        <v>5891</v>
      </c>
      <c r="AW236" s="255"/>
    </row>
    <row r="237" ht="20.15" customHeight="1" spans="1:49">
      <c r="A237" s="228">
        <f>SUBTOTAL(2,$Y$4:Y237)</f>
        <v>234</v>
      </c>
      <c r="B237" s="14" t="s">
        <v>536</v>
      </c>
      <c r="C237" s="14" t="s">
        <v>512</v>
      </c>
      <c r="D237" s="115">
        <v>4013</v>
      </c>
      <c r="E237" s="229">
        <v>32.425</v>
      </c>
      <c r="F237" s="118">
        <v>4013</v>
      </c>
      <c r="G237" s="118" t="s">
        <v>537</v>
      </c>
      <c r="H237" s="240">
        <f t="shared" si="140"/>
        <v>32.425</v>
      </c>
      <c r="I237" s="268">
        <v>5000</v>
      </c>
      <c r="J237" s="245">
        <v>500</v>
      </c>
      <c r="K237" s="69">
        <f t="shared" si="127"/>
        <v>5500</v>
      </c>
      <c r="L237" s="69">
        <v>160</v>
      </c>
      <c r="M237" s="69">
        <v>6654</v>
      </c>
      <c r="N237" s="69">
        <v>6680</v>
      </c>
      <c r="O237" s="69">
        <f t="shared" si="128"/>
        <v>26</v>
      </c>
      <c r="P237" s="231">
        <f t="shared" si="138"/>
        <v>0</v>
      </c>
      <c r="Q237" s="69">
        <f t="shared" si="129"/>
        <v>26</v>
      </c>
      <c r="R237" s="69">
        <v>0.8</v>
      </c>
      <c r="S237" s="220">
        <f t="shared" si="130"/>
        <v>18</v>
      </c>
      <c r="T237" s="220">
        <f t="shared" si="131"/>
        <v>21</v>
      </c>
      <c r="U237" s="222">
        <f t="shared" si="139"/>
        <v>97</v>
      </c>
      <c r="V237" s="220">
        <f t="shared" si="132"/>
        <v>146</v>
      </c>
      <c r="W237" s="69">
        <f t="shared" si="141"/>
        <v>6</v>
      </c>
      <c r="X237" s="220">
        <f t="shared" si="133"/>
        <v>51</v>
      </c>
      <c r="Y237" s="69">
        <f t="shared" si="142"/>
        <v>5896</v>
      </c>
      <c r="Z237" s="69"/>
      <c r="AA237" s="69"/>
      <c r="AB237" s="69"/>
      <c r="AC237" s="69"/>
      <c r="AD237" s="69">
        <f t="shared" si="143"/>
        <v>0</v>
      </c>
      <c r="AE237" s="69"/>
      <c r="AF237" s="69"/>
      <c r="AG237" s="69"/>
      <c r="AH237" s="69">
        <f t="shared" si="144"/>
        <v>0</v>
      </c>
      <c r="AI237" s="69">
        <f t="shared" si="145"/>
        <v>5896</v>
      </c>
      <c r="AJ237" s="69"/>
      <c r="AK237" s="232"/>
      <c r="AL237" s="212"/>
      <c r="AM237" s="212"/>
      <c r="AN237" s="212"/>
      <c r="AO237" s="212"/>
      <c r="AP237" s="69">
        <f t="shared" si="135"/>
        <v>0</v>
      </c>
      <c r="AQ237" s="7"/>
      <c r="AR237" s="69"/>
      <c r="AS237" s="69"/>
      <c r="AT237" s="69"/>
      <c r="AU237" s="69">
        <f t="shared" si="136"/>
        <v>0</v>
      </c>
      <c r="AV237" s="69">
        <f t="shared" si="137"/>
        <v>5896</v>
      </c>
      <c r="AW237" s="14"/>
    </row>
    <row r="238" ht="20.15" customHeight="1" spans="1:49">
      <c r="A238" s="228">
        <f>SUBTOTAL(2,$Y$4:Y238)</f>
        <v>235</v>
      </c>
      <c r="B238" s="14" t="s">
        <v>538</v>
      </c>
      <c r="C238" s="14" t="s">
        <v>512</v>
      </c>
      <c r="D238" s="115">
        <v>4014</v>
      </c>
      <c r="E238" s="229">
        <v>32.425</v>
      </c>
      <c r="F238" s="13">
        <v>4014</v>
      </c>
      <c r="G238" s="13" t="s">
        <v>228</v>
      </c>
      <c r="H238" s="14">
        <f t="shared" si="140"/>
        <v>32.425</v>
      </c>
      <c r="I238" s="7">
        <v>5000</v>
      </c>
      <c r="J238" s="230">
        <v>500</v>
      </c>
      <c r="K238" s="69">
        <f t="shared" si="127"/>
        <v>5500</v>
      </c>
      <c r="L238" s="69">
        <v>160</v>
      </c>
      <c r="M238" s="69">
        <v>7832</v>
      </c>
      <c r="N238" s="69">
        <v>7964</v>
      </c>
      <c r="O238" s="69">
        <f t="shared" si="128"/>
        <v>132</v>
      </c>
      <c r="P238" s="231">
        <f t="shared" si="138"/>
        <v>0</v>
      </c>
      <c r="Q238" s="69">
        <f t="shared" si="129"/>
        <v>132</v>
      </c>
      <c r="R238" s="69">
        <v>0.8</v>
      </c>
      <c r="S238" s="220">
        <f t="shared" si="130"/>
        <v>92</v>
      </c>
      <c r="T238" s="220">
        <f t="shared" si="131"/>
        <v>106</v>
      </c>
      <c r="U238" s="222">
        <f t="shared" si="139"/>
        <v>97</v>
      </c>
      <c r="V238" s="220">
        <f t="shared" si="132"/>
        <v>146</v>
      </c>
      <c r="W238" s="69">
        <f t="shared" si="141"/>
        <v>6</v>
      </c>
      <c r="X238" s="220">
        <f t="shared" si="133"/>
        <v>51</v>
      </c>
      <c r="Y238" s="69">
        <f t="shared" si="142"/>
        <v>6055</v>
      </c>
      <c r="Z238" s="69"/>
      <c r="AA238" s="69"/>
      <c r="AB238" s="69"/>
      <c r="AC238" s="69"/>
      <c r="AD238" s="69">
        <f t="shared" si="143"/>
        <v>0</v>
      </c>
      <c r="AE238" s="69"/>
      <c r="AF238" s="69"/>
      <c r="AG238" s="69"/>
      <c r="AH238" s="69">
        <f t="shared" si="144"/>
        <v>0</v>
      </c>
      <c r="AI238" s="69">
        <f t="shared" si="145"/>
        <v>6055</v>
      </c>
      <c r="AJ238" s="69"/>
      <c r="AK238" s="232"/>
      <c r="AL238" s="212"/>
      <c r="AM238" s="212"/>
      <c r="AN238" s="212"/>
      <c r="AO238" s="212"/>
      <c r="AP238" s="69">
        <f t="shared" si="135"/>
        <v>0</v>
      </c>
      <c r="AQ238" s="7"/>
      <c r="AR238" s="69"/>
      <c r="AS238" s="69"/>
      <c r="AT238" s="69"/>
      <c r="AU238" s="69">
        <f t="shared" si="136"/>
        <v>0</v>
      </c>
      <c r="AV238" s="69">
        <f t="shared" si="137"/>
        <v>6055</v>
      </c>
      <c r="AW238" s="14"/>
    </row>
    <row r="239" ht="20.15" customHeight="1" spans="1:49">
      <c r="A239" s="228">
        <f>SUBTOTAL(2,$Y$4:Y239)</f>
        <v>236</v>
      </c>
      <c r="B239" s="14" t="s">
        <v>539</v>
      </c>
      <c r="C239" s="14" t="s">
        <v>512</v>
      </c>
      <c r="D239" s="115">
        <v>4015</v>
      </c>
      <c r="E239" s="229">
        <v>32.425</v>
      </c>
      <c r="F239" s="118">
        <v>4015</v>
      </c>
      <c r="G239" s="118" t="s">
        <v>540</v>
      </c>
      <c r="H239" s="240">
        <f t="shared" si="140"/>
        <v>32.425</v>
      </c>
      <c r="I239" s="268">
        <v>5000</v>
      </c>
      <c r="J239" s="245">
        <v>500</v>
      </c>
      <c r="K239" s="69">
        <f t="shared" si="127"/>
        <v>5500</v>
      </c>
      <c r="L239" s="69">
        <v>160</v>
      </c>
      <c r="M239" s="69">
        <v>3353</v>
      </c>
      <c r="N239" s="69">
        <v>3375</v>
      </c>
      <c r="O239" s="69">
        <f t="shared" si="128"/>
        <v>22</v>
      </c>
      <c r="P239" s="231">
        <f t="shared" si="138"/>
        <v>0</v>
      </c>
      <c r="Q239" s="69">
        <f t="shared" si="129"/>
        <v>22</v>
      </c>
      <c r="R239" s="69">
        <v>0.8</v>
      </c>
      <c r="S239" s="220">
        <f t="shared" si="130"/>
        <v>15</v>
      </c>
      <c r="T239" s="220">
        <f t="shared" si="131"/>
        <v>18</v>
      </c>
      <c r="U239" s="222">
        <f t="shared" si="139"/>
        <v>97</v>
      </c>
      <c r="V239" s="220">
        <f t="shared" si="132"/>
        <v>146</v>
      </c>
      <c r="W239" s="69">
        <f t="shared" si="141"/>
        <v>6</v>
      </c>
      <c r="X239" s="220">
        <f t="shared" si="133"/>
        <v>51</v>
      </c>
      <c r="Y239" s="69">
        <f t="shared" si="142"/>
        <v>5890</v>
      </c>
      <c r="Z239" s="69"/>
      <c r="AA239" s="69"/>
      <c r="AB239" s="69"/>
      <c r="AC239" s="69"/>
      <c r="AD239" s="69">
        <f t="shared" si="143"/>
        <v>0</v>
      </c>
      <c r="AE239" s="69"/>
      <c r="AF239" s="69"/>
      <c r="AG239" s="69"/>
      <c r="AH239" s="69">
        <f t="shared" si="144"/>
        <v>0</v>
      </c>
      <c r="AI239" s="69">
        <f t="shared" si="145"/>
        <v>5890</v>
      </c>
      <c r="AJ239" s="69"/>
      <c r="AK239" s="232"/>
      <c r="AL239" s="212"/>
      <c r="AM239" s="212"/>
      <c r="AN239" s="212"/>
      <c r="AO239" s="212"/>
      <c r="AP239" s="69">
        <f t="shared" si="135"/>
        <v>0</v>
      </c>
      <c r="AQ239" s="7"/>
      <c r="AR239" s="69"/>
      <c r="AS239" s="69"/>
      <c r="AT239" s="69"/>
      <c r="AU239" s="69">
        <f t="shared" si="136"/>
        <v>0</v>
      </c>
      <c r="AV239" s="69">
        <f t="shared" si="137"/>
        <v>5890</v>
      </c>
      <c r="AW239" s="14"/>
    </row>
    <row r="240" ht="20.15" customHeight="1" spans="1:49">
      <c r="A240" s="228">
        <f>SUBTOTAL(2,$Y$4:Y240)</f>
        <v>237</v>
      </c>
      <c r="B240" s="14" t="s">
        <v>541</v>
      </c>
      <c r="C240" s="115" t="s">
        <v>512</v>
      </c>
      <c r="D240" s="115">
        <v>4016</v>
      </c>
      <c r="E240" s="229">
        <v>32.425</v>
      </c>
      <c r="F240" s="22">
        <v>4016</v>
      </c>
      <c r="G240" s="22" t="s">
        <v>542</v>
      </c>
      <c r="H240" s="14">
        <f t="shared" si="140"/>
        <v>32.425</v>
      </c>
      <c r="I240" s="67">
        <v>5000</v>
      </c>
      <c r="J240" s="230">
        <v>500</v>
      </c>
      <c r="K240" s="69">
        <f t="shared" si="127"/>
        <v>5500</v>
      </c>
      <c r="L240" s="69">
        <v>160</v>
      </c>
      <c r="M240" s="69">
        <v>4889</v>
      </c>
      <c r="N240" s="69">
        <v>4937</v>
      </c>
      <c r="O240" s="69">
        <f t="shared" si="128"/>
        <v>48</v>
      </c>
      <c r="P240" s="231">
        <f t="shared" si="138"/>
        <v>0</v>
      </c>
      <c r="Q240" s="69">
        <f t="shared" si="129"/>
        <v>48</v>
      </c>
      <c r="R240" s="69">
        <v>0.8</v>
      </c>
      <c r="S240" s="220">
        <f t="shared" si="130"/>
        <v>34</v>
      </c>
      <c r="T240" s="220">
        <f t="shared" si="131"/>
        <v>38</v>
      </c>
      <c r="U240" s="222">
        <f t="shared" si="139"/>
        <v>97</v>
      </c>
      <c r="V240" s="220">
        <f t="shared" si="132"/>
        <v>146</v>
      </c>
      <c r="W240" s="69">
        <f t="shared" si="141"/>
        <v>6</v>
      </c>
      <c r="X240" s="220">
        <f t="shared" si="133"/>
        <v>51</v>
      </c>
      <c r="Y240" s="69">
        <f t="shared" si="142"/>
        <v>5929</v>
      </c>
      <c r="Z240" s="69"/>
      <c r="AA240" s="69"/>
      <c r="AB240" s="69"/>
      <c r="AC240" s="69"/>
      <c r="AD240" s="69">
        <f t="shared" si="143"/>
        <v>0</v>
      </c>
      <c r="AE240" s="69"/>
      <c r="AF240" s="69"/>
      <c r="AG240" s="69"/>
      <c r="AH240" s="69">
        <f t="shared" si="144"/>
        <v>0</v>
      </c>
      <c r="AI240" s="69">
        <f t="shared" si="145"/>
        <v>5929</v>
      </c>
      <c r="AJ240" s="69"/>
      <c r="AK240" s="232"/>
      <c r="AL240" s="212"/>
      <c r="AM240" s="212"/>
      <c r="AN240" s="212"/>
      <c r="AO240" s="212"/>
      <c r="AP240" s="69">
        <f t="shared" si="135"/>
        <v>0</v>
      </c>
      <c r="AQ240" s="7"/>
      <c r="AR240" s="69"/>
      <c r="AS240" s="69"/>
      <c r="AT240" s="69"/>
      <c r="AU240" s="69">
        <f t="shared" si="136"/>
        <v>0</v>
      </c>
      <c r="AV240" s="69">
        <f t="shared" si="137"/>
        <v>5929</v>
      </c>
      <c r="AW240" s="14"/>
    </row>
    <row r="241" ht="20.15" customHeight="1" spans="1:49">
      <c r="A241" s="228">
        <f>SUBTOTAL(2,$Y$4:Y241)</f>
        <v>238</v>
      </c>
      <c r="B241" s="14" t="s">
        <v>543</v>
      </c>
      <c r="C241" s="96" t="s">
        <v>512</v>
      </c>
      <c r="D241" s="96">
        <v>4017</v>
      </c>
      <c r="E241" s="274">
        <v>32.42</v>
      </c>
      <c r="F241" s="95">
        <v>4017</v>
      </c>
      <c r="G241" s="95" t="s">
        <v>544</v>
      </c>
      <c r="H241" s="96">
        <f t="shared" si="140"/>
        <v>32.42</v>
      </c>
      <c r="I241" s="7">
        <v>5000</v>
      </c>
      <c r="J241" s="226">
        <v>500</v>
      </c>
      <c r="K241" s="69">
        <f t="shared" si="127"/>
        <v>5500</v>
      </c>
      <c r="L241" s="69">
        <v>160</v>
      </c>
      <c r="M241" s="69">
        <v>6572</v>
      </c>
      <c r="N241" s="69">
        <v>6572</v>
      </c>
      <c r="O241" s="69">
        <f t="shared" si="128"/>
        <v>0</v>
      </c>
      <c r="P241" s="231">
        <f t="shared" si="138"/>
        <v>0</v>
      </c>
      <c r="Q241" s="69">
        <f t="shared" si="129"/>
        <v>0</v>
      </c>
      <c r="R241" s="69">
        <v>0.8</v>
      </c>
      <c r="S241" s="220">
        <f t="shared" si="130"/>
        <v>0</v>
      </c>
      <c r="T241" s="220">
        <f t="shared" si="131"/>
        <v>0</v>
      </c>
      <c r="U241" s="222">
        <f t="shared" si="139"/>
        <v>97</v>
      </c>
      <c r="V241" s="220">
        <f t="shared" si="132"/>
        <v>146</v>
      </c>
      <c r="W241" s="69">
        <f t="shared" si="141"/>
        <v>6</v>
      </c>
      <c r="X241" s="220">
        <f t="shared" si="133"/>
        <v>51</v>
      </c>
      <c r="Y241" s="69">
        <f t="shared" si="142"/>
        <v>5857</v>
      </c>
      <c r="Z241" s="69"/>
      <c r="AA241" s="69"/>
      <c r="AB241" s="69"/>
      <c r="AC241" s="69"/>
      <c r="AD241" s="69">
        <f t="shared" si="143"/>
        <v>0</v>
      </c>
      <c r="AE241" s="69"/>
      <c r="AF241" s="69"/>
      <c r="AG241" s="69"/>
      <c r="AH241" s="69">
        <f t="shared" si="144"/>
        <v>0</v>
      </c>
      <c r="AI241" s="69">
        <f t="shared" si="145"/>
        <v>5857</v>
      </c>
      <c r="AJ241" s="69"/>
      <c r="AK241" s="232"/>
      <c r="AL241" s="212"/>
      <c r="AM241" s="212"/>
      <c r="AN241" s="212"/>
      <c r="AO241" s="212"/>
      <c r="AP241" s="69">
        <f t="shared" si="135"/>
        <v>0</v>
      </c>
      <c r="AQ241" s="7"/>
      <c r="AR241" s="69"/>
      <c r="AS241" s="69"/>
      <c r="AT241" s="69"/>
      <c r="AU241" s="69">
        <f t="shared" si="136"/>
        <v>0</v>
      </c>
      <c r="AV241" s="69">
        <f t="shared" si="137"/>
        <v>5857</v>
      </c>
      <c r="AW241" s="14"/>
    </row>
    <row r="242" ht="20.15" customHeight="1" spans="1:49">
      <c r="A242" s="228">
        <f>SUBTOTAL(2,$Y$4:Y242)</f>
        <v>239</v>
      </c>
      <c r="B242" s="14" t="s">
        <v>545</v>
      </c>
      <c r="C242" s="14" t="s">
        <v>512</v>
      </c>
      <c r="D242" s="115">
        <v>4018</v>
      </c>
      <c r="E242" s="229">
        <v>32.42</v>
      </c>
      <c r="F242" s="13">
        <v>4018</v>
      </c>
      <c r="G242" s="13" t="s">
        <v>546</v>
      </c>
      <c r="H242" s="14">
        <f t="shared" si="140"/>
        <v>32.42</v>
      </c>
      <c r="I242" s="69">
        <v>5000</v>
      </c>
      <c r="J242" s="230">
        <v>500</v>
      </c>
      <c r="K242" s="69">
        <f t="shared" si="127"/>
        <v>5500</v>
      </c>
      <c r="L242" s="69">
        <v>160</v>
      </c>
      <c r="M242" s="69">
        <v>9624</v>
      </c>
      <c r="N242" s="69">
        <v>9674</v>
      </c>
      <c r="O242" s="69">
        <f t="shared" si="128"/>
        <v>50</v>
      </c>
      <c r="P242" s="231">
        <f t="shared" si="138"/>
        <v>0</v>
      </c>
      <c r="Q242" s="69">
        <f t="shared" si="129"/>
        <v>50</v>
      </c>
      <c r="R242" s="69">
        <v>0.8</v>
      </c>
      <c r="S242" s="220">
        <f t="shared" si="130"/>
        <v>35</v>
      </c>
      <c r="T242" s="220">
        <f t="shared" si="131"/>
        <v>40</v>
      </c>
      <c r="U242" s="222">
        <f t="shared" si="139"/>
        <v>97</v>
      </c>
      <c r="V242" s="220">
        <f t="shared" si="132"/>
        <v>146</v>
      </c>
      <c r="W242" s="69">
        <f t="shared" si="141"/>
        <v>6</v>
      </c>
      <c r="X242" s="220">
        <f t="shared" si="133"/>
        <v>51</v>
      </c>
      <c r="Y242" s="69">
        <f t="shared" si="142"/>
        <v>5932</v>
      </c>
      <c r="Z242" s="69"/>
      <c r="AA242" s="69"/>
      <c r="AB242" s="69"/>
      <c r="AC242" s="69"/>
      <c r="AD242" s="69">
        <f t="shared" si="143"/>
        <v>0</v>
      </c>
      <c r="AE242" s="69"/>
      <c r="AF242" s="69"/>
      <c r="AG242" s="69"/>
      <c r="AH242" s="69">
        <f t="shared" si="144"/>
        <v>0</v>
      </c>
      <c r="AI242" s="69">
        <f t="shared" si="145"/>
        <v>5932</v>
      </c>
      <c r="AJ242" s="69"/>
      <c r="AK242" s="232"/>
      <c r="AL242" s="212"/>
      <c r="AM242" s="212"/>
      <c r="AN242" s="212"/>
      <c r="AO242" s="212"/>
      <c r="AP242" s="69">
        <f t="shared" si="135"/>
        <v>0</v>
      </c>
      <c r="AQ242" s="7"/>
      <c r="AR242" s="69"/>
      <c r="AS242" s="69"/>
      <c r="AT242" s="69"/>
      <c r="AU242" s="69">
        <f t="shared" si="136"/>
        <v>0</v>
      </c>
      <c r="AV242" s="69">
        <f t="shared" si="137"/>
        <v>5932</v>
      </c>
      <c r="AW242" s="14"/>
    </row>
    <row r="243" ht="20.15" customHeight="1" spans="1:49">
      <c r="A243" s="228">
        <f>SUBTOTAL(2,$Y$4:Y243)</f>
        <v>240</v>
      </c>
      <c r="B243" s="14" t="s">
        <v>547</v>
      </c>
      <c r="C243" s="14" t="s">
        <v>512</v>
      </c>
      <c r="D243" s="115">
        <v>4019</v>
      </c>
      <c r="E243" s="229">
        <v>32.425</v>
      </c>
      <c r="F243" s="118">
        <v>4019</v>
      </c>
      <c r="G243" s="154" t="s">
        <v>548</v>
      </c>
      <c r="H243" s="240">
        <f t="shared" si="140"/>
        <v>32.425</v>
      </c>
      <c r="I243" s="241">
        <v>5000</v>
      </c>
      <c r="J243" s="242">
        <v>500</v>
      </c>
      <c r="K243" s="69">
        <f t="shared" si="127"/>
        <v>5500</v>
      </c>
      <c r="L243" s="69">
        <v>160</v>
      </c>
      <c r="M243" s="69">
        <v>9446</v>
      </c>
      <c r="N243" s="69">
        <v>9499</v>
      </c>
      <c r="O243" s="69">
        <f t="shared" si="128"/>
        <v>53</v>
      </c>
      <c r="P243" s="231">
        <f t="shared" si="138"/>
        <v>0</v>
      </c>
      <c r="Q243" s="69">
        <f t="shared" si="129"/>
        <v>53</v>
      </c>
      <c r="R243" s="69">
        <v>0.8</v>
      </c>
      <c r="S243" s="220">
        <f t="shared" si="130"/>
        <v>37</v>
      </c>
      <c r="T243" s="220">
        <f t="shared" si="131"/>
        <v>42</v>
      </c>
      <c r="U243" s="222">
        <f t="shared" si="139"/>
        <v>97</v>
      </c>
      <c r="V243" s="220">
        <f t="shared" si="132"/>
        <v>146</v>
      </c>
      <c r="W243" s="69">
        <f t="shared" si="141"/>
        <v>6</v>
      </c>
      <c r="X243" s="220">
        <f t="shared" si="133"/>
        <v>51</v>
      </c>
      <c r="Y243" s="69">
        <f t="shared" si="142"/>
        <v>5936</v>
      </c>
      <c r="Z243" s="69"/>
      <c r="AA243" s="69"/>
      <c r="AB243" s="69"/>
      <c r="AC243" s="69"/>
      <c r="AD243" s="69">
        <f t="shared" si="143"/>
        <v>0</v>
      </c>
      <c r="AE243" s="69"/>
      <c r="AF243" s="69"/>
      <c r="AG243" s="69"/>
      <c r="AH243" s="69">
        <f t="shared" si="144"/>
        <v>0</v>
      </c>
      <c r="AI243" s="69">
        <f t="shared" si="145"/>
        <v>5936</v>
      </c>
      <c r="AJ243" s="69"/>
      <c r="AK243" s="232"/>
      <c r="AL243" s="212"/>
      <c r="AM243" s="212"/>
      <c r="AN243" s="212"/>
      <c r="AO243" s="212"/>
      <c r="AP243" s="69">
        <f t="shared" si="135"/>
        <v>0</v>
      </c>
      <c r="AQ243" s="7"/>
      <c r="AR243" s="69"/>
      <c r="AS243" s="69"/>
      <c r="AT243" s="69"/>
      <c r="AU243" s="69">
        <f t="shared" si="136"/>
        <v>0</v>
      </c>
      <c r="AV243" s="69">
        <f t="shared" si="137"/>
        <v>5936</v>
      </c>
      <c r="AW243" s="14"/>
    </row>
    <row r="244" ht="20.15" customHeight="1" spans="1:49">
      <c r="A244" s="228">
        <f>SUBTOTAL(2,$Y$4:Y244)</f>
        <v>241</v>
      </c>
      <c r="B244" s="14" t="s">
        <v>549</v>
      </c>
      <c r="C244" s="115" t="s">
        <v>512</v>
      </c>
      <c r="D244" s="115">
        <v>4020</v>
      </c>
      <c r="E244" s="229">
        <v>32.425</v>
      </c>
      <c r="F244" s="22">
        <v>4020</v>
      </c>
      <c r="G244" s="22" t="s">
        <v>550</v>
      </c>
      <c r="H244" s="14">
        <f t="shared" si="140"/>
        <v>32.425</v>
      </c>
      <c r="I244" s="7">
        <v>5000</v>
      </c>
      <c r="J244" s="226">
        <v>500</v>
      </c>
      <c r="K244" s="69">
        <f t="shared" si="127"/>
        <v>5500</v>
      </c>
      <c r="L244" s="69">
        <v>160</v>
      </c>
      <c r="M244" s="69">
        <v>9794</v>
      </c>
      <c r="N244" s="69">
        <v>9816</v>
      </c>
      <c r="O244" s="69">
        <f t="shared" si="128"/>
        <v>22</v>
      </c>
      <c r="P244" s="231">
        <f t="shared" si="138"/>
        <v>0</v>
      </c>
      <c r="Q244" s="69">
        <f t="shared" si="129"/>
        <v>22</v>
      </c>
      <c r="R244" s="69">
        <v>0.8</v>
      </c>
      <c r="S244" s="220">
        <f t="shared" si="130"/>
        <v>15</v>
      </c>
      <c r="T244" s="220">
        <f t="shared" si="131"/>
        <v>18</v>
      </c>
      <c r="U244" s="222">
        <f t="shared" si="139"/>
        <v>97</v>
      </c>
      <c r="V244" s="220">
        <f t="shared" si="132"/>
        <v>146</v>
      </c>
      <c r="W244" s="69">
        <f t="shared" si="141"/>
        <v>6</v>
      </c>
      <c r="X244" s="220">
        <f t="shared" si="133"/>
        <v>51</v>
      </c>
      <c r="Y244" s="69">
        <f t="shared" si="142"/>
        <v>5890</v>
      </c>
      <c r="Z244" s="69"/>
      <c r="AA244" s="69"/>
      <c r="AB244" s="69"/>
      <c r="AC244" s="69"/>
      <c r="AD244" s="69">
        <f t="shared" si="143"/>
        <v>0</v>
      </c>
      <c r="AE244" s="69"/>
      <c r="AF244" s="69"/>
      <c r="AG244" s="69"/>
      <c r="AH244" s="69">
        <f t="shared" si="144"/>
        <v>0</v>
      </c>
      <c r="AI244" s="69">
        <f t="shared" si="145"/>
        <v>5890</v>
      </c>
      <c r="AJ244" s="69"/>
      <c r="AK244" s="232"/>
      <c r="AL244" s="212"/>
      <c r="AM244" s="212"/>
      <c r="AN244" s="212"/>
      <c r="AO244" s="212"/>
      <c r="AP244" s="69">
        <f t="shared" si="135"/>
        <v>0</v>
      </c>
      <c r="AQ244" s="7"/>
      <c r="AR244" s="69"/>
      <c r="AS244" s="69"/>
      <c r="AT244" s="69"/>
      <c r="AU244" s="69">
        <f t="shared" si="136"/>
        <v>0</v>
      </c>
      <c r="AV244" s="69">
        <f t="shared" si="137"/>
        <v>5890</v>
      </c>
      <c r="AW244" s="14"/>
    </row>
    <row r="245" ht="20.15" customHeight="1" spans="1:49">
      <c r="A245" s="228">
        <f>SUBTOTAL(2,$Y$4:Y245)</f>
        <v>242</v>
      </c>
      <c r="B245" s="14" t="s">
        <v>551</v>
      </c>
      <c r="C245" s="14" t="s">
        <v>512</v>
      </c>
      <c r="D245" s="115">
        <v>4021</v>
      </c>
      <c r="E245" s="229">
        <v>32.425</v>
      </c>
      <c r="F245" s="13">
        <v>4021</v>
      </c>
      <c r="G245" s="13" t="s">
        <v>552</v>
      </c>
      <c r="H245" s="14">
        <f t="shared" si="140"/>
        <v>32.425</v>
      </c>
      <c r="I245" s="67">
        <v>5000</v>
      </c>
      <c r="J245" s="226">
        <v>500</v>
      </c>
      <c r="K245" s="69">
        <f t="shared" si="127"/>
        <v>5500</v>
      </c>
      <c r="L245" s="69">
        <v>160</v>
      </c>
      <c r="M245" s="69">
        <v>2943</v>
      </c>
      <c r="N245" s="69">
        <v>3004</v>
      </c>
      <c r="O245" s="69">
        <f t="shared" si="128"/>
        <v>61</v>
      </c>
      <c r="P245" s="231">
        <f t="shared" si="138"/>
        <v>0</v>
      </c>
      <c r="Q245" s="69">
        <f t="shared" si="129"/>
        <v>61</v>
      </c>
      <c r="R245" s="69">
        <v>0.8</v>
      </c>
      <c r="S245" s="220">
        <f t="shared" si="130"/>
        <v>43</v>
      </c>
      <c r="T245" s="220">
        <f t="shared" si="131"/>
        <v>49</v>
      </c>
      <c r="U245" s="222">
        <f t="shared" si="139"/>
        <v>97</v>
      </c>
      <c r="V245" s="220">
        <f t="shared" si="132"/>
        <v>146</v>
      </c>
      <c r="W245" s="69">
        <f t="shared" si="141"/>
        <v>6</v>
      </c>
      <c r="X245" s="220">
        <f t="shared" si="133"/>
        <v>51</v>
      </c>
      <c r="Y245" s="69">
        <f t="shared" si="142"/>
        <v>5949</v>
      </c>
      <c r="Z245" s="69"/>
      <c r="AA245" s="69"/>
      <c r="AB245" s="69"/>
      <c r="AC245" s="69"/>
      <c r="AD245" s="69">
        <f t="shared" si="143"/>
        <v>0</v>
      </c>
      <c r="AE245" s="69"/>
      <c r="AF245" s="69"/>
      <c r="AG245" s="69"/>
      <c r="AH245" s="69">
        <f t="shared" si="144"/>
        <v>0</v>
      </c>
      <c r="AI245" s="69">
        <f t="shared" si="145"/>
        <v>5949</v>
      </c>
      <c r="AJ245" s="69"/>
      <c r="AK245" s="232"/>
      <c r="AL245" s="212"/>
      <c r="AM245" s="212"/>
      <c r="AN245" s="212"/>
      <c r="AO245" s="212"/>
      <c r="AP245" s="69">
        <f t="shared" si="135"/>
        <v>0</v>
      </c>
      <c r="AQ245" s="7"/>
      <c r="AR245" s="69"/>
      <c r="AS245" s="69"/>
      <c r="AT245" s="69"/>
      <c r="AU245" s="69">
        <f t="shared" si="136"/>
        <v>0</v>
      </c>
      <c r="AV245" s="69">
        <f t="shared" si="137"/>
        <v>5949</v>
      </c>
      <c r="AW245" s="14"/>
    </row>
    <row r="246" ht="20.15" customHeight="1" spans="1:49">
      <c r="A246" s="228">
        <f>SUBTOTAL(2,$Y$4:Y246)</f>
        <v>243</v>
      </c>
      <c r="B246" s="14" t="s">
        <v>553</v>
      </c>
      <c r="C246" s="14" t="s">
        <v>512</v>
      </c>
      <c r="D246" s="115">
        <v>4022</v>
      </c>
      <c r="E246" s="229">
        <v>32.425</v>
      </c>
      <c r="F246" s="118">
        <v>4022</v>
      </c>
      <c r="G246" s="118" t="s">
        <v>554</v>
      </c>
      <c r="H246" s="240">
        <f t="shared" si="140"/>
        <v>32.425</v>
      </c>
      <c r="I246" s="268">
        <v>5000</v>
      </c>
      <c r="J246" s="245">
        <v>500</v>
      </c>
      <c r="K246" s="69">
        <f t="shared" si="127"/>
        <v>5500</v>
      </c>
      <c r="L246" s="69">
        <v>160</v>
      </c>
      <c r="M246" s="69">
        <v>1910</v>
      </c>
      <c r="N246" s="69">
        <v>1937</v>
      </c>
      <c r="O246" s="69">
        <f t="shared" si="128"/>
        <v>27</v>
      </c>
      <c r="P246" s="231">
        <f t="shared" si="138"/>
        <v>0</v>
      </c>
      <c r="Q246" s="69">
        <f t="shared" si="129"/>
        <v>27</v>
      </c>
      <c r="R246" s="69">
        <v>0.8</v>
      </c>
      <c r="S246" s="220">
        <f t="shared" si="130"/>
        <v>19</v>
      </c>
      <c r="T246" s="220">
        <f t="shared" si="131"/>
        <v>22</v>
      </c>
      <c r="U246" s="222">
        <f t="shared" si="139"/>
        <v>97</v>
      </c>
      <c r="V246" s="220">
        <f t="shared" si="132"/>
        <v>146</v>
      </c>
      <c r="W246" s="69">
        <f t="shared" si="141"/>
        <v>6</v>
      </c>
      <c r="X246" s="220">
        <f t="shared" si="133"/>
        <v>51</v>
      </c>
      <c r="Y246" s="69">
        <f t="shared" si="142"/>
        <v>5898</v>
      </c>
      <c r="Z246" s="69"/>
      <c r="AA246" s="69"/>
      <c r="AB246" s="69"/>
      <c r="AC246" s="69"/>
      <c r="AD246" s="69">
        <f t="shared" si="143"/>
        <v>0</v>
      </c>
      <c r="AE246" s="69"/>
      <c r="AF246" s="69"/>
      <c r="AG246" s="69"/>
      <c r="AH246" s="69">
        <f t="shared" si="144"/>
        <v>0</v>
      </c>
      <c r="AI246" s="69">
        <f t="shared" si="145"/>
        <v>5898</v>
      </c>
      <c r="AJ246" s="69"/>
      <c r="AK246" s="232"/>
      <c r="AL246" s="212"/>
      <c r="AM246" s="212"/>
      <c r="AN246" s="212"/>
      <c r="AO246" s="212"/>
      <c r="AP246" s="69">
        <f t="shared" si="135"/>
        <v>0</v>
      </c>
      <c r="AQ246" s="7"/>
      <c r="AR246" s="69"/>
      <c r="AS246" s="69"/>
      <c r="AT246" s="69"/>
      <c r="AU246" s="69">
        <f t="shared" si="136"/>
        <v>0</v>
      </c>
      <c r="AV246" s="69">
        <f t="shared" si="137"/>
        <v>5898</v>
      </c>
      <c r="AW246" s="14"/>
    </row>
    <row r="247" ht="20.15" customHeight="1" spans="1:49">
      <c r="A247" s="228">
        <f>SUBTOTAL(2,$Y$4:Y247)</f>
        <v>244</v>
      </c>
      <c r="B247" s="14" t="s">
        <v>555</v>
      </c>
      <c r="C247" s="115" t="s">
        <v>512</v>
      </c>
      <c r="D247" s="115">
        <v>4023</v>
      </c>
      <c r="E247" s="229">
        <v>32.425</v>
      </c>
      <c r="F247" s="22">
        <v>4023</v>
      </c>
      <c r="G247" s="22" t="s">
        <v>556</v>
      </c>
      <c r="H247" s="14">
        <f t="shared" si="140"/>
        <v>32.425</v>
      </c>
      <c r="I247" s="67">
        <v>5000</v>
      </c>
      <c r="J247" s="226">
        <v>500</v>
      </c>
      <c r="K247" s="69">
        <f t="shared" si="127"/>
        <v>5500</v>
      </c>
      <c r="L247" s="69">
        <v>160</v>
      </c>
      <c r="M247" s="69">
        <v>8041</v>
      </c>
      <c r="N247" s="69">
        <v>8081</v>
      </c>
      <c r="O247" s="69">
        <f t="shared" si="128"/>
        <v>40</v>
      </c>
      <c r="P247" s="231">
        <f t="shared" si="138"/>
        <v>0</v>
      </c>
      <c r="Q247" s="69">
        <f t="shared" si="129"/>
        <v>40</v>
      </c>
      <c r="R247" s="69">
        <v>0.8</v>
      </c>
      <c r="S247" s="220">
        <f t="shared" si="130"/>
        <v>28</v>
      </c>
      <c r="T247" s="220">
        <f t="shared" si="131"/>
        <v>32</v>
      </c>
      <c r="U247" s="222">
        <f t="shared" si="139"/>
        <v>97</v>
      </c>
      <c r="V247" s="220">
        <f t="shared" si="132"/>
        <v>146</v>
      </c>
      <c r="W247" s="69">
        <f t="shared" si="141"/>
        <v>6</v>
      </c>
      <c r="X247" s="220">
        <f t="shared" si="133"/>
        <v>51</v>
      </c>
      <c r="Y247" s="69">
        <f t="shared" si="142"/>
        <v>5917</v>
      </c>
      <c r="Z247" s="69"/>
      <c r="AA247" s="69"/>
      <c r="AB247" s="69"/>
      <c r="AC247" s="69"/>
      <c r="AD247" s="69">
        <f t="shared" si="143"/>
        <v>0</v>
      </c>
      <c r="AE247" s="69"/>
      <c r="AF247" s="69"/>
      <c r="AG247" s="69"/>
      <c r="AH247" s="69">
        <f t="shared" si="144"/>
        <v>0</v>
      </c>
      <c r="AI247" s="69">
        <f t="shared" si="145"/>
        <v>5917</v>
      </c>
      <c r="AJ247" s="69"/>
      <c r="AK247" s="232"/>
      <c r="AL247" s="212"/>
      <c r="AM247" s="212"/>
      <c r="AN247" s="212"/>
      <c r="AO247" s="212"/>
      <c r="AP247" s="69">
        <f t="shared" si="135"/>
        <v>0</v>
      </c>
      <c r="AQ247" s="7"/>
      <c r="AR247" s="69"/>
      <c r="AS247" s="69"/>
      <c r="AT247" s="69"/>
      <c r="AU247" s="69">
        <f t="shared" si="136"/>
        <v>0</v>
      </c>
      <c r="AV247" s="69">
        <f t="shared" si="137"/>
        <v>5917</v>
      </c>
      <c r="AW247" s="14"/>
    </row>
    <row r="248" ht="20.15" customHeight="1" spans="1:49">
      <c r="A248" s="228">
        <f>SUBTOTAL(2,$Y$4:Y248)</f>
        <v>245</v>
      </c>
      <c r="B248" s="14" t="s">
        <v>557</v>
      </c>
      <c r="C248" s="14" t="s">
        <v>512</v>
      </c>
      <c r="D248" s="115">
        <v>4024</v>
      </c>
      <c r="E248" s="229">
        <v>32.425</v>
      </c>
      <c r="F248" s="118">
        <v>4024</v>
      </c>
      <c r="G248" s="118" t="s">
        <v>482</v>
      </c>
      <c r="H248" s="240">
        <f t="shared" si="140"/>
        <v>32.425</v>
      </c>
      <c r="I248" s="241">
        <v>5000</v>
      </c>
      <c r="J248" s="242">
        <v>500</v>
      </c>
      <c r="K248" s="69">
        <f t="shared" si="127"/>
        <v>5500</v>
      </c>
      <c r="L248" s="69">
        <v>160</v>
      </c>
      <c r="M248" s="69">
        <v>4292</v>
      </c>
      <c r="N248" s="69">
        <v>4381</v>
      </c>
      <c r="O248" s="69">
        <f t="shared" si="128"/>
        <v>89</v>
      </c>
      <c r="P248" s="231">
        <f t="shared" si="138"/>
        <v>0</v>
      </c>
      <c r="Q248" s="69">
        <f t="shared" si="129"/>
        <v>89</v>
      </c>
      <c r="R248" s="69">
        <v>0.8</v>
      </c>
      <c r="S248" s="220">
        <f t="shared" si="130"/>
        <v>62</v>
      </c>
      <c r="T248" s="220">
        <f t="shared" si="131"/>
        <v>71</v>
      </c>
      <c r="U248" s="222">
        <f t="shared" si="139"/>
        <v>97</v>
      </c>
      <c r="V248" s="220">
        <f t="shared" si="132"/>
        <v>146</v>
      </c>
      <c r="W248" s="69">
        <f t="shared" si="141"/>
        <v>6</v>
      </c>
      <c r="X248" s="220">
        <f t="shared" si="133"/>
        <v>51</v>
      </c>
      <c r="Y248" s="69">
        <f t="shared" si="142"/>
        <v>5990</v>
      </c>
      <c r="Z248" s="69"/>
      <c r="AA248" s="69"/>
      <c r="AB248" s="69"/>
      <c r="AC248" s="69"/>
      <c r="AD248" s="69">
        <f t="shared" si="143"/>
        <v>0</v>
      </c>
      <c r="AE248" s="69"/>
      <c r="AF248" s="69"/>
      <c r="AG248" s="69"/>
      <c r="AH248" s="69">
        <f t="shared" si="144"/>
        <v>0</v>
      </c>
      <c r="AI248" s="69">
        <f t="shared" si="145"/>
        <v>5990</v>
      </c>
      <c r="AJ248" s="69"/>
      <c r="AK248" s="232"/>
      <c r="AL248" s="212"/>
      <c r="AM248" s="212"/>
      <c r="AN248" s="212"/>
      <c r="AO248" s="212"/>
      <c r="AP248" s="69">
        <f t="shared" si="135"/>
        <v>0</v>
      </c>
      <c r="AQ248" s="7"/>
      <c r="AR248" s="69"/>
      <c r="AS248" s="69"/>
      <c r="AT248" s="69"/>
      <c r="AU248" s="69">
        <f t="shared" si="136"/>
        <v>0</v>
      </c>
      <c r="AV248" s="69">
        <f t="shared" si="137"/>
        <v>5990</v>
      </c>
      <c r="AW248" s="14"/>
    </row>
    <row r="249" ht="20.15" customHeight="1" spans="1:49">
      <c r="A249" s="228">
        <f>SUBTOTAL(2,$Y$4:Y249)</f>
        <v>246</v>
      </c>
      <c r="B249" s="14" t="s">
        <v>558</v>
      </c>
      <c r="C249" s="115" t="s">
        <v>512</v>
      </c>
      <c r="D249" s="115">
        <v>4025</v>
      </c>
      <c r="E249" s="229">
        <v>50.5</v>
      </c>
      <c r="F249" s="22">
        <v>4025</v>
      </c>
      <c r="G249" s="22" t="s">
        <v>559</v>
      </c>
      <c r="H249" s="14">
        <f t="shared" si="140"/>
        <v>50.5</v>
      </c>
      <c r="I249" s="67">
        <v>5000</v>
      </c>
      <c r="J249" s="230">
        <v>500</v>
      </c>
      <c r="K249" s="69">
        <f t="shared" si="127"/>
        <v>5500</v>
      </c>
      <c r="L249" s="69">
        <v>160</v>
      </c>
      <c r="M249" s="69">
        <v>8156</v>
      </c>
      <c r="N249" s="69">
        <v>8367</v>
      </c>
      <c r="O249" s="69">
        <f t="shared" si="128"/>
        <v>211</v>
      </c>
      <c r="P249" s="231">
        <f t="shared" si="138"/>
        <v>0</v>
      </c>
      <c r="Q249" s="69">
        <f t="shared" si="129"/>
        <v>211</v>
      </c>
      <c r="R249" s="69">
        <v>0.8</v>
      </c>
      <c r="S249" s="220">
        <f t="shared" si="130"/>
        <v>148</v>
      </c>
      <c r="T249" s="220">
        <f t="shared" si="131"/>
        <v>169</v>
      </c>
      <c r="U249" s="222">
        <f t="shared" si="139"/>
        <v>152</v>
      </c>
      <c r="V249" s="220">
        <f t="shared" si="132"/>
        <v>228</v>
      </c>
      <c r="W249" s="69">
        <f t="shared" si="141"/>
        <v>10</v>
      </c>
      <c r="X249" s="220">
        <f t="shared" si="133"/>
        <v>85</v>
      </c>
      <c r="Y249" s="69">
        <f t="shared" si="142"/>
        <v>6290</v>
      </c>
      <c r="Z249" s="69"/>
      <c r="AA249" s="69"/>
      <c r="AB249" s="69"/>
      <c r="AC249" s="69"/>
      <c r="AD249" s="69">
        <f t="shared" si="143"/>
        <v>0</v>
      </c>
      <c r="AE249" s="69"/>
      <c r="AF249" s="69"/>
      <c r="AG249" s="69"/>
      <c r="AH249" s="69">
        <f t="shared" si="144"/>
        <v>0</v>
      </c>
      <c r="AI249" s="69">
        <f t="shared" si="145"/>
        <v>6290</v>
      </c>
      <c r="AJ249" s="69"/>
      <c r="AK249" s="232"/>
      <c r="AL249" s="212"/>
      <c r="AM249" s="212"/>
      <c r="AN249" s="212"/>
      <c r="AO249" s="212"/>
      <c r="AP249" s="69">
        <f t="shared" si="135"/>
        <v>0</v>
      </c>
      <c r="AQ249" s="7"/>
      <c r="AR249" s="69"/>
      <c r="AS249" s="69"/>
      <c r="AT249" s="69"/>
      <c r="AU249" s="69">
        <f t="shared" si="136"/>
        <v>0</v>
      </c>
      <c r="AV249" s="69">
        <f t="shared" si="137"/>
        <v>6290</v>
      </c>
      <c r="AW249" s="255"/>
    </row>
    <row r="250" ht="20.15" customHeight="1" spans="1:49">
      <c r="A250" s="228">
        <f>SUBTOTAL(2,$Y$4:Y250)</f>
        <v>247</v>
      </c>
      <c r="B250" s="14" t="s">
        <v>560</v>
      </c>
      <c r="C250" s="14" t="s">
        <v>512</v>
      </c>
      <c r="D250" s="115">
        <v>4026</v>
      </c>
      <c r="E250" s="229">
        <v>32.425</v>
      </c>
      <c r="F250" s="13">
        <v>4026</v>
      </c>
      <c r="G250" s="13" t="s">
        <v>561</v>
      </c>
      <c r="H250" s="14">
        <f t="shared" si="140"/>
        <v>32.425</v>
      </c>
      <c r="I250" s="7">
        <v>5000</v>
      </c>
      <c r="J250" s="238">
        <v>500</v>
      </c>
      <c r="K250" s="69">
        <f t="shared" si="127"/>
        <v>5500</v>
      </c>
      <c r="L250" s="69">
        <v>160</v>
      </c>
      <c r="M250" s="69">
        <v>4982</v>
      </c>
      <c r="N250" s="69">
        <f>10064/2</f>
        <v>5032</v>
      </c>
      <c r="O250" s="69">
        <f t="shared" si="128"/>
        <v>50</v>
      </c>
      <c r="P250" s="231">
        <f t="shared" si="138"/>
        <v>0</v>
      </c>
      <c r="Q250" s="69">
        <f t="shared" si="129"/>
        <v>50</v>
      </c>
      <c r="R250" s="69">
        <v>0.8</v>
      </c>
      <c r="S250" s="220">
        <f t="shared" si="130"/>
        <v>35</v>
      </c>
      <c r="T250" s="220">
        <f t="shared" si="131"/>
        <v>40</v>
      </c>
      <c r="U250" s="222">
        <f t="shared" si="139"/>
        <v>97</v>
      </c>
      <c r="V250" s="220">
        <f t="shared" si="132"/>
        <v>146</v>
      </c>
      <c r="W250" s="69">
        <f t="shared" si="141"/>
        <v>6</v>
      </c>
      <c r="X250" s="220">
        <f t="shared" si="133"/>
        <v>51</v>
      </c>
      <c r="Y250" s="69">
        <f t="shared" si="142"/>
        <v>5932</v>
      </c>
      <c r="Z250" s="69"/>
      <c r="AA250" s="69"/>
      <c r="AB250" s="69"/>
      <c r="AC250" s="69"/>
      <c r="AD250" s="69">
        <f t="shared" si="143"/>
        <v>0</v>
      </c>
      <c r="AE250" s="69"/>
      <c r="AF250" s="69"/>
      <c r="AG250" s="69"/>
      <c r="AH250" s="69">
        <f t="shared" si="144"/>
        <v>0</v>
      </c>
      <c r="AI250" s="69">
        <f t="shared" si="145"/>
        <v>5932</v>
      </c>
      <c r="AJ250" s="69"/>
      <c r="AK250" s="232"/>
      <c r="AL250" s="212"/>
      <c r="AM250" s="212"/>
      <c r="AN250" s="212"/>
      <c r="AO250" s="212"/>
      <c r="AP250" s="69">
        <f t="shared" si="135"/>
        <v>0</v>
      </c>
      <c r="AQ250" s="7"/>
      <c r="AR250" s="69"/>
      <c r="AS250" s="69"/>
      <c r="AT250" s="69"/>
      <c r="AU250" s="69">
        <f t="shared" si="136"/>
        <v>0</v>
      </c>
      <c r="AV250" s="69">
        <f t="shared" si="137"/>
        <v>5932</v>
      </c>
      <c r="AW250" s="14"/>
    </row>
    <row r="251" ht="20.15" customHeight="1" spans="1:49">
      <c r="A251" s="228">
        <f>SUBTOTAL(2,$Y$4:Y251)</f>
        <v>248</v>
      </c>
      <c r="B251" s="14" t="s">
        <v>562</v>
      </c>
      <c r="C251" s="14" t="s">
        <v>512</v>
      </c>
      <c r="D251" s="115">
        <v>4027</v>
      </c>
      <c r="E251" s="229">
        <v>32.425</v>
      </c>
      <c r="F251" s="13">
        <v>4027</v>
      </c>
      <c r="G251" s="13" t="s">
        <v>563</v>
      </c>
      <c r="H251" s="14">
        <f t="shared" si="140"/>
        <v>32.425</v>
      </c>
      <c r="I251" s="69">
        <v>5000</v>
      </c>
      <c r="J251" s="230">
        <v>500</v>
      </c>
      <c r="K251" s="69">
        <f t="shared" si="127"/>
        <v>5500</v>
      </c>
      <c r="L251" s="69">
        <v>160</v>
      </c>
      <c r="M251" s="69">
        <v>4982</v>
      </c>
      <c r="N251" s="69">
        <v>5032</v>
      </c>
      <c r="O251" s="69">
        <f t="shared" si="128"/>
        <v>50</v>
      </c>
      <c r="P251" s="231">
        <f t="shared" si="138"/>
        <v>0</v>
      </c>
      <c r="Q251" s="69">
        <f t="shared" si="129"/>
        <v>50</v>
      </c>
      <c r="R251" s="69">
        <v>0.8</v>
      </c>
      <c r="S251" s="220">
        <f t="shared" si="130"/>
        <v>35</v>
      </c>
      <c r="T251" s="220">
        <f t="shared" si="131"/>
        <v>40</v>
      </c>
      <c r="U251" s="222">
        <f t="shared" si="139"/>
        <v>97</v>
      </c>
      <c r="V251" s="220">
        <f t="shared" si="132"/>
        <v>146</v>
      </c>
      <c r="W251" s="69">
        <f t="shared" si="141"/>
        <v>6</v>
      </c>
      <c r="X251" s="220">
        <f t="shared" si="133"/>
        <v>51</v>
      </c>
      <c r="Y251" s="69">
        <f t="shared" si="142"/>
        <v>5932</v>
      </c>
      <c r="Z251" s="69"/>
      <c r="AA251" s="69"/>
      <c r="AB251" s="69"/>
      <c r="AC251" s="69"/>
      <c r="AD251" s="69">
        <f t="shared" si="143"/>
        <v>0</v>
      </c>
      <c r="AE251" s="69"/>
      <c r="AF251" s="69"/>
      <c r="AG251" s="69"/>
      <c r="AH251" s="69">
        <f t="shared" si="144"/>
        <v>0</v>
      </c>
      <c r="AI251" s="69">
        <f t="shared" si="145"/>
        <v>5932</v>
      </c>
      <c r="AJ251" s="69"/>
      <c r="AK251" s="232"/>
      <c r="AL251" s="212"/>
      <c r="AM251" s="212"/>
      <c r="AN251" s="212"/>
      <c r="AO251" s="212"/>
      <c r="AP251" s="69">
        <f t="shared" si="135"/>
        <v>0</v>
      </c>
      <c r="AQ251" s="7"/>
      <c r="AR251" s="69"/>
      <c r="AS251" s="69"/>
      <c r="AT251" s="69"/>
      <c r="AU251" s="69">
        <f t="shared" si="136"/>
        <v>0</v>
      </c>
      <c r="AV251" s="69">
        <f t="shared" si="137"/>
        <v>5932</v>
      </c>
      <c r="AW251" s="14"/>
    </row>
    <row r="252" s="196" customFormat="1" ht="20.15" customHeight="1" spans="1:49">
      <c r="A252" s="228">
        <f>SUBTOTAL(2,$Y$4:Y252)</f>
        <v>249</v>
      </c>
      <c r="B252" s="14" t="s">
        <v>564</v>
      </c>
      <c r="C252" s="96" t="s">
        <v>512</v>
      </c>
      <c r="D252" s="96">
        <v>4028</v>
      </c>
      <c r="E252" s="274">
        <v>32.425</v>
      </c>
      <c r="F252" s="155">
        <v>4028</v>
      </c>
      <c r="G252" s="155" t="s">
        <v>565</v>
      </c>
      <c r="H252" s="243">
        <v>32.425</v>
      </c>
      <c r="I252" s="268">
        <v>5000</v>
      </c>
      <c r="J252" s="245">
        <v>500</v>
      </c>
      <c r="K252" s="7">
        <f t="shared" si="127"/>
        <v>5500</v>
      </c>
      <c r="L252" s="7">
        <v>160</v>
      </c>
      <c r="M252" s="7">
        <v>3779</v>
      </c>
      <c r="N252" s="7">
        <v>3918</v>
      </c>
      <c r="O252" s="7">
        <f t="shared" si="128"/>
        <v>139</v>
      </c>
      <c r="P252" s="7">
        <f t="shared" si="138"/>
        <v>0</v>
      </c>
      <c r="Q252" s="7">
        <f t="shared" si="129"/>
        <v>139</v>
      </c>
      <c r="R252" s="7">
        <v>0.8</v>
      </c>
      <c r="S252" s="7">
        <f t="shared" si="130"/>
        <v>97</v>
      </c>
      <c r="T252" s="7">
        <f t="shared" si="131"/>
        <v>111</v>
      </c>
      <c r="U252" s="222">
        <f t="shared" si="139"/>
        <v>97</v>
      </c>
      <c r="V252" s="7">
        <f t="shared" si="132"/>
        <v>146</v>
      </c>
      <c r="W252" s="7">
        <f t="shared" si="141"/>
        <v>6</v>
      </c>
      <c r="X252" s="7">
        <f t="shared" si="133"/>
        <v>51</v>
      </c>
      <c r="Y252" s="7">
        <f t="shared" si="142"/>
        <v>6065</v>
      </c>
      <c r="Z252" s="7"/>
      <c r="AA252" s="7"/>
      <c r="AB252" s="7"/>
      <c r="AC252" s="7"/>
      <c r="AD252" s="7">
        <f t="shared" si="143"/>
        <v>0</v>
      </c>
      <c r="AE252" s="7"/>
      <c r="AF252" s="7"/>
      <c r="AG252" s="7"/>
      <c r="AH252" s="7">
        <f t="shared" si="144"/>
        <v>0</v>
      </c>
      <c r="AI252" s="7">
        <f t="shared" si="145"/>
        <v>6065</v>
      </c>
      <c r="AJ252" s="7"/>
      <c r="AK252" s="262"/>
      <c r="AL252" s="177"/>
      <c r="AM252" s="177"/>
      <c r="AN252" s="177"/>
      <c r="AO252" s="212"/>
      <c r="AP252" s="69">
        <f t="shared" si="135"/>
        <v>0</v>
      </c>
      <c r="AQ252" s="7"/>
      <c r="AR252" s="69"/>
      <c r="AS252" s="7"/>
      <c r="AT252" s="7"/>
      <c r="AU252" s="7">
        <f t="shared" si="136"/>
        <v>0</v>
      </c>
      <c r="AV252" s="69">
        <f t="shared" si="137"/>
        <v>6065</v>
      </c>
      <c r="AW252" s="96"/>
    </row>
    <row r="253" ht="20.15" customHeight="1" spans="1:49">
      <c r="A253" s="228">
        <f>SUBTOTAL(2,$Y$4:Y253)</f>
        <v>250</v>
      </c>
      <c r="B253" s="14" t="s">
        <v>566</v>
      </c>
      <c r="C253" s="14" t="s">
        <v>512</v>
      </c>
      <c r="D253" s="115">
        <v>4029</v>
      </c>
      <c r="E253" s="229">
        <v>32.425</v>
      </c>
      <c r="F253" s="13">
        <v>4029</v>
      </c>
      <c r="G253" s="13" t="s">
        <v>567</v>
      </c>
      <c r="H253" s="14">
        <f t="shared" si="140"/>
        <v>32.425</v>
      </c>
      <c r="I253" s="69">
        <v>5000</v>
      </c>
      <c r="J253" s="230">
        <v>500</v>
      </c>
      <c r="K253" s="69">
        <f t="shared" si="127"/>
        <v>5500</v>
      </c>
      <c r="L253" s="69">
        <v>160</v>
      </c>
      <c r="M253" s="69">
        <v>4883</v>
      </c>
      <c r="N253" s="69">
        <v>4921</v>
      </c>
      <c r="O253" s="69">
        <f t="shared" si="128"/>
        <v>38</v>
      </c>
      <c r="P253" s="231">
        <f t="shared" si="138"/>
        <v>0</v>
      </c>
      <c r="Q253" s="69">
        <f t="shared" si="129"/>
        <v>38</v>
      </c>
      <c r="R253" s="69">
        <v>0.8</v>
      </c>
      <c r="S253" s="220">
        <f t="shared" si="130"/>
        <v>27</v>
      </c>
      <c r="T253" s="220">
        <f t="shared" si="131"/>
        <v>30</v>
      </c>
      <c r="U253" s="222">
        <f t="shared" si="139"/>
        <v>97</v>
      </c>
      <c r="V253" s="220">
        <f t="shared" si="132"/>
        <v>146</v>
      </c>
      <c r="W253" s="69">
        <f t="shared" si="141"/>
        <v>6</v>
      </c>
      <c r="X253" s="220">
        <f t="shared" si="133"/>
        <v>51</v>
      </c>
      <c r="Y253" s="69">
        <f t="shared" si="142"/>
        <v>5914</v>
      </c>
      <c r="Z253" s="69"/>
      <c r="AA253" s="69"/>
      <c r="AB253" s="69"/>
      <c r="AC253" s="69"/>
      <c r="AD253" s="69">
        <f t="shared" si="143"/>
        <v>0</v>
      </c>
      <c r="AE253" s="69"/>
      <c r="AF253" s="69"/>
      <c r="AG253" s="69"/>
      <c r="AH253" s="69">
        <f t="shared" si="144"/>
        <v>0</v>
      </c>
      <c r="AI253" s="69">
        <f t="shared" si="145"/>
        <v>5914</v>
      </c>
      <c r="AJ253" s="69"/>
      <c r="AK253" s="232"/>
      <c r="AL253" s="212"/>
      <c r="AM253" s="212"/>
      <c r="AN253" s="212"/>
      <c r="AO253" s="212"/>
      <c r="AP253" s="69">
        <f t="shared" si="135"/>
        <v>0</v>
      </c>
      <c r="AQ253" s="7"/>
      <c r="AR253" s="69"/>
      <c r="AS253" s="69"/>
      <c r="AT253" s="69"/>
      <c r="AU253" s="69">
        <f t="shared" si="136"/>
        <v>0</v>
      </c>
      <c r="AV253" s="69">
        <f t="shared" si="137"/>
        <v>5914</v>
      </c>
      <c r="AW253" s="14"/>
    </row>
    <row r="254" ht="20.15" customHeight="1" spans="1:49">
      <c r="A254" s="228">
        <f>SUBTOTAL(2,$Y$4:Y254)</f>
        <v>251</v>
      </c>
      <c r="B254" s="14" t="s">
        <v>568</v>
      </c>
      <c r="C254" s="14" t="s">
        <v>512</v>
      </c>
      <c r="D254" s="115">
        <v>4030</v>
      </c>
      <c r="E254" s="229">
        <v>32.425</v>
      </c>
      <c r="F254" s="13">
        <v>4030</v>
      </c>
      <c r="G254" s="13" t="s">
        <v>567</v>
      </c>
      <c r="H254" s="14">
        <f t="shared" si="140"/>
        <v>32.425</v>
      </c>
      <c r="I254" s="69">
        <v>5000</v>
      </c>
      <c r="J254" s="230">
        <v>500</v>
      </c>
      <c r="K254" s="69">
        <f t="shared" si="127"/>
        <v>5500</v>
      </c>
      <c r="L254" s="69">
        <v>160</v>
      </c>
      <c r="M254" s="69">
        <v>1623</v>
      </c>
      <c r="N254" s="69">
        <v>1661</v>
      </c>
      <c r="O254" s="69">
        <f t="shared" si="128"/>
        <v>38</v>
      </c>
      <c r="P254" s="231">
        <f t="shared" si="138"/>
        <v>0</v>
      </c>
      <c r="Q254" s="69">
        <f t="shared" si="129"/>
        <v>38</v>
      </c>
      <c r="R254" s="69">
        <v>0.8</v>
      </c>
      <c r="S254" s="220">
        <f t="shared" si="130"/>
        <v>27</v>
      </c>
      <c r="T254" s="220">
        <f t="shared" si="131"/>
        <v>30</v>
      </c>
      <c r="U254" s="222">
        <f t="shared" si="139"/>
        <v>97</v>
      </c>
      <c r="V254" s="220">
        <f t="shared" si="132"/>
        <v>146</v>
      </c>
      <c r="W254" s="69">
        <f t="shared" si="141"/>
        <v>6</v>
      </c>
      <c r="X254" s="220">
        <f t="shared" si="133"/>
        <v>51</v>
      </c>
      <c r="Y254" s="69">
        <f t="shared" si="142"/>
        <v>5914</v>
      </c>
      <c r="Z254" s="69"/>
      <c r="AA254" s="69"/>
      <c r="AB254" s="69"/>
      <c r="AC254" s="69"/>
      <c r="AD254" s="69">
        <f t="shared" si="143"/>
        <v>0</v>
      </c>
      <c r="AE254" s="69"/>
      <c r="AF254" s="69"/>
      <c r="AG254" s="69"/>
      <c r="AH254" s="69">
        <f t="shared" si="144"/>
        <v>0</v>
      </c>
      <c r="AI254" s="69">
        <f t="shared" si="145"/>
        <v>5914</v>
      </c>
      <c r="AJ254" s="69"/>
      <c r="AK254" s="232"/>
      <c r="AL254" s="212"/>
      <c r="AM254" s="212"/>
      <c r="AN254" s="212"/>
      <c r="AO254" s="212"/>
      <c r="AP254" s="69">
        <f t="shared" si="135"/>
        <v>0</v>
      </c>
      <c r="AQ254" s="7"/>
      <c r="AR254" s="69"/>
      <c r="AS254" s="69"/>
      <c r="AT254" s="69"/>
      <c r="AU254" s="69">
        <f t="shared" si="136"/>
        <v>0</v>
      </c>
      <c r="AV254" s="69">
        <f t="shared" si="137"/>
        <v>5914</v>
      </c>
      <c r="AW254" s="14"/>
    </row>
    <row r="255" ht="20.15" customHeight="1" spans="1:49">
      <c r="A255" s="228">
        <f>SUBTOTAL(2,$Y$4:Y255)</f>
        <v>252</v>
      </c>
      <c r="B255" s="14" t="s">
        <v>569</v>
      </c>
      <c r="C255" s="14" t="s">
        <v>512</v>
      </c>
      <c r="D255" s="115">
        <v>4031</v>
      </c>
      <c r="E255" s="229">
        <v>32.425</v>
      </c>
      <c r="F255" s="118">
        <v>4031</v>
      </c>
      <c r="G255" s="118" t="s">
        <v>471</v>
      </c>
      <c r="H255" s="240">
        <f t="shared" si="140"/>
        <v>32.425</v>
      </c>
      <c r="I255" s="241">
        <v>5000</v>
      </c>
      <c r="J255" s="242">
        <v>500</v>
      </c>
      <c r="K255" s="69">
        <f t="shared" si="127"/>
        <v>5500</v>
      </c>
      <c r="L255" s="69">
        <v>160</v>
      </c>
      <c r="M255" s="69">
        <v>3918</v>
      </c>
      <c r="N255" s="69">
        <v>3938</v>
      </c>
      <c r="O255" s="69">
        <f t="shared" si="128"/>
        <v>20</v>
      </c>
      <c r="P255" s="231">
        <f t="shared" si="138"/>
        <v>0</v>
      </c>
      <c r="Q255" s="69">
        <f t="shared" si="129"/>
        <v>20</v>
      </c>
      <c r="R255" s="69">
        <v>0.8</v>
      </c>
      <c r="S255" s="220">
        <f t="shared" si="130"/>
        <v>14</v>
      </c>
      <c r="T255" s="220">
        <f t="shared" si="131"/>
        <v>16</v>
      </c>
      <c r="U255" s="222">
        <f t="shared" si="139"/>
        <v>97</v>
      </c>
      <c r="V255" s="220">
        <f t="shared" si="132"/>
        <v>146</v>
      </c>
      <c r="W255" s="69">
        <f t="shared" si="141"/>
        <v>6</v>
      </c>
      <c r="X255" s="220">
        <f t="shared" si="133"/>
        <v>51</v>
      </c>
      <c r="Y255" s="69">
        <f t="shared" si="142"/>
        <v>5887</v>
      </c>
      <c r="Z255" s="69"/>
      <c r="AA255" s="69"/>
      <c r="AB255" s="69"/>
      <c r="AC255" s="69"/>
      <c r="AD255" s="69">
        <f t="shared" si="143"/>
        <v>0</v>
      </c>
      <c r="AE255" s="69"/>
      <c r="AF255" s="69"/>
      <c r="AG255" s="69"/>
      <c r="AH255" s="69">
        <f t="shared" si="144"/>
        <v>0</v>
      </c>
      <c r="AI255" s="69">
        <f t="shared" si="145"/>
        <v>5887</v>
      </c>
      <c r="AJ255" s="69"/>
      <c r="AK255" s="232"/>
      <c r="AL255" s="212"/>
      <c r="AM255" s="212"/>
      <c r="AN255" s="212"/>
      <c r="AO255" s="212"/>
      <c r="AP255" s="69">
        <f t="shared" si="135"/>
        <v>0</v>
      </c>
      <c r="AQ255" s="7"/>
      <c r="AR255" s="69"/>
      <c r="AS255" s="69"/>
      <c r="AT255" s="69"/>
      <c r="AU255" s="69">
        <f t="shared" si="136"/>
        <v>0</v>
      </c>
      <c r="AV255" s="69">
        <f t="shared" si="137"/>
        <v>5887</v>
      </c>
      <c r="AW255" s="14"/>
    </row>
    <row r="256" ht="20.15" customHeight="1" spans="1:49">
      <c r="A256" s="228">
        <f>SUBTOTAL(2,$Y$4:Y256)</f>
        <v>253</v>
      </c>
      <c r="B256" s="14" t="s">
        <v>570</v>
      </c>
      <c r="C256" s="96" t="s">
        <v>512</v>
      </c>
      <c r="D256" s="96">
        <v>4032</v>
      </c>
      <c r="E256" s="274">
        <v>32.425</v>
      </c>
      <c r="F256" s="95">
        <v>4032</v>
      </c>
      <c r="G256" s="95" t="s">
        <v>571</v>
      </c>
      <c r="H256" s="96">
        <f t="shared" si="140"/>
        <v>32.425</v>
      </c>
      <c r="I256" s="7">
        <v>5000</v>
      </c>
      <c r="J256" s="226">
        <v>500</v>
      </c>
      <c r="K256" s="69">
        <f t="shared" si="127"/>
        <v>5500</v>
      </c>
      <c r="L256" s="69">
        <v>160</v>
      </c>
      <c r="M256" s="69">
        <v>8086</v>
      </c>
      <c r="N256" s="69">
        <v>8151</v>
      </c>
      <c r="O256" s="69">
        <f t="shared" si="128"/>
        <v>65</v>
      </c>
      <c r="P256" s="231">
        <f t="shared" si="138"/>
        <v>0</v>
      </c>
      <c r="Q256" s="69">
        <f t="shared" si="129"/>
        <v>65</v>
      </c>
      <c r="R256" s="69">
        <v>0.8</v>
      </c>
      <c r="S256" s="220">
        <f t="shared" si="130"/>
        <v>46</v>
      </c>
      <c r="T256" s="220">
        <f t="shared" si="131"/>
        <v>52</v>
      </c>
      <c r="U256" s="222">
        <f t="shared" si="139"/>
        <v>97</v>
      </c>
      <c r="V256" s="220">
        <f t="shared" si="132"/>
        <v>146</v>
      </c>
      <c r="W256" s="69">
        <f t="shared" si="141"/>
        <v>6</v>
      </c>
      <c r="X256" s="220">
        <f t="shared" si="133"/>
        <v>51</v>
      </c>
      <c r="Y256" s="69">
        <f t="shared" si="142"/>
        <v>5955</v>
      </c>
      <c r="Z256" s="69"/>
      <c r="AA256" s="69"/>
      <c r="AB256" s="69"/>
      <c r="AC256" s="69"/>
      <c r="AD256" s="69">
        <f t="shared" si="143"/>
        <v>0</v>
      </c>
      <c r="AE256" s="69"/>
      <c r="AF256" s="69"/>
      <c r="AG256" s="69"/>
      <c r="AH256" s="69">
        <f t="shared" si="144"/>
        <v>0</v>
      </c>
      <c r="AI256" s="69">
        <f t="shared" si="145"/>
        <v>5955</v>
      </c>
      <c r="AJ256" s="69"/>
      <c r="AK256" s="232"/>
      <c r="AL256" s="212"/>
      <c r="AM256" s="212"/>
      <c r="AN256" s="212"/>
      <c r="AO256" s="212"/>
      <c r="AP256" s="69">
        <f t="shared" si="135"/>
        <v>0</v>
      </c>
      <c r="AQ256" s="7"/>
      <c r="AR256" s="69"/>
      <c r="AS256" s="69"/>
      <c r="AT256" s="69"/>
      <c r="AU256" s="69">
        <f t="shared" si="136"/>
        <v>0</v>
      </c>
      <c r="AV256" s="69">
        <f t="shared" si="137"/>
        <v>5955</v>
      </c>
      <c r="AW256" s="14"/>
    </row>
    <row r="257" ht="20.15" customHeight="1" spans="1:49">
      <c r="A257" s="228">
        <f>SUBTOTAL(2,$Y$4:Y257)</f>
        <v>254</v>
      </c>
      <c r="B257" s="14" t="s">
        <v>572</v>
      </c>
      <c r="C257" s="14" t="s">
        <v>512</v>
      </c>
      <c r="D257" s="115">
        <v>4033</v>
      </c>
      <c r="E257" s="229">
        <v>32.425</v>
      </c>
      <c r="F257" s="118">
        <v>4033</v>
      </c>
      <c r="G257" s="118" t="s">
        <v>339</v>
      </c>
      <c r="H257" s="240">
        <v>32.425</v>
      </c>
      <c r="I257" s="268">
        <v>5000</v>
      </c>
      <c r="J257" s="245">
        <v>500</v>
      </c>
      <c r="K257" s="69">
        <f t="shared" si="127"/>
        <v>5500</v>
      </c>
      <c r="L257" s="69">
        <v>160</v>
      </c>
      <c r="M257" s="69">
        <v>906</v>
      </c>
      <c r="N257" s="69">
        <v>906</v>
      </c>
      <c r="O257" s="69">
        <f t="shared" si="128"/>
        <v>0</v>
      </c>
      <c r="P257" s="231">
        <f t="shared" si="138"/>
        <v>0</v>
      </c>
      <c r="Q257" s="69">
        <f t="shared" si="129"/>
        <v>0</v>
      </c>
      <c r="R257" s="69">
        <v>0.8</v>
      </c>
      <c r="S257" s="220">
        <f t="shared" si="130"/>
        <v>0</v>
      </c>
      <c r="T257" s="220">
        <f t="shared" si="131"/>
        <v>0</v>
      </c>
      <c r="U257" s="222">
        <f t="shared" si="139"/>
        <v>97</v>
      </c>
      <c r="V257" s="220">
        <f t="shared" si="132"/>
        <v>146</v>
      </c>
      <c r="W257" s="69">
        <f t="shared" si="141"/>
        <v>6</v>
      </c>
      <c r="X257" s="220">
        <f t="shared" si="133"/>
        <v>51</v>
      </c>
      <c r="Y257" s="69">
        <f t="shared" si="142"/>
        <v>5857</v>
      </c>
      <c r="Z257" s="69"/>
      <c r="AA257" s="69"/>
      <c r="AB257" s="69"/>
      <c r="AC257" s="69"/>
      <c r="AD257" s="69">
        <f t="shared" si="143"/>
        <v>0</v>
      </c>
      <c r="AE257" s="69"/>
      <c r="AF257" s="69"/>
      <c r="AG257" s="69"/>
      <c r="AH257" s="69">
        <f t="shared" si="144"/>
        <v>0</v>
      </c>
      <c r="AI257" s="69">
        <f t="shared" si="145"/>
        <v>5857</v>
      </c>
      <c r="AJ257" s="69"/>
      <c r="AK257" s="232"/>
      <c r="AL257" s="212"/>
      <c r="AM257" s="212"/>
      <c r="AN257" s="212"/>
      <c r="AO257" s="212"/>
      <c r="AP257" s="69">
        <f t="shared" si="135"/>
        <v>0</v>
      </c>
      <c r="AQ257" s="7"/>
      <c r="AR257" s="69"/>
      <c r="AS257" s="69"/>
      <c r="AT257" s="69"/>
      <c r="AU257" s="69">
        <f t="shared" si="136"/>
        <v>0</v>
      </c>
      <c r="AV257" s="69">
        <f t="shared" si="137"/>
        <v>5857</v>
      </c>
      <c r="AW257" s="14"/>
    </row>
    <row r="258" ht="20.15" customHeight="1" spans="1:49">
      <c r="A258" s="228">
        <f>SUBTOTAL(2,$Y$4:Y258)</f>
        <v>255</v>
      </c>
      <c r="B258" s="14" t="s">
        <v>573</v>
      </c>
      <c r="C258" s="14" t="s">
        <v>512</v>
      </c>
      <c r="D258" s="115">
        <v>4035</v>
      </c>
      <c r="E258" s="229">
        <v>32.425</v>
      </c>
      <c r="F258" s="13">
        <v>4035</v>
      </c>
      <c r="G258" s="13" t="s">
        <v>574</v>
      </c>
      <c r="H258" s="14">
        <f t="shared" si="140"/>
        <v>32.425</v>
      </c>
      <c r="I258" s="67">
        <v>5000</v>
      </c>
      <c r="J258" s="226">
        <v>500</v>
      </c>
      <c r="K258" s="69">
        <f t="shared" si="127"/>
        <v>5500</v>
      </c>
      <c r="L258" s="69">
        <v>160</v>
      </c>
      <c r="M258" s="69">
        <v>6813</v>
      </c>
      <c r="N258" s="69">
        <v>6863</v>
      </c>
      <c r="O258" s="69">
        <f t="shared" si="128"/>
        <v>50</v>
      </c>
      <c r="P258" s="231">
        <f t="shared" si="138"/>
        <v>0</v>
      </c>
      <c r="Q258" s="69">
        <f t="shared" si="129"/>
        <v>50</v>
      </c>
      <c r="R258" s="69">
        <v>0.8</v>
      </c>
      <c r="S258" s="220">
        <f t="shared" si="130"/>
        <v>35</v>
      </c>
      <c r="T258" s="220">
        <f t="shared" si="131"/>
        <v>40</v>
      </c>
      <c r="U258" s="222">
        <f t="shared" ref="U258:U289" si="146">ROUND(H258*3,0)</f>
        <v>97</v>
      </c>
      <c r="V258" s="220">
        <f t="shared" si="132"/>
        <v>146</v>
      </c>
      <c r="W258" s="69">
        <f t="shared" si="141"/>
        <v>6</v>
      </c>
      <c r="X258" s="220">
        <f t="shared" si="133"/>
        <v>51</v>
      </c>
      <c r="Y258" s="69">
        <f t="shared" si="142"/>
        <v>5932</v>
      </c>
      <c r="Z258" s="69"/>
      <c r="AA258" s="69"/>
      <c r="AB258" s="69"/>
      <c r="AC258" s="69"/>
      <c r="AD258" s="69">
        <f t="shared" si="143"/>
        <v>0</v>
      </c>
      <c r="AE258" s="69"/>
      <c r="AF258" s="69"/>
      <c r="AG258" s="69"/>
      <c r="AH258" s="69">
        <f t="shared" si="144"/>
        <v>0</v>
      </c>
      <c r="AI258" s="69">
        <f t="shared" si="145"/>
        <v>5932</v>
      </c>
      <c r="AJ258" s="69"/>
      <c r="AK258" s="232"/>
      <c r="AL258" s="212"/>
      <c r="AM258" s="212"/>
      <c r="AN258" s="212"/>
      <c r="AO258" s="212"/>
      <c r="AP258" s="69">
        <f t="shared" si="135"/>
        <v>0</v>
      </c>
      <c r="AQ258" s="7"/>
      <c r="AR258" s="69"/>
      <c r="AS258" s="69"/>
      <c r="AT258" s="69"/>
      <c r="AU258" s="69">
        <f t="shared" si="136"/>
        <v>0</v>
      </c>
      <c r="AV258" s="69">
        <f t="shared" si="137"/>
        <v>5932</v>
      </c>
      <c r="AW258" s="14"/>
    </row>
    <row r="259" ht="21" customHeight="1" spans="1:49">
      <c r="A259" s="228">
        <f>SUBTOTAL(2,$Y$4:Y259)</f>
        <v>256</v>
      </c>
      <c r="B259" s="14" t="s">
        <v>575</v>
      </c>
      <c r="C259" s="14" t="s">
        <v>512</v>
      </c>
      <c r="D259" s="115" t="s">
        <v>576</v>
      </c>
      <c r="E259" s="229">
        <v>32.425</v>
      </c>
      <c r="F259" s="118" t="s">
        <v>576</v>
      </c>
      <c r="G259" s="118" t="s">
        <v>577</v>
      </c>
      <c r="H259" s="240">
        <f t="shared" si="140"/>
        <v>32.425</v>
      </c>
      <c r="I259" s="257">
        <v>5000</v>
      </c>
      <c r="J259" s="245">
        <v>500</v>
      </c>
      <c r="K259" s="69">
        <f t="shared" si="127"/>
        <v>5500</v>
      </c>
      <c r="L259" s="69">
        <v>160</v>
      </c>
      <c r="M259" s="69">
        <v>8157</v>
      </c>
      <c r="N259" s="69">
        <v>8178</v>
      </c>
      <c r="O259" s="69">
        <f t="shared" si="128"/>
        <v>21</v>
      </c>
      <c r="P259" s="231">
        <f t="shared" si="138"/>
        <v>0</v>
      </c>
      <c r="Q259" s="69">
        <f t="shared" si="129"/>
        <v>21</v>
      </c>
      <c r="R259" s="69">
        <v>0.8</v>
      </c>
      <c r="S259" s="220">
        <f t="shared" si="130"/>
        <v>15</v>
      </c>
      <c r="T259" s="220">
        <f t="shared" si="131"/>
        <v>17</v>
      </c>
      <c r="U259" s="222">
        <f t="shared" si="146"/>
        <v>97</v>
      </c>
      <c r="V259" s="220">
        <f t="shared" si="132"/>
        <v>146</v>
      </c>
      <c r="W259" s="69">
        <f t="shared" ref="W259:W290" si="147">ROUND(H259*0.2,0)</f>
        <v>6</v>
      </c>
      <c r="X259" s="220">
        <f t="shared" si="133"/>
        <v>51</v>
      </c>
      <c r="Y259" s="69">
        <f t="shared" si="142"/>
        <v>5889</v>
      </c>
      <c r="Z259" s="69"/>
      <c r="AA259" s="69"/>
      <c r="AB259" s="69"/>
      <c r="AC259" s="69"/>
      <c r="AD259" s="69">
        <f t="shared" si="143"/>
        <v>0</v>
      </c>
      <c r="AE259" s="69"/>
      <c r="AF259" s="69"/>
      <c r="AG259" s="69"/>
      <c r="AH259" s="69">
        <f t="shared" si="144"/>
        <v>0</v>
      </c>
      <c r="AI259" s="69">
        <f t="shared" si="145"/>
        <v>5889</v>
      </c>
      <c r="AJ259" s="69"/>
      <c r="AK259" s="232"/>
      <c r="AL259" s="212"/>
      <c r="AM259" s="212"/>
      <c r="AN259" s="212"/>
      <c r="AO259" s="212"/>
      <c r="AP259" s="69">
        <f t="shared" si="135"/>
        <v>0</v>
      </c>
      <c r="AQ259" s="7"/>
      <c r="AR259" s="69"/>
      <c r="AS259" s="69"/>
      <c r="AT259" s="69"/>
      <c r="AU259" s="69">
        <f t="shared" si="136"/>
        <v>0</v>
      </c>
      <c r="AV259" s="69">
        <f t="shared" si="137"/>
        <v>5889</v>
      </c>
      <c r="AW259" s="14"/>
    </row>
    <row r="260" ht="20.15" customHeight="1" spans="1:49">
      <c r="A260" s="228">
        <f>SUBTOTAL(2,$Y$4:Y260)</f>
        <v>257</v>
      </c>
      <c r="B260" s="14" t="s">
        <v>578</v>
      </c>
      <c r="C260" s="115" t="s">
        <v>512</v>
      </c>
      <c r="D260" s="115">
        <v>4036</v>
      </c>
      <c r="E260" s="229">
        <v>32.425</v>
      </c>
      <c r="F260" s="22">
        <v>4036</v>
      </c>
      <c r="G260" s="22" t="s">
        <v>579</v>
      </c>
      <c r="H260" s="246">
        <f t="shared" si="140"/>
        <v>32.425</v>
      </c>
      <c r="I260" s="7">
        <v>5000</v>
      </c>
      <c r="J260" s="238">
        <v>500</v>
      </c>
      <c r="K260" s="69">
        <f t="shared" si="127"/>
        <v>5500</v>
      </c>
      <c r="L260" s="69">
        <v>160</v>
      </c>
      <c r="M260" s="69">
        <v>7843</v>
      </c>
      <c r="N260" s="69">
        <v>7878</v>
      </c>
      <c r="O260" s="69">
        <f t="shared" si="128"/>
        <v>35</v>
      </c>
      <c r="P260" s="231">
        <f t="shared" si="138"/>
        <v>0</v>
      </c>
      <c r="Q260" s="69">
        <f t="shared" si="129"/>
        <v>35</v>
      </c>
      <c r="R260" s="69">
        <v>0.8</v>
      </c>
      <c r="S260" s="220">
        <f t="shared" si="130"/>
        <v>25</v>
      </c>
      <c r="T260" s="220">
        <f t="shared" si="131"/>
        <v>28</v>
      </c>
      <c r="U260" s="222">
        <f t="shared" si="146"/>
        <v>97</v>
      </c>
      <c r="V260" s="220">
        <f t="shared" si="132"/>
        <v>146</v>
      </c>
      <c r="W260" s="69">
        <f t="shared" si="147"/>
        <v>6</v>
      </c>
      <c r="X260" s="220">
        <f t="shared" si="133"/>
        <v>51</v>
      </c>
      <c r="Y260" s="69">
        <f t="shared" si="142"/>
        <v>5910</v>
      </c>
      <c r="Z260" s="69"/>
      <c r="AA260" s="69"/>
      <c r="AB260" s="69"/>
      <c r="AC260" s="69"/>
      <c r="AD260" s="69">
        <f t="shared" ref="AD260:AD297" si="148">AA260+AB260+AC260</f>
        <v>0</v>
      </c>
      <c r="AE260" s="69"/>
      <c r="AF260" s="69"/>
      <c r="AG260" s="69"/>
      <c r="AH260" s="69">
        <f t="shared" si="144"/>
        <v>0</v>
      </c>
      <c r="AI260" s="69">
        <f t="shared" si="145"/>
        <v>5910</v>
      </c>
      <c r="AJ260" s="69"/>
      <c r="AK260" s="232"/>
      <c r="AL260" s="212"/>
      <c r="AM260" s="212"/>
      <c r="AN260" s="212"/>
      <c r="AO260" s="212"/>
      <c r="AP260" s="69">
        <f t="shared" si="135"/>
        <v>0</v>
      </c>
      <c r="AQ260" s="7"/>
      <c r="AR260" s="69"/>
      <c r="AS260" s="69"/>
      <c r="AT260" s="69"/>
      <c r="AU260" s="69">
        <f t="shared" si="136"/>
        <v>0</v>
      </c>
      <c r="AV260" s="69">
        <f t="shared" si="137"/>
        <v>5910</v>
      </c>
      <c r="AW260" s="14"/>
    </row>
    <row r="261" ht="20.15" customHeight="1" spans="1:49">
      <c r="A261" s="228">
        <f>SUBTOTAL(2,$Y$4:Y261)</f>
        <v>258</v>
      </c>
      <c r="B261" s="14" t="s">
        <v>580</v>
      </c>
      <c r="C261" s="115" t="s">
        <v>512</v>
      </c>
      <c r="D261" s="115">
        <v>4037</v>
      </c>
      <c r="E261" s="229">
        <v>32.425</v>
      </c>
      <c r="F261" s="22">
        <v>4037</v>
      </c>
      <c r="G261" s="22" t="s">
        <v>581</v>
      </c>
      <c r="H261" s="246">
        <f t="shared" si="140"/>
        <v>32.425</v>
      </c>
      <c r="I261" s="7">
        <v>5000</v>
      </c>
      <c r="J261" s="238">
        <v>500</v>
      </c>
      <c r="K261" s="69">
        <f t="shared" si="127"/>
        <v>5500</v>
      </c>
      <c r="L261" s="69">
        <v>160</v>
      </c>
      <c r="M261" s="69">
        <v>3417</v>
      </c>
      <c r="N261" s="69">
        <v>3545</v>
      </c>
      <c r="O261" s="69">
        <f t="shared" si="128"/>
        <v>128</v>
      </c>
      <c r="P261" s="231">
        <f t="shared" si="138"/>
        <v>0</v>
      </c>
      <c r="Q261" s="69">
        <f t="shared" si="129"/>
        <v>128</v>
      </c>
      <c r="R261" s="69">
        <v>0.8</v>
      </c>
      <c r="S261" s="220">
        <f t="shared" si="130"/>
        <v>90</v>
      </c>
      <c r="T261" s="220">
        <f t="shared" si="131"/>
        <v>102</v>
      </c>
      <c r="U261" s="222">
        <f t="shared" si="146"/>
        <v>97</v>
      </c>
      <c r="V261" s="220">
        <f t="shared" si="132"/>
        <v>146</v>
      </c>
      <c r="W261" s="69">
        <f t="shared" si="147"/>
        <v>6</v>
      </c>
      <c r="X261" s="220">
        <f t="shared" si="133"/>
        <v>51</v>
      </c>
      <c r="Y261" s="69">
        <f t="shared" si="142"/>
        <v>6049</v>
      </c>
      <c r="Z261" s="69"/>
      <c r="AA261" s="69"/>
      <c r="AB261" s="69"/>
      <c r="AC261" s="69"/>
      <c r="AD261" s="69">
        <f t="shared" si="148"/>
        <v>0</v>
      </c>
      <c r="AE261" s="69"/>
      <c r="AF261" s="69"/>
      <c r="AG261" s="69"/>
      <c r="AH261" s="69">
        <f t="shared" si="144"/>
        <v>0</v>
      </c>
      <c r="AI261" s="69">
        <f t="shared" si="145"/>
        <v>6049</v>
      </c>
      <c r="AJ261" s="69"/>
      <c r="AK261" s="232"/>
      <c r="AL261" s="233"/>
      <c r="AM261" s="233"/>
      <c r="AN261" s="212"/>
      <c r="AO261" s="212"/>
      <c r="AP261" s="69">
        <f t="shared" si="135"/>
        <v>0</v>
      </c>
      <c r="AQ261" s="7"/>
      <c r="AR261" s="69"/>
      <c r="AS261" s="67"/>
      <c r="AT261" s="67"/>
      <c r="AU261" s="69">
        <f t="shared" si="136"/>
        <v>0</v>
      </c>
      <c r="AV261" s="69">
        <f t="shared" si="137"/>
        <v>6049</v>
      </c>
      <c r="AW261" s="14"/>
    </row>
    <row r="262" ht="20.15" customHeight="1" spans="1:49">
      <c r="A262" s="228">
        <f>SUBTOTAL(2,$Y$4:Y262)</f>
        <v>259</v>
      </c>
      <c r="B262" s="14" t="s">
        <v>582</v>
      </c>
      <c r="C262" s="14" t="s">
        <v>512</v>
      </c>
      <c r="D262" s="115">
        <v>4038</v>
      </c>
      <c r="E262" s="229">
        <v>32.425</v>
      </c>
      <c r="F262" s="13">
        <v>4038</v>
      </c>
      <c r="G262" s="13" t="s">
        <v>423</v>
      </c>
      <c r="H262" s="14">
        <f t="shared" ref="H262:H274" si="149">E262</f>
        <v>32.425</v>
      </c>
      <c r="I262" s="67">
        <v>5000</v>
      </c>
      <c r="J262" s="226">
        <v>500</v>
      </c>
      <c r="K262" s="69">
        <f t="shared" si="127"/>
        <v>5500</v>
      </c>
      <c r="L262" s="69">
        <v>160</v>
      </c>
      <c r="M262" s="69">
        <v>5262</v>
      </c>
      <c r="N262" s="69">
        <v>5486</v>
      </c>
      <c r="O262" s="69">
        <f t="shared" si="128"/>
        <v>224</v>
      </c>
      <c r="P262" s="231">
        <f t="shared" si="138"/>
        <v>0</v>
      </c>
      <c r="Q262" s="69">
        <f t="shared" si="129"/>
        <v>224</v>
      </c>
      <c r="R262" s="69">
        <v>0.8</v>
      </c>
      <c r="S262" s="220">
        <f t="shared" ref="S262:S319" si="150">ROUND(Q262*0.7,0)</f>
        <v>157</v>
      </c>
      <c r="T262" s="220">
        <f t="shared" si="131"/>
        <v>179</v>
      </c>
      <c r="U262" s="222">
        <f t="shared" si="146"/>
        <v>97</v>
      </c>
      <c r="V262" s="220">
        <f t="shared" si="132"/>
        <v>146</v>
      </c>
      <c r="W262" s="69">
        <f t="shared" si="147"/>
        <v>6</v>
      </c>
      <c r="X262" s="220">
        <f t="shared" si="133"/>
        <v>51</v>
      </c>
      <c r="Y262" s="69">
        <f t="shared" ref="Y262:Y321" si="151">I262+J262+L262+S262+T262+V262+X262</f>
        <v>6193</v>
      </c>
      <c r="Z262" s="69"/>
      <c r="AA262" s="69"/>
      <c r="AB262" s="69"/>
      <c r="AC262" s="69"/>
      <c r="AD262" s="69">
        <f t="shared" si="148"/>
        <v>0</v>
      </c>
      <c r="AE262" s="69"/>
      <c r="AF262" s="69"/>
      <c r="AG262" s="69"/>
      <c r="AH262" s="69">
        <f t="shared" si="144"/>
        <v>0</v>
      </c>
      <c r="AI262" s="69">
        <f t="shared" si="145"/>
        <v>6193</v>
      </c>
      <c r="AJ262" s="69"/>
      <c r="AK262" s="232"/>
      <c r="AL262" s="212"/>
      <c r="AM262" s="212"/>
      <c r="AN262" s="212"/>
      <c r="AO262" s="212"/>
      <c r="AP262" s="69">
        <f t="shared" ref="AP262:AP321" si="152">AL262+AN262+AM262+AO262</f>
        <v>0</v>
      </c>
      <c r="AQ262" s="7"/>
      <c r="AR262" s="69"/>
      <c r="AS262" s="69"/>
      <c r="AT262" s="69"/>
      <c r="AU262" s="69">
        <f t="shared" si="136"/>
        <v>0</v>
      </c>
      <c r="AV262" s="69">
        <f t="shared" si="137"/>
        <v>6193</v>
      </c>
      <c r="AW262" s="14"/>
    </row>
    <row r="263" ht="20.15" customHeight="1" spans="1:49">
      <c r="A263" s="228">
        <f>SUBTOTAL(2,$Y$4:Y263)</f>
        <v>260</v>
      </c>
      <c r="B263" s="14" t="s">
        <v>583</v>
      </c>
      <c r="C263" s="14" t="s">
        <v>512</v>
      </c>
      <c r="D263" s="148">
        <v>4039</v>
      </c>
      <c r="E263" s="239">
        <v>32.425</v>
      </c>
      <c r="F263" s="155">
        <v>4039</v>
      </c>
      <c r="G263" s="155" t="s">
        <v>584</v>
      </c>
      <c r="H263" s="243">
        <v>32.425</v>
      </c>
      <c r="I263" s="268">
        <v>5000</v>
      </c>
      <c r="J263" s="245">
        <v>500</v>
      </c>
      <c r="K263" s="69">
        <f t="shared" si="127"/>
        <v>5500</v>
      </c>
      <c r="L263" s="69">
        <v>160</v>
      </c>
      <c r="M263" s="69">
        <v>9420</v>
      </c>
      <c r="N263" s="69">
        <v>9447</v>
      </c>
      <c r="O263" s="69">
        <f t="shared" si="128"/>
        <v>27</v>
      </c>
      <c r="P263" s="231">
        <f t="shared" si="138"/>
        <v>0</v>
      </c>
      <c r="Q263" s="69">
        <f t="shared" si="129"/>
        <v>27</v>
      </c>
      <c r="R263" s="69">
        <v>0.8</v>
      </c>
      <c r="S263" s="220">
        <f t="shared" si="150"/>
        <v>19</v>
      </c>
      <c r="T263" s="220">
        <f t="shared" si="131"/>
        <v>22</v>
      </c>
      <c r="U263" s="222">
        <f t="shared" si="146"/>
        <v>97</v>
      </c>
      <c r="V263" s="220">
        <f t="shared" si="132"/>
        <v>146</v>
      </c>
      <c r="W263" s="69">
        <f t="shared" si="147"/>
        <v>6</v>
      </c>
      <c r="X263" s="220">
        <f t="shared" si="133"/>
        <v>51</v>
      </c>
      <c r="Y263" s="69">
        <f t="shared" si="151"/>
        <v>5898</v>
      </c>
      <c r="Z263" s="69"/>
      <c r="AA263" s="69"/>
      <c r="AB263" s="69"/>
      <c r="AC263" s="69"/>
      <c r="AD263" s="69">
        <f t="shared" si="148"/>
        <v>0</v>
      </c>
      <c r="AE263" s="69"/>
      <c r="AF263" s="69"/>
      <c r="AG263" s="69"/>
      <c r="AH263" s="69">
        <f t="shared" si="144"/>
        <v>0</v>
      </c>
      <c r="AI263" s="69">
        <f t="shared" si="145"/>
        <v>5898</v>
      </c>
      <c r="AJ263" s="69"/>
      <c r="AK263" s="232"/>
      <c r="AL263" s="212"/>
      <c r="AM263" s="212"/>
      <c r="AN263" s="212"/>
      <c r="AO263" s="212"/>
      <c r="AP263" s="69">
        <f t="shared" si="152"/>
        <v>0</v>
      </c>
      <c r="AQ263" s="7"/>
      <c r="AR263" s="69"/>
      <c r="AS263" s="69"/>
      <c r="AT263" s="69"/>
      <c r="AU263" s="69">
        <f t="shared" ref="AU263:AU321" si="153">SUM(AQ263:AT263)</f>
        <v>0</v>
      </c>
      <c r="AV263" s="69">
        <f t="shared" ref="AV263:AV321" si="154">AI263-AP263-AU263</f>
        <v>5898</v>
      </c>
      <c r="AW263" s="14"/>
    </row>
    <row r="264" ht="20.15" customHeight="1" spans="1:49">
      <c r="A264" s="228">
        <f>SUBTOTAL(2,$Y$4:Y264)</f>
        <v>261</v>
      </c>
      <c r="B264" s="14" t="s">
        <v>585</v>
      </c>
      <c r="C264" s="14" t="s">
        <v>512</v>
      </c>
      <c r="D264" s="115">
        <v>4040</v>
      </c>
      <c r="E264" s="229">
        <v>31.425</v>
      </c>
      <c r="F264" s="13">
        <v>4040</v>
      </c>
      <c r="G264" s="22" t="s">
        <v>586</v>
      </c>
      <c r="H264" s="14">
        <f t="shared" si="149"/>
        <v>31.425</v>
      </c>
      <c r="I264" s="67">
        <v>5000</v>
      </c>
      <c r="J264" s="226">
        <v>500</v>
      </c>
      <c r="K264" s="69">
        <f t="shared" si="127"/>
        <v>5500</v>
      </c>
      <c r="L264" s="69">
        <v>160</v>
      </c>
      <c r="M264" s="69">
        <v>1272</v>
      </c>
      <c r="N264" s="69">
        <v>1294</v>
      </c>
      <c r="O264" s="69">
        <f t="shared" si="128"/>
        <v>22</v>
      </c>
      <c r="P264" s="231">
        <f t="shared" si="138"/>
        <v>0</v>
      </c>
      <c r="Q264" s="69">
        <f t="shared" si="129"/>
        <v>22</v>
      </c>
      <c r="R264" s="69">
        <v>0.8</v>
      </c>
      <c r="S264" s="220">
        <f t="shared" si="150"/>
        <v>15</v>
      </c>
      <c r="T264" s="220">
        <f t="shared" si="131"/>
        <v>18</v>
      </c>
      <c r="U264" s="222">
        <f t="shared" si="146"/>
        <v>94</v>
      </c>
      <c r="V264" s="220">
        <f t="shared" ref="V264:V319" si="155">ROUND(U264*1.5,0)</f>
        <v>141</v>
      </c>
      <c r="W264" s="69">
        <f t="shared" si="147"/>
        <v>6</v>
      </c>
      <c r="X264" s="220">
        <f t="shared" si="133"/>
        <v>51</v>
      </c>
      <c r="Y264" s="69">
        <f t="shared" si="151"/>
        <v>5885</v>
      </c>
      <c r="Z264" s="69"/>
      <c r="AA264" s="69"/>
      <c r="AB264" s="69"/>
      <c r="AC264" s="69"/>
      <c r="AD264" s="69">
        <f t="shared" si="148"/>
        <v>0</v>
      </c>
      <c r="AE264" s="69"/>
      <c r="AF264" s="69"/>
      <c r="AG264" s="69"/>
      <c r="AH264" s="69">
        <f t="shared" si="144"/>
        <v>0</v>
      </c>
      <c r="AI264" s="69">
        <f t="shared" si="145"/>
        <v>5885</v>
      </c>
      <c r="AJ264" s="69"/>
      <c r="AK264" s="232"/>
      <c r="AL264" s="212"/>
      <c r="AM264" s="212"/>
      <c r="AN264" s="212"/>
      <c r="AO264" s="212"/>
      <c r="AP264" s="69">
        <f t="shared" si="152"/>
        <v>0</v>
      </c>
      <c r="AQ264" s="7"/>
      <c r="AR264" s="69"/>
      <c r="AS264" s="69"/>
      <c r="AT264" s="69"/>
      <c r="AU264" s="69">
        <f t="shared" si="153"/>
        <v>0</v>
      </c>
      <c r="AV264" s="69">
        <f t="shared" si="154"/>
        <v>5885</v>
      </c>
      <c r="AW264" s="14"/>
    </row>
    <row r="265" ht="20.15" customHeight="1" spans="1:49">
      <c r="A265" s="228">
        <f>SUBTOTAL(2,$Y$4:Y265)</f>
        <v>262</v>
      </c>
      <c r="B265" s="14" t="s">
        <v>587</v>
      </c>
      <c r="C265" s="14" t="s">
        <v>512</v>
      </c>
      <c r="D265" s="115">
        <v>4041</v>
      </c>
      <c r="E265" s="229">
        <v>31.425</v>
      </c>
      <c r="F265" s="22">
        <v>4041</v>
      </c>
      <c r="G265" s="22" t="s">
        <v>588</v>
      </c>
      <c r="H265" s="115">
        <f t="shared" si="149"/>
        <v>31.425</v>
      </c>
      <c r="I265" s="7">
        <v>5000</v>
      </c>
      <c r="J265" s="226">
        <v>500</v>
      </c>
      <c r="K265" s="69">
        <f t="shared" si="127"/>
        <v>5500</v>
      </c>
      <c r="L265" s="69">
        <v>160</v>
      </c>
      <c r="M265" s="69">
        <v>4450</v>
      </c>
      <c r="N265" s="69">
        <v>4454</v>
      </c>
      <c r="O265" s="69">
        <f t="shared" si="128"/>
        <v>4</v>
      </c>
      <c r="P265" s="231">
        <f t="shared" si="138"/>
        <v>0</v>
      </c>
      <c r="Q265" s="69">
        <f t="shared" si="129"/>
        <v>4</v>
      </c>
      <c r="R265" s="69">
        <v>0.8</v>
      </c>
      <c r="S265" s="220">
        <f t="shared" si="150"/>
        <v>3</v>
      </c>
      <c r="T265" s="220">
        <f t="shared" si="131"/>
        <v>3</v>
      </c>
      <c r="U265" s="222">
        <f t="shared" si="146"/>
        <v>94</v>
      </c>
      <c r="V265" s="220">
        <f t="shared" si="155"/>
        <v>141</v>
      </c>
      <c r="W265" s="69">
        <f t="shared" si="147"/>
        <v>6</v>
      </c>
      <c r="X265" s="220">
        <f t="shared" si="133"/>
        <v>51</v>
      </c>
      <c r="Y265" s="69">
        <f t="shared" si="151"/>
        <v>5858</v>
      </c>
      <c r="Z265" s="69"/>
      <c r="AA265" s="69"/>
      <c r="AB265" s="69"/>
      <c r="AC265" s="69"/>
      <c r="AD265" s="69">
        <f t="shared" si="148"/>
        <v>0</v>
      </c>
      <c r="AE265" s="69"/>
      <c r="AF265" s="69"/>
      <c r="AG265" s="69"/>
      <c r="AH265" s="69">
        <f t="shared" si="144"/>
        <v>0</v>
      </c>
      <c r="AI265" s="69">
        <f t="shared" si="145"/>
        <v>5858</v>
      </c>
      <c r="AJ265" s="69"/>
      <c r="AK265" s="232"/>
      <c r="AL265" s="275"/>
      <c r="AM265" s="212"/>
      <c r="AN265" s="212"/>
      <c r="AO265" s="212"/>
      <c r="AP265" s="69">
        <f t="shared" si="152"/>
        <v>0</v>
      </c>
      <c r="AQ265" s="7"/>
      <c r="AR265" s="69"/>
      <c r="AS265" s="69"/>
      <c r="AT265" s="69"/>
      <c r="AU265" s="69">
        <f t="shared" si="153"/>
        <v>0</v>
      </c>
      <c r="AV265" s="69">
        <f t="shared" si="154"/>
        <v>5858</v>
      </c>
      <c r="AW265" s="213"/>
    </row>
    <row r="266" ht="20.15" customHeight="1" spans="1:49">
      <c r="A266" s="228">
        <f>SUBTOTAL(2,$Y$4:Y266)</f>
        <v>263</v>
      </c>
      <c r="B266" s="14" t="s">
        <v>589</v>
      </c>
      <c r="C266" s="115" t="s">
        <v>512</v>
      </c>
      <c r="D266" s="115">
        <v>4042</v>
      </c>
      <c r="E266" s="229">
        <v>32.42</v>
      </c>
      <c r="F266" s="22">
        <v>4042</v>
      </c>
      <c r="G266" s="22" t="s">
        <v>590</v>
      </c>
      <c r="H266" s="14">
        <f t="shared" si="149"/>
        <v>32.42</v>
      </c>
      <c r="I266" s="7">
        <v>5000</v>
      </c>
      <c r="J266" s="238">
        <v>500</v>
      </c>
      <c r="K266" s="69">
        <f t="shared" si="127"/>
        <v>5500</v>
      </c>
      <c r="L266" s="69">
        <v>160</v>
      </c>
      <c r="M266" s="69">
        <v>4287</v>
      </c>
      <c r="N266" s="69">
        <v>4324</v>
      </c>
      <c r="O266" s="69">
        <f t="shared" si="128"/>
        <v>37</v>
      </c>
      <c r="P266" s="231">
        <f t="shared" si="138"/>
        <v>0</v>
      </c>
      <c r="Q266" s="69">
        <f t="shared" si="129"/>
        <v>37</v>
      </c>
      <c r="R266" s="69">
        <v>0.8</v>
      </c>
      <c r="S266" s="220">
        <f t="shared" si="150"/>
        <v>26</v>
      </c>
      <c r="T266" s="220">
        <f t="shared" si="131"/>
        <v>30</v>
      </c>
      <c r="U266" s="222">
        <f t="shared" si="146"/>
        <v>97</v>
      </c>
      <c r="V266" s="220">
        <f t="shared" si="155"/>
        <v>146</v>
      </c>
      <c r="W266" s="69">
        <f t="shared" si="147"/>
        <v>6</v>
      </c>
      <c r="X266" s="220">
        <f t="shared" si="133"/>
        <v>51</v>
      </c>
      <c r="Y266" s="69">
        <f t="shared" si="151"/>
        <v>5913</v>
      </c>
      <c r="Z266" s="69"/>
      <c r="AA266" s="69"/>
      <c r="AB266" s="69"/>
      <c r="AC266" s="69"/>
      <c r="AD266" s="69">
        <f t="shared" si="148"/>
        <v>0</v>
      </c>
      <c r="AE266" s="69"/>
      <c r="AF266" s="69"/>
      <c r="AG266" s="69"/>
      <c r="AH266" s="69">
        <f t="shared" ref="AH266:AH297" si="156">AE266+AF266-AG266</f>
        <v>0</v>
      </c>
      <c r="AI266" s="69">
        <f t="shared" ref="AI266:AI297" si="157">Y266+Z266+AJ266-AD266-AG266</f>
        <v>5913</v>
      </c>
      <c r="AJ266" s="69"/>
      <c r="AK266" s="232"/>
      <c r="AL266" s="212"/>
      <c r="AM266" s="212"/>
      <c r="AN266" s="212"/>
      <c r="AO266" s="212"/>
      <c r="AP266" s="69">
        <f t="shared" si="152"/>
        <v>0</v>
      </c>
      <c r="AQ266" s="7"/>
      <c r="AR266" s="69"/>
      <c r="AS266" s="69"/>
      <c r="AT266" s="69"/>
      <c r="AU266" s="69">
        <f t="shared" si="153"/>
        <v>0</v>
      </c>
      <c r="AV266" s="69">
        <f t="shared" si="154"/>
        <v>5913</v>
      </c>
      <c r="AW266" s="14"/>
    </row>
    <row r="267" ht="20.15" customHeight="1" spans="1:49">
      <c r="A267" s="228">
        <f>SUBTOTAL(2,$Y$4:Y267)</f>
        <v>264</v>
      </c>
      <c r="B267" s="14" t="s">
        <v>591</v>
      </c>
      <c r="C267" s="96" t="s">
        <v>512</v>
      </c>
      <c r="D267" s="96">
        <v>4043</v>
      </c>
      <c r="E267" s="274">
        <v>32.42</v>
      </c>
      <c r="F267" s="95">
        <v>4043</v>
      </c>
      <c r="G267" s="95" t="s">
        <v>592</v>
      </c>
      <c r="H267" s="96">
        <f t="shared" si="149"/>
        <v>32.42</v>
      </c>
      <c r="I267" s="7">
        <v>5000</v>
      </c>
      <c r="J267" s="226">
        <v>500</v>
      </c>
      <c r="K267" s="69">
        <f t="shared" si="127"/>
        <v>5500</v>
      </c>
      <c r="L267" s="69">
        <v>160</v>
      </c>
      <c r="M267" s="69">
        <v>7777</v>
      </c>
      <c r="N267" s="69">
        <v>7778</v>
      </c>
      <c r="O267" s="69">
        <f t="shared" si="128"/>
        <v>1</v>
      </c>
      <c r="P267" s="231">
        <f t="shared" si="138"/>
        <v>0</v>
      </c>
      <c r="Q267" s="69">
        <f t="shared" si="129"/>
        <v>1</v>
      </c>
      <c r="R267" s="69">
        <v>0.8</v>
      </c>
      <c r="S267" s="220">
        <f t="shared" si="150"/>
        <v>1</v>
      </c>
      <c r="T267" s="220">
        <f t="shared" si="131"/>
        <v>1</v>
      </c>
      <c r="U267" s="222">
        <f t="shared" si="146"/>
        <v>97</v>
      </c>
      <c r="V267" s="220">
        <f t="shared" si="155"/>
        <v>146</v>
      </c>
      <c r="W267" s="69">
        <f t="shared" si="147"/>
        <v>6</v>
      </c>
      <c r="X267" s="220">
        <f t="shared" si="133"/>
        <v>51</v>
      </c>
      <c r="Y267" s="69">
        <f t="shared" si="151"/>
        <v>5859</v>
      </c>
      <c r="Z267" s="69"/>
      <c r="AA267" s="69"/>
      <c r="AB267" s="69"/>
      <c r="AC267" s="69"/>
      <c r="AD267" s="69">
        <f t="shared" si="148"/>
        <v>0</v>
      </c>
      <c r="AE267" s="69"/>
      <c r="AF267" s="69"/>
      <c r="AG267" s="69"/>
      <c r="AH267" s="69">
        <f t="shared" si="156"/>
        <v>0</v>
      </c>
      <c r="AI267" s="69">
        <f t="shared" si="157"/>
        <v>5859</v>
      </c>
      <c r="AJ267" s="69"/>
      <c r="AK267" s="232"/>
      <c r="AL267" s="212"/>
      <c r="AM267" s="212"/>
      <c r="AN267" s="212"/>
      <c r="AO267" s="212"/>
      <c r="AP267" s="69">
        <f t="shared" si="152"/>
        <v>0</v>
      </c>
      <c r="AQ267" s="7"/>
      <c r="AR267" s="69"/>
      <c r="AS267" s="69"/>
      <c r="AT267" s="69"/>
      <c r="AU267" s="69">
        <f t="shared" si="153"/>
        <v>0</v>
      </c>
      <c r="AV267" s="69">
        <f t="shared" si="154"/>
        <v>5859</v>
      </c>
      <c r="AW267" s="14"/>
    </row>
    <row r="268" ht="20.15" customHeight="1" spans="1:49">
      <c r="A268" s="228">
        <f>SUBTOTAL(2,$Y$4:Y268)</f>
        <v>265</v>
      </c>
      <c r="B268" s="14" t="s">
        <v>593</v>
      </c>
      <c r="C268" s="14" t="s">
        <v>512</v>
      </c>
      <c r="D268" s="115">
        <v>4044</v>
      </c>
      <c r="E268" s="229">
        <v>32.42</v>
      </c>
      <c r="F268" s="13">
        <v>4044</v>
      </c>
      <c r="G268" s="13" t="s">
        <v>594</v>
      </c>
      <c r="H268" s="14">
        <f t="shared" si="149"/>
        <v>32.42</v>
      </c>
      <c r="I268" s="67">
        <v>5000</v>
      </c>
      <c r="J268" s="226">
        <v>500</v>
      </c>
      <c r="K268" s="69">
        <f t="shared" si="127"/>
        <v>5500</v>
      </c>
      <c r="L268" s="69">
        <v>160</v>
      </c>
      <c r="M268" s="69">
        <v>5254</v>
      </c>
      <c r="N268" s="69">
        <v>5278</v>
      </c>
      <c r="O268" s="69">
        <f t="shared" si="128"/>
        <v>24</v>
      </c>
      <c r="P268" s="231">
        <f t="shared" si="138"/>
        <v>0</v>
      </c>
      <c r="Q268" s="69">
        <f t="shared" si="129"/>
        <v>24</v>
      </c>
      <c r="R268" s="69">
        <v>0.8</v>
      </c>
      <c r="S268" s="220">
        <f t="shared" si="150"/>
        <v>17</v>
      </c>
      <c r="T268" s="220">
        <f t="shared" si="131"/>
        <v>19</v>
      </c>
      <c r="U268" s="222">
        <f t="shared" si="146"/>
        <v>97</v>
      </c>
      <c r="V268" s="220">
        <f t="shared" si="155"/>
        <v>146</v>
      </c>
      <c r="W268" s="69">
        <f t="shared" si="147"/>
        <v>6</v>
      </c>
      <c r="X268" s="220">
        <f t="shared" si="133"/>
        <v>51</v>
      </c>
      <c r="Y268" s="69">
        <f t="shared" si="151"/>
        <v>5893</v>
      </c>
      <c r="Z268" s="69"/>
      <c r="AA268" s="69"/>
      <c r="AB268" s="69"/>
      <c r="AC268" s="69"/>
      <c r="AD268" s="69">
        <f t="shared" si="148"/>
        <v>0</v>
      </c>
      <c r="AE268" s="69"/>
      <c r="AF268" s="69"/>
      <c r="AG268" s="69"/>
      <c r="AH268" s="69">
        <f t="shared" si="156"/>
        <v>0</v>
      </c>
      <c r="AI268" s="69">
        <f t="shared" si="157"/>
        <v>5893</v>
      </c>
      <c r="AJ268" s="69"/>
      <c r="AK268" s="232"/>
      <c r="AL268" s="212"/>
      <c r="AM268" s="212"/>
      <c r="AN268" s="212"/>
      <c r="AO268" s="212"/>
      <c r="AP268" s="69">
        <f t="shared" si="152"/>
        <v>0</v>
      </c>
      <c r="AQ268" s="7"/>
      <c r="AR268" s="69"/>
      <c r="AS268" s="69"/>
      <c r="AT268" s="69"/>
      <c r="AU268" s="69">
        <f t="shared" si="153"/>
        <v>0</v>
      </c>
      <c r="AV268" s="69">
        <f t="shared" si="154"/>
        <v>5893</v>
      </c>
      <c r="AW268" s="14"/>
    </row>
    <row r="269" ht="20.15" customHeight="1" spans="1:49">
      <c r="A269" s="228">
        <f>SUBTOTAL(2,$Y$4:Y269)</f>
        <v>266</v>
      </c>
      <c r="B269" s="14" t="s">
        <v>595</v>
      </c>
      <c r="C269" s="14" t="s">
        <v>512</v>
      </c>
      <c r="D269" s="115">
        <v>4045</v>
      </c>
      <c r="E269" s="229">
        <v>32.42</v>
      </c>
      <c r="F269" s="118">
        <v>4045</v>
      </c>
      <c r="G269" s="118" t="s">
        <v>596</v>
      </c>
      <c r="H269" s="240">
        <f t="shared" si="149"/>
        <v>32.42</v>
      </c>
      <c r="I269" s="257">
        <v>5000</v>
      </c>
      <c r="J269" s="242">
        <v>500</v>
      </c>
      <c r="K269" s="69">
        <f t="shared" si="127"/>
        <v>5500</v>
      </c>
      <c r="L269" s="69">
        <v>160</v>
      </c>
      <c r="M269" s="69">
        <v>8674</v>
      </c>
      <c r="N269" s="69">
        <v>8708</v>
      </c>
      <c r="O269" s="69">
        <f t="shared" si="128"/>
        <v>34</v>
      </c>
      <c r="P269" s="231">
        <f t="shared" si="138"/>
        <v>0</v>
      </c>
      <c r="Q269" s="69">
        <f t="shared" si="129"/>
        <v>34</v>
      </c>
      <c r="R269" s="69">
        <v>0.8</v>
      </c>
      <c r="S269" s="220">
        <f t="shared" si="150"/>
        <v>24</v>
      </c>
      <c r="T269" s="220">
        <f t="shared" si="131"/>
        <v>27</v>
      </c>
      <c r="U269" s="222">
        <f t="shared" si="146"/>
        <v>97</v>
      </c>
      <c r="V269" s="220">
        <f t="shared" si="155"/>
        <v>146</v>
      </c>
      <c r="W269" s="69">
        <f t="shared" si="147"/>
        <v>6</v>
      </c>
      <c r="X269" s="220">
        <f t="shared" si="133"/>
        <v>51</v>
      </c>
      <c r="Y269" s="69">
        <f t="shared" si="151"/>
        <v>5908</v>
      </c>
      <c r="Z269" s="249"/>
      <c r="AA269" s="69"/>
      <c r="AB269" s="69"/>
      <c r="AC269" s="69"/>
      <c r="AD269" s="69">
        <f t="shared" si="148"/>
        <v>0</v>
      </c>
      <c r="AE269" s="69"/>
      <c r="AF269" s="69"/>
      <c r="AG269" s="69"/>
      <c r="AH269" s="69">
        <f t="shared" si="156"/>
        <v>0</v>
      </c>
      <c r="AI269" s="69">
        <f t="shared" si="157"/>
        <v>5908</v>
      </c>
      <c r="AJ269" s="69"/>
      <c r="AK269" s="232"/>
      <c r="AL269" s="212"/>
      <c r="AM269" s="212"/>
      <c r="AN269" s="212"/>
      <c r="AO269" s="212"/>
      <c r="AP269" s="69">
        <f t="shared" si="152"/>
        <v>0</v>
      </c>
      <c r="AQ269" s="7"/>
      <c r="AR269" s="69"/>
      <c r="AS269" s="69"/>
      <c r="AT269" s="69"/>
      <c r="AU269" s="69">
        <f t="shared" si="153"/>
        <v>0</v>
      </c>
      <c r="AV269" s="69">
        <f t="shared" si="154"/>
        <v>5908</v>
      </c>
      <c r="AW269" s="14"/>
    </row>
    <row r="270" ht="20.15" customHeight="1" spans="1:49">
      <c r="A270" s="228">
        <f>SUBTOTAL(2,$Y$4:Y270)</f>
        <v>267</v>
      </c>
      <c r="B270" s="14" t="s">
        <v>597</v>
      </c>
      <c r="C270" s="14" t="s">
        <v>512</v>
      </c>
      <c r="D270" s="115">
        <v>4046</v>
      </c>
      <c r="E270" s="229">
        <v>60.49</v>
      </c>
      <c r="F270" s="13">
        <v>4046</v>
      </c>
      <c r="G270" s="13" t="s">
        <v>175</v>
      </c>
      <c r="H270" s="14">
        <f t="shared" si="149"/>
        <v>60.49</v>
      </c>
      <c r="I270" s="67">
        <v>5000</v>
      </c>
      <c r="J270" s="226">
        <v>500</v>
      </c>
      <c r="K270" s="69">
        <f t="shared" si="127"/>
        <v>5500</v>
      </c>
      <c r="L270" s="69">
        <v>160</v>
      </c>
      <c r="M270" s="69">
        <v>2564</v>
      </c>
      <c r="N270" s="69">
        <v>2725</v>
      </c>
      <c r="O270" s="69">
        <f t="shared" si="128"/>
        <v>161</v>
      </c>
      <c r="P270" s="231">
        <f t="shared" si="138"/>
        <v>0</v>
      </c>
      <c r="Q270" s="69">
        <f t="shared" si="129"/>
        <v>161</v>
      </c>
      <c r="R270" s="69">
        <v>0.8</v>
      </c>
      <c r="S270" s="220">
        <f t="shared" si="150"/>
        <v>113</v>
      </c>
      <c r="T270" s="220">
        <f t="shared" si="131"/>
        <v>129</v>
      </c>
      <c r="U270" s="222">
        <f t="shared" si="146"/>
        <v>181</v>
      </c>
      <c r="V270" s="220">
        <f t="shared" si="155"/>
        <v>272</v>
      </c>
      <c r="W270" s="69">
        <f t="shared" si="147"/>
        <v>12</v>
      </c>
      <c r="X270" s="220">
        <f t="shared" si="133"/>
        <v>102</v>
      </c>
      <c r="Y270" s="69">
        <f t="shared" si="151"/>
        <v>6276</v>
      </c>
      <c r="Z270" s="69"/>
      <c r="AA270" s="69"/>
      <c r="AB270" s="69"/>
      <c r="AC270" s="69"/>
      <c r="AD270" s="69">
        <f t="shared" si="148"/>
        <v>0</v>
      </c>
      <c r="AE270" s="69"/>
      <c r="AF270" s="69"/>
      <c r="AG270" s="69"/>
      <c r="AH270" s="69">
        <f t="shared" si="156"/>
        <v>0</v>
      </c>
      <c r="AI270" s="69">
        <f t="shared" si="157"/>
        <v>6276</v>
      </c>
      <c r="AJ270" s="69"/>
      <c r="AK270" s="232"/>
      <c r="AL270" s="212"/>
      <c r="AM270" s="212"/>
      <c r="AN270" s="212"/>
      <c r="AO270" s="212"/>
      <c r="AP270" s="69">
        <f t="shared" si="152"/>
        <v>0</v>
      </c>
      <c r="AQ270" s="7"/>
      <c r="AR270" s="69"/>
      <c r="AS270" s="69"/>
      <c r="AT270" s="69"/>
      <c r="AU270" s="69">
        <f t="shared" si="153"/>
        <v>0</v>
      </c>
      <c r="AV270" s="69">
        <f t="shared" si="154"/>
        <v>6276</v>
      </c>
      <c r="AW270" s="14"/>
    </row>
    <row r="271" ht="23.15" customHeight="1" spans="1:49">
      <c r="A271" s="228">
        <f>SUBTOTAL(2,$Y$4:Y271)</f>
        <v>268</v>
      </c>
      <c r="B271" s="14" t="s">
        <v>598</v>
      </c>
      <c r="C271" s="14" t="s">
        <v>512</v>
      </c>
      <c r="D271" s="115" t="s">
        <v>599</v>
      </c>
      <c r="E271" s="229">
        <v>32.425</v>
      </c>
      <c r="F271" s="13" t="s">
        <v>599</v>
      </c>
      <c r="G271" s="13" t="s">
        <v>421</v>
      </c>
      <c r="H271" s="14">
        <f t="shared" si="149"/>
        <v>32.425</v>
      </c>
      <c r="I271" s="67">
        <v>5000</v>
      </c>
      <c r="J271" s="226">
        <v>500</v>
      </c>
      <c r="K271" s="69">
        <f t="shared" si="127"/>
        <v>5500</v>
      </c>
      <c r="L271" s="69">
        <v>160</v>
      </c>
      <c r="M271" s="69">
        <v>4107</v>
      </c>
      <c r="N271" s="69">
        <v>4129</v>
      </c>
      <c r="O271" s="69">
        <f t="shared" si="128"/>
        <v>22</v>
      </c>
      <c r="P271" s="231">
        <f t="shared" si="138"/>
        <v>0</v>
      </c>
      <c r="Q271" s="69">
        <f t="shared" si="129"/>
        <v>22</v>
      </c>
      <c r="R271" s="69">
        <v>0.8</v>
      </c>
      <c r="S271" s="220">
        <f t="shared" si="150"/>
        <v>15</v>
      </c>
      <c r="T271" s="220">
        <f t="shared" si="131"/>
        <v>18</v>
      </c>
      <c r="U271" s="222">
        <f t="shared" si="146"/>
        <v>97</v>
      </c>
      <c r="V271" s="220">
        <f t="shared" si="155"/>
        <v>146</v>
      </c>
      <c r="W271" s="69">
        <f t="shared" si="147"/>
        <v>6</v>
      </c>
      <c r="X271" s="220">
        <f t="shared" si="133"/>
        <v>51</v>
      </c>
      <c r="Y271" s="69">
        <f t="shared" si="151"/>
        <v>5890</v>
      </c>
      <c r="Z271" s="69"/>
      <c r="AA271" s="69"/>
      <c r="AB271" s="69"/>
      <c r="AC271" s="69"/>
      <c r="AD271" s="69">
        <f t="shared" si="148"/>
        <v>0</v>
      </c>
      <c r="AE271" s="69"/>
      <c r="AF271" s="69"/>
      <c r="AG271" s="69"/>
      <c r="AH271" s="69">
        <f t="shared" si="156"/>
        <v>0</v>
      </c>
      <c r="AI271" s="69">
        <f t="shared" si="157"/>
        <v>5890</v>
      </c>
      <c r="AJ271" s="69"/>
      <c r="AK271" s="232"/>
      <c r="AL271" s="212"/>
      <c r="AM271" s="212"/>
      <c r="AN271" s="212"/>
      <c r="AO271" s="212"/>
      <c r="AP271" s="69">
        <f t="shared" si="152"/>
        <v>0</v>
      </c>
      <c r="AQ271" s="7"/>
      <c r="AR271" s="69"/>
      <c r="AS271" s="69"/>
      <c r="AT271" s="69"/>
      <c r="AU271" s="69">
        <f t="shared" si="153"/>
        <v>0</v>
      </c>
      <c r="AV271" s="69">
        <f t="shared" si="154"/>
        <v>5890</v>
      </c>
      <c r="AW271" s="14"/>
    </row>
    <row r="272" ht="23.15" customHeight="1" spans="1:49">
      <c r="A272" s="228">
        <f>SUBTOTAL(2,$Y$4:Y272)</f>
        <v>269</v>
      </c>
      <c r="B272" s="14" t="s">
        <v>600</v>
      </c>
      <c r="C272" s="14" t="s">
        <v>601</v>
      </c>
      <c r="D272" s="14"/>
      <c r="E272" s="14"/>
      <c r="F272" s="150" t="s">
        <v>601</v>
      </c>
      <c r="G272" s="22" t="s">
        <v>602</v>
      </c>
      <c r="H272" s="14"/>
      <c r="I272" s="7">
        <v>1500</v>
      </c>
      <c r="J272" s="226">
        <v>0</v>
      </c>
      <c r="K272" s="69">
        <f t="shared" ref="K272:K320" si="158">I272+J272</f>
        <v>1500</v>
      </c>
      <c r="L272" s="69"/>
      <c r="M272" s="69"/>
      <c r="N272" s="69"/>
      <c r="O272" s="69"/>
      <c r="P272" s="231"/>
      <c r="Q272" s="69"/>
      <c r="R272" s="69"/>
      <c r="S272" s="220">
        <f t="shared" si="150"/>
        <v>0</v>
      </c>
      <c r="T272" s="220"/>
      <c r="U272" s="222">
        <f t="shared" si="146"/>
        <v>0</v>
      </c>
      <c r="V272" s="220"/>
      <c r="W272" s="69"/>
      <c r="X272" s="220"/>
      <c r="Y272" s="69">
        <f t="shared" si="151"/>
        <v>1500</v>
      </c>
      <c r="Z272" s="69"/>
      <c r="AA272" s="69"/>
      <c r="AB272" s="69"/>
      <c r="AC272" s="69"/>
      <c r="AD272" s="69">
        <f t="shared" si="148"/>
        <v>0</v>
      </c>
      <c r="AE272" s="69"/>
      <c r="AF272" s="69"/>
      <c r="AG272" s="69"/>
      <c r="AH272" s="69">
        <f t="shared" si="156"/>
        <v>0</v>
      </c>
      <c r="AI272" s="69">
        <f t="shared" si="157"/>
        <v>1500</v>
      </c>
      <c r="AJ272" s="69"/>
      <c r="AK272" s="232"/>
      <c r="AL272" s="212"/>
      <c r="AM272" s="212"/>
      <c r="AN272" s="212"/>
      <c r="AO272" s="212"/>
      <c r="AP272" s="69">
        <f t="shared" si="152"/>
        <v>0</v>
      </c>
      <c r="AQ272" s="7"/>
      <c r="AR272" s="69"/>
      <c r="AS272" s="69"/>
      <c r="AT272" s="69"/>
      <c r="AU272" s="69">
        <f t="shared" si="153"/>
        <v>0</v>
      </c>
      <c r="AV272" s="69">
        <f t="shared" si="154"/>
        <v>1500</v>
      </c>
      <c r="AW272" s="14"/>
    </row>
    <row r="273" ht="23.15" customHeight="1" spans="1:49">
      <c r="A273" s="228">
        <f>SUBTOTAL(2,$Y$4:Y273)</f>
        <v>270</v>
      </c>
      <c r="B273" s="14" t="s">
        <v>603</v>
      </c>
      <c r="C273" s="14" t="s">
        <v>604</v>
      </c>
      <c r="D273" s="276">
        <v>5001</v>
      </c>
      <c r="E273" s="277">
        <v>49.48</v>
      </c>
      <c r="F273" s="22">
        <v>5001</v>
      </c>
      <c r="G273" s="22" t="s">
        <v>605</v>
      </c>
      <c r="H273" s="14">
        <f>E273</f>
        <v>49.48</v>
      </c>
      <c r="I273" s="67">
        <v>4500</v>
      </c>
      <c r="J273" s="226">
        <v>500</v>
      </c>
      <c r="K273" s="69">
        <f t="shared" si="158"/>
        <v>5000</v>
      </c>
      <c r="L273" s="69">
        <v>160</v>
      </c>
      <c r="M273" s="69">
        <v>36428</v>
      </c>
      <c r="N273" s="69">
        <v>36487</v>
      </c>
      <c r="O273" s="69">
        <f t="shared" ref="O273:O319" si="159">N273-M273</f>
        <v>59</v>
      </c>
      <c r="P273" s="231">
        <f>ROUND(H273*0,0)</f>
        <v>0</v>
      </c>
      <c r="Q273" s="69">
        <f t="shared" ref="Q273:Q319" si="160">O273+P273</f>
        <v>59</v>
      </c>
      <c r="R273" s="69">
        <v>0.8</v>
      </c>
      <c r="S273" s="220">
        <f t="shared" si="150"/>
        <v>41</v>
      </c>
      <c r="T273" s="220">
        <f t="shared" si="131"/>
        <v>47</v>
      </c>
      <c r="U273" s="222">
        <f t="shared" si="146"/>
        <v>148</v>
      </c>
      <c r="V273" s="220">
        <f t="shared" si="155"/>
        <v>222</v>
      </c>
      <c r="W273" s="69">
        <f t="shared" si="147"/>
        <v>10</v>
      </c>
      <c r="X273" s="220">
        <f>ROUND(W273*8.5,0)</f>
        <v>85</v>
      </c>
      <c r="Y273" s="69">
        <f t="shared" si="151"/>
        <v>5555</v>
      </c>
      <c r="Z273" s="69"/>
      <c r="AA273" s="69"/>
      <c r="AB273" s="69"/>
      <c r="AC273" s="69"/>
      <c r="AD273" s="69">
        <f t="shared" si="148"/>
        <v>0</v>
      </c>
      <c r="AE273" s="69"/>
      <c r="AF273" s="69"/>
      <c r="AG273" s="69"/>
      <c r="AH273" s="69">
        <f t="shared" si="156"/>
        <v>0</v>
      </c>
      <c r="AI273" s="69">
        <f t="shared" si="157"/>
        <v>5555</v>
      </c>
      <c r="AJ273" s="69"/>
      <c r="AK273" s="232"/>
      <c r="AL273" s="212"/>
      <c r="AM273" s="212"/>
      <c r="AN273" s="212"/>
      <c r="AO273" s="212"/>
      <c r="AP273" s="69">
        <f t="shared" si="152"/>
        <v>0</v>
      </c>
      <c r="AQ273" s="7"/>
      <c r="AR273" s="69"/>
      <c r="AS273" s="69"/>
      <c r="AT273" s="69"/>
      <c r="AU273" s="69">
        <f t="shared" si="153"/>
        <v>0</v>
      </c>
      <c r="AV273" s="69">
        <f t="shared" si="154"/>
        <v>5555</v>
      </c>
      <c r="AW273" s="14"/>
    </row>
    <row r="274" s="5" customFormat="1" ht="23.15" customHeight="1" spans="1:49">
      <c r="A274" s="228">
        <f>SUBTOTAL(2,$Y$4:Y274)</f>
        <v>271</v>
      </c>
      <c r="B274" s="14" t="s">
        <v>606</v>
      </c>
      <c r="C274" s="96" t="s">
        <v>604</v>
      </c>
      <c r="D274" s="115">
        <v>5002</v>
      </c>
      <c r="E274" s="277">
        <v>32.425</v>
      </c>
      <c r="F274" s="95">
        <v>5002</v>
      </c>
      <c r="G274" s="95" t="s">
        <v>607</v>
      </c>
      <c r="H274" s="96">
        <f t="shared" si="149"/>
        <v>32.425</v>
      </c>
      <c r="I274" s="7">
        <v>4500</v>
      </c>
      <c r="J274" s="7">
        <v>500</v>
      </c>
      <c r="K274" s="67">
        <f t="shared" si="158"/>
        <v>5000</v>
      </c>
      <c r="L274" s="69">
        <v>160</v>
      </c>
      <c r="M274" s="67">
        <v>15997</v>
      </c>
      <c r="N274" s="67">
        <v>16010</v>
      </c>
      <c r="O274" s="67">
        <f t="shared" si="159"/>
        <v>13</v>
      </c>
      <c r="P274" s="231">
        <f t="shared" ref="P274:P319" si="161">ROUND(H274*0,0)</f>
        <v>0</v>
      </c>
      <c r="Q274" s="67">
        <f t="shared" si="160"/>
        <v>13</v>
      </c>
      <c r="R274" s="67">
        <v>0.8</v>
      </c>
      <c r="S274" s="220">
        <f t="shared" si="150"/>
        <v>9</v>
      </c>
      <c r="T274" s="278">
        <f t="shared" si="131"/>
        <v>10</v>
      </c>
      <c r="U274" s="222">
        <f t="shared" si="146"/>
        <v>97</v>
      </c>
      <c r="V274" s="278">
        <f t="shared" si="155"/>
        <v>146</v>
      </c>
      <c r="W274" s="69">
        <f t="shared" si="147"/>
        <v>6</v>
      </c>
      <c r="X274" s="220">
        <f t="shared" ref="X274:X319" si="162">ROUND(W274*8.5,0)</f>
        <v>51</v>
      </c>
      <c r="Y274" s="69">
        <f t="shared" si="151"/>
        <v>5376</v>
      </c>
      <c r="Z274" s="67"/>
      <c r="AA274" s="67"/>
      <c r="AB274" s="67"/>
      <c r="AC274" s="67"/>
      <c r="AD274" s="67">
        <f t="shared" si="148"/>
        <v>0</v>
      </c>
      <c r="AE274" s="67"/>
      <c r="AF274" s="67"/>
      <c r="AG274" s="69"/>
      <c r="AH274" s="69">
        <f t="shared" si="156"/>
        <v>0</v>
      </c>
      <c r="AI274" s="69">
        <f t="shared" si="157"/>
        <v>5376</v>
      </c>
      <c r="AJ274" s="67"/>
      <c r="AK274" s="279"/>
      <c r="AL274" s="280"/>
      <c r="AM274" s="280"/>
      <c r="AN274" s="280"/>
      <c r="AO274" s="280"/>
      <c r="AP274" s="69">
        <f t="shared" si="152"/>
        <v>0</v>
      </c>
      <c r="AQ274" s="7"/>
      <c r="AR274" s="69"/>
      <c r="AS274" s="67"/>
      <c r="AT274" s="67"/>
      <c r="AU274" s="69">
        <f t="shared" si="153"/>
        <v>0</v>
      </c>
      <c r="AV274" s="69">
        <f t="shared" si="154"/>
        <v>5376</v>
      </c>
      <c r="AW274" s="115"/>
    </row>
    <row r="275" ht="23.15" customHeight="1" spans="1:49">
      <c r="A275" s="228">
        <f>SUBTOTAL(2,$Y$4:Y275)</f>
        <v>272</v>
      </c>
      <c r="B275" s="14" t="s">
        <v>608</v>
      </c>
      <c r="C275" s="96" t="s">
        <v>604</v>
      </c>
      <c r="D275" s="276">
        <v>5003</v>
      </c>
      <c r="E275" s="277">
        <v>32.425</v>
      </c>
      <c r="F275" s="95">
        <v>5003</v>
      </c>
      <c r="G275" s="95" t="s">
        <v>609</v>
      </c>
      <c r="H275" s="14">
        <f t="shared" ref="H275:H282" si="163">E275</f>
        <v>32.425</v>
      </c>
      <c r="I275" s="7">
        <v>4500</v>
      </c>
      <c r="J275" s="238">
        <v>500</v>
      </c>
      <c r="K275" s="69">
        <f t="shared" si="158"/>
        <v>5000</v>
      </c>
      <c r="L275" s="69">
        <v>160</v>
      </c>
      <c r="M275" s="69">
        <v>29478</v>
      </c>
      <c r="N275" s="69">
        <v>29526</v>
      </c>
      <c r="O275" s="69">
        <f t="shared" si="159"/>
        <v>48</v>
      </c>
      <c r="P275" s="231">
        <f t="shared" si="161"/>
        <v>0</v>
      </c>
      <c r="Q275" s="69">
        <f t="shared" si="160"/>
        <v>48</v>
      </c>
      <c r="R275" s="69">
        <v>0.8</v>
      </c>
      <c r="S275" s="220">
        <f t="shared" si="150"/>
        <v>34</v>
      </c>
      <c r="T275" s="220">
        <f t="shared" si="131"/>
        <v>38</v>
      </c>
      <c r="U275" s="222">
        <f t="shared" si="146"/>
        <v>97</v>
      </c>
      <c r="V275" s="220">
        <f t="shared" si="155"/>
        <v>146</v>
      </c>
      <c r="W275" s="69">
        <f t="shared" si="147"/>
        <v>6</v>
      </c>
      <c r="X275" s="220">
        <f t="shared" si="162"/>
        <v>51</v>
      </c>
      <c r="Y275" s="69">
        <f t="shared" si="151"/>
        <v>5429</v>
      </c>
      <c r="Z275" s="69"/>
      <c r="AA275" s="69"/>
      <c r="AB275" s="69"/>
      <c r="AC275" s="69"/>
      <c r="AD275" s="69">
        <f t="shared" si="148"/>
        <v>0</v>
      </c>
      <c r="AE275" s="69"/>
      <c r="AF275" s="69"/>
      <c r="AG275" s="69"/>
      <c r="AH275" s="69">
        <f t="shared" si="156"/>
        <v>0</v>
      </c>
      <c r="AI275" s="69">
        <f t="shared" si="157"/>
        <v>5429</v>
      </c>
      <c r="AJ275" s="69"/>
      <c r="AK275" s="232"/>
      <c r="AL275" s="212"/>
      <c r="AM275" s="212"/>
      <c r="AN275" s="212"/>
      <c r="AO275" s="212"/>
      <c r="AP275" s="69">
        <f t="shared" si="152"/>
        <v>0</v>
      </c>
      <c r="AQ275" s="7"/>
      <c r="AR275" s="69"/>
      <c r="AS275" s="69"/>
      <c r="AT275" s="69"/>
      <c r="AU275" s="69">
        <f t="shared" si="153"/>
        <v>0</v>
      </c>
      <c r="AV275" s="69">
        <f t="shared" si="154"/>
        <v>5429</v>
      </c>
      <c r="AW275" s="14"/>
    </row>
    <row r="276" ht="23.15" customHeight="1" spans="1:49">
      <c r="A276" s="228">
        <f>SUBTOTAL(2,$Y$4:Y276)</f>
        <v>273</v>
      </c>
      <c r="B276" s="14" t="s">
        <v>610</v>
      </c>
      <c r="C276" s="14" t="s">
        <v>604</v>
      </c>
      <c r="D276" s="115" t="s">
        <v>611</v>
      </c>
      <c r="E276" s="277">
        <v>32.425</v>
      </c>
      <c r="F276" s="13" t="s">
        <v>611</v>
      </c>
      <c r="G276" s="13" t="s">
        <v>612</v>
      </c>
      <c r="H276" s="14">
        <v>32.425</v>
      </c>
      <c r="I276" s="69">
        <v>4500</v>
      </c>
      <c r="J276" s="230">
        <v>500</v>
      </c>
      <c r="K276" s="69">
        <f t="shared" si="158"/>
        <v>5000</v>
      </c>
      <c r="L276" s="69">
        <v>160</v>
      </c>
      <c r="M276" s="69">
        <v>25628</v>
      </c>
      <c r="N276" s="69">
        <v>25674</v>
      </c>
      <c r="O276" s="69">
        <f t="shared" si="159"/>
        <v>46</v>
      </c>
      <c r="P276" s="231">
        <f t="shared" si="161"/>
        <v>0</v>
      </c>
      <c r="Q276" s="69">
        <f t="shared" si="160"/>
        <v>46</v>
      </c>
      <c r="R276" s="69">
        <v>0.8</v>
      </c>
      <c r="S276" s="220">
        <f t="shared" si="150"/>
        <v>32</v>
      </c>
      <c r="T276" s="220">
        <f t="shared" si="131"/>
        <v>37</v>
      </c>
      <c r="U276" s="222">
        <f t="shared" si="146"/>
        <v>97</v>
      </c>
      <c r="V276" s="220">
        <f t="shared" si="155"/>
        <v>146</v>
      </c>
      <c r="W276" s="69">
        <f t="shared" si="147"/>
        <v>6</v>
      </c>
      <c r="X276" s="220">
        <f t="shared" si="162"/>
        <v>51</v>
      </c>
      <c r="Y276" s="69">
        <f t="shared" si="151"/>
        <v>5426</v>
      </c>
      <c r="Z276" s="69"/>
      <c r="AA276" s="69"/>
      <c r="AB276" s="69"/>
      <c r="AC276" s="69"/>
      <c r="AD276" s="69">
        <f t="shared" si="148"/>
        <v>0</v>
      </c>
      <c r="AE276" s="69"/>
      <c r="AF276" s="69"/>
      <c r="AG276" s="69"/>
      <c r="AH276" s="69">
        <f t="shared" si="156"/>
        <v>0</v>
      </c>
      <c r="AI276" s="69">
        <f t="shared" si="157"/>
        <v>5426</v>
      </c>
      <c r="AJ276" s="69"/>
      <c r="AK276" s="232"/>
      <c r="AL276" s="212"/>
      <c r="AM276" s="212"/>
      <c r="AN276" s="212"/>
      <c r="AO276" s="212"/>
      <c r="AP276" s="69">
        <f t="shared" si="152"/>
        <v>0</v>
      </c>
      <c r="AQ276" s="7"/>
      <c r="AR276" s="69"/>
      <c r="AS276" s="69"/>
      <c r="AT276" s="69"/>
      <c r="AU276" s="69">
        <f t="shared" si="153"/>
        <v>0</v>
      </c>
      <c r="AV276" s="69">
        <f t="shared" si="154"/>
        <v>5426</v>
      </c>
      <c r="AW276" s="14"/>
    </row>
    <row r="277" ht="23.15" customHeight="1" spans="1:49">
      <c r="A277" s="228">
        <f>SUBTOTAL(2,$Y$4:Y277)</f>
        <v>274</v>
      </c>
      <c r="B277" s="14" t="s">
        <v>613</v>
      </c>
      <c r="C277" s="14" t="s">
        <v>604</v>
      </c>
      <c r="D277" s="276">
        <v>5005</v>
      </c>
      <c r="E277" s="277">
        <v>32.425</v>
      </c>
      <c r="F277" s="22">
        <v>5005</v>
      </c>
      <c r="G277" s="22" t="s">
        <v>614</v>
      </c>
      <c r="H277" s="14">
        <f>E277</f>
        <v>32.425</v>
      </c>
      <c r="I277" s="67">
        <v>4500</v>
      </c>
      <c r="J277" s="238">
        <v>500</v>
      </c>
      <c r="K277" s="69">
        <f t="shared" si="158"/>
        <v>5000</v>
      </c>
      <c r="L277" s="69">
        <v>160</v>
      </c>
      <c r="M277" s="69">
        <v>25567</v>
      </c>
      <c r="N277" s="69">
        <v>25680</v>
      </c>
      <c r="O277" s="69">
        <f t="shared" si="159"/>
        <v>113</v>
      </c>
      <c r="P277" s="231">
        <f t="shared" si="161"/>
        <v>0</v>
      </c>
      <c r="Q277" s="69">
        <f t="shared" si="160"/>
        <v>113</v>
      </c>
      <c r="R277" s="69">
        <v>0.8</v>
      </c>
      <c r="S277" s="220">
        <f t="shared" si="150"/>
        <v>79</v>
      </c>
      <c r="T277" s="220">
        <f t="shared" si="131"/>
        <v>90</v>
      </c>
      <c r="U277" s="222">
        <f t="shared" si="146"/>
        <v>97</v>
      </c>
      <c r="V277" s="220">
        <f t="shared" si="155"/>
        <v>146</v>
      </c>
      <c r="W277" s="69">
        <f t="shared" si="147"/>
        <v>6</v>
      </c>
      <c r="X277" s="220">
        <f t="shared" si="162"/>
        <v>51</v>
      </c>
      <c r="Y277" s="69">
        <f t="shared" si="151"/>
        <v>5526</v>
      </c>
      <c r="Z277" s="69"/>
      <c r="AA277" s="69"/>
      <c r="AB277" s="69"/>
      <c r="AC277" s="69"/>
      <c r="AD277" s="69">
        <f t="shared" si="148"/>
        <v>0</v>
      </c>
      <c r="AE277" s="69"/>
      <c r="AF277" s="69"/>
      <c r="AG277" s="69"/>
      <c r="AH277" s="69">
        <f t="shared" si="156"/>
        <v>0</v>
      </c>
      <c r="AI277" s="69">
        <f t="shared" si="157"/>
        <v>5526</v>
      </c>
      <c r="AJ277" s="69"/>
      <c r="AK277" s="232"/>
      <c r="AL277" s="212"/>
      <c r="AM277" s="212"/>
      <c r="AN277" s="212"/>
      <c r="AO277" s="212"/>
      <c r="AP277" s="69">
        <f t="shared" si="152"/>
        <v>0</v>
      </c>
      <c r="AQ277" s="7"/>
      <c r="AR277" s="69"/>
      <c r="AS277" s="69"/>
      <c r="AT277" s="69"/>
      <c r="AU277" s="69">
        <f t="shared" si="153"/>
        <v>0</v>
      </c>
      <c r="AV277" s="69">
        <f t="shared" si="154"/>
        <v>5526</v>
      </c>
      <c r="AW277" s="14"/>
    </row>
    <row r="278" ht="23.15" customHeight="1" spans="1:49">
      <c r="A278" s="228">
        <f>SUBTOTAL(2,$Y$4:Y278)</f>
        <v>275</v>
      </c>
      <c r="B278" s="14" t="s">
        <v>615</v>
      </c>
      <c r="C278" s="14" t="s">
        <v>604</v>
      </c>
      <c r="D278" s="115">
        <v>5006</v>
      </c>
      <c r="E278" s="277">
        <v>32.425</v>
      </c>
      <c r="F278" s="22">
        <v>5006</v>
      </c>
      <c r="G278" s="22" t="s">
        <v>616</v>
      </c>
      <c r="H278" s="14">
        <f t="shared" si="163"/>
        <v>32.425</v>
      </c>
      <c r="I278" s="67">
        <v>4500</v>
      </c>
      <c r="J278" s="226">
        <v>500</v>
      </c>
      <c r="K278" s="69">
        <f t="shared" si="158"/>
        <v>5000</v>
      </c>
      <c r="L278" s="69">
        <v>160</v>
      </c>
      <c r="M278" s="69">
        <v>24542</v>
      </c>
      <c r="N278" s="69">
        <v>24602</v>
      </c>
      <c r="O278" s="69">
        <f t="shared" si="159"/>
        <v>60</v>
      </c>
      <c r="P278" s="231">
        <f t="shared" si="161"/>
        <v>0</v>
      </c>
      <c r="Q278" s="69">
        <f t="shared" si="160"/>
        <v>60</v>
      </c>
      <c r="R278" s="69">
        <v>0.8</v>
      </c>
      <c r="S278" s="220">
        <f t="shared" si="150"/>
        <v>42</v>
      </c>
      <c r="T278" s="220">
        <f t="shared" si="131"/>
        <v>48</v>
      </c>
      <c r="U278" s="222">
        <f t="shared" si="146"/>
        <v>97</v>
      </c>
      <c r="V278" s="220">
        <f t="shared" si="155"/>
        <v>146</v>
      </c>
      <c r="W278" s="69">
        <f t="shared" si="147"/>
        <v>6</v>
      </c>
      <c r="X278" s="220">
        <f t="shared" si="162"/>
        <v>51</v>
      </c>
      <c r="Y278" s="69">
        <f t="shared" si="151"/>
        <v>5447</v>
      </c>
      <c r="Z278" s="69"/>
      <c r="AA278" s="69"/>
      <c r="AB278" s="69"/>
      <c r="AC278" s="69"/>
      <c r="AD278" s="69">
        <f t="shared" si="148"/>
        <v>0</v>
      </c>
      <c r="AE278" s="69"/>
      <c r="AF278" s="69"/>
      <c r="AG278" s="69"/>
      <c r="AH278" s="69">
        <f t="shared" si="156"/>
        <v>0</v>
      </c>
      <c r="AI278" s="69">
        <f t="shared" si="157"/>
        <v>5447</v>
      </c>
      <c r="AJ278" s="69"/>
      <c r="AK278" s="232"/>
      <c r="AL278" s="212"/>
      <c r="AM278" s="212"/>
      <c r="AN278" s="212"/>
      <c r="AO278" s="212"/>
      <c r="AP278" s="69">
        <f t="shared" si="152"/>
        <v>0</v>
      </c>
      <c r="AQ278" s="7"/>
      <c r="AR278" s="69"/>
      <c r="AS278" s="69"/>
      <c r="AT278" s="69"/>
      <c r="AU278" s="69">
        <f t="shared" si="153"/>
        <v>0</v>
      </c>
      <c r="AV278" s="69">
        <f t="shared" si="154"/>
        <v>5447</v>
      </c>
      <c r="AW278" s="14"/>
    </row>
    <row r="279" ht="23.15" customHeight="1" spans="1:49">
      <c r="A279" s="228">
        <f>SUBTOTAL(2,$Y$4:Y279)</f>
        <v>276</v>
      </c>
      <c r="B279" s="14" t="s">
        <v>617</v>
      </c>
      <c r="C279" s="96" t="s">
        <v>604</v>
      </c>
      <c r="D279" s="276">
        <v>5007</v>
      </c>
      <c r="E279" s="277">
        <v>32.425</v>
      </c>
      <c r="F279" s="95">
        <v>5007</v>
      </c>
      <c r="G279" s="95" t="s">
        <v>519</v>
      </c>
      <c r="H279" s="14">
        <f t="shared" si="163"/>
        <v>32.425</v>
      </c>
      <c r="I279" s="7">
        <v>4500</v>
      </c>
      <c r="J279" s="238">
        <v>500</v>
      </c>
      <c r="K279" s="69">
        <f t="shared" si="158"/>
        <v>5000</v>
      </c>
      <c r="L279" s="69">
        <v>160</v>
      </c>
      <c r="M279" s="69">
        <v>28365</v>
      </c>
      <c r="N279" s="69">
        <v>28490</v>
      </c>
      <c r="O279" s="69">
        <f t="shared" si="159"/>
        <v>125</v>
      </c>
      <c r="P279" s="231">
        <f t="shared" si="161"/>
        <v>0</v>
      </c>
      <c r="Q279" s="69">
        <f t="shared" si="160"/>
        <v>125</v>
      </c>
      <c r="R279" s="69">
        <v>0.8</v>
      </c>
      <c r="S279" s="220">
        <f t="shared" si="150"/>
        <v>88</v>
      </c>
      <c r="T279" s="220">
        <f t="shared" si="131"/>
        <v>100</v>
      </c>
      <c r="U279" s="222">
        <f t="shared" si="146"/>
        <v>97</v>
      </c>
      <c r="V279" s="220">
        <f t="shared" si="155"/>
        <v>146</v>
      </c>
      <c r="W279" s="69">
        <f t="shared" si="147"/>
        <v>6</v>
      </c>
      <c r="X279" s="220">
        <f t="shared" si="162"/>
        <v>51</v>
      </c>
      <c r="Y279" s="69">
        <f t="shared" si="151"/>
        <v>5545</v>
      </c>
      <c r="Z279" s="249"/>
      <c r="AA279" s="69"/>
      <c r="AB279" s="69"/>
      <c r="AC279" s="69"/>
      <c r="AD279" s="69">
        <f t="shared" si="148"/>
        <v>0</v>
      </c>
      <c r="AE279" s="69"/>
      <c r="AF279" s="69"/>
      <c r="AG279" s="69"/>
      <c r="AH279" s="69">
        <f t="shared" si="156"/>
        <v>0</v>
      </c>
      <c r="AI279" s="69">
        <f t="shared" si="157"/>
        <v>5545</v>
      </c>
      <c r="AJ279" s="69"/>
      <c r="AK279" s="232"/>
      <c r="AL279" s="212"/>
      <c r="AM279" s="212"/>
      <c r="AN279" s="212"/>
      <c r="AO279" s="212"/>
      <c r="AP279" s="69">
        <f t="shared" si="152"/>
        <v>0</v>
      </c>
      <c r="AQ279" s="7"/>
      <c r="AR279" s="69"/>
      <c r="AS279" s="69"/>
      <c r="AT279" s="69"/>
      <c r="AU279" s="69">
        <f t="shared" si="153"/>
        <v>0</v>
      </c>
      <c r="AV279" s="69">
        <f t="shared" si="154"/>
        <v>5545</v>
      </c>
      <c r="AW279" s="14"/>
    </row>
    <row r="280" ht="23.15" customHeight="1" spans="1:49">
      <c r="A280" s="228">
        <f>SUBTOTAL(2,$Y$4:Y280)</f>
        <v>277</v>
      </c>
      <c r="B280" s="14" t="s">
        <v>618</v>
      </c>
      <c r="C280" s="14" t="s">
        <v>604</v>
      </c>
      <c r="D280" s="115">
        <v>5008</v>
      </c>
      <c r="E280" s="277">
        <v>32.425</v>
      </c>
      <c r="F280" s="22">
        <v>5008</v>
      </c>
      <c r="G280" s="22" t="s">
        <v>619</v>
      </c>
      <c r="H280" s="14">
        <f t="shared" si="163"/>
        <v>32.425</v>
      </c>
      <c r="I280" s="67">
        <v>4500</v>
      </c>
      <c r="J280" s="226">
        <v>500</v>
      </c>
      <c r="K280" s="69">
        <f t="shared" si="158"/>
        <v>5000</v>
      </c>
      <c r="L280" s="69">
        <v>160</v>
      </c>
      <c r="M280" s="69">
        <v>27946</v>
      </c>
      <c r="N280" s="69">
        <v>28003</v>
      </c>
      <c r="O280" s="69">
        <f t="shared" si="159"/>
        <v>57</v>
      </c>
      <c r="P280" s="231">
        <f t="shared" si="161"/>
        <v>0</v>
      </c>
      <c r="Q280" s="69">
        <f t="shared" si="160"/>
        <v>57</v>
      </c>
      <c r="R280" s="69">
        <v>0.8</v>
      </c>
      <c r="S280" s="220">
        <f t="shared" si="150"/>
        <v>40</v>
      </c>
      <c r="T280" s="220">
        <f t="shared" si="131"/>
        <v>46</v>
      </c>
      <c r="U280" s="222">
        <f t="shared" si="146"/>
        <v>97</v>
      </c>
      <c r="V280" s="220">
        <f t="shared" si="155"/>
        <v>146</v>
      </c>
      <c r="W280" s="69">
        <f t="shared" si="147"/>
        <v>6</v>
      </c>
      <c r="X280" s="220">
        <f t="shared" si="162"/>
        <v>51</v>
      </c>
      <c r="Y280" s="69">
        <f t="shared" si="151"/>
        <v>5443</v>
      </c>
      <c r="Z280" s="69"/>
      <c r="AA280" s="69"/>
      <c r="AB280" s="69"/>
      <c r="AC280" s="69"/>
      <c r="AD280" s="69">
        <f t="shared" si="148"/>
        <v>0</v>
      </c>
      <c r="AE280" s="69"/>
      <c r="AF280" s="69"/>
      <c r="AG280" s="69"/>
      <c r="AH280" s="69">
        <f t="shared" si="156"/>
        <v>0</v>
      </c>
      <c r="AI280" s="69">
        <f t="shared" si="157"/>
        <v>5443</v>
      </c>
      <c r="AJ280" s="69"/>
      <c r="AK280" s="232"/>
      <c r="AL280" s="212"/>
      <c r="AM280" s="212"/>
      <c r="AN280" s="212"/>
      <c r="AO280" s="212"/>
      <c r="AP280" s="69">
        <f t="shared" si="152"/>
        <v>0</v>
      </c>
      <c r="AQ280" s="7"/>
      <c r="AR280" s="69"/>
      <c r="AS280" s="69"/>
      <c r="AT280" s="69"/>
      <c r="AU280" s="69">
        <f t="shared" si="153"/>
        <v>0</v>
      </c>
      <c r="AV280" s="69">
        <f t="shared" si="154"/>
        <v>5443</v>
      </c>
      <c r="AW280" s="14"/>
    </row>
    <row r="281" ht="23.15" customHeight="1" spans="1:49">
      <c r="A281" s="228">
        <f>SUBTOTAL(2,$Y$4:Y281)</f>
        <v>278</v>
      </c>
      <c r="B281" s="14" t="s">
        <v>620</v>
      </c>
      <c r="C281" s="96" t="s">
        <v>604</v>
      </c>
      <c r="D281" s="276">
        <v>5009</v>
      </c>
      <c r="E281" s="277">
        <v>32.425</v>
      </c>
      <c r="F281" s="95">
        <v>5009</v>
      </c>
      <c r="G281" s="95" t="s">
        <v>621</v>
      </c>
      <c r="H281" s="96">
        <f t="shared" si="163"/>
        <v>32.425</v>
      </c>
      <c r="I281" s="7">
        <v>4500</v>
      </c>
      <c r="J281" s="7">
        <v>500</v>
      </c>
      <c r="K281" s="69">
        <f t="shared" si="158"/>
        <v>5000</v>
      </c>
      <c r="L281" s="69">
        <v>160</v>
      </c>
      <c r="M281" s="69">
        <v>30989</v>
      </c>
      <c r="N281" s="69">
        <v>31026</v>
      </c>
      <c r="O281" s="69">
        <f t="shared" si="159"/>
        <v>37</v>
      </c>
      <c r="P281" s="231">
        <f t="shared" si="161"/>
        <v>0</v>
      </c>
      <c r="Q281" s="69">
        <f t="shared" si="160"/>
        <v>37</v>
      </c>
      <c r="R281" s="69">
        <v>0.8</v>
      </c>
      <c r="S281" s="220">
        <f t="shared" si="150"/>
        <v>26</v>
      </c>
      <c r="T281" s="220">
        <f t="shared" si="131"/>
        <v>30</v>
      </c>
      <c r="U281" s="222">
        <f t="shared" si="146"/>
        <v>97</v>
      </c>
      <c r="V281" s="220">
        <f t="shared" si="155"/>
        <v>146</v>
      </c>
      <c r="W281" s="69">
        <f t="shared" si="147"/>
        <v>6</v>
      </c>
      <c r="X281" s="220">
        <f t="shared" si="162"/>
        <v>51</v>
      </c>
      <c r="Y281" s="69">
        <f t="shared" si="151"/>
        <v>5413</v>
      </c>
      <c r="Z281" s="69"/>
      <c r="AA281" s="69"/>
      <c r="AB281" s="69"/>
      <c r="AC281" s="69"/>
      <c r="AD281" s="69">
        <f t="shared" si="148"/>
        <v>0</v>
      </c>
      <c r="AE281" s="69"/>
      <c r="AF281" s="69"/>
      <c r="AG281" s="69"/>
      <c r="AH281" s="69">
        <f t="shared" si="156"/>
        <v>0</v>
      </c>
      <c r="AI281" s="69">
        <f t="shared" si="157"/>
        <v>5413</v>
      </c>
      <c r="AJ281" s="69"/>
      <c r="AK281" s="232"/>
      <c r="AL281" s="212"/>
      <c r="AM281" s="212"/>
      <c r="AN281" s="212"/>
      <c r="AO281" s="212"/>
      <c r="AP281" s="69">
        <f t="shared" si="152"/>
        <v>0</v>
      </c>
      <c r="AQ281" s="7"/>
      <c r="AR281" s="69"/>
      <c r="AS281" s="69"/>
      <c r="AT281" s="69"/>
      <c r="AU281" s="69">
        <f t="shared" si="153"/>
        <v>0</v>
      </c>
      <c r="AV281" s="69">
        <f t="shared" si="154"/>
        <v>5413</v>
      </c>
      <c r="AW281" s="14"/>
    </row>
    <row r="282" ht="23.15" customHeight="1" spans="1:49">
      <c r="A282" s="228">
        <f>SUBTOTAL(2,$Y$4:Y282)</f>
        <v>279</v>
      </c>
      <c r="B282" s="14" t="s">
        <v>622</v>
      </c>
      <c r="C282" s="96" t="s">
        <v>604</v>
      </c>
      <c r="D282" s="115">
        <v>5010</v>
      </c>
      <c r="E282" s="277">
        <v>32.425</v>
      </c>
      <c r="F282" s="95">
        <v>5010</v>
      </c>
      <c r="G282" s="95" t="s">
        <v>623</v>
      </c>
      <c r="H282" s="96">
        <f t="shared" si="163"/>
        <v>32.425</v>
      </c>
      <c r="I282" s="7">
        <v>4500</v>
      </c>
      <c r="J282" s="7">
        <v>500</v>
      </c>
      <c r="K282" s="69">
        <f t="shared" si="158"/>
        <v>5000</v>
      </c>
      <c r="L282" s="69">
        <v>160</v>
      </c>
      <c r="M282" s="69">
        <v>25063</v>
      </c>
      <c r="N282" s="69">
        <v>25152</v>
      </c>
      <c r="O282" s="69">
        <f t="shared" si="159"/>
        <v>89</v>
      </c>
      <c r="P282" s="231">
        <f t="shared" si="161"/>
        <v>0</v>
      </c>
      <c r="Q282" s="69">
        <f t="shared" si="160"/>
        <v>89</v>
      </c>
      <c r="R282" s="69">
        <v>0.8</v>
      </c>
      <c r="S282" s="220">
        <f t="shared" si="150"/>
        <v>62</v>
      </c>
      <c r="T282" s="220">
        <f t="shared" si="131"/>
        <v>71</v>
      </c>
      <c r="U282" s="222">
        <f t="shared" si="146"/>
        <v>97</v>
      </c>
      <c r="V282" s="220">
        <f t="shared" si="155"/>
        <v>146</v>
      </c>
      <c r="W282" s="69">
        <f t="shared" si="147"/>
        <v>6</v>
      </c>
      <c r="X282" s="220">
        <f t="shared" si="162"/>
        <v>51</v>
      </c>
      <c r="Y282" s="69">
        <f t="shared" si="151"/>
        <v>5490</v>
      </c>
      <c r="Z282" s="69"/>
      <c r="AA282" s="69"/>
      <c r="AB282" s="69"/>
      <c r="AC282" s="69"/>
      <c r="AD282" s="69">
        <f t="shared" si="148"/>
        <v>0</v>
      </c>
      <c r="AE282" s="69"/>
      <c r="AF282" s="69"/>
      <c r="AG282" s="69"/>
      <c r="AH282" s="69">
        <f t="shared" si="156"/>
        <v>0</v>
      </c>
      <c r="AI282" s="69">
        <f t="shared" si="157"/>
        <v>5490</v>
      </c>
      <c r="AJ282" s="69"/>
      <c r="AK282" s="232"/>
      <c r="AL282" s="212"/>
      <c r="AM282" s="212"/>
      <c r="AN282" s="212"/>
      <c r="AO282" s="212"/>
      <c r="AP282" s="69">
        <f t="shared" si="152"/>
        <v>0</v>
      </c>
      <c r="AQ282" s="7"/>
      <c r="AR282" s="69"/>
      <c r="AS282" s="69"/>
      <c r="AT282" s="69"/>
      <c r="AU282" s="69">
        <f t="shared" si="153"/>
        <v>0</v>
      </c>
      <c r="AV282" s="69">
        <f t="shared" si="154"/>
        <v>5490</v>
      </c>
      <c r="AW282" s="14"/>
    </row>
    <row r="283" ht="23.15" customHeight="1" spans="1:49">
      <c r="A283" s="228">
        <f>SUBTOTAL(2,$Y$4:Y283)</f>
        <v>280</v>
      </c>
      <c r="B283" s="14" t="s">
        <v>624</v>
      </c>
      <c r="C283" s="14" t="s">
        <v>604</v>
      </c>
      <c r="D283" s="276">
        <v>5011</v>
      </c>
      <c r="E283" s="277">
        <v>32.425</v>
      </c>
      <c r="F283" s="118">
        <v>5011</v>
      </c>
      <c r="G283" s="118" t="s">
        <v>625</v>
      </c>
      <c r="H283" s="240">
        <f t="shared" ref="H283:H298" si="164">E283</f>
        <v>32.425</v>
      </c>
      <c r="I283" s="257">
        <v>4500</v>
      </c>
      <c r="J283" s="242">
        <v>500</v>
      </c>
      <c r="K283" s="69">
        <f t="shared" si="158"/>
        <v>5000</v>
      </c>
      <c r="L283" s="69">
        <v>160</v>
      </c>
      <c r="M283" s="69">
        <v>24032</v>
      </c>
      <c r="N283" s="69">
        <v>24058</v>
      </c>
      <c r="O283" s="69">
        <f t="shared" si="159"/>
        <v>26</v>
      </c>
      <c r="P283" s="231">
        <f t="shared" si="161"/>
        <v>0</v>
      </c>
      <c r="Q283" s="69">
        <f t="shared" si="160"/>
        <v>26</v>
      </c>
      <c r="R283" s="69">
        <v>0.8</v>
      </c>
      <c r="S283" s="220">
        <f t="shared" si="150"/>
        <v>18</v>
      </c>
      <c r="T283" s="220">
        <f t="shared" si="131"/>
        <v>21</v>
      </c>
      <c r="U283" s="222">
        <f t="shared" si="146"/>
        <v>97</v>
      </c>
      <c r="V283" s="220">
        <f t="shared" si="155"/>
        <v>146</v>
      </c>
      <c r="W283" s="69">
        <f t="shared" si="147"/>
        <v>6</v>
      </c>
      <c r="X283" s="220">
        <f t="shared" si="162"/>
        <v>51</v>
      </c>
      <c r="Y283" s="69">
        <f t="shared" si="151"/>
        <v>5396</v>
      </c>
      <c r="Z283" s="69"/>
      <c r="AA283" s="69"/>
      <c r="AB283" s="69"/>
      <c r="AC283" s="69"/>
      <c r="AD283" s="69">
        <f t="shared" si="148"/>
        <v>0</v>
      </c>
      <c r="AE283" s="69"/>
      <c r="AF283" s="69"/>
      <c r="AG283" s="69"/>
      <c r="AH283" s="69">
        <f t="shared" si="156"/>
        <v>0</v>
      </c>
      <c r="AI283" s="69">
        <f t="shared" si="157"/>
        <v>5396</v>
      </c>
      <c r="AJ283" s="69"/>
      <c r="AK283" s="232"/>
      <c r="AL283" s="212"/>
      <c r="AM283" s="212"/>
      <c r="AN283" s="212"/>
      <c r="AO283" s="212"/>
      <c r="AP283" s="69">
        <f t="shared" si="152"/>
        <v>0</v>
      </c>
      <c r="AQ283" s="7"/>
      <c r="AR283" s="69"/>
      <c r="AS283" s="69"/>
      <c r="AT283" s="69"/>
      <c r="AU283" s="69">
        <f t="shared" si="153"/>
        <v>0</v>
      </c>
      <c r="AV283" s="69">
        <f t="shared" si="154"/>
        <v>5396</v>
      </c>
      <c r="AW283" s="14"/>
    </row>
    <row r="284" ht="23.15" customHeight="1" spans="1:49">
      <c r="A284" s="228">
        <f>SUBTOTAL(2,$Y$4:Y284)</f>
        <v>281</v>
      </c>
      <c r="B284" s="14" t="s">
        <v>626</v>
      </c>
      <c r="C284" s="14" t="s">
        <v>604</v>
      </c>
      <c r="D284" s="247">
        <v>5012</v>
      </c>
      <c r="E284" s="281">
        <v>32.425</v>
      </c>
      <c r="F284" s="118">
        <v>5012</v>
      </c>
      <c r="G284" s="118" t="s">
        <v>627</v>
      </c>
      <c r="H284" s="240">
        <f t="shared" si="164"/>
        <v>32.425</v>
      </c>
      <c r="I284" s="257">
        <v>4500</v>
      </c>
      <c r="J284" s="245">
        <v>500</v>
      </c>
      <c r="K284" s="69">
        <f t="shared" si="158"/>
        <v>5000</v>
      </c>
      <c r="L284" s="69">
        <v>160</v>
      </c>
      <c r="M284" s="69">
        <v>28018</v>
      </c>
      <c r="N284" s="69">
        <v>28057</v>
      </c>
      <c r="O284" s="69">
        <f t="shared" si="159"/>
        <v>39</v>
      </c>
      <c r="P284" s="231">
        <f t="shared" si="161"/>
        <v>0</v>
      </c>
      <c r="Q284" s="69">
        <f t="shared" si="160"/>
        <v>39</v>
      </c>
      <c r="R284" s="69">
        <v>0.8</v>
      </c>
      <c r="S284" s="220">
        <f t="shared" si="150"/>
        <v>27</v>
      </c>
      <c r="T284" s="220">
        <f t="shared" si="131"/>
        <v>31</v>
      </c>
      <c r="U284" s="222">
        <f t="shared" si="146"/>
        <v>97</v>
      </c>
      <c r="V284" s="220">
        <f t="shared" si="155"/>
        <v>146</v>
      </c>
      <c r="W284" s="69">
        <f t="shared" si="147"/>
        <v>6</v>
      </c>
      <c r="X284" s="220">
        <f t="shared" si="162"/>
        <v>51</v>
      </c>
      <c r="Y284" s="69">
        <f t="shared" si="151"/>
        <v>5415</v>
      </c>
      <c r="Z284" s="249"/>
      <c r="AA284" s="69"/>
      <c r="AB284" s="69"/>
      <c r="AC284" s="69"/>
      <c r="AD284" s="69">
        <f t="shared" si="148"/>
        <v>0</v>
      </c>
      <c r="AE284" s="69"/>
      <c r="AF284" s="69"/>
      <c r="AG284" s="69"/>
      <c r="AH284" s="69">
        <f t="shared" si="156"/>
        <v>0</v>
      </c>
      <c r="AI284" s="69">
        <f t="shared" si="157"/>
        <v>5415</v>
      </c>
      <c r="AJ284" s="69"/>
      <c r="AK284" s="232"/>
      <c r="AL284" s="212"/>
      <c r="AM284" s="212"/>
      <c r="AN284" s="212"/>
      <c r="AO284" s="212"/>
      <c r="AP284" s="69">
        <f t="shared" si="152"/>
        <v>0</v>
      </c>
      <c r="AQ284" s="7"/>
      <c r="AR284" s="69"/>
      <c r="AS284" s="69"/>
      <c r="AT284" s="69"/>
      <c r="AU284" s="69">
        <f t="shared" si="153"/>
        <v>0</v>
      </c>
      <c r="AV284" s="69">
        <f t="shared" si="154"/>
        <v>5415</v>
      </c>
      <c r="AW284" s="14"/>
    </row>
    <row r="285" ht="23.15" customHeight="1" spans="1:49">
      <c r="A285" s="228">
        <f>SUBTOTAL(2,$Y$4:Y285)</f>
        <v>282</v>
      </c>
      <c r="B285" s="14" t="s">
        <v>628</v>
      </c>
      <c r="C285" s="14" t="s">
        <v>604</v>
      </c>
      <c r="D285" s="276">
        <v>5013</v>
      </c>
      <c r="E285" s="277">
        <v>32.425</v>
      </c>
      <c r="F285" s="118">
        <v>5013</v>
      </c>
      <c r="G285" s="118" t="s">
        <v>460</v>
      </c>
      <c r="H285" s="240">
        <f t="shared" si="164"/>
        <v>32.425</v>
      </c>
      <c r="I285" s="257">
        <v>4500</v>
      </c>
      <c r="J285" s="258">
        <v>500</v>
      </c>
      <c r="K285" s="69">
        <f t="shared" si="158"/>
        <v>5000</v>
      </c>
      <c r="L285" s="69">
        <v>160</v>
      </c>
      <c r="M285" s="69">
        <v>3409</v>
      </c>
      <c r="N285" s="69">
        <v>3409</v>
      </c>
      <c r="O285" s="69">
        <f t="shared" si="159"/>
        <v>0</v>
      </c>
      <c r="P285" s="231">
        <f t="shared" si="161"/>
        <v>0</v>
      </c>
      <c r="Q285" s="69">
        <f t="shared" si="160"/>
        <v>0</v>
      </c>
      <c r="R285" s="69">
        <v>0.8</v>
      </c>
      <c r="S285" s="220">
        <f t="shared" si="150"/>
        <v>0</v>
      </c>
      <c r="T285" s="220">
        <f t="shared" si="131"/>
        <v>0</v>
      </c>
      <c r="U285" s="222">
        <f t="shared" si="146"/>
        <v>97</v>
      </c>
      <c r="V285" s="220">
        <f t="shared" si="155"/>
        <v>146</v>
      </c>
      <c r="W285" s="69">
        <f t="shared" si="147"/>
        <v>6</v>
      </c>
      <c r="X285" s="220">
        <f t="shared" si="162"/>
        <v>51</v>
      </c>
      <c r="Y285" s="69">
        <f t="shared" si="151"/>
        <v>5357</v>
      </c>
      <c r="Z285" s="69"/>
      <c r="AA285" s="69"/>
      <c r="AB285" s="69"/>
      <c r="AC285" s="69"/>
      <c r="AD285" s="69">
        <f t="shared" si="148"/>
        <v>0</v>
      </c>
      <c r="AE285" s="69"/>
      <c r="AF285" s="69"/>
      <c r="AG285" s="69"/>
      <c r="AH285" s="69">
        <f t="shared" si="156"/>
        <v>0</v>
      </c>
      <c r="AI285" s="69">
        <f t="shared" si="157"/>
        <v>5357</v>
      </c>
      <c r="AJ285" s="69"/>
      <c r="AK285" s="232"/>
      <c r="AL285" s="212"/>
      <c r="AM285" s="212"/>
      <c r="AN285" s="212"/>
      <c r="AO285" s="212"/>
      <c r="AP285" s="69">
        <f t="shared" si="152"/>
        <v>0</v>
      </c>
      <c r="AQ285" s="7"/>
      <c r="AR285" s="69"/>
      <c r="AS285" s="69"/>
      <c r="AT285" s="69"/>
      <c r="AU285" s="69">
        <f t="shared" si="153"/>
        <v>0</v>
      </c>
      <c r="AV285" s="69">
        <f t="shared" si="154"/>
        <v>5357</v>
      </c>
      <c r="AW285" s="14"/>
    </row>
    <row r="286" ht="23.15" customHeight="1" spans="1:49">
      <c r="A286" s="228">
        <f>SUBTOTAL(2,$Y$4:Y286)</f>
        <v>283</v>
      </c>
      <c r="B286" s="14" t="s">
        <v>629</v>
      </c>
      <c r="C286" s="96" t="s">
        <v>604</v>
      </c>
      <c r="D286" s="115" t="s">
        <v>630</v>
      </c>
      <c r="E286" s="277">
        <v>32.425</v>
      </c>
      <c r="F286" s="95" t="s">
        <v>630</v>
      </c>
      <c r="G286" s="95" t="s">
        <v>631</v>
      </c>
      <c r="H286" s="14">
        <f t="shared" si="164"/>
        <v>32.425</v>
      </c>
      <c r="I286" s="7">
        <v>4500</v>
      </c>
      <c r="J286" s="226">
        <v>500</v>
      </c>
      <c r="K286" s="69">
        <f t="shared" si="158"/>
        <v>5000</v>
      </c>
      <c r="L286" s="69">
        <v>160</v>
      </c>
      <c r="M286" s="69">
        <v>23122</v>
      </c>
      <c r="N286" s="69">
        <v>23176</v>
      </c>
      <c r="O286" s="69">
        <f t="shared" si="159"/>
        <v>54</v>
      </c>
      <c r="P286" s="231">
        <f t="shared" si="161"/>
        <v>0</v>
      </c>
      <c r="Q286" s="69">
        <f t="shared" si="160"/>
        <v>54</v>
      </c>
      <c r="R286" s="69">
        <v>0.8</v>
      </c>
      <c r="S286" s="220">
        <f t="shared" si="150"/>
        <v>38</v>
      </c>
      <c r="T286" s="220">
        <f t="shared" si="131"/>
        <v>43</v>
      </c>
      <c r="U286" s="222">
        <f t="shared" si="146"/>
        <v>97</v>
      </c>
      <c r="V286" s="220">
        <f t="shared" si="155"/>
        <v>146</v>
      </c>
      <c r="W286" s="69">
        <f t="shared" si="147"/>
        <v>6</v>
      </c>
      <c r="X286" s="220">
        <f t="shared" si="162"/>
        <v>51</v>
      </c>
      <c r="Y286" s="69">
        <f t="shared" si="151"/>
        <v>5438</v>
      </c>
      <c r="Z286" s="69"/>
      <c r="AA286" s="69"/>
      <c r="AB286" s="69"/>
      <c r="AC286" s="69"/>
      <c r="AD286" s="69">
        <f t="shared" si="148"/>
        <v>0</v>
      </c>
      <c r="AE286" s="69"/>
      <c r="AF286" s="69"/>
      <c r="AG286" s="69"/>
      <c r="AH286" s="69">
        <f t="shared" si="156"/>
        <v>0</v>
      </c>
      <c r="AI286" s="69">
        <f t="shared" si="157"/>
        <v>5438</v>
      </c>
      <c r="AJ286" s="69"/>
      <c r="AK286" s="232"/>
      <c r="AL286" s="212"/>
      <c r="AM286" s="212"/>
      <c r="AN286" s="212"/>
      <c r="AO286" s="212"/>
      <c r="AP286" s="69">
        <f t="shared" si="152"/>
        <v>0</v>
      </c>
      <c r="AQ286" s="7"/>
      <c r="AR286" s="69"/>
      <c r="AS286" s="67"/>
      <c r="AT286" s="67"/>
      <c r="AU286" s="69">
        <f t="shared" si="153"/>
        <v>0</v>
      </c>
      <c r="AV286" s="69">
        <f t="shared" si="154"/>
        <v>5438</v>
      </c>
      <c r="AW286" s="14"/>
    </row>
    <row r="287" ht="23.15" customHeight="1" spans="1:49">
      <c r="A287" s="228">
        <f>SUBTOTAL(2,$Y$4:Y287)</f>
        <v>284</v>
      </c>
      <c r="B287" s="14" t="s">
        <v>632</v>
      </c>
      <c r="C287" s="96" t="s">
        <v>604</v>
      </c>
      <c r="D287" s="276">
        <v>5015</v>
      </c>
      <c r="E287" s="277">
        <v>32.425</v>
      </c>
      <c r="F287" s="95">
        <v>5015</v>
      </c>
      <c r="G287" s="95" t="s">
        <v>633</v>
      </c>
      <c r="H287" s="96">
        <f t="shared" si="164"/>
        <v>32.425</v>
      </c>
      <c r="I287" s="7">
        <v>4500</v>
      </c>
      <c r="J287" s="238">
        <v>500</v>
      </c>
      <c r="K287" s="69">
        <f t="shared" si="158"/>
        <v>5000</v>
      </c>
      <c r="L287" s="69">
        <v>160</v>
      </c>
      <c r="M287" s="69">
        <v>18533</v>
      </c>
      <c r="N287" s="69">
        <v>18594</v>
      </c>
      <c r="O287" s="69">
        <f t="shared" si="159"/>
        <v>61</v>
      </c>
      <c r="P287" s="231">
        <f t="shared" si="161"/>
        <v>0</v>
      </c>
      <c r="Q287" s="69">
        <f t="shared" si="160"/>
        <v>61</v>
      </c>
      <c r="R287" s="69">
        <v>0.8</v>
      </c>
      <c r="S287" s="220">
        <f t="shared" si="150"/>
        <v>43</v>
      </c>
      <c r="T287" s="220">
        <f t="shared" ref="T287:T319" si="165">ROUND(Q287*R287,0)</f>
        <v>49</v>
      </c>
      <c r="U287" s="222">
        <f t="shared" si="146"/>
        <v>97</v>
      </c>
      <c r="V287" s="220">
        <f t="shared" si="155"/>
        <v>146</v>
      </c>
      <c r="W287" s="69">
        <f t="shared" si="147"/>
        <v>6</v>
      </c>
      <c r="X287" s="220">
        <f t="shared" si="162"/>
        <v>51</v>
      </c>
      <c r="Y287" s="69">
        <f t="shared" si="151"/>
        <v>5449</v>
      </c>
      <c r="Z287" s="69"/>
      <c r="AA287" s="69"/>
      <c r="AB287" s="69"/>
      <c r="AC287" s="69"/>
      <c r="AD287" s="69">
        <f t="shared" si="148"/>
        <v>0</v>
      </c>
      <c r="AE287" s="69"/>
      <c r="AF287" s="69"/>
      <c r="AG287" s="69"/>
      <c r="AH287" s="69">
        <f t="shared" si="156"/>
        <v>0</v>
      </c>
      <c r="AI287" s="69">
        <f t="shared" si="157"/>
        <v>5449</v>
      </c>
      <c r="AJ287" s="69"/>
      <c r="AK287" s="232"/>
      <c r="AL287" s="212"/>
      <c r="AM287" s="212"/>
      <c r="AN287" s="212"/>
      <c r="AO287" s="212"/>
      <c r="AP287" s="69">
        <f t="shared" si="152"/>
        <v>0</v>
      </c>
      <c r="AQ287" s="7"/>
      <c r="AR287" s="69"/>
      <c r="AS287" s="69"/>
      <c r="AT287" s="69"/>
      <c r="AU287" s="69">
        <f t="shared" si="153"/>
        <v>0</v>
      </c>
      <c r="AV287" s="69">
        <f t="shared" si="154"/>
        <v>5449</v>
      </c>
      <c r="AW287" s="14"/>
    </row>
    <row r="288" ht="23.15" customHeight="1" spans="1:49">
      <c r="A288" s="228">
        <f>SUBTOTAL(2,$Y$4:Y288)</f>
        <v>285</v>
      </c>
      <c r="B288" s="14" t="s">
        <v>634</v>
      </c>
      <c r="C288" s="96" t="s">
        <v>604</v>
      </c>
      <c r="D288" s="96">
        <v>5016</v>
      </c>
      <c r="E288" s="282">
        <v>32.425</v>
      </c>
      <c r="F288" s="95">
        <v>5016</v>
      </c>
      <c r="G288" s="95" t="s">
        <v>635</v>
      </c>
      <c r="H288" s="96">
        <f t="shared" si="164"/>
        <v>32.425</v>
      </c>
      <c r="I288" s="7">
        <v>4500</v>
      </c>
      <c r="J288" s="226">
        <v>500</v>
      </c>
      <c r="K288" s="69">
        <f t="shared" si="158"/>
        <v>5000</v>
      </c>
      <c r="L288" s="69">
        <v>160</v>
      </c>
      <c r="M288" s="69">
        <v>25368</v>
      </c>
      <c r="N288" s="69">
        <v>25451</v>
      </c>
      <c r="O288" s="69">
        <f t="shared" si="159"/>
        <v>83</v>
      </c>
      <c r="P288" s="231">
        <f t="shared" si="161"/>
        <v>0</v>
      </c>
      <c r="Q288" s="69">
        <f t="shared" si="160"/>
        <v>83</v>
      </c>
      <c r="R288" s="69">
        <v>0.8</v>
      </c>
      <c r="S288" s="220">
        <f t="shared" si="150"/>
        <v>58</v>
      </c>
      <c r="T288" s="220">
        <f t="shared" si="165"/>
        <v>66</v>
      </c>
      <c r="U288" s="222">
        <f t="shared" si="146"/>
        <v>97</v>
      </c>
      <c r="V288" s="220">
        <f t="shared" si="155"/>
        <v>146</v>
      </c>
      <c r="W288" s="69">
        <f t="shared" si="147"/>
        <v>6</v>
      </c>
      <c r="X288" s="220">
        <f t="shared" si="162"/>
        <v>51</v>
      </c>
      <c r="Y288" s="69">
        <f t="shared" si="151"/>
        <v>5481</v>
      </c>
      <c r="Z288" s="69"/>
      <c r="AA288" s="69"/>
      <c r="AB288" s="69"/>
      <c r="AC288" s="69"/>
      <c r="AD288" s="69">
        <f t="shared" si="148"/>
        <v>0</v>
      </c>
      <c r="AE288" s="69"/>
      <c r="AF288" s="69"/>
      <c r="AG288" s="69"/>
      <c r="AH288" s="69">
        <f t="shared" si="156"/>
        <v>0</v>
      </c>
      <c r="AI288" s="69">
        <f t="shared" si="157"/>
        <v>5481</v>
      </c>
      <c r="AJ288" s="69"/>
      <c r="AK288" s="232"/>
      <c r="AL288" s="212"/>
      <c r="AM288" s="212"/>
      <c r="AN288" s="212"/>
      <c r="AO288" s="212"/>
      <c r="AP288" s="69">
        <f t="shared" si="152"/>
        <v>0</v>
      </c>
      <c r="AQ288" s="7"/>
      <c r="AR288" s="69"/>
      <c r="AS288" s="67"/>
      <c r="AT288" s="67"/>
      <c r="AU288" s="69">
        <f t="shared" si="153"/>
        <v>0</v>
      </c>
      <c r="AV288" s="69">
        <f t="shared" si="154"/>
        <v>5481</v>
      </c>
      <c r="AW288" s="14"/>
    </row>
    <row r="289" ht="23.15" customHeight="1" spans="1:49">
      <c r="A289" s="228">
        <f>SUBTOTAL(2,$Y$4:Y289)</f>
        <v>286</v>
      </c>
      <c r="B289" s="14" t="s">
        <v>636</v>
      </c>
      <c r="C289" s="96" t="s">
        <v>604</v>
      </c>
      <c r="D289" s="283">
        <v>5017</v>
      </c>
      <c r="E289" s="282">
        <v>32.425</v>
      </c>
      <c r="F289" s="95">
        <v>5017</v>
      </c>
      <c r="G289" s="95" t="s">
        <v>637</v>
      </c>
      <c r="H289" s="246">
        <f t="shared" si="164"/>
        <v>32.425</v>
      </c>
      <c r="I289" s="7">
        <v>4500</v>
      </c>
      <c r="J289" s="238">
        <v>500</v>
      </c>
      <c r="K289" s="69">
        <f t="shared" si="158"/>
        <v>5000</v>
      </c>
      <c r="L289" s="69">
        <v>160</v>
      </c>
      <c r="M289" s="69">
        <v>21283</v>
      </c>
      <c r="N289" s="69">
        <v>21354</v>
      </c>
      <c r="O289" s="69">
        <f t="shared" si="159"/>
        <v>71</v>
      </c>
      <c r="P289" s="231">
        <f t="shared" si="161"/>
        <v>0</v>
      </c>
      <c r="Q289" s="69">
        <f t="shared" si="160"/>
        <v>71</v>
      </c>
      <c r="R289" s="69">
        <v>0.8</v>
      </c>
      <c r="S289" s="220">
        <f t="shared" si="150"/>
        <v>50</v>
      </c>
      <c r="T289" s="220">
        <f t="shared" si="165"/>
        <v>57</v>
      </c>
      <c r="U289" s="222">
        <f t="shared" si="146"/>
        <v>97</v>
      </c>
      <c r="V289" s="220">
        <f t="shared" si="155"/>
        <v>146</v>
      </c>
      <c r="W289" s="69">
        <f t="shared" si="147"/>
        <v>6</v>
      </c>
      <c r="X289" s="220">
        <f t="shared" si="162"/>
        <v>51</v>
      </c>
      <c r="Y289" s="69">
        <f t="shared" si="151"/>
        <v>5464</v>
      </c>
      <c r="Z289" s="69"/>
      <c r="AA289" s="69"/>
      <c r="AB289" s="69"/>
      <c r="AC289" s="69"/>
      <c r="AD289" s="69">
        <f t="shared" si="148"/>
        <v>0</v>
      </c>
      <c r="AE289" s="69"/>
      <c r="AF289" s="69"/>
      <c r="AG289" s="69"/>
      <c r="AH289" s="69">
        <f t="shared" si="156"/>
        <v>0</v>
      </c>
      <c r="AI289" s="69">
        <f t="shared" si="157"/>
        <v>5464</v>
      </c>
      <c r="AJ289" s="69"/>
      <c r="AK289" s="232"/>
      <c r="AL289" s="212"/>
      <c r="AM289" s="212"/>
      <c r="AN289" s="212"/>
      <c r="AO289" s="212"/>
      <c r="AP289" s="69">
        <f t="shared" si="152"/>
        <v>0</v>
      </c>
      <c r="AQ289" s="7"/>
      <c r="AR289" s="69"/>
      <c r="AS289" s="69"/>
      <c r="AT289" s="69"/>
      <c r="AU289" s="69">
        <f t="shared" si="153"/>
        <v>0</v>
      </c>
      <c r="AV289" s="69">
        <f t="shared" si="154"/>
        <v>5464</v>
      </c>
      <c r="AW289" s="14"/>
    </row>
    <row r="290" ht="23.15" customHeight="1" spans="1:49">
      <c r="A290" s="228">
        <f>SUBTOTAL(2,$Y$4:Y290)</f>
        <v>287</v>
      </c>
      <c r="B290" s="14" t="s">
        <v>638</v>
      </c>
      <c r="C290" s="14" t="s">
        <v>604</v>
      </c>
      <c r="D290" s="115">
        <v>5018</v>
      </c>
      <c r="E290" s="277">
        <v>32.425</v>
      </c>
      <c r="F290" s="95">
        <v>5018</v>
      </c>
      <c r="G290" s="95" t="s">
        <v>639</v>
      </c>
      <c r="H290" s="14">
        <f t="shared" si="164"/>
        <v>32.425</v>
      </c>
      <c r="I290" s="7">
        <v>4500</v>
      </c>
      <c r="J290" s="238">
        <v>500</v>
      </c>
      <c r="K290" s="69">
        <f t="shared" si="158"/>
        <v>5000</v>
      </c>
      <c r="L290" s="69">
        <v>160</v>
      </c>
      <c r="M290" s="69">
        <v>35536</v>
      </c>
      <c r="N290" s="69">
        <v>35594</v>
      </c>
      <c r="O290" s="69">
        <f t="shared" si="159"/>
        <v>58</v>
      </c>
      <c r="P290" s="231">
        <f t="shared" si="161"/>
        <v>0</v>
      </c>
      <c r="Q290" s="69">
        <f t="shared" si="160"/>
        <v>58</v>
      </c>
      <c r="R290" s="69">
        <v>0.8</v>
      </c>
      <c r="S290" s="220">
        <f t="shared" si="150"/>
        <v>41</v>
      </c>
      <c r="T290" s="220">
        <f t="shared" si="165"/>
        <v>46</v>
      </c>
      <c r="U290" s="222">
        <f t="shared" ref="U290:U319" si="166">ROUND(H290*3,0)</f>
        <v>97</v>
      </c>
      <c r="V290" s="220">
        <f t="shared" si="155"/>
        <v>146</v>
      </c>
      <c r="W290" s="69">
        <f t="shared" si="147"/>
        <v>6</v>
      </c>
      <c r="X290" s="220">
        <f t="shared" si="162"/>
        <v>51</v>
      </c>
      <c r="Y290" s="69">
        <f t="shared" si="151"/>
        <v>5444</v>
      </c>
      <c r="Z290" s="69"/>
      <c r="AA290" s="69"/>
      <c r="AB290" s="69"/>
      <c r="AC290" s="69"/>
      <c r="AD290" s="69">
        <f t="shared" si="148"/>
        <v>0</v>
      </c>
      <c r="AE290" s="69"/>
      <c r="AF290" s="69"/>
      <c r="AG290" s="69"/>
      <c r="AH290" s="69">
        <f t="shared" si="156"/>
        <v>0</v>
      </c>
      <c r="AI290" s="69">
        <f t="shared" si="157"/>
        <v>5444</v>
      </c>
      <c r="AJ290" s="69"/>
      <c r="AK290" s="232"/>
      <c r="AL290" s="212"/>
      <c r="AM290" s="212"/>
      <c r="AN290" s="212"/>
      <c r="AO290" s="212"/>
      <c r="AP290" s="69">
        <f t="shared" si="152"/>
        <v>0</v>
      </c>
      <c r="AQ290" s="7"/>
      <c r="AR290" s="69"/>
      <c r="AS290" s="69"/>
      <c r="AT290" s="69"/>
      <c r="AU290" s="69">
        <f t="shared" si="153"/>
        <v>0</v>
      </c>
      <c r="AV290" s="69">
        <f t="shared" si="154"/>
        <v>5444</v>
      </c>
      <c r="AW290" s="14"/>
    </row>
    <row r="291" ht="23.15" customHeight="1" spans="1:49">
      <c r="A291" s="228">
        <f>SUBTOTAL(2,$Y$4:Y291)</f>
        <v>288</v>
      </c>
      <c r="B291" s="14" t="s">
        <v>640</v>
      </c>
      <c r="C291" s="14" t="s">
        <v>604</v>
      </c>
      <c r="D291" s="276">
        <v>5019</v>
      </c>
      <c r="E291" s="277">
        <v>32.425</v>
      </c>
      <c r="F291" s="22">
        <v>5019</v>
      </c>
      <c r="G291" s="22" t="s">
        <v>641</v>
      </c>
      <c r="H291" s="14">
        <f t="shared" si="164"/>
        <v>32.425</v>
      </c>
      <c r="I291" s="7">
        <v>4500</v>
      </c>
      <c r="J291" s="226">
        <v>500</v>
      </c>
      <c r="K291" s="69">
        <f t="shared" si="158"/>
        <v>5000</v>
      </c>
      <c r="L291" s="69">
        <v>160</v>
      </c>
      <c r="M291" s="69">
        <v>21170</v>
      </c>
      <c r="N291" s="69">
        <v>21235</v>
      </c>
      <c r="O291" s="69">
        <f t="shared" si="159"/>
        <v>65</v>
      </c>
      <c r="P291" s="231">
        <f t="shared" si="161"/>
        <v>0</v>
      </c>
      <c r="Q291" s="69">
        <f t="shared" si="160"/>
        <v>65</v>
      </c>
      <c r="R291" s="69">
        <v>0.8</v>
      </c>
      <c r="S291" s="220">
        <f t="shared" si="150"/>
        <v>46</v>
      </c>
      <c r="T291" s="220">
        <f t="shared" si="165"/>
        <v>52</v>
      </c>
      <c r="U291" s="222">
        <f t="shared" si="166"/>
        <v>97</v>
      </c>
      <c r="V291" s="220">
        <f t="shared" si="155"/>
        <v>146</v>
      </c>
      <c r="W291" s="69">
        <f t="shared" ref="W291:W319" si="167">ROUND(H291*0.2,0)</f>
        <v>6</v>
      </c>
      <c r="X291" s="220">
        <f t="shared" si="162"/>
        <v>51</v>
      </c>
      <c r="Y291" s="69">
        <f t="shared" si="151"/>
        <v>5455</v>
      </c>
      <c r="Z291" s="69"/>
      <c r="AA291" s="69"/>
      <c r="AB291" s="69"/>
      <c r="AC291" s="69"/>
      <c r="AD291" s="69">
        <f t="shared" si="148"/>
        <v>0</v>
      </c>
      <c r="AE291" s="69"/>
      <c r="AF291" s="69"/>
      <c r="AG291" s="69"/>
      <c r="AH291" s="69">
        <f t="shared" si="156"/>
        <v>0</v>
      </c>
      <c r="AI291" s="69">
        <f t="shared" si="157"/>
        <v>5455</v>
      </c>
      <c r="AJ291" s="69"/>
      <c r="AK291" s="232"/>
      <c r="AL291" s="212"/>
      <c r="AM291" s="212"/>
      <c r="AN291" s="212"/>
      <c r="AO291" s="212"/>
      <c r="AP291" s="69">
        <f t="shared" si="152"/>
        <v>0</v>
      </c>
      <c r="AQ291" s="7"/>
      <c r="AR291" s="69"/>
      <c r="AS291" s="69"/>
      <c r="AT291" s="69"/>
      <c r="AU291" s="69">
        <f t="shared" si="153"/>
        <v>0</v>
      </c>
      <c r="AV291" s="69">
        <f t="shared" si="154"/>
        <v>5455</v>
      </c>
      <c r="AW291" s="14"/>
    </row>
    <row r="292" ht="23.15" customHeight="1" spans="1:49">
      <c r="A292" s="228">
        <f>SUBTOTAL(2,$Y$4:Y292)</f>
        <v>289</v>
      </c>
      <c r="B292" s="14" t="s">
        <v>642</v>
      </c>
      <c r="C292" s="96" t="s">
        <v>604</v>
      </c>
      <c r="D292" s="115">
        <v>5020</v>
      </c>
      <c r="E292" s="277">
        <v>32.425</v>
      </c>
      <c r="F292" s="95">
        <v>5020</v>
      </c>
      <c r="G292" s="95" t="s">
        <v>643</v>
      </c>
      <c r="H292" s="14">
        <f t="shared" si="164"/>
        <v>32.425</v>
      </c>
      <c r="I292" s="7">
        <v>4500</v>
      </c>
      <c r="J292" s="238">
        <v>500</v>
      </c>
      <c r="K292" s="69">
        <f t="shared" si="158"/>
        <v>5000</v>
      </c>
      <c r="L292" s="69">
        <v>160</v>
      </c>
      <c r="M292" s="69">
        <v>23503</v>
      </c>
      <c r="N292" s="69">
        <v>23536</v>
      </c>
      <c r="O292" s="69">
        <f t="shared" si="159"/>
        <v>33</v>
      </c>
      <c r="P292" s="231">
        <f t="shared" si="161"/>
        <v>0</v>
      </c>
      <c r="Q292" s="69">
        <f t="shared" si="160"/>
        <v>33</v>
      </c>
      <c r="R292" s="69">
        <v>0.8</v>
      </c>
      <c r="S292" s="220">
        <f t="shared" si="150"/>
        <v>23</v>
      </c>
      <c r="T292" s="220">
        <f t="shared" si="165"/>
        <v>26</v>
      </c>
      <c r="U292" s="222">
        <f t="shared" si="166"/>
        <v>97</v>
      </c>
      <c r="V292" s="220">
        <f t="shared" si="155"/>
        <v>146</v>
      </c>
      <c r="W292" s="69">
        <f t="shared" si="167"/>
        <v>6</v>
      </c>
      <c r="X292" s="220">
        <f t="shared" si="162"/>
        <v>51</v>
      </c>
      <c r="Y292" s="69">
        <f t="shared" si="151"/>
        <v>5406</v>
      </c>
      <c r="Z292" s="69"/>
      <c r="AA292" s="69"/>
      <c r="AB292" s="69"/>
      <c r="AC292" s="69"/>
      <c r="AD292" s="69">
        <f t="shared" si="148"/>
        <v>0</v>
      </c>
      <c r="AE292" s="69"/>
      <c r="AF292" s="69"/>
      <c r="AG292" s="69"/>
      <c r="AH292" s="69">
        <f t="shared" si="156"/>
        <v>0</v>
      </c>
      <c r="AI292" s="69">
        <f t="shared" si="157"/>
        <v>5406</v>
      </c>
      <c r="AJ292" s="69"/>
      <c r="AK292" s="232"/>
      <c r="AL292" s="212"/>
      <c r="AM292" s="212"/>
      <c r="AN292" s="212"/>
      <c r="AO292" s="212"/>
      <c r="AP292" s="69">
        <f t="shared" si="152"/>
        <v>0</v>
      </c>
      <c r="AQ292" s="7"/>
      <c r="AR292" s="69"/>
      <c r="AS292" s="69"/>
      <c r="AT292" s="69"/>
      <c r="AU292" s="69">
        <f t="shared" si="153"/>
        <v>0</v>
      </c>
      <c r="AV292" s="69">
        <f t="shared" si="154"/>
        <v>5406</v>
      </c>
      <c r="AW292" s="14"/>
    </row>
    <row r="293" ht="23.15" customHeight="1" spans="1:49">
      <c r="A293" s="228">
        <f>SUBTOTAL(2,$Y$4:Y293)</f>
        <v>290</v>
      </c>
      <c r="B293" s="14" t="s">
        <v>644</v>
      </c>
      <c r="C293" s="14" t="s">
        <v>604</v>
      </c>
      <c r="D293" s="276">
        <v>5021</v>
      </c>
      <c r="E293" s="277">
        <v>32.425</v>
      </c>
      <c r="F293" s="118">
        <v>5021</v>
      </c>
      <c r="G293" s="118" t="s">
        <v>645</v>
      </c>
      <c r="H293" s="240">
        <f t="shared" si="164"/>
        <v>32.425</v>
      </c>
      <c r="I293" s="241">
        <v>4500</v>
      </c>
      <c r="J293" s="242">
        <v>500</v>
      </c>
      <c r="K293" s="69">
        <f t="shared" si="158"/>
        <v>5000</v>
      </c>
      <c r="L293" s="69">
        <v>160</v>
      </c>
      <c r="M293" s="69">
        <v>24741</v>
      </c>
      <c r="N293" s="69">
        <v>24830</v>
      </c>
      <c r="O293" s="69">
        <f t="shared" si="159"/>
        <v>89</v>
      </c>
      <c r="P293" s="231">
        <f t="shared" si="161"/>
        <v>0</v>
      </c>
      <c r="Q293" s="69">
        <f t="shared" si="160"/>
        <v>89</v>
      </c>
      <c r="R293" s="69">
        <v>0.8</v>
      </c>
      <c r="S293" s="220">
        <f t="shared" si="150"/>
        <v>62</v>
      </c>
      <c r="T293" s="220">
        <f t="shared" si="165"/>
        <v>71</v>
      </c>
      <c r="U293" s="222">
        <f t="shared" si="166"/>
        <v>97</v>
      </c>
      <c r="V293" s="220">
        <f t="shared" si="155"/>
        <v>146</v>
      </c>
      <c r="W293" s="69">
        <f t="shared" si="167"/>
        <v>6</v>
      </c>
      <c r="X293" s="220">
        <f t="shared" si="162"/>
        <v>51</v>
      </c>
      <c r="Y293" s="69">
        <f t="shared" si="151"/>
        <v>5490</v>
      </c>
      <c r="Z293" s="69"/>
      <c r="AA293" s="69"/>
      <c r="AB293" s="69"/>
      <c r="AC293" s="69"/>
      <c r="AD293" s="69">
        <f t="shared" si="148"/>
        <v>0</v>
      </c>
      <c r="AE293" s="69"/>
      <c r="AF293" s="69"/>
      <c r="AG293" s="69"/>
      <c r="AH293" s="69">
        <f t="shared" si="156"/>
        <v>0</v>
      </c>
      <c r="AI293" s="69">
        <f t="shared" si="157"/>
        <v>5490</v>
      </c>
      <c r="AJ293" s="69"/>
      <c r="AK293" s="232"/>
      <c r="AL293" s="212"/>
      <c r="AM293" s="212"/>
      <c r="AN293" s="212"/>
      <c r="AO293" s="212"/>
      <c r="AP293" s="69">
        <f t="shared" si="152"/>
        <v>0</v>
      </c>
      <c r="AQ293" s="7"/>
      <c r="AR293" s="69"/>
      <c r="AS293" s="69"/>
      <c r="AT293" s="69"/>
      <c r="AU293" s="69">
        <f t="shared" si="153"/>
        <v>0</v>
      </c>
      <c r="AV293" s="69">
        <f t="shared" si="154"/>
        <v>5490</v>
      </c>
      <c r="AW293" s="14"/>
    </row>
    <row r="294" ht="23.15" customHeight="1" spans="1:49">
      <c r="A294" s="228">
        <f>SUBTOTAL(2,$Y$4:Y294)</f>
        <v>291</v>
      </c>
      <c r="B294" s="14" t="s">
        <v>646</v>
      </c>
      <c r="C294" s="14" t="s">
        <v>604</v>
      </c>
      <c r="D294" s="115">
        <v>5022</v>
      </c>
      <c r="E294" s="277">
        <v>32.425</v>
      </c>
      <c r="F294" s="118">
        <v>5022</v>
      </c>
      <c r="G294" s="118" t="s">
        <v>272</v>
      </c>
      <c r="H294" s="240">
        <f t="shared" si="164"/>
        <v>32.425</v>
      </c>
      <c r="I294" s="241">
        <v>4500</v>
      </c>
      <c r="J294" s="242">
        <v>500</v>
      </c>
      <c r="K294" s="69">
        <f t="shared" si="158"/>
        <v>5000</v>
      </c>
      <c r="L294" s="69">
        <v>160</v>
      </c>
      <c r="M294" s="69">
        <v>23648</v>
      </c>
      <c r="N294" s="69">
        <v>23693</v>
      </c>
      <c r="O294" s="69">
        <f t="shared" si="159"/>
        <v>45</v>
      </c>
      <c r="P294" s="231">
        <f t="shared" si="161"/>
        <v>0</v>
      </c>
      <c r="Q294" s="69">
        <f t="shared" si="160"/>
        <v>45</v>
      </c>
      <c r="R294" s="69">
        <v>0.8</v>
      </c>
      <c r="S294" s="220">
        <f t="shared" si="150"/>
        <v>32</v>
      </c>
      <c r="T294" s="220">
        <f t="shared" si="165"/>
        <v>36</v>
      </c>
      <c r="U294" s="222">
        <f t="shared" si="166"/>
        <v>97</v>
      </c>
      <c r="V294" s="220">
        <f t="shared" si="155"/>
        <v>146</v>
      </c>
      <c r="W294" s="69">
        <f t="shared" si="167"/>
        <v>6</v>
      </c>
      <c r="X294" s="220">
        <f t="shared" si="162"/>
        <v>51</v>
      </c>
      <c r="Y294" s="69">
        <f t="shared" si="151"/>
        <v>5425</v>
      </c>
      <c r="Z294" s="69"/>
      <c r="AA294" s="69"/>
      <c r="AB294" s="69"/>
      <c r="AC294" s="69"/>
      <c r="AD294" s="69">
        <f t="shared" si="148"/>
        <v>0</v>
      </c>
      <c r="AE294" s="69"/>
      <c r="AF294" s="69"/>
      <c r="AG294" s="69"/>
      <c r="AH294" s="69">
        <f t="shared" si="156"/>
        <v>0</v>
      </c>
      <c r="AI294" s="69">
        <f t="shared" si="157"/>
        <v>5425</v>
      </c>
      <c r="AJ294" s="69"/>
      <c r="AK294" s="232"/>
      <c r="AL294" s="212"/>
      <c r="AM294" s="212"/>
      <c r="AN294" s="212"/>
      <c r="AO294" s="212"/>
      <c r="AP294" s="69">
        <f t="shared" si="152"/>
        <v>0</v>
      </c>
      <c r="AQ294" s="7"/>
      <c r="AR294" s="69"/>
      <c r="AS294" s="69"/>
      <c r="AT294" s="69"/>
      <c r="AU294" s="69">
        <f t="shared" si="153"/>
        <v>0</v>
      </c>
      <c r="AV294" s="69">
        <f t="shared" si="154"/>
        <v>5425</v>
      </c>
      <c r="AW294" s="14"/>
    </row>
    <row r="295" ht="23.15" customHeight="1" spans="1:49">
      <c r="A295" s="228">
        <f>SUBTOTAL(2,$Y$4:Y295)</f>
        <v>292</v>
      </c>
      <c r="B295" s="14" t="s">
        <v>647</v>
      </c>
      <c r="C295" s="96" t="s">
        <v>604</v>
      </c>
      <c r="D295" s="276">
        <v>5023</v>
      </c>
      <c r="E295" s="277">
        <v>32.425</v>
      </c>
      <c r="F295" s="95">
        <v>5023</v>
      </c>
      <c r="G295" s="95" t="s">
        <v>648</v>
      </c>
      <c r="H295" s="14">
        <f t="shared" si="164"/>
        <v>32.425</v>
      </c>
      <c r="I295" s="7">
        <v>4500</v>
      </c>
      <c r="J295" s="238">
        <v>500</v>
      </c>
      <c r="K295" s="69">
        <f t="shared" si="158"/>
        <v>5000</v>
      </c>
      <c r="L295" s="69">
        <v>160</v>
      </c>
      <c r="M295" s="69">
        <v>19486</v>
      </c>
      <c r="N295" s="69">
        <v>19540</v>
      </c>
      <c r="O295" s="69">
        <f t="shared" si="159"/>
        <v>54</v>
      </c>
      <c r="P295" s="231">
        <f t="shared" si="161"/>
        <v>0</v>
      </c>
      <c r="Q295" s="69">
        <f t="shared" si="160"/>
        <v>54</v>
      </c>
      <c r="R295" s="69">
        <v>0.8</v>
      </c>
      <c r="S295" s="220">
        <f t="shared" si="150"/>
        <v>38</v>
      </c>
      <c r="T295" s="220">
        <f t="shared" si="165"/>
        <v>43</v>
      </c>
      <c r="U295" s="222">
        <f t="shared" si="166"/>
        <v>97</v>
      </c>
      <c r="V295" s="220">
        <f t="shared" si="155"/>
        <v>146</v>
      </c>
      <c r="W295" s="69">
        <f t="shared" si="167"/>
        <v>6</v>
      </c>
      <c r="X295" s="220">
        <f t="shared" si="162"/>
        <v>51</v>
      </c>
      <c r="Y295" s="69">
        <f t="shared" si="151"/>
        <v>5438</v>
      </c>
      <c r="Z295" s="69"/>
      <c r="AA295" s="69"/>
      <c r="AB295" s="69"/>
      <c r="AC295" s="69"/>
      <c r="AD295" s="69">
        <f t="shared" si="148"/>
        <v>0</v>
      </c>
      <c r="AE295" s="69"/>
      <c r="AF295" s="69"/>
      <c r="AG295" s="69"/>
      <c r="AH295" s="69">
        <f t="shared" si="156"/>
        <v>0</v>
      </c>
      <c r="AI295" s="69">
        <f t="shared" si="157"/>
        <v>5438</v>
      </c>
      <c r="AJ295" s="69"/>
      <c r="AK295" s="232"/>
      <c r="AL295" s="212"/>
      <c r="AM295" s="212"/>
      <c r="AN295" s="212"/>
      <c r="AO295" s="212"/>
      <c r="AP295" s="69">
        <f t="shared" si="152"/>
        <v>0</v>
      </c>
      <c r="AQ295" s="7"/>
      <c r="AR295" s="69"/>
      <c r="AS295" s="69"/>
      <c r="AT295" s="69"/>
      <c r="AU295" s="69">
        <f t="shared" si="153"/>
        <v>0</v>
      </c>
      <c r="AV295" s="69">
        <f t="shared" si="154"/>
        <v>5438</v>
      </c>
      <c r="AW295" s="14"/>
    </row>
    <row r="296" ht="23.15" customHeight="1" spans="1:49">
      <c r="A296" s="228">
        <f>SUBTOTAL(2,$Y$4:Y296)</f>
        <v>293</v>
      </c>
      <c r="B296" s="14" t="s">
        <v>649</v>
      </c>
      <c r="C296" s="96" t="s">
        <v>604</v>
      </c>
      <c r="D296" s="115">
        <v>5024</v>
      </c>
      <c r="E296" s="277">
        <v>32.425</v>
      </c>
      <c r="F296" s="95">
        <v>5024</v>
      </c>
      <c r="G296" s="95" t="s">
        <v>648</v>
      </c>
      <c r="H296" s="14">
        <f t="shared" si="164"/>
        <v>32.425</v>
      </c>
      <c r="I296" s="7">
        <v>4500</v>
      </c>
      <c r="J296" s="238">
        <v>500</v>
      </c>
      <c r="K296" s="69">
        <f t="shared" si="158"/>
        <v>5000</v>
      </c>
      <c r="L296" s="69">
        <v>160</v>
      </c>
      <c r="M296" s="69">
        <v>25667</v>
      </c>
      <c r="N296" s="69">
        <v>25701</v>
      </c>
      <c r="O296" s="69">
        <f t="shared" si="159"/>
        <v>34</v>
      </c>
      <c r="P296" s="231">
        <f t="shared" si="161"/>
        <v>0</v>
      </c>
      <c r="Q296" s="69">
        <f t="shared" si="160"/>
        <v>34</v>
      </c>
      <c r="R296" s="69">
        <v>0.8</v>
      </c>
      <c r="S296" s="220">
        <f t="shared" si="150"/>
        <v>24</v>
      </c>
      <c r="T296" s="220">
        <f t="shared" si="165"/>
        <v>27</v>
      </c>
      <c r="U296" s="222">
        <f t="shared" si="166"/>
        <v>97</v>
      </c>
      <c r="V296" s="220">
        <f t="shared" si="155"/>
        <v>146</v>
      </c>
      <c r="W296" s="69">
        <f t="shared" si="167"/>
        <v>6</v>
      </c>
      <c r="X296" s="220">
        <f t="shared" si="162"/>
        <v>51</v>
      </c>
      <c r="Y296" s="69">
        <f t="shared" si="151"/>
        <v>5408</v>
      </c>
      <c r="Z296" s="69"/>
      <c r="AA296" s="69"/>
      <c r="AB296" s="69"/>
      <c r="AC296" s="69"/>
      <c r="AD296" s="69">
        <f t="shared" si="148"/>
        <v>0</v>
      </c>
      <c r="AE296" s="69"/>
      <c r="AF296" s="69"/>
      <c r="AG296" s="69"/>
      <c r="AH296" s="69">
        <f t="shared" si="156"/>
        <v>0</v>
      </c>
      <c r="AI296" s="69">
        <f t="shared" si="157"/>
        <v>5408</v>
      </c>
      <c r="AJ296" s="69"/>
      <c r="AK296" s="232"/>
      <c r="AL296" s="212"/>
      <c r="AM296" s="212"/>
      <c r="AN296" s="212"/>
      <c r="AO296" s="212"/>
      <c r="AP296" s="69">
        <f t="shared" si="152"/>
        <v>0</v>
      </c>
      <c r="AQ296" s="7"/>
      <c r="AR296" s="69"/>
      <c r="AS296" s="69"/>
      <c r="AT296" s="69"/>
      <c r="AU296" s="69">
        <f t="shared" si="153"/>
        <v>0</v>
      </c>
      <c r="AV296" s="69">
        <f t="shared" si="154"/>
        <v>5408</v>
      </c>
      <c r="AW296" s="14"/>
    </row>
    <row r="297" ht="23.15" customHeight="1" spans="1:49">
      <c r="A297" s="228">
        <f>SUBTOTAL(2,$Y$4:Y297)</f>
        <v>294</v>
      </c>
      <c r="B297" s="14" t="s">
        <v>650</v>
      </c>
      <c r="C297" s="96" t="s">
        <v>604</v>
      </c>
      <c r="D297" s="276">
        <v>5025</v>
      </c>
      <c r="E297" s="277">
        <v>32.425</v>
      </c>
      <c r="F297" s="95">
        <v>5025</v>
      </c>
      <c r="G297" s="95" t="s">
        <v>651</v>
      </c>
      <c r="H297" s="96">
        <f t="shared" si="164"/>
        <v>32.425</v>
      </c>
      <c r="I297" s="7">
        <v>4500</v>
      </c>
      <c r="J297" s="7">
        <v>500</v>
      </c>
      <c r="K297" s="69">
        <f t="shared" si="158"/>
        <v>5000</v>
      </c>
      <c r="L297" s="69">
        <v>160</v>
      </c>
      <c r="M297" s="69">
        <v>27301</v>
      </c>
      <c r="N297" s="69">
        <v>27377</v>
      </c>
      <c r="O297" s="69">
        <f t="shared" si="159"/>
        <v>76</v>
      </c>
      <c r="P297" s="231">
        <f t="shared" si="161"/>
        <v>0</v>
      </c>
      <c r="Q297" s="69">
        <f t="shared" si="160"/>
        <v>76</v>
      </c>
      <c r="R297" s="69">
        <v>0.8</v>
      </c>
      <c r="S297" s="220">
        <f t="shared" si="150"/>
        <v>53</v>
      </c>
      <c r="T297" s="220">
        <f t="shared" si="165"/>
        <v>61</v>
      </c>
      <c r="U297" s="222">
        <f t="shared" si="166"/>
        <v>97</v>
      </c>
      <c r="V297" s="220">
        <f t="shared" si="155"/>
        <v>146</v>
      </c>
      <c r="W297" s="69">
        <f t="shared" si="167"/>
        <v>6</v>
      </c>
      <c r="X297" s="220">
        <f t="shared" si="162"/>
        <v>51</v>
      </c>
      <c r="Y297" s="69">
        <f t="shared" si="151"/>
        <v>5471</v>
      </c>
      <c r="Z297" s="69"/>
      <c r="AA297" s="69"/>
      <c r="AB297" s="69"/>
      <c r="AC297" s="69"/>
      <c r="AD297" s="69">
        <f t="shared" si="148"/>
        <v>0</v>
      </c>
      <c r="AE297" s="69"/>
      <c r="AF297" s="69"/>
      <c r="AG297" s="69"/>
      <c r="AH297" s="69">
        <f t="shared" si="156"/>
        <v>0</v>
      </c>
      <c r="AI297" s="69">
        <f t="shared" si="157"/>
        <v>5471</v>
      </c>
      <c r="AJ297" s="69"/>
      <c r="AK297" s="232"/>
      <c r="AL297" s="212"/>
      <c r="AM297" s="212"/>
      <c r="AN297" s="212"/>
      <c r="AO297" s="212"/>
      <c r="AP297" s="69">
        <f t="shared" si="152"/>
        <v>0</v>
      </c>
      <c r="AQ297" s="7"/>
      <c r="AR297" s="69"/>
      <c r="AS297" s="69"/>
      <c r="AT297" s="69"/>
      <c r="AU297" s="69">
        <f t="shared" si="153"/>
        <v>0</v>
      </c>
      <c r="AV297" s="69">
        <f t="shared" si="154"/>
        <v>5471</v>
      </c>
      <c r="AW297" s="14"/>
    </row>
    <row r="298" ht="23.15" customHeight="1" spans="1:49">
      <c r="A298" s="228">
        <f>SUBTOTAL(2,$Y$4:Y298)</f>
        <v>295</v>
      </c>
      <c r="B298" s="14" t="s">
        <v>652</v>
      </c>
      <c r="C298" s="14" t="s">
        <v>604</v>
      </c>
      <c r="D298" s="276">
        <v>5026</v>
      </c>
      <c r="E298" s="277">
        <v>32.425</v>
      </c>
      <c r="F298" s="95">
        <v>5026</v>
      </c>
      <c r="G298" s="95" t="s">
        <v>653</v>
      </c>
      <c r="H298" s="96">
        <f t="shared" si="164"/>
        <v>32.425</v>
      </c>
      <c r="I298" s="7">
        <v>4500</v>
      </c>
      <c r="J298" s="238">
        <v>500</v>
      </c>
      <c r="K298" s="69">
        <f t="shared" si="158"/>
        <v>5000</v>
      </c>
      <c r="L298" s="69">
        <v>160</v>
      </c>
      <c r="M298" s="69">
        <v>26297</v>
      </c>
      <c r="N298" s="69">
        <v>26381</v>
      </c>
      <c r="O298" s="69">
        <f t="shared" si="159"/>
        <v>84</v>
      </c>
      <c r="P298" s="231">
        <f t="shared" si="161"/>
        <v>0</v>
      </c>
      <c r="Q298" s="69">
        <f t="shared" si="160"/>
        <v>84</v>
      </c>
      <c r="R298" s="69">
        <v>0.8</v>
      </c>
      <c r="S298" s="220">
        <f t="shared" si="150"/>
        <v>59</v>
      </c>
      <c r="T298" s="220">
        <f t="shared" si="165"/>
        <v>67</v>
      </c>
      <c r="U298" s="222">
        <f t="shared" si="166"/>
        <v>97</v>
      </c>
      <c r="V298" s="220">
        <f t="shared" si="155"/>
        <v>146</v>
      </c>
      <c r="W298" s="69">
        <f t="shared" si="167"/>
        <v>6</v>
      </c>
      <c r="X298" s="220">
        <f t="shared" si="162"/>
        <v>51</v>
      </c>
      <c r="Y298" s="69">
        <f t="shared" si="151"/>
        <v>5483</v>
      </c>
      <c r="Z298" s="69"/>
      <c r="AA298" s="69"/>
      <c r="AB298" s="69"/>
      <c r="AC298" s="69"/>
      <c r="AD298" s="69">
        <f t="shared" ref="AD298:AD320" si="168">AA298+AB298+AC298</f>
        <v>0</v>
      </c>
      <c r="AE298" s="69"/>
      <c r="AF298" s="69"/>
      <c r="AG298" s="69"/>
      <c r="AH298" s="69">
        <f t="shared" ref="AH298:AH321" si="169">AE298+AF298-AG298</f>
        <v>0</v>
      </c>
      <c r="AI298" s="69">
        <f t="shared" ref="AI298:AI321" si="170">Y298+Z298+AJ298-AD298-AG298</f>
        <v>5483</v>
      </c>
      <c r="AJ298" s="69"/>
      <c r="AK298" s="232"/>
      <c r="AL298" s="212"/>
      <c r="AM298" s="212"/>
      <c r="AN298" s="212"/>
      <c r="AO298" s="212"/>
      <c r="AP298" s="69">
        <f t="shared" si="152"/>
        <v>0</v>
      </c>
      <c r="AQ298" s="7"/>
      <c r="AR298" s="69"/>
      <c r="AS298" s="69"/>
      <c r="AT298" s="69"/>
      <c r="AU298" s="69">
        <f t="shared" si="153"/>
        <v>0</v>
      </c>
      <c r="AV298" s="69">
        <f t="shared" si="154"/>
        <v>5483</v>
      </c>
      <c r="AW298" s="14"/>
    </row>
    <row r="299" ht="23.15" customHeight="1" spans="1:49">
      <c r="A299" s="228">
        <f>SUBTOTAL(2,$Y$4:Y299)</f>
        <v>296</v>
      </c>
      <c r="B299" s="14" t="s">
        <v>654</v>
      </c>
      <c r="C299" s="96" t="s">
        <v>604</v>
      </c>
      <c r="D299" s="115">
        <v>5027</v>
      </c>
      <c r="E299" s="277">
        <v>32.425</v>
      </c>
      <c r="F299" s="95">
        <v>5027</v>
      </c>
      <c r="G299" s="95" t="s">
        <v>655</v>
      </c>
      <c r="H299" s="96">
        <f t="shared" ref="H299:H308" si="171">E299</f>
        <v>32.425</v>
      </c>
      <c r="I299" s="7">
        <v>4500</v>
      </c>
      <c r="J299" s="7">
        <v>500</v>
      </c>
      <c r="K299" s="69">
        <f t="shared" si="158"/>
        <v>5000</v>
      </c>
      <c r="L299" s="69">
        <v>160</v>
      </c>
      <c r="M299" s="69">
        <v>25106</v>
      </c>
      <c r="N299" s="69">
        <v>25220</v>
      </c>
      <c r="O299" s="69">
        <f t="shared" si="159"/>
        <v>114</v>
      </c>
      <c r="P299" s="231">
        <f t="shared" si="161"/>
        <v>0</v>
      </c>
      <c r="Q299" s="69">
        <f t="shared" si="160"/>
        <v>114</v>
      </c>
      <c r="R299" s="69">
        <v>0.8</v>
      </c>
      <c r="S299" s="220">
        <f t="shared" si="150"/>
        <v>80</v>
      </c>
      <c r="T299" s="220">
        <f t="shared" si="165"/>
        <v>91</v>
      </c>
      <c r="U299" s="222">
        <f t="shared" si="166"/>
        <v>97</v>
      </c>
      <c r="V299" s="220">
        <f t="shared" si="155"/>
        <v>146</v>
      </c>
      <c r="W299" s="69">
        <f t="shared" si="167"/>
        <v>6</v>
      </c>
      <c r="X299" s="220">
        <f t="shared" si="162"/>
        <v>51</v>
      </c>
      <c r="Y299" s="69">
        <f t="shared" si="151"/>
        <v>5528</v>
      </c>
      <c r="Z299" s="69"/>
      <c r="AA299" s="69"/>
      <c r="AB299" s="69"/>
      <c r="AC299" s="69"/>
      <c r="AD299" s="69">
        <f t="shared" si="168"/>
        <v>0</v>
      </c>
      <c r="AE299" s="69"/>
      <c r="AF299" s="69"/>
      <c r="AG299" s="69"/>
      <c r="AH299" s="69">
        <f t="shared" si="169"/>
        <v>0</v>
      </c>
      <c r="AI299" s="69">
        <f t="shared" si="170"/>
        <v>5528</v>
      </c>
      <c r="AJ299" s="69"/>
      <c r="AK299" s="232"/>
      <c r="AL299" s="212"/>
      <c r="AM299" s="212"/>
      <c r="AN299" s="212"/>
      <c r="AO299" s="212"/>
      <c r="AP299" s="69">
        <f t="shared" si="152"/>
        <v>0</v>
      </c>
      <c r="AQ299" s="7"/>
      <c r="AR299" s="69"/>
      <c r="AS299" s="69"/>
      <c r="AT299" s="69"/>
      <c r="AU299" s="69">
        <f t="shared" si="153"/>
        <v>0</v>
      </c>
      <c r="AV299" s="69">
        <f t="shared" si="154"/>
        <v>5528</v>
      </c>
      <c r="AW299" s="14"/>
    </row>
    <row r="300" ht="23.15" customHeight="1" spans="1:49">
      <c r="A300" s="228">
        <f>SUBTOTAL(2,$Y$4:Y300)</f>
        <v>297</v>
      </c>
      <c r="B300" s="14" t="s">
        <v>656</v>
      </c>
      <c r="C300" s="96" t="s">
        <v>604</v>
      </c>
      <c r="D300" s="276">
        <v>5028</v>
      </c>
      <c r="E300" s="277">
        <v>32.425</v>
      </c>
      <c r="F300" s="95">
        <v>5028</v>
      </c>
      <c r="G300" s="95" t="s">
        <v>651</v>
      </c>
      <c r="H300" s="246">
        <f t="shared" si="171"/>
        <v>32.425</v>
      </c>
      <c r="I300" s="7">
        <v>4500</v>
      </c>
      <c r="J300" s="238">
        <v>500</v>
      </c>
      <c r="K300" s="69">
        <f t="shared" si="158"/>
        <v>5000</v>
      </c>
      <c r="L300" s="69">
        <v>160</v>
      </c>
      <c r="M300" s="69">
        <v>34556</v>
      </c>
      <c r="N300" s="69">
        <v>34643</v>
      </c>
      <c r="O300" s="69">
        <f t="shared" si="159"/>
        <v>87</v>
      </c>
      <c r="P300" s="231">
        <f t="shared" si="161"/>
        <v>0</v>
      </c>
      <c r="Q300" s="69">
        <f t="shared" si="160"/>
        <v>87</v>
      </c>
      <c r="R300" s="69">
        <v>0.8</v>
      </c>
      <c r="S300" s="220">
        <f t="shared" si="150"/>
        <v>61</v>
      </c>
      <c r="T300" s="220">
        <f t="shared" si="165"/>
        <v>70</v>
      </c>
      <c r="U300" s="222">
        <f t="shared" si="166"/>
        <v>97</v>
      </c>
      <c r="V300" s="220">
        <f t="shared" si="155"/>
        <v>146</v>
      </c>
      <c r="W300" s="69">
        <f t="shared" si="167"/>
        <v>6</v>
      </c>
      <c r="X300" s="220">
        <f t="shared" si="162"/>
        <v>51</v>
      </c>
      <c r="Y300" s="69">
        <f t="shared" si="151"/>
        <v>5488</v>
      </c>
      <c r="Z300" s="69"/>
      <c r="AA300" s="69"/>
      <c r="AB300" s="69"/>
      <c r="AC300" s="69"/>
      <c r="AD300" s="69">
        <f t="shared" si="168"/>
        <v>0</v>
      </c>
      <c r="AE300" s="69"/>
      <c r="AF300" s="69"/>
      <c r="AG300" s="69"/>
      <c r="AH300" s="69">
        <f t="shared" si="169"/>
        <v>0</v>
      </c>
      <c r="AI300" s="69">
        <f t="shared" si="170"/>
        <v>5488</v>
      </c>
      <c r="AJ300" s="69"/>
      <c r="AK300" s="232"/>
      <c r="AL300" s="212"/>
      <c r="AM300" s="212"/>
      <c r="AN300" s="212"/>
      <c r="AO300" s="212"/>
      <c r="AP300" s="69">
        <f t="shared" si="152"/>
        <v>0</v>
      </c>
      <c r="AQ300" s="7"/>
      <c r="AR300" s="69"/>
      <c r="AS300" s="69"/>
      <c r="AT300" s="69"/>
      <c r="AU300" s="69">
        <f t="shared" si="153"/>
        <v>0</v>
      </c>
      <c r="AV300" s="69">
        <f t="shared" si="154"/>
        <v>5488</v>
      </c>
      <c r="AW300" s="14"/>
    </row>
    <row r="301" ht="23.15" customHeight="1" spans="1:49">
      <c r="A301" s="228">
        <f>SUBTOTAL(2,$Y$4:Y301)</f>
        <v>298</v>
      </c>
      <c r="B301" s="14" t="s">
        <v>657</v>
      </c>
      <c r="C301" s="14" t="s">
        <v>604</v>
      </c>
      <c r="D301" s="115">
        <v>5029</v>
      </c>
      <c r="E301" s="277">
        <v>32.425</v>
      </c>
      <c r="F301" s="22">
        <v>5029</v>
      </c>
      <c r="G301" s="22" t="s">
        <v>658</v>
      </c>
      <c r="H301" s="14">
        <f t="shared" si="171"/>
        <v>32.425</v>
      </c>
      <c r="I301" s="7">
        <v>4500</v>
      </c>
      <c r="J301" s="226">
        <v>500</v>
      </c>
      <c r="K301" s="69">
        <f t="shared" si="158"/>
        <v>5000</v>
      </c>
      <c r="L301" s="69">
        <v>160</v>
      </c>
      <c r="M301" s="69">
        <v>26432</v>
      </c>
      <c r="N301" s="69">
        <v>26521</v>
      </c>
      <c r="O301" s="69">
        <f t="shared" si="159"/>
        <v>89</v>
      </c>
      <c r="P301" s="231">
        <f t="shared" si="161"/>
        <v>0</v>
      </c>
      <c r="Q301" s="69">
        <f t="shared" si="160"/>
        <v>89</v>
      </c>
      <c r="R301" s="69">
        <v>0.8</v>
      </c>
      <c r="S301" s="220">
        <f t="shared" si="150"/>
        <v>62</v>
      </c>
      <c r="T301" s="220">
        <f t="shared" si="165"/>
        <v>71</v>
      </c>
      <c r="U301" s="222">
        <f t="shared" si="166"/>
        <v>97</v>
      </c>
      <c r="V301" s="220">
        <f t="shared" si="155"/>
        <v>146</v>
      </c>
      <c r="W301" s="69">
        <f t="shared" si="167"/>
        <v>6</v>
      </c>
      <c r="X301" s="220">
        <f t="shared" si="162"/>
        <v>51</v>
      </c>
      <c r="Y301" s="69">
        <f t="shared" si="151"/>
        <v>5490</v>
      </c>
      <c r="Z301" s="69"/>
      <c r="AA301" s="69"/>
      <c r="AB301" s="69"/>
      <c r="AC301" s="69"/>
      <c r="AD301" s="69">
        <f t="shared" si="168"/>
        <v>0</v>
      </c>
      <c r="AE301" s="69"/>
      <c r="AF301" s="69"/>
      <c r="AG301" s="69"/>
      <c r="AH301" s="69">
        <f t="shared" si="169"/>
        <v>0</v>
      </c>
      <c r="AI301" s="69">
        <f t="shared" si="170"/>
        <v>5490</v>
      </c>
      <c r="AJ301" s="69"/>
      <c r="AK301" s="232"/>
      <c r="AL301" s="212"/>
      <c r="AM301" s="212"/>
      <c r="AN301" s="212"/>
      <c r="AO301" s="212"/>
      <c r="AP301" s="69">
        <f t="shared" si="152"/>
        <v>0</v>
      </c>
      <c r="AQ301" s="7"/>
      <c r="AR301" s="69"/>
      <c r="AS301" s="69"/>
      <c r="AT301" s="69"/>
      <c r="AU301" s="69">
        <f t="shared" si="153"/>
        <v>0</v>
      </c>
      <c r="AV301" s="69">
        <f t="shared" si="154"/>
        <v>5490</v>
      </c>
      <c r="AW301" s="14"/>
    </row>
    <row r="302" ht="23.15" customHeight="1" spans="1:49">
      <c r="A302" s="228">
        <f>SUBTOTAL(2,$Y$4:Y302)</f>
        <v>299</v>
      </c>
      <c r="B302" s="14" t="s">
        <v>659</v>
      </c>
      <c r="C302" s="96" t="s">
        <v>604</v>
      </c>
      <c r="D302" s="115">
        <v>5030</v>
      </c>
      <c r="E302" s="277">
        <v>32.425</v>
      </c>
      <c r="F302" s="95">
        <v>5030</v>
      </c>
      <c r="G302" s="95" t="s">
        <v>499</v>
      </c>
      <c r="H302" s="14">
        <f t="shared" si="171"/>
        <v>32.425</v>
      </c>
      <c r="I302" s="7">
        <v>4500</v>
      </c>
      <c r="J302" s="238">
        <v>500</v>
      </c>
      <c r="K302" s="69">
        <f t="shared" si="158"/>
        <v>5000</v>
      </c>
      <c r="L302" s="69">
        <v>160</v>
      </c>
      <c r="M302" s="69">
        <v>26842</v>
      </c>
      <c r="N302" s="69">
        <v>26917</v>
      </c>
      <c r="O302" s="69">
        <f t="shared" si="159"/>
        <v>75</v>
      </c>
      <c r="P302" s="231">
        <f t="shared" si="161"/>
        <v>0</v>
      </c>
      <c r="Q302" s="69">
        <f t="shared" si="160"/>
        <v>75</v>
      </c>
      <c r="R302" s="69">
        <v>0.8</v>
      </c>
      <c r="S302" s="220">
        <f t="shared" si="150"/>
        <v>53</v>
      </c>
      <c r="T302" s="220">
        <f t="shared" si="165"/>
        <v>60</v>
      </c>
      <c r="U302" s="222">
        <f t="shared" si="166"/>
        <v>97</v>
      </c>
      <c r="V302" s="220">
        <f t="shared" si="155"/>
        <v>146</v>
      </c>
      <c r="W302" s="69">
        <f t="shared" si="167"/>
        <v>6</v>
      </c>
      <c r="X302" s="220">
        <f t="shared" si="162"/>
        <v>51</v>
      </c>
      <c r="Y302" s="69">
        <f t="shared" si="151"/>
        <v>5470</v>
      </c>
      <c r="Z302" s="249"/>
      <c r="AA302" s="69"/>
      <c r="AB302" s="69"/>
      <c r="AC302" s="69"/>
      <c r="AD302" s="69">
        <f t="shared" si="168"/>
        <v>0</v>
      </c>
      <c r="AE302" s="69"/>
      <c r="AF302" s="69"/>
      <c r="AG302" s="69"/>
      <c r="AH302" s="69">
        <f t="shared" si="169"/>
        <v>0</v>
      </c>
      <c r="AI302" s="69">
        <f t="shared" si="170"/>
        <v>5470</v>
      </c>
      <c r="AJ302" s="69"/>
      <c r="AK302" s="232"/>
      <c r="AL302" s="212"/>
      <c r="AM302" s="212"/>
      <c r="AN302" s="212"/>
      <c r="AO302" s="212"/>
      <c r="AP302" s="69">
        <f t="shared" si="152"/>
        <v>0</v>
      </c>
      <c r="AQ302" s="7"/>
      <c r="AR302" s="69"/>
      <c r="AS302" s="69"/>
      <c r="AT302" s="69"/>
      <c r="AU302" s="69">
        <f t="shared" si="153"/>
        <v>0</v>
      </c>
      <c r="AV302" s="69">
        <f t="shared" si="154"/>
        <v>5470</v>
      </c>
      <c r="AW302" s="14"/>
    </row>
    <row r="303" ht="23.15" customHeight="1" spans="1:49">
      <c r="A303" s="228">
        <f>SUBTOTAL(2,$Y$4:Y303)</f>
        <v>300</v>
      </c>
      <c r="B303" s="14" t="s">
        <v>660</v>
      </c>
      <c r="C303" s="14" t="s">
        <v>604</v>
      </c>
      <c r="D303" s="115">
        <v>5031</v>
      </c>
      <c r="E303" s="277">
        <v>32.425</v>
      </c>
      <c r="F303" s="95">
        <v>5031</v>
      </c>
      <c r="G303" s="95" t="s">
        <v>661</v>
      </c>
      <c r="H303" s="246">
        <f t="shared" si="171"/>
        <v>32.425</v>
      </c>
      <c r="I303" s="7">
        <v>4500</v>
      </c>
      <c r="J303" s="238">
        <v>500</v>
      </c>
      <c r="K303" s="69">
        <f t="shared" si="158"/>
        <v>5000</v>
      </c>
      <c r="L303" s="69">
        <v>160</v>
      </c>
      <c r="M303" s="69">
        <v>7697</v>
      </c>
      <c r="N303" s="69">
        <v>7766</v>
      </c>
      <c r="O303" s="69">
        <f t="shared" si="159"/>
        <v>69</v>
      </c>
      <c r="P303" s="231">
        <f t="shared" si="161"/>
        <v>0</v>
      </c>
      <c r="Q303" s="69">
        <f t="shared" si="160"/>
        <v>69</v>
      </c>
      <c r="R303" s="69">
        <v>0.8</v>
      </c>
      <c r="S303" s="220">
        <f t="shared" si="150"/>
        <v>48</v>
      </c>
      <c r="T303" s="220">
        <f t="shared" si="165"/>
        <v>55</v>
      </c>
      <c r="U303" s="222">
        <f t="shared" si="166"/>
        <v>97</v>
      </c>
      <c r="V303" s="220">
        <f t="shared" si="155"/>
        <v>146</v>
      </c>
      <c r="W303" s="69">
        <f t="shared" si="167"/>
        <v>6</v>
      </c>
      <c r="X303" s="220">
        <f t="shared" si="162"/>
        <v>51</v>
      </c>
      <c r="Y303" s="69">
        <f t="shared" si="151"/>
        <v>5460</v>
      </c>
      <c r="Z303" s="69"/>
      <c r="AA303" s="69"/>
      <c r="AB303" s="69"/>
      <c r="AC303" s="69"/>
      <c r="AD303" s="69">
        <f t="shared" si="168"/>
        <v>0</v>
      </c>
      <c r="AE303" s="69"/>
      <c r="AF303" s="69"/>
      <c r="AG303" s="69"/>
      <c r="AH303" s="69">
        <f t="shared" si="169"/>
        <v>0</v>
      </c>
      <c r="AI303" s="69">
        <f t="shared" si="170"/>
        <v>5460</v>
      </c>
      <c r="AJ303" s="69"/>
      <c r="AK303" s="232"/>
      <c r="AL303" s="212"/>
      <c r="AM303" s="212"/>
      <c r="AN303" s="212"/>
      <c r="AO303" s="212"/>
      <c r="AP303" s="69">
        <f t="shared" si="152"/>
        <v>0</v>
      </c>
      <c r="AQ303" s="7"/>
      <c r="AR303" s="69"/>
      <c r="AS303" s="69"/>
      <c r="AT303" s="69"/>
      <c r="AU303" s="69">
        <f t="shared" si="153"/>
        <v>0</v>
      </c>
      <c r="AV303" s="69">
        <f t="shared" si="154"/>
        <v>5460</v>
      </c>
      <c r="AW303" s="14"/>
    </row>
    <row r="304" ht="23.15" customHeight="1" spans="1:49">
      <c r="A304" s="228">
        <f>SUBTOTAL(2,$Y$4:Y304)</f>
        <v>301</v>
      </c>
      <c r="B304" s="14" t="s">
        <v>662</v>
      </c>
      <c r="C304" s="96" t="s">
        <v>604</v>
      </c>
      <c r="D304" s="115">
        <v>5032</v>
      </c>
      <c r="E304" s="277">
        <v>32.425</v>
      </c>
      <c r="F304" s="95">
        <v>5032</v>
      </c>
      <c r="G304" s="95" t="s">
        <v>663</v>
      </c>
      <c r="H304" s="96">
        <f t="shared" si="171"/>
        <v>32.425</v>
      </c>
      <c r="I304" s="7">
        <v>4500</v>
      </c>
      <c r="J304" s="7">
        <v>500</v>
      </c>
      <c r="K304" s="7">
        <f t="shared" si="158"/>
        <v>5000</v>
      </c>
      <c r="L304" s="69">
        <v>160</v>
      </c>
      <c r="M304" s="7">
        <v>28669</v>
      </c>
      <c r="N304" s="7">
        <v>28740</v>
      </c>
      <c r="O304" s="7">
        <f t="shared" si="159"/>
        <v>71</v>
      </c>
      <c r="P304" s="231">
        <f t="shared" si="161"/>
        <v>0</v>
      </c>
      <c r="Q304" s="7">
        <f t="shared" si="160"/>
        <v>71</v>
      </c>
      <c r="R304" s="7">
        <v>0.8</v>
      </c>
      <c r="S304" s="220">
        <f t="shared" si="150"/>
        <v>50</v>
      </c>
      <c r="T304" s="261">
        <f t="shared" si="165"/>
        <v>57</v>
      </c>
      <c r="U304" s="222">
        <f t="shared" si="166"/>
        <v>97</v>
      </c>
      <c r="V304" s="261">
        <f t="shared" si="155"/>
        <v>146</v>
      </c>
      <c r="W304" s="7">
        <f t="shared" si="167"/>
        <v>6</v>
      </c>
      <c r="X304" s="220">
        <f t="shared" si="162"/>
        <v>51</v>
      </c>
      <c r="Y304" s="69">
        <f t="shared" si="151"/>
        <v>5464</v>
      </c>
      <c r="Z304" s="69"/>
      <c r="AA304" s="69"/>
      <c r="AB304" s="69"/>
      <c r="AC304" s="69"/>
      <c r="AD304" s="69">
        <f t="shared" si="168"/>
        <v>0</v>
      </c>
      <c r="AE304" s="69"/>
      <c r="AF304" s="69"/>
      <c r="AG304" s="69"/>
      <c r="AH304" s="69">
        <f t="shared" si="169"/>
        <v>0</v>
      </c>
      <c r="AI304" s="69">
        <f t="shared" si="170"/>
        <v>5464</v>
      </c>
      <c r="AJ304" s="69"/>
      <c r="AK304" s="232"/>
      <c r="AL304" s="212"/>
      <c r="AM304" s="212"/>
      <c r="AN304" s="212"/>
      <c r="AO304" s="212"/>
      <c r="AP304" s="69">
        <f t="shared" si="152"/>
        <v>0</v>
      </c>
      <c r="AQ304" s="7"/>
      <c r="AR304" s="69"/>
      <c r="AS304" s="69"/>
      <c r="AT304" s="69"/>
      <c r="AU304" s="69">
        <f t="shared" si="153"/>
        <v>0</v>
      </c>
      <c r="AV304" s="69">
        <f t="shared" si="154"/>
        <v>5464</v>
      </c>
      <c r="AW304" s="14"/>
    </row>
    <row r="305" ht="23.15" customHeight="1" spans="1:49">
      <c r="A305" s="228">
        <f>SUBTOTAL(2,$Y$4:Y305)</f>
        <v>302</v>
      </c>
      <c r="B305" s="14" t="s">
        <v>664</v>
      </c>
      <c r="C305" s="14" t="s">
        <v>604</v>
      </c>
      <c r="D305" s="115">
        <v>5033</v>
      </c>
      <c r="E305" s="277">
        <v>32.425</v>
      </c>
      <c r="F305" s="118">
        <v>5033</v>
      </c>
      <c r="G305" s="118" t="s">
        <v>665</v>
      </c>
      <c r="H305" s="240">
        <f t="shared" si="171"/>
        <v>32.425</v>
      </c>
      <c r="I305" s="257">
        <v>4500</v>
      </c>
      <c r="J305" s="242">
        <v>500</v>
      </c>
      <c r="K305" s="69">
        <f t="shared" si="158"/>
        <v>5000</v>
      </c>
      <c r="L305" s="69">
        <v>160</v>
      </c>
      <c r="M305" s="69">
        <v>32174</v>
      </c>
      <c r="N305" s="69">
        <v>32189</v>
      </c>
      <c r="O305" s="69">
        <f t="shared" si="159"/>
        <v>15</v>
      </c>
      <c r="P305" s="231">
        <f t="shared" si="161"/>
        <v>0</v>
      </c>
      <c r="Q305" s="69">
        <f t="shared" si="160"/>
        <v>15</v>
      </c>
      <c r="R305" s="69">
        <v>0.8</v>
      </c>
      <c r="S305" s="220">
        <f t="shared" si="150"/>
        <v>11</v>
      </c>
      <c r="T305" s="220">
        <f t="shared" si="165"/>
        <v>12</v>
      </c>
      <c r="U305" s="222">
        <f t="shared" si="166"/>
        <v>97</v>
      </c>
      <c r="V305" s="220">
        <f t="shared" si="155"/>
        <v>146</v>
      </c>
      <c r="W305" s="69">
        <f t="shared" si="167"/>
        <v>6</v>
      </c>
      <c r="X305" s="220">
        <f t="shared" si="162"/>
        <v>51</v>
      </c>
      <c r="Y305" s="69">
        <f t="shared" si="151"/>
        <v>5380</v>
      </c>
      <c r="Z305" s="69"/>
      <c r="AA305" s="69"/>
      <c r="AB305" s="69"/>
      <c r="AC305" s="69"/>
      <c r="AD305" s="69">
        <f t="shared" si="168"/>
        <v>0</v>
      </c>
      <c r="AE305" s="69"/>
      <c r="AF305" s="69"/>
      <c r="AG305" s="69"/>
      <c r="AH305" s="69">
        <f t="shared" si="169"/>
        <v>0</v>
      </c>
      <c r="AI305" s="69">
        <f t="shared" si="170"/>
        <v>5380</v>
      </c>
      <c r="AJ305" s="69"/>
      <c r="AK305" s="232"/>
      <c r="AL305" s="212"/>
      <c r="AM305" s="212"/>
      <c r="AN305" s="212"/>
      <c r="AO305" s="212"/>
      <c r="AP305" s="69">
        <f t="shared" si="152"/>
        <v>0</v>
      </c>
      <c r="AQ305" s="7"/>
      <c r="AR305" s="69"/>
      <c r="AS305" s="69"/>
      <c r="AT305" s="69"/>
      <c r="AU305" s="69">
        <f t="shared" si="153"/>
        <v>0</v>
      </c>
      <c r="AV305" s="69">
        <f t="shared" si="154"/>
        <v>5380</v>
      </c>
      <c r="AW305" s="14"/>
    </row>
    <row r="306" ht="23.15" customHeight="1" spans="1:49">
      <c r="A306" s="228">
        <f>SUBTOTAL(2,$Y$4:Y306)</f>
        <v>303</v>
      </c>
      <c r="B306" s="14" t="s">
        <v>666</v>
      </c>
      <c r="C306" s="14" t="s">
        <v>604</v>
      </c>
      <c r="D306" s="115">
        <v>5034</v>
      </c>
      <c r="E306" s="277">
        <v>32.425</v>
      </c>
      <c r="F306" s="118">
        <v>5034</v>
      </c>
      <c r="G306" s="118" t="s">
        <v>667</v>
      </c>
      <c r="H306" s="240">
        <f t="shared" si="171"/>
        <v>32.425</v>
      </c>
      <c r="I306" s="257">
        <v>4500</v>
      </c>
      <c r="J306" s="242">
        <v>500</v>
      </c>
      <c r="K306" s="69">
        <f t="shared" si="158"/>
        <v>5000</v>
      </c>
      <c r="L306" s="69">
        <v>160</v>
      </c>
      <c r="M306" s="69">
        <v>30273</v>
      </c>
      <c r="N306" s="69">
        <v>30299</v>
      </c>
      <c r="O306" s="69">
        <f t="shared" si="159"/>
        <v>26</v>
      </c>
      <c r="P306" s="231">
        <f t="shared" si="161"/>
        <v>0</v>
      </c>
      <c r="Q306" s="69">
        <f t="shared" si="160"/>
        <v>26</v>
      </c>
      <c r="R306" s="69">
        <v>0.8</v>
      </c>
      <c r="S306" s="220">
        <f t="shared" si="150"/>
        <v>18</v>
      </c>
      <c r="T306" s="220">
        <f t="shared" si="165"/>
        <v>21</v>
      </c>
      <c r="U306" s="222">
        <f t="shared" si="166"/>
        <v>97</v>
      </c>
      <c r="V306" s="220">
        <f t="shared" si="155"/>
        <v>146</v>
      </c>
      <c r="W306" s="69">
        <f t="shared" si="167"/>
        <v>6</v>
      </c>
      <c r="X306" s="220">
        <f t="shared" si="162"/>
        <v>51</v>
      </c>
      <c r="Y306" s="69">
        <f t="shared" si="151"/>
        <v>5396</v>
      </c>
      <c r="Z306" s="69"/>
      <c r="AA306" s="69"/>
      <c r="AB306" s="69"/>
      <c r="AC306" s="69"/>
      <c r="AD306" s="69">
        <f t="shared" si="168"/>
        <v>0</v>
      </c>
      <c r="AE306" s="69"/>
      <c r="AF306" s="69"/>
      <c r="AG306" s="69"/>
      <c r="AH306" s="69">
        <f t="shared" si="169"/>
        <v>0</v>
      </c>
      <c r="AI306" s="69">
        <f t="shared" si="170"/>
        <v>5396</v>
      </c>
      <c r="AJ306" s="69"/>
      <c r="AK306" s="232"/>
      <c r="AL306" s="212"/>
      <c r="AM306" s="212"/>
      <c r="AN306" s="212"/>
      <c r="AO306" s="212"/>
      <c r="AP306" s="69">
        <f t="shared" si="152"/>
        <v>0</v>
      </c>
      <c r="AQ306" s="7"/>
      <c r="AR306" s="69"/>
      <c r="AS306" s="69"/>
      <c r="AT306" s="69"/>
      <c r="AU306" s="69">
        <f t="shared" si="153"/>
        <v>0</v>
      </c>
      <c r="AV306" s="69">
        <f t="shared" si="154"/>
        <v>5396</v>
      </c>
      <c r="AW306" s="14"/>
    </row>
    <row r="307" ht="23.15" customHeight="1" spans="1:49">
      <c r="A307" s="228">
        <f>SUBTOTAL(2,$Y$4:Y307)</f>
        <v>304</v>
      </c>
      <c r="B307" s="14" t="s">
        <v>668</v>
      </c>
      <c r="C307" s="96" t="s">
        <v>604</v>
      </c>
      <c r="D307" s="96">
        <v>5035</v>
      </c>
      <c r="E307" s="282">
        <v>32.425</v>
      </c>
      <c r="F307" s="95">
        <v>5035</v>
      </c>
      <c r="G307" s="95" t="s">
        <v>574</v>
      </c>
      <c r="H307" s="246">
        <f t="shared" si="171"/>
        <v>32.425</v>
      </c>
      <c r="I307" s="7">
        <v>4500</v>
      </c>
      <c r="J307" s="238">
        <v>500</v>
      </c>
      <c r="K307" s="69">
        <f t="shared" si="158"/>
        <v>5000</v>
      </c>
      <c r="L307" s="69">
        <v>160</v>
      </c>
      <c r="M307" s="69">
        <v>28344</v>
      </c>
      <c r="N307" s="69">
        <v>28400</v>
      </c>
      <c r="O307" s="69">
        <f t="shared" si="159"/>
        <v>56</v>
      </c>
      <c r="P307" s="231">
        <f t="shared" si="161"/>
        <v>0</v>
      </c>
      <c r="Q307" s="69">
        <f t="shared" si="160"/>
        <v>56</v>
      </c>
      <c r="R307" s="69">
        <v>0.8</v>
      </c>
      <c r="S307" s="220">
        <f t="shared" si="150"/>
        <v>39</v>
      </c>
      <c r="T307" s="220">
        <f t="shared" si="165"/>
        <v>45</v>
      </c>
      <c r="U307" s="222">
        <f t="shared" si="166"/>
        <v>97</v>
      </c>
      <c r="V307" s="220">
        <f t="shared" si="155"/>
        <v>146</v>
      </c>
      <c r="W307" s="69">
        <f t="shared" si="167"/>
        <v>6</v>
      </c>
      <c r="X307" s="220">
        <f t="shared" si="162"/>
        <v>51</v>
      </c>
      <c r="Y307" s="69">
        <f t="shared" si="151"/>
        <v>5441</v>
      </c>
      <c r="Z307" s="69"/>
      <c r="AA307" s="69"/>
      <c r="AB307" s="69"/>
      <c r="AC307" s="69"/>
      <c r="AD307" s="69">
        <f t="shared" si="168"/>
        <v>0</v>
      </c>
      <c r="AE307" s="69"/>
      <c r="AF307" s="69"/>
      <c r="AG307" s="69"/>
      <c r="AH307" s="69">
        <f t="shared" si="169"/>
        <v>0</v>
      </c>
      <c r="AI307" s="69">
        <f t="shared" si="170"/>
        <v>5441</v>
      </c>
      <c r="AJ307" s="69"/>
      <c r="AK307" s="232"/>
      <c r="AL307" s="212"/>
      <c r="AM307" s="212"/>
      <c r="AN307" s="212"/>
      <c r="AO307" s="212"/>
      <c r="AP307" s="69">
        <f t="shared" si="152"/>
        <v>0</v>
      </c>
      <c r="AQ307" s="7"/>
      <c r="AR307" s="69"/>
      <c r="AS307" s="69"/>
      <c r="AT307" s="69"/>
      <c r="AU307" s="69">
        <f t="shared" si="153"/>
        <v>0</v>
      </c>
      <c r="AV307" s="69">
        <f t="shared" si="154"/>
        <v>5441</v>
      </c>
      <c r="AW307" s="14"/>
    </row>
    <row r="308" ht="23.15" customHeight="1" spans="1:49">
      <c r="A308" s="228">
        <f>SUBTOTAL(2,$Y$4:Y308)</f>
        <v>305</v>
      </c>
      <c r="B308" s="14" t="s">
        <v>669</v>
      </c>
      <c r="C308" s="96" t="s">
        <v>604</v>
      </c>
      <c r="D308" s="115">
        <v>5036</v>
      </c>
      <c r="E308" s="277">
        <v>32.425</v>
      </c>
      <c r="F308" s="95">
        <v>5036</v>
      </c>
      <c r="G308" s="95" t="s">
        <v>670</v>
      </c>
      <c r="H308" s="246">
        <f t="shared" si="171"/>
        <v>32.425</v>
      </c>
      <c r="I308" s="7">
        <v>4500</v>
      </c>
      <c r="J308" s="238">
        <v>500</v>
      </c>
      <c r="K308" s="69">
        <f t="shared" si="158"/>
        <v>5000</v>
      </c>
      <c r="L308" s="69">
        <v>160</v>
      </c>
      <c r="M308" s="69">
        <v>24890</v>
      </c>
      <c r="N308" s="69">
        <v>24969</v>
      </c>
      <c r="O308" s="69">
        <f t="shared" si="159"/>
        <v>79</v>
      </c>
      <c r="P308" s="231">
        <f t="shared" si="161"/>
        <v>0</v>
      </c>
      <c r="Q308" s="69">
        <f t="shared" si="160"/>
        <v>79</v>
      </c>
      <c r="R308" s="69">
        <v>0.8</v>
      </c>
      <c r="S308" s="220">
        <f t="shared" si="150"/>
        <v>55</v>
      </c>
      <c r="T308" s="220">
        <f t="shared" si="165"/>
        <v>63</v>
      </c>
      <c r="U308" s="222">
        <f t="shared" si="166"/>
        <v>97</v>
      </c>
      <c r="V308" s="220">
        <f t="shared" si="155"/>
        <v>146</v>
      </c>
      <c r="W308" s="69">
        <f t="shared" si="167"/>
        <v>6</v>
      </c>
      <c r="X308" s="220">
        <f t="shared" si="162"/>
        <v>51</v>
      </c>
      <c r="Y308" s="69">
        <f t="shared" si="151"/>
        <v>5475</v>
      </c>
      <c r="Z308" s="69"/>
      <c r="AA308" s="69"/>
      <c r="AB308" s="69"/>
      <c r="AC308" s="69"/>
      <c r="AD308" s="69">
        <f t="shared" si="168"/>
        <v>0</v>
      </c>
      <c r="AE308" s="69"/>
      <c r="AF308" s="69"/>
      <c r="AG308" s="69"/>
      <c r="AH308" s="69">
        <f t="shared" si="169"/>
        <v>0</v>
      </c>
      <c r="AI308" s="69">
        <f t="shared" si="170"/>
        <v>5475</v>
      </c>
      <c r="AJ308" s="69"/>
      <c r="AK308" s="232"/>
      <c r="AL308" s="212"/>
      <c r="AM308" s="212"/>
      <c r="AN308" s="212"/>
      <c r="AO308" s="212"/>
      <c r="AP308" s="69">
        <f t="shared" si="152"/>
        <v>0</v>
      </c>
      <c r="AQ308" s="7"/>
      <c r="AR308" s="69"/>
      <c r="AS308" s="69"/>
      <c r="AT308" s="69"/>
      <c r="AU308" s="69">
        <f t="shared" si="153"/>
        <v>0</v>
      </c>
      <c r="AV308" s="69">
        <f t="shared" si="154"/>
        <v>5475</v>
      </c>
      <c r="AW308" s="14"/>
    </row>
    <row r="309" ht="23.15" customHeight="1" spans="1:49">
      <c r="A309" s="228">
        <f>SUBTOTAL(2,$Y$4:Y309)</f>
        <v>306</v>
      </c>
      <c r="B309" s="14" t="s">
        <v>671</v>
      </c>
      <c r="C309" s="14" t="s">
        <v>604</v>
      </c>
      <c r="D309" s="115">
        <v>5037</v>
      </c>
      <c r="E309" s="277">
        <v>32.425</v>
      </c>
      <c r="F309" s="155">
        <v>5037</v>
      </c>
      <c r="G309" s="155" t="s">
        <v>672</v>
      </c>
      <c r="H309" s="243">
        <f t="shared" ref="H309:H319" si="172">E309</f>
        <v>32.425</v>
      </c>
      <c r="I309" s="257">
        <v>4500</v>
      </c>
      <c r="J309" s="245">
        <v>500</v>
      </c>
      <c r="K309" s="69">
        <f t="shared" si="158"/>
        <v>5000</v>
      </c>
      <c r="L309" s="69">
        <v>160</v>
      </c>
      <c r="M309" s="69">
        <v>26460</v>
      </c>
      <c r="N309" s="69">
        <v>26549</v>
      </c>
      <c r="O309" s="69">
        <f t="shared" si="159"/>
        <v>89</v>
      </c>
      <c r="P309" s="231">
        <f t="shared" si="161"/>
        <v>0</v>
      </c>
      <c r="Q309" s="69">
        <f t="shared" si="160"/>
        <v>89</v>
      </c>
      <c r="R309" s="69">
        <v>0.8</v>
      </c>
      <c r="S309" s="220">
        <f t="shared" si="150"/>
        <v>62</v>
      </c>
      <c r="T309" s="220">
        <f t="shared" si="165"/>
        <v>71</v>
      </c>
      <c r="U309" s="222">
        <f t="shared" si="166"/>
        <v>97</v>
      </c>
      <c r="V309" s="220">
        <f t="shared" si="155"/>
        <v>146</v>
      </c>
      <c r="W309" s="69">
        <f t="shared" si="167"/>
        <v>6</v>
      </c>
      <c r="X309" s="220">
        <f t="shared" si="162"/>
        <v>51</v>
      </c>
      <c r="Y309" s="69">
        <f t="shared" si="151"/>
        <v>5490</v>
      </c>
      <c r="Z309" s="69"/>
      <c r="AA309" s="69"/>
      <c r="AB309" s="69"/>
      <c r="AC309" s="69"/>
      <c r="AD309" s="69">
        <f t="shared" si="168"/>
        <v>0</v>
      </c>
      <c r="AE309" s="69"/>
      <c r="AF309" s="69"/>
      <c r="AG309" s="69"/>
      <c r="AH309" s="69">
        <f t="shared" si="169"/>
        <v>0</v>
      </c>
      <c r="AI309" s="69">
        <f t="shared" si="170"/>
        <v>5490</v>
      </c>
      <c r="AJ309" s="69"/>
      <c r="AK309" s="232"/>
      <c r="AL309" s="212"/>
      <c r="AM309" s="212"/>
      <c r="AN309" s="212"/>
      <c r="AO309" s="212"/>
      <c r="AP309" s="69">
        <f t="shared" si="152"/>
        <v>0</v>
      </c>
      <c r="AQ309" s="7"/>
      <c r="AR309" s="69"/>
      <c r="AS309" s="69"/>
      <c r="AT309" s="69"/>
      <c r="AU309" s="69">
        <f t="shared" si="153"/>
        <v>0</v>
      </c>
      <c r="AV309" s="69">
        <f t="shared" si="154"/>
        <v>5490</v>
      </c>
      <c r="AW309" s="14"/>
    </row>
    <row r="310" ht="23.15" customHeight="1" spans="1:49">
      <c r="A310" s="228">
        <f>SUBTOTAL(2,$Y$4:Y310)</f>
        <v>307</v>
      </c>
      <c r="B310" s="14" t="s">
        <v>673</v>
      </c>
      <c r="C310" s="14" t="s">
        <v>604</v>
      </c>
      <c r="D310" s="115">
        <v>5038</v>
      </c>
      <c r="E310" s="277">
        <v>32.425</v>
      </c>
      <c r="F310" s="22">
        <v>5038</v>
      </c>
      <c r="G310" s="22" t="s">
        <v>674</v>
      </c>
      <c r="H310" s="14">
        <f t="shared" si="172"/>
        <v>32.425</v>
      </c>
      <c r="I310" s="7">
        <v>4500</v>
      </c>
      <c r="J310" s="226">
        <v>500</v>
      </c>
      <c r="K310" s="69">
        <f t="shared" si="158"/>
        <v>5000</v>
      </c>
      <c r="L310" s="69">
        <v>160</v>
      </c>
      <c r="M310" s="69">
        <v>23752</v>
      </c>
      <c r="N310" s="69">
        <v>23863</v>
      </c>
      <c r="O310" s="69">
        <f t="shared" si="159"/>
        <v>111</v>
      </c>
      <c r="P310" s="231">
        <f t="shared" si="161"/>
        <v>0</v>
      </c>
      <c r="Q310" s="69">
        <f t="shared" si="160"/>
        <v>111</v>
      </c>
      <c r="R310" s="69">
        <v>0.8</v>
      </c>
      <c r="S310" s="220">
        <f t="shared" si="150"/>
        <v>78</v>
      </c>
      <c r="T310" s="220">
        <f t="shared" si="165"/>
        <v>89</v>
      </c>
      <c r="U310" s="222">
        <f t="shared" si="166"/>
        <v>97</v>
      </c>
      <c r="V310" s="220">
        <f t="shared" si="155"/>
        <v>146</v>
      </c>
      <c r="W310" s="69">
        <f t="shared" si="167"/>
        <v>6</v>
      </c>
      <c r="X310" s="220">
        <f t="shared" si="162"/>
        <v>51</v>
      </c>
      <c r="Y310" s="69">
        <f t="shared" si="151"/>
        <v>5524</v>
      </c>
      <c r="Z310" s="69"/>
      <c r="AA310" s="69"/>
      <c r="AB310" s="69"/>
      <c r="AC310" s="69"/>
      <c r="AD310" s="69">
        <f t="shared" si="168"/>
        <v>0</v>
      </c>
      <c r="AE310" s="69"/>
      <c r="AF310" s="69"/>
      <c r="AG310" s="69"/>
      <c r="AH310" s="69">
        <f t="shared" si="169"/>
        <v>0</v>
      </c>
      <c r="AI310" s="69">
        <f t="shared" si="170"/>
        <v>5524</v>
      </c>
      <c r="AJ310" s="69"/>
      <c r="AK310" s="232"/>
      <c r="AL310" s="212"/>
      <c r="AM310" s="212"/>
      <c r="AN310" s="212"/>
      <c r="AO310" s="212"/>
      <c r="AP310" s="69">
        <f t="shared" si="152"/>
        <v>0</v>
      </c>
      <c r="AQ310" s="7"/>
      <c r="AR310" s="69"/>
      <c r="AS310" s="69"/>
      <c r="AT310" s="69"/>
      <c r="AU310" s="69">
        <f t="shared" si="153"/>
        <v>0</v>
      </c>
      <c r="AV310" s="69">
        <f t="shared" si="154"/>
        <v>5524</v>
      </c>
      <c r="AW310" s="14"/>
    </row>
    <row r="311" ht="23.15" customHeight="1" spans="1:49">
      <c r="A311" s="228">
        <f>SUBTOTAL(2,$Y$4:Y311)</f>
        <v>308</v>
      </c>
      <c r="B311" s="14" t="s">
        <v>675</v>
      </c>
      <c r="C311" s="14" t="s">
        <v>604</v>
      </c>
      <c r="D311" s="115">
        <v>5039</v>
      </c>
      <c r="E311" s="277">
        <v>32.425</v>
      </c>
      <c r="F311" s="118">
        <v>5039</v>
      </c>
      <c r="G311" s="118" t="s">
        <v>676</v>
      </c>
      <c r="H311" s="240">
        <f t="shared" si="172"/>
        <v>32.425</v>
      </c>
      <c r="I311" s="257">
        <v>4500</v>
      </c>
      <c r="J311" s="258">
        <v>500</v>
      </c>
      <c r="K311" s="69">
        <f t="shared" si="158"/>
        <v>5000</v>
      </c>
      <c r="L311" s="69">
        <v>160</v>
      </c>
      <c r="M311" s="69">
        <v>23278</v>
      </c>
      <c r="N311" s="69">
        <v>23330</v>
      </c>
      <c r="O311" s="69">
        <f t="shared" si="159"/>
        <v>52</v>
      </c>
      <c r="P311" s="231">
        <f t="shared" si="161"/>
        <v>0</v>
      </c>
      <c r="Q311" s="69">
        <f t="shared" si="160"/>
        <v>52</v>
      </c>
      <c r="R311" s="69">
        <v>0.8</v>
      </c>
      <c r="S311" s="220">
        <f t="shared" si="150"/>
        <v>36</v>
      </c>
      <c r="T311" s="220">
        <f t="shared" si="165"/>
        <v>42</v>
      </c>
      <c r="U311" s="222">
        <f t="shared" si="166"/>
        <v>97</v>
      </c>
      <c r="V311" s="220">
        <f t="shared" si="155"/>
        <v>146</v>
      </c>
      <c r="W311" s="69">
        <f t="shared" si="167"/>
        <v>6</v>
      </c>
      <c r="X311" s="220">
        <f t="shared" si="162"/>
        <v>51</v>
      </c>
      <c r="Y311" s="69">
        <f t="shared" si="151"/>
        <v>5435</v>
      </c>
      <c r="Z311" s="69"/>
      <c r="AA311" s="69"/>
      <c r="AB311" s="69"/>
      <c r="AC311" s="69"/>
      <c r="AD311" s="69">
        <f t="shared" si="168"/>
        <v>0</v>
      </c>
      <c r="AE311" s="69"/>
      <c r="AF311" s="69"/>
      <c r="AG311" s="69"/>
      <c r="AH311" s="69">
        <f t="shared" si="169"/>
        <v>0</v>
      </c>
      <c r="AI311" s="69">
        <f t="shared" si="170"/>
        <v>5435</v>
      </c>
      <c r="AJ311" s="69"/>
      <c r="AK311" s="232"/>
      <c r="AL311" s="212"/>
      <c r="AM311" s="212"/>
      <c r="AN311" s="212"/>
      <c r="AO311" s="212"/>
      <c r="AP311" s="69">
        <f t="shared" si="152"/>
        <v>0</v>
      </c>
      <c r="AQ311" s="7"/>
      <c r="AR311" s="69"/>
      <c r="AS311" s="69"/>
      <c r="AT311" s="69"/>
      <c r="AU311" s="69">
        <f t="shared" si="153"/>
        <v>0</v>
      </c>
      <c r="AV311" s="69">
        <f t="shared" si="154"/>
        <v>5435</v>
      </c>
      <c r="AW311" s="14"/>
    </row>
    <row r="312" ht="23.15" customHeight="1" spans="1:49">
      <c r="A312" s="228">
        <f>SUBTOTAL(2,$Y$4:Y312)</f>
        <v>309</v>
      </c>
      <c r="B312" s="14" t="s">
        <v>677</v>
      </c>
      <c r="C312" s="96" t="s">
        <v>604</v>
      </c>
      <c r="D312" s="115">
        <v>5040</v>
      </c>
      <c r="E312" s="277">
        <v>32.425</v>
      </c>
      <c r="F312" s="95">
        <v>5040</v>
      </c>
      <c r="G312" s="95" t="s">
        <v>678</v>
      </c>
      <c r="H312" s="14">
        <f t="shared" si="172"/>
        <v>32.425</v>
      </c>
      <c r="I312" s="7">
        <v>4500</v>
      </c>
      <c r="J312" s="226">
        <v>500</v>
      </c>
      <c r="K312" s="69">
        <f t="shared" si="158"/>
        <v>5000</v>
      </c>
      <c r="L312" s="69">
        <v>160</v>
      </c>
      <c r="M312" s="69">
        <v>24121</v>
      </c>
      <c r="N312" s="69">
        <v>24204</v>
      </c>
      <c r="O312" s="69">
        <f t="shared" si="159"/>
        <v>83</v>
      </c>
      <c r="P312" s="231">
        <f t="shared" si="161"/>
        <v>0</v>
      </c>
      <c r="Q312" s="69">
        <f t="shared" si="160"/>
        <v>83</v>
      </c>
      <c r="R312" s="69">
        <v>0.8</v>
      </c>
      <c r="S312" s="220">
        <f t="shared" si="150"/>
        <v>58</v>
      </c>
      <c r="T312" s="220">
        <f t="shared" si="165"/>
        <v>66</v>
      </c>
      <c r="U312" s="222">
        <f t="shared" si="166"/>
        <v>97</v>
      </c>
      <c r="V312" s="220">
        <f t="shared" si="155"/>
        <v>146</v>
      </c>
      <c r="W312" s="69">
        <f t="shared" si="167"/>
        <v>6</v>
      </c>
      <c r="X312" s="220">
        <f t="shared" si="162"/>
        <v>51</v>
      </c>
      <c r="Y312" s="69">
        <f t="shared" si="151"/>
        <v>5481</v>
      </c>
      <c r="Z312" s="69"/>
      <c r="AA312" s="69"/>
      <c r="AB312" s="69"/>
      <c r="AC312" s="69"/>
      <c r="AD312" s="69">
        <f t="shared" si="168"/>
        <v>0</v>
      </c>
      <c r="AE312" s="69"/>
      <c r="AF312" s="69"/>
      <c r="AG312" s="69"/>
      <c r="AH312" s="69">
        <f t="shared" si="169"/>
        <v>0</v>
      </c>
      <c r="AI312" s="69">
        <f t="shared" si="170"/>
        <v>5481</v>
      </c>
      <c r="AJ312" s="69"/>
      <c r="AK312" s="232"/>
      <c r="AL312" s="212"/>
      <c r="AM312" s="212"/>
      <c r="AN312" s="212"/>
      <c r="AO312" s="212"/>
      <c r="AP312" s="69">
        <f t="shared" si="152"/>
        <v>0</v>
      </c>
      <c r="AQ312" s="7"/>
      <c r="AR312" s="69"/>
      <c r="AS312" s="69"/>
      <c r="AT312" s="69"/>
      <c r="AU312" s="69">
        <f t="shared" si="153"/>
        <v>0</v>
      </c>
      <c r="AV312" s="69">
        <f t="shared" si="154"/>
        <v>5481</v>
      </c>
      <c r="AW312" s="14"/>
    </row>
    <row r="313" ht="23.15" customHeight="1" spans="1:49">
      <c r="A313" s="228">
        <f>SUBTOTAL(2,$Y$4:Y313)</f>
        <v>310</v>
      </c>
      <c r="B313" s="14" t="s">
        <v>679</v>
      </c>
      <c r="C313" s="96" t="s">
        <v>604</v>
      </c>
      <c r="D313" s="115">
        <v>5041</v>
      </c>
      <c r="E313" s="277">
        <v>32.425</v>
      </c>
      <c r="F313" s="95">
        <v>5041</v>
      </c>
      <c r="G313" s="95" t="s">
        <v>525</v>
      </c>
      <c r="H313" s="14">
        <f t="shared" si="172"/>
        <v>32.425</v>
      </c>
      <c r="I313" s="7">
        <v>4500</v>
      </c>
      <c r="J313" s="226">
        <v>500</v>
      </c>
      <c r="K313" s="69">
        <f t="shared" si="158"/>
        <v>5000</v>
      </c>
      <c r="L313" s="69">
        <v>160</v>
      </c>
      <c r="M313" s="69">
        <v>26232</v>
      </c>
      <c r="N313" s="69">
        <v>26298</v>
      </c>
      <c r="O313" s="69">
        <f t="shared" si="159"/>
        <v>66</v>
      </c>
      <c r="P313" s="231">
        <f t="shared" si="161"/>
        <v>0</v>
      </c>
      <c r="Q313" s="69">
        <f t="shared" si="160"/>
        <v>66</v>
      </c>
      <c r="R313" s="69">
        <v>0.8</v>
      </c>
      <c r="S313" s="220">
        <f t="shared" si="150"/>
        <v>46</v>
      </c>
      <c r="T313" s="220">
        <f t="shared" si="165"/>
        <v>53</v>
      </c>
      <c r="U313" s="222">
        <f t="shared" si="166"/>
        <v>97</v>
      </c>
      <c r="V313" s="220">
        <f t="shared" si="155"/>
        <v>146</v>
      </c>
      <c r="W313" s="69">
        <f t="shared" si="167"/>
        <v>6</v>
      </c>
      <c r="X313" s="220">
        <f t="shared" si="162"/>
        <v>51</v>
      </c>
      <c r="Y313" s="69">
        <f t="shared" si="151"/>
        <v>5456</v>
      </c>
      <c r="Z313" s="69"/>
      <c r="AA313" s="69"/>
      <c r="AB313" s="69"/>
      <c r="AC313" s="69"/>
      <c r="AD313" s="69">
        <f t="shared" si="168"/>
        <v>0</v>
      </c>
      <c r="AE313" s="69"/>
      <c r="AF313" s="69"/>
      <c r="AG313" s="69"/>
      <c r="AH313" s="69">
        <f t="shared" si="169"/>
        <v>0</v>
      </c>
      <c r="AI313" s="69">
        <f t="shared" si="170"/>
        <v>5456</v>
      </c>
      <c r="AJ313" s="69"/>
      <c r="AK313" s="232"/>
      <c r="AL313" s="212"/>
      <c r="AM313" s="212"/>
      <c r="AN313" s="212"/>
      <c r="AO313" s="212"/>
      <c r="AP313" s="69">
        <f t="shared" si="152"/>
        <v>0</v>
      </c>
      <c r="AQ313" s="7"/>
      <c r="AR313" s="69"/>
      <c r="AS313" s="69"/>
      <c r="AT313" s="69"/>
      <c r="AU313" s="69">
        <f t="shared" si="153"/>
        <v>0</v>
      </c>
      <c r="AV313" s="69">
        <f t="shared" si="154"/>
        <v>5456</v>
      </c>
      <c r="AW313" s="14"/>
    </row>
    <row r="314" ht="23.15" customHeight="1" spans="1:49">
      <c r="A314" s="228">
        <f>SUBTOTAL(2,$Y$4:Y314)</f>
        <v>311</v>
      </c>
      <c r="B314" s="14" t="s">
        <v>680</v>
      </c>
      <c r="C314" s="14" t="s">
        <v>604</v>
      </c>
      <c r="D314" s="115">
        <v>5042</v>
      </c>
      <c r="E314" s="277">
        <v>32.425</v>
      </c>
      <c r="F314" s="118">
        <v>5042</v>
      </c>
      <c r="G314" s="154" t="s">
        <v>163</v>
      </c>
      <c r="H314" s="240">
        <f t="shared" si="172"/>
        <v>32.425</v>
      </c>
      <c r="I314" s="241">
        <v>4500</v>
      </c>
      <c r="J314" s="242">
        <v>500</v>
      </c>
      <c r="K314" s="69">
        <f t="shared" si="158"/>
        <v>5000</v>
      </c>
      <c r="L314" s="69">
        <v>160</v>
      </c>
      <c r="M314" s="69">
        <v>29926</v>
      </c>
      <c r="N314" s="69">
        <v>29988</v>
      </c>
      <c r="O314" s="69">
        <f t="shared" si="159"/>
        <v>62</v>
      </c>
      <c r="P314" s="231">
        <f t="shared" si="161"/>
        <v>0</v>
      </c>
      <c r="Q314" s="69">
        <f t="shared" si="160"/>
        <v>62</v>
      </c>
      <c r="R314" s="69">
        <v>0.8</v>
      </c>
      <c r="S314" s="220">
        <f t="shared" si="150"/>
        <v>43</v>
      </c>
      <c r="T314" s="220">
        <f t="shared" si="165"/>
        <v>50</v>
      </c>
      <c r="U314" s="222">
        <f t="shared" si="166"/>
        <v>97</v>
      </c>
      <c r="V314" s="220">
        <f t="shared" si="155"/>
        <v>146</v>
      </c>
      <c r="W314" s="69">
        <f t="shared" si="167"/>
        <v>6</v>
      </c>
      <c r="X314" s="220">
        <f t="shared" si="162"/>
        <v>51</v>
      </c>
      <c r="Y314" s="69">
        <f t="shared" si="151"/>
        <v>5450</v>
      </c>
      <c r="Z314" s="69"/>
      <c r="AA314" s="69"/>
      <c r="AB314" s="69"/>
      <c r="AC314" s="69"/>
      <c r="AD314" s="69">
        <f t="shared" si="168"/>
        <v>0</v>
      </c>
      <c r="AE314" s="69"/>
      <c r="AF314" s="69"/>
      <c r="AG314" s="69"/>
      <c r="AH314" s="69">
        <f t="shared" si="169"/>
        <v>0</v>
      </c>
      <c r="AI314" s="69">
        <f t="shared" si="170"/>
        <v>5450</v>
      </c>
      <c r="AJ314" s="69"/>
      <c r="AK314" s="232"/>
      <c r="AL314" s="212"/>
      <c r="AM314" s="212"/>
      <c r="AN314" s="212"/>
      <c r="AO314" s="212"/>
      <c r="AP314" s="69">
        <f t="shared" si="152"/>
        <v>0</v>
      </c>
      <c r="AQ314" s="7"/>
      <c r="AR314" s="69"/>
      <c r="AS314" s="69"/>
      <c r="AT314" s="69"/>
      <c r="AU314" s="69">
        <f t="shared" si="153"/>
        <v>0</v>
      </c>
      <c r="AV314" s="69">
        <f t="shared" si="154"/>
        <v>5450</v>
      </c>
      <c r="AW314" s="14"/>
    </row>
    <row r="315" ht="23.15" customHeight="1" spans="1:49">
      <c r="A315" s="228">
        <f>SUBTOTAL(2,$Y$4:Y315)</f>
        <v>312</v>
      </c>
      <c r="B315" s="14" t="s">
        <v>681</v>
      </c>
      <c r="C315" s="14" t="s">
        <v>604</v>
      </c>
      <c r="D315" s="115">
        <v>5043</v>
      </c>
      <c r="E315" s="277">
        <v>32.425</v>
      </c>
      <c r="F315" s="95">
        <v>5043</v>
      </c>
      <c r="G315" s="95" t="s">
        <v>682</v>
      </c>
      <c r="H315" s="14">
        <f t="shared" si="172"/>
        <v>32.425</v>
      </c>
      <c r="I315" s="7">
        <v>4500</v>
      </c>
      <c r="J315" s="7">
        <v>500</v>
      </c>
      <c r="K315" s="7">
        <f t="shared" si="158"/>
        <v>5000</v>
      </c>
      <c r="L315" s="69">
        <v>160</v>
      </c>
      <c r="M315" s="69">
        <v>32848</v>
      </c>
      <c r="N315" s="69">
        <v>32882</v>
      </c>
      <c r="O315" s="69">
        <f t="shared" si="159"/>
        <v>34</v>
      </c>
      <c r="P315" s="231">
        <f t="shared" si="161"/>
        <v>0</v>
      </c>
      <c r="Q315" s="69">
        <f t="shared" si="160"/>
        <v>34</v>
      </c>
      <c r="R315" s="69">
        <v>0.8</v>
      </c>
      <c r="S315" s="220">
        <f t="shared" si="150"/>
        <v>24</v>
      </c>
      <c r="T315" s="220">
        <f t="shared" si="165"/>
        <v>27</v>
      </c>
      <c r="U315" s="222">
        <f t="shared" si="166"/>
        <v>97</v>
      </c>
      <c r="V315" s="220">
        <f t="shared" si="155"/>
        <v>146</v>
      </c>
      <c r="W315" s="69">
        <f t="shared" si="167"/>
        <v>6</v>
      </c>
      <c r="X315" s="220">
        <f t="shared" si="162"/>
        <v>51</v>
      </c>
      <c r="Y315" s="69">
        <f t="shared" si="151"/>
        <v>5408</v>
      </c>
      <c r="Z315" s="69"/>
      <c r="AA315" s="69"/>
      <c r="AB315" s="69"/>
      <c r="AC315" s="69"/>
      <c r="AD315" s="69">
        <f t="shared" si="168"/>
        <v>0</v>
      </c>
      <c r="AE315" s="69"/>
      <c r="AF315" s="69"/>
      <c r="AG315" s="69"/>
      <c r="AH315" s="69">
        <f t="shared" si="169"/>
        <v>0</v>
      </c>
      <c r="AI315" s="69">
        <f t="shared" si="170"/>
        <v>5408</v>
      </c>
      <c r="AJ315" s="69"/>
      <c r="AK315" s="232"/>
      <c r="AL315" s="212"/>
      <c r="AM315" s="212"/>
      <c r="AN315" s="212"/>
      <c r="AO315" s="212"/>
      <c r="AP315" s="69">
        <f t="shared" si="152"/>
        <v>0</v>
      </c>
      <c r="AQ315" s="7"/>
      <c r="AR315" s="69"/>
      <c r="AS315" s="69"/>
      <c r="AT315" s="69"/>
      <c r="AU315" s="69">
        <f t="shared" si="153"/>
        <v>0</v>
      </c>
      <c r="AV315" s="69">
        <f t="shared" si="154"/>
        <v>5408</v>
      </c>
      <c r="AW315" s="14"/>
    </row>
    <row r="316" ht="23.15" customHeight="1" spans="1:49">
      <c r="A316" s="228">
        <f>SUBTOTAL(2,$Y$4:Y316)</f>
        <v>313</v>
      </c>
      <c r="B316" s="14" t="s">
        <v>681</v>
      </c>
      <c r="C316" s="14" t="s">
        <v>604</v>
      </c>
      <c r="D316" s="115" t="s">
        <v>683</v>
      </c>
      <c r="E316" s="277">
        <v>32.425</v>
      </c>
      <c r="F316" s="95" t="s">
        <v>683</v>
      </c>
      <c r="G316" s="95" t="s">
        <v>684</v>
      </c>
      <c r="H316" s="14">
        <f t="shared" si="172"/>
        <v>32.425</v>
      </c>
      <c r="I316" s="7">
        <v>4500</v>
      </c>
      <c r="J316" s="226">
        <v>500</v>
      </c>
      <c r="K316" s="69">
        <f t="shared" si="158"/>
        <v>5000</v>
      </c>
      <c r="L316" s="69">
        <v>160</v>
      </c>
      <c r="M316" s="69">
        <v>25028</v>
      </c>
      <c r="N316" s="69">
        <v>25161</v>
      </c>
      <c r="O316" s="69">
        <f t="shared" si="159"/>
        <v>133</v>
      </c>
      <c r="P316" s="231">
        <f t="shared" si="161"/>
        <v>0</v>
      </c>
      <c r="Q316" s="69">
        <f t="shared" si="160"/>
        <v>133</v>
      </c>
      <c r="R316" s="69">
        <v>0.8</v>
      </c>
      <c r="S316" s="220">
        <f t="shared" si="150"/>
        <v>93</v>
      </c>
      <c r="T316" s="220">
        <f t="shared" si="165"/>
        <v>106</v>
      </c>
      <c r="U316" s="222">
        <f t="shared" si="166"/>
        <v>97</v>
      </c>
      <c r="V316" s="220">
        <f t="shared" si="155"/>
        <v>146</v>
      </c>
      <c r="W316" s="69">
        <f t="shared" si="167"/>
        <v>6</v>
      </c>
      <c r="X316" s="220">
        <f t="shared" si="162"/>
        <v>51</v>
      </c>
      <c r="Y316" s="69">
        <f t="shared" si="151"/>
        <v>5556</v>
      </c>
      <c r="Z316" s="69"/>
      <c r="AA316" s="69"/>
      <c r="AB316" s="69"/>
      <c r="AC316" s="69"/>
      <c r="AD316" s="69">
        <f t="shared" si="168"/>
        <v>0</v>
      </c>
      <c r="AE316" s="69"/>
      <c r="AF316" s="69"/>
      <c r="AG316" s="69"/>
      <c r="AH316" s="69">
        <f t="shared" si="169"/>
        <v>0</v>
      </c>
      <c r="AI316" s="69">
        <f t="shared" si="170"/>
        <v>5556</v>
      </c>
      <c r="AJ316" s="69"/>
      <c r="AK316" s="232"/>
      <c r="AL316" s="212"/>
      <c r="AM316" s="212"/>
      <c r="AN316" s="212"/>
      <c r="AO316" s="212"/>
      <c r="AP316" s="69">
        <f t="shared" si="152"/>
        <v>0</v>
      </c>
      <c r="AQ316" s="7"/>
      <c r="AR316" s="69"/>
      <c r="AS316" s="69"/>
      <c r="AT316" s="69"/>
      <c r="AU316" s="69">
        <f t="shared" si="153"/>
        <v>0</v>
      </c>
      <c r="AV316" s="69">
        <f t="shared" si="154"/>
        <v>5556</v>
      </c>
      <c r="AW316" s="14"/>
    </row>
    <row r="317" s="3" customFormat="1" ht="23.15" customHeight="1" spans="1:49">
      <c r="A317" s="228">
        <f>SUBTOTAL(2,$Y$4:Y317)</f>
        <v>314</v>
      </c>
      <c r="B317" s="14" t="s">
        <v>685</v>
      </c>
      <c r="C317" s="96" t="s">
        <v>604</v>
      </c>
      <c r="D317" s="115">
        <v>5045</v>
      </c>
      <c r="E317" s="277">
        <v>32.425</v>
      </c>
      <c r="F317" s="95">
        <v>5045</v>
      </c>
      <c r="G317" s="95" t="s">
        <v>686</v>
      </c>
      <c r="H317" s="14">
        <f t="shared" si="172"/>
        <v>32.425</v>
      </c>
      <c r="I317" s="7">
        <v>4500</v>
      </c>
      <c r="J317" s="226">
        <v>500</v>
      </c>
      <c r="K317" s="69">
        <f t="shared" si="158"/>
        <v>5000</v>
      </c>
      <c r="L317" s="69">
        <v>160</v>
      </c>
      <c r="M317" s="69">
        <v>29429</v>
      </c>
      <c r="N317" s="69">
        <v>29559</v>
      </c>
      <c r="O317" s="69">
        <f t="shared" si="159"/>
        <v>130</v>
      </c>
      <c r="P317" s="231">
        <f t="shared" si="161"/>
        <v>0</v>
      </c>
      <c r="Q317" s="69">
        <f t="shared" si="160"/>
        <v>130</v>
      </c>
      <c r="R317" s="69">
        <v>0.8</v>
      </c>
      <c r="S317" s="220">
        <f t="shared" si="150"/>
        <v>91</v>
      </c>
      <c r="T317" s="220">
        <f t="shared" si="165"/>
        <v>104</v>
      </c>
      <c r="U317" s="222">
        <f t="shared" si="166"/>
        <v>97</v>
      </c>
      <c r="V317" s="220">
        <f t="shared" si="155"/>
        <v>146</v>
      </c>
      <c r="W317" s="69">
        <f t="shared" si="167"/>
        <v>6</v>
      </c>
      <c r="X317" s="220">
        <f t="shared" si="162"/>
        <v>51</v>
      </c>
      <c r="Y317" s="69">
        <f t="shared" si="151"/>
        <v>5552</v>
      </c>
      <c r="Z317" s="69"/>
      <c r="AA317" s="69"/>
      <c r="AB317" s="69"/>
      <c r="AC317" s="69"/>
      <c r="AD317" s="69">
        <f t="shared" si="168"/>
        <v>0</v>
      </c>
      <c r="AE317" s="69"/>
      <c r="AF317" s="69"/>
      <c r="AG317" s="69"/>
      <c r="AH317" s="69">
        <f t="shared" si="169"/>
        <v>0</v>
      </c>
      <c r="AI317" s="69">
        <f t="shared" si="170"/>
        <v>5552</v>
      </c>
      <c r="AJ317" s="69"/>
      <c r="AK317" s="232"/>
      <c r="AL317" s="212"/>
      <c r="AM317" s="212"/>
      <c r="AN317" s="212"/>
      <c r="AO317" s="212"/>
      <c r="AP317" s="69">
        <f t="shared" si="152"/>
        <v>0</v>
      </c>
      <c r="AQ317" s="7"/>
      <c r="AR317" s="69"/>
      <c r="AS317" s="69"/>
      <c r="AT317" s="69"/>
      <c r="AU317" s="69">
        <f t="shared" si="153"/>
        <v>0</v>
      </c>
      <c r="AV317" s="69">
        <f t="shared" si="154"/>
        <v>5552</v>
      </c>
      <c r="AW317" s="14"/>
    </row>
    <row r="318" ht="23.15" customHeight="1" spans="1:49">
      <c r="A318" s="228">
        <f>SUBTOTAL(2,$Y$4:Y318)</f>
        <v>315</v>
      </c>
      <c r="B318" s="14" t="s">
        <v>687</v>
      </c>
      <c r="C318" s="14" t="s">
        <v>604</v>
      </c>
      <c r="D318" s="115" t="s">
        <v>688</v>
      </c>
      <c r="E318" s="277">
        <f>32.425+18</f>
        <v>50.425</v>
      </c>
      <c r="F318" s="13" t="s">
        <v>688</v>
      </c>
      <c r="G318" s="13" t="s">
        <v>689</v>
      </c>
      <c r="H318" s="14">
        <f t="shared" si="172"/>
        <v>50.425</v>
      </c>
      <c r="I318" s="7">
        <v>5000</v>
      </c>
      <c r="J318" s="230">
        <v>500</v>
      </c>
      <c r="K318" s="69">
        <f t="shared" si="158"/>
        <v>5500</v>
      </c>
      <c r="L318" s="69">
        <v>320</v>
      </c>
      <c r="M318" s="67">
        <v>55313</v>
      </c>
      <c r="N318" s="67">
        <v>55364</v>
      </c>
      <c r="O318" s="69">
        <f t="shared" si="159"/>
        <v>51</v>
      </c>
      <c r="P318" s="231">
        <f t="shared" si="161"/>
        <v>0</v>
      </c>
      <c r="Q318" s="69">
        <f t="shared" si="160"/>
        <v>51</v>
      </c>
      <c r="R318" s="69">
        <v>0.8</v>
      </c>
      <c r="S318" s="220">
        <f t="shared" si="150"/>
        <v>36</v>
      </c>
      <c r="T318" s="220">
        <f t="shared" si="165"/>
        <v>41</v>
      </c>
      <c r="U318" s="222">
        <f t="shared" si="166"/>
        <v>151</v>
      </c>
      <c r="V318" s="220">
        <f t="shared" si="155"/>
        <v>227</v>
      </c>
      <c r="W318" s="69">
        <f t="shared" si="167"/>
        <v>10</v>
      </c>
      <c r="X318" s="220">
        <f t="shared" si="162"/>
        <v>85</v>
      </c>
      <c r="Y318" s="69">
        <f t="shared" si="151"/>
        <v>6209</v>
      </c>
      <c r="Z318" s="69"/>
      <c r="AA318" s="69"/>
      <c r="AB318" s="69"/>
      <c r="AC318" s="69"/>
      <c r="AD318" s="69">
        <f t="shared" si="168"/>
        <v>0</v>
      </c>
      <c r="AE318" s="69"/>
      <c r="AF318" s="69"/>
      <c r="AG318" s="69"/>
      <c r="AH318" s="69">
        <f t="shared" si="169"/>
        <v>0</v>
      </c>
      <c r="AI318" s="69">
        <f t="shared" si="170"/>
        <v>6209</v>
      </c>
      <c r="AJ318" s="69"/>
      <c r="AK318" s="232"/>
      <c r="AL318" s="212"/>
      <c r="AM318" s="212"/>
      <c r="AN318" s="212"/>
      <c r="AO318" s="212"/>
      <c r="AP318" s="69">
        <f t="shared" si="152"/>
        <v>0</v>
      </c>
      <c r="AQ318" s="7"/>
      <c r="AR318" s="69"/>
      <c r="AS318" s="69"/>
      <c r="AT318" s="69"/>
      <c r="AU318" s="69">
        <f t="shared" si="153"/>
        <v>0</v>
      </c>
      <c r="AV318" s="69">
        <f t="shared" si="154"/>
        <v>6209</v>
      </c>
      <c r="AW318" s="213"/>
    </row>
    <row r="319" ht="23.15" customHeight="1" spans="1:49">
      <c r="A319" s="228">
        <f>SUBTOTAL(2,$Y$4:Y319)</f>
        <v>316</v>
      </c>
      <c r="B319" s="14" t="s">
        <v>690</v>
      </c>
      <c r="C319" s="14" t="s">
        <v>604</v>
      </c>
      <c r="D319" s="115" t="s">
        <v>691</v>
      </c>
      <c r="E319" s="277">
        <v>32.425</v>
      </c>
      <c r="F319" s="118" t="s">
        <v>691</v>
      </c>
      <c r="G319" s="118" t="s">
        <v>692</v>
      </c>
      <c r="H319" s="240">
        <f t="shared" si="172"/>
        <v>32.425</v>
      </c>
      <c r="I319" s="257">
        <v>4500</v>
      </c>
      <c r="J319" s="242">
        <v>500</v>
      </c>
      <c r="K319" s="69">
        <f t="shared" si="158"/>
        <v>5000</v>
      </c>
      <c r="L319" s="69">
        <v>160</v>
      </c>
      <c r="M319" s="69">
        <v>28483</v>
      </c>
      <c r="N319" s="69">
        <v>28544</v>
      </c>
      <c r="O319" s="69">
        <f t="shared" si="159"/>
        <v>61</v>
      </c>
      <c r="P319" s="231">
        <f t="shared" si="161"/>
        <v>0</v>
      </c>
      <c r="Q319" s="69">
        <f t="shared" si="160"/>
        <v>61</v>
      </c>
      <c r="R319" s="69">
        <v>0.8</v>
      </c>
      <c r="S319" s="220">
        <f t="shared" si="150"/>
        <v>43</v>
      </c>
      <c r="T319" s="220">
        <f t="shared" si="165"/>
        <v>49</v>
      </c>
      <c r="U319" s="222">
        <f t="shared" si="166"/>
        <v>97</v>
      </c>
      <c r="V319" s="220">
        <f t="shared" si="155"/>
        <v>146</v>
      </c>
      <c r="W319" s="69">
        <f t="shared" si="167"/>
        <v>6</v>
      </c>
      <c r="X319" s="220">
        <f t="shared" si="162"/>
        <v>51</v>
      </c>
      <c r="Y319" s="69">
        <f t="shared" si="151"/>
        <v>5449</v>
      </c>
      <c r="Z319" s="69"/>
      <c r="AA319" s="69"/>
      <c r="AB319" s="69"/>
      <c r="AC319" s="69"/>
      <c r="AD319" s="69">
        <f t="shared" si="168"/>
        <v>0</v>
      </c>
      <c r="AE319" s="69"/>
      <c r="AF319" s="69"/>
      <c r="AG319" s="69"/>
      <c r="AH319" s="69">
        <f t="shared" si="169"/>
        <v>0</v>
      </c>
      <c r="AI319" s="69">
        <f t="shared" si="170"/>
        <v>5449</v>
      </c>
      <c r="AJ319" s="69"/>
      <c r="AK319" s="232"/>
      <c r="AL319" s="212"/>
      <c r="AM319" s="212"/>
      <c r="AN319" s="212"/>
      <c r="AO319" s="212"/>
      <c r="AP319" s="69">
        <f t="shared" si="152"/>
        <v>0</v>
      </c>
      <c r="AQ319" s="7"/>
      <c r="AR319" s="69"/>
      <c r="AS319" s="69"/>
      <c r="AT319" s="69"/>
      <c r="AU319" s="69">
        <f t="shared" si="153"/>
        <v>0</v>
      </c>
      <c r="AV319" s="69">
        <f t="shared" si="154"/>
        <v>5449</v>
      </c>
      <c r="AW319" s="14"/>
    </row>
    <row r="320" ht="23.15" customHeight="1" spans="1:49">
      <c r="A320" s="228">
        <f>SUBTOTAL(2,$Y$4:Y320)</f>
        <v>317</v>
      </c>
      <c r="B320" s="14" t="s">
        <v>693</v>
      </c>
      <c r="C320" s="14" t="s">
        <v>604</v>
      </c>
      <c r="D320" s="115"/>
      <c r="E320" s="277"/>
      <c r="F320" s="85" t="s">
        <v>694</v>
      </c>
      <c r="G320" s="164"/>
      <c r="H320" s="98"/>
      <c r="I320" s="270"/>
      <c r="J320" s="263"/>
      <c r="K320" s="69">
        <f t="shared" si="158"/>
        <v>0</v>
      </c>
      <c r="L320" s="69"/>
      <c r="M320" s="220"/>
      <c r="N320" s="69"/>
      <c r="O320" s="69"/>
      <c r="P320" s="231"/>
      <c r="Q320" s="69"/>
      <c r="R320" s="69"/>
      <c r="S320" s="220"/>
      <c r="T320" s="220"/>
      <c r="U320" s="222">
        <f>ROUND(H320*3.2,0)</f>
        <v>0</v>
      </c>
      <c r="V320" s="220"/>
      <c r="W320" s="69"/>
      <c r="X320" s="220"/>
      <c r="Y320" s="69">
        <f t="shared" si="151"/>
        <v>0</v>
      </c>
      <c r="Z320" s="69"/>
      <c r="AA320" s="69"/>
      <c r="AB320" s="69"/>
      <c r="AC320" s="69"/>
      <c r="AD320" s="69">
        <f t="shared" si="168"/>
        <v>0</v>
      </c>
      <c r="AE320" s="69"/>
      <c r="AF320" s="69"/>
      <c r="AG320" s="69"/>
      <c r="AH320" s="69">
        <f t="shared" si="169"/>
        <v>0</v>
      </c>
      <c r="AI320" s="69">
        <f t="shared" si="170"/>
        <v>0</v>
      </c>
      <c r="AJ320" s="69"/>
      <c r="AK320" s="232"/>
      <c r="AL320" s="212"/>
      <c r="AM320" s="212"/>
      <c r="AN320" s="212"/>
      <c r="AO320" s="212"/>
      <c r="AP320" s="69">
        <f t="shared" si="152"/>
        <v>0</v>
      </c>
      <c r="AQ320" s="7"/>
      <c r="AR320" s="69"/>
      <c r="AS320" s="69"/>
      <c r="AT320" s="69"/>
      <c r="AU320" s="69">
        <f t="shared" si="153"/>
        <v>0</v>
      </c>
      <c r="AV320" s="69">
        <f t="shared" si="154"/>
        <v>0</v>
      </c>
      <c r="AW320" s="14"/>
    </row>
    <row r="321" ht="23.15" customHeight="1" spans="1:49">
      <c r="A321" s="228"/>
      <c r="B321" s="14"/>
      <c r="C321" s="14"/>
      <c r="D321" s="14"/>
      <c r="E321" s="14"/>
      <c r="F321" s="13"/>
      <c r="G321" s="13"/>
      <c r="H321" s="14">
        <f>SUM(H3:H319)</f>
        <v>8446.48500000002</v>
      </c>
      <c r="I321" s="69">
        <f>SUM(I4:I319)</f>
        <v>1128018</v>
      </c>
      <c r="J321" s="69">
        <f>SUM(J4:J319)</f>
        <v>107760</v>
      </c>
      <c r="K321" s="69">
        <f>SUM(K4:K319)</f>
        <v>1235778</v>
      </c>
      <c r="L321" s="69">
        <f>SUM(L4:L319)</f>
        <v>48320</v>
      </c>
      <c r="M321" s="220"/>
      <c r="N321" s="69"/>
      <c r="O321" s="69">
        <f>SUM(O4:O319)</f>
        <v>17267</v>
      </c>
      <c r="P321" s="222">
        <f>SUM(P4:P319)</f>
        <v>0</v>
      </c>
      <c r="Q321" s="69">
        <f>SUM(Q4:Q319)</f>
        <v>17267</v>
      </c>
      <c r="R321" s="69"/>
      <c r="S321" s="220">
        <f t="shared" ref="S321:X321" si="173">SUM(S4:S319)</f>
        <v>12099</v>
      </c>
      <c r="T321" s="220">
        <f t="shared" si="173"/>
        <v>13822</v>
      </c>
      <c r="U321" s="222">
        <f t="shared" si="173"/>
        <v>36110</v>
      </c>
      <c r="V321" s="220">
        <f t="shared" si="173"/>
        <v>54452</v>
      </c>
      <c r="W321" s="69">
        <f t="shared" si="173"/>
        <v>1587</v>
      </c>
      <c r="X321" s="220">
        <f t="shared" si="173"/>
        <v>13539</v>
      </c>
      <c r="Y321" s="69">
        <f t="shared" si="151"/>
        <v>1378010</v>
      </c>
      <c r="Z321" s="69">
        <f>SUM(Z5:Z319)</f>
        <v>0</v>
      </c>
      <c r="AA321" s="69">
        <f>SUM(AA5:AA319)</f>
        <v>0</v>
      </c>
      <c r="AB321" s="69">
        <f>SUM(AB5:AB319)</f>
        <v>0</v>
      </c>
      <c r="AC321" s="69">
        <f>SUM(AC5:AC319)</f>
        <v>0</v>
      </c>
      <c r="AD321" s="69">
        <f>SUM(AD5:AD319)</f>
        <v>0</v>
      </c>
      <c r="AE321" s="69">
        <f>SUM(AE4:AE320)</f>
        <v>0</v>
      </c>
      <c r="AF321" s="69">
        <f>SUM(AF4:AF319)</f>
        <v>0</v>
      </c>
      <c r="AG321" s="69">
        <f>SUM(AG4:AG320)</f>
        <v>0</v>
      </c>
      <c r="AH321" s="69">
        <f t="shared" si="169"/>
        <v>0</v>
      </c>
      <c r="AI321" s="69">
        <f t="shared" si="170"/>
        <v>1378010</v>
      </c>
      <c r="AJ321" s="69">
        <f>SUM(AJ5:AJ319)</f>
        <v>0</v>
      </c>
      <c r="AK321" s="224"/>
      <c r="AL321" s="69">
        <f>SUM(AL4:AL320)</f>
        <v>0</v>
      </c>
      <c r="AM321" s="69">
        <f>SUM(AM4:AM319)</f>
        <v>0</v>
      </c>
      <c r="AN321" s="69">
        <f>SUM(AN4:AN319)</f>
        <v>0</v>
      </c>
      <c r="AO321" s="69">
        <f>SUM(AO4:AO319)</f>
        <v>0</v>
      </c>
      <c r="AP321" s="69">
        <f t="shared" si="152"/>
        <v>0</v>
      </c>
      <c r="AQ321" s="7">
        <f>SUM(AQ5:AQ319)</f>
        <v>0</v>
      </c>
      <c r="AR321" s="7">
        <f>SUM(AR5:AR319)</f>
        <v>0</v>
      </c>
      <c r="AS321" s="69">
        <f>SUM(AS5:AS319)</f>
        <v>0</v>
      </c>
      <c r="AT321" s="69">
        <f>SUM(AT5:AT319)</f>
        <v>0</v>
      </c>
      <c r="AU321" s="69">
        <f t="shared" si="153"/>
        <v>0</v>
      </c>
      <c r="AV321" s="69">
        <f t="shared" si="154"/>
        <v>1378010</v>
      </c>
      <c r="AW321" s="14"/>
    </row>
    <row r="322" ht="15" customHeight="1" spans="1:49">
      <c r="B322" s="14"/>
      <c r="F322" s="2"/>
      <c r="G322" s="2"/>
      <c r="H322" s="3"/>
      <c r="I322" s="1"/>
      <c r="J322" s="284"/>
      <c r="AR322" s="1"/>
      <c r="AS322" s="1"/>
      <c r="AT322" s="1"/>
      <c r="AU322" s="1"/>
      <c r="AV322" s="1"/>
      <c r="AW322" s="1"/>
    </row>
    <row r="323" ht="15" customHeight="1" spans="1:49">
      <c r="B323" s="69"/>
      <c r="C323" s="69"/>
      <c r="D323" s="14"/>
      <c r="E323" s="14"/>
      <c r="F323" s="13" t="s">
        <v>695</v>
      </c>
      <c r="G323" s="13" t="s">
        <v>696</v>
      </c>
      <c r="H323" s="14" t="s">
        <v>697</v>
      </c>
      <c r="I323" s="69"/>
      <c r="J323" s="230" t="s">
        <v>698</v>
      </c>
      <c r="K323" s="69"/>
      <c r="L323" s="69"/>
      <c r="AR323" s="1"/>
      <c r="AS323" s="1"/>
      <c r="AT323" s="1"/>
      <c r="AU323" s="1"/>
      <c r="AV323" s="1"/>
      <c r="AW323" s="1"/>
    </row>
    <row r="324" ht="15" customHeight="1" spans="1:49">
      <c r="B324" s="69"/>
      <c r="C324" s="69"/>
      <c r="D324" s="14"/>
      <c r="E324" s="14"/>
      <c r="F324" s="13"/>
      <c r="G324" s="14">
        <v>2320.86</v>
      </c>
      <c r="H324" s="14">
        <v>2337.15</v>
      </c>
      <c r="I324" s="69">
        <f>H324-G324</f>
        <v>16.29</v>
      </c>
      <c r="J324" s="230">
        <v>1000</v>
      </c>
      <c r="K324" s="285">
        <f>I324*J324</f>
        <v>16290</v>
      </c>
      <c r="L324" s="285">
        <v>0.7</v>
      </c>
      <c r="X324" s="200">
        <f>I321+J321+L321+S321+T321+V321+X321</f>
        <v>1378010</v>
      </c>
      <c r="AR324" s="1"/>
      <c r="AS324" s="1"/>
      <c r="AT324" s="1"/>
      <c r="AU324" s="1"/>
      <c r="AV324" s="1"/>
      <c r="AW324" s="1"/>
    </row>
    <row r="325" ht="15" customHeight="1" spans="1:49">
      <c r="B325" s="69"/>
      <c r="C325" s="69"/>
      <c r="D325" s="14"/>
      <c r="E325" s="14"/>
      <c r="F325" s="13"/>
      <c r="G325" s="13" t="s">
        <v>696</v>
      </c>
      <c r="H325" s="14" t="s">
        <v>697</v>
      </c>
      <c r="I325" s="69"/>
      <c r="J325" s="230"/>
      <c r="K325" s="69"/>
      <c r="L325" s="69"/>
      <c r="AF325" s="1">
        <f>X324+Z321-AG321</f>
        <v>1378010</v>
      </c>
      <c r="AR325" s="1"/>
      <c r="AS325" s="1"/>
      <c r="AT325" s="1"/>
      <c r="AU325" s="1"/>
      <c r="AV325" s="1"/>
      <c r="AW325" s="1"/>
    </row>
    <row r="326" ht="15" customHeight="1" spans="1:49">
      <c r="B326" s="69"/>
      <c r="C326" s="69"/>
      <c r="D326" s="14"/>
      <c r="E326" s="14"/>
      <c r="F326" s="13" t="s">
        <v>699</v>
      </c>
      <c r="G326" s="14">
        <v>115335</v>
      </c>
      <c r="H326" s="14">
        <v>115972</v>
      </c>
      <c r="I326" s="69">
        <f>H326-G326</f>
        <v>637</v>
      </c>
      <c r="J326" s="230">
        <v>8</v>
      </c>
      <c r="K326" s="69"/>
      <c r="L326" s="69"/>
      <c r="AR326" s="1"/>
      <c r="AS326" s="1"/>
      <c r="AT326" s="1"/>
      <c r="AU326" s="1"/>
      <c r="AV326" s="1"/>
      <c r="AW326" s="1"/>
    </row>
    <row r="327" ht="15" customHeight="1" spans="1:49">
      <c r="B327" s="69"/>
      <c r="C327" s="69"/>
      <c r="D327" s="14"/>
      <c r="E327" s="14"/>
      <c r="F327" s="13"/>
      <c r="G327" s="13"/>
      <c r="H327" s="14"/>
      <c r="I327" s="69"/>
      <c r="J327" s="230">
        <f>I326*J326</f>
        <v>5096</v>
      </c>
      <c r="K327" s="67"/>
      <c r="L327" s="67"/>
      <c r="AR327" s="1"/>
      <c r="AS327" s="1"/>
      <c r="AT327" s="1"/>
      <c r="AU327" s="1"/>
      <c r="AV327" s="1"/>
      <c r="AW327" s="1"/>
    </row>
    <row r="328" ht="15" customHeight="1" spans="1:49">
      <c r="B328" s="69"/>
      <c r="C328" s="69"/>
      <c r="D328" s="14"/>
      <c r="E328" s="14"/>
      <c r="F328" s="13"/>
      <c r="G328" s="13"/>
      <c r="H328" s="14"/>
      <c r="I328" s="69"/>
      <c r="J328" s="230"/>
      <c r="K328" s="69"/>
      <c r="L328" s="69"/>
      <c r="AR328" s="1"/>
      <c r="AS328" s="1"/>
      <c r="AT328" s="1"/>
      <c r="AU328" s="1"/>
      <c r="AV328" s="1"/>
      <c r="AW328" s="1"/>
    </row>
    <row r="329" ht="15" customHeight="1" spans="1:49">
      <c r="B329" s="69"/>
      <c r="C329" s="69"/>
      <c r="D329" s="14"/>
      <c r="E329" s="14"/>
      <c r="F329" s="13"/>
      <c r="G329" s="13"/>
      <c r="H329" s="14"/>
      <c r="I329" s="69"/>
      <c r="J329" s="230"/>
      <c r="K329" s="69"/>
      <c r="L329" s="69"/>
      <c r="AR329" s="1"/>
      <c r="AS329" s="1"/>
      <c r="AT329" s="1"/>
      <c r="AU329" s="1"/>
      <c r="AV329" s="1"/>
      <c r="AW329" s="1"/>
    </row>
    <row r="330" ht="15" customHeight="1" spans="1:49">
      <c r="B330" s="69"/>
      <c r="C330" s="69"/>
      <c r="D330" s="14"/>
      <c r="E330" s="14"/>
      <c r="F330" s="13"/>
      <c r="G330" s="13"/>
      <c r="H330" s="14"/>
      <c r="I330" s="69"/>
      <c r="J330" s="230"/>
      <c r="K330" s="69"/>
      <c r="L330" s="69"/>
      <c r="M330" s="286" t="s">
        <v>700</v>
      </c>
      <c r="N330" s="287" t="s">
        <v>700</v>
      </c>
      <c r="O330" s="288" t="s">
        <v>701</v>
      </c>
      <c r="P330" s="288" t="s">
        <v>702</v>
      </c>
      <c r="Q330" s="288" t="s">
        <v>703</v>
      </c>
      <c r="R330" s="288" t="s">
        <v>704</v>
      </c>
      <c r="S330" s="288" t="s">
        <v>705</v>
      </c>
      <c r="AR330" s="1"/>
      <c r="AS330" s="1"/>
      <c r="AT330" s="1"/>
      <c r="AU330" s="1"/>
      <c r="AV330" s="1"/>
      <c r="AW330" s="1"/>
    </row>
    <row r="331" ht="15" customHeight="1" spans="1:49">
      <c r="B331" s="69"/>
      <c r="C331" s="69"/>
      <c r="D331" s="14"/>
      <c r="E331" s="14"/>
      <c r="F331" s="13"/>
      <c r="G331" s="13"/>
      <c r="H331" s="14"/>
      <c r="I331" s="69"/>
      <c r="J331" s="230"/>
      <c r="K331" s="69"/>
      <c r="L331" s="69"/>
      <c r="M331" s="289">
        <f>SUMIF($C:$C,"*一楼*",$E:$E)</f>
        <v>1786.86</v>
      </c>
      <c r="N331" s="290">
        <f>SUMIF($C:$C,"*一楼*",$E:$E)</f>
        <v>1786.86</v>
      </c>
      <c r="O331" s="291">
        <f>SUMIF($C:$C,"*二楼*",$E:$E)</f>
        <v>1716.42</v>
      </c>
      <c r="P331" s="291">
        <f>SUMIF($C:$C,"*三楼*",$E:$E)</f>
        <v>1873.4</v>
      </c>
      <c r="Q331" s="291">
        <f>SUMIF($C:$C,"*四楼*",$E:$E)</f>
        <v>1585.135</v>
      </c>
      <c r="R331" s="291">
        <f>SUMIF($C:$C,"*五楼*",$E:$E)</f>
        <v>1559.03</v>
      </c>
      <c r="S331" s="292">
        <f>SUM(N331:R331)</f>
        <v>8520.845</v>
      </c>
      <c r="AR331" s="1"/>
      <c r="AS331" s="1"/>
      <c r="AT331" s="1"/>
      <c r="AU331" s="1"/>
      <c r="AV331" s="1"/>
      <c r="AW331" s="1"/>
    </row>
    <row r="332" ht="15" customHeight="1" spans="1:49">
      <c r="F332" s="2"/>
      <c r="G332" s="2"/>
      <c r="H332" s="3"/>
      <c r="I332" s="1"/>
      <c r="J332" s="284"/>
      <c r="M332" s="289">
        <f>SUMIFS($H:$H,$C:$C,"*一楼*",F:F,"*空档*")</f>
        <v>0</v>
      </c>
      <c r="N332" s="290">
        <f>SUMIFS($H:$H,$C:$C,"*一楼*",G:G,"*空档*")</f>
        <v>0</v>
      </c>
      <c r="O332" s="291">
        <f>SUMIFS($H:$H,$C:$C,"*二楼*",G:G,"*空档*")</f>
        <v>0</v>
      </c>
      <c r="P332" s="291">
        <f>SUMIFS($H:$H,$C:$C,"*三楼*",G:G,"*空档*")</f>
        <v>0</v>
      </c>
      <c r="Q332" s="291">
        <f>SUMIFS($H:$H,$C:$C,"*四楼*",G:G,"*空档*")</f>
        <v>0</v>
      </c>
      <c r="R332" s="291">
        <f>SUMIFS($H:$H,$C:$C,"*五楼*",G:G,"*空档*")</f>
        <v>0</v>
      </c>
      <c r="S332" s="293">
        <f>SUM(N332:R332)</f>
        <v>0</v>
      </c>
      <c r="AR332" s="1"/>
      <c r="AS332" s="1"/>
      <c r="AT332" s="1"/>
      <c r="AU332" s="1"/>
      <c r="AV332" s="1"/>
      <c r="AW332" s="1"/>
    </row>
    <row r="333" spans="1:49">
      <c r="A333" s="228"/>
      <c r="M333" s="294">
        <f>ROUND((M331-M332)/M331,2)</f>
        <v>1</v>
      </c>
      <c r="N333" s="295">
        <f t="shared" ref="N333:R333" si="174">ROUND((N331-N332)/N331,2)</f>
        <v>1</v>
      </c>
      <c r="O333" s="296">
        <f t="shared" si="174"/>
        <v>1</v>
      </c>
      <c r="P333" s="296">
        <f t="shared" si="174"/>
        <v>1</v>
      </c>
      <c r="Q333" s="296">
        <f t="shared" si="174"/>
        <v>1</v>
      </c>
      <c r="R333" s="296">
        <f t="shared" si="174"/>
        <v>1</v>
      </c>
      <c r="S333" s="297">
        <f>ROUND((S331-S332)/S331,4)</f>
        <v>1</v>
      </c>
      <c r="AW333" s="1"/>
    </row>
    <row r="334" spans="1:49">
      <c r="AW334" s="1"/>
    </row>
    <row r="335" spans="1:49">
      <c r="AW335" s="1"/>
    </row>
    <row r="336" spans="1:49">
      <c r="AW336" s="1"/>
    </row>
    <row r="337" spans="7:49">
      <c r="AW337" s="1"/>
    </row>
    <row r="338" spans="7:49">
      <c r="AW338" s="1"/>
    </row>
    <row r="339" spans="7:49">
      <c r="AW339" s="1"/>
    </row>
    <row r="340" spans="7:49">
      <c r="AW340" s="1"/>
    </row>
    <row r="341" spans="7:49">
      <c r="AW341" s="1"/>
    </row>
    <row r="342" spans="7:49">
      <c r="AW342" s="1"/>
    </row>
    <row r="343" spans="7:49">
      <c r="AW343" s="1"/>
    </row>
    <row r="344" spans="7:49">
      <c r="AW344" s="1"/>
    </row>
    <row r="345" spans="7:49">
      <c r="AM345" s="1" t="s">
        <v>24</v>
      </c>
      <c r="AW345" s="1"/>
    </row>
    <row r="349" spans="7:49">
      <c r="G349" s="165"/>
    </row>
    <row r="359" spans="41:41">
      <c r="AO359" s="1" t="s">
        <v>706</v>
      </c>
    </row>
  </sheetData>
  <autoFilter xmlns:etc="http://www.wps.cn/officeDocument/2017/etCustomData" ref="A3:AW321" etc:filterBottomFollowUsedRange="0">
    <extLst/>
  </autoFilter>
  <mergeCells count="33">
    <mergeCell ref="A1:L1"/>
    <mergeCell ref="N1:R1"/>
    <mergeCell ref="AA2:AD2"/>
    <mergeCell ref="AE2:AH2"/>
    <mergeCell ref="AK2:AP2"/>
    <mergeCell ref="AQ2:AU2"/>
    <mergeCell ref="AC330:AE330"/>
    <mergeCell ref="AC331:AE331"/>
    <mergeCell ref="AC332:AE332"/>
    <mergeCell ref="B2:B3"/>
    <mergeCell ref="C2:C3"/>
    <mergeCell ref="F2:F3"/>
    <mergeCell ref="G2:G3"/>
    <mergeCell ref="H2:H3"/>
    <mergeCell ref="I2:I3"/>
    <mergeCell ref="J2:J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I2:AI3"/>
    <mergeCell ref="AJ2:AJ3"/>
    <mergeCell ref="AV2:AV3"/>
  </mergeCells>
  <conditionalFormatting sqref="S333">
    <cfRule type="duplicateValues" dxfId="0" priority="8"/>
    <cfRule type="duplicateValues" dxfId="1" priority="22"/>
  </conditionalFormatting>
  <conditionalFormatting sqref="M332:M333">
    <cfRule type="duplicateValues" dxfId="0" priority="2"/>
    <cfRule type="duplicateValues" dxfId="1" priority="3"/>
  </conditionalFormatting>
  <conditionalFormatting sqref="N332:N333">
    <cfRule type="duplicateValues" dxfId="0" priority="4"/>
    <cfRule type="duplicateValues" dxfId="1" priority="5"/>
  </conditionalFormatting>
  <conditionalFormatting sqref="F41 G41">
    <cfRule type="uniqueValues" dxfId="2" priority="1"/>
  </conditionalFormatting>
  <conditionalFormatting sqref="O332:R333">
    <cfRule type="duplicateValues" dxfId="0" priority="38"/>
    <cfRule type="duplicateValues" dxfId="1" priority="52"/>
  </conditionalFormatting>
  <pageMargins left="0.389583333333333" right="0.310416666666667" top="0.200694444444444" bottom="0.279166666666667" header="0.161111111111111" footer="0.161111111111111"/>
  <pageSetup paperSize="9" orientation="landscape"/>
  <headerFooter alignWithMargins="0" scaleWithDoc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1"/>
  <sheetViews>
    <sheetView workbookViewId="0">
      <selection activeCell="M5" sqref="M5"/>
    </sheetView>
  </sheetViews>
  <sheetFormatPr defaultColWidth="9" defaultRowHeight="14.25"/>
  <cols>
    <col min="1" max="1" width="7.58333333333333" style="166" customWidth="1"/>
    <col min="2" max="2" width="9.08333333333333" style="166" customWidth="1"/>
    <col min="3" max="3" width="7.83333333333333" style="166" customWidth="1"/>
    <col min="4" max="4" width="5.33333333333333" style="166" customWidth="1"/>
    <col min="8" max="8" width="12.25" style="167" customWidth="1"/>
    <col min="9" max="9" width="10.25" style="167" customWidth="1"/>
    <col min="10" max="10" width="10.0833333333333" style="79" customWidth="1"/>
    <col min="11" max="11" width="8.25" style="168" customWidth="1"/>
  </cols>
  <sheetData>
    <row r="1" ht="20.25" spans="1:13">
      <c r="A1" s="169" t="s">
        <v>707</v>
      </c>
      <c r="B1" s="169"/>
      <c r="C1" s="169"/>
      <c r="D1" s="169"/>
      <c r="H1" s="170"/>
      <c r="I1" s="170"/>
      <c r="J1" s="171"/>
      <c r="K1" s="171"/>
    </row>
    <row r="2" spans="1:13">
      <c r="A2" s="172" t="s">
        <v>708</v>
      </c>
      <c r="B2" s="173" t="s">
        <v>709</v>
      </c>
      <c r="C2" s="173"/>
      <c r="D2" s="173"/>
      <c r="H2" s="174" t="s">
        <v>27</v>
      </c>
      <c r="I2" s="174" t="s">
        <v>28</v>
      </c>
      <c r="J2" s="175" t="s">
        <v>15</v>
      </c>
      <c r="K2" s="176" t="s">
        <v>16</v>
      </c>
    </row>
    <row r="3" ht="27" spans="1:13">
      <c r="A3" s="172"/>
      <c r="B3" s="173"/>
      <c r="C3" s="173" t="s">
        <v>710</v>
      </c>
      <c r="D3" s="173" t="s">
        <v>16</v>
      </c>
      <c r="H3" s="142"/>
      <c r="I3" s="142"/>
      <c r="J3" s="177"/>
      <c r="K3" s="178"/>
    </row>
    <row r="4" spans="1:13">
      <c r="A4" s="179" t="s">
        <v>68</v>
      </c>
      <c r="B4" s="179" t="s">
        <v>69</v>
      </c>
      <c r="C4" s="179">
        <v>3052</v>
      </c>
      <c r="D4" s="179">
        <v>210</v>
      </c>
      <c r="H4" s="142" t="s">
        <v>68</v>
      </c>
      <c r="I4" s="142" t="s">
        <v>69</v>
      </c>
      <c r="J4" s="177">
        <v>3052</v>
      </c>
      <c r="K4" s="178">
        <v>210</v>
      </c>
      <c r="L4">
        <f>C4-J4</f>
        <v>0</v>
      </c>
      <c r="M4">
        <f>D4-K4</f>
        <v>0</v>
      </c>
    </row>
    <row r="5" spans="1:13">
      <c r="A5" s="179">
        <v>1001</v>
      </c>
      <c r="B5" s="179" t="s">
        <v>71</v>
      </c>
      <c r="C5" s="179">
        <v>4200</v>
      </c>
      <c r="D5" s="179">
        <v>500</v>
      </c>
      <c r="H5" s="142">
        <v>1001</v>
      </c>
      <c r="I5" s="142" t="s">
        <v>71</v>
      </c>
      <c r="J5" s="177">
        <v>4200</v>
      </c>
      <c r="K5" s="178">
        <v>500</v>
      </c>
    </row>
    <row r="6" spans="1:13">
      <c r="A6" s="179">
        <v>1002</v>
      </c>
      <c r="B6" s="179" t="s">
        <v>73</v>
      </c>
      <c r="C6" s="179">
        <v>1500</v>
      </c>
      <c r="D6" s="179"/>
      <c r="H6" s="142">
        <v>1002</v>
      </c>
      <c r="I6" s="142" t="s">
        <v>73</v>
      </c>
      <c r="J6" s="177">
        <v>1500</v>
      </c>
      <c r="K6" s="178"/>
    </row>
    <row r="7" spans="1:13">
      <c r="A7" s="179">
        <v>1003</v>
      </c>
      <c r="B7" s="179" t="s">
        <v>77</v>
      </c>
      <c r="C7" s="179">
        <v>3000</v>
      </c>
      <c r="D7" s="179">
        <v>0</v>
      </c>
      <c r="H7" s="142" t="s">
        <v>76</v>
      </c>
      <c r="I7" s="142" t="s">
        <v>77</v>
      </c>
      <c r="J7" s="177">
        <v>3000</v>
      </c>
      <c r="K7" s="178"/>
    </row>
    <row r="8" spans="1:13">
      <c r="A8" s="179">
        <v>1005</v>
      </c>
      <c r="B8" s="179" t="s">
        <v>79</v>
      </c>
      <c r="C8" s="179">
        <v>1200</v>
      </c>
      <c r="D8" s="179">
        <v>200</v>
      </c>
      <c r="H8" s="142">
        <v>1005</v>
      </c>
      <c r="I8" s="140" t="s">
        <v>79</v>
      </c>
      <c r="J8" s="177">
        <v>1200</v>
      </c>
      <c r="K8" s="178">
        <v>200</v>
      </c>
    </row>
    <row r="9" spans="1:13">
      <c r="A9" s="179">
        <v>1006</v>
      </c>
      <c r="B9" s="179" t="s">
        <v>81</v>
      </c>
      <c r="C9" s="179">
        <v>1200</v>
      </c>
      <c r="D9" s="179">
        <v>200</v>
      </c>
      <c r="H9" s="142">
        <v>1006</v>
      </c>
      <c r="I9" s="142" t="s">
        <v>81</v>
      </c>
      <c r="J9" s="177">
        <v>1200</v>
      </c>
      <c r="K9" s="178">
        <v>200</v>
      </c>
    </row>
    <row r="10" spans="1:13">
      <c r="A10" s="179">
        <v>1007</v>
      </c>
      <c r="B10" s="179" t="s">
        <v>83</v>
      </c>
      <c r="C10" s="179">
        <v>1200</v>
      </c>
      <c r="D10" s="179">
        <v>0</v>
      </c>
      <c r="H10" s="142">
        <v>1007</v>
      </c>
      <c r="I10" s="142" t="s">
        <v>83</v>
      </c>
      <c r="J10" s="177">
        <v>1200</v>
      </c>
      <c r="K10" s="178"/>
    </row>
    <row r="11" spans="1:13">
      <c r="A11" s="179">
        <v>1008</v>
      </c>
      <c r="B11" s="179" t="s">
        <v>86</v>
      </c>
      <c r="C11" s="179">
        <v>2500</v>
      </c>
      <c r="D11" s="179">
        <v>0</v>
      </c>
      <c r="H11" s="142" t="s">
        <v>85</v>
      </c>
      <c r="I11" s="142" t="s">
        <v>86</v>
      </c>
      <c r="J11" s="177">
        <v>2500</v>
      </c>
      <c r="K11" s="178"/>
    </row>
    <row r="12" spans="1:13">
      <c r="A12" s="179">
        <v>1009</v>
      </c>
      <c r="B12" s="179" t="s">
        <v>86</v>
      </c>
      <c r="C12" s="179"/>
      <c r="D12" s="179"/>
      <c r="H12" s="142">
        <v>1009</v>
      </c>
      <c r="I12" s="140" t="s">
        <v>86</v>
      </c>
      <c r="J12" s="177"/>
      <c r="K12" s="178"/>
    </row>
    <row r="13" spans="1:13">
      <c r="A13" s="179">
        <v>1010</v>
      </c>
      <c r="B13" s="179" t="s">
        <v>89</v>
      </c>
      <c r="C13" s="179">
        <v>1500</v>
      </c>
      <c r="D13" s="179"/>
      <c r="H13" s="142">
        <v>1010</v>
      </c>
      <c r="I13" s="142" t="s">
        <v>89</v>
      </c>
      <c r="J13" s="177">
        <v>1500</v>
      </c>
      <c r="K13" s="178"/>
    </row>
    <row r="14" spans="1:13">
      <c r="A14" s="179">
        <v>1011</v>
      </c>
      <c r="B14" s="179" t="s">
        <v>91</v>
      </c>
      <c r="C14" s="179">
        <v>750</v>
      </c>
      <c r="D14" s="179"/>
      <c r="H14" s="142">
        <v>1011</v>
      </c>
      <c r="I14" s="180" t="s">
        <v>91</v>
      </c>
      <c r="J14" s="177">
        <v>750</v>
      </c>
      <c r="K14" s="178"/>
    </row>
    <row r="15" spans="1:13">
      <c r="A15" s="179">
        <v>1012</v>
      </c>
      <c r="B15" s="179" t="s">
        <v>93</v>
      </c>
      <c r="C15" s="181">
        <v>750</v>
      </c>
      <c r="D15" s="179"/>
      <c r="H15" s="142">
        <v>1012</v>
      </c>
      <c r="I15" s="142" t="s">
        <v>93</v>
      </c>
      <c r="J15" s="177">
        <v>750</v>
      </c>
      <c r="K15" s="178">
        <v>0</v>
      </c>
    </row>
    <row r="16" spans="1:13">
      <c r="A16" s="179">
        <v>1013</v>
      </c>
      <c r="B16" s="179" t="s">
        <v>95</v>
      </c>
      <c r="C16" s="179">
        <v>1200</v>
      </c>
      <c r="D16" s="179"/>
      <c r="H16" s="142">
        <v>1013</v>
      </c>
      <c r="I16" s="142" t="s">
        <v>95</v>
      </c>
      <c r="J16" s="177">
        <v>1200</v>
      </c>
      <c r="K16" s="178"/>
    </row>
    <row r="17" spans="1:11">
      <c r="A17" s="179">
        <v>1014</v>
      </c>
      <c r="B17" s="179" t="s">
        <v>97</v>
      </c>
      <c r="C17" s="179">
        <v>1500</v>
      </c>
      <c r="D17" s="179"/>
      <c r="H17" s="142">
        <v>1014</v>
      </c>
      <c r="I17" s="142" t="s">
        <v>97</v>
      </c>
      <c r="J17" s="177">
        <v>1500</v>
      </c>
      <c r="K17" s="178">
        <v>0</v>
      </c>
    </row>
    <row r="18" spans="1:11">
      <c r="A18" s="179">
        <v>1015</v>
      </c>
      <c r="B18" s="179" t="s">
        <v>99</v>
      </c>
      <c r="C18" s="179">
        <v>1200</v>
      </c>
      <c r="D18" s="179"/>
      <c r="H18" s="142">
        <v>1015</v>
      </c>
      <c r="I18" s="142" t="s">
        <v>99</v>
      </c>
      <c r="J18" s="177">
        <v>1200</v>
      </c>
      <c r="K18" s="178">
        <v>0</v>
      </c>
    </row>
    <row r="19" spans="1:11">
      <c r="A19" s="179">
        <v>1016</v>
      </c>
      <c r="B19" s="179" t="s">
        <v>103</v>
      </c>
      <c r="C19" s="179">
        <v>2800</v>
      </c>
      <c r="D19" s="179">
        <v>200</v>
      </c>
      <c r="H19" s="142" t="s">
        <v>102</v>
      </c>
      <c r="I19" s="142" t="s">
        <v>103</v>
      </c>
      <c r="J19" s="177">
        <v>2800</v>
      </c>
      <c r="K19" s="178">
        <v>200</v>
      </c>
    </row>
    <row r="20" spans="1:11">
      <c r="A20" s="179">
        <v>1018</v>
      </c>
      <c r="B20" s="179" t="s">
        <v>105</v>
      </c>
      <c r="C20" s="179">
        <v>2000</v>
      </c>
      <c r="D20" s="179"/>
      <c r="H20" s="142">
        <v>1018</v>
      </c>
      <c r="I20" s="142" t="s">
        <v>105</v>
      </c>
      <c r="J20" s="177">
        <v>2000</v>
      </c>
      <c r="K20" s="178">
        <v>0</v>
      </c>
    </row>
    <row r="21" spans="1:11">
      <c r="A21" s="179">
        <v>1019</v>
      </c>
      <c r="B21" s="179" t="s">
        <v>89</v>
      </c>
      <c r="C21" s="179">
        <v>1200</v>
      </c>
      <c r="D21" s="179"/>
      <c r="H21" s="142">
        <v>1019</v>
      </c>
      <c r="I21" s="142" t="s">
        <v>89</v>
      </c>
      <c r="J21" s="177">
        <v>1200</v>
      </c>
      <c r="K21" s="178"/>
    </row>
    <row r="22" spans="1:11">
      <c r="A22" s="179">
        <v>1020</v>
      </c>
      <c r="B22" s="179" t="s">
        <v>108</v>
      </c>
      <c r="C22" s="179">
        <v>1200</v>
      </c>
      <c r="D22" s="179"/>
      <c r="H22" s="142">
        <v>1020</v>
      </c>
      <c r="I22" s="142" t="s">
        <v>108</v>
      </c>
      <c r="J22" s="177">
        <v>1200</v>
      </c>
      <c r="K22" s="178">
        <v>0</v>
      </c>
    </row>
    <row r="23" spans="1:11">
      <c r="A23" s="179">
        <v>1021</v>
      </c>
      <c r="B23" s="179" t="s">
        <v>110</v>
      </c>
      <c r="C23" s="179">
        <v>1200</v>
      </c>
      <c r="D23" s="179">
        <v>200</v>
      </c>
      <c r="H23" s="142">
        <v>1021</v>
      </c>
      <c r="I23" s="180" t="s">
        <v>110</v>
      </c>
      <c r="J23" s="177">
        <v>1200</v>
      </c>
      <c r="K23" s="178">
        <v>200</v>
      </c>
    </row>
    <row r="24" spans="1:11">
      <c r="A24" s="179">
        <v>1022</v>
      </c>
      <c r="B24" s="179" t="s">
        <v>112</v>
      </c>
      <c r="C24" s="179">
        <v>2200</v>
      </c>
      <c r="D24" s="179"/>
      <c r="H24" s="142">
        <v>1022</v>
      </c>
      <c r="I24" s="142" t="s">
        <v>112</v>
      </c>
      <c r="J24" s="177">
        <v>2200</v>
      </c>
      <c r="K24" s="178"/>
    </row>
    <row r="25" spans="1:11">
      <c r="A25" s="179">
        <v>1023</v>
      </c>
      <c r="B25" s="179" t="s">
        <v>114</v>
      </c>
      <c r="C25" s="179">
        <v>600</v>
      </c>
      <c r="D25" s="179">
        <v>0</v>
      </c>
      <c r="H25" s="142">
        <v>1023</v>
      </c>
      <c r="I25" s="157" t="s">
        <v>114</v>
      </c>
      <c r="J25" s="177">
        <v>600</v>
      </c>
      <c r="K25" s="178">
        <v>0</v>
      </c>
    </row>
    <row r="26" spans="1:11">
      <c r="A26" s="179">
        <v>1024</v>
      </c>
      <c r="B26" s="179" t="s">
        <v>116</v>
      </c>
      <c r="C26" s="179">
        <v>1448</v>
      </c>
      <c r="D26" s="179"/>
      <c r="H26" s="142">
        <v>1024</v>
      </c>
      <c r="I26" s="142" t="s">
        <v>116</v>
      </c>
      <c r="J26" s="177">
        <v>1448</v>
      </c>
      <c r="K26" s="178"/>
    </row>
    <row r="27" spans="1:11">
      <c r="A27" s="179">
        <v>1025</v>
      </c>
      <c r="B27" s="179" t="s">
        <v>118</v>
      </c>
      <c r="C27" s="179">
        <v>4200</v>
      </c>
      <c r="D27" s="179">
        <v>500</v>
      </c>
      <c r="H27" s="142">
        <v>1025</v>
      </c>
      <c r="I27" s="142" t="s">
        <v>711</v>
      </c>
      <c r="J27" s="177">
        <v>4200</v>
      </c>
      <c r="K27" s="178">
        <v>500</v>
      </c>
    </row>
    <row r="28" spans="1:11">
      <c r="A28" s="179" t="s">
        <v>120</v>
      </c>
      <c r="B28" s="179" t="s">
        <v>73</v>
      </c>
      <c r="C28" s="179">
        <v>2206</v>
      </c>
      <c r="D28" s="179">
        <v>250</v>
      </c>
      <c r="H28" s="142" t="s">
        <v>120</v>
      </c>
      <c r="I28" s="142" t="s">
        <v>73</v>
      </c>
      <c r="J28" s="177">
        <v>2206</v>
      </c>
      <c r="K28" s="178">
        <v>250</v>
      </c>
    </row>
    <row r="29" spans="1:11">
      <c r="A29" s="179">
        <v>1026</v>
      </c>
      <c r="B29" s="179" t="s">
        <v>122</v>
      </c>
      <c r="C29" s="179">
        <v>4202</v>
      </c>
      <c r="D29" s="179">
        <v>500</v>
      </c>
      <c r="H29" s="142">
        <v>1026</v>
      </c>
      <c r="I29" s="142" t="s">
        <v>122</v>
      </c>
      <c r="J29" s="177">
        <v>4202</v>
      </c>
      <c r="K29" s="178">
        <v>500</v>
      </c>
    </row>
    <row r="30" spans="1:11">
      <c r="A30" s="179">
        <v>1027</v>
      </c>
      <c r="B30" s="179" t="s">
        <v>124</v>
      </c>
      <c r="C30" s="179">
        <v>4200</v>
      </c>
      <c r="D30" s="179">
        <v>500</v>
      </c>
      <c r="H30" s="142">
        <v>1027</v>
      </c>
      <c r="I30" s="142" t="s">
        <v>124</v>
      </c>
      <c r="J30" s="177">
        <v>4200</v>
      </c>
      <c r="K30" s="178">
        <v>500</v>
      </c>
    </row>
    <row r="31" spans="1:11">
      <c r="A31" s="179">
        <v>1028</v>
      </c>
      <c r="B31" s="179" t="s">
        <v>126</v>
      </c>
      <c r="C31" s="179">
        <v>4200</v>
      </c>
      <c r="D31" s="179">
        <v>500</v>
      </c>
      <c r="H31" s="142">
        <v>1028</v>
      </c>
      <c r="I31" s="142" t="s">
        <v>126</v>
      </c>
      <c r="J31" s="177">
        <v>4200</v>
      </c>
      <c r="K31" s="178">
        <v>500</v>
      </c>
    </row>
    <row r="32" spans="1:11">
      <c r="A32" s="179">
        <v>1029</v>
      </c>
      <c r="B32" s="179" t="s">
        <v>128</v>
      </c>
      <c r="C32" s="179">
        <v>4200</v>
      </c>
      <c r="D32" s="179">
        <v>500</v>
      </c>
      <c r="H32" s="142">
        <v>1029</v>
      </c>
      <c r="I32" s="142" t="s">
        <v>128</v>
      </c>
      <c r="J32" s="177">
        <v>4200</v>
      </c>
      <c r="K32" s="178">
        <v>500</v>
      </c>
    </row>
    <row r="33" spans="1:11">
      <c r="A33" s="179">
        <v>1030</v>
      </c>
      <c r="B33" s="179" t="s">
        <v>130</v>
      </c>
      <c r="C33" s="179">
        <v>4200</v>
      </c>
      <c r="D33" s="179">
        <v>500</v>
      </c>
      <c r="H33" s="142">
        <v>1030</v>
      </c>
      <c r="I33" s="142" t="s">
        <v>130</v>
      </c>
      <c r="J33" s="177">
        <v>4200</v>
      </c>
      <c r="K33" s="178">
        <v>500</v>
      </c>
    </row>
    <row r="34" spans="1:11">
      <c r="A34" s="179">
        <v>1031</v>
      </c>
      <c r="B34" s="179" t="s">
        <v>132</v>
      </c>
      <c r="C34" s="179">
        <v>4200</v>
      </c>
      <c r="D34" s="179">
        <v>500</v>
      </c>
      <c r="H34" s="142">
        <v>1031</v>
      </c>
      <c r="I34" s="142" t="s">
        <v>132</v>
      </c>
      <c r="J34" s="177">
        <v>4200</v>
      </c>
      <c r="K34" s="178">
        <v>500</v>
      </c>
    </row>
    <row r="35" spans="1:11">
      <c r="A35" s="179">
        <v>1032</v>
      </c>
      <c r="B35" s="179" t="s">
        <v>134</v>
      </c>
      <c r="C35" s="179">
        <v>4200</v>
      </c>
      <c r="D35" s="179">
        <v>500</v>
      </c>
      <c r="H35" s="142">
        <v>1032</v>
      </c>
      <c r="I35" s="142" t="s">
        <v>134</v>
      </c>
      <c r="J35" s="177">
        <v>4200</v>
      </c>
      <c r="K35" s="178">
        <v>500</v>
      </c>
    </row>
    <row r="36" spans="1:11">
      <c r="A36" s="179">
        <v>1033</v>
      </c>
      <c r="B36" s="179" t="s">
        <v>136</v>
      </c>
      <c r="C36" s="179">
        <v>4200</v>
      </c>
      <c r="D36" s="179">
        <v>500</v>
      </c>
      <c r="H36" s="142">
        <v>1033</v>
      </c>
      <c r="I36" s="142" t="s">
        <v>136</v>
      </c>
      <c r="J36" s="177">
        <v>4200</v>
      </c>
      <c r="K36" s="177">
        <v>500</v>
      </c>
    </row>
    <row r="37" spans="1:11">
      <c r="A37" s="179">
        <v>1034</v>
      </c>
      <c r="B37" s="179" t="s">
        <v>138</v>
      </c>
      <c r="C37" s="179">
        <v>4200</v>
      </c>
      <c r="D37" s="179">
        <v>500</v>
      </c>
      <c r="H37" s="142">
        <v>1034</v>
      </c>
      <c r="I37" s="142" t="s">
        <v>138</v>
      </c>
      <c r="J37" s="177">
        <v>4200</v>
      </c>
      <c r="K37" s="178">
        <v>500</v>
      </c>
    </row>
    <row r="38" spans="1:11">
      <c r="A38" s="179">
        <v>1035</v>
      </c>
      <c r="B38" s="179" t="s">
        <v>83</v>
      </c>
      <c r="C38" s="179">
        <v>4200</v>
      </c>
      <c r="D38" s="179">
        <v>500</v>
      </c>
      <c r="H38" s="142">
        <v>1035</v>
      </c>
      <c r="I38" s="142" t="s">
        <v>712</v>
      </c>
      <c r="J38" s="177">
        <v>4200</v>
      </c>
      <c r="K38" s="178">
        <v>500</v>
      </c>
    </row>
    <row r="39" spans="1:11">
      <c r="A39" s="179">
        <v>1036</v>
      </c>
      <c r="B39" s="179" t="s">
        <v>141</v>
      </c>
      <c r="C39" s="179">
        <v>4200</v>
      </c>
      <c r="D39" s="179">
        <v>500</v>
      </c>
      <c r="H39" s="142">
        <v>1036</v>
      </c>
      <c r="I39" s="142" t="s">
        <v>141</v>
      </c>
      <c r="J39" s="177">
        <v>4200</v>
      </c>
      <c r="K39" s="178">
        <v>500</v>
      </c>
    </row>
    <row r="40" spans="1:11">
      <c r="A40" s="179">
        <v>1037</v>
      </c>
      <c r="B40" s="179" t="s">
        <v>143</v>
      </c>
      <c r="C40" s="179">
        <v>4200</v>
      </c>
      <c r="D40" s="179">
        <v>500</v>
      </c>
      <c r="H40" s="142">
        <v>1037</v>
      </c>
      <c r="I40" s="142" t="s">
        <v>143</v>
      </c>
      <c r="J40" s="177">
        <v>4200</v>
      </c>
      <c r="K40" s="178">
        <v>500</v>
      </c>
    </row>
    <row r="41" spans="1:11">
      <c r="A41" s="179">
        <v>1038</v>
      </c>
      <c r="B41" s="179" t="s">
        <v>145</v>
      </c>
      <c r="C41" s="179">
        <v>4200</v>
      </c>
      <c r="D41" s="179">
        <v>500</v>
      </c>
      <c r="H41" s="142">
        <v>1038</v>
      </c>
      <c r="I41" s="142"/>
      <c r="J41" s="177"/>
      <c r="K41" s="178"/>
    </row>
    <row r="42" spans="1:11">
      <c r="A42" s="179">
        <v>1039</v>
      </c>
      <c r="B42" s="179" t="s">
        <v>147</v>
      </c>
      <c r="C42" s="179">
        <v>4200</v>
      </c>
      <c r="D42" s="179">
        <v>500</v>
      </c>
      <c r="H42" s="142">
        <v>1039</v>
      </c>
      <c r="I42" s="142" t="s">
        <v>147</v>
      </c>
      <c r="J42" s="177">
        <v>4200</v>
      </c>
      <c r="K42" s="178">
        <v>500</v>
      </c>
    </row>
    <row r="43" spans="1:11">
      <c r="A43" s="179">
        <v>1040</v>
      </c>
      <c r="B43" s="179" t="s">
        <v>149</v>
      </c>
      <c r="C43" s="179">
        <v>4202</v>
      </c>
      <c r="D43" s="179">
        <v>500</v>
      </c>
      <c r="H43" s="142">
        <v>1040</v>
      </c>
      <c r="I43" s="142" t="s">
        <v>149</v>
      </c>
      <c r="J43" s="177">
        <v>4202</v>
      </c>
      <c r="K43" s="178">
        <v>500</v>
      </c>
    </row>
    <row r="44" spans="1:11">
      <c r="A44" s="179">
        <v>1041</v>
      </c>
      <c r="B44" s="179" t="s">
        <v>151</v>
      </c>
      <c r="C44" s="179">
        <v>4200</v>
      </c>
      <c r="D44" s="179"/>
      <c r="H44" s="142">
        <v>1041</v>
      </c>
      <c r="I44" s="142" t="s">
        <v>151</v>
      </c>
      <c r="J44" s="177">
        <v>4200</v>
      </c>
      <c r="K44" s="178">
        <v>0</v>
      </c>
    </row>
    <row r="45" spans="1:11">
      <c r="A45" s="179">
        <v>1042</v>
      </c>
      <c r="B45" s="179" t="s">
        <v>153</v>
      </c>
      <c r="C45" s="179">
        <v>4200</v>
      </c>
      <c r="D45" s="179">
        <v>500</v>
      </c>
      <c r="H45" s="142">
        <v>1042</v>
      </c>
      <c r="I45" s="142" t="s">
        <v>153</v>
      </c>
      <c r="J45" s="177">
        <v>4200</v>
      </c>
      <c r="K45" s="178">
        <v>500</v>
      </c>
    </row>
    <row r="46" spans="1:11">
      <c r="A46" s="179">
        <v>1043</v>
      </c>
      <c r="B46" s="179" t="s">
        <v>155</v>
      </c>
      <c r="C46" s="179">
        <v>3500</v>
      </c>
      <c r="D46" s="179">
        <v>0</v>
      </c>
      <c r="H46" s="142">
        <v>1043</v>
      </c>
      <c r="I46" s="142" t="s">
        <v>155</v>
      </c>
      <c r="J46" s="177">
        <v>3500</v>
      </c>
      <c r="K46" s="178">
        <v>0</v>
      </c>
    </row>
    <row r="47" spans="1:11">
      <c r="A47" s="179">
        <v>1044</v>
      </c>
      <c r="B47" s="179" t="s">
        <v>157</v>
      </c>
      <c r="C47" s="179">
        <v>4202</v>
      </c>
      <c r="D47" s="179">
        <v>200</v>
      </c>
      <c r="H47" s="140">
        <v>1044</v>
      </c>
      <c r="I47" s="142" t="s">
        <v>157</v>
      </c>
      <c r="J47" s="177">
        <v>4202</v>
      </c>
      <c r="K47" s="178">
        <v>200</v>
      </c>
    </row>
    <row r="48" spans="1:11">
      <c r="A48" s="179">
        <v>1045</v>
      </c>
      <c r="B48" s="179" t="s">
        <v>159</v>
      </c>
      <c r="C48" s="179">
        <v>4200</v>
      </c>
      <c r="D48" s="179">
        <v>500</v>
      </c>
      <c r="H48" s="142">
        <v>1045</v>
      </c>
      <c r="I48" s="142" t="s">
        <v>159</v>
      </c>
      <c r="J48" s="177">
        <v>4200</v>
      </c>
      <c r="K48" s="178">
        <v>500</v>
      </c>
    </row>
    <row r="49" spans="1:11">
      <c r="A49" s="179">
        <v>1046</v>
      </c>
      <c r="B49" s="179" t="s">
        <v>161</v>
      </c>
      <c r="C49" s="179">
        <v>4200</v>
      </c>
      <c r="D49" s="179">
        <v>500</v>
      </c>
      <c r="H49" s="142">
        <v>1046</v>
      </c>
      <c r="I49" s="142" t="s">
        <v>161</v>
      </c>
      <c r="J49" s="177">
        <v>4200</v>
      </c>
      <c r="K49" s="178">
        <v>500</v>
      </c>
    </row>
    <row r="50" spans="1:11">
      <c r="A50" s="179">
        <v>1047</v>
      </c>
      <c r="B50" s="179" t="s">
        <v>163</v>
      </c>
      <c r="C50" s="179">
        <v>4200</v>
      </c>
      <c r="D50" s="179">
        <v>500</v>
      </c>
      <c r="H50" s="142">
        <v>1047</v>
      </c>
      <c r="I50" s="142" t="s">
        <v>163</v>
      </c>
      <c r="J50" s="177">
        <v>4200</v>
      </c>
      <c r="K50" s="178">
        <v>500</v>
      </c>
    </row>
    <row r="51" spans="1:11">
      <c r="A51" s="179">
        <v>1048</v>
      </c>
      <c r="B51" s="179" t="s">
        <v>165</v>
      </c>
      <c r="C51" s="179">
        <v>4202</v>
      </c>
      <c r="D51" s="179">
        <v>500</v>
      </c>
      <c r="H51" s="142">
        <v>1048</v>
      </c>
      <c r="I51" s="142" t="s">
        <v>165</v>
      </c>
      <c r="J51" s="177">
        <v>4202</v>
      </c>
      <c r="K51" s="178">
        <v>500</v>
      </c>
    </row>
    <row r="52" spans="1:11">
      <c r="A52" s="179">
        <v>1049</v>
      </c>
      <c r="B52" s="179" t="s">
        <v>167</v>
      </c>
      <c r="C52" s="179">
        <v>4200</v>
      </c>
      <c r="D52" s="179">
        <v>500</v>
      </c>
      <c r="H52" s="142">
        <v>1049</v>
      </c>
      <c r="I52" s="142" t="s">
        <v>167</v>
      </c>
      <c r="J52" s="177">
        <v>4200</v>
      </c>
      <c r="K52" s="178">
        <v>500</v>
      </c>
    </row>
    <row r="53" spans="1:11">
      <c r="A53" s="179">
        <v>1050</v>
      </c>
      <c r="B53" s="179" t="s">
        <v>169</v>
      </c>
      <c r="C53" s="179">
        <v>4200</v>
      </c>
      <c r="D53" s="179">
        <v>500</v>
      </c>
      <c r="H53" s="142">
        <v>1050</v>
      </c>
      <c r="I53" s="142" t="s">
        <v>713</v>
      </c>
      <c r="J53" s="177">
        <v>4200</v>
      </c>
      <c r="K53" s="178">
        <v>500</v>
      </c>
    </row>
    <row r="54" spans="1:11">
      <c r="A54" s="179">
        <v>1051</v>
      </c>
      <c r="B54" s="179" t="s">
        <v>171</v>
      </c>
      <c r="C54" s="179">
        <v>4200</v>
      </c>
      <c r="D54" s="179">
        <v>500</v>
      </c>
      <c r="H54" s="142">
        <v>1051</v>
      </c>
      <c r="I54" s="142" t="s">
        <v>714</v>
      </c>
      <c r="J54" s="177">
        <v>4200</v>
      </c>
      <c r="K54" s="178">
        <v>500</v>
      </c>
    </row>
    <row r="55" spans="1:11">
      <c r="A55" s="179">
        <v>1052</v>
      </c>
      <c r="B55" s="179" t="s">
        <v>173</v>
      </c>
      <c r="C55" s="179">
        <v>4202</v>
      </c>
      <c r="D55" s="179">
        <v>500</v>
      </c>
      <c r="H55" s="142">
        <v>1052</v>
      </c>
      <c r="I55" s="142" t="s">
        <v>173</v>
      </c>
      <c r="J55" s="182">
        <v>4202</v>
      </c>
      <c r="K55" s="182">
        <v>500</v>
      </c>
    </row>
    <row r="56" spans="1:11">
      <c r="A56" s="179">
        <v>1053</v>
      </c>
      <c r="B56" s="179" t="s">
        <v>175</v>
      </c>
      <c r="C56" s="179">
        <v>4202</v>
      </c>
      <c r="D56" s="179">
        <v>500</v>
      </c>
      <c r="H56" s="142">
        <v>1053</v>
      </c>
      <c r="I56" s="142" t="s">
        <v>175</v>
      </c>
      <c r="J56" s="177">
        <v>4202</v>
      </c>
      <c r="K56" s="178">
        <v>500</v>
      </c>
    </row>
    <row r="57" spans="1:11">
      <c r="A57" s="179">
        <v>1054</v>
      </c>
      <c r="B57" s="179" t="s">
        <v>177</v>
      </c>
      <c r="C57" s="179">
        <v>4200</v>
      </c>
      <c r="D57" s="179">
        <v>500</v>
      </c>
      <c r="H57" s="142">
        <v>1054</v>
      </c>
      <c r="I57" s="142" t="s">
        <v>177</v>
      </c>
      <c r="J57" s="177">
        <v>4200</v>
      </c>
      <c r="K57" s="178">
        <v>500</v>
      </c>
    </row>
    <row r="58" spans="1:11">
      <c r="A58" s="179">
        <v>1055</v>
      </c>
      <c r="B58" s="179" t="s">
        <v>179</v>
      </c>
      <c r="C58" s="179">
        <v>4200</v>
      </c>
      <c r="D58" s="179">
        <v>500</v>
      </c>
      <c r="H58" s="142">
        <v>1055</v>
      </c>
      <c r="I58" s="142" t="s">
        <v>179</v>
      </c>
      <c r="J58" s="177">
        <v>4200</v>
      </c>
      <c r="K58" s="178">
        <v>500</v>
      </c>
    </row>
    <row r="59" spans="1:11">
      <c r="A59" s="179">
        <v>1056</v>
      </c>
      <c r="B59" s="179" t="s">
        <v>181</v>
      </c>
      <c r="C59" s="179">
        <v>4200</v>
      </c>
      <c r="D59" s="179">
        <v>500</v>
      </c>
      <c r="H59" s="142">
        <v>1056</v>
      </c>
      <c r="I59" s="142" t="s">
        <v>181</v>
      </c>
      <c r="J59" s="177">
        <v>4200</v>
      </c>
      <c r="K59" s="178">
        <v>500</v>
      </c>
    </row>
    <row r="60" spans="1:11">
      <c r="A60" s="179">
        <v>1057</v>
      </c>
      <c r="B60" s="179" t="s">
        <v>183</v>
      </c>
      <c r="C60" s="179">
        <v>4200</v>
      </c>
      <c r="D60" s="179">
        <v>500</v>
      </c>
      <c r="H60" s="142">
        <v>1057</v>
      </c>
      <c r="I60" s="142" t="s">
        <v>183</v>
      </c>
      <c r="J60" s="177">
        <v>4200</v>
      </c>
      <c r="K60" s="178">
        <v>500</v>
      </c>
    </row>
    <row r="61" spans="1:11">
      <c r="A61" s="179">
        <v>1058</v>
      </c>
      <c r="B61" s="179" t="s">
        <v>185</v>
      </c>
      <c r="C61" s="179">
        <v>4200</v>
      </c>
      <c r="D61" s="179">
        <v>500</v>
      </c>
      <c r="H61" s="142">
        <v>1058</v>
      </c>
      <c r="I61" s="142" t="s">
        <v>185</v>
      </c>
      <c r="J61" s="177">
        <v>4200</v>
      </c>
      <c r="K61" s="178">
        <v>500</v>
      </c>
    </row>
    <row r="62" spans="1:11">
      <c r="A62" s="179">
        <v>1059</v>
      </c>
      <c r="B62" s="179" t="s">
        <v>187</v>
      </c>
      <c r="C62" s="179">
        <v>4200</v>
      </c>
      <c r="D62" s="179">
        <v>500</v>
      </c>
      <c r="H62" s="142">
        <v>1059</v>
      </c>
      <c r="I62" s="142" t="s">
        <v>715</v>
      </c>
      <c r="J62" s="177">
        <v>4200</v>
      </c>
      <c r="K62" s="178">
        <v>500</v>
      </c>
    </row>
    <row r="63" spans="1:11">
      <c r="A63" s="179">
        <v>1060</v>
      </c>
      <c r="B63" s="179" t="s">
        <v>189</v>
      </c>
      <c r="C63" s="179">
        <v>4200</v>
      </c>
      <c r="D63" s="179">
        <v>500</v>
      </c>
      <c r="H63" s="142">
        <v>1060</v>
      </c>
      <c r="I63" s="142" t="s">
        <v>189</v>
      </c>
      <c r="J63" s="177">
        <v>4200</v>
      </c>
      <c r="K63" s="178">
        <v>500</v>
      </c>
    </row>
    <row r="64" spans="1:11">
      <c r="A64" s="179">
        <v>1061</v>
      </c>
      <c r="B64" s="179" t="s">
        <v>191</v>
      </c>
      <c r="C64" s="181">
        <v>3500</v>
      </c>
      <c r="D64" s="179">
        <v>200</v>
      </c>
      <c r="H64" s="142">
        <v>1061</v>
      </c>
      <c r="I64" s="142" t="s">
        <v>191</v>
      </c>
      <c r="J64" s="177">
        <v>3500</v>
      </c>
      <c r="K64" s="178">
        <v>200</v>
      </c>
    </row>
    <row r="65" spans="1:11">
      <c r="A65" s="179">
        <v>1062</v>
      </c>
      <c r="B65" s="179" t="s">
        <v>193</v>
      </c>
      <c r="C65" s="179">
        <v>3000</v>
      </c>
      <c r="D65" s="179"/>
      <c r="H65" s="142">
        <v>1062</v>
      </c>
      <c r="I65" s="142" t="s">
        <v>193</v>
      </c>
      <c r="J65" s="177">
        <v>3000</v>
      </c>
      <c r="K65" s="178">
        <v>0</v>
      </c>
    </row>
    <row r="66" spans="1:11">
      <c r="A66" s="179">
        <v>1063</v>
      </c>
      <c r="B66" s="179" t="s">
        <v>195</v>
      </c>
      <c r="C66" s="179">
        <v>1600</v>
      </c>
      <c r="D66" s="179">
        <v>0</v>
      </c>
      <c r="H66" s="142">
        <v>1063</v>
      </c>
      <c r="I66" s="142" t="s">
        <v>195</v>
      </c>
      <c r="J66" s="177">
        <v>1600</v>
      </c>
      <c r="K66" s="178">
        <v>0</v>
      </c>
    </row>
    <row r="67" spans="1:11">
      <c r="A67" s="179">
        <v>1065</v>
      </c>
      <c r="B67" s="179" t="s">
        <v>197</v>
      </c>
      <c r="C67" s="179">
        <v>1200</v>
      </c>
      <c r="D67" s="179">
        <v>0</v>
      </c>
      <c r="H67" s="142">
        <v>1065</v>
      </c>
      <c r="I67" s="142" t="s">
        <v>197</v>
      </c>
      <c r="J67" s="177">
        <v>1200</v>
      </c>
      <c r="K67" s="178">
        <v>0</v>
      </c>
    </row>
    <row r="68" spans="1:11">
      <c r="A68" s="179">
        <v>1066</v>
      </c>
      <c r="B68" s="179" t="s">
        <v>199</v>
      </c>
      <c r="C68" s="179">
        <v>4200</v>
      </c>
      <c r="D68" s="179">
        <v>500</v>
      </c>
      <c r="H68" s="142">
        <v>1066</v>
      </c>
      <c r="I68" s="142" t="s">
        <v>199</v>
      </c>
      <c r="J68" s="177">
        <v>4200</v>
      </c>
      <c r="K68" s="178">
        <v>500</v>
      </c>
    </row>
    <row r="69" ht="27" spans="1:11">
      <c r="A69" s="183" t="s">
        <v>716</v>
      </c>
      <c r="B69" s="184" t="s">
        <v>193</v>
      </c>
      <c r="C69" s="185">
        <v>1500</v>
      </c>
      <c r="D69" s="179"/>
      <c r="H69" s="186" t="s">
        <v>202</v>
      </c>
      <c r="I69" s="142" t="s">
        <v>193</v>
      </c>
      <c r="J69" s="177">
        <v>1500</v>
      </c>
      <c r="K69" s="178"/>
    </row>
    <row r="70" ht="27" spans="1:11">
      <c r="A70" s="183" t="s">
        <v>717</v>
      </c>
      <c r="B70" s="184" t="s">
        <v>205</v>
      </c>
      <c r="C70" s="185">
        <v>1200</v>
      </c>
      <c r="D70" s="179"/>
      <c r="H70" s="186" t="s">
        <v>204</v>
      </c>
      <c r="I70" s="142" t="s">
        <v>205</v>
      </c>
      <c r="J70" s="177">
        <v>1200</v>
      </c>
      <c r="K70" s="178"/>
    </row>
    <row r="71" spans="1:11">
      <c r="A71" s="183" t="s">
        <v>207</v>
      </c>
      <c r="B71" s="179" t="s">
        <v>208</v>
      </c>
      <c r="C71" s="185">
        <v>2000</v>
      </c>
      <c r="D71" s="179"/>
      <c r="H71" s="142" t="s">
        <v>207</v>
      </c>
      <c r="I71" s="142" t="s">
        <v>208</v>
      </c>
      <c r="J71" s="177">
        <v>2000</v>
      </c>
      <c r="K71" s="178"/>
    </row>
    <row r="72" spans="1:11">
      <c r="A72" s="183" t="s">
        <v>211</v>
      </c>
      <c r="B72" s="179" t="s">
        <v>212</v>
      </c>
      <c r="C72" s="185">
        <v>1500</v>
      </c>
      <c r="D72" s="179"/>
      <c r="H72" s="142" t="s">
        <v>211</v>
      </c>
      <c r="I72" s="142" t="s">
        <v>212</v>
      </c>
      <c r="J72" s="177">
        <v>1500</v>
      </c>
      <c r="K72" s="178"/>
    </row>
    <row r="73" spans="1:11">
      <c r="A73" s="179">
        <v>2001</v>
      </c>
      <c r="B73" s="179" t="s">
        <v>718</v>
      </c>
      <c r="C73" s="179">
        <v>1500</v>
      </c>
      <c r="D73" s="179"/>
      <c r="H73" s="142">
        <v>2001</v>
      </c>
      <c r="I73" s="142" t="s">
        <v>215</v>
      </c>
      <c r="J73" s="177">
        <v>2500</v>
      </c>
      <c r="K73" s="178">
        <v>200</v>
      </c>
    </row>
    <row r="74" spans="1:11">
      <c r="A74" s="179">
        <v>2002</v>
      </c>
      <c r="B74" s="179" t="s">
        <v>217</v>
      </c>
      <c r="C74" s="179">
        <v>2500</v>
      </c>
      <c r="D74" s="179">
        <v>200</v>
      </c>
      <c r="H74" s="142">
        <v>2002</v>
      </c>
      <c r="I74" s="142" t="s">
        <v>217</v>
      </c>
      <c r="J74" s="177">
        <v>2500</v>
      </c>
      <c r="K74" s="178">
        <v>200</v>
      </c>
    </row>
    <row r="75" spans="1:11">
      <c r="A75" s="179">
        <v>2003</v>
      </c>
      <c r="B75" s="179" t="s">
        <v>219</v>
      </c>
      <c r="C75" s="179">
        <v>2500</v>
      </c>
      <c r="D75" s="179">
        <v>200</v>
      </c>
      <c r="H75" s="142">
        <v>2003</v>
      </c>
      <c r="I75" s="142" t="s">
        <v>219</v>
      </c>
      <c r="J75" s="177">
        <v>2500</v>
      </c>
      <c r="K75" s="178">
        <v>200</v>
      </c>
    </row>
    <row r="76" spans="1:11">
      <c r="A76" s="179">
        <v>2004</v>
      </c>
      <c r="B76" s="179" t="s">
        <v>221</v>
      </c>
      <c r="C76" s="179">
        <v>2500</v>
      </c>
      <c r="D76" s="179">
        <v>200</v>
      </c>
      <c r="H76" s="142">
        <v>2004</v>
      </c>
      <c r="I76" s="142" t="s">
        <v>221</v>
      </c>
      <c r="J76" s="177">
        <v>2500</v>
      </c>
      <c r="K76" s="178">
        <v>200</v>
      </c>
    </row>
    <row r="77" spans="1:11">
      <c r="A77" s="179">
        <v>2005</v>
      </c>
      <c r="B77" s="179" t="s">
        <v>223</v>
      </c>
      <c r="C77" s="179">
        <v>2500</v>
      </c>
      <c r="D77" s="179">
        <v>200</v>
      </c>
      <c r="H77" s="142">
        <v>2005</v>
      </c>
      <c r="I77" s="142" t="s">
        <v>223</v>
      </c>
      <c r="J77" s="177">
        <v>2500</v>
      </c>
      <c r="K77" s="178">
        <v>200</v>
      </c>
    </row>
    <row r="78" spans="1:11">
      <c r="A78" s="179">
        <v>2006</v>
      </c>
      <c r="B78" s="179" t="s">
        <v>225</v>
      </c>
      <c r="C78" s="179">
        <v>2500</v>
      </c>
      <c r="D78" s="179">
        <v>200</v>
      </c>
      <c r="H78" s="142">
        <v>2006</v>
      </c>
      <c r="I78" s="142" t="s">
        <v>225</v>
      </c>
      <c r="J78" s="177">
        <v>2500</v>
      </c>
      <c r="K78" s="178">
        <v>200</v>
      </c>
    </row>
    <row r="79" spans="1:11">
      <c r="A79" s="179">
        <v>2007</v>
      </c>
      <c r="B79" s="179" t="s">
        <v>228</v>
      </c>
      <c r="C79" s="179">
        <v>5000</v>
      </c>
      <c r="D79" s="179">
        <v>400</v>
      </c>
      <c r="H79" s="142" t="s">
        <v>227</v>
      </c>
      <c r="I79" s="142" t="s">
        <v>228</v>
      </c>
      <c r="J79" s="177">
        <v>5000</v>
      </c>
      <c r="K79" s="178">
        <v>400</v>
      </c>
    </row>
    <row r="80" spans="1:11">
      <c r="A80" s="179">
        <v>2008</v>
      </c>
      <c r="B80" s="179" t="s">
        <v>228</v>
      </c>
      <c r="C80" s="179"/>
      <c r="D80" s="179"/>
      <c r="H80" s="142">
        <v>2008</v>
      </c>
      <c r="I80" s="142" t="s">
        <v>228</v>
      </c>
      <c r="J80" s="177"/>
      <c r="K80" s="178"/>
    </row>
    <row r="81" spans="1:11">
      <c r="A81" s="179">
        <v>2009</v>
      </c>
      <c r="B81" s="179" t="s">
        <v>231</v>
      </c>
      <c r="C81" s="179">
        <v>2500</v>
      </c>
      <c r="D81" s="179">
        <v>200</v>
      </c>
      <c r="H81" s="142">
        <v>2009</v>
      </c>
      <c r="I81" s="142" t="s">
        <v>231</v>
      </c>
      <c r="J81" s="177">
        <v>2500</v>
      </c>
      <c r="K81" s="178">
        <v>200</v>
      </c>
    </row>
    <row r="82" spans="1:11">
      <c r="A82" s="179">
        <v>2010</v>
      </c>
      <c r="B82" s="179" t="s">
        <v>233</v>
      </c>
      <c r="C82" s="179">
        <v>2500</v>
      </c>
      <c r="D82" s="179">
        <v>200</v>
      </c>
      <c r="H82" s="142">
        <v>2010</v>
      </c>
      <c r="I82" s="142" t="s">
        <v>233</v>
      </c>
      <c r="J82" s="177">
        <v>2500</v>
      </c>
      <c r="K82" s="178">
        <v>200</v>
      </c>
    </row>
    <row r="83" spans="1:11">
      <c r="A83" s="179">
        <v>2011</v>
      </c>
      <c r="B83" s="179" t="s">
        <v>235</v>
      </c>
      <c r="C83" s="179">
        <v>2500</v>
      </c>
      <c r="D83" s="179">
        <v>200</v>
      </c>
      <c r="H83" s="142">
        <v>2011</v>
      </c>
      <c r="I83" s="142" t="s">
        <v>235</v>
      </c>
      <c r="J83" s="177">
        <v>2500</v>
      </c>
      <c r="K83" s="178">
        <v>200</v>
      </c>
    </row>
    <row r="84" spans="1:11">
      <c r="A84" s="179">
        <v>2012</v>
      </c>
      <c r="B84" s="179" t="s">
        <v>237</v>
      </c>
      <c r="C84" s="179">
        <v>2500</v>
      </c>
      <c r="D84" s="179">
        <v>200</v>
      </c>
      <c r="H84" s="142">
        <v>2012</v>
      </c>
      <c r="I84" s="142" t="s">
        <v>237</v>
      </c>
      <c r="J84" s="177">
        <v>2500</v>
      </c>
      <c r="K84" s="178">
        <v>200</v>
      </c>
    </row>
    <row r="85" spans="1:11">
      <c r="A85" s="179">
        <v>2013</v>
      </c>
      <c r="B85" s="179" t="s">
        <v>239</v>
      </c>
      <c r="C85" s="179">
        <v>2500</v>
      </c>
      <c r="D85" s="179">
        <v>200</v>
      </c>
      <c r="H85" s="142">
        <v>2013</v>
      </c>
      <c r="I85" s="142" t="s">
        <v>239</v>
      </c>
      <c r="J85" s="177">
        <v>2500</v>
      </c>
      <c r="K85" s="178">
        <v>200</v>
      </c>
    </row>
    <row r="86" spans="1:11">
      <c r="A86" s="179">
        <v>2014</v>
      </c>
      <c r="B86" s="179" t="s">
        <v>241</v>
      </c>
      <c r="C86" s="179">
        <v>2500</v>
      </c>
      <c r="D86" s="179">
        <v>200</v>
      </c>
      <c r="H86" s="142">
        <v>2014</v>
      </c>
      <c r="I86" s="142" t="s">
        <v>241</v>
      </c>
      <c r="J86" s="177">
        <v>2500</v>
      </c>
      <c r="K86" s="178">
        <v>200</v>
      </c>
    </row>
    <row r="87" spans="1:11">
      <c r="A87" s="179">
        <v>2015</v>
      </c>
      <c r="B87" s="179" t="s">
        <v>243</v>
      </c>
      <c r="C87" s="179">
        <v>2500</v>
      </c>
      <c r="D87" s="179">
        <v>200</v>
      </c>
      <c r="H87" s="142">
        <v>2015</v>
      </c>
      <c r="I87" s="142" t="s">
        <v>243</v>
      </c>
      <c r="J87" s="177">
        <v>2500</v>
      </c>
      <c r="K87" s="178">
        <v>200</v>
      </c>
    </row>
    <row r="88" spans="1:11">
      <c r="A88" s="179">
        <v>2016</v>
      </c>
      <c r="B88" s="179" t="s">
        <v>245</v>
      </c>
      <c r="C88" s="179">
        <v>2500</v>
      </c>
      <c r="D88" s="179">
        <v>200</v>
      </c>
      <c r="H88" s="142">
        <v>2016</v>
      </c>
      <c r="I88" s="142" t="s">
        <v>245</v>
      </c>
      <c r="J88" s="177">
        <v>2500</v>
      </c>
      <c r="K88" s="178">
        <v>200</v>
      </c>
    </row>
    <row r="89" spans="1:11">
      <c r="A89" s="179">
        <v>2017</v>
      </c>
      <c r="B89" s="179" t="s">
        <v>245</v>
      </c>
      <c r="C89" s="179">
        <v>2500</v>
      </c>
      <c r="D89" s="179">
        <v>200</v>
      </c>
      <c r="H89" s="142">
        <v>2017</v>
      </c>
      <c r="I89" s="142" t="s">
        <v>245</v>
      </c>
      <c r="J89" s="177">
        <v>2500</v>
      </c>
      <c r="K89" s="178">
        <v>200</v>
      </c>
    </row>
    <row r="90" spans="1:11">
      <c r="A90" s="179">
        <v>2018</v>
      </c>
      <c r="B90" s="179" t="s">
        <v>248</v>
      </c>
      <c r="C90" s="179">
        <v>2500</v>
      </c>
      <c r="D90" s="179">
        <v>200</v>
      </c>
      <c r="H90" s="142">
        <v>2018</v>
      </c>
      <c r="I90" s="142" t="s">
        <v>248</v>
      </c>
      <c r="J90" s="177">
        <v>2500</v>
      </c>
      <c r="K90" s="178">
        <v>200</v>
      </c>
    </row>
    <row r="91" spans="1:11">
      <c r="A91" s="179">
        <v>2019</v>
      </c>
      <c r="B91" s="179" t="s">
        <v>250</v>
      </c>
      <c r="C91" s="179">
        <v>2500</v>
      </c>
      <c r="D91" s="179">
        <v>200</v>
      </c>
      <c r="H91" s="142">
        <v>2019</v>
      </c>
      <c r="I91" s="142" t="s">
        <v>250</v>
      </c>
      <c r="J91" s="177">
        <v>2500</v>
      </c>
      <c r="K91" s="178">
        <v>200</v>
      </c>
    </row>
    <row r="92" spans="1:11">
      <c r="A92" s="179">
        <v>2020</v>
      </c>
      <c r="B92" s="179" t="s">
        <v>252</v>
      </c>
      <c r="C92" s="179">
        <v>2500</v>
      </c>
      <c r="D92" s="179">
        <v>200</v>
      </c>
      <c r="H92" s="142">
        <v>2020</v>
      </c>
      <c r="I92" s="142" t="s">
        <v>252</v>
      </c>
      <c r="J92" s="177">
        <v>2500</v>
      </c>
      <c r="K92" s="178">
        <v>200</v>
      </c>
    </row>
    <row r="93" spans="1:11">
      <c r="A93" s="179">
        <v>2021</v>
      </c>
      <c r="B93" s="179" t="s">
        <v>254</v>
      </c>
      <c r="C93" s="179">
        <v>2500</v>
      </c>
      <c r="D93" s="179">
        <v>200</v>
      </c>
      <c r="H93" s="142">
        <v>2021</v>
      </c>
      <c r="I93" s="142" t="s">
        <v>254</v>
      </c>
      <c r="J93" s="177">
        <v>2500</v>
      </c>
      <c r="K93" s="178">
        <v>200</v>
      </c>
    </row>
    <row r="94" spans="1:11">
      <c r="A94" s="179">
        <v>2022</v>
      </c>
      <c r="B94" s="179" t="s">
        <v>256</v>
      </c>
      <c r="C94" s="179">
        <v>2500</v>
      </c>
      <c r="D94" s="179">
        <v>200</v>
      </c>
      <c r="H94" s="142">
        <v>2022</v>
      </c>
      <c r="I94" s="142" t="s">
        <v>256</v>
      </c>
      <c r="J94" s="177">
        <v>2500</v>
      </c>
      <c r="K94" s="178">
        <v>200</v>
      </c>
    </row>
    <row r="95" spans="1:11">
      <c r="A95" s="179">
        <v>2023</v>
      </c>
      <c r="B95" s="179" t="s">
        <v>258</v>
      </c>
      <c r="C95" s="179">
        <v>2500</v>
      </c>
      <c r="D95" s="179">
        <v>200</v>
      </c>
      <c r="H95" s="142">
        <v>2023</v>
      </c>
      <c r="I95" s="142" t="s">
        <v>258</v>
      </c>
      <c r="J95" s="177">
        <v>2500</v>
      </c>
      <c r="K95" s="178">
        <v>200</v>
      </c>
    </row>
    <row r="96" spans="1:11">
      <c r="A96" s="179">
        <v>2024</v>
      </c>
      <c r="B96" s="179" t="s">
        <v>260</v>
      </c>
      <c r="C96" s="179">
        <v>2500</v>
      </c>
      <c r="D96" s="179">
        <v>200</v>
      </c>
      <c r="H96" s="142">
        <v>2024</v>
      </c>
      <c r="I96" s="142" t="s">
        <v>260</v>
      </c>
      <c r="J96" s="177">
        <v>2500</v>
      </c>
      <c r="K96" s="178">
        <v>200</v>
      </c>
    </row>
    <row r="97" spans="1:11">
      <c r="A97" s="179">
        <v>2025</v>
      </c>
      <c r="B97" s="179" t="s">
        <v>262</v>
      </c>
      <c r="C97" s="179">
        <v>2500</v>
      </c>
      <c r="D97" s="179">
        <v>200</v>
      </c>
      <c r="H97" s="142">
        <v>2025</v>
      </c>
      <c r="I97" s="142" t="s">
        <v>262</v>
      </c>
      <c r="J97" s="177">
        <v>2500</v>
      </c>
      <c r="K97" s="178">
        <v>200</v>
      </c>
    </row>
    <row r="98" spans="1:11">
      <c r="A98" s="179">
        <v>2026</v>
      </c>
      <c r="B98" s="179" t="s">
        <v>719</v>
      </c>
      <c r="C98" s="179">
        <v>1800</v>
      </c>
      <c r="D98" s="179"/>
      <c r="H98" s="142">
        <v>2026</v>
      </c>
      <c r="I98" s="142" t="s">
        <v>264</v>
      </c>
      <c r="J98" s="177"/>
      <c r="K98" s="178"/>
    </row>
    <row r="99" spans="1:11">
      <c r="A99" s="179">
        <v>2027</v>
      </c>
      <c r="B99" s="179" t="s">
        <v>720</v>
      </c>
      <c r="C99" s="179">
        <v>1180</v>
      </c>
      <c r="D99" s="179"/>
      <c r="H99" s="142">
        <v>2027</v>
      </c>
      <c r="I99" s="142" t="s">
        <v>264</v>
      </c>
      <c r="J99" s="177"/>
      <c r="K99" s="178"/>
    </row>
    <row r="100" spans="1:11">
      <c r="A100" s="179">
        <v>2029</v>
      </c>
      <c r="B100" s="179" t="s">
        <v>267</v>
      </c>
      <c r="C100" s="179">
        <v>2500</v>
      </c>
      <c r="D100" s="179">
        <v>200</v>
      </c>
      <c r="H100" s="142">
        <v>2029</v>
      </c>
      <c r="I100" s="142" t="s">
        <v>267</v>
      </c>
      <c r="J100" s="177">
        <v>2500</v>
      </c>
      <c r="K100" s="178">
        <v>200</v>
      </c>
    </row>
    <row r="101" spans="1:11">
      <c r="A101" s="179">
        <v>2030</v>
      </c>
      <c r="B101" s="179" t="s">
        <v>267</v>
      </c>
      <c r="C101" s="179">
        <v>2500</v>
      </c>
      <c r="D101" s="179">
        <v>200</v>
      </c>
      <c r="H101" s="142">
        <v>2030</v>
      </c>
      <c r="I101" s="157" t="s">
        <v>267</v>
      </c>
      <c r="J101" s="177">
        <v>2500</v>
      </c>
      <c r="K101" s="178">
        <v>200</v>
      </c>
    </row>
    <row r="102" spans="1:11">
      <c r="A102" s="179">
        <v>2031</v>
      </c>
      <c r="B102" s="179" t="s">
        <v>270</v>
      </c>
      <c r="C102" s="179">
        <v>2500</v>
      </c>
      <c r="D102" s="179">
        <v>200</v>
      </c>
      <c r="H102" s="142">
        <v>2031</v>
      </c>
      <c r="I102" s="142" t="s">
        <v>270</v>
      </c>
      <c r="J102" s="177">
        <v>2500</v>
      </c>
      <c r="K102" s="178">
        <v>200</v>
      </c>
    </row>
    <row r="103" spans="1:11">
      <c r="A103" s="179">
        <v>2032</v>
      </c>
      <c r="B103" s="179" t="s">
        <v>272</v>
      </c>
      <c r="C103" s="179">
        <v>2500</v>
      </c>
      <c r="D103" s="179">
        <v>200</v>
      </c>
      <c r="H103" s="142">
        <v>2032</v>
      </c>
      <c r="I103" s="142" t="s">
        <v>272</v>
      </c>
      <c r="J103" s="177">
        <v>2500</v>
      </c>
      <c r="K103" s="178">
        <v>200</v>
      </c>
    </row>
    <row r="104" spans="1:11">
      <c r="A104" s="179">
        <v>2033</v>
      </c>
      <c r="B104" s="179" t="s">
        <v>274</v>
      </c>
      <c r="C104" s="179">
        <v>2500</v>
      </c>
      <c r="D104" s="179">
        <v>200</v>
      </c>
      <c r="H104" s="142">
        <v>2033</v>
      </c>
      <c r="I104" s="142" t="s">
        <v>274</v>
      </c>
      <c r="J104" s="177">
        <v>2500</v>
      </c>
      <c r="K104" s="178">
        <v>200</v>
      </c>
    </row>
    <row r="105" spans="1:11">
      <c r="A105" s="179">
        <v>2034</v>
      </c>
      <c r="B105" s="179" t="s">
        <v>274</v>
      </c>
      <c r="C105" s="179">
        <v>2500</v>
      </c>
      <c r="D105" s="179">
        <v>200</v>
      </c>
      <c r="H105" s="142">
        <v>2034</v>
      </c>
      <c r="I105" s="142" t="s">
        <v>274</v>
      </c>
      <c r="J105" s="177">
        <v>2500</v>
      </c>
      <c r="K105" s="178">
        <v>200</v>
      </c>
    </row>
    <row r="106" spans="1:11">
      <c r="A106" s="179">
        <v>2035</v>
      </c>
      <c r="B106" s="179" t="s">
        <v>278</v>
      </c>
      <c r="C106" s="179">
        <v>2500</v>
      </c>
      <c r="D106" s="179">
        <v>200</v>
      </c>
      <c r="H106" s="142">
        <v>2035</v>
      </c>
      <c r="I106" s="142" t="s">
        <v>278</v>
      </c>
      <c r="J106" s="177">
        <v>2500</v>
      </c>
      <c r="K106" s="178">
        <v>200</v>
      </c>
    </row>
    <row r="107" spans="1:11">
      <c r="A107" s="179" t="s">
        <v>280</v>
      </c>
      <c r="B107" s="179" t="s">
        <v>281</v>
      </c>
      <c r="C107" s="179">
        <v>2500</v>
      </c>
      <c r="D107" s="179">
        <v>200</v>
      </c>
      <c r="H107" s="142" t="s">
        <v>280</v>
      </c>
      <c r="I107" s="142" t="s">
        <v>281</v>
      </c>
      <c r="J107" s="177">
        <v>2500</v>
      </c>
      <c r="K107" s="178">
        <v>200</v>
      </c>
    </row>
    <row r="108" spans="1:11">
      <c r="A108" s="179">
        <v>2036</v>
      </c>
      <c r="B108" s="179" t="s">
        <v>283</v>
      </c>
      <c r="C108" s="179">
        <v>2500</v>
      </c>
      <c r="D108" s="179">
        <v>200</v>
      </c>
      <c r="H108" s="142">
        <v>2036</v>
      </c>
      <c r="I108" s="142" t="s">
        <v>283</v>
      </c>
      <c r="J108" s="177">
        <v>2500</v>
      </c>
      <c r="K108" s="178">
        <v>200</v>
      </c>
    </row>
    <row r="109" spans="1:11">
      <c r="A109" s="179">
        <v>2037</v>
      </c>
      <c r="B109" s="179" t="s">
        <v>721</v>
      </c>
      <c r="C109" s="179">
        <v>2500</v>
      </c>
      <c r="D109" s="179">
        <v>200</v>
      </c>
      <c r="H109" s="142">
        <v>2037</v>
      </c>
      <c r="I109" s="142" t="s">
        <v>286</v>
      </c>
      <c r="J109" s="177">
        <v>2500</v>
      </c>
      <c r="K109" s="178">
        <v>200</v>
      </c>
    </row>
    <row r="110" spans="1:11">
      <c r="A110" s="179">
        <v>2038</v>
      </c>
      <c r="B110" s="179" t="s">
        <v>721</v>
      </c>
      <c r="C110" s="179">
        <v>2500</v>
      </c>
      <c r="D110" s="179">
        <v>200</v>
      </c>
      <c r="H110" s="142">
        <v>2038</v>
      </c>
      <c r="I110" s="142" t="s">
        <v>286</v>
      </c>
      <c r="J110" s="177">
        <v>2500</v>
      </c>
      <c r="K110" s="178">
        <v>200</v>
      </c>
    </row>
    <row r="111" spans="1:11">
      <c r="A111" s="179">
        <v>2039</v>
      </c>
      <c r="B111" s="179" t="s">
        <v>289</v>
      </c>
      <c r="C111" s="179">
        <v>2500</v>
      </c>
      <c r="D111" s="179">
        <v>200</v>
      </c>
      <c r="H111" s="142">
        <v>2039</v>
      </c>
      <c r="I111" s="142" t="s">
        <v>289</v>
      </c>
      <c r="J111" s="177">
        <v>2500</v>
      </c>
      <c r="K111" s="178">
        <v>200</v>
      </c>
    </row>
    <row r="112" spans="1:11">
      <c r="A112" s="179">
        <v>2040</v>
      </c>
      <c r="B112" s="179" t="s">
        <v>291</v>
      </c>
      <c r="C112" s="179">
        <v>5000</v>
      </c>
      <c r="D112" s="179">
        <v>400</v>
      </c>
      <c r="H112" s="142">
        <v>2040</v>
      </c>
      <c r="I112" s="142" t="s">
        <v>291</v>
      </c>
      <c r="J112" s="177">
        <v>5000</v>
      </c>
      <c r="K112" s="178">
        <v>400</v>
      </c>
    </row>
    <row r="113" spans="1:11">
      <c r="A113" s="179">
        <v>2041</v>
      </c>
      <c r="B113" s="179" t="s">
        <v>291</v>
      </c>
      <c r="C113" s="179"/>
      <c r="D113" s="179"/>
      <c r="H113" s="142">
        <v>2041</v>
      </c>
      <c r="I113" s="142" t="s">
        <v>291</v>
      </c>
      <c r="J113" s="177"/>
      <c r="K113" s="178"/>
    </row>
    <row r="114" spans="1:11">
      <c r="A114" s="179">
        <v>2042</v>
      </c>
      <c r="B114" s="179" t="s">
        <v>294</v>
      </c>
      <c r="C114" s="179">
        <v>2500</v>
      </c>
      <c r="D114" s="179">
        <v>200</v>
      </c>
      <c r="H114" s="142">
        <v>2042</v>
      </c>
      <c r="I114" s="142" t="s">
        <v>294</v>
      </c>
      <c r="J114" s="177">
        <v>2500</v>
      </c>
      <c r="K114" s="178">
        <v>200</v>
      </c>
    </row>
    <row r="115" spans="1:11">
      <c r="A115" s="179">
        <v>2043</v>
      </c>
      <c r="B115" s="179" t="s">
        <v>297</v>
      </c>
      <c r="C115" s="179">
        <v>5000</v>
      </c>
      <c r="D115" s="179">
        <v>400</v>
      </c>
      <c r="H115" s="142" t="s">
        <v>296</v>
      </c>
      <c r="I115" s="142" t="s">
        <v>297</v>
      </c>
      <c r="J115" s="177">
        <v>5000</v>
      </c>
      <c r="K115" s="178">
        <v>400</v>
      </c>
    </row>
    <row r="116" spans="1:11">
      <c r="A116" s="179">
        <v>2044</v>
      </c>
      <c r="B116" s="179" t="s">
        <v>297</v>
      </c>
      <c r="C116" s="179"/>
      <c r="D116" s="179"/>
      <c r="H116" s="142">
        <v>2044</v>
      </c>
      <c r="I116" s="142" t="s">
        <v>297</v>
      </c>
      <c r="J116" s="177"/>
      <c r="K116" s="178"/>
    </row>
    <row r="117" spans="1:11">
      <c r="A117" s="179">
        <v>2045</v>
      </c>
      <c r="B117" s="179" t="s">
        <v>300</v>
      </c>
      <c r="C117" s="179">
        <v>2500</v>
      </c>
      <c r="D117" s="179">
        <v>200</v>
      </c>
      <c r="H117" s="142">
        <v>2045</v>
      </c>
      <c r="I117" s="142" t="s">
        <v>300</v>
      </c>
      <c r="J117" s="177">
        <v>2500</v>
      </c>
      <c r="K117" s="178">
        <v>200</v>
      </c>
    </row>
    <row r="118" spans="1:11">
      <c r="A118" s="179">
        <v>2046</v>
      </c>
      <c r="B118" s="179" t="s">
        <v>302</v>
      </c>
      <c r="C118" s="179">
        <v>2500</v>
      </c>
      <c r="D118" s="179">
        <v>200</v>
      </c>
      <c r="H118" s="142">
        <v>2046</v>
      </c>
      <c r="I118" s="142" t="s">
        <v>302</v>
      </c>
      <c r="J118" s="177">
        <v>2500</v>
      </c>
      <c r="K118" s="178">
        <v>200</v>
      </c>
    </row>
    <row r="119" spans="1:11">
      <c r="A119" s="179">
        <v>2047</v>
      </c>
      <c r="B119" s="179" t="s">
        <v>304</v>
      </c>
      <c r="C119" s="179">
        <v>2000</v>
      </c>
      <c r="D119" s="179"/>
      <c r="H119" s="142">
        <v>2047</v>
      </c>
      <c r="I119" s="142" t="s">
        <v>304</v>
      </c>
      <c r="J119" s="177">
        <v>2000</v>
      </c>
      <c r="K119" s="178">
        <v>0</v>
      </c>
    </row>
    <row r="120" spans="1:11">
      <c r="A120" s="179">
        <v>2048</v>
      </c>
      <c r="B120" s="179" t="s">
        <v>306</v>
      </c>
      <c r="C120" s="179">
        <v>2500</v>
      </c>
      <c r="D120" s="179">
        <v>200</v>
      </c>
      <c r="H120" s="142">
        <v>2048</v>
      </c>
      <c r="I120" s="142" t="s">
        <v>306</v>
      </c>
      <c r="J120" s="177">
        <v>2500</v>
      </c>
      <c r="K120" s="178">
        <v>200</v>
      </c>
    </row>
    <row r="121" spans="1:11">
      <c r="A121" s="179">
        <v>2049</v>
      </c>
      <c r="B121" s="179" t="s">
        <v>308</v>
      </c>
      <c r="C121" s="179">
        <v>2500</v>
      </c>
      <c r="D121" s="179">
        <v>200</v>
      </c>
      <c r="H121" s="142">
        <v>2049</v>
      </c>
      <c r="I121" s="142" t="s">
        <v>308</v>
      </c>
      <c r="J121" s="177">
        <v>2500</v>
      </c>
      <c r="K121" s="178">
        <v>200</v>
      </c>
    </row>
    <row r="122" spans="1:11">
      <c r="A122" s="179">
        <v>2050</v>
      </c>
      <c r="B122" s="179" t="s">
        <v>310</v>
      </c>
      <c r="C122" s="179">
        <v>2500</v>
      </c>
      <c r="D122" s="179">
        <v>200</v>
      </c>
      <c r="H122" s="142">
        <v>2050</v>
      </c>
      <c r="I122" s="142" t="s">
        <v>310</v>
      </c>
      <c r="J122" s="177">
        <v>2500</v>
      </c>
      <c r="K122" s="178">
        <v>200</v>
      </c>
    </row>
    <row r="123" spans="1:11">
      <c r="A123" s="179">
        <v>2051</v>
      </c>
      <c r="B123" s="179" t="s">
        <v>312</v>
      </c>
      <c r="C123" s="179">
        <v>2500</v>
      </c>
      <c r="D123" s="179">
        <v>200</v>
      </c>
      <c r="H123" s="142">
        <v>2051</v>
      </c>
      <c r="I123" s="142" t="s">
        <v>312</v>
      </c>
      <c r="J123" s="177">
        <v>2500</v>
      </c>
      <c r="K123" s="178">
        <v>200</v>
      </c>
    </row>
    <row r="124" spans="1:11">
      <c r="A124" s="179">
        <v>2052</v>
      </c>
      <c r="B124" s="179" t="s">
        <v>314</v>
      </c>
      <c r="C124" s="179">
        <v>2500</v>
      </c>
      <c r="D124" s="179">
        <v>200</v>
      </c>
      <c r="H124" s="142">
        <v>2052</v>
      </c>
      <c r="I124" s="142" t="s">
        <v>314</v>
      </c>
      <c r="J124" s="177">
        <v>2500</v>
      </c>
      <c r="K124" s="178">
        <v>200</v>
      </c>
    </row>
    <row r="125" spans="1:11">
      <c r="A125" s="179">
        <v>2053</v>
      </c>
      <c r="B125" s="179" t="s">
        <v>316</v>
      </c>
      <c r="C125" s="179">
        <v>2500</v>
      </c>
      <c r="D125" s="179">
        <v>200</v>
      </c>
      <c r="H125" s="142">
        <v>2053</v>
      </c>
      <c r="I125" s="142" t="s">
        <v>316</v>
      </c>
      <c r="J125" s="177">
        <v>2500</v>
      </c>
      <c r="K125" s="178">
        <v>200</v>
      </c>
    </row>
    <row r="126" spans="1:11">
      <c r="A126" s="179" t="s">
        <v>722</v>
      </c>
      <c r="B126" s="179" t="s">
        <v>318</v>
      </c>
      <c r="C126" s="179">
        <v>5000</v>
      </c>
      <c r="D126" s="179">
        <v>400</v>
      </c>
      <c r="H126" s="142">
        <v>2054</v>
      </c>
      <c r="I126" s="142" t="s">
        <v>318</v>
      </c>
      <c r="J126" s="177">
        <v>2500</v>
      </c>
      <c r="K126" s="178">
        <v>200</v>
      </c>
    </row>
    <row r="127" spans="1:11">
      <c r="A127" s="179">
        <v>2055</v>
      </c>
      <c r="B127" s="179" t="s">
        <v>318</v>
      </c>
      <c r="C127" s="179"/>
      <c r="D127" s="179"/>
      <c r="H127" s="142">
        <v>2055</v>
      </c>
      <c r="I127" s="142" t="s">
        <v>318</v>
      </c>
      <c r="J127" s="177">
        <v>2500</v>
      </c>
      <c r="K127" s="178">
        <v>200</v>
      </c>
    </row>
    <row r="128" spans="1:11">
      <c r="A128" s="179">
        <v>2056</v>
      </c>
      <c r="B128" s="179" t="s">
        <v>321</v>
      </c>
      <c r="C128" s="179">
        <v>2500</v>
      </c>
      <c r="D128" s="179">
        <v>200</v>
      </c>
      <c r="H128" s="142">
        <v>2056</v>
      </c>
      <c r="I128" s="142" t="s">
        <v>321</v>
      </c>
      <c r="J128" s="177">
        <v>2500</v>
      </c>
      <c r="K128" s="178">
        <v>200</v>
      </c>
    </row>
    <row r="129" spans="1:11">
      <c r="A129" s="179">
        <v>2057</v>
      </c>
      <c r="B129" s="179" t="s">
        <v>323</v>
      </c>
      <c r="C129" s="179">
        <v>2500</v>
      </c>
      <c r="D129" s="179">
        <v>200</v>
      </c>
      <c r="H129" s="142">
        <v>2057</v>
      </c>
      <c r="I129" s="142" t="s">
        <v>323</v>
      </c>
      <c r="J129" s="177">
        <v>2500</v>
      </c>
      <c r="K129" s="178">
        <v>200</v>
      </c>
    </row>
    <row r="130" spans="1:11">
      <c r="A130" s="179">
        <v>2058</v>
      </c>
      <c r="B130" s="179" t="s">
        <v>323</v>
      </c>
      <c r="C130" s="179">
        <v>2500</v>
      </c>
      <c r="D130" s="179">
        <v>200</v>
      </c>
      <c r="H130" s="142">
        <v>2058</v>
      </c>
      <c r="I130" s="142" t="s">
        <v>323</v>
      </c>
      <c r="J130" s="177">
        <v>2500</v>
      </c>
      <c r="K130" s="178">
        <v>200</v>
      </c>
    </row>
    <row r="131" spans="1:11">
      <c r="A131" s="179">
        <v>2059</v>
      </c>
      <c r="B131" s="179" t="s">
        <v>326</v>
      </c>
      <c r="C131" s="179">
        <v>2500</v>
      </c>
      <c r="D131" s="179">
        <v>200</v>
      </c>
      <c r="H131" s="142">
        <v>2059</v>
      </c>
      <c r="I131" s="142" t="s">
        <v>326</v>
      </c>
      <c r="J131" s="177">
        <v>2500</v>
      </c>
      <c r="K131" s="178">
        <v>200</v>
      </c>
    </row>
    <row r="132" spans="1:11">
      <c r="A132" s="179">
        <v>2060</v>
      </c>
      <c r="B132" s="179" t="s">
        <v>328</v>
      </c>
      <c r="C132" s="179">
        <v>2500</v>
      </c>
      <c r="D132" s="179">
        <v>200</v>
      </c>
      <c r="H132" s="142">
        <v>2060</v>
      </c>
      <c r="I132" s="142" t="s">
        <v>328</v>
      </c>
      <c r="J132" s="177">
        <v>2500</v>
      </c>
      <c r="K132" s="178">
        <v>200</v>
      </c>
    </row>
    <row r="133" spans="1:11">
      <c r="A133" s="179">
        <v>2061</v>
      </c>
      <c r="B133" s="179" t="s">
        <v>330</v>
      </c>
      <c r="C133" s="179">
        <v>2500</v>
      </c>
      <c r="D133" s="179">
        <v>200</v>
      </c>
      <c r="H133" s="142">
        <v>2061</v>
      </c>
      <c r="I133" s="142" t="s">
        <v>330</v>
      </c>
      <c r="J133" s="177">
        <v>2500</v>
      </c>
      <c r="K133" s="178">
        <v>200</v>
      </c>
    </row>
    <row r="134" spans="1:11">
      <c r="A134" s="179">
        <v>2062</v>
      </c>
      <c r="B134" s="179" t="s">
        <v>332</v>
      </c>
      <c r="C134" s="179">
        <v>2500</v>
      </c>
      <c r="D134" s="179">
        <v>200</v>
      </c>
      <c r="H134" s="142">
        <v>2062</v>
      </c>
      <c r="I134" s="142" t="s">
        <v>332</v>
      </c>
      <c r="J134" s="177">
        <v>2500</v>
      </c>
      <c r="K134" s="178">
        <v>200</v>
      </c>
    </row>
    <row r="135" spans="1:11">
      <c r="A135" s="179">
        <v>2063</v>
      </c>
      <c r="B135" s="179" t="s">
        <v>335</v>
      </c>
      <c r="C135" s="179">
        <v>5000</v>
      </c>
      <c r="D135" s="179">
        <v>400</v>
      </c>
      <c r="H135" s="142" t="s">
        <v>334</v>
      </c>
      <c r="I135" s="142" t="s">
        <v>335</v>
      </c>
      <c r="J135" s="177">
        <v>5000</v>
      </c>
      <c r="K135" s="178">
        <v>400</v>
      </c>
    </row>
    <row r="136" spans="1:11">
      <c r="A136" s="179">
        <v>2064</v>
      </c>
      <c r="B136" s="179" t="s">
        <v>335</v>
      </c>
      <c r="C136" s="179"/>
      <c r="D136" s="179"/>
      <c r="H136" s="142">
        <v>2064</v>
      </c>
      <c r="I136" s="142" t="s">
        <v>335</v>
      </c>
      <c r="J136" s="177"/>
      <c r="K136" s="178"/>
    </row>
    <row r="137" spans="1:11">
      <c r="A137" s="179">
        <v>2066</v>
      </c>
      <c r="B137" s="179" t="s">
        <v>116</v>
      </c>
      <c r="C137" s="179">
        <v>1500</v>
      </c>
      <c r="D137" s="179">
        <v>200</v>
      </c>
      <c r="H137" s="142">
        <v>2066</v>
      </c>
      <c r="I137" s="142" t="s">
        <v>116</v>
      </c>
      <c r="J137" s="177">
        <v>1500</v>
      </c>
      <c r="K137" s="178">
        <v>200</v>
      </c>
    </row>
    <row r="138" spans="1:11">
      <c r="A138" s="179">
        <v>2067</v>
      </c>
      <c r="B138" s="179" t="s">
        <v>339</v>
      </c>
      <c r="C138" s="179">
        <v>1200</v>
      </c>
      <c r="D138" s="179"/>
      <c r="H138" s="142">
        <v>2067</v>
      </c>
      <c r="I138" s="142" t="s">
        <v>339</v>
      </c>
      <c r="J138" s="177">
        <v>1200</v>
      </c>
      <c r="K138" s="178"/>
    </row>
    <row r="139" spans="1:11">
      <c r="A139" s="179">
        <v>2068</v>
      </c>
      <c r="B139" s="179" t="s">
        <v>341</v>
      </c>
      <c r="C139" s="179">
        <v>2000</v>
      </c>
      <c r="D139" s="179"/>
      <c r="H139" s="142">
        <v>2068</v>
      </c>
      <c r="I139" s="142" t="s">
        <v>341</v>
      </c>
      <c r="J139" s="177">
        <v>2000</v>
      </c>
      <c r="K139" s="178"/>
    </row>
    <row r="140" spans="1:11">
      <c r="A140" s="179">
        <v>2069</v>
      </c>
      <c r="B140" s="179" t="s">
        <v>343</v>
      </c>
      <c r="C140" s="179">
        <v>2500</v>
      </c>
      <c r="D140" s="179">
        <v>200</v>
      </c>
      <c r="H140" s="142">
        <v>2069</v>
      </c>
      <c r="I140" s="142" t="s">
        <v>343</v>
      </c>
      <c r="J140" s="177">
        <v>2500</v>
      </c>
      <c r="K140" s="178">
        <v>200</v>
      </c>
    </row>
    <row r="141" spans="1:11">
      <c r="A141" s="179">
        <v>2070</v>
      </c>
      <c r="B141" s="179" t="s">
        <v>345</v>
      </c>
      <c r="C141" s="179">
        <v>2500</v>
      </c>
      <c r="D141" s="179">
        <v>200</v>
      </c>
      <c r="H141" s="142">
        <v>2070</v>
      </c>
      <c r="I141" s="142" t="s">
        <v>345</v>
      </c>
      <c r="J141" s="177">
        <v>2500</v>
      </c>
      <c r="K141" s="178">
        <v>200</v>
      </c>
    </row>
    <row r="142" spans="1:11">
      <c r="A142" s="179">
        <v>2071</v>
      </c>
      <c r="B142" s="179" t="s">
        <v>347</v>
      </c>
      <c r="C142" s="179">
        <v>2500</v>
      </c>
      <c r="D142" s="179">
        <v>200</v>
      </c>
      <c r="H142" s="142">
        <v>2071</v>
      </c>
      <c r="I142" s="142" t="s">
        <v>347</v>
      </c>
      <c r="J142" s="177">
        <v>2500</v>
      </c>
      <c r="K142" s="178">
        <v>200</v>
      </c>
    </row>
    <row r="143" spans="1:11">
      <c r="A143" s="179">
        <v>2072</v>
      </c>
      <c r="B143" s="179" t="s">
        <v>349</v>
      </c>
      <c r="C143" s="179">
        <v>2500</v>
      </c>
      <c r="D143" s="179">
        <v>200</v>
      </c>
      <c r="H143" s="142">
        <v>2072</v>
      </c>
      <c r="I143" s="142" t="s">
        <v>349</v>
      </c>
      <c r="J143" s="177">
        <v>2500</v>
      </c>
      <c r="K143" s="178">
        <v>200</v>
      </c>
    </row>
    <row r="144" spans="1:11">
      <c r="A144" s="179">
        <v>2073</v>
      </c>
      <c r="B144" s="179" t="s">
        <v>351</v>
      </c>
      <c r="C144" s="179">
        <v>2500</v>
      </c>
      <c r="D144" s="179">
        <v>200</v>
      </c>
      <c r="H144" s="142">
        <v>2073</v>
      </c>
      <c r="I144" s="142" t="s">
        <v>351</v>
      </c>
      <c r="J144" s="177">
        <v>2500</v>
      </c>
      <c r="K144" s="178">
        <v>200</v>
      </c>
    </row>
    <row r="145" spans="1:11">
      <c r="A145" s="179" t="s">
        <v>353</v>
      </c>
      <c r="B145" s="179" t="s">
        <v>354</v>
      </c>
      <c r="C145" s="179">
        <v>2500</v>
      </c>
      <c r="D145" s="179">
        <v>200</v>
      </c>
      <c r="H145" s="142">
        <v>2074</v>
      </c>
      <c r="I145" s="142" t="s">
        <v>354</v>
      </c>
      <c r="J145" s="177">
        <v>2500</v>
      </c>
      <c r="K145" s="178">
        <v>200</v>
      </c>
    </row>
    <row r="146" spans="1:11">
      <c r="A146" s="179">
        <v>2075</v>
      </c>
      <c r="B146" s="179" t="s">
        <v>356</v>
      </c>
      <c r="C146" s="179">
        <v>2500</v>
      </c>
      <c r="D146" s="179">
        <v>200</v>
      </c>
      <c r="H146" s="142">
        <v>2075</v>
      </c>
      <c r="I146" s="142" t="s">
        <v>356</v>
      </c>
      <c r="J146" s="177">
        <v>2500</v>
      </c>
      <c r="K146" s="178">
        <v>200</v>
      </c>
    </row>
    <row r="147" spans="1:11">
      <c r="A147" s="179">
        <v>2076</v>
      </c>
      <c r="B147" s="179" t="s">
        <v>318</v>
      </c>
      <c r="C147" s="179">
        <v>2500</v>
      </c>
      <c r="D147" s="179">
        <v>200</v>
      </c>
      <c r="H147" s="142">
        <v>2076</v>
      </c>
      <c r="I147" s="142" t="s">
        <v>318</v>
      </c>
      <c r="J147" s="177">
        <v>2500</v>
      </c>
      <c r="K147" s="178">
        <v>200</v>
      </c>
    </row>
    <row r="148" spans="1:11">
      <c r="A148" s="179">
        <v>2077</v>
      </c>
      <c r="B148" s="179" t="s">
        <v>359</v>
      </c>
      <c r="C148" s="179">
        <v>2500</v>
      </c>
      <c r="D148" s="179">
        <v>200</v>
      </c>
      <c r="H148" s="142">
        <v>2077</v>
      </c>
      <c r="I148" s="142" t="s">
        <v>359</v>
      </c>
      <c r="J148" s="177">
        <v>2500</v>
      </c>
      <c r="K148" s="178">
        <v>200</v>
      </c>
    </row>
    <row r="149" spans="1:11">
      <c r="A149" s="179">
        <v>2078</v>
      </c>
      <c r="B149" s="179" t="s">
        <v>362</v>
      </c>
      <c r="C149" s="179">
        <v>5000</v>
      </c>
      <c r="D149" s="179">
        <v>400</v>
      </c>
      <c r="H149" s="142" t="s">
        <v>361</v>
      </c>
      <c r="I149" s="142" t="s">
        <v>362</v>
      </c>
      <c r="J149" s="177">
        <v>5000</v>
      </c>
      <c r="K149" s="178">
        <v>400</v>
      </c>
    </row>
    <row r="150" spans="1:11">
      <c r="A150" s="179">
        <v>2079</v>
      </c>
      <c r="B150" s="179" t="s">
        <v>362</v>
      </c>
      <c r="C150" s="179"/>
      <c r="D150" s="179"/>
      <c r="H150" s="142">
        <v>2079</v>
      </c>
      <c r="I150" s="142" t="s">
        <v>362</v>
      </c>
      <c r="J150" s="177"/>
      <c r="K150" s="178"/>
    </row>
    <row r="151" spans="1:11">
      <c r="A151" s="179">
        <v>2080</v>
      </c>
      <c r="B151" s="179" t="s">
        <v>365</v>
      </c>
      <c r="C151" s="179">
        <v>2500</v>
      </c>
      <c r="D151" s="179">
        <v>200</v>
      </c>
      <c r="H151" s="142">
        <v>2080</v>
      </c>
      <c r="I151" s="142" t="s">
        <v>365</v>
      </c>
      <c r="J151" s="177">
        <v>2500</v>
      </c>
      <c r="K151" s="178">
        <v>200</v>
      </c>
    </row>
    <row r="152" spans="1:11">
      <c r="A152" s="179">
        <v>2081</v>
      </c>
      <c r="B152" s="179" t="s">
        <v>367</v>
      </c>
      <c r="C152" s="179">
        <v>2500</v>
      </c>
      <c r="D152" s="179">
        <v>200</v>
      </c>
      <c r="H152" s="142">
        <v>2081</v>
      </c>
      <c r="I152" s="142" t="s">
        <v>367</v>
      </c>
      <c r="J152" s="177">
        <v>2500</v>
      </c>
      <c r="K152" s="178">
        <v>200</v>
      </c>
    </row>
    <row r="153" spans="1:11">
      <c r="A153" s="179">
        <v>2082</v>
      </c>
      <c r="B153" s="179" t="s">
        <v>369</v>
      </c>
      <c r="C153" s="179">
        <v>2500</v>
      </c>
      <c r="D153" s="179">
        <v>200</v>
      </c>
      <c r="H153" s="142">
        <v>2082</v>
      </c>
      <c r="I153" s="142" t="s">
        <v>369</v>
      </c>
      <c r="J153" s="177">
        <v>2500</v>
      </c>
      <c r="K153" s="178">
        <v>200</v>
      </c>
    </row>
    <row r="154" spans="1:11">
      <c r="A154" s="179">
        <v>2083</v>
      </c>
      <c r="B154" s="179" t="s">
        <v>371</v>
      </c>
      <c r="C154" s="179">
        <v>2500</v>
      </c>
      <c r="D154" s="179">
        <v>200</v>
      </c>
      <c r="H154" s="142">
        <v>2083</v>
      </c>
      <c r="I154" s="142" t="s">
        <v>371</v>
      </c>
      <c r="J154" s="177">
        <v>2500</v>
      </c>
      <c r="K154" s="178">
        <v>200</v>
      </c>
    </row>
    <row r="155" spans="1:11">
      <c r="A155" s="179">
        <v>2084</v>
      </c>
      <c r="B155" s="179" t="s">
        <v>373</v>
      </c>
      <c r="C155" s="179">
        <v>2500</v>
      </c>
      <c r="D155" s="179">
        <v>200</v>
      </c>
      <c r="H155" s="142">
        <v>2084</v>
      </c>
      <c r="I155" s="142" t="s">
        <v>373</v>
      </c>
      <c r="J155" s="177">
        <v>2500</v>
      </c>
      <c r="K155" s="178">
        <v>200</v>
      </c>
    </row>
    <row r="156" spans="1:11">
      <c r="A156" s="179">
        <v>2085</v>
      </c>
      <c r="B156" s="179" t="s">
        <v>250</v>
      </c>
      <c r="C156" s="179">
        <v>2500</v>
      </c>
      <c r="D156" s="179">
        <v>200</v>
      </c>
      <c r="H156" s="142">
        <v>2085</v>
      </c>
      <c r="I156" s="157" t="s">
        <v>250</v>
      </c>
      <c r="J156" s="177">
        <v>2500</v>
      </c>
      <c r="K156" s="178">
        <v>200</v>
      </c>
    </row>
    <row r="157" spans="1:11">
      <c r="A157" s="179">
        <v>2086</v>
      </c>
      <c r="B157" s="179" t="s">
        <v>376</v>
      </c>
      <c r="C157" s="179">
        <v>2500</v>
      </c>
      <c r="D157" s="179">
        <v>200</v>
      </c>
      <c r="H157" s="142">
        <v>2086</v>
      </c>
      <c r="I157" s="142" t="s">
        <v>376</v>
      </c>
      <c r="J157" s="177">
        <v>2500</v>
      </c>
      <c r="K157" s="178">
        <v>200</v>
      </c>
    </row>
    <row r="158" spans="1:11">
      <c r="A158" s="179">
        <v>2087</v>
      </c>
      <c r="B158" s="179" t="s">
        <v>378</v>
      </c>
      <c r="C158" s="179">
        <v>2500</v>
      </c>
      <c r="D158" s="179">
        <v>200</v>
      </c>
      <c r="H158" s="142">
        <v>2087</v>
      </c>
      <c r="I158" s="142" t="s">
        <v>378</v>
      </c>
      <c r="J158" s="177">
        <v>2500</v>
      </c>
      <c r="K158" s="178">
        <v>200</v>
      </c>
    </row>
    <row r="159" spans="1:11">
      <c r="A159" s="179">
        <v>2088</v>
      </c>
      <c r="B159" s="179" t="s">
        <v>380</v>
      </c>
      <c r="C159" s="179">
        <v>2500</v>
      </c>
      <c r="D159" s="179">
        <v>200</v>
      </c>
      <c r="H159" s="142">
        <v>2088</v>
      </c>
      <c r="I159" s="142" t="s">
        <v>380</v>
      </c>
      <c r="J159" s="177">
        <v>2500</v>
      </c>
      <c r="K159" s="178">
        <v>200</v>
      </c>
    </row>
    <row r="160" spans="1:11">
      <c r="A160" s="179">
        <v>2089</v>
      </c>
      <c r="B160" s="179" t="s">
        <v>382</v>
      </c>
      <c r="C160" s="179">
        <v>2500</v>
      </c>
      <c r="D160" s="179">
        <v>200</v>
      </c>
      <c r="H160" s="142">
        <v>2089</v>
      </c>
      <c r="I160" s="142" t="s">
        <v>382</v>
      </c>
      <c r="J160" s="177">
        <v>2500</v>
      </c>
      <c r="K160" s="178">
        <v>200</v>
      </c>
    </row>
    <row r="161" spans="1:11">
      <c r="A161" s="179">
        <v>2090</v>
      </c>
      <c r="B161" s="179" t="s">
        <v>95</v>
      </c>
      <c r="C161" s="179">
        <v>1100</v>
      </c>
      <c r="D161" s="179"/>
      <c r="H161" s="142">
        <v>2090</v>
      </c>
      <c r="I161" s="142" t="s">
        <v>95</v>
      </c>
      <c r="J161" s="177">
        <v>1100</v>
      </c>
      <c r="K161" s="178"/>
    </row>
    <row r="162" ht="27" spans="1:11">
      <c r="A162" s="183" t="s">
        <v>386</v>
      </c>
      <c r="B162" s="187" t="s">
        <v>272</v>
      </c>
      <c r="C162" s="184">
        <v>800</v>
      </c>
      <c r="D162" s="179"/>
      <c r="H162" s="142" t="s">
        <v>386</v>
      </c>
      <c r="I162" s="142" t="s">
        <v>272</v>
      </c>
      <c r="J162" s="177">
        <v>800</v>
      </c>
      <c r="K162" s="178"/>
    </row>
    <row r="163" ht="27" spans="1:11">
      <c r="A163" s="183" t="s">
        <v>388</v>
      </c>
      <c r="B163" s="187" t="s">
        <v>219</v>
      </c>
      <c r="C163" s="184">
        <v>1000</v>
      </c>
      <c r="D163" s="179"/>
      <c r="H163" s="142" t="s">
        <v>388</v>
      </c>
      <c r="I163" s="188" t="s">
        <v>219</v>
      </c>
      <c r="J163" s="177">
        <v>1000</v>
      </c>
      <c r="K163" s="178"/>
    </row>
    <row r="164" ht="27" spans="1:11">
      <c r="A164" s="183" t="s">
        <v>390</v>
      </c>
      <c r="B164" s="189"/>
      <c r="C164" s="184"/>
      <c r="D164" s="179"/>
      <c r="H164" s="142" t="s">
        <v>390</v>
      </c>
      <c r="I164" s="142"/>
      <c r="J164" s="177"/>
      <c r="K164" s="178"/>
    </row>
    <row r="165" ht="27" spans="1:11">
      <c r="A165" s="183" t="s">
        <v>392</v>
      </c>
      <c r="B165" s="187" t="s">
        <v>723</v>
      </c>
      <c r="C165" s="184">
        <v>1200</v>
      </c>
      <c r="D165" s="179"/>
      <c r="H165" s="186" t="s">
        <v>392</v>
      </c>
      <c r="I165" s="142" t="s">
        <v>723</v>
      </c>
      <c r="J165" s="177"/>
      <c r="K165" s="178">
        <v>0</v>
      </c>
    </row>
    <row r="166" ht="27" spans="1:11">
      <c r="A166" s="183" t="s">
        <v>394</v>
      </c>
      <c r="B166" s="187"/>
      <c r="C166" s="184"/>
      <c r="D166" s="179"/>
      <c r="H166" s="186" t="s">
        <v>394</v>
      </c>
      <c r="I166" s="142"/>
      <c r="J166" s="177"/>
      <c r="K166" s="178"/>
    </row>
    <row r="167" ht="27" spans="1:11">
      <c r="A167" s="183" t="s">
        <v>724</v>
      </c>
      <c r="B167" s="187" t="s">
        <v>212</v>
      </c>
      <c r="C167" s="184">
        <v>800</v>
      </c>
      <c r="D167" s="179"/>
      <c r="H167" s="186" t="s">
        <v>396</v>
      </c>
      <c r="I167" s="142" t="s">
        <v>212</v>
      </c>
      <c r="J167" s="177">
        <v>800</v>
      </c>
      <c r="K167" s="178"/>
    </row>
    <row r="168" spans="1:11">
      <c r="A168" s="179" t="s">
        <v>398</v>
      </c>
      <c r="B168" s="179" t="s">
        <v>399</v>
      </c>
      <c r="C168" s="179">
        <v>1300</v>
      </c>
      <c r="D168" s="179"/>
      <c r="H168" s="142" t="s">
        <v>398</v>
      </c>
      <c r="I168" s="142" t="s">
        <v>399</v>
      </c>
      <c r="J168" s="177">
        <v>1300</v>
      </c>
      <c r="K168" s="178"/>
    </row>
    <row r="169" spans="1:11">
      <c r="A169" s="179">
        <v>3001</v>
      </c>
      <c r="B169" s="179" t="s">
        <v>402</v>
      </c>
      <c r="C169" s="179">
        <v>5000</v>
      </c>
      <c r="D169" s="179">
        <v>500</v>
      </c>
      <c r="H169" s="142">
        <v>3001</v>
      </c>
      <c r="I169" s="142" t="s">
        <v>402</v>
      </c>
      <c r="J169" s="177">
        <v>5000</v>
      </c>
      <c r="K169" s="178">
        <v>500</v>
      </c>
    </row>
    <row r="170" spans="1:11">
      <c r="A170" s="179">
        <v>3002</v>
      </c>
      <c r="B170" s="179" t="s">
        <v>404</v>
      </c>
      <c r="C170" s="179">
        <v>5000</v>
      </c>
      <c r="D170" s="179">
        <v>500</v>
      </c>
      <c r="H170" s="142">
        <v>3002</v>
      </c>
      <c r="I170" s="142" t="s">
        <v>404</v>
      </c>
      <c r="J170" s="177">
        <v>5000</v>
      </c>
      <c r="K170" s="178">
        <v>500</v>
      </c>
    </row>
    <row r="171" spans="1:11">
      <c r="A171" s="179">
        <v>3003</v>
      </c>
      <c r="B171" s="179" t="s">
        <v>406</v>
      </c>
      <c r="C171" s="179">
        <v>5000</v>
      </c>
      <c r="D171" s="179">
        <v>500</v>
      </c>
      <c r="H171" s="142">
        <v>3003</v>
      </c>
      <c r="I171" s="142" t="s">
        <v>406</v>
      </c>
      <c r="J171" s="177">
        <v>5000</v>
      </c>
      <c r="K171" s="178">
        <v>500</v>
      </c>
    </row>
    <row r="172" spans="1:11">
      <c r="A172" s="179">
        <v>3004</v>
      </c>
      <c r="B172" s="179" t="s">
        <v>408</v>
      </c>
      <c r="C172" s="179">
        <v>5000</v>
      </c>
      <c r="D172" s="179">
        <v>500</v>
      </c>
      <c r="H172" s="142">
        <v>3004</v>
      </c>
      <c r="I172" s="142" t="s">
        <v>718</v>
      </c>
      <c r="J172" s="177">
        <v>5000</v>
      </c>
      <c r="K172" s="178">
        <v>500</v>
      </c>
    </row>
    <row r="173" spans="1:11">
      <c r="A173" s="179">
        <v>3005</v>
      </c>
      <c r="B173" s="179" t="s">
        <v>410</v>
      </c>
      <c r="C173" s="179">
        <v>5000</v>
      </c>
      <c r="D173" s="179">
        <v>500</v>
      </c>
      <c r="H173" s="142">
        <v>3005</v>
      </c>
      <c r="I173" s="142" t="s">
        <v>410</v>
      </c>
      <c r="J173" s="177">
        <v>5000</v>
      </c>
      <c r="K173" s="178">
        <v>500</v>
      </c>
    </row>
    <row r="174" spans="1:11">
      <c r="A174" s="179">
        <v>3006</v>
      </c>
      <c r="B174" s="179" t="s">
        <v>243</v>
      </c>
      <c r="C174" s="179">
        <v>5000</v>
      </c>
      <c r="D174" s="179">
        <v>500</v>
      </c>
      <c r="H174" s="142">
        <v>3006</v>
      </c>
      <c r="I174" s="142" t="s">
        <v>243</v>
      </c>
      <c r="J174" s="177">
        <v>5000</v>
      </c>
      <c r="K174" s="178">
        <v>500</v>
      </c>
    </row>
    <row r="175" spans="1:11">
      <c r="A175" s="179">
        <v>3007</v>
      </c>
      <c r="B175" s="179" t="s">
        <v>413</v>
      </c>
      <c r="C175" s="179">
        <v>5000</v>
      </c>
      <c r="D175" s="179">
        <v>500</v>
      </c>
      <c r="H175" s="142">
        <v>3007</v>
      </c>
      <c r="I175" s="157" t="s">
        <v>413</v>
      </c>
      <c r="J175" s="177">
        <v>5000</v>
      </c>
      <c r="K175" s="177">
        <v>500</v>
      </c>
    </row>
    <row r="176" spans="1:11">
      <c r="A176" s="179">
        <v>3008</v>
      </c>
      <c r="B176" s="179" t="s">
        <v>415</v>
      </c>
      <c r="C176" s="179">
        <v>5000</v>
      </c>
      <c r="D176" s="179">
        <v>500</v>
      </c>
      <c r="H176" s="142">
        <v>3008</v>
      </c>
      <c r="I176" s="142" t="s">
        <v>415</v>
      </c>
      <c r="J176" s="177">
        <v>5000</v>
      </c>
      <c r="K176" s="178">
        <v>500</v>
      </c>
    </row>
    <row r="177" spans="1:11">
      <c r="A177" s="179">
        <v>3009</v>
      </c>
      <c r="B177" s="179" t="s">
        <v>417</v>
      </c>
      <c r="C177" s="179">
        <v>5000</v>
      </c>
      <c r="D177" s="179">
        <v>500</v>
      </c>
      <c r="H177" s="142">
        <v>3009</v>
      </c>
      <c r="I177" s="142" t="s">
        <v>417</v>
      </c>
      <c r="J177" s="177">
        <v>5000</v>
      </c>
      <c r="K177" s="178">
        <v>500</v>
      </c>
    </row>
    <row r="178" spans="1:11">
      <c r="A178" s="179">
        <v>3010</v>
      </c>
      <c r="B178" s="179" t="s">
        <v>339</v>
      </c>
      <c r="C178" s="179">
        <v>5000</v>
      </c>
      <c r="D178" s="179">
        <v>500</v>
      </c>
      <c r="H178" s="142">
        <v>3010</v>
      </c>
      <c r="I178" s="142" t="s">
        <v>339</v>
      </c>
      <c r="J178" s="177">
        <v>5000</v>
      </c>
      <c r="K178" s="178">
        <v>500</v>
      </c>
    </row>
    <row r="179" spans="1:11">
      <c r="A179" s="179">
        <v>3011</v>
      </c>
      <c r="B179" s="179" t="s">
        <v>339</v>
      </c>
      <c r="C179" s="179">
        <v>5000</v>
      </c>
      <c r="D179" s="179">
        <v>500</v>
      </c>
      <c r="H179" s="142">
        <v>3011</v>
      </c>
      <c r="I179" s="142" t="s">
        <v>339</v>
      </c>
      <c r="J179" s="177">
        <v>5000</v>
      </c>
      <c r="K179" s="178">
        <v>500</v>
      </c>
    </row>
    <row r="180" spans="1:11">
      <c r="A180" s="179">
        <v>3012</v>
      </c>
      <c r="B180" s="179" t="s">
        <v>421</v>
      </c>
      <c r="C180" s="179">
        <v>5000</v>
      </c>
      <c r="D180" s="179">
        <v>500</v>
      </c>
      <c r="H180" s="142">
        <v>3012</v>
      </c>
      <c r="I180" s="142" t="s">
        <v>421</v>
      </c>
      <c r="J180" s="177">
        <v>5000</v>
      </c>
      <c r="K180" s="178">
        <v>500</v>
      </c>
    </row>
    <row r="181" spans="1:11">
      <c r="A181" s="179">
        <v>3013</v>
      </c>
      <c r="B181" s="179" t="s">
        <v>423</v>
      </c>
      <c r="C181" s="179">
        <v>5000</v>
      </c>
      <c r="D181" s="179">
        <v>500</v>
      </c>
      <c r="H181" s="142">
        <v>3013</v>
      </c>
      <c r="I181" s="142" t="s">
        <v>423</v>
      </c>
      <c r="J181" s="177">
        <v>5000</v>
      </c>
      <c r="K181" s="178">
        <v>500</v>
      </c>
    </row>
    <row r="182" spans="1:11">
      <c r="A182" s="179">
        <v>3014</v>
      </c>
      <c r="B182" s="179" t="s">
        <v>425</v>
      </c>
      <c r="C182" s="179">
        <v>5000</v>
      </c>
      <c r="D182" s="179">
        <v>500</v>
      </c>
      <c r="H182" s="142">
        <v>3014</v>
      </c>
      <c r="I182" s="142" t="s">
        <v>425</v>
      </c>
      <c r="J182" s="177">
        <v>5000</v>
      </c>
      <c r="K182" s="178">
        <v>500</v>
      </c>
    </row>
    <row r="183" spans="1:11">
      <c r="A183" s="179">
        <v>3015</v>
      </c>
      <c r="B183" s="179" t="s">
        <v>427</v>
      </c>
      <c r="C183" s="179">
        <v>5000</v>
      </c>
      <c r="D183" s="179">
        <v>500</v>
      </c>
      <c r="H183" s="142">
        <v>3015</v>
      </c>
      <c r="I183" s="142" t="s">
        <v>427</v>
      </c>
      <c r="J183" s="177">
        <v>5000</v>
      </c>
      <c r="K183" s="178">
        <v>500</v>
      </c>
    </row>
    <row r="184" spans="1:11">
      <c r="A184" s="179">
        <v>3016</v>
      </c>
      <c r="B184" s="179" t="s">
        <v>429</v>
      </c>
      <c r="C184" s="179">
        <v>5000</v>
      </c>
      <c r="D184" s="179">
        <v>500</v>
      </c>
      <c r="H184" s="142">
        <v>3016</v>
      </c>
      <c r="I184" s="142" t="s">
        <v>429</v>
      </c>
      <c r="J184" s="177">
        <v>5000</v>
      </c>
      <c r="K184" s="178">
        <v>500</v>
      </c>
    </row>
    <row r="185" spans="1:11">
      <c r="A185" s="179">
        <v>3017</v>
      </c>
      <c r="B185" s="179" t="s">
        <v>241</v>
      </c>
      <c r="C185" s="179">
        <v>5000</v>
      </c>
      <c r="D185" s="179">
        <v>500</v>
      </c>
      <c r="H185" s="142">
        <v>3017</v>
      </c>
      <c r="I185" s="142" t="s">
        <v>241</v>
      </c>
      <c r="J185" s="177">
        <v>5000</v>
      </c>
      <c r="K185" s="178">
        <v>500</v>
      </c>
    </row>
    <row r="186" spans="1:11">
      <c r="A186" s="179">
        <v>3018</v>
      </c>
      <c r="B186" s="179" t="s">
        <v>432</v>
      </c>
      <c r="C186" s="179">
        <v>5000</v>
      </c>
      <c r="D186" s="179">
        <v>500</v>
      </c>
      <c r="H186" s="142">
        <v>3018</v>
      </c>
      <c r="I186" s="142" t="s">
        <v>432</v>
      </c>
      <c r="J186" s="177">
        <v>5000</v>
      </c>
      <c r="K186" s="178">
        <v>500</v>
      </c>
    </row>
    <row r="187" spans="1:11">
      <c r="A187" s="179">
        <v>3019</v>
      </c>
      <c r="B187" s="179" t="s">
        <v>434</v>
      </c>
      <c r="C187" s="179">
        <v>5000</v>
      </c>
      <c r="D187" s="179">
        <v>500</v>
      </c>
      <c r="H187" s="142">
        <v>3019</v>
      </c>
      <c r="I187" s="142" t="s">
        <v>434</v>
      </c>
      <c r="J187" s="177">
        <v>5000</v>
      </c>
      <c r="K187" s="177">
        <v>500</v>
      </c>
    </row>
    <row r="188" spans="1:11">
      <c r="A188" s="179">
        <v>3020</v>
      </c>
      <c r="B188" s="179" t="s">
        <v>436</v>
      </c>
      <c r="C188" s="179">
        <v>5000</v>
      </c>
      <c r="D188" s="179">
        <v>500</v>
      </c>
      <c r="H188" s="142">
        <v>3020</v>
      </c>
      <c r="I188" s="142" t="s">
        <v>436</v>
      </c>
      <c r="J188" s="177">
        <v>5000</v>
      </c>
      <c r="K188" s="178">
        <v>500</v>
      </c>
    </row>
    <row r="189" spans="1:11">
      <c r="A189" s="179">
        <v>3021</v>
      </c>
      <c r="B189" s="179" t="s">
        <v>438</v>
      </c>
      <c r="C189" s="179">
        <v>5000</v>
      </c>
      <c r="D189" s="179">
        <v>500</v>
      </c>
      <c r="H189" s="142">
        <v>3021</v>
      </c>
      <c r="I189" s="142" t="s">
        <v>438</v>
      </c>
      <c r="J189" s="177">
        <v>5000</v>
      </c>
      <c r="K189" s="178">
        <v>500</v>
      </c>
    </row>
    <row r="190" spans="1:11">
      <c r="A190" s="179">
        <v>3022</v>
      </c>
      <c r="B190" s="179" t="s">
        <v>440</v>
      </c>
      <c r="C190" s="179">
        <v>5000</v>
      </c>
      <c r="D190" s="179">
        <v>500</v>
      </c>
      <c r="H190" s="142">
        <v>3022</v>
      </c>
      <c r="I190" s="142" t="s">
        <v>440</v>
      </c>
      <c r="J190" s="177">
        <v>5000</v>
      </c>
      <c r="K190" s="178">
        <v>500</v>
      </c>
    </row>
    <row r="191" spans="1:11">
      <c r="A191" s="179">
        <v>3023</v>
      </c>
      <c r="B191" s="179" t="s">
        <v>442</v>
      </c>
      <c r="C191" s="179">
        <v>5000</v>
      </c>
      <c r="D191" s="179">
        <v>500</v>
      </c>
      <c r="H191" s="142">
        <v>3023</v>
      </c>
      <c r="I191" s="142" t="s">
        <v>442</v>
      </c>
      <c r="J191" s="177">
        <v>5000</v>
      </c>
      <c r="K191" s="178">
        <v>500</v>
      </c>
    </row>
    <row r="192" spans="1:11">
      <c r="A192" s="179">
        <v>3024</v>
      </c>
      <c r="B192" s="179" t="s">
        <v>444</v>
      </c>
      <c r="C192" s="179">
        <v>5000</v>
      </c>
      <c r="D192" s="179">
        <v>500</v>
      </c>
      <c r="H192" s="142">
        <v>3024</v>
      </c>
      <c r="I192" s="142" t="s">
        <v>444</v>
      </c>
      <c r="J192" s="177">
        <v>5000</v>
      </c>
      <c r="K192" s="178">
        <v>500</v>
      </c>
    </row>
    <row r="193" spans="1:11">
      <c r="A193" s="179">
        <v>3025</v>
      </c>
      <c r="B193" s="179" t="s">
        <v>446</v>
      </c>
      <c r="C193" s="179">
        <v>5500</v>
      </c>
      <c r="D193" s="179">
        <v>500</v>
      </c>
      <c r="H193" s="142">
        <v>3025</v>
      </c>
      <c r="I193" s="142" t="s">
        <v>446</v>
      </c>
      <c r="J193" s="177">
        <v>5500</v>
      </c>
      <c r="K193" s="178">
        <v>500</v>
      </c>
    </row>
    <row r="194" spans="1:11">
      <c r="A194" s="179">
        <v>3026</v>
      </c>
      <c r="B194" s="179" t="s">
        <v>449</v>
      </c>
      <c r="C194" s="179">
        <v>5000</v>
      </c>
      <c r="D194" s="179">
        <v>500</v>
      </c>
      <c r="H194" s="142" t="s">
        <v>448</v>
      </c>
      <c r="I194" s="142" t="s">
        <v>449</v>
      </c>
      <c r="J194" s="177">
        <v>5000</v>
      </c>
      <c r="K194" s="178">
        <v>500</v>
      </c>
    </row>
    <row r="195" spans="1:11">
      <c r="A195" s="179">
        <v>3027</v>
      </c>
      <c r="B195" s="179" t="s">
        <v>449</v>
      </c>
      <c r="C195" s="179"/>
      <c r="D195" s="179"/>
      <c r="H195" s="142">
        <v>3027</v>
      </c>
      <c r="I195" s="142" t="s">
        <v>449</v>
      </c>
      <c r="J195" s="177"/>
      <c r="K195" s="178"/>
    </row>
    <row r="196" spans="1:11">
      <c r="A196" s="179">
        <v>3030</v>
      </c>
      <c r="B196" s="179" t="s">
        <v>452</v>
      </c>
      <c r="C196" s="179">
        <v>5000</v>
      </c>
      <c r="D196" s="179">
        <v>500</v>
      </c>
      <c r="H196" s="142">
        <v>3030</v>
      </c>
      <c r="I196" s="142" t="s">
        <v>452</v>
      </c>
      <c r="J196" s="177">
        <v>5000</v>
      </c>
      <c r="K196" s="177">
        <v>500</v>
      </c>
    </row>
    <row r="197" spans="1:11">
      <c r="A197" s="179">
        <v>3031</v>
      </c>
      <c r="B197" s="179" t="s">
        <v>454</v>
      </c>
      <c r="C197" s="179">
        <v>5000</v>
      </c>
      <c r="D197" s="179">
        <v>500</v>
      </c>
      <c r="H197" s="142">
        <v>3031</v>
      </c>
      <c r="I197" s="142" t="s">
        <v>454</v>
      </c>
      <c r="J197" s="177">
        <v>5000</v>
      </c>
      <c r="K197" s="178">
        <v>500</v>
      </c>
    </row>
    <row r="198" spans="1:11">
      <c r="A198" s="179">
        <v>3032</v>
      </c>
      <c r="B198" s="179" t="s">
        <v>456</v>
      </c>
      <c r="C198" s="179">
        <v>5000</v>
      </c>
      <c r="D198" s="179">
        <v>500</v>
      </c>
      <c r="H198" s="142">
        <v>3032</v>
      </c>
      <c r="I198" s="142" t="s">
        <v>456</v>
      </c>
      <c r="J198" s="177">
        <v>5000</v>
      </c>
      <c r="K198" s="178">
        <v>500</v>
      </c>
    </row>
    <row r="199" spans="1:11">
      <c r="A199" s="179">
        <v>3033</v>
      </c>
      <c r="B199" s="179" t="s">
        <v>458</v>
      </c>
      <c r="C199" s="179">
        <v>5000</v>
      </c>
      <c r="D199" s="179">
        <v>500</v>
      </c>
      <c r="H199" s="142">
        <v>3033</v>
      </c>
      <c r="I199" s="142" t="s">
        <v>458</v>
      </c>
      <c r="J199" s="177">
        <v>5000</v>
      </c>
      <c r="K199" s="178">
        <v>500</v>
      </c>
    </row>
    <row r="200" spans="1:11">
      <c r="A200" s="179">
        <v>3034</v>
      </c>
      <c r="B200" s="179" t="s">
        <v>460</v>
      </c>
      <c r="C200" s="179">
        <v>5000</v>
      </c>
      <c r="D200" s="179">
        <v>500</v>
      </c>
      <c r="H200" s="142">
        <v>3034</v>
      </c>
      <c r="I200" s="142" t="s">
        <v>460</v>
      </c>
      <c r="J200" s="177">
        <v>5000</v>
      </c>
      <c r="K200" s="177">
        <v>500</v>
      </c>
    </row>
    <row r="201" spans="1:11">
      <c r="A201" s="179">
        <v>3035</v>
      </c>
      <c r="B201" s="179" t="s">
        <v>462</v>
      </c>
      <c r="C201" s="179">
        <v>5000</v>
      </c>
      <c r="D201" s="179">
        <v>500</v>
      </c>
      <c r="H201" s="142">
        <v>3035</v>
      </c>
      <c r="I201" s="142" t="s">
        <v>462</v>
      </c>
      <c r="J201" s="177">
        <v>5000</v>
      </c>
      <c r="K201" s="178">
        <v>500</v>
      </c>
    </row>
    <row r="202" spans="1:11">
      <c r="A202" s="179">
        <v>3036</v>
      </c>
      <c r="B202" s="179" t="s">
        <v>464</v>
      </c>
      <c r="C202" s="179">
        <v>5000</v>
      </c>
      <c r="D202" s="179">
        <v>500</v>
      </c>
      <c r="H202" s="142">
        <v>3036</v>
      </c>
      <c r="I202" s="142" t="s">
        <v>464</v>
      </c>
      <c r="J202" s="177">
        <v>5000</v>
      </c>
      <c r="K202" s="178">
        <v>500</v>
      </c>
    </row>
    <row r="203" spans="1:11">
      <c r="A203" s="179">
        <v>3037</v>
      </c>
      <c r="B203" s="179" t="s">
        <v>467</v>
      </c>
      <c r="C203" s="179">
        <v>5000</v>
      </c>
      <c r="D203" s="179">
        <v>500</v>
      </c>
      <c r="H203" s="142">
        <v>3037</v>
      </c>
      <c r="I203" s="142" t="s">
        <v>467</v>
      </c>
      <c r="J203" s="177">
        <v>5000</v>
      </c>
      <c r="K203" s="178">
        <v>500</v>
      </c>
    </row>
    <row r="204" spans="1:11">
      <c r="A204" s="179">
        <v>3038</v>
      </c>
      <c r="B204" s="179" t="s">
        <v>469</v>
      </c>
      <c r="C204" s="179">
        <v>5000</v>
      </c>
      <c r="D204" s="179">
        <v>500</v>
      </c>
      <c r="H204" s="142">
        <v>3038</v>
      </c>
      <c r="I204" s="142" t="s">
        <v>469</v>
      </c>
      <c r="J204" s="177">
        <v>5000</v>
      </c>
      <c r="K204" s="177">
        <v>500</v>
      </c>
    </row>
    <row r="205" spans="1:11">
      <c r="A205" s="179">
        <v>3039</v>
      </c>
      <c r="B205" s="179" t="s">
        <v>471</v>
      </c>
      <c r="C205" s="179">
        <v>5000</v>
      </c>
      <c r="D205" s="179">
        <v>500</v>
      </c>
      <c r="H205" s="142">
        <v>3039</v>
      </c>
      <c r="I205" s="142" t="s">
        <v>471</v>
      </c>
      <c r="J205" s="177">
        <v>5000</v>
      </c>
      <c r="K205" s="178">
        <v>500</v>
      </c>
    </row>
    <row r="206" spans="1:11">
      <c r="A206" s="179">
        <v>3040</v>
      </c>
      <c r="B206" s="179" t="s">
        <v>473</v>
      </c>
      <c r="C206" s="179">
        <v>5000</v>
      </c>
      <c r="D206" s="179">
        <v>500</v>
      </c>
      <c r="H206" s="142">
        <v>3040</v>
      </c>
      <c r="I206" s="142" t="s">
        <v>473</v>
      </c>
      <c r="J206" s="177">
        <v>5000</v>
      </c>
      <c r="K206" s="178">
        <v>500</v>
      </c>
    </row>
    <row r="207" spans="1:11">
      <c r="A207" s="179">
        <v>3041</v>
      </c>
      <c r="B207" s="179" t="s">
        <v>436</v>
      </c>
      <c r="C207" s="179">
        <v>5000</v>
      </c>
      <c r="D207" s="179">
        <v>500</v>
      </c>
      <c r="H207" s="142">
        <v>3041</v>
      </c>
      <c r="I207" s="142" t="s">
        <v>436</v>
      </c>
      <c r="J207" s="177">
        <v>5000</v>
      </c>
      <c r="K207" s="178">
        <v>500</v>
      </c>
    </row>
    <row r="208" spans="1:11">
      <c r="A208" s="179">
        <v>3042</v>
      </c>
      <c r="B208" s="179" t="s">
        <v>476</v>
      </c>
      <c r="C208" s="179">
        <v>5000</v>
      </c>
      <c r="D208" s="179">
        <v>500</v>
      </c>
      <c r="H208" s="142">
        <v>3042</v>
      </c>
      <c r="I208" s="142" t="s">
        <v>476</v>
      </c>
      <c r="J208" s="177">
        <v>5000</v>
      </c>
      <c r="K208" s="178">
        <v>500</v>
      </c>
    </row>
    <row r="209" spans="1:11">
      <c r="A209" s="179">
        <v>3043</v>
      </c>
      <c r="B209" s="179" t="s">
        <v>721</v>
      </c>
      <c r="C209" s="179">
        <v>5000</v>
      </c>
      <c r="D209" s="179">
        <v>500</v>
      </c>
      <c r="H209" s="142">
        <v>3043</v>
      </c>
      <c r="I209" s="142" t="s">
        <v>286</v>
      </c>
      <c r="J209" s="177">
        <v>5000</v>
      </c>
      <c r="K209" s="178">
        <v>500</v>
      </c>
    </row>
    <row r="210" spans="1:11">
      <c r="A210" s="179" t="s">
        <v>479</v>
      </c>
      <c r="B210" s="179" t="s">
        <v>480</v>
      </c>
      <c r="C210" s="179">
        <v>5000</v>
      </c>
      <c r="D210" s="179">
        <v>500</v>
      </c>
      <c r="H210" s="142" t="s">
        <v>479</v>
      </c>
      <c r="I210" s="142" t="s">
        <v>480</v>
      </c>
      <c r="J210" s="177">
        <v>5000</v>
      </c>
      <c r="K210" s="178">
        <v>500</v>
      </c>
    </row>
    <row r="211" spans="1:11">
      <c r="A211" s="179">
        <v>3045</v>
      </c>
      <c r="B211" s="179" t="s">
        <v>482</v>
      </c>
      <c r="C211" s="179">
        <v>5000</v>
      </c>
      <c r="D211" s="179">
        <v>500</v>
      </c>
      <c r="H211" s="142">
        <v>3045</v>
      </c>
      <c r="I211" s="142" t="s">
        <v>482</v>
      </c>
      <c r="J211" s="177">
        <v>5000</v>
      </c>
      <c r="K211" s="178">
        <v>500</v>
      </c>
    </row>
    <row r="212" spans="1:11">
      <c r="A212" s="179">
        <v>3046</v>
      </c>
      <c r="B212" s="179" t="s">
        <v>484</v>
      </c>
      <c r="C212" s="179">
        <v>5000</v>
      </c>
      <c r="D212" s="179">
        <v>500</v>
      </c>
      <c r="H212" s="142">
        <v>3046</v>
      </c>
      <c r="I212" s="142" t="s">
        <v>484</v>
      </c>
      <c r="J212" s="177">
        <v>5000</v>
      </c>
      <c r="K212" s="178">
        <v>500</v>
      </c>
    </row>
    <row r="213" spans="1:11">
      <c r="A213" s="179">
        <v>3047</v>
      </c>
      <c r="B213" s="179" t="s">
        <v>486</v>
      </c>
      <c r="C213" s="179">
        <v>5000</v>
      </c>
      <c r="D213" s="179">
        <v>500</v>
      </c>
      <c r="H213" s="142">
        <v>3047</v>
      </c>
      <c r="I213" s="142" t="s">
        <v>486</v>
      </c>
      <c r="J213" s="177">
        <v>5000</v>
      </c>
      <c r="K213" s="178">
        <v>500</v>
      </c>
    </row>
    <row r="214" spans="1:11">
      <c r="A214" s="179">
        <v>3048</v>
      </c>
      <c r="B214" s="179" t="s">
        <v>488</v>
      </c>
      <c r="C214" s="179">
        <v>5000</v>
      </c>
      <c r="D214" s="179">
        <v>500</v>
      </c>
      <c r="H214" s="142">
        <v>3048</v>
      </c>
      <c r="I214" s="142" t="s">
        <v>488</v>
      </c>
      <c r="J214" s="177">
        <v>5000</v>
      </c>
      <c r="K214" s="178">
        <v>500</v>
      </c>
    </row>
    <row r="215" spans="1:11">
      <c r="A215" s="179">
        <v>3049</v>
      </c>
      <c r="B215" s="179" t="s">
        <v>490</v>
      </c>
      <c r="C215" s="179">
        <v>5000</v>
      </c>
      <c r="D215" s="179">
        <v>500</v>
      </c>
      <c r="H215" s="142">
        <v>3049</v>
      </c>
      <c r="I215" s="142" t="s">
        <v>490</v>
      </c>
      <c r="J215" s="177">
        <v>5000</v>
      </c>
      <c r="K215" s="178">
        <v>500</v>
      </c>
    </row>
    <row r="216" spans="1:11">
      <c r="A216" s="179">
        <v>3050</v>
      </c>
      <c r="B216" s="179" t="s">
        <v>492</v>
      </c>
      <c r="C216" s="179">
        <v>5000</v>
      </c>
      <c r="D216" s="179">
        <v>500</v>
      </c>
      <c r="H216" s="142">
        <v>3050</v>
      </c>
      <c r="I216" s="142" t="s">
        <v>492</v>
      </c>
      <c r="J216" s="177">
        <v>5000</v>
      </c>
      <c r="K216" s="178">
        <v>500</v>
      </c>
    </row>
    <row r="217" spans="1:11">
      <c r="A217" s="179" t="s">
        <v>494</v>
      </c>
      <c r="B217" s="179" t="s">
        <v>495</v>
      </c>
      <c r="C217" s="179">
        <v>1500</v>
      </c>
      <c r="D217" s="179">
        <v>100</v>
      </c>
      <c r="H217" s="142" t="s">
        <v>494</v>
      </c>
      <c r="I217" s="142" t="s">
        <v>495</v>
      </c>
      <c r="J217" s="177">
        <v>1500</v>
      </c>
      <c r="K217" s="178">
        <v>100</v>
      </c>
    </row>
    <row r="218" spans="1:11">
      <c r="A218" s="179">
        <v>3051</v>
      </c>
      <c r="B218" s="179" t="s">
        <v>497</v>
      </c>
      <c r="C218" s="179">
        <v>2500</v>
      </c>
      <c r="D218" s="179">
        <v>200</v>
      </c>
      <c r="H218" s="142">
        <v>3051</v>
      </c>
      <c r="I218" s="142" t="s">
        <v>497</v>
      </c>
      <c r="J218" s="177">
        <v>2500</v>
      </c>
      <c r="K218" s="178">
        <v>200</v>
      </c>
    </row>
    <row r="219" spans="1:11">
      <c r="A219" s="179">
        <v>3052</v>
      </c>
      <c r="B219" s="179" t="s">
        <v>499</v>
      </c>
      <c r="C219" s="179">
        <v>2500</v>
      </c>
      <c r="D219" s="179">
        <v>200</v>
      </c>
      <c r="H219" s="142">
        <v>3052</v>
      </c>
      <c r="I219" s="142" t="s">
        <v>499</v>
      </c>
      <c r="J219" s="177">
        <v>2500</v>
      </c>
      <c r="K219" s="178">
        <v>200</v>
      </c>
    </row>
    <row r="220" spans="1:11">
      <c r="A220" s="179">
        <v>3028</v>
      </c>
      <c r="B220" s="179" t="s">
        <v>503</v>
      </c>
      <c r="C220" s="179">
        <v>6000</v>
      </c>
      <c r="D220" s="179">
        <v>500</v>
      </c>
      <c r="H220" s="142" t="s">
        <v>502</v>
      </c>
      <c r="I220" s="142" t="s">
        <v>503</v>
      </c>
      <c r="J220" s="177">
        <v>6000</v>
      </c>
      <c r="K220" s="178">
        <v>500</v>
      </c>
    </row>
    <row r="221" spans="1:11">
      <c r="A221" s="179">
        <v>3055</v>
      </c>
      <c r="B221" s="179" t="s">
        <v>505</v>
      </c>
      <c r="C221" s="179">
        <v>5000</v>
      </c>
      <c r="D221" s="179">
        <v>500</v>
      </c>
      <c r="H221" s="142">
        <v>3055</v>
      </c>
      <c r="I221" s="142" t="s">
        <v>505</v>
      </c>
      <c r="J221" s="177">
        <v>5000</v>
      </c>
      <c r="K221" s="178">
        <v>500</v>
      </c>
    </row>
    <row r="222" spans="1:11">
      <c r="A222" s="179" t="s">
        <v>725</v>
      </c>
      <c r="B222" s="179"/>
      <c r="C222" s="179"/>
      <c r="D222" s="179"/>
      <c r="H222" s="142" t="s">
        <v>508</v>
      </c>
      <c r="I222" s="142"/>
      <c r="J222" s="177"/>
      <c r="K222" s="178"/>
    </row>
    <row r="223" spans="1:11">
      <c r="A223" s="179" t="s">
        <v>510</v>
      </c>
      <c r="B223" s="179"/>
      <c r="C223" s="179"/>
      <c r="D223" s="179"/>
      <c r="H223" s="142" t="s">
        <v>510</v>
      </c>
      <c r="I223" s="142"/>
      <c r="J223" s="177"/>
      <c r="K223" s="178"/>
    </row>
    <row r="224" spans="1:11">
      <c r="A224" s="189">
        <v>4001</v>
      </c>
      <c r="B224" s="179" t="s">
        <v>513</v>
      </c>
      <c r="C224" s="179">
        <v>5000</v>
      </c>
      <c r="D224" s="179">
        <v>500</v>
      </c>
      <c r="H224" s="190">
        <v>4001</v>
      </c>
      <c r="I224" s="142" t="s">
        <v>513</v>
      </c>
      <c r="J224" s="177">
        <v>5000</v>
      </c>
      <c r="K224" s="178">
        <v>500</v>
      </c>
    </row>
    <row r="225" spans="1:11">
      <c r="A225" s="179">
        <v>4002</v>
      </c>
      <c r="B225" s="179" t="s">
        <v>515</v>
      </c>
      <c r="C225" s="179">
        <v>5000</v>
      </c>
      <c r="D225" s="179">
        <v>500</v>
      </c>
      <c r="H225" s="142">
        <v>4002</v>
      </c>
      <c r="I225" s="142" t="s">
        <v>515</v>
      </c>
      <c r="J225" s="177">
        <v>5000</v>
      </c>
      <c r="K225" s="177">
        <v>500</v>
      </c>
    </row>
    <row r="226" spans="1:11">
      <c r="A226" s="179">
        <v>4003</v>
      </c>
      <c r="B226" s="179" t="s">
        <v>517</v>
      </c>
      <c r="C226" s="179">
        <v>5000</v>
      </c>
      <c r="D226" s="179">
        <v>500</v>
      </c>
      <c r="H226" s="142">
        <v>4003</v>
      </c>
      <c r="I226" s="142" t="s">
        <v>517</v>
      </c>
      <c r="J226" s="177">
        <v>5000</v>
      </c>
      <c r="K226" s="178">
        <v>500</v>
      </c>
    </row>
    <row r="227" spans="1:11">
      <c r="A227" s="179">
        <v>4004</v>
      </c>
      <c r="B227" s="179" t="s">
        <v>519</v>
      </c>
      <c r="C227" s="179">
        <v>5000</v>
      </c>
      <c r="D227" s="179">
        <v>500</v>
      </c>
      <c r="H227" s="142">
        <v>4004</v>
      </c>
      <c r="I227" s="142" t="s">
        <v>519</v>
      </c>
      <c r="J227" s="177">
        <v>5000</v>
      </c>
      <c r="K227" s="178">
        <v>500</v>
      </c>
    </row>
    <row r="228" spans="1:11">
      <c r="A228" s="179">
        <v>4005</v>
      </c>
      <c r="B228" s="179" t="s">
        <v>521</v>
      </c>
      <c r="C228" s="179">
        <v>5000</v>
      </c>
      <c r="D228" s="179">
        <v>500</v>
      </c>
      <c r="H228" s="142">
        <v>4005</v>
      </c>
      <c r="I228" s="142" t="s">
        <v>521</v>
      </c>
      <c r="J228" s="177">
        <v>5000</v>
      </c>
      <c r="K228" s="178">
        <v>500</v>
      </c>
    </row>
    <row r="229" spans="1:11">
      <c r="A229" s="179">
        <v>4006</v>
      </c>
      <c r="B229" s="179" t="s">
        <v>523</v>
      </c>
      <c r="C229" s="179">
        <v>5000</v>
      </c>
      <c r="D229" s="179">
        <v>500</v>
      </c>
      <c r="H229" s="142">
        <v>4006</v>
      </c>
      <c r="I229" s="142" t="s">
        <v>523</v>
      </c>
      <c r="J229" s="177">
        <v>5000</v>
      </c>
      <c r="K229" s="178">
        <v>500</v>
      </c>
    </row>
    <row r="230" spans="1:11">
      <c r="A230" s="179">
        <v>4007</v>
      </c>
      <c r="B230" s="179" t="s">
        <v>525</v>
      </c>
      <c r="C230" s="179">
        <v>5000</v>
      </c>
      <c r="D230" s="179">
        <v>500</v>
      </c>
      <c r="H230" s="142">
        <v>4007</v>
      </c>
      <c r="I230" s="142" t="s">
        <v>525</v>
      </c>
      <c r="J230" s="177">
        <v>5000</v>
      </c>
      <c r="K230" s="178">
        <v>500</v>
      </c>
    </row>
    <row r="231" spans="1:11">
      <c r="A231" s="179">
        <v>4008</v>
      </c>
      <c r="B231" s="179" t="s">
        <v>527</v>
      </c>
      <c r="C231" s="179">
        <v>5000</v>
      </c>
      <c r="D231" s="179">
        <v>500</v>
      </c>
      <c r="H231" s="142">
        <v>4008</v>
      </c>
      <c r="I231" s="142" t="s">
        <v>527</v>
      </c>
      <c r="J231" s="177">
        <v>5000</v>
      </c>
      <c r="K231" s="178">
        <v>500</v>
      </c>
    </row>
    <row r="232" spans="1:11">
      <c r="A232" s="179">
        <v>4009</v>
      </c>
      <c r="B232" s="179" t="s">
        <v>529</v>
      </c>
      <c r="C232" s="179">
        <v>5000</v>
      </c>
      <c r="D232" s="179">
        <v>500</v>
      </c>
      <c r="H232" s="142">
        <v>4009</v>
      </c>
      <c r="I232" s="142" t="s">
        <v>529</v>
      </c>
      <c r="J232" s="177">
        <v>5000</v>
      </c>
      <c r="K232" s="178">
        <v>500</v>
      </c>
    </row>
    <row r="233" spans="1:11">
      <c r="A233" s="179">
        <v>4010</v>
      </c>
      <c r="B233" s="179" t="s">
        <v>531</v>
      </c>
      <c r="C233" s="179">
        <v>5000</v>
      </c>
      <c r="D233" s="179">
        <v>500</v>
      </c>
      <c r="H233" s="142">
        <v>4010</v>
      </c>
      <c r="I233" s="142" t="s">
        <v>531</v>
      </c>
      <c r="J233" s="177">
        <v>5000</v>
      </c>
      <c r="K233" s="178">
        <v>500</v>
      </c>
    </row>
    <row r="234" spans="1:11">
      <c r="A234" s="179">
        <v>4011</v>
      </c>
      <c r="B234" s="179" t="s">
        <v>533</v>
      </c>
      <c r="C234" s="181">
        <v>5000</v>
      </c>
      <c r="D234" s="179">
        <v>500</v>
      </c>
      <c r="H234" s="142">
        <v>4011</v>
      </c>
      <c r="I234" s="142" t="s">
        <v>726</v>
      </c>
      <c r="J234" s="177">
        <v>5000</v>
      </c>
      <c r="K234" s="178">
        <v>500</v>
      </c>
    </row>
    <row r="235" spans="1:11">
      <c r="A235" s="179">
        <v>4012</v>
      </c>
      <c r="B235" s="179" t="s">
        <v>535</v>
      </c>
      <c r="C235" s="179">
        <v>5000</v>
      </c>
      <c r="D235" s="179">
        <v>500</v>
      </c>
      <c r="H235" s="142">
        <v>4012</v>
      </c>
      <c r="I235" s="142" t="s">
        <v>535</v>
      </c>
      <c r="J235" s="177">
        <v>5000</v>
      </c>
      <c r="K235" s="178">
        <v>500</v>
      </c>
    </row>
    <row r="236" spans="1:11">
      <c r="A236" s="179">
        <v>4013</v>
      </c>
      <c r="B236" s="179" t="s">
        <v>537</v>
      </c>
      <c r="C236" s="179">
        <v>5000</v>
      </c>
      <c r="D236" s="179">
        <v>500</v>
      </c>
      <c r="H236" s="142">
        <v>4013</v>
      </c>
      <c r="I236" s="142" t="s">
        <v>537</v>
      </c>
      <c r="J236" s="177">
        <v>5000</v>
      </c>
      <c r="K236" s="178">
        <v>500</v>
      </c>
    </row>
    <row r="237" spans="1:11">
      <c r="A237" s="179">
        <v>4014</v>
      </c>
      <c r="B237" s="179" t="s">
        <v>228</v>
      </c>
      <c r="C237" s="179">
        <v>5000</v>
      </c>
      <c r="D237" s="179">
        <v>500</v>
      </c>
      <c r="H237" s="142">
        <v>4014</v>
      </c>
      <c r="I237" s="142" t="s">
        <v>228</v>
      </c>
      <c r="J237" s="177">
        <v>5000</v>
      </c>
      <c r="K237" s="178">
        <v>500</v>
      </c>
    </row>
    <row r="238" spans="1:11">
      <c r="A238" s="179">
        <v>4015</v>
      </c>
      <c r="B238" s="179" t="s">
        <v>540</v>
      </c>
      <c r="C238" s="179">
        <v>5000</v>
      </c>
      <c r="D238" s="179">
        <v>500</v>
      </c>
      <c r="H238" s="142">
        <v>4015</v>
      </c>
      <c r="I238" s="142" t="s">
        <v>540</v>
      </c>
      <c r="J238" s="177">
        <v>5000</v>
      </c>
      <c r="K238" s="178">
        <v>500</v>
      </c>
    </row>
    <row r="239" spans="1:11">
      <c r="A239" s="179">
        <v>4016</v>
      </c>
      <c r="B239" s="179" t="s">
        <v>542</v>
      </c>
      <c r="C239" s="179">
        <v>5000</v>
      </c>
      <c r="D239" s="179">
        <v>500</v>
      </c>
      <c r="H239" s="142">
        <v>4016</v>
      </c>
      <c r="I239" s="142" t="s">
        <v>542</v>
      </c>
      <c r="J239" s="177">
        <v>5000</v>
      </c>
      <c r="K239" s="178">
        <v>500</v>
      </c>
    </row>
    <row r="240" spans="1:11">
      <c r="A240" s="179">
        <v>4017</v>
      </c>
      <c r="B240" s="179" t="s">
        <v>544</v>
      </c>
      <c r="C240" s="179">
        <v>5000</v>
      </c>
      <c r="D240" s="179">
        <v>500</v>
      </c>
      <c r="H240" s="142">
        <v>4017</v>
      </c>
      <c r="I240" s="142" t="s">
        <v>544</v>
      </c>
      <c r="J240" s="177">
        <v>5000</v>
      </c>
      <c r="K240" s="178">
        <v>500</v>
      </c>
    </row>
    <row r="241" spans="1:11">
      <c r="A241" s="179">
        <v>4018</v>
      </c>
      <c r="B241" s="179" t="s">
        <v>546</v>
      </c>
      <c r="C241" s="179">
        <v>5000</v>
      </c>
      <c r="D241" s="179">
        <v>500</v>
      </c>
      <c r="H241" s="142">
        <v>4018</v>
      </c>
      <c r="I241" s="142" t="s">
        <v>546</v>
      </c>
      <c r="J241" s="177">
        <v>5000</v>
      </c>
      <c r="K241" s="178">
        <v>500</v>
      </c>
    </row>
    <row r="242" spans="1:11">
      <c r="A242" s="179">
        <v>4019</v>
      </c>
      <c r="B242" s="179" t="s">
        <v>548</v>
      </c>
      <c r="C242" s="179">
        <v>5000</v>
      </c>
      <c r="D242" s="179">
        <v>500</v>
      </c>
      <c r="H242" s="142">
        <v>4019</v>
      </c>
      <c r="I242" s="142" t="s">
        <v>548</v>
      </c>
      <c r="J242" s="177">
        <v>5000</v>
      </c>
      <c r="K242" s="178">
        <v>500</v>
      </c>
    </row>
    <row r="243" spans="1:11">
      <c r="A243" s="179">
        <v>4020</v>
      </c>
      <c r="B243" s="179" t="s">
        <v>550</v>
      </c>
      <c r="C243" s="179">
        <v>5000</v>
      </c>
      <c r="D243" s="179">
        <v>500</v>
      </c>
      <c r="H243" s="142">
        <v>4020</v>
      </c>
      <c r="I243" s="142" t="s">
        <v>550</v>
      </c>
      <c r="J243" s="177">
        <v>5000</v>
      </c>
      <c r="K243" s="178">
        <v>500</v>
      </c>
    </row>
    <row r="244" spans="1:11">
      <c r="A244" s="179">
        <v>4021</v>
      </c>
      <c r="B244" s="179" t="s">
        <v>552</v>
      </c>
      <c r="C244" s="179">
        <v>5000</v>
      </c>
      <c r="D244" s="179">
        <v>500</v>
      </c>
      <c r="H244" s="142">
        <v>4021</v>
      </c>
      <c r="I244" s="142" t="s">
        <v>552</v>
      </c>
      <c r="J244" s="177">
        <v>5000</v>
      </c>
      <c r="K244" s="178">
        <v>500</v>
      </c>
    </row>
    <row r="245" spans="1:11">
      <c r="A245" s="179">
        <v>4022</v>
      </c>
      <c r="B245" s="179" t="s">
        <v>554</v>
      </c>
      <c r="C245" s="179">
        <v>5000</v>
      </c>
      <c r="D245" s="179">
        <v>500</v>
      </c>
      <c r="H245" s="142">
        <v>4022</v>
      </c>
      <c r="I245" s="142" t="s">
        <v>554</v>
      </c>
      <c r="J245" s="177">
        <v>5000</v>
      </c>
      <c r="K245" s="178">
        <v>500</v>
      </c>
    </row>
    <row r="246" spans="1:11">
      <c r="A246" s="179">
        <v>4023</v>
      </c>
      <c r="B246" s="179" t="s">
        <v>556</v>
      </c>
      <c r="C246" s="179">
        <v>5000</v>
      </c>
      <c r="D246" s="179">
        <v>500</v>
      </c>
      <c r="H246" s="142">
        <v>4023</v>
      </c>
      <c r="I246" s="142" t="s">
        <v>556</v>
      </c>
      <c r="J246" s="177">
        <v>5000</v>
      </c>
      <c r="K246" s="178">
        <v>500</v>
      </c>
    </row>
    <row r="247" spans="1:11">
      <c r="A247" s="179">
        <v>4024</v>
      </c>
      <c r="B247" s="179" t="s">
        <v>482</v>
      </c>
      <c r="C247" s="179">
        <v>5000</v>
      </c>
      <c r="D247" s="179">
        <v>500</v>
      </c>
      <c r="H247" s="142">
        <v>4024</v>
      </c>
      <c r="I247" s="142" t="s">
        <v>482</v>
      </c>
      <c r="J247" s="177">
        <v>5000</v>
      </c>
      <c r="K247" s="178">
        <v>500</v>
      </c>
    </row>
    <row r="248" spans="1:11">
      <c r="A248" s="179">
        <v>4025</v>
      </c>
      <c r="B248" s="179" t="s">
        <v>559</v>
      </c>
      <c r="C248" s="179">
        <v>5000</v>
      </c>
      <c r="D248" s="179">
        <v>500</v>
      </c>
      <c r="H248" s="142">
        <v>4025</v>
      </c>
      <c r="I248" s="142" t="s">
        <v>559</v>
      </c>
      <c r="J248" s="177">
        <v>5000</v>
      </c>
      <c r="K248" s="178">
        <v>500</v>
      </c>
    </row>
    <row r="249" spans="1:11">
      <c r="A249" s="179">
        <v>4026</v>
      </c>
      <c r="B249" s="179" t="s">
        <v>561</v>
      </c>
      <c r="C249" s="179">
        <v>5000</v>
      </c>
      <c r="D249" s="179">
        <v>500</v>
      </c>
      <c r="H249" s="142">
        <v>4026</v>
      </c>
      <c r="I249" s="142" t="s">
        <v>561</v>
      </c>
      <c r="J249" s="177">
        <v>5000</v>
      </c>
      <c r="K249" s="178">
        <v>500</v>
      </c>
    </row>
    <row r="250" spans="1:11">
      <c r="A250" s="179">
        <v>4027</v>
      </c>
      <c r="B250" s="179" t="s">
        <v>563</v>
      </c>
      <c r="C250" s="179">
        <v>5000</v>
      </c>
      <c r="D250" s="179">
        <v>500</v>
      </c>
      <c r="H250" s="142">
        <v>4027</v>
      </c>
      <c r="I250" s="142" t="s">
        <v>563</v>
      </c>
      <c r="J250" s="177">
        <v>5000</v>
      </c>
      <c r="K250" s="178">
        <v>500</v>
      </c>
    </row>
    <row r="251" spans="1:11">
      <c r="A251" s="179">
        <v>4028</v>
      </c>
      <c r="B251" s="179" t="s">
        <v>565</v>
      </c>
      <c r="C251" s="179">
        <v>5000</v>
      </c>
      <c r="D251" s="179">
        <v>500</v>
      </c>
      <c r="H251" s="142">
        <v>4028</v>
      </c>
      <c r="I251" s="142" t="s">
        <v>565</v>
      </c>
      <c r="J251" s="177">
        <v>5000</v>
      </c>
      <c r="K251" s="178">
        <v>500</v>
      </c>
    </row>
    <row r="252" spans="1:11">
      <c r="A252" s="179">
        <v>4029</v>
      </c>
      <c r="B252" s="179" t="s">
        <v>567</v>
      </c>
      <c r="C252" s="179">
        <v>5000</v>
      </c>
      <c r="D252" s="179">
        <v>500</v>
      </c>
      <c r="H252" s="142">
        <v>4029</v>
      </c>
      <c r="I252" s="142" t="s">
        <v>567</v>
      </c>
      <c r="J252" s="177">
        <v>5000</v>
      </c>
      <c r="K252" s="178">
        <v>500</v>
      </c>
    </row>
    <row r="253" spans="1:11">
      <c r="A253" s="179">
        <v>4030</v>
      </c>
      <c r="B253" s="179" t="s">
        <v>567</v>
      </c>
      <c r="C253" s="179">
        <v>5000</v>
      </c>
      <c r="D253" s="179">
        <v>500</v>
      </c>
      <c r="H253" s="142">
        <v>4030</v>
      </c>
      <c r="I253" s="142" t="s">
        <v>567</v>
      </c>
      <c r="J253" s="177">
        <v>5000</v>
      </c>
      <c r="K253" s="178">
        <v>500</v>
      </c>
    </row>
    <row r="254" spans="1:11">
      <c r="A254" s="179">
        <v>4031</v>
      </c>
      <c r="B254" s="179" t="s">
        <v>471</v>
      </c>
      <c r="C254" s="179">
        <v>5000</v>
      </c>
      <c r="D254" s="179">
        <v>500</v>
      </c>
      <c r="H254" s="142">
        <v>4031</v>
      </c>
      <c r="I254" s="142" t="s">
        <v>727</v>
      </c>
      <c r="J254" s="177">
        <v>5000</v>
      </c>
      <c r="K254" s="178">
        <v>500</v>
      </c>
    </row>
    <row r="255" spans="1:11">
      <c r="A255" s="179">
        <v>4032</v>
      </c>
      <c r="B255" s="179" t="s">
        <v>571</v>
      </c>
      <c r="C255" s="179">
        <v>5000</v>
      </c>
      <c r="D255" s="179">
        <v>500</v>
      </c>
      <c r="H255" s="142">
        <v>4032</v>
      </c>
      <c r="I255" s="142" t="s">
        <v>571</v>
      </c>
      <c r="J255" s="177">
        <v>5000</v>
      </c>
      <c r="K255" s="178">
        <v>500</v>
      </c>
    </row>
    <row r="256" spans="1:11">
      <c r="A256" s="179">
        <v>4033</v>
      </c>
      <c r="B256" s="179" t="s">
        <v>339</v>
      </c>
      <c r="C256" s="179">
        <v>5000</v>
      </c>
      <c r="D256" s="179">
        <v>500</v>
      </c>
      <c r="H256" s="142">
        <v>4033</v>
      </c>
      <c r="I256" s="142" t="s">
        <v>728</v>
      </c>
      <c r="J256" s="177">
        <v>5000</v>
      </c>
      <c r="K256" s="178">
        <v>500</v>
      </c>
    </row>
    <row r="257" spans="1:11">
      <c r="A257" s="179">
        <v>4035</v>
      </c>
      <c r="B257" s="179" t="s">
        <v>574</v>
      </c>
      <c r="C257" s="179">
        <v>5000</v>
      </c>
      <c r="D257" s="179">
        <v>500</v>
      </c>
      <c r="H257" s="142">
        <v>4035</v>
      </c>
      <c r="I257" s="142" t="s">
        <v>574</v>
      </c>
      <c r="J257" s="177">
        <v>5000</v>
      </c>
      <c r="K257" s="178">
        <v>500</v>
      </c>
    </row>
    <row r="258" spans="1:11">
      <c r="A258" s="179" t="s">
        <v>576</v>
      </c>
      <c r="B258" s="179" t="s">
        <v>577</v>
      </c>
      <c r="C258" s="179">
        <v>5000</v>
      </c>
      <c r="D258" s="179">
        <v>500</v>
      </c>
      <c r="H258" s="142" t="s">
        <v>576</v>
      </c>
      <c r="I258" s="142" t="s">
        <v>577</v>
      </c>
      <c r="J258" s="177">
        <v>5000</v>
      </c>
      <c r="K258" s="178">
        <v>500</v>
      </c>
    </row>
    <row r="259" spans="1:11">
      <c r="A259" s="179">
        <v>4036</v>
      </c>
      <c r="B259" s="179" t="s">
        <v>579</v>
      </c>
      <c r="C259" s="179">
        <v>5000</v>
      </c>
      <c r="D259" s="179">
        <v>500</v>
      </c>
      <c r="H259" s="142">
        <v>4036</v>
      </c>
      <c r="I259" s="142" t="s">
        <v>579</v>
      </c>
      <c r="J259" s="177">
        <v>5000</v>
      </c>
      <c r="K259" s="178">
        <v>500</v>
      </c>
    </row>
    <row r="260" spans="1:11">
      <c r="A260" s="179">
        <v>4037</v>
      </c>
      <c r="B260" s="179" t="s">
        <v>581</v>
      </c>
      <c r="C260" s="179">
        <v>5000</v>
      </c>
      <c r="D260" s="179">
        <v>500</v>
      </c>
      <c r="H260" s="142">
        <v>4037</v>
      </c>
      <c r="I260" s="142" t="s">
        <v>581</v>
      </c>
      <c r="J260" s="177">
        <v>5000</v>
      </c>
      <c r="K260" s="178">
        <v>500</v>
      </c>
    </row>
    <row r="261" spans="1:11">
      <c r="A261" s="179">
        <v>4038</v>
      </c>
      <c r="B261" s="179" t="s">
        <v>423</v>
      </c>
      <c r="C261" s="179">
        <v>5000</v>
      </c>
      <c r="D261" s="179">
        <v>500</v>
      </c>
      <c r="H261" s="142">
        <v>4038</v>
      </c>
      <c r="I261" s="142" t="s">
        <v>423</v>
      </c>
      <c r="J261" s="177">
        <v>5000</v>
      </c>
      <c r="K261" s="178">
        <v>500</v>
      </c>
    </row>
    <row r="262" spans="1:11">
      <c r="A262" s="179">
        <v>4039</v>
      </c>
      <c r="B262" s="179" t="s">
        <v>584</v>
      </c>
      <c r="C262" s="179">
        <v>5000</v>
      </c>
      <c r="D262" s="179">
        <v>500</v>
      </c>
      <c r="H262" s="142">
        <v>4039</v>
      </c>
      <c r="I262" s="142" t="s">
        <v>584</v>
      </c>
      <c r="J262" s="177">
        <v>5000</v>
      </c>
      <c r="K262" s="178">
        <v>500</v>
      </c>
    </row>
    <row r="263" spans="1:11">
      <c r="A263" s="179">
        <v>4040</v>
      </c>
      <c r="B263" s="179" t="s">
        <v>586</v>
      </c>
      <c r="C263" s="179">
        <v>5000</v>
      </c>
      <c r="D263" s="179">
        <v>500</v>
      </c>
      <c r="H263" s="142">
        <v>4040</v>
      </c>
      <c r="I263" s="142" t="s">
        <v>586</v>
      </c>
      <c r="J263" s="177">
        <v>5000</v>
      </c>
      <c r="K263" s="178">
        <v>500</v>
      </c>
    </row>
    <row r="264" spans="1:11">
      <c r="A264" s="179">
        <v>4041</v>
      </c>
      <c r="B264" s="179" t="s">
        <v>588</v>
      </c>
      <c r="C264" s="179">
        <v>5000</v>
      </c>
      <c r="D264" s="179">
        <v>500</v>
      </c>
      <c r="H264" s="142">
        <v>4041</v>
      </c>
      <c r="I264" s="142" t="s">
        <v>588</v>
      </c>
      <c r="J264" s="177">
        <v>5000</v>
      </c>
      <c r="K264" s="178">
        <v>500</v>
      </c>
    </row>
    <row r="265" spans="1:11">
      <c r="A265" s="179">
        <v>4042</v>
      </c>
      <c r="B265" s="179" t="s">
        <v>590</v>
      </c>
      <c r="C265" s="179">
        <v>5000</v>
      </c>
      <c r="D265" s="179">
        <v>500</v>
      </c>
      <c r="H265" s="142">
        <v>4042</v>
      </c>
      <c r="I265" s="142" t="s">
        <v>590</v>
      </c>
      <c r="J265" s="177">
        <v>5000</v>
      </c>
      <c r="K265" s="178">
        <v>500</v>
      </c>
    </row>
    <row r="266" spans="1:11">
      <c r="A266" s="179">
        <v>4043</v>
      </c>
      <c r="B266" s="179" t="s">
        <v>592</v>
      </c>
      <c r="C266" s="179">
        <v>5000</v>
      </c>
      <c r="D266" s="179">
        <v>500</v>
      </c>
      <c r="H266" s="142">
        <v>4043</v>
      </c>
      <c r="I266" s="142" t="s">
        <v>592</v>
      </c>
      <c r="J266" s="177">
        <v>5000</v>
      </c>
      <c r="K266" s="178">
        <v>500</v>
      </c>
    </row>
    <row r="267" spans="1:11">
      <c r="A267" s="179">
        <v>4044</v>
      </c>
      <c r="B267" s="179" t="s">
        <v>594</v>
      </c>
      <c r="C267" s="179">
        <v>5000</v>
      </c>
      <c r="D267" s="179">
        <v>500</v>
      </c>
      <c r="H267" s="142">
        <v>4044</v>
      </c>
      <c r="I267" s="142" t="s">
        <v>729</v>
      </c>
      <c r="J267" s="177">
        <v>5000</v>
      </c>
      <c r="K267" s="178">
        <v>500</v>
      </c>
    </row>
    <row r="268" spans="1:11">
      <c r="A268" s="179">
        <v>4045</v>
      </c>
      <c r="B268" s="179" t="s">
        <v>596</v>
      </c>
      <c r="C268" s="179">
        <v>5000</v>
      </c>
      <c r="D268" s="179">
        <v>500</v>
      </c>
      <c r="H268" s="142">
        <v>4045</v>
      </c>
      <c r="I268" s="142" t="s">
        <v>596</v>
      </c>
      <c r="J268" s="177">
        <v>5000</v>
      </c>
      <c r="K268" s="178">
        <v>500</v>
      </c>
    </row>
    <row r="269" spans="1:11">
      <c r="A269" s="179">
        <v>4046</v>
      </c>
      <c r="B269" s="179" t="s">
        <v>175</v>
      </c>
      <c r="C269" s="179">
        <v>5000</v>
      </c>
      <c r="D269" s="179">
        <v>500</v>
      </c>
      <c r="H269" s="142">
        <v>4046</v>
      </c>
      <c r="I269" s="142" t="s">
        <v>175</v>
      </c>
      <c r="J269" s="177">
        <v>5000</v>
      </c>
      <c r="K269" s="178">
        <v>500</v>
      </c>
    </row>
    <row r="270" spans="1:11">
      <c r="A270" s="179" t="s">
        <v>599</v>
      </c>
      <c r="B270" s="179" t="s">
        <v>421</v>
      </c>
      <c r="C270" s="179">
        <v>5000</v>
      </c>
      <c r="D270" s="179">
        <v>500</v>
      </c>
      <c r="H270" s="142" t="s">
        <v>599</v>
      </c>
      <c r="I270" s="142" t="s">
        <v>421</v>
      </c>
      <c r="J270" s="177">
        <v>5000</v>
      </c>
      <c r="K270" s="178">
        <v>500</v>
      </c>
    </row>
    <row r="271" ht="27" spans="1:11">
      <c r="A271" s="183" t="s">
        <v>601</v>
      </c>
      <c r="B271" s="179" t="s">
        <v>602</v>
      </c>
      <c r="C271" s="184">
        <v>1500</v>
      </c>
      <c r="D271" s="179">
        <v>0</v>
      </c>
      <c r="H271" s="186" t="s">
        <v>601</v>
      </c>
      <c r="I271" s="142" t="s">
        <v>602</v>
      </c>
      <c r="J271" s="177">
        <v>1500</v>
      </c>
      <c r="K271" s="178">
        <v>0</v>
      </c>
    </row>
    <row r="272" spans="1:11">
      <c r="A272" s="191">
        <v>5001</v>
      </c>
      <c r="B272" s="179" t="s">
        <v>605</v>
      </c>
      <c r="C272" s="179">
        <v>4500</v>
      </c>
      <c r="D272" s="179">
        <v>500</v>
      </c>
      <c r="H272" s="142">
        <v>5001</v>
      </c>
      <c r="I272" s="142" t="s">
        <v>605</v>
      </c>
      <c r="J272" s="177">
        <v>4500</v>
      </c>
      <c r="K272" s="178">
        <v>500</v>
      </c>
    </row>
    <row r="273" spans="1:11">
      <c r="A273" s="179">
        <v>5002</v>
      </c>
      <c r="B273" s="179" t="s">
        <v>607</v>
      </c>
      <c r="C273" s="179">
        <v>4500</v>
      </c>
      <c r="D273" s="179">
        <v>500</v>
      </c>
      <c r="H273" s="142">
        <v>5002</v>
      </c>
      <c r="I273" s="142" t="s">
        <v>607</v>
      </c>
      <c r="J273" s="177">
        <v>4500</v>
      </c>
      <c r="K273" s="177">
        <v>500</v>
      </c>
    </row>
    <row r="274" spans="1:11">
      <c r="A274" s="191">
        <v>5003</v>
      </c>
      <c r="B274" s="179" t="s">
        <v>609</v>
      </c>
      <c r="C274" s="179">
        <v>4500</v>
      </c>
      <c r="D274" s="179">
        <v>500</v>
      </c>
      <c r="H274" s="142">
        <v>5003</v>
      </c>
      <c r="I274" s="142" t="s">
        <v>609</v>
      </c>
      <c r="J274" s="177">
        <v>4500</v>
      </c>
      <c r="K274" s="178">
        <v>500</v>
      </c>
    </row>
    <row r="275" spans="1:11">
      <c r="A275" s="179" t="s">
        <v>611</v>
      </c>
      <c r="B275" s="179" t="s">
        <v>612</v>
      </c>
      <c r="C275" s="179">
        <v>4500</v>
      </c>
      <c r="D275" s="179">
        <v>500</v>
      </c>
      <c r="H275" s="142" t="s">
        <v>611</v>
      </c>
      <c r="I275" s="142" t="s">
        <v>612</v>
      </c>
      <c r="J275" s="177">
        <v>4500</v>
      </c>
      <c r="K275" s="178">
        <v>500</v>
      </c>
    </row>
    <row r="276" spans="1:11">
      <c r="A276" s="191">
        <v>5005</v>
      </c>
      <c r="B276" s="179" t="s">
        <v>614</v>
      </c>
      <c r="C276" s="179">
        <v>4500</v>
      </c>
      <c r="D276" s="179">
        <v>500</v>
      </c>
      <c r="H276" s="142">
        <v>5005</v>
      </c>
      <c r="I276" s="142" t="s">
        <v>614</v>
      </c>
      <c r="J276" s="177">
        <v>4500</v>
      </c>
      <c r="K276" s="178">
        <v>500</v>
      </c>
    </row>
    <row r="277" spans="1:11">
      <c r="A277" s="179">
        <v>5006</v>
      </c>
      <c r="B277" s="179" t="s">
        <v>616</v>
      </c>
      <c r="C277" s="179">
        <v>4500</v>
      </c>
      <c r="D277" s="179">
        <v>500</v>
      </c>
      <c r="H277" s="142">
        <v>5006</v>
      </c>
      <c r="I277" s="142" t="s">
        <v>616</v>
      </c>
      <c r="J277" s="177">
        <v>4500</v>
      </c>
      <c r="K277" s="178">
        <v>500</v>
      </c>
    </row>
    <row r="278" spans="1:11">
      <c r="A278" s="191">
        <v>5007</v>
      </c>
      <c r="B278" s="179" t="s">
        <v>519</v>
      </c>
      <c r="C278" s="181">
        <v>4500</v>
      </c>
      <c r="D278" s="179">
        <v>500</v>
      </c>
      <c r="H278" s="142">
        <v>5007</v>
      </c>
      <c r="I278" s="142" t="s">
        <v>519</v>
      </c>
      <c r="J278" s="177">
        <v>4500</v>
      </c>
      <c r="K278" s="178">
        <v>500</v>
      </c>
    </row>
    <row r="279" spans="1:11">
      <c r="A279" s="179">
        <v>5008</v>
      </c>
      <c r="B279" s="179" t="s">
        <v>619</v>
      </c>
      <c r="C279" s="179">
        <v>4500</v>
      </c>
      <c r="D279" s="179">
        <v>500</v>
      </c>
      <c r="H279" s="142">
        <v>5008</v>
      </c>
      <c r="I279" s="142" t="s">
        <v>619</v>
      </c>
      <c r="J279" s="177">
        <v>4500</v>
      </c>
      <c r="K279" s="178">
        <v>500</v>
      </c>
    </row>
    <row r="280" spans="1:11">
      <c r="A280" s="191">
        <v>5009</v>
      </c>
      <c r="B280" s="179" t="s">
        <v>621</v>
      </c>
      <c r="C280" s="179">
        <v>4500</v>
      </c>
      <c r="D280" s="179">
        <v>500</v>
      </c>
      <c r="H280" s="142">
        <v>5009</v>
      </c>
      <c r="I280" s="142" t="s">
        <v>621</v>
      </c>
      <c r="J280" s="177">
        <v>4500</v>
      </c>
      <c r="K280" s="177">
        <v>500</v>
      </c>
    </row>
    <row r="281" spans="1:11">
      <c r="A281" s="179">
        <v>5010</v>
      </c>
      <c r="B281" s="179" t="s">
        <v>623</v>
      </c>
      <c r="C281" s="179">
        <v>4500</v>
      </c>
      <c r="D281" s="179">
        <v>500</v>
      </c>
      <c r="H281" s="142">
        <v>5010</v>
      </c>
      <c r="I281" s="142" t="s">
        <v>623</v>
      </c>
      <c r="J281" s="177">
        <v>4500</v>
      </c>
      <c r="K281" s="177">
        <v>500</v>
      </c>
    </row>
    <row r="282" spans="1:11">
      <c r="A282" s="191">
        <v>5011</v>
      </c>
      <c r="B282" s="179" t="s">
        <v>625</v>
      </c>
      <c r="C282" s="179">
        <v>4500</v>
      </c>
      <c r="D282" s="179">
        <v>500</v>
      </c>
      <c r="H282" s="142">
        <v>5011</v>
      </c>
      <c r="I282" s="142" t="s">
        <v>625</v>
      </c>
      <c r="J282" s="177">
        <v>4500</v>
      </c>
      <c r="K282" s="178">
        <v>500</v>
      </c>
    </row>
    <row r="283" spans="1:11">
      <c r="A283" s="179">
        <v>5012</v>
      </c>
      <c r="B283" s="179" t="s">
        <v>627</v>
      </c>
      <c r="C283" s="179">
        <v>4500</v>
      </c>
      <c r="D283" s="179">
        <v>500</v>
      </c>
      <c r="H283" s="142">
        <v>5012</v>
      </c>
      <c r="I283" s="142" t="s">
        <v>627</v>
      </c>
      <c r="J283" s="177">
        <v>4500</v>
      </c>
      <c r="K283" s="178">
        <v>500</v>
      </c>
    </row>
    <row r="284" spans="1:11">
      <c r="A284" s="191">
        <v>5013</v>
      </c>
      <c r="B284" s="179" t="s">
        <v>515</v>
      </c>
      <c r="C284" s="179">
        <v>4500</v>
      </c>
      <c r="D284" s="179">
        <v>500</v>
      </c>
      <c r="H284" s="142">
        <v>5013</v>
      </c>
      <c r="I284" s="142" t="s">
        <v>515</v>
      </c>
      <c r="J284" s="177">
        <v>4500</v>
      </c>
      <c r="K284" s="178">
        <v>500</v>
      </c>
    </row>
    <row r="285" spans="1:11">
      <c r="A285" s="179" t="s">
        <v>630</v>
      </c>
      <c r="B285" s="179" t="s">
        <v>631</v>
      </c>
      <c r="C285" s="179">
        <v>4500</v>
      </c>
      <c r="D285" s="179">
        <v>500</v>
      </c>
      <c r="H285" s="142" t="s">
        <v>630</v>
      </c>
      <c r="I285" s="142" t="s">
        <v>631</v>
      </c>
      <c r="J285" s="177">
        <v>4500</v>
      </c>
      <c r="K285" s="178">
        <v>500</v>
      </c>
    </row>
    <row r="286" spans="1:11">
      <c r="A286" s="191">
        <v>5015</v>
      </c>
      <c r="B286" s="179" t="s">
        <v>633</v>
      </c>
      <c r="C286" s="179">
        <v>4500</v>
      </c>
      <c r="D286" s="179">
        <v>500</v>
      </c>
      <c r="H286" s="142">
        <v>5015</v>
      </c>
      <c r="I286" s="142" t="s">
        <v>633</v>
      </c>
      <c r="J286" s="177">
        <v>4500</v>
      </c>
      <c r="K286" s="178">
        <v>500</v>
      </c>
    </row>
    <row r="287" spans="1:11">
      <c r="A287" s="179">
        <v>5016</v>
      </c>
      <c r="B287" s="179" t="s">
        <v>635</v>
      </c>
      <c r="C287" s="179">
        <v>4500</v>
      </c>
      <c r="D287" s="179">
        <v>500</v>
      </c>
      <c r="H287" s="142">
        <v>5016</v>
      </c>
      <c r="I287" s="142" t="s">
        <v>635</v>
      </c>
      <c r="J287" s="177">
        <v>4500</v>
      </c>
      <c r="K287" s="178">
        <v>500</v>
      </c>
    </row>
    <row r="288" spans="1:11">
      <c r="A288" s="191">
        <v>5017</v>
      </c>
      <c r="B288" s="179" t="s">
        <v>637</v>
      </c>
      <c r="C288" s="179">
        <v>4500</v>
      </c>
      <c r="D288" s="179">
        <v>500</v>
      </c>
      <c r="H288" s="142">
        <v>5017</v>
      </c>
      <c r="I288" s="142" t="s">
        <v>637</v>
      </c>
      <c r="J288" s="177">
        <v>4500</v>
      </c>
      <c r="K288" s="178">
        <v>500</v>
      </c>
    </row>
    <row r="289" spans="1:11">
      <c r="A289" s="179">
        <v>5018</v>
      </c>
      <c r="B289" s="179" t="s">
        <v>639</v>
      </c>
      <c r="C289" s="179">
        <v>4500</v>
      </c>
      <c r="D289" s="179">
        <v>500</v>
      </c>
      <c r="H289" s="142">
        <v>5018</v>
      </c>
      <c r="I289" s="142" t="s">
        <v>639</v>
      </c>
      <c r="J289" s="177">
        <v>4500</v>
      </c>
      <c r="K289" s="178">
        <v>500</v>
      </c>
    </row>
    <row r="290" spans="1:11">
      <c r="A290" s="191">
        <v>5019</v>
      </c>
      <c r="B290" s="179" t="s">
        <v>641</v>
      </c>
      <c r="C290" s="179">
        <v>4500</v>
      </c>
      <c r="D290" s="179">
        <v>500</v>
      </c>
      <c r="H290" s="142">
        <v>5019</v>
      </c>
      <c r="I290" s="142" t="s">
        <v>641</v>
      </c>
      <c r="J290" s="177">
        <v>4500</v>
      </c>
      <c r="K290" s="178">
        <v>500</v>
      </c>
    </row>
    <row r="291" spans="1:11">
      <c r="A291" s="179">
        <v>5020</v>
      </c>
      <c r="B291" s="179" t="s">
        <v>643</v>
      </c>
      <c r="C291" s="179">
        <v>4500</v>
      </c>
      <c r="D291" s="179">
        <v>500</v>
      </c>
      <c r="H291" s="142">
        <v>5020</v>
      </c>
      <c r="I291" s="142" t="s">
        <v>643</v>
      </c>
      <c r="J291" s="177">
        <v>4500</v>
      </c>
      <c r="K291" s="178">
        <v>500</v>
      </c>
    </row>
    <row r="292" spans="1:11">
      <c r="A292" s="191">
        <v>5021</v>
      </c>
      <c r="B292" s="179" t="s">
        <v>645</v>
      </c>
      <c r="C292" s="179">
        <v>4500</v>
      </c>
      <c r="D292" s="179">
        <v>500</v>
      </c>
      <c r="H292" s="142">
        <v>5021</v>
      </c>
      <c r="I292" s="142" t="s">
        <v>645</v>
      </c>
      <c r="J292" s="177">
        <v>4500</v>
      </c>
      <c r="K292" s="178">
        <v>500</v>
      </c>
    </row>
    <row r="293" spans="1:11">
      <c r="A293" s="179">
        <v>5022</v>
      </c>
      <c r="B293" s="179" t="s">
        <v>272</v>
      </c>
      <c r="C293" s="179">
        <v>4500</v>
      </c>
      <c r="D293" s="179">
        <v>500</v>
      </c>
      <c r="H293" s="142">
        <v>5022</v>
      </c>
      <c r="I293" s="142" t="s">
        <v>730</v>
      </c>
      <c r="J293" s="177">
        <v>4500</v>
      </c>
      <c r="K293" s="178">
        <v>500</v>
      </c>
    </row>
    <row r="294" spans="1:11">
      <c r="A294" s="191">
        <v>5023</v>
      </c>
      <c r="B294" s="179" t="s">
        <v>648</v>
      </c>
      <c r="C294" s="179">
        <v>4500</v>
      </c>
      <c r="D294" s="179">
        <v>500</v>
      </c>
      <c r="H294" s="142">
        <v>5023</v>
      </c>
      <c r="I294" s="142" t="s">
        <v>648</v>
      </c>
      <c r="J294" s="177">
        <v>4500</v>
      </c>
      <c r="K294" s="178">
        <v>500</v>
      </c>
    </row>
    <row r="295" spans="1:11">
      <c r="A295" s="179">
        <v>5024</v>
      </c>
      <c r="B295" s="179" t="s">
        <v>648</v>
      </c>
      <c r="C295" s="179">
        <v>4500</v>
      </c>
      <c r="D295" s="179">
        <v>500</v>
      </c>
      <c r="H295" s="142">
        <v>5024</v>
      </c>
      <c r="I295" s="142" t="s">
        <v>648</v>
      </c>
      <c r="J295" s="177">
        <v>4500</v>
      </c>
      <c r="K295" s="178">
        <v>500</v>
      </c>
    </row>
    <row r="296" spans="1:11">
      <c r="A296" s="191">
        <v>5025</v>
      </c>
      <c r="B296" s="179" t="s">
        <v>651</v>
      </c>
      <c r="C296" s="179">
        <v>4500</v>
      </c>
      <c r="D296" s="179">
        <v>500</v>
      </c>
      <c r="H296" s="142">
        <v>5025</v>
      </c>
      <c r="I296" s="142" t="s">
        <v>651</v>
      </c>
      <c r="J296" s="177">
        <v>4500</v>
      </c>
      <c r="K296" s="177">
        <v>500</v>
      </c>
    </row>
    <row r="297" spans="1:11">
      <c r="A297" s="191">
        <v>5026</v>
      </c>
      <c r="B297" s="179" t="s">
        <v>653</v>
      </c>
      <c r="C297" s="179">
        <v>4500</v>
      </c>
      <c r="D297" s="179">
        <v>500</v>
      </c>
      <c r="H297" s="142">
        <v>5026</v>
      </c>
      <c r="I297" s="142" t="s">
        <v>653</v>
      </c>
      <c r="J297" s="177">
        <v>4500</v>
      </c>
      <c r="K297" s="178">
        <v>500</v>
      </c>
    </row>
    <row r="298" spans="1:11">
      <c r="A298" s="179">
        <v>5027</v>
      </c>
      <c r="B298" s="179" t="s">
        <v>655</v>
      </c>
      <c r="C298" s="179">
        <v>4500</v>
      </c>
      <c r="D298" s="179">
        <v>500</v>
      </c>
      <c r="H298" s="142">
        <v>5027</v>
      </c>
      <c r="I298" s="142" t="s">
        <v>655</v>
      </c>
      <c r="J298" s="177">
        <v>4500</v>
      </c>
      <c r="K298" s="177">
        <v>500</v>
      </c>
    </row>
    <row r="299" spans="1:11">
      <c r="A299" s="191">
        <v>5028</v>
      </c>
      <c r="B299" s="192" t="s">
        <v>651</v>
      </c>
      <c r="C299" s="179">
        <v>4500</v>
      </c>
      <c r="D299" s="179">
        <v>500</v>
      </c>
      <c r="H299" s="142">
        <v>5028</v>
      </c>
      <c r="I299" s="142" t="s">
        <v>651</v>
      </c>
      <c r="J299" s="177">
        <v>4500</v>
      </c>
      <c r="K299" s="178">
        <v>500</v>
      </c>
    </row>
    <row r="300" spans="1:11">
      <c r="A300" s="179">
        <v>5029</v>
      </c>
      <c r="B300" s="192" t="s">
        <v>658</v>
      </c>
      <c r="C300" s="179">
        <v>4500</v>
      </c>
      <c r="D300" s="179">
        <v>500</v>
      </c>
      <c r="H300" s="142">
        <v>5029</v>
      </c>
      <c r="I300" s="142" t="s">
        <v>658</v>
      </c>
      <c r="J300" s="177">
        <v>4500</v>
      </c>
      <c r="K300" s="178">
        <v>500</v>
      </c>
    </row>
    <row r="301" spans="1:11">
      <c r="A301" s="179">
        <v>5030</v>
      </c>
      <c r="B301" s="179" t="s">
        <v>499</v>
      </c>
      <c r="C301" s="179">
        <v>4500</v>
      </c>
      <c r="D301" s="179">
        <v>500</v>
      </c>
      <c r="H301" s="142">
        <v>5030</v>
      </c>
      <c r="I301" s="142" t="s">
        <v>499</v>
      </c>
      <c r="J301" s="177">
        <v>4500</v>
      </c>
      <c r="K301" s="178">
        <v>500</v>
      </c>
    </row>
    <row r="302" spans="1:11">
      <c r="A302" s="179">
        <v>5031</v>
      </c>
      <c r="B302" s="179" t="s">
        <v>661</v>
      </c>
      <c r="C302" s="179">
        <v>4500</v>
      </c>
      <c r="D302" s="179">
        <v>500</v>
      </c>
      <c r="H302" s="142">
        <v>5031</v>
      </c>
      <c r="I302" s="142" t="s">
        <v>661</v>
      </c>
      <c r="J302" s="177">
        <v>4500</v>
      </c>
      <c r="K302" s="178">
        <v>500</v>
      </c>
    </row>
    <row r="303" spans="1:11">
      <c r="A303" s="179">
        <v>5032</v>
      </c>
      <c r="B303" s="179" t="s">
        <v>663</v>
      </c>
      <c r="C303" s="179">
        <v>4500</v>
      </c>
      <c r="D303" s="179">
        <v>500</v>
      </c>
      <c r="H303" s="142">
        <v>5032</v>
      </c>
      <c r="I303" s="142" t="s">
        <v>663</v>
      </c>
      <c r="J303" s="177">
        <v>4500</v>
      </c>
      <c r="K303" s="177">
        <v>500</v>
      </c>
    </row>
    <row r="304" spans="1:11">
      <c r="A304" s="179">
        <v>5033</v>
      </c>
      <c r="B304" s="179" t="s">
        <v>665</v>
      </c>
      <c r="C304" s="179">
        <v>4500</v>
      </c>
      <c r="D304" s="179">
        <v>500</v>
      </c>
      <c r="H304" s="142">
        <v>5033</v>
      </c>
      <c r="I304" s="142" t="s">
        <v>665</v>
      </c>
      <c r="J304" s="177">
        <v>4500</v>
      </c>
      <c r="K304" s="178">
        <v>500</v>
      </c>
    </row>
    <row r="305" spans="1:11">
      <c r="A305" s="179">
        <v>5034</v>
      </c>
      <c r="B305" s="179" t="s">
        <v>667</v>
      </c>
      <c r="C305" s="179">
        <v>4500</v>
      </c>
      <c r="D305" s="179">
        <v>500</v>
      </c>
      <c r="H305" s="142">
        <v>5034</v>
      </c>
      <c r="I305" s="142" t="s">
        <v>163</v>
      </c>
      <c r="J305" s="177">
        <v>4500</v>
      </c>
      <c r="K305" s="178">
        <v>500</v>
      </c>
    </row>
    <row r="306" spans="1:11">
      <c r="A306" s="179">
        <v>5035</v>
      </c>
      <c r="B306" s="179" t="s">
        <v>574</v>
      </c>
      <c r="C306" s="179">
        <v>4500</v>
      </c>
      <c r="D306" s="179">
        <v>500</v>
      </c>
      <c r="H306" s="142">
        <v>5035</v>
      </c>
      <c r="I306" s="142" t="s">
        <v>574</v>
      </c>
      <c r="J306" s="177">
        <v>4500</v>
      </c>
      <c r="K306" s="178">
        <v>500</v>
      </c>
    </row>
    <row r="307" spans="1:11">
      <c r="A307" s="179">
        <v>5036</v>
      </c>
      <c r="B307" s="179" t="s">
        <v>670</v>
      </c>
      <c r="C307" s="179">
        <v>4500</v>
      </c>
      <c r="D307" s="179">
        <v>500</v>
      </c>
      <c r="H307" s="142">
        <v>5036</v>
      </c>
      <c r="I307" s="142" t="s">
        <v>670</v>
      </c>
      <c r="J307" s="177">
        <v>4500</v>
      </c>
      <c r="K307" s="178">
        <v>500</v>
      </c>
    </row>
    <row r="308" spans="1:11">
      <c r="A308" s="179">
        <v>5037</v>
      </c>
      <c r="B308" s="179" t="s">
        <v>672</v>
      </c>
      <c r="C308" s="179">
        <v>4500</v>
      </c>
      <c r="D308" s="179">
        <v>500</v>
      </c>
      <c r="H308" s="142">
        <v>5037</v>
      </c>
      <c r="I308" s="142" t="s">
        <v>672</v>
      </c>
      <c r="J308" s="177">
        <v>4500</v>
      </c>
      <c r="K308" s="178">
        <v>500</v>
      </c>
    </row>
    <row r="309" spans="1:11">
      <c r="A309" s="179">
        <v>5038</v>
      </c>
      <c r="B309" s="179" t="s">
        <v>674</v>
      </c>
      <c r="C309" s="179">
        <v>4500</v>
      </c>
      <c r="D309" s="179">
        <v>500</v>
      </c>
      <c r="H309" s="142">
        <v>5038</v>
      </c>
      <c r="I309" s="142" t="s">
        <v>674</v>
      </c>
      <c r="J309" s="177">
        <v>4500</v>
      </c>
      <c r="K309" s="178">
        <v>500</v>
      </c>
    </row>
    <row r="310" spans="1:11">
      <c r="A310" s="179">
        <v>5039</v>
      </c>
      <c r="B310" s="179" t="s">
        <v>676</v>
      </c>
      <c r="C310" s="179">
        <v>4500</v>
      </c>
      <c r="D310" s="179">
        <v>500</v>
      </c>
      <c r="H310" s="142">
        <v>5039</v>
      </c>
      <c r="I310" s="142" t="s">
        <v>676</v>
      </c>
      <c r="J310" s="177">
        <v>4500</v>
      </c>
      <c r="K310" s="178">
        <v>500</v>
      </c>
    </row>
    <row r="311" spans="1:11">
      <c r="A311" s="179">
        <v>5040</v>
      </c>
      <c r="B311" s="179" t="s">
        <v>678</v>
      </c>
      <c r="C311" s="179">
        <v>4500</v>
      </c>
      <c r="D311" s="179">
        <v>500</v>
      </c>
      <c r="H311" s="142">
        <v>5040</v>
      </c>
      <c r="I311" s="142" t="s">
        <v>678</v>
      </c>
      <c r="J311" s="177">
        <v>4500</v>
      </c>
      <c r="K311" s="178">
        <v>500</v>
      </c>
    </row>
    <row r="312" spans="1:11">
      <c r="A312" s="179">
        <v>5041</v>
      </c>
      <c r="B312" s="179" t="s">
        <v>525</v>
      </c>
      <c r="C312" s="179">
        <v>4500</v>
      </c>
      <c r="D312" s="179">
        <v>500</v>
      </c>
      <c r="H312" s="142">
        <v>5041</v>
      </c>
      <c r="I312" s="142" t="s">
        <v>525</v>
      </c>
      <c r="J312" s="177">
        <v>4500</v>
      </c>
      <c r="K312" s="178">
        <v>500</v>
      </c>
    </row>
    <row r="313" spans="1:11">
      <c r="A313" s="179">
        <v>5042</v>
      </c>
      <c r="B313" s="179" t="s">
        <v>718</v>
      </c>
      <c r="C313" s="179">
        <v>4500</v>
      </c>
      <c r="D313" s="179">
        <v>500</v>
      </c>
      <c r="H313" s="142">
        <v>5042</v>
      </c>
      <c r="I313" s="142" t="s">
        <v>163</v>
      </c>
      <c r="J313" s="177">
        <v>4500</v>
      </c>
      <c r="K313" s="178">
        <v>500</v>
      </c>
    </row>
    <row r="314" spans="1:11">
      <c r="A314" s="179">
        <v>5043</v>
      </c>
      <c r="B314" s="179" t="s">
        <v>682</v>
      </c>
      <c r="C314" s="179">
        <v>4500</v>
      </c>
      <c r="D314" s="179">
        <v>500</v>
      </c>
      <c r="H314" s="142">
        <v>5043</v>
      </c>
      <c r="I314" s="142" t="s">
        <v>682</v>
      </c>
      <c r="J314" s="177">
        <v>4500</v>
      </c>
      <c r="K314" s="177">
        <v>500</v>
      </c>
    </row>
    <row r="315" spans="1:11">
      <c r="A315" s="179" t="s">
        <v>683</v>
      </c>
      <c r="B315" s="179" t="s">
        <v>684</v>
      </c>
      <c r="C315" s="179">
        <v>4500</v>
      </c>
      <c r="D315" s="179">
        <v>500</v>
      </c>
      <c r="H315" s="142" t="s">
        <v>683</v>
      </c>
      <c r="I315" s="142" t="s">
        <v>684</v>
      </c>
      <c r="J315" s="177">
        <v>4500</v>
      </c>
      <c r="K315" s="178">
        <v>500</v>
      </c>
    </row>
    <row r="316" spans="1:11">
      <c r="A316" s="179">
        <v>5045</v>
      </c>
      <c r="B316" s="179" t="s">
        <v>686</v>
      </c>
      <c r="C316" s="179">
        <v>4500</v>
      </c>
      <c r="D316" s="179">
        <v>500</v>
      </c>
      <c r="H316" s="142">
        <v>5045</v>
      </c>
      <c r="I316" s="142" t="s">
        <v>686</v>
      </c>
      <c r="J316" s="177">
        <v>4500</v>
      </c>
      <c r="K316" s="178">
        <v>500</v>
      </c>
    </row>
    <row r="317" spans="1:11">
      <c r="A317" s="179" t="s">
        <v>691</v>
      </c>
      <c r="B317" s="179" t="s">
        <v>692</v>
      </c>
      <c r="C317" s="179">
        <v>4500</v>
      </c>
      <c r="D317" s="179">
        <v>500</v>
      </c>
      <c r="H317" s="142" t="s">
        <v>688</v>
      </c>
      <c r="I317" s="142" t="s">
        <v>689</v>
      </c>
      <c r="J317" s="177">
        <v>5000</v>
      </c>
      <c r="K317" s="178">
        <v>500</v>
      </c>
    </row>
    <row r="318" spans="1:11">
      <c r="A318" s="179">
        <v>5046</v>
      </c>
      <c r="B318" s="179" t="s">
        <v>689</v>
      </c>
      <c r="C318" s="179">
        <v>5000</v>
      </c>
      <c r="D318" s="179">
        <v>500</v>
      </c>
      <c r="H318" s="142" t="s">
        <v>691</v>
      </c>
      <c r="I318" s="142" t="s">
        <v>692</v>
      </c>
      <c r="J318" s="177">
        <v>4500</v>
      </c>
      <c r="K318" s="178">
        <v>500</v>
      </c>
    </row>
    <row r="319" ht="40.5" spans="1:11">
      <c r="A319" s="193" t="s">
        <v>731</v>
      </c>
      <c r="B319" s="179"/>
      <c r="C319" s="179"/>
      <c r="D319" s="179"/>
      <c r="H319" s="142" t="s">
        <v>694</v>
      </c>
      <c r="I319" s="142"/>
      <c r="J319" s="177"/>
      <c r="K319" s="178"/>
    </row>
    <row r="331" spans="9:9">
      <c r="I331" s="194"/>
    </row>
  </sheetData>
  <mergeCells count="7">
    <mergeCell ref="A1:D1"/>
    <mergeCell ref="A2:A3"/>
    <mergeCell ref="B2:B3"/>
    <mergeCell ref="H2:H3"/>
    <mergeCell ref="I2:I3"/>
    <mergeCell ref="J2:J3"/>
    <mergeCell ref="K2:K3"/>
  </mergeCells>
  <conditionalFormatting sqref="A$1:A$1048576 B$1:B$1048576 H$1:H$1048576 I$1:I$1048576">
    <cfRule type="uniqueValues" dxfId="2" priority="1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9"/>
  <sheetViews>
    <sheetView workbookViewId="0">
      <selection activeCell="A1" sqref="A$1:B$1048576"/>
    </sheetView>
  </sheetViews>
  <sheetFormatPr defaultColWidth="9" defaultRowHeight="14.25" outlineLevelCol="1"/>
  <cols>
    <col min="1" max="1" width="12.25" style="144" customWidth="1"/>
    <col min="2" max="2" width="10.25" style="144" customWidth="1"/>
  </cols>
  <sheetData>
    <row r="1" ht="20.25" spans="1:2">
      <c r="A1" s="151"/>
      <c r="B1" s="151"/>
    </row>
    <row r="2" spans="1:2">
      <c r="A2" s="152" t="s">
        <v>27</v>
      </c>
      <c r="B2" s="152" t="s">
        <v>28</v>
      </c>
    </row>
    <row r="3" spans="1:2">
      <c r="A3" s="22"/>
      <c r="B3" s="22"/>
    </row>
    <row r="4" spans="1:2">
      <c r="A4" s="13" t="s">
        <v>68</v>
      </c>
      <c r="B4" s="13" t="s">
        <v>69</v>
      </c>
    </row>
    <row r="5" spans="1:2">
      <c r="A5" s="13">
        <v>1001</v>
      </c>
      <c r="B5" s="13" t="s">
        <v>71</v>
      </c>
    </row>
    <row r="6" spans="1:2">
      <c r="A6" s="13">
        <v>1002</v>
      </c>
      <c r="B6" s="13" t="s">
        <v>73</v>
      </c>
    </row>
    <row r="7" spans="1:2">
      <c r="A7" s="22" t="s">
        <v>76</v>
      </c>
      <c r="B7" s="22" t="s">
        <v>77</v>
      </c>
    </row>
    <row r="8" spans="1:2">
      <c r="A8" s="22">
        <v>1005</v>
      </c>
      <c r="B8" s="115" t="s">
        <v>79</v>
      </c>
    </row>
    <row r="9" spans="1:2">
      <c r="A9" s="22">
        <v>1006</v>
      </c>
      <c r="B9" s="22" t="s">
        <v>81</v>
      </c>
    </row>
    <row r="10" spans="1:2">
      <c r="A10" s="13">
        <v>1007</v>
      </c>
      <c r="B10" s="13" t="s">
        <v>83</v>
      </c>
    </row>
    <row r="11" spans="1:2">
      <c r="A11" s="13" t="s">
        <v>85</v>
      </c>
      <c r="B11" s="13" t="s">
        <v>86</v>
      </c>
    </row>
    <row r="12" spans="1:2">
      <c r="A12" s="13">
        <v>1009</v>
      </c>
      <c r="B12" s="153" t="s">
        <v>86</v>
      </c>
    </row>
    <row r="13" spans="1:2">
      <c r="A13" s="13">
        <v>1010</v>
      </c>
      <c r="B13" s="13" t="s">
        <v>89</v>
      </c>
    </row>
    <row r="14" spans="1:2">
      <c r="A14" s="22">
        <v>1011</v>
      </c>
      <c r="B14" s="88" t="s">
        <v>91</v>
      </c>
    </row>
    <row r="15" spans="1:2">
      <c r="A15" s="13">
        <v>1012</v>
      </c>
      <c r="B15" s="13" t="s">
        <v>93</v>
      </c>
    </row>
    <row r="16" spans="1:2">
      <c r="A16" s="13">
        <v>1013</v>
      </c>
      <c r="B16" s="13" t="s">
        <v>95</v>
      </c>
    </row>
    <row r="17" spans="1:2">
      <c r="A17" s="13">
        <v>1014</v>
      </c>
      <c r="B17" s="13" t="s">
        <v>97</v>
      </c>
    </row>
    <row r="18" spans="1:2">
      <c r="A18" s="118">
        <v>1015</v>
      </c>
      <c r="B18" s="154" t="s">
        <v>99</v>
      </c>
    </row>
    <row r="19" spans="1:2">
      <c r="A19" s="22" t="s">
        <v>102</v>
      </c>
      <c r="B19" s="22" t="s">
        <v>103</v>
      </c>
    </row>
    <row r="20" spans="1:2">
      <c r="A20" s="13">
        <v>1018</v>
      </c>
      <c r="B20" s="13" t="s">
        <v>105</v>
      </c>
    </row>
    <row r="21" spans="1:2">
      <c r="A21" s="13">
        <v>1019</v>
      </c>
      <c r="B21" s="13" t="s">
        <v>89</v>
      </c>
    </row>
    <row r="22" spans="1:2">
      <c r="A22" s="13">
        <v>1020</v>
      </c>
      <c r="B22" s="13" t="s">
        <v>108</v>
      </c>
    </row>
    <row r="23" spans="1:2">
      <c r="A23" s="13">
        <v>1021</v>
      </c>
      <c r="B23" s="88" t="s">
        <v>110</v>
      </c>
    </row>
    <row r="24" spans="1:2">
      <c r="A24" s="155">
        <v>1022</v>
      </c>
      <c r="B24" s="155" t="s">
        <v>112</v>
      </c>
    </row>
    <row r="25" spans="1:2">
      <c r="A25" s="13">
        <v>1023</v>
      </c>
      <c r="B25" s="156" t="s">
        <v>114</v>
      </c>
    </row>
    <row r="26" spans="1:2">
      <c r="A26" s="118">
        <v>1024</v>
      </c>
      <c r="B26" s="118" t="s">
        <v>116</v>
      </c>
    </row>
    <row r="27" spans="1:2">
      <c r="A27" s="13">
        <v>1025</v>
      </c>
      <c r="B27" s="13" t="s">
        <v>118</v>
      </c>
    </row>
    <row r="28" spans="1:2">
      <c r="A28" s="13" t="s">
        <v>120</v>
      </c>
      <c r="B28" s="13" t="s">
        <v>73</v>
      </c>
    </row>
    <row r="29" spans="1:2">
      <c r="A29" s="13">
        <v>1026</v>
      </c>
      <c r="B29" s="13" t="s">
        <v>122</v>
      </c>
    </row>
    <row r="30" spans="1:2">
      <c r="A30" s="95">
        <v>1027</v>
      </c>
      <c r="B30" s="95" t="s">
        <v>124</v>
      </c>
    </row>
    <row r="31" spans="1:2">
      <c r="A31" s="13">
        <v>1028</v>
      </c>
      <c r="B31" s="13" t="s">
        <v>126</v>
      </c>
    </row>
    <row r="32" spans="1:2">
      <c r="A32" s="13">
        <v>1029</v>
      </c>
      <c r="B32" s="13" t="s">
        <v>128</v>
      </c>
    </row>
    <row r="33" spans="1:2">
      <c r="A33" s="118">
        <v>1030</v>
      </c>
      <c r="B33" s="118" t="s">
        <v>130</v>
      </c>
    </row>
    <row r="34" spans="1:2">
      <c r="A34" s="13">
        <v>1031</v>
      </c>
      <c r="B34" s="13" t="s">
        <v>132</v>
      </c>
    </row>
    <row r="35" spans="1:2">
      <c r="A35" s="13">
        <v>1032</v>
      </c>
      <c r="B35" s="13" t="s">
        <v>134</v>
      </c>
    </row>
    <row r="36" spans="1:2">
      <c r="A36" s="22">
        <v>1033</v>
      </c>
      <c r="B36" s="22" t="s">
        <v>136</v>
      </c>
    </row>
    <row r="37" spans="1:2">
      <c r="A37" s="13">
        <v>1034</v>
      </c>
      <c r="B37" s="13" t="s">
        <v>138</v>
      </c>
    </row>
    <row r="38" spans="1:2">
      <c r="A38" s="13">
        <v>1035</v>
      </c>
      <c r="B38" s="13" t="s">
        <v>83</v>
      </c>
    </row>
    <row r="39" spans="1:2">
      <c r="A39" s="13">
        <v>1036</v>
      </c>
      <c r="B39" s="13" t="s">
        <v>141</v>
      </c>
    </row>
    <row r="40" spans="1:2">
      <c r="A40" s="13">
        <v>1037</v>
      </c>
      <c r="B40" s="13" t="s">
        <v>143</v>
      </c>
    </row>
    <row r="41" spans="1:2">
      <c r="A41" s="157">
        <v>1038</v>
      </c>
      <c r="B41" s="157" t="s">
        <v>145</v>
      </c>
    </row>
    <row r="42" spans="1:2">
      <c r="A42" s="22">
        <v>1039</v>
      </c>
      <c r="B42" s="13" t="s">
        <v>147</v>
      </c>
    </row>
    <row r="43" spans="1:2">
      <c r="A43" s="22">
        <v>1040</v>
      </c>
      <c r="B43" s="22" t="s">
        <v>149</v>
      </c>
    </row>
    <row r="44" spans="1:2">
      <c r="A44" s="95">
        <v>1041</v>
      </c>
      <c r="B44" s="95" t="s">
        <v>151</v>
      </c>
    </row>
    <row r="45" spans="1:2">
      <c r="A45" s="13">
        <v>1042</v>
      </c>
      <c r="B45" s="13" t="s">
        <v>153</v>
      </c>
    </row>
    <row r="46" spans="1:2">
      <c r="A46" s="13">
        <v>1043</v>
      </c>
      <c r="B46" s="13" t="s">
        <v>155</v>
      </c>
    </row>
    <row r="47" spans="1:2">
      <c r="A47" s="115">
        <v>1044</v>
      </c>
      <c r="B47" s="22" t="s">
        <v>157</v>
      </c>
    </row>
    <row r="48" spans="1:2">
      <c r="A48" s="118">
        <v>1045</v>
      </c>
      <c r="B48" s="118" t="s">
        <v>159</v>
      </c>
    </row>
    <row r="49" spans="1:2">
      <c r="A49" s="13">
        <v>1046</v>
      </c>
      <c r="B49" s="13" t="s">
        <v>161</v>
      </c>
    </row>
    <row r="50" spans="1:2">
      <c r="A50" s="95">
        <v>1047</v>
      </c>
      <c r="B50" s="95" t="s">
        <v>163</v>
      </c>
    </row>
    <row r="51" spans="1:2">
      <c r="A51" s="13">
        <v>1048</v>
      </c>
      <c r="B51" s="13" t="s">
        <v>165</v>
      </c>
    </row>
    <row r="52" spans="1:2">
      <c r="A52" s="13">
        <v>1049</v>
      </c>
      <c r="B52" s="13" t="s">
        <v>167</v>
      </c>
    </row>
    <row r="53" spans="1:2">
      <c r="A53" s="13">
        <v>1050</v>
      </c>
      <c r="B53" s="13" t="s">
        <v>169</v>
      </c>
    </row>
    <row r="54" spans="1:2">
      <c r="A54" s="13">
        <v>1051</v>
      </c>
      <c r="B54" s="13" t="s">
        <v>171</v>
      </c>
    </row>
    <row r="55" spans="1:2">
      <c r="A55" s="22">
        <v>1052</v>
      </c>
      <c r="B55" s="22" t="s">
        <v>173</v>
      </c>
    </row>
    <row r="56" spans="1:2">
      <c r="A56" s="13">
        <v>1053</v>
      </c>
      <c r="B56" s="13" t="s">
        <v>175</v>
      </c>
    </row>
    <row r="57" spans="1:2">
      <c r="A57" s="13">
        <v>1054</v>
      </c>
      <c r="B57" s="13" t="s">
        <v>177</v>
      </c>
    </row>
    <row r="58" spans="1:2">
      <c r="A58" s="13">
        <v>1055</v>
      </c>
      <c r="B58" s="13" t="s">
        <v>179</v>
      </c>
    </row>
    <row r="59" spans="1:2">
      <c r="A59" s="13">
        <v>1056</v>
      </c>
      <c r="B59" s="13" t="s">
        <v>181</v>
      </c>
    </row>
    <row r="60" spans="1:2">
      <c r="A60" s="13">
        <v>1057</v>
      </c>
      <c r="B60" s="13" t="s">
        <v>183</v>
      </c>
    </row>
    <row r="61" spans="1:2">
      <c r="A61" s="137">
        <v>1058</v>
      </c>
      <c r="B61" s="137" t="s">
        <v>185</v>
      </c>
    </row>
    <row r="62" spans="1:2">
      <c r="A62" s="13">
        <v>1059</v>
      </c>
      <c r="B62" s="13" t="s">
        <v>187</v>
      </c>
    </row>
    <row r="63" spans="1:2">
      <c r="A63" s="13">
        <v>1060</v>
      </c>
      <c r="B63" s="13" t="s">
        <v>189</v>
      </c>
    </row>
    <row r="64" spans="1:2">
      <c r="A64" s="118">
        <v>1061</v>
      </c>
      <c r="B64" s="118" t="s">
        <v>191</v>
      </c>
    </row>
    <row r="65" spans="1:2">
      <c r="A65" s="13">
        <v>1062</v>
      </c>
      <c r="B65" s="13" t="s">
        <v>193</v>
      </c>
    </row>
    <row r="66" spans="1:2">
      <c r="A66" s="13">
        <v>1063</v>
      </c>
      <c r="B66" s="13" t="s">
        <v>195</v>
      </c>
    </row>
    <row r="67" spans="1:2">
      <c r="A67" s="13">
        <v>1065</v>
      </c>
      <c r="B67" s="13" t="s">
        <v>197</v>
      </c>
    </row>
    <row r="68" spans="1:2">
      <c r="A68" s="13">
        <v>1066</v>
      </c>
      <c r="B68" s="13" t="s">
        <v>199</v>
      </c>
    </row>
    <row r="69" ht="27" spans="1:2">
      <c r="A69" s="30" t="s">
        <v>202</v>
      </c>
      <c r="B69" s="13" t="s">
        <v>193</v>
      </c>
    </row>
    <row r="70" ht="27" spans="1:2">
      <c r="A70" s="30" t="s">
        <v>204</v>
      </c>
      <c r="B70" s="13" t="s">
        <v>205</v>
      </c>
    </row>
    <row r="71" spans="1:2">
      <c r="A71" s="13" t="s">
        <v>207</v>
      </c>
      <c r="B71" s="13" t="s">
        <v>208</v>
      </c>
    </row>
    <row r="72" spans="1:2">
      <c r="A72" s="118" t="s">
        <v>211</v>
      </c>
      <c r="B72" s="118" t="s">
        <v>212</v>
      </c>
    </row>
    <row r="73" spans="1:2">
      <c r="A73" s="154">
        <v>2001</v>
      </c>
      <c r="B73" s="154" t="s">
        <v>215</v>
      </c>
    </row>
    <row r="74" spans="1:2">
      <c r="A74" s="22">
        <v>2002</v>
      </c>
      <c r="B74" s="22" t="s">
        <v>217</v>
      </c>
    </row>
    <row r="75" spans="1:2">
      <c r="A75" s="22">
        <v>2003</v>
      </c>
      <c r="B75" s="22" t="s">
        <v>219</v>
      </c>
    </row>
    <row r="76" spans="1:2">
      <c r="A76" s="22">
        <v>2004</v>
      </c>
      <c r="B76" s="22" t="s">
        <v>221</v>
      </c>
    </row>
    <row r="77" spans="1:2">
      <c r="A77" s="22">
        <v>2005</v>
      </c>
      <c r="B77" s="22" t="s">
        <v>223</v>
      </c>
    </row>
    <row r="78" spans="1:2">
      <c r="A78" s="22">
        <v>2006</v>
      </c>
      <c r="B78" s="22" t="s">
        <v>225</v>
      </c>
    </row>
    <row r="79" spans="1:2">
      <c r="A79" s="22" t="s">
        <v>227</v>
      </c>
      <c r="B79" s="22" t="s">
        <v>228</v>
      </c>
    </row>
    <row r="80" spans="1:2">
      <c r="A80" s="13">
        <v>2008</v>
      </c>
      <c r="B80" s="158" t="s">
        <v>228</v>
      </c>
    </row>
    <row r="81" spans="1:2">
      <c r="A81" s="22">
        <v>2009</v>
      </c>
      <c r="B81" s="22" t="s">
        <v>231</v>
      </c>
    </row>
    <row r="82" spans="1:2">
      <c r="A82" s="22">
        <v>2010</v>
      </c>
      <c r="B82" s="22" t="s">
        <v>233</v>
      </c>
    </row>
    <row r="83" spans="1:2">
      <c r="A83" s="22">
        <v>2011</v>
      </c>
      <c r="B83" s="22" t="s">
        <v>235</v>
      </c>
    </row>
    <row r="84" spans="1:2">
      <c r="A84" s="22">
        <v>2012</v>
      </c>
      <c r="B84" s="22" t="s">
        <v>237</v>
      </c>
    </row>
    <row r="85" spans="1:2">
      <c r="A85" s="22">
        <v>2013</v>
      </c>
      <c r="B85" s="22" t="s">
        <v>239</v>
      </c>
    </row>
    <row r="86" spans="1:2">
      <c r="A86" s="22">
        <v>2014</v>
      </c>
      <c r="B86" s="22" t="s">
        <v>241</v>
      </c>
    </row>
    <row r="87" spans="1:2">
      <c r="A87" s="22">
        <v>2015</v>
      </c>
      <c r="B87" s="22" t="s">
        <v>243</v>
      </c>
    </row>
    <row r="88" spans="1:2">
      <c r="A88" s="22">
        <v>2016</v>
      </c>
      <c r="B88" s="22" t="s">
        <v>245</v>
      </c>
    </row>
    <row r="89" spans="1:2">
      <c r="A89" s="13">
        <v>2017</v>
      </c>
      <c r="B89" s="13" t="s">
        <v>245</v>
      </c>
    </row>
    <row r="90" spans="1:2">
      <c r="A90" s="13">
        <v>2018</v>
      </c>
      <c r="B90" s="13" t="s">
        <v>248</v>
      </c>
    </row>
    <row r="91" spans="1:2">
      <c r="A91" s="22">
        <v>2019</v>
      </c>
      <c r="B91" s="22" t="s">
        <v>250</v>
      </c>
    </row>
    <row r="92" spans="1:2">
      <c r="A92" s="22">
        <v>2020</v>
      </c>
      <c r="B92" s="22" t="s">
        <v>252</v>
      </c>
    </row>
    <row r="93" spans="1:2">
      <c r="A93" s="22">
        <v>2021</v>
      </c>
      <c r="B93" s="22" t="s">
        <v>254</v>
      </c>
    </row>
    <row r="94" spans="1:2">
      <c r="A94" s="13">
        <v>2022</v>
      </c>
      <c r="B94" s="22" t="s">
        <v>256</v>
      </c>
    </row>
    <row r="95" spans="1:2">
      <c r="A95" s="22">
        <v>2023</v>
      </c>
      <c r="B95" s="22" t="s">
        <v>258</v>
      </c>
    </row>
    <row r="96" spans="1:2">
      <c r="A96" s="22">
        <v>2024</v>
      </c>
      <c r="B96" s="22" t="s">
        <v>260</v>
      </c>
    </row>
    <row r="97" spans="1:2">
      <c r="A97" s="22">
        <v>2025</v>
      </c>
      <c r="B97" s="22" t="s">
        <v>262</v>
      </c>
    </row>
    <row r="98" spans="1:2">
      <c r="A98" s="85">
        <v>2026</v>
      </c>
      <c r="B98" s="85" t="s">
        <v>264</v>
      </c>
    </row>
    <row r="99" spans="1:2">
      <c r="A99" s="85">
        <v>2027</v>
      </c>
      <c r="B99" s="85" t="s">
        <v>264</v>
      </c>
    </row>
    <row r="100" spans="1:2">
      <c r="A100" s="13">
        <v>2029</v>
      </c>
      <c r="B100" s="13" t="s">
        <v>267</v>
      </c>
    </row>
    <row r="101" spans="1:2">
      <c r="A101" s="22">
        <v>2030</v>
      </c>
      <c r="B101" s="156" t="s">
        <v>267</v>
      </c>
    </row>
    <row r="102" spans="1:2">
      <c r="A102" s="95">
        <v>2031</v>
      </c>
      <c r="B102" s="95" t="s">
        <v>270</v>
      </c>
    </row>
    <row r="103" spans="1:2">
      <c r="A103" s="95">
        <v>2032</v>
      </c>
      <c r="B103" s="95" t="s">
        <v>272</v>
      </c>
    </row>
    <row r="104" spans="1:2">
      <c r="A104" s="22">
        <v>2033</v>
      </c>
      <c r="B104" s="22" t="s">
        <v>274</v>
      </c>
    </row>
    <row r="105" spans="1:2">
      <c r="A105" s="22">
        <v>2034</v>
      </c>
      <c r="B105" s="22" t="s">
        <v>274</v>
      </c>
    </row>
    <row r="106" spans="1:2">
      <c r="A106" s="22">
        <v>2035</v>
      </c>
      <c r="B106" s="22" t="s">
        <v>278</v>
      </c>
    </row>
    <row r="107" spans="1:2">
      <c r="A107" s="95" t="s">
        <v>280</v>
      </c>
      <c r="B107" s="95" t="s">
        <v>281</v>
      </c>
    </row>
    <row r="108" spans="1:2">
      <c r="A108" s="22">
        <v>2036</v>
      </c>
      <c r="B108" s="22" t="s">
        <v>283</v>
      </c>
    </row>
    <row r="109" spans="1:2">
      <c r="A109" s="22">
        <v>2036</v>
      </c>
      <c r="B109" s="158" t="s">
        <v>283</v>
      </c>
    </row>
    <row r="110" spans="1:2">
      <c r="A110" s="22">
        <v>2037</v>
      </c>
      <c r="B110" s="22" t="s">
        <v>286</v>
      </c>
    </row>
    <row r="111" spans="1:2">
      <c r="A111" s="22">
        <v>2038</v>
      </c>
      <c r="B111" s="22" t="s">
        <v>286</v>
      </c>
    </row>
    <row r="112" spans="1:2">
      <c r="A112" s="22">
        <v>2039</v>
      </c>
      <c r="B112" s="22" t="s">
        <v>289</v>
      </c>
    </row>
    <row r="113" spans="1:2">
      <c r="A113" s="22">
        <v>2040</v>
      </c>
      <c r="B113" s="22" t="s">
        <v>291</v>
      </c>
    </row>
    <row r="114" spans="1:2">
      <c r="A114" s="22">
        <v>2041</v>
      </c>
      <c r="B114" s="22" t="s">
        <v>291</v>
      </c>
    </row>
    <row r="115" spans="1:2">
      <c r="A115" s="22">
        <v>2042</v>
      </c>
      <c r="B115" s="22" t="s">
        <v>294</v>
      </c>
    </row>
    <row r="116" spans="1:2">
      <c r="A116" s="22" t="s">
        <v>296</v>
      </c>
      <c r="B116" s="22" t="s">
        <v>297</v>
      </c>
    </row>
    <row r="117" spans="1:2">
      <c r="A117" s="13">
        <v>2044</v>
      </c>
      <c r="B117" s="159" t="s">
        <v>297</v>
      </c>
    </row>
    <row r="118" spans="1:2">
      <c r="A118" s="22">
        <v>2045</v>
      </c>
      <c r="B118" s="22" t="s">
        <v>300</v>
      </c>
    </row>
    <row r="119" spans="1:2">
      <c r="A119" s="22">
        <v>2046</v>
      </c>
      <c r="B119" s="22" t="s">
        <v>302</v>
      </c>
    </row>
    <row r="120" spans="1:2">
      <c r="A120" s="13">
        <v>2047</v>
      </c>
      <c r="B120" s="13" t="s">
        <v>304</v>
      </c>
    </row>
    <row r="121" spans="1:2">
      <c r="A121" s="22">
        <v>2048</v>
      </c>
      <c r="B121" s="22" t="s">
        <v>306</v>
      </c>
    </row>
    <row r="122" spans="1:2">
      <c r="A122" s="22">
        <v>2049</v>
      </c>
      <c r="B122" s="22" t="s">
        <v>308</v>
      </c>
    </row>
    <row r="123" spans="1:2">
      <c r="A123" s="95">
        <v>2050</v>
      </c>
      <c r="B123" s="95" t="s">
        <v>310</v>
      </c>
    </row>
    <row r="124" spans="1:2">
      <c r="A124" s="95">
        <v>2051</v>
      </c>
      <c r="B124" s="95" t="s">
        <v>312</v>
      </c>
    </row>
    <row r="125" spans="1:2">
      <c r="A125" s="22">
        <v>2052</v>
      </c>
      <c r="B125" s="22" t="s">
        <v>314</v>
      </c>
    </row>
    <row r="126" spans="1:2">
      <c r="A126" s="22">
        <v>2053</v>
      </c>
      <c r="B126" s="22" t="s">
        <v>316</v>
      </c>
    </row>
    <row r="127" spans="1:2">
      <c r="A127" s="13">
        <v>2054</v>
      </c>
      <c r="B127" s="13" t="s">
        <v>318</v>
      </c>
    </row>
    <row r="128" spans="1:2">
      <c r="A128" s="13">
        <v>2055</v>
      </c>
      <c r="B128" s="13" t="s">
        <v>318</v>
      </c>
    </row>
    <row r="129" spans="1:2">
      <c r="A129" s="22">
        <v>2056</v>
      </c>
      <c r="B129" s="22" t="s">
        <v>321</v>
      </c>
    </row>
    <row r="130" spans="1:2">
      <c r="A130" s="22">
        <v>2057</v>
      </c>
      <c r="B130" s="22" t="s">
        <v>323</v>
      </c>
    </row>
    <row r="131" spans="1:2">
      <c r="A131" s="22">
        <v>2058</v>
      </c>
      <c r="B131" s="22" t="s">
        <v>323</v>
      </c>
    </row>
    <row r="132" spans="1:2">
      <c r="A132" s="22">
        <v>2059</v>
      </c>
      <c r="B132" s="22" t="s">
        <v>326</v>
      </c>
    </row>
    <row r="133" spans="1:2">
      <c r="A133" s="22">
        <v>2060</v>
      </c>
      <c r="B133" s="22" t="s">
        <v>328</v>
      </c>
    </row>
    <row r="134" spans="1:2">
      <c r="A134" s="22">
        <v>2061</v>
      </c>
      <c r="B134" s="22" t="s">
        <v>330</v>
      </c>
    </row>
    <row r="135" spans="1:2">
      <c r="A135" s="95">
        <v>2062</v>
      </c>
      <c r="B135" s="95" t="s">
        <v>332</v>
      </c>
    </row>
    <row r="136" spans="1:2">
      <c r="A136" s="22" t="s">
        <v>334</v>
      </c>
      <c r="B136" s="22" t="s">
        <v>335</v>
      </c>
    </row>
    <row r="137" spans="1:2">
      <c r="A137" s="22">
        <v>2064</v>
      </c>
      <c r="B137" s="158" t="s">
        <v>335</v>
      </c>
    </row>
    <row r="138" spans="1:2">
      <c r="A138" s="95">
        <v>2066</v>
      </c>
      <c r="B138" s="95" t="s">
        <v>116</v>
      </c>
    </row>
    <row r="139" spans="1:2">
      <c r="A139" s="95">
        <v>2067</v>
      </c>
      <c r="B139" s="95" t="s">
        <v>339</v>
      </c>
    </row>
    <row r="140" spans="1:2">
      <c r="A140" s="22">
        <v>2068</v>
      </c>
      <c r="B140" s="22" t="s">
        <v>341</v>
      </c>
    </row>
    <row r="141" spans="1:2">
      <c r="A141" s="13">
        <v>2069</v>
      </c>
      <c r="B141" s="13" t="s">
        <v>343</v>
      </c>
    </row>
    <row r="142" spans="1:2">
      <c r="A142" s="22">
        <v>2070</v>
      </c>
      <c r="B142" s="22" t="s">
        <v>345</v>
      </c>
    </row>
    <row r="143" spans="1:2">
      <c r="A143" s="22">
        <v>2071</v>
      </c>
      <c r="B143" s="22" t="s">
        <v>347</v>
      </c>
    </row>
    <row r="144" spans="1:2">
      <c r="A144" s="22">
        <v>2072</v>
      </c>
      <c r="B144" s="22" t="s">
        <v>349</v>
      </c>
    </row>
    <row r="145" spans="1:2">
      <c r="A145" s="22">
        <v>2073</v>
      </c>
      <c r="B145" s="22" t="s">
        <v>351</v>
      </c>
    </row>
    <row r="146" spans="1:2">
      <c r="A146" s="22">
        <v>2074</v>
      </c>
      <c r="B146" s="22" t="s">
        <v>354</v>
      </c>
    </row>
    <row r="147" spans="1:2">
      <c r="A147" s="155">
        <v>2075</v>
      </c>
      <c r="B147" s="155" t="s">
        <v>356</v>
      </c>
    </row>
    <row r="148" spans="1:2">
      <c r="A148" s="22">
        <v>2076</v>
      </c>
      <c r="B148" s="22" t="s">
        <v>318</v>
      </c>
    </row>
    <row r="149" spans="1:2">
      <c r="A149" s="22">
        <v>2077</v>
      </c>
      <c r="B149" s="22" t="s">
        <v>359</v>
      </c>
    </row>
    <row r="150" spans="1:2">
      <c r="A150" s="22" t="s">
        <v>361</v>
      </c>
      <c r="B150" s="22" t="s">
        <v>362</v>
      </c>
    </row>
    <row r="151" spans="1:2">
      <c r="A151" s="22">
        <v>2079</v>
      </c>
      <c r="B151" s="159" t="s">
        <v>362</v>
      </c>
    </row>
    <row r="152" spans="1:2">
      <c r="A152" s="22">
        <v>2080</v>
      </c>
      <c r="B152" s="95" t="s">
        <v>365</v>
      </c>
    </row>
    <row r="153" spans="1:2">
      <c r="A153" s="95">
        <v>2081</v>
      </c>
      <c r="B153" s="95" t="s">
        <v>367</v>
      </c>
    </row>
    <row r="154" spans="1:2">
      <c r="A154" s="22">
        <v>2082</v>
      </c>
      <c r="B154" s="22" t="s">
        <v>369</v>
      </c>
    </row>
    <row r="155" spans="1:2">
      <c r="A155" s="22">
        <v>2083</v>
      </c>
      <c r="B155" s="22" t="s">
        <v>371</v>
      </c>
    </row>
    <row r="156" spans="1:2">
      <c r="A156" s="22">
        <v>2084</v>
      </c>
      <c r="B156" s="22" t="s">
        <v>373</v>
      </c>
    </row>
    <row r="157" spans="1:2">
      <c r="A157" s="22">
        <v>2085</v>
      </c>
      <c r="B157" s="156" t="s">
        <v>250</v>
      </c>
    </row>
    <row r="158" spans="1:2">
      <c r="A158" s="22">
        <v>2086</v>
      </c>
      <c r="B158" s="22" t="s">
        <v>376</v>
      </c>
    </row>
    <row r="159" spans="1:2">
      <c r="A159" s="22">
        <v>2087</v>
      </c>
      <c r="B159" s="22" t="s">
        <v>378</v>
      </c>
    </row>
    <row r="160" spans="1:2">
      <c r="A160" s="22">
        <v>2088</v>
      </c>
      <c r="B160" s="22" t="s">
        <v>380</v>
      </c>
    </row>
    <row r="161" spans="1:2">
      <c r="A161" s="95">
        <v>2089</v>
      </c>
      <c r="B161" s="95" t="s">
        <v>382</v>
      </c>
    </row>
    <row r="162" spans="1:2">
      <c r="A162" s="13">
        <v>2090</v>
      </c>
      <c r="B162" s="13" t="s">
        <v>95</v>
      </c>
    </row>
    <row r="163" spans="1:2">
      <c r="A163" s="13" t="s">
        <v>386</v>
      </c>
      <c r="B163" s="13" t="s">
        <v>272</v>
      </c>
    </row>
    <row r="164" spans="1:2">
      <c r="A164" s="22" t="s">
        <v>388</v>
      </c>
      <c r="B164" s="160" t="s">
        <v>219</v>
      </c>
    </row>
    <row r="165" spans="1:2">
      <c r="A165" s="161" t="s">
        <v>390</v>
      </c>
      <c r="B165" s="161"/>
    </row>
    <row r="166" spans="1:2">
      <c r="A166" s="30" t="s">
        <v>392</v>
      </c>
      <c r="B166" s="13" t="s">
        <v>723</v>
      </c>
    </row>
    <row r="167" spans="1:2">
      <c r="A167" s="162" t="s">
        <v>394</v>
      </c>
      <c r="B167" s="85"/>
    </row>
    <row r="168" spans="1:2">
      <c r="A168" s="163" t="s">
        <v>396</v>
      </c>
      <c r="B168" s="118" t="s">
        <v>212</v>
      </c>
    </row>
    <row r="169" spans="1:2">
      <c r="A169" s="118" t="s">
        <v>398</v>
      </c>
      <c r="B169" s="118" t="s">
        <v>399</v>
      </c>
    </row>
    <row r="170" spans="1:2">
      <c r="A170" s="22">
        <v>3001</v>
      </c>
      <c r="B170" s="22" t="s">
        <v>402</v>
      </c>
    </row>
    <row r="171" spans="1:2">
      <c r="A171" s="13">
        <v>3002</v>
      </c>
      <c r="B171" s="13" t="s">
        <v>404</v>
      </c>
    </row>
    <row r="172" spans="1:2">
      <c r="A172" s="13">
        <v>3003</v>
      </c>
      <c r="B172" s="13" t="s">
        <v>406</v>
      </c>
    </row>
    <row r="173" spans="1:2">
      <c r="A173" s="95">
        <v>3004</v>
      </c>
      <c r="B173" s="95" t="s">
        <v>408</v>
      </c>
    </row>
    <row r="174" spans="1:2">
      <c r="A174" s="95">
        <v>3005</v>
      </c>
      <c r="B174" s="95" t="s">
        <v>410</v>
      </c>
    </row>
    <row r="175" spans="1:2">
      <c r="A175" s="22">
        <v>3006</v>
      </c>
      <c r="B175" s="22" t="s">
        <v>243</v>
      </c>
    </row>
    <row r="176" spans="1:2">
      <c r="A176" s="95">
        <v>3007</v>
      </c>
      <c r="B176" s="156" t="s">
        <v>413</v>
      </c>
    </row>
    <row r="177" spans="1:2">
      <c r="A177" s="13">
        <v>3008</v>
      </c>
      <c r="B177" s="13" t="s">
        <v>415</v>
      </c>
    </row>
    <row r="178" spans="1:2">
      <c r="A178" s="13">
        <v>3009</v>
      </c>
      <c r="B178" s="13" t="s">
        <v>417</v>
      </c>
    </row>
    <row r="179" spans="1:2">
      <c r="A179" s="13">
        <v>3010</v>
      </c>
      <c r="B179" s="13" t="s">
        <v>339</v>
      </c>
    </row>
    <row r="180" spans="1:2">
      <c r="A180" s="22">
        <v>3011</v>
      </c>
      <c r="B180" s="22" t="s">
        <v>339</v>
      </c>
    </row>
    <row r="181" spans="1:2">
      <c r="A181" s="13">
        <v>3012</v>
      </c>
      <c r="B181" s="13" t="s">
        <v>421</v>
      </c>
    </row>
    <row r="182" spans="1:2">
      <c r="A182" s="118">
        <v>3013</v>
      </c>
      <c r="B182" s="118" t="s">
        <v>423</v>
      </c>
    </row>
    <row r="183" spans="1:2">
      <c r="A183" s="154">
        <v>3014</v>
      </c>
      <c r="B183" s="154" t="s">
        <v>425</v>
      </c>
    </row>
    <row r="184" spans="1:2">
      <c r="A184" s="13">
        <v>3015</v>
      </c>
      <c r="B184" s="13" t="s">
        <v>427</v>
      </c>
    </row>
    <row r="185" spans="1:2">
      <c r="A185" s="13">
        <v>3016</v>
      </c>
      <c r="B185" s="13" t="s">
        <v>429</v>
      </c>
    </row>
    <row r="186" spans="1:2">
      <c r="A186" s="22">
        <v>3017</v>
      </c>
      <c r="B186" s="22" t="s">
        <v>241</v>
      </c>
    </row>
    <row r="187" spans="1:2">
      <c r="A187" s="13">
        <v>3018</v>
      </c>
      <c r="B187" s="13" t="s">
        <v>432</v>
      </c>
    </row>
    <row r="188" spans="1:2">
      <c r="A188" s="22">
        <v>3019</v>
      </c>
      <c r="B188" s="22" t="s">
        <v>434</v>
      </c>
    </row>
    <row r="189" spans="1:2">
      <c r="A189" s="13">
        <v>3020</v>
      </c>
      <c r="B189" s="13" t="s">
        <v>436</v>
      </c>
    </row>
    <row r="190" spans="1:2">
      <c r="A190" s="22">
        <v>3021</v>
      </c>
      <c r="B190" s="22" t="s">
        <v>438</v>
      </c>
    </row>
    <row r="191" spans="1:2">
      <c r="A191" s="13">
        <v>3022</v>
      </c>
      <c r="B191" s="13" t="s">
        <v>440</v>
      </c>
    </row>
    <row r="192" spans="1:2">
      <c r="A192" s="95">
        <v>3023</v>
      </c>
      <c r="B192" s="95" t="s">
        <v>442</v>
      </c>
    </row>
    <row r="193" spans="1:2">
      <c r="A193" s="154">
        <v>3024</v>
      </c>
      <c r="B193" s="154" t="s">
        <v>444</v>
      </c>
    </row>
    <row r="194" spans="1:2">
      <c r="A194" s="13">
        <v>3025</v>
      </c>
      <c r="B194" s="13" t="s">
        <v>446</v>
      </c>
    </row>
    <row r="195" spans="1:2">
      <c r="A195" s="13" t="s">
        <v>448</v>
      </c>
      <c r="B195" s="13" t="s">
        <v>449</v>
      </c>
    </row>
    <row r="196" spans="1:2">
      <c r="A196" s="13">
        <v>3027</v>
      </c>
      <c r="B196" s="159" t="s">
        <v>449</v>
      </c>
    </row>
    <row r="197" spans="1:2">
      <c r="A197" s="22">
        <v>3030</v>
      </c>
      <c r="B197" s="22" t="s">
        <v>452</v>
      </c>
    </row>
    <row r="198" spans="1:2">
      <c r="A198" s="13">
        <v>3031</v>
      </c>
      <c r="B198" s="13" t="s">
        <v>454</v>
      </c>
    </row>
    <row r="199" spans="1:2">
      <c r="A199" s="13">
        <v>3032</v>
      </c>
      <c r="B199" s="13" t="s">
        <v>456</v>
      </c>
    </row>
    <row r="200" spans="1:2">
      <c r="A200" s="13">
        <v>3033</v>
      </c>
      <c r="B200" s="13" t="s">
        <v>458</v>
      </c>
    </row>
    <row r="201" spans="1:2">
      <c r="A201" s="95">
        <v>3034</v>
      </c>
      <c r="B201" s="95" t="s">
        <v>460</v>
      </c>
    </row>
    <row r="202" spans="1:2">
      <c r="A202" s="13">
        <v>3035</v>
      </c>
      <c r="B202" s="13" t="s">
        <v>462</v>
      </c>
    </row>
    <row r="203" spans="1:2">
      <c r="A203" s="13">
        <v>3036</v>
      </c>
      <c r="B203" s="13" t="s">
        <v>464</v>
      </c>
    </row>
    <row r="204" spans="1:2">
      <c r="A204" s="13">
        <v>3037</v>
      </c>
      <c r="B204" s="13" t="s">
        <v>467</v>
      </c>
    </row>
    <row r="205" spans="1:2">
      <c r="A205" s="95">
        <v>3038</v>
      </c>
      <c r="B205" s="95" t="s">
        <v>469</v>
      </c>
    </row>
    <row r="206" spans="1:2">
      <c r="A206" s="13">
        <v>3039</v>
      </c>
      <c r="B206" s="13" t="s">
        <v>471</v>
      </c>
    </row>
    <row r="207" spans="1:2">
      <c r="A207" s="118">
        <v>3040</v>
      </c>
      <c r="B207" s="118" t="s">
        <v>473</v>
      </c>
    </row>
    <row r="208" spans="1:2">
      <c r="A208" s="118">
        <v>3041</v>
      </c>
      <c r="B208" s="118" t="s">
        <v>436</v>
      </c>
    </row>
    <row r="209" spans="1:2">
      <c r="A209" s="13">
        <v>3042</v>
      </c>
      <c r="B209" s="13" t="s">
        <v>476</v>
      </c>
    </row>
    <row r="210" spans="1:2">
      <c r="A210" s="22">
        <v>3043</v>
      </c>
      <c r="B210" s="22" t="s">
        <v>286</v>
      </c>
    </row>
    <row r="211" spans="1:2">
      <c r="A211" s="118" t="s">
        <v>479</v>
      </c>
      <c r="B211" s="118" t="s">
        <v>480</v>
      </c>
    </row>
    <row r="212" spans="1:2">
      <c r="A212" s="118">
        <v>3045</v>
      </c>
      <c r="B212" s="118" t="s">
        <v>482</v>
      </c>
    </row>
    <row r="213" spans="1:2">
      <c r="A213" s="118">
        <v>3046</v>
      </c>
      <c r="B213" s="118" t="s">
        <v>484</v>
      </c>
    </row>
    <row r="214" spans="1:2">
      <c r="A214" s="13">
        <v>3047</v>
      </c>
      <c r="B214" s="13" t="s">
        <v>486</v>
      </c>
    </row>
    <row r="215" spans="1:2">
      <c r="A215" s="22">
        <v>3048</v>
      </c>
      <c r="B215" s="22" t="s">
        <v>488</v>
      </c>
    </row>
    <row r="216" spans="1:2">
      <c r="A216" s="22">
        <v>3049</v>
      </c>
      <c r="B216" s="22" t="s">
        <v>490</v>
      </c>
    </row>
    <row r="217" spans="1:2">
      <c r="A217" s="95">
        <v>3050</v>
      </c>
      <c r="B217" s="95" t="s">
        <v>492</v>
      </c>
    </row>
    <row r="218" spans="1:2">
      <c r="A218" s="22" t="s">
        <v>494</v>
      </c>
      <c r="B218" s="22" t="s">
        <v>495</v>
      </c>
    </row>
    <row r="219" spans="1:2">
      <c r="A219" s="13">
        <v>3051</v>
      </c>
      <c r="B219" s="13" t="s">
        <v>497</v>
      </c>
    </row>
    <row r="220" spans="1:2">
      <c r="A220" s="22">
        <v>3052</v>
      </c>
      <c r="B220" s="22" t="s">
        <v>499</v>
      </c>
    </row>
    <row r="221" spans="1:2">
      <c r="A221" s="13" t="s">
        <v>502</v>
      </c>
      <c r="B221" s="13" t="s">
        <v>503</v>
      </c>
    </row>
    <row r="222" spans="1:2">
      <c r="A222" s="13">
        <v>3055</v>
      </c>
      <c r="B222" s="13" t="s">
        <v>505</v>
      </c>
    </row>
    <row r="223" spans="1:2">
      <c r="A223" s="161" t="s">
        <v>508</v>
      </c>
      <c r="B223" s="164"/>
    </row>
    <row r="224" spans="1:2">
      <c r="A224" s="161" t="s">
        <v>510</v>
      </c>
      <c r="B224" s="161"/>
    </row>
    <row r="225" spans="1:2">
      <c r="A225" s="149">
        <v>4001</v>
      </c>
      <c r="B225" s="22" t="s">
        <v>513</v>
      </c>
    </row>
    <row r="226" spans="1:2">
      <c r="A226" s="22">
        <v>4002</v>
      </c>
      <c r="B226" s="22" t="s">
        <v>515</v>
      </c>
    </row>
    <row r="227" spans="1:2">
      <c r="A227" s="22">
        <v>4003</v>
      </c>
      <c r="B227" s="22" t="s">
        <v>517</v>
      </c>
    </row>
    <row r="228" spans="1:2">
      <c r="A228" s="22">
        <v>4004</v>
      </c>
      <c r="B228" s="22" t="s">
        <v>519</v>
      </c>
    </row>
    <row r="229" spans="1:2">
      <c r="A229" s="118">
        <v>4005</v>
      </c>
      <c r="B229" s="118" t="s">
        <v>521</v>
      </c>
    </row>
    <row r="230" spans="1:2">
      <c r="A230" s="22">
        <v>4006</v>
      </c>
      <c r="B230" s="22" t="s">
        <v>523</v>
      </c>
    </row>
    <row r="231" spans="1:2">
      <c r="A231" s="22">
        <v>4007</v>
      </c>
      <c r="B231" s="22" t="s">
        <v>525</v>
      </c>
    </row>
    <row r="232" spans="1:2">
      <c r="A232" s="22">
        <v>4008</v>
      </c>
      <c r="B232" s="22" t="s">
        <v>527</v>
      </c>
    </row>
    <row r="233" spans="1:2">
      <c r="A233" s="22">
        <v>4009</v>
      </c>
      <c r="B233" s="22" t="s">
        <v>529</v>
      </c>
    </row>
    <row r="234" spans="1:2">
      <c r="A234" s="118">
        <v>4010</v>
      </c>
      <c r="B234" s="118" t="s">
        <v>531</v>
      </c>
    </row>
    <row r="235" spans="1:2">
      <c r="A235" s="13">
        <v>4011</v>
      </c>
      <c r="B235" s="13" t="s">
        <v>533</v>
      </c>
    </row>
    <row r="236" spans="1:2">
      <c r="A236" s="13">
        <v>4012</v>
      </c>
      <c r="B236" s="13" t="s">
        <v>535</v>
      </c>
    </row>
    <row r="237" spans="1:2">
      <c r="A237" s="118">
        <v>4013</v>
      </c>
      <c r="B237" s="118" t="s">
        <v>537</v>
      </c>
    </row>
    <row r="238" spans="1:2">
      <c r="A238" s="13">
        <v>4014</v>
      </c>
      <c r="B238" s="13" t="s">
        <v>228</v>
      </c>
    </row>
    <row r="239" spans="1:2">
      <c r="A239" s="118">
        <v>4015</v>
      </c>
      <c r="B239" s="118" t="s">
        <v>540</v>
      </c>
    </row>
    <row r="240" spans="1:2">
      <c r="A240" s="22">
        <v>4016</v>
      </c>
      <c r="B240" s="22" t="s">
        <v>542</v>
      </c>
    </row>
    <row r="241" spans="1:2">
      <c r="A241" s="95">
        <v>4017</v>
      </c>
      <c r="B241" s="95" t="s">
        <v>544</v>
      </c>
    </row>
    <row r="242" spans="1:2">
      <c r="A242" s="13">
        <v>4018</v>
      </c>
      <c r="B242" s="13" t="s">
        <v>546</v>
      </c>
    </row>
    <row r="243" spans="1:2">
      <c r="A243" s="118">
        <v>4019</v>
      </c>
      <c r="B243" s="154" t="s">
        <v>548</v>
      </c>
    </row>
    <row r="244" spans="1:2">
      <c r="A244" s="22">
        <v>4020</v>
      </c>
      <c r="B244" s="22" t="s">
        <v>550</v>
      </c>
    </row>
    <row r="245" spans="1:2">
      <c r="A245" s="13">
        <v>4021</v>
      </c>
      <c r="B245" s="13" t="s">
        <v>552</v>
      </c>
    </row>
    <row r="246" spans="1:2">
      <c r="A246" s="118">
        <v>4022</v>
      </c>
      <c r="B246" s="118" t="s">
        <v>554</v>
      </c>
    </row>
    <row r="247" spans="1:2">
      <c r="A247" s="22">
        <v>4023</v>
      </c>
      <c r="B247" s="22" t="s">
        <v>556</v>
      </c>
    </row>
    <row r="248" spans="1:2">
      <c r="A248" s="118">
        <v>4024</v>
      </c>
      <c r="B248" s="118" t="s">
        <v>482</v>
      </c>
    </row>
    <row r="249" spans="1:2">
      <c r="A249" s="22">
        <v>4025</v>
      </c>
      <c r="B249" s="22" t="s">
        <v>559</v>
      </c>
    </row>
    <row r="250" spans="1:2">
      <c r="A250" s="13">
        <v>4026</v>
      </c>
      <c r="B250" s="13" t="s">
        <v>561</v>
      </c>
    </row>
    <row r="251" spans="1:2">
      <c r="A251" s="13">
        <v>4027</v>
      </c>
      <c r="B251" s="13" t="s">
        <v>563</v>
      </c>
    </row>
    <row r="252" spans="1:2">
      <c r="A252" s="155">
        <v>4028</v>
      </c>
      <c r="B252" s="155" t="s">
        <v>565</v>
      </c>
    </row>
    <row r="253" spans="1:2">
      <c r="A253" s="13">
        <v>4029</v>
      </c>
      <c r="B253" s="13" t="s">
        <v>567</v>
      </c>
    </row>
    <row r="254" spans="1:2">
      <c r="A254" s="13">
        <v>4030</v>
      </c>
      <c r="B254" s="13" t="s">
        <v>567</v>
      </c>
    </row>
    <row r="255" spans="1:2">
      <c r="A255" s="118">
        <v>4031</v>
      </c>
      <c r="B255" s="118" t="s">
        <v>471</v>
      </c>
    </row>
    <row r="256" spans="1:2">
      <c r="A256" s="95">
        <v>4032</v>
      </c>
      <c r="B256" s="95" t="s">
        <v>571</v>
      </c>
    </row>
    <row r="257" spans="1:2">
      <c r="A257" s="118">
        <v>4033</v>
      </c>
      <c r="B257" s="118" t="s">
        <v>339</v>
      </c>
    </row>
    <row r="258" spans="1:2">
      <c r="A258" s="13">
        <v>4035</v>
      </c>
      <c r="B258" s="13" t="s">
        <v>574</v>
      </c>
    </row>
    <row r="259" spans="1:2">
      <c r="A259" s="118" t="s">
        <v>576</v>
      </c>
      <c r="B259" s="118" t="s">
        <v>577</v>
      </c>
    </row>
    <row r="260" spans="1:2">
      <c r="A260" s="22">
        <v>4036</v>
      </c>
      <c r="B260" s="22" t="s">
        <v>579</v>
      </c>
    </row>
    <row r="261" spans="1:2">
      <c r="A261" s="22">
        <v>4037</v>
      </c>
      <c r="B261" s="22" t="s">
        <v>581</v>
      </c>
    </row>
    <row r="262" spans="1:2">
      <c r="A262" s="13">
        <v>4038</v>
      </c>
      <c r="B262" s="13" t="s">
        <v>423</v>
      </c>
    </row>
    <row r="263" spans="1:2">
      <c r="A263" s="155">
        <v>4039</v>
      </c>
      <c r="B263" s="155" t="s">
        <v>584</v>
      </c>
    </row>
    <row r="264" spans="1:2">
      <c r="A264" s="13">
        <v>4040</v>
      </c>
      <c r="B264" s="22" t="s">
        <v>586</v>
      </c>
    </row>
    <row r="265" spans="1:2">
      <c r="A265" s="22">
        <v>4041</v>
      </c>
      <c r="B265" s="22" t="s">
        <v>588</v>
      </c>
    </row>
    <row r="266" spans="1:2">
      <c r="A266" s="22">
        <v>4042</v>
      </c>
      <c r="B266" s="22" t="s">
        <v>590</v>
      </c>
    </row>
    <row r="267" spans="1:2">
      <c r="A267" s="95">
        <v>4043</v>
      </c>
      <c r="B267" s="95" t="s">
        <v>592</v>
      </c>
    </row>
    <row r="268" spans="1:2">
      <c r="A268" s="13">
        <v>4044</v>
      </c>
      <c r="B268" s="13" t="s">
        <v>594</v>
      </c>
    </row>
    <row r="269" spans="1:2">
      <c r="A269" s="118">
        <v>4045</v>
      </c>
      <c r="B269" s="118" t="s">
        <v>596</v>
      </c>
    </row>
    <row r="270" spans="1:2">
      <c r="A270" s="13">
        <v>4046</v>
      </c>
      <c r="B270" s="13" t="s">
        <v>175</v>
      </c>
    </row>
    <row r="271" spans="1:2">
      <c r="A271" s="13" t="s">
        <v>599</v>
      </c>
      <c r="B271" s="13" t="s">
        <v>421</v>
      </c>
    </row>
    <row r="272" spans="1:2">
      <c r="A272" s="150" t="s">
        <v>601</v>
      </c>
      <c r="B272" s="22" t="s">
        <v>602</v>
      </c>
    </row>
    <row r="273" spans="1:2">
      <c r="A273" s="22">
        <v>5001</v>
      </c>
      <c r="B273" s="22" t="s">
        <v>605</v>
      </c>
    </row>
    <row r="274" spans="1:2">
      <c r="A274" s="95">
        <v>5002</v>
      </c>
      <c r="B274" s="95" t="s">
        <v>607</v>
      </c>
    </row>
    <row r="275" spans="1:2">
      <c r="A275" s="95">
        <v>5003</v>
      </c>
      <c r="B275" s="95" t="s">
        <v>609</v>
      </c>
    </row>
    <row r="276" spans="1:2">
      <c r="A276" s="13" t="s">
        <v>611</v>
      </c>
      <c r="B276" s="13" t="s">
        <v>612</v>
      </c>
    </row>
    <row r="277" spans="1:2">
      <c r="A277" s="22">
        <v>5005</v>
      </c>
      <c r="B277" s="22" t="s">
        <v>614</v>
      </c>
    </row>
    <row r="278" spans="1:2">
      <c r="A278" s="22">
        <v>5006</v>
      </c>
      <c r="B278" s="22" t="s">
        <v>616</v>
      </c>
    </row>
    <row r="279" spans="1:2">
      <c r="A279" s="95">
        <v>5007</v>
      </c>
      <c r="B279" s="95" t="s">
        <v>519</v>
      </c>
    </row>
    <row r="280" spans="1:2">
      <c r="A280" s="22">
        <v>5008</v>
      </c>
      <c r="B280" s="22" t="s">
        <v>619</v>
      </c>
    </row>
    <row r="281" spans="1:2">
      <c r="A281" s="95">
        <v>5009</v>
      </c>
      <c r="B281" s="95" t="s">
        <v>621</v>
      </c>
    </row>
    <row r="282" spans="1:2">
      <c r="A282" s="95">
        <v>5010</v>
      </c>
      <c r="B282" s="95" t="s">
        <v>623</v>
      </c>
    </row>
    <row r="283" spans="1:2">
      <c r="A283" s="118">
        <v>5011</v>
      </c>
      <c r="B283" s="118" t="s">
        <v>625</v>
      </c>
    </row>
    <row r="284" spans="1:2">
      <c r="A284" s="118">
        <v>5012</v>
      </c>
      <c r="B284" s="118" t="s">
        <v>627</v>
      </c>
    </row>
    <row r="285" spans="1:2">
      <c r="A285" s="118">
        <v>5013</v>
      </c>
      <c r="B285" s="118" t="s">
        <v>515</v>
      </c>
    </row>
    <row r="286" spans="1:2">
      <c r="A286" s="95" t="s">
        <v>630</v>
      </c>
      <c r="B286" s="95" t="s">
        <v>631</v>
      </c>
    </row>
    <row r="287" spans="1:2">
      <c r="A287" s="95">
        <v>5015</v>
      </c>
      <c r="B287" s="95" t="s">
        <v>633</v>
      </c>
    </row>
    <row r="288" spans="1:2">
      <c r="A288" s="95">
        <v>5016</v>
      </c>
      <c r="B288" s="95" t="s">
        <v>635</v>
      </c>
    </row>
    <row r="289" spans="1:2">
      <c r="A289" s="95">
        <v>5017</v>
      </c>
      <c r="B289" s="95" t="s">
        <v>637</v>
      </c>
    </row>
    <row r="290" spans="1:2">
      <c r="A290" s="95">
        <v>5018</v>
      </c>
      <c r="B290" s="95" t="s">
        <v>639</v>
      </c>
    </row>
    <row r="291" spans="1:2">
      <c r="A291" s="22">
        <v>5019</v>
      </c>
      <c r="B291" s="22" t="s">
        <v>641</v>
      </c>
    </row>
    <row r="292" spans="1:2">
      <c r="A292" s="95">
        <v>5020</v>
      </c>
      <c r="B292" s="95" t="s">
        <v>643</v>
      </c>
    </row>
    <row r="293" spans="1:2">
      <c r="A293" s="118">
        <v>5021</v>
      </c>
      <c r="B293" s="118" t="s">
        <v>645</v>
      </c>
    </row>
    <row r="294" spans="1:2">
      <c r="A294" s="118">
        <v>5022</v>
      </c>
      <c r="B294" s="118" t="s">
        <v>272</v>
      </c>
    </row>
    <row r="295" spans="1:2">
      <c r="A295" s="95">
        <v>5023</v>
      </c>
      <c r="B295" s="95" t="s">
        <v>648</v>
      </c>
    </row>
    <row r="296" spans="1:2">
      <c r="A296" s="95">
        <v>5024</v>
      </c>
      <c r="B296" s="95" t="s">
        <v>648</v>
      </c>
    </row>
    <row r="297" spans="1:2">
      <c r="A297" s="95">
        <v>5025</v>
      </c>
      <c r="B297" s="95" t="s">
        <v>651</v>
      </c>
    </row>
    <row r="298" spans="1:2">
      <c r="A298" s="95">
        <v>5026</v>
      </c>
      <c r="B298" s="95" t="s">
        <v>653</v>
      </c>
    </row>
    <row r="299" spans="1:2">
      <c r="A299" s="95">
        <v>5027</v>
      </c>
      <c r="B299" s="95" t="s">
        <v>655</v>
      </c>
    </row>
    <row r="300" spans="1:2">
      <c r="A300" s="95">
        <v>5028</v>
      </c>
      <c r="B300" s="95" t="s">
        <v>651</v>
      </c>
    </row>
    <row r="301" spans="1:2">
      <c r="A301" s="22">
        <v>5029</v>
      </c>
      <c r="B301" s="22" t="s">
        <v>658</v>
      </c>
    </row>
    <row r="302" spans="1:2">
      <c r="A302" s="95">
        <v>5030</v>
      </c>
      <c r="B302" s="95" t="s">
        <v>499</v>
      </c>
    </row>
    <row r="303" spans="1:2">
      <c r="A303" s="95">
        <v>5031</v>
      </c>
      <c r="B303" s="95" t="s">
        <v>661</v>
      </c>
    </row>
    <row r="304" spans="1:2">
      <c r="A304" s="95">
        <v>5032</v>
      </c>
      <c r="B304" s="95" t="s">
        <v>663</v>
      </c>
    </row>
    <row r="305" spans="1:2">
      <c r="A305" s="118">
        <v>5033</v>
      </c>
      <c r="B305" s="118" t="s">
        <v>665</v>
      </c>
    </row>
    <row r="306" spans="1:2">
      <c r="A306" s="118">
        <v>5034</v>
      </c>
      <c r="B306" s="118" t="s">
        <v>667</v>
      </c>
    </row>
    <row r="307" spans="1:2">
      <c r="A307" s="95">
        <v>5035</v>
      </c>
      <c r="B307" s="95" t="s">
        <v>574</v>
      </c>
    </row>
    <row r="308" spans="1:2">
      <c r="A308" s="95">
        <v>5036</v>
      </c>
      <c r="B308" s="95" t="s">
        <v>670</v>
      </c>
    </row>
    <row r="309" spans="1:2">
      <c r="A309" s="155">
        <v>5037</v>
      </c>
      <c r="B309" s="155" t="s">
        <v>672</v>
      </c>
    </row>
    <row r="310" spans="1:2">
      <c r="A310" s="22">
        <v>5038</v>
      </c>
      <c r="B310" s="22" t="s">
        <v>674</v>
      </c>
    </row>
    <row r="311" spans="1:2">
      <c r="A311" s="118">
        <v>5039</v>
      </c>
      <c r="B311" s="118" t="s">
        <v>676</v>
      </c>
    </row>
    <row r="312" spans="1:2">
      <c r="A312" s="95">
        <v>5040</v>
      </c>
      <c r="B312" s="95" t="s">
        <v>678</v>
      </c>
    </row>
    <row r="313" spans="1:2">
      <c r="A313" s="95">
        <v>5041</v>
      </c>
      <c r="B313" s="95" t="s">
        <v>525</v>
      </c>
    </row>
    <row r="314" spans="1:2">
      <c r="A314" s="118">
        <v>5042</v>
      </c>
      <c r="B314" s="154" t="s">
        <v>163</v>
      </c>
    </row>
    <row r="315" spans="1:2">
      <c r="A315" s="95">
        <v>5043</v>
      </c>
      <c r="B315" s="95" t="s">
        <v>682</v>
      </c>
    </row>
    <row r="316" spans="1:2">
      <c r="A316" s="95" t="s">
        <v>683</v>
      </c>
      <c r="B316" s="95" t="s">
        <v>684</v>
      </c>
    </row>
    <row r="317" spans="1:2">
      <c r="A317" s="95">
        <v>5045</v>
      </c>
      <c r="B317" s="95" t="s">
        <v>686</v>
      </c>
    </row>
    <row r="318" spans="1:2">
      <c r="A318" s="13" t="s">
        <v>688</v>
      </c>
      <c r="B318" s="13" t="s">
        <v>689</v>
      </c>
    </row>
    <row r="319" spans="1:2">
      <c r="A319" s="118" t="s">
        <v>691</v>
      </c>
      <c r="B319" s="118" t="s">
        <v>692</v>
      </c>
    </row>
    <row r="320" spans="1:2">
      <c r="A320" s="85" t="s">
        <v>694</v>
      </c>
      <c r="B320" s="164"/>
    </row>
    <row r="321" spans="1:2">
      <c r="A321" s="13"/>
      <c r="B321" s="13"/>
    </row>
    <row r="322" spans="1:2">
      <c r="A322" s="2"/>
      <c r="B322" s="2"/>
    </row>
    <row r="323" spans="1:2">
      <c r="A323" s="13" t="s">
        <v>695</v>
      </c>
      <c r="B323" s="13" t="s">
        <v>696</v>
      </c>
    </row>
    <row r="324" spans="1:2">
      <c r="A324" s="13"/>
      <c r="B324" s="14">
        <v>2320.86</v>
      </c>
    </row>
    <row r="325" spans="1:2">
      <c r="A325" s="13"/>
      <c r="B325" s="13" t="s">
        <v>696</v>
      </c>
    </row>
    <row r="326" spans="1:2">
      <c r="A326" s="13" t="s">
        <v>699</v>
      </c>
      <c r="B326" s="14">
        <v>115335</v>
      </c>
    </row>
    <row r="327" spans="1:2">
      <c r="A327" s="13"/>
      <c r="B327" s="13"/>
    </row>
    <row r="328" spans="1:2">
      <c r="A328" s="13"/>
      <c r="B328" s="13"/>
    </row>
    <row r="329" spans="1:2">
      <c r="A329" s="13"/>
      <c r="B329" s="13"/>
    </row>
    <row r="330" spans="1:2">
      <c r="A330" s="13"/>
      <c r="B330" s="13"/>
    </row>
    <row r="331" spans="1:2">
      <c r="A331" s="13"/>
      <c r="B331" s="13"/>
    </row>
    <row r="332" spans="1:2">
      <c r="A332" s="2"/>
      <c r="B332" s="2"/>
    </row>
    <row r="349" spans="2:2">
      <c r="B349" s="165"/>
    </row>
  </sheetData>
  <mergeCells count="2">
    <mergeCell ref="A2:A3"/>
    <mergeCell ref="B2:B3"/>
  </mergeCells>
  <conditionalFormatting sqref="A41 B41">
    <cfRule type="uniqueValues" dxfId="2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4"/>
  <sheetViews>
    <sheetView workbookViewId="0">
      <selection activeCell="D20" sqref="D20"/>
    </sheetView>
  </sheetViews>
  <sheetFormatPr defaultColWidth="9" defaultRowHeight="14.25"/>
  <cols>
    <col min="1" max="2" width="12.25" style="144" customWidth="1"/>
    <col min="3" max="16384" width="9" style="4"/>
  </cols>
  <sheetData>
    <row r="1" ht="20.25" spans="1:13">
      <c r="A1" s="145"/>
      <c r="B1" s="145"/>
    </row>
    <row r="2" spans="1:13">
      <c r="A2" s="22" t="s">
        <v>27</v>
      </c>
      <c r="B2" s="22" t="s">
        <v>732</v>
      </c>
      <c r="C2" s="96" t="s">
        <v>733</v>
      </c>
      <c r="D2" s="96" t="s">
        <v>734</v>
      </c>
      <c r="E2" s="96" t="s">
        <v>735</v>
      </c>
      <c r="F2" s="96" t="s">
        <v>736</v>
      </c>
      <c r="G2" s="96" t="s">
        <v>737</v>
      </c>
      <c r="H2" s="96" t="s">
        <v>738</v>
      </c>
      <c r="I2" s="96" t="s">
        <v>739</v>
      </c>
      <c r="J2" s="96" t="s">
        <v>740</v>
      </c>
      <c r="K2" s="96" t="s">
        <v>741</v>
      </c>
      <c r="L2" s="96" t="s">
        <v>742</v>
      </c>
      <c r="M2" s="96" t="s">
        <v>743</v>
      </c>
    </row>
    <row r="3" spans="1:13">
      <c r="A3" s="22"/>
      <c r="B3" s="22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>
      <c r="A4" s="13" t="s">
        <v>68</v>
      </c>
      <c r="B4" s="13" t="s">
        <v>68</v>
      </c>
      <c r="C4" s="21">
        <v>19518</v>
      </c>
      <c r="D4" s="146">
        <v>19645</v>
      </c>
    </row>
    <row r="5" spans="1:13">
      <c r="A5" s="13">
        <v>1001</v>
      </c>
      <c r="B5" s="13">
        <v>1001</v>
      </c>
      <c r="C5" s="14">
        <v>3340</v>
      </c>
      <c r="D5" s="146">
        <v>3491</v>
      </c>
    </row>
    <row r="6" spans="1:13">
      <c r="A6" s="13">
        <v>1002</v>
      </c>
      <c r="B6" s="13">
        <v>1002</v>
      </c>
      <c r="C6" s="14">
        <v>8431</v>
      </c>
      <c r="D6" s="146">
        <v>8436</v>
      </c>
    </row>
    <row r="7" spans="1:13">
      <c r="A7" s="22" t="s">
        <v>76</v>
      </c>
      <c r="B7" s="22" t="s">
        <v>76</v>
      </c>
      <c r="C7" s="14">
        <f>5652+9610</f>
        <v>15262</v>
      </c>
      <c r="D7" s="146">
        <f>9610+5974</f>
        <v>15584</v>
      </c>
    </row>
    <row r="8" spans="1:13">
      <c r="A8" s="22">
        <v>1005</v>
      </c>
      <c r="B8" s="22">
        <v>1005</v>
      </c>
      <c r="C8" s="14">
        <v>2696</v>
      </c>
      <c r="D8" s="146">
        <v>2746</v>
      </c>
    </row>
    <row r="9" spans="1:13">
      <c r="A9" s="22">
        <v>1006</v>
      </c>
      <c r="B9" s="22">
        <v>1006</v>
      </c>
      <c r="C9" s="14">
        <v>4133</v>
      </c>
      <c r="D9" s="146">
        <v>4186</v>
      </c>
    </row>
    <row r="10" spans="1:13">
      <c r="A10" s="13">
        <v>1007</v>
      </c>
      <c r="B10" s="13">
        <v>1007</v>
      </c>
      <c r="C10" s="14">
        <v>370</v>
      </c>
      <c r="D10" s="146">
        <v>450</v>
      </c>
    </row>
    <row r="11" spans="1:13">
      <c r="A11" s="13" t="s">
        <v>85</v>
      </c>
      <c r="B11" s="13" t="s">
        <v>85</v>
      </c>
      <c r="C11" s="14">
        <v>1417</v>
      </c>
      <c r="D11" s="146">
        <v>1565</v>
      </c>
    </row>
    <row r="12" spans="1:13">
      <c r="A12" s="13">
        <v>1009</v>
      </c>
      <c r="B12" s="13">
        <v>1009</v>
      </c>
      <c r="C12" s="14">
        <v>2986</v>
      </c>
      <c r="D12" s="146">
        <v>3050</v>
      </c>
    </row>
    <row r="13" spans="1:13">
      <c r="A13" s="13">
        <v>1010</v>
      </c>
      <c r="B13" s="13">
        <v>1010</v>
      </c>
      <c r="C13" s="14">
        <v>7204</v>
      </c>
      <c r="D13" s="146">
        <v>7317</v>
      </c>
    </row>
    <row r="14" spans="1:13">
      <c r="A14" s="22">
        <v>1011</v>
      </c>
      <c r="B14" s="22">
        <v>1011</v>
      </c>
      <c r="C14" s="14">
        <v>1903</v>
      </c>
      <c r="D14" s="146">
        <v>1913</v>
      </c>
    </row>
    <row r="15" spans="1:13">
      <c r="A15" s="13">
        <v>1012</v>
      </c>
      <c r="B15" s="13">
        <v>1012</v>
      </c>
      <c r="C15" s="14">
        <v>778</v>
      </c>
      <c r="D15" s="146">
        <v>841</v>
      </c>
    </row>
    <row r="16" spans="1:13">
      <c r="A16" s="13">
        <v>1013</v>
      </c>
      <c r="B16" s="13">
        <v>1013</v>
      </c>
      <c r="C16" s="14">
        <v>2705</v>
      </c>
      <c r="D16" s="146">
        <v>2775</v>
      </c>
    </row>
    <row r="17" spans="1:4">
      <c r="A17" s="13">
        <v>1014</v>
      </c>
      <c r="B17" s="13">
        <v>1014</v>
      </c>
      <c r="C17" s="14">
        <v>2040</v>
      </c>
      <c r="D17" s="146">
        <v>2226</v>
      </c>
    </row>
    <row r="18" spans="1:4">
      <c r="A18" s="13">
        <v>1015</v>
      </c>
      <c r="B18" s="13">
        <v>1015</v>
      </c>
      <c r="C18" s="14">
        <v>5248</v>
      </c>
      <c r="D18" s="146">
        <v>5267</v>
      </c>
    </row>
    <row r="19" spans="1:4">
      <c r="A19" s="22" t="s">
        <v>102</v>
      </c>
      <c r="B19" s="22" t="s">
        <v>102</v>
      </c>
      <c r="C19" s="14">
        <f>4907+728</f>
        <v>5635</v>
      </c>
      <c r="D19" s="146">
        <f>4966+860</f>
        <v>5826</v>
      </c>
    </row>
    <row r="20" spans="1:4">
      <c r="A20" s="13">
        <v>1018</v>
      </c>
      <c r="B20" s="13">
        <v>1018</v>
      </c>
      <c r="C20" s="14">
        <v>3664</v>
      </c>
      <c r="D20" s="146">
        <v>3710</v>
      </c>
    </row>
    <row r="21" spans="1:4">
      <c r="A21" s="13">
        <v>1019</v>
      </c>
      <c r="B21" s="13">
        <v>1019</v>
      </c>
      <c r="C21" s="14">
        <v>1395</v>
      </c>
      <c r="D21" s="146">
        <v>1411</v>
      </c>
    </row>
    <row r="22" spans="1:4">
      <c r="A22" s="13">
        <v>1020</v>
      </c>
      <c r="B22" s="13">
        <v>1020</v>
      </c>
      <c r="C22" s="14">
        <v>9151</v>
      </c>
      <c r="D22" s="146">
        <v>9247</v>
      </c>
    </row>
    <row r="23" spans="1:4">
      <c r="A23" s="13">
        <v>1021</v>
      </c>
      <c r="B23" s="13">
        <v>1021</v>
      </c>
      <c r="C23" s="14">
        <v>5429</v>
      </c>
      <c r="D23" s="146">
        <v>5573</v>
      </c>
    </row>
    <row r="24" spans="1:4">
      <c r="A24" s="13">
        <v>1022</v>
      </c>
      <c r="B24" s="13">
        <v>1022</v>
      </c>
      <c r="C24" s="14">
        <v>2613</v>
      </c>
      <c r="D24" s="146">
        <v>2647</v>
      </c>
    </row>
    <row r="25" spans="1:4">
      <c r="A25" s="13">
        <v>1023</v>
      </c>
      <c r="B25" s="13">
        <v>1023</v>
      </c>
      <c r="C25" s="14">
        <v>1839</v>
      </c>
      <c r="D25" s="146">
        <v>1851</v>
      </c>
    </row>
    <row r="26" spans="1:4">
      <c r="A26" s="13">
        <v>1024</v>
      </c>
      <c r="B26" s="13">
        <v>1024</v>
      </c>
      <c r="C26" s="14">
        <v>186</v>
      </c>
      <c r="D26" s="146">
        <v>225</v>
      </c>
    </row>
    <row r="27" spans="1:4">
      <c r="A27" s="13">
        <v>1025</v>
      </c>
      <c r="B27" s="13">
        <v>1025</v>
      </c>
      <c r="C27" s="14">
        <v>1219</v>
      </c>
      <c r="D27" s="146">
        <v>1233</v>
      </c>
    </row>
    <row r="28" spans="1:4">
      <c r="A28" s="13" t="s">
        <v>120</v>
      </c>
      <c r="B28" s="13" t="s">
        <v>120</v>
      </c>
      <c r="C28" s="14">
        <v>2817</v>
      </c>
      <c r="D28" s="146">
        <v>2877</v>
      </c>
    </row>
    <row r="29" spans="1:4">
      <c r="A29" s="13">
        <v>1026</v>
      </c>
      <c r="B29" s="13">
        <v>1026</v>
      </c>
      <c r="C29" s="14">
        <v>3230</v>
      </c>
      <c r="D29" s="146">
        <v>3345</v>
      </c>
    </row>
    <row r="30" spans="1:4">
      <c r="A30" s="95">
        <v>1027</v>
      </c>
      <c r="B30" s="95">
        <v>1027</v>
      </c>
      <c r="C30" s="14">
        <v>3120</v>
      </c>
      <c r="D30" s="146">
        <v>3151</v>
      </c>
    </row>
    <row r="31" spans="1:4">
      <c r="A31" s="13">
        <v>1028</v>
      </c>
      <c r="B31" s="13">
        <v>1028</v>
      </c>
      <c r="C31" s="14">
        <v>7768</v>
      </c>
      <c r="D31" s="146">
        <v>7816</v>
      </c>
    </row>
    <row r="32" spans="1:4">
      <c r="A32" s="13">
        <v>1029</v>
      </c>
      <c r="B32" s="13">
        <v>1029</v>
      </c>
      <c r="C32" s="14">
        <v>4820</v>
      </c>
      <c r="D32" s="146">
        <v>4912</v>
      </c>
    </row>
    <row r="33" spans="1:4">
      <c r="A33" s="13">
        <v>1030</v>
      </c>
      <c r="B33" s="13">
        <v>1030</v>
      </c>
      <c r="C33" s="14">
        <v>4863</v>
      </c>
      <c r="D33" s="146">
        <v>4948</v>
      </c>
    </row>
    <row r="34" spans="1:4">
      <c r="A34" s="13">
        <v>1031</v>
      </c>
      <c r="B34" s="13">
        <v>1031</v>
      </c>
      <c r="C34" s="14">
        <v>5641</v>
      </c>
      <c r="D34" s="146">
        <v>5728</v>
      </c>
    </row>
    <row r="35" spans="1:4">
      <c r="A35" s="13">
        <v>1032</v>
      </c>
      <c r="B35" s="13">
        <v>1032</v>
      </c>
      <c r="C35" s="14">
        <v>5380</v>
      </c>
      <c r="D35" s="146">
        <v>5477</v>
      </c>
    </row>
    <row r="36" spans="1:4">
      <c r="A36" s="22">
        <v>1033</v>
      </c>
      <c r="B36" s="22">
        <v>1033</v>
      </c>
      <c r="C36" s="14">
        <v>8359</v>
      </c>
      <c r="D36" s="146">
        <v>8452</v>
      </c>
    </row>
    <row r="37" spans="1:4">
      <c r="A37" s="13">
        <v>1034</v>
      </c>
      <c r="B37" s="13">
        <v>1034</v>
      </c>
      <c r="C37" s="14">
        <v>2652</v>
      </c>
      <c r="D37" s="146">
        <v>2692</v>
      </c>
    </row>
    <row r="38" spans="1:4">
      <c r="A38" s="13">
        <v>1035</v>
      </c>
      <c r="B38" s="13">
        <v>1035</v>
      </c>
      <c r="C38" s="14">
        <v>9842</v>
      </c>
      <c r="D38" s="146">
        <v>9894</v>
      </c>
    </row>
    <row r="39" spans="1:4">
      <c r="A39" s="13">
        <v>1036</v>
      </c>
      <c r="B39" s="13">
        <v>1036</v>
      </c>
      <c r="C39" s="14">
        <v>9842</v>
      </c>
      <c r="D39" s="146">
        <v>9894</v>
      </c>
    </row>
    <row r="40" spans="1:4">
      <c r="A40" s="13">
        <v>1037</v>
      </c>
      <c r="B40" s="13">
        <v>1037</v>
      </c>
      <c r="C40" s="14">
        <v>3158</v>
      </c>
      <c r="D40" s="146">
        <v>3207</v>
      </c>
    </row>
    <row r="41" spans="1:4">
      <c r="A41" s="13">
        <v>1038</v>
      </c>
      <c r="B41" s="13">
        <v>1038</v>
      </c>
      <c r="C41" s="14">
        <v>3388</v>
      </c>
      <c r="D41" s="146">
        <v>3491</v>
      </c>
    </row>
    <row r="42" spans="1:4">
      <c r="A42" s="22">
        <v>1039</v>
      </c>
      <c r="B42" s="22">
        <v>1039</v>
      </c>
      <c r="C42" s="14">
        <v>5824</v>
      </c>
      <c r="D42" s="146">
        <v>5875</v>
      </c>
    </row>
    <row r="43" spans="1:4">
      <c r="A43" s="22">
        <v>1040</v>
      </c>
      <c r="B43" s="22">
        <v>1040</v>
      </c>
      <c r="C43" s="14">
        <v>5974</v>
      </c>
      <c r="D43" s="146">
        <v>6037</v>
      </c>
    </row>
    <row r="44" spans="1:4">
      <c r="A44" s="95">
        <v>1041</v>
      </c>
      <c r="B44" s="95">
        <v>1041</v>
      </c>
      <c r="C44" s="14">
        <v>4536</v>
      </c>
      <c r="D44" s="146">
        <v>4578</v>
      </c>
    </row>
    <row r="45" spans="1:4">
      <c r="A45" s="13">
        <v>1042</v>
      </c>
      <c r="B45" s="13">
        <v>1042</v>
      </c>
      <c r="C45" s="14">
        <v>6663</v>
      </c>
      <c r="D45" s="146">
        <v>6779</v>
      </c>
    </row>
    <row r="46" spans="1:4">
      <c r="A46" s="13">
        <v>1043</v>
      </c>
      <c r="B46" s="13">
        <v>1043</v>
      </c>
      <c r="C46" s="14">
        <v>6388</v>
      </c>
      <c r="D46" s="146">
        <v>6477</v>
      </c>
    </row>
    <row r="47" spans="1:4">
      <c r="A47" s="115">
        <v>1044</v>
      </c>
      <c r="B47" s="115">
        <v>1044</v>
      </c>
      <c r="C47" s="14">
        <v>3068</v>
      </c>
      <c r="D47" s="146">
        <v>3197</v>
      </c>
    </row>
    <row r="48" spans="1:4">
      <c r="A48" s="13">
        <v>1045</v>
      </c>
      <c r="B48" s="13">
        <v>1045</v>
      </c>
      <c r="C48" s="14">
        <v>5016</v>
      </c>
      <c r="D48" s="146">
        <v>5118</v>
      </c>
    </row>
    <row r="49" spans="1:4">
      <c r="A49" s="13">
        <v>1046</v>
      </c>
      <c r="B49" s="13">
        <v>1046</v>
      </c>
      <c r="C49" s="14">
        <v>5109</v>
      </c>
      <c r="D49" s="146">
        <v>5121</v>
      </c>
    </row>
    <row r="50" spans="1:4">
      <c r="A50" s="95">
        <v>1047</v>
      </c>
      <c r="B50" s="95">
        <v>1047</v>
      </c>
      <c r="C50" s="14">
        <v>6726</v>
      </c>
      <c r="D50" s="146">
        <v>6855</v>
      </c>
    </row>
    <row r="51" spans="1:4">
      <c r="A51" s="13">
        <v>1048</v>
      </c>
      <c r="B51" s="13">
        <v>1048</v>
      </c>
      <c r="C51" s="14">
        <v>4361</v>
      </c>
      <c r="D51" s="146">
        <v>4493</v>
      </c>
    </row>
    <row r="52" spans="1:4">
      <c r="A52" s="13">
        <v>1049</v>
      </c>
      <c r="B52" s="13">
        <v>1049</v>
      </c>
      <c r="C52" s="14">
        <v>1415</v>
      </c>
      <c r="D52" s="146">
        <v>1474</v>
      </c>
    </row>
    <row r="53" spans="1:4">
      <c r="A53" s="13">
        <v>1050</v>
      </c>
      <c r="B53" s="13">
        <v>1050</v>
      </c>
      <c r="C53" s="14">
        <v>7413</v>
      </c>
      <c r="D53" s="146">
        <v>7523</v>
      </c>
    </row>
    <row r="54" spans="1:4">
      <c r="A54" s="13">
        <v>1051</v>
      </c>
      <c r="B54" s="13">
        <v>1051</v>
      </c>
      <c r="C54" s="14">
        <v>9956</v>
      </c>
      <c r="D54" s="146">
        <v>10026</v>
      </c>
    </row>
    <row r="55" spans="1:4">
      <c r="A55" s="22">
        <v>1052</v>
      </c>
      <c r="B55" s="22">
        <v>1052</v>
      </c>
      <c r="C55" s="14">
        <v>3436</v>
      </c>
      <c r="D55" s="146">
        <v>3542</v>
      </c>
    </row>
    <row r="56" spans="1:4">
      <c r="A56" s="13">
        <v>1053</v>
      </c>
      <c r="B56" s="13">
        <v>1053</v>
      </c>
      <c r="C56" s="14">
        <v>5252</v>
      </c>
      <c r="D56" s="146">
        <v>5362</v>
      </c>
    </row>
    <row r="57" spans="1:4">
      <c r="A57" s="13">
        <v>1054</v>
      </c>
      <c r="B57" s="13">
        <v>1054</v>
      </c>
      <c r="C57" s="14">
        <v>5605</v>
      </c>
      <c r="D57" s="146">
        <v>5674</v>
      </c>
    </row>
    <row r="58" spans="1:4">
      <c r="A58" s="13">
        <v>1055</v>
      </c>
      <c r="B58" s="13">
        <v>1055</v>
      </c>
      <c r="C58" s="14">
        <v>7549</v>
      </c>
      <c r="D58" s="146">
        <v>7706</v>
      </c>
    </row>
    <row r="59" spans="1:4">
      <c r="A59" s="13">
        <v>1056</v>
      </c>
      <c r="B59" s="13">
        <v>1056</v>
      </c>
      <c r="C59" s="14">
        <v>5021</v>
      </c>
      <c r="D59" s="146">
        <v>5072</v>
      </c>
    </row>
    <row r="60" spans="1:4">
      <c r="A60" s="13">
        <v>1057</v>
      </c>
      <c r="B60" s="13">
        <v>1057</v>
      </c>
      <c r="C60" s="14">
        <v>1168</v>
      </c>
      <c r="D60" s="146">
        <v>1257</v>
      </c>
    </row>
    <row r="61" spans="1:4">
      <c r="A61" s="13">
        <v>1058</v>
      </c>
      <c r="B61" s="13">
        <v>1058</v>
      </c>
      <c r="C61" s="14">
        <v>7507</v>
      </c>
      <c r="D61" s="146">
        <v>7673</v>
      </c>
    </row>
    <row r="62" spans="1:4">
      <c r="A62" s="13">
        <v>1059</v>
      </c>
      <c r="B62" s="13">
        <v>1059</v>
      </c>
      <c r="C62" s="14">
        <v>7147</v>
      </c>
      <c r="D62" s="146">
        <v>7252</v>
      </c>
    </row>
    <row r="63" spans="1:4">
      <c r="A63" s="13">
        <v>1060</v>
      </c>
      <c r="B63" s="13">
        <v>1060</v>
      </c>
      <c r="C63" s="14">
        <v>5600</v>
      </c>
      <c r="D63" s="146">
        <v>5683</v>
      </c>
    </row>
    <row r="64" spans="1:4">
      <c r="A64" s="13">
        <v>1061</v>
      </c>
      <c r="B64" s="13">
        <v>1061</v>
      </c>
      <c r="C64" s="14">
        <v>5201</v>
      </c>
      <c r="D64" s="146">
        <v>5323</v>
      </c>
    </row>
    <row r="65" spans="1:4">
      <c r="A65" s="13">
        <v>1062</v>
      </c>
      <c r="B65" s="13">
        <v>1062</v>
      </c>
      <c r="C65" s="14">
        <v>9191</v>
      </c>
      <c r="D65" s="146">
        <v>9351</v>
      </c>
    </row>
    <row r="66" spans="1:4">
      <c r="A66" s="13">
        <v>1063</v>
      </c>
      <c r="B66" s="13">
        <v>1063</v>
      </c>
      <c r="C66" s="14">
        <v>5614</v>
      </c>
      <c r="D66" s="146">
        <v>5687</v>
      </c>
    </row>
    <row r="67" spans="1:4">
      <c r="A67" s="13">
        <v>1065</v>
      </c>
      <c r="B67" s="13">
        <v>1065</v>
      </c>
      <c r="C67" s="14">
        <v>6827</v>
      </c>
      <c r="D67" s="146">
        <v>6839</v>
      </c>
    </row>
    <row r="68" spans="1:4">
      <c r="A68" s="13">
        <v>1066</v>
      </c>
      <c r="B68" s="13">
        <v>1066</v>
      </c>
      <c r="C68" s="14">
        <v>7977</v>
      </c>
      <c r="D68" s="146">
        <v>8185</v>
      </c>
    </row>
    <row r="69" ht="27" spans="1:4">
      <c r="A69" s="30" t="s">
        <v>202</v>
      </c>
      <c r="B69" s="30" t="s">
        <v>202</v>
      </c>
      <c r="C69" s="14"/>
      <c r="D69" s="14"/>
    </row>
    <row r="70" ht="27" spans="1:4">
      <c r="A70" s="30" t="s">
        <v>204</v>
      </c>
      <c r="B70" s="30" t="s">
        <v>204</v>
      </c>
      <c r="C70" s="14"/>
      <c r="D70" s="14"/>
    </row>
    <row r="71" spans="1:4">
      <c r="A71" s="13" t="s">
        <v>744</v>
      </c>
      <c r="B71" s="13" t="s">
        <v>744</v>
      </c>
      <c r="C71" s="14"/>
      <c r="D71" s="14"/>
    </row>
    <row r="72" spans="1:4">
      <c r="A72" s="22">
        <v>2001</v>
      </c>
      <c r="B72" s="22">
        <v>2001</v>
      </c>
      <c r="C72" s="14">
        <v>7602</v>
      </c>
      <c r="D72" s="146">
        <v>7711</v>
      </c>
    </row>
    <row r="73" spans="1:4">
      <c r="A73" s="22">
        <v>2002</v>
      </c>
      <c r="B73" s="22">
        <v>2002</v>
      </c>
      <c r="C73" s="14">
        <v>7063</v>
      </c>
      <c r="D73" s="146">
        <v>7129</v>
      </c>
    </row>
    <row r="74" spans="1:4">
      <c r="A74" s="22">
        <v>2003</v>
      </c>
      <c r="B74" s="22">
        <v>2003</v>
      </c>
      <c r="C74" s="14">
        <v>8243</v>
      </c>
      <c r="D74" s="146">
        <v>8294</v>
      </c>
    </row>
    <row r="75" spans="1:4">
      <c r="A75" s="22">
        <v>2004</v>
      </c>
      <c r="B75" s="22">
        <v>2004</v>
      </c>
      <c r="C75" s="14">
        <v>8594</v>
      </c>
      <c r="D75" s="146">
        <v>8618</v>
      </c>
    </row>
    <row r="76" spans="1:4">
      <c r="A76" s="22">
        <v>2005</v>
      </c>
      <c r="B76" s="22">
        <v>2005</v>
      </c>
      <c r="C76" s="14">
        <v>7929</v>
      </c>
      <c r="D76" s="146">
        <v>8012</v>
      </c>
    </row>
    <row r="77" spans="1:4">
      <c r="A77" s="22">
        <v>2006</v>
      </c>
      <c r="B77" s="22">
        <v>2006</v>
      </c>
      <c r="C77" s="14">
        <v>199</v>
      </c>
      <c r="D77" s="146">
        <v>263</v>
      </c>
    </row>
    <row r="78" spans="1:4">
      <c r="A78" s="22" t="s">
        <v>227</v>
      </c>
      <c r="B78" s="22" t="s">
        <v>227</v>
      </c>
      <c r="C78" s="14">
        <v>6991</v>
      </c>
      <c r="D78" s="146">
        <v>7028</v>
      </c>
    </row>
    <row r="79" spans="1:4">
      <c r="A79" s="13">
        <v>2008</v>
      </c>
      <c r="B79" s="13">
        <v>2008</v>
      </c>
      <c r="C79" s="14">
        <v>9039</v>
      </c>
      <c r="D79" s="146">
        <v>9089</v>
      </c>
    </row>
    <row r="80" spans="1:4">
      <c r="A80" s="22">
        <v>2009</v>
      </c>
      <c r="B80" s="22">
        <v>2009</v>
      </c>
      <c r="C80" s="14">
        <v>4327</v>
      </c>
      <c r="D80" s="146">
        <v>4361</v>
      </c>
    </row>
    <row r="81" spans="1:4">
      <c r="A81" s="22">
        <v>2010</v>
      </c>
      <c r="B81" s="22">
        <v>2010</v>
      </c>
      <c r="C81" s="14">
        <v>329</v>
      </c>
      <c r="D81" s="146">
        <v>424</v>
      </c>
    </row>
    <row r="82" spans="1:4">
      <c r="A82" s="22">
        <v>2011</v>
      </c>
      <c r="B82" s="22">
        <v>2011</v>
      </c>
      <c r="C82" s="14">
        <v>7850</v>
      </c>
      <c r="D82" s="146">
        <v>7911</v>
      </c>
    </row>
    <row r="83" spans="1:4">
      <c r="A83" s="22">
        <v>2012</v>
      </c>
      <c r="B83" s="22">
        <v>2012</v>
      </c>
      <c r="C83" s="14">
        <v>10033</v>
      </c>
      <c r="D83" s="146">
        <v>100</v>
      </c>
    </row>
    <row r="84" spans="1:4">
      <c r="A84" s="22">
        <v>2013</v>
      </c>
      <c r="B84" s="22">
        <v>2013</v>
      </c>
      <c r="C84" s="14">
        <v>1759</v>
      </c>
      <c r="D84" s="146">
        <v>1830</v>
      </c>
    </row>
    <row r="85" spans="1:4">
      <c r="A85" s="22">
        <v>2014</v>
      </c>
      <c r="B85" s="22">
        <v>2014</v>
      </c>
      <c r="C85" s="14">
        <v>2299</v>
      </c>
      <c r="D85" s="146">
        <v>2317</v>
      </c>
    </row>
    <row r="86" spans="1:4">
      <c r="A86" s="22">
        <v>2015</v>
      </c>
      <c r="B86" s="22">
        <v>2015</v>
      </c>
      <c r="C86" s="14">
        <v>9213</v>
      </c>
      <c r="D86" s="146">
        <v>9253</v>
      </c>
    </row>
    <row r="87" spans="1:4">
      <c r="A87" s="22">
        <v>2016</v>
      </c>
      <c r="B87" s="22">
        <v>2016</v>
      </c>
      <c r="C87" s="14">
        <v>8454</v>
      </c>
      <c r="D87" s="146">
        <v>8527</v>
      </c>
    </row>
    <row r="88" spans="1:4">
      <c r="A88" s="13">
        <v>2017</v>
      </c>
      <c r="B88" s="13">
        <v>2017</v>
      </c>
      <c r="C88" s="14">
        <v>8822</v>
      </c>
      <c r="D88" s="146">
        <v>8933</v>
      </c>
    </row>
    <row r="89" spans="1:4">
      <c r="A89" s="13">
        <v>2018</v>
      </c>
      <c r="B89" s="13">
        <v>2018</v>
      </c>
      <c r="C89" s="14">
        <v>321</v>
      </c>
      <c r="D89" s="146">
        <v>507</v>
      </c>
    </row>
    <row r="90" spans="1:4">
      <c r="A90" s="22">
        <v>2019</v>
      </c>
      <c r="B90" s="22">
        <v>2019</v>
      </c>
      <c r="C90" s="14">
        <v>9911</v>
      </c>
      <c r="D90" s="146">
        <v>10037</v>
      </c>
    </row>
    <row r="91" spans="1:4">
      <c r="A91" s="22">
        <v>2020</v>
      </c>
      <c r="B91" s="22">
        <v>2020</v>
      </c>
      <c r="C91" s="96">
        <v>8292</v>
      </c>
      <c r="D91" s="147">
        <v>8348</v>
      </c>
    </row>
    <row r="92" spans="1:4">
      <c r="A92" s="22">
        <v>2021</v>
      </c>
      <c r="B92" s="22">
        <v>2021</v>
      </c>
      <c r="C92" s="14">
        <v>8593</v>
      </c>
      <c r="D92" s="146">
        <v>8660</v>
      </c>
    </row>
    <row r="93" spans="1:4">
      <c r="A93" s="13">
        <v>2022</v>
      </c>
      <c r="B93" s="13">
        <v>2022</v>
      </c>
      <c r="C93" s="14">
        <v>8455</v>
      </c>
      <c r="D93" s="146">
        <v>8500</v>
      </c>
    </row>
    <row r="94" spans="1:4">
      <c r="A94" s="22">
        <v>2023</v>
      </c>
      <c r="B94" s="22">
        <v>2023</v>
      </c>
      <c r="C94" s="14">
        <v>7381</v>
      </c>
      <c r="D94" s="146">
        <v>7432</v>
      </c>
    </row>
    <row r="95" spans="1:4">
      <c r="A95" s="22">
        <v>2024</v>
      </c>
      <c r="B95" s="22">
        <v>2024</v>
      </c>
      <c r="C95" s="14">
        <v>7867</v>
      </c>
      <c r="D95" s="146">
        <v>7922</v>
      </c>
    </row>
    <row r="96" spans="1:4">
      <c r="A96" s="22">
        <v>2025</v>
      </c>
      <c r="B96" s="22">
        <v>2025</v>
      </c>
      <c r="C96" s="14">
        <v>385</v>
      </c>
      <c r="D96" s="146">
        <v>477</v>
      </c>
    </row>
    <row r="97" spans="1:4">
      <c r="A97" s="13">
        <v>2026</v>
      </c>
      <c r="B97" s="13">
        <v>2026</v>
      </c>
      <c r="C97" s="14">
        <v>5579</v>
      </c>
      <c r="D97" s="146">
        <v>5613</v>
      </c>
    </row>
    <row r="98" spans="1:4">
      <c r="A98" s="13">
        <v>2027</v>
      </c>
      <c r="B98" s="13">
        <v>2027</v>
      </c>
      <c r="C98" s="14">
        <v>5688</v>
      </c>
      <c r="D98" s="146">
        <v>5699</v>
      </c>
    </row>
    <row r="99" spans="1:4">
      <c r="A99" s="13">
        <v>2029</v>
      </c>
      <c r="B99" s="13">
        <v>2029</v>
      </c>
      <c r="C99" s="14">
        <v>1726</v>
      </c>
      <c r="D99" s="146">
        <v>1857</v>
      </c>
    </row>
    <row r="100" spans="1:4">
      <c r="A100" s="22">
        <v>2030</v>
      </c>
      <c r="B100" s="22">
        <v>2030</v>
      </c>
      <c r="C100" s="14">
        <v>8615</v>
      </c>
      <c r="D100" s="146">
        <v>8649</v>
      </c>
    </row>
    <row r="101" spans="1:4">
      <c r="A101" s="22">
        <v>2031</v>
      </c>
      <c r="B101" s="22">
        <v>2031</v>
      </c>
      <c r="C101" s="14">
        <v>9230</v>
      </c>
      <c r="D101" s="146">
        <v>9281</v>
      </c>
    </row>
    <row r="102" spans="1:4">
      <c r="A102" s="95">
        <v>2032</v>
      </c>
      <c r="B102" s="95">
        <v>2032</v>
      </c>
      <c r="C102" s="14">
        <v>8355</v>
      </c>
      <c r="D102" s="146">
        <v>8457</v>
      </c>
    </row>
    <row r="103" spans="1:4">
      <c r="A103" s="22">
        <v>2033</v>
      </c>
      <c r="B103" s="22">
        <v>2033</v>
      </c>
      <c r="C103" s="14">
        <v>9294</v>
      </c>
      <c r="D103" s="146">
        <v>9330</v>
      </c>
    </row>
    <row r="104" spans="1:4">
      <c r="A104" s="22">
        <v>2034</v>
      </c>
      <c r="B104" s="22">
        <v>2034</v>
      </c>
      <c r="C104" s="14">
        <v>9635</v>
      </c>
      <c r="D104" s="146">
        <v>9683</v>
      </c>
    </row>
    <row r="105" spans="1:4">
      <c r="A105" s="22">
        <v>2035</v>
      </c>
      <c r="B105" s="22">
        <v>2035</v>
      </c>
      <c r="C105" s="14">
        <v>9826</v>
      </c>
      <c r="D105" s="146">
        <v>9865</v>
      </c>
    </row>
    <row r="106" spans="1:4">
      <c r="A106" s="95" t="s">
        <v>280</v>
      </c>
      <c r="B106" s="95" t="s">
        <v>280</v>
      </c>
      <c r="C106" s="96">
        <v>1129</v>
      </c>
      <c r="D106" s="147">
        <v>1197</v>
      </c>
    </row>
    <row r="107" spans="1:4">
      <c r="A107" s="22">
        <v>2036</v>
      </c>
      <c r="B107" s="22">
        <v>2036</v>
      </c>
      <c r="C107" s="14">
        <v>7432</v>
      </c>
      <c r="D107" s="146">
        <v>7432</v>
      </c>
    </row>
    <row r="108" spans="1:4">
      <c r="A108" s="22">
        <v>2036</v>
      </c>
      <c r="B108" s="22">
        <v>2036</v>
      </c>
      <c r="C108" s="14">
        <v>8423</v>
      </c>
      <c r="D108" s="146">
        <v>8470</v>
      </c>
    </row>
    <row r="109" spans="1:4">
      <c r="A109" s="22">
        <v>2037</v>
      </c>
      <c r="B109" s="22">
        <v>2037</v>
      </c>
      <c r="C109" s="14">
        <v>1621</v>
      </c>
      <c r="D109" s="146">
        <v>1766</v>
      </c>
    </row>
    <row r="110" spans="1:4">
      <c r="A110" s="22">
        <v>2038</v>
      </c>
      <c r="B110" s="22">
        <v>2038</v>
      </c>
      <c r="C110" s="14">
        <v>7876</v>
      </c>
      <c r="D110" s="146">
        <v>7876</v>
      </c>
    </row>
    <row r="111" spans="1:4">
      <c r="A111" s="22">
        <v>2039</v>
      </c>
      <c r="B111" s="22">
        <v>2039</v>
      </c>
      <c r="C111" s="14">
        <v>5498</v>
      </c>
      <c r="D111" s="146">
        <v>5582</v>
      </c>
    </row>
    <row r="112" spans="1:4">
      <c r="A112" s="22">
        <v>2040</v>
      </c>
      <c r="B112" s="22">
        <v>2040</v>
      </c>
      <c r="C112" s="14">
        <v>5225</v>
      </c>
      <c r="D112" s="146">
        <v>5249</v>
      </c>
    </row>
    <row r="113" spans="1:4">
      <c r="A113" s="22">
        <v>2041</v>
      </c>
      <c r="B113" s="22">
        <v>2041</v>
      </c>
      <c r="C113" s="14">
        <v>7653</v>
      </c>
      <c r="D113" s="146">
        <v>7709</v>
      </c>
    </row>
    <row r="114" spans="1:4">
      <c r="A114" s="22">
        <v>2042</v>
      </c>
      <c r="B114" s="22">
        <v>2042</v>
      </c>
      <c r="C114" s="14">
        <v>6035</v>
      </c>
      <c r="D114" s="146">
        <v>6096</v>
      </c>
    </row>
    <row r="115" spans="1:4">
      <c r="A115" s="22" t="s">
        <v>296</v>
      </c>
      <c r="B115" s="22" t="s">
        <v>296</v>
      </c>
      <c r="C115" s="14">
        <v>749</v>
      </c>
      <c r="D115" s="146">
        <v>862</v>
      </c>
    </row>
    <row r="116" spans="1:4">
      <c r="A116" s="13">
        <v>2044</v>
      </c>
      <c r="B116" s="13">
        <v>2044</v>
      </c>
      <c r="C116" s="14">
        <v>9241</v>
      </c>
      <c r="D116" s="146">
        <v>9358</v>
      </c>
    </row>
    <row r="117" spans="1:4">
      <c r="A117" s="22">
        <v>2045</v>
      </c>
      <c r="B117" s="22">
        <v>2045</v>
      </c>
      <c r="C117" s="14">
        <v>6884</v>
      </c>
      <c r="D117" s="146">
        <v>6942</v>
      </c>
    </row>
    <row r="118" spans="1:4">
      <c r="A118" s="22">
        <v>2046</v>
      </c>
      <c r="B118" s="22">
        <v>2046</v>
      </c>
      <c r="C118" s="14">
        <v>5126</v>
      </c>
      <c r="D118" s="146">
        <v>5168</v>
      </c>
    </row>
    <row r="119" spans="1:4">
      <c r="A119" s="13">
        <v>2047</v>
      </c>
      <c r="B119" s="13">
        <v>2047</v>
      </c>
      <c r="C119" s="14">
        <v>696</v>
      </c>
      <c r="D119" s="146">
        <v>756</v>
      </c>
    </row>
    <row r="120" spans="1:4">
      <c r="A120" s="22">
        <v>2048</v>
      </c>
      <c r="B120" s="22">
        <v>2048</v>
      </c>
      <c r="C120" s="14">
        <v>6660</v>
      </c>
      <c r="D120" s="146">
        <v>6750</v>
      </c>
    </row>
    <row r="121" spans="1:4">
      <c r="A121" s="22">
        <v>2049</v>
      </c>
      <c r="B121" s="22">
        <v>2049</v>
      </c>
      <c r="C121" s="14">
        <v>7693</v>
      </c>
      <c r="D121" s="146">
        <v>7751</v>
      </c>
    </row>
    <row r="122" spans="1:4">
      <c r="A122" s="95">
        <v>2050</v>
      </c>
      <c r="B122" s="95">
        <v>2050</v>
      </c>
      <c r="C122" s="14">
        <v>6887</v>
      </c>
      <c r="D122" s="146">
        <v>6922</v>
      </c>
    </row>
    <row r="123" spans="1:4">
      <c r="A123" s="95">
        <v>2051</v>
      </c>
      <c r="B123" s="95">
        <v>2051</v>
      </c>
      <c r="C123" s="14">
        <v>576</v>
      </c>
      <c r="D123" s="146">
        <v>652</v>
      </c>
    </row>
    <row r="124" spans="1:4">
      <c r="A124" s="22">
        <v>2052</v>
      </c>
      <c r="B124" s="22">
        <v>2052</v>
      </c>
      <c r="C124" s="14">
        <v>7162</v>
      </c>
      <c r="D124" s="146">
        <v>7204</v>
      </c>
    </row>
    <row r="125" spans="1:4">
      <c r="A125" s="22">
        <v>2053</v>
      </c>
      <c r="B125" s="22">
        <v>2053</v>
      </c>
      <c r="C125" s="14">
        <v>7853</v>
      </c>
      <c r="D125" s="146">
        <v>7893</v>
      </c>
    </row>
    <row r="126" spans="1:4">
      <c r="A126" s="13">
        <v>2054</v>
      </c>
      <c r="B126" s="13">
        <v>2054</v>
      </c>
      <c r="C126" s="14">
        <v>326</v>
      </c>
      <c r="D126" s="146">
        <v>478</v>
      </c>
    </row>
    <row r="127" spans="1:4">
      <c r="A127" s="13">
        <v>2055</v>
      </c>
      <c r="B127" s="13">
        <v>2055</v>
      </c>
      <c r="C127" s="14">
        <v>6494</v>
      </c>
      <c r="D127" s="146">
        <v>6494</v>
      </c>
    </row>
    <row r="128" spans="1:4">
      <c r="A128" s="22">
        <v>2056</v>
      </c>
      <c r="B128" s="22">
        <v>2056</v>
      </c>
      <c r="C128" s="14">
        <v>9897</v>
      </c>
      <c r="D128" s="146">
        <v>9974</v>
      </c>
    </row>
    <row r="129" spans="1:4">
      <c r="A129" s="22">
        <v>2057</v>
      </c>
      <c r="B129" s="22">
        <v>2057</v>
      </c>
      <c r="C129" s="14">
        <v>8493</v>
      </c>
      <c r="D129" s="146">
        <v>8493</v>
      </c>
    </row>
    <row r="130" spans="1:4">
      <c r="A130" s="22">
        <v>2058</v>
      </c>
      <c r="B130" s="22">
        <v>2058</v>
      </c>
      <c r="C130" s="14">
        <v>9378</v>
      </c>
      <c r="D130" s="146">
        <v>9461</v>
      </c>
    </row>
    <row r="131" spans="1:4">
      <c r="A131" s="22">
        <v>2059</v>
      </c>
      <c r="B131" s="22">
        <v>2059</v>
      </c>
      <c r="C131" s="14">
        <v>9161</v>
      </c>
      <c r="D131" s="146">
        <v>9245</v>
      </c>
    </row>
    <row r="132" spans="1:4">
      <c r="A132" s="22">
        <v>2060</v>
      </c>
      <c r="B132" s="22">
        <v>2060</v>
      </c>
      <c r="C132" s="14">
        <v>1489</v>
      </c>
      <c r="D132" s="146">
        <v>1547</v>
      </c>
    </row>
    <row r="133" spans="1:4">
      <c r="A133" s="22">
        <v>2061</v>
      </c>
      <c r="B133" s="22">
        <v>2061</v>
      </c>
      <c r="C133" s="14">
        <v>8985</v>
      </c>
      <c r="D133" s="146">
        <v>9078</v>
      </c>
    </row>
    <row r="134" spans="1:4">
      <c r="A134" s="95">
        <v>2062</v>
      </c>
      <c r="B134" s="95">
        <v>2062</v>
      </c>
      <c r="C134" s="14">
        <v>7762</v>
      </c>
      <c r="D134" s="146">
        <v>7795</v>
      </c>
    </row>
    <row r="135" spans="1:4">
      <c r="A135" s="22" t="s">
        <v>334</v>
      </c>
      <c r="B135" s="22" t="s">
        <v>334</v>
      </c>
      <c r="C135" s="14">
        <v>0</v>
      </c>
      <c r="D135" s="146">
        <v>0</v>
      </c>
    </row>
    <row r="136" spans="1:4">
      <c r="A136" s="22">
        <v>2064</v>
      </c>
      <c r="B136" s="22">
        <v>2064</v>
      </c>
      <c r="C136" s="14">
        <v>940</v>
      </c>
      <c r="D136" s="146">
        <v>1085</v>
      </c>
    </row>
    <row r="137" spans="1:4">
      <c r="A137" s="95">
        <v>2066</v>
      </c>
      <c r="B137" s="95">
        <v>2066</v>
      </c>
      <c r="C137" s="14">
        <v>9865</v>
      </c>
      <c r="D137" s="146">
        <v>9995</v>
      </c>
    </row>
    <row r="138" spans="1:4">
      <c r="A138" s="95">
        <v>2067</v>
      </c>
      <c r="B138" s="95">
        <v>2067</v>
      </c>
      <c r="C138" s="14">
        <v>5251</v>
      </c>
      <c r="D138" s="146">
        <v>5251</v>
      </c>
    </row>
    <row r="139" spans="1:4">
      <c r="A139" s="22">
        <v>2068</v>
      </c>
      <c r="B139" s="22">
        <v>2068</v>
      </c>
      <c r="C139" s="14">
        <v>266</v>
      </c>
      <c r="D139" s="146">
        <v>336</v>
      </c>
    </row>
    <row r="140" spans="1:4">
      <c r="A140" s="13">
        <v>2069</v>
      </c>
      <c r="B140" s="13">
        <v>2069</v>
      </c>
      <c r="C140" s="14">
        <v>7913</v>
      </c>
      <c r="D140" s="146">
        <v>7953</v>
      </c>
    </row>
    <row r="141" spans="1:4">
      <c r="A141" s="22">
        <v>2070</v>
      </c>
      <c r="B141" s="22">
        <v>2070</v>
      </c>
      <c r="C141" s="14">
        <v>7313</v>
      </c>
      <c r="D141" s="146">
        <v>7378</v>
      </c>
    </row>
    <row r="142" spans="1:4">
      <c r="A142" s="22">
        <v>2071</v>
      </c>
      <c r="B142" s="22">
        <v>2071</v>
      </c>
      <c r="C142" s="14">
        <v>7864</v>
      </c>
      <c r="D142" s="146">
        <v>7913</v>
      </c>
    </row>
    <row r="143" spans="1:4">
      <c r="A143" s="22">
        <v>2072</v>
      </c>
      <c r="B143" s="22">
        <v>2072</v>
      </c>
      <c r="C143" s="14">
        <v>3486</v>
      </c>
      <c r="D143" s="146">
        <v>3608</v>
      </c>
    </row>
    <row r="144" spans="1:4">
      <c r="A144" s="22">
        <v>2073</v>
      </c>
      <c r="B144" s="22">
        <v>2073</v>
      </c>
      <c r="C144" s="14">
        <v>6070</v>
      </c>
      <c r="D144" s="146">
        <v>6162</v>
      </c>
    </row>
    <row r="145" spans="1:4">
      <c r="A145" s="22">
        <v>2074</v>
      </c>
      <c r="B145" s="22">
        <v>2074</v>
      </c>
      <c r="C145" s="14">
        <v>6533</v>
      </c>
      <c r="D145" s="146">
        <v>6571</v>
      </c>
    </row>
    <row r="146" spans="1:4">
      <c r="A146" s="95">
        <v>2075</v>
      </c>
      <c r="B146" s="95">
        <v>2075</v>
      </c>
      <c r="C146" s="14">
        <v>8189</v>
      </c>
      <c r="D146" s="146">
        <v>8262</v>
      </c>
    </row>
    <row r="147" spans="1:4">
      <c r="A147" s="22">
        <v>2076</v>
      </c>
      <c r="B147" s="22">
        <v>2076</v>
      </c>
      <c r="C147" s="14">
        <v>914</v>
      </c>
      <c r="D147" s="146">
        <v>1016</v>
      </c>
    </row>
    <row r="148" spans="1:4">
      <c r="A148" s="22">
        <v>2077</v>
      </c>
      <c r="B148" s="22">
        <v>2077</v>
      </c>
      <c r="C148" s="14">
        <v>9260</v>
      </c>
      <c r="D148" s="146">
        <v>9298</v>
      </c>
    </row>
    <row r="149" spans="1:4">
      <c r="A149" s="22" t="s">
        <v>361</v>
      </c>
      <c r="B149" s="22" t="s">
        <v>361</v>
      </c>
      <c r="C149" s="14">
        <v>132</v>
      </c>
      <c r="D149" s="146">
        <v>233</v>
      </c>
    </row>
    <row r="150" spans="1:4">
      <c r="A150" s="22">
        <v>2079</v>
      </c>
      <c r="B150" s="22">
        <v>2079</v>
      </c>
      <c r="C150" s="14">
        <v>3244</v>
      </c>
      <c r="D150" s="146">
        <v>3244</v>
      </c>
    </row>
    <row r="151" spans="1:4">
      <c r="A151" s="22">
        <v>2080</v>
      </c>
      <c r="B151" s="22">
        <v>2080</v>
      </c>
      <c r="C151" s="14">
        <v>892</v>
      </c>
      <c r="D151" s="146">
        <v>965</v>
      </c>
    </row>
    <row r="152" spans="1:4">
      <c r="A152" s="95">
        <v>2081</v>
      </c>
      <c r="B152" s="95">
        <v>2081</v>
      </c>
      <c r="C152" s="14">
        <v>8886</v>
      </c>
      <c r="D152" s="146">
        <v>8907</v>
      </c>
    </row>
    <row r="153" spans="1:4">
      <c r="A153" s="22">
        <v>2082</v>
      </c>
      <c r="B153" s="22">
        <v>2082</v>
      </c>
      <c r="C153" s="14">
        <v>8935</v>
      </c>
      <c r="D153" s="146">
        <v>8998</v>
      </c>
    </row>
    <row r="154" spans="1:4">
      <c r="A154" s="22">
        <v>2083</v>
      </c>
      <c r="B154" s="22">
        <v>2083</v>
      </c>
      <c r="C154" s="14">
        <v>9314</v>
      </c>
      <c r="D154" s="146">
        <v>9375</v>
      </c>
    </row>
    <row r="155" spans="1:4">
      <c r="A155" s="22">
        <v>2084</v>
      </c>
      <c r="B155" s="22">
        <v>2084</v>
      </c>
      <c r="C155" s="14">
        <v>8928</v>
      </c>
      <c r="D155" s="146">
        <v>8974</v>
      </c>
    </row>
    <row r="156" spans="1:4">
      <c r="A156" s="22">
        <v>2085</v>
      </c>
      <c r="B156" s="22">
        <v>2085</v>
      </c>
      <c r="C156" s="14">
        <v>901</v>
      </c>
      <c r="D156" s="146">
        <v>961</v>
      </c>
    </row>
    <row r="157" spans="1:4">
      <c r="A157" s="22">
        <v>2086</v>
      </c>
      <c r="B157" s="22">
        <v>2086</v>
      </c>
      <c r="C157" s="14">
        <v>9928</v>
      </c>
      <c r="D157" s="146">
        <v>9987</v>
      </c>
    </row>
    <row r="158" spans="1:4">
      <c r="A158" s="22">
        <v>2087</v>
      </c>
      <c r="B158" s="22">
        <v>2087</v>
      </c>
      <c r="C158" s="14">
        <v>8754</v>
      </c>
      <c r="D158" s="146">
        <v>8849</v>
      </c>
    </row>
    <row r="159" spans="1:4">
      <c r="A159" s="22">
        <v>2088</v>
      </c>
      <c r="B159" s="22">
        <v>2088</v>
      </c>
      <c r="C159" s="14">
        <v>9565</v>
      </c>
      <c r="D159" s="146">
        <v>9609</v>
      </c>
    </row>
    <row r="160" spans="1:4">
      <c r="A160" s="95">
        <v>2089</v>
      </c>
      <c r="B160" s="95">
        <v>2089</v>
      </c>
      <c r="C160" s="14">
        <v>1661</v>
      </c>
      <c r="D160" s="146">
        <v>1748</v>
      </c>
    </row>
    <row r="161" spans="1:4">
      <c r="A161" s="13">
        <v>2090</v>
      </c>
      <c r="B161" s="13">
        <v>2090</v>
      </c>
      <c r="C161" s="14">
        <v>149</v>
      </c>
      <c r="D161" s="146">
        <v>175</v>
      </c>
    </row>
    <row r="162" spans="1:4">
      <c r="A162" s="13" t="s">
        <v>386</v>
      </c>
      <c r="B162" s="13" t="s">
        <v>386</v>
      </c>
      <c r="C162" s="14"/>
      <c r="D162" s="14"/>
    </row>
    <row r="163" spans="1:4">
      <c r="A163" s="22" t="s">
        <v>388</v>
      </c>
      <c r="B163" s="22" t="s">
        <v>388</v>
      </c>
      <c r="C163" s="14"/>
      <c r="D163" s="14"/>
    </row>
    <row r="164" spans="1:4">
      <c r="A164" s="22" t="s">
        <v>390</v>
      </c>
      <c r="B164" s="22" t="s">
        <v>390</v>
      </c>
      <c r="C164" s="14"/>
      <c r="D164" s="14"/>
    </row>
    <row r="165" spans="1:4">
      <c r="A165" s="30" t="s">
        <v>392</v>
      </c>
      <c r="B165" s="30" t="s">
        <v>392</v>
      </c>
      <c r="C165" s="14"/>
      <c r="D165" s="14"/>
    </row>
    <row r="166" spans="1:4">
      <c r="A166" s="30" t="s">
        <v>394</v>
      </c>
      <c r="B166" s="30" t="s">
        <v>394</v>
      </c>
      <c r="C166" s="14"/>
      <c r="D166" s="14"/>
    </row>
    <row r="167" spans="1:4">
      <c r="A167" s="30" t="s">
        <v>396</v>
      </c>
      <c r="B167" s="30" t="s">
        <v>396</v>
      </c>
      <c r="C167" s="14"/>
      <c r="D167" s="14"/>
    </row>
    <row r="168" spans="1:4">
      <c r="A168" s="13" t="s">
        <v>398</v>
      </c>
      <c r="B168" s="13" t="s">
        <v>398</v>
      </c>
      <c r="C168" s="14"/>
      <c r="D168" s="14"/>
    </row>
    <row r="169" spans="1:4">
      <c r="A169" s="22">
        <v>3001</v>
      </c>
      <c r="B169" s="22">
        <v>3001</v>
      </c>
      <c r="C169" s="14">
        <v>3644</v>
      </c>
      <c r="D169" s="146">
        <v>3770</v>
      </c>
    </row>
    <row r="170" spans="1:4">
      <c r="A170" s="13">
        <v>3002</v>
      </c>
      <c r="B170" s="13">
        <v>3002</v>
      </c>
      <c r="C170" s="14">
        <v>9438</v>
      </c>
      <c r="D170" s="146">
        <v>9583</v>
      </c>
    </row>
    <row r="171" spans="1:4">
      <c r="A171" s="13">
        <v>3003</v>
      </c>
      <c r="B171" s="13">
        <v>3003</v>
      </c>
      <c r="C171" s="14">
        <v>1414</v>
      </c>
      <c r="D171" s="146">
        <v>1469</v>
      </c>
    </row>
    <row r="172" spans="1:4">
      <c r="A172" s="95">
        <v>3004</v>
      </c>
      <c r="B172" s="95">
        <v>3004</v>
      </c>
      <c r="C172" s="14">
        <v>5611</v>
      </c>
      <c r="D172" s="146">
        <v>5672</v>
      </c>
    </row>
    <row r="173" spans="1:4">
      <c r="A173" s="95">
        <v>3005</v>
      </c>
      <c r="B173" s="95">
        <v>3005</v>
      </c>
      <c r="C173" s="14">
        <v>5016</v>
      </c>
      <c r="D173" s="146">
        <v>5088</v>
      </c>
    </row>
    <row r="174" spans="1:4">
      <c r="A174" s="22">
        <v>3006</v>
      </c>
      <c r="B174" s="22">
        <v>3006</v>
      </c>
      <c r="C174" s="14">
        <v>2030</v>
      </c>
      <c r="D174" s="146">
        <v>2302</v>
      </c>
    </row>
    <row r="175" spans="1:4">
      <c r="A175" s="95">
        <v>3007</v>
      </c>
      <c r="B175" s="95">
        <v>3007</v>
      </c>
      <c r="C175" s="14">
        <v>90023</v>
      </c>
      <c r="D175" s="146">
        <v>90047</v>
      </c>
    </row>
    <row r="176" spans="1:4">
      <c r="A176" s="13">
        <v>3008</v>
      </c>
      <c r="B176" s="13">
        <v>3008</v>
      </c>
      <c r="C176" s="14">
        <v>7014</v>
      </c>
      <c r="D176" s="146">
        <v>657</v>
      </c>
    </row>
    <row r="177" spans="1:4">
      <c r="A177" s="13">
        <v>3009</v>
      </c>
      <c r="B177" s="13">
        <v>3009</v>
      </c>
      <c r="C177" s="14">
        <v>5284</v>
      </c>
      <c r="D177" s="146">
        <v>5347</v>
      </c>
    </row>
    <row r="178" spans="1:4">
      <c r="A178" s="13">
        <v>3010</v>
      </c>
      <c r="B178" s="13">
        <v>3010</v>
      </c>
      <c r="C178" s="14">
        <v>5988</v>
      </c>
      <c r="D178" s="146">
        <v>6107</v>
      </c>
    </row>
    <row r="179" spans="1:4">
      <c r="A179" s="22">
        <v>3011</v>
      </c>
      <c r="B179" s="22">
        <v>3011</v>
      </c>
      <c r="C179" s="14">
        <v>8380</v>
      </c>
      <c r="D179" s="146">
        <v>8557</v>
      </c>
    </row>
    <row r="180" spans="1:4">
      <c r="A180" s="13">
        <v>3012</v>
      </c>
      <c r="B180" s="13">
        <v>3012</v>
      </c>
      <c r="C180" s="14">
        <v>3485</v>
      </c>
      <c r="D180" s="146">
        <v>3783</v>
      </c>
    </row>
    <row r="181" spans="1:4">
      <c r="A181" s="13">
        <v>3013</v>
      </c>
      <c r="B181" s="13">
        <v>3013</v>
      </c>
      <c r="C181" s="14">
        <v>5573</v>
      </c>
      <c r="D181" s="146">
        <v>5845</v>
      </c>
    </row>
    <row r="182" spans="1:4">
      <c r="A182" s="22">
        <v>3014</v>
      </c>
      <c r="B182" s="22">
        <v>3014</v>
      </c>
      <c r="C182" s="14">
        <v>1951</v>
      </c>
      <c r="D182" s="146">
        <v>2031</v>
      </c>
    </row>
    <row r="183" spans="1:4">
      <c r="A183" s="13">
        <v>3015</v>
      </c>
      <c r="B183" s="13">
        <v>3015</v>
      </c>
      <c r="C183" s="14">
        <v>5259</v>
      </c>
      <c r="D183" s="146">
        <v>5352</v>
      </c>
    </row>
    <row r="184" spans="1:4">
      <c r="A184" s="13">
        <v>3016</v>
      </c>
      <c r="B184" s="13">
        <v>3016</v>
      </c>
      <c r="C184" s="14">
        <v>815</v>
      </c>
      <c r="D184" s="146">
        <v>1031</v>
      </c>
    </row>
    <row r="185" spans="1:4">
      <c r="A185" s="22">
        <v>3017</v>
      </c>
      <c r="B185" s="22">
        <v>3017</v>
      </c>
      <c r="C185" s="14">
        <v>2001</v>
      </c>
      <c r="D185" s="146">
        <v>2118</v>
      </c>
    </row>
    <row r="186" spans="1:4">
      <c r="A186" s="13">
        <v>3018</v>
      </c>
      <c r="B186" s="13">
        <v>3018</v>
      </c>
      <c r="C186" s="14">
        <v>10117</v>
      </c>
      <c r="D186" s="146">
        <v>246</v>
      </c>
    </row>
    <row r="187" spans="1:4">
      <c r="A187" s="22">
        <v>3019</v>
      </c>
      <c r="B187" s="22">
        <v>3019</v>
      </c>
      <c r="C187" s="14">
        <v>8493</v>
      </c>
      <c r="D187" s="146">
        <v>8769</v>
      </c>
    </row>
    <row r="188" spans="1:4">
      <c r="A188" s="13">
        <v>3020</v>
      </c>
      <c r="B188" s="13">
        <v>3020</v>
      </c>
      <c r="C188" s="115">
        <v>2997</v>
      </c>
      <c r="D188" s="148">
        <v>3113</v>
      </c>
    </row>
    <row r="189" spans="1:4">
      <c r="A189" s="22">
        <v>3021</v>
      </c>
      <c r="B189" s="22">
        <v>3021</v>
      </c>
      <c r="C189" s="115">
        <v>8011</v>
      </c>
      <c r="D189" s="148">
        <v>8083</v>
      </c>
    </row>
    <row r="190" spans="1:4">
      <c r="A190" s="13">
        <v>3022</v>
      </c>
      <c r="B190" s="13">
        <v>3022</v>
      </c>
      <c r="C190" s="14">
        <v>593</v>
      </c>
      <c r="D190" s="146">
        <v>740</v>
      </c>
    </row>
    <row r="191" spans="1:4">
      <c r="A191" s="95">
        <v>3023</v>
      </c>
      <c r="B191" s="95">
        <v>3023</v>
      </c>
      <c r="C191" s="115">
        <v>2256</v>
      </c>
      <c r="D191" s="148">
        <v>2582</v>
      </c>
    </row>
    <row r="192" spans="1:4">
      <c r="A192" s="22">
        <v>3024</v>
      </c>
      <c r="B192" s="22">
        <v>3024</v>
      </c>
      <c r="C192" s="14">
        <v>247</v>
      </c>
      <c r="D192" s="146">
        <v>374</v>
      </c>
    </row>
    <row r="193" spans="1:4">
      <c r="A193" s="13">
        <v>3025</v>
      </c>
      <c r="B193" s="13">
        <v>3025</v>
      </c>
      <c r="C193" s="14">
        <v>4880</v>
      </c>
      <c r="D193" s="146">
        <v>4917</v>
      </c>
    </row>
    <row r="194" spans="1:4">
      <c r="A194" s="13" t="s">
        <v>448</v>
      </c>
      <c r="B194" s="13" t="s">
        <v>448</v>
      </c>
      <c r="C194" s="14">
        <v>1132</v>
      </c>
      <c r="D194" s="146">
        <v>1386</v>
      </c>
    </row>
    <row r="195" spans="1:4">
      <c r="A195" s="13">
        <v>3027</v>
      </c>
      <c r="B195" s="13">
        <v>3027</v>
      </c>
      <c r="C195" s="14">
        <v>6887</v>
      </c>
      <c r="D195" s="146">
        <v>6983</v>
      </c>
    </row>
    <row r="196" spans="1:4">
      <c r="A196" s="22">
        <v>3030</v>
      </c>
      <c r="B196" s="22">
        <v>3030</v>
      </c>
      <c r="C196" s="115">
        <v>7811</v>
      </c>
      <c r="D196" s="148">
        <v>7972</v>
      </c>
    </row>
    <row r="197" spans="1:4">
      <c r="A197" s="13">
        <v>3031</v>
      </c>
      <c r="B197" s="13">
        <v>3031</v>
      </c>
      <c r="C197" s="14">
        <v>4231</v>
      </c>
      <c r="D197" s="146">
        <v>4326</v>
      </c>
    </row>
    <row r="198" spans="1:4">
      <c r="A198" s="13">
        <v>3032</v>
      </c>
      <c r="B198" s="13">
        <v>3032</v>
      </c>
      <c r="C198" s="14">
        <v>199</v>
      </c>
      <c r="D198" s="146">
        <v>311</v>
      </c>
    </row>
    <row r="199" spans="1:4">
      <c r="A199" s="13">
        <v>3033</v>
      </c>
      <c r="B199" s="13">
        <v>3033</v>
      </c>
      <c r="C199" s="14">
        <v>8121</v>
      </c>
      <c r="D199" s="146">
        <v>8244</v>
      </c>
    </row>
    <row r="200" spans="1:4">
      <c r="A200" s="95">
        <v>3034</v>
      </c>
      <c r="B200" s="95">
        <v>3034</v>
      </c>
      <c r="C200" s="14">
        <v>7679</v>
      </c>
      <c r="D200" s="146">
        <v>7801</v>
      </c>
    </row>
    <row r="201" spans="1:4">
      <c r="A201" s="13">
        <v>3035</v>
      </c>
      <c r="B201" s="13">
        <v>3035</v>
      </c>
      <c r="C201" s="14">
        <v>6379</v>
      </c>
      <c r="D201" s="146">
        <v>6518</v>
      </c>
    </row>
    <row r="202" spans="1:4">
      <c r="A202" s="13">
        <v>3036</v>
      </c>
      <c r="B202" s="13">
        <v>3036</v>
      </c>
      <c r="C202" s="14">
        <v>9496</v>
      </c>
      <c r="D202" s="146">
        <v>9733</v>
      </c>
    </row>
    <row r="203" spans="1:4">
      <c r="A203" s="13">
        <v>3037</v>
      </c>
      <c r="B203" s="13">
        <v>3037</v>
      </c>
      <c r="C203" s="14">
        <v>3086</v>
      </c>
      <c r="D203" s="146">
        <v>3328</v>
      </c>
    </row>
    <row r="204" spans="1:4">
      <c r="A204" s="95">
        <v>3038</v>
      </c>
      <c r="B204" s="95">
        <v>3038</v>
      </c>
      <c r="C204" s="14">
        <v>4232</v>
      </c>
      <c r="D204" s="146">
        <v>4464</v>
      </c>
    </row>
    <row r="205" spans="1:4">
      <c r="A205" s="13">
        <v>3039</v>
      </c>
      <c r="B205" s="13">
        <v>3039</v>
      </c>
      <c r="C205" s="115">
        <v>9197</v>
      </c>
      <c r="D205" s="148">
        <v>9499</v>
      </c>
    </row>
    <row r="206" spans="1:4">
      <c r="A206" s="13">
        <v>3040</v>
      </c>
      <c r="B206" s="13">
        <v>3040</v>
      </c>
      <c r="C206" s="115">
        <v>4360</v>
      </c>
      <c r="D206" s="148">
        <v>4641</v>
      </c>
    </row>
    <row r="207" spans="1:4">
      <c r="A207" s="13">
        <v>3041</v>
      </c>
      <c r="B207" s="13">
        <v>3041</v>
      </c>
      <c r="C207" s="14">
        <v>7811</v>
      </c>
      <c r="D207" s="146">
        <v>7951</v>
      </c>
    </row>
    <row r="208" spans="1:4">
      <c r="A208" s="13">
        <v>3042</v>
      </c>
      <c r="B208" s="13">
        <v>3042</v>
      </c>
      <c r="C208" s="14">
        <v>972</v>
      </c>
      <c r="D208" s="146">
        <v>1003</v>
      </c>
    </row>
    <row r="209" spans="1:4">
      <c r="A209" s="22">
        <v>3043</v>
      </c>
      <c r="B209" s="22">
        <v>3043</v>
      </c>
      <c r="C209" s="14">
        <v>8384</v>
      </c>
      <c r="D209" s="146">
        <v>8533</v>
      </c>
    </row>
    <row r="210" spans="1:4">
      <c r="A210" s="13" t="s">
        <v>479</v>
      </c>
      <c r="B210" s="13" t="s">
        <v>479</v>
      </c>
      <c r="C210" s="14">
        <v>1495</v>
      </c>
      <c r="D210" s="146">
        <v>1611</v>
      </c>
    </row>
    <row r="211" spans="1:4">
      <c r="A211" s="13">
        <v>3045</v>
      </c>
      <c r="B211" s="13">
        <v>3045</v>
      </c>
      <c r="C211" s="14">
        <v>8804</v>
      </c>
      <c r="D211" s="146">
        <v>8853</v>
      </c>
    </row>
    <row r="212" spans="1:4">
      <c r="A212" s="13">
        <v>3046</v>
      </c>
      <c r="B212" s="13">
        <v>3046</v>
      </c>
      <c r="C212" s="14">
        <v>8964</v>
      </c>
      <c r="D212" s="146">
        <v>9117</v>
      </c>
    </row>
    <row r="213" spans="1:4">
      <c r="A213" s="13">
        <v>3047</v>
      </c>
      <c r="B213" s="13">
        <v>3047</v>
      </c>
      <c r="C213" s="14">
        <v>9530</v>
      </c>
      <c r="D213" s="146">
        <v>9672</v>
      </c>
    </row>
    <row r="214" spans="1:4">
      <c r="A214" s="22">
        <v>3048</v>
      </c>
      <c r="B214" s="22">
        <v>3048</v>
      </c>
      <c r="C214" s="14">
        <v>7441</v>
      </c>
      <c r="D214" s="146">
        <v>7560</v>
      </c>
    </row>
    <row r="215" spans="1:4">
      <c r="A215" s="22">
        <v>3049</v>
      </c>
      <c r="B215" s="22">
        <v>3049</v>
      </c>
      <c r="C215" s="14">
        <v>508</v>
      </c>
      <c r="D215" s="146">
        <v>689</v>
      </c>
    </row>
    <row r="216" spans="1:4">
      <c r="A216" s="95">
        <v>3050</v>
      </c>
      <c r="B216" s="95">
        <v>3050</v>
      </c>
      <c r="C216" s="14">
        <v>9666</v>
      </c>
      <c r="D216" s="146">
        <v>9743</v>
      </c>
    </row>
    <row r="217" spans="1:4">
      <c r="A217" s="22" t="s">
        <v>494</v>
      </c>
      <c r="B217" s="22" t="s">
        <v>494</v>
      </c>
      <c r="C217" s="14">
        <v>3963</v>
      </c>
      <c r="D217" s="146">
        <v>4046</v>
      </c>
    </row>
    <row r="218" spans="1:4">
      <c r="A218" s="13">
        <v>3051</v>
      </c>
      <c r="B218" s="13">
        <v>3051</v>
      </c>
      <c r="C218" s="14">
        <v>2551</v>
      </c>
      <c r="D218" s="146">
        <v>2811</v>
      </c>
    </row>
    <row r="219" spans="1:4">
      <c r="A219" s="22">
        <v>3052</v>
      </c>
      <c r="B219" s="22">
        <v>3052</v>
      </c>
      <c r="C219" s="14">
        <v>6276</v>
      </c>
      <c r="D219" s="146">
        <v>6418</v>
      </c>
    </row>
    <row r="220" spans="1:4">
      <c r="A220" s="13" t="s">
        <v>502</v>
      </c>
      <c r="B220" s="13" t="s">
        <v>502</v>
      </c>
      <c r="C220" s="14">
        <f>2895+23010+21032</f>
        <v>46937</v>
      </c>
      <c r="D220" s="146">
        <f>2895+23267+21037</f>
        <v>47199</v>
      </c>
    </row>
    <row r="221" spans="1:4">
      <c r="A221" s="13">
        <v>3055</v>
      </c>
      <c r="B221" s="13">
        <v>3055</v>
      </c>
      <c r="C221" s="14">
        <v>4079</v>
      </c>
      <c r="D221" s="146">
        <v>4172</v>
      </c>
    </row>
    <row r="222" spans="1:4">
      <c r="A222" s="22" t="s">
        <v>508</v>
      </c>
      <c r="B222" s="22" t="s">
        <v>508</v>
      </c>
      <c r="C222" s="14"/>
      <c r="D222" s="14"/>
    </row>
    <row r="223" spans="1:4">
      <c r="A223" s="22" t="s">
        <v>510</v>
      </c>
      <c r="B223" s="22" t="s">
        <v>510</v>
      </c>
      <c r="C223" s="14"/>
      <c r="D223" s="14"/>
    </row>
    <row r="224" spans="1:4">
      <c r="A224" s="149">
        <v>4001</v>
      </c>
      <c r="B224" s="149">
        <v>4001</v>
      </c>
      <c r="C224" s="14">
        <v>9072</v>
      </c>
      <c r="D224" s="146">
        <v>9308</v>
      </c>
    </row>
    <row r="225" spans="1:4">
      <c r="A225" s="22">
        <v>4002</v>
      </c>
      <c r="B225" s="22">
        <v>4002</v>
      </c>
      <c r="C225" s="14">
        <v>3780</v>
      </c>
      <c r="D225" s="146">
        <v>3967</v>
      </c>
    </row>
    <row r="226" spans="1:4">
      <c r="A226" s="22">
        <v>4003</v>
      </c>
      <c r="B226" s="22">
        <v>4003</v>
      </c>
      <c r="C226" s="14">
        <v>2914</v>
      </c>
      <c r="D226" s="146">
        <v>3124</v>
      </c>
    </row>
    <row r="227" spans="1:4">
      <c r="A227" s="22">
        <v>4004</v>
      </c>
      <c r="B227" s="22">
        <v>4004</v>
      </c>
      <c r="C227" s="14">
        <v>8755</v>
      </c>
      <c r="D227" s="146">
        <v>8840</v>
      </c>
    </row>
    <row r="228" spans="1:4">
      <c r="A228" s="13">
        <v>4005</v>
      </c>
      <c r="B228" s="13">
        <v>4005</v>
      </c>
      <c r="C228" s="14">
        <v>1392</v>
      </c>
      <c r="D228" s="146">
        <v>1572</v>
      </c>
    </row>
    <row r="229" spans="1:4">
      <c r="A229" s="22">
        <v>4006</v>
      </c>
      <c r="B229" s="22">
        <v>4006</v>
      </c>
      <c r="C229" s="14">
        <v>3289</v>
      </c>
      <c r="D229" s="146">
        <v>3431</v>
      </c>
    </row>
    <row r="230" spans="1:4">
      <c r="A230" s="22">
        <v>4007</v>
      </c>
      <c r="B230" s="22">
        <v>4007</v>
      </c>
      <c r="C230" s="14">
        <v>6784</v>
      </c>
      <c r="D230" s="146">
        <v>6951</v>
      </c>
    </row>
    <row r="231" spans="1:4">
      <c r="A231" s="22">
        <v>4008</v>
      </c>
      <c r="B231" s="22">
        <v>4008</v>
      </c>
      <c r="C231" s="14">
        <v>9202</v>
      </c>
      <c r="D231" s="146">
        <v>9317</v>
      </c>
    </row>
    <row r="232" spans="1:4">
      <c r="A232" s="22">
        <v>4009</v>
      </c>
      <c r="B232" s="22">
        <v>4009</v>
      </c>
      <c r="C232" s="14">
        <v>3647</v>
      </c>
      <c r="D232" s="146">
        <v>3787</v>
      </c>
    </row>
    <row r="233" spans="1:4">
      <c r="A233" s="13">
        <v>4010</v>
      </c>
      <c r="B233" s="13">
        <v>4010</v>
      </c>
      <c r="C233" s="14">
        <v>5466</v>
      </c>
      <c r="D233" s="146">
        <v>5663</v>
      </c>
    </row>
    <row r="234" spans="1:4">
      <c r="A234" s="13">
        <v>4011</v>
      </c>
      <c r="B234" s="13">
        <v>4011</v>
      </c>
      <c r="C234" s="14">
        <v>15124</v>
      </c>
      <c r="D234" s="146">
        <v>15401</v>
      </c>
    </row>
    <row r="235" spans="1:4">
      <c r="A235" s="13">
        <v>4012</v>
      </c>
      <c r="B235" s="13">
        <v>4012</v>
      </c>
      <c r="C235" s="14">
        <v>6896</v>
      </c>
      <c r="D235" s="146">
        <v>7147</v>
      </c>
    </row>
    <row r="236" spans="1:4">
      <c r="A236" s="13">
        <v>4013</v>
      </c>
      <c r="B236" s="13">
        <v>4013</v>
      </c>
      <c r="C236" s="14">
        <v>5327</v>
      </c>
      <c r="D236" s="146">
        <v>5376</v>
      </c>
    </row>
    <row r="237" spans="1:4">
      <c r="A237" s="13">
        <v>4014</v>
      </c>
      <c r="B237" s="13">
        <v>4014</v>
      </c>
      <c r="C237" s="14">
        <v>5870</v>
      </c>
      <c r="D237" s="146">
        <v>6046</v>
      </c>
    </row>
    <row r="238" spans="1:4">
      <c r="A238" s="13">
        <v>4015</v>
      </c>
      <c r="B238" s="13">
        <v>4015</v>
      </c>
      <c r="C238" s="14">
        <v>2282</v>
      </c>
      <c r="D238" s="146">
        <v>2407</v>
      </c>
    </row>
    <row r="239" spans="1:4">
      <c r="A239" s="22">
        <v>4016</v>
      </c>
      <c r="B239" s="22">
        <v>4016</v>
      </c>
      <c r="C239" s="14">
        <v>3534</v>
      </c>
      <c r="D239" s="146">
        <v>3721</v>
      </c>
    </row>
    <row r="240" spans="1:4">
      <c r="A240" s="95">
        <v>4017</v>
      </c>
      <c r="B240" s="95">
        <v>4017</v>
      </c>
      <c r="C240" s="14">
        <v>5356</v>
      </c>
      <c r="D240" s="146">
        <v>5535</v>
      </c>
    </row>
    <row r="241" spans="1:4">
      <c r="A241" s="13">
        <v>4018</v>
      </c>
      <c r="B241" s="13">
        <v>4018</v>
      </c>
      <c r="C241" s="14">
        <v>7908</v>
      </c>
      <c r="D241" s="146">
        <v>8086</v>
      </c>
    </row>
    <row r="242" spans="1:4">
      <c r="A242" s="13">
        <v>4019</v>
      </c>
      <c r="B242" s="13">
        <v>4019</v>
      </c>
      <c r="C242" s="14">
        <v>8076</v>
      </c>
      <c r="D242" s="146">
        <v>8220</v>
      </c>
    </row>
    <row r="243" spans="1:4">
      <c r="A243" s="22">
        <v>4020</v>
      </c>
      <c r="B243" s="22">
        <v>4020</v>
      </c>
      <c r="C243" s="14">
        <v>8648</v>
      </c>
      <c r="D243" s="146">
        <v>8748</v>
      </c>
    </row>
    <row r="244" spans="1:4">
      <c r="A244" s="13">
        <v>4021</v>
      </c>
      <c r="B244" s="13">
        <v>4021</v>
      </c>
      <c r="C244" s="14">
        <v>1974</v>
      </c>
      <c r="D244" s="146">
        <v>2102</v>
      </c>
    </row>
    <row r="245" spans="1:4">
      <c r="A245" s="13">
        <v>4022</v>
      </c>
      <c r="B245" s="13">
        <v>4022</v>
      </c>
      <c r="C245" s="14">
        <v>836</v>
      </c>
      <c r="D245" s="146">
        <v>964</v>
      </c>
    </row>
    <row r="246" spans="1:4">
      <c r="A246" s="22">
        <v>4023</v>
      </c>
      <c r="B246" s="22">
        <v>4023</v>
      </c>
      <c r="C246" s="14">
        <v>7006</v>
      </c>
      <c r="D246" s="146">
        <v>7104</v>
      </c>
    </row>
    <row r="247" spans="1:4">
      <c r="A247" s="13">
        <v>4024</v>
      </c>
      <c r="B247" s="13">
        <v>4024</v>
      </c>
      <c r="C247" s="14">
        <v>2362</v>
      </c>
      <c r="D247" s="146">
        <v>2558</v>
      </c>
    </row>
    <row r="248" spans="1:4">
      <c r="A248" s="22">
        <v>4025</v>
      </c>
      <c r="B248" s="22">
        <v>4025</v>
      </c>
      <c r="C248" s="14">
        <v>4241</v>
      </c>
      <c r="D248" s="146">
        <v>4555</v>
      </c>
    </row>
    <row r="249" spans="1:4">
      <c r="A249" s="13">
        <v>4026</v>
      </c>
      <c r="B249" s="13">
        <v>4026</v>
      </c>
      <c r="C249" s="14">
        <v>4344</v>
      </c>
      <c r="D249" s="146">
        <v>4422</v>
      </c>
    </row>
    <row r="250" spans="1:4">
      <c r="A250" s="13">
        <v>4027</v>
      </c>
      <c r="B250" s="13">
        <v>4027</v>
      </c>
      <c r="C250" s="14">
        <v>4344</v>
      </c>
      <c r="D250" s="146">
        <v>4422</v>
      </c>
    </row>
    <row r="251" spans="1:4">
      <c r="A251" s="95">
        <v>4028</v>
      </c>
      <c r="B251" s="95">
        <v>4028</v>
      </c>
      <c r="C251" s="96">
        <v>1509</v>
      </c>
      <c r="D251" s="147">
        <v>1733</v>
      </c>
    </row>
    <row r="252" spans="1:4">
      <c r="A252" s="13">
        <v>4029</v>
      </c>
      <c r="B252" s="13">
        <v>4029</v>
      </c>
      <c r="C252" s="14">
        <v>3465</v>
      </c>
      <c r="D252" s="146">
        <v>3544</v>
      </c>
    </row>
    <row r="253" spans="1:4">
      <c r="A253" s="13">
        <v>4030</v>
      </c>
      <c r="B253" s="13">
        <v>4030</v>
      </c>
      <c r="C253" s="14">
        <v>10171</v>
      </c>
      <c r="D253" s="146">
        <v>353</v>
      </c>
    </row>
    <row r="254" spans="1:4">
      <c r="A254" s="13">
        <v>4031</v>
      </c>
      <c r="B254" s="13">
        <v>4031</v>
      </c>
      <c r="C254" s="14">
        <v>3178</v>
      </c>
      <c r="D254" s="146">
        <v>3294</v>
      </c>
    </row>
    <row r="255" spans="1:4">
      <c r="A255" s="95">
        <v>4032</v>
      </c>
      <c r="B255" s="95">
        <v>4032</v>
      </c>
      <c r="C255" s="14">
        <v>6765</v>
      </c>
      <c r="D255" s="146">
        <v>6932</v>
      </c>
    </row>
    <row r="256" spans="1:4">
      <c r="A256" s="13">
        <v>4033</v>
      </c>
      <c r="B256" s="13">
        <v>4033</v>
      </c>
      <c r="C256" s="14">
        <v>10135</v>
      </c>
      <c r="D256" s="146">
        <v>357</v>
      </c>
    </row>
    <row r="257" spans="1:4">
      <c r="A257" s="13">
        <v>4035</v>
      </c>
      <c r="B257" s="13">
        <v>4035</v>
      </c>
      <c r="C257" s="14">
        <v>4502</v>
      </c>
      <c r="D257" s="146">
        <v>4815</v>
      </c>
    </row>
    <row r="258" spans="1:4">
      <c r="A258" s="13" t="s">
        <v>576</v>
      </c>
      <c r="B258" s="13" t="s">
        <v>576</v>
      </c>
      <c r="C258" s="14">
        <v>6373</v>
      </c>
      <c r="D258" s="146">
        <v>6667</v>
      </c>
    </row>
    <row r="259" spans="1:4">
      <c r="A259" s="22">
        <v>4036</v>
      </c>
      <c r="B259" s="22">
        <v>4036</v>
      </c>
      <c r="C259" s="14">
        <v>7182</v>
      </c>
      <c r="D259" s="146">
        <v>7256</v>
      </c>
    </row>
    <row r="260" spans="1:4">
      <c r="A260" s="22">
        <v>4037</v>
      </c>
      <c r="B260" s="22">
        <v>4037</v>
      </c>
      <c r="C260" s="14">
        <v>1647</v>
      </c>
      <c r="D260" s="146">
        <v>1899</v>
      </c>
    </row>
    <row r="261" spans="1:4">
      <c r="A261" s="13">
        <v>4038</v>
      </c>
      <c r="B261" s="13">
        <v>4038</v>
      </c>
      <c r="C261" s="14">
        <v>2028</v>
      </c>
      <c r="D261" s="146">
        <v>2301</v>
      </c>
    </row>
    <row r="262" spans="1:4">
      <c r="A262" s="95">
        <v>4039</v>
      </c>
      <c r="B262" s="95">
        <v>4039</v>
      </c>
      <c r="C262" s="14">
        <v>7646</v>
      </c>
      <c r="D262" s="146">
        <v>7847</v>
      </c>
    </row>
    <row r="263" spans="1:4">
      <c r="A263" s="13">
        <v>4040</v>
      </c>
      <c r="B263" s="13">
        <v>4040</v>
      </c>
      <c r="C263" s="14">
        <v>10159</v>
      </c>
      <c r="D263" s="146">
        <v>313</v>
      </c>
    </row>
    <row r="264" spans="1:4">
      <c r="A264" s="22">
        <v>4041</v>
      </c>
      <c r="B264" s="22">
        <v>4041</v>
      </c>
      <c r="C264" s="14">
        <v>3150</v>
      </c>
      <c r="D264" s="146">
        <v>3284</v>
      </c>
    </row>
    <row r="265" spans="1:4">
      <c r="A265" s="22">
        <v>4042</v>
      </c>
      <c r="B265" s="22">
        <v>4042</v>
      </c>
      <c r="C265" s="14">
        <v>2633</v>
      </c>
      <c r="D265" s="146">
        <v>2758</v>
      </c>
    </row>
    <row r="266" spans="1:4">
      <c r="A266" s="95">
        <v>4043</v>
      </c>
      <c r="B266" s="95">
        <v>4043</v>
      </c>
      <c r="C266" s="14">
        <v>7195</v>
      </c>
      <c r="D266" s="146">
        <v>7309</v>
      </c>
    </row>
    <row r="267" spans="1:4">
      <c r="A267" s="13">
        <v>4044</v>
      </c>
      <c r="B267" s="13">
        <v>4044</v>
      </c>
      <c r="C267" s="14">
        <v>4135</v>
      </c>
      <c r="D267" s="146">
        <v>4239</v>
      </c>
    </row>
    <row r="268" spans="1:4">
      <c r="A268" s="13">
        <v>4045</v>
      </c>
      <c r="B268" s="13">
        <v>4045</v>
      </c>
      <c r="C268" s="14">
        <v>7641</v>
      </c>
      <c r="D268" s="146">
        <v>7800</v>
      </c>
    </row>
    <row r="269" spans="1:4">
      <c r="A269" s="13">
        <v>4046</v>
      </c>
      <c r="B269" s="13">
        <v>4046</v>
      </c>
      <c r="C269" s="14">
        <v>9118</v>
      </c>
      <c r="D269" s="146">
        <v>9336</v>
      </c>
    </row>
    <row r="270" spans="1:4">
      <c r="A270" s="13" t="s">
        <v>599</v>
      </c>
      <c r="B270" s="13" t="s">
        <v>599</v>
      </c>
      <c r="C270" s="14">
        <v>3149</v>
      </c>
      <c r="D270" s="146">
        <v>3310</v>
      </c>
    </row>
    <row r="271" spans="1:4">
      <c r="A271" s="150" t="s">
        <v>601</v>
      </c>
      <c r="B271" s="150" t="s">
        <v>601</v>
      </c>
      <c r="C271" s="14"/>
      <c r="D271" s="14"/>
    </row>
    <row r="272" spans="1:4">
      <c r="A272" s="22">
        <v>5001</v>
      </c>
      <c r="B272" s="22">
        <v>5001</v>
      </c>
      <c r="C272" s="14">
        <v>34245</v>
      </c>
      <c r="D272" s="146">
        <v>34549</v>
      </c>
    </row>
    <row r="273" spans="1:4">
      <c r="A273" s="95">
        <v>5002</v>
      </c>
      <c r="B273" s="95">
        <v>5002</v>
      </c>
      <c r="C273" s="115">
        <v>15519</v>
      </c>
      <c r="D273" s="148">
        <v>15593</v>
      </c>
    </row>
    <row r="274" spans="1:4">
      <c r="A274" s="95">
        <v>5003</v>
      </c>
      <c r="B274" s="95">
        <v>5003</v>
      </c>
      <c r="C274" s="14">
        <v>28206</v>
      </c>
      <c r="D274" s="146">
        <v>28333</v>
      </c>
    </row>
    <row r="275" spans="1:4">
      <c r="A275" s="13" t="s">
        <v>611</v>
      </c>
      <c r="B275" s="13" t="s">
        <v>611</v>
      </c>
      <c r="C275" s="14">
        <v>24024</v>
      </c>
      <c r="D275" s="146">
        <v>24221</v>
      </c>
    </row>
    <row r="276" spans="1:4">
      <c r="A276" s="22">
        <v>5005</v>
      </c>
      <c r="B276" s="22">
        <v>5005</v>
      </c>
      <c r="C276" s="14">
        <v>23997</v>
      </c>
      <c r="D276" s="146">
        <v>24277</v>
      </c>
    </row>
    <row r="277" spans="1:4">
      <c r="A277" s="22">
        <v>5006</v>
      </c>
      <c r="B277" s="22">
        <v>5006</v>
      </c>
      <c r="C277" s="14">
        <v>23444</v>
      </c>
      <c r="D277" s="146">
        <v>23607</v>
      </c>
    </row>
    <row r="278" spans="1:4">
      <c r="A278" s="95">
        <v>5007</v>
      </c>
      <c r="B278" s="95">
        <v>5007</v>
      </c>
      <c r="C278" s="14">
        <v>27243</v>
      </c>
      <c r="D278" s="146">
        <v>27376</v>
      </c>
    </row>
    <row r="279" spans="1:4">
      <c r="A279" s="22">
        <v>5008</v>
      </c>
      <c r="B279" s="22">
        <v>5008</v>
      </c>
      <c r="C279" s="14">
        <v>26710</v>
      </c>
      <c r="D279" s="146">
        <v>26814</v>
      </c>
    </row>
    <row r="280" spans="1:4">
      <c r="A280" s="95">
        <v>5009</v>
      </c>
      <c r="B280" s="95">
        <v>5009</v>
      </c>
      <c r="C280" s="14">
        <v>29962</v>
      </c>
      <c r="D280" s="146">
        <v>30134</v>
      </c>
    </row>
    <row r="281" spans="1:4">
      <c r="A281" s="95">
        <v>5010</v>
      </c>
      <c r="B281" s="95">
        <v>5010</v>
      </c>
      <c r="C281" s="14">
        <v>23961</v>
      </c>
      <c r="D281" s="146">
        <v>24059</v>
      </c>
    </row>
    <row r="282" spans="1:4">
      <c r="A282" s="13">
        <v>5011</v>
      </c>
      <c r="B282" s="13">
        <v>5011</v>
      </c>
      <c r="C282" s="14">
        <v>22352</v>
      </c>
      <c r="D282" s="146">
        <v>22488</v>
      </c>
    </row>
    <row r="283" spans="1:4">
      <c r="A283" s="13">
        <v>5012</v>
      </c>
      <c r="B283" s="13">
        <v>5012</v>
      </c>
      <c r="C283" s="14">
        <v>27074</v>
      </c>
      <c r="D283" s="146">
        <v>27231</v>
      </c>
    </row>
    <row r="284" spans="1:4">
      <c r="A284" s="13">
        <v>5013</v>
      </c>
      <c r="B284" s="13">
        <v>5013</v>
      </c>
      <c r="C284" s="14">
        <v>1881</v>
      </c>
      <c r="D284" s="146">
        <v>2143</v>
      </c>
    </row>
    <row r="285" spans="1:4">
      <c r="A285" s="95" t="s">
        <v>630</v>
      </c>
      <c r="B285" s="95" t="s">
        <v>630</v>
      </c>
      <c r="C285" s="14">
        <v>21907</v>
      </c>
      <c r="D285" s="146">
        <v>22029</v>
      </c>
    </row>
    <row r="286" spans="1:4">
      <c r="A286" s="95">
        <v>5015</v>
      </c>
      <c r="B286" s="95">
        <v>5015</v>
      </c>
      <c r="C286" s="14">
        <v>17745</v>
      </c>
      <c r="D286" s="146">
        <v>17839</v>
      </c>
    </row>
    <row r="287" spans="1:4">
      <c r="A287" s="95">
        <v>5016</v>
      </c>
      <c r="B287" s="95">
        <v>5016</v>
      </c>
      <c r="C287" s="14">
        <v>24010</v>
      </c>
      <c r="D287" s="146">
        <v>24134</v>
      </c>
    </row>
    <row r="288" spans="1:4">
      <c r="A288" s="95">
        <v>5017</v>
      </c>
      <c r="B288" s="95">
        <v>5017</v>
      </c>
      <c r="C288" s="14">
        <v>19212</v>
      </c>
      <c r="D288" s="146">
        <v>19388</v>
      </c>
    </row>
    <row r="289" spans="1:4">
      <c r="A289" s="95">
        <v>5018</v>
      </c>
      <c r="B289" s="95">
        <v>5018</v>
      </c>
      <c r="C289" s="14">
        <v>33384</v>
      </c>
      <c r="D289" s="146">
        <v>33720</v>
      </c>
    </row>
    <row r="290" spans="1:4">
      <c r="A290" s="22">
        <v>5019</v>
      </c>
      <c r="B290" s="22">
        <v>5019</v>
      </c>
      <c r="C290" s="14">
        <v>20119</v>
      </c>
      <c r="D290" s="146">
        <v>20154</v>
      </c>
    </row>
    <row r="291" spans="1:4">
      <c r="A291" s="95">
        <v>5020</v>
      </c>
      <c r="B291" s="95">
        <v>5020</v>
      </c>
      <c r="C291" s="14">
        <v>22152</v>
      </c>
      <c r="D291" s="146">
        <v>22298</v>
      </c>
    </row>
    <row r="292" spans="1:4">
      <c r="A292" s="13">
        <v>5021</v>
      </c>
      <c r="B292" s="13">
        <v>5021</v>
      </c>
      <c r="C292" s="14">
        <v>23058</v>
      </c>
      <c r="D292" s="146">
        <v>23236</v>
      </c>
    </row>
    <row r="293" spans="1:4">
      <c r="A293" s="13">
        <v>5022</v>
      </c>
      <c r="B293" s="13">
        <v>5022</v>
      </c>
      <c r="C293" s="14">
        <v>21803</v>
      </c>
      <c r="D293" s="146">
        <v>21970</v>
      </c>
    </row>
    <row r="294" spans="1:4">
      <c r="A294" s="95">
        <v>5023</v>
      </c>
      <c r="B294" s="95">
        <v>5023</v>
      </c>
      <c r="C294" s="14">
        <v>18810</v>
      </c>
      <c r="D294" s="146">
        <v>18878</v>
      </c>
    </row>
    <row r="295" spans="1:4">
      <c r="A295" s="95">
        <v>5024</v>
      </c>
      <c r="B295" s="95">
        <v>5024</v>
      </c>
      <c r="C295" s="14">
        <v>24813</v>
      </c>
      <c r="D295" s="146">
        <v>24895</v>
      </c>
    </row>
    <row r="296" spans="1:4">
      <c r="A296" s="95">
        <v>5025</v>
      </c>
      <c r="B296" s="95">
        <v>5025</v>
      </c>
      <c r="C296" s="14">
        <v>25977</v>
      </c>
      <c r="D296" s="146">
        <v>26132</v>
      </c>
    </row>
    <row r="297" spans="1:4">
      <c r="A297" s="95">
        <v>5026</v>
      </c>
      <c r="B297" s="95">
        <v>5026</v>
      </c>
      <c r="C297" s="14">
        <v>24242</v>
      </c>
      <c r="D297" s="146">
        <v>24380</v>
      </c>
    </row>
    <row r="298" spans="1:4">
      <c r="A298" s="95">
        <v>5027</v>
      </c>
      <c r="B298" s="95">
        <v>5027</v>
      </c>
      <c r="C298" s="14">
        <v>23070</v>
      </c>
      <c r="D298" s="146">
        <v>23201</v>
      </c>
    </row>
    <row r="299" spans="1:4">
      <c r="A299" s="95">
        <v>5028</v>
      </c>
      <c r="B299" s="95">
        <v>5028</v>
      </c>
      <c r="C299" s="14">
        <v>32322</v>
      </c>
      <c r="D299" s="146">
        <v>32596</v>
      </c>
    </row>
    <row r="300" spans="1:4">
      <c r="A300" s="22">
        <v>5029</v>
      </c>
      <c r="B300" s="22">
        <v>5029</v>
      </c>
      <c r="C300" s="14">
        <v>24907</v>
      </c>
      <c r="D300" s="146">
        <v>25130</v>
      </c>
    </row>
    <row r="301" spans="1:4">
      <c r="A301" s="95">
        <v>5030</v>
      </c>
      <c r="B301" s="95">
        <v>5030</v>
      </c>
      <c r="C301" s="14">
        <v>25168</v>
      </c>
      <c r="D301" s="146">
        <v>25328</v>
      </c>
    </row>
    <row r="302" spans="1:4">
      <c r="A302" s="95">
        <v>5031</v>
      </c>
      <c r="B302" s="95">
        <v>5031</v>
      </c>
      <c r="C302" s="14">
        <v>5879</v>
      </c>
      <c r="D302" s="146">
        <v>6111</v>
      </c>
    </row>
    <row r="303" spans="1:4">
      <c r="A303" s="95">
        <v>5032</v>
      </c>
      <c r="B303" s="95">
        <v>5032</v>
      </c>
      <c r="C303" s="96">
        <v>26877</v>
      </c>
      <c r="D303" s="147">
        <v>27057</v>
      </c>
    </row>
    <row r="304" spans="1:4">
      <c r="A304" s="13">
        <v>5033</v>
      </c>
      <c r="B304" s="13">
        <v>5033</v>
      </c>
      <c r="C304" s="14">
        <v>30746</v>
      </c>
      <c r="D304" s="146">
        <v>31071</v>
      </c>
    </row>
    <row r="305" spans="1:4">
      <c r="A305" s="13">
        <v>5034</v>
      </c>
      <c r="B305" s="13">
        <v>5034</v>
      </c>
      <c r="C305" s="14">
        <v>28752</v>
      </c>
      <c r="D305" s="146">
        <v>29001</v>
      </c>
    </row>
    <row r="306" spans="1:4">
      <c r="A306" s="95">
        <v>5035</v>
      </c>
      <c r="B306" s="95">
        <v>5035</v>
      </c>
      <c r="C306" s="14">
        <v>26228</v>
      </c>
      <c r="D306" s="146">
        <v>26527</v>
      </c>
    </row>
    <row r="307" spans="1:4">
      <c r="A307" s="95">
        <v>5036</v>
      </c>
      <c r="B307" s="95">
        <v>5036</v>
      </c>
      <c r="C307" s="14">
        <v>23572</v>
      </c>
      <c r="D307" s="146">
        <v>23717</v>
      </c>
    </row>
    <row r="308" spans="1:4">
      <c r="A308" s="95">
        <v>5037</v>
      </c>
      <c r="B308" s="95">
        <v>5037</v>
      </c>
      <c r="C308" s="14">
        <v>24195</v>
      </c>
      <c r="D308" s="146">
        <v>24443</v>
      </c>
    </row>
    <row r="309" spans="1:4">
      <c r="A309" s="22">
        <v>5038</v>
      </c>
      <c r="B309" s="22">
        <v>5038</v>
      </c>
      <c r="C309" s="14">
        <v>21152</v>
      </c>
      <c r="D309" s="146">
        <v>21374</v>
      </c>
    </row>
    <row r="310" spans="1:4">
      <c r="A310" s="13">
        <v>5039</v>
      </c>
      <c r="B310" s="13">
        <v>5039</v>
      </c>
      <c r="C310" s="14">
        <v>21708</v>
      </c>
      <c r="D310" s="146">
        <v>21810</v>
      </c>
    </row>
    <row r="311" spans="1:4">
      <c r="A311" s="95">
        <v>5040</v>
      </c>
      <c r="B311" s="95">
        <v>5040</v>
      </c>
      <c r="C311" s="14">
        <v>22482</v>
      </c>
      <c r="D311" s="146">
        <v>22652</v>
      </c>
    </row>
    <row r="312" spans="1:4">
      <c r="A312" s="95">
        <v>5041</v>
      </c>
      <c r="B312" s="95">
        <v>5041</v>
      </c>
      <c r="C312" s="14">
        <v>25009</v>
      </c>
      <c r="D312" s="146">
        <v>25199</v>
      </c>
    </row>
    <row r="313" spans="1:4">
      <c r="A313" s="13">
        <v>5042</v>
      </c>
      <c r="B313" s="13">
        <v>5042</v>
      </c>
      <c r="C313" s="14">
        <v>28116</v>
      </c>
      <c r="D313" s="146">
        <v>28316</v>
      </c>
    </row>
    <row r="314" spans="1:4">
      <c r="A314" s="95">
        <v>5043</v>
      </c>
      <c r="B314" s="95">
        <v>5043</v>
      </c>
      <c r="C314" s="14">
        <v>31741</v>
      </c>
      <c r="D314" s="146">
        <v>31956</v>
      </c>
    </row>
    <row r="315" spans="1:4">
      <c r="A315" s="95" t="s">
        <v>683</v>
      </c>
      <c r="B315" s="95" t="s">
        <v>683</v>
      </c>
      <c r="C315" s="14">
        <v>22697</v>
      </c>
      <c r="D315" s="146">
        <v>22949</v>
      </c>
    </row>
    <row r="316" spans="1:4">
      <c r="A316" s="95">
        <v>5045</v>
      </c>
      <c r="B316" s="95">
        <v>5045</v>
      </c>
      <c r="C316" s="14">
        <v>26942</v>
      </c>
      <c r="D316" s="146">
        <v>27237</v>
      </c>
    </row>
    <row r="317" spans="1:4">
      <c r="A317" s="13" t="s">
        <v>688</v>
      </c>
      <c r="B317" s="13" t="s">
        <v>688</v>
      </c>
      <c r="C317" s="115">
        <v>53328</v>
      </c>
      <c r="D317" s="148">
        <v>53552</v>
      </c>
    </row>
    <row r="318" spans="1:4">
      <c r="A318" s="13" t="s">
        <v>691</v>
      </c>
      <c r="B318" s="13" t="s">
        <v>691</v>
      </c>
      <c r="C318" s="14">
        <v>26857</v>
      </c>
      <c r="D318" s="146">
        <v>57043</v>
      </c>
    </row>
    <row r="319" spans="1:4">
      <c r="A319" s="13" t="s">
        <v>694</v>
      </c>
      <c r="B319" s="13" t="s">
        <v>694</v>
      </c>
      <c r="C319" s="14"/>
    </row>
    <row r="320" spans="1:4">
      <c r="A320" s="13"/>
      <c r="B320" s="13"/>
    </row>
    <row r="321" spans="1:2">
      <c r="A321" s="2"/>
      <c r="B321" s="2"/>
    </row>
    <row r="322" spans="1:2">
      <c r="A322" s="13" t="s">
        <v>695</v>
      </c>
      <c r="B322" s="13" t="s">
        <v>695</v>
      </c>
    </row>
    <row r="323" spans="1:2">
      <c r="A323" s="13"/>
      <c r="B323" s="13"/>
    </row>
    <row r="324" spans="1:2">
      <c r="A324" s="13"/>
      <c r="B324" s="13"/>
    </row>
    <row r="325" spans="1:2">
      <c r="A325" s="13" t="s">
        <v>699</v>
      </c>
      <c r="B325" s="13" t="s">
        <v>699</v>
      </c>
    </row>
    <row r="326" spans="1:2">
      <c r="A326" s="13"/>
      <c r="B326" s="13"/>
    </row>
    <row r="327" spans="1:2">
      <c r="A327" s="13"/>
      <c r="B327" s="13"/>
    </row>
    <row r="328" spans="1:2">
      <c r="A328" s="13"/>
      <c r="B328" s="13"/>
    </row>
    <row r="329" spans="1:2">
      <c r="A329" s="13"/>
      <c r="B329" s="13"/>
    </row>
    <row r="330" spans="1:2">
      <c r="A330" s="13"/>
      <c r="B330" s="13"/>
    </row>
    <row r="331" spans="1:2">
      <c r="A331" s="2" t="s">
        <v>745</v>
      </c>
      <c r="B331" s="2" t="s">
        <v>745</v>
      </c>
    </row>
    <row r="333" spans="1:2">
      <c r="A333" s="144" t="s">
        <v>746</v>
      </c>
      <c r="B333" s="144" t="s">
        <v>746</v>
      </c>
    </row>
    <row r="334" spans="1:2">
      <c r="A334" s="144" t="s">
        <v>747</v>
      </c>
      <c r="B334" s="144" t="s">
        <v>747</v>
      </c>
    </row>
  </sheetData>
  <mergeCells count="1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topLeftCell="A18" workbookViewId="0">
      <selection activeCell="C58" sqref="C58"/>
    </sheetView>
  </sheetViews>
  <sheetFormatPr defaultColWidth="9" defaultRowHeight="14.25"/>
  <cols>
    <col min="1" max="2" width="9" style="125"/>
    <col min="3" max="3" width="9" style="126"/>
    <col min="6" max="8" width="9" style="127"/>
  </cols>
  <sheetData>
    <row r="1" ht="20.25" spans="1:9">
      <c r="A1" s="128"/>
      <c r="B1" s="128"/>
      <c r="C1" s="128"/>
      <c r="F1" s="129"/>
      <c r="G1" s="130"/>
      <c r="H1" s="130"/>
    </row>
    <row r="2" spans="1:9">
      <c r="A2" s="131" t="s">
        <v>27</v>
      </c>
      <c r="B2" s="131" t="s">
        <v>28</v>
      </c>
      <c r="C2" s="132" t="s">
        <v>15</v>
      </c>
      <c r="F2" s="133" t="s">
        <v>708</v>
      </c>
      <c r="G2" s="134" t="s">
        <v>709</v>
      </c>
      <c r="H2" s="134"/>
    </row>
    <row r="3" spans="1:9">
      <c r="A3" s="135"/>
      <c r="B3" s="135"/>
      <c r="C3" s="136"/>
      <c r="F3" s="133"/>
      <c r="G3" s="134"/>
      <c r="H3" s="134" t="s">
        <v>710</v>
      </c>
    </row>
    <row r="4" spans="1:9">
      <c r="A4" s="137">
        <v>1002</v>
      </c>
      <c r="B4" s="137" t="s">
        <v>73</v>
      </c>
      <c r="C4" s="136">
        <v>1500</v>
      </c>
      <c r="F4" s="138">
        <v>1002</v>
      </c>
      <c r="G4" s="138" t="s">
        <v>73</v>
      </c>
      <c r="H4" s="138">
        <v>1500</v>
      </c>
      <c r="I4">
        <f>C4-H4</f>
        <v>0</v>
      </c>
    </row>
    <row r="5" spans="1:9">
      <c r="A5" s="137" t="s">
        <v>120</v>
      </c>
      <c r="B5" s="137" t="s">
        <v>73</v>
      </c>
      <c r="C5" s="139">
        <v>2206</v>
      </c>
      <c r="F5" s="138" t="s">
        <v>120</v>
      </c>
      <c r="G5" s="138" t="s">
        <v>73</v>
      </c>
      <c r="H5" s="138">
        <v>4202</v>
      </c>
      <c r="I5">
        <f t="shared" ref="I5:I47" si="0">C5-H5</f>
        <v>-1996</v>
      </c>
    </row>
    <row r="6" spans="1:9">
      <c r="A6" s="137">
        <v>1037</v>
      </c>
      <c r="B6" s="137" t="s">
        <v>143</v>
      </c>
      <c r="C6" s="139">
        <v>4200</v>
      </c>
      <c r="F6" s="138">
        <v>1037</v>
      </c>
      <c r="G6" s="138" t="s">
        <v>143</v>
      </c>
      <c r="H6" s="138">
        <v>4200</v>
      </c>
      <c r="I6">
        <f t="shared" si="0"/>
        <v>0</v>
      </c>
    </row>
    <row r="7" spans="1:9">
      <c r="A7" s="135">
        <v>1040</v>
      </c>
      <c r="B7" s="135" t="s">
        <v>149</v>
      </c>
      <c r="C7" s="136">
        <v>4202</v>
      </c>
      <c r="F7" s="138">
        <v>1040</v>
      </c>
      <c r="G7" s="138" t="s">
        <v>149</v>
      </c>
      <c r="H7" s="138">
        <v>4202</v>
      </c>
      <c r="I7">
        <f t="shared" si="0"/>
        <v>0</v>
      </c>
    </row>
    <row r="8" spans="1:9">
      <c r="A8" s="137">
        <v>1055</v>
      </c>
      <c r="B8" s="137" t="s">
        <v>179</v>
      </c>
      <c r="C8" s="139">
        <v>4200</v>
      </c>
      <c r="F8" s="138">
        <v>1055</v>
      </c>
      <c r="G8" s="138" t="s">
        <v>179</v>
      </c>
      <c r="H8" s="138">
        <v>4200</v>
      </c>
      <c r="I8">
        <f t="shared" si="0"/>
        <v>0</v>
      </c>
    </row>
    <row r="9" spans="1:9">
      <c r="A9" s="135">
        <v>2002</v>
      </c>
      <c r="B9" s="135" t="s">
        <v>217</v>
      </c>
      <c r="C9" s="136">
        <v>2300</v>
      </c>
      <c r="F9" s="138">
        <v>2002</v>
      </c>
      <c r="G9" s="138" t="s">
        <v>217</v>
      </c>
      <c r="H9" s="138">
        <v>2300</v>
      </c>
      <c r="I9">
        <f t="shared" si="0"/>
        <v>0</v>
      </c>
    </row>
    <row r="10" spans="1:9">
      <c r="A10" s="135">
        <v>2006</v>
      </c>
      <c r="B10" s="135" t="s">
        <v>225</v>
      </c>
      <c r="C10" s="136">
        <v>2300</v>
      </c>
      <c r="F10" s="138">
        <v>2006</v>
      </c>
      <c r="G10" s="138" t="s">
        <v>225</v>
      </c>
      <c r="H10" s="138">
        <v>2300</v>
      </c>
      <c r="I10">
        <f t="shared" si="0"/>
        <v>0</v>
      </c>
    </row>
    <row r="11" spans="1:9">
      <c r="A11" s="135">
        <v>2009</v>
      </c>
      <c r="B11" s="135" t="s">
        <v>231</v>
      </c>
      <c r="C11" s="136">
        <v>2300</v>
      </c>
      <c r="F11" s="138">
        <v>2009</v>
      </c>
      <c r="G11" s="138" t="s">
        <v>231</v>
      </c>
      <c r="H11" s="138">
        <v>2300</v>
      </c>
      <c r="I11">
        <f t="shared" si="0"/>
        <v>0</v>
      </c>
    </row>
    <row r="12" spans="1:9">
      <c r="A12" s="135">
        <v>2014</v>
      </c>
      <c r="B12" s="135" t="s">
        <v>241</v>
      </c>
      <c r="C12" s="140">
        <v>2300</v>
      </c>
      <c r="F12" s="138">
        <v>2014</v>
      </c>
      <c r="G12" s="138" t="s">
        <v>241</v>
      </c>
      <c r="H12" s="138">
        <v>2300</v>
      </c>
      <c r="I12">
        <f t="shared" si="0"/>
        <v>0</v>
      </c>
    </row>
    <row r="13" spans="1:9">
      <c r="A13" s="135">
        <v>2016</v>
      </c>
      <c r="B13" s="135" t="s">
        <v>245</v>
      </c>
      <c r="C13" s="136">
        <v>2300</v>
      </c>
      <c r="F13" s="138">
        <v>2016</v>
      </c>
      <c r="G13" s="138" t="s">
        <v>245</v>
      </c>
      <c r="H13" s="138">
        <v>2300</v>
      </c>
      <c r="I13">
        <f t="shared" si="0"/>
        <v>0</v>
      </c>
    </row>
    <row r="14" spans="1:9">
      <c r="A14" s="137">
        <v>2017</v>
      </c>
      <c r="B14" s="137" t="s">
        <v>245</v>
      </c>
      <c r="C14" s="139">
        <v>2300</v>
      </c>
      <c r="F14" s="138">
        <v>2017</v>
      </c>
      <c r="G14" s="138" t="s">
        <v>245</v>
      </c>
      <c r="H14" s="138">
        <v>2300</v>
      </c>
      <c r="I14">
        <f t="shared" si="0"/>
        <v>0</v>
      </c>
    </row>
    <row r="15" spans="1:9">
      <c r="A15" s="135">
        <v>2021</v>
      </c>
      <c r="B15" s="135" t="s">
        <v>254</v>
      </c>
      <c r="C15" s="136">
        <v>2300</v>
      </c>
      <c r="F15" s="138">
        <v>2021</v>
      </c>
      <c r="G15" s="138" t="s">
        <v>254</v>
      </c>
      <c r="H15" s="138">
        <v>2300</v>
      </c>
      <c r="I15">
        <f t="shared" si="0"/>
        <v>0</v>
      </c>
    </row>
    <row r="16" spans="1:9">
      <c r="A16" s="137">
        <v>2029</v>
      </c>
      <c r="B16" s="137" t="s">
        <v>267</v>
      </c>
      <c r="C16" s="136">
        <v>2300</v>
      </c>
      <c r="F16" s="138">
        <v>2029</v>
      </c>
      <c r="G16" s="138" t="s">
        <v>267</v>
      </c>
      <c r="H16" s="138">
        <v>2300</v>
      </c>
      <c r="I16">
        <f t="shared" si="0"/>
        <v>0</v>
      </c>
    </row>
    <row r="17" spans="1:9">
      <c r="A17" s="135">
        <v>2039</v>
      </c>
      <c r="B17" s="135" t="s">
        <v>289</v>
      </c>
      <c r="C17" s="136">
        <v>2300</v>
      </c>
      <c r="F17" s="138">
        <v>2039</v>
      </c>
      <c r="G17" s="138" t="s">
        <v>289</v>
      </c>
      <c r="H17" s="138">
        <v>2300</v>
      </c>
      <c r="I17">
        <f t="shared" si="0"/>
        <v>0</v>
      </c>
    </row>
    <row r="18" spans="1:9">
      <c r="A18" s="135" t="s">
        <v>296</v>
      </c>
      <c r="B18" s="135" t="s">
        <v>297</v>
      </c>
      <c r="C18" s="136">
        <v>4600</v>
      </c>
      <c r="F18" s="138">
        <v>2043</v>
      </c>
      <c r="G18" s="138" t="s">
        <v>297</v>
      </c>
      <c r="H18" s="138">
        <v>4600</v>
      </c>
      <c r="I18">
        <f t="shared" si="0"/>
        <v>0</v>
      </c>
    </row>
    <row r="19" spans="1:9">
      <c r="A19" s="137">
        <v>2044</v>
      </c>
      <c r="B19" s="137" t="s">
        <v>297</v>
      </c>
      <c r="C19" s="139"/>
      <c r="F19" s="138">
        <v>2044</v>
      </c>
      <c r="G19" s="138" t="s">
        <v>297</v>
      </c>
      <c r="H19" s="138"/>
      <c r="I19">
        <f t="shared" si="0"/>
        <v>0</v>
      </c>
    </row>
    <row r="20" spans="1:9">
      <c r="A20" s="137">
        <v>2047</v>
      </c>
      <c r="B20" s="137" t="s">
        <v>304</v>
      </c>
      <c r="C20" s="139">
        <v>2000</v>
      </c>
      <c r="F20" s="138">
        <v>2047</v>
      </c>
      <c r="G20" s="138" t="s">
        <v>304</v>
      </c>
      <c r="H20" s="138">
        <v>2000</v>
      </c>
      <c r="I20">
        <f t="shared" si="0"/>
        <v>0</v>
      </c>
    </row>
    <row r="21" spans="1:9">
      <c r="A21" s="137">
        <v>2054</v>
      </c>
      <c r="B21" s="137" t="s">
        <v>318</v>
      </c>
      <c r="C21" s="139">
        <v>2300</v>
      </c>
      <c r="F21" s="138" t="s">
        <v>722</v>
      </c>
      <c r="G21" s="138" t="s">
        <v>318</v>
      </c>
      <c r="H21" s="138">
        <v>4600</v>
      </c>
      <c r="I21">
        <f t="shared" si="0"/>
        <v>-2300</v>
      </c>
    </row>
    <row r="22" spans="1:9">
      <c r="A22" s="137">
        <v>2055</v>
      </c>
      <c r="B22" s="137" t="s">
        <v>318</v>
      </c>
      <c r="C22" s="139">
        <v>2300</v>
      </c>
      <c r="F22" s="138">
        <v>2055</v>
      </c>
      <c r="G22" s="138" t="s">
        <v>318</v>
      </c>
      <c r="H22" s="138"/>
      <c r="I22">
        <f t="shared" si="0"/>
        <v>2300</v>
      </c>
    </row>
    <row r="23" spans="1:9">
      <c r="A23" s="135">
        <v>2057</v>
      </c>
      <c r="B23" s="135" t="s">
        <v>323</v>
      </c>
      <c r="C23" s="136">
        <v>2300</v>
      </c>
      <c r="F23" s="138">
        <v>2057</v>
      </c>
      <c r="G23" s="138" t="s">
        <v>323</v>
      </c>
      <c r="H23" s="138">
        <v>2300</v>
      </c>
      <c r="I23">
        <f t="shared" si="0"/>
        <v>0</v>
      </c>
    </row>
    <row r="24" spans="1:9">
      <c r="A24" s="135" t="s">
        <v>334</v>
      </c>
      <c r="B24" s="135" t="s">
        <v>335</v>
      </c>
      <c r="C24" s="136">
        <v>4600</v>
      </c>
      <c r="F24" s="138">
        <v>2063</v>
      </c>
      <c r="G24" s="138" t="s">
        <v>335</v>
      </c>
      <c r="H24" s="138">
        <v>4600</v>
      </c>
      <c r="I24">
        <f t="shared" si="0"/>
        <v>0</v>
      </c>
    </row>
    <row r="25" spans="1:9">
      <c r="A25" s="135">
        <v>2064</v>
      </c>
      <c r="B25" s="135" t="s">
        <v>335</v>
      </c>
      <c r="C25" s="141"/>
      <c r="F25" s="138">
        <v>2064</v>
      </c>
      <c r="G25" s="138" t="s">
        <v>335</v>
      </c>
      <c r="H25" s="138"/>
      <c r="I25">
        <f t="shared" si="0"/>
        <v>0</v>
      </c>
    </row>
    <row r="26" spans="1:9">
      <c r="A26" s="135">
        <v>2074</v>
      </c>
      <c r="B26" s="135" t="s">
        <v>354</v>
      </c>
      <c r="C26" s="136">
        <v>2300</v>
      </c>
      <c r="F26" s="138" t="s">
        <v>353</v>
      </c>
      <c r="G26" s="138" t="s">
        <v>354</v>
      </c>
      <c r="H26" s="138">
        <v>2300</v>
      </c>
      <c r="I26">
        <f t="shared" si="0"/>
        <v>0</v>
      </c>
    </row>
    <row r="27" spans="1:9">
      <c r="A27" s="135">
        <v>2082</v>
      </c>
      <c r="B27" s="135" t="s">
        <v>369</v>
      </c>
      <c r="C27" s="136">
        <v>2300</v>
      </c>
      <c r="F27" s="138">
        <v>2082</v>
      </c>
      <c r="G27" s="138" t="s">
        <v>369</v>
      </c>
      <c r="H27" s="138">
        <v>2300</v>
      </c>
      <c r="I27">
        <f t="shared" si="0"/>
        <v>0</v>
      </c>
    </row>
    <row r="28" spans="1:9">
      <c r="A28" s="135">
        <v>2084</v>
      </c>
      <c r="B28" s="135" t="s">
        <v>373</v>
      </c>
      <c r="C28" s="136">
        <v>2300</v>
      </c>
      <c r="F28" s="138">
        <v>2084</v>
      </c>
      <c r="G28" s="138" t="s">
        <v>373</v>
      </c>
      <c r="H28" s="138">
        <v>2300</v>
      </c>
      <c r="I28">
        <f t="shared" si="0"/>
        <v>0</v>
      </c>
    </row>
    <row r="29" spans="1:9">
      <c r="A29" s="135">
        <v>2086</v>
      </c>
      <c r="B29" s="135" t="s">
        <v>376</v>
      </c>
      <c r="C29" s="136">
        <v>2300</v>
      </c>
      <c r="F29" s="138">
        <v>2086</v>
      </c>
      <c r="G29" s="138" t="s">
        <v>376</v>
      </c>
      <c r="H29" s="138">
        <v>2300</v>
      </c>
      <c r="I29">
        <f t="shared" si="0"/>
        <v>0</v>
      </c>
    </row>
    <row r="30" spans="1:9">
      <c r="A30" s="135">
        <v>2088</v>
      </c>
      <c r="B30" s="135" t="s">
        <v>380</v>
      </c>
      <c r="C30" s="136">
        <v>2300</v>
      </c>
      <c r="F30" s="138">
        <v>2088</v>
      </c>
      <c r="G30" s="138" t="s">
        <v>380</v>
      </c>
      <c r="H30" s="138">
        <v>2300</v>
      </c>
      <c r="I30">
        <f t="shared" si="0"/>
        <v>0</v>
      </c>
    </row>
    <row r="31" spans="1:9">
      <c r="A31" s="135">
        <v>3011</v>
      </c>
      <c r="B31" s="135" t="s">
        <v>339</v>
      </c>
      <c r="C31" s="136">
        <v>5000</v>
      </c>
      <c r="F31" s="138">
        <v>3011</v>
      </c>
      <c r="G31" s="138" t="s">
        <v>339</v>
      </c>
      <c r="H31" s="138">
        <v>5000</v>
      </c>
      <c r="I31">
        <f t="shared" si="0"/>
        <v>0</v>
      </c>
    </row>
    <row r="32" spans="1:9">
      <c r="A32" s="135">
        <v>3017</v>
      </c>
      <c r="B32" s="135" t="s">
        <v>241</v>
      </c>
      <c r="C32" s="136">
        <v>5000</v>
      </c>
      <c r="F32" s="138">
        <v>3017</v>
      </c>
      <c r="G32" s="138" t="s">
        <v>241</v>
      </c>
      <c r="H32" s="138">
        <v>5000</v>
      </c>
      <c r="I32">
        <f t="shared" si="0"/>
        <v>0</v>
      </c>
    </row>
    <row r="33" spans="1:9">
      <c r="A33" s="137">
        <v>3022</v>
      </c>
      <c r="B33" s="137" t="s">
        <v>440</v>
      </c>
      <c r="C33" s="139">
        <v>5000</v>
      </c>
      <c r="F33" s="138">
        <v>3022</v>
      </c>
      <c r="G33" s="138" t="s">
        <v>440</v>
      </c>
      <c r="H33" s="138">
        <v>5000</v>
      </c>
      <c r="I33">
        <f t="shared" si="0"/>
        <v>0</v>
      </c>
    </row>
    <row r="34" spans="1:9">
      <c r="A34" s="135">
        <v>3048</v>
      </c>
      <c r="B34" s="135" t="s">
        <v>488</v>
      </c>
      <c r="C34" s="136">
        <v>5000</v>
      </c>
      <c r="F34" s="137" t="s">
        <v>502</v>
      </c>
      <c r="G34" s="138" t="s">
        <v>503</v>
      </c>
      <c r="H34" s="138">
        <v>6000</v>
      </c>
      <c r="I34">
        <f t="shared" si="0"/>
        <v>-1000</v>
      </c>
    </row>
    <row r="35" spans="1:9">
      <c r="A35" s="135">
        <v>3049</v>
      </c>
      <c r="B35" s="135" t="s">
        <v>490</v>
      </c>
      <c r="C35" s="136">
        <v>5000</v>
      </c>
      <c r="F35" s="138">
        <v>3048</v>
      </c>
      <c r="G35" s="138" t="s">
        <v>488</v>
      </c>
      <c r="H35" s="138">
        <v>5000</v>
      </c>
      <c r="I35">
        <f t="shared" si="0"/>
        <v>0</v>
      </c>
    </row>
    <row r="36" spans="1:9">
      <c r="A36" s="137" t="s">
        <v>502</v>
      </c>
      <c r="B36" s="137" t="s">
        <v>503</v>
      </c>
      <c r="C36" s="139">
        <v>6000</v>
      </c>
      <c r="F36" s="138">
        <v>3049</v>
      </c>
      <c r="G36" s="138" t="s">
        <v>490</v>
      </c>
      <c r="H36" s="138">
        <v>5000</v>
      </c>
      <c r="I36">
        <f t="shared" si="0"/>
        <v>1000</v>
      </c>
    </row>
    <row r="37" spans="1:9">
      <c r="A37" s="135">
        <v>4006</v>
      </c>
      <c r="B37" s="135" t="s">
        <v>488</v>
      </c>
      <c r="C37" s="136">
        <v>4500</v>
      </c>
      <c r="F37" s="138">
        <v>4006</v>
      </c>
      <c r="G37" s="138" t="s">
        <v>488</v>
      </c>
      <c r="H37" s="138">
        <v>4500</v>
      </c>
      <c r="I37">
        <f t="shared" si="0"/>
        <v>0</v>
      </c>
    </row>
    <row r="38" spans="1:9">
      <c r="A38" s="135">
        <v>4025</v>
      </c>
      <c r="B38" s="135" t="s">
        <v>559</v>
      </c>
      <c r="C38" s="136">
        <v>4500</v>
      </c>
      <c r="F38" s="138">
        <v>4025</v>
      </c>
      <c r="G38" s="138" t="s">
        <v>559</v>
      </c>
      <c r="H38" s="138">
        <v>4500</v>
      </c>
      <c r="I38">
        <f t="shared" si="0"/>
        <v>0</v>
      </c>
    </row>
    <row r="39" spans="1:9">
      <c r="A39" s="142">
        <v>4043</v>
      </c>
      <c r="B39" s="142" t="s">
        <v>592</v>
      </c>
      <c r="C39" s="140">
        <v>4500</v>
      </c>
      <c r="F39" s="138">
        <v>4043</v>
      </c>
      <c r="G39" s="138" t="s">
        <v>592</v>
      </c>
      <c r="H39" s="138">
        <v>4500</v>
      </c>
      <c r="I39">
        <f t="shared" si="0"/>
        <v>0</v>
      </c>
    </row>
    <row r="40" spans="1:9">
      <c r="A40" s="135">
        <v>5001</v>
      </c>
      <c r="B40" s="135" t="s">
        <v>605</v>
      </c>
      <c r="C40" s="136">
        <v>4000</v>
      </c>
      <c r="F40" s="143">
        <v>5001</v>
      </c>
      <c r="G40" s="138" t="s">
        <v>605</v>
      </c>
      <c r="H40" s="138">
        <v>4000</v>
      </c>
      <c r="I40">
        <f t="shared" si="0"/>
        <v>0</v>
      </c>
    </row>
    <row r="41" spans="1:9">
      <c r="A41" s="135">
        <v>5006</v>
      </c>
      <c r="B41" s="135" t="s">
        <v>616</v>
      </c>
      <c r="C41" s="136">
        <v>4000</v>
      </c>
      <c r="F41" s="138">
        <v>5006</v>
      </c>
      <c r="G41" s="138" t="s">
        <v>616</v>
      </c>
      <c r="H41" s="138">
        <v>4000</v>
      </c>
      <c r="I41">
        <f t="shared" si="0"/>
        <v>0</v>
      </c>
    </row>
    <row r="42" spans="1:9">
      <c r="A42" s="135">
        <v>5008</v>
      </c>
      <c r="B42" s="135" t="s">
        <v>619</v>
      </c>
      <c r="C42" s="136">
        <v>4000</v>
      </c>
      <c r="F42" s="138">
        <v>5008</v>
      </c>
      <c r="G42" s="138" t="s">
        <v>619</v>
      </c>
      <c r="H42" s="138">
        <v>4000</v>
      </c>
      <c r="I42">
        <f t="shared" si="0"/>
        <v>0</v>
      </c>
    </row>
    <row r="43" spans="1:9">
      <c r="A43" s="142">
        <v>5023</v>
      </c>
      <c r="B43" s="142" t="s">
        <v>648</v>
      </c>
      <c r="C43" s="140">
        <v>4000</v>
      </c>
      <c r="F43" s="143">
        <v>5023</v>
      </c>
      <c r="G43" s="138" t="s">
        <v>648</v>
      </c>
      <c r="H43" s="138">
        <v>4000</v>
      </c>
      <c r="I43">
        <f t="shared" si="0"/>
        <v>0</v>
      </c>
    </row>
    <row r="44" spans="1:9">
      <c r="A44" s="142">
        <v>5024</v>
      </c>
      <c r="B44" s="142" t="s">
        <v>648</v>
      </c>
      <c r="C44" s="140">
        <v>4000</v>
      </c>
      <c r="F44" s="138">
        <v>5024</v>
      </c>
      <c r="G44" s="138" t="s">
        <v>648</v>
      </c>
      <c r="H44" s="138">
        <v>4000</v>
      </c>
      <c r="I44">
        <f t="shared" si="0"/>
        <v>0</v>
      </c>
    </row>
    <row r="45" spans="1:9">
      <c r="A45" s="135">
        <v>5038</v>
      </c>
      <c r="B45" s="135" t="s">
        <v>674</v>
      </c>
      <c r="C45" s="140">
        <v>4000</v>
      </c>
      <c r="F45" s="138">
        <v>5038</v>
      </c>
      <c r="G45" s="138" t="s">
        <v>674</v>
      </c>
      <c r="H45" s="138">
        <v>4000</v>
      </c>
      <c r="I45">
        <f t="shared" si="0"/>
        <v>0</v>
      </c>
    </row>
    <row r="46" spans="1:9">
      <c r="A46" s="142">
        <v>5040</v>
      </c>
      <c r="B46" s="142" t="s">
        <v>678</v>
      </c>
      <c r="C46" s="140">
        <v>4000</v>
      </c>
      <c r="F46" s="138">
        <v>5040</v>
      </c>
      <c r="G46" s="138" t="s">
        <v>678</v>
      </c>
      <c r="H46" s="138">
        <v>4000</v>
      </c>
      <c r="I46">
        <f t="shared" si="0"/>
        <v>0</v>
      </c>
    </row>
    <row r="47" spans="1:9">
      <c r="A47" s="142">
        <v>5045</v>
      </c>
      <c r="B47" s="142" t="s">
        <v>686</v>
      </c>
      <c r="C47" s="140">
        <v>4000</v>
      </c>
      <c r="F47" s="138">
        <v>5045</v>
      </c>
      <c r="G47" s="138" t="s">
        <v>686</v>
      </c>
      <c r="H47" s="138">
        <v>4000</v>
      </c>
      <c r="I47">
        <f t="shared" si="0"/>
        <v>0</v>
      </c>
    </row>
    <row r="48" spans="1:9">
      <c r="A48" s="137" t="s">
        <v>688</v>
      </c>
      <c r="B48" s="137" t="s">
        <v>689</v>
      </c>
      <c r="C48" s="140">
        <v>4500</v>
      </c>
      <c r="F48" s="138">
        <v>5046</v>
      </c>
      <c r="G48" s="138" t="s">
        <v>689</v>
      </c>
      <c r="H48" s="138">
        <v>7000</v>
      </c>
    </row>
    <row r="51" spans="3:9">
      <c r="C51" s="126">
        <f>SUM(C4:C50)</f>
        <v>147608</v>
      </c>
      <c r="H51" s="126">
        <f>SUM(H4:H50)</f>
        <v>152104</v>
      </c>
      <c r="I51">
        <f>C51-H51</f>
        <v>-4496</v>
      </c>
    </row>
    <row r="1048276" spans="1:8">
      <c r="A1048276"/>
      <c r="B1048276"/>
      <c r="C1048276"/>
    </row>
    <row r="1048277" spans="1:8">
      <c r="A1048277"/>
      <c r="B1048277"/>
      <c r="C1048277"/>
    </row>
    <row r="1048278" spans="1:8">
      <c r="A1048278"/>
      <c r="B1048278"/>
      <c r="C1048278"/>
    </row>
    <row r="1048279" spans="1:8">
      <c r="A1048279"/>
      <c r="B1048279"/>
      <c r="C1048279"/>
    </row>
    <row r="1048280" spans="1:8">
      <c r="A1048280"/>
      <c r="B1048280"/>
      <c r="C1048280"/>
    </row>
    <row r="1048281" spans="1:8">
      <c r="A1048281"/>
      <c r="B1048281"/>
      <c r="C1048281"/>
    </row>
    <row r="1048282" spans="1:8">
      <c r="A1048282"/>
      <c r="B1048282"/>
      <c r="C1048282"/>
    </row>
    <row r="1048283" spans="1:8">
      <c r="A1048283"/>
      <c r="B1048283"/>
      <c r="C1048283"/>
    </row>
    <row r="1048284" spans="1:8">
      <c r="A1048284"/>
      <c r="B1048284"/>
      <c r="C1048284"/>
    </row>
    <row r="1048285" spans="1:8">
      <c r="A1048285"/>
      <c r="B1048285"/>
      <c r="C1048285"/>
    </row>
    <row r="1048286" spans="1:8">
      <c r="A1048286"/>
      <c r="B1048286"/>
      <c r="C1048286"/>
    </row>
    <row r="1048287" spans="1:8">
      <c r="A1048287"/>
      <c r="B1048287"/>
      <c r="C1048287"/>
    </row>
    <row r="1048288" spans="1:8">
      <c r="A1048288"/>
      <c r="B1048288"/>
      <c r="C1048288"/>
      <c r="F1048288"/>
      <c r="G1048288"/>
      <c r="H1048288"/>
    </row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5">
    <mergeCell ref="A2:A3"/>
    <mergeCell ref="B2:B3"/>
    <mergeCell ref="C2:C3"/>
    <mergeCell ref="F2:F3"/>
    <mergeCell ref="G2:G3"/>
  </mergeCells>
  <conditionalFormatting sqref="B$1:B$1048576 C$1:C$1048576 G$1:G$1048576 H$1:H$1048576">
    <cfRule type="uniqueValues" dxfId="2" priority="1"/>
  </conditionalFormatting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4"/>
  <sheetViews>
    <sheetView workbookViewId="0">
      <selection activeCell="AL291" sqref="AL291"/>
    </sheetView>
  </sheetViews>
  <sheetFormatPr defaultColWidth="9" defaultRowHeight="14.25"/>
  <sheetData>
    <row r="3" spans="2:12">
      <c r="B3" s="84" t="s">
        <v>732</v>
      </c>
      <c r="C3" s="84" t="s">
        <v>28</v>
      </c>
      <c r="D3" s="86" t="s">
        <v>29</v>
      </c>
      <c r="E3" s="87" t="s">
        <v>15</v>
      </c>
      <c r="F3" s="14" t="s">
        <v>16</v>
      </c>
    </row>
    <row r="4" spans="2:12">
      <c r="B4" s="84"/>
      <c r="C4" s="84"/>
      <c r="D4" s="86"/>
      <c r="E4" s="87"/>
      <c r="F4" s="14"/>
    </row>
    <row r="5" spans="2:12">
      <c r="B5" s="93">
        <v>2001</v>
      </c>
      <c r="C5" s="93" t="s">
        <v>215</v>
      </c>
      <c r="D5" s="86"/>
      <c r="E5" s="86">
        <v>1500</v>
      </c>
      <c r="F5" s="86"/>
      <c r="H5" s="94">
        <v>2001</v>
      </c>
      <c r="I5" s="94" t="s">
        <v>718</v>
      </c>
      <c r="J5" s="94">
        <v>1500</v>
      </c>
      <c r="K5" s="94"/>
      <c r="L5">
        <f t="shared" ref="L5:L12" si="0">E5-J5</f>
        <v>0</v>
      </c>
    </row>
    <row r="6" spans="2:12">
      <c r="B6" s="93">
        <v>2022</v>
      </c>
      <c r="C6" s="93" t="s">
        <v>748</v>
      </c>
      <c r="D6" s="86"/>
      <c r="E6" s="86">
        <v>2000</v>
      </c>
      <c r="F6" s="86"/>
      <c r="H6" s="94">
        <v>2022</v>
      </c>
      <c r="I6" s="94" t="s">
        <v>748</v>
      </c>
      <c r="J6" s="94">
        <v>2000</v>
      </c>
      <c r="K6" s="94"/>
      <c r="L6">
        <f t="shared" si="0"/>
        <v>0</v>
      </c>
    </row>
    <row r="7" spans="2:12">
      <c r="B7" s="93">
        <v>2044</v>
      </c>
      <c r="C7" s="97" t="s">
        <v>749</v>
      </c>
      <c r="D7" s="86">
        <v>16.54</v>
      </c>
      <c r="E7" s="86">
        <v>2000</v>
      </c>
      <c r="F7" s="86"/>
      <c r="H7" s="94">
        <v>2044</v>
      </c>
      <c r="I7" s="94" t="s">
        <v>749</v>
      </c>
      <c r="J7" s="94">
        <v>2000</v>
      </c>
      <c r="K7" s="94"/>
      <c r="L7">
        <f t="shared" si="0"/>
        <v>0</v>
      </c>
    </row>
    <row r="8" spans="2:12">
      <c r="B8" s="93" t="s">
        <v>750</v>
      </c>
      <c r="C8" s="93" t="s">
        <v>751</v>
      </c>
      <c r="D8" s="105">
        <v>32.425</v>
      </c>
      <c r="E8" s="86">
        <v>2540</v>
      </c>
      <c r="F8" s="86">
        <v>200</v>
      </c>
      <c r="H8" s="94">
        <v>3009</v>
      </c>
      <c r="I8" s="94" t="s">
        <v>751</v>
      </c>
      <c r="J8" s="94">
        <v>2540</v>
      </c>
      <c r="K8" s="94">
        <v>200</v>
      </c>
      <c r="L8">
        <f t="shared" si="0"/>
        <v>0</v>
      </c>
    </row>
    <row r="9" spans="2:12">
      <c r="B9" s="93" t="s">
        <v>752</v>
      </c>
      <c r="C9" s="93" t="s">
        <v>753</v>
      </c>
      <c r="D9" s="105">
        <v>32.425</v>
      </c>
      <c r="E9" s="97">
        <v>2788</v>
      </c>
      <c r="F9" s="97">
        <v>200</v>
      </c>
      <c r="H9" s="94">
        <v>3040</v>
      </c>
      <c r="I9" s="94" t="s">
        <v>753</v>
      </c>
      <c r="J9" s="94">
        <v>2788</v>
      </c>
      <c r="K9" s="94">
        <v>200</v>
      </c>
      <c r="L9">
        <f t="shared" si="0"/>
        <v>0</v>
      </c>
    </row>
    <row r="10" spans="2:12">
      <c r="B10" s="93" t="s">
        <v>754</v>
      </c>
      <c r="C10" s="93" t="s">
        <v>755</v>
      </c>
      <c r="D10" s="86">
        <v>32.425</v>
      </c>
      <c r="E10" s="97">
        <v>2662</v>
      </c>
      <c r="F10" s="97">
        <v>200</v>
      </c>
      <c r="H10" s="94">
        <v>3045</v>
      </c>
      <c r="I10" s="94" t="s">
        <v>755</v>
      </c>
      <c r="J10" s="94">
        <v>2662</v>
      </c>
      <c r="K10" s="94">
        <v>200</v>
      </c>
      <c r="L10">
        <f t="shared" si="0"/>
        <v>0</v>
      </c>
    </row>
    <row r="11" spans="2:12">
      <c r="B11" s="93" t="s">
        <v>756</v>
      </c>
      <c r="C11" s="93" t="s">
        <v>488</v>
      </c>
      <c r="D11" s="86">
        <v>32.425</v>
      </c>
      <c r="E11" s="86">
        <v>2800</v>
      </c>
      <c r="F11" s="86">
        <v>200</v>
      </c>
      <c r="H11" s="94">
        <v>4006</v>
      </c>
      <c r="I11" s="94" t="s">
        <v>488</v>
      </c>
      <c r="J11" s="94">
        <v>2800</v>
      </c>
      <c r="K11" s="94">
        <v>200</v>
      </c>
      <c r="L11">
        <f t="shared" si="0"/>
        <v>0</v>
      </c>
    </row>
    <row r="12" spans="2:12">
      <c r="B12" s="93" t="s">
        <v>757</v>
      </c>
      <c r="C12" s="93" t="s">
        <v>726</v>
      </c>
      <c r="D12" s="86">
        <v>32.425</v>
      </c>
      <c r="E12" s="108">
        <v>2800</v>
      </c>
      <c r="F12" s="97">
        <v>200</v>
      </c>
      <c r="H12" s="94">
        <v>4011</v>
      </c>
      <c r="I12" s="94" t="s">
        <v>726</v>
      </c>
      <c r="J12" s="109">
        <v>2800</v>
      </c>
      <c r="K12" s="94">
        <v>200</v>
      </c>
      <c r="L12">
        <f t="shared" si="0"/>
        <v>0</v>
      </c>
    </row>
    <row r="13" spans="2:12">
      <c r="B13" s="93" t="s">
        <v>758</v>
      </c>
      <c r="C13" s="93" t="s">
        <v>759</v>
      </c>
      <c r="D13" s="86">
        <v>32.425</v>
      </c>
      <c r="E13" s="86">
        <v>2697</v>
      </c>
      <c r="F13" s="86">
        <v>200</v>
      </c>
      <c r="H13" s="94">
        <v>4016</v>
      </c>
      <c r="I13" s="94" t="s">
        <v>759</v>
      </c>
      <c r="J13" s="94">
        <v>2697</v>
      </c>
      <c r="K13" s="94">
        <v>200</v>
      </c>
      <c r="L13">
        <f t="shared" ref="L13:L24" si="1">E13-J13</f>
        <v>0</v>
      </c>
    </row>
    <row r="14" spans="2:12">
      <c r="B14" s="93" t="s">
        <v>760</v>
      </c>
      <c r="C14" s="93" t="s">
        <v>761</v>
      </c>
      <c r="D14" s="86">
        <v>32.425</v>
      </c>
      <c r="E14" s="86"/>
      <c r="F14" s="86"/>
      <c r="L14">
        <f t="shared" si="1"/>
        <v>0</v>
      </c>
    </row>
    <row r="15" spans="2:12">
      <c r="B15" s="93" t="s">
        <v>762</v>
      </c>
      <c r="C15" s="93" t="s">
        <v>552</v>
      </c>
      <c r="D15" s="86">
        <v>32.425</v>
      </c>
      <c r="E15" s="97">
        <v>2800</v>
      </c>
      <c r="F15" s="97">
        <v>200</v>
      </c>
      <c r="H15" s="94">
        <v>4021</v>
      </c>
      <c r="I15" s="94" t="s">
        <v>552</v>
      </c>
      <c r="J15" s="94">
        <v>2800</v>
      </c>
      <c r="K15" s="94">
        <v>200</v>
      </c>
      <c r="L15">
        <f t="shared" si="1"/>
        <v>0</v>
      </c>
    </row>
    <row r="16" spans="2:12">
      <c r="B16" s="93" t="s">
        <v>763</v>
      </c>
      <c r="C16" s="93" t="s">
        <v>764</v>
      </c>
      <c r="D16" s="86">
        <v>32.425</v>
      </c>
      <c r="E16" s="97">
        <v>2691</v>
      </c>
      <c r="F16" s="97">
        <v>200</v>
      </c>
      <c r="H16" s="94">
        <v>4026</v>
      </c>
      <c r="I16" s="94" t="s">
        <v>764</v>
      </c>
      <c r="J16" s="94">
        <v>2691</v>
      </c>
      <c r="K16" s="94">
        <v>200</v>
      </c>
      <c r="L16">
        <f t="shared" si="1"/>
        <v>0</v>
      </c>
    </row>
    <row r="17" spans="2:12">
      <c r="B17" s="93" t="s">
        <v>765</v>
      </c>
      <c r="C17" s="93" t="s">
        <v>766</v>
      </c>
      <c r="D17" s="105">
        <v>32.425</v>
      </c>
      <c r="E17" s="86">
        <v>3500</v>
      </c>
      <c r="F17" s="110">
        <v>250</v>
      </c>
      <c r="H17" s="94">
        <v>4030</v>
      </c>
      <c r="I17" s="94" t="s">
        <v>766</v>
      </c>
      <c r="J17" s="94">
        <v>3500</v>
      </c>
      <c r="K17" s="94">
        <v>250</v>
      </c>
      <c r="L17">
        <f t="shared" si="1"/>
        <v>0</v>
      </c>
    </row>
    <row r="18" spans="2:12">
      <c r="B18" s="93" t="s">
        <v>767</v>
      </c>
      <c r="C18" s="93" t="s">
        <v>574</v>
      </c>
      <c r="D18" s="86">
        <v>32.425</v>
      </c>
      <c r="E18" s="97">
        <v>2800</v>
      </c>
      <c r="F18" s="97">
        <v>200</v>
      </c>
      <c r="H18" s="94">
        <v>4035</v>
      </c>
      <c r="I18" s="94" t="s">
        <v>574</v>
      </c>
      <c r="J18" s="94">
        <v>2800</v>
      </c>
      <c r="K18" s="94">
        <v>200</v>
      </c>
      <c r="L18">
        <f t="shared" si="1"/>
        <v>0</v>
      </c>
    </row>
    <row r="19" spans="2:12">
      <c r="B19" s="93" t="s">
        <v>768</v>
      </c>
      <c r="C19" s="93" t="s">
        <v>423</v>
      </c>
      <c r="D19" s="105">
        <v>32.425</v>
      </c>
      <c r="E19" s="111">
        <v>2800</v>
      </c>
      <c r="F19" s="111">
        <v>200</v>
      </c>
      <c r="H19" s="112">
        <v>4038</v>
      </c>
      <c r="I19" s="112" t="s">
        <v>423</v>
      </c>
      <c r="J19" s="112">
        <v>2800</v>
      </c>
      <c r="K19" s="112">
        <v>200</v>
      </c>
      <c r="L19">
        <f t="shared" si="1"/>
        <v>0</v>
      </c>
    </row>
    <row r="20" spans="2:12">
      <c r="B20" s="93" t="s">
        <v>769</v>
      </c>
      <c r="C20" s="93" t="s">
        <v>770</v>
      </c>
      <c r="D20" s="86">
        <v>32.425</v>
      </c>
      <c r="E20" s="111">
        <v>2800</v>
      </c>
      <c r="F20" s="111">
        <v>200</v>
      </c>
      <c r="H20" s="112">
        <v>4040</v>
      </c>
      <c r="I20" s="112" t="s">
        <v>770</v>
      </c>
      <c r="J20" s="112">
        <v>2800</v>
      </c>
      <c r="K20" s="112">
        <v>200</v>
      </c>
      <c r="L20">
        <f t="shared" si="1"/>
        <v>0</v>
      </c>
    </row>
    <row r="21" spans="2:12">
      <c r="B21" s="93" t="s">
        <v>771</v>
      </c>
      <c r="C21" s="93" t="s">
        <v>199</v>
      </c>
      <c r="D21" s="105">
        <v>32.425</v>
      </c>
      <c r="E21" s="86">
        <v>3500</v>
      </c>
      <c r="F21" s="86">
        <v>200</v>
      </c>
      <c r="H21" s="112">
        <v>4043</v>
      </c>
      <c r="I21" s="112" t="s">
        <v>199</v>
      </c>
      <c r="J21" s="112">
        <v>3500</v>
      </c>
      <c r="K21" s="112">
        <v>200</v>
      </c>
      <c r="L21">
        <f t="shared" si="1"/>
        <v>0</v>
      </c>
    </row>
    <row r="22" spans="2:12">
      <c r="B22" s="93" t="s">
        <v>772</v>
      </c>
      <c r="C22" s="93" t="s">
        <v>773</v>
      </c>
      <c r="D22" s="86">
        <v>32.425</v>
      </c>
      <c r="E22" s="111">
        <v>2800</v>
      </c>
      <c r="F22" s="111">
        <v>200</v>
      </c>
      <c r="H22" s="94">
        <v>4044</v>
      </c>
      <c r="I22" s="94" t="s">
        <v>773</v>
      </c>
      <c r="J22" s="112">
        <v>2800</v>
      </c>
      <c r="K22" s="112">
        <v>200</v>
      </c>
      <c r="L22">
        <f t="shared" si="1"/>
        <v>0</v>
      </c>
    </row>
    <row r="23" spans="2:12">
      <c r="B23" s="93" t="s">
        <v>774</v>
      </c>
      <c r="C23" s="93" t="s">
        <v>775</v>
      </c>
      <c r="D23" s="105">
        <v>32.425</v>
      </c>
      <c r="E23" s="97">
        <v>3250</v>
      </c>
      <c r="F23" s="97">
        <v>200</v>
      </c>
      <c r="H23" s="94">
        <v>4046</v>
      </c>
      <c r="I23" s="94" t="s">
        <v>775</v>
      </c>
      <c r="J23" s="94">
        <v>3250</v>
      </c>
      <c r="K23" s="94">
        <v>200</v>
      </c>
      <c r="L23">
        <f t="shared" si="1"/>
        <v>0</v>
      </c>
    </row>
    <row r="24" spans="2:12">
      <c r="B24" s="93" t="s">
        <v>776</v>
      </c>
      <c r="C24" s="93" t="s">
        <v>421</v>
      </c>
      <c r="D24" s="86">
        <v>32.425</v>
      </c>
      <c r="E24" s="111">
        <v>2758</v>
      </c>
      <c r="F24" s="111">
        <v>200</v>
      </c>
      <c r="H24" s="112" t="s">
        <v>599</v>
      </c>
      <c r="I24" s="112" t="s">
        <v>421</v>
      </c>
      <c r="J24" s="112">
        <v>2758</v>
      </c>
      <c r="K24" s="112">
        <v>200</v>
      </c>
      <c r="L24">
        <f t="shared" si="1"/>
        <v>0</v>
      </c>
    </row>
  </sheetData>
  <mergeCells count="5">
    <mergeCell ref="B3:B4"/>
    <mergeCell ref="C3:C4"/>
    <mergeCell ref="D3:D4"/>
    <mergeCell ref="E3:E4"/>
    <mergeCell ref="F3: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9"/>
  <sheetViews>
    <sheetView workbookViewId="0">
      <selection activeCell="AL291" sqref="AL291"/>
    </sheetView>
  </sheetViews>
  <sheetFormatPr defaultColWidth="9" defaultRowHeight="14.25"/>
  <cols>
    <col min="3" max="3" width="9.25"/>
    <col min="12" max="13" width="9" hidden="1" customWidth="1"/>
  </cols>
  <sheetData>
    <row r="1" spans="1:14">
      <c r="A1" s="84" t="s">
        <v>732</v>
      </c>
      <c r="B1" s="84" t="s">
        <v>28</v>
      </c>
      <c r="C1" s="86" t="s">
        <v>29</v>
      </c>
      <c r="D1" s="87" t="s">
        <v>15</v>
      </c>
      <c r="E1" s="14" t="s">
        <v>16</v>
      </c>
      <c r="H1" s="15" t="s">
        <v>708</v>
      </c>
      <c r="I1" s="17" t="s">
        <v>709</v>
      </c>
      <c r="L1" s="19" t="s">
        <v>777</v>
      </c>
      <c r="M1" s="17" t="s">
        <v>778</v>
      </c>
    </row>
    <row r="2" spans="1:14">
      <c r="A2" s="84"/>
      <c r="B2" s="84"/>
      <c r="C2" s="86"/>
      <c r="D2" s="87"/>
      <c r="E2" s="14"/>
      <c r="H2" s="15"/>
      <c r="I2" s="17"/>
      <c r="J2" s="17" t="s">
        <v>710</v>
      </c>
      <c r="K2" s="17" t="s">
        <v>16</v>
      </c>
      <c r="L2" s="19"/>
      <c r="M2" s="17"/>
    </row>
    <row r="3" spans="1:14">
      <c r="A3" s="13" t="s">
        <v>68</v>
      </c>
      <c r="B3" s="13" t="s">
        <v>779</v>
      </c>
      <c r="C3" s="14">
        <v>19.5</v>
      </c>
      <c r="D3" s="22">
        <v>3052</v>
      </c>
      <c r="E3" s="13">
        <v>210</v>
      </c>
      <c r="H3" s="23" t="s">
        <v>68</v>
      </c>
      <c r="I3" s="25" t="s">
        <v>779</v>
      </c>
      <c r="J3" s="25">
        <v>3052</v>
      </c>
      <c r="K3" s="25">
        <v>210</v>
      </c>
      <c r="L3" s="27">
        <v>44256</v>
      </c>
      <c r="M3" s="25">
        <v>2906</v>
      </c>
      <c r="N3">
        <f>D3-J3</f>
        <v>0</v>
      </c>
    </row>
    <row r="4" spans="1:14">
      <c r="A4" s="13">
        <v>1001</v>
      </c>
      <c r="B4" s="13" t="s">
        <v>71</v>
      </c>
      <c r="C4" s="14">
        <v>21.87</v>
      </c>
      <c r="D4" s="14">
        <v>4202</v>
      </c>
      <c r="E4" s="14">
        <v>500</v>
      </c>
      <c r="H4" s="25">
        <v>1001</v>
      </c>
      <c r="I4" s="25" t="s">
        <v>71</v>
      </c>
      <c r="J4" s="25">
        <v>4202</v>
      </c>
      <c r="K4" s="25">
        <v>500</v>
      </c>
      <c r="L4" s="27"/>
      <c r="M4" s="25"/>
      <c r="N4">
        <f>D4-J4</f>
        <v>0</v>
      </c>
    </row>
    <row r="5" spans="1:14">
      <c r="A5" s="13">
        <v>1002</v>
      </c>
      <c r="B5" s="13" t="s">
        <v>73</v>
      </c>
      <c r="C5" s="14">
        <v>27.87</v>
      </c>
      <c r="D5" s="14">
        <v>3000</v>
      </c>
      <c r="E5" s="14"/>
      <c r="H5" s="25">
        <v>1002</v>
      </c>
      <c r="I5" s="25" t="s">
        <v>73</v>
      </c>
      <c r="J5" s="25">
        <v>3000</v>
      </c>
      <c r="K5" s="25"/>
      <c r="L5" s="27"/>
      <c r="M5" s="25"/>
      <c r="N5">
        <f t="shared" ref="N5:N36" si="0">D5-J5</f>
        <v>0</v>
      </c>
    </row>
    <row r="6" spans="1:14">
      <c r="A6" s="13" t="s">
        <v>76</v>
      </c>
      <c r="B6" s="13" t="s">
        <v>674</v>
      </c>
      <c r="C6" s="14">
        <v>49.02</v>
      </c>
      <c r="D6" s="14">
        <v>2851</v>
      </c>
      <c r="E6" s="14">
        <v>400</v>
      </c>
      <c r="H6" s="25">
        <v>1003</v>
      </c>
      <c r="I6" s="25" t="s">
        <v>674</v>
      </c>
      <c r="J6" s="25">
        <v>2851</v>
      </c>
      <c r="K6" s="25">
        <v>400</v>
      </c>
      <c r="L6" s="27"/>
      <c r="M6" s="25"/>
      <c r="N6">
        <f t="shared" si="0"/>
        <v>0</v>
      </c>
    </row>
    <row r="7" spans="1:14">
      <c r="A7" s="13">
        <v>1005</v>
      </c>
      <c r="B7" s="14" t="s">
        <v>221</v>
      </c>
      <c r="C7" s="14">
        <v>27.15</v>
      </c>
      <c r="D7" s="14">
        <v>2000</v>
      </c>
      <c r="E7" s="14"/>
      <c r="H7" s="25">
        <v>1005</v>
      </c>
      <c r="I7" s="25" t="s">
        <v>221</v>
      </c>
      <c r="J7" s="25">
        <v>2000</v>
      </c>
      <c r="K7" s="25"/>
      <c r="L7" s="27"/>
      <c r="M7" s="25"/>
      <c r="N7">
        <f t="shared" si="0"/>
        <v>0</v>
      </c>
    </row>
    <row r="8" spans="1:14">
      <c r="A8" s="13">
        <v>1006</v>
      </c>
      <c r="B8" s="13"/>
      <c r="C8" s="14"/>
      <c r="D8" s="14"/>
      <c r="E8" s="14"/>
      <c r="H8" s="25">
        <v>1006</v>
      </c>
      <c r="I8" s="25"/>
      <c r="J8" s="25"/>
      <c r="K8" s="25"/>
      <c r="L8" s="27"/>
      <c r="M8" s="25"/>
      <c r="N8">
        <f t="shared" si="0"/>
        <v>0</v>
      </c>
    </row>
    <row r="9" spans="1:14">
      <c r="A9" s="13">
        <v>1007</v>
      </c>
      <c r="B9" s="13"/>
      <c r="C9" s="14"/>
      <c r="D9" s="14"/>
      <c r="E9" s="14"/>
      <c r="H9" s="25">
        <v>1007</v>
      </c>
      <c r="I9" s="25"/>
      <c r="J9" s="25"/>
      <c r="K9" s="25"/>
      <c r="L9" s="27"/>
      <c r="M9" s="25"/>
      <c r="N9">
        <f t="shared" si="0"/>
        <v>0</v>
      </c>
    </row>
    <row r="10" spans="1:14">
      <c r="A10" s="13">
        <v>1008</v>
      </c>
      <c r="B10" s="13" t="s">
        <v>780</v>
      </c>
      <c r="C10" s="28">
        <v>27.15</v>
      </c>
      <c r="D10" s="14">
        <v>1600</v>
      </c>
      <c r="E10" s="14"/>
      <c r="H10" s="25">
        <v>1008</v>
      </c>
      <c r="I10" s="25" t="s">
        <v>674</v>
      </c>
      <c r="J10" s="25">
        <v>1600</v>
      </c>
      <c r="K10" s="25">
        <v>0</v>
      </c>
      <c r="L10" s="25"/>
      <c r="M10" s="25"/>
      <c r="N10">
        <f t="shared" si="0"/>
        <v>0</v>
      </c>
    </row>
    <row r="11" spans="1:14">
      <c r="A11" s="13">
        <v>1009</v>
      </c>
      <c r="B11" s="13" t="s">
        <v>781</v>
      </c>
      <c r="C11" s="14">
        <v>27.15</v>
      </c>
      <c r="D11" s="14">
        <v>4202</v>
      </c>
      <c r="E11" s="14">
        <v>500</v>
      </c>
      <c r="H11" s="25">
        <v>1009</v>
      </c>
      <c r="I11" s="25" t="s">
        <v>781</v>
      </c>
      <c r="J11" s="25">
        <v>4202</v>
      </c>
      <c r="K11" s="25">
        <v>500</v>
      </c>
      <c r="L11" s="27"/>
      <c r="M11" s="25"/>
      <c r="N11">
        <f t="shared" si="0"/>
        <v>0</v>
      </c>
    </row>
    <row r="12" spans="1:14">
      <c r="A12" s="13">
        <v>1010</v>
      </c>
      <c r="B12" s="13" t="s">
        <v>782</v>
      </c>
      <c r="C12" s="14">
        <v>23.77</v>
      </c>
      <c r="D12" s="14">
        <v>4202</v>
      </c>
      <c r="E12" s="14">
        <v>500</v>
      </c>
      <c r="H12" s="25">
        <v>1010</v>
      </c>
      <c r="I12" s="25" t="s">
        <v>782</v>
      </c>
      <c r="J12" s="25">
        <v>4202</v>
      </c>
      <c r="K12" s="25">
        <v>500</v>
      </c>
      <c r="L12" s="27"/>
      <c r="M12" s="25"/>
      <c r="N12">
        <f t="shared" si="0"/>
        <v>0</v>
      </c>
    </row>
    <row r="13" spans="1:14">
      <c r="A13" s="13">
        <v>1011</v>
      </c>
      <c r="B13" s="88" t="s">
        <v>783</v>
      </c>
      <c r="C13" s="89">
        <v>27.15</v>
      </c>
      <c r="D13" s="14">
        <v>2500</v>
      </c>
      <c r="E13" s="14"/>
      <c r="H13" s="25">
        <v>1011</v>
      </c>
      <c r="I13" s="25" t="s">
        <v>783</v>
      </c>
      <c r="J13" s="25">
        <v>2500</v>
      </c>
      <c r="K13" s="25"/>
      <c r="L13" s="27"/>
      <c r="M13" s="25"/>
      <c r="N13">
        <f t="shared" si="0"/>
        <v>0</v>
      </c>
    </row>
    <row r="14" spans="1:14">
      <c r="A14" s="13">
        <v>1012</v>
      </c>
      <c r="B14" s="13" t="s">
        <v>460</v>
      </c>
      <c r="C14" s="14">
        <v>27.5</v>
      </c>
      <c r="D14" s="14">
        <v>2500</v>
      </c>
      <c r="E14" s="14"/>
      <c r="H14" s="25">
        <v>1012</v>
      </c>
      <c r="I14" s="25" t="s">
        <v>460</v>
      </c>
      <c r="J14" s="90">
        <v>2500</v>
      </c>
      <c r="K14" s="25"/>
      <c r="L14" s="27"/>
      <c r="M14" s="25"/>
      <c r="N14">
        <f t="shared" si="0"/>
        <v>0</v>
      </c>
    </row>
    <row r="15" spans="1:14">
      <c r="A15" s="13">
        <v>1013</v>
      </c>
      <c r="B15" s="13" t="s">
        <v>784</v>
      </c>
      <c r="C15" s="14">
        <v>27.15</v>
      </c>
      <c r="D15" s="14">
        <v>2500</v>
      </c>
      <c r="E15" s="14"/>
      <c r="H15" s="25">
        <v>1013</v>
      </c>
      <c r="I15" s="25" t="s">
        <v>784</v>
      </c>
      <c r="J15" s="25">
        <v>2500</v>
      </c>
      <c r="K15" s="25"/>
      <c r="L15" s="27"/>
      <c r="M15" s="25"/>
      <c r="N15">
        <f t="shared" si="0"/>
        <v>0</v>
      </c>
    </row>
    <row r="16" spans="1:14">
      <c r="A16" s="13" t="s">
        <v>785</v>
      </c>
      <c r="B16" s="13" t="s">
        <v>786</v>
      </c>
      <c r="C16" s="14">
        <v>54.3</v>
      </c>
      <c r="D16" s="14">
        <v>3000</v>
      </c>
      <c r="E16" s="14"/>
      <c r="H16" s="25">
        <v>1014</v>
      </c>
      <c r="I16" s="25" t="s">
        <v>556</v>
      </c>
      <c r="J16" s="25">
        <v>3000</v>
      </c>
      <c r="K16" s="25"/>
      <c r="L16" s="27"/>
      <c r="M16" s="25"/>
      <c r="N16">
        <f t="shared" si="0"/>
        <v>0</v>
      </c>
    </row>
    <row r="17" spans="1:14">
      <c r="A17" s="13" t="s">
        <v>102</v>
      </c>
      <c r="B17" s="13" t="s">
        <v>787</v>
      </c>
      <c r="C17" s="14">
        <v>54.3</v>
      </c>
      <c r="D17" s="14">
        <v>3800</v>
      </c>
      <c r="E17" s="14">
        <v>400</v>
      </c>
      <c r="H17" s="25">
        <v>1016</v>
      </c>
      <c r="I17" s="25" t="s">
        <v>787</v>
      </c>
      <c r="J17" s="25">
        <v>3800</v>
      </c>
      <c r="K17" s="25">
        <v>400</v>
      </c>
      <c r="L17" s="27"/>
      <c r="M17" s="25"/>
      <c r="N17">
        <f t="shared" si="0"/>
        <v>0</v>
      </c>
    </row>
    <row r="18" spans="1:14">
      <c r="A18" s="13">
        <v>1018</v>
      </c>
      <c r="B18" s="13" t="s">
        <v>105</v>
      </c>
      <c r="C18" s="14">
        <v>27.5</v>
      </c>
      <c r="D18" s="14">
        <v>2000</v>
      </c>
      <c r="E18" s="14"/>
      <c r="H18" s="25">
        <v>1018</v>
      </c>
      <c r="I18" s="25" t="s">
        <v>105</v>
      </c>
      <c r="J18" s="25">
        <v>2700</v>
      </c>
      <c r="K18" s="25"/>
      <c r="L18" s="25"/>
      <c r="M18" s="25"/>
      <c r="N18">
        <f t="shared" si="0"/>
        <v>-700</v>
      </c>
    </row>
    <row r="19" spans="1:14">
      <c r="A19" s="13">
        <v>1019</v>
      </c>
      <c r="B19" s="13" t="s">
        <v>788</v>
      </c>
      <c r="C19" s="14">
        <v>27.15</v>
      </c>
      <c r="D19" s="14">
        <v>1600</v>
      </c>
      <c r="E19" s="14">
        <v>200</v>
      </c>
      <c r="H19" s="25">
        <v>1019</v>
      </c>
      <c r="I19" s="25" t="s">
        <v>789</v>
      </c>
      <c r="J19" s="25">
        <v>1600</v>
      </c>
      <c r="K19" s="25">
        <v>200</v>
      </c>
      <c r="L19" s="27"/>
      <c r="M19" s="25"/>
      <c r="N19">
        <f t="shared" si="0"/>
        <v>0</v>
      </c>
    </row>
    <row r="20" spans="1:14">
      <c r="A20" s="13">
        <v>1020</v>
      </c>
      <c r="B20" s="13"/>
      <c r="C20" s="29"/>
      <c r="D20" s="14"/>
      <c r="E20" s="14"/>
      <c r="H20" s="25">
        <v>1020</v>
      </c>
      <c r="I20" s="25"/>
      <c r="J20" s="25"/>
      <c r="K20" s="25"/>
      <c r="L20" s="25"/>
      <c r="M20" s="25"/>
      <c r="N20">
        <f t="shared" si="0"/>
        <v>0</v>
      </c>
    </row>
    <row r="21" spans="1:14">
      <c r="A21" s="13">
        <v>1021</v>
      </c>
      <c r="B21" s="13" t="s">
        <v>790</v>
      </c>
      <c r="C21" s="14">
        <v>27.15</v>
      </c>
      <c r="D21" s="14">
        <v>4226</v>
      </c>
      <c r="E21" s="14">
        <v>500</v>
      </c>
      <c r="H21" s="25">
        <v>1021</v>
      </c>
      <c r="I21" s="25" t="s">
        <v>790</v>
      </c>
      <c r="J21" s="25">
        <f>M24</f>
        <v>4226</v>
      </c>
      <c r="K21" s="25">
        <v>500</v>
      </c>
      <c r="L21" s="27"/>
      <c r="M21" s="25"/>
      <c r="N21">
        <f t="shared" si="0"/>
        <v>0</v>
      </c>
    </row>
    <row r="22" spans="1:14">
      <c r="A22" s="13">
        <v>1022</v>
      </c>
      <c r="B22" s="13" t="s">
        <v>791</v>
      </c>
      <c r="C22" s="14">
        <v>56.26</v>
      </c>
      <c r="D22" s="14">
        <v>2531</v>
      </c>
      <c r="E22" s="14"/>
      <c r="H22" s="25">
        <v>1022</v>
      </c>
      <c r="I22" s="25" t="s">
        <v>112</v>
      </c>
      <c r="J22" s="25">
        <v>2531</v>
      </c>
      <c r="K22" s="25"/>
      <c r="L22" s="25"/>
      <c r="M22" s="25"/>
      <c r="N22">
        <f t="shared" si="0"/>
        <v>0</v>
      </c>
    </row>
    <row r="23" spans="1:14">
      <c r="A23" s="13">
        <v>1023</v>
      </c>
      <c r="B23" s="13" t="s">
        <v>792</v>
      </c>
      <c r="C23" s="14">
        <v>31.79</v>
      </c>
      <c r="D23" s="14">
        <v>1000</v>
      </c>
      <c r="E23" s="14"/>
      <c r="H23" s="25">
        <v>1023</v>
      </c>
      <c r="I23" s="25" t="s">
        <v>783</v>
      </c>
      <c r="J23" s="25">
        <v>1000</v>
      </c>
      <c r="K23" s="25"/>
      <c r="L23" s="27"/>
      <c r="M23" s="25"/>
      <c r="N23">
        <f t="shared" si="0"/>
        <v>0</v>
      </c>
    </row>
    <row r="24" spans="1:14">
      <c r="A24" s="13">
        <v>1024</v>
      </c>
      <c r="B24" s="13" t="s">
        <v>793</v>
      </c>
      <c r="C24" s="14">
        <v>43.89</v>
      </c>
      <c r="D24" s="14">
        <v>1448</v>
      </c>
      <c r="E24" s="14"/>
      <c r="H24" s="25">
        <v>1024</v>
      </c>
      <c r="I24" s="25" t="s">
        <v>116</v>
      </c>
      <c r="J24" s="25">
        <v>1448</v>
      </c>
      <c r="K24" s="25"/>
      <c r="L24" s="27">
        <v>44413</v>
      </c>
      <c r="M24" s="25">
        <v>4226</v>
      </c>
      <c r="N24">
        <f t="shared" si="0"/>
        <v>0</v>
      </c>
    </row>
    <row r="25" spans="1:14">
      <c r="A25" s="13">
        <v>1025</v>
      </c>
      <c r="B25" s="13" t="s">
        <v>711</v>
      </c>
      <c r="C25" s="14">
        <v>27.15</v>
      </c>
      <c r="D25" s="14">
        <v>4202</v>
      </c>
      <c r="E25" s="14">
        <v>500</v>
      </c>
      <c r="H25" s="25">
        <v>1025</v>
      </c>
      <c r="I25" s="25" t="s">
        <v>711</v>
      </c>
      <c r="J25" s="25">
        <v>4202</v>
      </c>
      <c r="K25" s="25">
        <v>500</v>
      </c>
      <c r="L25" s="25"/>
      <c r="M25" s="25"/>
      <c r="N25">
        <f t="shared" si="0"/>
        <v>0</v>
      </c>
    </row>
    <row r="26" spans="1:14">
      <c r="A26" s="13" t="s">
        <v>120</v>
      </c>
      <c r="B26" s="13" t="s">
        <v>73</v>
      </c>
      <c r="C26" s="14">
        <v>26.45</v>
      </c>
      <c r="D26" s="14">
        <v>4202</v>
      </c>
      <c r="E26" s="14">
        <v>500</v>
      </c>
      <c r="H26" s="25" t="s">
        <v>120</v>
      </c>
      <c r="I26" s="25" t="s">
        <v>73</v>
      </c>
      <c r="J26" s="25">
        <v>4202</v>
      </c>
      <c r="K26" s="25">
        <v>500</v>
      </c>
      <c r="L26" s="25"/>
      <c r="M26" s="25"/>
      <c r="N26">
        <f t="shared" si="0"/>
        <v>0</v>
      </c>
    </row>
    <row r="27" spans="1:14">
      <c r="A27" s="13">
        <v>1026</v>
      </c>
      <c r="B27" s="13" t="s">
        <v>794</v>
      </c>
      <c r="C27" s="14">
        <v>27.15</v>
      </c>
      <c r="D27" s="14">
        <v>4202</v>
      </c>
      <c r="E27" s="14">
        <v>500</v>
      </c>
      <c r="H27" s="25">
        <v>1026</v>
      </c>
      <c r="I27" s="25" t="s">
        <v>794</v>
      </c>
      <c r="J27" s="25">
        <v>4202</v>
      </c>
      <c r="K27" s="25">
        <v>500</v>
      </c>
      <c r="L27" s="25"/>
      <c r="M27" s="25"/>
      <c r="N27">
        <f t="shared" si="0"/>
        <v>0</v>
      </c>
    </row>
    <row r="28" spans="1:14">
      <c r="A28" s="13">
        <v>1027</v>
      </c>
      <c r="B28" s="13"/>
      <c r="C28" s="14"/>
      <c r="D28" s="14"/>
      <c r="E28" s="14"/>
      <c r="H28" s="25">
        <v>1027</v>
      </c>
      <c r="I28" s="25"/>
      <c r="J28" s="25"/>
      <c r="K28" s="25"/>
      <c r="L28" s="27"/>
      <c r="M28" s="25"/>
      <c r="N28">
        <f t="shared" si="0"/>
        <v>0</v>
      </c>
    </row>
    <row r="29" spans="1:14">
      <c r="A29" s="13">
        <v>1028</v>
      </c>
      <c r="B29" s="13" t="s">
        <v>795</v>
      </c>
      <c r="C29" s="14">
        <v>27.15</v>
      </c>
      <c r="D29" s="14">
        <v>4202</v>
      </c>
      <c r="E29" s="14">
        <v>500</v>
      </c>
      <c r="H29" s="25">
        <v>1028</v>
      </c>
      <c r="I29" s="25" t="s">
        <v>126</v>
      </c>
      <c r="J29" s="25">
        <v>4202</v>
      </c>
      <c r="K29" s="25">
        <v>500</v>
      </c>
      <c r="L29" s="27"/>
      <c r="M29" s="25"/>
      <c r="N29">
        <f t="shared" si="0"/>
        <v>0</v>
      </c>
    </row>
    <row r="30" spans="1:14">
      <c r="A30" s="13">
        <v>1029</v>
      </c>
      <c r="B30" s="13" t="s">
        <v>796</v>
      </c>
      <c r="C30" s="14">
        <v>27.15</v>
      </c>
      <c r="D30" s="14">
        <v>4202</v>
      </c>
      <c r="E30" s="14">
        <v>500</v>
      </c>
      <c r="H30" s="25">
        <v>1029</v>
      </c>
      <c r="I30" s="25" t="s">
        <v>796</v>
      </c>
      <c r="J30" s="25">
        <v>4202</v>
      </c>
      <c r="K30" s="25">
        <v>500</v>
      </c>
      <c r="L30" s="27"/>
      <c r="M30" s="25"/>
      <c r="N30">
        <f t="shared" si="0"/>
        <v>0</v>
      </c>
    </row>
    <row r="31" spans="1:14">
      <c r="A31" s="13">
        <v>1030</v>
      </c>
      <c r="B31" s="13" t="s">
        <v>130</v>
      </c>
      <c r="C31" s="14">
        <v>27.15</v>
      </c>
      <c r="D31" s="14">
        <v>4202</v>
      </c>
      <c r="E31" s="14">
        <v>500</v>
      </c>
      <c r="H31" s="25">
        <v>1030</v>
      </c>
      <c r="I31" s="25" t="s">
        <v>130</v>
      </c>
      <c r="J31" s="25">
        <f>M34</f>
        <v>4202</v>
      </c>
      <c r="K31" s="25">
        <v>500</v>
      </c>
      <c r="L31" s="27"/>
      <c r="M31" s="25"/>
      <c r="N31">
        <f t="shared" si="0"/>
        <v>0</v>
      </c>
    </row>
    <row r="32" spans="1:14">
      <c r="A32" s="13">
        <v>1031</v>
      </c>
      <c r="B32" s="13" t="s">
        <v>797</v>
      </c>
      <c r="C32" s="14">
        <v>23.77</v>
      </c>
      <c r="D32" s="14">
        <v>4202</v>
      </c>
      <c r="E32" s="14">
        <v>500</v>
      </c>
      <c r="H32" s="25">
        <v>1031</v>
      </c>
      <c r="I32" s="25" t="s">
        <v>797</v>
      </c>
      <c r="J32" s="25">
        <v>4202</v>
      </c>
      <c r="K32" s="25">
        <v>500</v>
      </c>
      <c r="L32" s="27"/>
      <c r="M32" s="25"/>
      <c r="N32">
        <f t="shared" si="0"/>
        <v>0</v>
      </c>
    </row>
    <row r="33" spans="1:14">
      <c r="A33" s="13">
        <v>1032</v>
      </c>
      <c r="B33" s="13" t="s">
        <v>134</v>
      </c>
      <c r="C33" s="14">
        <v>27.15</v>
      </c>
      <c r="D33" s="14">
        <v>4202</v>
      </c>
      <c r="E33" s="14">
        <v>500</v>
      </c>
      <c r="H33" s="25">
        <v>1032</v>
      </c>
      <c r="I33" s="25" t="s">
        <v>134</v>
      </c>
      <c r="J33" s="25">
        <v>4202</v>
      </c>
      <c r="K33" s="25">
        <v>500</v>
      </c>
      <c r="L33" s="27"/>
      <c r="M33" s="25"/>
      <c r="N33">
        <f t="shared" si="0"/>
        <v>0</v>
      </c>
    </row>
    <row r="34" spans="1:14">
      <c r="A34" s="13">
        <v>1033</v>
      </c>
      <c r="B34" s="13"/>
      <c r="C34" s="14"/>
      <c r="D34" s="14"/>
      <c r="E34" s="14"/>
      <c r="H34" s="25">
        <v>1033</v>
      </c>
      <c r="I34" s="25"/>
      <c r="J34" s="25"/>
      <c r="K34" s="25"/>
      <c r="L34" s="27">
        <v>44470</v>
      </c>
      <c r="M34" s="25">
        <v>4202</v>
      </c>
      <c r="N34">
        <f t="shared" si="0"/>
        <v>0</v>
      </c>
    </row>
    <row r="35" spans="1:14">
      <c r="A35" s="13">
        <v>1034</v>
      </c>
      <c r="B35" s="13"/>
      <c r="C35" s="14"/>
      <c r="D35" s="14"/>
      <c r="E35" s="14"/>
      <c r="H35" s="25">
        <v>1034</v>
      </c>
      <c r="I35" s="25"/>
      <c r="J35" s="25"/>
      <c r="K35" s="25"/>
      <c r="L35" s="27"/>
      <c r="M35" s="25"/>
      <c r="N35">
        <f t="shared" si="0"/>
        <v>0</v>
      </c>
    </row>
    <row r="36" spans="1:14">
      <c r="A36" s="13">
        <v>1035</v>
      </c>
      <c r="B36" s="13" t="s">
        <v>712</v>
      </c>
      <c r="C36" s="14">
        <v>27.15</v>
      </c>
      <c r="D36" s="14">
        <v>4202</v>
      </c>
      <c r="E36" s="14">
        <v>500</v>
      </c>
      <c r="H36" s="25">
        <v>1035</v>
      </c>
      <c r="I36" s="25" t="s">
        <v>712</v>
      </c>
      <c r="J36" s="25">
        <v>4202</v>
      </c>
      <c r="K36" s="25">
        <v>500</v>
      </c>
      <c r="L36" s="27"/>
      <c r="M36" s="25"/>
      <c r="N36">
        <f t="shared" si="0"/>
        <v>0</v>
      </c>
    </row>
    <row r="37" spans="1:14">
      <c r="A37" s="13">
        <v>1036</v>
      </c>
      <c r="B37" s="13" t="s">
        <v>798</v>
      </c>
      <c r="C37" s="14">
        <v>27.15</v>
      </c>
      <c r="D37" s="14">
        <v>4202</v>
      </c>
      <c r="E37" s="14">
        <v>500</v>
      </c>
      <c r="H37" s="25">
        <v>1036</v>
      </c>
      <c r="I37" s="25" t="s">
        <v>798</v>
      </c>
      <c r="J37" s="25">
        <v>4202</v>
      </c>
      <c r="K37" s="25">
        <v>500</v>
      </c>
      <c r="L37" s="27"/>
      <c r="M37" s="25"/>
      <c r="N37">
        <f t="shared" ref="N37:N69" si="1">D37-J37</f>
        <v>0</v>
      </c>
    </row>
    <row r="38" spans="1:14">
      <c r="A38" s="13">
        <v>1037</v>
      </c>
      <c r="B38" s="13" t="s">
        <v>138</v>
      </c>
      <c r="C38" s="14">
        <v>27.15</v>
      </c>
      <c r="D38" s="14">
        <v>4202</v>
      </c>
      <c r="E38" s="14">
        <v>500</v>
      </c>
      <c r="H38" s="25">
        <v>1037</v>
      </c>
      <c r="I38" s="25" t="s">
        <v>138</v>
      </c>
      <c r="J38" s="25">
        <v>4202</v>
      </c>
      <c r="K38" s="25">
        <v>500</v>
      </c>
      <c r="L38" s="27"/>
      <c r="M38" s="25"/>
      <c r="N38">
        <f t="shared" si="1"/>
        <v>0</v>
      </c>
    </row>
    <row r="39" spans="1:14">
      <c r="A39" s="13">
        <v>1038</v>
      </c>
      <c r="B39" s="13" t="s">
        <v>799</v>
      </c>
      <c r="C39" s="14">
        <v>27.15</v>
      </c>
      <c r="D39" s="14">
        <v>4202</v>
      </c>
      <c r="E39" s="14">
        <v>500</v>
      </c>
      <c r="H39" s="25">
        <v>1038</v>
      </c>
      <c r="I39" s="25" t="s">
        <v>799</v>
      </c>
      <c r="J39" s="25">
        <v>4202</v>
      </c>
      <c r="K39" s="25">
        <v>500</v>
      </c>
      <c r="L39" s="27"/>
      <c r="M39" s="25"/>
      <c r="N39">
        <f t="shared" si="1"/>
        <v>0</v>
      </c>
    </row>
    <row r="40" spans="1:14">
      <c r="A40" s="13">
        <v>1039</v>
      </c>
      <c r="B40" s="13" t="s">
        <v>181</v>
      </c>
      <c r="C40" s="14">
        <v>27.15</v>
      </c>
      <c r="D40" s="14">
        <v>4624</v>
      </c>
      <c r="E40" s="14">
        <v>500</v>
      </c>
      <c r="H40" s="25">
        <v>1039</v>
      </c>
      <c r="I40" s="25" t="s">
        <v>181</v>
      </c>
      <c r="J40" s="25">
        <v>4624</v>
      </c>
      <c r="K40" s="25">
        <v>500</v>
      </c>
      <c r="L40" s="27"/>
      <c r="M40" s="25"/>
      <c r="N40">
        <f t="shared" si="1"/>
        <v>0</v>
      </c>
    </row>
    <row r="41" spans="1:14">
      <c r="A41" s="13">
        <v>1040</v>
      </c>
      <c r="B41" s="13" t="s">
        <v>149</v>
      </c>
      <c r="C41" s="14">
        <v>27.15</v>
      </c>
      <c r="D41" s="14">
        <f>5076-600</f>
        <v>4476</v>
      </c>
      <c r="E41" s="14">
        <v>500</v>
      </c>
      <c r="H41" s="25">
        <v>1040</v>
      </c>
      <c r="I41" s="25" t="s">
        <v>149</v>
      </c>
      <c r="J41" s="25">
        <f>2538*2</f>
        <v>5076</v>
      </c>
      <c r="K41" s="25">
        <v>500</v>
      </c>
      <c r="L41" s="27"/>
      <c r="M41" s="25"/>
      <c r="N41">
        <f t="shared" si="1"/>
        <v>-600</v>
      </c>
    </row>
    <row r="42" spans="1:14">
      <c r="A42" s="13">
        <v>1041</v>
      </c>
      <c r="B42" s="13" t="s">
        <v>141</v>
      </c>
      <c r="C42" s="14">
        <v>27.15</v>
      </c>
      <c r="D42" s="14">
        <v>4202</v>
      </c>
      <c r="E42" s="14">
        <v>500</v>
      </c>
      <c r="H42" s="25">
        <v>1041</v>
      </c>
      <c r="I42" s="25" t="s">
        <v>141</v>
      </c>
      <c r="J42" s="25">
        <v>4202</v>
      </c>
      <c r="K42" s="25">
        <v>500</v>
      </c>
      <c r="L42" s="27"/>
      <c r="M42" s="25"/>
      <c r="N42">
        <f t="shared" si="1"/>
        <v>0</v>
      </c>
    </row>
    <row r="43" spans="1:14">
      <c r="A43" s="13">
        <v>1042</v>
      </c>
      <c r="B43" s="13" t="s">
        <v>153</v>
      </c>
      <c r="C43" s="14">
        <v>27.15</v>
      </c>
      <c r="D43" s="14">
        <v>4202</v>
      </c>
      <c r="E43" s="14">
        <v>500</v>
      </c>
      <c r="H43" s="25">
        <v>1042</v>
      </c>
      <c r="I43" s="25" t="s">
        <v>153</v>
      </c>
      <c r="J43" s="25">
        <f>2101+2101</f>
        <v>4202</v>
      </c>
      <c r="K43" s="25">
        <v>500</v>
      </c>
      <c r="L43" s="25"/>
      <c r="M43" s="25"/>
      <c r="N43">
        <f t="shared" si="1"/>
        <v>0</v>
      </c>
    </row>
    <row r="44" spans="1:14">
      <c r="A44" s="13">
        <v>1043</v>
      </c>
      <c r="B44" s="13" t="s">
        <v>800</v>
      </c>
      <c r="C44" s="14">
        <v>27.15</v>
      </c>
      <c r="D44" s="14">
        <v>4202</v>
      </c>
      <c r="E44" s="14">
        <v>500</v>
      </c>
      <c r="H44" s="25">
        <v>1043</v>
      </c>
      <c r="I44" s="25" t="s">
        <v>800</v>
      </c>
      <c r="J44" s="25">
        <v>4202</v>
      </c>
      <c r="K44" s="25">
        <v>500</v>
      </c>
      <c r="L44" s="25"/>
      <c r="M44" s="25"/>
      <c r="N44">
        <f t="shared" si="1"/>
        <v>0</v>
      </c>
    </row>
    <row r="45" spans="1:14">
      <c r="A45" s="14">
        <v>1044</v>
      </c>
      <c r="B45" s="13" t="s">
        <v>147</v>
      </c>
      <c r="C45" s="14">
        <v>27.15</v>
      </c>
      <c r="D45" s="14">
        <v>4202</v>
      </c>
      <c r="E45" s="14">
        <v>500</v>
      </c>
      <c r="H45" s="25">
        <v>1044</v>
      </c>
      <c r="I45" s="25" t="s">
        <v>147</v>
      </c>
      <c r="J45" s="25">
        <v>4202</v>
      </c>
      <c r="K45" s="25">
        <v>500</v>
      </c>
      <c r="L45" s="27"/>
      <c r="M45" s="25"/>
      <c r="N45">
        <f t="shared" si="1"/>
        <v>0</v>
      </c>
    </row>
    <row r="46" spans="1:14">
      <c r="A46" s="13">
        <v>1045</v>
      </c>
      <c r="B46" s="13" t="s">
        <v>801</v>
      </c>
      <c r="C46" s="14">
        <v>26.49</v>
      </c>
      <c r="D46" s="14">
        <v>4474</v>
      </c>
      <c r="E46" s="14">
        <v>500</v>
      </c>
      <c r="H46" s="25">
        <v>1045</v>
      </c>
      <c r="I46" s="25" t="s">
        <v>801</v>
      </c>
      <c r="J46" s="25">
        <f>M49</f>
        <v>4474</v>
      </c>
      <c r="K46" s="25">
        <v>500</v>
      </c>
      <c r="L46" s="27"/>
      <c r="M46" s="25"/>
      <c r="N46">
        <f t="shared" si="1"/>
        <v>0</v>
      </c>
    </row>
    <row r="47" spans="1:14">
      <c r="A47" s="13">
        <v>1046</v>
      </c>
      <c r="B47" s="13" t="s">
        <v>161</v>
      </c>
      <c r="C47" s="14">
        <v>26.49</v>
      </c>
      <c r="D47" s="14">
        <v>4202</v>
      </c>
      <c r="E47" s="14">
        <v>500</v>
      </c>
      <c r="H47" s="25">
        <v>1046</v>
      </c>
      <c r="I47" s="25" t="s">
        <v>161</v>
      </c>
      <c r="J47" s="25">
        <v>4202</v>
      </c>
      <c r="K47" s="25">
        <v>500</v>
      </c>
      <c r="L47" s="27"/>
      <c r="M47" s="25"/>
      <c r="N47">
        <f t="shared" si="1"/>
        <v>0</v>
      </c>
    </row>
    <row r="48" spans="1:14">
      <c r="A48" s="13">
        <v>1047</v>
      </c>
      <c r="B48" s="13" t="s">
        <v>802</v>
      </c>
      <c r="C48" s="14">
        <v>26.49</v>
      </c>
      <c r="D48" s="14">
        <v>4202</v>
      </c>
      <c r="E48" s="14">
        <v>500</v>
      </c>
      <c r="H48" s="25">
        <v>1047</v>
      </c>
      <c r="I48" s="25" t="s">
        <v>802</v>
      </c>
      <c r="J48" s="25">
        <f>M51</f>
        <v>4202</v>
      </c>
      <c r="K48" s="25">
        <v>500</v>
      </c>
      <c r="L48" s="27"/>
      <c r="M48" s="25"/>
      <c r="N48">
        <f t="shared" si="1"/>
        <v>0</v>
      </c>
    </row>
    <row r="49" spans="1:14">
      <c r="A49" s="13">
        <v>1048</v>
      </c>
      <c r="B49" s="13" t="s">
        <v>803</v>
      </c>
      <c r="C49" s="14">
        <v>26.49</v>
      </c>
      <c r="D49" s="14">
        <v>4202</v>
      </c>
      <c r="E49" s="14">
        <v>500</v>
      </c>
      <c r="H49" s="25">
        <v>1048</v>
      </c>
      <c r="I49" s="25" t="s">
        <v>803</v>
      </c>
      <c r="J49" s="25">
        <f>M52</f>
        <v>4202</v>
      </c>
      <c r="K49" s="25">
        <v>500</v>
      </c>
      <c r="L49" s="27">
        <v>44287</v>
      </c>
      <c r="M49" s="25">
        <v>4474</v>
      </c>
      <c r="N49">
        <f t="shared" si="1"/>
        <v>0</v>
      </c>
    </row>
    <row r="50" spans="1:14">
      <c r="A50" s="13">
        <v>1049</v>
      </c>
      <c r="B50" s="13" t="s">
        <v>167</v>
      </c>
      <c r="C50" s="14">
        <v>26.49</v>
      </c>
      <c r="D50" s="14">
        <v>4202</v>
      </c>
      <c r="E50" s="14">
        <v>500</v>
      </c>
      <c r="H50" s="25">
        <v>1049</v>
      </c>
      <c r="I50" s="25" t="s">
        <v>167</v>
      </c>
      <c r="J50" s="25">
        <v>4202</v>
      </c>
      <c r="K50" s="25">
        <v>500</v>
      </c>
      <c r="L50" s="27"/>
      <c r="M50" s="25"/>
      <c r="N50">
        <f t="shared" si="1"/>
        <v>0</v>
      </c>
    </row>
    <row r="51" spans="1:14">
      <c r="A51" s="13">
        <v>1050</v>
      </c>
      <c r="B51" s="13" t="s">
        <v>713</v>
      </c>
      <c r="C51" s="14">
        <v>26.49</v>
      </c>
      <c r="D51" s="14">
        <v>4202</v>
      </c>
      <c r="E51" s="14">
        <v>500</v>
      </c>
      <c r="H51" s="25">
        <v>1050</v>
      </c>
      <c r="I51" s="25" t="s">
        <v>713</v>
      </c>
      <c r="J51" s="25">
        <v>4202</v>
      </c>
      <c r="K51" s="25">
        <v>500</v>
      </c>
      <c r="L51" s="27">
        <v>44470</v>
      </c>
      <c r="M51" s="25">
        <v>4202</v>
      </c>
      <c r="N51">
        <f t="shared" si="1"/>
        <v>0</v>
      </c>
    </row>
    <row r="52" spans="1:14">
      <c r="A52" s="13">
        <v>1051</v>
      </c>
      <c r="B52" s="13" t="s">
        <v>714</v>
      </c>
      <c r="C52" s="14">
        <v>26.49</v>
      </c>
      <c r="D52" s="14">
        <v>4202</v>
      </c>
      <c r="E52" s="14">
        <v>500</v>
      </c>
      <c r="H52" s="25">
        <v>1051</v>
      </c>
      <c r="I52" s="25" t="s">
        <v>714</v>
      </c>
      <c r="J52" s="25">
        <v>4202</v>
      </c>
      <c r="K52" s="25">
        <v>500</v>
      </c>
      <c r="L52" s="27">
        <v>44470</v>
      </c>
      <c r="M52" s="25">
        <v>4202</v>
      </c>
      <c r="N52">
        <f t="shared" si="1"/>
        <v>0</v>
      </c>
    </row>
    <row r="53" spans="1:14">
      <c r="A53" s="13">
        <v>1052</v>
      </c>
      <c r="B53" s="13" t="s">
        <v>804</v>
      </c>
      <c r="C53" s="14">
        <v>26.49</v>
      </c>
      <c r="D53" s="14">
        <v>4410</v>
      </c>
      <c r="E53" s="14">
        <v>500</v>
      </c>
      <c r="H53" s="25">
        <v>1052</v>
      </c>
      <c r="I53" s="25" t="s">
        <v>804</v>
      </c>
      <c r="J53" s="25">
        <v>4410</v>
      </c>
      <c r="K53" s="25">
        <v>500</v>
      </c>
      <c r="L53" s="27"/>
      <c r="M53" s="25"/>
      <c r="N53">
        <f t="shared" si="1"/>
        <v>0</v>
      </c>
    </row>
    <row r="54" spans="1:14">
      <c r="A54" s="13">
        <v>1053</v>
      </c>
      <c r="B54" s="13" t="s">
        <v>805</v>
      </c>
      <c r="C54" s="14">
        <v>26.15</v>
      </c>
      <c r="D54" s="14">
        <v>4202</v>
      </c>
      <c r="E54" s="14">
        <v>500</v>
      </c>
      <c r="H54" s="25">
        <v>1053</v>
      </c>
      <c r="I54" s="25" t="s">
        <v>805</v>
      </c>
      <c r="J54" s="25">
        <v>4202</v>
      </c>
      <c r="K54" s="25">
        <v>500</v>
      </c>
      <c r="L54" s="27"/>
      <c r="M54" s="25"/>
      <c r="N54">
        <f t="shared" si="1"/>
        <v>0</v>
      </c>
    </row>
    <row r="55" spans="1:14">
      <c r="A55" s="13">
        <v>1054</v>
      </c>
      <c r="B55" s="13" t="s">
        <v>177</v>
      </c>
      <c r="C55" s="14">
        <v>27.15</v>
      </c>
      <c r="D55" s="14">
        <v>4202</v>
      </c>
      <c r="E55" s="14">
        <v>500</v>
      </c>
      <c r="H55" s="25">
        <v>1054</v>
      </c>
      <c r="I55" s="25" t="s">
        <v>177</v>
      </c>
      <c r="J55" s="25">
        <v>4202</v>
      </c>
      <c r="K55" s="25">
        <v>500</v>
      </c>
      <c r="L55" s="27"/>
      <c r="M55" s="25"/>
      <c r="N55">
        <f t="shared" si="1"/>
        <v>0</v>
      </c>
    </row>
    <row r="56" spans="1:14">
      <c r="A56" s="13">
        <v>1055</v>
      </c>
      <c r="B56" s="13" t="s">
        <v>806</v>
      </c>
      <c r="C56" s="14">
        <v>26.49</v>
      </c>
      <c r="D56" s="14">
        <v>4624</v>
      </c>
      <c r="E56" s="14">
        <v>500</v>
      </c>
      <c r="H56" s="25">
        <v>1055</v>
      </c>
      <c r="I56" s="25" t="s">
        <v>806</v>
      </c>
      <c r="J56" s="25">
        <f>2312+2312</f>
        <v>4624</v>
      </c>
      <c r="K56" s="25">
        <v>500</v>
      </c>
      <c r="L56" s="27">
        <v>44287</v>
      </c>
      <c r="M56" s="25">
        <v>4200</v>
      </c>
      <c r="N56">
        <f t="shared" si="1"/>
        <v>0</v>
      </c>
    </row>
    <row r="57" spans="1:14">
      <c r="A57" s="13">
        <v>1056</v>
      </c>
      <c r="B57" s="13" t="s">
        <v>807</v>
      </c>
      <c r="C57" s="14">
        <v>26.49</v>
      </c>
      <c r="D57" s="14">
        <v>4202</v>
      </c>
      <c r="E57" s="14">
        <v>500</v>
      </c>
      <c r="H57" s="25">
        <v>1056</v>
      </c>
      <c r="I57" s="25" t="s">
        <v>807</v>
      </c>
      <c r="J57" s="25">
        <v>4202</v>
      </c>
      <c r="K57" s="25">
        <v>500</v>
      </c>
      <c r="L57" s="27"/>
      <c r="M57" s="25"/>
      <c r="N57">
        <f t="shared" si="1"/>
        <v>0</v>
      </c>
    </row>
    <row r="58" spans="1:14">
      <c r="A58" s="13">
        <v>1057</v>
      </c>
      <c r="B58" s="13" t="s">
        <v>183</v>
      </c>
      <c r="C58" s="14">
        <v>26.49</v>
      </c>
      <c r="D58" s="14">
        <v>4202</v>
      </c>
      <c r="E58" s="14">
        <v>500</v>
      </c>
      <c r="H58" s="25">
        <v>1057</v>
      </c>
      <c r="I58" s="25" t="s">
        <v>183</v>
      </c>
      <c r="J58" s="25">
        <v>4202</v>
      </c>
      <c r="K58" s="25">
        <v>500</v>
      </c>
      <c r="L58" s="27"/>
      <c r="M58" s="25"/>
      <c r="N58">
        <f t="shared" si="1"/>
        <v>0</v>
      </c>
    </row>
    <row r="59" spans="1:14">
      <c r="A59" s="13">
        <v>1058</v>
      </c>
      <c r="B59" s="13" t="s">
        <v>808</v>
      </c>
      <c r="C59" s="14">
        <v>26.49</v>
      </c>
      <c r="D59" s="14">
        <v>4202</v>
      </c>
      <c r="E59" s="14">
        <v>500</v>
      </c>
      <c r="H59" s="25">
        <v>1058</v>
      </c>
      <c r="I59" s="25" t="s">
        <v>809</v>
      </c>
      <c r="J59" s="25">
        <v>4202</v>
      </c>
      <c r="K59" s="25">
        <v>500</v>
      </c>
      <c r="L59" s="25"/>
      <c r="M59" s="25"/>
      <c r="N59">
        <f t="shared" si="1"/>
        <v>0</v>
      </c>
    </row>
    <row r="60" spans="1:14">
      <c r="A60" s="13">
        <v>1059</v>
      </c>
      <c r="B60" s="13" t="s">
        <v>715</v>
      </c>
      <c r="C60" s="14">
        <v>26.49</v>
      </c>
      <c r="D60" s="14">
        <v>4202</v>
      </c>
      <c r="E60" s="14">
        <v>500</v>
      </c>
      <c r="H60" s="25">
        <v>1059</v>
      </c>
      <c r="I60" s="25" t="s">
        <v>715</v>
      </c>
      <c r="J60" s="25">
        <v>4202</v>
      </c>
      <c r="K60" s="25">
        <v>500</v>
      </c>
      <c r="L60" s="27"/>
      <c r="M60" s="25"/>
      <c r="N60">
        <f t="shared" si="1"/>
        <v>0</v>
      </c>
    </row>
    <row r="61" spans="1:14">
      <c r="A61" s="13">
        <v>1060</v>
      </c>
      <c r="B61" s="13" t="s">
        <v>189</v>
      </c>
      <c r="C61" s="14">
        <v>26.49</v>
      </c>
      <c r="D61" s="14">
        <v>4202</v>
      </c>
      <c r="E61" s="14">
        <v>500</v>
      </c>
      <c r="H61" s="25">
        <v>1060</v>
      </c>
      <c r="I61" s="25" t="s">
        <v>810</v>
      </c>
      <c r="J61" s="25">
        <f>2101+2101</f>
        <v>4202</v>
      </c>
      <c r="K61" s="25">
        <v>500</v>
      </c>
      <c r="L61" s="27"/>
      <c r="M61" s="25"/>
      <c r="N61">
        <f t="shared" si="1"/>
        <v>0</v>
      </c>
    </row>
    <row r="62" spans="1:14">
      <c r="A62" s="13">
        <v>1061</v>
      </c>
      <c r="B62" s="13"/>
      <c r="C62" s="14"/>
      <c r="D62" s="14"/>
      <c r="E62" s="14"/>
      <c r="H62" s="25">
        <v>1061</v>
      </c>
      <c r="I62" s="25"/>
      <c r="J62" s="90"/>
      <c r="K62" s="25"/>
      <c r="L62" s="27"/>
      <c r="M62" s="25"/>
      <c r="N62">
        <f t="shared" si="1"/>
        <v>0</v>
      </c>
    </row>
    <row r="63" spans="1:14">
      <c r="A63" s="13">
        <v>1062</v>
      </c>
      <c r="B63" s="13" t="s">
        <v>165</v>
      </c>
      <c r="C63" s="14">
        <v>27.15</v>
      </c>
      <c r="D63" s="14">
        <v>4202</v>
      </c>
      <c r="E63" s="14">
        <v>500</v>
      </c>
      <c r="H63" s="25">
        <v>1062</v>
      </c>
      <c r="I63" s="25" t="s">
        <v>165</v>
      </c>
      <c r="J63" s="25">
        <v>4202</v>
      </c>
      <c r="K63" s="25">
        <v>500</v>
      </c>
      <c r="L63" s="27"/>
      <c r="M63" s="25"/>
      <c r="N63">
        <f t="shared" si="1"/>
        <v>0</v>
      </c>
    </row>
    <row r="64" spans="1:14">
      <c r="A64" s="13">
        <v>1063</v>
      </c>
      <c r="B64" s="13" t="s">
        <v>195</v>
      </c>
      <c r="C64" s="14">
        <v>6.21</v>
      </c>
      <c r="D64" s="14">
        <v>2240</v>
      </c>
      <c r="E64" s="14">
        <v>200</v>
      </c>
      <c r="H64" s="25">
        <v>1063</v>
      </c>
      <c r="I64" s="25" t="s">
        <v>195</v>
      </c>
      <c r="J64" s="25">
        <v>2240</v>
      </c>
      <c r="K64" s="25">
        <v>200</v>
      </c>
      <c r="L64" s="27"/>
      <c r="M64" s="25"/>
      <c r="N64">
        <f t="shared" si="1"/>
        <v>0</v>
      </c>
    </row>
    <row r="65" spans="1:14">
      <c r="A65" s="13">
        <v>1065</v>
      </c>
      <c r="B65" s="13" t="s">
        <v>193</v>
      </c>
      <c r="C65" s="14">
        <v>6.21</v>
      </c>
      <c r="D65" s="14">
        <v>2240</v>
      </c>
      <c r="E65" s="14">
        <v>200</v>
      </c>
      <c r="H65" s="25">
        <v>1065</v>
      </c>
      <c r="I65" s="25" t="s">
        <v>193</v>
      </c>
      <c r="J65" s="25">
        <v>2240</v>
      </c>
      <c r="K65" s="25">
        <v>200</v>
      </c>
      <c r="L65" s="27"/>
      <c r="M65" s="25"/>
      <c r="N65">
        <f t="shared" si="1"/>
        <v>0</v>
      </c>
    </row>
    <row r="66" spans="1:14">
      <c r="A66" s="13">
        <v>1066</v>
      </c>
      <c r="B66" s="13" t="s">
        <v>811</v>
      </c>
      <c r="C66" s="14">
        <v>27.15</v>
      </c>
      <c r="D66" s="14">
        <v>5370</v>
      </c>
      <c r="E66" s="14">
        <v>500</v>
      </c>
      <c r="H66" s="25">
        <v>1066</v>
      </c>
      <c r="I66" s="25" t="s">
        <v>811</v>
      </c>
      <c r="J66" s="25">
        <f>M69</f>
        <v>5370</v>
      </c>
      <c r="K66" s="25">
        <v>500</v>
      </c>
      <c r="L66" s="27"/>
      <c r="M66" s="25"/>
      <c r="N66">
        <f t="shared" si="1"/>
        <v>0</v>
      </c>
    </row>
    <row r="67" ht="40.5" spans="1:14">
      <c r="A67" s="30" t="s">
        <v>202</v>
      </c>
      <c r="B67" s="13" t="s">
        <v>812</v>
      </c>
      <c r="C67" s="14"/>
      <c r="D67" s="14">
        <v>1600</v>
      </c>
      <c r="E67" s="14"/>
      <c r="H67" s="31" t="s">
        <v>716</v>
      </c>
      <c r="I67" s="91" t="s">
        <v>812</v>
      </c>
      <c r="J67" s="92">
        <v>1600</v>
      </c>
      <c r="K67" s="33"/>
      <c r="L67" s="27"/>
      <c r="M67" s="25"/>
      <c r="N67">
        <f t="shared" si="1"/>
        <v>0</v>
      </c>
    </row>
    <row r="68" ht="40.5" spans="1:14">
      <c r="A68" s="30" t="s">
        <v>813</v>
      </c>
      <c r="B68" s="13"/>
      <c r="C68" s="14"/>
      <c r="D68" s="14"/>
      <c r="E68" s="14"/>
      <c r="H68" s="31" t="s">
        <v>717</v>
      </c>
      <c r="I68" s="91"/>
      <c r="J68" s="92"/>
      <c r="K68" s="33"/>
      <c r="L68" s="27"/>
      <c r="M68" s="25"/>
      <c r="N68">
        <f t="shared" si="1"/>
        <v>0</v>
      </c>
    </row>
    <row r="69" ht="40.5" spans="1:14">
      <c r="A69" s="30" t="s">
        <v>814</v>
      </c>
      <c r="B69" s="13"/>
      <c r="C69" s="14"/>
      <c r="D69" s="14"/>
      <c r="E69" s="14"/>
      <c r="H69" s="31" t="s">
        <v>815</v>
      </c>
      <c r="I69" s="33"/>
      <c r="J69" s="92"/>
      <c r="K69" s="33"/>
      <c r="L69" s="27">
        <v>44470</v>
      </c>
      <c r="M69" s="25">
        <v>5370</v>
      </c>
      <c r="N69">
        <f t="shared" si="1"/>
        <v>0</v>
      </c>
    </row>
    <row r="70" spans="1:14">
      <c r="A70" s="93">
        <v>2001</v>
      </c>
      <c r="B70" s="93" t="s">
        <v>215</v>
      </c>
      <c r="C70" s="86"/>
      <c r="D70" s="86">
        <v>1500</v>
      </c>
      <c r="E70" s="86"/>
      <c r="H70" s="94">
        <v>2001</v>
      </c>
      <c r="I70" s="94" t="s">
        <v>718</v>
      </c>
      <c r="J70" s="94">
        <v>1500</v>
      </c>
      <c r="K70" s="94"/>
      <c r="L70" s="33"/>
      <c r="M70" s="33"/>
      <c r="N70">
        <f t="shared" ref="N70:N94" si="2">D70-J70</f>
        <v>0</v>
      </c>
    </row>
    <row r="71" spans="1:14">
      <c r="A71" s="13">
        <v>2002</v>
      </c>
      <c r="B71" s="13" t="s">
        <v>816</v>
      </c>
      <c r="C71" s="14">
        <v>19.54</v>
      </c>
      <c r="D71" s="14">
        <v>4000</v>
      </c>
      <c r="E71" s="14"/>
      <c r="H71" s="25">
        <v>2002</v>
      </c>
      <c r="I71" s="25" t="s">
        <v>217</v>
      </c>
      <c r="J71" s="25">
        <v>4000</v>
      </c>
      <c r="K71" s="25"/>
      <c r="L71" s="33"/>
      <c r="M71" s="33"/>
      <c r="N71">
        <f t="shared" si="2"/>
        <v>0</v>
      </c>
    </row>
    <row r="72" spans="1:14">
      <c r="A72" s="13">
        <v>2003</v>
      </c>
      <c r="B72" s="13" t="s">
        <v>817</v>
      </c>
      <c r="C72" s="14">
        <v>19.54</v>
      </c>
      <c r="D72" s="14">
        <v>4000</v>
      </c>
      <c r="E72" s="14"/>
      <c r="H72" s="25">
        <v>2003</v>
      </c>
      <c r="I72" s="25" t="s">
        <v>818</v>
      </c>
      <c r="J72" s="25">
        <v>4000</v>
      </c>
      <c r="K72" s="25"/>
      <c r="L72" s="33"/>
      <c r="M72" s="33"/>
      <c r="N72">
        <f t="shared" si="2"/>
        <v>0</v>
      </c>
    </row>
    <row r="73" spans="1:14">
      <c r="A73" s="13">
        <v>2004</v>
      </c>
      <c r="B73" s="13" t="s">
        <v>819</v>
      </c>
      <c r="C73" s="14">
        <v>19.54</v>
      </c>
      <c r="D73" s="14">
        <v>4000</v>
      </c>
      <c r="E73" s="14"/>
      <c r="H73" s="25">
        <v>2004</v>
      </c>
      <c r="I73" s="25" t="s">
        <v>819</v>
      </c>
      <c r="J73" s="25">
        <v>4000</v>
      </c>
      <c r="K73" s="25">
        <v>0</v>
      </c>
      <c r="L73" s="94"/>
      <c r="M73" s="94"/>
      <c r="N73">
        <f t="shared" si="2"/>
        <v>0</v>
      </c>
    </row>
    <row r="74" spans="1:14">
      <c r="A74" s="13">
        <v>2005</v>
      </c>
      <c r="B74" s="13" t="s">
        <v>820</v>
      </c>
      <c r="C74" s="14">
        <v>19.54</v>
      </c>
      <c r="D74" s="14">
        <v>4000</v>
      </c>
      <c r="E74" s="14"/>
      <c r="H74" s="25">
        <v>2005</v>
      </c>
      <c r="I74" s="25" t="s">
        <v>820</v>
      </c>
      <c r="J74" s="25">
        <v>4000</v>
      </c>
      <c r="K74" s="25">
        <v>500</v>
      </c>
      <c r="L74" s="25"/>
      <c r="M74" s="25"/>
      <c r="N74">
        <f t="shared" si="2"/>
        <v>0</v>
      </c>
    </row>
    <row r="75" spans="1:14">
      <c r="A75" s="13">
        <v>2006</v>
      </c>
      <c r="B75" s="13" t="s">
        <v>225</v>
      </c>
      <c r="C75" s="14">
        <v>19.54</v>
      </c>
      <c r="D75" s="14">
        <v>4000</v>
      </c>
      <c r="E75" s="14"/>
      <c r="H75" s="25">
        <v>2006</v>
      </c>
      <c r="I75" s="25" t="s">
        <v>225</v>
      </c>
      <c r="J75" s="25">
        <v>4000</v>
      </c>
      <c r="K75" s="25">
        <v>0</v>
      </c>
      <c r="L75" s="25"/>
      <c r="M75" s="25"/>
      <c r="N75">
        <f t="shared" si="2"/>
        <v>0</v>
      </c>
    </row>
    <row r="76" spans="1:14">
      <c r="A76" s="13">
        <v>2007</v>
      </c>
      <c r="B76" s="13" t="s">
        <v>821</v>
      </c>
      <c r="C76" s="14">
        <v>19.54</v>
      </c>
      <c r="D76" s="14">
        <v>4000</v>
      </c>
      <c r="E76" s="14"/>
      <c r="H76" s="25">
        <v>2007</v>
      </c>
      <c r="I76" s="25" t="s">
        <v>821</v>
      </c>
      <c r="J76" s="25">
        <v>4100</v>
      </c>
      <c r="K76" s="25">
        <v>500</v>
      </c>
      <c r="L76" s="25"/>
      <c r="M76" s="25"/>
      <c r="N76">
        <f t="shared" si="2"/>
        <v>-100</v>
      </c>
    </row>
    <row r="77" spans="1:14">
      <c r="A77" s="13">
        <v>2008</v>
      </c>
      <c r="B77" s="13" t="s">
        <v>822</v>
      </c>
      <c r="C77" s="14">
        <v>19.54</v>
      </c>
      <c r="D77" s="14">
        <f>4000</f>
        <v>4000</v>
      </c>
      <c r="E77" s="14"/>
      <c r="H77" s="25">
        <v>2008</v>
      </c>
      <c r="I77" s="25" t="s">
        <v>822</v>
      </c>
      <c r="J77" s="25">
        <v>4000</v>
      </c>
      <c r="K77" s="25"/>
      <c r="L77" s="25"/>
      <c r="M77" s="25"/>
      <c r="N77">
        <f t="shared" si="2"/>
        <v>0</v>
      </c>
    </row>
    <row r="78" spans="1:14">
      <c r="A78" s="13">
        <v>2009</v>
      </c>
      <c r="B78" s="13" t="s">
        <v>517</v>
      </c>
      <c r="C78" s="14">
        <v>16.54</v>
      </c>
      <c r="D78" s="14">
        <v>4000</v>
      </c>
      <c r="E78" s="14"/>
      <c r="H78" s="25">
        <v>2009</v>
      </c>
      <c r="I78" s="25" t="s">
        <v>517</v>
      </c>
      <c r="J78" s="25">
        <v>4000</v>
      </c>
      <c r="K78" s="25">
        <v>0</v>
      </c>
      <c r="L78" s="25"/>
      <c r="M78" s="25"/>
      <c r="N78">
        <f t="shared" si="2"/>
        <v>0</v>
      </c>
    </row>
    <row r="79" spans="1:14">
      <c r="A79" s="13">
        <v>2010</v>
      </c>
      <c r="B79" s="13" t="s">
        <v>823</v>
      </c>
      <c r="C79" s="14">
        <v>19.54</v>
      </c>
      <c r="D79" s="14">
        <v>4000</v>
      </c>
      <c r="E79" s="14"/>
      <c r="H79" s="25">
        <v>2010</v>
      </c>
      <c r="I79" s="25" t="s">
        <v>233</v>
      </c>
      <c r="J79" s="25">
        <v>4000</v>
      </c>
      <c r="K79" s="25"/>
      <c r="L79" s="25"/>
      <c r="M79" s="25"/>
      <c r="N79">
        <f t="shared" si="2"/>
        <v>0</v>
      </c>
    </row>
    <row r="80" spans="1:14">
      <c r="A80" s="13">
        <v>2011</v>
      </c>
      <c r="B80" s="13" t="s">
        <v>235</v>
      </c>
      <c r="C80" s="14">
        <v>19.54</v>
      </c>
      <c r="D80" s="14">
        <v>4000</v>
      </c>
      <c r="E80" s="14"/>
      <c r="H80" s="25">
        <v>2011</v>
      </c>
      <c r="I80" s="25" t="s">
        <v>235</v>
      </c>
      <c r="J80" s="25">
        <v>4000</v>
      </c>
      <c r="K80" s="25"/>
      <c r="L80" s="25"/>
      <c r="M80" s="25"/>
      <c r="N80">
        <f t="shared" si="2"/>
        <v>0</v>
      </c>
    </row>
    <row r="81" spans="1:14">
      <c r="A81" s="13">
        <v>2012</v>
      </c>
      <c r="B81" s="13" t="s">
        <v>824</v>
      </c>
      <c r="C81" s="14">
        <v>19.54</v>
      </c>
      <c r="D81" s="14">
        <v>4000</v>
      </c>
      <c r="E81" s="14"/>
      <c r="H81" s="25">
        <v>2012</v>
      </c>
      <c r="I81" s="25" t="s">
        <v>824</v>
      </c>
      <c r="J81" s="25">
        <v>4000</v>
      </c>
      <c r="K81" s="25"/>
      <c r="L81" s="25"/>
      <c r="M81" s="25"/>
      <c r="N81">
        <f t="shared" si="2"/>
        <v>0</v>
      </c>
    </row>
    <row r="82" spans="1:14">
      <c r="A82" s="13">
        <v>2013</v>
      </c>
      <c r="B82" s="13" t="s">
        <v>825</v>
      </c>
      <c r="C82" s="14">
        <v>19.54</v>
      </c>
      <c r="D82" s="14">
        <v>4000</v>
      </c>
      <c r="E82" s="14"/>
      <c r="H82" s="25">
        <v>2013</v>
      </c>
      <c r="I82" s="25" t="s">
        <v>826</v>
      </c>
      <c r="J82" s="25">
        <v>4000</v>
      </c>
      <c r="K82" s="25"/>
      <c r="L82" s="25"/>
      <c r="M82" s="25"/>
      <c r="N82">
        <f t="shared" si="2"/>
        <v>0</v>
      </c>
    </row>
    <row r="83" spans="1:14">
      <c r="A83" s="13">
        <v>2014</v>
      </c>
      <c r="B83" s="13" t="s">
        <v>827</v>
      </c>
      <c r="C83" s="14">
        <v>19.54</v>
      </c>
      <c r="D83" s="14">
        <v>4000</v>
      </c>
      <c r="E83" s="14"/>
      <c r="H83" s="25">
        <v>2014</v>
      </c>
      <c r="I83" s="25" t="s">
        <v>828</v>
      </c>
      <c r="J83" s="25">
        <v>4000</v>
      </c>
      <c r="K83" s="25"/>
      <c r="L83" s="25"/>
      <c r="M83" s="25"/>
      <c r="N83">
        <f t="shared" si="2"/>
        <v>0</v>
      </c>
    </row>
    <row r="84" spans="1:14">
      <c r="A84" s="13">
        <v>2015</v>
      </c>
      <c r="B84" s="13" t="s">
        <v>829</v>
      </c>
      <c r="C84" s="14">
        <v>19.54</v>
      </c>
      <c r="D84" s="14">
        <v>4000</v>
      </c>
      <c r="E84" s="14"/>
      <c r="H84" s="25">
        <v>2015</v>
      </c>
      <c r="I84" s="25" t="s">
        <v>241</v>
      </c>
      <c r="J84" s="25">
        <v>4000</v>
      </c>
      <c r="K84" s="25"/>
      <c r="L84" s="25"/>
      <c r="M84" s="25"/>
      <c r="N84">
        <f t="shared" si="2"/>
        <v>0</v>
      </c>
    </row>
    <row r="85" spans="1:14">
      <c r="A85" s="13">
        <v>2016</v>
      </c>
      <c r="B85" s="13" t="s">
        <v>245</v>
      </c>
      <c r="C85" s="14">
        <v>19.54</v>
      </c>
      <c r="D85" s="14">
        <v>4000</v>
      </c>
      <c r="E85" s="14"/>
      <c r="H85" s="25">
        <v>2016</v>
      </c>
      <c r="I85" s="25" t="s">
        <v>245</v>
      </c>
      <c r="J85" s="25">
        <v>4000</v>
      </c>
      <c r="K85" s="25"/>
      <c r="L85" s="25"/>
      <c r="M85" s="25"/>
      <c r="N85">
        <f t="shared" si="2"/>
        <v>0</v>
      </c>
    </row>
    <row r="86" spans="1:14">
      <c r="A86" s="13">
        <v>2017</v>
      </c>
      <c r="B86" s="13" t="s">
        <v>245</v>
      </c>
      <c r="C86" s="14">
        <v>19.54</v>
      </c>
      <c r="D86" s="14">
        <v>4000</v>
      </c>
      <c r="E86" s="14"/>
      <c r="H86" s="25">
        <v>2017</v>
      </c>
      <c r="I86" s="25" t="s">
        <v>245</v>
      </c>
      <c r="J86" s="25">
        <v>4000</v>
      </c>
      <c r="K86" s="25"/>
      <c r="L86" s="25"/>
      <c r="M86" s="25"/>
      <c r="N86">
        <f t="shared" si="2"/>
        <v>0</v>
      </c>
    </row>
    <row r="87" spans="1:14">
      <c r="A87" s="13">
        <v>2018</v>
      </c>
      <c r="B87" s="13" t="s">
        <v>830</v>
      </c>
      <c r="C87" s="14">
        <v>19.54</v>
      </c>
      <c r="D87" s="14">
        <v>4000</v>
      </c>
      <c r="E87" s="14"/>
      <c r="H87" s="25">
        <v>2018</v>
      </c>
      <c r="I87" s="25" t="s">
        <v>831</v>
      </c>
      <c r="J87" s="25">
        <v>4000</v>
      </c>
      <c r="K87" s="25"/>
      <c r="L87" s="25"/>
      <c r="M87" s="25"/>
      <c r="N87">
        <f t="shared" si="2"/>
        <v>0</v>
      </c>
    </row>
    <row r="88" spans="1:14">
      <c r="A88" s="13">
        <v>2019</v>
      </c>
      <c r="B88" s="13"/>
      <c r="C88" s="14"/>
      <c r="D88" s="14"/>
      <c r="E88" s="14"/>
      <c r="H88" s="25">
        <v>2019</v>
      </c>
      <c r="I88" s="25"/>
      <c r="J88" s="25"/>
      <c r="K88" s="25"/>
      <c r="L88" s="25"/>
      <c r="M88" s="25"/>
      <c r="N88">
        <f t="shared" si="2"/>
        <v>0</v>
      </c>
    </row>
    <row r="89" spans="1:14">
      <c r="A89" s="95">
        <v>2020</v>
      </c>
      <c r="B89" s="95" t="s">
        <v>832</v>
      </c>
      <c r="C89" s="14">
        <v>19.54</v>
      </c>
      <c r="D89" s="96">
        <v>4000</v>
      </c>
      <c r="E89" s="96"/>
      <c r="H89" s="25">
        <v>2020</v>
      </c>
      <c r="I89" s="25" t="s">
        <v>832</v>
      </c>
      <c r="J89" s="25">
        <v>4000</v>
      </c>
      <c r="K89" s="25">
        <v>0</v>
      </c>
      <c r="L89" s="25"/>
      <c r="M89" s="25"/>
      <c r="N89">
        <f t="shared" si="2"/>
        <v>0</v>
      </c>
    </row>
    <row r="90" spans="1:14">
      <c r="A90" s="13">
        <v>2021</v>
      </c>
      <c r="B90" s="13" t="s">
        <v>833</v>
      </c>
      <c r="C90" s="14">
        <v>19.54</v>
      </c>
      <c r="D90" s="14">
        <v>4000</v>
      </c>
      <c r="E90" s="14"/>
      <c r="H90" s="25">
        <v>2021</v>
      </c>
      <c r="I90" s="25" t="s">
        <v>833</v>
      </c>
      <c r="J90" s="25">
        <v>4000</v>
      </c>
      <c r="K90" s="25"/>
      <c r="L90" s="25"/>
      <c r="M90" s="25"/>
      <c r="N90">
        <f t="shared" si="2"/>
        <v>0</v>
      </c>
    </row>
    <row r="91" spans="1:14">
      <c r="A91" s="93">
        <v>2022</v>
      </c>
      <c r="B91" s="93" t="s">
        <v>748</v>
      </c>
      <c r="C91" s="86"/>
      <c r="D91" s="86">
        <v>2000</v>
      </c>
      <c r="E91" s="86"/>
      <c r="H91" s="94">
        <v>2022</v>
      </c>
      <c r="I91" s="94" t="s">
        <v>748</v>
      </c>
      <c r="J91" s="94">
        <v>2000</v>
      </c>
      <c r="K91" s="94"/>
      <c r="L91" s="25"/>
      <c r="M91" s="25"/>
      <c r="N91">
        <f t="shared" si="2"/>
        <v>0</v>
      </c>
    </row>
    <row r="92" spans="1:14">
      <c r="A92" s="13">
        <v>2023</v>
      </c>
      <c r="B92" s="13"/>
      <c r="C92" s="14"/>
      <c r="D92" s="14"/>
      <c r="E92" s="14"/>
      <c r="H92" s="25">
        <v>2023</v>
      </c>
      <c r="I92" s="25"/>
      <c r="J92" s="25"/>
      <c r="K92" s="25"/>
      <c r="L92" s="25"/>
      <c r="M92" s="25"/>
      <c r="N92">
        <f t="shared" si="2"/>
        <v>0</v>
      </c>
    </row>
    <row r="93" spans="1:14">
      <c r="A93" s="13">
        <v>2024</v>
      </c>
      <c r="B93" s="13" t="s">
        <v>260</v>
      </c>
      <c r="C93" s="14">
        <v>19.54</v>
      </c>
      <c r="D93" s="14">
        <v>4000</v>
      </c>
      <c r="E93" s="14"/>
      <c r="H93" s="25">
        <v>2024</v>
      </c>
      <c r="I93" s="25" t="s">
        <v>260</v>
      </c>
      <c r="J93" s="25">
        <v>4000</v>
      </c>
      <c r="K93" s="25"/>
      <c r="L93" s="25"/>
      <c r="M93" s="25"/>
      <c r="N93">
        <f t="shared" si="2"/>
        <v>0</v>
      </c>
    </row>
    <row r="94" spans="1:14">
      <c r="A94" s="13">
        <v>2025</v>
      </c>
      <c r="B94" s="13" t="s">
        <v>834</v>
      </c>
      <c r="C94" s="14">
        <v>23.84</v>
      </c>
      <c r="D94" s="14">
        <v>4000</v>
      </c>
      <c r="E94" s="14"/>
      <c r="H94" s="25">
        <v>2025</v>
      </c>
      <c r="I94" s="25" t="s">
        <v>834</v>
      </c>
      <c r="J94" s="25">
        <v>4000</v>
      </c>
      <c r="K94" s="25"/>
      <c r="L94" s="94"/>
      <c r="M94" s="94"/>
      <c r="N94">
        <f t="shared" si="2"/>
        <v>0</v>
      </c>
    </row>
    <row r="95" spans="1:14">
      <c r="A95" s="13">
        <v>2026</v>
      </c>
      <c r="B95" s="13" t="s">
        <v>835</v>
      </c>
      <c r="C95" s="14">
        <v>38.03</v>
      </c>
      <c r="D95" s="14">
        <v>1800</v>
      </c>
      <c r="E95" s="14"/>
      <c r="H95" s="25">
        <v>2026</v>
      </c>
      <c r="I95" s="25" t="s">
        <v>719</v>
      </c>
      <c r="J95" s="25">
        <v>1800</v>
      </c>
      <c r="K95" s="25"/>
      <c r="L95" s="25"/>
      <c r="M95" s="25"/>
      <c r="N95">
        <f t="shared" ref="N95:N103" si="3">D95-J95</f>
        <v>0</v>
      </c>
    </row>
    <row r="96" spans="1:14">
      <c r="A96" s="13">
        <v>2027</v>
      </c>
      <c r="B96" s="13" t="s">
        <v>836</v>
      </c>
      <c r="C96" s="14">
        <v>39.33</v>
      </c>
      <c r="D96" s="14">
        <v>1180</v>
      </c>
      <c r="E96" s="14"/>
      <c r="H96" s="25">
        <v>2027</v>
      </c>
      <c r="I96" s="25" t="s">
        <v>720</v>
      </c>
      <c r="J96" s="25">
        <v>1180</v>
      </c>
      <c r="K96" s="25"/>
      <c r="L96" s="25"/>
      <c r="M96" s="25"/>
      <c r="N96">
        <f t="shared" si="3"/>
        <v>0</v>
      </c>
    </row>
    <row r="97" spans="1:14">
      <c r="A97" s="13">
        <v>2029</v>
      </c>
      <c r="B97" s="13" t="s">
        <v>267</v>
      </c>
      <c r="C97" s="14">
        <v>19.54</v>
      </c>
      <c r="D97" s="14">
        <v>1500</v>
      </c>
      <c r="E97" s="14"/>
      <c r="H97" s="25">
        <v>2029</v>
      </c>
      <c r="I97" s="25" t="s">
        <v>267</v>
      </c>
      <c r="J97" s="25">
        <v>1500</v>
      </c>
      <c r="K97" s="25"/>
      <c r="L97" s="25"/>
      <c r="M97" s="25"/>
      <c r="N97">
        <f t="shared" si="3"/>
        <v>0</v>
      </c>
    </row>
    <row r="98" spans="1:14">
      <c r="A98" s="13">
        <v>2030</v>
      </c>
      <c r="B98" s="13" t="s">
        <v>837</v>
      </c>
      <c r="C98" s="14">
        <v>16.54</v>
      </c>
      <c r="D98" s="14">
        <v>4000</v>
      </c>
      <c r="E98" s="14"/>
      <c r="H98" s="25">
        <v>2030</v>
      </c>
      <c r="I98" s="25" t="s">
        <v>837</v>
      </c>
      <c r="J98" s="25">
        <v>4000</v>
      </c>
      <c r="K98" s="25"/>
      <c r="L98" s="25"/>
      <c r="M98" s="25"/>
      <c r="N98">
        <f t="shared" si="3"/>
        <v>0</v>
      </c>
    </row>
    <row r="99" spans="1:14">
      <c r="A99" s="13">
        <v>2031</v>
      </c>
      <c r="B99" s="13" t="s">
        <v>270</v>
      </c>
      <c r="C99" s="14">
        <v>16.54</v>
      </c>
      <c r="D99" s="14">
        <v>4000</v>
      </c>
      <c r="E99" s="14"/>
      <c r="H99" s="25">
        <v>2031</v>
      </c>
      <c r="I99" s="25" t="s">
        <v>270</v>
      </c>
      <c r="J99" s="25">
        <v>4000</v>
      </c>
      <c r="K99" s="25"/>
      <c r="L99" s="25"/>
      <c r="M99" s="25"/>
      <c r="N99">
        <f t="shared" si="3"/>
        <v>0</v>
      </c>
    </row>
    <row r="100" spans="1:14">
      <c r="A100" s="13">
        <v>2032</v>
      </c>
      <c r="B100" s="13" t="s">
        <v>838</v>
      </c>
      <c r="C100" s="14">
        <v>16.54</v>
      </c>
      <c r="D100" s="14">
        <v>4000</v>
      </c>
      <c r="E100" s="14"/>
      <c r="H100" s="25">
        <v>2032</v>
      </c>
      <c r="I100" s="25" t="s">
        <v>839</v>
      </c>
      <c r="J100" s="25">
        <v>4000</v>
      </c>
      <c r="K100" s="25"/>
      <c r="L100" s="25"/>
      <c r="M100" s="25"/>
      <c r="N100">
        <f t="shared" si="3"/>
        <v>0</v>
      </c>
    </row>
    <row r="101" spans="1:14">
      <c r="A101" s="13">
        <v>2033</v>
      </c>
      <c r="B101" s="13" t="s">
        <v>438</v>
      </c>
      <c r="C101" s="14">
        <v>16.54</v>
      </c>
      <c r="D101" s="14">
        <v>4000</v>
      </c>
      <c r="E101" s="14"/>
      <c r="H101" s="25">
        <v>2033</v>
      </c>
      <c r="I101" s="25" t="s">
        <v>438</v>
      </c>
      <c r="J101" s="25">
        <v>4000</v>
      </c>
      <c r="K101" s="25"/>
      <c r="L101" s="25"/>
      <c r="M101" s="25"/>
      <c r="N101">
        <f t="shared" si="3"/>
        <v>0</v>
      </c>
    </row>
    <row r="102" spans="1:14">
      <c r="A102" s="13">
        <v>2034</v>
      </c>
      <c r="B102" s="13" t="s">
        <v>639</v>
      </c>
      <c r="C102" s="14">
        <v>16.54</v>
      </c>
      <c r="D102" s="14">
        <v>4000</v>
      </c>
      <c r="E102" s="14"/>
      <c r="H102" s="25">
        <v>2034</v>
      </c>
      <c r="I102" s="25" t="s">
        <v>639</v>
      </c>
      <c r="J102" s="25">
        <v>4000</v>
      </c>
      <c r="K102" s="25"/>
      <c r="L102" s="25"/>
      <c r="M102" s="25"/>
      <c r="N102">
        <f t="shared" si="3"/>
        <v>0</v>
      </c>
    </row>
    <row r="103" spans="1:14">
      <c r="A103" s="13">
        <v>2035</v>
      </c>
      <c r="B103" s="13" t="s">
        <v>840</v>
      </c>
      <c r="C103" s="14">
        <v>16.54</v>
      </c>
      <c r="D103" s="14">
        <v>3025</v>
      </c>
      <c r="E103" s="14"/>
      <c r="H103" s="25">
        <v>2035</v>
      </c>
      <c r="I103" s="25" t="s">
        <v>639</v>
      </c>
      <c r="J103" s="25">
        <v>3025</v>
      </c>
      <c r="K103" s="25"/>
      <c r="L103" s="25"/>
      <c r="M103" s="25"/>
      <c r="N103">
        <f t="shared" si="3"/>
        <v>0</v>
      </c>
    </row>
    <row r="104" spans="1:14">
      <c r="A104" s="13" t="s">
        <v>280</v>
      </c>
      <c r="B104" s="13" t="s">
        <v>841</v>
      </c>
      <c r="C104" s="14">
        <v>16.54</v>
      </c>
      <c r="D104" s="14">
        <v>4000</v>
      </c>
      <c r="E104" s="14"/>
      <c r="H104" s="25" t="s">
        <v>280</v>
      </c>
      <c r="I104" s="25" t="s">
        <v>842</v>
      </c>
      <c r="J104" s="25">
        <v>4000</v>
      </c>
      <c r="K104" s="25"/>
      <c r="L104" s="25"/>
      <c r="M104" s="25"/>
      <c r="N104">
        <f t="shared" ref="N104:N115" si="4">D104-J104</f>
        <v>0</v>
      </c>
    </row>
    <row r="105" spans="1:14">
      <c r="A105" s="13">
        <v>2036</v>
      </c>
      <c r="B105" s="13" t="s">
        <v>283</v>
      </c>
      <c r="C105" s="14">
        <v>20.69</v>
      </c>
      <c r="D105" s="14">
        <v>4000</v>
      </c>
      <c r="E105" s="14"/>
      <c r="H105" s="25">
        <v>2036</v>
      </c>
      <c r="I105" s="25" t="s">
        <v>283</v>
      </c>
      <c r="J105" s="25">
        <v>4000</v>
      </c>
      <c r="K105" s="25"/>
      <c r="L105" s="25"/>
      <c r="M105" s="25"/>
      <c r="N105">
        <f t="shared" si="4"/>
        <v>0</v>
      </c>
    </row>
    <row r="106" spans="1:14">
      <c r="A106" s="13">
        <v>2037</v>
      </c>
      <c r="B106" s="13" t="s">
        <v>286</v>
      </c>
      <c r="C106" s="14">
        <v>16.54</v>
      </c>
      <c r="D106" s="14">
        <v>4000</v>
      </c>
      <c r="E106" s="14"/>
      <c r="H106" s="25">
        <v>2037</v>
      </c>
      <c r="I106" s="25" t="s">
        <v>721</v>
      </c>
      <c r="J106" s="25">
        <v>4000</v>
      </c>
      <c r="K106" s="25"/>
      <c r="L106" s="25"/>
      <c r="M106" s="25"/>
      <c r="N106">
        <f t="shared" si="4"/>
        <v>0</v>
      </c>
    </row>
    <row r="107" spans="1:14">
      <c r="A107" s="13">
        <v>2038</v>
      </c>
      <c r="B107" s="13"/>
      <c r="C107" s="14"/>
      <c r="D107" s="14"/>
      <c r="E107" s="14"/>
      <c r="H107" s="25">
        <v>2038</v>
      </c>
      <c r="I107" s="25"/>
      <c r="J107" s="25"/>
      <c r="K107" s="25"/>
      <c r="L107" s="25"/>
      <c r="M107" s="25"/>
      <c r="N107">
        <f t="shared" si="4"/>
        <v>0</v>
      </c>
    </row>
    <row r="108" spans="1:14">
      <c r="A108" s="13">
        <v>2039</v>
      </c>
      <c r="B108" s="13" t="s">
        <v>843</v>
      </c>
      <c r="C108" s="14">
        <v>16.54</v>
      </c>
      <c r="D108" s="14">
        <v>4000</v>
      </c>
      <c r="E108" s="14"/>
      <c r="H108" s="25">
        <v>2039</v>
      </c>
      <c r="I108" s="25" t="s">
        <v>844</v>
      </c>
      <c r="J108" s="25">
        <v>4000</v>
      </c>
      <c r="K108" s="25"/>
      <c r="L108" s="25"/>
      <c r="M108" s="25"/>
      <c r="N108">
        <f t="shared" si="4"/>
        <v>0</v>
      </c>
    </row>
    <row r="109" spans="1:14">
      <c r="A109" s="13">
        <v>2040</v>
      </c>
      <c r="B109" s="13"/>
      <c r="C109" s="14"/>
      <c r="D109" s="14"/>
      <c r="E109" s="14"/>
      <c r="H109" s="25">
        <v>2040</v>
      </c>
      <c r="I109" s="25"/>
      <c r="J109" s="25"/>
      <c r="K109" s="25"/>
      <c r="L109" s="25"/>
      <c r="M109" s="25"/>
      <c r="N109">
        <f t="shared" si="4"/>
        <v>0</v>
      </c>
    </row>
    <row r="110" spans="1:14">
      <c r="A110" s="13">
        <v>2041</v>
      </c>
      <c r="B110" s="13" t="s">
        <v>845</v>
      </c>
      <c r="C110" s="14">
        <v>19.54</v>
      </c>
      <c r="D110" s="14">
        <v>4000</v>
      </c>
      <c r="E110" s="14"/>
      <c r="H110" s="25">
        <v>2041</v>
      </c>
      <c r="I110" s="25" t="s">
        <v>845</v>
      </c>
      <c r="J110" s="25">
        <v>4000</v>
      </c>
      <c r="K110" s="25">
        <v>0</v>
      </c>
      <c r="L110" s="25"/>
      <c r="M110" s="25"/>
      <c r="N110">
        <f t="shared" si="4"/>
        <v>0</v>
      </c>
    </row>
    <row r="111" spans="1:14">
      <c r="A111" s="13">
        <v>2042</v>
      </c>
      <c r="B111" s="13" t="s">
        <v>846</v>
      </c>
      <c r="C111" s="14">
        <v>16.54</v>
      </c>
      <c r="D111" s="14">
        <v>4000</v>
      </c>
      <c r="E111" s="14"/>
      <c r="H111" s="25">
        <v>2042</v>
      </c>
      <c r="I111" s="25" t="s">
        <v>846</v>
      </c>
      <c r="J111" s="25">
        <v>4000</v>
      </c>
      <c r="K111" s="25"/>
      <c r="L111" s="25"/>
      <c r="M111" s="25"/>
      <c r="N111">
        <f t="shared" si="4"/>
        <v>0</v>
      </c>
    </row>
    <row r="112" spans="1:14">
      <c r="A112" s="13">
        <v>2043</v>
      </c>
      <c r="B112" s="13" t="s">
        <v>297</v>
      </c>
      <c r="C112" s="14">
        <v>16.54</v>
      </c>
      <c r="D112" s="14">
        <v>4000</v>
      </c>
      <c r="E112" s="14"/>
      <c r="H112" s="25">
        <v>2043</v>
      </c>
      <c r="I112" s="25" t="s">
        <v>297</v>
      </c>
      <c r="J112" s="25">
        <v>4000</v>
      </c>
      <c r="K112" s="25"/>
      <c r="L112" s="25"/>
      <c r="M112" s="25"/>
      <c r="N112">
        <f t="shared" si="4"/>
        <v>0</v>
      </c>
    </row>
    <row r="113" spans="1:14">
      <c r="A113" s="93">
        <v>2044</v>
      </c>
      <c r="B113" s="97" t="s">
        <v>749</v>
      </c>
      <c r="C113" s="86">
        <v>16.54</v>
      </c>
      <c r="D113" s="86">
        <v>2000</v>
      </c>
      <c r="E113" s="86"/>
      <c r="H113" s="94">
        <v>2044</v>
      </c>
      <c r="I113" s="94" t="s">
        <v>749</v>
      </c>
      <c r="J113" s="94">
        <v>2000</v>
      </c>
      <c r="K113" s="94"/>
      <c r="L113" s="25"/>
      <c r="M113" s="25"/>
      <c r="N113">
        <f t="shared" si="4"/>
        <v>0</v>
      </c>
    </row>
    <row r="114" spans="1:14">
      <c r="A114" s="13">
        <v>2045</v>
      </c>
      <c r="B114" s="13"/>
      <c r="C114" s="14"/>
      <c r="D114" s="14"/>
      <c r="E114" s="14"/>
      <c r="H114" s="25">
        <v>2045</v>
      </c>
      <c r="I114" s="25"/>
      <c r="J114" s="25"/>
      <c r="K114" s="25"/>
      <c r="L114" s="25"/>
      <c r="M114" s="25"/>
      <c r="N114">
        <f t="shared" si="4"/>
        <v>0</v>
      </c>
    </row>
    <row r="115" spans="1:14">
      <c r="A115" s="13">
        <v>2046</v>
      </c>
      <c r="B115" s="13"/>
      <c r="C115" s="14"/>
      <c r="D115" s="14"/>
      <c r="E115" s="14"/>
      <c r="H115" s="25">
        <v>2046</v>
      </c>
      <c r="I115" s="25"/>
      <c r="J115" s="25"/>
      <c r="K115" s="25"/>
      <c r="L115" s="25"/>
      <c r="M115" s="25"/>
      <c r="N115">
        <f t="shared" si="4"/>
        <v>0</v>
      </c>
    </row>
    <row r="116" spans="1:14">
      <c r="A116" s="13">
        <v>2047</v>
      </c>
      <c r="B116" s="13" t="s">
        <v>847</v>
      </c>
      <c r="C116" s="14"/>
      <c r="D116" s="14">
        <v>1500</v>
      </c>
      <c r="E116" s="14"/>
      <c r="H116" s="25">
        <v>2047</v>
      </c>
      <c r="I116" s="25" t="s">
        <v>848</v>
      </c>
      <c r="J116" s="25">
        <v>1500</v>
      </c>
      <c r="K116" s="25"/>
      <c r="L116" s="25"/>
      <c r="M116" s="25"/>
      <c r="N116">
        <f t="shared" ref="N116:N131" si="5">D116-J116</f>
        <v>0</v>
      </c>
    </row>
    <row r="117" spans="1:14">
      <c r="A117" s="13">
        <v>2048</v>
      </c>
      <c r="B117" s="13"/>
      <c r="C117" s="14"/>
      <c r="D117" s="14"/>
      <c r="E117" s="14"/>
      <c r="H117" s="25">
        <v>2048</v>
      </c>
      <c r="I117" s="25"/>
      <c r="J117" s="25"/>
      <c r="K117" s="25"/>
      <c r="L117" s="94"/>
      <c r="M117" s="94"/>
      <c r="N117">
        <f t="shared" si="5"/>
        <v>0</v>
      </c>
    </row>
    <row r="118" spans="1:14">
      <c r="A118" s="13">
        <v>2049</v>
      </c>
      <c r="B118" s="13"/>
      <c r="C118" s="14"/>
      <c r="D118" s="86"/>
      <c r="E118" s="14"/>
      <c r="H118" s="25">
        <v>2049</v>
      </c>
      <c r="I118" s="25"/>
      <c r="J118" s="25"/>
      <c r="K118" s="25"/>
      <c r="L118" s="25"/>
      <c r="M118" s="25"/>
      <c r="N118">
        <f t="shared" si="5"/>
        <v>0</v>
      </c>
    </row>
    <row r="119" spans="1:14">
      <c r="A119" s="13">
        <v>2050</v>
      </c>
      <c r="B119" s="13" t="s">
        <v>849</v>
      </c>
      <c r="C119" s="14">
        <v>16.54</v>
      </c>
      <c r="D119" s="14">
        <v>4000</v>
      </c>
      <c r="E119" s="14"/>
      <c r="H119" s="25">
        <v>2050</v>
      </c>
      <c r="I119" s="25" t="s">
        <v>849</v>
      </c>
      <c r="J119" s="25">
        <v>4000</v>
      </c>
      <c r="K119" s="25"/>
      <c r="L119" s="25"/>
      <c r="M119" s="25"/>
      <c r="N119">
        <f t="shared" si="5"/>
        <v>0</v>
      </c>
    </row>
    <row r="120" spans="1:14">
      <c r="A120" s="13">
        <v>2051</v>
      </c>
      <c r="B120" s="13"/>
      <c r="C120" s="14"/>
      <c r="D120" s="14"/>
      <c r="E120" s="14"/>
      <c r="H120" s="25">
        <v>2051</v>
      </c>
      <c r="I120" s="25"/>
      <c r="J120" s="25"/>
      <c r="K120" s="25"/>
      <c r="L120" s="25"/>
      <c r="M120" s="25"/>
      <c r="N120">
        <f t="shared" si="5"/>
        <v>0</v>
      </c>
    </row>
    <row r="121" spans="1:14">
      <c r="A121" s="13">
        <v>2052</v>
      </c>
      <c r="B121" s="13" t="s">
        <v>351</v>
      </c>
      <c r="C121" s="14">
        <v>16.54</v>
      </c>
      <c r="D121" s="14">
        <v>3500</v>
      </c>
      <c r="E121" s="14">
        <v>0</v>
      </c>
      <c r="H121" s="25">
        <v>2052</v>
      </c>
      <c r="I121" s="25" t="s">
        <v>351</v>
      </c>
      <c r="J121" s="25">
        <v>3500</v>
      </c>
      <c r="K121" s="25">
        <v>0</v>
      </c>
      <c r="L121" s="27"/>
      <c r="M121" s="25"/>
      <c r="N121">
        <f t="shared" si="5"/>
        <v>0</v>
      </c>
    </row>
    <row r="122" spans="1:14">
      <c r="A122" s="13">
        <v>2053</v>
      </c>
      <c r="B122" s="13" t="s">
        <v>850</v>
      </c>
      <c r="C122" s="14">
        <v>16.54</v>
      </c>
      <c r="D122" s="14">
        <v>4000</v>
      </c>
      <c r="E122" s="14"/>
      <c r="H122" s="25">
        <v>2053</v>
      </c>
      <c r="I122" s="25" t="s">
        <v>850</v>
      </c>
      <c r="J122" s="25">
        <v>4000</v>
      </c>
      <c r="K122" s="25"/>
      <c r="L122" s="27"/>
      <c r="M122" s="25"/>
      <c r="N122">
        <f t="shared" si="5"/>
        <v>0</v>
      </c>
    </row>
    <row r="123" spans="1:14">
      <c r="A123" s="13">
        <v>2054</v>
      </c>
      <c r="B123" s="13" t="s">
        <v>851</v>
      </c>
      <c r="C123" s="14">
        <v>16.54</v>
      </c>
      <c r="D123" s="14">
        <v>4000</v>
      </c>
      <c r="E123" s="14"/>
      <c r="H123" s="25">
        <v>2054</v>
      </c>
      <c r="I123" s="25" t="s">
        <v>851</v>
      </c>
      <c r="J123" s="25">
        <v>4000</v>
      </c>
      <c r="K123" s="25"/>
      <c r="L123" s="25"/>
      <c r="M123" s="25"/>
      <c r="N123">
        <f t="shared" si="5"/>
        <v>0</v>
      </c>
    </row>
    <row r="124" spans="1:14">
      <c r="A124" s="13">
        <v>2055</v>
      </c>
      <c r="B124" s="13" t="s">
        <v>852</v>
      </c>
      <c r="C124" s="14"/>
      <c r="D124" s="14">
        <v>4000</v>
      </c>
      <c r="E124" s="14"/>
      <c r="H124" s="25">
        <v>2055</v>
      </c>
      <c r="I124" s="25" t="s">
        <v>852</v>
      </c>
      <c r="J124" s="25">
        <v>4000</v>
      </c>
      <c r="K124" s="25"/>
      <c r="L124" s="25"/>
      <c r="M124" s="25"/>
      <c r="N124">
        <f t="shared" si="5"/>
        <v>0</v>
      </c>
    </row>
    <row r="125" spans="1:14">
      <c r="A125" s="13">
        <v>2056</v>
      </c>
      <c r="B125" s="13" t="s">
        <v>853</v>
      </c>
      <c r="C125" s="14">
        <v>16.54</v>
      </c>
      <c r="D125" s="14">
        <v>4000</v>
      </c>
      <c r="E125" s="14"/>
      <c r="H125" s="25">
        <v>2056</v>
      </c>
      <c r="I125" s="25" t="s">
        <v>853</v>
      </c>
      <c r="J125" s="25">
        <v>4000</v>
      </c>
      <c r="K125" s="25"/>
      <c r="L125" s="25"/>
      <c r="M125" s="25"/>
      <c r="N125">
        <f t="shared" si="5"/>
        <v>0</v>
      </c>
    </row>
    <row r="126" spans="1:14">
      <c r="A126" s="13">
        <v>2057</v>
      </c>
      <c r="B126" s="13" t="s">
        <v>854</v>
      </c>
      <c r="C126" s="14">
        <v>16.54</v>
      </c>
      <c r="D126" s="14">
        <v>4000</v>
      </c>
      <c r="E126" s="14"/>
      <c r="H126" s="25">
        <v>2057</v>
      </c>
      <c r="I126" s="25" t="s">
        <v>854</v>
      </c>
      <c r="J126" s="25">
        <v>4000</v>
      </c>
      <c r="K126" s="25">
        <v>0</v>
      </c>
      <c r="L126" s="25"/>
      <c r="M126" s="25"/>
      <c r="N126">
        <f t="shared" si="5"/>
        <v>0</v>
      </c>
    </row>
    <row r="127" spans="1:14">
      <c r="A127" s="13">
        <v>2058</v>
      </c>
      <c r="B127" s="13" t="s">
        <v>323</v>
      </c>
      <c r="C127" s="14">
        <v>16.54</v>
      </c>
      <c r="D127" s="14">
        <v>4000</v>
      </c>
      <c r="E127" s="14"/>
      <c r="H127" s="25">
        <v>2058</v>
      </c>
      <c r="I127" s="25" t="s">
        <v>323</v>
      </c>
      <c r="J127" s="25">
        <v>4000</v>
      </c>
      <c r="K127" s="25"/>
      <c r="L127" s="25"/>
      <c r="M127" s="25"/>
      <c r="N127">
        <f t="shared" si="5"/>
        <v>0</v>
      </c>
    </row>
    <row r="128" spans="1:14">
      <c r="A128" s="13">
        <v>2059</v>
      </c>
      <c r="B128" s="13"/>
      <c r="C128" s="14"/>
      <c r="D128" s="14"/>
      <c r="E128" s="14"/>
      <c r="H128" s="25">
        <v>2059</v>
      </c>
      <c r="I128" s="25"/>
      <c r="J128" s="25"/>
      <c r="K128" s="25"/>
      <c r="L128" s="25"/>
      <c r="M128" s="25"/>
      <c r="N128">
        <f t="shared" si="5"/>
        <v>0</v>
      </c>
    </row>
    <row r="129" spans="1:14">
      <c r="A129" s="13">
        <v>2060</v>
      </c>
      <c r="B129" s="13" t="s">
        <v>328</v>
      </c>
      <c r="C129" s="14">
        <v>16.54</v>
      </c>
      <c r="D129" s="14">
        <v>4000</v>
      </c>
      <c r="E129" s="14"/>
      <c r="H129" s="25">
        <v>2060</v>
      </c>
      <c r="I129" s="25" t="s">
        <v>328</v>
      </c>
      <c r="J129" s="25">
        <v>4000</v>
      </c>
      <c r="K129" s="25"/>
      <c r="L129" s="25"/>
      <c r="M129" s="25"/>
      <c r="N129">
        <f t="shared" si="5"/>
        <v>0</v>
      </c>
    </row>
    <row r="130" spans="1:14">
      <c r="A130" s="13">
        <v>2061</v>
      </c>
      <c r="B130" s="13"/>
      <c r="C130" s="14"/>
      <c r="D130" s="14"/>
      <c r="E130" s="14"/>
      <c r="H130" s="25">
        <v>2061</v>
      </c>
      <c r="I130" s="25"/>
      <c r="J130" s="25"/>
      <c r="K130" s="25"/>
      <c r="L130" s="25"/>
      <c r="M130" s="25"/>
      <c r="N130">
        <f t="shared" si="5"/>
        <v>0</v>
      </c>
    </row>
    <row r="131" spans="1:14">
      <c r="A131" s="13">
        <v>2062</v>
      </c>
      <c r="B131" s="13"/>
      <c r="C131" s="14"/>
      <c r="D131" s="14"/>
      <c r="E131" s="14"/>
      <c r="H131" s="25">
        <v>2062</v>
      </c>
      <c r="I131" s="25"/>
      <c r="J131" s="25"/>
      <c r="K131" s="25"/>
      <c r="L131" s="25"/>
      <c r="M131" s="25"/>
      <c r="N131">
        <f t="shared" si="5"/>
        <v>0</v>
      </c>
    </row>
    <row r="132" spans="1:14">
      <c r="A132" s="13">
        <v>2063</v>
      </c>
      <c r="B132" s="13"/>
      <c r="C132" s="14"/>
      <c r="D132" s="14"/>
      <c r="E132" s="14"/>
      <c r="H132" s="25">
        <v>2063</v>
      </c>
      <c r="I132" s="25"/>
      <c r="J132" s="25"/>
      <c r="K132" s="25"/>
      <c r="L132" s="25"/>
      <c r="M132" s="25"/>
      <c r="N132">
        <f t="shared" ref="N132:N144" si="6">D132-J132</f>
        <v>0</v>
      </c>
    </row>
    <row r="133" spans="1:14">
      <c r="A133" s="13">
        <v>2064</v>
      </c>
      <c r="B133" s="13" t="s">
        <v>855</v>
      </c>
      <c r="C133" s="14">
        <v>16.54</v>
      </c>
      <c r="D133" s="14">
        <v>4000</v>
      </c>
      <c r="E133" s="14"/>
      <c r="H133" s="25">
        <v>2064</v>
      </c>
      <c r="I133" s="25" t="s">
        <v>855</v>
      </c>
      <c r="J133" s="25">
        <v>4000</v>
      </c>
      <c r="K133" s="25">
        <v>0</v>
      </c>
      <c r="L133" s="25"/>
      <c r="M133" s="25"/>
      <c r="N133">
        <f t="shared" si="6"/>
        <v>0</v>
      </c>
    </row>
    <row r="134" spans="1:14">
      <c r="A134" s="13">
        <v>2066</v>
      </c>
      <c r="B134" s="13"/>
      <c r="C134" s="14"/>
      <c r="D134" s="14"/>
      <c r="E134" s="14"/>
      <c r="H134" s="25">
        <v>2066</v>
      </c>
      <c r="I134" s="25"/>
      <c r="J134" s="25"/>
      <c r="K134" s="25"/>
      <c r="L134" s="25"/>
      <c r="M134" s="25"/>
      <c r="N134">
        <f t="shared" si="6"/>
        <v>0</v>
      </c>
    </row>
    <row r="135" spans="1:14">
      <c r="A135" s="13">
        <v>2067</v>
      </c>
      <c r="B135" s="13"/>
      <c r="C135" s="14"/>
      <c r="D135" s="14"/>
      <c r="E135" s="14"/>
      <c r="H135" s="25">
        <v>2067</v>
      </c>
      <c r="I135" s="25"/>
      <c r="J135" s="25"/>
      <c r="K135" s="25"/>
      <c r="L135" s="25"/>
      <c r="M135" s="25"/>
      <c r="N135">
        <f t="shared" si="6"/>
        <v>0</v>
      </c>
    </row>
    <row r="136" spans="1:14">
      <c r="A136" s="13">
        <v>2068</v>
      </c>
      <c r="B136" s="13"/>
      <c r="C136" s="14"/>
      <c r="D136" s="14"/>
      <c r="E136" s="14"/>
      <c r="H136" s="25">
        <v>2068</v>
      </c>
      <c r="I136" s="25"/>
      <c r="J136" s="25"/>
      <c r="K136" s="25"/>
      <c r="L136" s="25"/>
      <c r="M136" s="25"/>
      <c r="N136">
        <f t="shared" si="6"/>
        <v>0</v>
      </c>
    </row>
    <row r="137" spans="1:14">
      <c r="A137" s="13">
        <v>2069</v>
      </c>
      <c r="B137" s="13" t="s">
        <v>856</v>
      </c>
      <c r="C137" s="14">
        <v>19.54</v>
      </c>
      <c r="D137" s="14">
        <v>4000</v>
      </c>
      <c r="E137" s="14"/>
      <c r="H137" s="25">
        <v>2069</v>
      </c>
      <c r="I137" s="25" t="s">
        <v>343</v>
      </c>
      <c r="J137" s="25">
        <v>4000</v>
      </c>
      <c r="K137" s="25"/>
      <c r="L137" s="25"/>
      <c r="M137" s="25"/>
      <c r="N137">
        <f t="shared" si="6"/>
        <v>0</v>
      </c>
    </row>
    <row r="138" spans="1:14">
      <c r="A138" s="13">
        <v>2070</v>
      </c>
      <c r="B138" s="13"/>
      <c r="C138" s="14"/>
      <c r="D138" s="14"/>
      <c r="E138" s="14"/>
      <c r="H138" s="25">
        <v>2070</v>
      </c>
      <c r="I138" s="25"/>
      <c r="J138" s="25"/>
      <c r="K138" s="25"/>
      <c r="L138" s="25"/>
      <c r="M138" s="25"/>
      <c r="N138">
        <f t="shared" si="6"/>
        <v>0</v>
      </c>
    </row>
    <row r="139" spans="1:14">
      <c r="A139" s="13">
        <v>2071</v>
      </c>
      <c r="B139" s="13"/>
      <c r="C139" s="14"/>
      <c r="D139" s="14"/>
      <c r="E139" s="14"/>
      <c r="H139" s="25">
        <v>2071</v>
      </c>
      <c r="I139" s="25"/>
      <c r="J139" s="25"/>
      <c r="K139" s="25"/>
      <c r="L139" s="25"/>
      <c r="M139" s="25"/>
      <c r="N139">
        <f t="shared" si="6"/>
        <v>0</v>
      </c>
    </row>
    <row r="140" spans="1:14">
      <c r="A140" s="13">
        <v>2072</v>
      </c>
      <c r="B140" s="13" t="s">
        <v>857</v>
      </c>
      <c r="C140" s="14">
        <v>19.54</v>
      </c>
      <c r="D140" s="14">
        <v>4000</v>
      </c>
      <c r="E140" s="14"/>
      <c r="H140" s="25">
        <v>2072</v>
      </c>
      <c r="I140" s="25" t="s">
        <v>858</v>
      </c>
      <c r="J140" s="25">
        <v>4000</v>
      </c>
      <c r="K140" s="25"/>
      <c r="L140" s="25"/>
      <c r="M140" s="25"/>
      <c r="N140">
        <f t="shared" si="6"/>
        <v>0</v>
      </c>
    </row>
    <row r="141" spans="1:14">
      <c r="A141" s="13">
        <v>2073</v>
      </c>
      <c r="B141" s="13" t="s">
        <v>859</v>
      </c>
      <c r="C141" s="14"/>
      <c r="D141" s="14">
        <v>3938</v>
      </c>
      <c r="E141" s="14"/>
      <c r="H141" s="25">
        <v>2073</v>
      </c>
      <c r="I141" s="25" t="s">
        <v>859</v>
      </c>
      <c r="J141" s="25">
        <v>3938</v>
      </c>
      <c r="K141" s="25">
        <v>0</v>
      </c>
      <c r="L141" s="25"/>
      <c r="M141" s="25"/>
      <c r="N141">
        <f t="shared" si="6"/>
        <v>0</v>
      </c>
    </row>
    <row r="142" spans="1:14">
      <c r="A142" s="13">
        <v>2074</v>
      </c>
      <c r="B142" s="13" t="s">
        <v>860</v>
      </c>
      <c r="C142" s="14">
        <v>19.54</v>
      </c>
      <c r="D142" s="14">
        <v>4000</v>
      </c>
      <c r="E142" s="14"/>
      <c r="H142" s="25" t="s">
        <v>353</v>
      </c>
      <c r="I142" s="25" t="s">
        <v>860</v>
      </c>
      <c r="J142" s="25">
        <v>4000</v>
      </c>
      <c r="K142" s="25">
        <v>0</v>
      </c>
      <c r="L142" s="25"/>
      <c r="M142" s="25"/>
      <c r="N142">
        <f t="shared" si="6"/>
        <v>0</v>
      </c>
    </row>
    <row r="143" spans="1:14">
      <c r="A143" s="13">
        <v>2075</v>
      </c>
      <c r="B143" s="13" t="s">
        <v>861</v>
      </c>
      <c r="C143" s="14">
        <v>19.54</v>
      </c>
      <c r="D143" s="14">
        <v>4000</v>
      </c>
      <c r="E143" s="14"/>
      <c r="H143" s="25">
        <v>2075</v>
      </c>
      <c r="I143" s="25" t="s">
        <v>861</v>
      </c>
      <c r="J143" s="25">
        <v>4000</v>
      </c>
      <c r="K143" s="25"/>
      <c r="L143" s="25"/>
      <c r="M143" s="25"/>
      <c r="N143">
        <f t="shared" si="6"/>
        <v>0</v>
      </c>
    </row>
    <row r="144" spans="1:14">
      <c r="A144" s="13">
        <v>2076</v>
      </c>
      <c r="B144" s="13" t="s">
        <v>318</v>
      </c>
      <c r="C144" s="14">
        <v>19.54</v>
      </c>
      <c r="D144" s="14">
        <v>4000</v>
      </c>
      <c r="E144" s="14"/>
      <c r="H144" s="25">
        <v>2076</v>
      </c>
      <c r="I144" s="25" t="s">
        <v>318</v>
      </c>
      <c r="J144" s="25">
        <v>4000</v>
      </c>
      <c r="K144" s="25"/>
      <c r="L144" s="25"/>
      <c r="M144" s="25"/>
      <c r="N144">
        <f t="shared" si="6"/>
        <v>0</v>
      </c>
    </row>
    <row r="145" spans="1:14">
      <c r="A145" s="13">
        <v>2077</v>
      </c>
      <c r="B145" s="13"/>
      <c r="C145" s="14"/>
      <c r="D145" s="14"/>
      <c r="E145" s="14"/>
      <c r="H145" s="25">
        <v>2077</v>
      </c>
      <c r="I145" s="25"/>
      <c r="J145" s="25"/>
      <c r="K145" s="25"/>
      <c r="L145" s="25"/>
      <c r="M145" s="25"/>
      <c r="N145">
        <f t="shared" ref="N145:N167" si="7">D145-J145</f>
        <v>0</v>
      </c>
    </row>
    <row r="146" spans="1:14">
      <c r="A146" s="13">
        <v>2078</v>
      </c>
      <c r="B146" s="13" t="s">
        <v>862</v>
      </c>
      <c r="C146" s="14">
        <v>19.54</v>
      </c>
      <c r="D146" s="14">
        <v>4000</v>
      </c>
      <c r="E146" s="14"/>
      <c r="H146" s="25">
        <v>2078</v>
      </c>
      <c r="I146" s="25" t="s">
        <v>359</v>
      </c>
      <c r="J146" s="25">
        <v>4000</v>
      </c>
      <c r="K146" s="25"/>
      <c r="L146" s="25"/>
      <c r="M146" s="25"/>
      <c r="N146">
        <f t="shared" si="7"/>
        <v>0</v>
      </c>
    </row>
    <row r="147" spans="1:14">
      <c r="A147" s="85">
        <v>2079</v>
      </c>
      <c r="B147" s="85" t="s">
        <v>863</v>
      </c>
      <c r="C147" s="98">
        <v>19.54</v>
      </c>
      <c r="D147" s="98"/>
      <c r="E147" s="98"/>
      <c r="H147" s="99">
        <v>2079</v>
      </c>
      <c r="I147" s="99" t="s">
        <v>863</v>
      </c>
      <c r="J147" s="25">
        <f>M152</f>
        <v>0</v>
      </c>
      <c r="K147" s="99"/>
      <c r="L147" s="25"/>
      <c r="M147" s="25"/>
      <c r="N147">
        <f t="shared" si="7"/>
        <v>0</v>
      </c>
    </row>
    <row r="148" spans="1:14">
      <c r="A148" s="13">
        <v>2080</v>
      </c>
      <c r="B148" s="13" t="s">
        <v>864</v>
      </c>
      <c r="C148" s="14">
        <v>19.54</v>
      </c>
      <c r="D148" s="14">
        <v>4000</v>
      </c>
      <c r="E148" s="14"/>
      <c r="H148" s="25">
        <v>2080</v>
      </c>
      <c r="I148" s="25" t="s">
        <v>864</v>
      </c>
      <c r="J148" s="25">
        <v>4000</v>
      </c>
      <c r="K148" s="25"/>
      <c r="L148" s="25"/>
      <c r="M148" s="25"/>
      <c r="N148">
        <f t="shared" si="7"/>
        <v>0</v>
      </c>
    </row>
    <row r="149" spans="1:14">
      <c r="A149" s="13">
        <v>2081</v>
      </c>
      <c r="B149" s="13" t="s">
        <v>865</v>
      </c>
      <c r="C149" s="14">
        <v>19.54</v>
      </c>
      <c r="D149" s="14">
        <v>4000</v>
      </c>
      <c r="E149" s="14"/>
      <c r="H149" s="25">
        <v>2081</v>
      </c>
      <c r="I149" s="25" t="s">
        <v>866</v>
      </c>
      <c r="J149" s="25">
        <v>4000</v>
      </c>
      <c r="K149" s="25"/>
      <c r="L149" s="25"/>
      <c r="M149" s="25"/>
      <c r="N149">
        <f t="shared" si="7"/>
        <v>0</v>
      </c>
    </row>
    <row r="150" spans="1:14">
      <c r="A150" s="13">
        <v>2082</v>
      </c>
      <c r="B150" s="13"/>
      <c r="C150" s="14"/>
      <c r="D150" s="14"/>
      <c r="E150" s="14"/>
      <c r="H150" s="25">
        <v>2082</v>
      </c>
      <c r="I150" s="25" t="s">
        <v>867</v>
      </c>
      <c r="J150" s="25"/>
      <c r="K150" s="25"/>
      <c r="L150" s="25"/>
      <c r="M150" s="25"/>
      <c r="N150">
        <f t="shared" si="7"/>
        <v>0</v>
      </c>
    </row>
    <row r="151" spans="1:14">
      <c r="A151" s="13">
        <v>2083</v>
      </c>
      <c r="B151" s="13" t="s">
        <v>371</v>
      </c>
      <c r="C151" s="14">
        <v>19.54</v>
      </c>
      <c r="D151" s="14">
        <v>4000</v>
      </c>
      <c r="E151" s="14"/>
      <c r="H151" s="25">
        <v>2083</v>
      </c>
      <c r="I151" s="25" t="s">
        <v>371</v>
      </c>
      <c r="J151" s="25">
        <v>4000</v>
      </c>
      <c r="K151" s="25"/>
      <c r="L151" s="25"/>
      <c r="M151" s="25"/>
      <c r="N151">
        <f t="shared" si="7"/>
        <v>0</v>
      </c>
    </row>
    <row r="152" spans="1:14">
      <c r="A152" s="13">
        <v>2084</v>
      </c>
      <c r="B152" s="13"/>
      <c r="C152" s="14"/>
      <c r="D152" s="14"/>
      <c r="E152" s="14"/>
      <c r="H152" s="25">
        <v>2084</v>
      </c>
      <c r="I152" s="25"/>
      <c r="J152" s="25"/>
      <c r="K152" s="25"/>
      <c r="L152" s="99"/>
      <c r="M152" s="99"/>
      <c r="N152">
        <f t="shared" si="7"/>
        <v>0</v>
      </c>
    </row>
    <row r="153" spans="1:14">
      <c r="A153" s="13">
        <v>2085</v>
      </c>
      <c r="B153" s="13"/>
      <c r="C153" s="14"/>
      <c r="D153" s="14"/>
      <c r="E153" s="14"/>
      <c r="H153" s="25">
        <v>2085</v>
      </c>
      <c r="I153" s="25"/>
      <c r="J153" s="25"/>
      <c r="K153" s="25"/>
      <c r="L153" s="25"/>
      <c r="M153" s="25"/>
      <c r="N153">
        <f t="shared" si="7"/>
        <v>0</v>
      </c>
    </row>
    <row r="154" spans="1:14">
      <c r="A154" s="13">
        <v>2086</v>
      </c>
      <c r="B154" s="13"/>
      <c r="C154" s="14"/>
      <c r="D154" s="14"/>
      <c r="E154" s="14"/>
      <c r="H154" s="25">
        <v>2086</v>
      </c>
      <c r="I154" s="25"/>
      <c r="J154" s="25"/>
      <c r="K154" s="25"/>
      <c r="L154" s="25"/>
      <c r="M154" s="25"/>
      <c r="N154">
        <f t="shared" si="7"/>
        <v>0</v>
      </c>
    </row>
    <row r="155" spans="1:14">
      <c r="A155" s="13">
        <v>2087</v>
      </c>
      <c r="B155" s="13"/>
      <c r="C155" s="14"/>
      <c r="D155" s="14"/>
      <c r="E155" s="14"/>
      <c r="H155" s="25">
        <v>2087</v>
      </c>
      <c r="I155" s="25"/>
      <c r="J155" s="25"/>
      <c r="K155" s="25"/>
      <c r="L155" s="25"/>
      <c r="M155" s="25"/>
      <c r="N155">
        <f t="shared" si="7"/>
        <v>0</v>
      </c>
    </row>
    <row r="156" spans="1:14">
      <c r="A156" s="13">
        <v>2088</v>
      </c>
      <c r="B156" s="13" t="s">
        <v>868</v>
      </c>
      <c r="C156" s="14">
        <v>23.84</v>
      </c>
      <c r="D156" s="14">
        <v>4000</v>
      </c>
      <c r="E156" s="14"/>
      <c r="H156" s="25">
        <v>2088</v>
      </c>
      <c r="I156" s="25" t="s">
        <v>380</v>
      </c>
      <c r="J156" s="25">
        <v>4000</v>
      </c>
      <c r="K156" s="25"/>
      <c r="L156" s="25"/>
      <c r="M156" s="25"/>
      <c r="N156">
        <f t="shared" si="7"/>
        <v>0</v>
      </c>
    </row>
    <row r="157" spans="1:14">
      <c r="A157" s="13">
        <v>2089</v>
      </c>
      <c r="B157" s="13" t="s">
        <v>869</v>
      </c>
      <c r="C157" s="14">
        <v>18.6</v>
      </c>
      <c r="D157" s="14">
        <v>4000</v>
      </c>
      <c r="E157" s="14"/>
      <c r="H157" s="25">
        <v>2089</v>
      </c>
      <c r="I157" s="25" t="s">
        <v>869</v>
      </c>
      <c r="J157" s="25">
        <v>4000</v>
      </c>
      <c r="K157" s="25"/>
      <c r="L157" s="25"/>
      <c r="M157" s="25"/>
      <c r="N157">
        <f t="shared" si="7"/>
        <v>0</v>
      </c>
    </row>
    <row r="158" spans="1:14">
      <c r="A158" s="13">
        <v>2090</v>
      </c>
      <c r="B158" s="13" t="s">
        <v>870</v>
      </c>
      <c r="C158" s="14">
        <v>6</v>
      </c>
      <c r="D158" s="14">
        <v>2360</v>
      </c>
      <c r="E158" s="14">
        <v>200</v>
      </c>
      <c r="H158" s="25">
        <v>2090</v>
      </c>
      <c r="I158" s="25" t="s">
        <v>870</v>
      </c>
      <c r="J158" s="25">
        <v>2360</v>
      </c>
      <c r="K158" s="25">
        <v>200</v>
      </c>
      <c r="L158" s="25"/>
      <c r="M158" s="25"/>
      <c r="N158">
        <f t="shared" si="7"/>
        <v>0</v>
      </c>
    </row>
    <row r="159" spans="1:14">
      <c r="A159" s="13" t="s">
        <v>386</v>
      </c>
      <c r="B159" s="13" t="s">
        <v>783</v>
      </c>
      <c r="C159" s="14"/>
      <c r="D159" s="14">
        <v>2000</v>
      </c>
      <c r="E159" s="14">
        <v>100</v>
      </c>
      <c r="H159" s="31" t="s">
        <v>386</v>
      </c>
      <c r="I159" s="100" t="s">
        <v>783</v>
      </c>
      <c r="J159" s="91">
        <v>2000</v>
      </c>
      <c r="K159" s="33">
        <v>100</v>
      </c>
      <c r="L159" s="25"/>
      <c r="M159" s="25"/>
      <c r="N159">
        <f t="shared" si="7"/>
        <v>0</v>
      </c>
    </row>
    <row r="160" spans="1:14">
      <c r="A160" s="13" t="s">
        <v>388</v>
      </c>
      <c r="B160" s="13"/>
      <c r="C160" s="14"/>
      <c r="D160" s="14"/>
      <c r="E160" s="14"/>
      <c r="H160" s="39" t="s">
        <v>388</v>
      </c>
      <c r="I160" s="101"/>
      <c r="J160" s="102"/>
      <c r="K160" s="25"/>
      <c r="L160" s="25"/>
      <c r="M160" s="25"/>
      <c r="N160">
        <f t="shared" si="7"/>
        <v>0</v>
      </c>
    </row>
    <row r="161" spans="1:14">
      <c r="A161" s="13" t="s">
        <v>390</v>
      </c>
      <c r="B161" s="13"/>
      <c r="C161" s="14"/>
      <c r="D161" s="14"/>
      <c r="E161" s="14"/>
      <c r="H161" s="39" t="s">
        <v>390</v>
      </c>
      <c r="I161" s="51"/>
      <c r="J161" s="102"/>
      <c r="K161" s="25"/>
      <c r="L161" s="25"/>
      <c r="M161" s="25"/>
      <c r="N161">
        <f t="shared" si="7"/>
        <v>0</v>
      </c>
    </row>
    <row r="162" ht="27" spans="1:14">
      <c r="A162" s="30" t="s">
        <v>392</v>
      </c>
      <c r="B162" s="13" t="s">
        <v>871</v>
      </c>
      <c r="C162" s="14"/>
      <c r="D162" s="14"/>
      <c r="E162" s="14"/>
      <c r="H162" s="43" t="s">
        <v>392</v>
      </c>
      <c r="I162" s="103"/>
      <c r="J162" s="104"/>
      <c r="K162" s="45"/>
      <c r="L162" s="25"/>
      <c r="M162" s="25"/>
      <c r="N162">
        <f t="shared" si="7"/>
        <v>0</v>
      </c>
    </row>
    <row r="163" ht="27" spans="1:14">
      <c r="A163" s="30" t="s">
        <v>872</v>
      </c>
      <c r="B163" s="13"/>
      <c r="C163" s="14"/>
      <c r="D163" s="14"/>
      <c r="E163" s="14"/>
      <c r="H163" s="39" t="s">
        <v>872</v>
      </c>
      <c r="I163" s="25" t="s">
        <v>873</v>
      </c>
      <c r="J163" s="102"/>
      <c r="K163" s="25"/>
      <c r="L163" s="25"/>
      <c r="M163" s="25"/>
      <c r="N163">
        <f t="shared" si="7"/>
        <v>0</v>
      </c>
    </row>
    <row r="164" ht="27" spans="1:14">
      <c r="A164" s="30" t="s">
        <v>394</v>
      </c>
      <c r="B164" s="13"/>
      <c r="C164" s="14"/>
      <c r="D164" s="14"/>
      <c r="E164" s="14"/>
      <c r="H164" s="39" t="s">
        <v>394</v>
      </c>
      <c r="I164" s="101"/>
      <c r="J164" s="102"/>
      <c r="K164" s="25"/>
      <c r="L164" s="33"/>
      <c r="M164" s="33"/>
      <c r="N164">
        <f t="shared" si="7"/>
        <v>0</v>
      </c>
    </row>
    <row r="165" ht="27" spans="1:14">
      <c r="A165" s="30" t="s">
        <v>396</v>
      </c>
      <c r="B165" s="13" t="s">
        <v>874</v>
      </c>
      <c r="C165" s="14"/>
      <c r="D165" s="14">
        <v>1700</v>
      </c>
      <c r="E165" s="14"/>
      <c r="H165" s="43" t="s">
        <v>724</v>
      </c>
      <c r="I165" s="103" t="s">
        <v>874</v>
      </c>
      <c r="J165" s="104">
        <v>1700</v>
      </c>
      <c r="K165" s="45"/>
      <c r="L165" s="25"/>
      <c r="M165" s="25"/>
      <c r="N165">
        <f t="shared" si="7"/>
        <v>0</v>
      </c>
    </row>
    <row r="166" spans="1:14">
      <c r="A166" s="13" t="s">
        <v>398</v>
      </c>
      <c r="B166" s="13" t="s">
        <v>875</v>
      </c>
      <c r="C166" s="14"/>
      <c r="D166" s="14">
        <v>1000</v>
      </c>
      <c r="E166" s="14"/>
      <c r="H166" s="45" t="s">
        <v>398</v>
      </c>
      <c r="I166" s="45" t="s">
        <v>875</v>
      </c>
      <c r="J166" s="45">
        <v>1000</v>
      </c>
      <c r="K166" s="45"/>
      <c r="L166" s="25"/>
      <c r="M166" s="25"/>
      <c r="N166">
        <f t="shared" si="7"/>
        <v>0</v>
      </c>
    </row>
    <row r="167" spans="1:14">
      <c r="A167" s="13">
        <v>3001</v>
      </c>
      <c r="B167" s="13"/>
      <c r="C167" s="14"/>
      <c r="D167" s="14"/>
      <c r="E167" s="14"/>
      <c r="H167" s="25">
        <v>3001</v>
      </c>
      <c r="I167" s="25"/>
      <c r="J167" s="25"/>
      <c r="K167" s="25"/>
      <c r="L167" s="45"/>
      <c r="M167" s="45"/>
      <c r="N167">
        <f t="shared" si="7"/>
        <v>0</v>
      </c>
    </row>
    <row r="168" spans="1:14">
      <c r="A168" s="13">
        <v>3002</v>
      </c>
      <c r="B168" s="13" t="s">
        <v>876</v>
      </c>
      <c r="C168" s="14">
        <v>32.5</v>
      </c>
      <c r="D168" s="14">
        <v>4838</v>
      </c>
      <c r="E168" s="14">
        <v>500</v>
      </c>
      <c r="H168" s="25">
        <v>3002</v>
      </c>
      <c r="I168" s="25" t="s">
        <v>876</v>
      </c>
      <c r="J168" s="25">
        <v>4608</v>
      </c>
      <c r="K168" s="25">
        <v>500</v>
      </c>
      <c r="L168" s="25"/>
      <c r="M168" s="25"/>
      <c r="N168">
        <f t="shared" ref="N168:N191" si="8">D168-J168</f>
        <v>230</v>
      </c>
    </row>
    <row r="169" spans="1:14">
      <c r="A169" s="13">
        <v>3003</v>
      </c>
      <c r="B169" s="13" t="s">
        <v>406</v>
      </c>
      <c r="C169" s="14">
        <v>31.76</v>
      </c>
      <c r="D169" s="14">
        <v>5080</v>
      </c>
      <c r="E169" s="14">
        <v>500</v>
      </c>
      <c r="H169" s="25">
        <v>3003</v>
      </c>
      <c r="I169" s="25" t="s">
        <v>406</v>
      </c>
      <c r="J169" s="25">
        <v>5080</v>
      </c>
      <c r="K169" s="25">
        <v>500</v>
      </c>
      <c r="L169" s="25"/>
      <c r="M169" s="25"/>
      <c r="N169">
        <f t="shared" si="8"/>
        <v>0</v>
      </c>
    </row>
    <row r="170" spans="1:14">
      <c r="A170" s="13">
        <v>3004</v>
      </c>
      <c r="B170" s="13" t="s">
        <v>877</v>
      </c>
      <c r="C170" s="14">
        <v>31.76</v>
      </c>
      <c r="D170" s="14">
        <v>5080</v>
      </c>
      <c r="E170" s="14">
        <v>500</v>
      </c>
      <c r="H170" s="25">
        <v>3004</v>
      </c>
      <c r="I170" s="25" t="s">
        <v>877</v>
      </c>
      <c r="J170" s="25">
        <f>2540+2540</f>
        <v>5080</v>
      </c>
      <c r="K170" s="25">
        <v>500</v>
      </c>
      <c r="L170" s="45"/>
      <c r="M170" s="45"/>
      <c r="N170">
        <f t="shared" si="8"/>
        <v>0</v>
      </c>
    </row>
    <row r="171" spans="1:14">
      <c r="A171" s="13">
        <v>3005</v>
      </c>
      <c r="B171" s="13" t="s">
        <v>878</v>
      </c>
      <c r="C171" s="14">
        <v>32.42</v>
      </c>
      <c r="D171" s="14">
        <v>5324</v>
      </c>
      <c r="E171" s="14">
        <v>500</v>
      </c>
      <c r="H171" s="25">
        <v>3005</v>
      </c>
      <c r="I171" s="25" t="s">
        <v>878</v>
      </c>
      <c r="J171" s="25">
        <f>M176</f>
        <v>5324</v>
      </c>
      <c r="K171" s="25">
        <v>500</v>
      </c>
      <c r="L171" s="45"/>
      <c r="M171" s="45"/>
      <c r="N171">
        <f t="shared" si="8"/>
        <v>0</v>
      </c>
    </row>
    <row r="172" spans="1:14">
      <c r="A172" s="13">
        <v>3006</v>
      </c>
      <c r="B172" s="13" t="s">
        <v>879</v>
      </c>
      <c r="C172" s="14">
        <v>32.42</v>
      </c>
      <c r="D172" s="14">
        <v>5324</v>
      </c>
      <c r="E172" s="14">
        <v>500</v>
      </c>
      <c r="H172" s="25">
        <v>3006</v>
      </c>
      <c r="I172" s="25" t="s">
        <v>879</v>
      </c>
      <c r="J172" s="25">
        <f>M177</f>
        <v>5324</v>
      </c>
      <c r="K172" s="25">
        <v>500</v>
      </c>
      <c r="L172" s="27"/>
      <c r="M172" s="25"/>
      <c r="N172">
        <f t="shared" si="8"/>
        <v>0</v>
      </c>
    </row>
    <row r="173" spans="1:14">
      <c r="A173" s="13">
        <v>3007</v>
      </c>
      <c r="B173" s="13" t="s">
        <v>880</v>
      </c>
      <c r="C173" s="14">
        <v>32.42</v>
      </c>
      <c r="D173" s="14">
        <v>5324</v>
      </c>
      <c r="E173" s="14">
        <v>500</v>
      </c>
      <c r="H173" s="25">
        <v>3007</v>
      </c>
      <c r="I173" s="25" t="s">
        <v>880</v>
      </c>
      <c r="J173" s="25">
        <v>5324</v>
      </c>
      <c r="K173" s="25">
        <v>500</v>
      </c>
      <c r="L173" s="25"/>
      <c r="M173" s="25"/>
      <c r="N173">
        <f t="shared" si="8"/>
        <v>0</v>
      </c>
    </row>
    <row r="174" spans="1:14">
      <c r="A174" s="13">
        <v>3008</v>
      </c>
      <c r="B174" s="13" t="s">
        <v>415</v>
      </c>
      <c r="C174" s="14">
        <v>32.42</v>
      </c>
      <c r="D174" s="14">
        <v>5082</v>
      </c>
      <c r="E174" s="14">
        <v>500</v>
      </c>
      <c r="H174" s="25">
        <v>3008</v>
      </c>
      <c r="I174" s="25" t="s">
        <v>415</v>
      </c>
      <c r="J174" s="25">
        <f>2541+2541</f>
        <v>5082</v>
      </c>
      <c r="K174" s="25">
        <v>500</v>
      </c>
      <c r="L174" s="25"/>
      <c r="M174" s="25"/>
      <c r="N174">
        <f t="shared" si="8"/>
        <v>0</v>
      </c>
    </row>
    <row r="175" spans="1:14">
      <c r="A175" s="93" t="s">
        <v>750</v>
      </c>
      <c r="B175" s="93" t="s">
        <v>751</v>
      </c>
      <c r="C175" s="105">
        <v>32.425</v>
      </c>
      <c r="D175" s="86">
        <v>2540</v>
      </c>
      <c r="E175" s="86">
        <v>200</v>
      </c>
      <c r="H175" s="94">
        <v>3009</v>
      </c>
      <c r="I175" s="94" t="s">
        <v>751</v>
      </c>
      <c r="J175" s="94">
        <v>2540</v>
      </c>
      <c r="K175" s="94">
        <v>200</v>
      </c>
      <c r="L175" s="25"/>
      <c r="M175" s="25"/>
      <c r="N175">
        <f t="shared" si="8"/>
        <v>0</v>
      </c>
    </row>
    <row r="176" spans="1:14">
      <c r="A176" s="13">
        <v>3010</v>
      </c>
      <c r="B176" s="13" t="s">
        <v>339</v>
      </c>
      <c r="C176" s="14">
        <v>32.425</v>
      </c>
      <c r="D176" s="14">
        <v>5324</v>
      </c>
      <c r="E176" s="14">
        <v>500</v>
      </c>
      <c r="H176" s="25">
        <v>3010</v>
      </c>
      <c r="I176" s="25" t="s">
        <v>339</v>
      </c>
      <c r="J176" s="25">
        <f>2662+2662</f>
        <v>5324</v>
      </c>
      <c r="K176" s="25">
        <v>500</v>
      </c>
      <c r="L176" s="27">
        <v>44531</v>
      </c>
      <c r="M176" s="25">
        <v>5324</v>
      </c>
      <c r="N176">
        <f t="shared" si="8"/>
        <v>0</v>
      </c>
    </row>
    <row r="177" spans="1:14">
      <c r="A177" s="13">
        <v>3011</v>
      </c>
      <c r="B177" s="13" t="s">
        <v>881</v>
      </c>
      <c r="C177" s="14">
        <v>31.765</v>
      </c>
      <c r="D177" s="14">
        <v>5324</v>
      </c>
      <c r="E177" s="14">
        <v>500</v>
      </c>
      <c r="H177" s="25">
        <v>3011</v>
      </c>
      <c r="I177" s="25" t="s">
        <v>881</v>
      </c>
      <c r="J177" s="25">
        <v>5324</v>
      </c>
      <c r="K177" s="25">
        <v>500</v>
      </c>
      <c r="L177" s="27">
        <v>44531</v>
      </c>
      <c r="M177" s="25">
        <v>5324</v>
      </c>
      <c r="N177">
        <f t="shared" si="8"/>
        <v>0</v>
      </c>
    </row>
    <row r="178" spans="1:14">
      <c r="A178" s="13" t="s">
        <v>882</v>
      </c>
      <c r="B178" s="13" t="s">
        <v>421</v>
      </c>
      <c r="C178" s="106">
        <f>31.765/2</f>
        <v>15.8825</v>
      </c>
      <c r="D178" s="14">
        <v>2662</v>
      </c>
      <c r="E178" s="14">
        <v>250</v>
      </c>
      <c r="H178" s="25">
        <v>3012</v>
      </c>
      <c r="I178" s="25" t="s">
        <v>421</v>
      </c>
      <c r="J178" s="25">
        <v>2662</v>
      </c>
      <c r="K178" s="25">
        <v>250</v>
      </c>
      <c r="L178" s="27"/>
      <c r="M178" s="25"/>
      <c r="N178">
        <f t="shared" si="8"/>
        <v>0</v>
      </c>
    </row>
    <row r="179" spans="1:14">
      <c r="A179" s="13">
        <v>3013</v>
      </c>
      <c r="B179" s="13"/>
      <c r="C179" s="14"/>
      <c r="D179" s="14"/>
      <c r="E179" s="14"/>
      <c r="H179" s="25">
        <v>3013</v>
      </c>
      <c r="I179" s="25"/>
      <c r="J179" s="25"/>
      <c r="K179" s="25"/>
      <c r="L179" s="25"/>
      <c r="M179" s="25"/>
      <c r="N179">
        <f t="shared" si="8"/>
        <v>0</v>
      </c>
    </row>
    <row r="180" spans="1:14">
      <c r="A180" s="13">
        <v>3014</v>
      </c>
      <c r="B180" s="13"/>
      <c r="C180" s="14"/>
      <c r="D180" s="14"/>
      <c r="E180" s="14"/>
      <c r="H180" s="25">
        <v>3014</v>
      </c>
      <c r="I180" s="25"/>
      <c r="J180" s="25"/>
      <c r="K180" s="25"/>
      <c r="L180" s="94"/>
      <c r="M180" s="94"/>
      <c r="N180">
        <f t="shared" si="8"/>
        <v>0</v>
      </c>
    </row>
    <row r="181" spans="1:14">
      <c r="A181" s="13">
        <v>3015</v>
      </c>
      <c r="B181" s="13" t="s">
        <v>427</v>
      </c>
      <c r="C181" s="14">
        <v>31.76</v>
      </c>
      <c r="D181" s="14">
        <v>5324</v>
      </c>
      <c r="E181" s="14">
        <v>500</v>
      </c>
      <c r="H181" s="25">
        <v>3015</v>
      </c>
      <c r="I181" s="25" t="s">
        <v>427</v>
      </c>
      <c r="J181" s="25">
        <f t="shared" ref="J181:J186" si="9">2662+2662</f>
        <v>5324</v>
      </c>
      <c r="K181" s="25">
        <v>500</v>
      </c>
      <c r="L181" s="27"/>
      <c r="M181" s="25"/>
      <c r="N181">
        <f t="shared" si="8"/>
        <v>0</v>
      </c>
    </row>
    <row r="182" spans="1:14">
      <c r="A182" s="13">
        <v>3016</v>
      </c>
      <c r="B182" s="13" t="s">
        <v>429</v>
      </c>
      <c r="C182" s="14">
        <v>31.76</v>
      </c>
      <c r="D182" s="14">
        <v>5324</v>
      </c>
      <c r="E182" s="14">
        <v>500</v>
      </c>
      <c r="H182" s="25">
        <v>3016</v>
      </c>
      <c r="I182" s="25" t="s">
        <v>429</v>
      </c>
      <c r="J182" s="25">
        <f t="shared" si="9"/>
        <v>5324</v>
      </c>
      <c r="K182" s="25">
        <v>500</v>
      </c>
      <c r="L182" s="27"/>
      <c r="M182" s="25"/>
      <c r="N182">
        <f t="shared" si="8"/>
        <v>0</v>
      </c>
    </row>
    <row r="183" spans="1:14">
      <c r="A183" s="13">
        <v>3017</v>
      </c>
      <c r="B183" s="13" t="s">
        <v>883</v>
      </c>
      <c r="C183" s="14">
        <v>31.76</v>
      </c>
      <c r="D183" s="14">
        <v>5324</v>
      </c>
      <c r="E183" s="14">
        <v>500</v>
      </c>
      <c r="H183" s="25">
        <v>3017</v>
      </c>
      <c r="I183" s="25" t="s">
        <v>883</v>
      </c>
      <c r="J183" s="25">
        <v>5324</v>
      </c>
      <c r="K183" s="25">
        <v>500</v>
      </c>
      <c r="L183" s="27"/>
      <c r="M183" s="25"/>
      <c r="N183">
        <f t="shared" si="8"/>
        <v>0</v>
      </c>
    </row>
    <row r="184" spans="1:14">
      <c r="A184" s="13">
        <v>3018</v>
      </c>
      <c r="B184" s="13"/>
      <c r="C184" s="14"/>
      <c r="D184" s="14"/>
      <c r="E184" s="14"/>
      <c r="H184" s="25">
        <v>3018</v>
      </c>
      <c r="I184" s="25"/>
      <c r="J184" s="25"/>
      <c r="K184" s="25"/>
      <c r="L184" s="27"/>
      <c r="M184" s="25"/>
      <c r="N184">
        <f t="shared" si="8"/>
        <v>0</v>
      </c>
    </row>
    <row r="185" spans="1:14">
      <c r="A185" s="13">
        <v>3019</v>
      </c>
      <c r="B185" s="13"/>
      <c r="C185" s="14"/>
      <c r="D185" s="14"/>
      <c r="E185" s="14"/>
      <c r="H185" s="25">
        <v>3019</v>
      </c>
      <c r="I185" s="25"/>
      <c r="J185" s="25"/>
      <c r="K185" s="25"/>
      <c r="L185" s="27"/>
      <c r="M185" s="25"/>
      <c r="N185">
        <f t="shared" si="8"/>
        <v>0</v>
      </c>
    </row>
    <row r="186" spans="1:14">
      <c r="A186" s="13">
        <v>3020</v>
      </c>
      <c r="B186" s="13" t="s">
        <v>436</v>
      </c>
      <c r="C186" s="14">
        <v>31.76</v>
      </c>
      <c r="D186" s="14">
        <v>5324</v>
      </c>
      <c r="E186" s="14">
        <v>500</v>
      </c>
      <c r="H186" s="25">
        <v>3020</v>
      </c>
      <c r="I186" s="25" t="s">
        <v>436</v>
      </c>
      <c r="J186" s="25">
        <f t="shared" si="9"/>
        <v>5324</v>
      </c>
      <c r="K186" s="25">
        <v>500</v>
      </c>
      <c r="L186" s="27"/>
      <c r="M186" s="25"/>
      <c r="N186">
        <f t="shared" si="8"/>
        <v>0</v>
      </c>
    </row>
    <row r="187" spans="1:14">
      <c r="A187" s="13">
        <v>3021</v>
      </c>
      <c r="B187" s="13" t="s">
        <v>884</v>
      </c>
      <c r="C187" s="14">
        <v>31.765</v>
      </c>
      <c r="D187" s="14">
        <v>6134</v>
      </c>
      <c r="E187" s="14">
        <v>500</v>
      </c>
      <c r="H187" s="25">
        <v>3021</v>
      </c>
      <c r="I187" s="25" t="s">
        <v>884</v>
      </c>
      <c r="J187" s="25">
        <f>M192</f>
        <v>6134</v>
      </c>
      <c r="K187" s="25">
        <v>500</v>
      </c>
      <c r="L187" s="27"/>
      <c r="M187" s="25"/>
      <c r="N187">
        <f t="shared" si="8"/>
        <v>0</v>
      </c>
    </row>
    <row r="188" spans="1:14">
      <c r="A188" s="13">
        <v>3022</v>
      </c>
      <c r="B188" s="13" t="s">
        <v>885</v>
      </c>
      <c r="C188" s="14">
        <v>31.765</v>
      </c>
      <c r="D188" s="14">
        <f>2896+2896</f>
        <v>5792</v>
      </c>
      <c r="E188" s="14">
        <v>500</v>
      </c>
      <c r="H188" s="25">
        <v>3022</v>
      </c>
      <c r="I188" s="25" t="s">
        <v>885</v>
      </c>
      <c r="J188" s="25">
        <f>2896+2896</f>
        <v>5792</v>
      </c>
      <c r="K188" s="25">
        <v>500</v>
      </c>
      <c r="L188" s="27"/>
      <c r="M188" s="25"/>
      <c r="N188">
        <f t="shared" si="8"/>
        <v>0</v>
      </c>
    </row>
    <row r="189" spans="1:14">
      <c r="A189" s="13">
        <v>3023</v>
      </c>
      <c r="B189" s="13"/>
      <c r="C189" s="14"/>
      <c r="D189" s="14"/>
      <c r="E189" s="14"/>
      <c r="H189" s="25">
        <v>3023</v>
      </c>
      <c r="I189" s="25"/>
      <c r="J189" s="25"/>
      <c r="K189" s="25"/>
      <c r="L189" s="25"/>
      <c r="M189" s="25"/>
      <c r="N189">
        <f t="shared" si="8"/>
        <v>0</v>
      </c>
    </row>
    <row r="190" spans="1:14">
      <c r="A190" s="13">
        <v>3024</v>
      </c>
      <c r="B190" s="13" t="s">
        <v>886</v>
      </c>
      <c r="C190" s="14">
        <v>31.765</v>
      </c>
      <c r="D190" s="14">
        <v>5854</v>
      </c>
      <c r="E190" s="14">
        <v>500</v>
      </c>
      <c r="H190" s="25">
        <v>3024</v>
      </c>
      <c r="I190" s="25" t="s">
        <v>886</v>
      </c>
      <c r="J190" s="25">
        <f>M195</f>
        <v>5854</v>
      </c>
      <c r="K190" s="25">
        <v>500</v>
      </c>
      <c r="L190" s="27"/>
      <c r="M190" s="25"/>
      <c r="N190">
        <f t="shared" si="8"/>
        <v>0</v>
      </c>
    </row>
    <row r="191" spans="1:14">
      <c r="A191" s="13">
        <v>3025</v>
      </c>
      <c r="B191" s="13" t="s">
        <v>446</v>
      </c>
      <c r="C191" s="14">
        <v>49.18</v>
      </c>
      <c r="D191" s="14">
        <v>5592</v>
      </c>
      <c r="E191" s="14">
        <v>500</v>
      </c>
      <c r="H191" s="25">
        <v>3025</v>
      </c>
      <c r="I191" s="25" t="s">
        <v>446</v>
      </c>
      <c r="J191" s="25">
        <f>2796+2796</f>
        <v>5592</v>
      </c>
      <c r="K191" s="25">
        <v>500</v>
      </c>
      <c r="L191" s="27"/>
      <c r="M191" s="25"/>
      <c r="N191">
        <f t="shared" si="8"/>
        <v>0</v>
      </c>
    </row>
    <row r="192" spans="1:14">
      <c r="A192" s="13">
        <v>3026</v>
      </c>
      <c r="B192" s="13" t="s">
        <v>887</v>
      </c>
      <c r="C192" s="14">
        <v>42.68</v>
      </c>
      <c r="D192" s="14">
        <v>4724</v>
      </c>
      <c r="E192" s="14">
        <v>300</v>
      </c>
      <c r="H192" s="25">
        <v>3026</v>
      </c>
      <c r="I192" s="25" t="s">
        <v>887</v>
      </c>
      <c r="J192" s="25">
        <f>M197</f>
        <v>4724</v>
      </c>
      <c r="K192" s="25">
        <v>300</v>
      </c>
      <c r="L192" s="27">
        <v>44409</v>
      </c>
      <c r="M192" s="25">
        <v>6134</v>
      </c>
      <c r="N192">
        <f t="shared" ref="N192:N203" si="10">D192-J192</f>
        <v>0</v>
      </c>
    </row>
    <row r="193" spans="1:15">
      <c r="A193" s="13">
        <v>3027</v>
      </c>
      <c r="B193" s="13"/>
      <c r="C193" s="14"/>
      <c r="D193" s="14"/>
      <c r="E193" s="14"/>
      <c r="H193" s="25">
        <v>3027</v>
      </c>
      <c r="I193" s="25"/>
      <c r="J193" s="25"/>
      <c r="K193" s="25"/>
      <c r="L193" s="25"/>
      <c r="M193" s="25"/>
      <c r="N193">
        <f t="shared" si="10"/>
        <v>0</v>
      </c>
    </row>
    <row r="194" spans="1:15">
      <c r="A194" s="13">
        <v>3030</v>
      </c>
      <c r="B194" s="13"/>
      <c r="C194" s="14"/>
      <c r="D194" s="14"/>
      <c r="E194" s="14"/>
      <c r="H194" s="25">
        <v>3030</v>
      </c>
      <c r="I194" s="25"/>
      <c r="J194" s="25"/>
      <c r="K194" s="25"/>
      <c r="L194" s="27"/>
      <c r="M194" s="25"/>
      <c r="N194">
        <f t="shared" si="10"/>
        <v>0</v>
      </c>
    </row>
    <row r="195" spans="1:15">
      <c r="A195" s="13">
        <v>3031</v>
      </c>
      <c r="B195" s="13" t="s">
        <v>888</v>
      </c>
      <c r="C195" s="14">
        <v>33</v>
      </c>
      <c r="D195" s="14">
        <v>5324</v>
      </c>
      <c r="E195" s="14">
        <v>500</v>
      </c>
      <c r="H195" s="25">
        <v>3031</v>
      </c>
      <c r="I195" s="25" t="s">
        <v>888</v>
      </c>
      <c r="J195" s="25">
        <v>5324</v>
      </c>
      <c r="K195" s="25">
        <v>500</v>
      </c>
      <c r="L195" s="27">
        <v>44440</v>
      </c>
      <c r="M195" s="25">
        <v>5854</v>
      </c>
      <c r="N195">
        <f t="shared" si="10"/>
        <v>0</v>
      </c>
    </row>
    <row r="196" spans="1:15">
      <c r="A196" s="13">
        <v>3032</v>
      </c>
      <c r="B196" s="13"/>
      <c r="C196" s="14"/>
      <c r="D196" s="14"/>
      <c r="E196" s="14"/>
      <c r="H196" s="25">
        <v>3032</v>
      </c>
      <c r="I196" s="25"/>
      <c r="J196" s="25"/>
      <c r="K196" s="25"/>
      <c r="L196" s="27"/>
      <c r="M196" s="25"/>
      <c r="N196">
        <f t="shared" si="10"/>
        <v>0</v>
      </c>
    </row>
    <row r="197" spans="1:15">
      <c r="A197" s="13">
        <v>3033</v>
      </c>
      <c r="B197" s="13" t="s">
        <v>889</v>
      </c>
      <c r="C197" s="14">
        <v>31.76</v>
      </c>
      <c r="D197" s="14">
        <v>5854</v>
      </c>
      <c r="E197" s="14">
        <v>500</v>
      </c>
      <c r="H197" s="25">
        <v>3033</v>
      </c>
      <c r="I197" s="25" t="s">
        <v>889</v>
      </c>
      <c r="J197" s="25">
        <f>2927+2927</f>
        <v>5854</v>
      </c>
      <c r="K197" s="25">
        <v>500</v>
      </c>
      <c r="L197" s="27">
        <v>44531</v>
      </c>
      <c r="M197" s="25">
        <f>2362+2362</f>
        <v>4724</v>
      </c>
      <c r="N197">
        <f t="shared" si="10"/>
        <v>0</v>
      </c>
    </row>
    <row r="198" spans="1:15">
      <c r="A198" s="13">
        <v>3034</v>
      </c>
      <c r="B198" s="13" t="s">
        <v>890</v>
      </c>
      <c r="C198" s="14">
        <v>31.765</v>
      </c>
      <c r="D198" s="14">
        <v>5080</v>
      </c>
      <c r="E198" s="14">
        <v>500</v>
      </c>
      <c r="H198" s="25">
        <v>3034</v>
      </c>
      <c r="I198" s="25" t="s">
        <v>890</v>
      </c>
      <c r="J198" s="25">
        <f>2540+2540</f>
        <v>5080</v>
      </c>
      <c r="K198" s="25">
        <v>500</v>
      </c>
      <c r="L198" s="27"/>
      <c r="M198" s="25"/>
      <c r="N198">
        <f t="shared" si="10"/>
        <v>0</v>
      </c>
    </row>
    <row r="199" spans="1:15">
      <c r="A199" s="13">
        <v>3035</v>
      </c>
      <c r="B199" s="13" t="s">
        <v>462</v>
      </c>
      <c r="C199" s="14">
        <v>31.765</v>
      </c>
      <c r="D199" s="14">
        <v>5324</v>
      </c>
      <c r="E199" s="14">
        <v>500</v>
      </c>
      <c r="H199" s="25">
        <v>3035</v>
      </c>
      <c r="I199" s="25" t="s">
        <v>462</v>
      </c>
      <c r="J199" s="25">
        <v>5324</v>
      </c>
      <c r="K199" s="25">
        <v>500</v>
      </c>
      <c r="L199" s="25"/>
      <c r="M199" s="25"/>
      <c r="N199">
        <f t="shared" si="10"/>
        <v>0</v>
      </c>
    </row>
    <row r="200" spans="1:15">
      <c r="A200" s="13">
        <v>3036</v>
      </c>
      <c r="B200" s="13" t="s">
        <v>891</v>
      </c>
      <c r="C200" s="14">
        <v>31.765</v>
      </c>
      <c r="D200" s="14">
        <v>5082</v>
      </c>
      <c r="E200" s="14">
        <v>500</v>
      </c>
      <c r="H200" s="25">
        <v>3036</v>
      </c>
      <c r="I200" s="25" t="s">
        <v>891</v>
      </c>
      <c r="J200" s="25">
        <f>2541+2541</f>
        <v>5082</v>
      </c>
      <c r="K200" s="25">
        <v>500</v>
      </c>
      <c r="L200" s="27"/>
      <c r="M200" s="25"/>
      <c r="N200">
        <f t="shared" si="10"/>
        <v>0</v>
      </c>
    </row>
    <row r="201" spans="1:15">
      <c r="A201" s="13" t="s">
        <v>466</v>
      </c>
      <c r="B201" s="13" t="s">
        <v>163</v>
      </c>
      <c r="C201" s="14">
        <v>31.76</v>
      </c>
      <c r="D201" s="14">
        <v>2662</v>
      </c>
      <c r="E201" s="14">
        <v>250</v>
      </c>
      <c r="H201" s="25" t="s">
        <v>466</v>
      </c>
      <c r="I201" s="25" t="s">
        <v>163</v>
      </c>
      <c r="J201" s="25">
        <v>2662</v>
      </c>
      <c r="K201" s="25">
        <v>250</v>
      </c>
      <c r="L201" s="27"/>
      <c r="M201" s="25"/>
      <c r="N201">
        <f t="shared" si="10"/>
        <v>0</v>
      </c>
    </row>
    <row r="202" spans="1:15">
      <c r="A202" s="13">
        <v>3038</v>
      </c>
      <c r="B202" s="13" t="s">
        <v>892</v>
      </c>
      <c r="C202" s="14">
        <v>31.76</v>
      </c>
      <c r="D202" s="14">
        <v>5870</v>
      </c>
      <c r="E202" s="14">
        <v>500</v>
      </c>
      <c r="H202" s="25">
        <v>3038</v>
      </c>
      <c r="I202" s="25" t="s">
        <v>892</v>
      </c>
      <c r="J202" s="25">
        <f>2935+2935</f>
        <v>5870</v>
      </c>
      <c r="K202" s="25">
        <v>500</v>
      </c>
      <c r="L202" s="27"/>
      <c r="M202" s="25"/>
      <c r="N202">
        <f t="shared" si="10"/>
        <v>0</v>
      </c>
    </row>
    <row r="203" spans="1:15">
      <c r="A203" s="13">
        <v>3039</v>
      </c>
      <c r="B203" s="13" t="s">
        <v>893</v>
      </c>
      <c r="C203" s="14">
        <v>31.76</v>
      </c>
      <c r="D203" s="14">
        <v>5324</v>
      </c>
      <c r="E203" s="14">
        <v>500</v>
      </c>
      <c r="H203" s="25">
        <v>3039</v>
      </c>
      <c r="I203" s="25" t="s">
        <v>893</v>
      </c>
      <c r="J203" s="25">
        <v>5324</v>
      </c>
      <c r="K203" s="25">
        <v>500</v>
      </c>
      <c r="L203" s="25"/>
      <c r="M203" s="25"/>
      <c r="N203">
        <f t="shared" si="10"/>
        <v>0</v>
      </c>
    </row>
    <row r="204" spans="1:15">
      <c r="A204" s="93" t="s">
        <v>752</v>
      </c>
      <c r="B204" s="93" t="s">
        <v>753</v>
      </c>
      <c r="C204" s="105">
        <v>32.425</v>
      </c>
      <c r="D204" s="97">
        <v>2788</v>
      </c>
      <c r="E204" s="97">
        <v>200</v>
      </c>
      <c r="H204" s="94">
        <v>3040</v>
      </c>
      <c r="I204" s="94" t="s">
        <v>753</v>
      </c>
      <c r="J204" s="94">
        <v>2788</v>
      </c>
      <c r="K204" s="94">
        <v>200</v>
      </c>
      <c r="L204" s="27"/>
      <c r="M204" s="25"/>
      <c r="N204">
        <f t="shared" ref="N204:N216" si="11">D204-J204</f>
        <v>0</v>
      </c>
    </row>
    <row r="205" spans="1:15">
      <c r="A205" s="13">
        <v>3041</v>
      </c>
      <c r="B205" s="13" t="s">
        <v>436</v>
      </c>
      <c r="C205" s="14">
        <v>31.76</v>
      </c>
      <c r="D205" s="14">
        <f>5500</f>
        <v>5500</v>
      </c>
      <c r="E205" s="14">
        <v>500</v>
      </c>
      <c r="H205" s="25">
        <v>3041</v>
      </c>
      <c r="I205" s="25" t="s">
        <v>436</v>
      </c>
      <c r="J205" s="25">
        <v>5500</v>
      </c>
      <c r="K205" s="25">
        <v>500</v>
      </c>
      <c r="L205" s="27"/>
      <c r="M205" s="25"/>
      <c r="N205">
        <f t="shared" si="11"/>
        <v>0</v>
      </c>
    </row>
    <row r="206" spans="1:15">
      <c r="A206" s="13">
        <v>3042</v>
      </c>
      <c r="B206" s="13" t="s">
        <v>894</v>
      </c>
      <c r="C206" s="14">
        <v>31.76</v>
      </c>
      <c r="D206" s="14">
        <v>5080</v>
      </c>
      <c r="E206" s="14">
        <v>500</v>
      </c>
      <c r="H206" s="25">
        <v>3042</v>
      </c>
      <c r="I206" s="25" t="s">
        <v>894</v>
      </c>
      <c r="J206" s="25">
        <f>2540+2540</f>
        <v>5080</v>
      </c>
      <c r="K206" s="25">
        <v>500</v>
      </c>
      <c r="L206" s="25"/>
      <c r="M206" s="25"/>
      <c r="N206">
        <f t="shared" si="11"/>
        <v>0</v>
      </c>
    </row>
    <row r="207" spans="1:15">
      <c r="A207" s="13">
        <v>3043</v>
      </c>
      <c r="B207" s="13" t="s">
        <v>895</v>
      </c>
      <c r="C207" s="14">
        <v>31.765</v>
      </c>
      <c r="D207" s="14"/>
      <c r="E207" s="14"/>
      <c r="H207" s="25">
        <v>3043</v>
      </c>
      <c r="I207" s="25" t="s">
        <v>895</v>
      </c>
      <c r="J207" s="25">
        <f>M213</f>
        <v>6440</v>
      </c>
      <c r="K207" s="25">
        <v>500</v>
      </c>
      <c r="L207" s="27"/>
      <c r="M207" s="25"/>
      <c r="N207">
        <f t="shared" si="11"/>
        <v>-6440</v>
      </c>
      <c r="O207">
        <f>D206-J206</f>
        <v>0</v>
      </c>
    </row>
    <row r="208" spans="1:15">
      <c r="A208" s="13" t="s">
        <v>479</v>
      </c>
      <c r="B208" s="13" t="s">
        <v>480</v>
      </c>
      <c r="C208" s="14">
        <v>31.765</v>
      </c>
      <c r="D208" s="14">
        <v>5324</v>
      </c>
      <c r="E208" s="14">
        <v>500</v>
      </c>
      <c r="H208" s="25" t="s">
        <v>479</v>
      </c>
      <c r="I208" s="25" t="s">
        <v>480</v>
      </c>
      <c r="J208" s="25">
        <f>M214</f>
        <v>5324</v>
      </c>
      <c r="K208" s="25">
        <v>500</v>
      </c>
      <c r="L208" s="25"/>
      <c r="M208" s="25"/>
      <c r="N208">
        <f t="shared" si="11"/>
        <v>0</v>
      </c>
    </row>
    <row r="209" spans="1:14">
      <c r="A209" s="93" t="s">
        <v>754</v>
      </c>
      <c r="B209" s="93" t="s">
        <v>755</v>
      </c>
      <c r="C209" s="86">
        <v>32.425</v>
      </c>
      <c r="D209" s="97">
        <v>2662</v>
      </c>
      <c r="E209" s="97">
        <v>200</v>
      </c>
      <c r="H209" s="94">
        <v>3045</v>
      </c>
      <c r="I209" s="94" t="s">
        <v>755</v>
      </c>
      <c r="J209" s="94">
        <v>2662</v>
      </c>
      <c r="K209" s="94">
        <v>200</v>
      </c>
      <c r="L209" s="27"/>
      <c r="M209" s="25"/>
      <c r="N209">
        <f t="shared" si="11"/>
        <v>0</v>
      </c>
    </row>
    <row r="210" spans="1:14">
      <c r="A210" s="13">
        <v>3046</v>
      </c>
      <c r="B210" s="13"/>
      <c r="C210" s="14"/>
      <c r="D210" s="14"/>
      <c r="E210" s="14"/>
      <c r="H210" s="25">
        <v>3046</v>
      </c>
      <c r="I210" s="25"/>
      <c r="J210" s="25"/>
      <c r="K210" s="25"/>
      <c r="L210" s="107"/>
      <c r="M210" s="94"/>
      <c r="N210">
        <f t="shared" si="11"/>
        <v>0</v>
      </c>
    </row>
    <row r="211" spans="1:14">
      <c r="A211" s="13">
        <v>3047</v>
      </c>
      <c r="B211" s="13" t="s">
        <v>486</v>
      </c>
      <c r="C211" s="14">
        <v>31.76</v>
      </c>
      <c r="D211" s="14">
        <v>5324</v>
      </c>
      <c r="E211" s="14">
        <v>500</v>
      </c>
      <c r="H211" s="25">
        <v>3047</v>
      </c>
      <c r="I211" s="25" t="s">
        <v>486</v>
      </c>
      <c r="J211" s="25">
        <v>5324</v>
      </c>
      <c r="K211" s="25">
        <v>500</v>
      </c>
      <c r="L211" s="25"/>
      <c r="M211" s="25"/>
      <c r="N211">
        <f t="shared" si="11"/>
        <v>0</v>
      </c>
    </row>
    <row r="212" spans="1:14">
      <c r="A212" s="13">
        <v>3048</v>
      </c>
      <c r="B212" s="13" t="s">
        <v>896</v>
      </c>
      <c r="C212" s="14">
        <v>31.76</v>
      </c>
      <c r="D212" s="14">
        <v>5324</v>
      </c>
      <c r="E212" s="14">
        <v>500</v>
      </c>
      <c r="H212" s="25">
        <v>3048</v>
      </c>
      <c r="I212" s="25" t="s">
        <v>896</v>
      </c>
      <c r="J212" s="25">
        <v>5324</v>
      </c>
      <c r="K212" s="25">
        <v>500</v>
      </c>
      <c r="L212" s="25"/>
      <c r="M212" s="25"/>
      <c r="N212">
        <f t="shared" si="11"/>
        <v>0</v>
      </c>
    </row>
    <row r="213" spans="1:14">
      <c r="A213" s="13">
        <v>3049</v>
      </c>
      <c r="B213" s="13" t="s">
        <v>897</v>
      </c>
      <c r="C213" s="14">
        <v>31.76</v>
      </c>
      <c r="D213" s="14">
        <v>5082</v>
      </c>
      <c r="E213" s="14">
        <v>500</v>
      </c>
      <c r="H213" s="25">
        <v>3049</v>
      </c>
      <c r="I213" s="25" t="s">
        <v>897</v>
      </c>
      <c r="J213" s="25">
        <f>2541*2</f>
        <v>5082</v>
      </c>
      <c r="K213" s="25">
        <v>500</v>
      </c>
      <c r="L213" s="27">
        <v>44378</v>
      </c>
      <c r="M213" s="25">
        <v>6440</v>
      </c>
      <c r="N213">
        <f t="shared" si="11"/>
        <v>0</v>
      </c>
    </row>
    <row r="214" spans="1:14">
      <c r="A214" s="13">
        <v>3050</v>
      </c>
      <c r="B214" s="13" t="s">
        <v>492</v>
      </c>
      <c r="C214" s="14">
        <v>31.76</v>
      </c>
      <c r="D214" s="14">
        <v>5324</v>
      </c>
      <c r="E214" s="14">
        <v>500</v>
      </c>
      <c r="H214" s="25">
        <v>3050</v>
      </c>
      <c r="I214" s="25" t="s">
        <v>492</v>
      </c>
      <c r="J214" s="25">
        <v>5324</v>
      </c>
      <c r="K214" s="25">
        <v>500</v>
      </c>
      <c r="L214" s="27">
        <v>44470</v>
      </c>
      <c r="M214" s="25">
        <v>5324</v>
      </c>
      <c r="N214">
        <f t="shared" si="11"/>
        <v>0</v>
      </c>
    </row>
    <row r="215" spans="1:14">
      <c r="A215" s="13" t="s">
        <v>898</v>
      </c>
      <c r="B215" s="13" t="s">
        <v>899</v>
      </c>
      <c r="C215" s="14">
        <f>34.28/2</f>
        <v>17.14</v>
      </c>
      <c r="D215" s="14">
        <v>3000</v>
      </c>
      <c r="E215" s="14">
        <f>500/2</f>
        <v>250</v>
      </c>
      <c r="H215" s="25">
        <v>3051</v>
      </c>
      <c r="I215" s="25" t="s">
        <v>899</v>
      </c>
      <c r="J215" s="25">
        <v>3000</v>
      </c>
      <c r="K215" s="25">
        <v>500</v>
      </c>
      <c r="L215" s="94"/>
      <c r="M215" s="94"/>
      <c r="N215">
        <f t="shared" si="11"/>
        <v>0</v>
      </c>
    </row>
    <row r="216" spans="1:14">
      <c r="A216" s="13" t="s">
        <v>900</v>
      </c>
      <c r="B216" s="13" t="s">
        <v>901</v>
      </c>
      <c r="C216" s="14">
        <v>35.27</v>
      </c>
      <c r="D216" s="14">
        <v>3662</v>
      </c>
      <c r="E216" s="14">
        <v>200</v>
      </c>
      <c r="H216" s="25">
        <v>3052</v>
      </c>
      <c r="I216" s="25" t="s">
        <v>901</v>
      </c>
      <c r="J216" s="25">
        <v>3662</v>
      </c>
      <c r="K216" s="25">
        <v>200</v>
      </c>
      <c r="L216" s="27"/>
      <c r="M216" s="25"/>
      <c r="N216">
        <f t="shared" si="11"/>
        <v>0</v>
      </c>
    </row>
    <row r="217" spans="1:14">
      <c r="A217" s="13" t="s">
        <v>502</v>
      </c>
      <c r="B217" s="13" t="s">
        <v>902</v>
      </c>
      <c r="C217" s="14">
        <v>93.2</v>
      </c>
      <c r="D217" s="14">
        <v>10568</v>
      </c>
      <c r="E217" s="14">
        <v>600</v>
      </c>
      <c r="H217" s="25">
        <v>3053</v>
      </c>
      <c r="I217" s="25" t="s">
        <v>902</v>
      </c>
      <c r="J217" s="25">
        <v>10568</v>
      </c>
      <c r="K217" s="25">
        <v>600</v>
      </c>
      <c r="L217" s="27"/>
      <c r="M217" s="25"/>
      <c r="N217">
        <f t="shared" ref="N217:N224" si="12">D217-J217</f>
        <v>0</v>
      </c>
    </row>
    <row r="218" spans="1:14">
      <c r="A218" s="13" t="s">
        <v>508</v>
      </c>
      <c r="B218" s="13"/>
      <c r="C218" s="14"/>
      <c r="D218" s="14"/>
      <c r="E218" s="14"/>
      <c r="H218" s="25">
        <v>3055</v>
      </c>
      <c r="I218" s="25" t="s">
        <v>903</v>
      </c>
      <c r="J218" s="25">
        <f>2540+2540</f>
        <v>5080</v>
      </c>
      <c r="K218" s="25">
        <v>500</v>
      </c>
      <c r="L218" s="27"/>
      <c r="M218" s="25"/>
      <c r="N218">
        <f t="shared" si="12"/>
        <v>-5080</v>
      </c>
    </row>
    <row r="219" spans="1:14">
      <c r="A219" s="13" t="s">
        <v>510</v>
      </c>
      <c r="B219" s="13"/>
      <c r="C219" s="14"/>
      <c r="D219" s="14"/>
      <c r="E219" s="14"/>
      <c r="H219" s="25" t="s">
        <v>904</v>
      </c>
      <c r="I219" s="25"/>
      <c r="J219" s="25"/>
      <c r="K219" s="25"/>
      <c r="L219" s="27">
        <v>44287</v>
      </c>
      <c r="M219" s="25">
        <f>2420*2</f>
        <v>4840</v>
      </c>
      <c r="N219">
        <f t="shared" si="12"/>
        <v>0</v>
      </c>
    </row>
    <row r="220" spans="1:14">
      <c r="A220" s="13">
        <v>3055</v>
      </c>
      <c r="B220" s="13" t="s">
        <v>903</v>
      </c>
      <c r="C220" s="14">
        <v>31.76</v>
      </c>
      <c r="D220" s="14">
        <v>5080</v>
      </c>
      <c r="E220" s="14">
        <v>500</v>
      </c>
      <c r="H220" s="25" t="s">
        <v>510</v>
      </c>
      <c r="I220" s="25"/>
      <c r="J220" s="25"/>
      <c r="K220" s="25"/>
      <c r="L220" s="27"/>
      <c r="M220" s="25"/>
      <c r="N220">
        <f t="shared" si="12"/>
        <v>5080</v>
      </c>
    </row>
    <row r="221" spans="1:14">
      <c r="A221" s="50">
        <v>4001</v>
      </c>
      <c r="B221" s="13" t="s">
        <v>513</v>
      </c>
      <c r="C221" s="14">
        <v>49.475</v>
      </c>
      <c r="D221" s="14">
        <v>8618</v>
      </c>
      <c r="E221" s="14">
        <v>500</v>
      </c>
      <c r="H221" s="51">
        <v>4001</v>
      </c>
      <c r="I221" s="25" t="s">
        <v>513</v>
      </c>
      <c r="J221" s="25">
        <v>8618</v>
      </c>
      <c r="K221" s="25">
        <v>500</v>
      </c>
      <c r="L221" s="27"/>
      <c r="M221" s="25"/>
      <c r="N221">
        <f t="shared" si="12"/>
        <v>0</v>
      </c>
    </row>
    <row r="222" spans="1:14">
      <c r="A222" s="13">
        <v>4002</v>
      </c>
      <c r="B222" s="13" t="s">
        <v>905</v>
      </c>
      <c r="C222" s="14">
        <v>32.425</v>
      </c>
      <c r="D222" s="14">
        <v>6526</v>
      </c>
      <c r="E222" s="14">
        <v>500</v>
      </c>
      <c r="H222" s="25">
        <v>4002</v>
      </c>
      <c r="I222" s="25" t="s">
        <v>905</v>
      </c>
      <c r="J222" s="25">
        <v>6526</v>
      </c>
      <c r="K222" s="25">
        <v>500</v>
      </c>
      <c r="L222" s="25"/>
      <c r="M222" s="25"/>
      <c r="N222">
        <f t="shared" si="12"/>
        <v>0</v>
      </c>
    </row>
    <row r="223" spans="1:14">
      <c r="A223" s="13">
        <v>4003</v>
      </c>
      <c r="B223" s="13" t="s">
        <v>906</v>
      </c>
      <c r="C223" s="14">
        <v>32.425</v>
      </c>
      <c r="D223" s="14">
        <v>5578</v>
      </c>
      <c r="E223" s="14">
        <v>500</v>
      </c>
      <c r="H223" s="25">
        <v>4003</v>
      </c>
      <c r="I223" s="25" t="s">
        <v>906</v>
      </c>
      <c r="J223" s="25">
        <v>5578</v>
      </c>
      <c r="K223" s="25">
        <v>500</v>
      </c>
      <c r="L223" s="25"/>
      <c r="M223" s="25"/>
      <c r="N223">
        <f t="shared" si="12"/>
        <v>0</v>
      </c>
    </row>
    <row r="224" spans="1:14">
      <c r="A224" s="13" t="s">
        <v>907</v>
      </c>
      <c r="B224" s="13" t="s">
        <v>908</v>
      </c>
      <c r="C224" s="14">
        <v>32.425</v>
      </c>
      <c r="D224" s="14">
        <v>3000</v>
      </c>
      <c r="E224" s="14"/>
      <c r="H224" s="25">
        <v>4004</v>
      </c>
      <c r="I224" s="25" t="s">
        <v>908</v>
      </c>
      <c r="J224" s="25">
        <v>3000</v>
      </c>
      <c r="K224" s="25"/>
      <c r="L224" s="25"/>
      <c r="M224" s="25"/>
      <c r="N224">
        <f t="shared" si="12"/>
        <v>0</v>
      </c>
    </row>
    <row r="225" spans="1:14">
      <c r="A225" s="13">
        <v>4005</v>
      </c>
      <c r="B225" s="13"/>
      <c r="C225" s="14"/>
      <c r="D225" s="14"/>
      <c r="E225" s="14"/>
      <c r="H225" s="25">
        <v>4005</v>
      </c>
      <c r="I225" s="25"/>
      <c r="J225" s="25"/>
      <c r="K225" s="25"/>
      <c r="L225" s="25"/>
      <c r="M225" s="25"/>
      <c r="N225">
        <f t="shared" ref="N225:N235" si="13">D225-J225</f>
        <v>0</v>
      </c>
    </row>
    <row r="226" spans="1:14">
      <c r="A226" s="93" t="s">
        <v>756</v>
      </c>
      <c r="B226" s="93" t="s">
        <v>488</v>
      </c>
      <c r="C226" s="86">
        <v>32.425</v>
      </c>
      <c r="D226" s="86">
        <v>2800</v>
      </c>
      <c r="E226" s="86">
        <v>200</v>
      </c>
      <c r="H226" s="94">
        <v>4006</v>
      </c>
      <c r="I226" s="94" t="s">
        <v>488</v>
      </c>
      <c r="J226" s="94">
        <v>2800</v>
      </c>
      <c r="K226" s="94">
        <v>200</v>
      </c>
      <c r="L226" s="25"/>
      <c r="M226" s="25"/>
      <c r="N226">
        <f t="shared" si="13"/>
        <v>0</v>
      </c>
    </row>
    <row r="227" spans="1:14">
      <c r="A227" s="13" t="s">
        <v>909</v>
      </c>
      <c r="B227" s="13" t="s">
        <v>718</v>
      </c>
      <c r="C227" s="14">
        <v>32.425</v>
      </c>
      <c r="D227" s="14">
        <v>3000</v>
      </c>
      <c r="E227" s="14"/>
      <c r="H227" s="25">
        <v>4007</v>
      </c>
      <c r="I227" s="25" t="s">
        <v>718</v>
      </c>
      <c r="J227" s="25">
        <v>3000</v>
      </c>
      <c r="K227" s="25"/>
      <c r="L227" s="25"/>
      <c r="M227" s="25"/>
      <c r="N227">
        <f t="shared" si="13"/>
        <v>0</v>
      </c>
    </row>
    <row r="228" spans="1:14">
      <c r="A228" s="13">
        <v>4008</v>
      </c>
      <c r="B228" s="13" t="s">
        <v>910</v>
      </c>
      <c r="C228" s="14">
        <v>32.425</v>
      </c>
      <c r="D228" s="14">
        <v>6378</v>
      </c>
      <c r="E228" s="14">
        <v>500</v>
      </c>
      <c r="H228" s="25">
        <v>4008</v>
      </c>
      <c r="I228" s="25" t="s">
        <v>910</v>
      </c>
      <c r="J228" s="25">
        <v>6378</v>
      </c>
      <c r="K228" s="25">
        <v>500</v>
      </c>
      <c r="L228" s="27">
        <v>44348</v>
      </c>
      <c r="M228" s="25">
        <v>8208</v>
      </c>
      <c r="N228">
        <f t="shared" si="13"/>
        <v>0</v>
      </c>
    </row>
    <row r="229" spans="1:14">
      <c r="A229" s="13">
        <v>4009</v>
      </c>
      <c r="B229" s="13" t="s">
        <v>529</v>
      </c>
      <c r="C229" s="14">
        <v>32.425</v>
      </c>
      <c r="D229" s="14">
        <v>5650</v>
      </c>
      <c r="E229" s="14">
        <v>500</v>
      </c>
      <c r="H229" s="25">
        <v>4009</v>
      </c>
      <c r="I229" s="25" t="s">
        <v>529</v>
      </c>
      <c r="J229" s="25">
        <f>M236</f>
        <v>5650</v>
      </c>
      <c r="K229" s="25">
        <v>500</v>
      </c>
      <c r="L229" s="27">
        <v>44348</v>
      </c>
      <c r="M229" s="25">
        <v>6216</v>
      </c>
      <c r="N229">
        <f t="shared" si="13"/>
        <v>0</v>
      </c>
    </row>
    <row r="230" spans="1:14">
      <c r="A230" s="13">
        <v>4010</v>
      </c>
      <c r="B230" s="13"/>
      <c r="C230" s="14"/>
      <c r="D230" s="14"/>
      <c r="E230" s="14"/>
      <c r="H230" s="25">
        <v>4010</v>
      </c>
      <c r="I230" s="25"/>
      <c r="J230" s="25"/>
      <c r="K230" s="25"/>
      <c r="L230" s="27">
        <v>44501</v>
      </c>
      <c r="M230" s="25">
        <f>2789+2789</f>
        <v>5578</v>
      </c>
      <c r="N230">
        <f t="shared" si="13"/>
        <v>0</v>
      </c>
    </row>
    <row r="231" spans="1:14">
      <c r="A231" s="93" t="s">
        <v>757</v>
      </c>
      <c r="B231" s="93" t="s">
        <v>726</v>
      </c>
      <c r="C231" s="86">
        <v>32.425</v>
      </c>
      <c r="D231" s="108">
        <v>2800</v>
      </c>
      <c r="E231" s="97">
        <v>200</v>
      </c>
      <c r="H231" s="94">
        <v>4011</v>
      </c>
      <c r="I231" s="94" t="s">
        <v>726</v>
      </c>
      <c r="J231" s="109">
        <v>2800</v>
      </c>
      <c r="K231" s="94">
        <v>200</v>
      </c>
      <c r="L231" s="27"/>
      <c r="M231" s="25"/>
      <c r="N231">
        <f t="shared" si="13"/>
        <v>0</v>
      </c>
    </row>
    <row r="232" spans="1:14">
      <c r="A232" s="13">
        <v>4012</v>
      </c>
      <c r="B232" s="13" t="s">
        <v>535</v>
      </c>
      <c r="C232" s="14">
        <v>32.425</v>
      </c>
      <c r="D232" s="14">
        <v>5792</v>
      </c>
      <c r="E232" s="14">
        <v>500</v>
      </c>
      <c r="H232" s="25">
        <v>4012</v>
      </c>
      <c r="I232" s="25" t="s">
        <v>535</v>
      </c>
      <c r="J232" s="25">
        <f>2896+2896</f>
        <v>5792</v>
      </c>
      <c r="K232" s="25">
        <v>500</v>
      </c>
      <c r="L232" s="27"/>
      <c r="M232" s="25"/>
      <c r="N232">
        <f t="shared" si="13"/>
        <v>0</v>
      </c>
    </row>
    <row r="233" spans="1:14">
      <c r="A233" s="85">
        <v>4013</v>
      </c>
      <c r="B233" s="85" t="s">
        <v>911</v>
      </c>
      <c r="C233" s="98">
        <v>32.425</v>
      </c>
      <c r="D233" s="98"/>
      <c r="E233" s="98"/>
      <c r="H233" s="99">
        <v>4013</v>
      </c>
      <c r="I233" s="99" t="s">
        <v>911</v>
      </c>
      <c r="J233" s="99">
        <f>2696+2696</f>
        <v>5392</v>
      </c>
      <c r="K233" s="99">
        <v>500</v>
      </c>
      <c r="L233" s="107"/>
      <c r="M233" s="94"/>
      <c r="N233">
        <f t="shared" si="13"/>
        <v>-5392</v>
      </c>
    </row>
    <row r="234" spans="1:14">
      <c r="A234" s="13">
        <v>4014</v>
      </c>
      <c r="B234" s="13" t="s">
        <v>676</v>
      </c>
      <c r="C234" s="14">
        <v>32.425</v>
      </c>
      <c r="D234" s="14">
        <v>5934</v>
      </c>
      <c r="E234" s="14">
        <v>500</v>
      </c>
      <c r="H234" s="25">
        <v>4014</v>
      </c>
      <c r="I234" s="25" t="s">
        <v>676</v>
      </c>
      <c r="J234" s="52">
        <f>2967+2967</f>
        <v>5934</v>
      </c>
      <c r="K234" s="25">
        <v>500</v>
      </c>
      <c r="L234" s="27"/>
      <c r="M234" s="25"/>
      <c r="N234">
        <f t="shared" si="13"/>
        <v>0</v>
      </c>
    </row>
    <row r="235" spans="1:14">
      <c r="A235" s="13">
        <v>4015</v>
      </c>
      <c r="B235" s="13"/>
      <c r="C235" s="14"/>
      <c r="D235" s="14"/>
      <c r="E235" s="14"/>
      <c r="H235" s="25">
        <v>4015</v>
      </c>
      <c r="I235" s="25"/>
      <c r="J235" s="25"/>
      <c r="K235" s="25"/>
      <c r="L235" s="27">
        <v>44287</v>
      </c>
      <c r="M235" s="25">
        <v>6074</v>
      </c>
      <c r="N235">
        <f t="shared" si="13"/>
        <v>0</v>
      </c>
    </row>
    <row r="236" spans="1:14">
      <c r="A236" s="93" t="s">
        <v>758</v>
      </c>
      <c r="B236" s="93" t="s">
        <v>759</v>
      </c>
      <c r="C236" s="86">
        <v>32.425</v>
      </c>
      <c r="D236" s="86">
        <v>2697</v>
      </c>
      <c r="E236" s="86">
        <v>200</v>
      </c>
      <c r="H236" s="94">
        <v>4016</v>
      </c>
      <c r="I236" s="94" t="s">
        <v>759</v>
      </c>
      <c r="J236" s="94">
        <v>2697</v>
      </c>
      <c r="K236" s="94">
        <v>200</v>
      </c>
      <c r="L236" s="27">
        <v>44409</v>
      </c>
      <c r="M236" s="25">
        <f>2825+2825</f>
        <v>5650</v>
      </c>
      <c r="N236">
        <f t="shared" ref="N236:N244" si="14">D236-J236</f>
        <v>0</v>
      </c>
    </row>
    <row r="237" spans="1:14">
      <c r="A237" s="13">
        <v>4017</v>
      </c>
      <c r="B237" s="13" t="s">
        <v>544</v>
      </c>
      <c r="C237" s="14">
        <v>32.425</v>
      </c>
      <c r="D237" s="14">
        <v>6560</v>
      </c>
      <c r="E237" s="14">
        <v>500</v>
      </c>
      <c r="H237" s="25">
        <v>4017</v>
      </c>
      <c r="I237" s="25" t="s">
        <v>544</v>
      </c>
      <c r="J237" s="25">
        <v>6560</v>
      </c>
      <c r="K237" s="25">
        <v>500</v>
      </c>
      <c r="L237" s="27"/>
      <c r="M237" s="25"/>
      <c r="N237">
        <f t="shared" si="14"/>
        <v>0</v>
      </c>
    </row>
    <row r="238" spans="1:14">
      <c r="A238" s="93" t="s">
        <v>760</v>
      </c>
      <c r="B238" s="93" t="s">
        <v>761</v>
      </c>
      <c r="C238" s="86">
        <v>32.425</v>
      </c>
      <c r="D238" s="86"/>
      <c r="E238" s="86"/>
      <c r="H238" s="25">
        <v>4018</v>
      </c>
      <c r="I238" s="25"/>
      <c r="J238" s="25"/>
      <c r="K238" s="25"/>
      <c r="L238" s="107"/>
      <c r="M238" s="94"/>
      <c r="N238">
        <f t="shared" si="14"/>
        <v>0</v>
      </c>
    </row>
    <row r="239" spans="1:14">
      <c r="A239" s="13">
        <v>4019</v>
      </c>
      <c r="B239" s="13"/>
      <c r="C239" s="14"/>
      <c r="D239" s="14"/>
      <c r="E239" s="14"/>
      <c r="H239" s="25">
        <v>4019</v>
      </c>
      <c r="I239" s="25"/>
      <c r="J239" s="25"/>
      <c r="K239" s="25"/>
      <c r="L239" s="25"/>
      <c r="M239" s="25"/>
      <c r="N239">
        <f t="shared" si="14"/>
        <v>0</v>
      </c>
    </row>
    <row r="240" spans="1:14">
      <c r="A240" s="13">
        <v>4020</v>
      </c>
      <c r="B240" s="13" t="s">
        <v>550</v>
      </c>
      <c r="C240" s="14">
        <v>32.425</v>
      </c>
      <c r="D240" s="14">
        <v>5650</v>
      </c>
      <c r="E240" s="14">
        <v>500</v>
      </c>
      <c r="H240" s="25">
        <v>4020</v>
      </c>
      <c r="I240" s="25" t="s">
        <v>550</v>
      </c>
      <c r="J240" s="25">
        <f>M247</f>
        <v>5650</v>
      </c>
      <c r="K240" s="25">
        <v>500</v>
      </c>
      <c r="L240" s="99"/>
      <c r="M240" s="99"/>
      <c r="N240">
        <f t="shared" si="14"/>
        <v>0</v>
      </c>
    </row>
    <row r="241" spans="1:14">
      <c r="A241" s="93" t="s">
        <v>762</v>
      </c>
      <c r="B241" s="93" t="s">
        <v>552</v>
      </c>
      <c r="C241" s="86">
        <v>32.425</v>
      </c>
      <c r="D241" s="97">
        <v>2800</v>
      </c>
      <c r="E241" s="97">
        <v>200</v>
      </c>
      <c r="H241" s="94">
        <v>4021</v>
      </c>
      <c r="I241" s="94" t="s">
        <v>552</v>
      </c>
      <c r="J241" s="94">
        <v>2800</v>
      </c>
      <c r="K241" s="94">
        <v>200</v>
      </c>
      <c r="L241" s="27"/>
      <c r="M241" s="52"/>
      <c r="N241">
        <f t="shared" si="14"/>
        <v>0</v>
      </c>
    </row>
    <row r="242" spans="1:14">
      <c r="A242" s="13">
        <v>4022</v>
      </c>
      <c r="B242" s="13"/>
      <c r="C242" s="14"/>
      <c r="D242" s="14"/>
      <c r="E242" s="14"/>
      <c r="H242" s="25">
        <v>4022</v>
      </c>
      <c r="I242" s="25"/>
      <c r="J242" s="25"/>
      <c r="K242" s="25"/>
      <c r="L242" s="25"/>
      <c r="M242" s="25"/>
      <c r="N242">
        <f t="shared" si="14"/>
        <v>0</v>
      </c>
    </row>
    <row r="243" spans="1:14">
      <c r="A243" s="13">
        <v>4023</v>
      </c>
      <c r="B243" s="13"/>
      <c r="C243" s="14"/>
      <c r="D243" s="14"/>
      <c r="E243" s="14"/>
      <c r="H243" s="25">
        <v>4023</v>
      </c>
      <c r="I243" s="25"/>
      <c r="J243" s="25"/>
      <c r="K243" s="25"/>
      <c r="L243" s="94"/>
      <c r="M243" s="94"/>
      <c r="N243">
        <f t="shared" si="14"/>
        <v>0</v>
      </c>
    </row>
    <row r="244" spans="1:14">
      <c r="A244" s="13">
        <v>4024</v>
      </c>
      <c r="B244" s="13"/>
      <c r="C244" s="14"/>
      <c r="D244" s="14"/>
      <c r="E244" s="14"/>
      <c r="H244" s="25">
        <v>4024</v>
      </c>
      <c r="I244" s="25"/>
      <c r="J244" s="25"/>
      <c r="K244" s="25"/>
      <c r="L244" s="27">
        <v>44287</v>
      </c>
      <c r="M244" s="25">
        <v>6248</v>
      </c>
      <c r="N244">
        <f t="shared" si="14"/>
        <v>0</v>
      </c>
    </row>
    <row r="245" spans="1:14">
      <c r="A245" s="13">
        <v>4025</v>
      </c>
      <c r="B245" s="13" t="s">
        <v>912</v>
      </c>
      <c r="C245" s="14">
        <v>50.5</v>
      </c>
      <c r="D245" s="14">
        <v>6622</v>
      </c>
      <c r="E245" s="14">
        <v>500</v>
      </c>
      <c r="H245" s="25">
        <v>4025</v>
      </c>
      <c r="I245" s="25" t="s">
        <v>912</v>
      </c>
      <c r="J245" s="25">
        <v>7896</v>
      </c>
      <c r="K245" s="25">
        <v>500</v>
      </c>
      <c r="L245" s="27"/>
      <c r="M245" s="25"/>
      <c r="N245">
        <f t="shared" ref="N245:N258" si="15">D245-J245</f>
        <v>-1274</v>
      </c>
    </row>
    <row r="246" spans="1:14">
      <c r="A246" s="93" t="s">
        <v>763</v>
      </c>
      <c r="B246" s="93" t="s">
        <v>764</v>
      </c>
      <c r="C246" s="86">
        <v>32.425</v>
      </c>
      <c r="D246" s="97">
        <v>2691</v>
      </c>
      <c r="E246" s="97">
        <v>200</v>
      </c>
      <c r="H246" s="94">
        <v>4026</v>
      </c>
      <c r="I246" s="94" t="s">
        <v>764</v>
      </c>
      <c r="J246" s="94">
        <v>2691</v>
      </c>
      <c r="K246" s="94">
        <v>200</v>
      </c>
      <c r="L246" s="27"/>
      <c r="M246" s="25"/>
      <c r="N246">
        <f t="shared" si="15"/>
        <v>0</v>
      </c>
    </row>
    <row r="247" spans="1:14">
      <c r="A247" s="13">
        <v>4027</v>
      </c>
      <c r="B247" s="13" t="s">
        <v>913</v>
      </c>
      <c r="C247" s="14">
        <v>32.425</v>
      </c>
      <c r="D247" s="14">
        <v>5792</v>
      </c>
      <c r="E247" s="14">
        <v>500</v>
      </c>
      <c r="H247" s="25">
        <v>4027</v>
      </c>
      <c r="I247" s="25" t="s">
        <v>913</v>
      </c>
      <c r="J247" s="25">
        <v>5792</v>
      </c>
      <c r="K247" s="25">
        <v>500</v>
      </c>
      <c r="L247" s="27">
        <v>44409</v>
      </c>
      <c r="M247" s="25">
        <f>2825+2825</f>
        <v>5650</v>
      </c>
      <c r="N247">
        <f t="shared" si="15"/>
        <v>0</v>
      </c>
    </row>
    <row r="248" spans="1:14">
      <c r="A248" s="13">
        <v>4028</v>
      </c>
      <c r="B248" s="13"/>
      <c r="C248" s="14"/>
      <c r="D248" s="14"/>
      <c r="E248" s="14"/>
      <c r="H248" s="25">
        <v>4028</v>
      </c>
      <c r="I248" s="25"/>
      <c r="J248" s="25"/>
      <c r="K248" s="25"/>
      <c r="L248" s="107"/>
      <c r="M248" s="94"/>
      <c r="N248">
        <f t="shared" si="15"/>
        <v>0</v>
      </c>
    </row>
    <row r="249" spans="1:14">
      <c r="A249" s="13">
        <v>4029</v>
      </c>
      <c r="B249" s="13"/>
      <c r="C249" s="14"/>
      <c r="D249" s="14"/>
      <c r="E249" s="14"/>
      <c r="H249" s="25">
        <v>4029</v>
      </c>
      <c r="I249" s="25"/>
      <c r="J249" s="25"/>
      <c r="K249" s="25"/>
      <c r="L249" s="25"/>
      <c r="M249" s="25"/>
      <c r="N249">
        <f t="shared" si="15"/>
        <v>0</v>
      </c>
    </row>
    <row r="250" spans="1:14">
      <c r="A250" s="93" t="s">
        <v>765</v>
      </c>
      <c r="B250" s="93" t="s">
        <v>766</v>
      </c>
      <c r="C250" s="105">
        <v>32.425</v>
      </c>
      <c r="D250" s="86">
        <v>3500</v>
      </c>
      <c r="E250" s="110">
        <v>250</v>
      </c>
      <c r="H250" s="94">
        <v>4030</v>
      </c>
      <c r="I250" s="94" t="s">
        <v>766</v>
      </c>
      <c r="J250" s="94">
        <v>3500</v>
      </c>
      <c r="K250" s="94">
        <v>250</v>
      </c>
      <c r="L250" s="27"/>
      <c r="M250" s="25"/>
      <c r="N250">
        <f t="shared" si="15"/>
        <v>0</v>
      </c>
    </row>
    <row r="251" spans="1:14">
      <c r="A251" s="13">
        <v>4031</v>
      </c>
      <c r="B251" s="13"/>
      <c r="C251" s="14"/>
      <c r="D251" s="14"/>
      <c r="E251" s="54"/>
      <c r="H251" s="25">
        <v>4031</v>
      </c>
      <c r="I251" s="25"/>
      <c r="J251" s="25"/>
      <c r="K251" s="25"/>
      <c r="L251" s="25"/>
      <c r="M251" s="25"/>
      <c r="N251">
        <f t="shared" si="15"/>
        <v>0</v>
      </c>
    </row>
    <row r="252" spans="1:14">
      <c r="A252" s="13">
        <v>4032</v>
      </c>
      <c r="B252" s="13" t="s">
        <v>914</v>
      </c>
      <c r="C252" s="14">
        <v>32.425</v>
      </c>
      <c r="D252" s="14">
        <v>6150</v>
      </c>
      <c r="E252" s="14">
        <v>500</v>
      </c>
      <c r="H252" s="25">
        <v>4032</v>
      </c>
      <c r="I252" s="25" t="s">
        <v>914</v>
      </c>
      <c r="J252" s="25">
        <v>6150</v>
      </c>
      <c r="K252" s="25">
        <v>500</v>
      </c>
      <c r="L252" s="27">
        <v>44287</v>
      </c>
      <c r="M252" s="25">
        <f>3760+3760</f>
        <v>7520</v>
      </c>
      <c r="N252">
        <f t="shared" si="15"/>
        <v>0</v>
      </c>
    </row>
    <row r="253" spans="1:14">
      <c r="A253" s="13">
        <v>4033</v>
      </c>
      <c r="B253" s="13"/>
      <c r="C253" s="14"/>
      <c r="D253" s="14"/>
      <c r="E253" s="14"/>
      <c r="H253" s="25">
        <v>4033</v>
      </c>
      <c r="I253" s="25"/>
      <c r="J253" s="52"/>
      <c r="K253" s="25"/>
      <c r="L253" s="107"/>
      <c r="M253" s="94"/>
      <c r="N253">
        <f t="shared" si="15"/>
        <v>0</v>
      </c>
    </row>
    <row r="254" spans="1:14">
      <c r="A254" s="13">
        <v>4034</v>
      </c>
      <c r="B254" s="13"/>
      <c r="C254" s="14"/>
      <c r="D254" s="14"/>
      <c r="E254" s="14"/>
      <c r="H254" s="94">
        <v>4035</v>
      </c>
      <c r="I254" s="94" t="s">
        <v>574</v>
      </c>
      <c r="J254" s="94">
        <v>2800</v>
      </c>
      <c r="K254" s="94">
        <v>200</v>
      </c>
      <c r="L254" s="25"/>
      <c r="M254" s="25"/>
      <c r="N254">
        <f t="shared" si="15"/>
        <v>-2800</v>
      </c>
    </row>
    <row r="255" spans="1:14">
      <c r="A255" s="93" t="s">
        <v>767</v>
      </c>
      <c r="B255" s="93" t="s">
        <v>574</v>
      </c>
      <c r="C255" s="86">
        <v>32.425</v>
      </c>
      <c r="D255" s="97">
        <v>2800</v>
      </c>
      <c r="E255" s="97">
        <v>200</v>
      </c>
      <c r="H255" s="52" t="s">
        <v>576</v>
      </c>
      <c r="I255" s="52"/>
      <c r="J255" s="52"/>
      <c r="K255" s="52"/>
      <c r="L255" s="27"/>
      <c r="M255" s="25"/>
      <c r="N255">
        <f t="shared" si="15"/>
        <v>2800</v>
      </c>
    </row>
    <row r="256" spans="1:14">
      <c r="A256" s="13">
        <v>4036</v>
      </c>
      <c r="B256" s="13" t="s">
        <v>915</v>
      </c>
      <c r="C256" s="14">
        <v>32.425</v>
      </c>
      <c r="D256" s="14">
        <v>6560</v>
      </c>
      <c r="E256" s="14">
        <v>500</v>
      </c>
      <c r="H256" s="52">
        <v>4036</v>
      </c>
      <c r="I256" s="52" t="s">
        <v>915</v>
      </c>
      <c r="J256" s="52">
        <v>6560</v>
      </c>
      <c r="K256" s="52">
        <v>500</v>
      </c>
      <c r="L256" s="25"/>
      <c r="M256" s="25"/>
      <c r="N256">
        <f t="shared" si="15"/>
        <v>0</v>
      </c>
    </row>
    <row r="257" spans="1:14">
      <c r="A257" s="13">
        <v>4037</v>
      </c>
      <c r="B257" s="13" t="s">
        <v>916</v>
      </c>
      <c r="C257" s="14">
        <v>32.425</v>
      </c>
      <c r="D257" s="14">
        <f>6248-600</f>
        <v>5648</v>
      </c>
      <c r="E257" s="14">
        <v>500</v>
      </c>
      <c r="H257" s="52">
        <v>4037</v>
      </c>
      <c r="I257" s="52" t="s">
        <v>916</v>
      </c>
      <c r="J257" s="52">
        <v>6248</v>
      </c>
      <c r="K257" s="52">
        <v>500</v>
      </c>
      <c r="L257" s="107"/>
      <c r="M257" s="94"/>
      <c r="N257">
        <f t="shared" si="15"/>
        <v>-600</v>
      </c>
    </row>
    <row r="258" spans="1:14">
      <c r="A258" s="93" t="s">
        <v>768</v>
      </c>
      <c r="B258" s="93" t="s">
        <v>423</v>
      </c>
      <c r="C258" s="105">
        <v>32.425</v>
      </c>
      <c r="D258" s="111">
        <v>2800</v>
      </c>
      <c r="E258" s="111">
        <v>200</v>
      </c>
      <c r="H258" s="112">
        <v>4038</v>
      </c>
      <c r="I258" s="112" t="s">
        <v>423</v>
      </c>
      <c r="J258" s="112">
        <v>2800</v>
      </c>
      <c r="K258" s="112">
        <v>200</v>
      </c>
      <c r="L258" s="27"/>
      <c r="M258" s="25"/>
      <c r="N258">
        <f t="shared" si="15"/>
        <v>0</v>
      </c>
    </row>
    <row r="259" spans="1:14">
      <c r="A259" s="13">
        <v>4039</v>
      </c>
      <c r="B259" s="13" t="s">
        <v>917</v>
      </c>
      <c r="C259" s="14">
        <v>32.425</v>
      </c>
      <c r="D259" s="14">
        <v>5934</v>
      </c>
      <c r="E259" s="14">
        <v>500</v>
      </c>
      <c r="H259" s="52">
        <v>4039</v>
      </c>
      <c r="I259" s="52" t="s">
        <v>917</v>
      </c>
      <c r="J259" s="52">
        <v>5934</v>
      </c>
      <c r="K259" s="52">
        <v>500</v>
      </c>
      <c r="L259" s="27"/>
      <c r="M259" s="25"/>
      <c r="N259">
        <f t="shared" ref="N259:N267" si="16">D259-J259</f>
        <v>0</v>
      </c>
    </row>
    <row r="260" spans="1:14">
      <c r="A260" s="93" t="s">
        <v>769</v>
      </c>
      <c r="B260" s="93" t="s">
        <v>770</v>
      </c>
      <c r="C260" s="86">
        <v>32.425</v>
      </c>
      <c r="D260" s="111">
        <v>2800</v>
      </c>
      <c r="E260" s="111">
        <v>200</v>
      </c>
      <c r="H260" s="112">
        <v>4040</v>
      </c>
      <c r="I260" s="112" t="s">
        <v>770</v>
      </c>
      <c r="J260" s="112">
        <v>2800</v>
      </c>
      <c r="K260" s="112">
        <v>200</v>
      </c>
      <c r="L260" s="53"/>
      <c r="M260" s="52"/>
      <c r="N260">
        <f t="shared" si="16"/>
        <v>0</v>
      </c>
    </row>
    <row r="261" spans="1:14">
      <c r="A261" s="13">
        <v>4041</v>
      </c>
      <c r="B261" s="13" t="s">
        <v>588</v>
      </c>
      <c r="C261" s="14">
        <v>32.425</v>
      </c>
      <c r="D261" s="14">
        <v>5934</v>
      </c>
      <c r="E261" s="14">
        <v>500</v>
      </c>
      <c r="H261" s="52">
        <v>4041</v>
      </c>
      <c r="I261" s="52" t="s">
        <v>588</v>
      </c>
      <c r="J261" s="52">
        <v>5934</v>
      </c>
      <c r="K261" s="52">
        <v>500</v>
      </c>
      <c r="L261" s="107"/>
      <c r="M261" s="94"/>
      <c r="N261">
        <f t="shared" si="16"/>
        <v>0</v>
      </c>
    </row>
    <row r="262" spans="1:14">
      <c r="A262" s="13">
        <v>4042</v>
      </c>
      <c r="B262" s="13" t="s">
        <v>918</v>
      </c>
      <c r="C262" s="14">
        <v>32.425</v>
      </c>
      <c r="D262" s="14">
        <v>6558</v>
      </c>
      <c r="E262" s="14">
        <v>500</v>
      </c>
      <c r="H262" s="52">
        <v>4042</v>
      </c>
      <c r="I262" s="52" t="s">
        <v>918</v>
      </c>
      <c r="J262" s="52">
        <f>6558</f>
        <v>6558</v>
      </c>
      <c r="K262" s="52">
        <v>1000</v>
      </c>
      <c r="L262" s="52"/>
      <c r="M262" s="52"/>
      <c r="N262">
        <f t="shared" si="16"/>
        <v>0</v>
      </c>
    </row>
    <row r="263" spans="1:14">
      <c r="A263" s="93" t="s">
        <v>771</v>
      </c>
      <c r="B263" s="93" t="s">
        <v>199</v>
      </c>
      <c r="C263" s="105">
        <v>32.425</v>
      </c>
      <c r="D263" s="86">
        <v>3500</v>
      </c>
      <c r="E263" s="86">
        <v>200</v>
      </c>
      <c r="H263" s="112">
        <v>4043</v>
      </c>
      <c r="I263" s="112" t="s">
        <v>199</v>
      </c>
      <c r="J263" s="112">
        <v>3500</v>
      </c>
      <c r="K263" s="112">
        <v>200</v>
      </c>
      <c r="L263" s="53">
        <v>44287</v>
      </c>
      <c r="M263" s="52">
        <v>6248</v>
      </c>
      <c r="N263">
        <f t="shared" si="16"/>
        <v>0</v>
      </c>
    </row>
    <row r="264" spans="1:14">
      <c r="A264" s="93" t="s">
        <v>772</v>
      </c>
      <c r="B264" s="93" t="s">
        <v>773</v>
      </c>
      <c r="C264" s="86">
        <v>32.425</v>
      </c>
      <c r="D264" s="111">
        <v>2800</v>
      </c>
      <c r="E264" s="111">
        <v>200</v>
      </c>
      <c r="H264" s="94">
        <v>4044</v>
      </c>
      <c r="I264" s="94" t="s">
        <v>773</v>
      </c>
      <c r="J264" s="112">
        <v>2800</v>
      </c>
      <c r="K264" s="112">
        <v>200</v>
      </c>
      <c r="L264" s="53">
        <v>44287</v>
      </c>
      <c r="M264" s="52">
        <v>6248</v>
      </c>
      <c r="N264">
        <f t="shared" si="16"/>
        <v>0</v>
      </c>
    </row>
    <row r="265" spans="1:14">
      <c r="A265" s="13">
        <v>4045</v>
      </c>
      <c r="B265" s="13"/>
      <c r="C265" s="14"/>
      <c r="D265" s="14"/>
      <c r="E265" s="14"/>
      <c r="H265" s="25">
        <v>4045</v>
      </c>
      <c r="I265" s="25"/>
      <c r="J265" s="52"/>
      <c r="K265" s="52"/>
      <c r="L265" s="113"/>
      <c r="M265" s="112"/>
      <c r="N265">
        <f t="shared" si="16"/>
        <v>0</v>
      </c>
    </row>
    <row r="266" spans="1:14">
      <c r="A266" s="93" t="s">
        <v>774</v>
      </c>
      <c r="B266" s="93" t="s">
        <v>775</v>
      </c>
      <c r="C266" s="105">
        <v>32.425</v>
      </c>
      <c r="D266" s="97">
        <v>3250</v>
      </c>
      <c r="E266" s="97">
        <v>200</v>
      </c>
      <c r="H266" s="94">
        <v>4046</v>
      </c>
      <c r="I266" s="94" t="s">
        <v>775</v>
      </c>
      <c r="J266" s="94">
        <v>3250</v>
      </c>
      <c r="K266" s="94">
        <v>200</v>
      </c>
      <c r="L266" s="53"/>
      <c r="M266" s="52"/>
      <c r="N266">
        <f t="shared" si="16"/>
        <v>0</v>
      </c>
    </row>
    <row r="267" spans="1:14">
      <c r="A267" s="93" t="s">
        <v>776</v>
      </c>
      <c r="B267" s="93" t="s">
        <v>421</v>
      </c>
      <c r="C267" s="86">
        <v>32.425</v>
      </c>
      <c r="D267" s="111">
        <v>2758</v>
      </c>
      <c r="E267" s="111">
        <v>200</v>
      </c>
      <c r="H267" s="112" t="s">
        <v>599</v>
      </c>
      <c r="I267" s="112" t="s">
        <v>421</v>
      </c>
      <c r="J267" s="112">
        <v>2758</v>
      </c>
      <c r="K267" s="112">
        <v>200</v>
      </c>
      <c r="L267" s="113"/>
      <c r="M267" s="112"/>
      <c r="N267">
        <f t="shared" si="16"/>
        <v>0</v>
      </c>
    </row>
    <row r="268" spans="1:14">
      <c r="A268" s="30" t="s">
        <v>601</v>
      </c>
      <c r="B268" s="13"/>
      <c r="C268" s="14"/>
      <c r="D268" s="14"/>
      <c r="E268" s="14"/>
      <c r="H268" s="58" t="s">
        <v>601</v>
      </c>
      <c r="I268" s="25" t="s">
        <v>873</v>
      </c>
      <c r="J268" s="114"/>
      <c r="K268" s="52"/>
      <c r="L268" s="53"/>
      <c r="M268" s="52"/>
      <c r="N268">
        <f t="shared" ref="N268:N275" si="17">D268-J268</f>
        <v>0</v>
      </c>
    </row>
    <row r="269" spans="1:14">
      <c r="A269" s="13">
        <v>5001</v>
      </c>
      <c r="B269" s="13" t="s">
        <v>919</v>
      </c>
      <c r="C269" s="14">
        <v>49.48</v>
      </c>
      <c r="D269" s="14">
        <v>8132</v>
      </c>
      <c r="E269" s="14">
        <v>500</v>
      </c>
      <c r="H269" s="59">
        <v>5001</v>
      </c>
      <c r="I269" s="52" t="s">
        <v>919</v>
      </c>
      <c r="J269" s="52">
        <f>4066+4066</f>
        <v>8132</v>
      </c>
      <c r="K269" s="52">
        <v>500</v>
      </c>
      <c r="L269" s="53">
        <v>44287</v>
      </c>
      <c r="M269" s="52">
        <f>6246+6246</f>
        <v>12492</v>
      </c>
      <c r="N269">
        <f t="shared" si="17"/>
        <v>0</v>
      </c>
    </row>
    <row r="270" spans="1:14">
      <c r="A270" s="22">
        <v>5002</v>
      </c>
      <c r="B270" s="22"/>
      <c r="C270" s="115"/>
      <c r="D270" s="115"/>
      <c r="E270" s="115"/>
      <c r="H270" s="52">
        <v>5002</v>
      </c>
      <c r="I270" s="52"/>
      <c r="J270" s="52"/>
      <c r="K270" s="52"/>
      <c r="L270" s="112"/>
      <c r="M270" s="112"/>
      <c r="N270">
        <f t="shared" si="17"/>
        <v>0</v>
      </c>
    </row>
    <row r="271" spans="1:14">
      <c r="A271" s="13">
        <v>5003</v>
      </c>
      <c r="B271" s="13" t="s">
        <v>609</v>
      </c>
      <c r="C271" s="14">
        <v>32.425</v>
      </c>
      <c r="D271" s="14">
        <v>6102</v>
      </c>
      <c r="E271" s="14">
        <v>500</v>
      </c>
      <c r="H271" s="59">
        <v>5003</v>
      </c>
      <c r="I271" s="52" t="s">
        <v>609</v>
      </c>
      <c r="J271" s="52">
        <f>3051+3051</f>
        <v>6102</v>
      </c>
      <c r="K271" s="52">
        <v>500</v>
      </c>
      <c r="L271" s="113"/>
      <c r="M271" s="94"/>
      <c r="N271">
        <f t="shared" si="17"/>
        <v>0</v>
      </c>
    </row>
    <row r="272" spans="1:14">
      <c r="A272" s="13" t="s">
        <v>611</v>
      </c>
      <c r="B272" s="13"/>
      <c r="C272" s="14"/>
      <c r="D272" s="14"/>
      <c r="E272" s="14"/>
      <c r="H272" s="52" t="s">
        <v>611</v>
      </c>
      <c r="I272" s="52"/>
      <c r="J272" s="52"/>
      <c r="K272" s="52"/>
      <c r="L272" s="53"/>
      <c r="M272" s="25"/>
      <c r="N272">
        <f t="shared" si="17"/>
        <v>0</v>
      </c>
    </row>
    <row r="273" spans="1:15">
      <c r="A273" s="13">
        <v>5005</v>
      </c>
      <c r="B273" s="13" t="s">
        <v>920</v>
      </c>
      <c r="C273" s="14">
        <v>32.425</v>
      </c>
      <c r="D273" s="14">
        <v>6100</v>
      </c>
      <c r="E273" s="14">
        <v>500</v>
      </c>
      <c r="H273" s="59">
        <v>5005</v>
      </c>
      <c r="I273" s="52" t="s">
        <v>920</v>
      </c>
      <c r="J273" s="52">
        <v>6100</v>
      </c>
      <c r="K273" s="52">
        <v>500</v>
      </c>
      <c r="L273" s="94"/>
      <c r="M273" s="94"/>
      <c r="N273">
        <f t="shared" si="17"/>
        <v>0</v>
      </c>
    </row>
    <row r="274" spans="1:15">
      <c r="A274" s="13">
        <v>5006</v>
      </c>
      <c r="B274" s="13" t="s">
        <v>921</v>
      </c>
      <c r="C274" s="14">
        <v>32.425</v>
      </c>
      <c r="D274" s="14">
        <v>6100</v>
      </c>
      <c r="E274" s="14">
        <v>500</v>
      </c>
      <c r="H274" s="52">
        <v>5006</v>
      </c>
      <c r="I274" s="52" t="s">
        <v>921</v>
      </c>
      <c r="J274" s="52">
        <v>6100</v>
      </c>
      <c r="K274" s="52">
        <v>500</v>
      </c>
      <c r="L274" s="112"/>
      <c r="M274" s="112"/>
      <c r="N274">
        <f t="shared" si="17"/>
        <v>0</v>
      </c>
    </row>
    <row r="275" spans="1:15">
      <c r="A275" s="13">
        <v>5007</v>
      </c>
      <c r="B275" s="13" t="s">
        <v>922</v>
      </c>
      <c r="C275" s="14">
        <v>32.425</v>
      </c>
      <c r="D275" s="14">
        <v>6102</v>
      </c>
      <c r="E275" s="14">
        <v>500</v>
      </c>
      <c r="H275" s="59">
        <v>5007</v>
      </c>
      <c r="I275" s="52" t="s">
        <v>922</v>
      </c>
      <c r="J275" s="52">
        <v>6102</v>
      </c>
      <c r="K275" s="52">
        <v>500</v>
      </c>
      <c r="L275" s="52"/>
      <c r="M275" s="52"/>
      <c r="N275">
        <f t="shared" si="17"/>
        <v>0</v>
      </c>
    </row>
    <row r="276" spans="1:15">
      <c r="A276" s="13">
        <v>5008</v>
      </c>
      <c r="B276" s="13" t="s">
        <v>923</v>
      </c>
      <c r="C276" s="14">
        <v>32.425</v>
      </c>
      <c r="D276" s="14">
        <v>6100</v>
      </c>
      <c r="E276" s="14">
        <v>500</v>
      </c>
      <c r="H276" s="52">
        <v>5008</v>
      </c>
      <c r="I276" s="52" t="s">
        <v>923</v>
      </c>
      <c r="J276" s="52">
        <v>6100</v>
      </c>
      <c r="K276" s="52">
        <v>500</v>
      </c>
      <c r="L276" s="53">
        <v>44287</v>
      </c>
      <c r="M276" s="52">
        <f>3872+3872</f>
        <v>7744</v>
      </c>
      <c r="N276">
        <f t="shared" ref="N276:N316" si="18">D276-J276</f>
        <v>0</v>
      </c>
    </row>
    <row r="277" spans="1:15">
      <c r="A277" s="13">
        <v>5009</v>
      </c>
      <c r="B277" s="13" t="s">
        <v>924</v>
      </c>
      <c r="C277" s="14">
        <v>32.425</v>
      </c>
      <c r="D277" s="14">
        <v>6100</v>
      </c>
      <c r="E277" s="14">
        <v>500</v>
      </c>
      <c r="H277" s="60">
        <v>5009</v>
      </c>
      <c r="I277" s="25" t="s">
        <v>924</v>
      </c>
      <c r="J277" s="52">
        <v>6100</v>
      </c>
      <c r="K277" s="25">
        <v>500</v>
      </c>
      <c r="L277" s="53"/>
      <c r="M277" s="52"/>
      <c r="N277">
        <f t="shared" si="18"/>
        <v>0</v>
      </c>
      <c r="O277">
        <f>D277-J277</f>
        <v>0</v>
      </c>
    </row>
    <row r="278" spans="1:15">
      <c r="A278" s="13">
        <v>5010</v>
      </c>
      <c r="B278" s="13" t="s">
        <v>925</v>
      </c>
      <c r="C278" s="14">
        <v>32.425</v>
      </c>
      <c r="D278" s="14">
        <v>5812</v>
      </c>
      <c r="E278" s="14">
        <v>500</v>
      </c>
      <c r="H278" s="52">
        <v>5010</v>
      </c>
      <c r="I278" s="52" t="s">
        <v>925</v>
      </c>
      <c r="J278" s="52">
        <v>5812</v>
      </c>
      <c r="K278" s="52">
        <v>500</v>
      </c>
      <c r="L278" s="53">
        <v>44287</v>
      </c>
      <c r="M278" s="52">
        <f>2906+2906</f>
        <v>5812</v>
      </c>
      <c r="N278">
        <f t="shared" si="18"/>
        <v>0</v>
      </c>
    </row>
    <row r="279" spans="1:15">
      <c r="A279" s="13">
        <v>5011</v>
      </c>
      <c r="B279" s="13"/>
      <c r="C279" s="14"/>
      <c r="D279" s="14"/>
      <c r="E279" s="14"/>
      <c r="H279" s="59">
        <v>5011</v>
      </c>
      <c r="I279" s="52"/>
      <c r="J279" s="52"/>
      <c r="K279" s="52"/>
      <c r="L279" s="53"/>
      <c r="M279" s="52"/>
      <c r="N279">
        <f t="shared" si="18"/>
        <v>0</v>
      </c>
    </row>
    <row r="280" spans="1:15">
      <c r="A280" s="13">
        <v>5012</v>
      </c>
      <c r="B280" s="13"/>
      <c r="C280" s="14"/>
      <c r="D280" s="14"/>
      <c r="E280" s="14"/>
      <c r="H280" s="52">
        <v>5012</v>
      </c>
      <c r="I280" s="52"/>
      <c r="J280" s="52"/>
      <c r="K280" s="52"/>
      <c r="L280" s="53"/>
      <c r="M280" s="52"/>
      <c r="N280">
        <f t="shared" si="18"/>
        <v>0</v>
      </c>
    </row>
    <row r="281" spans="1:15">
      <c r="A281" s="13">
        <v>5013</v>
      </c>
      <c r="B281" s="13" t="s">
        <v>926</v>
      </c>
      <c r="C281" s="14">
        <v>32.425</v>
      </c>
      <c r="D281" s="14"/>
      <c r="E281" s="14"/>
      <c r="H281" s="59">
        <v>5013</v>
      </c>
      <c r="I281" s="52" t="s">
        <v>926</v>
      </c>
      <c r="J281" s="52">
        <f>3051+3051</f>
        <v>6102</v>
      </c>
      <c r="K281" s="52">
        <v>500</v>
      </c>
      <c r="L281" s="53">
        <v>44287</v>
      </c>
      <c r="M281" s="52">
        <v>5810</v>
      </c>
      <c r="N281">
        <f t="shared" si="18"/>
        <v>-6102</v>
      </c>
    </row>
    <row r="282" spans="1:15">
      <c r="A282" s="13" t="s">
        <v>630</v>
      </c>
      <c r="B282" s="13"/>
      <c r="C282" s="14"/>
      <c r="D282" s="14"/>
      <c r="E282" s="14"/>
      <c r="H282" s="52" t="s">
        <v>630</v>
      </c>
      <c r="I282" s="52"/>
      <c r="J282" s="52"/>
      <c r="K282" s="52"/>
      <c r="L282" s="53">
        <v>44287</v>
      </c>
      <c r="M282" s="52">
        <v>5812</v>
      </c>
      <c r="N282">
        <f t="shared" si="18"/>
        <v>0</v>
      </c>
    </row>
    <row r="283" spans="1:15">
      <c r="A283" s="13">
        <v>5015</v>
      </c>
      <c r="B283" s="13" t="s">
        <v>927</v>
      </c>
      <c r="C283" s="14">
        <v>32.425</v>
      </c>
      <c r="D283" s="14">
        <v>6102</v>
      </c>
      <c r="E283" s="14">
        <v>500</v>
      </c>
      <c r="H283" s="59">
        <v>5015</v>
      </c>
      <c r="I283" s="52" t="s">
        <v>927</v>
      </c>
      <c r="J283" s="52">
        <f>3051+3051</f>
        <v>6102</v>
      </c>
      <c r="K283" s="52">
        <v>500</v>
      </c>
      <c r="L283" s="53"/>
      <c r="M283" s="52"/>
      <c r="N283">
        <f t="shared" si="18"/>
        <v>0</v>
      </c>
    </row>
    <row r="284" spans="1:15">
      <c r="A284" s="13">
        <v>5016</v>
      </c>
      <c r="B284" s="13" t="s">
        <v>928</v>
      </c>
      <c r="C284" s="14">
        <v>32.425</v>
      </c>
      <c r="D284" s="14">
        <v>6102</v>
      </c>
      <c r="E284" s="14">
        <v>500</v>
      </c>
      <c r="H284" s="52">
        <v>5016</v>
      </c>
      <c r="I284" s="52" t="s">
        <v>928</v>
      </c>
      <c r="J284" s="52">
        <f>3051*2</f>
        <v>6102</v>
      </c>
      <c r="K284" s="52">
        <v>500</v>
      </c>
      <c r="L284" s="53">
        <v>44287</v>
      </c>
      <c r="M284" s="52">
        <v>5810</v>
      </c>
      <c r="N284">
        <f t="shared" si="18"/>
        <v>0</v>
      </c>
    </row>
    <row r="285" spans="1:15">
      <c r="A285" s="13">
        <v>5017</v>
      </c>
      <c r="B285" s="13" t="s">
        <v>245</v>
      </c>
      <c r="C285" s="14">
        <v>32.425</v>
      </c>
      <c r="D285" s="14">
        <v>6102</v>
      </c>
      <c r="E285" s="14">
        <v>500</v>
      </c>
      <c r="H285" s="116">
        <v>5017</v>
      </c>
      <c r="I285" s="117" t="s">
        <v>245</v>
      </c>
      <c r="J285" s="117">
        <v>6104</v>
      </c>
      <c r="K285" s="117">
        <v>500</v>
      </c>
      <c r="L285" s="53"/>
      <c r="M285" s="52"/>
      <c r="N285">
        <f t="shared" si="18"/>
        <v>-2</v>
      </c>
    </row>
    <row r="286" spans="1:15">
      <c r="A286" s="118">
        <v>5018</v>
      </c>
      <c r="B286" s="118"/>
      <c r="C286" s="14"/>
      <c r="D286" s="14"/>
      <c r="E286" s="14"/>
      <c r="H286" s="52">
        <v>5018</v>
      </c>
      <c r="I286" s="52"/>
      <c r="J286" s="52"/>
      <c r="K286" s="52"/>
      <c r="L286" s="53"/>
      <c r="M286" s="52"/>
      <c r="N286">
        <f t="shared" si="18"/>
        <v>0</v>
      </c>
    </row>
    <row r="287" spans="1:15">
      <c r="A287" s="13">
        <v>5019</v>
      </c>
      <c r="B287" s="13"/>
      <c r="C287" s="14"/>
      <c r="D287" s="14"/>
      <c r="E287" s="14"/>
      <c r="H287" s="59">
        <v>5019</v>
      </c>
      <c r="I287" s="52"/>
      <c r="J287" s="52"/>
      <c r="K287" s="52"/>
      <c r="L287" s="53"/>
      <c r="M287" s="52"/>
      <c r="N287">
        <f t="shared" si="18"/>
        <v>0</v>
      </c>
    </row>
    <row r="288" spans="1:15">
      <c r="A288" s="13">
        <v>5020</v>
      </c>
      <c r="B288" s="13"/>
      <c r="C288" s="14"/>
      <c r="D288" s="14"/>
      <c r="E288" s="14"/>
      <c r="H288" s="52">
        <v>5020</v>
      </c>
      <c r="I288" s="52"/>
      <c r="J288" s="52"/>
      <c r="K288" s="52"/>
      <c r="L288" s="53">
        <v>44287</v>
      </c>
      <c r="M288" s="52">
        <v>5813</v>
      </c>
      <c r="N288">
        <f t="shared" si="18"/>
        <v>0</v>
      </c>
    </row>
    <row r="289" spans="1:14">
      <c r="A289" s="13">
        <v>5021</v>
      </c>
      <c r="B289" s="13"/>
      <c r="C289" s="14"/>
      <c r="D289" s="14"/>
      <c r="E289" s="14"/>
      <c r="H289" s="59">
        <v>5021</v>
      </c>
      <c r="I289" s="119"/>
      <c r="J289" s="52"/>
      <c r="K289" s="52"/>
      <c r="L289" s="53"/>
      <c r="M289" s="52"/>
      <c r="N289">
        <f t="shared" si="18"/>
        <v>0</v>
      </c>
    </row>
    <row r="290" spans="1:14">
      <c r="A290" s="13">
        <v>5022</v>
      </c>
      <c r="B290" s="13"/>
      <c r="C290" s="14"/>
      <c r="D290" s="14"/>
      <c r="E290" s="14"/>
      <c r="H290" s="52">
        <v>5022</v>
      </c>
      <c r="I290" s="52"/>
      <c r="J290" s="52"/>
      <c r="K290" s="52"/>
      <c r="L290" s="53">
        <v>44287</v>
      </c>
      <c r="M290" s="52">
        <f>2906+2906</f>
        <v>5812</v>
      </c>
      <c r="N290">
        <f t="shared" si="18"/>
        <v>0</v>
      </c>
    </row>
    <row r="291" spans="1:14">
      <c r="A291" s="13">
        <v>5023</v>
      </c>
      <c r="B291" s="13"/>
      <c r="C291" s="14"/>
      <c r="D291" s="14"/>
      <c r="E291" s="14"/>
      <c r="H291" s="59">
        <v>5023</v>
      </c>
      <c r="I291" s="52"/>
      <c r="J291" s="52"/>
      <c r="K291" s="52"/>
      <c r="L291" s="53"/>
      <c r="M291" s="52"/>
      <c r="N291">
        <f t="shared" si="18"/>
        <v>0</v>
      </c>
    </row>
    <row r="292" spans="1:14">
      <c r="A292" s="13">
        <v>5024</v>
      </c>
      <c r="B292" s="13"/>
      <c r="C292" s="14"/>
      <c r="D292" s="14"/>
      <c r="E292" s="14"/>
      <c r="H292" s="52">
        <v>5024</v>
      </c>
      <c r="I292" s="52"/>
      <c r="J292" s="52"/>
      <c r="K292" s="52"/>
      <c r="L292" s="120">
        <v>44287</v>
      </c>
      <c r="M292" s="117">
        <v>5813</v>
      </c>
      <c r="N292">
        <f t="shared" si="18"/>
        <v>0</v>
      </c>
    </row>
    <row r="293" spans="1:14">
      <c r="A293" s="13">
        <v>5025</v>
      </c>
      <c r="B293" s="13"/>
      <c r="C293" s="14"/>
      <c r="D293" s="14"/>
      <c r="E293" s="14"/>
      <c r="H293" s="59">
        <v>5025</v>
      </c>
      <c r="I293" s="52"/>
      <c r="J293" s="52"/>
      <c r="K293" s="52"/>
      <c r="L293" s="53"/>
      <c r="M293" s="52"/>
      <c r="N293">
        <f t="shared" si="18"/>
        <v>0</v>
      </c>
    </row>
    <row r="294" spans="1:14">
      <c r="A294" s="13">
        <v>5026</v>
      </c>
      <c r="B294" s="13"/>
      <c r="C294" s="14"/>
      <c r="D294" s="14"/>
      <c r="E294" s="14"/>
      <c r="H294" s="59">
        <v>5026</v>
      </c>
      <c r="I294" s="52"/>
      <c r="J294" s="52"/>
      <c r="K294" s="52"/>
      <c r="L294" s="53"/>
      <c r="M294" s="52"/>
      <c r="N294">
        <f t="shared" si="18"/>
        <v>0</v>
      </c>
    </row>
    <row r="295" spans="1:14">
      <c r="A295" s="121">
        <v>5027</v>
      </c>
      <c r="B295" s="118"/>
      <c r="C295" s="14"/>
      <c r="D295" s="14"/>
      <c r="E295" s="14"/>
      <c r="H295" s="52">
        <v>5027</v>
      </c>
      <c r="I295" s="52"/>
      <c r="J295" s="52"/>
      <c r="K295" s="52"/>
      <c r="L295" s="53"/>
      <c r="M295" s="52"/>
      <c r="N295">
        <f t="shared" si="18"/>
        <v>0</v>
      </c>
    </row>
    <row r="296" spans="1:14">
      <c r="A296" s="13">
        <v>5028</v>
      </c>
      <c r="B296" s="13" t="s">
        <v>929</v>
      </c>
      <c r="C296" s="14">
        <v>32.425</v>
      </c>
      <c r="D296" s="14">
        <v>6102</v>
      </c>
      <c r="E296" s="14">
        <v>500</v>
      </c>
      <c r="H296" s="59">
        <v>5028</v>
      </c>
      <c r="I296" s="122" t="s">
        <v>929</v>
      </c>
      <c r="J296" s="52">
        <f>3051+3051</f>
        <v>6102</v>
      </c>
      <c r="K296" s="52">
        <v>500</v>
      </c>
      <c r="L296" s="53"/>
      <c r="M296" s="52"/>
      <c r="N296">
        <f t="shared" si="18"/>
        <v>0</v>
      </c>
    </row>
    <row r="297" spans="1:14">
      <c r="A297" s="13">
        <v>5029</v>
      </c>
      <c r="B297" s="13"/>
      <c r="C297" s="14"/>
      <c r="D297" s="14"/>
      <c r="E297" s="14"/>
      <c r="H297" s="52">
        <v>5029</v>
      </c>
      <c r="I297" s="122"/>
      <c r="J297" s="52"/>
      <c r="K297" s="52"/>
      <c r="L297" s="53"/>
      <c r="M297" s="52"/>
      <c r="N297">
        <f t="shared" si="18"/>
        <v>0</v>
      </c>
    </row>
    <row r="298" spans="1:14">
      <c r="A298" s="13" t="s">
        <v>930</v>
      </c>
      <c r="B298" s="13" t="s">
        <v>931</v>
      </c>
      <c r="C298" s="14">
        <v>32.425</v>
      </c>
      <c r="D298" s="14">
        <f>6102/2</f>
        <v>3051</v>
      </c>
      <c r="E298" s="14">
        <v>250</v>
      </c>
      <c r="H298" s="52">
        <v>5030</v>
      </c>
      <c r="I298" s="52" t="s">
        <v>932</v>
      </c>
      <c r="J298" s="52">
        <v>6102</v>
      </c>
      <c r="K298" s="52">
        <v>500</v>
      </c>
      <c r="L298" s="53"/>
      <c r="M298" s="52"/>
      <c r="N298">
        <f t="shared" si="18"/>
        <v>-3051</v>
      </c>
    </row>
    <row r="299" spans="1:14">
      <c r="A299" s="13">
        <v>5031</v>
      </c>
      <c r="B299" s="13"/>
      <c r="C299" s="13"/>
      <c r="D299" s="14"/>
      <c r="E299" s="14"/>
      <c r="H299" s="52">
        <v>5031</v>
      </c>
      <c r="I299" s="52"/>
      <c r="J299" s="52"/>
      <c r="K299" s="52"/>
      <c r="L299" s="53"/>
      <c r="M299" s="52"/>
      <c r="N299">
        <f t="shared" si="18"/>
        <v>0</v>
      </c>
    </row>
    <row r="300" spans="1:14">
      <c r="A300" s="13">
        <v>5032</v>
      </c>
      <c r="B300" s="13"/>
      <c r="C300" s="2"/>
      <c r="D300" s="14"/>
      <c r="E300" s="14"/>
      <c r="H300" s="52">
        <v>5032</v>
      </c>
      <c r="I300" s="52"/>
      <c r="J300" s="52"/>
      <c r="K300" s="52"/>
      <c r="L300" s="52"/>
      <c r="M300" s="52"/>
      <c r="N300">
        <f t="shared" si="18"/>
        <v>0</v>
      </c>
    </row>
    <row r="301" spans="1:14">
      <c r="A301" s="13">
        <v>5033</v>
      </c>
      <c r="B301" s="13" t="s">
        <v>933</v>
      </c>
      <c r="C301" s="13">
        <v>32.425</v>
      </c>
      <c r="D301" s="14">
        <v>6100</v>
      </c>
      <c r="E301" s="14">
        <v>500</v>
      </c>
      <c r="H301" s="52">
        <v>5033</v>
      </c>
      <c r="I301" s="52" t="s">
        <v>933</v>
      </c>
      <c r="J301" s="52">
        <v>6100</v>
      </c>
      <c r="K301" s="52">
        <v>500</v>
      </c>
      <c r="L301" s="53"/>
      <c r="M301" s="52"/>
      <c r="N301">
        <f t="shared" si="18"/>
        <v>0</v>
      </c>
    </row>
    <row r="302" spans="1:14">
      <c r="A302" s="13">
        <v>5034</v>
      </c>
      <c r="B302" s="13"/>
      <c r="C302" s="2"/>
      <c r="D302" s="14"/>
      <c r="E302" s="14"/>
      <c r="H302" s="52">
        <v>5034</v>
      </c>
      <c r="I302" s="52"/>
      <c r="J302" s="52"/>
      <c r="K302" s="52"/>
      <c r="L302" s="53"/>
      <c r="M302" s="52"/>
      <c r="N302">
        <f t="shared" si="18"/>
        <v>0</v>
      </c>
    </row>
    <row r="303" spans="1:14">
      <c r="A303" s="13">
        <v>5035</v>
      </c>
      <c r="B303" s="13"/>
      <c r="C303" s="13"/>
      <c r="D303" s="14"/>
      <c r="E303" s="14"/>
      <c r="H303" s="52">
        <v>5035</v>
      </c>
      <c r="I303" s="52"/>
      <c r="J303" s="52"/>
      <c r="K303" s="52"/>
      <c r="L303" s="53">
        <v>44287</v>
      </c>
      <c r="M303" s="52">
        <f>2906+2906</f>
        <v>5812</v>
      </c>
      <c r="N303">
        <f t="shared" si="18"/>
        <v>0</v>
      </c>
    </row>
    <row r="304" spans="1:14">
      <c r="A304" s="118">
        <v>5036</v>
      </c>
      <c r="B304" s="118"/>
      <c r="C304" s="14"/>
      <c r="D304" s="14"/>
      <c r="E304" s="14"/>
      <c r="H304" s="52">
        <v>5036</v>
      </c>
      <c r="I304" s="52"/>
      <c r="J304" s="52"/>
      <c r="K304" s="52"/>
      <c r="L304" s="53"/>
      <c r="M304" s="52"/>
      <c r="N304">
        <f t="shared" si="18"/>
        <v>0</v>
      </c>
    </row>
    <row r="305" spans="1:14">
      <c r="A305" s="13">
        <v>5037</v>
      </c>
      <c r="B305" s="13"/>
      <c r="C305" s="14"/>
      <c r="D305" s="14"/>
      <c r="E305" s="14"/>
      <c r="H305" s="52">
        <v>5037</v>
      </c>
      <c r="I305" s="52"/>
      <c r="J305" s="52"/>
      <c r="K305" s="52"/>
      <c r="L305" s="53">
        <v>44287</v>
      </c>
      <c r="M305" s="52">
        <v>5812</v>
      </c>
      <c r="N305">
        <f t="shared" si="18"/>
        <v>0</v>
      </c>
    </row>
    <row r="306" spans="1:14">
      <c r="A306" s="85">
        <v>5038</v>
      </c>
      <c r="B306" s="85" t="s">
        <v>934</v>
      </c>
      <c r="C306" s="98">
        <v>32.425</v>
      </c>
      <c r="D306" s="98"/>
      <c r="E306" s="98"/>
      <c r="H306" s="123">
        <v>5038</v>
      </c>
      <c r="I306" s="123" t="s">
        <v>934</v>
      </c>
      <c r="J306" s="123">
        <f>3051+3051</f>
        <v>6102</v>
      </c>
      <c r="K306" s="123">
        <v>500</v>
      </c>
      <c r="L306" s="53"/>
      <c r="M306" s="52"/>
      <c r="N306">
        <f t="shared" si="18"/>
        <v>-6102</v>
      </c>
    </row>
    <row r="307" spans="1:14">
      <c r="A307" s="13">
        <v>5039</v>
      </c>
      <c r="B307" s="64"/>
      <c r="C307" s="14"/>
      <c r="D307" s="14"/>
      <c r="E307" s="14"/>
      <c r="H307" s="52">
        <v>5039</v>
      </c>
      <c r="I307" s="52"/>
      <c r="J307" s="52"/>
      <c r="K307" s="52"/>
      <c r="L307" s="53"/>
      <c r="M307" s="52"/>
      <c r="N307">
        <f t="shared" si="18"/>
        <v>0</v>
      </c>
    </row>
    <row r="308" spans="1:14">
      <c r="A308" s="13">
        <v>5040</v>
      </c>
      <c r="B308" s="13" t="s">
        <v>935</v>
      </c>
      <c r="C308" s="14">
        <v>32.425</v>
      </c>
      <c r="D308" s="14">
        <v>6102</v>
      </c>
      <c r="E308" s="14">
        <v>500</v>
      </c>
      <c r="H308" s="52">
        <v>5040</v>
      </c>
      <c r="I308" s="52" t="s">
        <v>935</v>
      </c>
      <c r="J308" s="52">
        <f>3051+3051</f>
        <v>6102</v>
      </c>
      <c r="K308" s="52">
        <v>500</v>
      </c>
      <c r="L308" s="53">
        <v>44287</v>
      </c>
      <c r="M308" s="52">
        <v>5810</v>
      </c>
      <c r="N308">
        <f t="shared" si="18"/>
        <v>0</v>
      </c>
    </row>
    <row r="309" spans="1:14">
      <c r="A309" s="13">
        <v>5041</v>
      </c>
      <c r="B309" s="13"/>
      <c r="C309" s="14"/>
      <c r="D309" s="14"/>
      <c r="E309" s="14"/>
      <c r="H309" s="52">
        <v>5041</v>
      </c>
      <c r="I309" s="52"/>
      <c r="J309" s="52"/>
      <c r="K309" s="52"/>
      <c r="L309" s="53"/>
      <c r="M309" s="52"/>
      <c r="N309">
        <f t="shared" si="18"/>
        <v>0</v>
      </c>
    </row>
    <row r="310" spans="1:14">
      <c r="A310" s="13">
        <v>5042</v>
      </c>
      <c r="B310" s="13"/>
      <c r="C310" s="14"/>
      <c r="D310" s="14"/>
      <c r="E310" s="14"/>
      <c r="H310" s="52">
        <v>5042</v>
      </c>
      <c r="I310" s="52"/>
      <c r="J310" s="52"/>
      <c r="K310" s="52"/>
      <c r="L310" s="53"/>
      <c r="M310" s="52"/>
      <c r="N310">
        <f t="shared" si="18"/>
        <v>0</v>
      </c>
    </row>
    <row r="311" spans="1:14">
      <c r="A311" s="13">
        <v>5043</v>
      </c>
      <c r="B311" s="13"/>
      <c r="C311" s="14"/>
      <c r="D311" s="14"/>
      <c r="E311" s="14"/>
      <c r="H311" s="52">
        <v>5043</v>
      </c>
      <c r="I311" s="52"/>
      <c r="J311" s="52"/>
      <c r="K311" s="52"/>
      <c r="L311" s="53"/>
      <c r="M311" s="52"/>
      <c r="N311">
        <f t="shared" si="18"/>
        <v>0</v>
      </c>
    </row>
    <row r="312" spans="1:14">
      <c r="A312" s="13" t="s">
        <v>683</v>
      </c>
      <c r="B312" s="13" t="s">
        <v>936</v>
      </c>
      <c r="C312" s="14">
        <v>32.425</v>
      </c>
      <c r="D312" s="14">
        <v>6392</v>
      </c>
      <c r="E312" s="14">
        <v>500</v>
      </c>
      <c r="H312" s="52" t="s">
        <v>683</v>
      </c>
      <c r="I312" s="52" t="s">
        <v>936</v>
      </c>
      <c r="J312" s="52">
        <v>6392</v>
      </c>
      <c r="K312" s="52">
        <v>500</v>
      </c>
      <c r="L312" s="53"/>
      <c r="M312" s="52"/>
      <c r="N312">
        <f t="shared" si="18"/>
        <v>0</v>
      </c>
    </row>
    <row r="313" spans="1:14">
      <c r="A313" s="13">
        <v>5045</v>
      </c>
      <c r="B313" s="13" t="s">
        <v>686</v>
      </c>
      <c r="C313" s="14">
        <v>32.425</v>
      </c>
      <c r="D313" s="14">
        <v>6102</v>
      </c>
      <c r="E313" s="14">
        <v>500</v>
      </c>
      <c r="H313" s="52">
        <v>5045</v>
      </c>
      <c r="I313" s="52" t="s">
        <v>686</v>
      </c>
      <c r="J313" s="52">
        <f>3051+3051</f>
        <v>6102</v>
      </c>
      <c r="K313" s="52">
        <v>500</v>
      </c>
      <c r="L313" s="124">
        <v>44287</v>
      </c>
      <c r="M313" s="123">
        <f>2906+2906</f>
        <v>5812</v>
      </c>
      <c r="N313">
        <f t="shared" si="18"/>
        <v>0</v>
      </c>
    </row>
    <row r="314" spans="1:14">
      <c r="A314" s="13" t="s">
        <v>688</v>
      </c>
      <c r="B314" s="13" t="s">
        <v>689</v>
      </c>
      <c r="C314" s="14">
        <v>50.425</v>
      </c>
      <c r="D314" s="14">
        <f>7000-1500</f>
        <v>5500</v>
      </c>
      <c r="E314" s="14">
        <v>500</v>
      </c>
      <c r="H314" s="52">
        <v>5046</v>
      </c>
      <c r="I314" s="52" t="s">
        <v>689</v>
      </c>
      <c r="J314" s="52">
        <v>7000</v>
      </c>
      <c r="K314" s="52">
        <v>500</v>
      </c>
      <c r="L314" s="53"/>
      <c r="M314" s="52"/>
      <c r="N314">
        <f t="shared" si="18"/>
        <v>-1500</v>
      </c>
    </row>
    <row r="315" spans="1:14">
      <c r="A315" s="13" t="s">
        <v>691</v>
      </c>
      <c r="B315" s="13"/>
      <c r="C315" s="14"/>
      <c r="D315" s="14"/>
      <c r="E315" s="14"/>
      <c r="H315" s="52">
        <v>5047</v>
      </c>
      <c r="I315" s="52" t="s">
        <v>689</v>
      </c>
      <c r="J315" s="52"/>
      <c r="K315" s="52"/>
      <c r="L315" s="53">
        <v>44287</v>
      </c>
      <c r="M315" s="52">
        <f>2906+2906</f>
        <v>5812</v>
      </c>
      <c r="N315">
        <f t="shared" si="18"/>
        <v>0</v>
      </c>
    </row>
    <row r="316" ht="24" spans="1:14">
      <c r="H316" s="65" t="s">
        <v>731</v>
      </c>
      <c r="I316" s="67" t="s">
        <v>873</v>
      </c>
      <c r="J316" s="67"/>
      <c r="L316" s="53"/>
      <c r="M316" s="52"/>
      <c r="N316">
        <f t="shared" si="18"/>
        <v>0</v>
      </c>
    </row>
    <row r="317" spans="1:14">
      <c r="J317" s="67"/>
      <c r="L317" s="53"/>
      <c r="M317" s="52"/>
    </row>
    <row r="318" spans="1:14">
      <c r="J318" s="67"/>
      <c r="L318" s="53"/>
      <c r="M318" s="52"/>
    </row>
    <row r="319" spans="1:14">
      <c r="J319" s="67"/>
      <c r="L319" s="52"/>
      <c r="M319" s="52"/>
    </row>
    <row r="320" spans="1:14">
      <c r="L320" s="53">
        <v>44287</v>
      </c>
      <c r="M320" s="52">
        <f>2906+2906</f>
        <v>5812</v>
      </c>
    </row>
    <row r="321" spans="12:13">
      <c r="L321" s="53"/>
      <c r="M321" s="52"/>
    </row>
    <row r="322" spans="12:13">
      <c r="L322" s="53"/>
      <c r="M322" s="52"/>
    </row>
    <row r="323" spans="12:13">
      <c r="L323" s="52"/>
      <c r="M323" s="52"/>
    </row>
    <row r="324" spans="12:13">
      <c r="L324" s="67"/>
      <c r="M324" s="67"/>
    </row>
    <row r="325" spans="12:13">
      <c r="L325" s="67"/>
      <c r="M325" s="67"/>
    </row>
    <row r="326" spans="12:13">
      <c r="L326" s="67"/>
      <c r="M326" s="67"/>
    </row>
    <row r="327" spans="12:13">
      <c r="L327" s="67"/>
      <c r="M327" s="67"/>
    </row>
    <row r="328" spans="12:13">
      <c r="L328" s="67"/>
      <c r="M328" s="67"/>
    </row>
    <row r="329" spans="12:13">
      <c r="L329" s="67"/>
      <c r="M329" s="67"/>
    </row>
  </sheetData>
  <autoFilter xmlns:etc="http://www.wps.cn/officeDocument/2017/etCustomData" ref="A2:M324" etc:filterBottomFollowUsedRange="0">
    <extLst/>
  </autoFilter>
  <mergeCells count="9">
    <mergeCell ref="A1:A2"/>
    <mergeCell ref="B1:B2"/>
    <mergeCell ref="C1:C2"/>
    <mergeCell ref="D1:D2"/>
    <mergeCell ref="E1:E2"/>
    <mergeCell ref="H1:H2"/>
    <mergeCell ref="I1:I2"/>
    <mergeCell ref="L1:L2"/>
    <mergeCell ref="M1:M2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P25"/>
  <sheetViews>
    <sheetView workbookViewId="0">
      <selection activeCell="AL291" sqref="AL291"/>
    </sheetView>
  </sheetViews>
  <sheetFormatPr defaultColWidth="9" defaultRowHeight="14.25"/>
  <sheetData>
    <row r="9" spans="6:16">
      <c r="I9" s="79"/>
      <c r="J9" s="79"/>
      <c r="K9" s="79" t="s">
        <v>937</v>
      </c>
      <c r="L9" s="79" t="s">
        <v>938</v>
      </c>
      <c r="M9" s="79" t="s">
        <v>939</v>
      </c>
      <c r="N9" s="79" t="s">
        <v>940</v>
      </c>
      <c r="O9" s="79"/>
      <c r="P9" s="79"/>
    </row>
    <row r="10" spans="6:16">
      <c r="I10" s="79"/>
      <c r="J10" s="79" t="s">
        <v>941</v>
      </c>
      <c r="K10" s="79" t="s">
        <v>942</v>
      </c>
      <c r="L10" s="79" t="s">
        <v>943</v>
      </c>
      <c r="M10" s="79" t="s">
        <v>943</v>
      </c>
      <c r="N10" s="79" t="s">
        <v>943</v>
      </c>
      <c r="O10" s="79"/>
      <c r="P10" s="79"/>
    </row>
    <row r="11" spans="6:16">
      <c r="I11" s="79"/>
      <c r="J11" s="79"/>
      <c r="K11" s="79"/>
      <c r="L11" s="79"/>
      <c r="M11" s="79"/>
      <c r="N11" s="79"/>
      <c r="O11" s="79"/>
      <c r="P11" s="79"/>
    </row>
    <row r="12" spans="6:16">
      <c r="F12" s="13">
        <v>1021</v>
      </c>
      <c r="G12" s="13" t="s">
        <v>790</v>
      </c>
      <c r="H12" s="14">
        <v>27.15</v>
      </c>
      <c r="I12" s="14">
        <v>4226</v>
      </c>
      <c r="J12" s="79"/>
      <c r="K12" s="79">
        <f>ROUND(I12*0.4,0)</f>
        <v>1690</v>
      </c>
      <c r="L12" s="79">
        <f>ROUND(I12*0.5,0)</f>
        <v>2113</v>
      </c>
      <c r="M12" s="79">
        <f>ROUND(I12*0.5,0)</f>
        <v>2113</v>
      </c>
      <c r="N12" s="79">
        <f>I12*0.5</f>
        <v>2113</v>
      </c>
      <c r="O12" s="79"/>
      <c r="P12" s="79"/>
    </row>
    <row r="13" spans="6:16">
      <c r="F13" s="14">
        <v>1044</v>
      </c>
      <c r="G13" s="13" t="s">
        <v>147</v>
      </c>
      <c r="H13" s="14">
        <v>27.15</v>
      </c>
      <c r="I13" s="14">
        <v>4202</v>
      </c>
      <c r="J13" s="79"/>
      <c r="K13" s="79">
        <f>ROUND(I13*0.4,0)</f>
        <v>1681</v>
      </c>
      <c r="L13" s="79">
        <f>ROUND(I13*0.5,0)</f>
        <v>2101</v>
      </c>
      <c r="M13" s="79">
        <f>ROUND(I13*0.5,0)</f>
        <v>2101</v>
      </c>
      <c r="N13" s="79">
        <f>I13*0.5</f>
        <v>2101</v>
      </c>
      <c r="O13" s="79"/>
      <c r="P13" s="79"/>
    </row>
    <row r="14" spans="6:16">
      <c r="F14" s="13">
        <v>1065</v>
      </c>
      <c r="G14" s="13" t="s">
        <v>193</v>
      </c>
      <c r="H14" s="14">
        <v>6.21</v>
      </c>
      <c r="I14" s="14">
        <v>2240</v>
      </c>
      <c r="J14" s="79"/>
      <c r="K14" s="79">
        <f>ROUND(I14*0.4,0)</f>
        <v>896</v>
      </c>
      <c r="L14" s="79">
        <f>ROUND(I14*0.5,0)</f>
        <v>1120</v>
      </c>
      <c r="M14" s="79">
        <f>ROUND(I14*0.5,0)</f>
        <v>1120</v>
      </c>
      <c r="N14" s="79">
        <f>I14*0.5</f>
        <v>1120</v>
      </c>
      <c r="O14" s="79"/>
      <c r="P14" s="79"/>
    </row>
    <row r="15" spans="6:16">
      <c r="I15" s="79"/>
      <c r="J15" s="79"/>
      <c r="K15" s="79"/>
      <c r="L15" s="79"/>
      <c r="M15" s="79"/>
      <c r="N15" s="79"/>
      <c r="O15" s="79"/>
      <c r="P15" s="79"/>
    </row>
    <row r="16" spans="6:16">
      <c r="I16" s="79"/>
      <c r="J16" s="79"/>
      <c r="K16" s="79" t="s">
        <v>937</v>
      </c>
      <c r="L16" s="79" t="s">
        <v>938</v>
      </c>
      <c r="M16" s="79" t="s">
        <v>939</v>
      </c>
      <c r="N16" s="79" t="s">
        <v>940</v>
      </c>
      <c r="O16" s="79"/>
      <c r="P16" s="79"/>
    </row>
    <row r="17" spans="9:16">
      <c r="I17" s="79"/>
      <c r="J17" s="79" t="s">
        <v>944</v>
      </c>
      <c r="K17" s="79" t="s">
        <v>945</v>
      </c>
      <c r="L17" s="79" t="s">
        <v>942</v>
      </c>
      <c r="M17" s="79" t="s">
        <v>946</v>
      </c>
      <c r="N17" s="79" t="s">
        <v>945</v>
      </c>
      <c r="O17" s="79"/>
      <c r="P17" s="79"/>
    </row>
    <row r="18" spans="9:16">
      <c r="I18" s="79"/>
      <c r="J18" s="79"/>
      <c r="K18" s="79">
        <f t="shared" ref="K18:N18" si="0">ROUND(4226*0.2,0)</f>
        <v>845</v>
      </c>
      <c r="L18" s="79">
        <f>ROUND(4226*0.4,0)</f>
        <v>1690</v>
      </c>
      <c r="M18" s="79">
        <f>ROUND(4226*0.3,0)</f>
        <v>1268</v>
      </c>
      <c r="N18" s="79">
        <f t="shared" si="0"/>
        <v>845</v>
      </c>
      <c r="O18" s="79"/>
      <c r="P18" s="79"/>
    </row>
    <row r="19" spans="9:16">
      <c r="I19" s="79"/>
      <c r="J19" s="79"/>
      <c r="K19" s="79">
        <f t="shared" ref="K19:N19" si="1">ROUND(4202*0.2,0)</f>
        <v>840</v>
      </c>
      <c r="L19" s="79">
        <f>ROUND(4202*0.4,0)</f>
        <v>1681</v>
      </c>
      <c r="M19" s="79">
        <f>ROUND(4202*0.3,0)</f>
        <v>1261</v>
      </c>
      <c r="N19" s="79">
        <f t="shared" si="1"/>
        <v>840</v>
      </c>
      <c r="O19" s="79"/>
      <c r="P19" s="79"/>
    </row>
    <row r="20" spans="9:16">
      <c r="I20" s="79"/>
      <c r="J20" s="79"/>
      <c r="K20" s="79">
        <f t="shared" ref="K20:N20" si="2">ROUND(2240*0.2,0)</f>
        <v>448</v>
      </c>
      <c r="L20" s="79">
        <f>ROUND(2240*0.4,0)</f>
        <v>896</v>
      </c>
      <c r="M20" s="79">
        <f>ROUND(2240*0.3,0)</f>
        <v>672</v>
      </c>
      <c r="N20" s="79">
        <f t="shared" si="2"/>
        <v>448</v>
      </c>
      <c r="O20" s="79"/>
      <c r="P20" s="79"/>
    </row>
    <row r="21" spans="9:16">
      <c r="I21" s="79"/>
      <c r="J21" s="79"/>
      <c r="K21" s="79"/>
      <c r="L21" s="79"/>
      <c r="M21" s="79"/>
      <c r="N21" s="79"/>
      <c r="O21" s="79"/>
      <c r="P21" s="79"/>
    </row>
    <row r="22" spans="9:16">
      <c r="I22" s="79"/>
      <c r="J22" s="79" t="s">
        <v>947</v>
      </c>
      <c r="K22" s="79">
        <f t="shared" ref="K22:L24" si="3">K12-K18</f>
        <v>845</v>
      </c>
      <c r="L22" s="79">
        <f t="shared" si="3"/>
        <v>423</v>
      </c>
      <c r="M22" s="79">
        <f t="shared" ref="M22:M24" si="4">M12-M18</f>
        <v>845</v>
      </c>
      <c r="N22" s="79">
        <f>N12-N18</f>
        <v>1268</v>
      </c>
      <c r="O22" s="79"/>
      <c r="P22" s="79">
        <f>SUM(K22:N22)</f>
        <v>3381</v>
      </c>
    </row>
    <row r="23" spans="9:16">
      <c r="I23" s="79"/>
      <c r="J23" s="79"/>
      <c r="K23" s="79">
        <f t="shared" si="3"/>
        <v>841</v>
      </c>
      <c r="L23" s="79">
        <f t="shared" si="3"/>
        <v>420</v>
      </c>
      <c r="M23" s="79">
        <f t="shared" si="4"/>
        <v>840</v>
      </c>
      <c r="N23" s="79">
        <f t="shared" ref="N23:N24" si="5">N13-N19</f>
        <v>1261</v>
      </c>
      <c r="O23" s="79"/>
      <c r="P23" s="79">
        <f>SUM(K23:N23)</f>
        <v>3362</v>
      </c>
    </row>
    <row r="24" spans="9:16">
      <c r="I24" s="79"/>
      <c r="J24" s="79"/>
      <c r="K24" s="79">
        <f t="shared" si="3"/>
        <v>448</v>
      </c>
      <c r="L24" s="79">
        <f t="shared" si="3"/>
        <v>224</v>
      </c>
      <c r="M24" s="79">
        <f t="shared" si="4"/>
        <v>448</v>
      </c>
      <c r="N24" s="79">
        <f t="shared" si="5"/>
        <v>672</v>
      </c>
      <c r="O24" s="79"/>
      <c r="P24" s="79">
        <f>SUM(K24:N24)</f>
        <v>1792</v>
      </c>
    </row>
    <row r="25" spans="9:16">
      <c r="I25" s="79"/>
      <c r="J25" s="79"/>
      <c r="K25" s="79"/>
      <c r="L25" s="79"/>
      <c r="M25" s="79"/>
      <c r="N25" s="79"/>
      <c r="O25" s="79"/>
      <c r="P25" s="79"/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L291" sqref="AL291"/>
    </sheetView>
  </sheetViews>
  <sheetFormatPr defaultColWidth="9" defaultRowHeight="14.2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02"/>
  <sheetViews>
    <sheetView zoomScale="72" zoomScaleNormal="72" topLeftCell="A64" workbookViewId="0">
      <selection activeCell="AL291" sqref="AL291"/>
    </sheetView>
  </sheetViews>
  <sheetFormatPr defaultColWidth="9" defaultRowHeight="14.25"/>
  <cols>
    <col min="4" max="4" width="26.5833333333333" customWidth="1"/>
    <col min="7" max="7" width="16.8333333333333" style="79" customWidth="1"/>
    <col min="19" max="19" width="14" customWidth="1"/>
  </cols>
  <sheetData>
    <row r="2" ht="33" customHeight="1" spans="3:19">
      <c r="C2" s="80" t="s">
        <v>948</v>
      </c>
      <c r="D2" s="80"/>
      <c r="E2" s="80"/>
    </row>
    <row r="3" ht="20.15" customHeight="1" spans="3:19">
      <c r="C3" s="14" t="s">
        <v>67</v>
      </c>
      <c r="D3" s="13">
        <v>1034</v>
      </c>
      <c r="E3" s="13"/>
    </row>
    <row r="4" ht="20.15" customHeight="1" spans="3:19">
      <c r="C4" s="14" t="s">
        <v>67</v>
      </c>
      <c r="D4" s="13">
        <v>1061</v>
      </c>
      <c r="E4" s="13"/>
    </row>
    <row r="5" ht="20.15" customHeight="1" spans="3:19">
      <c r="C5" s="14" t="s">
        <v>201</v>
      </c>
      <c r="D5" s="30" t="s">
        <v>813</v>
      </c>
      <c r="E5" s="13"/>
    </row>
    <row r="6" ht="20.15" customHeight="1" spans="3:19">
      <c r="C6" s="14" t="s">
        <v>201</v>
      </c>
      <c r="D6" s="30" t="s">
        <v>814</v>
      </c>
      <c r="E6" s="13"/>
    </row>
    <row r="7" ht="20.15" customHeight="1" spans="3:19">
      <c r="C7" s="14" t="s">
        <v>214</v>
      </c>
      <c r="D7" s="13">
        <v>2001</v>
      </c>
      <c r="E7" s="13" t="s">
        <v>949</v>
      </c>
      <c r="G7" s="79" t="s">
        <v>950</v>
      </c>
      <c r="I7">
        <v>2019</v>
      </c>
    </row>
    <row r="8" ht="20.15" customHeight="1" spans="3:19">
      <c r="C8" s="14" t="s">
        <v>214</v>
      </c>
      <c r="D8" s="13">
        <v>2044</v>
      </c>
      <c r="E8" s="13"/>
      <c r="G8" s="79">
        <v>1028</v>
      </c>
      <c r="I8">
        <v>2040</v>
      </c>
    </row>
    <row r="9" ht="20.15" customHeight="1" spans="3:19">
      <c r="C9" s="14" t="s">
        <v>214</v>
      </c>
      <c r="D9" s="13">
        <v>2045</v>
      </c>
      <c r="E9" s="13"/>
      <c r="G9" s="79">
        <v>1033</v>
      </c>
      <c r="I9">
        <v>2052</v>
      </c>
    </row>
    <row r="10" ht="20.15" customHeight="1" spans="3:19">
      <c r="C10" s="14" t="s">
        <v>214</v>
      </c>
      <c r="D10" s="13">
        <v>2061</v>
      </c>
      <c r="E10" s="13"/>
      <c r="G10" s="79">
        <v>1037</v>
      </c>
      <c r="I10">
        <v>4010</v>
      </c>
    </row>
    <row r="11" ht="20.15" customHeight="1" spans="3:19">
      <c r="C11" s="14" t="s">
        <v>214</v>
      </c>
      <c r="D11" s="13">
        <v>2062</v>
      </c>
      <c r="E11" s="13"/>
      <c r="G11" s="79">
        <v>1041</v>
      </c>
      <c r="I11">
        <v>4019</v>
      </c>
      <c r="M11" t="s">
        <v>951</v>
      </c>
    </row>
    <row r="12" ht="20.15" customHeight="1" spans="3:19">
      <c r="C12" s="14" t="s">
        <v>214</v>
      </c>
      <c r="D12" s="13">
        <v>2064</v>
      </c>
      <c r="E12" s="13"/>
      <c r="G12" s="79">
        <v>1058</v>
      </c>
      <c r="M12" s="13">
        <v>2019</v>
      </c>
      <c r="N12" s="13" t="s">
        <v>830</v>
      </c>
      <c r="O12" s="14">
        <v>19.54</v>
      </c>
      <c r="P12" s="14">
        <v>4000</v>
      </c>
      <c r="R12" s="13">
        <v>2019</v>
      </c>
      <c r="S12" s="13" t="s">
        <v>830</v>
      </c>
    </row>
    <row r="13" ht="20.15" customHeight="1" spans="3:19">
      <c r="C13" s="14" t="s">
        <v>214</v>
      </c>
      <c r="D13" s="13">
        <v>2066</v>
      </c>
      <c r="E13" s="13"/>
      <c r="G13" s="79">
        <v>2078</v>
      </c>
      <c r="M13" s="13">
        <v>2040</v>
      </c>
      <c r="N13" s="13" t="s">
        <v>952</v>
      </c>
      <c r="O13" s="14">
        <v>16.54</v>
      </c>
      <c r="P13" s="14">
        <v>4000</v>
      </c>
      <c r="R13" s="13">
        <v>2040</v>
      </c>
      <c r="S13" s="13" t="s">
        <v>952</v>
      </c>
    </row>
    <row r="14" ht="20.15" customHeight="1" spans="3:19">
      <c r="C14" s="14" t="s">
        <v>214</v>
      </c>
      <c r="D14" s="13">
        <v>2067</v>
      </c>
      <c r="E14" s="13"/>
      <c r="G14" s="79">
        <v>2081</v>
      </c>
      <c r="M14" s="13">
        <v>2052</v>
      </c>
      <c r="N14" s="13" t="s">
        <v>953</v>
      </c>
      <c r="O14" s="14">
        <v>16.54</v>
      </c>
      <c r="P14" s="14">
        <v>4000</v>
      </c>
      <c r="R14" s="13">
        <v>2052</v>
      </c>
      <c r="S14" s="13" t="s">
        <v>953</v>
      </c>
    </row>
    <row r="15" ht="20.15" customHeight="1" spans="3:19">
      <c r="C15" s="14" t="s">
        <v>214</v>
      </c>
      <c r="D15" s="13">
        <v>2070</v>
      </c>
      <c r="E15" s="13"/>
      <c r="G15" s="79">
        <v>2088</v>
      </c>
      <c r="M15" s="81">
        <v>2063</v>
      </c>
      <c r="N15" s="81" t="s">
        <v>954</v>
      </c>
      <c r="O15" s="82">
        <v>16.54</v>
      </c>
      <c r="P15" s="82">
        <v>4000</v>
      </c>
      <c r="R15" s="13">
        <v>2063</v>
      </c>
      <c r="S15" s="13" t="s">
        <v>955</v>
      </c>
    </row>
    <row r="16" ht="20.15" customHeight="1" spans="3:19">
      <c r="C16" s="14" t="s">
        <v>214</v>
      </c>
      <c r="D16" s="13">
        <v>2084</v>
      </c>
      <c r="E16" s="13"/>
      <c r="G16" s="79">
        <v>3011</v>
      </c>
      <c r="M16" s="81">
        <v>3009</v>
      </c>
      <c r="N16" s="81" t="s">
        <v>956</v>
      </c>
      <c r="O16" s="83">
        <v>32.425</v>
      </c>
      <c r="P16" s="82">
        <v>5080</v>
      </c>
      <c r="R16" s="13">
        <v>3009</v>
      </c>
      <c r="S16" s="13" t="s">
        <v>956</v>
      </c>
    </row>
    <row r="17" ht="20.15" customHeight="1" spans="3:19">
      <c r="C17" s="14" t="s">
        <v>214</v>
      </c>
      <c r="D17" s="13">
        <v>2086</v>
      </c>
      <c r="E17" s="13"/>
      <c r="G17" s="79">
        <v>4040</v>
      </c>
      <c r="H17" t="s">
        <v>957</v>
      </c>
      <c r="M17" s="81">
        <v>4007</v>
      </c>
      <c r="N17" s="81" t="s">
        <v>958</v>
      </c>
      <c r="O17" s="83">
        <v>32.425</v>
      </c>
      <c r="P17" s="82">
        <v>6378</v>
      </c>
      <c r="R17" s="13">
        <v>4007</v>
      </c>
      <c r="S17" s="13" t="s">
        <v>958</v>
      </c>
    </row>
    <row r="18" ht="20.15" customHeight="1" spans="3:19">
      <c r="C18" s="14" t="s">
        <v>214</v>
      </c>
      <c r="D18" s="13">
        <v>2087</v>
      </c>
      <c r="E18" s="13"/>
      <c r="M18" s="13">
        <v>4010</v>
      </c>
      <c r="N18" s="13" t="s">
        <v>959</v>
      </c>
      <c r="O18" s="83">
        <v>32.425</v>
      </c>
      <c r="P18" s="14">
        <v>5650</v>
      </c>
      <c r="R18" s="13">
        <v>4010</v>
      </c>
      <c r="S18" s="13" t="s">
        <v>959</v>
      </c>
    </row>
    <row r="19" ht="20.15" customHeight="1" spans="3:19">
      <c r="C19" s="14" t="s">
        <v>385</v>
      </c>
      <c r="D19" s="13" t="s">
        <v>390</v>
      </c>
      <c r="E19" s="13"/>
      <c r="M19" s="81">
        <v>4011</v>
      </c>
      <c r="N19" s="81" t="s">
        <v>960</v>
      </c>
      <c r="O19" s="83">
        <v>32.425</v>
      </c>
      <c r="P19" s="82">
        <v>6560</v>
      </c>
      <c r="R19" s="13">
        <v>4011</v>
      </c>
      <c r="S19" s="13" t="s">
        <v>960</v>
      </c>
    </row>
    <row r="20" ht="20.15" customHeight="1" spans="3:19">
      <c r="C20" s="14" t="s">
        <v>385</v>
      </c>
      <c r="D20" s="30" t="s">
        <v>872</v>
      </c>
      <c r="E20" s="13"/>
      <c r="M20" s="81">
        <v>4015</v>
      </c>
      <c r="N20" s="81" t="s">
        <v>961</v>
      </c>
      <c r="O20" s="83">
        <v>32.425</v>
      </c>
      <c r="P20" s="82">
        <v>5792</v>
      </c>
      <c r="R20" s="13">
        <v>4015</v>
      </c>
      <c r="S20" s="13" t="s">
        <v>961</v>
      </c>
    </row>
    <row r="21" ht="20.15" customHeight="1" spans="3:19">
      <c r="C21" s="14" t="s">
        <v>385</v>
      </c>
      <c r="D21" s="30" t="s">
        <v>394</v>
      </c>
      <c r="E21" s="13"/>
      <c r="M21" s="81">
        <v>4018</v>
      </c>
      <c r="N21" s="81" t="s">
        <v>897</v>
      </c>
      <c r="O21" s="83">
        <v>32.425</v>
      </c>
      <c r="P21" s="82">
        <v>6560</v>
      </c>
      <c r="R21" s="13">
        <v>4018</v>
      </c>
      <c r="S21" s="13" t="s">
        <v>897</v>
      </c>
    </row>
    <row r="22" ht="20.15" customHeight="1" spans="3:19">
      <c r="C22" s="14" t="s">
        <v>401</v>
      </c>
      <c r="D22" s="13">
        <v>3023</v>
      </c>
      <c r="E22" s="13"/>
      <c r="M22" s="13">
        <v>4019</v>
      </c>
      <c r="N22" s="13" t="s">
        <v>962</v>
      </c>
      <c r="O22" s="83">
        <v>32.425</v>
      </c>
      <c r="P22" s="14">
        <v>5650</v>
      </c>
      <c r="R22" s="13">
        <v>4019</v>
      </c>
      <c r="S22" s="13" t="s">
        <v>962</v>
      </c>
    </row>
    <row r="23" ht="20.15" customHeight="1" spans="3:19">
      <c r="C23" s="14" t="s">
        <v>401</v>
      </c>
      <c r="D23" s="13">
        <v>3030</v>
      </c>
      <c r="E23" s="13"/>
      <c r="M23" s="81">
        <v>4030</v>
      </c>
      <c r="N23" s="81" t="s">
        <v>963</v>
      </c>
      <c r="O23" s="83">
        <v>32.425</v>
      </c>
      <c r="P23" s="82">
        <v>6558</v>
      </c>
      <c r="R23" s="13">
        <v>4030</v>
      </c>
      <c r="S23" s="13" t="s">
        <v>963</v>
      </c>
    </row>
    <row r="24" ht="20.15" customHeight="1" spans="3:19">
      <c r="C24" s="14" t="s">
        <v>401</v>
      </c>
      <c r="D24" s="13">
        <v>3040</v>
      </c>
      <c r="E24" s="13"/>
      <c r="M24" s="81">
        <v>5020</v>
      </c>
      <c r="N24" s="81" t="s">
        <v>964</v>
      </c>
      <c r="O24" s="82">
        <v>32.425</v>
      </c>
      <c r="P24" s="82">
        <v>6102</v>
      </c>
      <c r="R24" s="13">
        <v>5020</v>
      </c>
      <c r="S24" s="13" t="s">
        <v>964</v>
      </c>
    </row>
    <row r="25" ht="20.15" customHeight="1" spans="3:19">
      <c r="C25" s="14" t="s">
        <v>507</v>
      </c>
      <c r="D25" s="13" t="s">
        <v>508</v>
      </c>
      <c r="E25" s="13"/>
      <c r="M25" s="81">
        <v>5023</v>
      </c>
      <c r="N25" s="81" t="s">
        <v>965</v>
      </c>
      <c r="O25" s="82">
        <v>32.425</v>
      </c>
      <c r="P25" s="82">
        <v>6102</v>
      </c>
      <c r="R25" s="13">
        <v>5023</v>
      </c>
      <c r="S25" s="13" t="s">
        <v>965</v>
      </c>
    </row>
    <row r="26" ht="20.15" customHeight="1" spans="3:19">
      <c r="C26" s="14" t="s">
        <v>512</v>
      </c>
      <c r="D26" s="13">
        <v>4004</v>
      </c>
      <c r="E26" s="13"/>
    </row>
    <row r="27" ht="20.15" customHeight="1" spans="3:19">
      <c r="C27" s="14" t="s">
        <v>512</v>
      </c>
      <c r="D27" s="13">
        <v>4006</v>
      </c>
      <c r="E27" s="13"/>
    </row>
    <row r="28" ht="20.15" customHeight="1" spans="3:19">
      <c r="C28" s="14" t="s">
        <v>512</v>
      </c>
      <c r="D28" s="13">
        <v>4016</v>
      </c>
      <c r="E28" s="13"/>
    </row>
    <row r="29" ht="20.15" customHeight="1" spans="3:19">
      <c r="C29" s="14" t="s">
        <v>512</v>
      </c>
      <c r="D29" s="13">
        <v>4023</v>
      </c>
      <c r="E29" s="13"/>
    </row>
    <row r="30" ht="20.15" customHeight="1" spans="3:19">
      <c r="C30" s="14" t="s">
        <v>512</v>
      </c>
      <c r="D30" s="13">
        <v>4026</v>
      </c>
      <c r="E30" s="13"/>
    </row>
    <row r="31" ht="20.15" customHeight="1" spans="3:19">
      <c r="C31" s="14" t="s">
        <v>512</v>
      </c>
      <c r="D31" s="13">
        <v>4033</v>
      </c>
      <c r="E31" s="13"/>
    </row>
    <row r="32" ht="20.15" customHeight="1" spans="3:19">
      <c r="C32" s="14" t="s">
        <v>512</v>
      </c>
      <c r="D32" s="13">
        <v>4044</v>
      </c>
      <c r="E32" s="13"/>
    </row>
    <row r="33" ht="20.15" customHeight="1" spans="3:5">
      <c r="C33" s="14" t="s">
        <v>601</v>
      </c>
      <c r="D33" s="30" t="s">
        <v>601</v>
      </c>
      <c r="E33" s="13"/>
    </row>
    <row r="34" ht="20.15" customHeight="1" spans="3:5">
      <c r="C34" s="14" t="s">
        <v>604</v>
      </c>
      <c r="D34" s="13">
        <v>5011</v>
      </c>
      <c r="E34" s="13"/>
    </row>
    <row r="35" ht="20.15" customHeight="1" spans="3:5">
      <c r="C35" s="14" t="s">
        <v>604</v>
      </c>
      <c r="D35" s="13" t="s">
        <v>630</v>
      </c>
      <c r="E35" s="13"/>
    </row>
    <row r="36" ht="20.15" customHeight="1" spans="3:5">
      <c r="C36" s="14" t="s">
        <v>604</v>
      </c>
      <c r="D36" s="13">
        <v>5018</v>
      </c>
      <c r="E36" s="13"/>
    </row>
    <row r="37" ht="20.15" customHeight="1" spans="3:5">
      <c r="C37" s="14" t="s">
        <v>604</v>
      </c>
      <c r="D37" s="13">
        <v>5019</v>
      </c>
      <c r="E37" s="13"/>
    </row>
    <row r="38" ht="20.15" customHeight="1" spans="3:5">
      <c r="C38" s="14" t="s">
        <v>604</v>
      </c>
      <c r="D38" s="13">
        <v>5021</v>
      </c>
      <c r="E38" s="13"/>
    </row>
    <row r="39" ht="20.15" customHeight="1" spans="3:5">
      <c r="C39" s="14" t="s">
        <v>604</v>
      </c>
      <c r="D39" s="13">
        <v>5026</v>
      </c>
      <c r="E39" s="13"/>
    </row>
    <row r="40" ht="20.15" customHeight="1" spans="3:5">
      <c r="C40" s="14" t="s">
        <v>604</v>
      </c>
      <c r="D40" s="62">
        <v>5027</v>
      </c>
      <c r="E40" s="13"/>
    </row>
    <row r="41" ht="20.15" customHeight="1" spans="3:5">
      <c r="C41" s="14" t="s">
        <v>604</v>
      </c>
      <c r="D41" s="13">
        <v>5037</v>
      </c>
      <c r="E41" s="13"/>
    </row>
    <row r="42" ht="20.15" customHeight="1" spans="3:5">
      <c r="C42" s="14" t="s">
        <v>604</v>
      </c>
      <c r="D42" s="13">
        <v>5039</v>
      </c>
      <c r="E42" s="64"/>
    </row>
    <row r="43" ht="20.15" customHeight="1" spans="3:5">
      <c r="C43" s="14" t="s">
        <v>604</v>
      </c>
      <c r="D43" s="13">
        <v>5041</v>
      </c>
      <c r="E43" s="13"/>
    </row>
    <row r="44" ht="20.15" customHeight="1" spans="3:5">
      <c r="C44" s="14"/>
      <c r="D44" s="13"/>
      <c r="E44" s="13"/>
    </row>
    <row r="54" spans="3:4">
      <c r="C54" s="84" t="s">
        <v>732</v>
      </c>
      <c r="D54" s="84" t="s">
        <v>28</v>
      </c>
    </row>
    <row r="55" spans="3:4">
      <c r="C55" s="84"/>
      <c r="D55" s="84"/>
    </row>
    <row r="56" spans="3:4">
      <c r="C56" s="13">
        <v>1034</v>
      </c>
      <c r="D56" s="13"/>
    </row>
    <row r="57" spans="3:4">
      <c r="C57" s="13">
        <v>1061</v>
      </c>
      <c r="D57" s="13"/>
    </row>
    <row r="58" ht="40.5" spans="3:4">
      <c r="C58" s="30" t="s">
        <v>813</v>
      </c>
      <c r="D58" s="13"/>
    </row>
    <row r="59" ht="40.5" spans="3:4">
      <c r="C59" s="30" t="s">
        <v>814</v>
      </c>
      <c r="D59" s="13"/>
    </row>
    <row r="60" spans="3:4">
      <c r="C60" s="13">
        <v>2001</v>
      </c>
      <c r="D60" s="13"/>
    </row>
    <row r="61" spans="3:4">
      <c r="C61" s="85">
        <v>2019</v>
      </c>
      <c r="D61" s="85"/>
    </row>
    <row r="62" spans="3:4">
      <c r="C62" s="85">
        <v>2040</v>
      </c>
      <c r="D62" s="85"/>
    </row>
    <row r="63" spans="3:4">
      <c r="C63" s="13">
        <v>2044</v>
      </c>
      <c r="D63" s="13"/>
    </row>
    <row r="64" spans="3:4">
      <c r="C64" s="13">
        <v>2045</v>
      </c>
      <c r="D64" s="13"/>
    </row>
    <row r="65" spans="3:7">
      <c r="C65" s="85">
        <v>2052</v>
      </c>
      <c r="D65" s="85"/>
    </row>
    <row r="66" spans="3:7">
      <c r="C66" s="13">
        <v>2061</v>
      </c>
      <c r="D66" s="13"/>
    </row>
    <row r="67" spans="3:7">
      <c r="C67" s="13">
        <v>2062</v>
      </c>
      <c r="D67" s="13"/>
    </row>
    <row r="68" spans="3:7">
      <c r="C68" s="13">
        <v>2064</v>
      </c>
      <c r="D68" s="13"/>
    </row>
    <row r="69" spans="3:7">
      <c r="C69" s="13">
        <v>2066</v>
      </c>
      <c r="D69" s="13"/>
    </row>
    <row r="70" spans="3:7">
      <c r="C70" s="13">
        <v>2067</v>
      </c>
      <c r="D70" s="13"/>
    </row>
    <row r="71" spans="3:7">
      <c r="C71" s="13">
        <v>2070</v>
      </c>
      <c r="D71" s="13"/>
    </row>
    <row r="72" spans="3:7">
      <c r="C72" s="13">
        <v>2084</v>
      </c>
      <c r="D72" s="13"/>
    </row>
    <row r="73" spans="3:7">
      <c r="C73" s="13">
        <v>2086</v>
      </c>
      <c r="D73" s="13"/>
    </row>
    <row r="74" spans="3:7">
      <c r="C74" s="13">
        <v>2087</v>
      </c>
      <c r="D74" s="13"/>
    </row>
    <row r="75" spans="3:7">
      <c r="C75" s="13" t="s">
        <v>390</v>
      </c>
      <c r="D75" s="13"/>
    </row>
    <row r="76" ht="27" spans="3:7">
      <c r="C76" s="30" t="s">
        <v>872</v>
      </c>
      <c r="D76" s="13"/>
    </row>
    <row r="77" ht="27" spans="3:7">
      <c r="C77" s="30" t="s">
        <v>394</v>
      </c>
      <c r="D77" s="13"/>
    </row>
    <row r="78" spans="3:7">
      <c r="C78" s="13">
        <v>3023</v>
      </c>
      <c r="D78" s="13"/>
      <c r="G78" s="79" t="s">
        <v>966</v>
      </c>
    </row>
    <row r="79" spans="3:7">
      <c r="C79" s="13">
        <v>3030</v>
      </c>
      <c r="D79" s="13"/>
    </row>
    <row r="80" spans="3:7">
      <c r="C80" s="13">
        <v>3040</v>
      </c>
      <c r="D80" s="13"/>
    </row>
    <row r="81" spans="3:7">
      <c r="C81" s="13" t="s">
        <v>508</v>
      </c>
      <c r="D81" s="13"/>
    </row>
    <row r="82" spans="3:7">
      <c r="C82" s="13">
        <v>4004</v>
      </c>
      <c r="D82" s="13"/>
    </row>
    <row r="83" spans="3:7">
      <c r="C83" s="13">
        <v>4006</v>
      </c>
      <c r="D83" s="13"/>
    </row>
    <row r="84" spans="3:7">
      <c r="C84" s="85">
        <v>4010</v>
      </c>
      <c r="D84" s="85"/>
    </row>
    <row r="85" spans="3:7">
      <c r="C85" s="13">
        <v>4016</v>
      </c>
      <c r="D85" s="13"/>
    </row>
    <row r="86" spans="3:7">
      <c r="C86" s="85">
        <v>4019</v>
      </c>
      <c r="D86" s="85"/>
    </row>
    <row r="87" spans="3:7">
      <c r="C87" s="13">
        <v>4023</v>
      </c>
      <c r="D87" s="13"/>
    </row>
    <row r="88" spans="3:7">
      <c r="C88" s="13">
        <v>4026</v>
      </c>
      <c r="D88" s="13"/>
      <c r="G88" s="79">
        <v>2063</v>
      </c>
    </row>
    <row r="89" spans="3:7">
      <c r="C89" s="13">
        <v>4033</v>
      </c>
      <c r="D89" s="13"/>
      <c r="G89" s="79">
        <v>3009</v>
      </c>
    </row>
    <row r="90" spans="3:7">
      <c r="C90" s="13">
        <v>4044</v>
      </c>
      <c r="D90" s="13"/>
      <c r="G90" s="79">
        <v>4007</v>
      </c>
    </row>
    <row r="91" spans="3:7">
      <c r="C91" s="30" t="s">
        <v>601</v>
      </c>
      <c r="D91" s="13"/>
      <c r="G91" s="79">
        <v>4011</v>
      </c>
    </row>
    <row r="92" spans="3:7">
      <c r="C92" s="13">
        <v>5011</v>
      </c>
      <c r="D92" s="13"/>
      <c r="G92" s="79">
        <v>4015</v>
      </c>
    </row>
    <row r="93" spans="3:7">
      <c r="C93" s="13" t="s">
        <v>630</v>
      </c>
      <c r="D93" s="13"/>
      <c r="G93" s="79">
        <v>4018</v>
      </c>
    </row>
    <row r="94" spans="3:7">
      <c r="C94" s="13">
        <v>5018</v>
      </c>
      <c r="D94" s="13"/>
      <c r="G94" s="79">
        <v>4030</v>
      </c>
    </row>
    <row r="95" spans="3:7">
      <c r="C95" s="13">
        <v>5019</v>
      </c>
      <c r="D95" s="13"/>
      <c r="G95" s="79">
        <v>5020</v>
      </c>
    </row>
    <row r="96" spans="3:7">
      <c r="C96" s="13">
        <v>5021</v>
      </c>
      <c r="D96" s="13"/>
      <c r="G96" s="79">
        <v>5023</v>
      </c>
    </row>
    <row r="97" spans="3:7">
      <c r="C97" s="13">
        <v>5026</v>
      </c>
      <c r="D97" s="13"/>
    </row>
    <row r="98" spans="3:7">
      <c r="C98" s="62">
        <v>5027</v>
      </c>
      <c r="D98" s="13"/>
    </row>
    <row r="99" spans="3:7">
      <c r="C99" s="13">
        <v>5037</v>
      </c>
      <c r="D99" s="13"/>
    </row>
    <row r="100" spans="3:7">
      <c r="C100" s="13">
        <v>5039</v>
      </c>
      <c r="D100" s="64"/>
    </row>
    <row r="101" spans="3:7">
      <c r="C101" s="13">
        <v>5041</v>
      </c>
      <c r="D101" s="13"/>
    </row>
    <row r="102" spans="3:7">
      <c r="C102" s="13">
        <v>4040</v>
      </c>
      <c r="D102" s="13"/>
      <c r="G102" s="79" t="s">
        <v>967</v>
      </c>
    </row>
  </sheetData>
  <mergeCells count="3">
    <mergeCell ref="C2:E2"/>
    <mergeCell ref="C54:C55"/>
    <mergeCell ref="D54:D55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34"/>
  <sheetViews>
    <sheetView topLeftCell="A277" workbookViewId="0">
      <selection activeCell="AL291" sqref="AL291"/>
    </sheetView>
  </sheetViews>
  <sheetFormatPr defaultColWidth="8.66666666666667" defaultRowHeight="14.25"/>
  <cols>
    <col min="1" max="1" width="10.25" style="1" customWidth="1"/>
    <col min="2" max="2" width="11.25" style="2" customWidth="1"/>
    <col min="3" max="3" width="11.5833333333333" style="2" customWidth="1"/>
    <col min="4" max="4" width="9.25" style="3" hidden="1" customWidth="1"/>
    <col min="5" max="5" width="11.0833333333333" style="3" hidden="1" customWidth="1"/>
    <col min="6" max="6" width="7.5" style="3" hidden="1" customWidth="1"/>
    <col min="7" max="7" width="8.66666666666667" style="4" hidden="1" customWidth="1"/>
    <col min="8" max="8" width="10.75" style="5" hidden="1" customWidth="1"/>
    <col min="9" max="9" width="14" style="6" customWidth="1"/>
    <col min="10" max="10" width="8.66666666666667" style="7"/>
    <col min="11" max="16" width="5.33333333333333" style="5" customWidth="1"/>
    <col min="17" max="17" width="11.5" style="8" customWidth="1"/>
    <col min="18" max="18" width="14" style="5" customWidth="1"/>
    <col min="19" max="19" width="8.08333333333333" style="5" customWidth="1"/>
    <col min="20" max="20" width="14" style="5" customWidth="1"/>
    <col min="21" max="21" width="8.08333333333333" style="5" customWidth="1"/>
    <col min="22" max="16384" width="8.66666666666667" style="4"/>
  </cols>
  <sheetData>
    <row r="1" ht="19.5" spans="1:21">
      <c r="A1" s="4"/>
      <c r="B1" s="4"/>
      <c r="C1" s="4"/>
      <c r="D1" s="4"/>
      <c r="E1" s="4"/>
      <c r="F1" s="4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>
      <c r="A2" s="4"/>
      <c r="B2" s="4"/>
      <c r="C2" s="4"/>
      <c r="D2" s="4"/>
      <c r="E2" s="4"/>
      <c r="F2" s="4"/>
      <c r="H2" s="4"/>
      <c r="I2" s="4"/>
      <c r="K2" s="10"/>
      <c r="L2" s="11"/>
      <c r="M2" s="11"/>
      <c r="N2" s="11"/>
      <c r="O2" s="11"/>
      <c r="P2" s="11"/>
      <c r="Q2" s="4"/>
      <c r="R2" s="4"/>
      <c r="S2" s="4"/>
      <c r="T2" s="4"/>
      <c r="U2" s="4"/>
    </row>
    <row r="3" spans="1:21">
      <c r="A3" s="12" t="s">
        <v>26</v>
      </c>
      <c r="B3" s="13" t="s">
        <v>732</v>
      </c>
      <c r="C3" s="13" t="s">
        <v>28</v>
      </c>
      <c r="D3" s="14" t="s">
        <v>29</v>
      </c>
      <c r="E3" s="14" t="s">
        <v>15</v>
      </c>
      <c r="F3" s="14" t="s">
        <v>16</v>
      </c>
      <c r="H3" s="15" t="s">
        <v>708</v>
      </c>
      <c r="I3" s="16" t="s">
        <v>709</v>
      </c>
      <c r="K3" s="17"/>
      <c r="L3" s="17"/>
      <c r="M3" s="17"/>
      <c r="N3" s="17"/>
      <c r="O3" s="17"/>
      <c r="P3" s="17"/>
      <c r="Q3" s="18" t="s">
        <v>968</v>
      </c>
      <c r="R3" s="19" t="s">
        <v>777</v>
      </c>
      <c r="S3" s="17" t="s">
        <v>778</v>
      </c>
      <c r="T3" s="20" t="s">
        <v>969</v>
      </c>
      <c r="U3" s="17" t="s">
        <v>778</v>
      </c>
    </row>
    <row r="4" ht="27" spans="1:21">
      <c r="A4" s="21"/>
      <c r="B4" s="13"/>
      <c r="C4" s="13"/>
      <c r="D4" s="14"/>
      <c r="E4" s="14"/>
      <c r="F4" s="14"/>
      <c r="H4" s="15"/>
      <c r="I4" s="16"/>
      <c r="J4" s="7" t="s">
        <v>970</v>
      </c>
      <c r="K4" s="17" t="s">
        <v>16</v>
      </c>
      <c r="L4" s="17"/>
      <c r="M4" s="17"/>
      <c r="N4" s="17"/>
      <c r="O4" s="17"/>
      <c r="P4" s="17"/>
      <c r="Q4" s="18"/>
      <c r="R4" s="19"/>
      <c r="S4" s="17"/>
      <c r="T4" s="20"/>
      <c r="U4" s="17"/>
    </row>
    <row r="5" spans="1:21">
      <c r="A5" s="14" t="s">
        <v>67</v>
      </c>
      <c r="B5" s="13" t="s">
        <v>68</v>
      </c>
      <c r="C5" s="13" t="s">
        <v>779</v>
      </c>
      <c r="D5" s="14">
        <v>19.5</v>
      </c>
      <c r="E5" s="22">
        <v>3052</v>
      </c>
      <c r="F5" s="13">
        <v>210</v>
      </c>
      <c r="H5" s="23" t="s">
        <v>68</v>
      </c>
      <c r="I5" s="24" t="s">
        <v>779</v>
      </c>
      <c r="J5" s="7">
        <f>U5</f>
        <v>3052</v>
      </c>
      <c r="K5" s="25">
        <v>210</v>
      </c>
      <c r="L5" s="25"/>
      <c r="M5" s="25">
        <f>E5-J5</f>
        <v>0</v>
      </c>
      <c r="N5" s="25">
        <f>F5-K5</f>
        <v>0</v>
      </c>
      <c r="O5" s="25"/>
      <c r="P5" s="25"/>
      <c r="Q5" s="26">
        <v>43891</v>
      </c>
      <c r="R5" s="27">
        <v>44256</v>
      </c>
      <c r="S5" s="25">
        <v>2906</v>
      </c>
      <c r="T5" s="27">
        <v>44621</v>
      </c>
      <c r="U5" s="25">
        <v>3052</v>
      </c>
    </row>
    <row r="6" spans="1:21">
      <c r="A6" s="14" t="s">
        <v>67</v>
      </c>
      <c r="B6" s="13">
        <v>1001</v>
      </c>
      <c r="C6" s="13" t="s">
        <v>71</v>
      </c>
      <c r="D6" s="14">
        <v>21.87</v>
      </c>
      <c r="E6" s="14">
        <v>4202</v>
      </c>
      <c r="F6" s="14">
        <v>500</v>
      </c>
      <c r="H6" s="25">
        <v>1001</v>
      </c>
      <c r="I6" s="24" t="s">
        <v>71</v>
      </c>
      <c r="J6" s="7">
        <v>4202</v>
      </c>
      <c r="K6" s="25">
        <v>500</v>
      </c>
      <c r="L6" s="25"/>
      <c r="M6" s="25">
        <f t="shared" ref="M6:M68" si="0">E6-J6</f>
        <v>0</v>
      </c>
      <c r="N6" s="25">
        <f t="shared" ref="N6:N68" si="1">F6-K6</f>
        <v>0</v>
      </c>
      <c r="O6" s="25"/>
      <c r="P6" s="25"/>
      <c r="Q6" s="26">
        <v>44652</v>
      </c>
      <c r="R6" s="27"/>
      <c r="S6" s="25"/>
      <c r="T6" s="25"/>
      <c r="U6" s="25"/>
    </row>
    <row r="7" spans="1:21">
      <c r="A7" s="14" t="s">
        <v>67</v>
      </c>
      <c r="B7" s="13">
        <v>1002</v>
      </c>
      <c r="C7" s="13" t="s">
        <v>73</v>
      </c>
      <c r="D7" s="14">
        <v>27.87</v>
      </c>
      <c r="E7" s="14">
        <v>3000</v>
      </c>
      <c r="F7" s="14"/>
      <c r="H7" s="25">
        <v>1002</v>
      </c>
      <c r="I7" s="24" t="s">
        <v>73</v>
      </c>
      <c r="J7" s="7">
        <v>3000</v>
      </c>
      <c r="K7" s="25"/>
      <c r="L7" s="25"/>
      <c r="M7" s="25">
        <f t="shared" si="0"/>
        <v>0</v>
      </c>
      <c r="N7" s="25">
        <f t="shared" si="1"/>
        <v>0</v>
      </c>
      <c r="O7" s="25"/>
      <c r="P7" s="25"/>
      <c r="Q7" s="26">
        <v>44348</v>
      </c>
      <c r="R7" s="27"/>
      <c r="S7" s="25"/>
      <c r="T7" s="25"/>
      <c r="U7" s="25"/>
    </row>
    <row r="8" spans="1:21">
      <c r="A8" s="14" t="s">
        <v>67</v>
      </c>
      <c r="B8" s="13" t="s">
        <v>76</v>
      </c>
      <c r="C8" s="13" t="s">
        <v>674</v>
      </c>
      <c r="D8" s="14">
        <v>49.02</v>
      </c>
      <c r="E8" s="14">
        <v>2851</v>
      </c>
      <c r="F8" s="14">
        <v>400</v>
      </c>
      <c r="H8" s="25" t="s">
        <v>75</v>
      </c>
      <c r="I8" s="24" t="s">
        <v>674</v>
      </c>
      <c r="J8" s="7">
        <v>2851</v>
      </c>
      <c r="K8" s="25">
        <v>400</v>
      </c>
      <c r="L8" s="25"/>
      <c r="M8" s="25">
        <f t="shared" si="0"/>
        <v>0</v>
      </c>
      <c r="N8" s="25">
        <f t="shared" si="1"/>
        <v>0</v>
      </c>
      <c r="O8" s="25"/>
      <c r="P8" s="25"/>
      <c r="Q8" s="26">
        <v>44348</v>
      </c>
      <c r="R8" s="27"/>
      <c r="S8" s="25"/>
      <c r="T8" s="25"/>
      <c r="U8" s="25"/>
    </row>
    <row r="9" spans="1:21">
      <c r="A9" s="14" t="s">
        <v>67</v>
      </c>
      <c r="B9" s="13">
        <v>1005</v>
      </c>
      <c r="C9" s="14" t="s">
        <v>221</v>
      </c>
      <c r="D9" s="14">
        <v>27.15</v>
      </c>
      <c r="E9" s="14">
        <v>2000</v>
      </c>
      <c r="F9" s="14"/>
      <c r="H9" s="25">
        <v>1005</v>
      </c>
      <c r="I9" s="24" t="s">
        <v>221</v>
      </c>
      <c r="J9" s="7">
        <v>2000</v>
      </c>
      <c r="K9" s="25"/>
      <c r="L9" s="25"/>
      <c r="M9" s="25">
        <f t="shared" si="0"/>
        <v>0</v>
      </c>
      <c r="N9" s="25">
        <f t="shared" si="1"/>
        <v>0</v>
      </c>
      <c r="O9" s="25"/>
      <c r="P9" s="25"/>
      <c r="Q9" s="26">
        <v>44548</v>
      </c>
      <c r="R9" s="27"/>
      <c r="S9" s="25"/>
      <c r="T9" s="25"/>
      <c r="U9" s="25"/>
    </row>
    <row r="10" spans="1:21">
      <c r="A10" s="14" t="s">
        <v>67</v>
      </c>
      <c r="B10" s="13">
        <v>1006</v>
      </c>
      <c r="C10" s="13" t="s">
        <v>971</v>
      </c>
      <c r="D10" s="14">
        <v>27.15</v>
      </c>
      <c r="E10" s="14">
        <v>4412</v>
      </c>
      <c r="F10" s="14">
        <v>500</v>
      </c>
      <c r="H10" s="25">
        <v>1006</v>
      </c>
      <c r="I10" s="24" t="s">
        <v>971</v>
      </c>
      <c r="J10" s="7">
        <f>U10</f>
        <v>4412</v>
      </c>
      <c r="K10" s="25">
        <v>500</v>
      </c>
      <c r="L10" s="25"/>
      <c r="M10" s="25">
        <f t="shared" si="0"/>
        <v>0</v>
      </c>
      <c r="N10" s="25">
        <f t="shared" si="1"/>
        <v>0</v>
      </c>
      <c r="O10" s="25"/>
      <c r="P10" s="25"/>
      <c r="Q10" s="26">
        <v>44440</v>
      </c>
      <c r="R10" s="27"/>
      <c r="S10" s="25"/>
      <c r="T10" s="27">
        <v>44652</v>
      </c>
      <c r="U10" s="25">
        <v>4412</v>
      </c>
    </row>
    <row r="11" spans="1:21">
      <c r="A11" s="14" t="s">
        <v>67</v>
      </c>
      <c r="B11" s="13">
        <v>1007</v>
      </c>
      <c r="C11" s="13" t="s">
        <v>972</v>
      </c>
      <c r="D11" s="14">
        <v>27.15</v>
      </c>
      <c r="E11" s="14">
        <v>3994</v>
      </c>
      <c r="F11" s="14">
        <v>500</v>
      </c>
      <c r="H11" s="25">
        <v>1007</v>
      </c>
      <c r="I11" s="24" t="s">
        <v>972</v>
      </c>
      <c r="J11" s="7">
        <v>3994</v>
      </c>
      <c r="K11" s="25">
        <v>500</v>
      </c>
      <c r="L11" s="25"/>
      <c r="M11" s="25">
        <f t="shared" si="0"/>
        <v>0</v>
      </c>
      <c r="N11" s="25">
        <f t="shared" si="1"/>
        <v>0</v>
      </c>
      <c r="O11" s="25"/>
      <c r="P11" s="25"/>
      <c r="Q11" s="26">
        <v>44378</v>
      </c>
      <c r="R11" s="25"/>
      <c r="S11" s="25"/>
      <c r="T11" s="27">
        <v>44743</v>
      </c>
      <c r="U11" s="25">
        <f>1997*2</f>
        <v>3994</v>
      </c>
    </row>
    <row r="12" spans="1:21">
      <c r="A12" s="14" t="s">
        <v>67</v>
      </c>
      <c r="B12" s="13">
        <v>1008</v>
      </c>
      <c r="C12" s="13" t="s">
        <v>780</v>
      </c>
      <c r="D12" s="28">
        <v>27.15</v>
      </c>
      <c r="E12" s="14">
        <v>1600</v>
      </c>
      <c r="F12" s="14"/>
      <c r="H12" s="25">
        <v>1008</v>
      </c>
      <c r="I12" s="24" t="s">
        <v>674</v>
      </c>
      <c r="J12" s="7">
        <v>1600</v>
      </c>
      <c r="K12" s="25">
        <v>0</v>
      </c>
      <c r="L12" s="25"/>
      <c r="M12" s="25">
        <f t="shared" si="0"/>
        <v>0</v>
      </c>
      <c r="N12" s="25">
        <f t="shared" si="1"/>
        <v>0</v>
      </c>
      <c r="O12" s="25"/>
      <c r="P12" s="25"/>
      <c r="Q12" s="26">
        <v>44640</v>
      </c>
      <c r="R12" s="27"/>
      <c r="S12" s="25"/>
      <c r="T12" s="27"/>
      <c r="U12" s="25"/>
    </row>
    <row r="13" spans="1:21">
      <c r="A13" s="14" t="s">
        <v>67</v>
      </c>
      <c r="B13" s="13">
        <v>1009</v>
      </c>
      <c r="C13" s="13" t="s">
        <v>781</v>
      </c>
      <c r="D13" s="14">
        <v>27.15</v>
      </c>
      <c r="E13" s="14">
        <v>4202</v>
      </c>
      <c r="F13" s="14">
        <v>500</v>
      </c>
      <c r="H13" s="25">
        <v>1009</v>
      </c>
      <c r="I13" s="24" t="s">
        <v>781</v>
      </c>
      <c r="J13" s="7">
        <v>4202</v>
      </c>
      <c r="K13" s="25">
        <v>500</v>
      </c>
      <c r="L13" s="25"/>
      <c r="M13" s="25">
        <f t="shared" si="0"/>
        <v>0</v>
      </c>
      <c r="N13" s="25">
        <f t="shared" si="1"/>
        <v>0</v>
      </c>
      <c r="O13" s="25"/>
      <c r="P13" s="25"/>
      <c r="Q13" s="26">
        <v>44621</v>
      </c>
      <c r="R13" s="27"/>
      <c r="S13" s="25"/>
      <c r="T13" s="25"/>
      <c r="U13" s="25"/>
    </row>
    <row r="14" spans="1:21">
      <c r="A14" s="14" t="s">
        <v>67</v>
      </c>
      <c r="B14" s="13">
        <v>1010</v>
      </c>
      <c r="C14" s="13" t="s">
        <v>782</v>
      </c>
      <c r="D14" s="14">
        <v>23.77</v>
      </c>
      <c r="E14" s="14">
        <v>4202</v>
      </c>
      <c r="F14" s="14">
        <v>500</v>
      </c>
      <c r="H14" s="25">
        <v>1010</v>
      </c>
      <c r="I14" s="24" t="s">
        <v>973</v>
      </c>
      <c r="J14" s="7">
        <f>S14</f>
        <v>4202</v>
      </c>
      <c r="K14" s="25">
        <v>500</v>
      </c>
      <c r="L14" s="25"/>
      <c r="M14" s="25">
        <f t="shared" si="0"/>
        <v>0</v>
      </c>
      <c r="N14" s="25">
        <f t="shared" si="1"/>
        <v>0</v>
      </c>
      <c r="O14" s="25"/>
      <c r="P14" s="25"/>
      <c r="Q14" s="26">
        <v>43556</v>
      </c>
      <c r="R14" s="27">
        <v>44287</v>
      </c>
      <c r="S14" s="25">
        <v>4202</v>
      </c>
      <c r="T14" s="26"/>
      <c r="U14" s="25"/>
    </row>
    <row r="15" spans="1:21">
      <c r="A15" s="14" t="s">
        <v>67</v>
      </c>
      <c r="B15" s="13">
        <v>1011</v>
      </c>
      <c r="C15" s="13" t="s">
        <v>974</v>
      </c>
      <c r="D15" s="14">
        <v>27.15</v>
      </c>
      <c r="E15" s="14">
        <v>3000</v>
      </c>
      <c r="F15" s="14"/>
      <c r="H15" s="25">
        <v>1011</v>
      </c>
      <c r="I15" s="24" t="s">
        <v>974</v>
      </c>
      <c r="J15" s="7">
        <v>3000</v>
      </c>
      <c r="K15" s="25"/>
      <c r="L15" s="25"/>
      <c r="M15" s="25">
        <f t="shared" si="0"/>
        <v>0</v>
      </c>
      <c r="N15" s="25">
        <f t="shared" si="1"/>
        <v>0</v>
      </c>
      <c r="O15" s="25"/>
      <c r="P15" s="25"/>
      <c r="Q15" s="26">
        <v>44531</v>
      </c>
      <c r="R15" s="27"/>
      <c r="S15" s="25"/>
      <c r="T15" s="27"/>
      <c r="U15" s="25"/>
    </row>
    <row r="16" spans="1:21">
      <c r="A16" s="14" t="s">
        <v>67</v>
      </c>
      <c r="B16" s="13">
        <v>1012</v>
      </c>
      <c r="C16" s="13" t="s">
        <v>460</v>
      </c>
      <c r="D16" s="14">
        <v>27.5</v>
      </c>
      <c r="E16" s="14">
        <v>2500</v>
      </c>
      <c r="F16" s="14"/>
      <c r="H16" s="25">
        <v>1012</v>
      </c>
      <c r="I16" s="24" t="s">
        <v>460</v>
      </c>
      <c r="J16" s="7">
        <v>2500</v>
      </c>
      <c r="K16" s="25"/>
      <c r="L16" s="25"/>
      <c r="M16" s="25">
        <f t="shared" si="0"/>
        <v>0</v>
      </c>
      <c r="N16" s="25">
        <f t="shared" si="1"/>
        <v>0</v>
      </c>
      <c r="O16" s="25"/>
      <c r="P16" s="25"/>
      <c r="Q16" s="26">
        <v>44531</v>
      </c>
      <c r="R16" s="27"/>
      <c r="S16" s="25"/>
      <c r="T16" s="25"/>
      <c r="U16" s="25"/>
    </row>
    <row r="17" spans="1:21">
      <c r="A17" s="14" t="s">
        <v>67</v>
      </c>
      <c r="B17" s="13">
        <v>1013</v>
      </c>
      <c r="C17" s="13" t="s">
        <v>784</v>
      </c>
      <c r="D17" s="14">
        <v>27.15</v>
      </c>
      <c r="E17" s="14">
        <v>2500</v>
      </c>
      <c r="F17" s="14"/>
      <c r="H17" s="25">
        <v>1013</v>
      </c>
      <c r="I17" s="24" t="s">
        <v>784</v>
      </c>
      <c r="J17" s="7">
        <v>2500</v>
      </c>
      <c r="K17" s="25"/>
      <c r="L17" s="25"/>
      <c r="M17" s="25">
        <f t="shared" si="0"/>
        <v>0</v>
      </c>
      <c r="N17" s="25">
        <f t="shared" si="1"/>
        <v>0</v>
      </c>
      <c r="O17" s="25"/>
      <c r="P17" s="25"/>
      <c r="Q17" s="26">
        <v>44378</v>
      </c>
      <c r="R17" s="27"/>
      <c r="S17" s="25"/>
      <c r="T17" s="27">
        <v>44743</v>
      </c>
      <c r="U17" s="25">
        <v>2500</v>
      </c>
    </row>
    <row r="18" spans="1:21">
      <c r="A18" s="14" t="s">
        <v>67</v>
      </c>
      <c r="B18" s="13" t="s">
        <v>785</v>
      </c>
      <c r="C18" s="13" t="s">
        <v>786</v>
      </c>
      <c r="D18" s="14">
        <v>54.3</v>
      </c>
      <c r="E18" s="14">
        <v>3000</v>
      </c>
      <c r="F18" s="14"/>
      <c r="H18" s="25" t="s">
        <v>975</v>
      </c>
      <c r="I18" s="24" t="s">
        <v>556</v>
      </c>
      <c r="J18" s="7">
        <v>3000</v>
      </c>
      <c r="K18" s="25"/>
      <c r="L18" s="25"/>
      <c r="M18" s="25">
        <f t="shared" si="0"/>
        <v>0</v>
      </c>
      <c r="N18" s="25">
        <f t="shared" si="1"/>
        <v>0</v>
      </c>
      <c r="O18" s="25"/>
      <c r="P18" s="25"/>
      <c r="Q18" s="26">
        <v>43937</v>
      </c>
      <c r="R18" s="27"/>
      <c r="S18" s="25"/>
      <c r="T18" s="25"/>
      <c r="U18" s="25"/>
    </row>
    <row r="19" spans="1:21">
      <c r="A19" s="14" t="s">
        <v>67</v>
      </c>
      <c r="B19" s="13" t="s">
        <v>102</v>
      </c>
      <c r="C19" s="13" t="s">
        <v>787</v>
      </c>
      <c r="D19" s="14">
        <v>54.3</v>
      </c>
      <c r="E19" s="14">
        <v>3800</v>
      </c>
      <c r="F19" s="14">
        <v>400</v>
      </c>
      <c r="H19" s="25" t="s">
        <v>976</v>
      </c>
      <c r="I19" s="24" t="s">
        <v>787</v>
      </c>
      <c r="J19" s="7">
        <v>3800</v>
      </c>
      <c r="K19" s="25">
        <v>400</v>
      </c>
      <c r="L19" s="25"/>
      <c r="M19" s="25">
        <f t="shared" si="0"/>
        <v>0</v>
      </c>
      <c r="N19" s="25">
        <f t="shared" si="1"/>
        <v>0</v>
      </c>
      <c r="O19" s="25"/>
      <c r="P19" s="25"/>
      <c r="Q19" s="26">
        <v>44423</v>
      </c>
      <c r="R19" s="27"/>
      <c r="S19" s="25"/>
      <c r="T19" s="25"/>
      <c r="U19" s="25"/>
    </row>
    <row r="20" spans="1:21">
      <c r="A20" s="14" t="s">
        <v>67</v>
      </c>
      <c r="B20" s="13">
        <v>1018</v>
      </c>
      <c r="C20" s="13" t="s">
        <v>105</v>
      </c>
      <c r="D20" s="14">
        <v>27.5</v>
      </c>
      <c r="E20" s="14">
        <v>2700</v>
      </c>
      <c r="F20" s="14"/>
      <c r="H20" s="25">
        <v>1018</v>
      </c>
      <c r="I20" s="24" t="s">
        <v>105</v>
      </c>
      <c r="J20" s="7">
        <v>2700</v>
      </c>
      <c r="K20" s="25"/>
      <c r="L20" s="25"/>
      <c r="M20" s="25">
        <f t="shared" si="0"/>
        <v>0</v>
      </c>
      <c r="N20" s="25">
        <f t="shared" si="1"/>
        <v>0</v>
      </c>
      <c r="O20" s="25"/>
      <c r="P20" s="25"/>
      <c r="Q20" s="26">
        <v>44348</v>
      </c>
      <c r="R20" s="27"/>
      <c r="S20" s="25"/>
      <c r="T20" s="25"/>
      <c r="U20" s="25"/>
    </row>
    <row r="21" spans="1:21">
      <c r="A21" s="14" t="s">
        <v>67</v>
      </c>
      <c r="B21" s="13">
        <v>1019</v>
      </c>
      <c r="C21" s="13" t="s">
        <v>788</v>
      </c>
      <c r="D21" s="14">
        <v>27.15</v>
      </c>
      <c r="E21" s="14">
        <v>1600</v>
      </c>
      <c r="F21" s="14">
        <v>200</v>
      </c>
      <c r="H21" s="25">
        <v>1019</v>
      </c>
      <c r="I21" s="24" t="s">
        <v>789</v>
      </c>
      <c r="J21" s="7">
        <v>1600</v>
      </c>
      <c r="K21" s="25">
        <v>200</v>
      </c>
      <c r="L21" s="25"/>
      <c r="M21" s="25">
        <f t="shared" si="0"/>
        <v>0</v>
      </c>
      <c r="N21" s="25">
        <f t="shared" si="1"/>
        <v>0</v>
      </c>
      <c r="O21" s="25"/>
      <c r="P21" s="25"/>
      <c r="Q21" s="26"/>
      <c r="R21" s="25"/>
      <c r="S21" s="25"/>
      <c r="T21" s="25"/>
      <c r="U21" s="25"/>
    </row>
    <row r="22" spans="1:21">
      <c r="A22" s="14" t="s">
        <v>67</v>
      </c>
      <c r="B22" s="13">
        <v>1020</v>
      </c>
      <c r="C22" s="13" t="s">
        <v>471</v>
      </c>
      <c r="D22" s="29">
        <v>27.15</v>
      </c>
      <c r="E22" s="14">
        <v>4000</v>
      </c>
      <c r="F22" s="14"/>
      <c r="H22" s="25">
        <v>1020</v>
      </c>
      <c r="I22" s="24" t="s">
        <v>471</v>
      </c>
      <c r="J22" s="7">
        <v>4000</v>
      </c>
      <c r="K22" s="25"/>
      <c r="L22" s="25"/>
      <c r="M22" s="25">
        <f t="shared" si="0"/>
        <v>0</v>
      </c>
      <c r="N22" s="25">
        <f t="shared" si="1"/>
        <v>0</v>
      </c>
      <c r="O22" s="25"/>
      <c r="P22" s="25"/>
      <c r="Q22" s="26">
        <v>44362</v>
      </c>
      <c r="R22" s="27"/>
      <c r="S22" s="25"/>
      <c r="T22" s="27">
        <v>44727</v>
      </c>
      <c r="U22" s="25">
        <v>4000</v>
      </c>
    </row>
    <row r="23" spans="1:21">
      <c r="A23" s="14" t="s">
        <v>67</v>
      </c>
      <c r="B23" s="13">
        <v>1021</v>
      </c>
      <c r="C23" s="13" t="s">
        <v>790</v>
      </c>
      <c r="D23" s="14">
        <v>27.15</v>
      </c>
      <c r="E23" s="14">
        <v>4226</v>
      </c>
      <c r="F23" s="14">
        <v>500</v>
      </c>
      <c r="H23" s="25">
        <v>1021</v>
      </c>
      <c r="I23" s="24" t="s">
        <v>790</v>
      </c>
      <c r="J23" s="7">
        <f>S23</f>
        <v>4226</v>
      </c>
      <c r="K23" s="25">
        <v>500</v>
      </c>
      <c r="L23" s="25"/>
      <c r="M23" s="25">
        <f t="shared" si="0"/>
        <v>0</v>
      </c>
      <c r="N23" s="25">
        <f t="shared" si="1"/>
        <v>0</v>
      </c>
      <c r="O23" s="25"/>
      <c r="P23" s="25"/>
      <c r="Q23" s="26">
        <v>43682</v>
      </c>
      <c r="R23" s="27">
        <v>44413</v>
      </c>
      <c r="S23" s="25">
        <v>4226</v>
      </c>
      <c r="T23" s="25"/>
      <c r="U23" s="25"/>
    </row>
    <row r="24" spans="1:21">
      <c r="A24" s="14" t="s">
        <v>67</v>
      </c>
      <c r="B24" s="13">
        <v>1022</v>
      </c>
      <c r="C24" s="13" t="s">
        <v>791</v>
      </c>
      <c r="D24" s="14">
        <v>56.26</v>
      </c>
      <c r="E24" s="14">
        <v>2531</v>
      </c>
      <c r="F24" s="14"/>
      <c r="H24" s="25">
        <v>1022</v>
      </c>
      <c r="I24" s="24" t="s">
        <v>112</v>
      </c>
      <c r="J24" s="7">
        <v>2531</v>
      </c>
      <c r="K24" s="25"/>
      <c r="L24" s="25"/>
      <c r="M24" s="25">
        <f t="shared" si="0"/>
        <v>0</v>
      </c>
      <c r="N24" s="25">
        <f t="shared" si="1"/>
        <v>0</v>
      </c>
      <c r="O24" s="25"/>
      <c r="P24" s="25"/>
      <c r="Q24" s="26"/>
      <c r="R24" s="25"/>
      <c r="S24" s="25"/>
      <c r="T24" s="25"/>
      <c r="U24" s="25"/>
    </row>
    <row r="25" spans="1:21">
      <c r="A25" s="14" t="s">
        <v>67</v>
      </c>
      <c r="B25" s="13">
        <v>1023</v>
      </c>
      <c r="C25" s="13" t="s">
        <v>792</v>
      </c>
      <c r="D25" s="14">
        <v>31.79</v>
      </c>
      <c r="E25" s="14">
        <v>1000</v>
      </c>
      <c r="F25" s="14"/>
      <c r="H25" s="25">
        <v>1023</v>
      </c>
      <c r="I25" s="24" t="s">
        <v>783</v>
      </c>
      <c r="J25" s="7">
        <v>1000</v>
      </c>
      <c r="K25" s="25"/>
      <c r="L25" s="25"/>
      <c r="M25" s="25">
        <f t="shared" si="0"/>
        <v>0</v>
      </c>
      <c r="N25" s="25">
        <f t="shared" si="1"/>
        <v>0</v>
      </c>
      <c r="O25" s="25"/>
      <c r="P25" s="25"/>
      <c r="Q25" s="26">
        <v>43831</v>
      </c>
      <c r="R25" s="25"/>
      <c r="S25" s="25"/>
      <c r="T25" s="25"/>
      <c r="U25" s="25"/>
    </row>
    <row r="26" spans="1:21">
      <c r="A26" s="14" t="s">
        <v>67</v>
      </c>
      <c r="B26" s="13">
        <v>1024</v>
      </c>
      <c r="C26" s="13" t="s">
        <v>793</v>
      </c>
      <c r="D26" s="14">
        <v>43.89</v>
      </c>
      <c r="E26" s="14">
        <v>1448</v>
      </c>
      <c r="F26" s="14"/>
      <c r="H26" s="25">
        <v>1024</v>
      </c>
      <c r="I26" s="24" t="s">
        <v>116</v>
      </c>
      <c r="J26" s="7">
        <v>1448</v>
      </c>
      <c r="K26" s="25"/>
      <c r="L26" s="25"/>
      <c r="M26" s="25">
        <f t="shared" si="0"/>
        <v>0</v>
      </c>
      <c r="N26" s="25">
        <f t="shared" si="1"/>
        <v>0</v>
      </c>
      <c r="O26" s="25"/>
      <c r="P26" s="25"/>
      <c r="Q26" s="26"/>
      <c r="R26" s="25"/>
      <c r="S26" s="25"/>
      <c r="T26" s="25"/>
      <c r="U26" s="25"/>
    </row>
    <row r="27" spans="1:21">
      <c r="A27" s="14" t="s">
        <v>67</v>
      </c>
      <c r="B27" s="13">
        <v>1025</v>
      </c>
      <c r="C27" s="13" t="s">
        <v>711</v>
      </c>
      <c r="D27" s="14">
        <v>27.15</v>
      </c>
      <c r="E27" s="14">
        <v>4202</v>
      </c>
      <c r="F27" s="14">
        <v>500</v>
      </c>
      <c r="H27" s="25">
        <v>1025</v>
      </c>
      <c r="I27" s="24" t="s">
        <v>711</v>
      </c>
      <c r="J27" s="7">
        <v>4202</v>
      </c>
      <c r="K27" s="25">
        <v>500</v>
      </c>
      <c r="L27" s="25"/>
      <c r="M27" s="25">
        <f t="shared" si="0"/>
        <v>0</v>
      </c>
      <c r="N27" s="25">
        <f t="shared" si="1"/>
        <v>0</v>
      </c>
      <c r="O27" s="25"/>
      <c r="P27" s="25"/>
      <c r="Q27" s="26">
        <v>44652</v>
      </c>
      <c r="R27" s="27"/>
      <c r="S27" s="25"/>
      <c r="T27" s="25"/>
      <c r="U27" s="25"/>
    </row>
    <row r="28" spans="1:21">
      <c r="A28" s="14" t="s">
        <v>67</v>
      </c>
      <c r="B28" s="13" t="s">
        <v>120</v>
      </c>
      <c r="C28" s="13" t="s">
        <v>73</v>
      </c>
      <c r="D28" s="14">
        <v>26.45</v>
      </c>
      <c r="E28" s="14">
        <v>4202</v>
      </c>
      <c r="F28" s="14">
        <v>500</v>
      </c>
      <c r="H28" s="25" t="s">
        <v>120</v>
      </c>
      <c r="I28" s="24" t="s">
        <v>73</v>
      </c>
      <c r="J28" s="7">
        <v>4202</v>
      </c>
      <c r="K28" s="25">
        <v>500</v>
      </c>
      <c r="L28" s="25"/>
      <c r="M28" s="25">
        <f t="shared" si="0"/>
        <v>0</v>
      </c>
      <c r="N28" s="25">
        <f t="shared" si="1"/>
        <v>0</v>
      </c>
      <c r="O28" s="25"/>
      <c r="P28" s="25"/>
      <c r="Q28" s="26">
        <v>44621</v>
      </c>
      <c r="R28" s="27"/>
      <c r="S28" s="25"/>
      <c r="T28" s="25"/>
      <c r="U28" s="25"/>
    </row>
    <row r="29" spans="1:21">
      <c r="A29" s="14" t="s">
        <v>67</v>
      </c>
      <c r="B29" s="13">
        <v>1026</v>
      </c>
      <c r="C29" s="13" t="s">
        <v>794</v>
      </c>
      <c r="D29" s="14">
        <v>27.15</v>
      </c>
      <c r="E29" s="14">
        <v>4202</v>
      </c>
      <c r="F29" s="14">
        <v>500</v>
      </c>
      <c r="H29" s="25">
        <v>1026</v>
      </c>
      <c r="I29" s="24" t="s">
        <v>794</v>
      </c>
      <c r="J29" s="7">
        <v>4202</v>
      </c>
      <c r="K29" s="25">
        <v>500</v>
      </c>
      <c r="L29" s="25"/>
      <c r="M29" s="25">
        <f t="shared" si="0"/>
        <v>0</v>
      </c>
      <c r="N29" s="25">
        <f t="shared" si="1"/>
        <v>0</v>
      </c>
      <c r="O29" s="25"/>
      <c r="P29" s="25"/>
      <c r="Q29" s="26">
        <v>44652</v>
      </c>
      <c r="R29" s="27"/>
      <c r="S29" s="25"/>
      <c r="T29" s="27"/>
      <c r="U29" s="25"/>
    </row>
    <row r="30" spans="1:21">
      <c r="A30" s="14" t="s">
        <v>67</v>
      </c>
      <c r="B30" s="13">
        <v>1027</v>
      </c>
      <c r="C30" s="13" t="s">
        <v>977</v>
      </c>
      <c r="D30" s="14">
        <v>27.15</v>
      </c>
      <c r="E30" s="14">
        <v>4202</v>
      </c>
      <c r="F30" s="14">
        <v>500</v>
      </c>
      <c r="H30" s="25">
        <v>1027</v>
      </c>
      <c r="I30" s="24" t="s">
        <v>977</v>
      </c>
      <c r="J30" s="7">
        <f t="shared" ref="J30:J31" si="2">S30</f>
        <v>4202</v>
      </c>
      <c r="K30" s="25">
        <v>500</v>
      </c>
      <c r="L30" s="25"/>
      <c r="M30" s="25">
        <f t="shared" si="0"/>
        <v>0</v>
      </c>
      <c r="N30" s="25">
        <f t="shared" si="1"/>
        <v>0</v>
      </c>
      <c r="O30" s="25"/>
      <c r="P30" s="25"/>
      <c r="Q30" s="26">
        <v>43739</v>
      </c>
      <c r="R30" s="27">
        <v>44287</v>
      </c>
      <c r="S30" s="25">
        <v>4202</v>
      </c>
      <c r="T30" s="25"/>
      <c r="U30" s="25"/>
    </row>
    <row r="31" spans="1:21">
      <c r="A31" s="14" t="s">
        <v>67</v>
      </c>
      <c r="B31" s="13">
        <v>1028</v>
      </c>
      <c r="C31" s="13" t="s">
        <v>978</v>
      </c>
      <c r="D31" s="14">
        <v>27.15</v>
      </c>
      <c r="E31" s="14">
        <v>4202</v>
      </c>
      <c r="F31" s="14">
        <v>500</v>
      </c>
      <c r="H31" s="25">
        <v>1028</v>
      </c>
      <c r="I31" s="24" t="s">
        <v>978</v>
      </c>
      <c r="J31" s="7">
        <f t="shared" si="2"/>
        <v>4202</v>
      </c>
      <c r="K31" s="25">
        <v>500</v>
      </c>
      <c r="L31" s="25"/>
      <c r="M31" s="25">
        <f t="shared" si="0"/>
        <v>0</v>
      </c>
      <c r="N31" s="25">
        <f t="shared" si="1"/>
        <v>0</v>
      </c>
      <c r="O31" s="25"/>
      <c r="P31" s="25"/>
      <c r="Q31" s="26">
        <v>43556</v>
      </c>
      <c r="R31" s="27">
        <v>44287</v>
      </c>
      <c r="S31" s="25">
        <v>4202</v>
      </c>
      <c r="T31" s="25"/>
      <c r="U31" s="25"/>
    </row>
    <row r="32" spans="1:21">
      <c r="A32" s="14" t="s">
        <v>67</v>
      </c>
      <c r="B32" s="13">
        <v>1029</v>
      </c>
      <c r="C32" s="13" t="s">
        <v>796</v>
      </c>
      <c r="D32" s="14">
        <v>27.15</v>
      </c>
      <c r="E32" s="14">
        <v>4202</v>
      </c>
      <c r="F32" s="14">
        <v>500</v>
      </c>
      <c r="H32" s="25">
        <v>1029</v>
      </c>
      <c r="I32" s="24" t="s">
        <v>796</v>
      </c>
      <c r="J32" s="7">
        <v>4202</v>
      </c>
      <c r="K32" s="25">
        <v>500</v>
      </c>
      <c r="L32" s="25"/>
      <c r="M32" s="25">
        <f t="shared" si="0"/>
        <v>0</v>
      </c>
      <c r="N32" s="25">
        <f t="shared" si="1"/>
        <v>0</v>
      </c>
      <c r="O32" s="25"/>
      <c r="P32" s="25"/>
      <c r="Q32" s="26">
        <v>44652</v>
      </c>
      <c r="R32" s="27"/>
      <c r="S32" s="25"/>
      <c r="T32" s="25"/>
      <c r="U32" s="25"/>
    </row>
    <row r="33" spans="1:21">
      <c r="A33" s="14" t="s">
        <v>67</v>
      </c>
      <c r="B33" s="13">
        <v>1030</v>
      </c>
      <c r="C33" s="13" t="s">
        <v>130</v>
      </c>
      <c r="D33" s="14">
        <v>27.15</v>
      </c>
      <c r="E33" s="14">
        <v>4202</v>
      </c>
      <c r="F33" s="14">
        <v>500</v>
      </c>
      <c r="H33" s="25">
        <v>1030</v>
      </c>
      <c r="I33" s="24" t="s">
        <v>130</v>
      </c>
      <c r="J33" s="7">
        <f>S33</f>
        <v>4202</v>
      </c>
      <c r="K33" s="25">
        <v>500</v>
      </c>
      <c r="L33" s="25"/>
      <c r="M33" s="25">
        <f t="shared" si="0"/>
        <v>0</v>
      </c>
      <c r="N33" s="25">
        <f t="shared" si="1"/>
        <v>0</v>
      </c>
      <c r="O33" s="25"/>
      <c r="P33" s="25"/>
      <c r="Q33" s="26">
        <v>43739</v>
      </c>
      <c r="R33" s="27">
        <v>44470</v>
      </c>
      <c r="S33" s="25">
        <v>4202</v>
      </c>
      <c r="T33" s="25"/>
      <c r="U33" s="25"/>
    </row>
    <row r="34" spans="1:21">
      <c r="A34" s="14" t="s">
        <v>67</v>
      </c>
      <c r="B34" s="13">
        <v>1031</v>
      </c>
      <c r="C34" s="13" t="s">
        <v>797</v>
      </c>
      <c r="D34" s="14">
        <v>23.77</v>
      </c>
      <c r="E34" s="14">
        <v>4202</v>
      </c>
      <c r="F34" s="14">
        <v>500</v>
      </c>
      <c r="H34" s="25">
        <v>1031</v>
      </c>
      <c r="I34" s="24" t="s">
        <v>797</v>
      </c>
      <c r="J34" s="7">
        <v>4202</v>
      </c>
      <c r="K34" s="25">
        <v>500</v>
      </c>
      <c r="L34" s="25"/>
      <c r="M34" s="25">
        <f t="shared" si="0"/>
        <v>0</v>
      </c>
      <c r="N34" s="25">
        <f t="shared" si="1"/>
        <v>0</v>
      </c>
      <c r="O34" s="25"/>
      <c r="P34" s="25"/>
      <c r="Q34" s="26">
        <v>44652</v>
      </c>
      <c r="R34" s="27"/>
      <c r="S34" s="25"/>
      <c r="T34" s="25"/>
      <c r="U34" s="25"/>
    </row>
    <row r="35" spans="1:21">
      <c r="A35" s="14" t="s">
        <v>67</v>
      </c>
      <c r="B35" s="13">
        <v>1032</v>
      </c>
      <c r="C35" s="13" t="s">
        <v>134</v>
      </c>
      <c r="D35" s="14">
        <v>27.15</v>
      </c>
      <c r="E35" s="14">
        <v>4202</v>
      </c>
      <c r="F35" s="14">
        <v>500</v>
      </c>
      <c r="H35" s="25">
        <v>1032</v>
      </c>
      <c r="I35" s="24" t="s">
        <v>134</v>
      </c>
      <c r="J35" s="7">
        <v>4202</v>
      </c>
      <c r="K35" s="25">
        <v>500</v>
      </c>
      <c r="L35" s="25"/>
      <c r="M35" s="25">
        <f t="shared" si="0"/>
        <v>0</v>
      </c>
      <c r="N35" s="25">
        <f t="shared" si="1"/>
        <v>0</v>
      </c>
      <c r="O35" s="25"/>
      <c r="P35" s="25"/>
      <c r="Q35" s="26">
        <v>44652</v>
      </c>
      <c r="R35" s="27"/>
      <c r="S35" s="25"/>
      <c r="T35" s="25"/>
      <c r="U35" s="25"/>
    </row>
    <row r="36" spans="1:21">
      <c r="A36" s="14" t="s">
        <v>67</v>
      </c>
      <c r="B36" s="13">
        <v>1033</v>
      </c>
      <c r="C36" s="13" t="s">
        <v>979</v>
      </c>
      <c r="D36" s="14">
        <v>27.15</v>
      </c>
      <c r="E36" s="14">
        <v>4202</v>
      </c>
      <c r="F36" s="14">
        <v>500</v>
      </c>
      <c r="H36" s="25">
        <v>1033</v>
      </c>
      <c r="I36" s="24" t="s">
        <v>979</v>
      </c>
      <c r="J36" s="7">
        <f>S36</f>
        <v>4202</v>
      </c>
      <c r="K36" s="25">
        <v>500</v>
      </c>
      <c r="L36" s="25"/>
      <c r="M36" s="25">
        <f t="shared" si="0"/>
        <v>0</v>
      </c>
      <c r="N36" s="25">
        <f t="shared" si="1"/>
        <v>0</v>
      </c>
      <c r="O36" s="25"/>
      <c r="P36" s="25"/>
      <c r="Q36" s="26">
        <v>43556</v>
      </c>
      <c r="R36" s="27">
        <v>44287</v>
      </c>
      <c r="S36" s="25">
        <v>4202</v>
      </c>
      <c r="T36" s="25"/>
      <c r="U36" s="25"/>
    </row>
    <row r="37" spans="1:21">
      <c r="A37" s="14" t="s">
        <v>67</v>
      </c>
      <c r="B37" s="13">
        <v>1034</v>
      </c>
      <c r="C37" s="13"/>
      <c r="D37" s="14"/>
      <c r="E37" s="14"/>
      <c r="F37" s="14"/>
      <c r="H37" s="25">
        <v>1034</v>
      </c>
      <c r="I37" s="24"/>
      <c r="K37" s="25"/>
      <c r="L37" s="25"/>
      <c r="M37" s="25">
        <f t="shared" si="0"/>
        <v>0</v>
      </c>
      <c r="N37" s="25">
        <f t="shared" si="1"/>
        <v>0</v>
      </c>
      <c r="O37" s="25"/>
      <c r="P37" s="25"/>
      <c r="Q37" s="26"/>
      <c r="R37" s="27"/>
      <c r="S37" s="25"/>
      <c r="T37" s="25"/>
      <c r="U37" s="25"/>
    </row>
    <row r="38" spans="1:21">
      <c r="A38" s="14" t="s">
        <v>67</v>
      </c>
      <c r="B38" s="13">
        <v>1035</v>
      </c>
      <c r="C38" s="13" t="s">
        <v>712</v>
      </c>
      <c r="D38" s="14">
        <v>27.15</v>
      </c>
      <c r="E38" s="14">
        <v>4202</v>
      </c>
      <c r="F38" s="14">
        <v>500</v>
      </c>
      <c r="H38" s="25">
        <v>1035</v>
      </c>
      <c r="I38" s="24" t="s">
        <v>712</v>
      </c>
      <c r="J38" s="7">
        <v>4202</v>
      </c>
      <c r="K38" s="25">
        <v>500</v>
      </c>
      <c r="L38" s="25"/>
      <c r="M38" s="25">
        <f t="shared" si="0"/>
        <v>0</v>
      </c>
      <c r="N38" s="25">
        <f t="shared" si="1"/>
        <v>0</v>
      </c>
      <c r="O38" s="25"/>
      <c r="P38" s="25"/>
      <c r="Q38" s="26">
        <v>44652</v>
      </c>
      <c r="R38" s="27"/>
      <c r="S38" s="25"/>
      <c r="T38" s="25"/>
      <c r="U38" s="25"/>
    </row>
    <row r="39" spans="1:21">
      <c r="A39" s="14" t="s">
        <v>67</v>
      </c>
      <c r="B39" s="13">
        <v>1036</v>
      </c>
      <c r="C39" s="13" t="s">
        <v>798</v>
      </c>
      <c r="D39" s="14">
        <v>27.15</v>
      </c>
      <c r="E39" s="14">
        <v>4202</v>
      </c>
      <c r="F39" s="14">
        <v>500</v>
      </c>
      <c r="H39" s="25">
        <v>1036</v>
      </c>
      <c r="I39" s="24" t="s">
        <v>798</v>
      </c>
      <c r="J39" s="7">
        <v>4202</v>
      </c>
      <c r="K39" s="25">
        <v>500</v>
      </c>
      <c r="L39" s="25"/>
      <c r="M39" s="25">
        <f t="shared" si="0"/>
        <v>0</v>
      </c>
      <c r="N39" s="25">
        <f t="shared" si="1"/>
        <v>0</v>
      </c>
      <c r="O39" s="25"/>
      <c r="P39" s="25"/>
      <c r="Q39" s="26">
        <v>44652</v>
      </c>
      <c r="R39" s="27"/>
      <c r="S39" s="25"/>
      <c r="T39" s="25"/>
      <c r="U39" s="25"/>
    </row>
    <row r="40" spans="1:21">
      <c r="A40" s="14" t="s">
        <v>67</v>
      </c>
      <c r="B40" s="13">
        <v>1037</v>
      </c>
      <c r="C40" s="13" t="s">
        <v>138</v>
      </c>
      <c r="D40" s="14">
        <v>27.15</v>
      </c>
      <c r="E40" s="14">
        <v>4202</v>
      </c>
      <c r="F40" s="14"/>
      <c r="H40" s="25">
        <v>1037</v>
      </c>
      <c r="I40" s="24" t="s">
        <v>138</v>
      </c>
      <c r="J40" s="7">
        <f>S40</f>
        <v>4202</v>
      </c>
      <c r="K40" s="25">
        <v>500</v>
      </c>
      <c r="L40" s="25"/>
      <c r="M40" s="25">
        <f t="shared" si="0"/>
        <v>0</v>
      </c>
      <c r="N40" s="25">
        <f t="shared" si="1"/>
        <v>-500</v>
      </c>
      <c r="O40" s="25"/>
      <c r="P40" s="25"/>
      <c r="Q40" s="26">
        <v>43556</v>
      </c>
      <c r="R40" s="27">
        <v>44287</v>
      </c>
      <c r="S40" s="25">
        <v>4202</v>
      </c>
      <c r="T40" s="25"/>
      <c r="U40" s="25"/>
    </row>
    <row r="41" spans="1:21">
      <c r="A41" s="14" t="s">
        <v>67</v>
      </c>
      <c r="B41" s="13">
        <v>1038</v>
      </c>
      <c r="C41" s="13" t="s">
        <v>799</v>
      </c>
      <c r="D41" s="14">
        <v>27.15</v>
      </c>
      <c r="E41" s="14">
        <v>4202</v>
      </c>
      <c r="F41" s="14">
        <v>500</v>
      </c>
      <c r="H41" s="25">
        <v>1038</v>
      </c>
      <c r="I41" s="24" t="s">
        <v>799</v>
      </c>
      <c r="J41" s="7">
        <v>4202</v>
      </c>
      <c r="K41" s="25">
        <v>500</v>
      </c>
      <c r="L41" s="25"/>
      <c r="M41" s="25">
        <f t="shared" si="0"/>
        <v>0</v>
      </c>
      <c r="N41" s="25">
        <f t="shared" si="1"/>
        <v>0</v>
      </c>
      <c r="O41" s="25"/>
      <c r="P41" s="25"/>
      <c r="Q41" s="26">
        <v>44652</v>
      </c>
      <c r="R41" s="27"/>
      <c r="S41" s="25"/>
      <c r="T41" s="25"/>
      <c r="U41" s="25"/>
    </row>
    <row r="42" spans="1:21">
      <c r="A42" s="14" t="s">
        <v>67</v>
      </c>
      <c r="B42" s="13">
        <v>1039</v>
      </c>
      <c r="C42" s="13" t="s">
        <v>181</v>
      </c>
      <c r="D42" s="14">
        <v>27.15</v>
      </c>
      <c r="E42" s="14">
        <v>4624</v>
      </c>
      <c r="F42" s="14">
        <v>500</v>
      </c>
      <c r="H42" s="25">
        <v>1039</v>
      </c>
      <c r="I42" s="24" t="s">
        <v>181</v>
      </c>
      <c r="J42" s="7">
        <f>U42</f>
        <v>4624</v>
      </c>
      <c r="K42" s="25">
        <v>500</v>
      </c>
      <c r="L42" s="25"/>
      <c r="M42" s="25">
        <f t="shared" si="0"/>
        <v>0</v>
      </c>
      <c r="N42" s="25">
        <f t="shared" si="1"/>
        <v>0</v>
      </c>
      <c r="O42" s="25"/>
      <c r="P42" s="25"/>
      <c r="Q42" s="26">
        <v>44228</v>
      </c>
      <c r="R42" s="25"/>
      <c r="S42" s="25"/>
      <c r="T42" s="27">
        <v>44593</v>
      </c>
      <c r="U42" s="25">
        <v>4624</v>
      </c>
    </row>
    <row r="43" spans="1:21">
      <c r="A43" s="14" t="s">
        <v>67</v>
      </c>
      <c r="B43" s="13">
        <v>1040</v>
      </c>
      <c r="C43" s="13" t="s">
        <v>149</v>
      </c>
      <c r="D43" s="14">
        <v>27.15</v>
      </c>
      <c r="E43" s="14">
        <f>5076-600</f>
        <v>4476</v>
      </c>
      <c r="F43" s="14">
        <v>500</v>
      </c>
      <c r="H43" s="25">
        <v>1040</v>
      </c>
      <c r="I43" s="24" t="s">
        <v>149</v>
      </c>
      <c r="J43" s="7">
        <v>5076</v>
      </c>
      <c r="K43" s="25">
        <v>500</v>
      </c>
      <c r="L43" s="25"/>
      <c r="M43" s="25">
        <f t="shared" si="0"/>
        <v>-600</v>
      </c>
      <c r="N43" s="25">
        <f t="shared" si="1"/>
        <v>0</v>
      </c>
      <c r="O43" s="25"/>
      <c r="P43" s="25"/>
      <c r="Q43" s="26">
        <v>44501</v>
      </c>
      <c r="R43" s="25"/>
      <c r="S43" s="25"/>
      <c r="T43" s="27">
        <v>44866</v>
      </c>
      <c r="U43" s="25">
        <f>2665*2</f>
        <v>5330</v>
      </c>
    </row>
    <row r="44" spans="1:21">
      <c r="A44" s="14" t="s">
        <v>67</v>
      </c>
      <c r="B44" s="13">
        <v>1041</v>
      </c>
      <c r="C44" s="13" t="s">
        <v>980</v>
      </c>
      <c r="D44" s="14">
        <v>27.15</v>
      </c>
      <c r="E44" s="14">
        <v>4202</v>
      </c>
      <c r="F44" s="14">
        <v>500</v>
      </c>
      <c r="H44" s="25">
        <v>1041</v>
      </c>
      <c r="I44" s="24" t="s">
        <v>980</v>
      </c>
      <c r="J44" s="7">
        <f>S44</f>
        <v>4202</v>
      </c>
      <c r="K44" s="25">
        <v>500</v>
      </c>
      <c r="L44" s="25"/>
      <c r="M44" s="25">
        <f t="shared" si="0"/>
        <v>0</v>
      </c>
      <c r="N44" s="25">
        <f t="shared" si="1"/>
        <v>0</v>
      </c>
      <c r="O44" s="25"/>
      <c r="P44" s="25"/>
      <c r="Q44" s="26">
        <v>43556</v>
      </c>
      <c r="R44" s="27">
        <v>44287</v>
      </c>
      <c r="S44" s="25">
        <v>4202</v>
      </c>
      <c r="T44" s="25"/>
      <c r="U44" s="25"/>
    </row>
    <row r="45" spans="1:21">
      <c r="A45" s="14" t="s">
        <v>67</v>
      </c>
      <c r="B45" s="13">
        <v>1042</v>
      </c>
      <c r="C45" s="13" t="s">
        <v>153</v>
      </c>
      <c r="D45" s="14">
        <v>27.15</v>
      </c>
      <c r="E45" s="14">
        <v>4202</v>
      </c>
      <c r="F45" s="14">
        <v>500</v>
      </c>
      <c r="H45" s="25">
        <v>1042</v>
      </c>
      <c r="I45" s="24" t="s">
        <v>153</v>
      </c>
      <c r="J45" s="7">
        <v>4202</v>
      </c>
      <c r="K45" s="25">
        <v>500</v>
      </c>
      <c r="L45" s="25"/>
      <c r="M45" s="25">
        <f t="shared" si="0"/>
        <v>0</v>
      </c>
      <c r="N45" s="25">
        <f t="shared" si="1"/>
        <v>0</v>
      </c>
      <c r="O45" s="25"/>
      <c r="P45" s="25"/>
      <c r="Q45" s="26">
        <v>44652</v>
      </c>
      <c r="R45" s="27"/>
      <c r="S45" s="25"/>
      <c r="T45" s="27"/>
      <c r="U45" s="25"/>
    </row>
    <row r="46" spans="1:21">
      <c r="A46" s="14" t="s">
        <v>67</v>
      </c>
      <c r="B46" s="13">
        <v>1043</v>
      </c>
      <c r="C46" s="13" t="s">
        <v>800</v>
      </c>
      <c r="D46" s="14">
        <v>27.15</v>
      </c>
      <c r="E46" s="14">
        <v>4202</v>
      </c>
      <c r="F46" s="14">
        <v>500</v>
      </c>
      <c r="H46" s="25">
        <v>1043</v>
      </c>
      <c r="I46" s="24" t="s">
        <v>800</v>
      </c>
      <c r="J46" s="7">
        <v>4202</v>
      </c>
      <c r="K46" s="25">
        <v>500</v>
      </c>
      <c r="L46" s="25"/>
      <c r="M46" s="25">
        <f t="shared" si="0"/>
        <v>0</v>
      </c>
      <c r="N46" s="25">
        <f t="shared" si="1"/>
        <v>0</v>
      </c>
      <c r="O46" s="25"/>
      <c r="P46" s="25"/>
      <c r="Q46" s="26">
        <v>44652</v>
      </c>
      <c r="R46" s="27"/>
      <c r="S46" s="25"/>
      <c r="T46" s="25"/>
      <c r="U46" s="25"/>
    </row>
    <row r="47" spans="1:21">
      <c r="A47" s="14" t="s">
        <v>67</v>
      </c>
      <c r="B47" s="14">
        <v>1044</v>
      </c>
      <c r="C47" s="13" t="s">
        <v>147</v>
      </c>
      <c r="D47" s="14">
        <v>27.15</v>
      </c>
      <c r="E47" s="14">
        <v>4202</v>
      </c>
      <c r="F47" s="14">
        <v>500</v>
      </c>
      <c r="H47" s="25">
        <v>1044</v>
      </c>
      <c r="I47" s="24" t="s">
        <v>147</v>
      </c>
      <c r="J47" s="7">
        <f>U47</f>
        <v>4202</v>
      </c>
      <c r="K47" s="25">
        <v>500</v>
      </c>
      <c r="L47" s="25"/>
      <c r="M47" s="25">
        <f t="shared" si="0"/>
        <v>0</v>
      </c>
      <c r="N47" s="25">
        <f t="shared" si="1"/>
        <v>0</v>
      </c>
      <c r="O47" s="25"/>
      <c r="P47" s="25"/>
      <c r="Q47" s="26">
        <v>44612</v>
      </c>
      <c r="R47" s="27"/>
      <c r="S47" s="25"/>
      <c r="T47" s="27">
        <v>44612</v>
      </c>
      <c r="U47" s="25">
        <f>2101+2101</f>
        <v>4202</v>
      </c>
    </row>
    <row r="48" spans="1:21">
      <c r="A48" s="14" t="s">
        <v>67</v>
      </c>
      <c r="B48" s="13">
        <v>1045</v>
      </c>
      <c r="C48" s="13" t="s">
        <v>801</v>
      </c>
      <c r="D48" s="14">
        <v>26.49</v>
      </c>
      <c r="E48" s="14">
        <v>4474</v>
      </c>
      <c r="F48" s="14">
        <v>500</v>
      </c>
      <c r="H48" s="25">
        <v>1045</v>
      </c>
      <c r="I48" s="24" t="s">
        <v>801</v>
      </c>
      <c r="J48" s="7">
        <f>S48</f>
        <v>4474</v>
      </c>
      <c r="K48" s="25">
        <v>500</v>
      </c>
      <c r="L48" s="25"/>
      <c r="M48" s="25">
        <f t="shared" si="0"/>
        <v>0</v>
      </c>
      <c r="N48" s="25">
        <f t="shared" si="1"/>
        <v>0</v>
      </c>
      <c r="O48" s="25"/>
      <c r="P48" s="25"/>
      <c r="Q48" s="26">
        <v>43739</v>
      </c>
      <c r="R48" s="27">
        <v>44287</v>
      </c>
      <c r="S48" s="25">
        <v>4474</v>
      </c>
      <c r="T48" s="25"/>
      <c r="U48" s="25"/>
    </row>
    <row r="49" spans="1:21">
      <c r="A49" s="14" t="s">
        <v>67</v>
      </c>
      <c r="B49" s="13">
        <v>1046</v>
      </c>
      <c r="C49" s="13" t="s">
        <v>161</v>
      </c>
      <c r="D49" s="14">
        <v>26.49</v>
      </c>
      <c r="E49" s="14">
        <v>4202</v>
      </c>
      <c r="F49" s="14">
        <v>500</v>
      </c>
      <c r="H49" s="25">
        <v>1046</v>
      </c>
      <c r="I49" s="24" t="s">
        <v>161</v>
      </c>
      <c r="J49" s="7">
        <v>4202</v>
      </c>
      <c r="K49" s="25">
        <v>500</v>
      </c>
      <c r="L49" s="25"/>
      <c r="M49" s="25">
        <f t="shared" si="0"/>
        <v>0</v>
      </c>
      <c r="N49" s="25">
        <f t="shared" si="1"/>
        <v>0</v>
      </c>
      <c r="O49" s="25"/>
      <c r="P49" s="25"/>
      <c r="Q49" s="26">
        <v>44652</v>
      </c>
      <c r="R49" s="27"/>
      <c r="S49" s="25"/>
      <c r="T49" s="27"/>
      <c r="U49" s="25"/>
    </row>
    <row r="50" spans="1:21">
      <c r="A50" s="14" t="s">
        <v>67</v>
      </c>
      <c r="B50" s="13">
        <v>1047</v>
      </c>
      <c r="C50" s="13" t="s">
        <v>802</v>
      </c>
      <c r="D50" s="14">
        <v>26.49</v>
      </c>
      <c r="E50" s="14">
        <v>4202</v>
      </c>
      <c r="F50" s="14">
        <v>500</v>
      </c>
      <c r="H50" s="25">
        <v>1047</v>
      </c>
      <c r="I50" s="24" t="s">
        <v>802</v>
      </c>
      <c r="J50" s="7">
        <f t="shared" ref="J50:J51" si="3">S50</f>
        <v>4202</v>
      </c>
      <c r="K50" s="25">
        <v>500</v>
      </c>
      <c r="L50" s="25"/>
      <c r="M50" s="25">
        <f t="shared" si="0"/>
        <v>0</v>
      </c>
      <c r="N50" s="25">
        <f t="shared" si="1"/>
        <v>0</v>
      </c>
      <c r="O50" s="25"/>
      <c r="P50" s="25"/>
      <c r="Q50" s="26">
        <v>43983</v>
      </c>
      <c r="R50" s="27">
        <v>44470</v>
      </c>
      <c r="S50" s="25">
        <v>4202</v>
      </c>
      <c r="T50" s="25"/>
      <c r="U50" s="25"/>
    </row>
    <row r="51" spans="1:21">
      <c r="A51" s="14" t="s">
        <v>67</v>
      </c>
      <c r="B51" s="13">
        <v>1048</v>
      </c>
      <c r="C51" s="13" t="s">
        <v>803</v>
      </c>
      <c r="D51" s="14">
        <v>26.49</v>
      </c>
      <c r="E51" s="14">
        <v>4202</v>
      </c>
      <c r="F51" s="14">
        <v>500</v>
      </c>
      <c r="H51" s="25">
        <v>1048</v>
      </c>
      <c r="I51" s="24" t="s">
        <v>803</v>
      </c>
      <c r="J51" s="7">
        <f t="shared" si="3"/>
        <v>4202</v>
      </c>
      <c r="K51" s="25">
        <v>500</v>
      </c>
      <c r="L51" s="25"/>
      <c r="M51" s="25">
        <f t="shared" si="0"/>
        <v>0</v>
      </c>
      <c r="N51" s="25">
        <f t="shared" si="1"/>
        <v>0</v>
      </c>
      <c r="O51" s="25"/>
      <c r="P51" s="25"/>
      <c r="Q51" s="26">
        <v>43739</v>
      </c>
      <c r="R51" s="27">
        <v>44470</v>
      </c>
      <c r="S51" s="25">
        <v>4202</v>
      </c>
      <c r="T51" s="25"/>
      <c r="U51" s="25"/>
    </row>
    <row r="52" spans="1:21">
      <c r="A52" s="14" t="s">
        <v>67</v>
      </c>
      <c r="B52" s="13">
        <v>1049</v>
      </c>
      <c r="C52" s="13" t="s">
        <v>167</v>
      </c>
      <c r="D52" s="14">
        <v>26.49</v>
      </c>
      <c r="E52" s="14">
        <v>4202</v>
      </c>
      <c r="F52" s="14">
        <v>500</v>
      </c>
      <c r="H52" s="25">
        <v>1049</v>
      </c>
      <c r="I52" s="24" t="s">
        <v>167</v>
      </c>
      <c r="J52" s="7">
        <v>4202</v>
      </c>
      <c r="K52" s="25">
        <v>500</v>
      </c>
      <c r="L52" s="25"/>
      <c r="M52" s="25">
        <f t="shared" si="0"/>
        <v>0</v>
      </c>
      <c r="N52" s="25">
        <f t="shared" si="1"/>
        <v>0</v>
      </c>
      <c r="O52" s="25"/>
      <c r="P52" s="25"/>
      <c r="Q52" s="26">
        <v>44652</v>
      </c>
      <c r="R52" s="27"/>
      <c r="S52" s="25"/>
      <c r="T52" s="25"/>
      <c r="U52" s="25"/>
    </row>
    <row r="53" spans="1:21">
      <c r="A53" s="14" t="s">
        <v>67</v>
      </c>
      <c r="B53" s="13">
        <v>1050</v>
      </c>
      <c r="C53" s="13" t="s">
        <v>713</v>
      </c>
      <c r="D53" s="14">
        <v>26.49</v>
      </c>
      <c r="E53" s="14">
        <v>4202</v>
      </c>
      <c r="F53" s="14">
        <v>500</v>
      </c>
      <c r="H53" s="25">
        <v>1050</v>
      </c>
      <c r="I53" s="24" t="s">
        <v>713</v>
      </c>
      <c r="J53" s="7">
        <v>4202</v>
      </c>
      <c r="K53" s="25">
        <v>500</v>
      </c>
      <c r="L53" s="25"/>
      <c r="M53" s="25">
        <f t="shared" si="0"/>
        <v>0</v>
      </c>
      <c r="N53" s="25">
        <f t="shared" si="1"/>
        <v>0</v>
      </c>
      <c r="O53" s="25"/>
      <c r="P53" s="25"/>
      <c r="Q53" s="26">
        <v>44652</v>
      </c>
      <c r="R53" s="27"/>
      <c r="S53" s="25"/>
      <c r="T53" s="25"/>
      <c r="U53" s="25"/>
    </row>
    <row r="54" spans="1:21">
      <c r="A54" s="14" t="s">
        <v>67</v>
      </c>
      <c r="B54" s="13">
        <v>1051</v>
      </c>
      <c r="C54" s="13" t="s">
        <v>714</v>
      </c>
      <c r="D54" s="14">
        <v>26.49</v>
      </c>
      <c r="E54" s="14">
        <v>4202</v>
      </c>
      <c r="F54" s="14">
        <v>500</v>
      </c>
      <c r="H54" s="25">
        <v>1051</v>
      </c>
      <c r="I54" s="24" t="s">
        <v>714</v>
      </c>
      <c r="J54" s="7">
        <v>4202</v>
      </c>
      <c r="K54" s="25">
        <v>500</v>
      </c>
      <c r="L54" s="25"/>
      <c r="M54" s="25">
        <f t="shared" si="0"/>
        <v>0</v>
      </c>
      <c r="N54" s="25">
        <f t="shared" si="1"/>
        <v>0</v>
      </c>
      <c r="O54" s="25"/>
      <c r="P54" s="25"/>
      <c r="Q54" s="26">
        <v>44652</v>
      </c>
      <c r="R54" s="27"/>
      <c r="S54" s="25"/>
      <c r="T54" s="25"/>
      <c r="U54" s="25"/>
    </row>
    <row r="55" spans="1:21">
      <c r="A55" s="14" t="s">
        <v>67</v>
      </c>
      <c r="B55" s="13">
        <v>1052</v>
      </c>
      <c r="C55" s="13" t="s">
        <v>804</v>
      </c>
      <c r="D55" s="14">
        <v>26.49</v>
      </c>
      <c r="E55" s="14">
        <v>4410</v>
      </c>
      <c r="F55" s="14">
        <v>500</v>
      </c>
      <c r="H55" s="25">
        <v>1052</v>
      </c>
      <c r="I55" s="24" t="s">
        <v>804</v>
      </c>
      <c r="J55" s="7">
        <f>U55</f>
        <v>4410</v>
      </c>
      <c r="K55" s="25">
        <v>500</v>
      </c>
      <c r="L55" s="25"/>
      <c r="M55" s="25">
        <f t="shared" si="0"/>
        <v>0</v>
      </c>
      <c r="N55" s="25">
        <f t="shared" si="1"/>
        <v>0</v>
      </c>
      <c r="O55" s="25"/>
      <c r="P55" s="25"/>
      <c r="Q55" s="26">
        <v>43922</v>
      </c>
      <c r="R55" s="27">
        <v>44287</v>
      </c>
      <c r="S55" s="25">
        <v>4200</v>
      </c>
      <c r="T55" s="27">
        <v>44652</v>
      </c>
      <c r="U55" s="25">
        <v>4410</v>
      </c>
    </row>
    <row r="56" spans="1:21">
      <c r="A56" s="14" t="s">
        <v>67</v>
      </c>
      <c r="B56" s="13">
        <v>1053</v>
      </c>
      <c r="C56" s="13" t="s">
        <v>805</v>
      </c>
      <c r="D56" s="14">
        <v>26.15</v>
      </c>
      <c r="E56" s="14">
        <v>4202</v>
      </c>
      <c r="F56" s="14">
        <v>500</v>
      </c>
      <c r="H56" s="25">
        <v>1053</v>
      </c>
      <c r="I56" s="24" t="s">
        <v>805</v>
      </c>
      <c r="J56" s="7">
        <v>4202</v>
      </c>
      <c r="K56" s="25">
        <v>500</v>
      </c>
      <c r="L56" s="25"/>
      <c r="M56" s="25">
        <f t="shared" si="0"/>
        <v>0</v>
      </c>
      <c r="N56" s="25">
        <f t="shared" si="1"/>
        <v>0</v>
      </c>
      <c r="O56" s="25"/>
      <c r="P56" s="25"/>
      <c r="Q56" s="26">
        <v>44652</v>
      </c>
      <c r="R56" s="27"/>
      <c r="S56" s="25"/>
      <c r="T56" s="25"/>
      <c r="U56" s="25"/>
    </row>
    <row r="57" spans="1:21">
      <c r="A57" s="14" t="s">
        <v>67</v>
      </c>
      <c r="B57" s="13">
        <v>1054</v>
      </c>
      <c r="C57" s="13" t="s">
        <v>177</v>
      </c>
      <c r="D57" s="14">
        <v>27.15</v>
      </c>
      <c r="E57" s="14">
        <v>4202</v>
      </c>
      <c r="F57" s="14">
        <v>500</v>
      </c>
      <c r="H57" s="25">
        <v>1054</v>
      </c>
      <c r="I57" s="24" t="s">
        <v>177</v>
      </c>
      <c r="J57" s="7">
        <v>4202</v>
      </c>
      <c r="K57" s="25">
        <v>500</v>
      </c>
      <c r="L57" s="25"/>
      <c r="M57" s="25">
        <f t="shared" si="0"/>
        <v>0</v>
      </c>
      <c r="N57" s="25">
        <f t="shared" si="1"/>
        <v>0</v>
      </c>
      <c r="O57" s="25"/>
      <c r="P57" s="25"/>
      <c r="Q57" s="26">
        <v>44652</v>
      </c>
      <c r="R57" s="27"/>
      <c r="S57" s="25"/>
      <c r="T57" s="25"/>
      <c r="U57" s="25"/>
    </row>
    <row r="58" spans="1:21">
      <c r="A58" s="14" t="s">
        <v>67</v>
      </c>
      <c r="B58" s="13">
        <v>1055</v>
      </c>
      <c r="C58" s="13" t="s">
        <v>806</v>
      </c>
      <c r="D58" s="14">
        <v>26.49</v>
      </c>
      <c r="E58" s="14">
        <v>4624</v>
      </c>
      <c r="F58" s="14">
        <v>500</v>
      </c>
      <c r="H58" s="25">
        <v>1055</v>
      </c>
      <c r="I58" s="24" t="s">
        <v>806</v>
      </c>
      <c r="J58" s="7">
        <f>U58</f>
        <v>4624</v>
      </c>
      <c r="K58" s="25">
        <v>500</v>
      </c>
      <c r="L58" s="25"/>
      <c r="M58" s="25">
        <f t="shared" si="0"/>
        <v>0</v>
      </c>
      <c r="N58" s="25">
        <f t="shared" si="1"/>
        <v>0</v>
      </c>
      <c r="O58" s="25"/>
      <c r="P58" s="25"/>
      <c r="Q58" s="26">
        <v>44287</v>
      </c>
      <c r="R58" s="25"/>
      <c r="S58" s="25"/>
      <c r="T58" s="27">
        <v>44652</v>
      </c>
      <c r="U58" s="25">
        <f>2312+2312</f>
        <v>4624</v>
      </c>
    </row>
    <row r="59" spans="1:21">
      <c r="A59" s="14" t="s">
        <v>67</v>
      </c>
      <c r="B59" s="13">
        <v>1056</v>
      </c>
      <c r="C59" s="13" t="s">
        <v>807</v>
      </c>
      <c r="D59" s="14">
        <v>26.49</v>
      </c>
      <c r="E59" s="14">
        <v>4202</v>
      </c>
      <c r="F59" s="14">
        <v>500</v>
      </c>
      <c r="H59" s="25">
        <v>1056</v>
      </c>
      <c r="I59" s="24" t="s">
        <v>807</v>
      </c>
      <c r="J59" s="7">
        <v>4202</v>
      </c>
      <c r="K59" s="25">
        <v>500</v>
      </c>
      <c r="L59" s="25"/>
      <c r="M59" s="25">
        <f t="shared" si="0"/>
        <v>0</v>
      </c>
      <c r="N59" s="25">
        <f t="shared" si="1"/>
        <v>0</v>
      </c>
      <c r="O59" s="25"/>
      <c r="P59" s="25"/>
      <c r="Q59" s="26">
        <v>44652</v>
      </c>
      <c r="R59" s="27"/>
      <c r="S59" s="25"/>
      <c r="T59" s="25"/>
      <c r="U59" s="25"/>
    </row>
    <row r="60" spans="1:21">
      <c r="A60" s="14" t="s">
        <v>67</v>
      </c>
      <c r="B60" s="13">
        <v>1057</v>
      </c>
      <c r="C60" s="13" t="s">
        <v>183</v>
      </c>
      <c r="D60" s="14">
        <v>26.49</v>
      </c>
      <c r="E60" s="14">
        <v>4202</v>
      </c>
      <c r="F60" s="14">
        <v>500</v>
      </c>
      <c r="H60" s="25">
        <v>1057</v>
      </c>
      <c r="I60" s="24" t="s">
        <v>183</v>
      </c>
      <c r="J60" s="7">
        <v>4202</v>
      </c>
      <c r="K60" s="25">
        <v>500</v>
      </c>
      <c r="L60" s="25"/>
      <c r="M60" s="25">
        <f t="shared" si="0"/>
        <v>0</v>
      </c>
      <c r="N60" s="25">
        <f t="shared" si="1"/>
        <v>0</v>
      </c>
      <c r="O60" s="25"/>
      <c r="P60" s="25"/>
      <c r="Q60" s="26">
        <v>44652</v>
      </c>
      <c r="R60" s="27"/>
      <c r="S60" s="25"/>
      <c r="T60" s="25"/>
      <c r="U60" s="25"/>
    </row>
    <row r="61" spans="1:21">
      <c r="A61" s="14" t="s">
        <v>67</v>
      </c>
      <c r="B61" s="13">
        <v>1058</v>
      </c>
      <c r="C61" s="13" t="s">
        <v>808</v>
      </c>
      <c r="D61" s="14">
        <v>26.49</v>
      </c>
      <c r="E61" s="14">
        <v>4202</v>
      </c>
      <c r="F61" s="14">
        <v>500</v>
      </c>
      <c r="H61" s="25">
        <v>1058</v>
      </c>
      <c r="I61" s="24" t="s">
        <v>809</v>
      </c>
      <c r="J61" s="7">
        <v>4202</v>
      </c>
      <c r="K61" s="25">
        <v>500</v>
      </c>
      <c r="L61" s="25"/>
      <c r="M61" s="25">
        <f t="shared" si="0"/>
        <v>0</v>
      </c>
      <c r="N61" s="25">
        <f t="shared" si="1"/>
        <v>0</v>
      </c>
      <c r="O61" s="25"/>
      <c r="P61" s="25"/>
      <c r="Q61" s="26">
        <v>44652</v>
      </c>
      <c r="R61" s="27"/>
      <c r="S61" s="25"/>
      <c r="T61" s="25"/>
      <c r="U61" s="25"/>
    </row>
    <row r="62" spans="1:21">
      <c r="A62" s="14" t="s">
        <v>67</v>
      </c>
      <c r="B62" s="13">
        <v>1059</v>
      </c>
      <c r="C62" s="13" t="s">
        <v>715</v>
      </c>
      <c r="D62" s="14">
        <v>26.49</v>
      </c>
      <c r="E62" s="14">
        <v>4202</v>
      </c>
      <c r="F62" s="14">
        <v>500</v>
      </c>
      <c r="H62" s="25">
        <v>1059</v>
      </c>
      <c r="I62" s="24" t="s">
        <v>715</v>
      </c>
      <c r="J62" s="7">
        <v>4202</v>
      </c>
      <c r="K62" s="25">
        <v>500</v>
      </c>
      <c r="L62" s="25"/>
      <c r="M62" s="25">
        <f t="shared" si="0"/>
        <v>0</v>
      </c>
      <c r="N62" s="25">
        <f t="shared" si="1"/>
        <v>0</v>
      </c>
      <c r="O62" s="25"/>
      <c r="P62" s="25"/>
      <c r="Q62" s="26">
        <v>44652</v>
      </c>
      <c r="R62" s="27"/>
      <c r="S62" s="25"/>
      <c r="T62" s="25"/>
      <c r="U62" s="25"/>
    </row>
    <row r="63" spans="1:21">
      <c r="A63" s="14" t="s">
        <v>67</v>
      </c>
      <c r="B63" s="13">
        <v>1060</v>
      </c>
      <c r="C63" s="13" t="s">
        <v>810</v>
      </c>
      <c r="D63" s="14">
        <v>26.49</v>
      </c>
      <c r="E63" s="14">
        <v>4202</v>
      </c>
      <c r="F63" s="14">
        <v>500</v>
      </c>
      <c r="H63" s="25">
        <v>1060</v>
      </c>
      <c r="I63" s="24" t="s">
        <v>810</v>
      </c>
      <c r="J63" s="7">
        <v>4202</v>
      </c>
      <c r="K63" s="25">
        <v>500</v>
      </c>
      <c r="L63" s="25"/>
      <c r="M63" s="25">
        <f t="shared" si="0"/>
        <v>0</v>
      </c>
      <c r="N63" s="25">
        <f t="shared" si="1"/>
        <v>0</v>
      </c>
      <c r="O63" s="25"/>
      <c r="P63" s="25"/>
      <c r="Q63" s="26">
        <v>44652</v>
      </c>
      <c r="R63" s="27"/>
      <c r="S63" s="25"/>
      <c r="T63" s="27"/>
      <c r="U63" s="25"/>
    </row>
    <row r="64" spans="1:21">
      <c r="A64" s="14" t="s">
        <v>67</v>
      </c>
      <c r="B64" s="13">
        <v>1061</v>
      </c>
      <c r="C64" s="13"/>
      <c r="D64" s="14"/>
      <c r="E64" s="14"/>
      <c r="F64" s="14"/>
      <c r="H64" s="25">
        <v>1061</v>
      </c>
      <c r="I64" s="24"/>
      <c r="K64" s="25"/>
      <c r="L64" s="25"/>
      <c r="M64" s="25">
        <f t="shared" si="0"/>
        <v>0</v>
      </c>
      <c r="N64" s="25">
        <f t="shared" si="1"/>
        <v>0</v>
      </c>
      <c r="O64" s="25"/>
      <c r="P64" s="25"/>
      <c r="Q64" s="26"/>
      <c r="R64" s="27"/>
      <c r="S64" s="25"/>
      <c r="T64" s="25"/>
      <c r="U64" s="25"/>
    </row>
    <row r="65" spans="1:21">
      <c r="A65" s="14" t="s">
        <v>67</v>
      </c>
      <c r="B65" s="13">
        <v>1062</v>
      </c>
      <c r="C65" s="13" t="s">
        <v>165</v>
      </c>
      <c r="D65" s="14">
        <v>27.15</v>
      </c>
      <c r="E65" s="14">
        <v>4202</v>
      </c>
      <c r="F65" s="14">
        <v>500</v>
      </c>
      <c r="H65" s="25">
        <v>1062</v>
      </c>
      <c r="I65" s="24" t="s">
        <v>165</v>
      </c>
      <c r="J65" s="7">
        <v>4202</v>
      </c>
      <c r="K65" s="25">
        <v>500</v>
      </c>
      <c r="L65" s="25"/>
      <c r="M65" s="25">
        <f t="shared" si="0"/>
        <v>0</v>
      </c>
      <c r="N65" s="25">
        <f t="shared" si="1"/>
        <v>0</v>
      </c>
      <c r="O65" s="25"/>
      <c r="P65" s="25"/>
      <c r="Q65" s="26">
        <v>44612</v>
      </c>
      <c r="R65" s="27"/>
      <c r="S65" s="25"/>
      <c r="T65" s="25"/>
      <c r="U65" s="25"/>
    </row>
    <row r="66" spans="1:21">
      <c r="A66" s="14" t="s">
        <v>67</v>
      </c>
      <c r="B66" s="13">
        <v>1063</v>
      </c>
      <c r="C66" s="13" t="s">
        <v>195</v>
      </c>
      <c r="D66" s="14">
        <v>6.21</v>
      </c>
      <c r="E66" s="14">
        <v>2240</v>
      </c>
      <c r="F66" s="14">
        <v>200</v>
      </c>
      <c r="H66" s="25">
        <v>1063</v>
      </c>
      <c r="I66" s="24" t="s">
        <v>195</v>
      </c>
      <c r="J66" s="7">
        <v>2240</v>
      </c>
      <c r="K66" s="25">
        <v>200</v>
      </c>
      <c r="L66" s="25"/>
      <c r="M66" s="25">
        <f t="shared" si="0"/>
        <v>0</v>
      </c>
      <c r="N66" s="25">
        <f t="shared" si="1"/>
        <v>0</v>
      </c>
      <c r="O66" s="25"/>
      <c r="P66" s="25"/>
      <c r="Q66" s="26">
        <v>44652</v>
      </c>
      <c r="R66" s="27"/>
      <c r="S66" s="25"/>
      <c r="T66" s="27"/>
      <c r="U66" s="25"/>
    </row>
    <row r="67" spans="1:21">
      <c r="A67" s="14" t="s">
        <v>67</v>
      </c>
      <c r="B67" s="13">
        <v>1065</v>
      </c>
      <c r="C67" s="13" t="s">
        <v>193</v>
      </c>
      <c r="D67" s="14">
        <v>6.21</v>
      </c>
      <c r="E67" s="14">
        <v>2240</v>
      </c>
      <c r="F67" s="14">
        <v>200</v>
      </c>
      <c r="H67" s="25">
        <v>1065</v>
      </c>
      <c r="I67" s="24" t="s">
        <v>193</v>
      </c>
      <c r="J67" s="7">
        <v>2240</v>
      </c>
      <c r="K67" s="25">
        <v>200</v>
      </c>
      <c r="L67" s="25"/>
      <c r="M67" s="25">
        <f t="shared" si="0"/>
        <v>0</v>
      </c>
      <c r="N67" s="25">
        <f t="shared" si="1"/>
        <v>0</v>
      </c>
      <c r="O67" s="25"/>
      <c r="P67" s="25"/>
      <c r="Q67" s="26">
        <v>44652</v>
      </c>
      <c r="R67" s="27"/>
      <c r="S67" s="25"/>
      <c r="T67" s="25"/>
      <c r="U67" s="25"/>
    </row>
    <row r="68" spans="1:21">
      <c r="A68" s="14" t="s">
        <v>67</v>
      </c>
      <c r="B68" s="13">
        <v>1066</v>
      </c>
      <c r="C68" s="13" t="s">
        <v>811</v>
      </c>
      <c r="D68" s="14">
        <v>27.15</v>
      </c>
      <c r="E68" s="14">
        <v>5370</v>
      </c>
      <c r="F68" s="14">
        <v>500</v>
      </c>
      <c r="H68" s="25">
        <v>1066</v>
      </c>
      <c r="I68" s="24" t="s">
        <v>811</v>
      </c>
      <c r="J68" s="7">
        <f>S68</f>
        <v>5370</v>
      </c>
      <c r="K68" s="25">
        <v>500</v>
      </c>
      <c r="L68" s="25"/>
      <c r="M68" s="25">
        <f t="shared" si="0"/>
        <v>0</v>
      </c>
      <c r="N68" s="25">
        <f t="shared" si="1"/>
        <v>0</v>
      </c>
      <c r="O68" s="25"/>
      <c r="P68" s="25"/>
      <c r="Q68" s="26">
        <v>43739</v>
      </c>
      <c r="R68" s="27">
        <v>44470</v>
      </c>
      <c r="S68" s="25">
        <v>5370</v>
      </c>
      <c r="T68" s="25"/>
      <c r="U68" s="25"/>
    </row>
    <row r="69" ht="27" spans="1:21">
      <c r="A69" s="14" t="s">
        <v>201</v>
      </c>
      <c r="B69" s="30" t="s">
        <v>202</v>
      </c>
      <c r="C69" s="13" t="s">
        <v>981</v>
      </c>
      <c r="D69" s="14"/>
      <c r="E69" s="14">
        <v>1600</v>
      </c>
      <c r="F69" s="14"/>
      <c r="H69" s="31" t="s">
        <v>716</v>
      </c>
      <c r="I69" s="32" t="s">
        <v>812</v>
      </c>
      <c r="J69" s="7">
        <v>1600</v>
      </c>
      <c r="K69" s="33"/>
      <c r="L69" s="33"/>
      <c r="M69" s="25">
        <f t="shared" ref="M69:M82" si="4">E69-J69</f>
        <v>0</v>
      </c>
      <c r="N69" s="25">
        <f t="shared" ref="N69:N82" si="5">F69-K69</f>
        <v>0</v>
      </c>
      <c r="O69" s="33"/>
      <c r="P69" s="33"/>
      <c r="Q69" s="34">
        <v>44602</v>
      </c>
      <c r="R69" s="33"/>
      <c r="S69" s="33"/>
      <c r="T69" s="33"/>
      <c r="U69" s="33"/>
    </row>
    <row r="70" ht="27" spans="1:21">
      <c r="A70" s="14" t="s">
        <v>201</v>
      </c>
      <c r="B70" s="30" t="s">
        <v>813</v>
      </c>
      <c r="C70" s="13"/>
      <c r="D70" s="14"/>
      <c r="E70" s="14"/>
      <c r="F70" s="14"/>
      <c r="H70" s="31" t="s">
        <v>717</v>
      </c>
      <c r="I70" s="32"/>
      <c r="K70" s="33"/>
      <c r="L70" s="33"/>
      <c r="M70" s="25">
        <f t="shared" si="4"/>
        <v>0</v>
      </c>
      <c r="N70" s="25">
        <f t="shared" si="5"/>
        <v>0</v>
      </c>
      <c r="O70" s="33"/>
      <c r="P70" s="33"/>
      <c r="Q70" s="34"/>
      <c r="R70" s="33"/>
      <c r="S70" s="33"/>
      <c r="T70" s="33"/>
      <c r="U70" s="33"/>
    </row>
    <row r="71" ht="27" spans="1:21">
      <c r="A71" s="14" t="s">
        <v>201</v>
      </c>
      <c r="B71" s="30" t="s">
        <v>814</v>
      </c>
      <c r="C71" s="13"/>
      <c r="D71" s="14"/>
      <c r="E71" s="14"/>
      <c r="F71" s="14"/>
      <c r="H71" s="31" t="s">
        <v>815</v>
      </c>
      <c r="I71" s="35"/>
      <c r="K71" s="33"/>
      <c r="L71" s="33"/>
      <c r="M71" s="25">
        <f t="shared" si="4"/>
        <v>0</v>
      </c>
      <c r="N71" s="25">
        <f t="shared" si="5"/>
        <v>0</v>
      </c>
      <c r="O71" s="33"/>
      <c r="P71" s="33"/>
      <c r="Q71" s="34"/>
      <c r="R71" s="33"/>
      <c r="S71" s="33"/>
      <c r="T71" s="33"/>
      <c r="U71" s="33"/>
    </row>
    <row r="72" spans="1:21">
      <c r="A72" s="14" t="s">
        <v>214</v>
      </c>
      <c r="B72" s="13">
        <v>2001</v>
      </c>
      <c r="C72" s="13"/>
      <c r="D72" s="14"/>
      <c r="E72" s="14"/>
      <c r="F72" s="14"/>
      <c r="H72" s="25">
        <v>2001</v>
      </c>
      <c r="I72" s="24" t="s">
        <v>873</v>
      </c>
      <c r="K72" s="25"/>
      <c r="L72" s="25"/>
      <c r="M72" s="25">
        <f t="shared" si="4"/>
        <v>0</v>
      </c>
      <c r="N72" s="25">
        <f t="shared" si="5"/>
        <v>0</v>
      </c>
      <c r="O72" s="25"/>
      <c r="P72" s="25"/>
      <c r="Q72" s="26"/>
      <c r="R72" s="25"/>
      <c r="S72" s="25"/>
      <c r="T72" s="25"/>
      <c r="U72" s="25"/>
    </row>
    <row r="73" spans="1:21">
      <c r="A73" s="14" t="s">
        <v>214</v>
      </c>
      <c r="B73" s="13">
        <v>2002</v>
      </c>
      <c r="C73" s="13" t="s">
        <v>816</v>
      </c>
      <c r="D73" s="14">
        <v>19.54</v>
      </c>
      <c r="E73" s="14">
        <v>4000</v>
      </c>
      <c r="F73" s="14"/>
      <c r="H73" s="25">
        <v>2002</v>
      </c>
      <c r="I73" s="24" t="s">
        <v>217</v>
      </c>
      <c r="J73" s="7">
        <v>4000</v>
      </c>
      <c r="K73" s="25"/>
      <c r="L73" s="25"/>
      <c r="M73" s="25">
        <f t="shared" si="4"/>
        <v>0</v>
      </c>
      <c r="N73" s="25">
        <f t="shared" si="5"/>
        <v>0</v>
      </c>
      <c r="O73" s="25"/>
      <c r="P73" s="25"/>
      <c r="Q73" s="26">
        <v>43922</v>
      </c>
      <c r="R73" s="25"/>
      <c r="S73" s="25"/>
      <c r="T73" s="25"/>
      <c r="U73" s="25"/>
    </row>
    <row r="74" spans="1:21">
      <c r="A74" s="14" t="s">
        <v>214</v>
      </c>
      <c r="B74" s="13">
        <v>2003</v>
      </c>
      <c r="C74" s="13" t="s">
        <v>817</v>
      </c>
      <c r="D74" s="14">
        <v>19.54</v>
      </c>
      <c r="E74" s="14">
        <v>4000</v>
      </c>
      <c r="F74" s="14"/>
      <c r="H74" s="25">
        <v>2003</v>
      </c>
      <c r="I74" s="24" t="s">
        <v>818</v>
      </c>
      <c r="J74" s="7">
        <v>4000</v>
      </c>
      <c r="K74" s="25"/>
      <c r="L74" s="25"/>
      <c r="M74" s="25">
        <f t="shared" si="4"/>
        <v>0</v>
      </c>
      <c r="N74" s="25">
        <f t="shared" si="5"/>
        <v>0</v>
      </c>
      <c r="O74" s="25"/>
      <c r="P74" s="25"/>
      <c r="Q74" s="26">
        <v>44105</v>
      </c>
      <c r="R74" s="25"/>
      <c r="S74" s="25"/>
      <c r="T74" s="25"/>
      <c r="U74" s="25"/>
    </row>
    <row r="75" spans="1:21">
      <c r="A75" s="14" t="s">
        <v>214</v>
      </c>
      <c r="B75" s="13">
        <v>2004</v>
      </c>
      <c r="C75" s="13" t="s">
        <v>819</v>
      </c>
      <c r="D75" s="14">
        <v>19.54</v>
      </c>
      <c r="E75" s="14">
        <v>4000</v>
      </c>
      <c r="F75" s="14"/>
      <c r="H75" s="25">
        <v>2004</v>
      </c>
      <c r="I75" s="24" t="s">
        <v>819</v>
      </c>
      <c r="J75" s="7">
        <v>4000</v>
      </c>
      <c r="K75" s="25"/>
      <c r="L75" s="25"/>
      <c r="M75" s="25">
        <f t="shared" si="4"/>
        <v>0</v>
      </c>
      <c r="N75" s="25">
        <f t="shared" si="5"/>
        <v>0</v>
      </c>
      <c r="O75" s="25"/>
      <c r="P75" s="25"/>
      <c r="Q75" s="26">
        <v>44652</v>
      </c>
      <c r="R75" s="25"/>
      <c r="S75" s="25"/>
      <c r="T75" s="25"/>
      <c r="U75" s="25"/>
    </row>
    <row r="76" spans="1:21">
      <c r="A76" s="14" t="s">
        <v>214</v>
      </c>
      <c r="B76" s="13">
        <v>2005</v>
      </c>
      <c r="C76" s="13" t="s">
        <v>982</v>
      </c>
      <c r="D76" s="14">
        <v>19.54</v>
      </c>
      <c r="E76" s="14">
        <v>4000</v>
      </c>
      <c r="F76" s="14"/>
      <c r="H76" s="25">
        <v>2005</v>
      </c>
      <c r="I76" s="24" t="s">
        <v>820</v>
      </c>
      <c r="J76" s="7">
        <v>4000</v>
      </c>
      <c r="K76" s="25"/>
      <c r="L76" s="25"/>
      <c r="M76" s="25">
        <f t="shared" si="4"/>
        <v>0</v>
      </c>
      <c r="N76" s="25">
        <f t="shared" si="5"/>
        <v>0</v>
      </c>
      <c r="O76" s="25"/>
      <c r="P76" s="25"/>
      <c r="Q76" s="26">
        <v>44480</v>
      </c>
      <c r="R76" s="25"/>
      <c r="S76" s="25"/>
      <c r="T76" s="27">
        <v>44845</v>
      </c>
      <c r="U76" s="25">
        <v>4000</v>
      </c>
    </row>
    <row r="77" spans="1:21">
      <c r="A77" s="14" t="s">
        <v>214</v>
      </c>
      <c r="B77" s="13">
        <v>2006</v>
      </c>
      <c r="C77" s="13" t="s">
        <v>225</v>
      </c>
      <c r="D77" s="14">
        <v>19.54</v>
      </c>
      <c r="E77" s="14">
        <v>4000</v>
      </c>
      <c r="F77" s="14"/>
      <c r="H77" s="25">
        <v>2006</v>
      </c>
      <c r="I77" s="24" t="s">
        <v>225</v>
      </c>
      <c r="J77" s="7">
        <v>4000</v>
      </c>
      <c r="K77" s="25"/>
      <c r="L77" s="25"/>
      <c r="M77" s="25">
        <f t="shared" si="4"/>
        <v>0</v>
      </c>
      <c r="N77" s="25">
        <f t="shared" si="5"/>
        <v>0</v>
      </c>
      <c r="O77" s="25"/>
      <c r="P77" s="25"/>
      <c r="Q77" s="26">
        <v>44470</v>
      </c>
      <c r="R77" s="25"/>
      <c r="S77" s="25"/>
      <c r="T77" s="27">
        <v>44835</v>
      </c>
      <c r="U77" s="25">
        <v>4000</v>
      </c>
    </row>
    <row r="78" spans="1:21">
      <c r="A78" s="14" t="s">
        <v>214</v>
      </c>
      <c r="B78" s="13">
        <v>2007</v>
      </c>
      <c r="C78" s="13" t="s">
        <v>821</v>
      </c>
      <c r="D78" s="14">
        <v>19.54</v>
      </c>
      <c r="E78" s="14">
        <v>4000</v>
      </c>
      <c r="F78" s="14"/>
      <c r="H78" s="25">
        <v>2007</v>
      </c>
      <c r="I78" s="24" t="s">
        <v>821</v>
      </c>
      <c r="J78" s="7">
        <v>4100</v>
      </c>
      <c r="K78" s="25"/>
      <c r="L78" s="25"/>
      <c r="M78" s="25">
        <f t="shared" si="4"/>
        <v>-100</v>
      </c>
      <c r="N78" s="25">
        <f t="shared" si="5"/>
        <v>0</v>
      </c>
      <c r="O78" s="25"/>
      <c r="P78" s="25"/>
      <c r="Q78" s="26">
        <v>44044</v>
      </c>
      <c r="R78" s="25"/>
      <c r="S78" s="25"/>
      <c r="T78" s="25"/>
      <c r="U78" s="25"/>
    </row>
    <row r="79" spans="1:21">
      <c r="A79" s="14" t="s">
        <v>214</v>
      </c>
      <c r="B79" s="13">
        <v>2008</v>
      </c>
      <c r="C79" s="13" t="s">
        <v>822</v>
      </c>
      <c r="D79" s="14">
        <v>19.54</v>
      </c>
      <c r="E79" s="14">
        <f>4000</f>
        <v>4000</v>
      </c>
      <c r="F79" s="14"/>
      <c r="H79" s="25">
        <v>2008</v>
      </c>
      <c r="I79" s="24" t="s">
        <v>822</v>
      </c>
      <c r="J79" s="7">
        <v>4000</v>
      </c>
      <c r="K79" s="25"/>
      <c r="L79" s="25"/>
      <c r="M79" s="25">
        <f t="shared" si="4"/>
        <v>0</v>
      </c>
      <c r="N79" s="25">
        <f t="shared" si="5"/>
        <v>0</v>
      </c>
      <c r="O79" s="25"/>
      <c r="P79" s="25"/>
      <c r="Q79" s="26">
        <v>44053</v>
      </c>
      <c r="R79" s="25"/>
      <c r="S79" s="25"/>
      <c r="T79" s="25"/>
      <c r="U79" s="25"/>
    </row>
    <row r="80" spans="1:21">
      <c r="A80" s="14" t="s">
        <v>214</v>
      </c>
      <c r="B80" s="13">
        <v>2009</v>
      </c>
      <c r="C80" s="13" t="s">
        <v>983</v>
      </c>
      <c r="D80" s="14">
        <v>19.54</v>
      </c>
      <c r="E80" s="14">
        <v>4000</v>
      </c>
      <c r="F80" s="14"/>
      <c r="H80" s="25">
        <v>2009</v>
      </c>
      <c r="I80" s="24" t="s">
        <v>984</v>
      </c>
      <c r="J80" s="7">
        <v>4000</v>
      </c>
      <c r="K80" s="25"/>
      <c r="L80" s="25"/>
      <c r="M80" s="25">
        <f t="shared" si="4"/>
        <v>0</v>
      </c>
      <c r="N80" s="25">
        <f t="shared" si="5"/>
        <v>0</v>
      </c>
      <c r="O80" s="25"/>
      <c r="P80" s="25"/>
      <c r="Q80" s="26">
        <v>44287</v>
      </c>
      <c r="R80" s="25"/>
      <c r="S80" s="25"/>
      <c r="T80" s="25"/>
      <c r="U80" s="25"/>
    </row>
    <row r="81" spans="1:21">
      <c r="A81" s="14" t="s">
        <v>214</v>
      </c>
      <c r="B81" s="13">
        <v>2010</v>
      </c>
      <c r="C81" s="13" t="s">
        <v>823</v>
      </c>
      <c r="D81" s="14">
        <v>19.54</v>
      </c>
      <c r="E81" s="14">
        <v>4000</v>
      </c>
      <c r="F81" s="14"/>
      <c r="H81" s="25">
        <v>2010</v>
      </c>
      <c r="I81" s="24" t="s">
        <v>233</v>
      </c>
      <c r="J81" s="7">
        <v>4000</v>
      </c>
      <c r="K81" s="25"/>
      <c r="L81" s="25"/>
      <c r="M81" s="25">
        <f t="shared" si="4"/>
        <v>0</v>
      </c>
      <c r="N81" s="25">
        <f t="shared" si="5"/>
        <v>0</v>
      </c>
      <c r="O81" s="25"/>
      <c r="P81" s="25"/>
      <c r="Q81" s="26">
        <v>44105</v>
      </c>
      <c r="R81" s="25"/>
      <c r="S81" s="25"/>
      <c r="T81" s="25"/>
      <c r="U81" s="25"/>
    </row>
    <row r="82" spans="1:21">
      <c r="A82" s="14" t="s">
        <v>214</v>
      </c>
      <c r="B82" s="13">
        <v>2011</v>
      </c>
      <c r="C82" s="13" t="s">
        <v>235</v>
      </c>
      <c r="D82" s="14">
        <v>19.54</v>
      </c>
      <c r="E82" s="14">
        <v>4000</v>
      </c>
      <c r="F82" s="14"/>
      <c r="H82" s="25">
        <v>2011</v>
      </c>
      <c r="I82" s="24" t="s">
        <v>235</v>
      </c>
      <c r="J82" s="7">
        <f t="shared" ref="J82:J83" si="6">U82</f>
        <v>4000</v>
      </c>
      <c r="K82" s="25"/>
      <c r="L82" s="25"/>
      <c r="M82" s="25">
        <f t="shared" si="4"/>
        <v>0</v>
      </c>
      <c r="N82" s="25">
        <f t="shared" si="5"/>
        <v>0</v>
      </c>
      <c r="O82" s="25"/>
      <c r="P82" s="25"/>
      <c r="Q82" s="26">
        <v>44287</v>
      </c>
      <c r="R82" s="25"/>
      <c r="S82" s="25"/>
      <c r="T82" s="27">
        <v>44652</v>
      </c>
      <c r="U82" s="25">
        <v>4000</v>
      </c>
    </row>
    <row r="83" spans="1:21">
      <c r="A83" s="14" t="s">
        <v>214</v>
      </c>
      <c r="B83" s="13">
        <v>2012</v>
      </c>
      <c r="C83" s="13" t="s">
        <v>824</v>
      </c>
      <c r="D83" s="14">
        <v>19.54</v>
      </c>
      <c r="E83" s="14">
        <v>4000</v>
      </c>
      <c r="F83" s="14"/>
      <c r="H83" s="25">
        <v>2012</v>
      </c>
      <c r="I83" s="24" t="s">
        <v>824</v>
      </c>
      <c r="J83" s="7">
        <f t="shared" si="6"/>
        <v>4000</v>
      </c>
      <c r="K83" s="25"/>
      <c r="L83" s="25"/>
      <c r="M83" s="25">
        <f t="shared" ref="M83:M146" si="7">E83-J83</f>
        <v>0</v>
      </c>
      <c r="N83" s="25">
        <f t="shared" ref="N83:N146" si="8">F83-K83</f>
        <v>0</v>
      </c>
      <c r="O83" s="25"/>
      <c r="P83" s="25"/>
      <c r="Q83" s="26">
        <v>44287</v>
      </c>
      <c r="R83" s="25"/>
      <c r="S83" s="25"/>
      <c r="T83" s="27">
        <v>44652</v>
      </c>
      <c r="U83" s="25">
        <v>4000</v>
      </c>
    </row>
    <row r="84" spans="1:21">
      <c r="A84" s="14" t="s">
        <v>214</v>
      </c>
      <c r="B84" s="13">
        <v>2013</v>
      </c>
      <c r="C84" s="13" t="s">
        <v>825</v>
      </c>
      <c r="D84" s="14">
        <v>19.54</v>
      </c>
      <c r="E84" s="14">
        <v>4000</v>
      </c>
      <c r="F84" s="14"/>
      <c r="H84" s="25">
        <v>2013</v>
      </c>
      <c r="I84" s="24" t="s">
        <v>826</v>
      </c>
      <c r="J84" s="7">
        <v>4000</v>
      </c>
      <c r="K84" s="25"/>
      <c r="L84" s="25"/>
      <c r="M84" s="25">
        <f t="shared" si="7"/>
        <v>0</v>
      </c>
      <c r="N84" s="25">
        <f t="shared" si="8"/>
        <v>0</v>
      </c>
      <c r="O84" s="25"/>
      <c r="P84" s="25"/>
      <c r="Q84" s="26">
        <v>44044</v>
      </c>
      <c r="R84" s="25"/>
      <c r="S84" s="25"/>
      <c r="T84" s="25"/>
      <c r="U84" s="25"/>
    </row>
    <row r="85" spans="1:21">
      <c r="A85" s="14" t="s">
        <v>214</v>
      </c>
      <c r="B85" s="13">
        <v>2014</v>
      </c>
      <c r="C85" s="13" t="s">
        <v>827</v>
      </c>
      <c r="D85" s="14">
        <v>19.54</v>
      </c>
      <c r="E85" s="14">
        <v>4000</v>
      </c>
      <c r="F85" s="14"/>
      <c r="H85" s="25">
        <v>2014</v>
      </c>
      <c r="I85" s="24" t="s">
        <v>828</v>
      </c>
      <c r="J85" s="7">
        <v>4000</v>
      </c>
      <c r="K85" s="25"/>
      <c r="L85" s="25"/>
      <c r="M85" s="25">
        <f t="shared" si="7"/>
        <v>0</v>
      </c>
      <c r="N85" s="25">
        <f t="shared" si="8"/>
        <v>0</v>
      </c>
      <c r="O85" s="25"/>
      <c r="P85" s="25"/>
      <c r="Q85" s="26">
        <v>44044</v>
      </c>
      <c r="R85" s="25"/>
      <c r="S85" s="25"/>
      <c r="T85" s="25"/>
      <c r="U85" s="25"/>
    </row>
    <row r="86" spans="1:21">
      <c r="A86" s="14" t="s">
        <v>214</v>
      </c>
      <c r="B86" s="13">
        <v>2015</v>
      </c>
      <c r="C86" s="13" t="s">
        <v>829</v>
      </c>
      <c r="D86" s="14">
        <v>19.54</v>
      </c>
      <c r="E86" s="14">
        <v>4000</v>
      </c>
      <c r="F86" s="14"/>
      <c r="H86" s="25">
        <v>2015</v>
      </c>
      <c r="I86" s="24" t="s">
        <v>241</v>
      </c>
      <c r="J86" s="7">
        <v>4000</v>
      </c>
      <c r="K86" s="25"/>
      <c r="L86" s="25"/>
      <c r="M86" s="25">
        <f t="shared" si="7"/>
        <v>0</v>
      </c>
      <c r="N86" s="25">
        <f t="shared" si="8"/>
        <v>0</v>
      </c>
      <c r="O86" s="25"/>
      <c r="P86" s="25"/>
      <c r="Q86" s="26">
        <v>44136</v>
      </c>
      <c r="R86" s="25"/>
      <c r="S86" s="25"/>
      <c r="T86" s="25"/>
      <c r="U86" s="25"/>
    </row>
    <row r="87" spans="1:21">
      <c r="A87" s="14" t="s">
        <v>214</v>
      </c>
      <c r="B87" s="13">
        <v>2016</v>
      </c>
      <c r="C87" s="13" t="s">
        <v>985</v>
      </c>
      <c r="D87" s="14">
        <v>19.54</v>
      </c>
      <c r="E87" s="14">
        <v>4000</v>
      </c>
      <c r="F87" s="14"/>
      <c r="H87" s="25">
        <v>2016</v>
      </c>
      <c r="I87" s="24" t="s">
        <v>245</v>
      </c>
      <c r="J87" s="7">
        <v>4000</v>
      </c>
      <c r="K87" s="25"/>
      <c r="L87" s="25"/>
      <c r="M87" s="25">
        <f t="shared" si="7"/>
        <v>0</v>
      </c>
      <c r="N87" s="25">
        <f t="shared" si="8"/>
        <v>0</v>
      </c>
      <c r="O87" s="25"/>
      <c r="P87" s="25"/>
      <c r="Q87" s="26">
        <v>44323</v>
      </c>
      <c r="R87" s="25"/>
      <c r="S87" s="25"/>
      <c r="T87" s="27">
        <v>44688</v>
      </c>
      <c r="U87" s="25">
        <v>4000</v>
      </c>
    </row>
    <row r="88" spans="1:21">
      <c r="A88" s="14" t="s">
        <v>214</v>
      </c>
      <c r="B88" s="13">
        <v>2017</v>
      </c>
      <c r="C88" s="13" t="s">
        <v>245</v>
      </c>
      <c r="D88" s="14">
        <v>19.54</v>
      </c>
      <c r="E88" s="14">
        <v>4000</v>
      </c>
      <c r="F88" s="14"/>
      <c r="H88" s="25">
        <v>2017</v>
      </c>
      <c r="I88" s="24" t="s">
        <v>245</v>
      </c>
      <c r="J88" s="7">
        <v>4000</v>
      </c>
      <c r="K88" s="25"/>
      <c r="L88" s="25"/>
      <c r="M88" s="25">
        <f t="shared" si="7"/>
        <v>0</v>
      </c>
      <c r="N88" s="25">
        <f t="shared" si="8"/>
        <v>0</v>
      </c>
      <c r="O88" s="25"/>
      <c r="P88" s="25"/>
      <c r="Q88" s="26">
        <v>44636</v>
      </c>
      <c r="R88" s="25"/>
      <c r="S88" s="25"/>
      <c r="T88" s="25"/>
      <c r="U88" s="25"/>
    </row>
    <row r="89" spans="1:21">
      <c r="A89" s="14" t="s">
        <v>214</v>
      </c>
      <c r="B89" s="13">
        <v>2018</v>
      </c>
      <c r="C89" s="13" t="s">
        <v>830</v>
      </c>
      <c r="D89" s="14">
        <v>19.54</v>
      </c>
      <c r="E89" s="14">
        <v>4000</v>
      </c>
      <c r="F89" s="14"/>
      <c r="H89" s="25">
        <v>2018</v>
      </c>
      <c r="I89" s="24" t="s">
        <v>831</v>
      </c>
      <c r="J89" s="7">
        <v>4000</v>
      </c>
      <c r="K89" s="25"/>
      <c r="L89" s="25"/>
      <c r="M89" s="25">
        <f t="shared" si="7"/>
        <v>0</v>
      </c>
      <c r="N89" s="25">
        <f t="shared" si="8"/>
        <v>0</v>
      </c>
      <c r="O89" s="25"/>
      <c r="P89" s="25"/>
      <c r="Q89" s="26">
        <v>44044</v>
      </c>
      <c r="R89" s="25"/>
      <c r="S89" s="25"/>
      <c r="T89" s="25"/>
      <c r="U89" s="25"/>
    </row>
    <row r="90" spans="1:21">
      <c r="A90" s="14" t="s">
        <v>214</v>
      </c>
      <c r="B90" s="13">
        <v>2019</v>
      </c>
      <c r="C90" s="13"/>
      <c r="D90" s="14"/>
      <c r="E90" s="14"/>
      <c r="F90" s="14"/>
      <c r="H90" s="25">
        <v>2019</v>
      </c>
      <c r="I90" s="24"/>
      <c r="K90" s="25"/>
      <c r="L90" s="25"/>
      <c r="M90" s="25">
        <f t="shared" si="7"/>
        <v>0</v>
      </c>
      <c r="N90" s="25">
        <f t="shared" si="8"/>
        <v>0</v>
      </c>
      <c r="O90" s="25"/>
      <c r="P90" s="25"/>
      <c r="Q90" s="26"/>
      <c r="R90" s="25"/>
      <c r="S90" s="25"/>
      <c r="T90" s="25"/>
      <c r="U90" s="25"/>
    </row>
    <row r="91" spans="1:21">
      <c r="A91" s="14" t="s">
        <v>214</v>
      </c>
      <c r="B91" s="13">
        <v>2020</v>
      </c>
      <c r="C91" s="13" t="s">
        <v>832</v>
      </c>
      <c r="D91" s="14"/>
      <c r="E91" s="14">
        <v>4000</v>
      </c>
      <c r="F91" s="14"/>
      <c r="H91" s="25">
        <v>2020</v>
      </c>
      <c r="I91" s="24" t="s">
        <v>832</v>
      </c>
      <c r="J91" s="7">
        <v>4000</v>
      </c>
      <c r="K91" s="25">
        <v>0</v>
      </c>
      <c r="L91" s="25"/>
      <c r="M91" s="25">
        <f t="shared" si="7"/>
        <v>0</v>
      </c>
      <c r="N91" s="25">
        <f t="shared" si="8"/>
        <v>0</v>
      </c>
      <c r="O91" s="25"/>
      <c r="P91" s="25"/>
      <c r="Q91" s="26">
        <v>44636</v>
      </c>
      <c r="R91" s="25"/>
      <c r="S91" s="25"/>
      <c r="T91" s="25"/>
      <c r="U91" s="25"/>
    </row>
    <row r="92" spans="1:21">
      <c r="A92" s="14" t="s">
        <v>214</v>
      </c>
      <c r="B92" s="13">
        <v>2021</v>
      </c>
      <c r="C92" s="13" t="s">
        <v>833</v>
      </c>
      <c r="D92" s="14">
        <v>19.54</v>
      </c>
      <c r="E92" s="14">
        <v>4000</v>
      </c>
      <c r="F92" s="14"/>
      <c r="H92" s="25">
        <v>2021</v>
      </c>
      <c r="I92" s="24" t="s">
        <v>833</v>
      </c>
      <c r="J92" s="7">
        <v>4000</v>
      </c>
      <c r="K92" s="25"/>
      <c r="L92" s="25"/>
      <c r="M92" s="25">
        <f t="shared" si="7"/>
        <v>0</v>
      </c>
      <c r="N92" s="25">
        <f t="shared" si="8"/>
        <v>0</v>
      </c>
      <c r="O92" s="25"/>
      <c r="P92" s="25"/>
      <c r="Q92" s="26">
        <v>44397</v>
      </c>
      <c r="R92" s="25"/>
      <c r="S92" s="25"/>
      <c r="T92" s="27">
        <v>44762</v>
      </c>
      <c r="U92" s="25">
        <v>4000</v>
      </c>
    </row>
    <row r="93" spans="1:21">
      <c r="A93" s="14" t="s">
        <v>214</v>
      </c>
      <c r="B93" s="13" t="s">
        <v>986</v>
      </c>
      <c r="C93" s="13" t="s">
        <v>987</v>
      </c>
      <c r="D93" s="14">
        <v>39.08</v>
      </c>
      <c r="E93" s="14">
        <f>7500</f>
        <v>7500</v>
      </c>
      <c r="F93" s="14"/>
      <c r="H93" s="25">
        <v>2022</v>
      </c>
      <c r="I93" s="24" t="s">
        <v>988</v>
      </c>
      <c r="J93" s="7">
        <v>7500</v>
      </c>
      <c r="K93" s="25"/>
      <c r="L93" s="25"/>
      <c r="M93" s="25">
        <f t="shared" si="7"/>
        <v>0</v>
      </c>
      <c r="N93" s="25">
        <f t="shared" si="8"/>
        <v>0</v>
      </c>
      <c r="O93" s="25"/>
      <c r="P93" s="25"/>
      <c r="Q93" s="26">
        <v>44397</v>
      </c>
      <c r="R93" s="25"/>
      <c r="S93" s="25"/>
      <c r="T93" s="27">
        <v>44762</v>
      </c>
      <c r="U93" s="25">
        <v>7500</v>
      </c>
    </row>
    <row r="94" spans="1:21">
      <c r="A94" s="14" t="s">
        <v>214</v>
      </c>
      <c r="B94" s="13">
        <v>2024</v>
      </c>
      <c r="C94" s="13" t="s">
        <v>260</v>
      </c>
      <c r="D94" s="14">
        <v>19.54</v>
      </c>
      <c r="E94" s="14">
        <v>4000</v>
      </c>
      <c r="F94" s="14"/>
      <c r="H94" s="25">
        <v>2024</v>
      </c>
      <c r="I94" s="24" t="s">
        <v>260</v>
      </c>
      <c r="J94" s="7">
        <v>4000</v>
      </c>
      <c r="K94" s="25"/>
      <c r="L94" s="25"/>
      <c r="M94" s="25">
        <f t="shared" si="7"/>
        <v>0</v>
      </c>
      <c r="N94" s="25">
        <f t="shared" si="8"/>
        <v>0</v>
      </c>
      <c r="O94" s="25"/>
      <c r="P94" s="25"/>
      <c r="Q94" s="26">
        <v>44373</v>
      </c>
      <c r="R94" s="25"/>
      <c r="S94" s="25"/>
      <c r="T94" s="27">
        <v>44738</v>
      </c>
      <c r="U94" s="25">
        <v>4000</v>
      </c>
    </row>
    <row r="95" spans="1:21">
      <c r="A95" s="14" t="s">
        <v>214</v>
      </c>
      <c r="B95" s="13">
        <v>2025</v>
      </c>
      <c r="C95" s="13" t="s">
        <v>834</v>
      </c>
      <c r="D95" s="14">
        <v>23.84</v>
      </c>
      <c r="E95" s="14">
        <v>4000</v>
      </c>
      <c r="F95" s="14"/>
      <c r="H95" s="25">
        <v>2025</v>
      </c>
      <c r="I95" s="24" t="s">
        <v>834</v>
      </c>
      <c r="J95" s="7">
        <v>4000</v>
      </c>
      <c r="K95" s="25"/>
      <c r="L95" s="25"/>
      <c r="M95" s="25">
        <f t="shared" si="7"/>
        <v>0</v>
      </c>
      <c r="N95" s="25">
        <f t="shared" si="8"/>
        <v>0</v>
      </c>
      <c r="O95" s="25"/>
      <c r="P95" s="25"/>
      <c r="Q95" s="26">
        <v>44367</v>
      </c>
      <c r="R95" s="25"/>
      <c r="S95" s="25"/>
      <c r="T95" s="27">
        <v>44732</v>
      </c>
      <c r="U95" s="25">
        <v>4000</v>
      </c>
    </row>
    <row r="96" spans="1:21">
      <c r="A96" s="14" t="s">
        <v>214</v>
      </c>
      <c r="B96" s="13">
        <v>2026</v>
      </c>
      <c r="C96" s="13" t="s">
        <v>835</v>
      </c>
      <c r="D96" s="14">
        <v>38.03</v>
      </c>
      <c r="E96" s="14">
        <v>1800</v>
      </c>
      <c r="F96" s="14"/>
      <c r="H96" s="25">
        <v>2026</v>
      </c>
      <c r="I96" s="24" t="s">
        <v>719</v>
      </c>
      <c r="J96" s="7">
        <v>1800</v>
      </c>
      <c r="K96" s="25"/>
      <c r="L96" s="25"/>
      <c r="M96" s="25">
        <f t="shared" si="7"/>
        <v>0</v>
      </c>
      <c r="N96" s="25">
        <f t="shared" si="8"/>
        <v>0</v>
      </c>
      <c r="O96" s="25"/>
      <c r="P96" s="25"/>
      <c r="Q96" s="26">
        <v>44501</v>
      </c>
      <c r="R96" s="25"/>
      <c r="S96" s="25"/>
      <c r="T96" s="25"/>
      <c r="U96" s="25"/>
    </row>
    <row r="97" spans="1:21">
      <c r="A97" s="14" t="s">
        <v>214</v>
      </c>
      <c r="B97" s="13">
        <v>2027</v>
      </c>
      <c r="C97" s="13" t="s">
        <v>836</v>
      </c>
      <c r="D97" s="14">
        <v>39.33</v>
      </c>
      <c r="E97" s="14">
        <v>1180</v>
      </c>
      <c r="F97" s="14"/>
      <c r="H97" s="25">
        <v>2027</v>
      </c>
      <c r="I97" s="24" t="s">
        <v>720</v>
      </c>
      <c r="J97" s="7">
        <v>1180</v>
      </c>
      <c r="K97" s="25"/>
      <c r="L97" s="25"/>
      <c r="M97" s="25">
        <f t="shared" si="7"/>
        <v>0</v>
      </c>
      <c r="N97" s="25">
        <f t="shared" si="8"/>
        <v>0</v>
      </c>
      <c r="O97" s="25"/>
      <c r="P97" s="25"/>
      <c r="Q97" s="26"/>
      <c r="R97" s="25"/>
      <c r="S97" s="25"/>
      <c r="T97" s="25"/>
      <c r="U97" s="25"/>
    </row>
    <row r="98" spans="1:21">
      <c r="A98" s="14" t="s">
        <v>214</v>
      </c>
      <c r="B98" s="13">
        <v>2029</v>
      </c>
      <c r="C98" s="13" t="s">
        <v>267</v>
      </c>
      <c r="D98" s="14">
        <v>19.54</v>
      </c>
      <c r="E98" s="14">
        <v>1500</v>
      </c>
      <c r="F98" s="14"/>
      <c r="H98" s="25">
        <v>2029</v>
      </c>
      <c r="I98" s="24" t="s">
        <v>267</v>
      </c>
      <c r="J98" s="7">
        <v>1500</v>
      </c>
      <c r="K98" s="25"/>
      <c r="L98" s="25"/>
      <c r="M98" s="25">
        <f t="shared" si="7"/>
        <v>0</v>
      </c>
      <c r="N98" s="25">
        <f t="shared" si="8"/>
        <v>0</v>
      </c>
      <c r="O98" s="25"/>
      <c r="P98" s="25"/>
      <c r="Q98" s="26">
        <v>44440</v>
      </c>
      <c r="R98" s="25"/>
      <c r="S98" s="25"/>
      <c r="T98" s="25"/>
      <c r="U98" s="25"/>
    </row>
    <row r="99" spans="1:21">
      <c r="A99" s="14" t="s">
        <v>214</v>
      </c>
      <c r="B99" s="13">
        <v>2030</v>
      </c>
      <c r="C99" s="13" t="s">
        <v>837</v>
      </c>
      <c r="D99" s="14">
        <v>16.54</v>
      </c>
      <c r="E99" s="14">
        <v>4000</v>
      </c>
      <c r="F99" s="14"/>
      <c r="H99" s="25">
        <v>2030</v>
      </c>
      <c r="I99" s="24" t="s">
        <v>837</v>
      </c>
      <c r="J99" s="7">
        <v>4000</v>
      </c>
      <c r="K99" s="25"/>
      <c r="L99" s="25"/>
      <c r="M99" s="25">
        <f t="shared" si="7"/>
        <v>0</v>
      </c>
      <c r="N99" s="25">
        <f t="shared" si="8"/>
        <v>0</v>
      </c>
      <c r="O99" s="25"/>
      <c r="P99" s="25"/>
      <c r="Q99" s="36">
        <v>44136</v>
      </c>
      <c r="R99" s="25"/>
      <c r="S99" s="25"/>
      <c r="T99" s="25"/>
      <c r="U99" s="25"/>
    </row>
    <row r="100" spans="1:21">
      <c r="A100" s="14" t="s">
        <v>214</v>
      </c>
      <c r="B100" s="13">
        <v>2031</v>
      </c>
      <c r="C100" s="13" t="s">
        <v>270</v>
      </c>
      <c r="D100" s="14">
        <v>16.54</v>
      </c>
      <c r="E100" s="14">
        <v>4000</v>
      </c>
      <c r="F100" s="14"/>
      <c r="H100" s="25">
        <v>2031</v>
      </c>
      <c r="I100" s="24" t="s">
        <v>270</v>
      </c>
      <c r="J100" s="7">
        <v>4000</v>
      </c>
      <c r="K100" s="25"/>
      <c r="L100" s="25"/>
      <c r="M100" s="25">
        <f t="shared" si="7"/>
        <v>0</v>
      </c>
      <c r="N100" s="25">
        <f t="shared" si="8"/>
        <v>0</v>
      </c>
      <c r="O100" s="25"/>
      <c r="P100" s="25"/>
      <c r="Q100" s="26">
        <v>44105</v>
      </c>
      <c r="R100" s="25"/>
      <c r="S100" s="25"/>
      <c r="T100" s="25"/>
      <c r="U100" s="25"/>
    </row>
    <row r="101" spans="1:21">
      <c r="A101" s="14" t="s">
        <v>214</v>
      </c>
      <c r="B101" s="13">
        <v>2032</v>
      </c>
      <c r="C101" s="13" t="s">
        <v>838</v>
      </c>
      <c r="D101" s="14">
        <v>16.54</v>
      </c>
      <c r="E101" s="14">
        <v>4000</v>
      </c>
      <c r="F101" s="14"/>
      <c r="H101" s="25">
        <v>2032</v>
      </c>
      <c r="I101" s="24" t="s">
        <v>839</v>
      </c>
      <c r="J101" s="7">
        <f>U101</f>
        <v>4000</v>
      </c>
      <c r="K101" s="25"/>
      <c r="L101" s="25"/>
      <c r="M101" s="25">
        <f t="shared" si="7"/>
        <v>0</v>
      </c>
      <c r="N101" s="25">
        <f t="shared" si="8"/>
        <v>0</v>
      </c>
      <c r="O101" s="25"/>
      <c r="P101" s="25"/>
      <c r="Q101" s="26">
        <v>44287</v>
      </c>
      <c r="R101" s="25"/>
      <c r="S101" s="25"/>
      <c r="T101" s="27">
        <v>44652</v>
      </c>
      <c r="U101" s="25">
        <v>4000</v>
      </c>
    </row>
    <row r="102" spans="1:21">
      <c r="A102" s="14" t="s">
        <v>214</v>
      </c>
      <c r="B102" s="13">
        <v>2033</v>
      </c>
      <c r="C102" s="13" t="s">
        <v>438</v>
      </c>
      <c r="D102" s="14">
        <v>16.54</v>
      </c>
      <c r="E102" s="14">
        <v>4000</v>
      </c>
      <c r="F102" s="14"/>
      <c r="H102" s="25">
        <v>2033</v>
      </c>
      <c r="I102" s="24" t="s">
        <v>438</v>
      </c>
      <c r="J102" s="7">
        <v>4000</v>
      </c>
      <c r="K102" s="25"/>
      <c r="L102" s="25"/>
      <c r="M102" s="25">
        <f t="shared" si="7"/>
        <v>0</v>
      </c>
      <c r="N102" s="25">
        <f t="shared" si="8"/>
        <v>0</v>
      </c>
      <c r="O102" s="25"/>
      <c r="P102" s="25"/>
      <c r="Q102" s="36">
        <v>44136</v>
      </c>
      <c r="R102" s="25"/>
      <c r="S102" s="25"/>
      <c r="T102" s="25"/>
      <c r="U102" s="25"/>
    </row>
    <row r="103" spans="1:21">
      <c r="A103" s="14" t="s">
        <v>214</v>
      </c>
      <c r="B103" s="13">
        <v>2034</v>
      </c>
      <c r="C103" s="13" t="s">
        <v>639</v>
      </c>
      <c r="D103" s="14">
        <v>16.54</v>
      </c>
      <c r="E103" s="14">
        <v>4000</v>
      </c>
      <c r="F103" s="14"/>
      <c r="H103" s="25">
        <v>2034</v>
      </c>
      <c r="I103" s="24" t="s">
        <v>639</v>
      </c>
      <c r="J103" s="7">
        <f t="shared" ref="J103:J105" si="9">U103</f>
        <v>4000</v>
      </c>
      <c r="K103" s="25"/>
      <c r="L103" s="25"/>
      <c r="M103" s="25">
        <f t="shared" si="7"/>
        <v>0</v>
      </c>
      <c r="N103" s="25">
        <f t="shared" si="8"/>
        <v>0</v>
      </c>
      <c r="O103" s="25"/>
      <c r="P103" s="25"/>
      <c r="Q103" s="26">
        <v>44287</v>
      </c>
      <c r="R103" s="25"/>
      <c r="S103" s="25"/>
      <c r="T103" s="27">
        <v>44652</v>
      </c>
      <c r="U103" s="25">
        <v>4000</v>
      </c>
    </row>
    <row r="104" spans="1:21">
      <c r="A104" s="14" t="s">
        <v>214</v>
      </c>
      <c r="B104" s="13">
        <v>2035</v>
      </c>
      <c r="C104" s="13" t="s">
        <v>840</v>
      </c>
      <c r="D104" s="14">
        <v>16.54</v>
      </c>
      <c r="E104" s="14">
        <v>3025</v>
      </c>
      <c r="F104" s="14"/>
      <c r="H104" s="25">
        <v>2035</v>
      </c>
      <c r="I104" s="24" t="s">
        <v>639</v>
      </c>
      <c r="J104" s="7">
        <f t="shared" si="9"/>
        <v>3025</v>
      </c>
      <c r="K104" s="25"/>
      <c r="L104" s="25"/>
      <c r="M104" s="25">
        <f t="shared" si="7"/>
        <v>0</v>
      </c>
      <c r="N104" s="25">
        <f t="shared" si="8"/>
        <v>0</v>
      </c>
      <c r="O104" s="25"/>
      <c r="P104" s="25"/>
      <c r="Q104" s="26">
        <v>44287</v>
      </c>
      <c r="R104" s="25"/>
      <c r="S104" s="25"/>
      <c r="T104" s="27">
        <v>44652</v>
      </c>
      <c r="U104" s="25">
        <v>3025</v>
      </c>
    </row>
    <row r="105" spans="1:21">
      <c r="A105" s="14" t="s">
        <v>214</v>
      </c>
      <c r="B105" s="13" t="s">
        <v>280</v>
      </c>
      <c r="C105" s="13" t="s">
        <v>842</v>
      </c>
      <c r="D105" s="14">
        <v>16.54</v>
      </c>
      <c r="E105" s="14">
        <v>4000</v>
      </c>
      <c r="F105" s="14"/>
      <c r="H105" s="25" t="s">
        <v>280</v>
      </c>
      <c r="I105" s="24" t="s">
        <v>842</v>
      </c>
      <c r="J105" s="7">
        <f t="shared" si="9"/>
        <v>4000</v>
      </c>
      <c r="K105" s="25"/>
      <c r="L105" s="25"/>
      <c r="M105" s="25">
        <f t="shared" si="7"/>
        <v>0</v>
      </c>
      <c r="N105" s="25">
        <f t="shared" si="8"/>
        <v>0</v>
      </c>
      <c r="O105" s="25"/>
      <c r="P105" s="25"/>
      <c r="Q105" s="26">
        <v>44287</v>
      </c>
      <c r="R105" s="25"/>
      <c r="S105" s="25"/>
      <c r="T105" s="27">
        <v>44652</v>
      </c>
      <c r="U105" s="25">
        <v>4000</v>
      </c>
    </row>
    <row r="106" spans="1:21">
      <c r="A106" s="14" t="s">
        <v>214</v>
      </c>
      <c r="B106" s="13">
        <v>2036</v>
      </c>
      <c r="C106" s="13" t="s">
        <v>283</v>
      </c>
      <c r="D106" s="14">
        <v>20.69</v>
      </c>
      <c r="E106" s="14">
        <v>4000</v>
      </c>
      <c r="F106" s="14"/>
      <c r="H106" s="25">
        <v>2036</v>
      </c>
      <c r="I106" s="24" t="s">
        <v>283</v>
      </c>
      <c r="J106" s="7">
        <v>4000</v>
      </c>
      <c r="K106" s="25"/>
      <c r="L106" s="25"/>
      <c r="M106" s="25">
        <f t="shared" si="7"/>
        <v>0</v>
      </c>
      <c r="N106" s="25">
        <f t="shared" si="8"/>
        <v>0</v>
      </c>
      <c r="O106" s="25"/>
      <c r="P106" s="25"/>
      <c r="Q106" s="36">
        <v>44136</v>
      </c>
      <c r="R106" s="25"/>
      <c r="S106" s="25"/>
      <c r="T106" s="25"/>
      <c r="U106" s="25"/>
    </row>
    <row r="107" spans="1:21">
      <c r="A107" s="14" t="s">
        <v>214</v>
      </c>
      <c r="B107" s="13">
        <v>2036</v>
      </c>
      <c r="C107" s="13" t="s">
        <v>283</v>
      </c>
      <c r="D107" s="14" t="s">
        <v>989</v>
      </c>
      <c r="E107" s="14"/>
      <c r="F107" s="14"/>
      <c r="H107" s="25"/>
      <c r="I107" s="24"/>
      <c r="K107" s="25"/>
      <c r="L107" s="25"/>
      <c r="M107" s="25">
        <f t="shared" si="7"/>
        <v>0</v>
      </c>
      <c r="N107" s="25">
        <f t="shared" si="8"/>
        <v>0</v>
      </c>
      <c r="O107" s="25"/>
      <c r="P107" s="25"/>
      <c r="Q107" s="36"/>
      <c r="R107" s="25"/>
      <c r="S107" s="25"/>
      <c r="T107" s="25"/>
      <c r="U107" s="25"/>
    </row>
    <row r="108" spans="1:21">
      <c r="A108" s="14" t="s">
        <v>214</v>
      </c>
      <c r="B108" s="13">
        <v>2037</v>
      </c>
      <c r="C108" s="13" t="s">
        <v>286</v>
      </c>
      <c r="D108" s="14">
        <v>16.54</v>
      </c>
      <c r="E108" s="14">
        <v>4000</v>
      </c>
      <c r="F108" s="14"/>
      <c r="H108" s="25">
        <v>2037</v>
      </c>
      <c r="I108" s="24" t="s">
        <v>721</v>
      </c>
      <c r="J108" s="7">
        <v>4000</v>
      </c>
      <c r="K108" s="25"/>
      <c r="L108" s="25"/>
      <c r="M108" s="25">
        <f t="shared" si="7"/>
        <v>0</v>
      </c>
      <c r="N108" s="25">
        <f t="shared" si="8"/>
        <v>0</v>
      </c>
      <c r="O108" s="25"/>
      <c r="P108" s="25"/>
      <c r="Q108" s="26">
        <v>44440</v>
      </c>
      <c r="R108" s="25"/>
      <c r="S108" s="25"/>
      <c r="T108" s="27">
        <v>44805</v>
      </c>
      <c r="U108" s="25">
        <v>4000</v>
      </c>
    </row>
    <row r="109" spans="1:21">
      <c r="A109" s="14" t="s">
        <v>214</v>
      </c>
      <c r="B109" s="13">
        <v>2038</v>
      </c>
      <c r="C109" s="13" t="s">
        <v>990</v>
      </c>
      <c r="D109" s="14">
        <v>16.54</v>
      </c>
      <c r="E109" s="14">
        <v>4000</v>
      </c>
      <c r="F109" s="14"/>
      <c r="H109" s="25">
        <v>2038</v>
      </c>
      <c r="I109" s="24" t="s">
        <v>990</v>
      </c>
      <c r="J109" s="7">
        <v>4000</v>
      </c>
      <c r="K109" s="25"/>
      <c r="L109" s="25"/>
      <c r="M109" s="25">
        <f t="shared" si="7"/>
        <v>0</v>
      </c>
      <c r="N109" s="25">
        <f t="shared" si="8"/>
        <v>0</v>
      </c>
      <c r="O109" s="25"/>
      <c r="P109" s="25"/>
      <c r="Q109" s="26">
        <v>44044</v>
      </c>
      <c r="R109" s="25"/>
      <c r="S109" s="25"/>
      <c r="T109" s="25"/>
      <c r="U109" s="25"/>
    </row>
    <row r="110" spans="1:21">
      <c r="A110" s="14" t="s">
        <v>214</v>
      </c>
      <c r="B110" s="13">
        <v>2039</v>
      </c>
      <c r="C110" s="13" t="s">
        <v>843</v>
      </c>
      <c r="D110" s="14">
        <v>16.54</v>
      </c>
      <c r="E110" s="14">
        <v>4000</v>
      </c>
      <c r="F110" s="14"/>
      <c r="H110" s="25">
        <v>2039</v>
      </c>
      <c r="I110" s="24" t="s">
        <v>844</v>
      </c>
      <c r="J110" s="7">
        <v>4000</v>
      </c>
      <c r="K110" s="25"/>
      <c r="L110" s="25"/>
      <c r="M110" s="25">
        <f t="shared" si="7"/>
        <v>0</v>
      </c>
      <c r="N110" s="25">
        <f t="shared" si="8"/>
        <v>0</v>
      </c>
      <c r="O110" s="25"/>
      <c r="P110" s="25"/>
      <c r="Q110" s="26">
        <v>44070</v>
      </c>
      <c r="R110" s="25"/>
      <c r="S110" s="25"/>
      <c r="T110" s="25"/>
      <c r="U110" s="25"/>
    </row>
    <row r="111" spans="1:21">
      <c r="A111" s="14" t="s">
        <v>214</v>
      </c>
      <c r="B111" s="13">
        <v>2040</v>
      </c>
      <c r="C111" s="13"/>
      <c r="D111" s="14"/>
      <c r="E111" s="14"/>
      <c r="F111" s="14"/>
      <c r="H111" s="25">
        <v>2040</v>
      </c>
      <c r="I111" s="24"/>
      <c r="K111" s="25"/>
      <c r="L111" s="25"/>
      <c r="M111" s="25">
        <f t="shared" si="7"/>
        <v>0</v>
      </c>
      <c r="N111" s="25">
        <f t="shared" si="8"/>
        <v>0</v>
      </c>
      <c r="O111" s="25"/>
      <c r="P111" s="25"/>
      <c r="Q111" s="26"/>
      <c r="R111" s="25"/>
      <c r="S111" s="25"/>
      <c r="T111" s="25"/>
      <c r="U111" s="25"/>
    </row>
    <row r="112" spans="1:21">
      <c r="A112" s="14" t="s">
        <v>214</v>
      </c>
      <c r="B112" s="13">
        <v>2041</v>
      </c>
      <c r="C112" s="13" t="s">
        <v>991</v>
      </c>
      <c r="D112" s="14">
        <v>16.54</v>
      </c>
      <c r="E112" s="14">
        <v>4000</v>
      </c>
      <c r="F112" s="14"/>
      <c r="H112" s="25">
        <v>2041</v>
      </c>
      <c r="I112" s="24" t="s">
        <v>991</v>
      </c>
      <c r="J112" s="7">
        <f>U112</f>
        <v>4000</v>
      </c>
      <c r="K112" s="25"/>
      <c r="L112" s="25"/>
      <c r="M112" s="25">
        <f t="shared" si="7"/>
        <v>0</v>
      </c>
      <c r="N112" s="25">
        <f t="shared" si="8"/>
        <v>0</v>
      </c>
      <c r="O112" s="25"/>
      <c r="P112" s="25"/>
      <c r="Q112" s="26">
        <v>44612</v>
      </c>
      <c r="R112" s="25"/>
      <c r="S112" s="25"/>
      <c r="T112" s="27">
        <v>44612</v>
      </c>
      <c r="U112" s="25">
        <v>4000</v>
      </c>
    </row>
    <row r="113" spans="1:21">
      <c r="A113" s="14" t="s">
        <v>214</v>
      </c>
      <c r="B113" s="13">
        <v>2042</v>
      </c>
      <c r="C113" s="13" t="s">
        <v>846</v>
      </c>
      <c r="D113" s="14">
        <v>16.54</v>
      </c>
      <c r="E113" s="14">
        <v>4000</v>
      </c>
      <c r="F113" s="14"/>
      <c r="H113" s="25">
        <v>2042</v>
      </c>
      <c r="I113" s="24" t="s">
        <v>846</v>
      </c>
      <c r="J113" s="7">
        <v>4000</v>
      </c>
      <c r="K113" s="25"/>
      <c r="L113" s="25"/>
      <c r="M113" s="25">
        <f t="shared" si="7"/>
        <v>0</v>
      </c>
      <c r="N113" s="25">
        <f t="shared" si="8"/>
        <v>0</v>
      </c>
      <c r="O113" s="25"/>
      <c r="P113" s="25"/>
      <c r="Q113" s="26">
        <v>44032</v>
      </c>
      <c r="R113" s="25"/>
      <c r="S113" s="25"/>
      <c r="T113" s="25"/>
      <c r="U113" s="25"/>
    </row>
    <row r="114" spans="1:21">
      <c r="A114" s="14" t="s">
        <v>214</v>
      </c>
      <c r="B114" s="13">
        <v>2043</v>
      </c>
      <c r="C114" s="13" t="s">
        <v>297</v>
      </c>
      <c r="D114" s="14">
        <v>16.54</v>
      </c>
      <c r="E114" s="14">
        <v>4000</v>
      </c>
      <c r="F114" s="14"/>
      <c r="H114" s="25">
        <v>2043</v>
      </c>
      <c r="I114" s="24" t="s">
        <v>297</v>
      </c>
      <c r="J114" s="7">
        <v>4000</v>
      </c>
      <c r="K114" s="25"/>
      <c r="L114" s="25"/>
      <c r="M114" s="25">
        <f t="shared" si="7"/>
        <v>0</v>
      </c>
      <c r="N114" s="25">
        <f t="shared" si="8"/>
        <v>0</v>
      </c>
      <c r="O114" s="25"/>
      <c r="P114" s="25"/>
      <c r="Q114" s="26">
        <v>44387</v>
      </c>
      <c r="R114" s="25"/>
      <c r="S114" s="25"/>
      <c r="T114" s="25"/>
      <c r="U114" s="25"/>
    </row>
    <row r="115" spans="1:21">
      <c r="A115" s="14" t="s">
        <v>214</v>
      </c>
      <c r="B115" s="13">
        <v>2044</v>
      </c>
      <c r="C115" s="13"/>
      <c r="D115" s="14"/>
      <c r="E115" s="14"/>
      <c r="F115" s="14"/>
      <c r="H115" s="25">
        <v>2044</v>
      </c>
      <c r="I115" s="24"/>
      <c r="K115" s="25"/>
      <c r="L115" s="25"/>
      <c r="M115" s="25">
        <f t="shared" si="7"/>
        <v>0</v>
      </c>
      <c r="N115" s="25">
        <f t="shared" si="8"/>
        <v>0</v>
      </c>
      <c r="O115" s="25"/>
      <c r="P115" s="25"/>
      <c r="Q115" s="26"/>
      <c r="R115" s="25"/>
      <c r="S115" s="25"/>
      <c r="T115" s="27"/>
      <c r="U115" s="25"/>
    </row>
    <row r="116" spans="1:21">
      <c r="A116" s="14" t="s">
        <v>214</v>
      </c>
      <c r="B116" s="13">
        <v>2045</v>
      </c>
      <c r="C116" s="13"/>
      <c r="D116" s="14"/>
      <c r="E116" s="14"/>
      <c r="F116" s="14"/>
      <c r="H116" s="25">
        <v>2045</v>
      </c>
      <c r="I116" s="24"/>
      <c r="K116" s="25"/>
      <c r="L116" s="25"/>
      <c r="M116" s="25">
        <f t="shared" si="7"/>
        <v>0</v>
      </c>
      <c r="N116" s="25">
        <f t="shared" si="8"/>
        <v>0</v>
      </c>
      <c r="O116" s="25"/>
      <c r="P116" s="25"/>
      <c r="Q116" s="26"/>
      <c r="R116" s="25"/>
      <c r="S116" s="25"/>
      <c r="T116" s="27"/>
      <c r="U116" s="25"/>
    </row>
    <row r="117" spans="1:21">
      <c r="A117" s="14" t="s">
        <v>214</v>
      </c>
      <c r="B117" s="13">
        <v>2046</v>
      </c>
      <c r="C117" s="13" t="s">
        <v>517</v>
      </c>
      <c r="D117" s="14">
        <v>16.54</v>
      </c>
      <c r="E117" s="14">
        <v>4000</v>
      </c>
      <c r="F117" s="14"/>
      <c r="H117" s="25">
        <v>2046</v>
      </c>
      <c r="I117" s="24" t="s">
        <v>517</v>
      </c>
      <c r="J117" s="7">
        <v>4000</v>
      </c>
      <c r="K117" s="25"/>
      <c r="L117" s="25"/>
      <c r="M117" s="25">
        <f t="shared" si="7"/>
        <v>0</v>
      </c>
      <c r="N117" s="25">
        <f t="shared" si="8"/>
        <v>0</v>
      </c>
      <c r="O117" s="25"/>
      <c r="P117" s="25"/>
      <c r="Q117" s="26">
        <v>44373</v>
      </c>
      <c r="R117" s="25"/>
      <c r="S117" s="25"/>
      <c r="T117" s="27">
        <v>44738</v>
      </c>
      <c r="U117" s="25">
        <v>4000</v>
      </c>
    </row>
    <row r="118" spans="1:21">
      <c r="A118" s="14" t="s">
        <v>214</v>
      </c>
      <c r="B118" s="13">
        <v>2047</v>
      </c>
      <c r="C118" s="13" t="s">
        <v>847</v>
      </c>
      <c r="D118" s="14"/>
      <c r="E118" s="14">
        <v>1500</v>
      </c>
      <c r="F118" s="14"/>
      <c r="H118" s="25">
        <v>2047</v>
      </c>
      <c r="I118" s="24" t="s">
        <v>848</v>
      </c>
      <c r="J118" s="7">
        <v>1500</v>
      </c>
      <c r="K118" s="25"/>
      <c r="L118" s="25"/>
      <c r="M118" s="25">
        <f t="shared" si="7"/>
        <v>0</v>
      </c>
      <c r="N118" s="25">
        <f t="shared" si="8"/>
        <v>0</v>
      </c>
      <c r="O118" s="25"/>
      <c r="P118" s="25"/>
      <c r="Q118" s="36">
        <v>44440</v>
      </c>
      <c r="R118" s="25"/>
      <c r="S118" s="25"/>
      <c r="T118" s="25"/>
      <c r="U118" s="25"/>
    </row>
    <row r="119" spans="1:21">
      <c r="A119" s="14" t="s">
        <v>214</v>
      </c>
      <c r="B119" s="13">
        <v>2048</v>
      </c>
      <c r="C119" s="13" t="s">
        <v>992</v>
      </c>
      <c r="D119" s="14">
        <v>16.54</v>
      </c>
      <c r="E119" s="14">
        <v>3938</v>
      </c>
      <c r="F119" s="14"/>
      <c r="H119" s="25">
        <v>2048</v>
      </c>
      <c r="I119" s="24" t="s">
        <v>992</v>
      </c>
      <c r="J119" s="7">
        <f t="shared" ref="J119:J120" si="10">S119</f>
        <v>3938</v>
      </c>
      <c r="K119" s="25"/>
      <c r="L119" s="25"/>
      <c r="M119" s="25">
        <f t="shared" si="7"/>
        <v>0</v>
      </c>
      <c r="N119" s="25">
        <f t="shared" si="8"/>
        <v>0</v>
      </c>
      <c r="O119" s="25"/>
      <c r="P119" s="25"/>
      <c r="Q119" s="26">
        <v>43992</v>
      </c>
      <c r="R119" s="27">
        <v>44357</v>
      </c>
      <c r="S119" s="25">
        <v>3938</v>
      </c>
      <c r="T119" s="25"/>
      <c r="U119" s="25"/>
    </row>
    <row r="120" spans="1:21">
      <c r="A120" s="14" t="s">
        <v>214</v>
      </c>
      <c r="B120" s="13">
        <v>2049</v>
      </c>
      <c r="C120" s="13" t="s">
        <v>859</v>
      </c>
      <c r="D120" s="14">
        <v>16.54</v>
      </c>
      <c r="E120" s="14">
        <v>3938</v>
      </c>
      <c r="F120" s="14"/>
      <c r="H120" s="25">
        <v>2049</v>
      </c>
      <c r="I120" s="24" t="s">
        <v>859</v>
      </c>
      <c r="J120" s="7">
        <f t="shared" si="10"/>
        <v>3938</v>
      </c>
      <c r="K120" s="25"/>
      <c r="L120" s="25"/>
      <c r="M120" s="25">
        <f t="shared" si="7"/>
        <v>0</v>
      </c>
      <c r="N120" s="25">
        <f t="shared" si="8"/>
        <v>0</v>
      </c>
      <c r="O120" s="25"/>
      <c r="P120" s="25"/>
      <c r="Q120" s="26">
        <v>43992</v>
      </c>
      <c r="R120" s="27">
        <v>44357</v>
      </c>
      <c r="S120" s="25">
        <v>3938</v>
      </c>
      <c r="T120" s="25"/>
      <c r="U120" s="25"/>
    </row>
    <row r="121" spans="1:21">
      <c r="A121" s="14" t="s">
        <v>214</v>
      </c>
      <c r="B121" s="13">
        <v>2050</v>
      </c>
      <c r="C121" s="13" t="s">
        <v>849</v>
      </c>
      <c r="D121" s="14">
        <v>16.54</v>
      </c>
      <c r="E121" s="14">
        <v>4000</v>
      </c>
      <c r="F121" s="14"/>
      <c r="H121" s="25">
        <v>2050</v>
      </c>
      <c r="I121" s="24" t="s">
        <v>849</v>
      </c>
      <c r="J121" s="7">
        <v>4000</v>
      </c>
      <c r="K121" s="25"/>
      <c r="L121" s="25"/>
      <c r="M121" s="25">
        <f t="shared" si="7"/>
        <v>0</v>
      </c>
      <c r="N121" s="25">
        <f t="shared" si="8"/>
        <v>0</v>
      </c>
      <c r="O121" s="25"/>
      <c r="P121" s="25"/>
      <c r="Q121" s="26">
        <v>44185</v>
      </c>
      <c r="R121" s="25"/>
      <c r="S121" s="25"/>
      <c r="T121" s="25"/>
      <c r="U121" s="25"/>
    </row>
    <row r="122" spans="1:21">
      <c r="A122" s="14" t="s">
        <v>214</v>
      </c>
      <c r="B122" s="13">
        <v>2051</v>
      </c>
      <c r="C122" s="13" t="s">
        <v>993</v>
      </c>
      <c r="D122" s="14">
        <v>16.54</v>
      </c>
      <c r="E122" s="14">
        <v>4000</v>
      </c>
      <c r="F122" s="14"/>
      <c r="H122" s="25">
        <v>2051</v>
      </c>
      <c r="I122" s="24" t="s">
        <v>993</v>
      </c>
      <c r="J122" s="7">
        <v>4000</v>
      </c>
      <c r="K122" s="25"/>
      <c r="L122" s="25"/>
      <c r="M122" s="25">
        <f t="shared" si="7"/>
        <v>0</v>
      </c>
      <c r="N122" s="25">
        <f t="shared" si="8"/>
        <v>0</v>
      </c>
      <c r="O122" s="25"/>
      <c r="P122" s="25"/>
      <c r="Q122" s="26">
        <v>44166</v>
      </c>
      <c r="R122" s="25"/>
      <c r="S122" s="25"/>
      <c r="T122" s="25"/>
      <c r="U122" s="25"/>
    </row>
    <row r="123" spans="1:21">
      <c r="A123" s="14" t="s">
        <v>214</v>
      </c>
      <c r="B123" s="13">
        <v>2052</v>
      </c>
      <c r="C123" s="13"/>
      <c r="D123" s="14"/>
      <c r="E123" s="14"/>
      <c r="F123" s="14"/>
      <c r="H123" s="25">
        <v>2052</v>
      </c>
      <c r="I123" s="24"/>
      <c r="K123" s="25"/>
      <c r="L123" s="25"/>
      <c r="M123" s="25">
        <f t="shared" si="7"/>
        <v>0</v>
      </c>
      <c r="N123" s="25">
        <f t="shared" si="8"/>
        <v>0</v>
      </c>
      <c r="O123" s="25"/>
      <c r="P123" s="25"/>
      <c r="Q123" s="26"/>
      <c r="R123" s="25"/>
      <c r="S123" s="25"/>
      <c r="T123" s="27"/>
      <c r="U123" s="25"/>
    </row>
    <row r="124" spans="1:21">
      <c r="A124" s="14" t="s">
        <v>214</v>
      </c>
      <c r="B124" s="13">
        <v>2053</v>
      </c>
      <c r="C124" s="13" t="s">
        <v>994</v>
      </c>
      <c r="D124" s="14">
        <v>16.54</v>
      </c>
      <c r="E124" s="14">
        <v>4000</v>
      </c>
      <c r="F124" s="14"/>
      <c r="H124" s="25">
        <v>2053</v>
      </c>
      <c r="I124" s="24" t="s">
        <v>850</v>
      </c>
      <c r="J124" s="7">
        <v>4000</v>
      </c>
      <c r="K124" s="25"/>
      <c r="L124" s="25"/>
      <c r="M124" s="25">
        <f t="shared" si="7"/>
        <v>0</v>
      </c>
      <c r="N124" s="25">
        <f t="shared" si="8"/>
        <v>0</v>
      </c>
      <c r="O124" s="25"/>
      <c r="P124" s="25"/>
      <c r="Q124" s="26">
        <v>44044</v>
      </c>
      <c r="R124" s="25"/>
      <c r="S124" s="25"/>
      <c r="T124" s="25"/>
      <c r="U124" s="25"/>
    </row>
    <row r="125" spans="1:21">
      <c r="A125" s="14" t="s">
        <v>214</v>
      </c>
      <c r="B125" s="13">
        <v>2054</v>
      </c>
      <c r="C125" s="13" t="s">
        <v>851</v>
      </c>
      <c r="D125" s="14">
        <v>16.54</v>
      </c>
      <c r="E125" s="14">
        <v>4000</v>
      </c>
      <c r="F125" s="14"/>
      <c r="H125" s="25">
        <v>2054</v>
      </c>
      <c r="I125" s="24" t="s">
        <v>851</v>
      </c>
      <c r="J125" s="7">
        <v>4000</v>
      </c>
      <c r="K125" s="25"/>
      <c r="L125" s="25"/>
      <c r="M125" s="25">
        <f t="shared" si="7"/>
        <v>0</v>
      </c>
      <c r="N125" s="25">
        <f t="shared" si="8"/>
        <v>0</v>
      </c>
      <c r="O125" s="25"/>
      <c r="P125" s="25"/>
      <c r="Q125" s="26">
        <v>44105</v>
      </c>
      <c r="R125" s="25"/>
      <c r="S125" s="25"/>
      <c r="T125" s="25"/>
      <c r="U125" s="25"/>
    </row>
    <row r="126" spans="1:21">
      <c r="A126" s="14" t="s">
        <v>214</v>
      </c>
      <c r="B126" s="13">
        <v>2055</v>
      </c>
      <c r="C126" s="13" t="s">
        <v>852</v>
      </c>
      <c r="D126" s="14"/>
      <c r="E126" s="14">
        <v>4000</v>
      </c>
      <c r="F126" s="14"/>
      <c r="H126" s="25">
        <v>2055</v>
      </c>
      <c r="I126" s="24" t="s">
        <v>852</v>
      </c>
      <c r="J126" s="7">
        <v>4000</v>
      </c>
      <c r="K126" s="25"/>
      <c r="L126" s="25"/>
      <c r="M126" s="25">
        <f t="shared" si="7"/>
        <v>0</v>
      </c>
      <c r="N126" s="25">
        <f t="shared" si="8"/>
        <v>0</v>
      </c>
      <c r="O126" s="25"/>
      <c r="P126" s="25"/>
      <c r="Q126" s="26">
        <v>44646</v>
      </c>
      <c r="R126" s="25"/>
      <c r="S126" s="25"/>
      <c r="T126" s="25"/>
      <c r="U126" s="25"/>
    </row>
    <row r="127" spans="1:21">
      <c r="A127" s="14" t="s">
        <v>214</v>
      </c>
      <c r="B127" s="13">
        <v>2056</v>
      </c>
      <c r="C127" s="13" t="s">
        <v>853</v>
      </c>
      <c r="D127" s="14">
        <v>16.54</v>
      </c>
      <c r="E127" s="14">
        <v>4000</v>
      </c>
      <c r="F127" s="14"/>
      <c r="H127" s="25">
        <v>2056</v>
      </c>
      <c r="I127" s="24" t="s">
        <v>853</v>
      </c>
      <c r="J127" s="7">
        <v>4000</v>
      </c>
      <c r="K127" s="25"/>
      <c r="L127" s="25"/>
      <c r="M127" s="25">
        <f t="shared" si="7"/>
        <v>0</v>
      </c>
      <c r="N127" s="25">
        <f t="shared" si="8"/>
        <v>0</v>
      </c>
      <c r="O127" s="25"/>
      <c r="P127" s="25"/>
      <c r="Q127" s="26">
        <v>44115</v>
      </c>
      <c r="R127" s="25"/>
      <c r="S127" s="25"/>
      <c r="T127" s="25"/>
      <c r="U127" s="25"/>
    </row>
    <row r="128" spans="1:21">
      <c r="A128" s="14" t="s">
        <v>214</v>
      </c>
      <c r="B128" s="13">
        <v>2057</v>
      </c>
      <c r="C128" s="13" t="s">
        <v>854</v>
      </c>
      <c r="D128" s="14">
        <v>16.54</v>
      </c>
      <c r="E128" s="14">
        <v>4000</v>
      </c>
      <c r="F128" s="14"/>
      <c r="H128" s="25">
        <v>2057</v>
      </c>
      <c r="I128" s="24" t="s">
        <v>854</v>
      </c>
      <c r="J128" s="7">
        <v>4000</v>
      </c>
      <c r="K128" s="25">
        <v>0</v>
      </c>
      <c r="L128" s="25"/>
      <c r="M128" s="25">
        <f t="shared" si="7"/>
        <v>0</v>
      </c>
      <c r="N128" s="25">
        <f t="shared" si="8"/>
        <v>0</v>
      </c>
      <c r="O128" s="25"/>
      <c r="P128" s="25"/>
      <c r="Q128" s="26">
        <v>44378</v>
      </c>
      <c r="R128" s="25"/>
      <c r="S128" s="25"/>
      <c r="T128" s="27">
        <v>44743</v>
      </c>
      <c r="U128" s="25">
        <v>4000</v>
      </c>
    </row>
    <row r="129" spans="1:21">
      <c r="A129" s="14" t="s">
        <v>214</v>
      </c>
      <c r="B129" s="13">
        <v>2058</v>
      </c>
      <c r="C129" s="13" t="s">
        <v>995</v>
      </c>
      <c r="D129" s="14">
        <v>16.54</v>
      </c>
      <c r="E129" s="14">
        <v>4000</v>
      </c>
      <c r="F129" s="14"/>
      <c r="H129" s="25">
        <v>2058</v>
      </c>
      <c r="I129" s="24" t="s">
        <v>323</v>
      </c>
      <c r="J129" s="7">
        <v>4000</v>
      </c>
      <c r="K129" s="25"/>
      <c r="L129" s="25"/>
      <c r="M129" s="25">
        <f t="shared" si="7"/>
        <v>0</v>
      </c>
      <c r="N129" s="25">
        <f t="shared" si="8"/>
        <v>0</v>
      </c>
      <c r="O129" s="25"/>
      <c r="P129" s="25"/>
      <c r="Q129" s="26">
        <v>44287</v>
      </c>
      <c r="R129" s="25"/>
      <c r="S129" s="25"/>
      <c r="T129" s="25"/>
      <c r="U129" s="25"/>
    </row>
    <row r="130" spans="1:21">
      <c r="A130" s="14" t="s">
        <v>214</v>
      </c>
      <c r="B130" s="13">
        <v>2059</v>
      </c>
      <c r="C130" s="13" t="s">
        <v>996</v>
      </c>
      <c r="D130" s="14">
        <v>16.54</v>
      </c>
      <c r="E130" s="14">
        <v>4000</v>
      </c>
      <c r="F130" s="14"/>
      <c r="H130" s="25">
        <v>2059</v>
      </c>
      <c r="I130" s="24" t="s">
        <v>996</v>
      </c>
      <c r="J130" s="7">
        <v>4000</v>
      </c>
      <c r="K130" s="25"/>
      <c r="L130" s="25"/>
      <c r="M130" s="25">
        <f t="shared" si="7"/>
        <v>0</v>
      </c>
      <c r="N130" s="25">
        <f t="shared" si="8"/>
        <v>0</v>
      </c>
      <c r="O130" s="25"/>
      <c r="P130" s="25"/>
      <c r="Q130" s="26">
        <v>44470</v>
      </c>
      <c r="R130" s="25"/>
      <c r="S130" s="25"/>
      <c r="T130" s="27">
        <v>44835</v>
      </c>
      <c r="U130" s="25">
        <v>4000</v>
      </c>
    </row>
    <row r="131" spans="1:21">
      <c r="A131" s="14" t="s">
        <v>214</v>
      </c>
      <c r="B131" s="13">
        <v>2060</v>
      </c>
      <c r="C131" s="13" t="s">
        <v>328</v>
      </c>
      <c r="D131" s="14">
        <v>16.54</v>
      </c>
      <c r="E131" s="14">
        <v>4000</v>
      </c>
      <c r="F131" s="14"/>
      <c r="H131" s="25">
        <v>2060</v>
      </c>
      <c r="I131" s="24" t="s">
        <v>328</v>
      </c>
      <c r="J131" s="7">
        <f>U131</f>
        <v>4000</v>
      </c>
      <c r="K131" s="25"/>
      <c r="L131" s="25"/>
      <c r="M131" s="25">
        <f t="shared" si="7"/>
        <v>0</v>
      </c>
      <c r="N131" s="25">
        <f t="shared" si="8"/>
        <v>0</v>
      </c>
      <c r="O131" s="25"/>
      <c r="P131" s="25"/>
      <c r="Q131" s="26">
        <v>44287</v>
      </c>
      <c r="R131" s="25"/>
      <c r="S131" s="25"/>
      <c r="T131" s="27">
        <v>44652</v>
      </c>
      <c r="U131" s="25">
        <v>4000</v>
      </c>
    </row>
    <row r="132" spans="1:21">
      <c r="A132" s="14" t="s">
        <v>214</v>
      </c>
      <c r="B132" s="13">
        <v>2061</v>
      </c>
      <c r="C132" s="13"/>
      <c r="D132" s="14"/>
      <c r="E132" s="14"/>
      <c r="F132" s="14"/>
      <c r="H132" s="25">
        <v>2061</v>
      </c>
      <c r="I132" s="24"/>
      <c r="K132" s="25"/>
      <c r="L132" s="25"/>
      <c r="M132" s="25">
        <f t="shared" si="7"/>
        <v>0</v>
      </c>
      <c r="N132" s="25">
        <f t="shared" si="8"/>
        <v>0</v>
      </c>
      <c r="O132" s="25"/>
      <c r="P132" s="25"/>
      <c r="Q132" s="26"/>
      <c r="R132" s="25"/>
      <c r="S132" s="25"/>
      <c r="T132" s="25"/>
      <c r="U132" s="25"/>
    </row>
    <row r="133" spans="1:21">
      <c r="A133" s="14" t="s">
        <v>214</v>
      </c>
      <c r="B133" s="13">
        <v>2062</v>
      </c>
      <c r="C133" s="13"/>
      <c r="D133" s="14"/>
      <c r="E133" s="14"/>
      <c r="F133" s="14"/>
      <c r="H133" s="25">
        <v>2062</v>
      </c>
      <c r="I133" s="24"/>
      <c r="K133" s="25"/>
      <c r="L133" s="25"/>
      <c r="M133" s="25">
        <f t="shared" si="7"/>
        <v>0</v>
      </c>
      <c r="N133" s="25">
        <f t="shared" si="8"/>
        <v>0</v>
      </c>
      <c r="O133" s="25"/>
      <c r="P133" s="25"/>
      <c r="Q133" s="26"/>
      <c r="R133" s="25"/>
      <c r="S133" s="25"/>
      <c r="T133" s="25"/>
      <c r="U133" s="25"/>
    </row>
    <row r="134" spans="1:21">
      <c r="A134" s="14" t="s">
        <v>214</v>
      </c>
      <c r="B134" s="13">
        <v>2063</v>
      </c>
      <c r="C134" s="13"/>
      <c r="D134" s="14"/>
      <c r="E134" s="14"/>
      <c r="F134" s="14"/>
      <c r="H134" s="25">
        <v>2063</v>
      </c>
      <c r="I134" s="24"/>
      <c r="K134" s="25"/>
      <c r="L134" s="25"/>
      <c r="M134" s="25">
        <f t="shared" si="7"/>
        <v>0</v>
      </c>
      <c r="N134" s="25">
        <f t="shared" si="8"/>
        <v>0</v>
      </c>
      <c r="O134" s="25"/>
      <c r="P134" s="25"/>
      <c r="Q134" s="26"/>
      <c r="R134" s="25"/>
      <c r="S134" s="25"/>
      <c r="T134" s="27"/>
      <c r="U134" s="25"/>
    </row>
    <row r="135" spans="1:21">
      <c r="A135" s="14" t="s">
        <v>214</v>
      </c>
      <c r="B135" s="13">
        <v>2064</v>
      </c>
      <c r="C135" s="13"/>
      <c r="D135" s="14"/>
      <c r="E135" s="14"/>
      <c r="F135" s="14"/>
      <c r="H135" s="25">
        <v>2064</v>
      </c>
      <c r="I135" s="24"/>
      <c r="K135" s="25"/>
      <c r="L135" s="25"/>
      <c r="M135" s="25">
        <f t="shared" si="7"/>
        <v>0</v>
      </c>
      <c r="N135" s="25">
        <f t="shared" si="8"/>
        <v>0</v>
      </c>
      <c r="O135" s="25"/>
      <c r="P135" s="25"/>
      <c r="Q135" s="26"/>
      <c r="R135" s="25"/>
      <c r="S135" s="25"/>
      <c r="T135" s="25"/>
      <c r="U135" s="25"/>
    </row>
    <row r="136" spans="1:21">
      <c r="A136" s="14" t="s">
        <v>214</v>
      </c>
      <c r="B136" s="13">
        <v>2066</v>
      </c>
      <c r="C136" s="13"/>
      <c r="D136" s="14"/>
      <c r="E136" s="14"/>
      <c r="F136" s="14"/>
      <c r="H136" s="25">
        <v>2066</v>
      </c>
      <c r="I136" s="24"/>
      <c r="K136" s="25"/>
      <c r="L136" s="25"/>
      <c r="M136" s="25">
        <f t="shared" si="7"/>
        <v>0</v>
      </c>
      <c r="N136" s="25">
        <f t="shared" si="8"/>
        <v>0</v>
      </c>
      <c r="O136" s="25"/>
      <c r="P136" s="25"/>
      <c r="Q136" s="26"/>
      <c r="R136" s="25"/>
      <c r="S136" s="25"/>
      <c r="T136" s="25"/>
      <c r="U136" s="25"/>
    </row>
    <row r="137" spans="1:21">
      <c r="A137" s="14" t="s">
        <v>214</v>
      </c>
      <c r="B137" s="13">
        <v>2067</v>
      </c>
      <c r="C137" s="13"/>
      <c r="D137" s="14"/>
      <c r="E137" s="14"/>
      <c r="F137" s="14"/>
      <c r="H137" s="25">
        <v>2067</v>
      </c>
      <c r="I137" s="24"/>
      <c r="K137" s="25"/>
      <c r="L137" s="25"/>
      <c r="M137" s="25">
        <f t="shared" si="7"/>
        <v>0</v>
      </c>
      <c r="N137" s="25">
        <f t="shared" si="8"/>
        <v>0</v>
      </c>
      <c r="O137" s="25"/>
      <c r="P137" s="25"/>
      <c r="Q137" s="26"/>
      <c r="R137" s="25"/>
      <c r="S137" s="25"/>
      <c r="T137" s="25"/>
      <c r="U137" s="25"/>
    </row>
    <row r="138" spans="1:21">
      <c r="A138" s="14" t="s">
        <v>214</v>
      </c>
      <c r="B138" s="13">
        <v>2068</v>
      </c>
      <c r="C138" s="13" t="s">
        <v>997</v>
      </c>
      <c r="D138" s="14">
        <v>19.54</v>
      </c>
      <c r="E138" s="14">
        <v>4000</v>
      </c>
      <c r="F138" s="14"/>
      <c r="H138" s="25">
        <v>2068</v>
      </c>
      <c r="I138" s="24" t="s">
        <v>998</v>
      </c>
      <c r="J138" s="7">
        <v>4000</v>
      </c>
      <c r="K138" s="25"/>
      <c r="L138" s="25"/>
      <c r="M138" s="25">
        <f t="shared" si="7"/>
        <v>0</v>
      </c>
      <c r="N138" s="25">
        <f t="shared" si="8"/>
        <v>0</v>
      </c>
      <c r="O138" s="25"/>
      <c r="P138" s="25"/>
      <c r="Q138" s="26">
        <v>44372</v>
      </c>
      <c r="R138" s="25"/>
      <c r="S138" s="25"/>
      <c r="T138" s="27">
        <v>44737</v>
      </c>
      <c r="U138" s="25">
        <v>4000</v>
      </c>
    </row>
    <row r="139" spans="1:21">
      <c r="A139" s="14" t="s">
        <v>214</v>
      </c>
      <c r="B139" s="13">
        <v>2069</v>
      </c>
      <c r="C139" s="13" t="s">
        <v>856</v>
      </c>
      <c r="D139" s="14">
        <v>19.54</v>
      </c>
      <c r="E139" s="14">
        <v>4000</v>
      </c>
      <c r="F139" s="14"/>
      <c r="H139" s="25">
        <v>2069</v>
      </c>
      <c r="I139" s="24" t="s">
        <v>343</v>
      </c>
      <c r="J139" s="7">
        <v>4000</v>
      </c>
      <c r="K139" s="25"/>
      <c r="L139" s="25"/>
      <c r="M139" s="25">
        <f t="shared" si="7"/>
        <v>0</v>
      </c>
      <c r="N139" s="25">
        <f t="shared" si="8"/>
        <v>0</v>
      </c>
      <c r="O139" s="25"/>
      <c r="P139" s="25"/>
      <c r="Q139" s="26">
        <v>44287</v>
      </c>
      <c r="R139" s="25"/>
      <c r="S139" s="25"/>
      <c r="T139" s="25"/>
      <c r="U139" s="25"/>
    </row>
    <row r="140" spans="1:21">
      <c r="A140" s="14" t="s">
        <v>214</v>
      </c>
      <c r="B140" s="13">
        <v>2070</v>
      </c>
      <c r="C140" s="13"/>
      <c r="D140" s="14"/>
      <c r="E140" s="14"/>
      <c r="F140" s="14"/>
      <c r="H140" s="25">
        <v>2070</v>
      </c>
      <c r="I140" s="24"/>
      <c r="K140" s="25"/>
      <c r="L140" s="25"/>
      <c r="M140" s="25">
        <f t="shared" si="7"/>
        <v>0</v>
      </c>
      <c r="N140" s="25">
        <f t="shared" si="8"/>
        <v>0</v>
      </c>
      <c r="O140" s="25"/>
      <c r="P140" s="25"/>
      <c r="Q140" s="26"/>
      <c r="R140" s="25"/>
      <c r="S140" s="25"/>
      <c r="T140" s="25"/>
      <c r="U140" s="25"/>
    </row>
    <row r="141" spans="1:21">
      <c r="A141" s="14" t="s">
        <v>214</v>
      </c>
      <c r="B141" s="13">
        <v>2071</v>
      </c>
      <c r="C141" s="13" t="s">
        <v>347</v>
      </c>
      <c r="D141" s="14">
        <v>19.54</v>
      </c>
      <c r="E141" s="14">
        <v>4000</v>
      </c>
      <c r="F141" s="14"/>
      <c r="H141" s="25">
        <v>2071</v>
      </c>
      <c r="I141" s="24" t="s">
        <v>347</v>
      </c>
      <c r="J141" s="7">
        <v>4000</v>
      </c>
      <c r="K141" s="25"/>
      <c r="L141" s="25"/>
      <c r="M141" s="25">
        <f t="shared" si="7"/>
        <v>0</v>
      </c>
      <c r="N141" s="25">
        <f t="shared" si="8"/>
        <v>0</v>
      </c>
      <c r="O141" s="25"/>
      <c r="P141" s="25"/>
      <c r="Q141" s="26">
        <v>44044</v>
      </c>
      <c r="R141" s="25"/>
      <c r="S141" s="25"/>
      <c r="T141" s="25"/>
      <c r="U141" s="25"/>
    </row>
    <row r="142" spans="1:21">
      <c r="A142" s="14" t="s">
        <v>214</v>
      </c>
      <c r="B142" s="13">
        <v>2072</v>
      </c>
      <c r="C142" s="13" t="s">
        <v>857</v>
      </c>
      <c r="D142" s="14">
        <v>19.54</v>
      </c>
      <c r="E142" s="14">
        <v>4000</v>
      </c>
      <c r="F142" s="14"/>
      <c r="H142" s="25">
        <v>2072</v>
      </c>
      <c r="I142" s="24" t="s">
        <v>858</v>
      </c>
      <c r="J142" s="7">
        <v>4000</v>
      </c>
      <c r="K142" s="25"/>
      <c r="L142" s="25"/>
      <c r="M142" s="25">
        <f t="shared" si="7"/>
        <v>0</v>
      </c>
      <c r="N142" s="25">
        <f t="shared" si="8"/>
        <v>0</v>
      </c>
      <c r="O142" s="25"/>
      <c r="P142" s="25"/>
      <c r="Q142" s="36">
        <v>44044</v>
      </c>
      <c r="R142" s="25"/>
      <c r="S142" s="25"/>
      <c r="T142" s="25"/>
      <c r="U142" s="25"/>
    </row>
    <row r="143" spans="1:21">
      <c r="A143" s="14" t="s">
        <v>214</v>
      </c>
      <c r="B143" s="13">
        <v>2073</v>
      </c>
      <c r="C143" s="13" t="s">
        <v>999</v>
      </c>
      <c r="D143" s="14">
        <v>19.54</v>
      </c>
      <c r="E143" s="14">
        <v>4000</v>
      </c>
      <c r="F143" s="14"/>
      <c r="H143" s="25">
        <v>2073</v>
      </c>
      <c r="I143" s="24" t="s">
        <v>999</v>
      </c>
      <c r="J143" s="7">
        <v>4000</v>
      </c>
      <c r="K143" s="25"/>
      <c r="L143" s="25"/>
      <c r="M143" s="25">
        <f t="shared" si="7"/>
        <v>0</v>
      </c>
      <c r="N143" s="25">
        <f t="shared" si="8"/>
        <v>0</v>
      </c>
      <c r="O143" s="25"/>
      <c r="P143" s="25"/>
      <c r="Q143" s="36">
        <v>44415</v>
      </c>
      <c r="R143" s="25"/>
      <c r="S143" s="25"/>
      <c r="T143" s="27">
        <v>44780</v>
      </c>
      <c r="U143" s="25">
        <v>4000</v>
      </c>
    </row>
    <row r="144" spans="1:21">
      <c r="A144" s="14" t="s">
        <v>214</v>
      </c>
      <c r="B144" s="13">
        <v>2074</v>
      </c>
      <c r="C144" s="13" t="s">
        <v>860</v>
      </c>
      <c r="D144" s="14">
        <v>19.54</v>
      </c>
      <c r="E144" s="14">
        <v>4000</v>
      </c>
      <c r="F144" s="14"/>
      <c r="H144" s="25" t="s">
        <v>353</v>
      </c>
      <c r="I144" s="24" t="s">
        <v>860</v>
      </c>
      <c r="J144" s="7">
        <f>U144</f>
        <v>4000</v>
      </c>
      <c r="K144" s="25">
        <v>0</v>
      </c>
      <c r="L144" s="25"/>
      <c r="M144" s="25">
        <f t="shared" si="7"/>
        <v>0</v>
      </c>
      <c r="N144" s="25">
        <f t="shared" si="8"/>
        <v>0</v>
      </c>
      <c r="O144" s="25"/>
      <c r="P144" s="25"/>
      <c r="Q144" s="26">
        <v>44287</v>
      </c>
      <c r="R144" s="25"/>
      <c r="S144" s="25"/>
      <c r="T144" s="27">
        <v>44652</v>
      </c>
      <c r="U144" s="25">
        <v>4000</v>
      </c>
    </row>
    <row r="145" spans="1:21">
      <c r="A145" s="14" t="s">
        <v>214</v>
      </c>
      <c r="B145" s="13">
        <v>2075</v>
      </c>
      <c r="C145" s="13" t="s">
        <v>860</v>
      </c>
      <c r="D145" s="14">
        <v>19.54</v>
      </c>
      <c r="E145" s="14">
        <v>4000</v>
      </c>
      <c r="F145" s="14"/>
      <c r="H145" s="25">
        <v>2075</v>
      </c>
      <c r="I145" s="24" t="s">
        <v>861</v>
      </c>
      <c r="J145" s="7">
        <v>4000</v>
      </c>
      <c r="K145" s="25"/>
      <c r="L145" s="25"/>
      <c r="M145" s="25">
        <f t="shared" si="7"/>
        <v>0</v>
      </c>
      <c r="N145" s="25">
        <f t="shared" si="8"/>
        <v>0</v>
      </c>
      <c r="O145" s="25"/>
      <c r="P145" s="25"/>
      <c r="Q145" s="26">
        <v>44044</v>
      </c>
      <c r="R145" s="25"/>
      <c r="S145" s="25"/>
      <c r="T145" s="25"/>
      <c r="U145" s="25"/>
    </row>
    <row r="146" spans="1:21">
      <c r="A146" s="14" t="s">
        <v>214</v>
      </c>
      <c r="B146" s="13">
        <v>2076</v>
      </c>
      <c r="C146" s="13" t="s">
        <v>318</v>
      </c>
      <c r="D146" s="14">
        <v>19.54</v>
      </c>
      <c r="E146" s="14">
        <v>4000</v>
      </c>
      <c r="F146" s="14"/>
      <c r="H146" s="25">
        <v>2076</v>
      </c>
      <c r="I146" s="24" t="s">
        <v>318</v>
      </c>
      <c r="J146" s="7">
        <v>4000</v>
      </c>
      <c r="K146" s="25"/>
      <c r="L146" s="25"/>
      <c r="M146" s="25">
        <f t="shared" si="7"/>
        <v>0</v>
      </c>
      <c r="N146" s="25">
        <f t="shared" si="8"/>
        <v>0</v>
      </c>
      <c r="O146" s="25"/>
      <c r="P146" s="25"/>
      <c r="Q146" s="26">
        <v>44621</v>
      </c>
      <c r="R146" s="25"/>
      <c r="S146" s="25"/>
      <c r="T146" s="27"/>
      <c r="U146" s="25"/>
    </row>
    <row r="147" spans="1:21">
      <c r="A147" s="14" t="s">
        <v>214</v>
      </c>
      <c r="B147" s="13">
        <v>2077</v>
      </c>
      <c r="C147" s="13" t="s">
        <v>1000</v>
      </c>
      <c r="D147" s="14">
        <v>19.54</v>
      </c>
      <c r="E147" s="14">
        <v>4000</v>
      </c>
      <c r="F147" s="14"/>
      <c r="H147" s="25">
        <v>2077</v>
      </c>
      <c r="I147" s="24" t="s">
        <v>1000</v>
      </c>
      <c r="J147" s="7">
        <f>U147</f>
        <v>4000</v>
      </c>
      <c r="K147" s="25"/>
      <c r="L147" s="25"/>
      <c r="M147" s="25">
        <f t="shared" ref="M147:M210" si="11">E147-J147</f>
        <v>0</v>
      </c>
      <c r="N147" s="25">
        <f t="shared" ref="N147:N210" si="12">F147-K147</f>
        <v>0</v>
      </c>
      <c r="O147" s="25"/>
      <c r="P147" s="25"/>
      <c r="Q147" s="26">
        <v>44287</v>
      </c>
      <c r="R147" s="25"/>
      <c r="S147" s="25"/>
      <c r="T147" s="27">
        <v>44652</v>
      </c>
      <c r="U147" s="25">
        <v>4000</v>
      </c>
    </row>
    <row r="148" spans="1:21">
      <c r="A148" s="14" t="s">
        <v>214</v>
      </c>
      <c r="B148" s="13">
        <v>2078</v>
      </c>
      <c r="C148" s="13" t="s">
        <v>862</v>
      </c>
      <c r="D148" s="14">
        <v>19.54</v>
      </c>
      <c r="E148" s="14">
        <v>4000</v>
      </c>
      <c r="F148" s="14"/>
      <c r="H148" s="25">
        <v>2078</v>
      </c>
      <c r="I148" s="24" t="s">
        <v>359</v>
      </c>
      <c r="J148" s="7">
        <v>4000</v>
      </c>
      <c r="K148" s="25"/>
      <c r="L148" s="25"/>
      <c r="M148" s="25">
        <f t="shared" si="11"/>
        <v>0</v>
      </c>
      <c r="N148" s="25">
        <f t="shared" si="12"/>
        <v>0</v>
      </c>
      <c r="O148" s="25"/>
      <c r="P148" s="25"/>
      <c r="Q148" s="26">
        <v>44652</v>
      </c>
      <c r="R148" s="25"/>
      <c r="S148" s="25"/>
      <c r="T148" s="25"/>
      <c r="U148" s="25"/>
    </row>
    <row r="149" spans="1:21">
      <c r="A149" s="14" t="s">
        <v>214</v>
      </c>
      <c r="B149" s="13">
        <v>2079</v>
      </c>
      <c r="C149" s="13" t="s">
        <v>863</v>
      </c>
      <c r="D149" s="14">
        <v>19.54</v>
      </c>
      <c r="E149" s="14">
        <v>4000</v>
      </c>
      <c r="F149" s="14"/>
      <c r="H149" s="25">
        <v>2079</v>
      </c>
      <c r="I149" s="24" t="s">
        <v>863</v>
      </c>
      <c r="J149" s="7">
        <f>U149</f>
        <v>4000</v>
      </c>
      <c r="K149" s="25"/>
      <c r="L149" s="25"/>
      <c r="M149" s="25">
        <f t="shared" si="11"/>
        <v>0</v>
      </c>
      <c r="N149" s="25">
        <f t="shared" si="12"/>
        <v>0</v>
      </c>
      <c r="O149" s="25"/>
      <c r="P149" s="25"/>
      <c r="Q149" s="26">
        <v>44612</v>
      </c>
      <c r="R149" s="25"/>
      <c r="S149" s="25"/>
      <c r="T149" s="27">
        <v>44612</v>
      </c>
      <c r="U149" s="25">
        <v>4000</v>
      </c>
    </row>
    <row r="150" spans="1:21">
      <c r="A150" s="14" t="s">
        <v>214</v>
      </c>
      <c r="B150" s="13">
        <v>2080</v>
      </c>
      <c r="C150" s="13" t="s">
        <v>864</v>
      </c>
      <c r="D150" s="14">
        <v>19.54</v>
      </c>
      <c r="E150" s="14">
        <v>4000</v>
      </c>
      <c r="F150" s="14"/>
      <c r="H150" s="25">
        <v>2080</v>
      </c>
      <c r="I150" s="24" t="s">
        <v>864</v>
      </c>
      <c r="J150" s="7">
        <v>4000</v>
      </c>
      <c r="K150" s="25"/>
      <c r="L150" s="25"/>
      <c r="M150" s="25">
        <f t="shared" si="11"/>
        <v>0</v>
      </c>
      <c r="N150" s="25">
        <f t="shared" si="12"/>
        <v>0</v>
      </c>
      <c r="O150" s="25"/>
      <c r="P150" s="25"/>
      <c r="Q150" s="26">
        <v>44166</v>
      </c>
      <c r="R150" s="25"/>
      <c r="S150" s="25"/>
      <c r="T150" s="25"/>
      <c r="U150" s="25"/>
    </row>
    <row r="151" spans="1:21">
      <c r="A151" s="14" t="s">
        <v>214</v>
      </c>
      <c r="B151" s="13">
        <v>2081</v>
      </c>
      <c r="C151" s="13" t="s">
        <v>865</v>
      </c>
      <c r="D151" s="14">
        <v>19.54</v>
      </c>
      <c r="E151" s="14">
        <v>4000</v>
      </c>
      <c r="F151" s="14"/>
      <c r="H151" s="25">
        <v>2081</v>
      </c>
      <c r="I151" s="24" t="s">
        <v>866</v>
      </c>
      <c r="J151" s="7">
        <v>4000</v>
      </c>
      <c r="K151" s="25"/>
      <c r="L151" s="25"/>
      <c r="M151" s="25">
        <f t="shared" si="11"/>
        <v>0</v>
      </c>
      <c r="N151" s="25">
        <f t="shared" si="12"/>
        <v>0</v>
      </c>
      <c r="O151" s="25"/>
      <c r="P151" s="25"/>
      <c r="Q151" s="26">
        <v>43922</v>
      </c>
      <c r="R151" s="25"/>
      <c r="S151" s="25"/>
      <c r="T151" s="25"/>
      <c r="U151" s="25"/>
    </row>
    <row r="152" spans="1:21">
      <c r="A152" s="14" t="s">
        <v>214</v>
      </c>
      <c r="B152" s="13">
        <v>2082</v>
      </c>
      <c r="C152" s="13" t="s">
        <v>867</v>
      </c>
      <c r="D152" s="14">
        <v>19.54</v>
      </c>
      <c r="E152" s="14">
        <v>4000</v>
      </c>
      <c r="F152" s="14"/>
      <c r="H152" s="25">
        <v>2082</v>
      </c>
      <c r="I152" s="24" t="s">
        <v>867</v>
      </c>
      <c r="J152" s="7">
        <v>4100</v>
      </c>
      <c r="K152" s="25"/>
      <c r="L152" s="25"/>
      <c r="M152" s="25">
        <f t="shared" si="11"/>
        <v>-100</v>
      </c>
      <c r="N152" s="25">
        <f t="shared" si="12"/>
        <v>0</v>
      </c>
      <c r="O152" s="25"/>
      <c r="P152" s="25"/>
      <c r="Q152" s="26">
        <v>44013</v>
      </c>
      <c r="R152" s="25"/>
      <c r="S152" s="25"/>
      <c r="T152" s="25"/>
      <c r="U152" s="25"/>
    </row>
    <row r="153" spans="1:21">
      <c r="A153" s="14" t="s">
        <v>214</v>
      </c>
      <c r="B153" s="13">
        <v>2083</v>
      </c>
      <c r="C153" s="13" t="s">
        <v>371</v>
      </c>
      <c r="D153" s="14">
        <v>19.54</v>
      </c>
      <c r="E153" s="14">
        <v>4000</v>
      </c>
      <c r="F153" s="14"/>
      <c r="H153" s="25">
        <v>2083</v>
      </c>
      <c r="I153" s="24" t="s">
        <v>371</v>
      </c>
      <c r="J153" s="7">
        <f>U153</f>
        <v>4000</v>
      </c>
      <c r="K153" s="25"/>
      <c r="L153" s="25"/>
      <c r="M153" s="25">
        <f t="shared" si="11"/>
        <v>0</v>
      </c>
      <c r="N153" s="25">
        <f t="shared" si="12"/>
        <v>0</v>
      </c>
      <c r="O153" s="25"/>
      <c r="P153" s="25"/>
      <c r="Q153" s="26">
        <v>44287</v>
      </c>
      <c r="R153" s="25"/>
      <c r="S153" s="25"/>
      <c r="T153" s="27">
        <v>44652</v>
      </c>
      <c r="U153" s="25">
        <v>4000</v>
      </c>
    </row>
    <row r="154" spans="1:21">
      <c r="A154" s="14" t="s">
        <v>214</v>
      </c>
      <c r="B154" s="13">
        <v>2084</v>
      </c>
      <c r="C154" s="13"/>
      <c r="D154" s="14"/>
      <c r="E154" s="14"/>
      <c r="F154" s="14"/>
      <c r="H154" s="25">
        <v>2084</v>
      </c>
      <c r="I154" s="24"/>
      <c r="K154" s="25"/>
      <c r="L154" s="25"/>
      <c r="M154" s="25">
        <f t="shared" si="11"/>
        <v>0</v>
      </c>
      <c r="N154" s="25">
        <f t="shared" si="12"/>
        <v>0</v>
      </c>
      <c r="O154" s="25"/>
      <c r="P154" s="25"/>
      <c r="Q154" s="26"/>
      <c r="R154" s="25"/>
      <c r="S154" s="25"/>
      <c r="T154" s="25"/>
      <c r="U154" s="25"/>
    </row>
    <row r="155" spans="1:21">
      <c r="A155" s="14" t="s">
        <v>214</v>
      </c>
      <c r="B155" s="13">
        <v>2085</v>
      </c>
      <c r="C155" s="13" t="s">
        <v>1001</v>
      </c>
      <c r="D155" s="14">
        <v>19.54</v>
      </c>
      <c r="E155" s="14">
        <v>4000</v>
      </c>
      <c r="F155" s="14"/>
      <c r="H155" s="25">
        <v>2085</v>
      </c>
      <c r="I155" s="24" t="s">
        <v>1001</v>
      </c>
      <c r="J155" s="7">
        <f>U155</f>
        <v>4000</v>
      </c>
      <c r="K155" s="25"/>
      <c r="L155" s="25"/>
      <c r="M155" s="25">
        <f t="shared" si="11"/>
        <v>0</v>
      </c>
      <c r="N155" s="25">
        <f t="shared" si="12"/>
        <v>0</v>
      </c>
      <c r="O155" s="25"/>
      <c r="P155" s="25"/>
      <c r="Q155" s="26">
        <v>44287</v>
      </c>
      <c r="R155" s="25"/>
      <c r="S155" s="25"/>
      <c r="T155" s="27">
        <v>44652</v>
      </c>
      <c r="U155" s="25">
        <v>4000</v>
      </c>
    </row>
    <row r="156" spans="1:21">
      <c r="A156" s="14" t="s">
        <v>214</v>
      </c>
      <c r="B156" s="13">
        <v>2086</v>
      </c>
      <c r="C156" s="13"/>
      <c r="D156" s="14"/>
      <c r="E156" s="14"/>
      <c r="F156" s="14"/>
      <c r="H156" s="25">
        <v>2086</v>
      </c>
      <c r="I156" s="24"/>
      <c r="K156" s="25"/>
      <c r="L156" s="25"/>
      <c r="M156" s="25">
        <f t="shared" si="11"/>
        <v>0</v>
      </c>
      <c r="N156" s="25">
        <f t="shared" si="12"/>
        <v>0</v>
      </c>
      <c r="O156" s="25"/>
      <c r="P156" s="25"/>
      <c r="Q156" s="26"/>
      <c r="R156" s="25"/>
      <c r="S156" s="25"/>
      <c r="T156" s="25"/>
      <c r="U156" s="25"/>
    </row>
    <row r="157" spans="1:21">
      <c r="A157" s="14" t="s">
        <v>214</v>
      </c>
      <c r="B157" s="13">
        <v>2087</v>
      </c>
      <c r="C157" s="13"/>
      <c r="D157" s="14"/>
      <c r="E157" s="14"/>
      <c r="F157" s="14"/>
      <c r="H157" s="25">
        <v>2087</v>
      </c>
      <c r="I157" s="24"/>
      <c r="K157" s="25"/>
      <c r="L157" s="25"/>
      <c r="M157" s="25">
        <f t="shared" si="11"/>
        <v>0</v>
      </c>
      <c r="N157" s="25">
        <f t="shared" si="12"/>
        <v>0</v>
      </c>
      <c r="O157" s="25"/>
      <c r="P157" s="25"/>
      <c r="Q157" s="26"/>
      <c r="R157" s="25"/>
      <c r="S157" s="25"/>
      <c r="T157" s="27"/>
      <c r="U157" s="25"/>
    </row>
    <row r="158" spans="1:21">
      <c r="A158" s="14" t="s">
        <v>214</v>
      </c>
      <c r="B158" s="13">
        <v>2088</v>
      </c>
      <c r="C158" s="13" t="s">
        <v>868</v>
      </c>
      <c r="D158" s="14">
        <v>23.84</v>
      </c>
      <c r="E158" s="14">
        <v>4000</v>
      </c>
      <c r="F158" s="14"/>
      <c r="H158" s="25">
        <v>2088</v>
      </c>
      <c r="I158" s="24" t="s">
        <v>380</v>
      </c>
      <c r="J158" s="7">
        <v>4000</v>
      </c>
      <c r="K158" s="25"/>
      <c r="L158" s="25"/>
      <c r="M158" s="25">
        <f t="shared" si="11"/>
        <v>0</v>
      </c>
      <c r="N158" s="25">
        <f t="shared" si="12"/>
        <v>0</v>
      </c>
      <c r="O158" s="25"/>
      <c r="P158" s="25"/>
      <c r="Q158" s="26">
        <v>44652</v>
      </c>
      <c r="R158" s="25"/>
      <c r="S158" s="25"/>
      <c r="T158" s="25"/>
      <c r="U158" s="25"/>
    </row>
    <row r="159" spans="1:21">
      <c r="A159" s="14" t="s">
        <v>214</v>
      </c>
      <c r="B159" s="13">
        <v>2089</v>
      </c>
      <c r="C159" s="13" t="s">
        <v>869</v>
      </c>
      <c r="D159" s="14">
        <v>18.6</v>
      </c>
      <c r="E159" s="14">
        <v>4000</v>
      </c>
      <c r="F159" s="14"/>
      <c r="H159" s="25">
        <v>2089</v>
      </c>
      <c r="I159" s="24" t="s">
        <v>869</v>
      </c>
      <c r="J159" s="7">
        <f t="shared" ref="J159:J160" si="13">U159</f>
        <v>4000</v>
      </c>
      <c r="K159" s="25"/>
      <c r="L159" s="25"/>
      <c r="M159" s="25">
        <f t="shared" si="11"/>
        <v>0</v>
      </c>
      <c r="N159" s="25">
        <f t="shared" si="12"/>
        <v>0</v>
      </c>
      <c r="O159" s="25"/>
      <c r="P159" s="25"/>
      <c r="Q159" s="26">
        <v>44287</v>
      </c>
      <c r="R159" s="25"/>
      <c r="S159" s="25"/>
      <c r="T159" s="27">
        <v>44652</v>
      </c>
      <c r="U159" s="25">
        <v>4000</v>
      </c>
    </row>
    <row r="160" spans="1:21">
      <c r="A160" s="14" t="s">
        <v>214</v>
      </c>
      <c r="B160" s="13">
        <v>2090</v>
      </c>
      <c r="C160" s="13" t="s">
        <v>870</v>
      </c>
      <c r="D160" s="14">
        <v>6</v>
      </c>
      <c r="E160" s="14">
        <v>2360</v>
      </c>
      <c r="F160" s="14">
        <v>200</v>
      </c>
      <c r="H160" s="25">
        <v>2090</v>
      </c>
      <c r="I160" s="24" t="s">
        <v>870</v>
      </c>
      <c r="J160" s="7">
        <f t="shared" si="13"/>
        <v>2360</v>
      </c>
      <c r="K160" s="25">
        <v>200</v>
      </c>
      <c r="L160" s="25"/>
      <c r="M160" s="25">
        <f t="shared" si="11"/>
        <v>0</v>
      </c>
      <c r="N160" s="25">
        <f t="shared" si="12"/>
        <v>0</v>
      </c>
      <c r="O160" s="25"/>
      <c r="P160" s="25"/>
      <c r="Q160" s="26">
        <v>44287</v>
      </c>
      <c r="R160" s="25"/>
      <c r="S160" s="25"/>
      <c r="T160" s="27">
        <v>44652</v>
      </c>
      <c r="U160" s="25">
        <f>1180+1180</f>
        <v>2360</v>
      </c>
    </row>
    <row r="161" spans="1:21">
      <c r="A161" s="14" t="s">
        <v>385</v>
      </c>
      <c r="B161" s="13" t="s">
        <v>386</v>
      </c>
      <c r="C161" s="13" t="s">
        <v>783</v>
      </c>
      <c r="D161" s="14"/>
      <c r="E161" s="14">
        <v>2000</v>
      </c>
      <c r="F161" s="14">
        <v>100</v>
      </c>
      <c r="H161" s="31" t="s">
        <v>386</v>
      </c>
      <c r="I161" s="37" t="s">
        <v>783</v>
      </c>
      <c r="J161" s="7">
        <v>2000</v>
      </c>
      <c r="K161" s="33">
        <v>100</v>
      </c>
      <c r="L161" s="33"/>
      <c r="M161" s="25">
        <f t="shared" si="11"/>
        <v>0</v>
      </c>
      <c r="N161" s="25">
        <f t="shared" si="12"/>
        <v>0</v>
      </c>
      <c r="O161" s="33"/>
      <c r="P161" s="33"/>
      <c r="Q161" s="38">
        <v>41927</v>
      </c>
      <c r="R161" s="33"/>
      <c r="S161" s="33"/>
      <c r="T161" s="33"/>
      <c r="U161" s="33"/>
    </row>
    <row r="162" spans="1:21">
      <c r="A162" s="14" t="s">
        <v>385</v>
      </c>
      <c r="B162" s="13" t="s">
        <v>388</v>
      </c>
      <c r="C162" s="13" t="s">
        <v>1002</v>
      </c>
      <c r="D162" s="14"/>
      <c r="E162" s="14">
        <v>500</v>
      </c>
      <c r="F162" s="14"/>
      <c r="H162" s="39" t="s">
        <v>388</v>
      </c>
      <c r="I162" s="40" t="s">
        <v>1002</v>
      </c>
      <c r="J162" s="7">
        <v>500</v>
      </c>
      <c r="K162" s="25"/>
      <c r="L162" s="25"/>
      <c r="M162" s="25">
        <f t="shared" si="11"/>
        <v>0</v>
      </c>
      <c r="N162" s="25">
        <f t="shared" si="12"/>
        <v>0</v>
      </c>
      <c r="O162" s="25"/>
      <c r="P162" s="25"/>
      <c r="Q162" s="41">
        <v>44531</v>
      </c>
      <c r="R162" s="25"/>
      <c r="S162" s="25"/>
      <c r="T162" s="25"/>
      <c r="U162" s="25"/>
    </row>
    <row r="163" spans="1:21">
      <c r="A163" s="14" t="s">
        <v>385</v>
      </c>
      <c r="B163" s="13" t="s">
        <v>390</v>
      </c>
      <c r="C163" s="13"/>
      <c r="D163" s="14"/>
      <c r="E163" s="14"/>
      <c r="F163" s="14"/>
      <c r="H163" s="39" t="s">
        <v>390</v>
      </c>
      <c r="I163" s="42"/>
      <c r="K163" s="25"/>
      <c r="L163" s="25"/>
      <c r="M163" s="25">
        <f t="shared" si="11"/>
        <v>0</v>
      </c>
      <c r="N163" s="25">
        <f t="shared" si="12"/>
        <v>0</v>
      </c>
      <c r="O163" s="25"/>
      <c r="P163" s="25"/>
      <c r="Q163" s="41"/>
      <c r="R163" s="25"/>
      <c r="S163" s="25"/>
      <c r="T163" s="25"/>
      <c r="U163" s="25"/>
    </row>
    <row r="164" spans="1:21">
      <c r="A164" s="14" t="s">
        <v>385</v>
      </c>
      <c r="B164" s="30" t="s">
        <v>392</v>
      </c>
      <c r="C164" s="13" t="s">
        <v>871</v>
      </c>
      <c r="D164" s="14"/>
      <c r="E164" s="14">
        <v>1000</v>
      </c>
      <c r="F164" s="14"/>
      <c r="H164" s="43" t="s">
        <v>392</v>
      </c>
      <c r="I164" s="44" t="s">
        <v>748</v>
      </c>
      <c r="J164" s="7">
        <v>1000</v>
      </c>
      <c r="K164" s="45"/>
      <c r="L164" s="45"/>
      <c r="M164" s="25">
        <f t="shared" si="11"/>
        <v>0</v>
      </c>
      <c r="N164" s="25">
        <f t="shared" si="12"/>
        <v>0</v>
      </c>
      <c r="O164" s="45"/>
      <c r="P164" s="45"/>
      <c r="Q164" s="46">
        <v>44652</v>
      </c>
      <c r="R164" s="45"/>
      <c r="S164" s="45"/>
      <c r="T164" s="45"/>
      <c r="U164" s="45"/>
    </row>
    <row r="165" spans="1:21">
      <c r="A165" s="14" t="s">
        <v>385</v>
      </c>
      <c r="B165" s="30" t="s">
        <v>872</v>
      </c>
      <c r="C165" s="13"/>
      <c r="D165" s="14"/>
      <c r="E165" s="14"/>
      <c r="F165" s="14"/>
      <c r="H165" s="39" t="s">
        <v>872</v>
      </c>
      <c r="I165" s="24" t="s">
        <v>873</v>
      </c>
      <c r="K165" s="25"/>
      <c r="L165" s="25"/>
      <c r="M165" s="25">
        <f t="shared" si="11"/>
        <v>0</v>
      </c>
      <c r="N165" s="25">
        <f t="shared" si="12"/>
        <v>0</v>
      </c>
      <c r="O165" s="25"/>
      <c r="P165" s="25"/>
      <c r="Q165" s="41"/>
      <c r="R165" s="25"/>
      <c r="S165" s="25"/>
      <c r="T165" s="25"/>
      <c r="U165" s="25"/>
    </row>
    <row r="166" spans="1:21">
      <c r="A166" s="14" t="s">
        <v>385</v>
      </c>
      <c r="B166" s="30" t="s">
        <v>394</v>
      </c>
      <c r="C166" s="13"/>
      <c r="D166" s="14"/>
      <c r="E166" s="14"/>
      <c r="F166" s="14"/>
      <c r="H166" s="39" t="s">
        <v>394</v>
      </c>
      <c r="I166" s="40"/>
      <c r="K166" s="25"/>
      <c r="L166" s="25"/>
      <c r="M166" s="25">
        <f t="shared" si="11"/>
        <v>0</v>
      </c>
      <c r="N166" s="25">
        <f t="shared" si="12"/>
        <v>0</v>
      </c>
      <c r="O166" s="25"/>
      <c r="P166" s="25"/>
      <c r="Q166" s="41"/>
      <c r="R166" s="25"/>
      <c r="S166" s="25"/>
      <c r="T166" s="25"/>
      <c r="U166" s="25"/>
    </row>
    <row r="167" spans="1:21">
      <c r="A167" s="14" t="s">
        <v>385</v>
      </c>
      <c r="B167" s="30" t="s">
        <v>396</v>
      </c>
      <c r="C167" s="13" t="s">
        <v>874</v>
      </c>
      <c r="D167" s="14"/>
      <c r="E167" s="14">
        <v>1700</v>
      </c>
      <c r="F167" s="14"/>
      <c r="H167" s="43" t="s">
        <v>724</v>
      </c>
      <c r="I167" s="44" t="s">
        <v>874</v>
      </c>
      <c r="J167" s="7">
        <v>1700</v>
      </c>
      <c r="K167" s="45"/>
      <c r="L167" s="45"/>
      <c r="M167" s="25">
        <f t="shared" si="11"/>
        <v>0</v>
      </c>
      <c r="N167" s="25">
        <f t="shared" si="12"/>
        <v>0</v>
      </c>
      <c r="O167" s="45"/>
      <c r="P167" s="45"/>
      <c r="Q167" s="46">
        <v>44521</v>
      </c>
      <c r="R167" s="45"/>
      <c r="S167" s="45"/>
      <c r="T167" s="45"/>
      <c r="U167" s="45"/>
    </row>
    <row r="168" spans="1:21">
      <c r="A168" s="14" t="s">
        <v>385</v>
      </c>
      <c r="B168" s="13" t="s">
        <v>398</v>
      </c>
      <c r="C168" s="13" t="s">
        <v>875</v>
      </c>
      <c r="D168" s="14"/>
      <c r="E168" s="14">
        <v>1000</v>
      </c>
      <c r="F168" s="14"/>
      <c r="H168" s="45" t="s">
        <v>398</v>
      </c>
      <c r="I168" s="47" t="s">
        <v>875</v>
      </c>
      <c r="J168" s="7">
        <v>1000</v>
      </c>
      <c r="K168" s="45"/>
      <c r="L168" s="45"/>
      <c r="M168" s="25">
        <f t="shared" si="11"/>
        <v>0</v>
      </c>
      <c r="N168" s="25">
        <f t="shared" si="12"/>
        <v>0</v>
      </c>
      <c r="O168" s="45"/>
      <c r="P168" s="45"/>
      <c r="Q168" s="48">
        <v>44562</v>
      </c>
      <c r="R168" s="45"/>
      <c r="S168" s="45"/>
      <c r="T168" s="45"/>
      <c r="U168" s="45"/>
    </row>
    <row r="169" spans="1:21">
      <c r="A169" s="14" t="s">
        <v>401</v>
      </c>
      <c r="B169" s="13">
        <v>3001</v>
      </c>
      <c r="C169" s="13" t="s">
        <v>1003</v>
      </c>
      <c r="D169" s="14">
        <v>48.08</v>
      </c>
      <c r="E169" s="14">
        <v>7608</v>
      </c>
      <c r="F169" s="14">
        <v>500</v>
      </c>
      <c r="H169" s="25">
        <v>3001</v>
      </c>
      <c r="I169" s="24" t="s">
        <v>1003</v>
      </c>
      <c r="J169" s="7">
        <f>S169</f>
        <v>7608</v>
      </c>
      <c r="K169" s="25">
        <v>500</v>
      </c>
      <c r="L169" s="25"/>
      <c r="M169" s="25">
        <f t="shared" si="11"/>
        <v>0</v>
      </c>
      <c r="N169" s="25">
        <f t="shared" si="12"/>
        <v>0</v>
      </c>
      <c r="O169" s="25"/>
      <c r="P169" s="25"/>
      <c r="Q169" s="26">
        <v>44044</v>
      </c>
      <c r="R169" s="27">
        <v>44409</v>
      </c>
      <c r="S169" s="25">
        <f>3804+3804</f>
        <v>7608</v>
      </c>
      <c r="T169" s="27">
        <v>44774</v>
      </c>
      <c r="U169" s="25">
        <f>3994+3994</f>
        <v>7988</v>
      </c>
    </row>
    <row r="170" spans="1:21">
      <c r="A170" s="14" t="s">
        <v>401</v>
      </c>
      <c r="B170" s="13">
        <v>3002</v>
      </c>
      <c r="C170" s="13" t="s">
        <v>876</v>
      </c>
      <c r="D170" s="14">
        <v>32.5</v>
      </c>
      <c r="E170" s="14">
        <v>4838</v>
      </c>
      <c r="F170" s="14">
        <v>500</v>
      </c>
      <c r="G170" s="4">
        <f>4608*1.05</f>
        <v>4838.4</v>
      </c>
      <c r="H170" s="25">
        <v>3002</v>
      </c>
      <c r="I170" s="24" t="s">
        <v>876</v>
      </c>
      <c r="J170" s="7">
        <v>4608</v>
      </c>
      <c r="K170" s="25">
        <v>500</v>
      </c>
      <c r="L170" s="25"/>
      <c r="M170" s="25">
        <f t="shared" si="11"/>
        <v>230</v>
      </c>
      <c r="N170" s="25">
        <f t="shared" si="12"/>
        <v>0</v>
      </c>
      <c r="O170" s="25"/>
      <c r="P170" s="25"/>
      <c r="Q170" s="26">
        <v>43191</v>
      </c>
      <c r="R170" s="25"/>
      <c r="S170" s="25"/>
      <c r="T170" s="25"/>
      <c r="U170" s="25"/>
    </row>
    <row r="171" spans="1:21">
      <c r="A171" s="14" t="s">
        <v>401</v>
      </c>
      <c r="B171" s="13">
        <v>3003</v>
      </c>
      <c r="C171" s="13" t="s">
        <v>1004</v>
      </c>
      <c r="D171" s="14">
        <v>31.76</v>
      </c>
      <c r="E171" s="14">
        <v>5080</v>
      </c>
      <c r="F171" s="14">
        <v>500</v>
      </c>
      <c r="H171" s="25">
        <v>3003</v>
      </c>
      <c r="I171" s="24" t="s">
        <v>406</v>
      </c>
      <c r="J171" s="7">
        <f t="shared" ref="J171:J172" si="14">U171</f>
        <v>5080</v>
      </c>
      <c r="K171" s="25">
        <v>500</v>
      </c>
      <c r="L171" s="25"/>
      <c r="M171" s="25">
        <f t="shared" si="11"/>
        <v>0</v>
      </c>
      <c r="N171" s="25">
        <f t="shared" si="12"/>
        <v>0</v>
      </c>
      <c r="O171" s="25"/>
      <c r="P171" s="25"/>
      <c r="Q171" s="26">
        <v>44287</v>
      </c>
      <c r="R171" s="25"/>
      <c r="S171" s="25"/>
      <c r="T171" s="27">
        <v>44652</v>
      </c>
      <c r="U171" s="25">
        <v>5080</v>
      </c>
    </row>
    <row r="172" spans="1:21">
      <c r="A172" s="14" t="s">
        <v>401</v>
      </c>
      <c r="B172" s="13">
        <v>3004</v>
      </c>
      <c r="C172" s="13" t="s">
        <v>877</v>
      </c>
      <c r="D172" s="14">
        <v>31.76</v>
      </c>
      <c r="E172" s="14">
        <v>5080</v>
      </c>
      <c r="F172" s="14">
        <v>500</v>
      </c>
      <c r="H172" s="25">
        <v>3004</v>
      </c>
      <c r="I172" s="24" t="s">
        <v>877</v>
      </c>
      <c r="J172" s="7">
        <f t="shared" si="14"/>
        <v>5080</v>
      </c>
      <c r="K172" s="25">
        <v>500</v>
      </c>
      <c r="L172" s="25"/>
      <c r="M172" s="25">
        <f t="shared" si="11"/>
        <v>0</v>
      </c>
      <c r="N172" s="25">
        <f t="shared" si="12"/>
        <v>0</v>
      </c>
      <c r="O172" s="25"/>
      <c r="P172" s="25"/>
      <c r="Q172" s="26">
        <v>44562</v>
      </c>
      <c r="R172" s="25"/>
      <c r="S172" s="25"/>
      <c r="T172" s="27">
        <v>44652</v>
      </c>
      <c r="U172" s="25">
        <f>2540+2540</f>
        <v>5080</v>
      </c>
    </row>
    <row r="173" spans="1:21">
      <c r="A173" s="14" t="s">
        <v>401</v>
      </c>
      <c r="B173" s="13">
        <v>3005</v>
      </c>
      <c r="C173" s="13" t="s">
        <v>878</v>
      </c>
      <c r="D173" s="14">
        <v>32.42</v>
      </c>
      <c r="E173" s="14">
        <v>5324</v>
      </c>
      <c r="F173" s="14">
        <v>500</v>
      </c>
      <c r="H173" s="25">
        <v>3005</v>
      </c>
      <c r="I173" s="24" t="s">
        <v>878</v>
      </c>
      <c r="J173" s="7">
        <f t="shared" ref="J173:J174" si="15">S173</f>
        <v>5324</v>
      </c>
      <c r="K173" s="25">
        <v>500</v>
      </c>
      <c r="L173" s="25"/>
      <c r="M173" s="25">
        <f t="shared" si="11"/>
        <v>0</v>
      </c>
      <c r="N173" s="25">
        <f t="shared" si="12"/>
        <v>0</v>
      </c>
      <c r="O173" s="25"/>
      <c r="P173" s="25"/>
      <c r="Q173" s="26">
        <v>43800</v>
      </c>
      <c r="R173" s="27">
        <v>44531</v>
      </c>
      <c r="S173" s="25">
        <v>5324</v>
      </c>
      <c r="T173" s="25"/>
      <c r="U173" s="25"/>
    </row>
    <row r="174" spans="1:21">
      <c r="A174" s="14" t="s">
        <v>401</v>
      </c>
      <c r="B174" s="13">
        <v>3006</v>
      </c>
      <c r="C174" s="13" t="s">
        <v>879</v>
      </c>
      <c r="D174" s="14">
        <v>32.42</v>
      </c>
      <c r="E174" s="14">
        <v>5324</v>
      </c>
      <c r="F174" s="14">
        <v>500</v>
      </c>
      <c r="H174" s="25">
        <v>3006</v>
      </c>
      <c r="I174" s="24" t="s">
        <v>879</v>
      </c>
      <c r="J174" s="7">
        <f t="shared" si="15"/>
        <v>5324</v>
      </c>
      <c r="K174" s="25">
        <v>500</v>
      </c>
      <c r="L174" s="25"/>
      <c r="M174" s="25">
        <f t="shared" si="11"/>
        <v>0</v>
      </c>
      <c r="N174" s="25">
        <f t="shared" si="12"/>
        <v>0</v>
      </c>
      <c r="O174" s="25"/>
      <c r="P174" s="25"/>
      <c r="Q174" s="26">
        <v>43800</v>
      </c>
      <c r="R174" s="27">
        <v>44531</v>
      </c>
      <c r="S174" s="25">
        <v>5324</v>
      </c>
      <c r="T174" s="25"/>
      <c r="U174" s="25"/>
    </row>
    <row r="175" spans="1:21">
      <c r="A175" s="14" t="s">
        <v>401</v>
      </c>
      <c r="B175" s="13">
        <v>3007</v>
      </c>
      <c r="C175" s="13" t="s">
        <v>880</v>
      </c>
      <c r="D175" s="14">
        <v>32.42</v>
      </c>
      <c r="E175" s="14">
        <v>5324</v>
      </c>
      <c r="F175" s="14">
        <v>500</v>
      </c>
      <c r="H175" s="25">
        <v>3007</v>
      </c>
      <c r="I175" s="24" t="s">
        <v>880</v>
      </c>
      <c r="J175" s="7">
        <v>5324</v>
      </c>
      <c r="K175" s="25">
        <v>500</v>
      </c>
      <c r="L175" s="25"/>
      <c r="M175" s="25">
        <f t="shared" si="11"/>
        <v>0</v>
      </c>
      <c r="N175" s="25">
        <f t="shared" si="12"/>
        <v>0</v>
      </c>
      <c r="O175" s="25"/>
      <c r="P175" s="25"/>
      <c r="Q175" s="26">
        <v>44652</v>
      </c>
      <c r="R175" s="27"/>
      <c r="S175" s="25"/>
      <c r="T175" s="25"/>
      <c r="U175" s="25"/>
    </row>
    <row r="176" spans="1:21">
      <c r="A176" s="14" t="s">
        <v>401</v>
      </c>
      <c r="B176" s="13">
        <v>3008</v>
      </c>
      <c r="C176" s="13" t="s">
        <v>415</v>
      </c>
      <c r="D176" s="14">
        <v>32.42</v>
      </c>
      <c r="E176" s="14">
        <v>5082</v>
      </c>
      <c r="F176" s="14">
        <v>500</v>
      </c>
      <c r="H176" s="25">
        <v>3008</v>
      </c>
      <c r="I176" s="24" t="s">
        <v>415</v>
      </c>
      <c r="J176" s="7">
        <f>U176</f>
        <v>5082</v>
      </c>
      <c r="K176" s="25">
        <v>500</v>
      </c>
      <c r="L176" s="25"/>
      <c r="M176" s="25">
        <f t="shared" si="11"/>
        <v>0</v>
      </c>
      <c r="N176" s="25">
        <f t="shared" si="12"/>
        <v>0</v>
      </c>
      <c r="O176" s="25"/>
      <c r="P176" s="25"/>
      <c r="Q176" s="26">
        <v>44287</v>
      </c>
      <c r="R176" s="25"/>
      <c r="S176" s="25"/>
      <c r="T176" s="27">
        <v>44652</v>
      </c>
      <c r="U176" s="25">
        <f>2541+2541</f>
        <v>5082</v>
      </c>
    </row>
    <row r="177" spans="1:21">
      <c r="A177" s="14" t="s">
        <v>401</v>
      </c>
      <c r="B177" s="13">
        <v>3009</v>
      </c>
      <c r="C177" s="13"/>
      <c r="D177" s="14"/>
      <c r="E177" s="14"/>
      <c r="F177" s="14"/>
      <c r="H177" s="25">
        <v>3009</v>
      </c>
      <c r="I177" s="24"/>
      <c r="K177" s="25"/>
      <c r="L177" s="25"/>
      <c r="M177" s="25">
        <f t="shared" si="11"/>
        <v>0</v>
      </c>
      <c r="N177" s="25">
        <f t="shared" si="12"/>
        <v>0</v>
      </c>
      <c r="O177" s="25"/>
      <c r="P177" s="25"/>
      <c r="Q177" s="26"/>
      <c r="R177" s="25"/>
      <c r="S177" s="25"/>
      <c r="T177" s="27"/>
      <c r="U177" s="25"/>
    </row>
    <row r="178" spans="1:21">
      <c r="A178" s="14" t="s">
        <v>401</v>
      </c>
      <c r="B178" s="13">
        <v>3010</v>
      </c>
      <c r="C178" s="13" t="s">
        <v>339</v>
      </c>
      <c r="D178" s="14">
        <v>32.425</v>
      </c>
      <c r="E178" s="14">
        <v>5324</v>
      </c>
      <c r="F178" s="14">
        <v>500</v>
      </c>
      <c r="H178" s="25">
        <v>3010</v>
      </c>
      <c r="I178" s="24" t="s">
        <v>339</v>
      </c>
      <c r="J178" s="7">
        <v>5324</v>
      </c>
      <c r="K178" s="25">
        <v>500</v>
      </c>
      <c r="L178" s="25"/>
      <c r="M178" s="25">
        <f t="shared" si="11"/>
        <v>0</v>
      </c>
      <c r="N178" s="25">
        <f t="shared" si="12"/>
        <v>0</v>
      </c>
      <c r="O178" s="25"/>
      <c r="P178" s="25"/>
      <c r="Q178" s="26">
        <v>44562</v>
      </c>
      <c r="R178" s="27"/>
      <c r="S178" s="25"/>
      <c r="T178" s="25"/>
      <c r="U178" s="25"/>
    </row>
    <row r="179" spans="1:21">
      <c r="A179" s="14" t="s">
        <v>401</v>
      </c>
      <c r="B179" s="13">
        <v>3011</v>
      </c>
      <c r="C179" s="13" t="s">
        <v>881</v>
      </c>
      <c r="D179" s="14">
        <v>31.765</v>
      </c>
      <c r="E179" s="14">
        <v>5324</v>
      </c>
      <c r="F179" s="14">
        <v>500</v>
      </c>
      <c r="H179" s="25">
        <v>3011</v>
      </c>
      <c r="I179" s="24" t="s">
        <v>881</v>
      </c>
      <c r="J179" s="7">
        <v>5324</v>
      </c>
      <c r="K179" s="25">
        <v>500</v>
      </c>
      <c r="L179" s="25"/>
      <c r="M179" s="25">
        <f t="shared" si="11"/>
        <v>0</v>
      </c>
      <c r="N179" s="25">
        <f t="shared" si="12"/>
        <v>0</v>
      </c>
      <c r="O179" s="25"/>
      <c r="P179" s="25"/>
      <c r="Q179" s="26">
        <v>44652</v>
      </c>
      <c r="R179" s="27"/>
      <c r="S179" s="25"/>
      <c r="T179" s="25"/>
      <c r="U179" s="25"/>
    </row>
    <row r="180" spans="1:21">
      <c r="A180" s="14" t="s">
        <v>401</v>
      </c>
      <c r="B180" s="13">
        <v>3012</v>
      </c>
      <c r="C180" s="13" t="s">
        <v>1005</v>
      </c>
      <c r="D180" s="14">
        <v>31.765</v>
      </c>
      <c r="E180" s="14">
        <v>6100</v>
      </c>
      <c r="F180" s="14">
        <v>500</v>
      </c>
      <c r="H180" s="25">
        <v>3012</v>
      </c>
      <c r="I180" s="24" t="s">
        <v>1005</v>
      </c>
      <c r="J180" s="7">
        <v>6100</v>
      </c>
      <c r="K180" s="25">
        <v>500</v>
      </c>
      <c r="L180" s="25"/>
      <c r="M180" s="25">
        <f t="shared" si="11"/>
        <v>0</v>
      </c>
      <c r="N180" s="25">
        <f t="shared" si="12"/>
        <v>0</v>
      </c>
      <c r="O180" s="25"/>
      <c r="P180" s="25"/>
      <c r="Q180" s="26">
        <v>44652</v>
      </c>
      <c r="R180" s="27"/>
      <c r="S180" s="25"/>
      <c r="T180" s="25"/>
      <c r="U180" s="25"/>
    </row>
    <row r="181" spans="1:21">
      <c r="A181" s="14" t="s">
        <v>401</v>
      </c>
      <c r="B181" s="13">
        <v>3013</v>
      </c>
      <c r="C181" s="13" t="s">
        <v>1006</v>
      </c>
      <c r="D181" s="14">
        <v>31.765</v>
      </c>
      <c r="E181" s="14">
        <v>6132</v>
      </c>
      <c r="F181" s="14"/>
      <c r="H181" s="25">
        <v>3013</v>
      </c>
      <c r="I181" s="24" t="s">
        <v>1006</v>
      </c>
      <c r="J181" s="7">
        <v>6132</v>
      </c>
      <c r="K181" s="25"/>
      <c r="L181" s="25"/>
      <c r="M181" s="25">
        <f t="shared" si="11"/>
        <v>0</v>
      </c>
      <c r="N181" s="25">
        <f t="shared" si="12"/>
        <v>0</v>
      </c>
      <c r="O181" s="25"/>
      <c r="P181" s="25"/>
      <c r="Q181" s="26">
        <v>44652</v>
      </c>
      <c r="R181" s="27"/>
      <c r="S181" s="25"/>
      <c r="T181" s="27"/>
      <c r="U181" s="25"/>
    </row>
    <row r="182" spans="1:21">
      <c r="A182" s="14" t="s">
        <v>401</v>
      </c>
      <c r="B182" s="13">
        <v>3014</v>
      </c>
      <c r="C182" s="13" t="s">
        <v>1007</v>
      </c>
      <c r="D182" s="14">
        <v>31.765</v>
      </c>
      <c r="E182" s="14">
        <v>6146</v>
      </c>
      <c r="F182" s="14">
        <v>500</v>
      </c>
      <c r="H182" s="25">
        <v>3014</v>
      </c>
      <c r="I182" s="24" t="s">
        <v>1007</v>
      </c>
      <c r="J182" s="7">
        <f>U182</f>
        <v>6146</v>
      </c>
      <c r="K182" s="25">
        <v>500</v>
      </c>
      <c r="L182" s="25"/>
      <c r="M182" s="25">
        <f t="shared" si="11"/>
        <v>0</v>
      </c>
      <c r="N182" s="25">
        <f t="shared" si="12"/>
        <v>0</v>
      </c>
      <c r="O182" s="25"/>
      <c r="P182" s="25"/>
      <c r="Q182" s="26">
        <v>43922</v>
      </c>
      <c r="R182" s="27">
        <v>44287</v>
      </c>
      <c r="S182" s="25">
        <f>2927+2927</f>
        <v>5854</v>
      </c>
      <c r="T182" s="27">
        <v>44652</v>
      </c>
      <c r="U182" s="25">
        <f>3073+3073</f>
        <v>6146</v>
      </c>
    </row>
    <row r="183" spans="1:21">
      <c r="A183" s="14" t="s">
        <v>401</v>
      </c>
      <c r="B183" s="13">
        <v>3015</v>
      </c>
      <c r="C183" s="13" t="s">
        <v>427</v>
      </c>
      <c r="D183" s="14">
        <v>31.76</v>
      </c>
      <c r="E183" s="14">
        <v>5324</v>
      </c>
      <c r="F183" s="14">
        <v>500</v>
      </c>
      <c r="H183" s="25">
        <v>3015</v>
      </c>
      <c r="I183" s="24" t="s">
        <v>427</v>
      </c>
      <c r="J183" s="7">
        <v>5324</v>
      </c>
      <c r="K183" s="25">
        <v>500</v>
      </c>
      <c r="L183" s="25"/>
      <c r="M183" s="25">
        <f t="shared" si="11"/>
        <v>0</v>
      </c>
      <c r="N183" s="25">
        <f t="shared" si="12"/>
        <v>0</v>
      </c>
      <c r="O183" s="25"/>
      <c r="P183" s="25"/>
      <c r="Q183" s="26">
        <v>44652</v>
      </c>
      <c r="R183" s="27"/>
      <c r="S183" s="25"/>
      <c r="T183" s="25"/>
      <c r="U183" s="25"/>
    </row>
    <row r="184" spans="1:21">
      <c r="A184" s="14" t="s">
        <v>401</v>
      </c>
      <c r="B184" s="13">
        <v>3016</v>
      </c>
      <c r="C184" s="13" t="s">
        <v>429</v>
      </c>
      <c r="D184" s="14">
        <v>31.76</v>
      </c>
      <c r="E184" s="14">
        <v>5324</v>
      </c>
      <c r="F184" s="14">
        <v>500</v>
      </c>
      <c r="H184" s="25">
        <v>3016</v>
      </c>
      <c r="I184" s="24" t="s">
        <v>429</v>
      </c>
      <c r="J184" s="7">
        <v>5324</v>
      </c>
      <c r="K184" s="25">
        <v>500</v>
      </c>
      <c r="L184" s="25"/>
      <c r="M184" s="25">
        <f t="shared" si="11"/>
        <v>0</v>
      </c>
      <c r="N184" s="25">
        <f t="shared" si="12"/>
        <v>0</v>
      </c>
      <c r="O184" s="25"/>
      <c r="P184" s="25"/>
      <c r="Q184" s="26">
        <v>44652</v>
      </c>
      <c r="R184" s="27"/>
      <c r="S184" s="25"/>
      <c r="T184" s="25"/>
      <c r="U184" s="25"/>
    </row>
    <row r="185" spans="1:21">
      <c r="A185" s="14" t="s">
        <v>401</v>
      </c>
      <c r="B185" s="13">
        <v>3017</v>
      </c>
      <c r="C185" s="13" t="s">
        <v>883</v>
      </c>
      <c r="D185" s="14">
        <v>31.76</v>
      </c>
      <c r="E185" s="14">
        <v>5324</v>
      </c>
      <c r="F185" s="14">
        <v>500</v>
      </c>
      <c r="H185" s="25">
        <v>3017</v>
      </c>
      <c r="I185" s="24" t="s">
        <v>883</v>
      </c>
      <c r="J185" s="7">
        <v>5324</v>
      </c>
      <c r="K185" s="25">
        <v>500</v>
      </c>
      <c r="L185" s="25"/>
      <c r="M185" s="25">
        <f t="shared" si="11"/>
        <v>0</v>
      </c>
      <c r="N185" s="25">
        <f t="shared" si="12"/>
        <v>0</v>
      </c>
      <c r="O185" s="25"/>
      <c r="P185" s="25"/>
      <c r="Q185" s="26">
        <v>44652</v>
      </c>
      <c r="R185" s="27"/>
      <c r="S185" s="25"/>
      <c r="T185" s="25"/>
      <c r="U185" s="25"/>
    </row>
    <row r="186" spans="1:21">
      <c r="A186" s="14" t="s">
        <v>401</v>
      </c>
      <c r="B186" s="13">
        <v>3018</v>
      </c>
      <c r="C186" s="13" t="s">
        <v>1008</v>
      </c>
      <c r="D186" s="14">
        <v>31.76</v>
      </c>
      <c r="E186" s="14">
        <v>5080</v>
      </c>
      <c r="F186" s="14">
        <v>500</v>
      </c>
      <c r="H186" s="25">
        <v>3018</v>
      </c>
      <c r="I186" s="24" t="s">
        <v>1008</v>
      </c>
      <c r="J186" s="7">
        <f>U186</f>
        <v>5080</v>
      </c>
      <c r="K186" s="25">
        <v>500</v>
      </c>
      <c r="L186" s="25"/>
      <c r="M186" s="25">
        <f t="shared" si="11"/>
        <v>0</v>
      </c>
      <c r="N186" s="25">
        <f t="shared" si="12"/>
        <v>0</v>
      </c>
      <c r="O186" s="25"/>
      <c r="P186" s="25"/>
      <c r="Q186" s="26">
        <v>44287</v>
      </c>
      <c r="R186" s="25"/>
      <c r="S186" s="25"/>
      <c r="T186" s="27">
        <v>44652</v>
      </c>
      <c r="U186" s="25">
        <f>2540+2540</f>
        <v>5080</v>
      </c>
    </row>
    <row r="187" spans="1:21">
      <c r="A187" s="14" t="s">
        <v>401</v>
      </c>
      <c r="B187" s="13">
        <v>3019</v>
      </c>
      <c r="C187" s="13" t="s">
        <v>1009</v>
      </c>
      <c r="D187" s="14">
        <v>31.76</v>
      </c>
      <c r="E187" s="14">
        <v>5324</v>
      </c>
      <c r="F187" s="14">
        <v>500</v>
      </c>
      <c r="H187" s="25">
        <v>3019</v>
      </c>
      <c r="I187" s="24" t="s">
        <v>1009</v>
      </c>
      <c r="J187" s="7">
        <v>5324</v>
      </c>
      <c r="K187" s="25">
        <v>500</v>
      </c>
      <c r="L187" s="25"/>
      <c r="M187" s="25">
        <f t="shared" si="11"/>
        <v>0</v>
      </c>
      <c r="N187" s="25">
        <f t="shared" si="12"/>
        <v>0</v>
      </c>
      <c r="O187" s="25"/>
      <c r="P187" s="25"/>
      <c r="Q187" s="26">
        <v>44652</v>
      </c>
      <c r="R187" s="27"/>
      <c r="S187" s="25"/>
      <c r="T187" s="27"/>
      <c r="U187" s="25"/>
    </row>
    <row r="188" spans="1:21">
      <c r="A188" s="14" t="s">
        <v>401</v>
      </c>
      <c r="B188" s="13">
        <v>3020</v>
      </c>
      <c r="C188" s="13" t="s">
        <v>436</v>
      </c>
      <c r="D188" s="14">
        <v>31.76</v>
      </c>
      <c r="E188" s="14">
        <v>5324</v>
      </c>
      <c r="F188" s="14">
        <v>500</v>
      </c>
      <c r="H188" s="25">
        <v>3020</v>
      </c>
      <c r="I188" s="24" t="s">
        <v>436</v>
      </c>
      <c r="J188" s="7">
        <v>5324</v>
      </c>
      <c r="K188" s="25">
        <v>500</v>
      </c>
      <c r="L188" s="25"/>
      <c r="M188" s="25">
        <f t="shared" si="11"/>
        <v>0</v>
      </c>
      <c r="N188" s="25">
        <f t="shared" si="12"/>
        <v>0</v>
      </c>
      <c r="O188" s="25"/>
      <c r="P188" s="25"/>
      <c r="Q188" s="26">
        <v>44652</v>
      </c>
      <c r="R188" s="27"/>
      <c r="S188" s="25"/>
      <c r="T188" s="27"/>
      <c r="U188" s="25"/>
    </row>
    <row r="189" spans="1:21">
      <c r="A189" s="14" t="s">
        <v>401</v>
      </c>
      <c r="B189" s="13">
        <v>3021</v>
      </c>
      <c r="C189" s="13" t="s">
        <v>884</v>
      </c>
      <c r="D189" s="14">
        <v>31.765</v>
      </c>
      <c r="E189" s="14">
        <v>6134</v>
      </c>
      <c r="F189" s="14">
        <v>500</v>
      </c>
      <c r="H189" s="25">
        <v>3021</v>
      </c>
      <c r="I189" s="24" t="s">
        <v>884</v>
      </c>
      <c r="J189" s="7">
        <f>S189</f>
        <v>6134</v>
      </c>
      <c r="K189" s="25">
        <v>500</v>
      </c>
      <c r="L189" s="25"/>
      <c r="M189" s="25">
        <f t="shared" si="11"/>
        <v>0</v>
      </c>
      <c r="N189" s="25">
        <f t="shared" si="12"/>
        <v>0</v>
      </c>
      <c r="O189" s="25"/>
      <c r="P189" s="25"/>
      <c r="Q189" s="26">
        <v>44044</v>
      </c>
      <c r="R189" s="27">
        <v>44409</v>
      </c>
      <c r="S189" s="25">
        <v>6134</v>
      </c>
      <c r="T189" s="27">
        <v>44774</v>
      </c>
      <c r="U189" s="25">
        <v>6440</v>
      </c>
    </row>
    <row r="190" spans="1:21">
      <c r="A190" s="14" t="s">
        <v>401</v>
      </c>
      <c r="B190" s="13">
        <v>3022</v>
      </c>
      <c r="C190" s="13" t="s">
        <v>885</v>
      </c>
      <c r="D190" s="14">
        <v>31.765</v>
      </c>
      <c r="E190" s="14">
        <f>2896+2896</f>
        <v>5792</v>
      </c>
      <c r="F190" s="14">
        <v>500</v>
      </c>
      <c r="H190" s="25">
        <v>3022</v>
      </c>
      <c r="I190" s="24" t="s">
        <v>885</v>
      </c>
      <c r="J190" s="7">
        <f>U190</f>
        <v>5792</v>
      </c>
      <c r="K190" s="25">
        <v>500</v>
      </c>
      <c r="L190" s="25"/>
      <c r="M190" s="25">
        <f t="shared" si="11"/>
        <v>0</v>
      </c>
      <c r="N190" s="25">
        <f t="shared" si="12"/>
        <v>0</v>
      </c>
      <c r="O190" s="25"/>
      <c r="P190" s="25"/>
      <c r="Q190" s="26">
        <v>44256</v>
      </c>
      <c r="R190" s="25"/>
      <c r="S190" s="25"/>
      <c r="T190" s="27">
        <v>44621</v>
      </c>
      <c r="U190" s="25">
        <f>2896+2896</f>
        <v>5792</v>
      </c>
    </row>
    <row r="191" spans="1:21">
      <c r="A191" s="14" t="s">
        <v>401</v>
      </c>
      <c r="B191" s="13">
        <v>3023</v>
      </c>
      <c r="C191" s="13"/>
      <c r="D191" s="14"/>
      <c r="E191" s="14"/>
      <c r="F191" s="14"/>
      <c r="H191" s="25">
        <v>3023</v>
      </c>
      <c r="I191" s="24"/>
      <c r="K191" s="25"/>
      <c r="L191" s="25"/>
      <c r="M191" s="25">
        <f t="shared" si="11"/>
        <v>0</v>
      </c>
      <c r="N191" s="25">
        <f t="shared" si="12"/>
        <v>0</v>
      </c>
      <c r="O191" s="25"/>
      <c r="P191" s="25"/>
      <c r="Q191" s="26"/>
      <c r="R191" s="27"/>
      <c r="S191" s="25"/>
      <c r="T191" s="25"/>
      <c r="U191" s="25"/>
    </row>
    <row r="192" spans="1:21">
      <c r="A192" s="14" t="s">
        <v>401</v>
      </c>
      <c r="B192" s="13">
        <v>3024</v>
      </c>
      <c r="C192" s="13" t="s">
        <v>886</v>
      </c>
      <c r="D192" s="14">
        <v>31.765</v>
      </c>
      <c r="E192" s="14">
        <v>5854</v>
      </c>
      <c r="F192" s="14">
        <v>500</v>
      </c>
      <c r="H192" s="25">
        <v>3024</v>
      </c>
      <c r="I192" s="24" t="s">
        <v>886</v>
      </c>
      <c r="J192" s="7">
        <f>S192</f>
        <v>5854</v>
      </c>
      <c r="K192" s="25">
        <v>500</v>
      </c>
      <c r="L192" s="25"/>
      <c r="M192" s="25">
        <f t="shared" si="11"/>
        <v>0</v>
      </c>
      <c r="N192" s="25">
        <f t="shared" si="12"/>
        <v>0</v>
      </c>
      <c r="O192" s="25"/>
      <c r="P192" s="25"/>
      <c r="Q192" s="36">
        <v>43709</v>
      </c>
      <c r="R192" s="27">
        <v>44440</v>
      </c>
      <c r="S192" s="25">
        <v>5854</v>
      </c>
      <c r="T192" s="25"/>
      <c r="U192" s="25"/>
    </row>
    <row r="193" spans="1:21">
      <c r="A193" s="14" t="s">
        <v>401</v>
      </c>
      <c r="B193" s="13">
        <v>3025</v>
      </c>
      <c r="C193" s="13" t="s">
        <v>446</v>
      </c>
      <c r="D193" s="14">
        <v>49.18</v>
      </c>
      <c r="E193" s="14">
        <v>5592</v>
      </c>
      <c r="F193" s="14">
        <v>500</v>
      </c>
      <c r="H193" s="25">
        <v>3025</v>
      </c>
      <c r="I193" s="24" t="s">
        <v>446</v>
      </c>
      <c r="J193" s="7">
        <v>5592</v>
      </c>
      <c r="K193" s="25">
        <v>500</v>
      </c>
      <c r="L193" s="25"/>
      <c r="M193" s="25">
        <f t="shared" si="11"/>
        <v>0</v>
      </c>
      <c r="N193" s="25">
        <f t="shared" si="12"/>
        <v>0</v>
      </c>
      <c r="O193" s="25"/>
      <c r="P193" s="25"/>
      <c r="Q193" s="26">
        <v>44652</v>
      </c>
      <c r="R193" s="27"/>
      <c r="S193" s="25"/>
      <c r="T193" s="25"/>
      <c r="U193" s="25"/>
    </row>
    <row r="194" spans="1:21">
      <c r="A194" s="14" t="s">
        <v>401</v>
      </c>
      <c r="B194" s="13">
        <v>3026</v>
      </c>
      <c r="C194" s="13" t="s">
        <v>887</v>
      </c>
      <c r="D194" s="14">
        <v>42.68</v>
      </c>
      <c r="E194" s="14">
        <v>4724</v>
      </c>
      <c r="F194" s="14">
        <v>300</v>
      </c>
      <c r="H194" s="25">
        <v>3026</v>
      </c>
      <c r="I194" s="24" t="s">
        <v>887</v>
      </c>
      <c r="J194" s="7">
        <f>S194</f>
        <v>4724</v>
      </c>
      <c r="K194" s="25">
        <v>300</v>
      </c>
      <c r="L194" s="25"/>
      <c r="M194" s="25">
        <f t="shared" si="11"/>
        <v>0</v>
      </c>
      <c r="N194" s="25">
        <f t="shared" si="12"/>
        <v>0</v>
      </c>
      <c r="O194" s="25"/>
      <c r="P194" s="25"/>
      <c r="Q194" s="26">
        <v>44166</v>
      </c>
      <c r="R194" s="27">
        <v>44531</v>
      </c>
      <c r="S194" s="25">
        <f>2362+2362</f>
        <v>4724</v>
      </c>
      <c r="T194" s="27">
        <v>44896</v>
      </c>
      <c r="U194" s="25">
        <f>2480+2480</f>
        <v>4960</v>
      </c>
    </row>
    <row r="195" spans="1:21">
      <c r="A195" s="14" t="s">
        <v>401</v>
      </c>
      <c r="B195" s="13">
        <v>3027</v>
      </c>
      <c r="C195" s="13" t="s">
        <v>503</v>
      </c>
      <c r="D195" s="14">
        <v>43.98</v>
      </c>
      <c r="E195" s="14">
        <v>4238</v>
      </c>
      <c r="F195" s="14">
        <v>500</v>
      </c>
      <c r="H195" s="25">
        <v>3027</v>
      </c>
      <c r="I195" s="24" t="s">
        <v>503</v>
      </c>
      <c r="J195" s="7">
        <f>U195</f>
        <v>4238</v>
      </c>
      <c r="K195" s="25">
        <v>500</v>
      </c>
      <c r="L195" s="25"/>
      <c r="M195" s="25">
        <f t="shared" si="11"/>
        <v>0</v>
      </c>
      <c r="N195" s="25">
        <f t="shared" si="12"/>
        <v>0</v>
      </c>
      <c r="O195" s="25"/>
      <c r="P195" s="25"/>
      <c r="Q195" s="26">
        <v>44044</v>
      </c>
      <c r="R195" s="27">
        <v>44197</v>
      </c>
      <c r="S195" s="25">
        <f>2018+2018</f>
        <v>4036</v>
      </c>
      <c r="T195" s="27">
        <v>44562</v>
      </c>
      <c r="U195" s="25">
        <f>2119+2119</f>
        <v>4238</v>
      </c>
    </row>
    <row r="196" spans="1:21">
      <c r="A196" s="14" t="s">
        <v>401</v>
      </c>
      <c r="B196" s="13">
        <v>3030</v>
      </c>
      <c r="C196" s="13"/>
      <c r="D196" s="14"/>
      <c r="E196" s="14"/>
      <c r="F196" s="14"/>
      <c r="H196" s="25">
        <v>3030</v>
      </c>
      <c r="I196" s="24"/>
      <c r="K196" s="25"/>
      <c r="L196" s="25"/>
      <c r="M196" s="25">
        <f t="shared" si="11"/>
        <v>0</v>
      </c>
      <c r="N196" s="25">
        <f t="shared" si="12"/>
        <v>0</v>
      </c>
      <c r="O196" s="25"/>
      <c r="P196" s="25"/>
      <c r="Q196" s="26"/>
      <c r="R196" s="27"/>
      <c r="S196" s="25"/>
      <c r="T196" s="25"/>
      <c r="U196" s="25"/>
    </row>
    <row r="197" spans="1:21">
      <c r="A197" s="14" t="s">
        <v>401</v>
      </c>
      <c r="B197" s="13">
        <v>3031</v>
      </c>
      <c r="C197" s="13" t="s">
        <v>888</v>
      </c>
      <c r="D197" s="14">
        <v>33</v>
      </c>
      <c r="E197" s="14">
        <v>5324</v>
      </c>
      <c r="F197" s="14">
        <v>500</v>
      </c>
      <c r="H197" s="25">
        <v>3031</v>
      </c>
      <c r="I197" s="24" t="s">
        <v>888</v>
      </c>
      <c r="J197" s="7">
        <v>5324</v>
      </c>
      <c r="K197" s="25">
        <v>500</v>
      </c>
      <c r="L197" s="25"/>
      <c r="M197" s="25">
        <f t="shared" si="11"/>
        <v>0</v>
      </c>
      <c r="N197" s="25">
        <f t="shared" si="12"/>
        <v>0</v>
      </c>
      <c r="O197" s="25"/>
      <c r="P197" s="25"/>
      <c r="Q197" s="26">
        <v>44652</v>
      </c>
      <c r="R197" s="27"/>
      <c r="S197" s="25"/>
      <c r="T197" s="25"/>
      <c r="U197" s="25"/>
    </row>
    <row r="198" spans="1:21">
      <c r="A198" s="14" t="s">
        <v>401</v>
      </c>
      <c r="B198" s="13">
        <v>3032</v>
      </c>
      <c r="C198" s="13" t="s">
        <v>1010</v>
      </c>
      <c r="D198" s="14">
        <v>31.765</v>
      </c>
      <c r="E198" s="14">
        <f>6134-600</f>
        <v>5534</v>
      </c>
      <c r="F198" s="14">
        <v>500</v>
      </c>
      <c r="H198" s="25">
        <v>3032</v>
      </c>
      <c r="I198" s="24" t="s">
        <v>1010</v>
      </c>
      <c r="J198" s="7">
        <f>S198</f>
        <v>6134</v>
      </c>
      <c r="K198" s="25">
        <v>500</v>
      </c>
      <c r="L198" s="25"/>
      <c r="M198" s="49">
        <f t="shared" si="11"/>
        <v>-600</v>
      </c>
      <c r="N198" s="25">
        <f t="shared" si="12"/>
        <v>0</v>
      </c>
      <c r="O198" s="25"/>
      <c r="P198" s="25"/>
      <c r="Q198" s="26">
        <v>44013</v>
      </c>
      <c r="R198" s="27">
        <v>44378</v>
      </c>
      <c r="S198" s="25">
        <f>3067+3067</f>
        <v>6134</v>
      </c>
      <c r="T198" s="27">
        <v>44743</v>
      </c>
      <c r="U198" s="25">
        <f>3220+3220</f>
        <v>6440</v>
      </c>
    </row>
    <row r="199" spans="1:21">
      <c r="A199" s="14" t="s">
        <v>401</v>
      </c>
      <c r="B199" s="13">
        <v>3033</v>
      </c>
      <c r="C199" s="13" t="s">
        <v>889</v>
      </c>
      <c r="D199" s="14">
        <v>31.76</v>
      </c>
      <c r="E199" s="14">
        <v>5854</v>
      </c>
      <c r="F199" s="14">
        <v>500</v>
      </c>
      <c r="H199" s="25">
        <v>3033</v>
      </c>
      <c r="I199" s="24" t="s">
        <v>889</v>
      </c>
      <c r="J199" s="7">
        <f t="shared" ref="J199:J200" si="16">U199</f>
        <v>5854</v>
      </c>
      <c r="K199" s="25">
        <v>500</v>
      </c>
      <c r="L199" s="25"/>
      <c r="M199" s="25">
        <f t="shared" si="11"/>
        <v>0</v>
      </c>
      <c r="N199" s="25">
        <f t="shared" si="12"/>
        <v>0</v>
      </c>
      <c r="O199" s="25"/>
      <c r="P199" s="25"/>
      <c r="Q199" s="26">
        <v>44287</v>
      </c>
      <c r="R199" s="25"/>
      <c r="S199" s="25"/>
      <c r="T199" s="27">
        <v>44652</v>
      </c>
      <c r="U199" s="25">
        <f>2927+2927</f>
        <v>5854</v>
      </c>
    </row>
    <row r="200" spans="1:21">
      <c r="A200" s="14" t="s">
        <v>401</v>
      </c>
      <c r="B200" s="13">
        <v>3034</v>
      </c>
      <c r="C200" s="13" t="s">
        <v>890</v>
      </c>
      <c r="D200" s="14">
        <v>31.765</v>
      </c>
      <c r="E200" s="14">
        <v>5080</v>
      </c>
      <c r="F200" s="14">
        <v>500</v>
      </c>
      <c r="H200" s="25">
        <v>3034</v>
      </c>
      <c r="I200" s="24" t="s">
        <v>890</v>
      </c>
      <c r="J200" s="7">
        <f t="shared" si="16"/>
        <v>5080</v>
      </c>
      <c r="K200" s="25">
        <v>500</v>
      </c>
      <c r="L200" s="25"/>
      <c r="M200" s="25">
        <f t="shared" si="11"/>
        <v>0</v>
      </c>
      <c r="N200" s="25">
        <f t="shared" si="12"/>
        <v>0</v>
      </c>
      <c r="O200" s="25"/>
      <c r="P200" s="25"/>
      <c r="Q200" s="26">
        <v>44287</v>
      </c>
      <c r="R200" s="27"/>
      <c r="S200" s="25"/>
      <c r="T200" s="27">
        <v>44652</v>
      </c>
      <c r="U200" s="25">
        <f>2540+2540</f>
        <v>5080</v>
      </c>
    </row>
    <row r="201" spans="1:21">
      <c r="A201" s="14" t="s">
        <v>401</v>
      </c>
      <c r="B201" s="13">
        <v>3035</v>
      </c>
      <c r="C201" s="13" t="s">
        <v>462</v>
      </c>
      <c r="D201" s="14">
        <v>31.765</v>
      </c>
      <c r="E201" s="14">
        <v>5324</v>
      </c>
      <c r="F201" s="14">
        <v>500</v>
      </c>
      <c r="H201" s="25">
        <v>3035</v>
      </c>
      <c r="I201" s="24" t="s">
        <v>462</v>
      </c>
      <c r="J201" s="7">
        <v>5324</v>
      </c>
      <c r="K201" s="25">
        <v>500</v>
      </c>
      <c r="L201" s="25"/>
      <c r="M201" s="25">
        <f t="shared" si="11"/>
        <v>0</v>
      </c>
      <c r="N201" s="25">
        <f t="shared" si="12"/>
        <v>0</v>
      </c>
      <c r="O201" s="25"/>
      <c r="P201" s="25"/>
      <c r="Q201" s="26">
        <v>44652</v>
      </c>
      <c r="R201" s="27"/>
      <c r="S201" s="25"/>
      <c r="T201" s="25"/>
      <c r="U201" s="25"/>
    </row>
    <row r="202" spans="1:21">
      <c r="A202" s="14" t="s">
        <v>401</v>
      </c>
      <c r="B202" s="13">
        <v>3036</v>
      </c>
      <c r="C202" s="13" t="s">
        <v>891</v>
      </c>
      <c r="D202" s="14">
        <v>31.765</v>
      </c>
      <c r="E202" s="14">
        <v>5082</v>
      </c>
      <c r="F202" s="14">
        <v>500</v>
      </c>
      <c r="H202" s="25">
        <v>3036</v>
      </c>
      <c r="I202" s="24" t="s">
        <v>891</v>
      </c>
      <c r="J202" s="7">
        <f>U202</f>
        <v>5082</v>
      </c>
      <c r="K202" s="25">
        <v>500</v>
      </c>
      <c r="L202" s="25"/>
      <c r="M202" s="25">
        <f t="shared" si="11"/>
        <v>0</v>
      </c>
      <c r="N202" s="25">
        <f t="shared" si="12"/>
        <v>0</v>
      </c>
      <c r="O202" s="25"/>
      <c r="P202" s="25"/>
      <c r="Q202" s="26">
        <v>44287</v>
      </c>
      <c r="R202" s="25"/>
      <c r="S202" s="25"/>
      <c r="T202" s="27">
        <v>44652</v>
      </c>
      <c r="U202" s="25">
        <f>2541+2541</f>
        <v>5082</v>
      </c>
    </row>
    <row r="203" spans="1:21">
      <c r="A203" s="14" t="s">
        <v>401</v>
      </c>
      <c r="B203" s="13">
        <v>3037</v>
      </c>
      <c r="C203" s="13" t="s">
        <v>718</v>
      </c>
      <c r="D203" s="14">
        <v>31.765</v>
      </c>
      <c r="E203" s="14">
        <v>5324</v>
      </c>
      <c r="F203" s="14">
        <v>500</v>
      </c>
      <c r="H203" s="25">
        <v>3037</v>
      </c>
      <c r="I203" s="24" t="s">
        <v>718</v>
      </c>
      <c r="J203" s="7">
        <v>5324</v>
      </c>
      <c r="K203" s="25">
        <v>500</v>
      </c>
      <c r="L203" s="25"/>
      <c r="M203" s="25">
        <f t="shared" si="11"/>
        <v>0</v>
      </c>
      <c r="N203" s="25">
        <f t="shared" si="12"/>
        <v>0</v>
      </c>
      <c r="O203" s="25"/>
      <c r="P203" s="25"/>
      <c r="Q203" s="26">
        <v>44652</v>
      </c>
      <c r="R203" s="27"/>
      <c r="S203" s="25"/>
      <c r="T203" s="27"/>
      <c r="U203" s="25"/>
    </row>
    <row r="204" spans="1:21">
      <c r="A204" s="14" t="s">
        <v>401</v>
      </c>
      <c r="B204" s="13">
        <v>3038</v>
      </c>
      <c r="C204" s="13" t="s">
        <v>892</v>
      </c>
      <c r="D204" s="14">
        <v>31.76</v>
      </c>
      <c r="E204" s="14">
        <v>5870</v>
      </c>
      <c r="F204" s="14">
        <v>500</v>
      </c>
      <c r="H204" s="25">
        <v>3038</v>
      </c>
      <c r="I204" s="24" t="s">
        <v>892</v>
      </c>
      <c r="J204" s="7">
        <f>U204</f>
        <v>5870</v>
      </c>
      <c r="K204" s="25">
        <v>500</v>
      </c>
      <c r="L204" s="25"/>
      <c r="M204" s="25">
        <f t="shared" si="11"/>
        <v>0</v>
      </c>
      <c r="N204" s="25">
        <f t="shared" si="12"/>
        <v>0</v>
      </c>
      <c r="O204" s="25"/>
      <c r="P204" s="25"/>
      <c r="Q204" s="26">
        <v>44287</v>
      </c>
      <c r="R204" s="25"/>
      <c r="S204" s="25"/>
      <c r="T204" s="27">
        <v>44652</v>
      </c>
      <c r="U204" s="25">
        <f>2935+2935</f>
        <v>5870</v>
      </c>
    </row>
    <row r="205" spans="1:21">
      <c r="A205" s="14" t="s">
        <v>401</v>
      </c>
      <c r="B205" s="13">
        <v>3039</v>
      </c>
      <c r="C205" s="13" t="s">
        <v>893</v>
      </c>
      <c r="D205" s="14">
        <v>31.76</v>
      </c>
      <c r="E205" s="14">
        <v>5324</v>
      </c>
      <c r="F205" s="14">
        <v>500</v>
      </c>
      <c r="H205" s="25">
        <v>3039</v>
      </c>
      <c r="I205" s="24" t="s">
        <v>893</v>
      </c>
      <c r="J205" s="7">
        <v>5324</v>
      </c>
      <c r="K205" s="25">
        <v>500</v>
      </c>
      <c r="L205" s="25"/>
      <c r="M205" s="25">
        <f t="shared" si="11"/>
        <v>0</v>
      </c>
      <c r="N205" s="25">
        <f t="shared" si="12"/>
        <v>0</v>
      </c>
      <c r="O205" s="25"/>
      <c r="P205" s="25"/>
      <c r="Q205" s="26">
        <v>44652</v>
      </c>
      <c r="R205" s="27"/>
      <c r="S205" s="25"/>
      <c r="T205" s="27"/>
      <c r="U205" s="25"/>
    </row>
    <row r="206" spans="1:21">
      <c r="A206" s="14" t="s">
        <v>401</v>
      </c>
      <c r="B206" s="13">
        <v>3040</v>
      </c>
      <c r="C206" s="13"/>
      <c r="D206" s="14"/>
      <c r="E206" s="14"/>
      <c r="F206" s="14"/>
      <c r="H206" s="25">
        <v>3040</v>
      </c>
      <c r="I206" s="24"/>
      <c r="K206" s="25"/>
      <c r="L206" s="25"/>
      <c r="M206" s="25">
        <f t="shared" si="11"/>
        <v>0</v>
      </c>
      <c r="N206" s="25">
        <f t="shared" si="12"/>
        <v>0</v>
      </c>
      <c r="O206" s="25"/>
      <c r="P206" s="25"/>
      <c r="Q206" s="26"/>
      <c r="R206" s="27"/>
      <c r="S206" s="25"/>
      <c r="T206" s="25"/>
      <c r="U206" s="25"/>
    </row>
    <row r="207" spans="1:21">
      <c r="A207" s="14" t="s">
        <v>401</v>
      </c>
      <c r="B207" s="13">
        <v>3041</v>
      </c>
      <c r="C207" s="13" t="s">
        <v>436</v>
      </c>
      <c r="D207" s="14">
        <v>31.76</v>
      </c>
      <c r="E207" s="14">
        <f>5500</f>
        <v>5500</v>
      </c>
      <c r="F207" s="14">
        <v>500</v>
      </c>
      <c r="H207" s="25">
        <v>3041</v>
      </c>
      <c r="I207" s="24" t="s">
        <v>436</v>
      </c>
      <c r="J207" s="7">
        <v>5500</v>
      </c>
      <c r="K207" s="25">
        <v>500</v>
      </c>
      <c r="L207" s="25"/>
      <c r="M207" s="25">
        <f t="shared" si="11"/>
        <v>0</v>
      </c>
      <c r="N207" s="25">
        <f t="shared" si="12"/>
        <v>0</v>
      </c>
      <c r="O207" s="25"/>
      <c r="P207" s="25"/>
      <c r="Q207" s="26">
        <v>44418</v>
      </c>
      <c r="R207" s="25"/>
      <c r="S207" s="25"/>
      <c r="T207" s="27">
        <v>44783</v>
      </c>
      <c r="U207" s="25">
        <v>5500</v>
      </c>
    </row>
    <row r="208" spans="1:21">
      <c r="A208" s="14" t="s">
        <v>401</v>
      </c>
      <c r="B208" s="13">
        <v>3042</v>
      </c>
      <c r="C208" s="13" t="s">
        <v>894</v>
      </c>
      <c r="D208" s="14">
        <v>31.76</v>
      </c>
      <c r="E208" s="14">
        <v>5080</v>
      </c>
      <c r="F208" s="14">
        <v>500</v>
      </c>
      <c r="H208" s="25">
        <v>3042</v>
      </c>
      <c r="I208" s="24" t="s">
        <v>894</v>
      </c>
      <c r="J208" s="7">
        <f>U208</f>
        <v>5080</v>
      </c>
      <c r="K208" s="25">
        <v>500</v>
      </c>
      <c r="L208" s="25"/>
      <c r="M208" s="25">
        <f t="shared" si="11"/>
        <v>0</v>
      </c>
      <c r="N208" s="25">
        <f t="shared" si="12"/>
        <v>0</v>
      </c>
      <c r="O208" s="25"/>
      <c r="P208" s="25"/>
      <c r="Q208" s="26">
        <v>44287</v>
      </c>
      <c r="R208" s="25"/>
      <c r="S208" s="25"/>
      <c r="T208" s="27">
        <v>44652</v>
      </c>
      <c r="U208" s="25">
        <f>2540+2540</f>
        <v>5080</v>
      </c>
    </row>
    <row r="209" spans="1:21">
      <c r="A209" s="14" t="s">
        <v>401</v>
      </c>
      <c r="B209" s="13">
        <v>3043</v>
      </c>
      <c r="C209" s="13" t="s">
        <v>895</v>
      </c>
      <c r="D209" s="14">
        <v>31.765</v>
      </c>
      <c r="E209" s="14">
        <v>6440</v>
      </c>
      <c r="F209" s="14">
        <v>500</v>
      </c>
      <c r="H209" s="25">
        <v>3043</v>
      </c>
      <c r="I209" s="24" t="s">
        <v>895</v>
      </c>
      <c r="J209" s="7">
        <f t="shared" ref="J209:J210" si="17">S209</f>
        <v>6440</v>
      </c>
      <c r="K209" s="25">
        <v>500</v>
      </c>
      <c r="L209" s="25"/>
      <c r="M209" s="25">
        <f t="shared" si="11"/>
        <v>0</v>
      </c>
      <c r="N209" s="25">
        <f t="shared" si="12"/>
        <v>0</v>
      </c>
      <c r="O209" s="25"/>
      <c r="P209" s="25"/>
      <c r="Q209" s="26">
        <v>43647</v>
      </c>
      <c r="R209" s="27">
        <v>44378</v>
      </c>
      <c r="S209" s="25">
        <v>6440</v>
      </c>
      <c r="T209" s="25"/>
      <c r="U209" s="25"/>
    </row>
    <row r="210" spans="1:21">
      <c r="A210" s="14" t="s">
        <v>401</v>
      </c>
      <c r="B210" s="13" t="s">
        <v>479</v>
      </c>
      <c r="C210" s="13" t="s">
        <v>480</v>
      </c>
      <c r="D210" s="14">
        <v>31.765</v>
      </c>
      <c r="E210" s="14">
        <v>5324</v>
      </c>
      <c r="F210" s="14">
        <v>500</v>
      </c>
      <c r="H210" s="25" t="s">
        <v>479</v>
      </c>
      <c r="I210" s="24" t="s">
        <v>480</v>
      </c>
      <c r="J210" s="7">
        <f t="shared" si="17"/>
        <v>5324</v>
      </c>
      <c r="K210" s="25">
        <v>500</v>
      </c>
      <c r="L210" s="25"/>
      <c r="M210" s="25">
        <f t="shared" si="11"/>
        <v>0</v>
      </c>
      <c r="N210" s="25">
        <f t="shared" si="12"/>
        <v>0</v>
      </c>
      <c r="O210" s="25"/>
      <c r="P210" s="25"/>
      <c r="Q210" s="26">
        <v>43739</v>
      </c>
      <c r="R210" s="27">
        <v>44470</v>
      </c>
      <c r="S210" s="25">
        <v>5324</v>
      </c>
      <c r="T210" s="25"/>
      <c r="U210" s="25"/>
    </row>
    <row r="211" spans="1:21">
      <c r="A211" s="14" t="s">
        <v>401</v>
      </c>
      <c r="B211" s="13">
        <v>3045</v>
      </c>
      <c r="C211" s="13" t="s">
        <v>1011</v>
      </c>
      <c r="D211" s="14">
        <v>31.76</v>
      </c>
      <c r="E211" s="14">
        <v>5854</v>
      </c>
      <c r="F211" s="14">
        <v>500</v>
      </c>
      <c r="H211" s="25">
        <v>3045</v>
      </c>
      <c r="I211" s="24" t="s">
        <v>1011</v>
      </c>
      <c r="J211" s="7">
        <f>U211</f>
        <v>5854</v>
      </c>
      <c r="K211" s="25">
        <v>500</v>
      </c>
      <c r="L211" s="25"/>
      <c r="M211" s="25">
        <f t="shared" ref="M211:M215" si="18">E211-J211</f>
        <v>0</v>
      </c>
      <c r="N211" s="25">
        <f t="shared" ref="N211:N215" si="19">F211-K211</f>
        <v>0</v>
      </c>
      <c r="O211" s="25"/>
      <c r="P211" s="25"/>
      <c r="Q211" s="26">
        <v>44287</v>
      </c>
      <c r="R211" s="25"/>
      <c r="S211" s="25"/>
      <c r="T211" s="27">
        <v>44652</v>
      </c>
      <c r="U211" s="25">
        <v>5854</v>
      </c>
    </row>
    <row r="212" spans="1:21">
      <c r="A212" s="14" t="s">
        <v>401</v>
      </c>
      <c r="B212" s="13">
        <v>3046</v>
      </c>
      <c r="C212" s="13" t="s">
        <v>1012</v>
      </c>
      <c r="D212" s="14">
        <v>31.765</v>
      </c>
      <c r="E212" s="14">
        <f>6134-600</f>
        <v>5534</v>
      </c>
      <c r="F212" s="14">
        <v>500</v>
      </c>
      <c r="H212" s="25">
        <v>3046</v>
      </c>
      <c r="I212" s="24" t="s">
        <v>1012</v>
      </c>
      <c r="J212" s="7">
        <f>S212</f>
        <v>6134</v>
      </c>
      <c r="K212" s="25">
        <v>500</v>
      </c>
      <c r="L212" s="25"/>
      <c r="M212" s="49">
        <f t="shared" si="18"/>
        <v>-600</v>
      </c>
      <c r="N212" s="25">
        <f t="shared" si="19"/>
        <v>0</v>
      </c>
      <c r="O212" s="25"/>
      <c r="P212" s="25"/>
      <c r="Q212" s="36">
        <v>44075</v>
      </c>
      <c r="R212" s="27">
        <v>44440</v>
      </c>
      <c r="S212" s="25">
        <f>3067+3067</f>
        <v>6134</v>
      </c>
      <c r="T212" s="27">
        <v>44805</v>
      </c>
      <c r="U212" s="25">
        <f>3220+3220</f>
        <v>6440</v>
      </c>
    </row>
    <row r="213" spans="1:21">
      <c r="A213" s="14" t="s">
        <v>401</v>
      </c>
      <c r="B213" s="13">
        <v>3047</v>
      </c>
      <c r="C213" s="13" t="s">
        <v>486</v>
      </c>
      <c r="D213" s="14">
        <v>31.76</v>
      </c>
      <c r="E213" s="14">
        <v>5324</v>
      </c>
      <c r="F213" s="14">
        <v>500</v>
      </c>
      <c r="H213" s="25">
        <v>3047</v>
      </c>
      <c r="I213" s="24" t="s">
        <v>486</v>
      </c>
      <c r="J213" s="7">
        <v>5324</v>
      </c>
      <c r="K213" s="25">
        <v>500</v>
      </c>
      <c r="L213" s="25"/>
      <c r="M213" s="25">
        <f t="shared" si="18"/>
        <v>0</v>
      </c>
      <c r="N213" s="25">
        <f t="shared" si="19"/>
        <v>0</v>
      </c>
      <c r="O213" s="25"/>
      <c r="P213" s="25"/>
      <c r="Q213" s="26">
        <v>44652</v>
      </c>
      <c r="R213" s="27"/>
      <c r="S213" s="25"/>
      <c r="T213" s="25"/>
      <c r="U213" s="25"/>
    </row>
    <row r="214" spans="1:21">
      <c r="A214" s="14" t="s">
        <v>401</v>
      </c>
      <c r="B214" s="13">
        <v>3048</v>
      </c>
      <c r="C214" s="13" t="s">
        <v>896</v>
      </c>
      <c r="D214" s="14">
        <v>31.76</v>
      </c>
      <c r="E214" s="14">
        <v>6150</v>
      </c>
      <c r="F214" s="14">
        <v>500</v>
      </c>
      <c r="H214" s="25">
        <v>3048</v>
      </c>
      <c r="I214" s="24"/>
      <c r="K214" s="25"/>
      <c r="L214" s="25"/>
      <c r="M214" s="49">
        <f t="shared" si="18"/>
        <v>6150</v>
      </c>
      <c r="N214" s="49">
        <f t="shared" si="19"/>
        <v>500</v>
      </c>
      <c r="O214" s="25"/>
      <c r="P214" s="25"/>
      <c r="Q214" s="26"/>
      <c r="R214" s="27"/>
      <c r="S214" s="25"/>
      <c r="T214" s="25"/>
      <c r="U214" s="25"/>
    </row>
    <row r="215" spans="1:21">
      <c r="A215" s="14" t="s">
        <v>401</v>
      </c>
      <c r="B215" s="13">
        <v>3049</v>
      </c>
      <c r="C215" s="13" t="s">
        <v>897</v>
      </c>
      <c r="D215" s="14">
        <v>31.76</v>
      </c>
      <c r="E215" s="14">
        <v>5082</v>
      </c>
      <c r="F215" s="14">
        <v>500</v>
      </c>
      <c r="H215" s="25">
        <v>3049</v>
      </c>
      <c r="I215" s="24" t="s">
        <v>897</v>
      </c>
      <c r="J215" s="7">
        <f>U215</f>
        <v>5082</v>
      </c>
      <c r="K215" s="25">
        <v>500</v>
      </c>
      <c r="L215" s="25"/>
      <c r="M215" s="25">
        <f t="shared" si="18"/>
        <v>0</v>
      </c>
      <c r="N215" s="25">
        <f t="shared" si="19"/>
        <v>0</v>
      </c>
      <c r="O215" s="25"/>
      <c r="P215" s="25"/>
      <c r="Q215" s="26">
        <v>43922</v>
      </c>
      <c r="R215" s="27">
        <v>44287</v>
      </c>
      <c r="S215" s="25">
        <f>2420*2</f>
        <v>4840</v>
      </c>
      <c r="T215" s="27">
        <v>44652</v>
      </c>
      <c r="U215" s="25">
        <f>2541*2</f>
        <v>5082</v>
      </c>
    </row>
    <row r="216" spans="1:21">
      <c r="A216" s="14" t="s">
        <v>401</v>
      </c>
      <c r="B216" s="13">
        <v>3050</v>
      </c>
      <c r="C216" s="13" t="s">
        <v>1013</v>
      </c>
      <c r="D216" s="14">
        <v>59.17</v>
      </c>
      <c r="E216" s="14">
        <v>9604</v>
      </c>
      <c r="F216" s="14">
        <v>500</v>
      </c>
      <c r="H216" s="25">
        <v>3050</v>
      </c>
      <c r="I216" s="24" t="s">
        <v>1013</v>
      </c>
      <c r="J216" s="7">
        <f>S216</f>
        <v>9604</v>
      </c>
      <c r="K216" s="25">
        <v>500</v>
      </c>
      <c r="L216" s="25"/>
      <c r="M216" s="25">
        <f t="shared" ref="M216:M279" si="20">E216-J216</f>
        <v>0</v>
      </c>
      <c r="N216" s="25">
        <f t="shared" ref="N216:N279" si="21">F216-K216</f>
        <v>0</v>
      </c>
      <c r="O216" s="25"/>
      <c r="P216" s="25"/>
      <c r="Q216" s="26">
        <v>43983</v>
      </c>
      <c r="R216" s="27">
        <v>44348</v>
      </c>
      <c r="S216" s="25">
        <f>4802+4802</f>
        <v>9604</v>
      </c>
      <c r="T216" s="27">
        <v>44713</v>
      </c>
      <c r="U216" s="25">
        <f>5042+5042</f>
        <v>10084</v>
      </c>
    </row>
    <row r="217" spans="1:21">
      <c r="A217" s="14" t="s">
        <v>401</v>
      </c>
      <c r="B217" s="13" t="s">
        <v>898</v>
      </c>
      <c r="C217" s="13" t="s">
        <v>899</v>
      </c>
      <c r="D217" s="14">
        <f>34.28/2</f>
        <v>17.14</v>
      </c>
      <c r="E217" s="14">
        <v>3000</v>
      </c>
      <c r="F217" s="14">
        <f>500/2</f>
        <v>250</v>
      </c>
      <c r="H217" s="25">
        <v>3051</v>
      </c>
      <c r="I217" s="24"/>
      <c r="K217" s="25"/>
      <c r="L217" s="25"/>
      <c r="M217" s="49">
        <f t="shared" si="20"/>
        <v>3000</v>
      </c>
      <c r="N217" s="49">
        <f t="shared" si="21"/>
        <v>250</v>
      </c>
      <c r="O217" s="25"/>
      <c r="P217" s="25"/>
      <c r="Q217" s="26"/>
      <c r="R217" s="27"/>
      <c r="S217" s="25"/>
      <c r="T217" s="25"/>
      <c r="U217" s="25"/>
    </row>
    <row r="218" spans="1:21">
      <c r="A218" s="14" t="s">
        <v>401</v>
      </c>
      <c r="B218" s="13">
        <v>3052</v>
      </c>
      <c r="C218" s="13" t="s">
        <v>901</v>
      </c>
      <c r="D218" s="14">
        <v>35.27</v>
      </c>
      <c r="E218" s="14">
        <v>3662</v>
      </c>
      <c r="F218" s="14">
        <v>200</v>
      </c>
      <c r="H218" s="25">
        <v>3052</v>
      </c>
      <c r="I218" s="24" t="s">
        <v>901</v>
      </c>
      <c r="J218" s="7">
        <v>3662</v>
      </c>
      <c r="K218" s="25">
        <v>200</v>
      </c>
      <c r="L218" s="25"/>
      <c r="M218" s="25">
        <f t="shared" si="20"/>
        <v>0</v>
      </c>
      <c r="N218" s="25">
        <f t="shared" si="21"/>
        <v>0</v>
      </c>
      <c r="O218" s="25"/>
      <c r="P218" s="25"/>
      <c r="Q218" s="26">
        <v>44404</v>
      </c>
      <c r="R218" s="25"/>
      <c r="S218" s="25"/>
      <c r="T218" s="25"/>
      <c r="U218" s="25"/>
    </row>
    <row r="219" spans="1:21">
      <c r="A219" s="14" t="s">
        <v>401</v>
      </c>
      <c r="B219" s="13" t="s">
        <v>502</v>
      </c>
      <c r="C219" s="13" t="s">
        <v>902</v>
      </c>
      <c r="D219" s="14">
        <v>93.2</v>
      </c>
      <c r="E219" s="14">
        <v>9608</v>
      </c>
      <c r="F219" s="14">
        <v>600</v>
      </c>
      <c r="H219" s="25">
        <v>3053</v>
      </c>
      <c r="I219" s="24" t="s">
        <v>902</v>
      </c>
      <c r="J219" s="7">
        <v>9608</v>
      </c>
      <c r="K219" s="25">
        <v>600</v>
      </c>
      <c r="L219" s="25"/>
      <c r="M219" s="25">
        <f t="shared" si="20"/>
        <v>0</v>
      </c>
      <c r="N219" s="25">
        <f t="shared" si="21"/>
        <v>0</v>
      </c>
      <c r="O219" s="25"/>
      <c r="P219" s="25"/>
      <c r="Q219" s="26">
        <v>44348</v>
      </c>
      <c r="R219" s="25"/>
      <c r="S219" s="25"/>
      <c r="T219" s="27">
        <v>44713</v>
      </c>
      <c r="U219" s="25">
        <v>10568</v>
      </c>
    </row>
    <row r="220" spans="1:21">
      <c r="A220" s="14" t="s">
        <v>507</v>
      </c>
      <c r="B220" s="13" t="s">
        <v>508</v>
      </c>
      <c r="C220" s="13"/>
      <c r="D220" s="14"/>
      <c r="E220" s="14"/>
      <c r="F220" s="14"/>
      <c r="H220" s="25">
        <v>3055</v>
      </c>
      <c r="I220" s="24" t="s">
        <v>903</v>
      </c>
      <c r="J220" s="7">
        <f>U220</f>
        <v>5080</v>
      </c>
      <c r="K220" s="25">
        <v>500</v>
      </c>
      <c r="L220" s="25"/>
      <c r="M220" s="25">
        <f t="shared" si="20"/>
        <v>-5080</v>
      </c>
      <c r="N220" s="25">
        <f t="shared" si="21"/>
        <v>-500</v>
      </c>
      <c r="O220" s="25"/>
      <c r="P220" s="25"/>
      <c r="Q220" s="26">
        <v>44287</v>
      </c>
      <c r="R220" s="25"/>
      <c r="S220" s="25"/>
      <c r="T220" s="27">
        <v>44652</v>
      </c>
      <c r="U220" s="25">
        <f>2540+2540</f>
        <v>5080</v>
      </c>
    </row>
    <row r="221" spans="1:21">
      <c r="A221" s="14" t="s">
        <v>507</v>
      </c>
      <c r="B221" s="13" t="s">
        <v>510</v>
      </c>
      <c r="C221" s="13" t="s">
        <v>525</v>
      </c>
      <c r="D221" s="14"/>
      <c r="E221" s="14">
        <v>1200</v>
      </c>
      <c r="F221" s="14"/>
      <c r="H221" s="25" t="s">
        <v>904</v>
      </c>
      <c r="I221" s="24"/>
      <c r="K221" s="25"/>
      <c r="L221" s="25"/>
      <c r="M221" s="25">
        <f t="shared" si="20"/>
        <v>1200</v>
      </c>
      <c r="N221" s="25">
        <f t="shared" si="21"/>
        <v>0</v>
      </c>
      <c r="O221" s="25"/>
      <c r="P221" s="25"/>
      <c r="Q221" s="26"/>
      <c r="R221" s="25"/>
      <c r="S221" s="25"/>
      <c r="T221" s="25"/>
      <c r="U221" s="25"/>
    </row>
    <row r="222" spans="1:21">
      <c r="A222" s="14" t="s">
        <v>401</v>
      </c>
      <c r="B222" s="13">
        <v>3055</v>
      </c>
      <c r="C222" s="13" t="s">
        <v>903</v>
      </c>
      <c r="D222" s="14">
        <v>31.76</v>
      </c>
      <c r="E222" s="14">
        <v>5080</v>
      </c>
      <c r="F222" s="14">
        <v>500</v>
      </c>
      <c r="H222" s="25" t="s">
        <v>510</v>
      </c>
      <c r="I222" s="24" t="s">
        <v>525</v>
      </c>
      <c r="J222" s="7">
        <v>1200</v>
      </c>
      <c r="K222" s="25"/>
      <c r="L222" s="25"/>
      <c r="M222" s="25">
        <f t="shared" si="20"/>
        <v>3880</v>
      </c>
      <c r="N222" s="25">
        <f t="shared" si="21"/>
        <v>500</v>
      </c>
      <c r="O222" s="25"/>
      <c r="P222" s="25"/>
      <c r="Q222" s="26">
        <v>44440</v>
      </c>
      <c r="R222" s="25"/>
      <c r="S222" s="25"/>
      <c r="T222" s="25"/>
      <c r="U222" s="25"/>
    </row>
    <row r="223" spans="1:21">
      <c r="A223" s="14" t="s">
        <v>512</v>
      </c>
      <c r="B223" s="50">
        <v>4001</v>
      </c>
      <c r="C223" s="13" t="s">
        <v>513</v>
      </c>
      <c r="D223" s="14">
        <v>49.475</v>
      </c>
      <c r="E223" s="14">
        <v>8208</v>
      </c>
      <c r="F223" s="14">
        <v>500</v>
      </c>
      <c r="H223" s="51">
        <v>4001</v>
      </c>
      <c r="I223" s="24" t="s">
        <v>513</v>
      </c>
      <c r="J223" s="7">
        <f t="shared" ref="J223:J225" si="22">S223</f>
        <v>8208</v>
      </c>
      <c r="K223" s="25">
        <v>500</v>
      </c>
      <c r="L223" s="25"/>
      <c r="M223" s="25">
        <f t="shared" si="20"/>
        <v>0</v>
      </c>
      <c r="N223" s="25">
        <f t="shared" si="21"/>
        <v>0</v>
      </c>
      <c r="O223" s="25"/>
      <c r="P223" s="25"/>
      <c r="Q223" s="26">
        <v>43983</v>
      </c>
      <c r="R223" s="27">
        <v>44348</v>
      </c>
      <c r="S223" s="25">
        <v>8208</v>
      </c>
      <c r="T223" s="27">
        <v>44713</v>
      </c>
      <c r="U223" s="25">
        <v>8618</v>
      </c>
    </row>
    <row r="224" spans="1:21">
      <c r="A224" s="14" t="s">
        <v>512</v>
      </c>
      <c r="B224" s="13">
        <v>4002</v>
      </c>
      <c r="C224" s="13" t="s">
        <v>905</v>
      </c>
      <c r="D224" s="14">
        <v>32.425</v>
      </c>
      <c r="E224" s="14">
        <v>6216</v>
      </c>
      <c r="F224" s="14">
        <v>500</v>
      </c>
      <c r="H224" s="25">
        <v>4002</v>
      </c>
      <c r="I224" s="24" t="s">
        <v>905</v>
      </c>
      <c r="J224" s="7">
        <f t="shared" si="22"/>
        <v>6216</v>
      </c>
      <c r="K224" s="25">
        <v>500</v>
      </c>
      <c r="L224" s="25"/>
      <c r="M224" s="25">
        <f t="shared" si="20"/>
        <v>0</v>
      </c>
      <c r="N224" s="25">
        <f t="shared" si="21"/>
        <v>0</v>
      </c>
      <c r="O224" s="25"/>
      <c r="P224" s="25"/>
      <c r="Q224" s="26">
        <v>43983</v>
      </c>
      <c r="R224" s="27">
        <v>44348</v>
      </c>
      <c r="S224" s="25">
        <v>6216</v>
      </c>
      <c r="T224" s="27">
        <v>44713</v>
      </c>
      <c r="U224" s="25">
        <v>6526</v>
      </c>
    </row>
    <row r="225" spans="1:21">
      <c r="A225" s="14" t="s">
        <v>512</v>
      </c>
      <c r="B225" s="13">
        <v>4003</v>
      </c>
      <c r="C225" s="13" t="s">
        <v>906</v>
      </c>
      <c r="D225" s="14">
        <v>32.425</v>
      </c>
      <c r="E225" s="14">
        <v>5578</v>
      </c>
      <c r="F225" s="14">
        <v>500</v>
      </c>
      <c r="H225" s="25">
        <v>4003</v>
      </c>
      <c r="I225" s="24" t="s">
        <v>906</v>
      </c>
      <c r="J225" s="7">
        <f t="shared" si="22"/>
        <v>5578</v>
      </c>
      <c r="K225" s="25">
        <v>500</v>
      </c>
      <c r="L225" s="25"/>
      <c r="M225" s="25">
        <f t="shared" si="20"/>
        <v>0</v>
      </c>
      <c r="N225" s="25">
        <f t="shared" si="21"/>
        <v>0</v>
      </c>
      <c r="O225" s="25"/>
      <c r="P225" s="25"/>
      <c r="Q225" s="26">
        <v>44105</v>
      </c>
      <c r="R225" s="27">
        <v>44501</v>
      </c>
      <c r="S225" s="25">
        <f>2789+2789</f>
        <v>5578</v>
      </c>
      <c r="T225" s="27">
        <v>44866</v>
      </c>
      <c r="U225" s="25">
        <v>5856</v>
      </c>
    </row>
    <row r="226" spans="1:21">
      <c r="A226" s="14" t="s">
        <v>512</v>
      </c>
      <c r="B226" s="13">
        <v>4004</v>
      </c>
      <c r="C226" s="13"/>
      <c r="D226" s="14"/>
      <c r="E226" s="14"/>
      <c r="F226" s="14"/>
      <c r="H226" s="25">
        <v>4004</v>
      </c>
      <c r="I226" s="24"/>
      <c r="K226" s="25"/>
      <c r="L226" s="25"/>
      <c r="M226" s="25">
        <f t="shared" si="20"/>
        <v>0</v>
      </c>
      <c r="N226" s="25">
        <f t="shared" si="21"/>
        <v>0</v>
      </c>
      <c r="O226" s="25"/>
      <c r="P226" s="25"/>
      <c r="Q226" s="26"/>
      <c r="R226" s="27"/>
      <c r="S226" s="25"/>
      <c r="T226" s="27"/>
      <c r="U226" s="25"/>
    </row>
    <row r="227" spans="1:21">
      <c r="A227" s="14" t="s">
        <v>512</v>
      </c>
      <c r="B227" s="13">
        <v>4005</v>
      </c>
      <c r="C227" s="13" t="s">
        <v>1014</v>
      </c>
      <c r="D227" s="14">
        <v>32.425</v>
      </c>
      <c r="E227" s="14">
        <v>6560</v>
      </c>
      <c r="F227" s="14">
        <v>500</v>
      </c>
      <c r="H227" s="25">
        <v>4005</v>
      </c>
      <c r="I227" s="24" t="s">
        <v>1014</v>
      </c>
      <c r="J227" s="7">
        <f>U227</f>
        <v>6560</v>
      </c>
      <c r="K227" s="25">
        <v>500</v>
      </c>
      <c r="L227" s="25"/>
      <c r="M227" s="25">
        <f t="shared" si="20"/>
        <v>0</v>
      </c>
      <c r="N227" s="25">
        <f t="shared" si="21"/>
        <v>0</v>
      </c>
      <c r="O227" s="25"/>
      <c r="P227" s="25"/>
      <c r="Q227" s="26">
        <v>43922</v>
      </c>
      <c r="R227" s="27">
        <v>44287</v>
      </c>
      <c r="S227" s="25">
        <v>6248</v>
      </c>
      <c r="T227" s="27">
        <v>44652</v>
      </c>
      <c r="U227" s="25">
        <v>6560</v>
      </c>
    </row>
    <row r="228" spans="1:21">
      <c r="A228" s="14" t="s">
        <v>512</v>
      </c>
      <c r="B228" s="13">
        <v>4006</v>
      </c>
      <c r="C228" s="13"/>
      <c r="D228" s="14"/>
      <c r="E228" s="14"/>
      <c r="F228" s="14"/>
      <c r="H228" s="25">
        <v>4006</v>
      </c>
      <c r="I228" s="24"/>
      <c r="K228" s="25"/>
      <c r="L228" s="25"/>
      <c r="M228" s="25">
        <f t="shared" si="20"/>
        <v>0</v>
      </c>
      <c r="N228" s="25">
        <f t="shared" si="21"/>
        <v>0</v>
      </c>
      <c r="O228" s="25"/>
      <c r="P228" s="25"/>
      <c r="Q228" s="26"/>
      <c r="R228" s="27"/>
      <c r="S228" s="25"/>
      <c r="T228" s="27"/>
      <c r="U228" s="25"/>
    </row>
    <row r="229" spans="1:21">
      <c r="A229" s="14" t="s">
        <v>512</v>
      </c>
      <c r="B229" s="13">
        <v>4007</v>
      </c>
      <c r="C229" s="13"/>
      <c r="D229" s="14"/>
      <c r="E229" s="14"/>
      <c r="F229" s="14"/>
      <c r="H229" s="25">
        <v>4007</v>
      </c>
      <c r="I229" s="24"/>
      <c r="K229" s="25"/>
      <c r="L229" s="25"/>
      <c r="M229" s="25">
        <f t="shared" si="20"/>
        <v>0</v>
      </c>
      <c r="N229" s="25">
        <f t="shared" si="21"/>
        <v>0</v>
      </c>
      <c r="O229" s="25"/>
      <c r="P229" s="25"/>
      <c r="Q229" s="26"/>
      <c r="R229" s="27"/>
      <c r="S229" s="25"/>
      <c r="T229" s="27"/>
      <c r="U229" s="25"/>
    </row>
    <row r="230" spans="1:21">
      <c r="A230" s="14" t="s">
        <v>512</v>
      </c>
      <c r="B230" s="13">
        <v>4008</v>
      </c>
      <c r="C230" s="13" t="s">
        <v>910</v>
      </c>
      <c r="D230" s="14">
        <v>32.425</v>
      </c>
      <c r="E230" s="14">
        <v>6378</v>
      </c>
      <c r="F230" s="14">
        <v>500</v>
      </c>
      <c r="H230" s="25">
        <v>4008</v>
      </c>
      <c r="I230" s="24" t="s">
        <v>910</v>
      </c>
      <c r="J230" s="7">
        <f>U230</f>
        <v>6378</v>
      </c>
      <c r="K230" s="25">
        <v>500</v>
      </c>
      <c r="L230" s="25"/>
      <c r="M230" s="25">
        <f t="shared" si="20"/>
        <v>0</v>
      </c>
      <c r="N230" s="25">
        <f t="shared" si="21"/>
        <v>0</v>
      </c>
      <c r="O230" s="25"/>
      <c r="P230" s="25"/>
      <c r="Q230" s="26">
        <v>43922</v>
      </c>
      <c r="R230" s="27">
        <v>44287</v>
      </c>
      <c r="S230" s="25">
        <v>6074</v>
      </c>
      <c r="T230" s="27">
        <v>44652</v>
      </c>
      <c r="U230" s="25">
        <v>6378</v>
      </c>
    </row>
    <row r="231" spans="1:21">
      <c r="A231" s="14" t="s">
        <v>512</v>
      </c>
      <c r="B231" s="13">
        <v>4009</v>
      </c>
      <c r="C231" s="13" t="s">
        <v>529</v>
      </c>
      <c r="D231" s="14">
        <v>32.425</v>
      </c>
      <c r="E231" s="14">
        <v>5650</v>
      </c>
      <c r="F231" s="14">
        <v>500</v>
      </c>
      <c r="H231" s="25">
        <v>4009</v>
      </c>
      <c r="I231" s="24" t="s">
        <v>529</v>
      </c>
      <c r="J231" s="7">
        <f>S231</f>
        <v>5650</v>
      </c>
      <c r="K231" s="25">
        <v>500</v>
      </c>
      <c r="L231" s="25"/>
      <c r="M231" s="25">
        <f t="shared" si="20"/>
        <v>0</v>
      </c>
      <c r="N231" s="25">
        <f t="shared" si="21"/>
        <v>0</v>
      </c>
      <c r="O231" s="25"/>
      <c r="P231" s="25"/>
      <c r="Q231" s="26">
        <v>44044</v>
      </c>
      <c r="R231" s="27">
        <v>44409</v>
      </c>
      <c r="S231" s="25">
        <f>2825+2825</f>
        <v>5650</v>
      </c>
      <c r="T231" s="27">
        <v>44774</v>
      </c>
      <c r="U231" s="25">
        <f>2966+2966</f>
        <v>5932</v>
      </c>
    </row>
    <row r="232" spans="1:21">
      <c r="A232" s="14" t="s">
        <v>512</v>
      </c>
      <c r="B232" s="13">
        <v>4010</v>
      </c>
      <c r="C232" s="13"/>
      <c r="D232" s="14"/>
      <c r="E232" s="14"/>
      <c r="F232" s="14"/>
      <c r="H232" s="25">
        <v>4010</v>
      </c>
      <c r="I232" s="24"/>
      <c r="K232" s="25"/>
      <c r="L232" s="25"/>
      <c r="M232" s="25">
        <f t="shared" si="20"/>
        <v>0</v>
      </c>
      <c r="N232" s="25">
        <f t="shared" si="21"/>
        <v>0</v>
      </c>
      <c r="O232" s="25"/>
      <c r="P232" s="25"/>
      <c r="Q232" s="26"/>
      <c r="R232" s="27"/>
      <c r="S232" s="25"/>
      <c r="T232" s="27"/>
      <c r="U232" s="25"/>
    </row>
    <row r="233" spans="1:21">
      <c r="A233" s="14" t="s">
        <v>512</v>
      </c>
      <c r="B233" s="13">
        <v>4011</v>
      </c>
      <c r="C233" s="13"/>
      <c r="D233" s="14"/>
      <c r="E233" s="14"/>
      <c r="F233" s="14"/>
      <c r="H233" s="25">
        <v>4011</v>
      </c>
      <c r="I233" s="24"/>
      <c r="K233" s="25"/>
      <c r="L233" s="25"/>
      <c r="M233" s="25">
        <f t="shared" si="20"/>
        <v>0</v>
      </c>
      <c r="N233" s="25">
        <f t="shared" si="21"/>
        <v>0</v>
      </c>
      <c r="O233" s="25"/>
      <c r="P233" s="25"/>
      <c r="Q233" s="26"/>
      <c r="R233" s="27"/>
      <c r="S233" s="25"/>
      <c r="T233" s="27"/>
      <c r="U233" s="25"/>
    </row>
    <row r="234" spans="1:21">
      <c r="A234" s="14" t="s">
        <v>512</v>
      </c>
      <c r="B234" s="13">
        <v>4012</v>
      </c>
      <c r="C234" s="13" t="s">
        <v>535</v>
      </c>
      <c r="D234" s="14">
        <v>32.425</v>
      </c>
      <c r="E234" s="14">
        <v>5792</v>
      </c>
      <c r="F234" s="14">
        <v>500</v>
      </c>
      <c r="H234" s="25">
        <v>4012</v>
      </c>
      <c r="I234" s="24" t="s">
        <v>535</v>
      </c>
      <c r="J234" s="7">
        <f t="shared" ref="J234:J236" si="23">U234</f>
        <v>5792</v>
      </c>
      <c r="K234" s="25">
        <v>500</v>
      </c>
      <c r="L234" s="25"/>
      <c r="M234" s="25">
        <f t="shared" si="20"/>
        <v>0</v>
      </c>
      <c r="N234" s="25">
        <f t="shared" si="21"/>
        <v>0</v>
      </c>
      <c r="O234" s="25"/>
      <c r="P234" s="25"/>
      <c r="Q234" s="26">
        <v>44287</v>
      </c>
      <c r="R234" s="25"/>
      <c r="S234" s="25"/>
      <c r="T234" s="27">
        <v>44652</v>
      </c>
      <c r="U234" s="25">
        <f>2896+2896</f>
        <v>5792</v>
      </c>
    </row>
    <row r="235" spans="1:21">
      <c r="A235" s="14" t="s">
        <v>512</v>
      </c>
      <c r="B235" s="13">
        <v>4013</v>
      </c>
      <c r="C235" s="13" t="s">
        <v>911</v>
      </c>
      <c r="D235" s="14">
        <v>32.425</v>
      </c>
      <c r="E235" s="14">
        <v>5662</v>
      </c>
      <c r="F235" s="14">
        <v>500</v>
      </c>
      <c r="H235" s="25">
        <v>4013</v>
      </c>
      <c r="I235" s="24" t="s">
        <v>911</v>
      </c>
      <c r="J235" s="7">
        <f t="shared" si="23"/>
        <v>5662</v>
      </c>
      <c r="K235" s="25">
        <v>500</v>
      </c>
      <c r="L235" s="25"/>
      <c r="M235" s="25">
        <f t="shared" si="20"/>
        <v>0</v>
      </c>
      <c r="N235" s="25">
        <f t="shared" si="21"/>
        <v>0</v>
      </c>
      <c r="O235" s="25"/>
      <c r="P235" s="25"/>
      <c r="Q235" s="26">
        <v>44287</v>
      </c>
      <c r="R235" s="25"/>
      <c r="S235" s="25"/>
      <c r="T235" s="27">
        <v>44652</v>
      </c>
      <c r="U235" s="25">
        <f>2831+2831</f>
        <v>5662</v>
      </c>
    </row>
    <row r="236" spans="1:21">
      <c r="A236" s="14" t="s">
        <v>512</v>
      </c>
      <c r="B236" s="13">
        <v>4014</v>
      </c>
      <c r="C236" s="13" t="s">
        <v>676</v>
      </c>
      <c r="D236" s="14">
        <v>32.425</v>
      </c>
      <c r="E236" s="14">
        <v>5934</v>
      </c>
      <c r="F236" s="14">
        <v>500</v>
      </c>
      <c r="H236" s="25">
        <v>4014</v>
      </c>
      <c r="I236" s="24" t="s">
        <v>676</v>
      </c>
      <c r="J236" s="7">
        <f t="shared" si="23"/>
        <v>5934</v>
      </c>
      <c r="K236" s="25">
        <v>500</v>
      </c>
      <c r="L236" s="25"/>
      <c r="M236" s="25">
        <f t="shared" si="20"/>
        <v>0</v>
      </c>
      <c r="N236" s="25">
        <f t="shared" si="21"/>
        <v>0</v>
      </c>
      <c r="O236" s="25"/>
      <c r="P236" s="25"/>
      <c r="Q236" s="26">
        <v>44612</v>
      </c>
      <c r="R236" s="27"/>
      <c r="S236" s="52"/>
      <c r="T236" s="53">
        <v>44612</v>
      </c>
      <c r="U236" s="52">
        <f>2967+2967</f>
        <v>5934</v>
      </c>
    </row>
    <row r="237" spans="1:21">
      <c r="A237" s="14" t="s">
        <v>512</v>
      </c>
      <c r="B237" s="13">
        <v>4015</v>
      </c>
      <c r="C237" s="13"/>
      <c r="D237" s="14"/>
      <c r="E237" s="14"/>
      <c r="F237" s="14"/>
      <c r="H237" s="25">
        <v>4015</v>
      </c>
      <c r="I237" s="24"/>
      <c r="K237" s="25"/>
      <c r="L237" s="25"/>
      <c r="M237" s="25">
        <f t="shared" si="20"/>
        <v>0</v>
      </c>
      <c r="N237" s="25">
        <f t="shared" si="21"/>
        <v>0</v>
      </c>
      <c r="O237" s="25"/>
      <c r="P237" s="25"/>
      <c r="Q237" s="26"/>
      <c r="R237" s="25"/>
      <c r="S237" s="25"/>
      <c r="T237" s="27"/>
      <c r="U237" s="25"/>
    </row>
    <row r="238" spans="1:21">
      <c r="A238" s="14" t="s">
        <v>512</v>
      </c>
      <c r="B238" s="13">
        <v>4016</v>
      </c>
      <c r="C238" s="13"/>
      <c r="D238" s="14"/>
      <c r="E238" s="14"/>
      <c r="F238" s="14"/>
      <c r="H238" s="25">
        <v>4016</v>
      </c>
      <c r="I238" s="24"/>
      <c r="K238" s="25"/>
      <c r="L238" s="25"/>
      <c r="M238" s="25">
        <f t="shared" si="20"/>
        <v>0</v>
      </c>
      <c r="N238" s="25">
        <f t="shared" si="21"/>
        <v>0</v>
      </c>
      <c r="O238" s="25"/>
      <c r="P238" s="25"/>
      <c r="Q238" s="26"/>
      <c r="R238" s="25"/>
      <c r="S238" s="25"/>
      <c r="T238" s="27"/>
      <c r="U238" s="25"/>
    </row>
    <row r="239" spans="1:21">
      <c r="A239" s="14" t="s">
        <v>512</v>
      </c>
      <c r="B239" s="13">
        <v>4017</v>
      </c>
      <c r="C239" s="13" t="s">
        <v>544</v>
      </c>
      <c r="D239" s="14">
        <v>32.425</v>
      </c>
      <c r="E239" s="14">
        <v>6560</v>
      </c>
      <c r="F239" s="14">
        <v>500</v>
      </c>
      <c r="H239" s="25">
        <v>4017</v>
      </c>
      <c r="I239" s="24" t="s">
        <v>544</v>
      </c>
      <c r="J239" s="7">
        <f>U239</f>
        <v>6560</v>
      </c>
      <c r="K239" s="25">
        <v>500</v>
      </c>
      <c r="L239" s="25"/>
      <c r="M239" s="25">
        <f t="shared" si="20"/>
        <v>0</v>
      </c>
      <c r="N239" s="25">
        <f t="shared" si="21"/>
        <v>0</v>
      </c>
      <c r="O239" s="25"/>
      <c r="P239" s="25"/>
      <c r="Q239" s="26">
        <v>43922</v>
      </c>
      <c r="R239" s="27">
        <v>44287</v>
      </c>
      <c r="S239" s="25">
        <v>6248</v>
      </c>
      <c r="T239" s="27">
        <v>44652</v>
      </c>
      <c r="U239" s="25">
        <v>6560</v>
      </c>
    </row>
    <row r="240" spans="1:21">
      <c r="A240" s="14" t="s">
        <v>512</v>
      </c>
      <c r="B240" s="13">
        <v>4018</v>
      </c>
      <c r="C240" s="13"/>
      <c r="D240" s="14"/>
      <c r="E240" s="14"/>
      <c r="F240" s="14"/>
      <c r="H240" s="25">
        <v>4018</v>
      </c>
      <c r="I240" s="24"/>
      <c r="K240" s="25"/>
      <c r="L240" s="25"/>
      <c r="M240" s="25">
        <f t="shared" si="20"/>
        <v>0</v>
      </c>
      <c r="N240" s="25">
        <f t="shared" si="21"/>
        <v>0</v>
      </c>
      <c r="O240" s="25"/>
      <c r="P240" s="25"/>
      <c r="Q240" s="26"/>
      <c r="R240" s="27"/>
      <c r="S240" s="25"/>
      <c r="T240" s="27"/>
      <c r="U240" s="25"/>
    </row>
    <row r="241" spans="1:21">
      <c r="A241" s="14" t="s">
        <v>512</v>
      </c>
      <c r="B241" s="13">
        <v>4019</v>
      </c>
      <c r="C241" s="13"/>
      <c r="D241" s="14"/>
      <c r="E241" s="14"/>
      <c r="F241" s="14"/>
      <c r="H241" s="25">
        <v>4019</v>
      </c>
      <c r="I241" s="24"/>
      <c r="K241" s="25"/>
      <c r="L241" s="25"/>
      <c r="M241" s="25">
        <f t="shared" si="20"/>
        <v>0</v>
      </c>
      <c r="N241" s="25">
        <f t="shared" si="21"/>
        <v>0</v>
      </c>
      <c r="O241" s="25"/>
      <c r="P241" s="25"/>
      <c r="Q241" s="26"/>
      <c r="R241" s="27"/>
      <c r="S241" s="25"/>
      <c r="T241" s="27"/>
      <c r="U241" s="25"/>
    </row>
    <row r="242" spans="1:21">
      <c r="A242" s="14" t="s">
        <v>512</v>
      </c>
      <c r="B242" s="13">
        <v>4020</v>
      </c>
      <c r="C242" s="13" t="s">
        <v>550</v>
      </c>
      <c r="D242" s="14">
        <v>32.425</v>
      </c>
      <c r="E242" s="14">
        <v>5650</v>
      </c>
      <c r="F242" s="14">
        <v>500</v>
      </c>
      <c r="H242" s="25">
        <v>4020</v>
      </c>
      <c r="I242" s="24" t="s">
        <v>550</v>
      </c>
      <c r="J242" s="7">
        <f>S242</f>
        <v>5650</v>
      </c>
      <c r="K242" s="25">
        <v>500</v>
      </c>
      <c r="L242" s="25"/>
      <c r="M242" s="25">
        <f t="shared" si="20"/>
        <v>0</v>
      </c>
      <c r="N242" s="25">
        <f t="shared" si="21"/>
        <v>0</v>
      </c>
      <c r="O242" s="25"/>
      <c r="P242" s="25"/>
      <c r="Q242" s="26">
        <v>44044</v>
      </c>
      <c r="R242" s="27">
        <v>44409</v>
      </c>
      <c r="S242" s="25">
        <f>2825+2825</f>
        <v>5650</v>
      </c>
      <c r="T242" s="27">
        <v>44774</v>
      </c>
      <c r="U242" s="25">
        <f>2966+2966</f>
        <v>5932</v>
      </c>
    </row>
    <row r="243" spans="1:21">
      <c r="A243" s="14" t="s">
        <v>512</v>
      </c>
      <c r="B243" s="13">
        <v>4021</v>
      </c>
      <c r="C243" s="13" t="s">
        <v>163</v>
      </c>
      <c r="D243" s="14">
        <v>32.425</v>
      </c>
      <c r="E243" s="14">
        <v>6248</v>
      </c>
      <c r="F243" s="14"/>
      <c r="H243" s="25">
        <v>4021</v>
      </c>
      <c r="I243" s="24" t="s">
        <v>163</v>
      </c>
      <c r="J243" s="7">
        <v>6248</v>
      </c>
      <c r="K243" s="25"/>
      <c r="L243" s="25"/>
      <c r="M243" s="25">
        <f t="shared" si="20"/>
        <v>0</v>
      </c>
      <c r="N243" s="25">
        <f t="shared" si="21"/>
        <v>0</v>
      </c>
      <c r="O243" s="25"/>
      <c r="P243" s="25"/>
      <c r="Q243" s="26">
        <v>44661</v>
      </c>
      <c r="R243" s="27"/>
      <c r="S243" s="25"/>
      <c r="T243" s="25"/>
      <c r="U243" s="25"/>
    </row>
    <row r="244" spans="1:21">
      <c r="A244" s="14" t="s">
        <v>512</v>
      </c>
      <c r="B244" s="13">
        <v>4022</v>
      </c>
      <c r="C244" s="13" t="s">
        <v>891</v>
      </c>
      <c r="D244" s="14">
        <v>32.425</v>
      </c>
      <c r="E244" s="14">
        <v>5792</v>
      </c>
      <c r="F244" s="14">
        <v>500</v>
      </c>
      <c r="H244" s="25">
        <v>4022</v>
      </c>
      <c r="I244" s="24" t="s">
        <v>891</v>
      </c>
      <c r="J244" s="7">
        <f>U244</f>
        <v>5792</v>
      </c>
      <c r="K244" s="25">
        <v>500</v>
      </c>
      <c r="L244" s="25"/>
      <c r="M244" s="25">
        <f t="shared" si="20"/>
        <v>0</v>
      </c>
      <c r="N244" s="25">
        <f t="shared" si="21"/>
        <v>0</v>
      </c>
      <c r="O244" s="25"/>
      <c r="P244" s="25"/>
      <c r="Q244" s="26">
        <v>44287</v>
      </c>
      <c r="R244" s="25"/>
      <c r="S244" s="25"/>
      <c r="T244" s="27">
        <v>44652</v>
      </c>
      <c r="U244" s="25">
        <f>2896+2896</f>
        <v>5792</v>
      </c>
    </row>
    <row r="245" spans="1:21">
      <c r="A245" s="14" t="s">
        <v>512</v>
      </c>
      <c r="B245" s="13">
        <v>4023</v>
      </c>
      <c r="C245" s="13"/>
      <c r="D245" s="14"/>
      <c r="E245" s="14"/>
      <c r="F245" s="14"/>
      <c r="H245" s="25">
        <v>4023</v>
      </c>
      <c r="I245" s="24"/>
      <c r="K245" s="25"/>
      <c r="L245" s="25"/>
      <c r="M245" s="25">
        <f t="shared" si="20"/>
        <v>0</v>
      </c>
      <c r="N245" s="25">
        <f t="shared" si="21"/>
        <v>0</v>
      </c>
      <c r="O245" s="25"/>
      <c r="P245" s="25"/>
      <c r="Q245" s="26"/>
      <c r="R245" s="27"/>
      <c r="S245" s="25"/>
      <c r="T245" s="25"/>
      <c r="U245" s="25"/>
    </row>
    <row r="246" spans="1:21">
      <c r="A246" s="14" t="s">
        <v>512</v>
      </c>
      <c r="B246" s="13">
        <v>4024</v>
      </c>
      <c r="C246" s="13" t="s">
        <v>1015</v>
      </c>
      <c r="D246" s="14">
        <v>32.425</v>
      </c>
      <c r="E246" s="14">
        <v>5792</v>
      </c>
      <c r="F246" s="14">
        <v>500</v>
      </c>
      <c r="H246" s="25">
        <v>4024</v>
      </c>
      <c r="I246" s="24" t="s">
        <v>1015</v>
      </c>
      <c r="J246" s="7">
        <f t="shared" ref="J246:J247" si="24">U246</f>
        <v>5792</v>
      </c>
      <c r="K246" s="25">
        <v>500</v>
      </c>
      <c r="L246" s="25"/>
      <c r="M246" s="25">
        <f t="shared" si="20"/>
        <v>0</v>
      </c>
      <c r="N246" s="25">
        <f t="shared" si="21"/>
        <v>0</v>
      </c>
      <c r="O246" s="25"/>
      <c r="P246" s="25"/>
      <c r="Q246" s="26">
        <v>44287</v>
      </c>
      <c r="R246" s="25"/>
      <c r="S246" s="25"/>
      <c r="T246" s="27">
        <v>44652</v>
      </c>
      <c r="U246" s="25">
        <f t="shared" ref="U246:U251" si="25">2896+2896</f>
        <v>5792</v>
      </c>
    </row>
    <row r="247" spans="1:21">
      <c r="A247" s="14" t="s">
        <v>512</v>
      </c>
      <c r="B247" s="13">
        <v>4025</v>
      </c>
      <c r="C247" s="13" t="s">
        <v>912</v>
      </c>
      <c r="D247" s="14">
        <v>50.5</v>
      </c>
      <c r="E247" s="14">
        <v>7896</v>
      </c>
      <c r="F247" s="14">
        <v>500</v>
      </c>
      <c r="H247" s="25">
        <v>4025</v>
      </c>
      <c r="I247" s="24" t="s">
        <v>912</v>
      </c>
      <c r="J247" s="7">
        <f t="shared" si="24"/>
        <v>7896</v>
      </c>
      <c r="K247" s="25">
        <v>500</v>
      </c>
      <c r="L247" s="25"/>
      <c r="M247" s="25">
        <f t="shared" si="20"/>
        <v>0</v>
      </c>
      <c r="N247" s="25">
        <f t="shared" si="21"/>
        <v>0</v>
      </c>
      <c r="O247" s="25"/>
      <c r="P247" s="25"/>
      <c r="Q247" s="26">
        <v>43922</v>
      </c>
      <c r="R247" s="27">
        <v>44287</v>
      </c>
      <c r="S247" s="25">
        <f>3760+3760</f>
        <v>7520</v>
      </c>
      <c r="T247" s="27">
        <v>44652</v>
      </c>
      <c r="U247" s="25">
        <v>7896</v>
      </c>
    </row>
    <row r="248" spans="1:21">
      <c r="A248" s="14" t="s">
        <v>512</v>
      </c>
      <c r="B248" s="13">
        <v>4026</v>
      </c>
      <c r="C248" s="13"/>
      <c r="D248" s="14"/>
      <c r="E248" s="14"/>
      <c r="F248" s="14"/>
      <c r="H248" s="25">
        <v>4026</v>
      </c>
      <c r="I248" s="24"/>
      <c r="K248" s="25"/>
      <c r="L248" s="25"/>
      <c r="M248" s="25">
        <f t="shared" si="20"/>
        <v>0</v>
      </c>
      <c r="N248" s="25">
        <f t="shared" si="21"/>
        <v>0</v>
      </c>
      <c r="O248" s="25"/>
      <c r="P248" s="25"/>
      <c r="Q248" s="26"/>
      <c r="R248" s="27"/>
      <c r="S248" s="25"/>
      <c r="T248" s="27"/>
      <c r="U248" s="25"/>
    </row>
    <row r="249" spans="1:21">
      <c r="A249" s="14" t="s">
        <v>512</v>
      </c>
      <c r="B249" s="13">
        <v>4027</v>
      </c>
      <c r="C249" s="13" t="s">
        <v>913</v>
      </c>
      <c r="D249" s="14">
        <v>32.425</v>
      </c>
      <c r="E249" s="14">
        <v>5792</v>
      </c>
      <c r="F249" s="14">
        <v>500</v>
      </c>
      <c r="H249" s="25">
        <v>4027</v>
      </c>
      <c r="I249" s="24" t="s">
        <v>913</v>
      </c>
      <c r="J249" s="7">
        <f t="shared" ref="J249:J251" si="26">U249</f>
        <v>5792</v>
      </c>
      <c r="K249" s="25">
        <v>500</v>
      </c>
      <c r="L249" s="25"/>
      <c r="M249" s="25">
        <f t="shared" si="20"/>
        <v>0</v>
      </c>
      <c r="N249" s="25">
        <f t="shared" si="21"/>
        <v>0</v>
      </c>
      <c r="O249" s="25"/>
      <c r="P249" s="25"/>
      <c r="Q249" s="26">
        <v>44287</v>
      </c>
      <c r="R249" s="25"/>
      <c r="S249" s="25"/>
      <c r="T249" s="27">
        <v>44652</v>
      </c>
      <c r="U249" s="25">
        <v>5792</v>
      </c>
    </row>
    <row r="250" spans="1:21">
      <c r="A250" s="14" t="s">
        <v>512</v>
      </c>
      <c r="B250" s="13">
        <v>4028</v>
      </c>
      <c r="C250" s="13" t="s">
        <v>1016</v>
      </c>
      <c r="D250" s="14">
        <v>32.425</v>
      </c>
      <c r="E250" s="14">
        <v>5792</v>
      </c>
      <c r="F250" s="14">
        <v>500</v>
      </c>
      <c r="H250" s="25">
        <v>4028</v>
      </c>
      <c r="I250" s="24" t="s">
        <v>1016</v>
      </c>
      <c r="J250" s="7">
        <f t="shared" si="26"/>
        <v>5792</v>
      </c>
      <c r="K250" s="25">
        <v>500</v>
      </c>
      <c r="L250" s="25"/>
      <c r="M250" s="25">
        <f t="shared" si="20"/>
        <v>0</v>
      </c>
      <c r="N250" s="25">
        <f t="shared" si="21"/>
        <v>0</v>
      </c>
      <c r="O250" s="25"/>
      <c r="P250" s="25"/>
      <c r="Q250" s="26">
        <v>44228</v>
      </c>
      <c r="R250" s="27"/>
      <c r="S250" s="25"/>
      <c r="T250" s="27">
        <v>44593</v>
      </c>
      <c r="U250" s="25">
        <f t="shared" si="25"/>
        <v>5792</v>
      </c>
    </row>
    <row r="251" spans="1:21">
      <c r="A251" s="14" t="s">
        <v>512</v>
      </c>
      <c r="B251" s="13">
        <v>4029</v>
      </c>
      <c r="C251" s="13" t="s">
        <v>1017</v>
      </c>
      <c r="D251" s="14">
        <v>32.425</v>
      </c>
      <c r="E251" s="14">
        <v>5792</v>
      </c>
      <c r="F251" s="14">
        <v>500</v>
      </c>
      <c r="H251" s="25">
        <v>4029</v>
      </c>
      <c r="I251" s="24" t="s">
        <v>1017</v>
      </c>
      <c r="J251" s="7">
        <f t="shared" si="26"/>
        <v>5792</v>
      </c>
      <c r="K251" s="25">
        <v>500</v>
      </c>
      <c r="L251" s="25"/>
      <c r="M251" s="25">
        <f t="shared" si="20"/>
        <v>0</v>
      </c>
      <c r="N251" s="25">
        <f t="shared" si="21"/>
        <v>0</v>
      </c>
      <c r="O251" s="25"/>
      <c r="P251" s="25"/>
      <c r="Q251" s="26">
        <v>44228</v>
      </c>
      <c r="R251" s="25"/>
      <c r="S251" s="25"/>
      <c r="T251" s="27">
        <v>44593</v>
      </c>
      <c r="U251" s="25">
        <f t="shared" si="25"/>
        <v>5792</v>
      </c>
    </row>
    <row r="252" spans="1:21">
      <c r="A252" s="14" t="s">
        <v>512</v>
      </c>
      <c r="B252" s="13">
        <v>4030</v>
      </c>
      <c r="C252" s="13"/>
      <c r="D252" s="14"/>
      <c r="E252" s="14"/>
      <c r="F252" s="54"/>
      <c r="H252" s="25">
        <v>4030</v>
      </c>
      <c r="I252" s="24"/>
      <c r="K252" s="25"/>
      <c r="L252" s="25"/>
      <c r="M252" s="25">
        <f t="shared" si="20"/>
        <v>0</v>
      </c>
      <c r="N252" s="25">
        <f t="shared" si="21"/>
        <v>0</v>
      </c>
      <c r="O252" s="25"/>
      <c r="P252" s="25"/>
      <c r="Q252" s="26"/>
      <c r="R252" s="27"/>
      <c r="S252" s="25"/>
      <c r="T252" s="27"/>
      <c r="U252" s="25"/>
    </row>
    <row r="253" spans="1:21">
      <c r="A253" s="14" t="s">
        <v>512</v>
      </c>
      <c r="B253" s="13">
        <v>4031</v>
      </c>
      <c r="C253" s="13" t="s">
        <v>163</v>
      </c>
      <c r="D253" s="14">
        <v>32.425</v>
      </c>
      <c r="E253" s="14">
        <v>6246</v>
      </c>
      <c r="F253" s="54"/>
      <c r="H253" s="25">
        <v>4031</v>
      </c>
      <c r="I253" s="24" t="s">
        <v>163</v>
      </c>
      <c r="J253" s="7">
        <v>6246</v>
      </c>
      <c r="K253" s="25"/>
      <c r="L253" s="25"/>
      <c r="M253" s="25">
        <f t="shared" si="20"/>
        <v>0</v>
      </c>
      <c r="N253" s="25">
        <f t="shared" si="21"/>
        <v>0</v>
      </c>
      <c r="O253" s="25"/>
      <c r="P253" s="25"/>
      <c r="Q253" s="26">
        <v>44652</v>
      </c>
      <c r="R253" s="27"/>
      <c r="S253" s="25"/>
      <c r="T253" s="27"/>
      <c r="U253" s="25"/>
    </row>
    <row r="254" spans="1:21">
      <c r="A254" s="14" t="s">
        <v>512</v>
      </c>
      <c r="B254" s="13">
        <v>4032</v>
      </c>
      <c r="C254" s="13" t="s">
        <v>914</v>
      </c>
      <c r="D254" s="14">
        <v>32.425</v>
      </c>
      <c r="E254" s="14">
        <v>5324</v>
      </c>
      <c r="F254" s="14">
        <v>500</v>
      </c>
      <c r="H254" s="25">
        <v>4032</v>
      </c>
      <c r="I254" s="24"/>
      <c r="K254" s="25"/>
      <c r="L254" s="25"/>
      <c r="M254" s="49">
        <f t="shared" si="20"/>
        <v>5324</v>
      </c>
      <c r="N254" s="49">
        <f t="shared" si="21"/>
        <v>500</v>
      </c>
      <c r="O254" s="25"/>
      <c r="P254" s="25"/>
      <c r="Q254" s="26"/>
      <c r="R254" s="27"/>
      <c r="S254" s="25"/>
      <c r="T254" s="25"/>
      <c r="U254" s="25"/>
    </row>
    <row r="255" spans="1:21">
      <c r="A255" s="14" t="s">
        <v>512</v>
      </c>
      <c r="B255" s="13">
        <v>4033</v>
      </c>
      <c r="C255" s="13"/>
      <c r="D255" s="14"/>
      <c r="E255" s="14"/>
      <c r="F255" s="14"/>
      <c r="H255" s="25">
        <v>4033</v>
      </c>
      <c r="I255" s="24"/>
      <c r="K255" s="25"/>
      <c r="L255" s="25"/>
      <c r="M255" s="25">
        <f t="shared" si="20"/>
        <v>0</v>
      </c>
      <c r="N255" s="25">
        <f t="shared" si="21"/>
        <v>0</v>
      </c>
      <c r="O255" s="25"/>
      <c r="P255" s="25"/>
      <c r="Q255" s="26"/>
      <c r="R255" s="53"/>
      <c r="S255" s="52"/>
      <c r="T255" s="52"/>
      <c r="U255" s="52"/>
    </row>
    <row r="256" spans="1:21">
      <c r="A256" s="14" t="s">
        <v>512</v>
      </c>
      <c r="B256" s="13" t="s">
        <v>1018</v>
      </c>
      <c r="C256" s="13" t="s">
        <v>1019</v>
      </c>
      <c r="D256" s="14">
        <v>32.425</v>
      </c>
      <c r="E256" s="14">
        <v>13842</v>
      </c>
      <c r="F256" s="14">
        <v>1000</v>
      </c>
      <c r="H256" s="25" t="s">
        <v>1020</v>
      </c>
      <c r="I256" s="24" t="s">
        <v>1019</v>
      </c>
      <c r="J256" s="7">
        <f>S256</f>
        <v>13842</v>
      </c>
      <c r="K256" s="25">
        <v>1000</v>
      </c>
      <c r="L256" s="25"/>
      <c r="M256" s="25">
        <f t="shared" si="20"/>
        <v>0</v>
      </c>
      <c r="N256" s="25">
        <f t="shared" si="21"/>
        <v>0</v>
      </c>
      <c r="O256" s="25"/>
      <c r="P256" s="25"/>
      <c r="Q256" s="26">
        <v>43800</v>
      </c>
      <c r="R256" s="27">
        <v>44531</v>
      </c>
      <c r="S256" s="25">
        <v>13842</v>
      </c>
      <c r="T256" s="25"/>
      <c r="U256" s="25"/>
    </row>
    <row r="257" spans="1:21">
      <c r="A257" s="14" t="s">
        <v>512</v>
      </c>
      <c r="B257" s="13" t="s">
        <v>1018</v>
      </c>
      <c r="C257" s="13" t="s">
        <v>1019</v>
      </c>
      <c r="D257" s="14">
        <v>32.425</v>
      </c>
      <c r="E257" s="14"/>
      <c r="F257" s="14"/>
      <c r="H257" s="25"/>
      <c r="I257" s="24"/>
      <c r="K257" s="25"/>
      <c r="L257" s="25"/>
      <c r="M257" s="25">
        <f t="shared" si="20"/>
        <v>0</v>
      </c>
      <c r="N257" s="25">
        <f t="shared" si="21"/>
        <v>0</v>
      </c>
      <c r="O257" s="25"/>
      <c r="P257" s="25"/>
      <c r="Q257" s="26"/>
      <c r="R257" s="27"/>
      <c r="S257" s="25"/>
      <c r="T257" s="25"/>
      <c r="U257" s="25"/>
    </row>
    <row r="258" spans="1:21">
      <c r="A258" s="14" t="s">
        <v>512</v>
      </c>
      <c r="B258" s="13">
        <v>4036</v>
      </c>
      <c r="C258" s="13" t="s">
        <v>915</v>
      </c>
      <c r="D258" s="14">
        <v>32.425</v>
      </c>
      <c r="E258" s="14">
        <v>6560</v>
      </c>
      <c r="F258" s="14">
        <v>500</v>
      </c>
      <c r="H258" s="52">
        <v>4036</v>
      </c>
      <c r="I258" s="55" t="s">
        <v>915</v>
      </c>
      <c r="J258" s="7">
        <f t="shared" ref="J258" si="27">U258</f>
        <v>6560</v>
      </c>
      <c r="K258" s="52">
        <v>500</v>
      </c>
      <c r="L258" s="52"/>
      <c r="M258" s="25">
        <f t="shared" si="20"/>
        <v>0</v>
      </c>
      <c r="N258" s="25">
        <f t="shared" si="21"/>
        <v>0</v>
      </c>
      <c r="O258" s="52"/>
      <c r="P258" s="52"/>
      <c r="Q258" s="26">
        <v>43922</v>
      </c>
      <c r="R258" s="53">
        <v>44287</v>
      </c>
      <c r="S258" s="52">
        <v>6248</v>
      </c>
      <c r="T258" s="53">
        <v>44652</v>
      </c>
      <c r="U258" s="52">
        <v>6560</v>
      </c>
    </row>
    <row r="259" spans="1:21">
      <c r="A259" s="14" t="s">
        <v>512</v>
      </c>
      <c r="B259" s="13">
        <v>4037</v>
      </c>
      <c r="C259" s="13" t="s">
        <v>916</v>
      </c>
      <c r="D259" s="14">
        <v>32.425</v>
      </c>
      <c r="E259" s="14">
        <f>6248-600</f>
        <v>5648</v>
      </c>
      <c r="F259" s="14">
        <v>500</v>
      </c>
      <c r="H259" s="52">
        <v>4037</v>
      </c>
      <c r="I259" s="55" t="s">
        <v>916</v>
      </c>
      <c r="J259" s="7">
        <v>6248</v>
      </c>
      <c r="K259" s="52">
        <v>500</v>
      </c>
      <c r="L259" s="52"/>
      <c r="M259" s="49">
        <f t="shared" si="20"/>
        <v>-600</v>
      </c>
      <c r="N259" s="25">
        <f t="shared" si="21"/>
        <v>0</v>
      </c>
      <c r="O259" s="52"/>
      <c r="P259" s="52"/>
      <c r="Q259" s="56">
        <v>43922</v>
      </c>
      <c r="R259" s="53">
        <v>44287</v>
      </c>
      <c r="S259" s="52">
        <v>6248</v>
      </c>
      <c r="T259" s="53">
        <v>44652</v>
      </c>
      <c r="U259" s="52">
        <v>6560</v>
      </c>
    </row>
    <row r="260" spans="1:21">
      <c r="A260" s="14" t="s">
        <v>512</v>
      </c>
      <c r="B260" s="13">
        <v>4038</v>
      </c>
      <c r="C260" s="13" t="s">
        <v>421</v>
      </c>
      <c r="D260" s="14">
        <v>32.425</v>
      </c>
      <c r="E260" s="14">
        <v>5934</v>
      </c>
      <c r="F260" s="14">
        <v>500</v>
      </c>
      <c r="H260" s="52">
        <v>4038</v>
      </c>
      <c r="I260" s="55" t="s">
        <v>421</v>
      </c>
      <c r="J260" s="7">
        <v>5934</v>
      </c>
      <c r="K260" s="52">
        <v>500</v>
      </c>
      <c r="L260" s="52"/>
      <c r="M260" s="25">
        <f t="shared" si="20"/>
        <v>0</v>
      </c>
      <c r="N260" s="25">
        <f t="shared" si="21"/>
        <v>0</v>
      </c>
      <c r="O260" s="52"/>
      <c r="P260" s="52"/>
      <c r="Q260" s="56">
        <v>44652</v>
      </c>
      <c r="R260" s="53"/>
      <c r="S260" s="52"/>
      <c r="T260" s="52"/>
      <c r="U260" s="52"/>
    </row>
    <row r="261" spans="1:21">
      <c r="A261" s="14" t="s">
        <v>512</v>
      </c>
      <c r="B261" s="13">
        <v>4039</v>
      </c>
      <c r="C261" s="13" t="s">
        <v>917</v>
      </c>
      <c r="D261" s="14">
        <v>32.425</v>
      </c>
      <c r="E261" s="14">
        <v>5934</v>
      </c>
      <c r="F261" s="14">
        <v>500</v>
      </c>
      <c r="H261" s="52">
        <v>4039</v>
      </c>
      <c r="I261" s="55" t="s">
        <v>917</v>
      </c>
      <c r="J261" s="7">
        <v>5934</v>
      </c>
      <c r="K261" s="52">
        <v>500</v>
      </c>
      <c r="L261" s="52"/>
      <c r="M261" s="25">
        <f t="shared" si="20"/>
        <v>0</v>
      </c>
      <c r="N261" s="25">
        <f t="shared" si="21"/>
        <v>0</v>
      </c>
      <c r="O261" s="52"/>
      <c r="P261" s="52"/>
      <c r="Q261" s="56">
        <v>44652</v>
      </c>
      <c r="R261" s="53"/>
      <c r="S261" s="52"/>
      <c r="T261" s="52"/>
      <c r="U261" s="52"/>
    </row>
    <row r="262" spans="1:21">
      <c r="A262" s="14" t="s">
        <v>512</v>
      </c>
      <c r="B262" s="13">
        <v>4040</v>
      </c>
      <c r="C262" s="13"/>
      <c r="D262" s="14"/>
      <c r="E262" s="14"/>
      <c r="F262" s="14"/>
      <c r="H262" s="52">
        <v>4040</v>
      </c>
      <c r="I262" s="55"/>
      <c r="K262" s="52"/>
      <c r="L262" s="52"/>
      <c r="M262" s="25">
        <f t="shared" si="20"/>
        <v>0</v>
      </c>
      <c r="N262" s="25">
        <f t="shared" si="21"/>
        <v>0</v>
      </c>
      <c r="O262" s="52"/>
      <c r="P262" s="52"/>
      <c r="Q262" s="26"/>
      <c r="R262" s="53"/>
      <c r="S262" s="52"/>
      <c r="T262" s="52"/>
      <c r="U262" s="52"/>
    </row>
    <row r="263" spans="1:21">
      <c r="A263" s="14" t="s">
        <v>512</v>
      </c>
      <c r="B263" s="13">
        <v>4041</v>
      </c>
      <c r="C263" s="13" t="s">
        <v>588</v>
      </c>
      <c r="D263" s="14">
        <v>32.425</v>
      </c>
      <c r="E263" s="14">
        <v>5934</v>
      </c>
      <c r="F263" s="14">
        <v>500</v>
      </c>
      <c r="H263" s="52">
        <v>4041</v>
      </c>
      <c r="I263" s="55" t="s">
        <v>588</v>
      </c>
      <c r="J263" s="7">
        <v>5934</v>
      </c>
      <c r="K263" s="52">
        <v>500</v>
      </c>
      <c r="L263" s="52"/>
      <c r="M263" s="25">
        <f t="shared" si="20"/>
        <v>0</v>
      </c>
      <c r="N263" s="25">
        <f t="shared" si="21"/>
        <v>0</v>
      </c>
      <c r="O263" s="52"/>
      <c r="P263" s="52"/>
      <c r="Q263" s="26">
        <v>44652</v>
      </c>
      <c r="R263" s="53"/>
      <c r="S263" s="52"/>
      <c r="T263" s="52"/>
      <c r="U263" s="52"/>
    </row>
    <row r="264" spans="1:21">
      <c r="A264" s="14" t="s">
        <v>512</v>
      </c>
      <c r="B264" s="13">
        <v>4042</v>
      </c>
      <c r="C264" s="13" t="s">
        <v>918</v>
      </c>
      <c r="D264" s="14">
        <v>32.425</v>
      </c>
      <c r="E264" s="14">
        <v>6558</v>
      </c>
      <c r="F264" s="14">
        <v>500</v>
      </c>
      <c r="H264" s="52">
        <v>4042</v>
      </c>
      <c r="I264" s="55" t="s">
        <v>918</v>
      </c>
      <c r="J264" s="7">
        <f>U264</f>
        <v>13116</v>
      </c>
      <c r="K264" s="52">
        <v>1000</v>
      </c>
      <c r="L264" s="52"/>
      <c r="M264" s="25">
        <f t="shared" si="20"/>
        <v>-6558</v>
      </c>
      <c r="N264" s="25">
        <f t="shared" si="21"/>
        <v>-500</v>
      </c>
      <c r="O264" s="52"/>
      <c r="P264" s="52"/>
      <c r="Q264" s="56">
        <v>43922</v>
      </c>
      <c r="R264" s="53">
        <v>44287</v>
      </c>
      <c r="S264" s="52">
        <f>6246+6246</f>
        <v>12492</v>
      </c>
      <c r="T264" s="53">
        <v>44652</v>
      </c>
      <c r="U264" s="52">
        <f>6558+6558</f>
        <v>13116</v>
      </c>
    </row>
    <row r="265" spans="1:21">
      <c r="A265" s="14" t="s">
        <v>512</v>
      </c>
      <c r="B265" s="13">
        <v>4043</v>
      </c>
      <c r="C265" s="13" t="s">
        <v>918</v>
      </c>
      <c r="D265" s="14">
        <v>32.425</v>
      </c>
      <c r="E265" s="14">
        <v>6558</v>
      </c>
      <c r="F265" s="14">
        <v>500</v>
      </c>
      <c r="H265" s="52">
        <v>4043</v>
      </c>
      <c r="I265" s="55" t="s">
        <v>918</v>
      </c>
      <c r="J265" s="7">
        <v>0</v>
      </c>
      <c r="K265" s="52"/>
      <c r="L265" s="52"/>
      <c r="M265" s="25">
        <f t="shared" si="20"/>
        <v>6558</v>
      </c>
      <c r="N265" s="25">
        <f t="shared" si="21"/>
        <v>500</v>
      </c>
      <c r="O265" s="52"/>
      <c r="P265" s="52"/>
      <c r="Q265" s="57"/>
      <c r="R265" s="52"/>
      <c r="S265" s="52"/>
      <c r="T265" s="52"/>
      <c r="U265" s="52"/>
    </row>
    <row r="266" spans="1:21">
      <c r="A266" s="14" t="s">
        <v>512</v>
      </c>
      <c r="B266" s="13">
        <v>4044</v>
      </c>
      <c r="C266" s="13"/>
      <c r="D266" s="14"/>
      <c r="E266" s="14"/>
      <c r="F266" s="14"/>
      <c r="H266" s="25">
        <v>4044</v>
      </c>
      <c r="I266" s="24"/>
      <c r="K266" s="52"/>
      <c r="L266" s="52"/>
      <c r="M266" s="25">
        <f t="shared" si="20"/>
        <v>0</v>
      </c>
      <c r="N266" s="25">
        <f t="shared" si="21"/>
        <v>0</v>
      </c>
      <c r="O266" s="52"/>
      <c r="P266" s="52"/>
      <c r="Q266" s="56"/>
      <c r="R266" s="53"/>
      <c r="S266" s="25"/>
      <c r="T266" s="27"/>
      <c r="U266" s="25"/>
    </row>
    <row r="267" spans="1:21">
      <c r="A267" s="14" t="s">
        <v>512</v>
      </c>
      <c r="B267" s="13">
        <v>4045</v>
      </c>
      <c r="C267" s="13" t="s">
        <v>1021</v>
      </c>
      <c r="D267" s="14">
        <v>32.425</v>
      </c>
      <c r="E267" s="14">
        <v>6560</v>
      </c>
      <c r="F267" s="14">
        <v>500</v>
      </c>
      <c r="H267" s="25">
        <v>4045</v>
      </c>
      <c r="I267" s="24" t="s">
        <v>1021</v>
      </c>
      <c r="J267" s="7">
        <f>U267</f>
        <v>6560</v>
      </c>
      <c r="K267" s="52">
        <v>500</v>
      </c>
      <c r="L267" s="52"/>
      <c r="M267" s="25">
        <f t="shared" si="20"/>
        <v>0</v>
      </c>
      <c r="N267" s="25">
        <f t="shared" si="21"/>
        <v>0</v>
      </c>
      <c r="O267" s="52"/>
      <c r="P267" s="52"/>
      <c r="Q267" s="56">
        <v>43862</v>
      </c>
      <c r="R267" s="53">
        <v>44228</v>
      </c>
      <c r="S267" s="25">
        <f>3124+3124</f>
        <v>6248</v>
      </c>
      <c r="T267" s="27">
        <v>44593</v>
      </c>
      <c r="U267" s="25">
        <f>3280+3280</f>
        <v>6560</v>
      </c>
    </row>
    <row r="268" spans="1:21">
      <c r="A268" s="14" t="s">
        <v>512</v>
      </c>
      <c r="B268" s="13">
        <v>4046</v>
      </c>
      <c r="C268" s="13" t="s">
        <v>421</v>
      </c>
      <c r="D268" s="14">
        <v>60.49</v>
      </c>
      <c r="E268" s="14">
        <v>6500</v>
      </c>
      <c r="F268" s="14">
        <v>500</v>
      </c>
      <c r="H268" s="25">
        <v>4046</v>
      </c>
      <c r="I268" s="24" t="s">
        <v>421</v>
      </c>
      <c r="J268" s="7">
        <v>6500</v>
      </c>
      <c r="K268" s="25">
        <v>500</v>
      </c>
      <c r="L268" s="25"/>
      <c r="M268" s="25">
        <f t="shared" si="20"/>
        <v>0</v>
      </c>
      <c r="N268" s="25">
        <f t="shared" si="21"/>
        <v>0</v>
      </c>
      <c r="O268" s="25"/>
      <c r="P268" s="25"/>
      <c r="Q268" s="26">
        <v>44652</v>
      </c>
      <c r="R268" s="25"/>
      <c r="S268" s="25"/>
      <c r="T268" s="25"/>
      <c r="U268" s="25"/>
    </row>
    <row r="269" spans="1:21">
      <c r="A269" s="14" t="s">
        <v>512</v>
      </c>
      <c r="B269" s="13" t="s">
        <v>599</v>
      </c>
      <c r="C269" s="13" t="s">
        <v>1022</v>
      </c>
      <c r="D269" s="14">
        <v>32.425</v>
      </c>
      <c r="E269" s="14">
        <v>5792</v>
      </c>
      <c r="F269" s="14">
        <v>500</v>
      </c>
      <c r="H269" s="52" t="s">
        <v>599</v>
      </c>
      <c r="I269" s="55" t="s">
        <v>1022</v>
      </c>
      <c r="J269" s="7">
        <f>U269</f>
        <v>5792</v>
      </c>
      <c r="K269" s="52">
        <v>500</v>
      </c>
      <c r="L269" s="52"/>
      <c r="M269" s="25">
        <f t="shared" si="20"/>
        <v>0</v>
      </c>
      <c r="N269" s="25">
        <f t="shared" si="21"/>
        <v>0</v>
      </c>
      <c r="O269" s="52"/>
      <c r="P269" s="52"/>
      <c r="Q269" s="26">
        <v>44287</v>
      </c>
      <c r="R269" s="52"/>
      <c r="S269" s="52"/>
      <c r="T269" s="53">
        <v>44652</v>
      </c>
      <c r="U269" s="52">
        <f>2896+2896</f>
        <v>5792</v>
      </c>
    </row>
    <row r="270" spans="1:21">
      <c r="A270" s="14" t="s">
        <v>601</v>
      </c>
      <c r="B270" s="30" t="s">
        <v>601</v>
      </c>
      <c r="C270" s="13"/>
      <c r="D270" s="14"/>
      <c r="E270" s="14"/>
      <c r="F270" s="14"/>
      <c r="H270" s="58" t="s">
        <v>601</v>
      </c>
      <c r="I270" s="24" t="s">
        <v>873</v>
      </c>
      <c r="K270" s="52"/>
      <c r="L270" s="52"/>
      <c r="M270" s="25">
        <f t="shared" si="20"/>
        <v>0</v>
      </c>
      <c r="N270" s="25">
        <f t="shared" si="21"/>
        <v>0</v>
      </c>
      <c r="O270" s="52"/>
      <c r="P270" s="52"/>
      <c r="Q270" s="36"/>
      <c r="R270" s="52"/>
      <c r="S270" s="52"/>
      <c r="T270" s="52"/>
      <c r="U270" s="52"/>
    </row>
    <row r="271" spans="1:21">
      <c r="A271" s="14" t="s">
        <v>604</v>
      </c>
      <c r="B271" s="13">
        <v>5001</v>
      </c>
      <c r="C271" s="13" t="s">
        <v>919</v>
      </c>
      <c r="D271" s="14">
        <v>49.48</v>
      </c>
      <c r="E271" s="14">
        <v>8132</v>
      </c>
      <c r="F271" s="14">
        <v>500</v>
      </c>
      <c r="H271" s="59">
        <v>5001</v>
      </c>
      <c r="I271" s="55" t="s">
        <v>919</v>
      </c>
      <c r="J271" s="7">
        <f t="shared" ref="J271:J279" si="28">U271</f>
        <v>8132</v>
      </c>
      <c r="K271" s="52">
        <v>500</v>
      </c>
      <c r="L271" s="52"/>
      <c r="M271" s="25">
        <f t="shared" si="20"/>
        <v>0</v>
      </c>
      <c r="N271" s="25">
        <f t="shared" si="21"/>
        <v>0</v>
      </c>
      <c r="O271" s="52"/>
      <c r="P271" s="52"/>
      <c r="Q271" s="56">
        <v>43922</v>
      </c>
      <c r="R271" s="53">
        <v>44287</v>
      </c>
      <c r="S271" s="52">
        <f>3872+3872</f>
        <v>7744</v>
      </c>
      <c r="T271" s="53">
        <v>44652</v>
      </c>
      <c r="U271" s="52">
        <f>4066+4066</f>
        <v>8132</v>
      </c>
    </row>
    <row r="272" spans="1:21">
      <c r="A272" s="14" t="s">
        <v>604</v>
      </c>
      <c r="B272" s="13">
        <v>5002</v>
      </c>
      <c r="C272" s="13" t="s">
        <v>1023</v>
      </c>
      <c r="D272" s="14">
        <v>32.425</v>
      </c>
      <c r="E272" s="14">
        <v>6102</v>
      </c>
      <c r="F272" s="14">
        <v>500</v>
      </c>
      <c r="H272" s="52">
        <v>5002</v>
      </c>
      <c r="I272" s="55" t="s">
        <v>1023</v>
      </c>
      <c r="J272" s="7">
        <f t="shared" si="28"/>
        <v>6102</v>
      </c>
      <c r="K272" s="52">
        <v>500</v>
      </c>
      <c r="L272" s="52"/>
      <c r="M272" s="25">
        <f t="shared" si="20"/>
        <v>0</v>
      </c>
      <c r="N272" s="25">
        <f t="shared" si="21"/>
        <v>0</v>
      </c>
      <c r="O272" s="52"/>
      <c r="P272" s="52"/>
      <c r="Q272" s="56">
        <v>43922</v>
      </c>
      <c r="R272" s="53">
        <v>44287</v>
      </c>
      <c r="S272" s="52">
        <f>2906+2906</f>
        <v>5812</v>
      </c>
      <c r="T272" s="53">
        <v>44652</v>
      </c>
      <c r="U272" s="52">
        <f>3051+3051</f>
        <v>6102</v>
      </c>
    </row>
    <row r="273" spans="1:21">
      <c r="A273" s="14" t="s">
        <v>604</v>
      </c>
      <c r="B273" s="13">
        <v>5003</v>
      </c>
      <c r="C273" s="13" t="s">
        <v>609</v>
      </c>
      <c r="D273" s="14">
        <v>32.425</v>
      </c>
      <c r="E273" s="14">
        <v>6102</v>
      </c>
      <c r="F273" s="14">
        <v>500</v>
      </c>
      <c r="H273" s="59">
        <v>5003</v>
      </c>
      <c r="I273" s="55" t="s">
        <v>609</v>
      </c>
      <c r="J273" s="7">
        <f t="shared" si="28"/>
        <v>6102</v>
      </c>
      <c r="K273" s="52">
        <v>500</v>
      </c>
      <c r="L273" s="52"/>
      <c r="M273" s="25">
        <f t="shared" si="20"/>
        <v>0</v>
      </c>
      <c r="N273" s="25">
        <f t="shared" si="21"/>
        <v>0</v>
      </c>
      <c r="O273" s="52"/>
      <c r="P273" s="52"/>
      <c r="Q273" s="56">
        <v>43922</v>
      </c>
      <c r="R273" s="53">
        <v>44287</v>
      </c>
      <c r="S273" s="52">
        <f>2906+2906</f>
        <v>5812</v>
      </c>
      <c r="T273" s="53">
        <v>44652</v>
      </c>
      <c r="U273" s="52">
        <f>3051+3051</f>
        <v>6102</v>
      </c>
    </row>
    <row r="274" spans="1:21">
      <c r="A274" s="14" t="s">
        <v>604</v>
      </c>
      <c r="B274" s="13" t="s">
        <v>611</v>
      </c>
      <c r="C274" s="13" t="s">
        <v>1024</v>
      </c>
      <c r="D274" s="14">
        <v>32.425</v>
      </c>
      <c r="E274" s="14">
        <v>6100</v>
      </c>
      <c r="F274" s="14">
        <v>500</v>
      </c>
      <c r="H274" s="52" t="s">
        <v>611</v>
      </c>
      <c r="I274" s="55" t="s">
        <v>1024</v>
      </c>
      <c r="J274" s="7">
        <f t="shared" si="28"/>
        <v>6100</v>
      </c>
      <c r="K274" s="52">
        <v>500</v>
      </c>
      <c r="L274" s="52"/>
      <c r="M274" s="25">
        <f t="shared" si="20"/>
        <v>0</v>
      </c>
      <c r="N274" s="25">
        <f t="shared" si="21"/>
        <v>0</v>
      </c>
      <c r="O274" s="52"/>
      <c r="P274" s="52"/>
      <c r="Q274" s="56">
        <v>43922</v>
      </c>
      <c r="R274" s="53">
        <v>44287</v>
      </c>
      <c r="S274" s="52">
        <f>2905+2905</f>
        <v>5810</v>
      </c>
      <c r="T274" s="53">
        <v>44652</v>
      </c>
      <c r="U274" s="52">
        <v>6100</v>
      </c>
    </row>
    <row r="275" spans="1:21">
      <c r="A275" s="14" t="s">
        <v>604</v>
      </c>
      <c r="B275" s="13">
        <v>5005</v>
      </c>
      <c r="C275" s="13" t="s">
        <v>920</v>
      </c>
      <c r="D275" s="14">
        <v>32.425</v>
      </c>
      <c r="E275" s="14">
        <v>6100</v>
      </c>
      <c r="F275" s="14">
        <v>500</v>
      </c>
      <c r="H275" s="59">
        <v>5005</v>
      </c>
      <c r="I275" s="55" t="s">
        <v>920</v>
      </c>
      <c r="J275" s="7">
        <f t="shared" si="28"/>
        <v>6100</v>
      </c>
      <c r="K275" s="52">
        <v>500</v>
      </c>
      <c r="L275" s="52"/>
      <c r="M275" s="25">
        <f t="shared" si="20"/>
        <v>0</v>
      </c>
      <c r="N275" s="25">
        <f t="shared" si="21"/>
        <v>0</v>
      </c>
      <c r="O275" s="52"/>
      <c r="P275" s="52"/>
      <c r="Q275" s="56">
        <v>44501</v>
      </c>
      <c r="R275" s="53"/>
      <c r="S275" s="52"/>
      <c r="T275" s="53">
        <v>44652</v>
      </c>
      <c r="U275" s="52">
        <v>6100</v>
      </c>
    </row>
    <row r="276" spans="1:21">
      <c r="A276" s="14" t="s">
        <v>604</v>
      </c>
      <c r="B276" s="13">
        <v>5006</v>
      </c>
      <c r="C276" s="13" t="s">
        <v>921</v>
      </c>
      <c r="D276" s="14">
        <v>32.425</v>
      </c>
      <c r="E276" s="14">
        <v>6100</v>
      </c>
      <c r="F276" s="14">
        <v>500</v>
      </c>
      <c r="H276" s="52">
        <v>5006</v>
      </c>
      <c r="I276" s="55" t="s">
        <v>921</v>
      </c>
      <c r="J276" s="7">
        <f t="shared" si="28"/>
        <v>6100</v>
      </c>
      <c r="K276" s="52">
        <v>500</v>
      </c>
      <c r="L276" s="52"/>
      <c r="M276" s="25">
        <f t="shared" si="20"/>
        <v>0</v>
      </c>
      <c r="N276" s="25">
        <f t="shared" si="21"/>
        <v>0</v>
      </c>
      <c r="O276" s="52"/>
      <c r="P276" s="52"/>
      <c r="Q276" s="56">
        <v>43922</v>
      </c>
      <c r="R276" s="53">
        <v>44287</v>
      </c>
      <c r="S276" s="52">
        <v>5810</v>
      </c>
      <c r="T276" s="53">
        <v>44652</v>
      </c>
      <c r="U276" s="52">
        <v>6100</v>
      </c>
    </row>
    <row r="277" spans="1:21">
      <c r="A277" s="14" t="s">
        <v>604</v>
      </c>
      <c r="B277" s="13">
        <v>5007</v>
      </c>
      <c r="C277" s="13" t="s">
        <v>922</v>
      </c>
      <c r="D277" s="14">
        <v>32.425</v>
      </c>
      <c r="E277" s="14">
        <v>6102</v>
      </c>
      <c r="F277" s="14">
        <v>500</v>
      </c>
      <c r="H277" s="59">
        <v>5007</v>
      </c>
      <c r="I277" s="55" t="s">
        <v>922</v>
      </c>
      <c r="J277" s="7">
        <f t="shared" si="28"/>
        <v>6102</v>
      </c>
      <c r="K277" s="52">
        <v>500</v>
      </c>
      <c r="L277" s="52"/>
      <c r="M277" s="25">
        <f t="shared" si="20"/>
        <v>0</v>
      </c>
      <c r="N277" s="25">
        <f t="shared" si="21"/>
        <v>0</v>
      </c>
      <c r="O277" s="52"/>
      <c r="P277" s="52"/>
      <c r="Q277" s="56">
        <v>43922</v>
      </c>
      <c r="R277" s="53">
        <v>44287</v>
      </c>
      <c r="S277" s="52">
        <v>5812</v>
      </c>
      <c r="T277" s="53">
        <v>44652</v>
      </c>
      <c r="U277" s="52">
        <v>6102</v>
      </c>
    </row>
    <row r="278" spans="1:21">
      <c r="A278" s="14" t="s">
        <v>604</v>
      </c>
      <c r="B278" s="13">
        <v>5008</v>
      </c>
      <c r="C278" s="13" t="s">
        <v>923</v>
      </c>
      <c r="D278" s="14">
        <v>32.425</v>
      </c>
      <c r="E278" s="14">
        <v>6100</v>
      </c>
      <c r="F278" s="14">
        <v>500</v>
      </c>
      <c r="H278" s="52">
        <v>5008</v>
      </c>
      <c r="I278" s="55" t="s">
        <v>923</v>
      </c>
      <c r="J278" s="7">
        <f t="shared" si="28"/>
        <v>6100</v>
      </c>
      <c r="K278" s="52">
        <v>500</v>
      </c>
      <c r="L278" s="52"/>
      <c r="M278" s="25">
        <f t="shared" si="20"/>
        <v>0</v>
      </c>
      <c r="N278" s="25">
        <f t="shared" si="21"/>
        <v>0</v>
      </c>
      <c r="O278" s="52"/>
      <c r="P278" s="52"/>
      <c r="Q278" s="56">
        <v>44562</v>
      </c>
      <c r="R278" s="53"/>
      <c r="S278" s="52"/>
      <c r="T278" s="53">
        <v>44652</v>
      </c>
      <c r="U278" s="52">
        <v>6100</v>
      </c>
    </row>
    <row r="279" spans="1:21">
      <c r="A279" s="14" t="s">
        <v>604</v>
      </c>
      <c r="B279" s="13">
        <v>5009</v>
      </c>
      <c r="C279" s="13" t="s">
        <v>924</v>
      </c>
      <c r="D279" s="14">
        <v>32.425</v>
      </c>
      <c r="E279" s="14">
        <v>6100</v>
      </c>
      <c r="F279" s="14">
        <v>500</v>
      </c>
      <c r="H279" s="60">
        <v>5009</v>
      </c>
      <c r="I279" s="24" t="s">
        <v>924</v>
      </c>
      <c r="J279" s="7">
        <f t="shared" si="28"/>
        <v>6100</v>
      </c>
      <c r="K279" s="25">
        <v>500</v>
      </c>
      <c r="L279" s="25"/>
      <c r="M279" s="25">
        <f t="shared" si="20"/>
        <v>0</v>
      </c>
      <c r="N279" s="25">
        <f t="shared" si="21"/>
        <v>0</v>
      </c>
      <c r="O279" s="25"/>
      <c r="P279" s="25"/>
      <c r="Q279" s="56">
        <v>43922</v>
      </c>
      <c r="R279" s="53">
        <v>44287</v>
      </c>
      <c r="S279" s="52">
        <v>5810</v>
      </c>
      <c r="T279" s="53">
        <v>44652</v>
      </c>
      <c r="U279" s="52">
        <v>6100</v>
      </c>
    </row>
    <row r="280" spans="1:21">
      <c r="A280" s="14" t="s">
        <v>604</v>
      </c>
      <c r="B280" s="13">
        <v>5010</v>
      </c>
      <c r="C280" s="13" t="s">
        <v>1025</v>
      </c>
      <c r="D280" s="14">
        <v>32.425</v>
      </c>
      <c r="E280" s="14">
        <v>5812</v>
      </c>
      <c r="F280" s="14">
        <v>500</v>
      </c>
      <c r="H280" s="52">
        <v>5010</v>
      </c>
      <c r="I280" s="55" t="s">
        <v>925</v>
      </c>
      <c r="J280" s="7">
        <v>5812</v>
      </c>
      <c r="K280" s="52">
        <v>500</v>
      </c>
      <c r="L280" s="52"/>
      <c r="M280" s="25">
        <f t="shared" ref="M280:M317" si="29">E280-J280</f>
        <v>0</v>
      </c>
      <c r="N280" s="25">
        <f t="shared" ref="N280:N317" si="30">F280-K280</f>
        <v>0</v>
      </c>
      <c r="O280" s="52"/>
      <c r="P280" s="52"/>
      <c r="Q280" s="56">
        <v>44658</v>
      </c>
      <c r="R280" s="53"/>
      <c r="S280" s="52"/>
      <c r="T280" s="53"/>
      <c r="U280" s="52"/>
    </row>
    <row r="281" spans="1:21">
      <c r="A281" s="14" t="s">
        <v>604</v>
      </c>
      <c r="B281" s="13">
        <v>5011</v>
      </c>
      <c r="C281" s="13"/>
      <c r="D281" s="14"/>
      <c r="E281" s="14"/>
      <c r="F281" s="14"/>
      <c r="H281" s="59">
        <v>5011</v>
      </c>
      <c r="I281" s="55"/>
      <c r="K281" s="52"/>
      <c r="L281" s="52"/>
      <c r="M281" s="25">
        <f t="shared" si="29"/>
        <v>0</v>
      </c>
      <c r="N281" s="25">
        <f t="shared" si="30"/>
        <v>0</v>
      </c>
      <c r="O281" s="52"/>
      <c r="P281" s="52"/>
      <c r="Q281" s="56"/>
      <c r="R281" s="53"/>
      <c r="S281" s="52"/>
      <c r="T281" s="53"/>
      <c r="U281" s="52"/>
    </row>
    <row r="282" spans="1:21">
      <c r="A282" s="14" t="s">
        <v>604</v>
      </c>
      <c r="B282" s="13">
        <v>5012</v>
      </c>
      <c r="C282" s="13" t="s">
        <v>1026</v>
      </c>
      <c r="D282" s="14">
        <v>32.425</v>
      </c>
      <c r="E282" s="14">
        <v>6102</v>
      </c>
      <c r="F282" s="14">
        <v>500</v>
      </c>
      <c r="H282" s="52">
        <v>5012</v>
      </c>
      <c r="I282" s="55" t="s">
        <v>1026</v>
      </c>
      <c r="J282" s="7">
        <f t="shared" ref="J282:J283" si="31">U282</f>
        <v>6102</v>
      </c>
      <c r="K282" s="52">
        <v>500</v>
      </c>
      <c r="L282" s="52"/>
      <c r="M282" s="25">
        <f t="shared" si="29"/>
        <v>0</v>
      </c>
      <c r="N282" s="25">
        <f t="shared" si="30"/>
        <v>0</v>
      </c>
      <c r="O282" s="52"/>
      <c r="P282" s="52"/>
      <c r="Q282" s="56">
        <v>43922</v>
      </c>
      <c r="R282" s="53">
        <v>44287</v>
      </c>
      <c r="S282" s="52">
        <f t="shared" ref="S282:S285" si="32">2906+2906</f>
        <v>5812</v>
      </c>
      <c r="T282" s="53">
        <v>44652</v>
      </c>
      <c r="U282" s="52">
        <f t="shared" ref="U282:U285" si="33">3051+3051</f>
        <v>6102</v>
      </c>
    </row>
    <row r="283" spans="1:21">
      <c r="A283" s="14" t="s">
        <v>604</v>
      </c>
      <c r="B283" s="13">
        <v>5013</v>
      </c>
      <c r="C283" s="13" t="s">
        <v>926</v>
      </c>
      <c r="D283" s="14">
        <v>32.425</v>
      </c>
      <c r="E283" s="14">
        <v>6102</v>
      </c>
      <c r="F283" s="14">
        <v>500</v>
      </c>
      <c r="H283" s="59">
        <v>5013</v>
      </c>
      <c r="I283" s="55" t="s">
        <v>926</v>
      </c>
      <c r="J283" s="7">
        <f t="shared" si="31"/>
        <v>6102</v>
      </c>
      <c r="K283" s="52">
        <v>500</v>
      </c>
      <c r="L283" s="52"/>
      <c r="M283" s="25">
        <f t="shared" si="29"/>
        <v>0</v>
      </c>
      <c r="N283" s="25">
        <f t="shared" si="30"/>
        <v>0</v>
      </c>
      <c r="O283" s="52"/>
      <c r="P283" s="52"/>
      <c r="Q283" s="56">
        <v>43922</v>
      </c>
      <c r="R283" s="53">
        <v>44287</v>
      </c>
      <c r="S283" s="52">
        <f t="shared" si="32"/>
        <v>5812</v>
      </c>
      <c r="T283" s="53">
        <v>44652</v>
      </c>
      <c r="U283" s="52">
        <f t="shared" si="33"/>
        <v>6102</v>
      </c>
    </row>
    <row r="284" spans="1:21">
      <c r="A284" s="14" t="s">
        <v>604</v>
      </c>
      <c r="B284" s="13" t="s">
        <v>630</v>
      </c>
      <c r="C284" s="13"/>
      <c r="D284" s="14"/>
      <c r="E284" s="14"/>
      <c r="F284" s="14"/>
      <c r="H284" s="52" t="s">
        <v>630</v>
      </c>
      <c r="I284" s="55"/>
      <c r="K284" s="52"/>
      <c r="L284" s="52"/>
      <c r="M284" s="25">
        <f t="shared" si="29"/>
        <v>0</v>
      </c>
      <c r="N284" s="25">
        <f t="shared" si="30"/>
        <v>0</v>
      </c>
      <c r="O284" s="52"/>
      <c r="P284" s="52"/>
      <c r="Q284" s="56"/>
      <c r="R284" s="53"/>
      <c r="S284" s="52"/>
      <c r="T284" s="53"/>
      <c r="U284" s="52"/>
    </row>
    <row r="285" spans="1:21">
      <c r="A285" s="14" t="s">
        <v>604</v>
      </c>
      <c r="B285" s="13">
        <v>5015</v>
      </c>
      <c r="C285" s="13" t="s">
        <v>927</v>
      </c>
      <c r="D285" s="14">
        <v>32.425</v>
      </c>
      <c r="E285" s="14">
        <v>6102</v>
      </c>
      <c r="F285" s="14">
        <v>500</v>
      </c>
      <c r="H285" s="59">
        <v>5015</v>
      </c>
      <c r="I285" s="55" t="s">
        <v>927</v>
      </c>
      <c r="J285" s="7">
        <f t="shared" ref="J285:J287" si="34">U285</f>
        <v>6102</v>
      </c>
      <c r="K285" s="52">
        <v>500</v>
      </c>
      <c r="L285" s="52"/>
      <c r="M285" s="25">
        <f t="shared" si="29"/>
        <v>0</v>
      </c>
      <c r="N285" s="25">
        <f t="shared" si="30"/>
        <v>0</v>
      </c>
      <c r="O285" s="52"/>
      <c r="P285" s="52"/>
      <c r="Q285" s="56">
        <v>43922</v>
      </c>
      <c r="R285" s="53">
        <v>44287</v>
      </c>
      <c r="S285" s="52">
        <f t="shared" si="32"/>
        <v>5812</v>
      </c>
      <c r="T285" s="53">
        <v>44652</v>
      </c>
      <c r="U285" s="52">
        <f t="shared" si="33"/>
        <v>6102</v>
      </c>
    </row>
    <row r="286" spans="1:21">
      <c r="A286" s="14" t="s">
        <v>604</v>
      </c>
      <c r="B286" s="13">
        <v>5016</v>
      </c>
      <c r="C286" s="13" t="s">
        <v>928</v>
      </c>
      <c r="D286" s="14">
        <v>32.425</v>
      </c>
      <c r="E286" s="14">
        <v>6102</v>
      </c>
      <c r="F286" s="14">
        <v>500</v>
      </c>
      <c r="H286" s="52">
        <v>5016</v>
      </c>
      <c r="I286" s="55" t="s">
        <v>928</v>
      </c>
      <c r="J286" s="7">
        <f t="shared" si="34"/>
        <v>6102</v>
      </c>
      <c r="K286" s="52">
        <v>500</v>
      </c>
      <c r="L286" s="52"/>
      <c r="M286" s="25">
        <f t="shared" si="29"/>
        <v>0</v>
      </c>
      <c r="N286" s="25">
        <f t="shared" si="30"/>
        <v>0</v>
      </c>
      <c r="O286" s="52"/>
      <c r="P286" s="52"/>
      <c r="Q286" s="56">
        <v>44418</v>
      </c>
      <c r="R286" s="53"/>
      <c r="S286" s="52"/>
      <c r="T286" s="53">
        <v>44652</v>
      </c>
      <c r="U286" s="52">
        <f>3051*2</f>
        <v>6102</v>
      </c>
    </row>
    <row r="287" spans="1:21">
      <c r="A287" s="14" t="s">
        <v>604</v>
      </c>
      <c r="B287" s="13">
        <v>5017</v>
      </c>
      <c r="C287" s="13" t="s">
        <v>1027</v>
      </c>
      <c r="D287" s="14">
        <v>32.425</v>
      </c>
      <c r="E287" s="14">
        <v>6102</v>
      </c>
      <c r="F287" s="14">
        <v>500</v>
      </c>
      <c r="H287" s="59">
        <v>5017</v>
      </c>
      <c r="I287" s="55" t="s">
        <v>1027</v>
      </c>
      <c r="J287" s="7">
        <f t="shared" si="34"/>
        <v>6102</v>
      </c>
      <c r="K287" s="52">
        <v>500</v>
      </c>
      <c r="L287" s="52"/>
      <c r="M287" s="25">
        <f t="shared" si="29"/>
        <v>0</v>
      </c>
      <c r="N287" s="25">
        <f t="shared" si="30"/>
        <v>0</v>
      </c>
      <c r="O287" s="52"/>
      <c r="P287" s="52"/>
      <c r="Q287" s="56">
        <v>43922</v>
      </c>
      <c r="R287" s="53">
        <v>44287</v>
      </c>
      <c r="S287" s="52">
        <f>2906+2906</f>
        <v>5812</v>
      </c>
      <c r="T287" s="53">
        <v>44652</v>
      </c>
      <c r="U287" s="52">
        <f>3051+3051</f>
        <v>6102</v>
      </c>
    </row>
    <row r="288" spans="1:21">
      <c r="A288" s="14" t="s">
        <v>604</v>
      </c>
      <c r="B288" s="13">
        <v>5018</v>
      </c>
      <c r="C288" s="13"/>
      <c r="D288" s="14"/>
      <c r="E288" s="14"/>
      <c r="F288" s="14"/>
      <c r="H288" s="52">
        <v>5018</v>
      </c>
      <c r="I288" s="55"/>
      <c r="K288" s="52"/>
      <c r="L288" s="52"/>
      <c r="M288" s="25">
        <f t="shared" si="29"/>
        <v>0</v>
      </c>
      <c r="N288" s="25">
        <f t="shared" si="30"/>
        <v>0</v>
      </c>
      <c r="O288" s="52"/>
      <c r="P288" s="52"/>
      <c r="Q288" s="56"/>
      <c r="R288" s="53"/>
      <c r="S288" s="52"/>
      <c r="T288" s="53"/>
      <c r="U288" s="52"/>
    </row>
    <row r="289" spans="1:21">
      <c r="A289" s="14" t="s">
        <v>604</v>
      </c>
      <c r="B289" s="13">
        <v>5019</v>
      </c>
      <c r="C289" s="13"/>
      <c r="D289" s="14"/>
      <c r="E289" s="14"/>
      <c r="F289" s="14"/>
      <c r="H289" s="59">
        <v>5019</v>
      </c>
      <c r="I289" s="55"/>
      <c r="K289" s="52"/>
      <c r="L289" s="52"/>
      <c r="M289" s="25">
        <f t="shared" si="29"/>
        <v>0</v>
      </c>
      <c r="N289" s="25">
        <f t="shared" si="30"/>
        <v>0</v>
      </c>
      <c r="O289" s="52"/>
      <c r="P289" s="52"/>
      <c r="Q289" s="56"/>
      <c r="R289" s="53"/>
      <c r="S289" s="52"/>
      <c r="T289" s="53"/>
      <c r="U289" s="52"/>
    </row>
    <row r="290" spans="1:21">
      <c r="A290" s="14" t="s">
        <v>604</v>
      </c>
      <c r="B290" s="13">
        <v>5020</v>
      </c>
      <c r="C290" s="13"/>
      <c r="D290" s="14"/>
      <c r="E290" s="14"/>
      <c r="F290" s="14"/>
      <c r="H290" s="52">
        <v>5020</v>
      </c>
      <c r="I290" s="55"/>
      <c r="K290" s="52"/>
      <c r="L290" s="52"/>
      <c r="M290" s="25">
        <f t="shared" si="29"/>
        <v>0</v>
      </c>
      <c r="N290" s="25">
        <f t="shared" si="30"/>
        <v>0</v>
      </c>
      <c r="O290" s="52"/>
      <c r="P290" s="52"/>
      <c r="Q290" s="56"/>
      <c r="R290" s="53"/>
      <c r="S290" s="52"/>
      <c r="T290" s="53"/>
      <c r="U290" s="52"/>
    </row>
    <row r="291" spans="1:21">
      <c r="A291" s="14" t="s">
        <v>604</v>
      </c>
      <c r="B291" s="13">
        <v>5021</v>
      </c>
      <c r="C291" s="13"/>
      <c r="D291" s="14"/>
      <c r="E291" s="14"/>
      <c r="F291" s="14"/>
      <c r="H291" s="59">
        <v>5021</v>
      </c>
      <c r="I291" s="61"/>
      <c r="K291" s="52"/>
      <c r="L291" s="52"/>
      <c r="M291" s="25">
        <f t="shared" si="29"/>
        <v>0</v>
      </c>
      <c r="N291" s="25">
        <f t="shared" si="30"/>
        <v>0</v>
      </c>
      <c r="O291" s="52"/>
      <c r="P291" s="52"/>
      <c r="Q291" s="56"/>
      <c r="R291" s="53"/>
      <c r="S291" s="52"/>
      <c r="T291" s="53"/>
      <c r="U291" s="52"/>
    </row>
    <row r="292" spans="1:21">
      <c r="A292" s="14" t="s">
        <v>604</v>
      </c>
      <c r="B292" s="13">
        <v>5022</v>
      </c>
      <c r="C292" s="13" t="s">
        <v>1028</v>
      </c>
      <c r="D292" s="14">
        <v>32.425</v>
      </c>
      <c r="E292" s="14">
        <f>6102/2</f>
        <v>3051</v>
      </c>
      <c r="F292" s="14">
        <f>500/2</f>
        <v>250</v>
      </c>
      <c r="H292" s="52">
        <v>5022</v>
      </c>
      <c r="I292" s="55" t="s">
        <v>1029</v>
      </c>
      <c r="J292" s="7">
        <f>U292</f>
        <v>6102</v>
      </c>
      <c r="K292" s="52">
        <v>500</v>
      </c>
      <c r="L292" s="52"/>
      <c r="M292" s="25">
        <f t="shared" si="29"/>
        <v>-3051</v>
      </c>
      <c r="N292" s="25">
        <f t="shared" si="30"/>
        <v>-250</v>
      </c>
      <c r="O292" s="52"/>
      <c r="P292" s="52"/>
      <c r="Q292" s="56">
        <v>43952</v>
      </c>
      <c r="R292" s="53">
        <v>44287</v>
      </c>
      <c r="S292" s="52">
        <f>2906+2906</f>
        <v>5812</v>
      </c>
      <c r="T292" s="53">
        <v>44652</v>
      </c>
      <c r="U292" s="52">
        <f>3051+3051</f>
        <v>6102</v>
      </c>
    </row>
    <row r="293" spans="1:21">
      <c r="A293" s="14" t="s">
        <v>604</v>
      </c>
      <c r="B293" s="13">
        <v>5023</v>
      </c>
      <c r="C293" s="13"/>
      <c r="D293" s="14"/>
      <c r="E293" s="14"/>
      <c r="F293" s="14"/>
      <c r="H293" s="59">
        <v>5023</v>
      </c>
      <c r="I293" s="55"/>
      <c r="K293" s="52"/>
      <c r="L293" s="52"/>
      <c r="M293" s="25">
        <f t="shared" si="29"/>
        <v>0</v>
      </c>
      <c r="N293" s="25">
        <f t="shared" si="30"/>
        <v>0</v>
      </c>
      <c r="O293" s="52"/>
      <c r="P293" s="52"/>
      <c r="Q293" s="56"/>
      <c r="R293" s="53"/>
      <c r="S293" s="52"/>
      <c r="T293" s="53"/>
      <c r="U293" s="52"/>
    </row>
    <row r="294" spans="1:21">
      <c r="A294" s="14" t="s">
        <v>604</v>
      </c>
      <c r="B294" s="13">
        <v>5024</v>
      </c>
      <c r="C294" s="13" t="s">
        <v>1030</v>
      </c>
      <c r="D294" s="14">
        <v>32.425</v>
      </c>
      <c r="E294" s="14">
        <v>6100</v>
      </c>
      <c r="F294" s="14">
        <v>500</v>
      </c>
      <c r="H294" s="52">
        <v>5024</v>
      </c>
      <c r="I294" s="55" t="s">
        <v>1030</v>
      </c>
      <c r="J294" s="7">
        <f>U294</f>
        <v>6100</v>
      </c>
      <c r="K294" s="52">
        <v>500</v>
      </c>
      <c r="L294" s="52"/>
      <c r="M294" s="25">
        <f t="shared" si="29"/>
        <v>0</v>
      </c>
      <c r="N294" s="25">
        <f t="shared" si="30"/>
        <v>0</v>
      </c>
      <c r="O294" s="52"/>
      <c r="P294" s="52"/>
      <c r="Q294" s="56">
        <v>43922</v>
      </c>
      <c r="R294" s="53">
        <v>44287</v>
      </c>
      <c r="S294" s="52">
        <v>5810</v>
      </c>
      <c r="T294" s="53">
        <v>44652</v>
      </c>
      <c r="U294" s="52">
        <v>6100</v>
      </c>
    </row>
    <row r="295" spans="1:21">
      <c r="A295" s="14" t="s">
        <v>604</v>
      </c>
      <c r="B295" s="13">
        <v>5025</v>
      </c>
      <c r="C295" s="13" t="s">
        <v>1031</v>
      </c>
      <c r="D295" s="14">
        <v>32.425</v>
      </c>
      <c r="E295" s="14">
        <v>6622</v>
      </c>
      <c r="F295" s="14">
        <v>500</v>
      </c>
      <c r="H295" s="59">
        <v>5025</v>
      </c>
      <c r="I295" s="55" t="s">
        <v>1031</v>
      </c>
      <c r="J295" s="7">
        <v>6622</v>
      </c>
      <c r="K295" s="52">
        <v>500</v>
      </c>
      <c r="L295" s="52"/>
      <c r="M295" s="25">
        <f t="shared" si="29"/>
        <v>0</v>
      </c>
      <c r="N295" s="25">
        <f t="shared" si="30"/>
        <v>0</v>
      </c>
      <c r="O295" s="52"/>
      <c r="P295" s="52"/>
      <c r="Q295" s="56">
        <v>44387</v>
      </c>
      <c r="R295" s="52"/>
      <c r="S295" s="52"/>
      <c r="T295" s="52"/>
      <c r="U295" s="52"/>
    </row>
    <row r="296" spans="1:21">
      <c r="A296" s="14" t="s">
        <v>604</v>
      </c>
      <c r="B296" s="13">
        <v>5026</v>
      </c>
      <c r="C296" s="13"/>
      <c r="D296" s="14"/>
      <c r="E296" s="14"/>
      <c r="F296" s="14"/>
      <c r="H296" s="59">
        <v>5026</v>
      </c>
      <c r="I296" s="55"/>
      <c r="K296" s="52"/>
      <c r="L296" s="52"/>
      <c r="M296" s="25">
        <f t="shared" si="29"/>
        <v>0</v>
      </c>
      <c r="N296" s="25">
        <f t="shared" si="30"/>
        <v>0</v>
      </c>
      <c r="O296" s="52"/>
      <c r="P296" s="52"/>
      <c r="Q296" s="56"/>
      <c r="R296" s="53"/>
      <c r="S296" s="52"/>
      <c r="T296" s="52"/>
      <c r="U296" s="52"/>
    </row>
    <row r="297" spans="1:21">
      <c r="A297" s="14" t="s">
        <v>604</v>
      </c>
      <c r="B297" s="62">
        <v>5027</v>
      </c>
      <c r="C297" s="13"/>
      <c r="D297" s="14"/>
      <c r="E297" s="14"/>
      <c r="F297" s="14"/>
      <c r="H297" s="52">
        <v>5027</v>
      </c>
      <c r="I297" s="55"/>
      <c r="K297" s="52"/>
      <c r="L297" s="52"/>
      <c r="M297" s="25">
        <f t="shared" si="29"/>
        <v>0</v>
      </c>
      <c r="N297" s="25">
        <f t="shared" si="30"/>
        <v>0</v>
      </c>
      <c r="O297" s="52"/>
      <c r="P297" s="52"/>
      <c r="Q297" s="56"/>
      <c r="R297" s="53"/>
      <c r="S297" s="52"/>
      <c r="T297" s="53"/>
      <c r="U297" s="52"/>
    </row>
    <row r="298" spans="1:21">
      <c r="A298" s="14" t="s">
        <v>604</v>
      </c>
      <c r="B298" s="13">
        <v>5028</v>
      </c>
      <c r="C298" s="13" t="s">
        <v>929</v>
      </c>
      <c r="D298" s="14">
        <v>32.425</v>
      </c>
      <c r="E298" s="14">
        <v>6102</v>
      </c>
      <c r="F298" s="14">
        <v>500</v>
      </c>
      <c r="H298" s="59">
        <v>5028</v>
      </c>
      <c r="I298" s="63" t="s">
        <v>929</v>
      </c>
      <c r="J298" s="7">
        <f t="shared" ref="J298:J306" si="35">U298</f>
        <v>6102</v>
      </c>
      <c r="K298" s="52">
        <v>500</v>
      </c>
      <c r="L298" s="52"/>
      <c r="M298" s="25">
        <f t="shared" si="29"/>
        <v>0</v>
      </c>
      <c r="N298" s="25">
        <f t="shared" si="30"/>
        <v>0</v>
      </c>
      <c r="O298" s="52"/>
      <c r="P298" s="52"/>
      <c r="Q298" s="56">
        <v>43922</v>
      </c>
      <c r="R298" s="53">
        <v>44287</v>
      </c>
      <c r="S298" s="52">
        <f>2906+2906</f>
        <v>5812</v>
      </c>
      <c r="T298" s="53">
        <v>44652</v>
      </c>
      <c r="U298" s="52">
        <f>3051+3051</f>
        <v>6102</v>
      </c>
    </row>
    <row r="299" spans="1:21">
      <c r="A299" s="14" t="s">
        <v>604</v>
      </c>
      <c r="B299" s="13">
        <v>5029</v>
      </c>
      <c r="C299" s="13" t="s">
        <v>897</v>
      </c>
      <c r="D299" s="14">
        <v>32.425</v>
      </c>
      <c r="E299" s="14">
        <v>6100</v>
      </c>
      <c r="F299" s="14">
        <v>500</v>
      </c>
      <c r="H299" s="52">
        <v>5029</v>
      </c>
      <c r="I299" s="63" t="s">
        <v>897</v>
      </c>
      <c r="J299" s="7">
        <f t="shared" si="35"/>
        <v>6100</v>
      </c>
      <c r="K299" s="52">
        <v>500</v>
      </c>
      <c r="L299" s="52"/>
      <c r="M299" s="25">
        <f t="shared" si="29"/>
        <v>0</v>
      </c>
      <c r="N299" s="25">
        <f t="shared" si="30"/>
        <v>0</v>
      </c>
      <c r="O299" s="52"/>
      <c r="P299" s="52"/>
      <c r="Q299" s="56">
        <v>43922</v>
      </c>
      <c r="R299" s="53">
        <v>44287</v>
      </c>
      <c r="S299" s="52">
        <f>2905+2905</f>
        <v>5810</v>
      </c>
      <c r="T299" s="53">
        <v>44652</v>
      </c>
      <c r="U299" s="52">
        <f>3050+3050</f>
        <v>6100</v>
      </c>
    </row>
    <row r="300" spans="1:21">
      <c r="A300" s="14" t="s">
        <v>604</v>
      </c>
      <c r="B300" s="13">
        <v>5030</v>
      </c>
      <c r="C300" s="13" t="s">
        <v>1032</v>
      </c>
      <c r="D300" s="14">
        <v>32.425</v>
      </c>
      <c r="E300" s="14">
        <v>6102</v>
      </c>
      <c r="F300" s="14">
        <v>500</v>
      </c>
      <c r="H300" s="52">
        <v>5030</v>
      </c>
      <c r="I300" s="55" t="s">
        <v>932</v>
      </c>
      <c r="J300" s="7">
        <f t="shared" si="35"/>
        <v>6102</v>
      </c>
      <c r="K300" s="52">
        <v>500</v>
      </c>
      <c r="L300" s="52"/>
      <c r="M300" s="25">
        <f t="shared" si="29"/>
        <v>0</v>
      </c>
      <c r="N300" s="25">
        <f t="shared" si="30"/>
        <v>0</v>
      </c>
      <c r="O300" s="52"/>
      <c r="P300" s="52"/>
      <c r="Q300" s="56">
        <v>43922</v>
      </c>
      <c r="R300" s="53">
        <v>44287</v>
      </c>
      <c r="S300" s="52">
        <v>5812</v>
      </c>
      <c r="T300" s="53">
        <v>44652</v>
      </c>
      <c r="U300" s="52">
        <v>6102</v>
      </c>
    </row>
    <row r="301" spans="1:21">
      <c r="A301" s="14" t="s">
        <v>604</v>
      </c>
      <c r="B301" s="13">
        <v>5031</v>
      </c>
      <c r="C301" s="13" t="s">
        <v>1033</v>
      </c>
      <c r="D301" s="13">
        <v>32.425</v>
      </c>
      <c r="E301" s="14">
        <v>6100</v>
      </c>
      <c r="F301" s="14">
        <v>500</v>
      </c>
      <c r="H301" s="52">
        <v>5031</v>
      </c>
      <c r="I301" s="55" t="s">
        <v>1033</v>
      </c>
      <c r="J301" s="7">
        <f t="shared" si="35"/>
        <v>6100</v>
      </c>
      <c r="K301" s="52">
        <v>500</v>
      </c>
      <c r="L301" s="52"/>
      <c r="M301" s="25">
        <f t="shared" si="29"/>
        <v>0</v>
      </c>
      <c r="N301" s="25">
        <f t="shared" si="30"/>
        <v>0</v>
      </c>
      <c r="O301" s="52"/>
      <c r="P301" s="52"/>
      <c r="Q301" s="56">
        <v>43922</v>
      </c>
      <c r="R301" s="53">
        <v>44287</v>
      </c>
      <c r="S301" s="52">
        <v>5810</v>
      </c>
      <c r="T301" s="53">
        <v>44652</v>
      </c>
      <c r="U301" s="52">
        <v>6100</v>
      </c>
    </row>
    <row r="302" spans="1:21">
      <c r="A302" s="14" t="s">
        <v>604</v>
      </c>
      <c r="B302" s="13">
        <v>5032</v>
      </c>
      <c r="C302" s="13" t="s">
        <v>1034</v>
      </c>
      <c r="D302" s="2">
        <v>32.425</v>
      </c>
      <c r="E302" s="14">
        <v>6102</v>
      </c>
      <c r="F302" s="14">
        <v>500</v>
      </c>
      <c r="H302" s="52">
        <v>5032</v>
      </c>
      <c r="I302" s="55" t="s">
        <v>1034</v>
      </c>
      <c r="J302" s="7">
        <f t="shared" si="35"/>
        <v>6102</v>
      </c>
      <c r="K302" s="52">
        <v>500</v>
      </c>
      <c r="L302" s="52"/>
      <c r="M302" s="25">
        <f t="shared" si="29"/>
        <v>0</v>
      </c>
      <c r="N302" s="25">
        <f t="shared" si="30"/>
        <v>0</v>
      </c>
      <c r="O302" s="52"/>
      <c r="P302" s="52"/>
      <c r="Q302" s="56">
        <v>43922</v>
      </c>
      <c r="R302" s="53">
        <v>44287</v>
      </c>
      <c r="S302" s="52">
        <f t="shared" ref="S302:S306" si="36">2906+2906</f>
        <v>5812</v>
      </c>
      <c r="T302" s="53">
        <v>44652</v>
      </c>
      <c r="U302" s="52">
        <f t="shared" ref="U302:U306" si="37">3051+3051</f>
        <v>6102</v>
      </c>
    </row>
    <row r="303" spans="1:21">
      <c r="A303" s="14" t="s">
        <v>604</v>
      </c>
      <c r="B303" s="13">
        <v>5033</v>
      </c>
      <c r="C303" s="13" t="s">
        <v>933</v>
      </c>
      <c r="D303" s="13">
        <v>32.425</v>
      </c>
      <c r="E303" s="14">
        <v>6100</v>
      </c>
      <c r="F303" s="14">
        <v>500</v>
      </c>
      <c r="H303" s="52">
        <v>5033</v>
      </c>
      <c r="I303" s="55" t="s">
        <v>933</v>
      </c>
      <c r="J303" s="7">
        <f t="shared" si="35"/>
        <v>6100</v>
      </c>
      <c r="K303" s="52">
        <v>500</v>
      </c>
      <c r="L303" s="52"/>
      <c r="M303" s="25">
        <f t="shared" si="29"/>
        <v>0</v>
      </c>
      <c r="N303" s="25">
        <f t="shared" si="30"/>
        <v>0</v>
      </c>
      <c r="O303" s="52"/>
      <c r="P303" s="52"/>
      <c r="Q303" s="56">
        <v>43922</v>
      </c>
      <c r="R303" s="53">
        <v>44287</v>
      </c>
      <c r="S303" s="52">
        <v>5810</v>
      </c>
      <c r="T303" s="53">
        <v>44652</v>
      </c>
      <c r="U303" s="52">
        <v>6100</v>
      </c>
    </row>
    <row r="304" spans="1:21">
      <c r="A304" s="14" t="s">
        <v>604</v>
      </c>
      <c r="B304" s="13">
        <v>5034</v>
      </c>
      <c r="C304" s="13" t="s">
        <v>1035</v>
      </c>
      <c r="D304" s="2">
        <v>32.425</v>
      </c>
      <c r="E304" s="14">
        <v>6102</v>
      </c>
      <c r="F304" s="14">
        <v>500</v>
      </c>
      <c r="H304" s="52">
        <v>5034</v>
      </c>
      <c r="I304" s="55" t="s">
        <v>1035</v>
      </c>
      <c r="J304" s="7">
        <f t="shared" si="35"/>
        <v>6102</v>
      </c>
      <c r="K304" s="52">
        <v>500</v>
      </c>
      <c r="L304" s="52"/>
      <c r="M304" s="25">
        <f t="shared" si="29"/>
        <v>0</v>
      </c>
      <c r="N304" s="25">
        <f t="shared" si="30"/>
        <v>0</v>
      </c>
      <c r="O304" s="52"/>
      <c r="P304" s="52"/>
      <c r="Q304" s="56">
        <v>43922</v>
      </c>
      <c r="R304" s="53">
        <v>44287</v>
      </c>
      <c r="S304" s="52">
        <f t="shared" si="36"/>
        <v>5812</v>
      </c>
      <c r="T304" s="53">
        <v>44652</v>
      </c>
      <c r="U304" s="52">
        <f t="shared" si="37"/>
        <v>6102</v>
      </c>
    </row>
    <row r="305" spans="1:21">
      <c r="A305" s="14" t="s">
        <v>604</v>
      </c>
      <c r="B305" s="13">
        <v>5035</v>
      </c>
      <c r="C305" s="13" t="s">
        <v>1036</v>
      </c>
      <c r="D305" s="13">
        <v>32.425</v>
      </c>
      <c r="E305" s="14">
        <v>6100</v>
      </c>
      <c r="F305" s="14">
        <v>500</v>
      </c>
      <c r="H305" s="52">
        <v>5035</v>
      </c>
      <c r="I305" s="55" t="s">
        <v>1036</v>
      </c>
      <c r="J305" s="7">
        <f t="shared" si="35"/>
        <v>6100</v>
      </c>
      <c r="K305" s="52">
        <v>500</v>
      </c>
      <c r="L305" s="52"/>
      <c r="M305" s="25">
        <f t="shared" si="29"/>
        <v>0</v>
      </c>
      <c r="N305" s="25">
        <f t="shared" si="30"/>
        <v>0</v>
      </c>
      <c r="O305" s="52"/>
      <c r="P305" s="52"/>
      <c r="Q305" s="56">
        <v>43922</v>
      </c>
      <c r="R305" s="53">
        <v>44287</v>
      </c>
      <c r="S305" s="52">
        <v>5810</v>
      </c>
      <c r="T305" s="53">
        <v>44652</v>
      </c>
      <c r="U305" s="52">
        <v>6100</v>
      </c>
    </row>
    <row r="306" spans="1:21">
      <c r="A306" s="14" t="s">
        <v>604</v>
      </c>
      <c r="B306" s="13">
        <v>5036</v>
      </c>
      <c r="C306" s="13" t="s">
        <v>1037</v>
      </c>
      <c r="D306" s="14">
        <v>32.425</v>
      </c>
      <c r="E306" s="14">
        <v>6102</v>
      </c>
      <c r="F306" s="14">
        <v>500</v>
      </c>
      <c r="H306" s="52">
        <v>5036</v>
      </c>
      <c r="I306" s="55" t="s">
        <v>1037</v>
      </c>
      <c r="J306" s="7">
        <f t="shared" si="35"/>
        <v>6102</v>
      </c>
      <c r="K306" s="52">
        <v>500</v>
      </c>
      <c r="L306" s="52"/>
      <c r="M306" s="25">
        <f t="shared" si="29"/>
        <v>0</v>
      </c>
      <c r="N306" s="25">
        <f t="shared" si="30"/>
        <v>0</v>
      </c>
      <c r="O306" s="52"/>
      <c r="P306" s="52"/>
      <c r="Q306" s="56">
        <v>43922</v>
      </c>
      <c r="R306" s="53">
        <v>44287</v>
      </c>
      <c r="S306" s="52">
        <f t="shared" si="36"/>
        <v>5812</v>
      </c>
      <c r="T306" s="53">
        <v>44652</v>
      </c>
      <c r="U306" s="52">
        <f t="shared" si="37"/>
        <v>6102</v>
      </c>
    </row>
    <row r="307" spans="1:21">
      <c r="A307" s="14" t="s">
        <v>604</v>
      </c>
      <c r="B307" s="13">
        <v>5037</v>
      </c>
      <c r="C307" s="13"/>
      <c r="D307" s="14"/>
      <c r="E307" s="14"/>
      <c r="F307" s="14"/>
      <c r="H307" s="52">
        <v>5037</v>
      </c>
      <c r="I307" s="55"/>
      <c r="K307" s="52"/>
      <c r="L307" s="52"/>
      <c r="M307" s="25">
        <f t="shared" si="29"/>
        <v>0</v>
      </c>
      <c r="N307" s="25">
        <f t="shared" si="30"/>
        <v>0</v>
      </c>
      <c r="O307" s="52"/>
      <c r="P307" s="52"/>
      <c r="Q307" s="56"/>
      <c r="R307" s="53"/>
      <c r="S307" s="52"/>
      <c r="T307" s="53"/>
      <c r="U307" s="52"/>
    </row>
    <row r="308" spans="1:21">
      <c r="A308" s="14" t="s">
        <v>604</v>
      </c>
      <c r="B308" s="13">
        <v>5038</v>
      </c>
      <c r="C308" s="64" t="s">
        <v>934</v>
      </c>
      <c r="D308" s="14">
        <v>32.425</v>
      </c>
      <c r="E308" s="14">
        <v>6102</v>
      </c>
      <c r="F308" s="14">
        <v>500</v>
      </c>
      <c r="H308" s="52">
        <v>5038</v>
      </c>
      <c r="I308" s="55" t="s">
        <v>934</v>
      </c>
      <c r="J308" s="7">
        <f>U308</f>
        <v>6102</v>
      </c>
      <c r="K308" s="52">
        <v>500</v>
      </c>
      <c r="L308" s="52"/>
      <c r="M308" s="25">
        <f t="shared" si="29"/>
        <v>0</v>
      </c>
      <c r="N308" s="25">
        <f t="shared" si="30"/>
        <v>0</v>
      </c>
      <c r="O308" s="52"/>
      <c r="P308" s="52"/>
      <c r="Q308" s="56">
        <v>43922</v>
      </c>
      <c r="R308" s="53">
        <v>44287</v>
      </c>
      <c r="S308" s="52">
        <f t="shared" ref="S308:S313" si="38">2906+2906</f>
        <v>5812</v>
      </c>
      <c r="T308" s="53">
        <v>44652</v>
      </c>
      <c r="U308" s="52">
        <f t="shared" ref="U308:U313" si="39">3051+3051</f>
        <v>6102</v>
      </c>
    </row>
    <row r="309" spans="1:21">
      <c r="A309" s="14" t="s">
        <v>604</v>
      </c>
      <c r="B309" s="13">
        <v>5039</v>
      </c>
      <c r="C309" s="64"/>
      <c r="D309" s="14"/>
      <c r="E309" s="14"/>
      <c r="F309" s="14"/>
      <c r="H309" s="52">
        <v>5039</v>
      </c>
      <c r="I309" s="55"/>
      <c r="K309" s="52"/>
      <c r="L309" s="52"/>
      <c r="M309" s="25">
        <f t="shared" si="29"/>
        <v>0</v>
      </c>
      <c r="N309" s="25">
        <f t="shared" si="30"/>
        <v>0</v>
      </c>
      <c r="O309" s="52"/>
      <c r="P309" s="52"/>
      <c r="Q309" s="56"/>
      <c r="R309" s="53"/>
      <c r="S309" s="52"/>
      <c r="T309" s="53"/>
      <c r="U309" s="52"/>
    </row>
    <row r="310" spans="1:21">
      <c r="A310" s="14" t="s">
        <v>604</v>
      </c>
      <c r="B310" s="13">
        <v>5040</v>
      </c>
      <c r="C310" s="13" t="s">
        <v>935</v>
      </c>
      <c r="D310" s="14">
        <v>32.425</v>
      </c>
      <c r="E310" s="14">
        <v>6102</v>
      </c>
      <c r="F310" s="14">
        <v>500</v>
      </c>
      <c r="H310" s="52">
        <v>5040</v>
      </c>
      <c r="I310" s="55" t="s">
        <v>935</v>
      </c>
      <c r="J310" s="7">
        <f>U310</f>
        <v>6102</v>
      </c>
      <c r="K310" s="52">
        <v>500</v>
      </c>
      <c r="L310" s="52"/>
      <c r="M310" s="25">
        <f t="shared" si="29"/>
        <v>0</v>
      </c>
      <c r="N310" s="25">
        <f t="shared" si="30"/>
        <v>0</v>
      </c>
      <c r="O310" s="52"/>
      <c r="P310" s="52"/>
      <c r="Q310" s="56">
        <v>43922</v>
      </c>
      <c r="R310" s="53">
        <v>44287</v>
      </c>
      <c r="S310" s="52">
        <f t="shared" si="38"/>
        <v>5812</v>
      </c>
      <c r="T310" s="53">
        <v>44652</v>
      </c>
      <c r="U310" s="52">
        <f t="shared" si="39"/>
        <v>6102</v>
      </c>
    </row>
    <row r="311" spans="1:21">
      <c r="A311" s="14" t="s">
        <v>604</v>
      </c>
      <c r="B311" s="13">
        <v>5041</v>
      </c>
      <c r="C311" s="13"/>
      <c r="D311" s="14"/>
      <c r="E311" s="14"/>
      <c r="F311" s="14"/>
      <c r="H311" s="52">
        <v>5041</v>
      </c>
      <c r="I311" s="55"/>
      <c r="K311" s="52"/>
      <c r="L311" s="52"/>
      <c r="M311" s="25">
        <f t="shared" si="29"/>
        <v>0</v>
      </c>
      <c r="N311" s="25">
        <f t="shared" si="30"/>
        <v>0</v>
      </c>
      <c r="O311" s="52"/>
      <c r="P311" s="52"/>
      <c r="Q311" s="56"/>
      <c r="R311" s="53"/>
      <c r="S311" s="52"/>
      <c r="T311" s="53"/>
      <c r="U311" s="52"/>
    </row>
    <row r="312" spans="1:21">
      <c r="A312" s="14" t="s">
        <v>604</v>
      </c>
      <c r="B312" s="13">
        <v>5042</v>
      </c>
      <c r="C312" s="13" t="s">
        <v>1038</v>
      </c>
      <c r="D312" s="14">
        <v>32.425</v>
      </c>
      <c r="E312" s="14">
        <v>5812</v>
      </c>
      <c r="F312" s="14">
        <v>500</v>
      </c>
      <c r="H312" s="52">
        <v>5042</v>
      </c>
      <c r="I312" s="55" t="s">
        <v>1038</v>
      </c>
      <c r="J312" s="7">
        <v>5812</v>
      </c>
      <c r="K312" s="52">
        <v>500</v>
      </c>
      <c r="L312" s="52"/>
      <c r="M312" s="25">
        <f t="shared" si="29"/>
        <v>0</v>
      </c>
      <c r="N312" s="25">
        <f t="shared" si="30"/>
        <v>0</v>
      </c>
      <c r="O312" s="52"/>
      <c r="P312" s="52"/>
      <c r="Q312" s="56">
        <v>44470</v>
      </c>
      <c r="R312" s="53"/>
      <c r="S312" s="52"/>
      <c r="T312" s="53">
        <v>44835</v>
      </c>
      <c r="U312" s="52">
        <f>3051*2</f>
        <v>6102</v>
      </c>
    </row>
    <row r="313" spans="1:21">
      <c r="A313" s="14" t="s">
        <v>604</v>
      </c>
      <c r="B313" s="13">
        <v>5043</v>
      </c>
      <c r="C313" s="13" t="s">
        <v>1039</v>
      </c>
      <c r="D313" s="14">
        <v>32.425</v>
      </c>
      <c r="E313" s="14">
        <v>6102</v>
      </c>
      <c r="F313" s="14">
        <v>500</v>
      </c>
      <c r="H313" s="52">
        <v>5043</v>
      </c>
      <c r="I313" s="55" t="s">
        <v>1039</v>
      </c>
      <c r="J313" s="7">
        <f t="shared" ref="J313:J316" si="40">U313</f>
        <v>6102</v>
      </c>
      <c r="K313" s="52">
        <v>500</v>
      </c>
      <c r="L313" s="52"/>
      <c r="M313" s="25">
        <f t="shared" si="29"/>
        <v>0</v>
      </c>
      <c r="N313" s="25">
        <f t="shared" si="30"/>
        <v>0</v>
      </c>
      <c r="O313" s="52"/>
      <c r="P313" s="52"/>
      <c r="Q313" s="56">
        <v>43922</v>
      </c>
      <c r="R313" s="53">
        <v>44287</v>
      </c>
      <c r="S313" s="52">
        <f t="shared" si="38"/>
        <v>5812</v>
      </c>
      <c r="T313" s="53">
        <v>44652</v>
      </c>
      <c r="U313" s="52">
        <f t="shared" si="39"/>
        <v>6102</v>
      </c>
    </row>
    <row r="314" spans="1:21">
      <c r="A314" s="14" t="s">
        <v>604</v>
      </c>
      <c r="B314" s="13" t="s">
        <v>683</v>
      </c>
      <c r="C314" s="13" t="s">
        <v>936</v>
      </c>
      <c r="D314" s="14">
        <v>32.425</v>
      </c>
      <c r="E314" s="14">
        <v>6392</v>
      </c>
      <c r="F314" s="14">
        <v>500</v>
      </c>
      <c r="H314" s="52" t="s">
        <v>683</v>
      </c>
      <c r="I314" s="55" t="s">
        <v>936</v>
      </c>
      <c r="J314" s="7">
        <f t="shared" si="40"/>
        <v>6392</v>
      </c>
      <c r="K314" s="52">
        <v>500</v>
      </c>
      <c r="L314" s="52"/>
      <c r="M314" s="25">
        <f t="shared" si="29"/>
        <v>0</v>
      </c>
      <c r="N314" s="25">
        <f t="shared" si="30"/>
        <v>0</v>
      </c>
      <c r="O314" s="52"/>
      <c r="P314" s="52"/>
      <c r="Q314" s="56">
        <v>44287</v>
      </c>
      <c r="R314" s="52"/>
      <c r="S314" s="52"/>
      <c r="T314" s="53">
        <v>44652</v>
      </c>
      <c r="U314" s="52">
        <v>6392</v>
      </c>
    </row>
    <row r="315" spans="1:21">
      <c r="A315" s="14" t="s">
        <v>604</v>
      </c>
      <c r="B315" s="13">
        <v>5045</v>
      </c>
      <c r="C315" s="13" t="s">
        <v>686</v>
      </c>
      <c r="D315" s="14">
        <v>32.425</v>
      </c>
      <c r="E315" s="14">
        <v>6102</v>
      </c>
      <c r="F315" s="14">
        <v>500</v>
      </c>
      <c r="H315" s="52">
        <v>5045</v>
      </c>
      <c r="I315" s="55" t="s">
        <v>686</v>
      </c>
      <c r="J315" s="7">
        <f t="shared" si="40"/>
        <v>6102</v>
      </c>
      <c r="K315" s="52">
        <v>500</v>
      </c>
      <c r="L315" s="52"/>
      <c r="M315" s="25">
        <f t="shared" si="29"/>
        <v>0</v>
      </c>
      <c r="N315" s="25">
        <f t="shared" si="30"/>
        <v>0</v>
      </c>
      <c r="O315" s="52"/>
      <c r="P315" s="52"/>
      <c r="Q315" s="56">
        <v>43922</v>
      </c>
      <c r="R315" s="53">
        <v>44287</v>
      </c>
      <c r="S315" s="52">
        <f>2906+2906</f>
        <v>5812</v>
      </c>
      <c r="T315" s="53">
        <v>44652</v>
      </c>
      <c r="U315" s="52">
        <f>3051+3051</f>
        <v>6102</v>
      </c>
    </row>
    <row r="316" spans="1:21">
      <c r="A316" s="14" t="s">
        <v>604</v>
      </c>
      <c r="B316" s="13" t="s">
        <v>688</v>
      </c>
      <c r="C316" s="13" t="s">
        <v>689</v>
      </c>
      <c r="D316" s="14">
        <v>50.425</v>
      </c>
      <c r="E316" s="14">
        <v>7000</v>
      </c>
      <c r="F316" s="14">
        <v>500</v>
      </c>
      <c r="H316" s="52" t="s">
        <v>691</v>
      </c>
      <c r="I316" s="55" t="s">
        <v>1024</v>
      </c>
      <c r="J316" s="7">
        <f t="shared" si="40"/>
        <v>6102</v>
      </c>
      <c r="K316" s="52">
        <v>500</v>
      </c>
      <c r="L316" s="52"/>
      <c r="M316" s="25">
        <f t="shared" si="29"/>
        <v>898</v>
      </c>
      <c r="N316" s="25">
        <f t="shared" si="30"/>
        <v>0</v>
      </c>
      <c r="O316" s="52"/>
      <c r="P316" s="52"/>
      <c r="Q316" s="56">
        <v>43922</v>
      </c>
      <c r="R316" s="53">
        <v>44287</v>
      </c>
      <c r="S316" s="52">
        <f>2906+2906</f>
        <v>5812</v>
      </c>
      <c r="T316" s="53">
        <v>44652</v>
      </c>
      <c r="U316" s="52">
        <f>3051+3051</f>
        <v>6102</v>
      </c>
    </row>
    <row r="317" spans="1:21">
      <c r="A317" s="14" t="s">
        <v>604</v>
      </c>
      <c r="B317" s="13" t="s">
        <v>691</v>
      </c>
      <c r="C317" s="13" t="s">
        <v>1024</v>
      </c>
      <c r="D317" s="14">
        <v>32.425</v>
      </c>
      <c r="E317" s="14">
        <v>6102</v>
      </c>
      <c r="F317" s="14">
        <v>500</v>
      </c>
      <c r="H317" s="52">
        <v>5046</v>
      </c>
      <c r="I317" s="55" t="s">
        <v>689</v>
      </c>
      <c r="J317" s="7">
        <v>7000</v>
      </c>
      <c r="K317" s="52">
        <v>500</v>
      </c>
      <c r="L317" s="52"/>
      <c r="M317" s="25">
        <f t="shared" si="29"/>
        <v>-898</v>
      </c>
      <c r="N317" s="25">
        <f t="shared" si="30"/>
        <v>0</v>
      </c>
      <c r="O317" s="52"/>
      <c r="P317" s="52"/>
      <c r="Q317" s="56">
        <v>44621</v>
      </c>
      <c r="R317" s="53"/>
      <c r="S317" s="52"/>
      <c r="T317" s="52"/>
      <c r="U317" s="52"/>
    </row>
    <row r="318" spans="1:21">
      <c r="A318" s="14" t="s">
        <v>604</v>
      </c>
      <c r="B318" s="13"/>
      <c r="C318" s="13"/>
      <c r="D318" s="14"/>
      <c r="E318" s="14"/>
      <c r="F318" s="14"/>
      <c r="H318" s="52">
        <v>5047</v>
      </c>
      <c r="I318" s="55" t="s">
        <v>689</v>
      </c>
      <c r="K318" s="52"/>
      <c r="L318" s="52"/>
      <c r="M318" s="25"/>
      <c r="N318" s="25"/>
      <c r="O318" s="52"/>
      <c r="P318" s="52"/>
      <c r="Q318" s="56"/>
      <c r="R318" s="52"/>
      <c r="S318" s="52"/>
      <c r="T318" s="52"/>
      <c r="U318" s="52"/>
    </row>
    <row r="319" spans="1:21">
      <c r="A319" s="14"/>
      <c r="B319" s="13"/>
      <c r="C319" s="13"/>
      <c r="D319" s="14">
        <f>SUM(D4:D318)</f>
        <v>7000.40000000002</v>
      </c>
      <c r="E319" s="14">
        <f>SUM(E5:E318)</f>
        <v>1199500</v>
      </c>
      <c r="F319" s="14">
        <f>SUM(F5:F318)</f>
        <v>78510</v>
      </c>
      <c r="H319" s="65"/>
      <c r="I319" s="66"/>
      <c r="K319" s="67"/>
      <c r="L319" s="67"/>
      <c r="M319" s="25"/>
      <c r="N319" s="25"/>
      <c r="O319" s="67"/>
      <c r="P319" s="67"/>
      <c r="Q319" s="68"/>
      <c r="R319" s="67"/>
      <c r="S319" s="67"/>
      <c r="T319" s="67"/>
      <c r="U319" s="67"/>
    </row>
    <row r="320" spans="1:21">
      <c r="H320" s="4"/>
      <c r="I320" s="66"/>
      <c r="K320" s="67"/>
      <c r="L320" s="67"/>
      <c r="M320" s="67"/>
      <c r="N320" s="67"/>
      <c r="O320" s="67"/>
      <c r="P320" s="67"/>
      <c r="Q320" s="36"/>
      <c r="R320" s="67"/>
      <c r="S320" s="67"/>
      <c r="T320" s="67"/>
      <c r="U320" s="67"/>
    </row>
    <row r="321" spans="1:21">
      <c r="A321" s="69" t="s">
        <v>1040</v>
      </c>
      <c r="B321" s="13">
        <f>ROUND(563.05*1000,0)</f>
        <v>563050</v>
      </c>
      <c r="C321" s="13">
        <f>ROUND(579.5*1000,0)</f>
        <v>579500</v>
      </c>
      <c r="D321" s="14">
        <f>C321-B321</f>
        <v>16450</v>
      </c>
      <c r="E321" s="14"/>
      <c r="F321" s="69"/>
      <c r="H321" s="4"/>
      <c r="I321" s="66"/>
      <c r="K321" s="67"/>
      <c r="L321" s="67"/>
      <c r="M321" s="67"/>
      <c r="N321" s="67"/>
      <c r="O321" s="67"/>
      <c r="P321" s="67"/>
      <c r="Q321" s="36"/>
      <c r="R321" s="67"/>
      <c r="S321" s="67"/>
      <c r="T321" s="67"/>
      <c r="U321" s="67"/>
    </row>
    <row r="322" spans="1:21">
      <c r="A322" s="69"/>
      <c r="B322" s="13">
        <f>ROUND(D321*0.1,0)</f>
        <v>1645</v>
      </c>
      <c r="C322" s="13" t="s">
        <v>1041</v>
      </c>
      <c r="D322" s="14">
        <f>D324*0.1</f>
        <v>67.6</v>
      </c>
      <c r="E322" s="14"/>
      <c r="F322" s="69"/>
      <c r="H322" s="70"/>
      <c r="I322" s="66"/>
      <c r="K322" s="67"/>
      <c r="L322" s="67"/>
      <c r="M322" s="67"/>
      <c r="N322" s="67"/>
      <c r="O322" s="67"/>
      <c r="P322" s="67"/>
      <c r="Q322" s="68"/>
      <c r="R322" s="67"/>
      <c r="S322" s="67"/>
      <c r="T322" s="67"/>
      <c r="U322" s="67"/>
    </row>
    <row r="323" spans="1:21">
      <c r="A323" s="69"/>
      <c r="B323" s="13" t="e">
        <f>D321+B322-Q312-H314-H315</f>
        <v>#VALUE!</v>
      </c>
      <c r="C323" s="13"/>
      <c r="D323" s="14"/>
      <c r="E323" s="14"/>
      <c r="F323" s="14"/>
      <c r="H323" s="70"/>
      <c r="I323" s="66"/>
      <c r="K323" s="67"/>
      <c r="L323" s="67"/>
      <c r="M323" s="67"/>
      <c r="N323" s="67"/>
      <c r="O323" s="67"/>
      <c r="P323" s="67"/>
      <c r="Q323" s="68"/>
      <c r="R323" s="67"/>
      <c r="S323" s="67"/>
      <c r="T323" s="67"/>
      <c r="U323" s="67"/>
    </row>
    <row r="324" spans="1:21">
      <c r="A324" s="69"/>
      <c r="B324" s="13">
        <v>86219</v>
      </c>
      <c r="C324" s="13">
        <v>86895</v>
      </c>
      <c r="D324" s="14">
        <f>C324-B324</f>
        <v>676</v>
      </c>
      <c r="E324" s="14"/>
      <c r="F324" s="14"/>
      <c r="H324" s="70"/>
      <c r="I324" s="66"/>
      <c r="K324" s="67"/>
      <c r="L324" s="67"/>
      <c r="M324" s="67"/>
      <c r="N324" s="67"/>
      <c r="O324" s="67"/>
      <c r="P324" s="67"/>
      <c r="Q324" s="68"/>
      <c r="R324" s="67"/>
      <c r="S324" s="67"/>
      <c r="T324" s="67"/>
      <c r="U324" s="67"/>
    </row>
    <row r="325" spans="1:21">
      <c r="A325" s="69"/>
      <c r="B325" s="13">
        <f>D324*1.1</f>
        <v>743.6</v>
      </c>
      <c r="C325" s="13" t="s">
        <v>24</v>
      </c>
      <c r="D325" s="14"/>
      <c r="E325" s="14"/>
      <c r="F325" s="14"/>
      <c r="I325" s="5"/>
    </row>
    <row r="326" spans="1:21">
      <c r="A326" s="69"/>
      <c r="B326" s="13"/>
      <c r="C326" s="13"/>
      <c r="D326" s="14"/>
      <c r="E326" s="14"/>
      <c r="F326" s="14"/>
      <c r="I326" s="5"/>
    </row>
    <row r="327" spans="1:21">
      <c r="A327" s="69"/>
      <c r="B327" s="13"/>
      <c r="C327" s="13"/>
      <c r="D327" s="14"/>
      <c r="E327" s="14"/>
      <c r="F327" s="14"/>
      <c r="I327" s="5"/>
    </row>
    <row r="328" spans="1:21">
      <c r="A328" s="69"/>
      <c r="B328" s="13"/>
      <c r="C328" s="13"/>
      <c r="D328" s="14"/>
      <c r="E328" s="14"/>
      <c r="F328" s="14"/>
      <c r="I328" s="5"/>
    </row>
    <row r="329" spans="1:21">
      <c r="A329" s="69"/>
      <c r="B329" s="13"/>
      <c r="C329" s="13"/>
      <c r="D329" s="14"/>
      <c r="E329" s="14"/>
      <c r="F329" s="14"/>
      <c r="H329" s="4"/>
      <c r="I329" s="5"/>
    </row>
    <row r="330" spans="1:21">
      <c r="I330" s="5"/>
    </row>
    <row r="331" spans="1:21">
      <c r="C331" s="2" t="s">
        <v>1042</v>
      </c>
      <c r="I331" s="5"/>
    </row>
    <row r="332" spans="1:21">
      <c r="C332" s="2" t="s">
        <v>1043</v>
      </c>
      <c r="I332" s="5"/>
    </row>
    <row r="333" spans="1:21">
      <c r="C333" s="2" t="s">
        <v>1044</v>
      </c>
      <c r="I333" s="5"/>
    </row>
    <row r="334" spans="1:21">
      <c r="C334" s="71"/>
      <c r="I334" s="5"/>
    </row>
    <row r="335" spans="1:21">
      <c r="C335" s="72" t="s">
        <v>1045</v>
      </c>
      <c r="H335" s="5" t="s">
        <v>1044</v>
      </c>
      <c r="I335" s="5"/>
    </row>
    <row r="336" spans="1:21">
      <c r="C336" s="72"/>
      <c r="I336" s="5"/>
    </row>
    <row r="337" spans="1:9">
      <c r="C337" s="73"/>
      <c r="H337" s="5" t="s">
        <v>1043</v>
      </c>
      <c r="I337" s="5"/>
    </row>
    <row r="338" spans="1:9">
      <c r="C338" s="74"/>
      <c r="I338" s="5"/>
    </row>
    <row r="339" spans="1:9">
      <c r="A339" s="75"/>
      <c r="B339" s="75"/>
      <c r="C339" s="75"/>
      <c r="D339" s="76"/>
      <c r="H339" s="5" t="s">
        <v>1046</v>
      </c>
      <c r="I339" s="5"/>
    </row>
    <row r="340" spans="1:9">
      <c r="C340" s="74"/>
      <c r="I340" s="5"/>
    </row>
    <row r="341" spans="1:9">
      <c r="C341" s="74"/>
      <c r="I341" s="5"/>
    </row>
    <row r="342" spans="1:9">
      <c r="A342" s="4"/>
      <c r="B342" s="4"/>
      <c r="C342" s="4"/>
      <c r="I342" s="5"/>
    </row>
    <row r="343" spans="1:9">
      <c r="I343" s="5"/>
    </row>
    <row r="344" spans="1:9">
      <c r="I344" s="5"/>
    </row>
    <row r="345" spans="1:9">
      <c r="I345" s="5"/>
    </row>
    <row r="346" spans="1:9">
      <c r="I346" s="5"/>
    </row>
    <row r="347" spans="1:9">
      <c r="I347" s="5"/>
    </row>
    <row r="348" spans="1:9">
      <c r="I348" s="5"/>
    </row>
    <row r="349" spans="1:9">
      <c r="C349" s="77" t="s">
        <v>1047</v>
      </c>
      <c r="I349" s="5"/>
    </row>
    <row r="350" spans="1:9">
      <c r="C350" s="2" t="s">
        <v>1048</v>
      </c>
      <c r="I350" s="5"/>
    </row>
    <row r="351" spans="1:9">
      <c r="A351" s="13"/>
      <c r="B351" s="13"/>
      <c r="C351" s="78" t="s">
        <v>1043</v>
      </c>
      <c r="I351" s="5"/>
    </row>
    <row r="352" spans="1:9">
      <c r="C352" s="78" t="s">
        <v>1049</v>
      </c>
      <c r="I352" s="5"/>
    </row>
    <row r="353" spans="2:9">
      <c r="I353" s="5"/>
    </row>
    <row r="354" spans="2:9">
      <c r="I354" s="5"/>
    </row>
    <row r="355" spans="2:9">
      <c r="I355" s="5"/>
    </row>
    <row r="356" spans="2:9">
      <c r="I356" s="5"/>
    </row>
    <row r="357" spans="2:9">
      <c r="I357" s="5"/>
    </row>
    <row r="358" spans="2:9">
      <c r="I358" s="5"/>
    </row>
    <row r="359" spans="2:9">
      <c r="I359" s="5"/>
    </row>
    <row r="360" spans="2:9">
      <c r="I360" s="5"/>
    </row>
    <row r="361" spans="2:9">
      <c r="I361" s="5"/>
    </row>
    <row r="362" spans="2:9">
      <c r="I362" s="5"/>
    </row>
    <row r="363" spans="2:9">
      <c r="I363" s="5"/>
    </row>
    <row r="364" spans="2:9">
      <c r="I364" s="5"/>
    </row>
    <row r="365" spans="2:9">
      <c r="I365" s="5"/>
    </row>
    <row r="366" spans="2:9">
      <c r="I366" s="5"/>
    </row>
    <row r="367" spans="2:9">
      <c r="B367" s="2">
        <v>1009</v>
      </c>
      <c r="C367" s="2" t="s">
        <v>1050</v>
      </c>
      <c r="I367" s="5"/>
    </row>
    <row r="368" spans="2:9">
      <c r="B368" s="2">
        <v>5039</v>
      </c>
      <c r="C368" s="2" t="s">
        <v>1051</v>
      </c>
      <c r="I368" s="5"/>
    </row>
    <row r="369" spans="2:9">
      <c r="B369" s="2" t="s">
        <v>1052</v>
      </c>
      <c r="I369" s="5"/>
    </row>
    <row r="370" spans="2:9">
      <c r="B370" s="2" t="s">
        <v>1053</v>
      </c>
      <c r="I370" s="5"/>
    </row>
    <row r="371" spans="2:9">
      <c r="I371" s="5"/>
    </row>
    <row r="372" spans="2:9">
      <c r="I372" s="5"/>
    </row>
    <row r="373" spans="2:9">
      <c r="I373" s="5"/>
    </row>
    <row r="374" spans="2:9">
      <c r="I374" s="5"/>
    </row>
    <row r="375" spans="2:9">
      <c r="I375" s="5"/>
    </row>
    <row r="376" spans="2:9">
      <c r="I376" s="5"/>
    </row>
    <row r="377" spans="2:9">
      <c r="I377" s="5"/>
    </row>
    <row r="378" spans="2:9">
      <c r="I378" s="5"/>
    </row>
    <row r="379" spans="2:9">
      <c r="I379" s="5"/>
    </row>
    <row r="380" spans="2:9">
      <c r="I380" s="5"/>
    </row>
    <row r="381" spans="2:9">
      <c r="I381" s="5"/>
    </row>
    <row r="382" spans="2:9">
      <c r="I382" s="5"/>
    </row>
    <row r="383" spans="2:9">
      <c r="I383" s="5"/>
    </row>
    <row r="384" spans="2:9">
      <c r="I384" s="5"/>
    </row>
    <row r="385" spans="9:9">
      <c r="I385" s="5"/>
    </row>
    <row r="386" spans="9:9">
      <c r="I386" s="5"/>
    </row>
    <row r="387" spans="9:9">
      <c r="I387" s="5"/>
    </row>
    <row r="388" spans="9:9">
      <c r="I388" s="5"/>
    </row>
    <row r="389" spans="9:9">
      <c r="I389" s="5"/>
    </row>
    <row r="390" spans="9:9">
      <c r="I390" s="5"/>
    </row>
    <row r="391" spans="9:9">
      <c r="I391" s="5"/>
    </row>
    <row r="392" spans="9:9">
      <c r="I392" s="5"/>
    </row>
    <row r="393" spans="9:9">
      <c r="I393" s="5"/>
    </row>
    <row r="394" spans="9:9">
      <c r="I394" s="5"/>
    </row>
    <row r="395" spans="9:9">
      <c r="I395" s="5"/>
    </row>
    <row r="396" spans="9:9">
      <c r="I396" s="5"/>
    </row>
    <row r="397" spans="9:9">
      <c r="I397" s="5"/>
    </row>
    <row r="398" spans="9:9">
      <c r="I398" s="5"/>
    </row>
    <row r="399" spans="9:9">
      <c r="I399" s="5"/>
    </row>
    <row r="400" spans="9:9">
      <c r="I400" s="5"/>
    </row>
    <row r="401" spans="9:9">
      <c r="I401" s="5"/>
    </row>
    <row r="402" spans="9:9">
      <c r="I402" s="5"/>
    </row>
    <row r="403" spans="9:9">
      <c r="I403" s="5"/>
    </row>
    <row r="404" spans="9:9">
      <c r="I404" s="5"/>
    </row>
    <row r="405" spans="9:9">
      <c r="I405" s="5"/>
    </row>
    <row r="406" spans="9:9">
      <c r="I406" s="5"/>
    </row>
    <row r="407" spans="9:9">
      <c r="I407" s="5"/>
    </row>
    <row r="408" spans="9:9">
      <c r="I408" s="5"/>
    </row>
    <row r="409" spans="9:9">
      <c r="I409" s="5"/>
    </row>
    <row r="410" spans="9:9">
      <c r="I410" s="5"/>
    </row>
    <row r="411" spans="9:9">
      <c r="I411" s="5"/>
    </row>
    <row r="412" spans="9:9">
      <c r="I412" s="5"/>
    </row>
    <row r="413" spans="9:9">
      <c r="I413" s="5"/>
    </row>
    <row r="414" spans="9:9">
      <c r="I414" s="5"/>
    </row>
    <row r="415" spans="9:9">
      <c r="I415" s="5"/>
    </row>
    <row r="416" spans="9:9">
      <c r="I416" s="5"/>
    </row>
    <row r="417" spans="9:9">
      <c r="I417" s="5"/>
    </row>
    <row r="418" spans="9:9">
      <c r="I418" s="5"/>
    </row>
    <row r="419" spans="9:9">
      <c r="I419" s="5"/>
    </row>
    <row r="420" spans="9:9">
      <c r="I420" s="5"/>
    </row>
    <row r="421" spans="9:9">
      <c r="I421" s="5"/>
    </row>
    <row r="422" spans="9:9">
      <c r="I422" s="5"/>
    </row>
    <row r="423" spans="9:9">
      <c r="I423" s="5"/>
    </row>
    <row r="424" spans="9:9">
      <c r="I424" s="5"/>
    </row>
    <row r="425" spans="9:9">
      <c r="I425" s="5"/>
    </row>
    <row r="426" spans="9:9">
      <c r="I426" s="5"/>
    </row>
    <row r="427" spans="9:9">
      <c r="I427" s="5"/>
    </row>
    <row r="428" spans="9:9">
      <c r="I428" s="5"/>
    </row>
    <row r="429" spans="9:9">
      <c r="I429" s="5"/>
    </row>
    <row r="430" spans="9:9">
      <c r="I430" s="5"/>
    </row>
    <row r="431" spans="9:9">
      <c r="I431" s="5"/>
    </row>
    <row r="432" spans="9:9">
      <c r="I432" s="5"/>
    </row>
    <row r="433" spans="9:9">
      <c r="I433" s="5"/>
    </row>
    <row r="434" spans="9:9">
      <c r="I434" s="5"/>
    </row>
    <row r="435" spans="9:9">
      <c r="I435" s="5"/>
    </row>
    <row r="436" spans="9:9">
      <c r="I436" s="5"/>
    </row>
    <row r="437" spans="9:9">
      <c r="I437" s="5"/>
    </row>
    <row r="438" spans="9:9">
      <c r="I438" s="5"/>
    </row>
    <row r="439" spans="9:9">
      <c r="I439" s="5"/>
    </row>
    <row r="440" spans="9:9">
      <c r="I440" s="5"/>
    </row>
    <row r="441" spans="9:9">
      <c r="I441" s="5"/>
    </row>
    <row r="442" spans="9:9">
      <c r="I442" s="5"/>
    </row>
    <row r="443" spans="9:9">
      <c r="I443" s="5"/>
    </row>
    <row r="444" spans="9:9">
      <c r="I444" s="5"/>
    </row>
    <row r="445" spans="9:9">
      <c r="I445" s="5"/>
    </row>
    <row r="446" spans="9:9">
      <c r="I446" s="5"/>
    </row>
    <row r="447" spans="9:9">
      <c r="I447" s="5"/>
    </row>
    <row r="448" spans="9:9">
      <c r="I448" s="5"/>
    </row>
    <row r="449" spans="9:9">
      <c r="I449" s="5"/>
    </row>
    <row r="450" spans="9:9">
      <c r="I450" s="5"/>
    </row>
    <row r="451" spans="9:9">
      <c r="I451" s="5"/>
    </row>
    <row r="452" spans="9:9">
      <c r="I452" s="5"/>
    </row>
    <row r="453" spans="9:9">
      <c r="I453" s="5"/>
    </row>
    <row r="454" spans="9:9">
      <c r="I454" s="5"/>
    </row>
    <row r="455" spans="9:9">
      <c r="I455" s="5"/>
    </row>
    <row r="456" spans="9:9">
      <c r="I456" s="5"/>
    </row>
    <row r="457" spans="9:9">
      <c r="I457" s="5"/>
    </row>
    <row r="458" spans="9:9">
      <c r="I458" s="5"/>
    </row>
    <row r="459" spans="9:9">
      <c r="I459" s="5"/>
    </row>
    <row r="460" spans="9:9">
      <c r="I460" s="5"/>
    </row>
    <row r="461" spans="9:9">
      <c r="I461" s="5"/>
    </row>
    <row r="462" spans="9:9">
      <c r="I462" s="5"/>
    </row>
    <row r="463" spans="9:9">
      <c r="I463" s="5"/>
    </row>
    <row r="464" spans="9:9">
      <c r="I464" s="5"/>
    </row>
    <row r="465" spans="9:9">
      <c r="I465" s="5"/>
    </row>
    <row r="466" spans="9:9">
      <c r="I466" s="5"/>
    </row>
    <row r="467" spans="9:9">
      <c r="I467" s="5"/>
    </row>
    <row r="468" spans="9:9">
      <c r="I468" s="5"/>
    </row>
    <row r="469" spans="9:9">
      <c r="I469" s="5"/>
    </row>
    <row r="470" spans="9:9">
      <c r="I470" s="5"/>
    </row>
    <row r="471" spans="9:9">
      <c r="I471" s="5"/>
    </row>
    <row r="472" spans="9:9">
      <c r="I472" s="5"/>
    </row>
    <row r="473" spans="9:9">
      <c r="I473" s="5"/>
    </row>
    <row r="474" spans="9:9">
      <c r="I474" s="5"/>
    </row>
    <row r="475" spans="9:9">
      <c r="I475" s="5"/>
    </row>
    <row r="476" spans="9:9">
      <c r="I476" s="5"/>
    </row>
    <row r="477" spans="9:9">
      <c r="I477" s="5"/>
    </row>
    <row r="478" spans="9:9">
      <c r="I478" s="5"/>
    </row>
    <row r="479" spans="9:9">
      <c r="I479" s="5"/>
    </row>
    <row r="480" spans="9:9">
      <c r="I480" s="5"/>
    </row>
    <row r="481" spans="9:9">
      <c r="I481" s="5"/>
    </row>
    <row r="482" spans="9:9">
      <c r="I482" s="5"/>
    </row>
    <row r="483" spans="9:9">
      <c r="I483" s="5"/>
    </row>
    <row r="484" spans="9:9">
      <c r="I484" s="5"/>
    </row>
    <row r="485" spans="9:9">
      <c r="I485" s="5"/>
    </row>
    <row r="486" spans="9:9">
      <c r="I486" s="5"/>
    </row>
    <row r="487" spans="9:9">
      <c r="I487" s="5"/>
    </row>
    <row r="488" spans="9:9">
      <c r="I488" s="5"/>
    </row>
    <row r="489" spans="9:9">
      <c r="I489" s="5"/>
    </row>
    <row r="490" spans="9:9">
      <c r="I490" s="5"/>
    </row>
    <row r="491" spans="9:9">
      <c r="I491" s="5"/>
    </row>
    <row r="492" spans="9:9">
      <c r="I492" s="5"/>
    </row>
    <row r="493" spans="9:9">
      <c r="I493" s="5"/>
    </row>
    <row r="494" spans="9:9">
      <c r="I494" s="5"/>
    </row>
    <row r="495" spans="9:9">
      <c r="I495" s="5"/>
    </row>
    <row r="496" spans="9:9">
      <c r="I496" s="5"/>
    </row>
    <row r="497" spans="9:9">
      <c r="I497" s="5"/>
    </row>
    <row r="498" spans="9:9">
      <c r="I498" s="5"/>
    </row>
    <row r="499" spans="9:9">
      <c r="I499" s="5"/>
    </row>
    <row r="500" spans="9:9">
      <c r="I500" s="5"/>
    </row>
    <row r="501" spans="9:9">
      <c r="I501" s="5"/>
    </row>
    <row r="502" spans="9:9">
      <c r="I502" s="5"/>
    </row>
    <row r="503" spans="9:9">
      <c r="I503" s="5"/>
    </row>
    <row r="504" spans="9:9">
      <c r="I504" s="5"/>
    </row>
    <row r="505" spans="9:9">
      <c r="I505" s="5"/>
    </row>
    <row r="506" spans="9:9">
      <c r="I506" s="5"/>
    </row>
    <row r="507" spans="9:9">
      <c r="I507" s="5"/>
    </row>
    <row r="508" spans="9:9">
      <c r="I508" s="5"/>
    </row>
    <row r="509" spans="9:9">
      <c r="I509" s="5"/>
    </row>
    <row r="510" spans="9:9">
      <c r="I510" s="5"/>
    </row>
    <row r="511" spans="9:9">
      <c r="I511" s="5"/>
    </row>
    <row r="512" spans="9:9">
      <c r="I512" s="5"/>
    </row>
    <row r="513" spans="9:9">
      <c r="I513" s="5"/>
    </row>
    <row r="514" spans="9:9">
      <c r="I514" s="5"/>
    </row>
    <row r="515" spans="9:9">
      <c r="I515" s="5"/>
    </row>
    <row r="516" spans="9:9">
      <c r="I516" s="5"/>
    </row>
    <row r="517" spans="9:9">
      <c r="I517" s="5"/>
    </row>
    <row r="518" spans="9:9">
      <c r="I518" s="5"/>
    </row>
    <row r="519" spans="9:9">
      <c r="I519" s="5"/>
    </row>
    <row r="520" spans="9:9">
      <c r="I520" s="5"/>
    </row>
    <row r="521" spans="9:9">
      <c r="I521" s="5"/>
    </row>
    <row r="522" spans="9:9">
      <c r="I522" s="5"/>
    </row>
    <row r="523" spans="9:9">
      <c r="I523" s="5"/>
    </row>
    <row r="524" spans="9:9">
      <c r="I524" s="5"/>
    </row>
    <row r="525" spans="9:9">
      <c r="I525" s="5"/>
    </row>
    <row r="526" spans="9:9">
      <c r="I526" s="5"/>
    </row>
    <row r="527" spans="9:9">
      <c r="I527" s="5"/>
    </row>
    <row r="528" spans="9:9">
      <c r="I528" s="5"/>
    </row>
    <row r="529" spans="9:9">
      <c r="I529" s="5"/>
    </row>
    <row r="530" spans="9:9">
      <c r="I530" s="5"/>
    </row>
    <row r="531" spans="9:9">
      <c r="I531" s="5"/>
    </row>
    <row r="532" spans="9:9">
      <c r="I532" s="5"/>
    </row>
    <row r="533" spans="9:9">
      <c r="I533" s="5"/>
    </row>
    <row r="534" spans="9:9">
      <c r="I534" s="5"/>
    </row>
    <row r="535" spans="9:9">
      <c r="I535" s="5"/>
    </row>
    <row r="536" spans="9:9">
      <c r="I536" s="5"/>
    </row>
    <row r="537" spans="9:9">
      <c r="I537" s="5"/>
    </row>
    <row r="538" spans="9:9">
      <c r="I538" s="5"/>
    </row>
    <row r="539" spans="9:9">
      <c r="I539" s="5"/>
    </row>
    <row r="540" spans="9:9">
      <c r="I540" s="5"/>
    </row>
    <row r="541" spans="9:9">
      <c r="I541" s="5"/>
    </row>
    <row r="542" spans="9:9">
      <c r="I542" s="5"/>
    </row>
    <row r="543" spans="9:9">
      <c r="I543" s="5"/>
    </row>
    <row r="544" spans="9:9">
      <c r="I544" s="5"/>
    </row>
    <row r="545" spans="9:9">
      <c r="I545" s="5"/>
    </row>
    <row r="546" spans="9:9">
      <c r="I546" s="5"/>
    </row>
    <row r="547" spans="9:9">
      <c r="I547" s="5"/>
    </row>
    <row r="548" spans="9:9">
      <c r="I548" s="5"/>
    </row>
    <row r="549" spans="9:9">
      <c r="I549" s="5"/>
    </row>
    <row r="550" spans="9:9">
      <c r="I550" s="5"/>
    </row>
    <row r="551" spans="9:9">
      <c r="I551" s="5"/>
    </row>
    <row r="552" spans="9:9">
      <c r="I552" s="5"/>
    </row>
    <row r="553" spans="9:9">
      <c r="I553" s="5"/>
    </row>
    <row r="554" spans="9:9">
      <c r="I554" s="5"/>
    </row>
    <row r="555" spans="9:9">
      <c r="I555" s="5"/>
    </row>
    <row r="556" spans="9:9">
      <c r="I556" s="5"/>
    </row>
    <row r="557" spans="9:9">
      <c r="I557" s="5"/>
    </row>
    <row r="558" spans="9:9">
      <c r="I558" s="5"/>
    </row>
    <row r="559" spans="9:9">
      <c r="I559" s="5"/>
    </row>
    <row r="560" spans="9:9">
      <c r="I560" s="5"/>
    </row>
    <row r="561" spans="9:9">
      <c r="I561" s="5"/>
    </row>
    <row r="562" spans="9:9">
      <c r="I562" s="5"/>
    </row>
    <row r="563" spans="9:9">
      <c r="I563" s="5"/>
    </row>
    <row r="564" spans="9:9">
      <c r="I564" s="5"/>
    </row>
    <row r="565" spans="9:9">
      <c r="I565" s="5"/>
    </row>
    <row r="566" spans="9:9">
      <c r="I566" s="5"/>
    </row>
    <row r="567" spans="9:9">
      <c r="I567" s="5"/>
    </row>
    <row r="568" spans="9:9">
      <c r="I568" s="5"/>
    </row>
    <row r="569" spans="9:9">
      <c r="I569" s="5"/>
    </row>
    <row r="570" spans="9:9">
      <c r="I570" s="5"/>
    </row>
    <row r="571" spans="9:9">
      <c r="I571" s="5"/>
    </row>
    <row r="572" spans="9:9">
      <c r="I572" s="5"/>
    </row>
    <row r="573" spans="9:9">
      <c r="I573" s="5"/>
    </row>
    <row r="574" spans="9:9">
      <c r="I574" s="5"/>
    </row>
    <row r="575" spans="9:9">
      <c r="I575" s="5"/>
    </row>
    <row r="576" spans="9:9">
      <c r="I576" s="5"/>
    </row>
    <row r="577" spans="9:9">
      <c r="I577" s="5"/>
    </row>
    <row r="578" spans="9:9">
      <c r="I578" s="5"/>
    </row>
    <row r="579" spans="9:9">
      <c r="I579" s="5"/>
    </row>
    <row r="580" spans="9:9">
      <c r="I580" s="5"/>
    </row>
    <row r="581" spans="9:9">
      <c r="I581" s="5"/>
    </row>
    <row r="582" spans="9:9">
      <c r="I582" s="5"/>
    </row>
    <row r="583" spans="9:9">
      <c r="I583" s="5"/>
    </row>
    <row r="584" spans="9:9">
      <c r="I584" s="5"/>
    </row>
    <row r="585" spans="9:9">
      <c r="I585" s="5"/>
    </row>
    <row r="586" spans="9:9">
      <c r="I586" s="5"/>
    </row>
    <row r="587" spans="9:9">
      <c r="I587" s="5"/>
    </row>
    <row r="588" spans="9:9">
      <c r="I588" s="5"/>
    </row>
    <row r="589" spans="9:9">
      <c r="I589" s="5"/>
    </row>
    <row r="590" spans="9:9">
      <c r="I590" s="5"/>
    </row>
    <row r="591" spans="9:9">
      <c r="I591" s="5"/>
    </row>
    <row r="592" spans="9:9">
      <c r="I592" s="5"/>
    </row>
    <row r="593" spans="9:9">
      <c r="I593" s="5"/>
    </row>
    <row r="594" spans="9:9">
      <c r="I594" s="5"/>
    </row>
    <row r="595" spans="9:9">
      <c r="I595" s="5"/>
    </row>
    <row r="596" spans="9:9">
      <c r="I596" s="5"/>
    </row>
    <row r="597" spans="9:9">
      <c r="I597" s="5"/>
    </row>
    <row r="598" spans="9:9">
      <c r="I598" s="5"/>
    </row>
    <row r="599" spans="9:9">
      <c r="I599" s="5"/>
    </row>
    <row r="600" spans="9:9">
      <c r="I600" s="5"/>
    </row>
    <row r="601" spans="9:9">
      <c r="I601" s="5"/>
    </row>
    <row r="602" spans="9:9">
      <c r="I602" s="5"/>
    </row>
    <row r="603" spans="9:9">
      <c r="I603" s="5"/>
    </row>
    <row r="604" spans="9:9">
      <c r="I604" s="5"/>
    </row>
    <row r="605" spans="9:9">
      <c r="I605" s="5"/>
    </row>
    <row r="606" spans="9:9">
      <c r="I606" s="5"/>
    </row>
    <row r="607" spans="9:9">
      <c r="I607" s="5"/>
    </row>
    <row r="608" spans="9:9">
      <c r="I608" s="5"/>
    </row>
    <row r="609" spans="9:9">
      <c r="I609" s="5"/>
    </row>
    <row r="610" spans="9:9">
      <c r="I610" s="5"/>
    </row>
    <row r="611" spans="9:9">
      <c r="I611" s="5"/>
    </row>
    <row r="612" spans="9:9">
      <c r="I612" s="5"/>
    </row>
    <row r="613" spans="9:9">
      <c r="I613" s="5"/>
    </row>
    <row r="614" spans="9:9">
      <c r="I614" s="5"/>
    </row>
    <row r="615" spans="9:9">
      <c r="I615" s="5"/>
    </row>
    <row r="616" spans="9:9">
      <c r="I616" s="5"/>
    </row>
    <row r="617" spans="9:9">
      <c r="I617" s="5"/>
    </row>
    <row r="618" spans="9:9">
      <c r="I618" s="5"/>
    </row>
    <row r="619" spans="9:9">
      <c r="I619" s="5"/>
    </row>
    <row r="620" spans="9:9">
      <c r="I620" s="5"/>
    </row>
    <row r="621" spans="9:9">
      <c r="I621" s="5"/>
    </row>
    <row r="622" spans="9:9">
      <c r="I622" s="5"/>
    </row>
    <row r="623" spans="9:9">
      <c r="I623" s="5"/>
    </row>
    <row r="624" spans="9:9">
      <c r="I624" s="5"/>
    </row>
    <row r="625" spans="9:9">
      <c r="I625" s="5"/>
    </row>
    <row r="626" spans="9:9">
      <c r="I626" s="5"/>
    </row>
    <row r="627" spans="9:9">
      <c r="I627" s="5"/>
    </row>
    <row r="628" spans="9:9">
      <c r="I628" s="5"/>
    </row>
    <row r="629" spans="9:9">
      <c r="I629" s="5"/>
    </row>
    <row r="630" spans="9:9">
      <c r="I630" s="5"/>
    </row>
    <row r="631" spans="9:9">
      <c r="I631" s="5"/>
    </row>
    <row r="632" spans="9:9">
      <c r="I632" s="5"/>
    </row>
    <row r="633" spans="9:9">
      <c r="I633" s="5"/>
    </row>
    <row r="634" spans="9:9">
      <c r="I634" s="5"/>
    </row>
    <row r="635" spans="9:9">
      <c r="I635" s="5"/>
    </row>
    <row r="636" spans="9:9">
      <c r="I636" s="5"/>
    </row>
    <row r="637" spans="9:9">
      <c r="I637" s="5"/>
    </row>
    <row r="638" spans="9:9">
      <c r="I638" s="5"/>
    </row>
    <row r="639" spans="9:9">
      <c r="I639" s="5"/>
    </row>
    <row r="640" spans="9:9">
      <c r="I640" s="5"/>
    </row>
    <row r="641" spans="9:9">
      <c r="I641" s="5"/>
    </row>
    <row r="642" spans="9:9">
      <c r="I642" s="5"/>
    </row>
    <row r="643" spans="9:9">
      <c r="I643" s="5"/>
    </row>
    <row r="644" spans="9:9">
      <c r="I644" s="5"/>
    </row>
    <row r="645" spans="9:9">
      <c r="I645" s="5"/>
    </row>
    <row r="646" spans="9:9">
      <c r="I646" s="5"/>
    </row>
    <row r="647" spans="9:9">
      <c r="I647" s="5"/>
    </row>
    <row r="648" spans="9:9">
      <c r="I648" s="5"/>
    </row>
    <row r="649" spans="9:9">
      <c r="I649" s="5"/>
    </row>
    <row r="650" spans="9:9">
      <c r="I650" s="5"/>
    </row>
    <row r="651" spans="9:9">
      <c r="I651" s="5"/>
    </row>
    <row r="652" spans="9:9">
      <c r="I652" s="5"/>
    </row>
    <row r="653" spans="9:9">
      <c r="I653" s="5"/>
    </row>
    <row r="654" spans="9:9">
      <c r="I654" s="5"/>
    </row>
    <row r="655" spans="9:9">
      <c r="I655" s="5"/>
    </row>
    <row r="656" spans="9:9">
      <c r="I656" s="5"/>
    </row>
    <row r="657" spans="9:9">
      <c r="I657" s="5"/>
    </row>
    <row r="658" spans="9:9">
      <c r="I658" s="5"/>
    </row>
    <row r="659" spans="9:9">
      <c r="I659" s="5"/>
    </row>
    <row r="660" spans="9:9">
      <c r="I660" s="5"/>
    </row>
    <row r="661" spans="9:9">
      <c r="I661" s="5"/>
    </row>
    <row r="662" spans="9:9">
      <c r="I662" s="5"/>
    </row>
    <row r="663" spans="9:9">
      <c r="I663" s="5"/>
    </row>
    <row r="664" spans="9:9">
      <c r="I664" s="5"/>
    </row>
    <row r="665" spans="9:9">
      <c r="I665" s="5"/>
    </row>
    <row r="666" spans="9:9">
      <c r="I666" s="5"/>
    </row>
    <row r="667" spans="9:9">
      <c r="I667" s="5"/>
    </row>
    <row r="668" spans="9:9">
      <c r="I668" s="5"/>
    </row>
    <row r="669" spans="9:9">
      <c r="I669" s="5"/>
    </row>
    <row r="670" spans="9:9">
      <c r="I670" s="5"/>
    </row>
    <row r="671" spans="9:9">
      <c r="I671" s="5"/>
    </row>
    <row r="672" spans="9:9">
      <c r="I672" s="5"/>
    </row>
    <row r="673" spans="9:9">
      <c r="I673" s="5"/>
    </row>
    <row r="674" spans="9:9">
      <c r="I674" s="5"/>
    </row>
    <row r="675" spans="9:9">
      <c r="I675" s="5"/>
    </row>
    <row r="676" spans="9:9">
      <c r="I676" s="5"/>
    </row>
    <row r="677" spans="9:9">
      <c r="I677" s="5"/>
    </row>
    <row r="678" spans="9:9">
      <c r="I678" s="5"/>
    </row>
    <row r="679" spans="9:9">
      <c r="I679" s="5"/>
    </row>
    <row r="680" spans="9:9">
      <c r="I680" s="5"/>
    </row>
    <row r="681" spans="9:9">
      <c r="I681" s="5"/>
    </row>
    <row r="682" spans="9:9">
      <c r="I682" s="5"/>
    </row>
    <row r="683" spans="9:9">
      <c r="I683" s="5"/>
    </row>
    <row r="684" spans="9:9">
      <c r="I684" s="5"/>
    </row>
    <row r="685" spans="9:9">
      <c r="I685" s="5"/>
    </row>
    <row r="686" spans="9:9">
      <c r="I686" s="5"/>
    </row>
    <row r="687" spans="9:9">
      <c r="I687" s="5"/>
    </row>
    <row r="688" spans="9:9">
      <c r="I688" s="5"/>
    </row>
    <row r="689" spans="9:9">
      <c r="I689" s="5"/>
    </row>
    <row r="690" spans="9:9">
      <c r="I690" s="5"/>
    </row>
    <row r="691" spans="9:9">
      <c r="I691" s="5"/>
    </row>
    <row r="692" spans="9:9">
      <c r="I692" s="5"/>
    </row>
    <row r="693" spans="9:9">
      <c r="I693" s="5"/>
    </row>
    <row r="694" spans="9:9">
      <c r="I694" s="5"/>
    </row>
    <row r="695" spans="9:9">
      <c r="I695" s="5"/>
    </row>
    <row r="696" spans="9:9">
      <c r="I696" s="5"/>
    </row>
    <row r="697" spans="9:9">
      <c r="I697" s="5"/>
    </row>
    <row r="698" spans="9:9">
      <c r="I698" s="5"/>
    </row>
    <row r="699" spans="9:9">
      <c r="I699" s="5"/>
    </row>
    <row r="700" spans="9:9">
      <c r="I700" s="5"/>
    </row>
    <row r="701" spans="9:9">
      <c r="I701" s="5"/>
    </row>
    <row r="702" spans="9:9">
      <c r="I702" s="5"/>
    </row>
    <row r="703" spans="9:9">
      <c r="I703" s="5"/>
    </row>
    <row r="704" spans="9:9">
      <c r="I704" s="5"/>
    </row>
    <row r="705" spans="9:9">
      <c r="I705" s="5"/>
    </row>
    <row r="706" spans="9:9">
      <c r="I706" s="5"/>
    </row>
    <row r="707" spans="9:9">
      <c r="I707" s="5"/>
    </row>
    <row r="708" spans="9:9">
      <c r="I708" s="5"/>
    </row>
    <row r="709" spans="9:9">
      <c r="I709" s="5"/>
    </row>
    <row r="710" spans="9:9">
      <c r="I710" s="5"/>
    </row>
    <row r="711" spans="9:9">
      <c r="I711" s="5"/>
    </row>
    <row r="712" spans="9:9">
      <c r="I712" s="5"/>
    </row>
    <row r="713" spans="9:9">
      <c r="I713" s="5"/>
    </row>
    <row r="714" spans="9:9">
      <c r="I714" s="5"/>
    </row>
    <row r="715" spans="9:9">
      <c r="I715" s="5"/>
    </row>
    <row r="716" spans="9:9">
      <c r="I716" s="5"/>
    </row>
    <row r="717" spans="9:9">
      <c r="I717" s="5"/>
    </row>
    <row r="718" spans="9:9">
      <c r="I718" s="5"/>
    </row>
    <row r="719" spans="9:9">
      <c r="I719" s="5"/>
    </row>
    <row r="720" spans="9:9">
      <c r="I720" s="5"/>
    </row>
    <row r="721" spans="9:9">
      <c r="I721" s="5"/>
    </row>
    <row r="722" spans="9:9">
      <c r="I722" s="5"/>
    </row>
    <row r="723" spans="9:9">
      <c r="I723" s="5"/>
    </row>
    <row r="724" spans="9:9">
      <c r="I724" s="5"/>
    </row>
    <row r="725" spans="9:9">
      <c r="I725" s="5"/>
    </row>
    <row r="726" spans="9:9">
      <c r="I726" s="5"/>
    </row>
    <row r="727" spans="9:9">
      <c r="I727" s="5"/>
    </row>
    <row r="728" spans="9:9">
      <c r="I728" s="5"/>
    </row>
    <row r="729" spans="9:9">
      <c r="I729" s="5"/>
    </row>
    <row r="730" spans="9:9">
      <c r="I730" s="5"/>
    </row>
    <row r="731" spans="9:9">
      <c r="I731" s="5"/>
    </row>
    <row r="732" spans="9:9">
      <c r="I732" s="5"/>
    </row>
    <row r="733" spans="9:9">
      <c r="I733" s="5"/>
    </row>
    <row r="734" spans="9:9">
      <c r="I734" s="5"/>
    </row>
    <row r="735" spans="9:9">
      <c r="I735" s="5"/>
    </row>
    <row r="736" spans="9:9">
      <c r="I736" s="5"/>
    </row>
    <row r="737" spans="9:9">
      <c r="I737" s="5"/>
    </row>
    <row r="738" spans="9:9">
      <c r="I738" s="5"/>
    </row>
    <row r="739" spans="9:9">
      <c r="I739" s="5"/>
    </row>
    <row r="740" spans="9:9">
      <c r="I740" s="5"/>
    </row>
    <row r="741" spans="9:9">
      <c r="I741" s="5"/>
    </row>
    <row r="742" spans="9:9">
      <c r="I742" s="5"/>
    </row>
    <row r="743" spans="9:9">
      <c r="I743" s="5"/>
    </row>
    <row r="744" spans="9:9">
      <c r="I744" s="5"/>
    </row>
    <row r="745" spans="9:9">
      <c r="I745" s="5"/>
    </row>
    <row r="746" spans="9:9">
      <c r="I746" s="5"/>
    </row>
    <row r="747" spans="9:9">
      <c r="I747" s="5"/>
    </row>
    <row r="748" spans="9:9">
      <c r="I748" s="5"/>
    </row>
    <row r="749" spans="9:9">
      <c r="I749" s="5"/>
    </row>
    <row r="750" spans="9:9">
      <c r="I750" s="5"/>
    </row>
    <row r="751" spans="9:9">
      <c r="I751" s="5"/>
    </row>
    <row r="752" spans="9:9">
      <c r="I752" s="5"/>
    </row>
    <row r="753" spans="9:9">
      <c r="I753" s="5"/>
    </row>
    <row r="754" spans="9:9">
      <c r="I754" s="5"/>
    </row>
    <row r="755" spans="9:9">
      <c r="I755" s="5"/>
    </row>
    <row r="756" spans="9:9">
      <c r="I756" s="5"/>
    </row>
    <row r="757" spans="9:9">
      <c r="I757" s="5"/>
    </row>
    <row r="758" spans="9:9">
      <c r="I758" s="5"/>
    </row>
    <row r="759" spans="9:9">
      <c r="I759" s="5"/>
    </row>
    <row r="760" spans="9:9">
      <c r="I760" s="5"/>
    </row>
    <row r="761" spans="9:9">
      <c r="I761" s="5"/>
    </row>
    <row r="762" spans="9:9">
      <c r="I762" s="5"/>
    </row>
    <row r="763" spans="9:9">
      <c r="I763" s="5"/>
    </row>
    <row r="764" spans="9:9">
      <c r="I764" s="5"/>
    </row>
    <row r="765" spans="9:9">
      <c r="I765" s="5"/>
    </row>
    <row r="766" spans="9:9">
      <c r="I766" s="5"/>
    </row>
    <row r="767" spans="9:9">
      <c r="I767" s="5"/>
    </row>
    <row r="768" spans="9:9">
      <c r="I768" s="5"/>
    </row>
    <row r="769" spans="9:9">
      <c r="I769" s="5"/>
    </row>
    <row r="770" spans="9:9">
      <c r="I770" s="5"/>
    </row>
    <row r="771" spans="9:9">
      <c r="I771" s="5"/>
    </row>
    <row r="772" spans="9:9">
      <c r="I772" s="5"/>
    </row>
    <row r="773" spans="9:9">
      <c r="I773" s="5"/>
    </row>
    <row r="774" spans="9:9">
      <c r="I774" s="5"/>
    </row>
    <row r="775" spans="9:9">
      <c r="I775" s="5"/>
    </row>
    <row r="776" spans="9:9">
      <c r="I776" s="5"/>
    </row>
    <row r="777" spans="9:9">
      <c r="I777" s="5"/>
    </row>
    <row r="778" spans="9:9">
      <c r="I778" s="5"/>
    </row>
    <row r="779" spans="9:9">
      <c r="I779" s="5"/>
    </row>
    <row r="780" spans="9:9">
      <c r="I780" s="5"/>
    </row>
    <row r="781" spans="9:9">
      <c r="I781" s="5"/>
    </row>
    <row r="782" spans="9:9">
      <c r="I782" s="5"/>
    </row>
    <row r="783" spans="9:9">
      <c r="I783" s="5"/>
    </row>
    <row r="784" spans="9:9">
      <c r="I784" s="5"/>
    </row>
    <row r="785" spans="9:9">
      <c r="I785" s="5"/>
    </row>
    <row r="786" spans="9:9">
      <c r="I786" s="5"/>
    </row>
    <row r="787" spans="9:9">
      <c r="I787" s="5"/>
    </row>
    <row r="788" spans="9:9">
      <c r="I788" s="5"/>
    </row>
    <row r="789" spans="9:9">
      <c r="I789" s="5"/>
    </row>
    <row r="790" spans="9:9">
      <c r="I790" s="5"/>
    </row>
    <row r="791" spans="9:9">
      <c r="I791" s="5"/>
    </row>
    <row r="792" spans="9:9">
      <c r="I792" s="5"/>
    </row>
    <row r="793" spans="9:9">
      <c r="I793" s="5"/>
    </row>
    <row r="794" spans="9:9">
      <c r="I794" s="5"/>
    </row>
    <row r="795" spans="9:9">
      <c r="I795" s="5"/>
    </row>
    <row r="796" spans="9:9">
      <c r="I796" s="5"/>
    </row>
    <row r="797" spans="9:9">
      <c r="I797" s="5"/>
    </row>
    <row r="798" spans="9:9">
      <c r="I798" s="5"/>
    </row>
    <row r="799" spans="9:9">
      <c r="I799" s="5"/>
    </row>
    <row r="800" spans="9:9">
      <c r="I800" s="5"/>
    </row>
    <row r="801" spans="9:9">
      <c r="I801" s="5"/>
    </row>
    <row r="802" spans="9:9">
      <c r="I802" s="5"/>
    </row>
    <row r="803" spans="9:9">
      <c r="I803" s="5"/>
    </row>
    <row r="804" spans="9:9">
      <c r="I804" s="5"/>
    </row>
    <row r="805" spans="9:9">
      <c r="I805" s="5"/>
    </row>
    <row r="806" spans="9:9">
      <c r="I806" s="5"/>
    </row>
    <row r="807" spans="9:9">
      <c r="I807" s="5"/>
    </row>
    <row r="808" spans="9:9">
      <c r="I808" s="5"/>
    </row>
    <row r="809" spans="9:9">
      <c r="I809" s="5"/>
    </row>
    <row r="810" spans="9:9">
      <c r="I810" s="5"/>
    </row>
    <row r="811" spans="9:9">
      <c r="I811" s="5"/>
    </row>
    <row r="812" spans="9:9">
      <c r="I812" s="5"/>
    </row>
    <row r="813" spans="9:9">
      <c r="I813" s="5"/>
    </row>
    <row r="814" spans="9:9">
      <c r="I814" s="5"/>
    </row>
    <row r="815" spans="9:9">
      <c r="I815" s="5"/>
    </row>
    <row r="816" spans="9:9">
      <c r="I816" s="5"/>
    </row>
    <row r="817" spans="9:9">
      <c r="I817" s="5"/>
    </row>
    <row r="818" spans="9:9">
      <c r="I818" s="5"/>
    </row>
    <row r="819" spans="9:9">
      <c r="I819" s="5"/>
    </row>
    <row r="820" spans="9:9">
      <c r="I820" s="5"/>
    </row>
    <row r="821" spans="9:9">
      <c r="I821" s="5"/>
    </row>
    <row r="822" spans="9:9">
      <c r="I822" s="5"/>
    </row>
    <row r="823" spans="9:9">
      <c r="I823" s="5"/>
    </row>
    <row r="824" spans="9:9">
      <c r="I824" s="5"/>
    </row>
    <row r="825" spans="9:9">
      <c r="I825" s="5"/>
    </row>
    <row r="826" spans="9:9">
      <c r="I826" s="5"/>
    </row>
    <row r="827" spans="9:9">
      <c r="I827" s="5"/>
    </row>
    <row r="828" spans="9:9">
      <c r="I828" s="5"/>
    </row>
    <row r="829" spans="9:9">
      <c r="I829" s="5"/>
    </row>
    <row r="830" spans="9:9">
      <c r="I830" s="5"/>
    </row>
    <row r="831" spans="9:9">
      <c r="I831" s="5"/>
    </row>
    <row r="832" spans="9:9">
      <c r="I832" s="5"/>
    </row>
    <row r="833" spans="9:9">
      <c r="I833" s="5"/>
    </row>
    <row r="834" spans="9:9">
      <c r="I834" s="5"/>
    </row>
    <row r="835" spans="9:9">
      <c r="I835" s="5"/>
    </row>
    <row r="836" spans="9:9">
      <c r="I836" s="5"/>
    </row>
    <row r="837" spans="9:9">
      <c r="I837" s="5"/>
    </row>
    <row r="838" spans="9:9">
      <c r="I838" s="5"/>
    </row>
    <row r="839" spans="9:9">
      <c r="I839" s="5"/>
    </row>
    <row r="840" spans="9:9">
      <c r="I840" s="5"/>
    </row>
    <row r="841" spans="9:9">
      <c r="I841" s="5"/>
    </row>
    <row r="842" spans="9:9">
      <c r="I842" s="5"/>
    </row>
    <row r="843" spans="9:9">
      <c r="I843" s="5"/>
    </row>
    <row r="844" spans="9:9">
      <c r="I844" s="5"/>
    </row>
    <row r="845" spans="9:9">
      <c r="I845" s="5"/>
    </row>
    <row r="846" spans="9:9">
      <c r="I846" s="5"/>
    </row>
    <row r="847" spans="9:9">
      <c r="I847" s="5"/>
    </row>
    <row r="848" spans="9:9">
      <c r="I848" s="5"/>
    </row>
    <row r="849" spans="9:9">
      <c r="I849" s="5"/>
    </row>
    <row r="850" spans="9:9">
      <c r="I850" s="5"/>
    </row>
    <row r="851" spans="9:9">
      <c r="I851" s="5"/>
    </row>
    <row r="852" spans="9:9">
      <c r="I852" s="5"/>
    </row>
    <row r="853" spans="9:9">
      <c r="I853" s="5"/>
    </row>
    <row r="854" spans="9:9">
      <c r="I854" s="5"/>
    </row>
    <row r="855" spans="9:9">
      <c r="I855" s="5"/>
    </row>
    <row r="856" spans="9:9">
      <c r="I856" s="5"/>
    </row>
    <row r="857" spans="9:9">
      <c r="I857" s="5"/>
    </row>
    <row r="858" spans="9:9">
      <c r="I858" s="5"/>
    </row>
    <row r="859" spans="9:9">
      <c r="I859" s="5"/>
    </row>
    <row r="860" spans="9:9">
      <c r="I860" s="5"/>
    </row>
    <row r="861" spans="9:9">
      <c r="I861" s="5"/>
    </row>
    <row r="862" spans="9:9">
      <c r="I862" s="5"/>
    </row>
    <row r="863" spans="9:9">
      <c r="I863" s="5"/>
    </row>
    <row r="864" spans="9:9">
      <c r="I864" s="5"/>
    </row>
    <row r="865" spans="9:9">
      <c r="I865" s="5"/>
    </row>
    <row r="866" spans="9:9">
      <c r="I866" s="5"/>
    </row>
    <row r="867" spans="9:9">
      <c r="I867" s="5"/>
    </row>
    <row r="868" spans="9:9">
      <c r="I868" s="5"/>
    </row>
    <row r="869" spans="9:9">
      <c r="I869" s="5"/>
    </row>
    <row r="870" spans="9:9">
      <c r="I870" s="5"/>
    </row>
    <row r="871" spans="9:9">
      <c r="I871" s="5"/>
    </row>
    <row r="872" spans="9:9">
      <c r="I872" s="5"/>
    </row>
    <row r="873" spans="9:9">
      <c r="I873" s="5"/>
    </row>
    <row r="874" spans="9:9">
      <c r="I874" s="5"/>
    </row>
    <row r="875" spans="9:9">
      <c r="I875" s="5"/>
    </row>
    <row r="876" spans="9:9">
      <c r="I876" s="5"/>
    </row>
    <row r="877" spans="9:9">
      <c r="I877" s="5"/>
    </row>
    <row r="878" spans="9:9">
      <c r="I878" s="5"/>
    </row>
    <row r="879" spans="9:9">
      <c r="I879" s="5"/>
    </row>
    <row r="880" spans="9:9">
      <c r="I880" s="5"/>
    </row>
    <row r="881" spans="9:9">
      <c r="I881" s="5"/>
    </row>
    <row r="882" spans="9:9">
      <c r="I882" s="5"/>
    </row>
    <row r="883" spans="9:9">
      <c r="I883" s="5"/>
    </row>
    <row r="884" spans="9:9">
      <c r="I884" s="5"/>
    </row>
    <row r="885" spans="9:9">
      <c r="I885" s="5"/>
    </row>
    <row r="886" spans="9:9">
      <c r="I886" s="5"/>
    </row>
    <row r="887" spans="9:9">
      <c r="I887" s="5"/>
    </row>
    <row r="888" spans="9:9">
      <c r="I888" s="5"/>
    </row>
    <row r="889" spans="9:9">
      <c r="I889" s="5"/>
    </row>
    <row r="890" spans="9:9">
      <c r="I890" s="5"/>
    </row>
    <row r="891" spans="9:9">
      <c r="I891" s="5"/>
    </row>
    <row r="892" spans="9:9">
      <c r="I892" s="5"/>
    </row>
    <row r="893" spans="9:9">
      <c r="I893" s="5"/>
    </row>
    <row r="894" spans="9:9">
      <c r="I894" s="5"/>
    </row>
    <row r="895" spans="9:9">
      <c r="I895" s="5"/>
    </row>
    <row r="896" spans="9:9">
      <c r="I896" s="5"/>
    </row>
    <row r="897" spans="9:9">
      <c r="I897" s="5"/>
    </row>
    <row r="898" spans="9:9">
      <c r="I898" s="5"/>
    </row>
    <row r="899" spans="9:9">
      <c r="I899" s="5"/>
    </row>
    <row r="900" spans="9:9">
      <c r="I900" s="5"/>
    </row>
    <row r="901" spans="9:9">
      <c r="I901" s="5"/>
    </row>
    <row r="902" spans="9:9">
      <c r="I902" s="5"/>
    </row>
    <row r="903" spans="9:9">
      <c r="I903" s="5"/>
    </row>
    <row r="904" spans="9:9">
      <c r="I904" s="5"/>
    </row>
    <row r="905" spans="9:9">
      <c r="I905" s="5"/>
    </row>
    <row r="906" spans="9:9">
      <c r="I906" s="5"/>
    </row>
    <row r="907" spans="9:9">
      <c r="I907" s="5"/>
    </row>
    <row r="908" spans="9:9">
      <c r="I908" s="5"/>
    </row>
    <row r="909" spans="9:9">
      <c r="I909" s="5"/>
    </row>
    <row r="910" spans="9:9">
      <c r="I910" s="5"/>
    </row>
    <row r="911" spans="9:9">
      <c r="I911" s="5"/>
    </row>
    <row r="912" spans="9:9">
      <c r="I912" s="5"/>
    </row>
    <row r="913" spans="9:9">
      <c r="I913" s="5"/>
    </row>
    <row r="914" spans="9:9">
      <c r="I914" s="5"/>
    </row>
    <row r="915" spans="9:9">
      <c r="I915" s="5"/>
    </row>
    <row r="916" spans="9:9">
      <c r="I916" s="5"/>
    </row>
    <row r="917" spans="9:9">
      <c r="I917" s="5"/>
    </row>
    <row r="918" spans="9:9">
      <c r="I918" s="5"/>
    </row>
    <row r="919" spans="9:9">
      <c r="I919" s="5"/>
    </row>
    <row r="920" spans="9:9">
      <c r="I920" s="5"/>
    </row>
    <row r="921" spans="9:9">
      <c r="I921" s="5"/>
    </row>
    <row r="922" spans="9:9">
      <c r="I922" s="5"/>
    </row>
    <row r="923" spans="9:9">
      <c r="I923" s="5"/>
    </row>
    <row r="924" spans="9:9">
      <c r="I924" s="5"/>
    </row>
    <row r="925" spans="9:9">
      <c r="I925" s="5"/>
    </row>
    <row r="926" spans="9:9">
      <c r="I926" s="5"/>
    </row>
    <row r="927" spans="9:9">
      <c r="I927" s="5"/>
    </row>
    <row r="928" spans="9:9">
      <c r="I928" s="5"/>
    </row>
    <row r="929" spans="9:9">
      <c r="I929" s="5"/>
    </row>
    <row r="930" spans="9:9">
      <c r="I930" s="5"/>
    </row>
    <row r="931" spans="9:9">
      <c r="I931" s="5"/>
    </row>
    <row r="932" spans="9:9">
      <c r="I932" s="5"/>
    </row>
    <row r="933" spans="9:9">
      <c r="I933" s="5"/>
    </row>
    <row r="934" spans="9:9">
      <c r="I934" s="5"/>
    </row>
    <row r="935" spans="9:9">
      <c r="I935" s="5"/>
    </row>
    <row r="936" spans="9:9">
      <c r="I936" s="5"/>
    </row>
    <row r="937" spans="9:9">
      <c r="I937" s="5"/>
    </row>
    <row r="938" spans="9:9">
      <c r="I938" s="5"/>
    </row>
    <row r="939" spans="9:9">
      <c r="I939" s="5"/>
    </row>
    <row r="940" spans="9:9">
      <c r="I940" s="5"/>
    </row>
    <row r="941" spans="9:9">
      <c r="I941" s="5"/>
    </row>
    <row r="942" spans="9:9">
      <c r="I942" s="5"/>
    </row>
    <row r="943" spans="9:9">
      <c r="I943" s="5"/>
    </row>
    <row r="944" spans="9:9">
      <c r="I944" s="5"/>
    </row>
    <row r="945" spans="9:9">
      <c r="I945" s="5"/>
    </row>
    <row r="946" spans="9:9">
      <c r="I946" s="5"/>
    </row>
    <row r="947" spans="9:9">
      <c r="I947" s="5"/>
    </row>
    <row r="948" spans="9:9">
      <c r="I948" s="5"/>
    </row>
    <row r="949" spans="9:9">
      <c r="I949" s="5"/>
    </row>
    <row r="950" spans="9:9">
      <c r="I950" s="5"/>
    </row>
    <row r="951" spans="9:9">
      <c r="I951" s="5"/>
    </row>
    <row r="952" spans="9:9">
      <c r="I952" s="5"/>
    </row>
    <row r="953" spans="9:9">
      <c r="I953" s="5"/>
    </row>
    <row r="954" spans="9:9">
      <c r="I954" s="5"/>
    </row>
    <row r="955" spans="9:9">
      <c r="I955" s="5"/>
    </row>
    <row r="956" spans="9:9">
      <c r="I956" s="5"/>
    </row>
    <row r="957" spans="9:9">
      <c r="I957" s="5"/>
    </row>
    <row r="958" spans="9:9">
      <c r="I958" s="5"/>
    </row>
    <row r="959" spans="9:9">
      <c r="I959" s="5"/>
    </row>
    <row r="960" spans="9:9">
      <c r="I960" s="5"/>
    </row>
    <row r="961" spans="9:9">
      <c r="I961" s="5"/>
    </row>
    <row r="962" spans="9:9">
      <c r="I962" s="5"/>
    </row>
    <row r="963" spans="9:9">
      <c r="I963" s="5"/>
    </row>
    <row r="964" spans="9:9">
      <c r="I964" s="5"/>
    </row>
    <row r="965" spans="9:9">
      <c r="I965" s="5"/>
    </row>
    <row r="966" spans="9:9">
      <c r="I966" s="5"/>
    </row>
    <row r="967" spans="9:9">
      <c r="I967" s="5"/>
    </row>
    <row r="968" spans="9:9">
      <c r="I968" s="5"/>
    </row>
    <row r="969" spans="9:9">
      <c r="I969" s="5"/>
    </row>
    <row r="970" spans="9:9">
      <c r="I970" s="5"/>
    </row>
    <row r="971" spans="9:9">
      <c r="I971" s="5"/>
    </row>
    <row r="972" spans="9:9">
      <c r="I972" s="5"/>
    </row>
    <row r="973" spans="9:9">
      <c r="I973" s="5"/>
    </row>
    <row r="974" spans="9:9">
      <c r="I974" s="5"/>
    </row>
    <row r="975" spans="9:9">
      <c r="I975" s="5"/>
    </row>
    <row r="976" spans="9:9">
      <c r="I976" s="5"/>
    </row>
    <row r="977" spans="9:9">
      <c r="I977" s="5"/>
    </row>
    <row r="978" spans="9:9">
      <c r="I978" s="5"/>
    </row>
    <row r="979" spans="9:9">
      <c r="I979" s="5"/>
    </row>
    <row r="980" spans="9:9">
      <c r="I980" s="5"/>
    </row>
    <row r="981" spans="9:9">
      <c r="I981" s="5"/>
    </row>
    <row r="982" spans="9:9">
      <c r="I982" s="5"/>
    </row>
    <row r="983" spans="9:9">
      <c r="I983" s="5"/>
    </row>
    <row r="984" spans="9:9">
      <c r="I984" s="5"/>
    </row>
    <row r="985" spans="9:9">
      <c r="I985" s="5"/>
    </row>
    <row r="986" spans="9:9">
      <c r="I986" s="5"/>
    </row>
    <row r="987" spans="9:9">
      <c r="I987" s="5"/>
    </row>
    <row r="988" spans="9:9">
      <c r="I988" s="5"/>
    </row>
    <row r="989" spans="9:9">
      <c r="I989" s="5"/>
    </row>
    <row r="990" spans="9:9">
      <c r="I990" s="5"/>
    </row>
    <row r="991" spans="9:9">
      <c r="I991" s="5"/>
    </row>
    <row r="992" spans="9:9">
      <c r="I992" s="5"/>
    </row>
    <row r="993" spans="9:9">
      <c r="I993" s="5"/>
    </row>
    <row r="994" spans="9:9">
      <c r="I994" s="5"/>
    </row>
    <row r="995" spans="9:9">
      <c r="I995" s="5"/>
    </row>
    <row r="996" spans="9:9">
      <c r="I996" s="5"/>
    </row>
    <row r="997" spans="9:9">
      <c r="I997" s="5"/>
    </row>
    <row r="998" spans="9:9">
      <c r="I998" s="5"/>
    </row>
    <row r="999" spans="9:9">
      <c r="I999" s="5"/>
    </row>
    <row r="1000" spans="9:9">
      <c r="I1000" s="5"/>
    </row>
    <row r="1001" spans="9:9">
      <c r="I1001" s="5"/>
    </row>
    <row r="1002" spans="9:9">
      <c r="I1002" s="5"/>
    </row>
    <row r="1003" spans="9:9">
      <c r="I1003" s="5"/>
    </row>
    <row r="1004" spans="9:9">
      <c r="I1004" s="5"/>
    </row>
    <row r="1005" spans="9:9">
      <c r="I1005" s="5"/>
    </row>
    <row r="1006" spans="9:9">
      <c r="I1006" s="5"/>
    </row>
    <row r="1007" spans="9:9">
      <c r="I1007" s="5"/>
    </row>
    <row r="1008" spans="9:9">
      <c r="I1008" s="5"/>
    </row>
    <row r="1009" spans="9:9">
      <c r="I1009" s="5"/>
    </row>
    <row r="1010" spans="9:9">
      <c r="I1010" s="5"/>
    </row>
    <row r="1011" spans="9:9">
      <c r="I1011" s="5"/>
    </row>
    <row r="1012" spans="9:9">
      <c r="I1012" s="5"/>
    </row>
    <row r="1013" spans="9:9">
      <c r="I1013" s="5"/>
    </row>
    <row r="1014" spans="9:9">
      <c r="I1014" s="5"/>
    </row>
    <row r="1015" spans="9:9">
      <c r="I1015" s="5"/>
    </row>
    <row r="1016" spans="9:9">
      <c r="I1016" s="5"/>
    </row>
    <row r="1017" spans="9:9">
      <c r="I1017" s="5"/>
    </row>
    <row r="1018" spans="9:9">
      <c r="I1018" s="5"/>
    </row>
    <row r="1019" spans="9:9">
      <c r="I1019" s="5"/>
    </row>
    <row r="1020" spans="9:9">
      <c r="I1020" s="5"/>
    </row>
    <row r="1021" spans="9:9">
      <c r="I1021" s="5"/>
    </row>
    <row r="1022" spans="9:9">
      <c r="I1022" s="5"/>
    </row>
    <row r="1023" spans="9:9">
      <c r="I1023" s="5"/>
    </row>
    <row r="1024" spans="9:9">
      <c r="I1024" s="5"/>
    </row>
    <row r="1025" spans="9:9">
      <c r="I1025" s="5"/>
    </row>
    <row r="1026" spans="9:9">
      <c r="I1026" s="5"/>
    </row>
    <row r="1027" spans="9:9">
      <c r="I1027" s="5"/>
    </row>
    <row r="1028" spans="9:9">
      <c r="I1028" s="5"/>
    </row>
    <row r="1029" spans="9:9">
      <c r="I1029" s="5"/>
    </row>
    <row r="1030" spans="9:9">
      <c r="I1030" s="5"/>
    </row>
    <row r="1031" spans="9:9">
      <c r="I1031" s="5"/>
    </row>
    <row r="1032" spans="9:9">
      <c r="I1032" s="5"/>
    </row>
    <row r="1033" spans="9:9">
      <c r="I1033" s="5"/>
    </row>
    <row r="1034" spans="9:9">
      <c r="I1034" s="5"/>
    </row>
    <row r="1035" spans="9:9">
      <c r="I1035" s="5"/>
    </row>
    <row r="1036" spans="9:9">
      <c r="I1036" s="5"/>
    </row>
    <row r="1037" spans="9:9">
      <c r="I1037" s="5"/>
    </row>
    <row r="1038" spans="9:9">
      <c r="I1038" s="5"/>
    </row>
    <row r="1039" spans="9:9">
      <c r="I1039" s="5"/>
    </row>
    <row r="1040" spans="9:9">
      <c r="I1040" s="5"/>
    </row>
    <row r="1041" spans="9:9">
      <c r="I1041" s="5"/>
    </row>
    <row r="1042" spans="9:9">
      <c r="I1042" s="5"/>
    </row>
    <row r="1043" spans="9:9">
      <c r="I1043" s="5"/>
    </row>
    <row r="1044" spans="9:9">
      <c r="I1044" s="5"/>
    </row>
    <row r="1045" spans="9:9">
      <c r="I1045" s="5"/>
    </row>
    <row r="1046" spans="9:9">
      <c r="I1046" s="5"/>
    </row>
    <row r="1047" spans="9:9">
      <c r="I1047" s="5"/>
    </row>
    <row r="1048" spans="9:9">
      <c r="I1048" s="5"/>
    </row>
    <row r="1049" spans="9:9">
      <c r="I1049" s="5"/>
    </row>
    <row r="1050" spans="9:9">
      <c r="I1050" s="5"/>
    </row>
    <row r="1051" spans="9:9">
      <c r="I1051" s="5"/>
    </row>
    <row r="1052" spans="9:9">
      <c r="I1052" s="5"/>
    </row>
    <row r="1053" spans="9:9">
      <c r="I1053" s="5"/>
    </row>
    <row r="1054" spans="9:9">
      <c r="I1054" s="5"/>
    </row>
    <row r="1055" spans="9:9">
      <c r="I1055" s="5"/>
    </row>
    <row r="1056" spans="9:9">
      <c r="I1056" s="5"/>
    </row>
    <row r="1057" spans="9:9">
      <c r="I1057" s="5"/>
    </row>
    <row r="1058" spans="9:9">
      <c r="I1058" s="5"/>
    </row>
    <row r="1059" spans="9:9">
      <c r="I1059" s="5"/>
    </row>
    <row r="1060" spans="9:9">
      <c r="I1060" s="5"/>
    </row>
    <row r="1061" spans="9:9">
      <c r="I1061" s="5"/>
    </row>
    <row r="1062" spans="9:9">
      <c r="I1062" s="5"/>
    </row>
    <row r="1063" spans="9:9">
      <c r="I1063" s="5"/>
    </row>
    <row r="1064" spans="9:9">
      <c r="I1064" s="5"/>
    </row>
    <row r="1065" spans="9:9">
      <c r="I1065" s="5"/>
    </row>
    <row r="1066" spans="9:9">
      <c r="I1066" s="5"/>
    </row>
    <row r="1067" spans="9:9">
      <c r="I1067" s="5"/>
    </row>
    <row r="1068" spans="9:9">
      <c r="I1068" s="5"/>
    </row>
    <row r="1069" spans="9:9">
      <c r="I1069" s="5"/>
    </row>
    <row r="1070" spans="9:9">
      <c r="I1070" s="5"/>
    </row>
    <row r="1071" spans="9:9">
      <c r="I1071" s="5"/>
    </row>
    <row r="1072" spans="9:9">
      <c r="I1072" s="5"/>
    </row>
    <row r="1073" spans="9:9">
      <c r="I1073" s="5"/>
    </row>
    <row r="1074" spans="9:9">
      <c r="I1074" s="5"/>
    </row>
    <row r="1075" spans="9:9">
      <c r="I1075" s="5"/>
    </row>
    <row r="1076" spans="9:9">
      <c r="I1076" s="5"/>
    </row>
    <row r="1077" spans="9:9">
      <c r="I1077" s="5"/>
    </row>
    <row r="1078" spans="9:9">
      <c r="I1078" s="5"/>
    </row>
    <row r="1079" spans="9:9">
      <c r="I1079" s="5"/>
    </row>
    <row r="1080" spans="9:9">
      <c r="I1080" s="5"/>
    </row>
    <row r="1081" spans="9:9">
      <c r="I1081" s="5"/>
    </row>
    <row r="1082" spans="9:9">
      <c r="I1082" s="5"/>
    </row>
    <row r="1083" spans="9:9">
      <c r="I1083" s="5"/>
    </row>
    <row r="1084" spans="9:9">
      <c r="I1084" s="5"/>
    </row>
    <row r="1085" spans="9:9">
      <c r="I1085" s="5"/>
    </row>
    <row r="1086" spans="9:9">
      <c r="I1086" s="5"/>
    </row>
    <row r="1087" spans="9:9">
      <c r="I1087" s="5"/>
    </row>
    <row r="1088" spans="9:9">
      <c r="I1088" s="5"/>
    </row>
    <row r="1089" spans="9:9">
      <c r="I1089" s="5"/>
    </row>
    <row r="1090" spans="9:9">
      <c r="I1090" s="5"/>
    </row>
    <row r="1091" spans="9:9">
      <c r="I1091" s="5"/>
    </row>
    <row r="1092" spans="9:9">
      <c r="I1092" s="5"/>
    </row>
    <row r="1093" spans="9:9">
      <c r="I1093" s="5"/>
    </row>
    <row r="1094" spans="9:9">
      <c r="I1094" s="5"/>
    </row>
    <row r="1095" spans="9:9">
      <c r="I1095" s="5"/>
    </row>
    <row r="1096" spans="9:9">
      <c r="I1096" s="5"/>
    </row>
    <row r="1097" spans="9:9">
      <c r="I1097" s="5"/>
    </row>
    <row r="1098" spans="9:9">
      <c r="I1098" s="5"/>
    </row>
    <row r="1099" spans="9:9">
      <c r="I1099" s="5"/>
    </row>
    <row r="1100" spans="9:9">
      <c r="I1100" s="5"/>
    </row>
    <row r="1101" spans="9:9">
      <c r="I1101" s="5"/>
    </row>
    <row r="1102" spans="9:9">
      <c r="I1102" s="5"/>
    </row>
    <row r="1103" spans="9:9">
      <c r="I1103" s="5"/>
    </row>
    <row r="1104" spans="9:9">
      <c r="I1104" s="5"/>
    </row>
    <row r="1105" spans="9:9">
      <c r="I1105" s="5"/>
    </row>
    <row r="1106" spans="9:9">
      <c r="I1106" s="5"/>
    </row>
    <row r="1107" spans="9:9">
      <c r="I1107" s="5"/>
    </row>
    <row r="1108" spans="9:9">
      <c r="I1108" s="5"/>
    </row>
    <row r="1109" spans="9:9">
      <c r="I1109" s="5"/>
    </row>
    <row r="1110" spans="9:9">
      <c r="I1110" s="5"/>
    </row>
    <row r="1111" spans="9:9">
      <c r="I1111" s="5"/>
    </row>
    <row r="1112" spans="9:9">
      <c r="I1112" s="5"/>
    </row>
    <row r="1113" spans="9:9">
      <c r="I1113" s="5"/>
    </row>
    <row r="1114" spans="9:9">
      <c r="I1114" s="5"/>
    </row>
    <row r="1115" spans="9:9">
      <c r="I1115" s="5"/>
    </row>
    <row r="1116" spans="9:9">
      <c r="I1116" s="5"/>
    </row>
    <row r="1117" spans="9:9">
      <c r="I1117" s="5"/>
    </row>
    <row r="1118" spans="9:9">
      <c r="I1118" s="5"/>
    </row>
    <row r="1119" spans="9:9">
      <c r="I1119" s="5"/>
    </row>
    <row r="1120" spans="9:9">
      <c r="I1120" s="5"/>
    </row>
    <row r="1121" spans="9:9">
      <c r="I1121" s="5"/>
    </row>
    <row r="1122" spans="9:9">
      <c r="I1122" s="5"/>
    </row>
    <row r="1123" spans="9:9">
      <c r="I1123" s="5"/>
    </row>
    <row r="1124" spans="9:9">
      <c r="I1124" s="5"/>
    </row>
    <row r="1125" spans="9:9">
      <c r="I1125" s="5"/>
    </row>
    <row r="1126" spans="9:9">
      <c r="I1126" s="5"/>
    </row>
    <row r="1127" spans="9:9">
      <c r="I1127" s="5"/>
    </row>
    <row r="1128" spans="9:9">
      <c r="I1128" s="5"/>
    </row>
    <row r="1129" spans="9:9">
      <c r="I1129" s="5"/>
    </row>
    <row r="1130" spans="9:9">
      <c r="I1130" s="5"/>
    </row>
    <row r="1131" spans="9:9">
      <c r="I1131" s="5"/>
    </row>
    <row r="1132" spans="9:9">
      <c r="I1132" s="5"/>
    </row>
    <row r="1133" spans="9:9">
      <c r="I1133" s="5"/>
    </row>
    <row r="1134" spans="9:9">
      <c r="I1134" s="5"/>
    </row>
    <row r="1135" spans="9:9">
      <c r="I1135" s="5"/>
    </row>
    <row r="1136" spans="9:9">
      <c r="I1136" s="5"/>
    </row>
    <row r="1137" spans="9:9">
      <c r="I1137" s="5"/>
    </row>
    <row r="1138" spans="9:9">
      <c r="I1138" s="5"/>
    </row>
    <row r="1139" spans="9:9">
      <c r="I1139" s="5"/>
    </row>
    <row r="1140" spans="9:9">
      <c r="I1140" s="5"/>
    </row>
    <row r="1141" spans="9:9">
      <c r="I1141" s="5"/>
    </row>
    <row r="1142" spans="9:9">
      <c r="I1142" s="5"/>
    </row>
    <row r="1143" spans="9:9">
      <c r="I1143" s="5"/>
    </row>
    <row r="1144" spans="9:9">
      <c r="I1144" s="5"/>
    </row>
    <row r="1145" spans="9:9">
      <c r="I1145" s="5"/>
    </row>
    <row r="1146" spans="9:9">
      <c r="I1146" s="5"/>
    </row>
    <row r="1147" spans="9:9">
      <c r="I1147" s="5"/>
    </row>
    <row r="1148" spans="9:9">
      <c r="I1148" s="5"/>
    </row>
    <row r="1149" spans="9:9">
      <c r="I1149" s="5"/>
    </row>
    <row r="1150" spans="9:9">
      <c r="I1150" s="5"/>
    </row>
    <row r="1151" spans="9:9">
      <c r="I1151" s="5"/>
    </row>
    <row r="1152" spans="9:9">
      <c r="I1152" s="5"/>
    </row>
    <row r="1153" spans="9:9">
      <c r="I1153" s="5"/>
    </row>
    <row r="1154" spans="9:9">
      <c r="I1154" s="5"/>
    </row>
    <row r="1155" spans="9:9">
      <c r="I1155" s="5"/>
    </row>
    <row r="1156" spans="9:9">
      <c r="I1156" s="5"/>
    </row>
    <row r="1157" spans="9:9">
      <c r="I1157" s="5"/>
    </row>
    <row r="1158" spans="9:9">
      <c r="I1158" s="5"/>
    </row>
    <row r="1159" spans="9:9">
      <c r="I1159" s="5"/>
    </row>
    <row r="1160" spans="9:9">
      <c r="I1160" s="5"/>
    </row>
    <row r="1161" spans="9:9">
      <c r="I1161" s="5"/>
    </row>
    <row r="1162" spans="9:9">
      <c r="I1162" s="5"/>
    </row>
    <row r="1163" spans="9:9">
      <c r="I1163" s="5"/>
    </row>
    <row r="1164" spans="9:9">
      <c r="I1164" s="5"/>
    </row>
    <row r="1165" spans="9:9">
      <c r="I1165" s="5"/>
    </row>
    <row r="1166" spans="9:9">
      <c r="I1166" s="5"/>
    </row>
    <row r="1167" spans="9:9">
      <c r="I1167" s="5"/>
    </row>
    <row r="1168" spans="9:9">
      <c r="I1168" s="5"/>
    </row>
    <row r="1169" spans="9:9">
      <c r="I1169" s="5"/>
    </row>
    <row r="1170" spans="9:9">
      <c r="I1170" s="5"/>
    </row>
    <row r="1171" spans="9:9">
      <c r="I1171" s="5"/>
    </row>
    <row r="1172" spans="9:9">
      <c r="I1172" s="5"/>
    </row>
    <row r="1173" spans="9:9">
      <c r="I1173" s="5"/>
    </row>
    <row r="1174" spans="9:9">
      <c r="I1174" s="5"/>
    </row>
    <row r="1175" spans="9:9">
      <c r="I1175" s="5"/>
    </row>
    <row r="1176" spans="9:9">
      <c r="I1176" s="5"/>
    </row>
    <row r="1177" spans="9:9">
      <c r="I1177" s="5"/>
    </row>
    <row r="1178" spans="9:9">
      <c r="I1178" s="5"/>
    </row>
    <row r="1179" spans="9:9">
      <c r="I1179" s="5"/>
    </row>
    <row r="1180" spans="9:9">
      <c r="I1180" s="5"/>
    </row>
    <row r="1181" spans="9:9">
      <c r="I1181" s="5"/>
    </row>
    <row r="1182" spans="9:9">
      <c r="I1182" s="5"/>
    </row>
    <row r="1183" spans="9:9">
      <c r="I1183" s="5"/>
    </row>
    <row r="1184" spans="9:9">
      <c r="I1184" s="5"/>
    </row>
    <row r="1185" spans="9:9">
      <c r="I1185" s="5"/>
    </row>
    <row r="1186" spans="9:9">
      <c r="I1186" s="5"/>
    </row>
    <row r="1187" spans="9:9">
      <c r="I1187" s="5"/>
    </row>
    <row r="1188" spans="9:9">
      <c r="I1188" s="5"/>
    </row>
    <row r="1189" spans="9:9">
      <c r="I1189" s="5"/>
    </row>
    <row r="1190" spans="9:9">
      <c r="I1190" s="5"/>
    </row>
    <row r="1191" spans="9:9">
      <c r="I1191" s="5"/>
    </row>
    <row r="1192" spans="9:9">
      <c r="I1192" s="5"/>
    </row>
    <row r="1193" spans="9:9">
      <c r="I1193" s="5"/>
    </row>
    <row r="1194" spans="9:9">
      <c r="I1194" s="5"/>
    </row>
    <row r="1195" spans="9:9">
      <c r="I1195" s="5"/>
    </row>
    <row r="1196" spans="9:9">
      <c r="I1196" s="5"/>
    </row>
    <row r="1197" spans="9:9">
      <c r="I1197" s="5"/>
    </row>
    <row r="1198" spans="9:9">
      <c r="I1198" s="5"/>
    </row>
    <row r="1199" spans="9:9">
      <c r="I1199" s="5"/>
    </row>
    <row r="1200" spans="9:9">
      <c r="I1200" s="5"/>
    </row>
    <row r="1201" spans="9:9">
      <c r="I1201" s="5"/>
    </row>
    <row r="1202" spans="9:9">
      <c r="I1202" s="5"/>
    </row>
    <row r="1203" spans="9:9">
      <c r="I1203" s="5"/>
    </row>
    <row r="1204" spans="9:9">
      <c r="I1204" s="5"/>
    </row>
    <row r="1205" spans="9:9">
      <c r="I1205" s="5"/>
    </row>
    <row r="1206" spans="9:9">
      <c r="I1206" s="5"/>
    </row>
    <row r="1207" spans="9:9">
      <c r="I1207" s="5"/>
    </row>
    <row r="1208" spans="9:9">
      <c r="I1208" s="5"/>
    </row>
    <row r="1209" spans="9:9">
      <c r="I1209" s="5"/>
    </row>
    <row r="1210" spans="9:9">
      <c r="I1210" s="5"/>
    </row>
    <row r="1211" spans="9:9">
      <c r="I1211" s="5"/>
    </row>
    <row r="1212" spans="9:9">
      <c r="I1212" s="5"/>
    </row>
    <row r="1213" spans="9:9">
      <c r="I1213" s="5"/>
    </row>
    <row r="1214" spans="9:9">
      <c r="I1214" s="5"/>
    </row>
    <row r="1215" spans="9:9">
      <c r="I1215" s="5"/>
    </row>
    <row r="1216" spans="9:9">
      <c r="I1216" s="5"/>
    </row>
    <row r="1217" spans="9:9">
      <c r="I1217" s="5"/>
    </row>
    <row r="1218" spans="9:9">
      <c r="I1218" s="5"/>
    </row>
    <row r="1219" spans="9:9">
      <c r="I1219" s="5"/>
    </row>
    <row r="1220" spans="9:9">
      <c r="I1220" s="5"/>
    </row>
    <row r="1221" spans="9:9">
      <c r="I1221" s="5"/>
    </row>
    <row r="1222" spans="9:9">
      <c r="I1222" s="5"/>
    </row>
    <row r="1223" spans="9:9">
      <c r="I1223" s="5"/>
    </row>
    <row r="1224" spans="9:9">
      <c r="I1224" s="5"/>
    </row>
    <row r="1225" spans="9:9">
      <c r="I1225" s="5"/>
    </row>
    <row r="1226" spans="9:9">
      <c r="I1226" s="5"/>
    </row>
    <row r="1227" spans="9:9">
      <c r="I1227" s="5"/>
    </row>
    <row r="1228" spans="9:9">
      <c r="I1228" s="5"/>
    </row>
    <row r="1229" spans="9:9">
      <c r="I1229" s="5"/>
    </row>
    <row r="1230" spans="9:9">
      <c r="I1230" s="5"/>
    </row>
    <row r="1231" spans="9:9">
      <c r="I1231" s="5"/>
    </row>
    <row r="1232" spans="9:9">
      <c r="I1232" s="5"/>
    </row>
    <row r="1233" spans="9:9">
      <c r="I1233" s="5"/>
    </row>
    <row r="1234" spans="9:9">
      <c r="I1234" s="5"/>
    </row>
    <row r="1235" spans="9:9">
      <c r="I1235" s="5"/>
    </row>
    <row r="1236" spans="9:9">
      <c r="I1236" s="5"/>
    </row>
    <row r="1237" spans="9:9">
      <c r="I1237" s="5"/>
    </row>
    <row r="1238" spans="9:9">
      <c r="I1238" s="5"/>
    </row>
    <row r="1239" spans="9:9">
      <c r="I1239" s="5"/>
    </row>
    <row r="1240" spans="9:9">
      <c r="I1240" s="5"/>
    </row>
    <row r="1241" spans="9:9">
      <c r="I1241" s="5"/>
    </row>
    <row r="1242" spans="9:9">
      <c r="I1242" s="5"/>
    </row>
    <row r="1243" spans="9:9">
      <c r="I1243" s="5"/>
    </row>
    <row r="1244" spans="9:9">
      <c r="I1244" s="5"/>
    </row>
    <row r="1245" spans="9:9">
      <c r="I1245" s="5"/>
    </row>
    <row r="1246" spans="9:9">
      <c r="I1246" s="5"/>
    </row>
    <row r="1247" spans="9:9">
      <c r="I1247" s="5"/>
    </row>
    <row r="1248" spans="9:9">
      <c r="I1248" s="5"/>
    </row>
    <row r="1249" spans="9:9">
      <c r="I1249" s="5"/>
    </row>
    <row r="1250" spans="9:9">
      <c r="I1250" s="5"/>
    </row>
    <row r="1251" spans="9:9">
      <c r="I1251" s="5"/>
    </row>
    <row r="1252" spans="9:9">
      <c r="I1252" s="5"/>
    </row>
    <row r="1253" spans="9:9">
      <c r="I1253" s="5"/>
    </row>
    <row r="1254" spans="9:9">
      <c r="I1254" s="5"/>
    </row>
    <row r="1255" spans="9:9">
      <c r="I1255" s="5"/>
    </row>
    <row r="1256" spans="9:9">
      <c r="I1256" s="5"/>
    </row>
    <row r="1257" spans="9:9">
      <c r="I1257" s="5"/>
    </row>
    <row r="1258" spans="9:9">
      <c r="I1258" s="5"/>
    </row>
    <row r="1259" spans="9:9">
      <c r="I1259" s="5"/>
    </row>
    <row r="1260" spans="9:9">
      <c r="I1260" s="5"/>
    </row>
    <row r="1261" spans="9:9">
      <c r="I1261" s="5"/>
    </row>
    <row r="1262" spans="9:9">
      <c r="I1262" s="5"/>
    </row>
    <row r="1263" spans="9:9">
      <c r="I1263" s="5"/>
    </row>
    <row r="1264" spans="9:9">
      <c r="I1264" s="5"/>
    </row>
    <row r="1265" spans="9:9">
      <c r="I1265" s="5"/>
    </row>
    <row r="1266" spans="9:9">
      <c r="I1266" s="5"/>
    </row>
    <row r="1267" spans="9:9">
      <c r="I1267" s="5"/>
    </row>
    <row r="1268" spans="9:9">
      <c r="I1268" s="5"/>
    </row>
    <row r="1269" spans="9:9">
      <c r="I1269" s="5"/>
    </row>
    <row r="1270" spans="9:9">
      <c r="I1270" s="5"/>
    </row>
    <row r="1271" spans="9:9">
      <c r="I1271" s="5"/>
    </row>
    <row r="1272" spans="9:9">
      <c r="I1272" s="5"/>
    </row>
    <row r="1273" spans="9:9">
      <c r="I1273" s="5"/>
    </row>
    <row r="1274" spans="9:9">
      <c r="I1274" s="5"/>
    </row>
    <row r="1275" spans="9:9">
      <c r="I1275" s="5"/>
    </row>
    <row r="1276" spans="9:9">
      <c r="I1276" s="5"/>
    </row>
    <row r="1277" spans="9:9">
      <c r="I1277" s="5"/>
    </row>
    <row r="1278" spans="9:9">
      <c r="I1278" s="5"/>
    </row>
    <row r="1279" spans="9:9">
      <c r="I1279" s="5"/>
    </row>
    <row r="1280" spans="9:9">
      <c r="I1280" s="5"/>
    </row>
    <row r="1281" spans="9:9">
      <c r="I1281" s="5"/>
    </row>
    <row r="1282" spans="9:9">
      <c r="I1282" s="5"/>
    </row>
    <row r="1283" spans="9:9">
      <c r="I1283" s="5"/>
    </row>
    <row r="1284" spans="9:9">
      <c r="I1284" s="5"/>
    </row>
    <row r="1285" spans="9:9">
      <c r="I1285" s="5"/>
    </row>
    <row r="1286" spans="9:9">
      <c r="I1286" s="5"/>
    </row>
    <row r="1287" spans="9:9">
      <c r="I1287" s="5"/>
    </row>
    <row r="1288" spans="9:9">
      <c r="I1288" s="5"/>
    </row>
    <row r="1289" spans="9:9">
      <c r="I1289" s="5"/>
    </row>
    <row r="1290" spans="9:9">
      <c r="I1290" s="5"/>
    </row>
    <row r="1291" spans="9:9">
      <c r="I1291" s="5"/>
    </row>
    <row r="1292" spans="9:9">
      <c r="I1292" s="5"/>
    </row>
    <row r="1293" spans="9:9">
      <c r="I1293" s="5"/>
    </row>
    <row r="1294" spans="9:9">
      <c r="I1294" s="5"/>
    </row>
    <row r="1295" spans="9:9">
      <c r="I1295" s="5"/>
    </row>
    <row r="1296" spans="9:9">
      <c r="I1296" s="5"/>
    </row>
    <row r="1297" spans="9:9">
      <c r="I1297" s="5"/>
    </row>
    <row r="1298" spans="9:9">
      <c r="I1298" s="5"/>
    </row>
    <row r="1299" spans="9:9">
      <c r="I1299" s="5"/>
    </row>
    <row r="1300" spans="9:9">
      <c r="I1300" s="5"/>
    </row>
    <row r="1301" spans="9:9">
      <c r="I1301" s="5"/>
    </row>
    <row r="1302" spans="9:9">
      <c r="I1302" s="5"/>
    </row>
    <row r="1303" spans="9:9">
      <c r="I1303" s="5"/>
    </row>
    <row r="1304" spans="9:9">
      <c r="I1304" s="5"/>
    </row>
    <row r="1305" spans="9:9">
      <c r="I1305" s="5"/>
    </row>
    <row r="1306" spans="9:9">
      <c r="I1306" s="5"/>
    </row>
    <row r="1307" spans="9:9">
      <c r="I1307" s="5"/>
    </row>
    <row r="1308" spans="9:9">
      <c r="I1308" s="5"/>
    </row>
    <row r="1309" spans="9:9">
      <c r="I1309" s="5"/>
    </row>
    <row r="1310" spans="9:9">
      <c r="I1310" s="5"/>
    </row>
    <row r="1311" spans="9:9">
      <c r="I1311" s="5"/>
    </row>
    <row r="1312" spans="9:9">
      <c r="I1312" s="5"/>
    </row>
    <row r="1313" spans="9:9">
      <c r="I1313" s="5"/>
    </row>
    <row r="1314" spans="9:9">
      <c r="I1314" s="5"/>
    </row>
    <row r="1315" spans="9:9">
      <c r="I1315" s="5"/>
    </row>
    <row r="1316" spans="9:9">
      <c r="I1316" s="5"/>
    </row>
    <row r="1317" spans="9:9">
      <c r="I1317" s="5"/>
    </row>
    <row r="1318" spans="9:9">
      <c r="I1318" s="5"/>
    </row>
    <row r="1319" spans="9:9">
      <c r="I1319" s="5"/>
    </row>
    <row r="1320" spans="9:9">
      <c r="I1320" s="5"/>
    </row>
    <row r="1321" spans="9:9">
      <c r="I1321" s="5"/>
    </row>
    <row r="1322" spans="9:9">
      <c r="I1322" s="5"/>
    </row>
    <row r="1323" spans="9:9">
      <c r="I1323" s="5"/>
    </row>
    <row r="1324" spans="9:9">
      <c r="I1324" s="5"/>
    </row>
    <row r="1325" spans="9:9">
      <c r="I1325" s="5"/>
    </row>
    <row r="1326" spans="9:9">
      <c r="I1326" s="5"/>
    </row>
    <row r="1327" spans="9:9">
      <c r="I1327" s="5"/>
    </row>
    <row r="1328" spans="9:9">
      <c r="I1328" s="5"/>
    </row>
    <row r="1329" spans="9:9">
      <c r="I1329" s="5"/>
    </row>
    <row r="1330" spans="9:9">
      <c r="I1330" s="5"/>
    </row>
    <row r="1331" spans="9:9">
      <c r="I1331" s="5"/>
    </row>
    <row r="1332" spans="9:9">
      <c r="I1332" s="5"/>
    </row>
    <row r="1333" spans="9:9">
      <c r="I1333" s="5"/>
    </row>
    <row r="1334" spans="9:9">
      <c r="I1334" s="5"/>
    </row>
  </sheetData>
  <autoFilter xmlns:etc="http://www.wps.cn/officeDocument/2017/etCustomData" ref="A4:U319" etc:filterBottomFollowUsedRange="0">
    <extLst/>
  </autoFilter>
  <mergeCells count="13">
    <mergeCell ref="A3:A4"/>
    <mergeCell ref="B3:B4"/>
    <mergeCell ref="C3:C4"/>
    <mergeCell ref="D3:D4"/>
    <mergeCell ref="E3:E4"/>
    <mergeCell ref="F3:F4"/>
    <mergeCell ref="H3:H4"/>
    <mergeCell ref="I3:I4"/>
    <mergeCell ref="Q3:Q4"/>
    <mergeCell ref="R3:R4"/>
    <mergeCell ref="S3:S4"/>
    <mergeCell ref="T3:T4"/>
    <mergeCell ref="U3:U4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打印界面</vt:lpstr>
      <vt:lpstr>2026.01</vt:lpstr>
      <vt:lpstr>Sheet6</vt:lpstr>
      <vt:lpstr>Sheet7</vt:lpstr>
      <vt:lpstr>电表</vt:lpstr>
      <vt:lpstr>Sheet5</vt:lpstr>
      <vt:lpstr>Sheet2</vt:lpstr>
      <vt:lpstr>Sheet3</vt:lpstr>
      <vt:lpstr>Sheet4</vt:lpstr>
      <vt:lpstr>电表数</vt:lpstr>
      <vt:lpstr>空档数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prepare</cp:lastModifiedBy>
  <cp:revision>1</cp:revision>
  <dcterms:created xsi:type="dcterms:W3CDTF">2015-06-28T03:37:00Z</dcterms:created>
  <dcterms:modified xsi:type="dcterms:W3CDTF">2026-01-19T01:06:29Z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false</vt:bool>
  </property>
  <property fmtid="{D5CDD505-2E9C-101B-9397-08002B2CF9AE}" pid="4" name="ICV">
    <vt:lpwstr>4ABE7F1173B144C4A33E641733DA43A7_13</vt:lpwstr>
  </property>
  <property fmtid="{D5CDD505-2E9C-101B-9397-08002B2CF9AE}" pid="5" name="commondata">
    <vt:lpwstr>eyJoZGlkIjoiNThhMzBhNTBlM2RkMjkwZjE4YmZiMmM1YzdlNDM1YmEifQ==</vt:lpwstr>
  </property>
  <property fmtid="{D5CDD505-2E9C-101B-9397-08002B2CF9AE}" pid="6" name="CalculationRule">
    <vt:i4>0</vt:i4>
  </property>
</Properties>
</file>