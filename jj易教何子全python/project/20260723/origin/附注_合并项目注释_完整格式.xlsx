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宣达-深圳佑荣2025年审计报告\5、深圳佑荣审计报告-2025年单体\"/>
    </mc:Choice>
  </mc:AlternateContent>
  <xr:revisionPtr revIDLastSave="0" documentId="13_ncr:1_{A21FADC6-C599-4A20-A2AE-AB044ABA80C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6" i="1" l="1"/>
  <c r="D283" i="1"/>
  <c r="C283" i="1"/>
  <c r="G238" i="1"/>
  <c r="G237" i="1"/>
  <c r="G233" i="1"/>
  <c r="G234" i="1"/>
  <c r="G235" i="1"/>
  <c r="G232" i="1"/>
  <c r="F238" i="1"/>
  <c r="F237" i="1"/>
  <c r="F235" i="1"/>
  <c r="F233" i="1"/>
  <c r="F234" i="1"/>
  <c r="F232" i="1"/>
  <c r="C224" i="1"/>
  <c r="C225" i="1"/>
  <c r="B225" i="1"/>
  <c r="B224" i="1"/>
  <c r="C195" i="1"/>
  <c r="B195" i="1"/>
  <c r="C194" i="1"/>
  <c r="B194" i="1"/>
  <c r="C165" i="1"/>
  <c r="D165" i="1"/>
  <c r="E165" i="1"/>
  <c r="F165" i="1"/>
  <c r="B165" i="1"/>
  <c r="C164" i="1"/>
  <c r="D164" i="1"/>
  <c r="E164" i="1"/>
  <c r="F164" i="1"/>
  <c r="B164" i="1"/>
  <c r="G80" i="1"/>
  <c r="E80" i="1"/>
  <c r="D80" i="1"/>
  <c r="B80" i="1"/>
  <c r="C44" i="1"/>
  <c r="B44" i="1"/>
  <c r="F29" i="1"/>
  <c r="B29" i="1"/>
  <c r="F19" i="1"/>
  <c r="C19" i="1"/>
  <c r="B19" i="1"/>
</calcChain>
</file>

<file path=xl/sharedStrings.xml><?xml version="1.0" encoding="utf-8"?>
<sst xmlns="http://schemas.openxmlformats.org/spreadsheetml/2006/main" count="962" uniqueCount="434">
  <si>
    <t>八、财务报表主要项目注释</t>
  </si>
  <si>
    <t>以下注释项目除非特别指出，“期初”指2024年12月31日，“期末”指2025年12月31日；“本期”指2025年度，“上期”指2024年度。</t>
  </si>
  <si>
    <t>货币资金</t>
  </si>
  <si>
    <t>项目</t>
  </si>
  <si>
    <t>期末余额</t>
  </si>
  <si>
    <t>期初余额</t>
  </si>
  <si>
    <t>银行存款</t>
  </si>
  <si>
    <t>合计</t>
  </si>
  <si>
    <t>截至2025年12月31日，货币资金无抵押或冻结等使用有限制、存放在境外、有潜在回收风险的款项。</t>
  </si>
  <si>
    <t>应收账款</t>
  </si>
  <si>
    <t>（1）应收账款分类披露</t>
  </si>
  <si>
    <t>类  别</t>
  </si>
  <si>
    <t>账面余额</t>
  </si>
  <si>
    <t>坏账准备</t>
  </si>
  <si>
    <t>账面价值</t>
  </si>
  <si>
    <t>金额</t>
  </si>
  <si>
    <t>比例（%）</t>
  </si>
  <si>
    <t>计提比例（%）</t>
  </si>
  <si>
    <t>按组合计提坏账准备的应收账款</t>
  </si>
  <si>
    <t>组合1：关联方</t>
  </si>
  <si>
    <t>组合2：备用金、押金</t>
  </si>
  <si>
    <t>组合3：应收款项</t>
  </si>
  <si>
    <t>接上表</t>
  </si>
  <si>
    <t>（2）应收账款按款项性质分类情况</t>
  </si>
  <si>
    <t>款项性质</t>
  </si>
  <si>
    <t>应收软件服务费</t>
  </si>
  <si>
    <t>（3）截止2025年12月31日，应收账款期末余额大额列示</t>
  </si>
  <si>
    <t>项目名称</t>
  </si>
  <si>
    <t>占应收账款合计金额的比例(%)</t>
  </si>
  <si>
    <t>江苏华美一方供应链数字科技有限公司</t>
  </si>
  <si>
    <t>华飞商业保理（深圳）有限公司</t>
  </si>
  <si>
    <t>深圳市中小担商业保理有限公司</t>
  </si>
  <si>
    <t>豆方数科（深圳）有限责任公司</t>
  </si>
  <si>
    <t>常州皓鸣信息科技有限公司</t>
  </si>
  <si>
    <t>（4）本报告期内，应收账款期末余额中持本公司5%以上（含5%）表决权股份的股东单位及其他关联方款项，详见“八、6、关联方应收应付款项”。</t>
  </si>
  <si>
    <t>预付账款</t>
  </si>
  <si>
    <t>（1）预付款项按账龄列示</t>
  </si>
  <si>
    <t>账龄</t>
  </si>
  <si>
    <t>金 额</t>
  </si>
  <si>
    <t>1年以内</t>
  </si>
  <si>
    <t>（2）截止2025年12月31日，预付款项期末余额大额列示</t>
  </si>
  <si>
    <t>占预付款项合计金额的比例（%）</t>
  </si>
  <si>
    <t>成都思致科技有限公司</t>
  </si>
  <si>
    <t>委托研发费</t>
  </si>
  <si>
    <t>阿里云计算有限公司</t>
  </si>
  <si>
    <t>服务款</t>
  </si>
  <si>
    <t>（3）本报告期内，预付款项期末余额中无持有公司5%(含5%)以上表决权股份的股东单位及其他关联方款项。</t>
  </si>
  <si>
    <t>其他应收款</t>
  </si>
  <si>
    <t>（1）按科目列示</t>
  </si>
  <si>
    <t>应收利息</t>
  </si>
  <si>
    <t>应收股利</t>
  </si>
  <si>
    <t>（2）其他应收款</t>
  </si>
  <si>
    <t>其他应收款按账龄披露</t>
  </si>
  <si>
    <t>1-2年</t>
  </si>
  <si>
    <t>2-3年</t>
  </si>
  <si>
    <t>3-4年</t>
  </si>
  <si>
    <t>4-5年</t>
  </si>
  <si>
    <t>5年以上</t>
  </si>
  <si>
    <t>其他应收款按计提坏账准备的方法分类披露</t>
  </si>
  <si>
    <t>第一阶段</t>
  </si>
  <si>
    <t>第二阶段</t>
  </si>
  <si>
    <t>第三阶段</t>
  </si>
  <si>
    <t>未来12个月预期
信用损失</t>
  </si>
  <si>
    <t>整个存续期预期信用损失
(未发生信用减值)</t>
  </si>
  <si>
    <t>整个存续期预期信用损失
(已发生信用减值)</t>
  </si>
  <si>
    <t>转入第二阶段</t>
  </si>
  <si>
    <t>转入第三阶段</t>
  </si>
  <si>
    <t>转回第二阶段</t>
  </si>
  <si>
    <t>转回第一阶段</t>
  </si>
  <si>
    <t>本期计提</t>
  </si>
  <si>
    <t>其他变动</t>
  </si>
  <si>
    <t>本期计提、收回或转回坏账准备情况：本期计提坏账准备金额0.00元，收回或转回坏账准备金额0.00元。</t>
  </si>
  <si>
    <t>公司本报告期内无核销其他应收款。</t>
  </si>
  <si>
    <t>其他应收款按款项性质列示如下：</t>
  </si>
  <si>
    <t>往来款</t>
  </si>
  <si>
    <t>押金</t>
  </si>
  <si>
    <t>代扣代缴款项</t>
  </si>
  <si>
    <t>按欠款方归集的期末余额前五名的其他应收款情况：</t>
  </si>
  <si>
    <t>单位名称</t>
  </si>
  <si>
    <t>占其他应收款
余额比例(%)</t>
  </si>
  <si>
    <t>计提坏账准备</t>
  </si>
  <si>
    <t>资金部/王冠</t>
  </si>
  <si>
    <t>备用金</t>
  </si>
  <si>
    <t>39.03%</t>
  </si>
  <si>
    <t>华润置地前海有限公司</t>
  </si>
  <si>
    <t>31.68%</t>
  </si>
  <si>
    <t>截至2025年12月31日，其他应收款中关联方的欠款，详见“附注九 关联方及关联交易” 或者  其他应收款中无持有本公司5%（含5%）以上表决权股份的股东及其他关联方的款项。</t>
  </si>
  <si>
    <t>其他流动资产</t>
  </si>
  <si>
    <t>项    目</t>
  </si>
  <si>
    <t>待认证进项税额</t>
  </si>
  <si>
    <t>长期股权投资</t>
  </si>
  <si>
    <t>减值准备</t>
  </si>
  <si>
    <t>对子公司投资</t>
  </si>
  <si>
    <t>1）对子公司投资</t>
  </si>
  <si>
    <t>被投资单位</t>
  </si>
  <si>
    <t>本期增加</t>
  </si>
  <si>
    <t>本期减少</t>
  </si>
  <si>
    <t>本期计提减值准备</t>
  </si>
  <si>
    <t>减值准备期末余额</t>
  </si>
  <si>
    <t>固定资产</t>
  </si>
  <si>
    <t>（1）固定资产按科目列示</t>
  </si>
  <si>
    <t>固定资产清理</t>
  </si>
  <si>
    <t>（2）固定资产情况：</t>
  </si>
  <si>
    <t>房屋及建筑物</t>
  </si>
  <si>
    <t>电子设备</t>
  </si>
  <si>
    <t>运输设备</t>
  </si>
  <si>
    <t>办公家私</t>
  </si>
  <si>
    <t>合  计</t>
  </si>
  <si>
    <t>一、账面原值</t>
  </si>
  <si>
    <t>1、期初余额</t>
  </si>
  <si>
    <t>2、本期增加金额</t>
  </si>
  <si>
    <t>(1)购置</t>
  </si>
  <si>
    <t>(2)融资租赁增加</t>
  </si>
  <si>
    <t>3、本期减少金额</t>
  </si>
  <si>
    <t>(1)处置或报废</t>
  </si>
  <si>
    <t>(2) 融资租赁减少</t>
  </si>
  <si>
    <t>4、期末余额</t>
  </si>
  <si>
    <t>二、累计折旧</t>
  </si>
  <si>
    <t>(1)计提</t>
  </si>
  <si>
    <t>(2) 融资租赁增加</t>
  </si>
  <si>
    <t>三、减值准备</t>
  </si>
  <si>
    <t>四、账面价值</t>
  </si>
  <si>
    <t>1、期末账面价值</t>
  </si>
  <si>
    <t>2、期初账面价值</t>
  </si>
  <si>
    <t>（3）截至2025年12月31日，本公司固定资产未出现减值迹象，不需要计提减值准备。</t>
  </si>
  <si>
    <t>（4）本报告期内，本公司无抵押的固定资产。</t>
  </si>
  <si>
    <t>使用权资产</t>
  </si>
  <si>
    <t>(1)租入</t>
  </si>
  <si>
    <t>(1)退租</t>
  </si>
  <si>
    <t>(1)处置</t>
  </si>
  <si>
    <t>无形资产</t>
  </si>
  <si>
    <t>软件</t>
  </si>
  <si>
    <t>1.期初余额</t>
  </si>
  <si>
    <t>2.本期增加金额</t>
  </si>
  <si>
    <t>(2)内部研发</t>
  </si>
  <si>
    <t>(3)企业合并增加</t>
  </si>
  <si>
    <t>3.本期减少金额</t>
  </si>
  <si>
    <t>4.期末余额</t>
  </si>
  <si>
    <t>二、累计摊销</t>
  </si>
  <si>
    <t>（1）计提</t>
  </si>
  <si>
    <t>1.期末账面价值</t>
  </si>
  <si>
    <t>2.期初账面价值</t>
  </si>
  <si>
    <t>递延所得税资产与递延所得税负债</t>
  </si>
  <si>
    <t>递延所得税资产</t>
  </si>
  <si>
    <t>可抵扣暂时性差异</t>
  </si>
  <si>
    <t>可抵扣亏损</t>
  </si>
  <si>
    <t>租赁负债</t>
  </si>
  <si>
    <t>股权激励</t>
  </si>
  <si>
    <t>小计</t>
  </si>
  <si>
    <t>递延所得税负债</t>
  </si>
  <si>
    <t>短期借款</t>
  </si>
  <si>
    <t>信用借款</t>
  </si>
  <si>
    <t>应付账款</t>
  </si>
  <si>
    <t>（1）应付账款列示</t>
  </si>
  <si>
    <t>账    龄</t>
  </si>
  <si>
    <t>1至2年</t>
  </si>
  <si>
    <t>（2）截止2025年12月31日，应付账款期末余额大额列示</t>
  </si>
  <si>
    <t>占应付账款合计金额的比例（%）</t>
  </si>
  <si>
    <t>技术服务费</t>
  </si>
  <si>
    <t>中国人民财产保险股份有限公司成都市分公司</t>
  </si>
  <si>
    <t>物业管理费</t>
  </si>
  <si>
    <t>（3）本报告期内，应付账款期末余额中无持有本公司5%以上（含5%）表决权股份的股东单位及其他关联方款项。</t>
  </si>
  <si>
    <t>合同负债</t>
  </si>
  <si>
    <t>应付职工薪酬</t>
  </si>
  <si>
    <t>（1）应付职工薪酬列示：</t>
  </si>
  <si>
    <t>短期薪酬</t>
  </si>
  <si>
    <t>离职后福利-设定提存计划</t>
  </si>
  <si>
    <t>（2）短期薪酬列示：</t>
  </si>
  <si>
    <t>(1)工资、奖金、津贴和补贴</t>
  </si>
  <si>
    <t>(2)职工福利费</t>
  </si>
  <si>
    <t>(3)社会保险费</t>
  </si>
  <si>
    <t>其中：医疗保险费</t>
  </si>
  <si>
    <t>工伤保险费</t>
  </si>
  <si>
    <t>生育保险费</t>
  </si>
  <si>
    <t>(4)住房公积金</t>
  </si>
  <si>
    <t>(5)工会经费和职工教育经费</t>
  </si>
  <si>
    <t>（3）设定提存计划列示：</t>
  </si>
  <si>
    <t>基本养老保险</t>
  </si>
  <si>
    <t>失业保险费</t>
  </si>
  <si>
    <t>应交税费</t>
  </si>
  <si>
    <t>增值税</t>
  </si>
  <si>
    <t>城市维护建设税</t>
  </si>
  <si>
    <t>教育费附加</t>
  </si>
  <si>
    <t>地方教育附加</t>
  </si>
  <si>
    <t>个人所得税</t>
  </si>
  <si>
    <t>印花税</t>
  </si>
  <si>
    <t>房产税</t>
  </si>
  <si>
    <t>其他应付款</t>
  </si>
  <si>
    <t>应付利息</t>
  </si>
  <si>
    <t>应付股利</t>
  </si>
  <si>
    <t>（2）按款项性质分类</t>
  </si>
  <si>
    <t>待支付报销款</t>
  </si>
  <si>
    <t>其他</t>
  </si>
  <si>
    <t>（3）截止2025年12月31日，其他应付款期末余额大额列示</t>
  </si>
  <si>
    <t>占其他应付款合计金额的比例（%）</t>
  </si>
  <si>
    <t>深圳市前海一方科技研发集团有限公司</t>
  </si>
  <si>
    <t>关联方往来款</t>
  </si>
  <si>
    <t>合    计</t>
  </si>
  <si>
    <t>（4）截至2025年12月31日，其他应付款中有持本公司5%（含5%）以上表决权股份的股东及其他关联方的款项，详见“附注九 关联方及关联交易”。</t>
  </si>
  <si>
    <t>一年内到期的非流动负债</t>
  </si>
  <si>
    <t>一年内到期的租赁负债</t>
  </si>
  <si>
    <t>房屋租赁</t>
  </si>
  <si>
    <t>其他非流动负债</t>
  </si>
  <si>
    <t>股权激励回购款</t>
  </si>
  <si>
    <t>实收资本</t>
  </si>
  <si>
    <t>股东名称</t>
  </si>
  <si>
    <t>比例%</t>
  </si>
  <si>
    <t>深圳市一方保成科技有限公司</t>
  </si>
  <si>
    <t>资本公积</t>
  </si>
  <si>
    <t>本期增加额</t>
  </si>
  <si>
    <t>本期减少额</t>
  </si>
  <si>
    <t>资本溢价（股本溢价）</t>
  </si>
  <si>
    <t>盈余公积</t>
  </si>
  <si>
    <t>法定盈余公积</t>
  </si>
  <si>
    <t>未分配利润</t>
  </si>
  <si>
    <t>本期金额</t>
  </si>
  <si>
    <t>上期金额</t>
  </si>
  <si>
    <t>上期期末余额</t>
  </si>
  <si>
    <t>加：期初未分配利润调整额</t>
  </si>
  <si>
    <t>本期期初余额</t>
  </si>
  <si>
    <t>其中：本期归属于公司所有者的净利润</t>
  </si>
  <si>
    <t>其中：本期提取法定盈余公积额</t>
  </si>
  <si>
    <t>本期期末余额</t>
  </si>
  <si>
    <t>营业收入、营业成本</t>
  </si>
  <si>
    <t>（1）营业收入、营业成本：</t>
  </si>
  <si>
    <t>本期发生额</t>
  </si>
  <si>
    <t>上期发生额</t>
  </si>
  <si>
    <t>收入</t>
  </si>
  <si>
    <t>成本</t>
  </si>
  <si>
    <t>主营业务</t>
  </si>
  <si>
    <t>其他业务</t>
  </si>
  <si>
    <t>（2）主营业务按业务列示如下：</t>
  </si>
  <si>
    <t>软件服务</t>
  </si>
  <si>
    <t>咨询服务</t>
  </si>
  <si>
    <t>税金及附加</t>
  </si>
  <si>
    <t>地方教育费附加</t>
  </si>
  <si>
    <t>城镇土地使用税</t>
  </si>
  <si>
    <t>车船税</t>
  </si>
  <si>
    <t>销售费用</t>
  </si>
  <si>
    <t>职工薪酬</t>
  </si>
  <si>
    <t>业务招待费</t>
  </si>
  <si>
    <t>咨询费</t>
  </si>
  <si>
    <t>差旅费</t>
  </si>
  <si>
    <t>交通费</t>
  </si>
  <si>
    <t>办公费用</t>
  </si>
  <si>
    <t>车辆费</t>
  </si>
  <si>
    <t>折旧费</t>
  </si>
  <si>
    <t>管理费用</t>
  </si>
  <si>
    <t>办公费</t>
  </si>
  <si>
    <t>摊销费</t>
  </si>
  <si>
    <t>中介服务费</t>
  </si>
  <si>
    <t>租赁费</t>
  </si>
  <si>
    <t>研发费用</t>
  </si>
  <si>
    <t>委托外部研发费</t>
  </si>
  <si>
    <t>财务费用</t>
  </si>
  <si>
    <t>利息支出</t>
  </si>
  <si>
    <t>其中：租赁负债的利息费用</t>
  </si>
  <si>
    <t>减：利息收入</t>
  </si>
  <si>
    <t>手续费及其他</t>
  </si>
  <si>
    <t>其他收益</t>
  </si>
  <si>
    <t>政府补助</t>
  </si>
  <si>
    <t>个人所得税手续费返还</t>
  </si>
  <si>
    <t>资产处置收益</t>
  </si>
  <si>
    <t>处置未划分为持有待售的非流动资产产生的利得或损失</t>
  </si>
  <si>
    <t>其中：固定资产</t>
  </si>
  <si>
    <t>营业外收入</t>
  </si>
  <si>
    <t>计入本期非经常性损益的金额</t>
  </si>
  <si>
    <t>营业外支出</t>
  </si>
  <si>
    <t>税收滞纳金</t>
  </si>
  <si>
    <t>所得税费用</t>
  </si>
  <si>
    <t>当期所得税费用</t>
  </si>
  <si>
    <t>递延所得税费用</t>
  </si>
  <si>
    <t>现金流量表项目注释</t>
  </si>
  <si>
    <t>（1）收到的其他与经营活动有关的现金</t>
  </si>
  <si>
    <t>往来款代垫款</t>
  </si>
  <si>
    <t>保证金及押金</t>
  </si>
  <si>
    <t>利息收入</t>
  </si>
  <si>
    <t>（2）支付的其他与经营活动有关的现金</t>
  </si>
  <si>
    <t>付现的管理费用、销售费用 、研发费用</t>
  </si>
  <si>
    <t>银行手续费</t>
  </si>
  <si>
    <t>现金流量表补充资料</t>
  </si>
  <si>
    <t>（1）现金流量表补充资料</t>
  </si>
  <si>
    <t>补充资料</t>
  </si>
  <si>
    <t>1.将净利润调节为经营活动现金流量：</t>
  </si>
  <si>
    <t>净利润</t>
  </si>
  <si>
    <t>加：资产减值准备</t>
  </si>
  <si>
    <t>信用减值损失</t>
  </si>
  <si>
    <t>固定资产折旧、使用权资产折旧、油气资产折耗、生产性生物资产折旧</t>
  </si>
  <si>
    <t>无形资产摊销</t>
  </si>
  <si>
    <t>长期待摊费用摊销</t>
  </si>
  <si>
    <t>低值易耗品摊销</t>
  </si>
  <si>
    <t>处置固定资产、无形资产和其他长期资产的损失(收益以“-”号填列)</t>
  </si>
  <si>
    <t>固定资产报废损失(收益以“-”号填列)</t>
  </si>
  <si>
    <t>公允价值变动损失(收益以“-”号填列)</t>
  </si>
  <si>
    <t>财务费用(收益以“-”号填列)</t>
  </si>
  <si>
    <t>投资损失(收益以“-”号填列)</t>
  </si>
  <si>
    <t>递延所得税资产减少(增加以“-”号填列)</t>
  </si>
  <si>
    <t>递延所得税负债增加(减少以“-”号填列)</t>
  </si>
  <si>
    <t>存货的减少(增加以“-”号填列)</t>
  </si>
  <si>
    <t>经营性应收项目的减少(增加以“-”号填列)</t>
  </si>
  <si>
    <t>经营性应付项目的增加(减少以“-”号填列)</t>
  </si>
  <si>
    <t>经营活动产生的现金流量净额：</t>
  </si>
  <si>
    <t>2.不涉及现金收支的重大投资和筹资活动：</t>
  </si>
  <si>
    <t>债务转为资本</t>
  </si>
  <si>
    <t>一年内到期的可转换公司债券</t>
  </si>
  <si>
    <t>融资租入固定资产</t>
  </si>
  <si>
    <t>3.现金及现金等价物净变动情况：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</si>
  <si>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</si>
  <si>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</si>
  <si>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</si>
  <si>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</si>
  <si>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现金及现金等价物净增加额</t>
  </si>
  <si>
    <t>现金和现金等价物的构成</t>
  </si>
  <si>
    <t>一、现金</t>
  </si>
  <si>
    <t>其中：库存现金</t>
  </si>
  <si>
    <t>可随时用于支付的银行存款</t>
  </si>
  <si>
    <t>3个月内可用于支付的其他货币资金</t>
  </si>
  <si>
    <t>二、现金等价物</t>
  </si>
  <si>
    <t>关联方及关联交易</t>
  </si>
  <si>
    <t>（一）关联关系</t>
  </si>
  <si>
    <t>本公司本企业的母公司情况</t>
  </si>
  <si>
    <t>母公司名称</t>
  </si>
  <si>
    <t>注册地</t>
  </si>
  <si>
    <t>业务性质</t>
  </si>
  <si>
    <t>注册资本
(万元)</t>
  </si>
  <si>
    <t>对本公司的持股比例(%)</t>
  </si>
  <si>
    <t>对本公司的表决权比例(%)</t>
  </si>
  <si>
    <t>深圳</t>
  </si>
  <si>
    <t>软件和信息技术服务业</t>
  </si>
  <si>
    <t>公司实际控制人为刘莲娇。</t>
  </si>
  <si>
    <t>本公司本企业的子公司情况</t>
  </si>
  <si>
    <t>子公司名称</t>
  </si>
  <si>
    <t>注册资本（万元）</t>
  </si>
  <si>
    <t>持股比例（%）</t>
  </si>
  <si>
    <t>直接</t>
  </si>
  <si>
    <t>间接</t>
  </si>
  <si>
    <t>成都</t>
  </si>
  <si>
    <t>本公司其他关联情况</t>
  </si>
  <si>
    <t>关联方名称</t>
  </si>
  <si>
    <t>与本公司关系</t>
  </si>
  <si>
    <t>公司实际控制人控制的其他企业</t>
  </si>
  <si>
    <t>深圳市前海一方恒融商业保理有限公司</t>
  </si>
  <si>
    <t>深圳市一方融合咨询管理有限公司</t>
  </si>
  <si>
    <t>深圳市前海一方实业咨询有限公司</t>
  </si>
  <si>
    <t>深圳市方荣企业管理有限公司</t>
  </si>
  <si>
    <t>深圳市元旸科技有限公司</t>
  </si>
  <si>
    <t>泉州市元旸科技有限公司</t>
  </si>
  <si>
    <t>北京一方商业保理有限公司</t>
  </si>
  <si>
    <t>成都天投恒融商业保理有限公司</t>
  </si>
  <si>
    <t>公司所属企业集团的其他成员单位的联营企业</t>
  </si>
  <si>
    <t>成都天投恒融供应链服务有限公司</t>
  </si>
  <si>
    <t>浙江承信数字科技有限公司</t>
  </si>
  <si>
    <t>深圳市稳诚一方数字科技服务有限公司</t>
  </si>
  <si>
    <t>浙江华域天成科技服务有限公司</t>
  </si>
  <si>
    <t>深圳市海河智融科技有限责任公司</t>
  </si>
  <si>
    <t>公司所属企业集团的其他成员单位的联营企业（2025年07月31日已注销）</t>
  </si>
  <si>
    <t>江苏常链一方数字供应链科技有限公司</t>
  </si>
  <si>
    <t>深圳市前海一方供应链管理有限公司</t>
  </si>
  <si>
    <t>佛山市友阳供应链管理有限公司</t>
  </si>
  <si>
    <t>深圳市隆富投资发展有限公司</t>
  </si>
  <si>
    <t>恒荣投资（新丰）有限公司</t>
  </si>
  <si>
    <t>深圳市华丽商贸物流有限公司</t>
  </si>
  <si>
    <t>深圳市恒荣财务信息咨询有限公司</t>
  </si>
  <si>
    <t>深圳市恒荣科技信息咨询服务有限公司</t>
  </si>
  <si>
    <t>深圳市恒荣电子咨询服务有限公司</t>
  </si>
  <si>
    <t>深圳市荣业矿业有限公司</t>
  </si>
  <si>
    <t>始兴恒荣森林旅游开发有限公司</t>
  </si>
  <si>
    <t>深圳市融恒新材料有限公司</t>
  </si>
  <si>
    <t>深圳市融富实业有限公司</t>
  </si>
  <si>
    <t>前海一方（大连）石油化工有限公司</t>
  </si>
  <si>
    <t>深圳市彩虹电子有限公司</t>
  </si>
  <si>
    <t>深圳市恒荣置业有限公司</t>
  </si>
  <si>
    <t>恒荣矿业（新丰）有限公司</t>
  </si>
  <si>
    <t>深圳晸信投资管理有限公司</t>
  </si>
  <si>
    <t>唐山市天恒建材有限公司</t>
  </si>
  <si>
    <t>深圳市霖梓投资发展有限公司</t>
  </si>
  <si>
    <t>深圳市恒荣置地有限公司</t>
  </si>
  <si>
    <t>珠海市恒荣物业服务有限公司</t>
  </si>
  <si>
    <t>深圳市恒荣物业服务有限公司</t>
  </si>
  <si>
    <t>唐山市唐城物业服务有限公司</t>
  </si>
  <si>
    <t>深圳中兴实业股份有限公司</t>
  </si>
  <si>
    <t>东莞市恒荣置地有限公司</t>
  </si>
  <si>
    <t>广东华汇矿业有限公司</t>
  </si>
  <si>
    <t>深圳市合恒实业有限公司</t>
  </si>
  <si>
    <t>(二）公司关键管理人员及其关系密切的家庭成员</t>
  </si>
  <si>
    <t>柏金</t>
  </si>
  <si>
    <t>公司法定代表人</t>
  </si>
  <si>
    <t>（三）关联交易</t>
  </si>
  <si>
    <t>1、购销商品、提供和接受劳务的关联交易</t>
  </si>
  <si>
    <t>关联方</t>
  </si>
  <si>
    <t>关联交易类型</t>
  </si>
  <si>
    <t>关联交易内容</t>
  </si>
  <si>
    <t>本期数</t>
  </si>
  <si>
    <t>提供服务（技术）</t>
  </si>
  <si>
    <t>关联担保情况</t>
  </si>
  <si>
    <t>本公司作为担保方</t>
  </si>
  <si>
    <t>被担保方</t>
  </si>
  <si>
    <t>担保方式</t>
  </si>
  <si>
    <t>币别</t>
  </si>
  <si>
    <t>担保金额</t>
  </si>
  <si>
    <t>担保到期日</t>
  </si>
  <si>
    <t>担保合同编号</t>
  </si>
  <si>
    <t>最高额担保</t>
  </si>
  <si>
    <t>人民币</t>
  </si>
  <si>
    <t>2026-06-06</t>
  </si>
  <si>
    <t>B11115840H0001GT2506058000290</t>
  </si>
  <si>
    <t>2026-12-15</t>
  </si>
  <si>
    <t>2026-11-14</t>
  </si>
  <si>
    <t>B1111584OH0001GT2506058000290</t>
  </si>
  <si>
    <t>2026-10-15</t>
  </si>
  <si>
    <t>B1111584OHO001GT2506058000290</t>
  </si>
  <si>
    <t>2026-09-15</t>
  </si>
  <si>
    <t>2026-07-18</t>
  </si>
  <si>
    <t>2025-08-15</t>
  </si>
  <si>
    <t>2026-06-26</t>
  </si>
  <si>
    <t>2026-07-09</t>
  </si>
  <si>
    <t>2026-11-26</t>
  </si>
  <si>
    <t>2026-09.25</t>
  </si>
  <si>
    <t>2026-10-27</t>
  </si>
  <si>
    <t>2026-07-30</t>
  </si>
  <si>
    <t>2026-12-30</t>
  </si>
  <si>
    <t>2026-08-26</t>
  </si>
  <si>
    <t>（四）关联方应收应付款项</t>
  </si>
  <si>
    <t>十、或有事项</t>
  </si>
  <si>
    <t>截至2025年12月31日，本公司无需披露的重大或有事项。</t>
  </si>
  <si>
    <t>十一、承诺事项</t>
  </si>
  <si>
    <t>截至2025年12月31日，本公司无需披露的重大承诺事项。</t>
  </si>
  <si>
    <t>十二、资产负债表日后事项</t>
  </si>
  <si>
    <t>截至财务报告批准报出日，本公司无需披露的资产负债表日后事项。</t>
  </si>
  <si>
    <t>法定代表人</t>
  </si>
  <si>
    <t>主管会计工作负责人</t>
  </si>
  <si>
    <t>会计机构负责人</t>
  </si>
  <si>
    <t>深圳市佑荣信息科技有限公司</t>
  </si>
  <si>
    <t>二〇二六年五月XXX日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</si>
</sst>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#,##0.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176" fontId="0" fillId="0" borderId="0" xfId="0" applyNumberFormat="1"/>
    <xf numFmtId="0" fontId="0" fillId="0" borderId="0" xfId="0" applyBorder="1"/>
    <xf numFmtId="4" fontId="0" fillId="0" borderId="0" xfId="0" applyNumberFormat="1" applyBorder="1"/>
    <xf numFmtId="9" fontId="0" fillId="0" borderId="0" xfId="2" applyFont="1" applyAlignment="1"/>
    <xf numFmtId="43" fontId="0" fillId="0" borderId="0" xfId="1" applyFont="1" applyAlignment="1"/>
    <xf numFmtId="43" fontId="0" fillId="0" borderId="1" xfId="1" applyFont="1" applyBorder="1" applyAlignment="1"/>
    <xf numFmtId="4" fontId="0" fillId="0" borderId="0" xfId="0" applyNumberForma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9"/>
  <sheetViews>
    <sheetView tabSelected="1" topLeftCell="A515" workbookViewId="0">
      <selection activeCell="D523" sqref="D523"/>
    </sheetView>
  </sheetViews>
  <sheetFormatPr defaultRowHeight="13.5" x14ac:dyDescent="0.3"/>
  <cols>
    <col min="1" max="1" width="36.53125" customWidth="1"/>
    <col min="2" max="2" width="24.86328125" customWidth="1"/>
    <col min="3" max="3" width="21.46484375" customWidth="1"/>
    <col min="4" max="4" width="23.06640625" customWidth="1"/>
    <col min="5" max="5" width="18.73046875" customWidth="1"/>
    <col min="6" max="6" width="34.73046875" customWidth="1"/>
    <col min="7" max="7" width="17.9296875" customWidth="1"/>
  </cols>
  <sheetData>
    <row r="1" spans="1:6" x14ac:dyDescent="0.3">
      <c r="A1" s="1" t="s">
        <v>0</v>
      </c>
    </row>
    <row r="2" spans="1:6" x14ac:dyDescent="0.3">
      <c r="A2" t="s">
        <v>1</v>
      </c>
    </row>
    <row r="3" spans="1:6" x14ac:dyDescent="0.3">
      <c r="A3" s="1" t="s">
        <v>2</v>
      </c>
    </row>
    <row r="4" spans="1:6" x14ac:dyDescent="0.3">
      <c r="A4" s="2" t="s">
        <v>3</v>
      </c>
      <c r="B4" s="2" t="s">
        <v>4</v>
      </c>
      <c r="C4" s="2" t="s">
        <v>5</v>
      </c>
    </row>
    <row r="5" spans="1:6" x14ac:dyDescent="0.3">
      <c r="A5" s="2" t="s">
        <v>6</v>
      </c>
      <c r="B5" s="3">
        <v>27133.74</v>
      </c>
      <c r="C5" s="3">
        <v>92747.55</v>
      </c>
    </row>
    <row r="6" spans="1:6" x14ac:dyDescent="0.3">
      <c r="A6" s="2" t="s">
        <v>7</v>
      </c>
      <c r="B6" s="3">
        <v>27133.74</v>
      </c>
      <c r="C6" s="3">
        <v>92747.55</v>
      </c>
    </row>
    <row r="8" spans="1:6" x14ac:dyDescent="0.3">
      <c r="A8" t="s">
        <v>8</v>
      </c>
    </row>
    <row r="9" spans="1:6" x14ac:dyDescent="0.3">
      <c r="A9" s="1" t="s">
        <v>9</v>
      </c>
    </row>
    <row r="10" spans="1:6" x14ac:dyDescent="0.3">
      <c r="A10" t="s">
        <v>10</v>
      </c>
    </row>
    <row r="11" spans="1:6" x14ac:dyDescent="0.3">
      <c r="A11" s="2" t="s">
        <v>11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4</v>
      </c>
    </row>
    <row r="12" spans="1:6" x14ac:dyDescent="0.3">
      <c r="A12" s="2" t="s">
        <v>11</v>
      </c>
      <c r="B12" s="2" t="s">
        <v>12</v>
      </c>
      <c r="C12" s="2" t="s">
        <v>12</v>
      </c>
      <c r="D12" s="2" t="s">
        <v>13</v>
      </c>
      <c r="E12" s="2" t="s">
        <v>13</v>
      </c>
      <c r="F12" s="2" t="s">
        <v>14</v>
      </c>
    </row>
    <row r="13" spans="1:6" x14ac:dyDescent="0.3">
      <c r="A13" s="2" t="s">
        <v>11</v>
      </c>
      <c r="B13" s="2" t="s">
        <v>15</v>
      </c>
      <c r="C13" s="2" t="s">
        <v>16</v>
      </c>
      <c r="D13" s="2" t="s">
        <v>15</v>
      </c>
      <c r="E13" s="2" t="s">
        <v>17</v>
      </c>
      <c r="F13" s="2" t="s">
        <v>14</v>
      </c>
    </row>
    <row r="14" spans="1:6" x14ac:dyDescent="0.3">
      <c r="A14" s="2" t="s">
        <v>18</v>
      </c>
      <c r="B14" s="2"/>
      <c r="C14" s="2"/>
      <c r="D14" s="2"/>
      <c r="E14" s="2"/>
      <c r="F14" s="2"/>
    </row>
    <row r="15" spans="1:6" x14ac:dyDescent="0.3">
      <c r="A15" s="2" t="s">
        <v>19</v>
      </c>
      <c r="B15" s="3">
        <v>4078882.27</v>
      </c>
      <c r="C15" s="3">
        <v>60.28</v>
      </c>
      <c r="D15" s="2"/>
      <c r="E15" s="2"/>
      <c r="F15" s="3">
        <v>4078882.27</v>
      </c>
    </row>
    <row r="16" spans="1:6" x14ac:dyDescent="0.3">
      <c r="A16" s="2" t="s">
        <v>20</v>
      </c>
      <c r="B16" s="2"/>
      <c r="C16" s="2"/>
      <c r="D16" s="2"/>
      <c r="E16" s="2"/>
      <c r="F16" s="2"/>
    </row>
    <row r="17" spans="1:6" x14ac:dyDescent="0.3">
      <c r="A17" s="2" t="s">
        <v>21</v>
      </c>
      <c r="B17" s="3">
        <v>2687747.69</v>
      </c>
      <c r="C17" s="3">
        <v>39.72</v>
      </c>
      <c r="D17" s="2"/>
      <c r="E17" s="2"/>
      <c r="F17" s="3">
        <v>2687747.69</v>
      </c>
    </row>
    <row r="18" spans="1:6" x14ac:dyDescent="0.3">
      <c r="A18" s="2" t="s">
        <v>7</v>
      </c>
      <c r="B18" s="3">
        <v>6766629.96</v>
      </c>
      <c r="C18" s="4">
        <v>100</v>
      </c>
      <c r="D18" s="2"/>
      <c r="E18" s="2"/>
      <c r="F18" s="3">
        <v>6766629.96</v>
      </c>
    </row>
    <row r="19" spans="1:6" x14ac:dyDescent="0.3">
      <c r="B19" s="5">
        <f>SUM(B15:B17)-B18</f>
        <v>0</v>
      </c>
      <c r="C19" s="5">
        <f>SUM(C15:C17)-C18</f>
        <v>0</v>
      </c>
      <c r="F19" s="5">
        <f>SUM(F15:F17)-F18</f>
        <v>0</v>
      </c>
    </row>
    <row r="20" spans="1:6" x14ac:dyDescent="0.3">
      <c r="A20" t="s">
        <v>22</v>
      </c>
    </row>
    <row r="21" spans="1:6" x14ac:dyDescent="0.3">
      <c r="A21" s="2" t="s">
        <v>11</v>
      </c>
      <c r="B21" s="2" t="s">
        <v>5</v>
      </c>
      <c r="C21" s="2" t="s">
        <v>5</v>
      </c>
      <c r="D21" s="2" t="s">
        <v>5</v>
      </c>
      <c r="E21" s="2" t="s">
        <v>5</v>
      </c>
      <c r="F21" s="2" t="s">
        <v>5</v>
      </c>
    </row>
    <row r="22" spans="1:6" x14ac:dyDescent="0.3">
      <c r="A22" s="2" t="s">
        <v>11</v>
      </c>
      <c r="B22" s="2" t="s">
        <v>12</v>
      </c>
      <c r="C22" s="2" t="s">
        <v>12</v>
      </c>
      <c r="D22" s="2" t="s">
        <v>13</v>
      </c>
      <c r="E22" s="2" t="s">
        <v>13</v>
      </c>
      <c r="F22" s="2" t="s">
        <v>14</v>
      </c>
    </row>
    <row r="23" spans="1:6" x14ac:dyDescent="0.3">
      <c r="A23" s="2" t="s">
        <v>11</v>
      </c>
      <c r="B23" s="2" t="s">
        <v>15</v>
      </c>
      <c r="C23" s="2" t="s">
        <v>16</v>
      </c>
      <c r="D23" s="2" t="s">
        <v>15</v>
      </c>
      <c r="E23" s="2" t="s">
        <v>17</v>
      </c>
      <c r="F23" s="2" t="s">
        <v>14</v>
      </c>
    </row>
    <row r="24" spans="1:6" x14ac:dyDescent="0.3">
      <c r="A24" s="2" t="s">
        <v>18</v>
      </c>
      <c r="B24" s="2"/>
      <c r="C24" s="2"/>
      <c r="D24" s="2"/>
      <c r="E24" s="2"/>
      <c r="F24" s="2"/>
    </row>
    <row r="25" spans="1:6" x14ac:dyDescent="0.3">
      <c r="A25" s="2" t="s">
        <v>19</v>
      </c>
      <c r="B25" s="3">
        <v>7532517.0099999998</v>
      </c>
      <c r="C25" s="4">
        <v>98</v>
      </c>
      <c r="D25" s="2"/>
      <c r="E25" s="2"/>
      <c r="F25" s="3">
        <v>7532517.0099999998</v>
      </c>
    </row>
    <row r="26" spans="1:6" x14ac:dyDescent="0.3">
      <c r="A26" s="2" t="s">
        <v>20</v>
      </c>
      <c r="B26" s="2"/>
      <c r="C26" s="2"/>
      <c r="D26" s="2"/>
      <c r="E26" s="2"/>
      <c r="F26" s="2"/>
    </row>
    <row r="27" spans="1:6" x14ac:dyDescent="0.3">
      <c r="A27" s="2" t="s">
        <v>21</v>
      </c>
      <c r="B27" s="3">
        <v>154060.79999999999</v>
      </c>
      <c r="C27" s="4">
        <v>2</v>
      </c>
      <c r="D27" s="2"/>
      <c r="E27" s="2"/>
      <c r="F27" s="3">
        <v>154060.79999999999</v>
      </c>
    </row>
    <row r="28" spans="1:6" x14ac:dyDescent="0.3">
      <c r="A28" s="2" t="s">
        <v>7</v>
      </c>
      <c r="B28" s="3">
        <v>7686577.8099999996</v>
      </c>
      <c r="C28" s="4">
        <v>100</v>
      </c>
      <c r="D28" s="2"/>
      <c r="E28" s="2"/>
      <c r="F28" s="3">
        <v>7686577.8099999996</v>
      </c>
    </row>
    <row r="29" spans="1:6" x14ac:dyDescent="0.3">
      <c r="B29" s="5">
        <f>SUM(B25:B27)-B28</f>
        <v>0</v>
      </c>
      <c r="F29" s="5">
        <f>SUM(F25:F27)-F28</f>
        <v>0</v>
      </c>
    </row>
    <row r="30" spans="1:6" x14ac:dyDescent="0.3">
      <c r="A30" t="s">
        <v>23</v>
      </c>
    </row>
    <row r="31" spans="1:6" x14ac:dyDescent="0.3">
      <c r="A31" s="2" t="s">
        <v>24</v>
      </c>
      <c r="B31" s="2" t="s">
        <v>4</v>
      </c>
      <c r="C31" s="2" t="s">
        <v>5</v>
      </c>
    </row>
    <row r="32" spans="1:6" x14ac:dyDescent="0.3">
      <c r="A32" s="2" t="s">
        <v>25</v>
      </c>
      <c r="B32" s="3">
        <v>6766629.96</v>
      </c>
      <c r="C32" s="3">
        <v>7686577.8099999996</v>
      </c>
    </row>
    <row r="33" spans="1:5" x14ac:dyDescent="0.3">
      <c r="A33" s="2" t="s">
        <v>7</v>
      </c>
      <c r="B33" s="3">
        <v>6766629.96</v>
      </c>
      <c r="C33" s="3">
        <v>7686577.8099999996</v>
      </c>
    </row>
    <row r="35" spans="1:5" x14ac:dyDescent="0.3">
      <c r="A35" t="s">
        <v>26</v>
      </c>
    </row>
    <row r="36" spans="1:5" x14ac:dyDescent="0.3">
      <c r="A36" s="2" t="s">
        <v>27</v>
      </c>
      <c r="B36" s="2" t="s">
        <v>4</v>
      </c>
      <c r="C36" s="2" t="s">
        <v>4</v>
      </c>
      <c r="D36" s="2" t="s">
        <v>4</v>
      </c>
    </row>
    <row r="37" spans="1:5" x14ac:dyDescent="0.3">
      <c r="A37" s="2" t="s">
        <v>27</v>
      </c>
      <c r="B37" s="2" t="s">
        <v>9</v>
      </c>
      <c r="C37" s="2" t="s">
        <v>28</v>
      </c>
      <c r="D37" s="2" t="s">
        <v>13</v>
      </c>
    </row>
    <row r="38" spans="1:5" x14ac:dyDescent="0.3">
      <c r="A38" s="2" t="s">
        <v>29</v>
      </c>
      <c r="B38" s="3">
        <v>3981359.08</v>
      </c>
      <c r="C38" s="3">
        <v>58.84</v>
      </c>
      <c r="D38" s="2"/>
    </row>
    <row r="39" spans="1:5" x14ac:dyDescent="0.3">
      <c r="A39" s="2" t="s">
        <v>30</v>
      </c>
      <c r="B39" s="3">
        <v>2444672.4900000002</v>
      </c>
      <c r="C39" s="3">
        <v>36.130000000000003</v>
      </c>
      <c r="D39" s="2"/>
    </row>
    <row r="40" spans="1:5" x14ac:dyDescent="0.3">
      <c r="A40" s="2" t="s">
        <v>31</v>
      </c>
      <c r="B40" s="4">
        <v>146000</v>
      </c>
      <c r="C40" s="3">
        <v>2.16</v>
      </c>
      <c r="D40" s="2"/>
    </row>
    <row r="41" spans="1:5" x14ac:dyDescent="0.3">
      <c r="A41" s="2" t="s">
        <v>32</v>
      </c>
      <c r="B41" s="3">
        <v>97523.19</v>
      </c>
      <c r="C41" s="3">
        <v>1.44</v>
      </c>
      <c r="D41" s="2"/>
    </row>
    <row r="42" spans="1:5" x14ac:dyDescent="0.3">
      <c r="A42" s="2" t="s">
        <v>33</v>
      </c>
      <c r="B42" s="3">
        <v>97075.199999999997</v>
      </c>
      <c r="C42" s="3">
        <v>1.43</v>
      </c>
      <c r="D42" s="2"/>
    </row>
    <row r="43" spans="1:5" x14ac:dyDescent="0.3">
      <c r="A43" s="2" t="s">
        <v>7</v>
      </c>
      <c r="B43" s="3">
        <v>6766629.96</v>
      </c>
      <c r="C43" s="4">
        <v>100</v>
      </c>
      <c r="D43" s="2"/>
    </row>
    <row r="44" spans="1:5" x14ac:dyDescent="0.3">
      <c r="B44" s="5">
        <f>SUM(B38:B42)-B43</f>
        <v>0</v>
      </c>
      <c r="C44" s="5">
        <f>SUM(C38:C42)-C43</f>
        <v>0</v>
      </c>
    </row>
    <row r="45" spans="1:5" x14ac:dyDescent="0.3">
      <c r="A45" t="s">
        <v>34</v>
      </c>
    </row>
    <row r="46" spans="1:5" x14ac:dyDescent="0.3">
      <c r="A46" s="1" t="s">
        <v>35</v>
      </c>
    </row>
    <row r="47" spans="1:5" x14ac:dyDescent="0.3">
      <c r="A47" t="s">
        <v>36</v>
      </c>
    </row>
    <row r="48" spans="1:5" x14ac:dyDescent="0.3">
      <c r="A48" s="2" t="s">
        <v>37</v>
      </c>
      <c r="B48" s="2" t="s">
        <v>4</v>
      </c>
      <c r="C48" s="2" t="s">
        <v>4</v>
      </c>
      <c r="D48" s="2" t="s">
        <v>5</v>
      </c>
      <c r="E48" s="2" t="s">
        <v>5</v>
      </c>
    </row>
    <row r="49" spans="1:7" x14ac:dyDescent="0.3">
      <c r="A49" s="2" t="s">
        <v>37</v>
      </c>
      <c r="B49" s="2" t="s">
        <v>38</v>
      </c>
      <c r="C49" s="2" t="s">
        <v>16</v>
      </c>
      <c r="D49" s="2" t="s">
        <v>38</v>
      </c>
      <c r="E49" s="2" t="s">
        <v>16</v>
      </c>
    </row>
    <row r="50" spans="1:7" x14ac:dyDescent="0.3">
      <c r="A50" s="2" t="s">
        <v>39</v>
      </c>
      <c r="B50" s="3">
        <v>4093944.05</v>
      </c>
      <c r="C50" s="4">
        <v>100</v>
      </c>
      <c r="D50" s="3">
        <v>346812.92</v>
      </c>
      <c r="E50" s="4">
        <v>100</v>
      </c>
    </row>
    <row r="51" spans="1:7" x14ac:dyDescent="0.3">
      <c r="A51" s="2" t="s">
        <v>7</v>
      </c>
      <c r="B51" s="3">
        <v>4093944.05</v>
      </c>
      <c r="C51" s="4">
        <v>100</v>
      </c>
      <c r="D51" s="3">
        <v>346812.92</v>
      </c>
      <c r="E51" s="4">
        <v>100</v>
      </c>
    </row>
    <row r="53" spans="1:7" x14ac:dyDescent="0.3">
      <c r="A53" t="s">
        <v>40</v>
      </c>
    </row>
    <row r="54" spans="1:7" x14ac:dyDescent="0.3">
      <c r="A54" s="2" t="s">
        <v>27</v>
      </c>
      <c r="B54" s="2" t="s">
        <v>4</v>
      </c>
      <c r="C54" s="2" t="s">
        <v>37</v>
      </c>
      <c r="D54" s="2" t="s">
        <v>41</v>
      </c>
      <c r="E54" s="2" t="s">
        <v>24</v>
      </c>
    </row>
    <row r="55" spans="1:7" x14ac:dyDescent="0.3">
      <c r="A55" s="2" t="s">
        <v>42</v>
      </c>
      <c r="B55" s="4">
        <v>4034920</v>
      </c>
      <c r="C55" s="2" t="s">
        <v>39</v>
      </c>
      <c r="D55" s="3">
        <v>98.56</v>
      </c>
      <c r="E55" s="2" t="s">
        <v>43</v>
      </c>
    </row>
    <row r="56" spans="1:7" x14ac:dyDescent="0.3">
      <c r="A56" s="2" t="s">
        <v>44</v>
      </c>
      <c r="B56" s="3">
        <v>59024.05</v>
      </c>
      <c r="C56" s="2" t="s">
        <v>39</v>
      </c>
      <c r="D56" s="3">
        <v>1.44</v>
      </c>
      <c r="E56" s="2" t="s">
        <v>45</v>
      </c>
    </row>
    <row r="57" spans="1:7" x14ac:dyDescent="0.3">
      <c r="A57" s="2" t="s">
        <v>7</v>
      </c>
      <c r="B57" s="3">
        <v>4093944.05</v>
      </c>
      <c r="C57" s="2"/>
      <c r="D57" s="4">
        <v>100</v>
      </c>
      <c r="E57" s="2"/>
    </row>
    <row r="59" spans="1:7" x14ac:dyDescent="0.3">
      <c r="A59" t="s">
        <v>46</v>
      </c>
    </row>
    <row r="60" spans="1:7" x14ac:dyDescent="0.3">
      <c r="A60" s="1" t="s">
        <v>47</v>
      </c>
    </row>
    <row r="61" spans="1:7" x14ac:dyDescent="0.3">
      <c r="A61" t="s">
        <v>48</v>
      </c>
    </row>
    <row r="62" spans="1:7" x14ac:dyDescent="0.3">
      <c r="A62" s="2" t="s">
        <v>3</v>
      </c>
      <c r="B62" s="2" t="s">
        <v>4</v>
      </c>
      <c r="C62" s="2" t="s">
        <v>4</v>
      </c>
      <c r="D62" s="2" t="s">
        <v>4</v>
      </c>
      <c r="E62" s="2" t="s">
        <v>5</v>
      </c>
      <c r="F62" s="2" t="s">
        <v>5</v>
      </c>
      <c r="G62" s="2" t="s">
        <v>5</v>
      </c>
    </row>
    <row r="63" spans="1:7" x14ac:dyDescent="0.3">
      <c r="A63" s="2" t="s">
        <v>3</v>
      </c>
      <c r="B63" s="2" t="s">
        <v>12</v>
      </c>
      <c r="C63" s="2" t="s">
        <v>13</v>
      </c>
      <c r="D63" s="2" t="s">
        <v>14</v>
      </c>
      <c r="E63" s="2" t="s">
        <v>12</v>
      </c>
      <c r="F63" s="2" t="s">
        <v>13</v>
      </c>
      <c r="G63" s="2" t="s">
        <v>14</v>
      </c>
    </row>
    <row r="64" spans="1:7" x14ac:dyDescent="0.3">
      <c r="A64" s="2" t="s">
        <v>49</v>
      </c>
      <c r="B64" s="2"/>
      <c r="C64" s="2"/>
      <c r="D64" s="2"/>
      <c r="E64" s="2"/>
      <c r="F64" s="2"/>
      <c r="G64" s="2"/>
    </row>
    <row r="65" spans="1:7" x14ac:dyDescent="0.3">
      <c r="A65" s="2" t="s">
        <v>50</v>
      </c>
      <c r="B65" s="2"/>
      <c r="C65" s="2"/>
      <c r="D65" s="2"/>
      <c r="E65" s="2"/>
      <c r="F65" s="2"/>
      <c r="G65" s="2"/>
    </row>
    <row r="66" spans="1:7" x14ac:dyDescent="0.3">
      <c r="A66" s="2" t="s">
        <v>47</v>
      </c>
      <c r="B66" s="3">
        <v>256225.13</v>
      </c>
      <c r="C66" s="2"/>
      <c r="D66" s="3">
        <v>256225.13</v>
      </c>
      <c r="E66" s="3">
        <v>1403120.36</v>
      </c>
      <c r="F66" s="2"/>
      <c r="G66" s="3">
        <v>1403120.36</v>
      </c>
    </row>
    <row r="67" spans="1:7" x14ac:dyDescent="0.3">
      <c r="A67" s="2" t="s">
        <v>7</v>
      </c>
      <c r="B67" s="3">
        <v>256225.13</v>
      </c>
      <c r="C67" s="2"/>
      <c r="D67" s="3">
        <v>256225.13</v>
      </c>
      <c r="E67" s="3">
        <v>1403120.36</v>
      </c>
      <c r="F67" s="2"/>
      <c r="G67" s="3">
        <v>1403120.36</v>
      </c>
    </row>
    <row r="69" spans="1:7" x14ac:dyDescent="0.3">
      <c r="A69" t="s">
        <v>51</v>
      </c>
    </row>
    <row r="70" spans="1:7" x14ac:dyDescent="0.3">
      <c r="A70" t="s">
        <v>52</v>
      </c>
    </row>
    <row r="71" spans="1:7" x14ac:dyDescent="0.3">
      <c r="A71" s="2" t="s">
        <v>37</v>
      </c>
      <c r="B71" s="2" t="s">
        <v>4</v>
      </c>
      <c r="C71" s="2" t="s">
        <v>4</v>
      </c>
      <c r="D71" s="2" t="s">
        <v>4</v>
      </c>
      <c r="E71" s="2" t="s">
        <v>5</v>
      </c>
      <c r="F71" s="2" t="s">
        <v>5</v>
      </c>
      <c r="G71" s="2" t="s">
        <v>5</v>
      </c>
    </row>
    <row r="72" spans="1:7" x14ac:dyDescent="0.3">
      <c r="A72" s="2" t="s">
        <v>37</v>
      </c>
      <c r="B72" s="2" t="s">
        <v>12</v>
      </c>
      <c r="C72" s="2" t="s">
        <v>13</v>
      </c>
      <c r="D72" s="2" t="s">
        <v>14</v>
      </c>
      <c r="E72" s="2" t="s">
        <v>12</v>
      </c>
      <c r="F72" s="2" t="s">
        <v>13</v>
      </c>
      <c r="G72" s="2" t="s">
        <v>14</v>
      </c>
    </row>
    <row r="73" spans="1:7" x14ac:dyDescent="0.3">
      <c r="A73" s="2" t="s">
        <v>39</v>
      </c>
      <c r="B73" s="3">
        <v>170853.53</v>
      </c>
      <c r="C73" s="2"/>
      <c r="D73" s="3">
        <v>170853.53</v>
      </c>
      <c r="E73" s="3">
        <v>1317748.76</v>
      </c>
      <c r="F73" s="2"/>
      <c r="G73" s="3">
        <v>1317748.76</v>
      </c>
    </row>
    <row r="74" spans="1:7" x14ac:dyDescent="0.3">
      <c r="A74" s="2" t="s">
        <v>53</v>
      </c>
      <c r="B74" s="2"/>
      <c r="C74" s="2"/>
      <c r="D74" s="2"/>
      <c r="E74" s="2"/>
      <c r="F74" s="2"/>
      <c r="G74" s="2"/>
    </row>
    <row r="75" spans="1:7" x14ac:dyDescent="0.3">
      <c r="A75" s="2" t="s">
        <v>54</v>
      </c>
      <c r="B75" s="2"/>
      <c r="C75" s="2"/>
      <c r="D75" s="2"/>
      <c r="E75" s="3">
        <v>81171.600000000006</v>
      </c>
      <c r="F75" s="2"/>
      <c r="G75" s="3">
        <v>81171.600000000006</v>
      </c>
    </row>
    <row r="76" spans="1:7" x14ac:dyDescent="0.3">
      <c r="A76" s="2" t="s">
        <v>55</v>
      </c>
      <c r="B76" s="3">
        <v>81171.600000000006</v>
      </c>
      <c r="C76" s="2"/>
      <c r="D76" s="3">
        <v>81171.600000000006</v>
      </c>
      <c r="E76" s="2"/>
      <c r="F76" s="2"/>
      <c r="G76" s="2"/>
    </row>
    <row r="77" spans="1:7" x14ac:dyDescent="0.3">
      <c r="A77" s="2" t="s">
        <v>56</v>
      </c>
      <c r="B77" s="2"/>
      <c r="C77" s="2"/>
      <c r="D77" s="2"/>
      <c r="E77" s="4">
        <v>4200</v>
      </c>
      <c r="F77" s="2"/>
      <c r="G77" s="4">
        <v>4200</v>
      </c>
    </row>
    <row r="78" spans="1:7" x14ac:dyDescent="0.3">
      <c r="A78" s="2" t="s">
        <v>57</v>
      </c>
      <c r="B78" s="4">
        <v>4200</v>
      </c>
      <c r="C78" s="2"/>
      <c r="D78" s="4">
        <v>4200</v>
      </c>
      <c r="E78" s="2"/>
      <c r="F78" s="2"/>
      <c r="G78" s="2"/>
    </row>
    <row r="79" spans="1:7" x14ac:dyDescent="0.3">
      <c r="A79" s="2" t="s">
        <v>7</v>
      </c>
      <c r="B79" s="3">
        <v>256225.13</v>
      </c>
      <c r="C79" s="2"/>
      <c r="D79" s="3">
        <v>256225.13</v>
      </c>
      <c r="E79" s="3">
        <v>1403120.36</v>
      </c>
      <c r="F79" s="2"/>
      <c r="G79" s="3">
        <v>1403120.36</v>
      </c>
    </row>
    <row r="80" spans="1:7" x14ac:dyDescent="0.3">
      <c r="B80" s="5">
        <f>SUM(B73:B78)-B79</f>
        <v>0</v>
      </c>
      <c r="D80" s="5">
        <f>SUM(D73:D78)-D79</f>
        <v>0</v>
      </c>
      <c r="E80" s="5">
        <f>SUM(E73:E78)-E79</f>
        <v>0</v>
      </c>
      <c r="G80" s="5">
        <f>SUM(G73:G78)-G79</f>
        <v>0</v>
      </c>
    </row>
    <row r="81" spans="1:5" x14ac:dyDescent="0.3">
      <c r="A81" t="s">
        <v>58</v>
      </c>
    </row>
    <row r="82" spans="1:5" x14ac:dyDescent="0.3">
      <c r="A82" s="2" t="s">
        <v>13</v>
      </c>
      <c r="B82" s="2" t="s">
        <v>59</v>
      </c>
      <c r="C82" s="2" t="s">
        <v>60</v>
      </c>
      <c r="D82" s="2" t="s">
        <v>61</v>
      </c>
      <c r="E82" s="2" t="s">
        <v>7</v>
      </c>
    </row>
    <row r="83" spans="1:5" x14ac:dyDescent="0.3">
      <c r="A83" s="2" t="s">
        <v>13</v>
      </c>
      <c r="B83" s="2" t="s">
        <v>62</v>
      </c>
      <c r="C83" s="2" t="s">
        <v>63</v>
      </c>
      <c r="D83" s="2" t="s">
        <v>64</v>
      </c>
      <c r="E83" s="2" t="s">
        <v>7</v>
      </c>
    </row>
    <row r="84" spans="1:5" x14ac:dyDescent="0.3">
      <c r="A84" s="2" t="s">
        <v>5</v>
      </c>
      <c r="B84" s="2"/>
      <c r="C84" s="2"/>
      <c r="D84" s="2"/>
      <c r="E84" s="2"/>
    </row>
    <row r="85" spans="1:5" x14ac:dyDescent="0.3">
      <c r="A85" s="2" t="s">
        <v>65</v>
      </c>
      <c r="B85" s="2"/>
      <c r="C85" s="2"/>
      <c r="D85" s="2"/>
      <c r="E85" s="2"/>
    </row>
    <row r="86" spans="1:5" x14ac:dyDescent="0.3">
      <c r="A86" s="2" t="s">
        <v>66</v>
      </c>
      <c r="B86" s="2"/>
      <c r="C86" s="2"/>
      <c r="D86" s="2"/>
      <c r="E86" s="2"/>
    </row>
    <row r="87" spans="1:5" x14ac:dyDescent="0.3">
      <c r="A87" s="2" t="s">
        <v>67</v>
      </c>
      <c r="B87" s="2"/>
      <c r="C87" s="2"/>
      <c r="D87" s="2"/>
      <c r="E87" s="2"/>
    </row>
    <row r="88" spans="1:5" x14ac:dyDescent="0.3">
      <c r="A88" s="2" t="s">
        <v>68</v>
      </c>
      <c r="B88" s="2"/>
      <c r="C88" s="2"/>
      <c r="D88" s="2"/>
      <c r="E88" s="2"/>
    </row>
    <row r="89" spans="1:5" x14ac:dyDescent="0.3">
      <c r="A89" s="2" t="s">
        <v>69</v>
      </c>
      <c r="B89" s="2"/>
      <c r="C89" s="2"/>
      <c r="D89" s="2"/>
      <c r="E89" s="2"/>
    </row>
    <row r="90" spans="1:5" x14ac:dyDescent="0.3">
      <c r="A90" s="2" t="s">
        <v>70</v>
      </c>
      <c r="B90" s="2"/>
      <c r="C90" s="2"/>
      <c r="D90" s="2"/>
      <c r="E90" s="2"/>
    </row>
    <row r="91" spans="1:5" x14ac:dyDescent="0.3">
      <c r="A91" s="2" t="s">
        <v>7</v>
      </c>
      <c r="B91" s="2"/>
      <c r="C91" s="2"/>
      <c r="D91" s="2"/>
      <c r="E91" s="2"/>
    </row>
    <row r="93" spans="1:5" x14ac:dyDescent="0.3">
      <c r="A93" t="s">
        <v>71</v>
      </c>
    </row>
    <row r="94" spans="1:5" x14ac:dyDescent="0.3">
      <c r="A94" t="s">
        <v>72</v>
      </c>
    </row>
    <row r="95" spans="1:5" x14ac:dyDescent="0.3">
      <c r="A95" t="s">
        <v>73</v>
      </c>
    </row>
    <row r="96" spans="1:5" x14ac:dyDescent="0.3">
      <c r="A96" s="2" t="s">
        <v>24</v>
      </c>
      <c r="B96" s="2" t="s">
        <v>4</v>
      </c>
      <c r="C96" s="2" t="s">
        <v>5</v>
      </c>
    </row>
    <row r="97" spans="1:6" x14ac:dyDescent="0.3">
      <c r="A97" s="2" t="s">
        <v>74</v>
      </c>
      <c r="B97" s="2"/>
      <c r="C97" s="4">
        <v>1207840</v>
      </c>
    </row>
    <row r="98" spans="1:6" x14ac:dyDescent="0.3">
      <c r="A98" s="2" t="s">
        <v>75</v>
      </c>
      <c r="B98" s="3">
        <v>185371.6</v>
      </c>
      <c r="C98" s="3">
        <v>87371.6</v>
      </c>
    </row>
    <row r="99" spans="1:6" x14ac:dyDescent="0.3">
      <c r="A99" s="2" t="s">
        <v>76</v>
      </c>
      <c r="B99" s="3">
        <v>70853.53</v>
      </c>
      <c r="C99" s="3">
        <v>107908.76</v>
      </c>
    </row>
    <row r="100" spans="1:6" x14ac:dyDescent="0.3">
      <c r="A100" s="2" t="s">
        <v>7</v>
      </c>
      <c r="B100" s="3">
        <v>256225.13</v>
      </c>
      <c r="C100" s="3">
        <v>1403120.36</v>
      </c>
    </row>
    <row r="102" spans="1:6" x14ac:dyDescent="0.3">
      <c r="A102" t="s">
        <v>77</v>
      </c>
    </row>
    <row r="103" spans="1:6" x14ac:dyDescent="0.3">
      <c r="A103" s="2" t="s">
        <v>78</v>
      </c>
      <c r="B103" s="2" t="s">
        <v>24</v>
      </c>
      <c r="C103" s="2" t="s">
        <v>15</v>
      </c>
      <c r="D103" s="2" t="s">
        <v>37</v>
      </c>
      <c r="E103" s="2" t="s">
        <v>79</v>
      </c>
      <c r="F103" s="2" t="s">
        <v>80</v>
      </c>
    </row>
    <row r="104" spans="1:6" x14ac:dyDescent="0.3">
      <c r="A104" s="2" t="s">
        <v>81</v>
      </c>
      <c r="B104" s="2" t="s">
        <v>82</v>
      </c>
      <c r="C104" s="4">
        <v>100000</v>
      </c>
      <c r="D104" s="2" t="s">
        <v>39</v>
      </c>
      <c r="E104" s="2" t="s">
        <v>83</v>
      </c>
      <c r="F104" s="2"/>
    </row>
    <row r="105" spans="1:6" x14ac:dyDescent="0.3">
      <c r="A105" s="2" t="s">
        <v>84</v>
      </c>
      <c r="B105" s="2" t="s">
        <v>75</v>
      </c>
      <c r="C105" s="3">
        <v>81171.600000000006</v>
      </c>
      <c r="D105" s="2" t="s">
        <v>55</v>
      </c>
      <c r="E105" s="2" t="s">
        <v>85</v>
      </c>
      <c r="F105" s="2"/>
    </row>
    <row r="106" spans="1:6" x14ac:dyDescent="0.3">
      <c r="A106" s="2" t="s">
        <v>7</v>
      </c>
      <c r="B106" s="2"/>
      <c r="C106" s="3">
        <v>181171.6</v>
      </c>
      <c r="D106" s="2"/>
      <c r="E106" s="2"/>
      <c r="F106" s="2"/>
    </row>
    <row r="108" spans="1:6" x14ac:dyDescent="0.3">
      <c r="A108" t="s">
        <v>86</v>
      </c>
    </row>
    <row r="109" spans="1:6" x14ac:dyDescent="0.3">
      <c r="A109" s="1" t="s">
        <v>87</v>
      </c>
    </row>
    <row r="110" spans="1:6" x14ac:dyDescent="0.3">
      <c r="A110" s="2" t="s">
        <v>88</v>
      </c>
      <c r="B110" s="2" t="s">
        <v>4</v>
      </c>
      <c r="C110" s="2" t="s">
        <v>5</v>
      </c>
    </row>
    <row r="111" spans="1:6" x14ac:dyDescent="0.3">
      <c r="A111" s="2" t="s">
        <v>89</v>
      </c>
      <c r="B111" s="3">
        <v>38035.800000000003</v>
      </c>
      <c r="C111" s="3">
        <v>328782.40999999997</v>
      </c>
    </row>
    <row r="112" spans="1:6" x14ac:dyDescent="0.3">
      <c r="A112" s="2" t="s">
        <v>7</v>
      </c>
      <c r="B112" s="3">
        <v>38035.800000000003</v>
      </c>
      <c r="C112" s="3">
        <v>328782.40999999997</v>
      </c>
    </row>
    <row r="114" spans="1:7" x14ac:dyDescent="0.3">
      <c r="A114" s="1" t="s">
        <v>90</v>
      </c>
    </row>
    <row r="115" spans="1:7" x14ac:dyDescent="0.3">
      <c r="A115" s="2" t="s">
        <v>3</v>
      </c>
      <c r="B115" s="2" t="s">
        <v>4</v>
      </c>
      <c r="C115" s="2" t="s">
        <v>4</v>
      </c>
      <c r="D115" s="2" t="s">
        <v>4</v>
      </c>
      <c r="E115" s="2" t="s">
        <v>5</v>
      </c>
      <c r="F115" s="2" t="s">
        <v>5</v>
      </c>
      <c r="G115" s="2" t="s">
        <v>5</v>
      </c>
    </row>
    <row r="116" spans="1:7" x14ac:dyDescent="0.3">
      <c r="A116" s="2" t="s">
        <v>3</v>
      </c>
      <c r="B116" s="2" t="s">
        <v>12</v>
      </c>
      <c r="C116" s="2" t="s">
        <v>91</v>
      </c>
      <c r="D116" s="2" t="s">
        <v>14</v>
      </c>
      <c r="E116" s="2" t="s">
        <v>12</v>
      </c>
      <c r="F116" s="2" t="s">
        <v>91</v>
      </c>
      <c r="G116" s="2" t="s">
        <v>14</v>
      </c>
    </row>
    <row r="117" spans="1:7" x14ac:dyDescent="0.3">
      <c r="A117" s="2" t="s">
        <v>92</v>
      </c>
      <c r="B117" s="3">
        <v>16800783.93</v>
      </c>
      <c r="C117" s="2"/>
      <c r="D117" s="3">
        <v>16800783.93</v>
      </c>
      <c r="E117" s="3">
        <v>6800783.9299999997</v>
      </c>
      <c r="F117" s="2"/>
      <c r="G117" s="3">
        <v>6800783.9299999997</v>
      </c>
    </row>
    <row r="118" spans="1:7" x14ac:dyDescent="0.3">
      <c r="A118" s="2" t="s">
        <v>7</v>
      </c>
      <c r="B118" s="3">
        <v>16800783.93</v>
      </c>
      <c r="C118" s="2"/>
      <c r="D118" s="3">
        <v>16800783.93</v>
      </c>
      <c r="E118" s="3">
        <v>6800783.9299999997</v>
      </c>
      <c r="F118" s="2"/>
      <c r="G118" s="3">
        <v>6800783.9299999997</v>
      </c>
    </row>
    <row r="120" spans="1:7" x14ac:dyDescent="0.3">
      <c r="A120" t="s">
        <v>93</v>
      </c>
    </row>
    <row r="121" spans="1:7" x14ac:dyDescent="0.3">
      <c r="A121" s="2" t="s">
        <v>94</v>
      </c>
      <c r="B121" s="2" t="s">
        <v>5</v>
      </c>
      <c r="C121" s="2" t="s">
        <v>95</v>
      </c>
      <c r="D121" s="2" t="s">
        <v>96</v>
      </c>
      <c r="E121" s="2" t="s">
        <v>4</v>
      </c>
      <c r="F121" s="2" t="s">
        <v>97</v>
      </c>
      <c r="G121" s="2" t="s">
        <v>98</v>
      </c>
    </row>
    <row r="122" spans="1:7" x14ac:dyDescent="0.3">
      <c r="A122" s="2" t="s">
        <v>42</v>
      </c>
      <c r="B122" s="3">
        <v>6800783.9299999997</v>
      </c>
      <c r="C122" s="4">
        <v>10000000</v>
      </c>
      <c r="D122" s="2"/>
      <c r="E122" s="3">
        <v>16800783.93</v>
      </c>
      <c r="F122" s="2"/>
      <c r="G122" s="2"/>
    </row>
    <row r="123" spans="1:7" x14ac:dyDescent="0.3">
      <c r="A123" s="2" t="s">
        <v>7</v>
      </c>
      <c r="B123" s="3">
        <v>6800783.9299999997</v>
      </c>
      <c r="C123" s="4">
        <v>10000000</v>
      </c>
      <c r="D123" s="2"/>
      <c r="E123" s="3">
        <v>16800783.93</v>
      </c>
      <c r="F123" s="2"/>
      <c r="G123" s="2"/>
    </row>
    <row r="125" spans="1:7" x14ac:dyDescent="0.3">
      <c r="A125" s="1" t="s">
        <v>99</v>
      </c>
    </row>
    <row r="126" spans="1:7" x14ac:dyDescent="0.3">
      <c r="A126" t="s">
        <v>100</v>
      </c>
    </row>
    <row r="127" spans="1:7" x14ac:dyDescent="0.3">
      <c r="A127" s="2" t="s">
        <v>3</v>
      </c>
      <c r="B127" s="2" t="s">
        <v>4</v>
      </c>
      <c r="C127" s="2" t="s">
        <v>5</v>
      </c>
    </row>
    <row r="128" spans="1:7" x14ac:dyDescent="0.3">
      <c r="A128" s="2" t="s">
        <v>99</v>
      </c>
      <c r="B128" s="3">
        <v>33573009.649999999</v>
      </c>
      <c r="C128" s="3">
        <v>35993007.460000001</v>
      </c>
    </row>
    <row r="129" spans="1:6" x14ac:dyDescent="0.3">
      <c r="A129" s="2" t="s">
        <v>101</v>
      </c>
      <c r="B129" s="2"/>
      <c r="C129" s="2"/>
    </row>
    <row r="130" spans="1:6" x14ac:dyDescent="0.3">
      <c r="A130" s="2" t="s">
        <v>7</v>
      </c>
      <c r="B130" s="3">
        <v>33573009.649999999</v>
      </c>
      <c r="C130" s="3">
        <v>35993007.460000001</v>
      </c>
    </row>
    <row r="132" spans="1:6" x14ac:dyDescent="0.3">
      <c r="A132" t="s">
        <v>102</v>
      </c>
    </row>
    <row r="133" spans="1:6" x14ac:dyDescent="0.3">
      <c r="A133" s="2" t="s">
        <v>3</v>
      </c>
      <c r="B133" s="2" t="s">
        <v>103</v>
      </c>
      <c r="C133" s="2" t="s">
        <v>104</v>
      </c>
      <c r="D133" s="2" t="s">
        <v>105</v>
      </c>
      <c r="E133" s="2" t="s">
        <v>106</v>
      </c>
      <c r="F133" s="2" t="s">
        <v>107</v>
      </c>
    </row>
    <row r="134" spans="1:6" x14ac:dyDescent="0.3">
      <c r="A134" s="2" t="s">
        <v>108</v>
      </c>
      <c r="B134" s="2"/>
      <c r="C134" s="2"/>
      <c r="D134" s="2"/>
      <c r="E134" s="2"/>
      <c r="F134" s="2"/>
    </row>
    <row r="135" spans="1:6" x14ac:dyDescent="0.3">
      <c r="A135" s="2" t="s">
        <v>109</v>
      </c>
      <c r="B135" s="3">
        <v>41421878.619999997</v>
      </c>
      <c r="C135" s="3">
        <v>2478369.2599999998</v>
      </c>
      <c r="D135" s="3">
        <v>417873.45</v>
      </c>
      <c r="E135" s="3">
        <v>493944.73</v>
      </c>
      <c r="F135" s="3">
        <v>44812066.060000002</v>
      </c>
    </row>
    <row r="136" spans="1:6" x14ac:dyDescent="0.3">
      <c r="A136" s="2" t="s">
        <v>110</v>
      </c>
      <c r="B136" s="2"/>
      <c r="C136" s="2"/>
      <c r="D136" s="2"/>
      <c r="E136" s="2"/>
      <c r="F136" s="2"/>
    </row>
    <row r="137" spans="1:6" x14ac:dyDescent="0.3">
      <c r="A137" s="2" t="s">
        <v>111</v>
      </c>
      <c r="B137" s="2"/>
      <c r="C137" s="2"/>
      <c r="D137" s="2"/>
      <c r="E137" s="2"/>
      <c r="F137" s="2"/>
    </row>
    <row r="138" spans="1:6" x14ac:dyDescent="0.3">
      <c r="A138" s="2" t="s">
        <v>112</v>
      </c>
      <c r="B138" s="2"/>
      <c r="C138" s="2"/>
      <c r="D138" s="2"/>
      <c r="E138" s="2"/>
      <c r="F138" s="2"/>
    </row>
    <row r="139" spans="1:6" x14ac:dyDescent="0.3">
      <c r="A139" s="2" t="s">
        <v>113</v>
      </c>
      <c r="B139" s="2"/>
      <c r="C139" s="2"/>
      <c r="D139" s="2"/>
      <c r="E139" s="2"/>
      <c r="F139" s="2"/>
    </row>
    <row r="140" spans="1:6" x14ac:dyDescent="0.3">
      <c r="A140" s="2" t="s">
        <v>114</v>
      </c>
      <c r="B140" s="2"/>
      <c r="C140" s="2"/>
      <c r="D140" s="2"/>
      <c r="E140" s="2"/>
      <c r="F140" s="2"/>
    </row>
    <row r="141" spans="1:6" x14ac:dyDescent="0.3">
      <c r="A141" s="2" t="s">
        <v>115</v>
      </c>
      <c r="B141" s="2"/>
      <c r="C141" s="2"/>
      <c r="D141" s="2"/>
      <c r="E141" s="2"/>
      <c r="F141" s="2"/>
    </row>
    <row r="142" spans="1:6" x14ac:dyDescent="0.3">
      <c r="A142" s="2" t="s">
        <v>116</v>
      </c>
      <c r="B142" s="3">
        <v>41421878.619999997</v>
      </c>
      <c r="C142" s="3">
        <v>2478369.2599999998</v>
      </c>
      <c r="D142" s="3">
        <v>417873.45</v>
      </c>
      <c r="E142" s="3">
        <v>493944.73</v>
      </c>
      <c r="F142" s="3">
        <v>44812066.060000002</v>
      </c>
    </row>
    <row r="143" spans="1:6" x14ac:dyDescent="0.3">
      <c r="A143" s="2" t="s">
        <v>117</v>
      </c>
      <c r="B143" s="2"/>
      <c r="C143" s="2"/>
      <c r="D143" s="2"/>
      <c r="E143" s="2"/>
      <c r="F143" s="2"/>
    </row>
    <row r="144" spans="1:6" x14ac:dyDescent="0.3">
      <c r="A144" s="2" t="s">
        <v>109</v>
      </c>
      <c r="B144" s="3">
        <v>6248893.0999999996</v>
      </c>
      <c r="C144" s="3">
        <v>2101005.38</v>
      </c>
      <c r="D144" s="3">
        <v>238187.88</v>
      </c>
      <c r="E144" s="3">
        <v>230972.24</v>
      </c>
      <c r="F144" s="3">
        <v>8819058.5999999996</v>
      </c>
    </row>
    <row r="145" spans="1:6" x14ac:dyDescent="0.3">
      <c r="A145" s="2" t="s">
        <v>110</v>
      </c>
      <c r="B145" s="3">
        <v>1995361.92</v>
      </c>
      <c r="C145" s="3">
        <v>251390.69</v>
      </c>
      <c r="D145" s="3">
        <v>79395.960000000006</v>
      </c>
      <c r="E145" s="3">
        <v>93849.24</v>
      </c>
      <c r="F145" s="3">
        <v>2419997.81</v>
      </c>
    </row>
    <row r="146" spans="1:6" x14ac:dyDescent="0.3">
      <c r="A146" s="2" t="s">
        <v>118</v>
      </c>
      <c r="B146" s="3">
        <v>1995361.92</v>
      </c>
      <c r="C146" s="3">
        <v>251390.69</v>
      </c>
      <c r="D146" s="3">
        <v>79395.960000000006</v>
      </c>
      <c r="E146" s="3">
        <v>93849.24</v>
      </c>
      <c r="F146" s="3">
        <v>2419997.81</v>
      </c>
    </row>
    <row r="147" spans="1:6" x14ac:dyDescent="0.3">
      <c r="A147" s="2" t="s">
        <v>119</v>
      </c>
      <c r="B147" s="2"/>
      <c r="C147" s="2"/>
      <c r="D147" s="2"/>
      <c r="E147" s="2"/>
      <c r="F147" s="2"/>
    </row>
    <row r="148" spans="1:6" x14ac:dyDescent="0.3">
      <c r="A148" s="2" t="s">
        <v>113</v>
      </c>
      <c r="B148" s="2"/>
      <c r="C148" s="2"/>
      <c r="D148" s="2"/>
      <c r="E148" s="2"/>
      <c r="F148" s="2"/>
    </row>
    <row r="149" spans="1:6" x14ac:dyDescent="0.3">
      <c r="A149" s="2" t="s">
        <v>114</v>
      </c>
      <c r="B149" s="2"/>
      <c r="C149" s="2"/>
      <c r="D149" s="2"/>
      <c r="E149" s="2"/>
      <c r="F149" s="2"/>
    </row>
    <row r="150" spans="1:6" x14ac:dyDescent="0.3">
      <c r="A150" s="2" t="s">
        <v>115</v>
      </c>
      <c r="B150" s="2"/>
      <c r="C150" s="2"/>
      <c r="D150" s="2"/>
      <c r="E150" s="2"/>
      <c r="F150" s="2"/>
    </row>
    <row r="151" spans="1:6" x14ac:dyDescent="0.3">
      <c r="A151" s="2" t="s">
        <v>116</v>
      </c>
      <c r="B151" s="3">
        <v>8244255.0199999996</v>
      </c>
      <c r="C151" s="3">
        <v>2352396.0699999998</v>
      </c>
      <c r="D151" s="3">
        <v>317583.84000000003</v>
      </c>
      <c r="E151" s="3">
        <v>324821.48</v>
      </c>
      <c r="F151" s="3">
        <v>11239056.41</v>
      </c>
    </row>
    <row r="152" spans="1:6" x14ac:dyDescent="0.3">
      <c r="A152" s="2" t="s">
        <v>120</v>
      </c>
      <c r="B152" s="2"/>
      <c r="C152" s="2"/>
      <c r="D152" s="2"/>
      <c r="E152" s="2"/>
      <c r="F152" s="2"/>
    </row>
    <row r="153" spans="1:6" x14ac:dyDescent="0.3">
      <c r="A153" s="2" t="s">
        <v>109</v>
      </c>
      <c r="B153" s="2"/>
      <c r="C153" s="2"/>
      <c r="D153" s="2"/>
      <c r="E153" s="2"/>
      <c r="F153" s="2"/>
    </row>
    <row r="154" spans="1:6" x14ac:dyDescent="0.3">
      <c r="A154" s="2" t="s">
        <v>110</v>
      </c>
      <c r="B154" s="2"/>
      <c r="C154" s="2"/>
      <c r="D154" s="2"/>
      <c r="E154" s="2"/>
      <c r="F154" s="2"/>
    </row>
    <row r="155" spans="1:6" x14ac:dyDescent="0.3">
      <c r="A155" s="2" t="s">
        <v>118</v>
      </c>
      <c r="B155" s="2"/>
      <c r="C155" s="2"/>
      <c r="D155" s="2"/>
      <c r="E155" s="2"/>
      <c r="F155" s="2"/>
    </row>
    <row r="156" spans="1:6" x14ac:dyDescent="0.3">
      <c r="A156" s="2" t="s">
        <v>119</v>
      </c>
      <c r="B156" s="2"/>
      <c r="C156" s="2"/>
      <c r="D156" s="2"/>
      <c r="E156" s="2"/>
      <c r="F156" s="2"/>
    </row>
    <row r="157" spans="1:6" x14ac:dyDescent="0.3">
      <c r="A157" s="2" t="s">
        <v>113</v>
      </c>
      <c r="B157" s="2"/>
      <c r="C157" s="2"/>
      <c r="D157" s="2"/>
      <c r="E157" s="2"/>
      <c r="F157" s="2"/>
    </row>
    <row r="158" spans="1:6" x14ac:dyDescent="0.3">
      <c r="A158" s="2" t="s">
        <v>114</v>
      </c>
      <c r="B158" s="2"/>
      <c r="C158" s="2"/>
      <c r="D158" s="2"/>
      <c r="E158" s="2"/>
      <c r="F158" s="2"/>
    </row>
    <row r="159" spans="1:6" x14ac:dyDescent="0.3">
      <c r="A159" s="2" t="s">
        <v>115</v>
      </c>
      <c r="B159" s="2"/>
      <c r="C159" s="2"/>
      <c r="D159" s="2"/>
      <c r="E159" s="2"/>
      <c r="F159" s="2"/>
    </row>
    <row r="160" spans="1:6" x14ac:dyDescent="0.3">
      <c r="A160" s="2" t="s">
        <v>116</v>
      </c>
      <c r="B160" s="2"/>
      <c r="C160" s="2"/>
      <c r="D160" s="2"/>
      <c r="E160" s="2"/>
      <c r="F160" s="2"/>
    </row>
    <row r="161" spans="1:6" x14ac:dyDescent="0.3">
      <c r="A161" s="2" t="s">
        <v>121</v>
      </c>
      <c r="B161" s="2"/>
      <c r="C161" s="2"/>
      <c r="D161" s="2"/>
      <c r="E161" s="2"/>
      <c r="F161" s="2"/>
    </row>
    <row r="162" spans="1:6" x14ac:dyDescent="0.3">
      <c r="A162" s="2" t="s">
        <v>122</v>
      </c>
      <c r="B162" s="3">
        <v>33177623.600000001</v>
      </c>
      <c r="C162" s="3">
        <v>125973.19</v>
      </c>
      <c r="D162" s="3">
        <v>100289.61</v>
      </c>
      <c r="E162" s="3">
        <v>169123.25</v>
      </c>
      <c r="F162" s="3">
        <v>33573009.649999999</v>
      </c>
    </row>
    <row r="163" spans="1:6" x14ac:dyDescent="0.3">
      <c r="A163" s="2" t="s">
        <v>123</v>
      </c>
      <c r="B163" s="3">
        <v>35172985.520000003</v>
      </c>
      <c r="C163" s="3">
        <v>377363.88</v>
      </c>
      <c r="D163" s="3">
        <v>179685.57</v>
      </c>
      <c r="E163" s="3">
        <v>262972.49</v>
      </c>
      <c r="F163" s="3">
        <v>35993007.460000001</v>
      </c>
    </row>
    <row r="164" spans="1:6" x14ac:dyDescent="0.3">
      <c r="B164" s="5">
        <f>B135-B144-B163</f>
        <v>0</v>
      </c>
      <c r="C164" s="5">
        <f t="shared" ref="C164:F164" si="0">C135-C144-C163</f>
        <v>0</v>
      </c>
      <c r="D164" s="5">
        <f t="shared" si="0"/>
        <v>0</v>
      </c>
      <c r="E164" s="5">
        <f t="shared" si="0"/>
        <v>0</v>
      </c>
      <c r="F164" s="5">
        <f t="shared" si="0"/>
        <v>0</v>
      </c>
    </row>
    <row r="165" spans="1:6" x14ac:dyDescent="0.3">
      <c r="B165" s="5">
        <f>B135-B144-B146-B162</f>
        <v>0</v>
      </c>
      <c r="C165" s="5">
        <f t="shared" ref="C165:F165" si="1">C135-C144-C146-C162</f>
        <v>-1.1641532182693481E-10</v>
      </c>
      <c r="D165" s="5">
        <f t="shared" si="1"/>
        <v>0</v>
      </c>
      <c r="E165" s="5">
        <f t="shared" si="1"/>
        <v>0</v>
      </c>
      <c r="F165" s="5">
        <f t="shared" si="1"/>
        <v>0</v>
      </c>
    </row>
    <row r="166" spans="1:6" x14ac:dyDescent="0.3">
      <c r="A166" t="s">
        <v>124</v>
      </c>
    </row>
    <row r="167" spans="1:6" x14ac:dyDescent="0.3">
      <c r="A167" t="s">
        <v>125</v>
      </c>
    </row>
    <row r="168" spans="1:6" x14ac:dyDescent="0.3">
      <c r="A168" s="1" t="s">
        <v>126</v>
      </c>
    </row>
    <row r="169" spans="1:6" x14ac:dyDescent="0.3">
      <c r="A169" s="2" t="s">
        <v>3</v>
      </c>
      <c r="B169" s="2" t="s">
        <v>103</v>
      </c>
      <c r="C169" s="2" t="s">
        <v>107</v>
      </c>
    </row>
    <row r="170" spans="1:6" x14ac:dyDescent="0.3">
      <c r="A170" s="2" t="s">
        <v>108</v>
      </c>
      <c r="B170" s="2"/>
      <c r="C170" s="2"/>
    </row>
    <row r="171" spans="1:6" x14ac:dyDescent="0.3">
      <c r="A171" s="2" t="s">
        <v>109</v>
      </c>
      <c r="B171" s="3">
        <v>2375155.4300000002</v>
      </c>
      <c r="C171" s="3">
        <v>2375155.4300000002</v>
      </c>
    </row>
    <row r="172" spans="1:6" x14ac:dyDescent="0.3">
      <c r="A172" s="2" t="s">
        <v>110</v>
      </c>
      <c r="B172" s="2"/>
      <c r="C172" s="2"/>
    </row>
    <row r="173" spans="1:6" x14ac:dyDescent="0.3">
      <c r="A173" s="2" t="s">
        <v>127</v>
      </c>
      <c r="B173" s="2"/>
      <c r="C173" s="2"/>
    </row>
    <row r="174" spans="1:6" x14ac:dyDescent="0.3">
      <c r="A174" s="2" t="s">
        <v>113</v>
      </c>
      <c r="B174" s="2"/>
      <c r="C174" s="2"/>
    </row>
    <row r="175" spans="1:6" x14ac:dyDescent="0.3">
      <c r="A175" s="2" t="s">
        <v>128</v>
      </c>
      <c r="B175" s="2"/>
      <c r="C175" s="2"/>
    </row>
    <row r="176" spans="1:6" x14ac:dyDescent="0.3">
      <c r="A176" s="2" t="s">
        <v>116</v>
      </c>
      <c r="B176" s="3">
        <v>2375155.4300000002</v>
      </c>
      <c r="C176" s="3">
        <v>2375155.4300000002</v>
      </c>
    </row>
    <row r="177" spans="1:3" x14ac:dyDescent="0.3">
      <c r="A177" s="2" t="s">
        <v>117</v>
      </c>
      <c r="B177" s="2"/>
      <c r="C177" s="2"/>
    </row>
    <row r="178" spans="1:3" x14ac:dyDescent="0.3">
      <c r="A178" s="2" t="s">
        <v>109</v>
      </c>
      <c r="B178" s="3">
        <v>1108405.8999999999</v>
      </c>
      <c r="C178" s="3">
        <v>1108405.8999999999</v>
      </c>
    </row>
    <row r="179" spans="1:3" x14ac:dyDescent="0.3">
      <c r="A179" s="2" t="s">
        <v>110</v>
      </c>
      <c r="B179" s="3">
        <v>950062.2</v>
      </c>
      <c r="C179" s="3">
        <v>950062.2</v>
      </c>
    </row>
    <row r="180" spans="1:3" x14ac:dyDescent="0.3">
      <c r="A180" s="2" t="s">
        <v>118</v>
      </c>
      <c r="B180" s="3">
        <v>950062.2</v>
      </c>
      <c r="C180" s="3">
        <v>950062.2</v>
      </c>
    </row>
    <row r="181" spans="1:3" x14ac:dyDescent="0.3">
      <c r="A181" s="2" t="s">
        <v>113</v>
      </c>
      <c r="B181" s="2"/>
      <c r="C181" s="2"/>
    </row>
    <row r="182" spans="1:3" x14ac:dyDescent="0.3">
      <c r="A182" s="2" t="s">
        <v>128</v>
      </c>
      <c r="B182" s="2"/>
      <c r="C182" s="2"/>
    </row>
    <row r="183" spans="1:3" x14ac:dyDescent="0.3">
      <c r="A183" s="2" t="s">
        <v>116</v>
      </c>
      <c r="B183" s="3">
        <v>2058468.1</v>
      </c>
      <c r="C183" s="3">
        <v>2058468.1</v>
      </c>
    </row>
    <row r="184" spans="1:3" x14ac:dyDescent="0.3">
      <c r="A184" s="2" t="s">
        <v>120</v>
      </c>
      <c r="B184" s="2"/>
      <c r="C184" s="2"/>
    </row>
    <row r="185" spans="1:3" x14ac:dyDescent="0.3">
      <c r="A185" s="2" t="s">
        <v>109</v>
      </c>
      <c r="B185" s="2"/>
      <c r="C185" s="2"/>
    </row>
    <row r="186" spans="1:3" x14ac:dyDescent="0.3">
      <c r="A186" s="2" t="s">
        <v>110</v>
      </c>
      <c r="B186" s="2"/>
      <c r="C186" s="2"/>
    </row>
    <row r="187" spans="1:3" x14ac:dyDescent="0.3">
      <c r="A187" s="2" t="s">
        <v>118</v>
      </c>
      <c r="B187" s="2"/>
      <c r="C187" s="2"/>
    </row>
    <row r="188" spans="1:3" x14ac:dyDescent="0.3">
      <c r="A188" s="2" t="s">
        <v>113</v>
      </c>
      <c r="B188" s="2"/>
      <c r="C188" s="2"/>
    </row>
    <row r="189" spans="1:3" x14ac:dyDescent="0.3">
      <c r="A189" s="2" t="s">
        <v>129</v>
      </c>
      <c r="B189" s="2"/>
      <c r="C189" s="2"/>
    </row>
    <row r="190" spans="1:3" x14ac:dyDescent="0.3">
      <c r="A190" s="2" t="s">
        <v>116</v>
      </c>
      <c r="B190" s="2"/>
      <c r="C190" s="2"/>
    </row>
    <row r="191" spans="1:3" x14ac:dyDescent="0.3">
      <c r="A191" s="2" t="s">
        <v>121</v>
      </c>
      <c r="B191" s="2"/>
      <c r="C191" s="2"/>
    </row>
    <row r="192" spans="1:3" x14ac:dyDescent="0.3">
      <c r="A192" s="2" t="s">
        <v>122</v>
      </c>
      <c r="B192" s="3">
        <v>316687.33</v>
      </c>
      <c r="C192" s="3">
        <v>316687.33</v>
      </c>
    </row>
    <row r="193" spans="1:3" x14ac:dyDescent="0.3">
      <c r="A193" s="2" t="s">
        <v>123</v>
      </c>
      <c r="B193" s="3">
        <v>1266749.53</v>
      </c>
      <c r="C193" s="3">
        <v>1266749.53</v>
      </c>
    </row>
    <row r="194" spans="1:3" x14ac:dyDescent="0.3">
      <c r="A194" s="6"/>
      <c r="B194" s="7">
        <f>B171-B178-B193</f>
        <v>0</v>
      </c>
      <c r="C194" s="7">
        <f>C171-C178-C193</f>
        <v>0</v>
      </c>
    </row>
    <row r="195" spans="1:3" x14ac:dyDescent="0.3">
      <c r="B195" s="5">
        <f>B171-B178-B180-B192</f>
        <v>0</v>
      </c>
      <c r="C195" s="5">
        <f>C171-C178-C180-C192</f>
        <v>0</v>
      </c>
    </row>
    <row r="196" spans="1:3" x14ac:dyDescent="0.3">
      <c r="A196" s="1" t="s">
        <v>130</v>
      </c>
    </row>
    <row r="197" spans="1:3" x14ac:dyDescent="0.3">
      <c r="A197" s="2" t="s">
        <v>88</v>
      </c>
      <c r="B197" s="2" t="s">
        <v>131</v>
      </c>
      <c r="C197" s="2" t="s">
        <v>7</v>
      </c>
    </row>
    <row r="198" spans="1:3" x14ac:dyDescent="0.3">
      <c r="A198" s="2" t="s">
        <v>108</v>
      </c>
      <c r="B198" s="2"/>
      <c r="C198" s="2"/>
    </row>
    <row r="199" spans="1:3" x14ac:dyDescent="0.3">
      <c r="A199" s="2" t="s">
        <v>132</v>
      </c>
      <c r="B199" s="3">
        <v>4071264.98</v>
      </c>
      <c r="C199" s="3">
        <v>4071264.98</v>
      </c>
    </row>
    <row r="200" spans="1:3" x14ac:dyDescent="0.3">
      <c r="A200" s="2" t="s">
        <v>133</v>
      </c>
      <c r="B200" s="2"/>
      <c r="C200" s="2"/>
    </row>
    <row r="201" spans="1:3" x14ac:dyDescent="0.3">
      <c r="A201" s="2" t="s">
        <v>111</v>
      </c>
      <c r="B201" s="2"/>
      <c r="C201" s="2"/>
    </row>
    <row r="202" spans="1:3" x14ac:dyDescent="0.3">
      <c r="A202" s="2" t="s">
        <v>134</v>
      </c>
      <c r="B202" s="2"/>
      <c r="C202" s="2"/>
    </row>
    <row r="203" spans="1:3" x14ac:dyDescent="0.3">
      <c r="A203" s="2" t="s">
        <v>135</v>
      </c>
      <c r="B203" s="2"/>
      <c r="C203" s="2"/>
    </row>
    <row r="204" spans="1:3" x14ac:dyDescent="0.3">
      <c r="A204" s="2" t="s">
        <v>136</v>
      </c>
      <c r="B204" s="2"/>
      <c r="C204" s="2"/>
    </row>
    <row r="205" spans="1:3" x14ac:dyDescent="0.3">
      <c r="A205" s="2" t="s">
        <v>129</v>
      </c>
      <c r="B205" s="2"/>
      <c r="C205" s="2"/>
    </row>
    <row r="206" spans="1:3" x14ac:dyDescent="0.3">
      <c r="A206" s="2" t="s">
        <v>137</v>
      </c>
      <c r="B206" s="3">
        <v>4071264.98</v>
      </c>
      <c r="C206" s="3">
        <v>4071264.98</v>
      </c>
    </row>
    <row r="207" spans="1:3" x14ac:dyDescent="0.3">
      <c r="A207" s="2" t="s">
        <v>138</v>
      </c>
      <c r="B207" s="2"/>
      <c r="C207" s="2"/>
    </row>
    <row r="208" spans="1:3" x14ac:dyDescent="0.3">
      <c r="A208" s="2" t="s">
        <v>132</v>
      </c>
      <c r="B208" s="3">
        <v>3125784.16</v>
      </c>
      <c r="C208" s="3">
        <v>3125784.16</v>
      </c>
    </row>
    <row r="209" spans="1:3" x14ac:dyDescent="0.3">
      <c r="A209" s="2" t="s">
        <v>133</v>
      </c>
      <c r="B209" s="3">
        <v>517144.5</v>
      </c>
      <c r="C209" s="3">
        <v>517144.5</v>
      </c>
    </row>
    <row r="210" spans="1:3" x14ac:dyDescent="0.3">
      <c r="A210" s="2" t="s">
        <v>139</v>
      </c>
      <c r="B210" s="3">
        <v>517144.5</v>
      </c>
      <c r="C210" s="3">
        <v>517144.5</v>
      </c>
    </row>
    <row r="211" spans="1:3" x14ac:dyDescent="0.3">
      <c r="A211" s="2" t="s">
        <v>136</v>
      </c>
      <c r="B211" s="2"/>
      <c r="C211" s="2"/>
    </row>
    <row r="212" spans="1:3" x14ac:dyDescent="0.3">
      <c r="A212" s="2" t="s">
        <v>129</v>
      </c>
      <c r="B212" s="2"/>
      <c r="C212" s="2"/>
    </row>
    <row r="213" spans="1:3" x14ac:dyDescent="0.3">
      <c r="A213" s="2" t="s">
        <v>137</v>
      </c>
      <c r="B213" s="3">
        <v>3642928.66</v>
      </c>
      <c r="C213" s="3">
        <v>3642928.66</v>
      </c>
    </row>
    <row r="214" spans="1:3" x14ac:dyDescent="0.3">
      <c r="A214" s="2" t="s">
        <v>120</v>
      </c>
      <c r="B214" s="2"/>
      <c r="C214" s="2"/>
    </row>
    <row r="215" spans="1:3" x14ac:dyDescent="0.3">
      <c r="A215" s="2" t="s">
        <v>132</v>
      </c>
      <c r="B215" s="2"/>
      <c r="C215" s="2"/>
    </row>
    <row r="216" spans="1:3" x14ac:dyDescent="0.3">
      <c r="A216" s="2" t="s">
        <v>133</v>
      </c>
      <c r="B216" s="2"/>
      <c r="C216" s="2"/>
    </row>
    <row r="217" spans="1:3" x14ac:dyDescent="0.3">
      <c r="A217" s="2" t="s">
        <v>139</v>
      </c>
      <c r="B217" s="2"/>
      <c r="C217" s="2"/>
    </row>
    <row r="218" spans="1:3" x14ac:dyDescent="0.3">
      <c r="A218" s="2" t="s">
        <v>136</v>
      </c>
      <c r="B218" s="2"/>
      <c r="C218" s="2"/>
    </row>
    <row r="219" spans="1:3" x14ac:dyDescent="0.3">
      <c r="A219" s="2" t="s">
        <v>129</v>
      </c>
      <c r="B219" s="2"/>
      <c r="C219" s="2"/>
    </row>
    <row r="220" spans="1:3" x14ac:dyDescent="0.3">
      <c r="A220" s="2" t="s">
        <v>137</v>
      </c>
      <c r="B220" s="2"/>
      <c r="C220" s="2"/>
    </row>
    <row r="221" spans="1:3" x14ac:dyDescent="0.3">
      <c r="A221" s="2" t="s">
        <v>121</v>
      </c>
      <c r="B221" s="2"/>
      <c r="C221" s="2"/>
    </row>
    <row r="222" spans="1:3" x14ac:dyDescent="0.3">
      <c r="A222" s="2" t="s">
        <v>140</v>
      </c>
      <c r="B222" s="3">
        <v>428336.32</v>
      </c>
      <c r="C222" s="3">
        <v>428336.32</v>
      </c>
    </row>
    <row r="223" spans="1:3" x14ac:dyDescent="0.3">
      <c r="A223" s="2" t="s">
        <v>141</v>
      </c>
      <c r="B223" s="3">
        <v>945480.82</v>
      </c>
      <c r="C223" s="3">
        <v>945480.82</v>
      </c>
    </row>
    <row r="224" spans="1:3" x14ac:dyDescent="0.3">
      <c r="A224" s="6"/>
      <c r="B224" s="7">
        <f>B199-B208-B223</f>
        <v>0</v>
      </c>
      <c r="C224" s="7">
        <f>C199-C208-C223</f>
        <v>0</v>
      </c>
    </row>
    <row r="225" spans="1:7" x14ac:dyDescent="0.3">
      <c r="A225" s="6"/>
      <c r="B225" s="7">
        <f>B199-B208-B210-B222</f>
        <v>0</v>
      </c>
      <c r="C225" s="7">
        <f>C199-C208-C210-C222</f>
        <v>0</v>
      </c>
    </row>
    <row r="226" spans="1:7" x14ac:dyDescent="0.3">
      <c r="A226" s="6"/>
      <c r="B226" s="7"/>
      <c r="C226" s="7"/>
    </row>
    <row r="228" spans="1:7" x14ac:dyDescent="0.3">
      <c r="A228" s="1" t="s">
        <v>142</v>
      </c>
    </row>
    <row r="229" spans="1:7" x14ac:dyDescent="0.3">
      <c r="A229" s="2" t="s">
        <v>3</v>
      </c>
      <c r="B229" s="2" t="s">
        <v>4</v>
      </c>
      <c r="C229" s="2" t="s">
        <v>4</v>
      </c>
      <c r="D229" s="2" t="s">
        <v>5</v>
      </c>
      <c r="E229" s="2" t="s">
        <v>5</v>
      </c>
      <c r="G229" s="8"/>
    </row>
    <row r="230" spans="1:7" x14ac:dyDescent="0.3">
      <c r="A230" s="2" t="s">
        <v>3</v>
      </c>
      <c r="B230" s="2" t="s">
        <v>143</v>
      </c>
      <c r="C230" s="2" t="s">
        <v>144</v>
      </c>
      <c r="D230" s="2" t="s">
        <v>143</v>
      </c>
      <c r="E230" s="2" t="s">
        <v>144</v>
      </c>
      <c r="G230" s="8"/>
    </row>
    <row r="231" spans="1:7" x14ac:dyDescent="0.3">
      <c r="A231" s="2" t="s">
        <v>143</v>
      </c>
      <c r="B231" s="2"/>
      <c r="C231" s="2"/>
      <c r="D231" s="2"/>
      <c r="E231" s="2"/>
      <c r="G231" s="8"/>
    </row>
    <row r="232" spans="1:7" x14ac:dyDescent="0.3">
      <c r="A232" s="2" t="s">
        <v>145</v>
      </c>
      <c r="B232" s="3">
        <v>21686436.07</v>
      </c>
      <c r="C232" s="3">
        <v>144617803.93000001</v>
      </c>
      <c r="D232" s="3">
        <v>18431951.449999999</v>
      </c>
      <c r="E232" s="3">
        <v>122879676.34</v>
      </c>
      <c r="F232" s="8">
        <f>B232/C232</f>
        <v>0.14995688968210982</v>
      </c>
      <c r="G232" s="8">
        <f>D232/E232</f>
        <v>0.14999999999186195</v>
      </c>
    </row>
    <row r="233" spans="1:7" x14ac:dyDescent="0.3">
      <c r="A233" s="2" t="s">
        <v>146</v>
      </c>
      <c r="B233" s="3">
        <v>39017.97</v>
      </c>
      <c r="C233" s="3">
        <v>260119.77</v>
      </c>
      <c r="D233" s="3">
        <v>187981.89</v>
      </c>
      <c r="E233" s="3">
        <v>1253212.6100000001</v>
      </c>
      <c r="F233" s="8">
        <f t="shared" ref="F233:F234" si="2">B233/C233</f>
        <v>0.15000001729972312</v>
      </c>
      <c r="G233" s="8">
        <f t="shared" ref="G233:G238" si="3">D233/E233</f>
        <v>0.14999999880307621</v>
      </c>
    </row>
    <row r="234" spans="1:7" x14ac:dyDescent="0.3">
      <c r="A234" s="2" t="s">
        <v>147</v>
      </c>
      <c r="B234" s="3">
        <v>30933.72</v>
      </c>
      <c r="C234" s="3">
        <v>206224.83</v>
      </c>
      <c r="D234" s="3">
        <v>37168.25</v>
      </c>
      <c r="E234" s="3">
        <v>247788.3</v>
      </c>
      <c r="F234" s="8">
        <f t="shared" si="2"/>
        <v>0.14999997817915525</v>
      </c>
      <c r="G234" s="8">
        <f t="shared" si="3"/>
        <v>0.1500000201785153</v>
      </c>
    </row>
    <row r="235" spans="1:7" x14ac:dyDescent="0.3">
      <c r="A235" s="2" t="s">
        <v>148</v>
      </c>
      <c r="B235" s="3">
        <v>21756387.760000002</v>
      </c>
      <c r="C235" s="3">
        <v>145084148.53</v>
      </c>
      <c r="D235" s="3">
        <v>18657101.59</v>
      </c>
      <c r="E235" s="3">
        <v>124380677.25</v>
      </c>
      <c r="F235" s="8">
        <f>B235/C235</f>
        <v>0.14995702825178928</v>
      </c>
      <c r="G235" s="8">
        <f t="shared" si="3"/>
        <v>0.15000000002009958</v>
      </c>
    </row>
    <row r="236" spans="1:7" x14ac:dyDescent="0.3">
      <c r="A236" s="2" t="s">
        <v>149</v>
      </c>
      <c r="B236" s="2"/>
      <c r="C236" s="2"/>
      <c r="D236" s="2"/>
      <c r="E236" s="2"/>
      <c r="G236" s="8"/>
    </row>
    <row r="237" spans="1:7" x14ac:dyDescent="0.3">
      <c r="A237" s="2" t="s">
        <v>126</v>
      </c>
      <c r="B237" s="3">
        <v>47503.1</v>
      </c>
      <c r="C237" s="3">
        <v>316687.33</v>
      </c>
      <c r="D237" s="3">
        <v>190012.43</v>
      </c>
      <c r="E237" s="3">
        <v>1266749.53</v>
      </c>
      <c r="F237" s="8">
        <f t="shared" ref="F237:F238" si="4">B237/C237</f>
        <v>0.15000000157884433</v>
      </c>
      <c r="G237" s="8">
        <f t="shared" si="3"/>
        <v>0.15000000039471101</v>
      </c>
    </row>
    <row r="238" spans="1:7" x14ac:dyDescent="0.3">
      <c r="A238" s="2" t="s">
        <v>148</v>
      </c>
      <c r="B238" s="3">
        <v>47503.1</v>
      </c>
      <c r="C238" s="3">
        <v>316687.33</v>
      </c>
      <c r="D238" s="3">
        <v>190012.43</v>
      </c>
      <c r="E238" s="3">
        <v>1266749.53</v>
      </c>
      <c r="F238" s="8">
        <f t="shared" si="4"/>
        <v>0.15000000157884433</v>
      </c>
      <c r="G238" s="8">
        <f t="shared" si="3"/>
        <v>0.15000000039471101</v>
      </c>
    </row>
    <row r="239" spans="1:7" x14ac:dyDescent="0.3">
      <c r="G239" s="8"/>
    </row>
    <row r="240" spans="1:7" x14ac:dyDescent="0.3">
      <c r="A240" s="1" t="s">
        <v>150</v>
      </c>
      <c r="G240" s="8"/>
    </row>
    <row r="241" spans="1:5" x14ac:dyDescent="0.3">
      <c r="A241" s="2" t="s">
        <v>24</v>
      </c>
      <c r="B241" s="2" t="s">
        <v>4</v>
      </c>
      <c r="C241" s="2" t="s">
        <v>5</v>
      </c>
    </row>
    <row r="242" spans="1:5" x14ac:dyDescent="0.3">
      <c r="A242" s="2" t="s">
        <v>151</v>
      </c>
      <c r="B242" s="4">
        <v>7008750</v>
      </c>
      <c r="C242" s="4">
        <v>10012500</v>
      </c>
    </row>
    <row r="243" spans="1:5" x14ac:dyDescent="0.3">
      <c r="A243" s="2" t="s">
        <v>7</v>
      </c>
      <c r="B243" s="4">
        <v>7008750</v>
      </c>
      <c r="C243" s="4">
        <v>10012500</v>
      </c>
    </row>
    <row r="245" spans="1:5" x14ac:dyDescent="0.3">
      <c r="A245" s="1" t="s">
        <v>152</v>
      </c>
    </row>
    <row r="246" spans="1:5" x14ac:dyDescent="0.3">
      <c r="A246" t="s">
        <v>153</v>
      </c>
    </row>
    <row r="247" spans="1:5" x14ac:dyDescent="0.3">
      <c r="A247" s="2" t="s">
        <v>154</v>
      </c>
      <c r="B247" s="2" t="s">
        <v>4</v>
      </c>
      <c r="C247" s="2" t="s">
        <v>5</v>
      </c>
    </row>
    <row r="248" spans="1:5" x14ac:dyDescent="0.3">
      <c r="A248" s="2" t="s">
        <v>39</v>
      </c>
      <c r="B248" s="4">
        <v>223200</v>
      </c>
      <c r="C248" s="3">
        <v>1025819.81</v>
      </c>
    </row>
    <row r="249" spans="1:5" x14ac:dyDescent="0.3">
      <c r="A249" s="2" t="s">
        <v>155</v>
      </c>
      <c r="B249" s="3">
        <v>4391.2700000000004</v>
      </c>
      <c r="C249" s="2"/>
    </row>
    <row r="250" spans="1:5" x14ac:dyDescent="0.3">
      <c r="A250" s="2" t="s">
        <v>7</v>
      </c>
      <c r="B250" s="3">
        <v>227591.27</v>
      </c>
      <c r="C250" s="3">
        <v>1025819.81</v>
      </c>
    </row>
    <row r="252" spans="1:5" x14ac:dyDescent="0.3">
      <c r="A252" t="s">
        <v>156</v>
      </c>
    </row>
    <row r="253" spans="1:5" x14ac:dyDescent="0.3">
      <c r="A253" s="2" t="s">
        <v>78</v>
      </c>
      <c r="B253" s="2" t="s">
        <v>15</v>
      </c>
      <c r="C253" s="2" t="s">
        <v>37</v>
      </c>
      <c r="D253" s="2" t="s">
        <v>157</v>
      </c>
      <c r="E253" s="2" t="s">
        <v>24</v>
      </c>
    </row>
    <row r="254" spans="1:5" x14ac:dyDescent="0.3">
      <c r="A254" s="2" t="s">
        <v>33</v>
      </c>
      <c r="B254" s="4">
        <v>223200</v>
      </c>
      <c r="C254" s="2" t="s">
        <v>39</v>
      </c>
      <c r="D254" s="3">
        <v>98.07</v>
      </c>
      <c r="E254" s="2" t="s">
        <v>158</v>
      </c>
    </row>
    <row r="255" spans="1:5" x14ac:dyDescent="0.3">
      <c r="A255" s="2" t="s">
        <v>159</v>
      </c>
      <c r="B255" s="3">
        <v>4391.2700000000004</v>
      </c>
      <c r="C255" s="2" t="s">
        <v>53</v>
      </c>
      <c r="D255" s="3">
        <v>1.93</v>
      </c>
      <c r="E255" s="2" t="s">
        <v>160</v>
      </c>
    </row>
    <row r="256" spans="1:5" x14ac:dyDescent="0.3">
      <c r="A256" s="2" t="s">
        <v>7</v>
      </c>
      <c r="B256" s="3">
        <v>227591.27</v>
      </c>
      <c r="C256" s="2"/>
      <c r="D256" s="4">
        <v>100</v>
      </c>
      <c r="E256" s="2"/>
    </row>
    <row r="258" spans="1:5" x14ac:dyDescent="0.3">
      <c r="A258" t="s">
        <v>161</v>
      </c>
    </row>
    <row r="259" spans="1:5" x14ac:dyDescent="0.3">
      <c r="A259" s="1" t="s">
        <v>162</v>
      </c>
    </row>
    <row r="260" spans="1:5" x14ac:dyDescent="0.3">
      <c r="A260" s="2" t="s">
        <v>154</v>
      </c>
      <c r="B260" s="2" t="s">
        <v>4</v>
      </c>
      <c r="C260" s="2" t="s">
        <v>5</v>
      </c>
    </row>
    <row r="261" spans="1:5" x14ac:dyDescent="0.3">
      <c r="A261" s="2" t="s">
        <v>39</v>
      </c>
      <c r="B261" s="3">
        <v>1363303.28</v>
      </c>
      <c r="C261" s="3">
        <v>9636.91</v>
      </c>
    </row>
    <row r="262" spans="1:5" x14ac:dyDescent="0.3">
      <c r="A262" s="2" t="s">
        <v>155</v>
      </c>
      <c r="B262" s="3">
        <v>2999.46</v>
      </c>
      <c r="C262" s="2"/>
    </row>
    <row r="263" spans="1:5" x14ac:dyDescent="0.3">
      <c r="A263" s="2" t="s">
        <v>7</v>
      </c>
      <c r="B263" s="3">
        <v>1366302.74</v>
      </c>
      <c r="C263" s="3">
        <v>9636.91</v>
      </c>
    </row>
    <row r="265" spans="1:5" x14ac:dyDescent="0.3">
      <c r="A265" s="1" t="s">
        <v>163</v>
      </c>
    </row>
    <row r="266" spans="1:5" x14ac:dyDescent="0.3">
      <c r="A266" t="s">
        <v>164</v>
      </c>
    </row>
    <row r="267" spans="1:5" x14ac:dyDescent="0.3">
      <c r="A267" s="2" t="s">
        <v>3</v>
      </c>
      <c r="B267" s="2" t="s">
        <v>5</v>
      </c>
      <c r="C267" s="2" t="s">
        <v>95</v>
      </c>
      <c r="D267" s="2" t="s">
        <v>96</v>
      </c>
      <c r="E267" s="2" t="s">
        <v>4</v>
      </c>
    </row>
    <row r="268" spans="1:5" x14ac:dyDescent="0.3">
      <c r="A268" s="2" t="s">
        <v>165</v>
      </c>
      <c r="B268" s="3">
        <v>3777974.16</v>
      </c>
      <c r="C268" s="3">
        <v>11805748.25</v>
      </c>
      <c r="D268" s="3">
        <v>14476694.43</v>
      </c>
      <c r="E268" s="3">
        <v>1107027.98</v>
      </c>
    </row>
    <row r="269" spans="1:5" x14ac:dyDescent="0.3">
      <c r="A269" s="2" t="s">
        <v>166</v>
      </c>
      <c r="B269" s="2"/>
      <c r="C269" s="3">
        <v>446986.09</v>
      </c>
      <c r="D269" s="3">
        <v>446986.09</v>
      </c>
      <c r="E269" s="2"/>
    </row>
    <row r="270" spans="1:5" x14ac:dyDescent="0.3">
      <c r="A270" s="2" t="s">
        <v>7</v>
      </c>
      <c r="B270" s="3">
        <v>3777974.16</v>
      </c>
      <c r="C270" s="3">
        <v>12252734.34</v>
      </c>
      <c r="D270" s="3">
        <v>14923680.52</v>
      </c>
      <c r="E270" s="3">
        <v>1107027.98</v>
      </c>
    </row>
    <row r="272" spans="1:5" x14ac:dyDescent="0.3">
      <c r="A272" t="s">
        <v>167</v>
      </c>
    </row>
    <row r="273" spans="1:5" x14ac:dyDescent="0.3">
      <c r="A273" s="2" t="s">
        <v>3</v>
      </c>
      <c r="B273" s="2" t="s">
        <v>5</v>
      </c>
      <c r="C273" s="2" t="s">
        <v>95</v>
      </c>
      <c r="D273" s="2" t="s">
        <v>96</v>
      </c>
      <c r="E273" s="2" t="s">
        <v>4</v>
      </c>
    </row>
    <row r="274" spans="1:5" x14ac:dyDescent="0.3">
      <c r="A274" s="2" t="s">
        <v>168</v>
      </c>
      <c r="B274" s="3">
        <v>3777974.16</v>
      </c>
      <c r="C274" s="3">
        <v>10855249.65</v>
      </c>
      <c r="D274" s="3">
        <v>13526195.83</v>
      </c>
      <c r="E274" s="3">
        <v>1107027.98</v>
      </c>
    </row>
    <row r="275" spans="1:5" x14ac:dyDescent="0.3">
      <c r="A275" s="2" t="s">
        <v>169</v>
      </c>
      <c r="B275" s="2"/>
      <c r="C275" s="4">
        <v>1804</v>
      </c>
      <c r="D275" s="4">
        <v>1804</v>
      </c>
      <c r="E275" s="2"/>
    </row>
    <row r="276" spans="1:5" x14ac:dyDescent="0.3">
      <c r="A276" s="2" t="s">
        <v>170</v>
      </c>
      <c r="B276" s="2"/>
      <c r="C276" s="3">
        <v>205199.1</v>
      </c>
      <c r="D276" s="3">
        <v>205199.1</v>
      </c>
      <c r="E276" s="2"/>
    </row>
    <row r="277" spans="1:5" x14ac:dyDescent="0.3">
      <c r="A277" s="2" t="s">
        <v>171</v>
      </c>
      <c r="B277" s="2"/>
      <c r="C277" s="3">
        <v>189727.45</v>
      </c>
      <c r="D277" s="3">
        <v>189727.45</v>
      </c>
      <c r="E277" s="2"/>
    </row>
    <row r="278" spans="1:5" x14ac:dyDescent="0.3">
      <c r="A278" s="2" t="s">
        <v>172</v>
      </c>
      <c r="B278" s="2"/>
      <c r="C278" s="3">
        <v>3990.18</v>
      </c>
      <c r="D278" s="3">
        <v>3990.18</v>
      </c>
      <c r="E278" s="2"/>
    </row>
    <row r="279" spans="1:5" x14ac:dyDescent="0.3">
      <c r="A279" s="2" t="s">
        <v>173</v>
      </c>
      <c r="B279" s="2"/>
      <c r="C279" s="3">
        <v>11481.47</v>
      </c>
      <c r="D279" s="3">
        <v>11481.47</v>
      </c>
      <c r="E279" s="2"/>
    </row>
    <row r="280" spans="1:5" x14ac:dyDescent="0.3">
      <c r="A280" s="2" t="s">
        <v>174</v>
      </c>
      <c r="B280" s="2"/>
      <c r="C280" s="3">
        <v>743495.5</v>
      </c>
      <c r="D280" s="3">
        <v>743495.5</v>
      </c>
      <c r="E280" s="2"/>
    </row>
    <row r="281" spans="1:5" x14ac:dyDescent="0.3">
      <c r="A281" s="2" t="s">
        <v>175</v>
      </c>
      <c r="B281" s="2"/>
      <c r="C281" s="2"/>
      <c r="D281" s="2"/>
      <c r="E281" s="2"/>
    </row>
    <row r="282" spans="1:5" x14ac:dyDescent="0.3">
      <c r="A282" s="2" t="s">
        <v>7</v>
      </c>
      <c r="B282" s="3">
        <v>3777974.16</v>
      </c>
      <c r="C282" s="3">
        <v>11805748.25</v>
      </c>
      <c r="D282" s="3">
        <v>14476694.43</v>
      </c>
      <c r="E282" s="3">
        <v>1107027.98</v>
      </c>
    </row>
    <row r="283" spans="1:5" x14ac:dyDescent="0.3">
      <c r="C283" s="9">
        <f>SUM(C274:C281)-C282-C276</f>
        <v>-3.7834979593753815E-10</v>
      </c>
      <c r="D283" s="9">
        <f>SUM(D274:D281)-D282-D276</f>
        <v>-3.7834979593753815E-10</v>
      </c>
    </row>
    <row r="284" spans="1:5" x14ac:dyDescent="0.3">
      <c r="A284" t="s">
        <v>176</v>
      </c>
    </row>
    <row r="285" spans="1:5" x14ac:dyDescent="0.3">
      <c r="A285" s="2" t="s">
        <v>3</v>
      </c>
      <c r="B285" s="2" t="s">
        <v>5</v>
      </c>
      <c r="C285" s="2" t="s">
        <v>95</v>
      </c>
      <c r="D285" s="2" t="s">
        <v>96</v>
      </c>
      <c r="E285" s="2" t="s">
        <v>4</v>
      </c>
    </row>
    <row r="286" spans="1:5" x14ac:dyDescent="0.3">
      <c r="A286" s="2" t="s">
        <v>177</v>
      </c>
      <c r="B286" s="2"/>
      <c r="C286" s="3">
        <v>433192.36</v>
      </c>
      <c r="D286" s="3">
        <v>433192.36</v>
      </c>
      <c r="E286" s="2"/>
    </row>
    <row r="287" spans="1:5" x14ac:dyDescent="0.3">
      <c r="A287" s="2" t="s">
        <v>178</v>
      </c>
      <c r="B287" s="2"/>
      <c r="C287" s="3">
        <v>13793.73</v>
      </c>
      <c r="D287" s="3">
        <v>13793.73</v>
      </c>
      <c r="E287" s="2"/>
    </row>
    <row r="288" spans="1:5" x14ac:dyDescent="0.3">
      <c r="A288" s="2" t="s">
        <v>7</v>
      </c>
      <c r="B288" s="2"/>
      <c r="C288" s="3">
        <v>446986.09</v>
      </c>
      <c r="D288" s="3">
        <v>446986.09</v>
      </c>
      <c r="E288" s="2"/>
    </row>
    <row r="290" spans="1:3" x14ac:dyDescent="0.3">
      <c r="A290" s="1" t="s">
        <v>179</v>
      </c>
    </row>
    <row r="291" spans="1:3" x14ac:dyDescent="0.3">
      <c r="A291" s="2" t="s">
        <v>3</v>
      </c>
      <c r="B291" s="2" t="s">
        <v>4</v>
      </c>
      <c r="C291" s="2" t="s">
        <v>5</v>
      </c>
    </row>
    <row r="292" spans="1:3" x14ac:dyDescent="0.3">
      <c r="A292" s="2" t="s">
        <v>180</v>
      </c>
      <c r="B292" s="3">
        <v>125694.19</v>
      </c>
      <c r="C292" s="3">
        <v>48.41</v>
      </c>
    </row>
    <row r="293" spans="1:3" x14ac:dyDescent="0.3">
      <c r="A293" s="2" t="s">
        <v>181</v>
      </c>
      <c r="B293" s="3">
        <v>4399.29</v>
      </c>
      <c r="C293" s="3">
        <v>1.7</v>
      </c>
    </row>
    <row r="294" spans="1:3" x14ac:dyDescent="0.3">
      <c r="A294" s="2" t="s">
        <v>182</v>
      </c>
      <c r="B294" s="3">
        <v>1885.41</v>
      </c>
      <c r="C294" s="3">
        <v>0.72</v>
      </c>
    </row>
    <row r="295" spans="1:3" x14ac:dyDescent="0.3">
      <c r="A295" s="2" t="s">
        <v>183</v>
      </c>
      <c r="B295" s="3">
        <v>1256.94</v>
      </c>
      <c r="C295" s="3">
        <v>0.49</v>
      </c>
    </row>
    <row r="296" spans="1:3" x14ac:dyDescent="0.3">
      <c r="A296" s="2" t="s">
        <v>184</v>
      </c>
      <c r="B296" s="3">
        <v>114112.26</v>
      </c>
      <c r="C296" s="3">
        <v>130308.86</v>
      </c>
    </row>
    <row r="297" spans="1:3" x14ac:dyDescent="0.3">
      <c r="A297" s="2" t="s">
        <v>185</v>
      </c>
      <c r="B297" s="3">
        <v>315.20999999999998</v>
      </c>
      <c r="C297" s="3">
        <v>4519.26</v>
      </c>
    </row>
    <row r="298" spans="1:3" x14ac:dyDescent="0.3">
      <c r="A298" s="2" t="s">
        <v>186</v>
      </c>
      <c r="B298" s="3">
        <v>0.01</v>
      </c>
      <c r="C298" s="2"/>
    </row>
    <row r="299" spans="1:3" x14ac:dyDescent="0.3">
      <c r="A299" s="2" t="s">
        <v>7</v>
      </c>
      <c r="B299" s="3">
        <v>247663.31</v>
      </c>
      <c r="C299" s="3">
        <v>134879.44</v>
      </c>
    </row>
    <row r="301" spans="1:3" x14ac:dyDescent="0.3">
      <c r="A301" s="1" t="s">
        <v>187</v>
      </c>
    </row>
    <row r="302" spans="1:3" x14ac:dyDescent="0.3">
      <c r="A302" t="s">
        <v>48</v>
      </c>
    </row>
    <row r="303" spans="1:3" x14ac:dyDescent="0.3">
      <c r="A303" s="2" t="s">
        <v>3</v>
      </c>
      <c r="B303" s="2" t="s">
        <v>4</v>
      </c>
      <c r="C303" s="2" t="s">
        <v>5</v>
      </c>
    </row>
    <row r="304" spans="1:3" x14ac:dyDescent="0.3">
      <c r="A304" s="2" t="s">
        <v>188</v>
      </c>
      <c r="B304" s="2"/>
      <c r="C304" s="2"/>
    </row>
    <row r="305" spans="1:5" x14ac:dyDescent="0.3">
      <c r="A305" s="2" t="s">
        <v>189</v>
      </c>
      <c r="B305" s="2"/>
      <c r="C305" s="2"/>
    </row>
    <row r="306" spans="1:5" x14ac:dyDescent="0.3">
      <c r="A306" s="2" t="s">
        <v>187</v>
      </c>
      <c r="B306" s="3">
        <v>71240807.5</v>
      </c>
      <c r="C306" s="3">
        <v>46356477.770000003</v>
      </c>
    </row>
    <row r="307" spans="1:5" x14ac:dyDescent="0.3">
      <c r="A307" s="2" t="s">
        <v>7</v>
      </c>
      <c r="B307" s="3">
        <v>71240807.5</v>
      </c>
      <c r="C307" s="3">
        <v>46356477.770000003</v>
      </c>
    </row>
    <row r="309" spans="1:5" x14ac:dyDescent="0.3">
      <c r="A309" t="s">
        <v>190</v>
      </c>
    </row>
    <row r="310" spans="1:5" x14ac:dyDescent="0.3">
      <c r="A310" s="2" t="s">
        <v>24</v>
      </c>
      <c r="B310" s="2" t="s">
        <v>4</v>
      </c>
      <c r="C310" s="2" t="s">
        <v>5</v>
      </c>
    </row>
    <row r="311" spans="1:5" x14ac:dyDescent="0.3">
      <c r="A311" s="2" t="s">
        <v>74</v>
      </c>
      <c r="B311" s="3">
        <v>70905029.450000003</v>
      </c>
      <c r="C311" s="3">
        <v>45831569.409999996</v>
      </c>
    </row>
    <row r="312" spans="1:5" x14ac:dyDescent="0.3">
      <c r="A312" s="2" t="s">
        <v>191</v>
      </c>
      <c r="B312" s="3">
        <v>335778.05</v>
      </c>
      <c r="C312" s="3">
        <v>524807.64</v>
      </c>
    </row>
    <row r="313" spans="1:5" x14ac:dyDescent="0.3">
      <c r="A313" s="2" t="s">
        <v>192</v>
      </c>
      <c r="B313" s="2"/>
      <c r="C313" s="3">
        <v>100.72</v>
      </c>
    </row>
    <row r="314" spans="1:5" x14ac:dyDescent="0.3">
      <c r="A314" s="2" t="s">
        <v>7</v>
      </c>
      <c r="B314" s="3">
        <v>71240807.5</v>
      </c>
      <c r="C314" s="3">
        <v>46356477.770000003</v>
      </c>
    </row>
    <row r="316" spans="1:5" x14ac:dyDescent="0.3">
      <c r="A316" t="s">
        <v>193</v>
      </c>
    </row>
    <row r="317" spans="1:5" x14ac:dyDescent="0.3">
      <c r="A317" s="2" t="s">
        <v>78</v>
      </c>
      <c r="B317" s="2" t="s">
        <v>15</v>
      </c>
      <c r="C317" s="2" t="s">
        <v>37</v>
      </c>
      <c r="D317" s="2" t="s">
        <v>194</v>
      </c>
      <c r="E317" s="2" t="s">
        <v>24</v>
      </c>
    </row>
    <row r="318" spans="1:5" x14ac:dyDescent="0.3">
      <c r="A318" s="2" t="s">
        <v>195</v>
      </c>
      <c r="B318" s="3">
        <v>45831569.409999996</v>
      </c>
      <c r="C318" s="2" t="s">
        <v>39</v>
      </c>
      <c r="D318" s="3">
        <v>64.33</v>
      </c>
      <c r="E318" s="2" t="s">
        <v>196</v>
      </c>
    </row>
    <row r="319" spans="1:5" x14ac:dyDescent="0.3">
      <c r="A319" s="2" t="s">
        <v>197</v>
      </c>
      <c r="B319" s="3">
        <v>45831569.409999996</v>
      </c>
      <c r="C319" s="2"/>
      <c r="D319" s="3">
        <v>64.33</v>
      </c>
      <c r="E319" s="2"/>
    </row>
    <row r="321" spans="1:3" x14ac:dyDescent="0.3">
      <c r="A321" t="s">
        <v>198</v>
      </c>
    </row>
    <row r="322" spans="1:3" x14ac:dyDescent="0.3">
      <c r="A322" s="1" t="s">
        <v>199</v>
      </c>
    </row>
    <row r="323" spans="1:3" x14ac:dyDescent="0.3">
      <c r="A323" s="2" t="s">
        <v>3</v>
      </c>
      <c r="B323" s="2" t="s">
        <v>4</v>
      </c>
      <c r="C323" s="2" t="s">
        <v>5</v>
      </c>
    </row>
    <row r="324" spans="1:3" x14ac:dyDescent="0.3">
      <c r="A324" s="2" t="s">
        <v>200</v>
      </c>
      <c r="B324" s="3">
        <v>260119.77</v>
      </c>
      <c r="C324" s="3">
        <v>993092.84</v>
      </c>
    </row>
    <row r="325" spans="1:3" x14ac:dyDescent="0.3">
      <c r="A325" s="2" t="s">
        <v>7</v>
      </c>
      <c r="B325" s="3">
        <v>260119.77</v>
      </c>
      <c r="C325" s="3">
        <v>993092.84</v>
      </c>
    </row>
    <row r="327" spans="1:3" x14ac:dyDescent="0.3">
      <c r="A327" s="1" t="s">
        <v>146</v>
      </c>
    </row>
    <row r="328" spans="1:3" x14ac:dyDescent="0.3">
      <c r="A328" s="2" t="s">
        <v>3</v>
      </c>
      <c r="B328" s="2" t="s">
        <v>4</v>
      </c>
      <c r="C328" s="2" t="s">
        <v>5</v>
      </c>
    </row>
    <row r="329" spans="1:3" x14ac:dyDescent="0.3">
      <c r="A329" s="2" t="s">
        <v>201</v>
      </c>
      <c r="B329" s="2"/>
      <c r="C329" s="3">
        <v>260119.77</v>
      </c>
    </row>
    <row r="330" spans="1:3" x14ac:dyDescent="0.3">
      <c r="A330" s="2" t="s">
        <v>7</v>
      </c>
      <c r="B330" s="2"/>
      <c r="C330" s="3">
        <v>260119.77</v>
      </c>
    </row>
    <row r="332" spans="1:3" x14ac:dyDescent="0.3">
      <c r="A332" s="1" t="s">
        <v>202</v>
      </c>
    </row>
    <row r="333" spans="1:3" x14ac:dyDescent="0.3">
      <c r="A333" s="2" t="s">
        <v>3</v>
      </c>
      <c r="B333" s="2" t="s">
        <v>4</v>
      </c>
      <c r="C333" s="2" t="s">
        <v>5</v>
      </c>
    </row>
    <row r="334" spans="1:3" x14ac:dyDescent="0.3">
      <c r="A334" s="2" t="s">
        <v>203</v>
      </c>
      <c r="B334" s="3">
        <v>206224.83</v>
      </c>
      <c r="C334" s="3">
        <v>247788.3</v>
      </c>
    </row>
    <row r="335" spans="1:3" x14ac:dyDescent="0.3">
      <c r="A335" s="2" t="s">
        <v>7</v>
      </c>
      <c r="B335" s="3">
        <v>206224.83</v>
      </c>
      <c r="C335" s="3">
        <v>247788.3</v>
      </c>
    </row>
    <row r="337" spans="1:7" x14ac:dyDescent="0.3">
      <c r="A337" s="1" t="s">
        <v>204</v>
      </c>
    </row>
    <row r="338" spans="1:7" x14ac:dyDescent="0.3">
      <c r="A338" s="2" t="s">
        <v>205</v>
      </c>
      <c r="B338" s="2" t="s">
        <v>5</v>
      </c>
      <c r="C338" s="2" t="s">
        <v>5</v>
      </c>
      <c r="D338" s="2" t="s">
        <v>95</v>
      </c>
      <c r="E338" s="2" t="s">
        <v>96</v>
      </c>
      <c r="F338" s="2" t="s">
        <v>4</v>
      </c>
      <c r="G338" s="2" t="s">
        <v>4</v>
      </c>
    </row>
    <row r="339" spans="1:7" x14ac:dyDescent="0.3">
      <c r="A339" s="2" t="s">
        <v>205</v>
      </c>
      <c r="B339" s="2" t="s">
        <v>15</v>
      </c>
      <c r="C339" s="2" t="s">
        <v>206</v>
      </c>
      <c r="D339" s="2" t="s">
        <v>95</v>
      </c>
      <c r="E339" s="2" t="s">
        <v>96</v>
      </c>
      <c r="F339" s="2" t="s">
        <v>15</v>
      </c>
      <c r="G339" s="2" t="s">
        <v>206</v>
      </c>
    </row>
    <row r="340" spans="1:7" x14ac:dyDescent="0.3">
      <c r="A340" s="2" t="s">
        <v>207</v>
      </c>
      <c r="B340" s="4">
        <v>5000000</v>
      </c>
      <c r="C340" s="4">
        <v>100</v>
      </c>
      <c r="D340" s="2"/>
      <c r="E340" s="2"/>
      <c r="F340" s="4">
        <v>5000000</v>
      </c>
      <c r="G340" s="4">
        <v>100</v>
      </c>
    </row>
    <row r="341" spans="1:7" x14ac:dyDescent="0.3">
      <c r="A341" s="2" t="s">
        <v>7</v>
      </c>
      <c r="B341" s="4">
        <v>5000000</v>
      </c>
      <c r="C341" s="4">
        <v>100</v>
      </c>
      <c r="D341" s="2"/>
      <c r="E341" s="2"/>
      <c r="F341" s="4">
        <v>5000000</v>
      </c>
      <c r="G341" s="4">
        <v>100</v>
      </c>
    </row>
    <row r="343" spans="1:7" x14ac:dyDescent="0.3">
      <c r="A343" s="1" t="s">
        <v>208</v>
      </c>
    </row>
    <row r="344" spans="1:7" x14ac:dyDescent="0.3">
      <c r="A344" s="2" t="s">
        <v>3</v>
      </c>
      <c r="B344" s="2" t="s">
        <v>5</v>
      </c>
      <c r="C344" s="2" t="s">
        <v>209</v>
      </c>
      <c r="D344" s="2" t="s">
        <v>210</v>
      </c>
      <c r="E344" s="2" t="s">
        <v>4</v>
      </c>
    </row>
    <row r="345" spans="1:7" x14ac:dyDescent="0.3">
      <c r="A345" s="2" t="s">
        <v>211</v>
      </c>
      <c r="B345" s="3">
        <v>3547783.93</v>
      </c>
      <c r="C345" s="2"/>
      <c r="D345" s="2"/>
      <c r="E345" s="3">
        <v>3547783.93</v>
      </c>
    </row>
    <row r="346" spans="1:7" x14ac:dyDescent="0.3">
      <c r="A346" s="2" t="s">
        <v>7</v>
      </c>
      <c r="B346" s="3">
        <v>3547783.93</v>
      </c>
      <c r="C346" s="2"/>
      <c r="D346" s="2"/>
      <c r="E346" s="3">
        <v>3547783.93</v>
      </c>
    </row>
    <row r="348" spans="1:7" x14ac:dyDescent="0.3">
      <c r="A348" s="1" t="s">
        <v>212</v>
      </c>
    </row>
    <row r="349" spans="1:7" x14ac:dyDescent="0.3">
      <c r="A349" s="2" t="s">
        <v>3</v>
      </c>
      <c r="B349" s="2" t="s">
        <v>5</v>
      </c>
      <c r="C349" s="2" t="s">
        <v>209</v>
      </c>
      <c r="D349" s="2" t="s">
        <v>210</v>
      </c>
      <c r="E349" s="2" t="s">
        <v>4</v>
      </c>
    </row>
    <row r="350" spans="1:7" x14ac:dyDescent="0.3">
      <c r="A350" s="2" t="s">
        <v>213</v>
      </c>
      <c r="B350" s="3">
        <v>5634537.0899999999</v>
      </c>
      <c r="C350" s="2"/>
      <c r="D350" s="2"/>
      <c r="E350" s="3">
        <v>5634537.0899999999</v>
      </c>
    </row>
    <row r="351" spans="1:7" x14ac:dyDescent="0.3">
      <c r="A351" s="2" t="s">
        <v>7</v>
      </c>
      <c r="B351" s="3">
        <v>5634537.0899999999</v>
      </c>
      <c r="C351" s="2"/>
      <c r="D351" s="2"/>
      <c r="E351" s="3">
        <v>5634537.0899999999</v>
      </c>
    </row>
    <row r="353" spans="1:5" x14ac:dyDescent="0.3">
      <c r="A353" s="1" t="s">
        <v>214</v>
      </c>
    </row>
    <row r="354" spans="1:5" x14ac:dyDescent="0.3">
      <c r="A354" s="2" t="s">
        <v>3</v>
      </c>
      <c r="B354" s="2" t="s">
        <v>215</v>
      </c>
      <c r="C354" s="2" t="s">
        <v>216</v>
      </c>
    </row>
    <row r="355" spans="1:5" x14ac:dyDescent="0.3">
      <c r="A355" s="2" t="s">
        <v>217</v>
      </c>
      <c r="B355" s="3">
        <v>-3669458.07</v>
      </c>
      <c r="C355" s="4">
        <v>17377317</v>
      </c>
    </row>
    <row r="356" spans="1:5" x14ac:dyDescent="0.3">
      <c r="A356" s="2" t="s">
        <v>218</v>
      </c>
      <c r="B356" s="2"/>
      <c r="C356" s="2"/>
    </row>
    <row r="357" spans="1:5" x14ac:dyDescent="0.3">
      <c r="A357" s="2" t="s">
        <v>219</v>
      </c>
      <c r="B357" s="3">
        <v>-3669458.07</v>
      </c>
      <c r="C357" s="4">
        <v>17377317</v>
      </c>
    </row>
    <row r="358" spans="1:5" x14ac:dyDescent="0.3">
      <c r="A358" s="2" t="s">
        <v>209</v>
      </c>
      <c r="B358" s="3">
        <v>-8167679.7800000003</v>
      </c>
      <c r="C358" s="3">
        <v>-21046775.07</v>
      </c>
    </row>
    <row r="359" spans="1:5" x14ac:dyDescent="0.3">
      <c r="A359" s="2" t="s">
        <v>220</v>
      </c>
      <c r="B359" s="3">
        <v>-8167679.7800000003</v>
      </c>
      <c r="C359" s="3">
        <v>-21046775.07</v>
      </c>
    </row>
    <row r="360" spans="1:5" x14ac:dyDescent="0.3">
      <c r="A360" s="2" t="s">
        <v>210</v>
      </c>
      <c r="B360" s="2"/>
      <c r="C360" s="2"/>
    </row>
    <row r="361" spans="1:5" x14ac:dyDescent="0.3">
      <c r="A361" s="2" t="s">
        <v>221</v>
      </c>
      <c r="B361" s="2"/>
      <c r="C361" s="2"/>
    </row>
    <row r="362" spans="1:5" x14ac:dyDescent="0.3">
      <c r="A362" s="2" t="s">
        <v>189</v>
      </c>
      <c r="B362" s="2"/>
      <c r="C362" s="2"/>
    </row>
    <row r="363" spans="1:5" x14ac:dyDescent="0.3">
      <c r="A363" s="2" t="s">
        <v>192</v>
      </c>
      <c r="B363" s="2"/>
      <c r="C363" s="2"/>
    </row>
    <row r="364" spans="1:5" x14ac:dyDescent="0.3">
      <c r="A364" s="2" t="s">
        <v>222</v>
      </c>
      <c r="B364" s="3">
        <v>-11837137.85</v>
      </c>
      <c r="C364" s="3">
        <v>-3669458.07</v>
      </c>
    </row>
    <row r="366" spans="1:5" x14ac:dyDescent="0.3">
      <c r="A366" s="1" t="s">
        <v>223</v>
      </c>
    </row>
    <row r="367" spans="1:5" x14ac:dyDescent="0.3">
      <c r="A367" t="s">
        <v>224</v>
      </c>
    </row>
    <row r="368" spans="1:5" x14ac:dyDescent="0.3">
      <c r="A368" s="2" t="s">
        <v>3</v>
      </c>
      <c r="B368" s="2" t="s">
        <v>225</v>
      </c>
      <c r="C368" s="2" t="s">
        <v>225</v>
      </c>
      <c r="D368" s="2" t="s">
        <v>226</v>
      </c>
      <c r="E368" s="2" t="s">
        <v>226</v>
      </c>
    </row>
    <row r="369" spans="1:5" x14ac:dyDescent="0.3">
      <c r="A369" s="2" t="s">
        <v>3</v>
      </c>
      <c r="B369" s="2" t="s">
        <v>227</v>
      </c>
      <c r="C369" s="2" t="s">
        <v>228</v>
      </c>
      <c r="D369" s="2" t="s">
        <v>227</v>
      </c>
      <c r="E369" s="2" t="s">
        <v>228</v>
      </c>
    </row>
    <row r="370" spans="1:5" x14ac:dyDescent="0.3">
      <c r="A370" s="2" t="s">
        <v>229</v>
      </c>
      <c r="B370" s="10">
        <v>19720767</v>
      </c>
      <c r="C370" s="2"/>
      <c r="D370" s="3">
        <v>24488692.829999998</v>
      </c>
      <c r="E370" s="2"/>
    </row>
    <row r="371" spans="1:5" x14ac:dyDescent="0.3">
      <c r="A371" s="2" t="s">
        <v>230</v>
      </c>
      <c r="B371" s="2"/>
      <c r="C371" s="2"/>
      <c r="D371" s="2"/>
      <c r="E371" s="2"/>
    </row>
    <row r="372" spans="1:5" x14ac:dyDescent="0.3">
      <c r="A372" s="2" t="s">
        <v>7</v>
      </c>
      <c r="B372" s="10">
        <v>19720767</v>
      </c>
      <c r="C372" s="2"/>
      <c r="D372" s="3">
        <v>24488692.829999998</v>
      </c>
      <c r="E372" s="2"/>
    </row>
    <row r="374" spans="1:5" x14ac:dyDescent="0.3">
      <c r="A374" t="s">
        <v>231</v>
      </c>
    </row>
    <row r="375" spans="1:5" x14ac:dyDescent="0.3">
      <c r="A375" s="2" t="s">
        <v>3</v>
      </c>
      <c r="B375" s="2" t="s">
        <v>225</v>
      </c>
      <c r="C375" s="2" t="s">
        <v>226</v>
      </c>
    </row>
    <row r="376" spans="1:5" x14ac:dyDescent="0.3">
      <c r="A376" s="2" t="s">
        <v>232</v>
      </c>
      <c r="B376" s="3">
        <v>18389756.039999999</v>
      </c>
      <c r="C376" s="3">
        <v>19435280.82</v>
      </c>
    </row>
    <row r="377" spans="1:5" x14ac:dyDescent="0.3">
      <c r="A377" s="2" t="s">
        <v>233</v>
      </c>
      <c r="B377" s="3">
        <v>1331010.96</v>
      </c>
      <c r="C377" s="3">
        <v>5053412.01</v>
      </c>
    </row>
    <row r="378" spans="1:5" x14ac:dyDescent="0.3">
      <c r="A378" s="2" t="s">
        <v>7</v>
      </c>
      <c r="B378" s="4">
        <v>19720767</v>
      </c>
      <c r="C378" s="3">
        <v>24488692.829999998</v>
      </c>
    </row>
    <row r="380" spans="1:5" x14ac:dyDescent="0.3">
      <c r="A380" s="1" t="s">
        <v>234</v>
      </c>
    </row>
    <row r="381" spans="1:5" x14ac:dyDescent="0.3">
      <c r="A381" s="2" t="s">
        <v>3</v>
      </c>
      <c r="B381" s="2" t="s">
        <v>225</v>
      </c>
      <c r="C381" s="2" t="s">
        <v>226</v>
      </c>
    </row>
    <row r="382" spans="1:5" x14ac:dyDescent="0.3">
      <c r="A382" s="2" t="s">
        <v>186</v>
      </c>
      <c r="B382" s="3">
        <v>134083.31</v>
      </c>
      <c r="C382" s="3">
        <v>134083.29999999999</v>
      </c>
    </row>
    <row r="383" spans="1:5" x14ac:dyDescent="0.3">
      <c r="A383" s="2" t="s">
        <v>181</v>
      </c>
      <c r="B383" s="3">
        <v>4407.4399999999996</v>
      </c>
      <c r="C383" s="3">
        <v>78.64</v>
      </c>
    </row>
    <row r="384" spans="1:5" x14ac:dyDescent="0.3">
      <c r="A384" s="2" t="s">
        <v>182</v>
      </c>
      <c r="B384" s="3">
        <v>1888.91</v>
      </c>
      <c r="C384" s="3">
        <v>33.68</v>
      </c>
    </row>
    <row r="385" spans="1:3" x14ac:dyDescent="0.3">
      <c r="A385" s="2" t="s">
        <v>235</v>
      </c>
      <c r="B385" s="3">
        <v>1259.26</v>
      </c>
      <c r="C385" s="3">
        <v>22.47</v>
      </c>
    </row>
    <row r="386" spans="1:3" x14ac:dyDescent="0.3">
      <c r="A386" s="2" t="s">
        <v>185</v>
      </c>
      <c r="B386" s="3">
        <v>2994.43</v>
      </c>
      <c r="C386" s="3">
        <v>27226.639999999999</v>
      </c>
    </row>
    <row r="387" spans="1:3" x14ac:dyDescent="0.3">
      <c r="A387" s="2" t="s">
        <v>236</v>
      </c>
      <c r="B387" s="3">
        <v>408.96</v>
      </c>
      <c r="C387" s="3">
        <v>408.96</v>
      </c>
    </row>
    <row r="388" spans="1:3" x14ac:dyDescent="0.3">
      <c r="A388" s="2" t="s">
        <v>237</v>
      </c>
      <c r="B388" s="2"/>
      <c r="C388" s="4">
        <v>360</v>
      </c>
    </row>
    <row r="389" spans="1:3" x14ac:dyDescent="0.3">
      <c r="A389" s="2" t="s">
        <v>7</v>
      </c>
      <c r="B389" s="3">
        <v>145042.31</v>
      </c>
      <c r="C389" s="3">
        <v>162213.69</v>
      </c>
    </row>
    <row r="391" spans="1:3" x14ac:dyDescent="0.3">
      <c r="A391" s="1" t="s">
        <v>238</v>
      </c>
    </row>
    <row r="392" spans="1:3" x14ac:dyDescent="0.3">
      <c r="A392" s="2" t="s">
        <v>3</v>
      </c>
      <c r="B392" s="2" t="s">
        <v>225</v>
      </c>
      <c r="C392" s="2" t="s">
        <v>226</v>
      </c>
    </row>
    <row r="393" spans="1:3" x14ac:dyDescent="0.3">
      <c r="A393" s="2" t="s">
        <v>239</v>
      </c>
      <c r="B393" s="3">
        <v>1725550.87</v>
      </c>
      <c r="C393" s="3">
        <v>2941464.71</v>
      </c>
    </row>
    <row r="394" spans="1:3" x14ac:dyDescent="0.3">
      <c r="A394" s="2" t="s">
        <v>240</v>
      </c>
      <c r="B394" s="3">
        <v>1158376.7</v>
      </c>
      <c r="C394" s="3">
        <v>5447988.8399999999</v>
      </c>
    </row>
    <row r="395" spans="1:3" x14ac:dyDescent="0.3">
      <c r="A395" s="2" t="s">
        <v>241</v>
      </c>
      <c r="B395" s="3">
        <v>1358082.79</v>
      </c>
      <c r="C395" s="3">
        <v>216745.28</v>
      </c>
    </row>
    <row r="396" spans="1:3" x14ac:dyDescent="0.3">
      <c r="A396" s="2" t="s">
        <v>242</v>
      </c>
      <c r="B396" s="3">
        <v>70932.649999999994</v>
      </c>
      <c r="C396" s="3">
        <v>209876.31</v>
      </c>
    </row>
    <row r="397" spans="1:3" x14ac:dyDescent="0.3">
      <c r="A397" s="2" t="s">
        <v>243</v>
      </c>
      <c r="B397" s="3">
        <v>54141.99</v>
      </c>
      <c r="C397" s="3">
        <v>269944.18</v>
      </c>
    </row>
    <row r="398" spans="1:3" x14ac:dyDescent="0.3">
      <c r="A398" s="2" t="s">
        <v>244</v>
      </c>
      <c r="B398" s="3">
        <v>6667.58</v>
      </c>
      <c r="C398" s="3">
        <v>311615.8</v>
      </c>
    </row>
    <row r="399" spans="1:3" x14ac:dyDescent="0.3">
      <c r="A399" s="2" t="s">
        <v>245</v>
      </c>
      <c r="B399" s="3">
        <v>5221.84</v>
      </c>
      <c r="C399" s="3">
        <v>78061.649999999994</v>
      </c>
    </row>
    <row r="400" spans="1:3" x14ac:dyDescent="0.3">
      <c r="A400" s="2" t="s">
        <v>246</v>
      </c>
      <c r="B400" s="3">
        <v>671.64</v>
      </c>
      <c r="C400" s="3">
        <v>2687.64</v>
      </c>
    </row>
    <row r="401" spans="1:3" x14ac:dyDescent="0.3">
      <c r="A401" s="2" t="s">
        <v>160</v>
      </c>
      <c r="B401" s="2"/>
      <c r="C401" s="3">
        <v>2312.5</v>
      </c>
    </row>
    <row r="402" spans="1:3" x14ac:dyDescent="0.3">
      <c r="A402" s="2" t="s">
        <v>7</v>
      </c>
      <c r="B402" s="3">
        <v>4379646.0599999996</v>
      </c>
      <c r="C402" s="3">
        <v>9480696.9100000001</v>
      </c>
    </row>
    <row r="404" spans="1:3" x14ac:dyDescent="0.3">
      <c r="A404" s="1" t="s">
        <v>247</v>
      </c>
    </row>
    <row r="405" spans="1:3" x14ac:dyDescent="0.3">
      <c r="A405" s="2" t="s">
        <v>3</v>
      </c>
      <c r="B405" s="2" t="s">
        <v>225</v>
      </c>
      <c r="C405" s="2" t="s">
        <v>226</v>
      </c>
    </row>
    <row r="406" spans="1:3" x14ac:dyDescent="0.3">
      <c r="A406" s="2" t="s">
        <v>239</v>
      </c>
      <c r="B406" s="3">
        <v>6578574.9299999997</v>
      </c>
      <c r="C406" s="3">
        <v>7284895.0800000001</v>
      </c>
    </row>
    <row r="407" spans="1:3" x14ac:dyDescent="0.3">
      <c r="A407" s="2" t="s">
        <v>246</v>
      </c>
      <c r="B407" s="3">
        <v>3369388.37</v>
      </c>
      <c r="C407" s="3">
        <v>3880643.84</v>
      </c>
    </row>
    <row r="408" spans="1:3" x14ac:dyDescent="0.3">
      <c r="A408" s="2" t="s">
        <v>248</v>
      </c>
      <c r="B408" s="3">
        <v>895597.59</v>
      </c>
      <c r="C408" s="3">
        <v>1258493.32</v>
      </c>
    </row>
    <row r="409" spans="1:3" x14ac:dyDescent="0.3">
      <c r="A409" s="2" t="s">
        <v>240</v>
      </c>
      <c r="B409" s="4">
        <v>799380</v>
      </c>
      <c r="C409" s="3">
        <v>7401.72</v>
      </c>
    </row>
    <row r="410" spans="1:3" x14ac:dyDescent="0.3">
      <c r="A410" s="2" t="s">
        <v>160</v>
      </c>
      <c r="B410" s="3">
        <v>554015.21</v>
      </c>
      <c r="C410" s="3">
        <v>742621.5</v>
      </c>
    </row>
    <row r="411" spans="1:3" x14ac:dyDescent="0.3">
      <c r="A411" s="2" t="s">
        <v>249</v>
      </c>
      <c r="B411" s="3">
        <v>517144.5</v>
      </c>
      <c r="C411" s="3">
        <v>915620.75</v>
      </c>
    </row>
    <row r="412" spans="1:3" x14ac:dyDescent="0.3">
      <c r="A412" s="2" t="s">
        <v>250</v>
      </c>
      <c r="B412" s="3">
        <v>18374.560000000001</v>
      </c>
      <c r="C412" s="3">
        <v>83612.259999999995</v>
      </c>
    </row>
    <row r="413" spans="1:3" x14ac:dyDescent="0.3">
      <c r="A413" s="2" t="s">
        <v>242</v>
      </c>
      <c r="B413" s="3">
        <v>2773.51</v>
      </c>
      <c r="C413" s="3">
        <v>7380.28</v>
      </c>
    </row>
    <row r="414" spans="1:3" x14ac:dyDescent="0.3">
      <c r="A414" s="2" t="s">
        <v>243</v>
      </c>
      <c r="B414" s="3">
        <v>1217.83</v>
      </c>
      <c r="C414" s="3">
        <v>6832.2</v>
      </c>
    </row>
    <row r="415" spans="1:3" x14ac:dyDescent="0.3">
      <c r="A415" s="2" t="s">
        <v>251</v>
      </c>
      <c r="B415" s="2"/>
      <c r="C415" s="3">
        <v>9433.9599999999991</v>
      </c>
    </row>
    <row r="416" spans="1:3" x14ac:dyDescent="0.3">
      <c r="A416" s="2" t="s">
        <v>192</v>
      </c>
      <c r="B416" s="3">
        <v>14149.43</v>
      </c>
      <c r="C416" s="3">
        <v>85490.89</v>
      </c>
    </row>
    <row r="417" spans="1:3" x14ac:dyDescent="0.3">
      <c r="A417" s="2" t="s">
        <v>7</v>
      </c>
      <c r="B417" s="3">
        <v>12750615.93</v>
      </c>
      <c r="C417" s="3">
        <v>14282425.800000001</v>
      </c>
    </row>
    <row r="419" spans="1:3" x14ac:dyDescent="0.3">
      <c r="A419" s="1" t="s">
        <v>252</v>
      </c>
    </row>
    <row r="420" spans="1:3" x14ac:dyDescent="0.3">
      <c r="A420" s="2" t="s">
        <v>3</v>
      </c>
      <c r="B420" s="2" t="s">
        <v>225</v>
      </c>
      <c r="C420" s="2" t="s">
        <v>226</v>
      </c>
    </row>
    <row r="421" spans="1:3" x14ac:dyDescent="0.3">
      <c r="A421" s="2" t="s">
        <v>253</v>
      </c>
      <c r="B421" s="3">
        <v>9001584.8699999992</v>
      </c>
      <c r="C421" s="3">
        <v>19635237.739999998</v>
      </c>
    </row>
    <row r="422" spans="1:3" x14ac:dyDescent="0.3">
      <c r="A422" s="2" t="s">
        <v>239</v>
      </c>
      <c r="B422" s="3">
        <v>3794528.85</v>
      </c>
      <c r="C422" s="3">
        <v>10616676.01</v>
      </c>
    </row>
    <row r="423" spans="1:3" x14ac:dyDescent="0.3">
      <c r="A423" s="2" t="s">
        <v>192</v>
      </c>
      <c r="B423" s="3">
        <v>632769.78</v>
      </c>
      <c r="C423" s="3">
        <v>1056830.1599999999</v>
      </c>
    </row>
    <row r="424" spans="1:3" x14ac:dyDescent="0.3">
      <c r="A424" s="2" t="s">
        <v>7</v>
      </c>
      <c r="B424" s="3">
        <v>13428883.5</v>
      </c>
      <c r="C424" s="3">
        <v>31308743.91</v>
      </c>
    </row>
    <row r="426" spans="1:3" x14ac:dyDescent="0.3">
      <c r="A426" s="1" t="s">
        <v>254</v>
      </c>
    </row>
    <row r="427" spans="1:3" x14ac:dyDescent="0.3">
      <c r="A427" s="2" t="s">
        <v>3</v>
      </c>
      <c r="B427" s="2" t="s">
        <v>225</v>
      </c>
      <c r="C427" s="2" t="s">
        <v>226</v>
      </c>
    </row>
    <row r="428" spans="1:3" x14ac:dyDescent="0.3">
      <c r="A428" s="2" t="s">
        <v>255</v>
      </c>
      <c r="B428" s="3">
        <v>446777.59999999998</v>
      </c>
      <c r="C428" s="3">
        <v>531687.93000000005</v>
      </c>
    </row>
    <row r="429" spans="1:3" x14ac:dyDescent="0.3">
      <c r="A429" s="2" t="s">
        <v>256</v>
      </c>
      <c r="B429" s="2"/>
      <c r="C429" s="2"/>
    </row>
    <row r="430" spans="1:3" x14ac:dyDescent="0.3">
      <c r="A430" s="2" t="s">
        <v>257</v>
      </c>
      <c r="B430" s="3">
        <v>171.66</v>
      </c>
      <c r="C430" s="3">
        <v>679.08</v>
      </c>
    </row>
    <row r="431" spans="1:3" x14ac:dyDescent="0.3">
      <c r="A431" s="2" t="s">
        <v>258</v>
      </c>
      <c r="B431" s="3">
        <v>5799.64</v>
      </c>
      <c r="C431" s="3">
        <v>7500.43</v>
      </c>
    </row>
    <row r="432" spans="1:3" x14ac:dyDescent="0.3">
      <c r="A432" s="2" t="s">
        <v>7</v>
      </c>
      <c r="B432" s="3">
        <v>452405.58</v>
      </c>
      <c r="C432" s="3">
        <v>538509.28</v>
      </c>
    </row>
    <row r="434" spans="1:5" x14ac:dyDescent="0.3">
      <c r="A434" s="1" t="s">
        <v>259</v>
      </c>
    </row>
    <row r="435" spans="1:5" x14ac:dyDescent="0.3">
      <c r="A435" s="2" t="s">
        <v>3</v>
      </c>
      <c r="B435" s="2" t="s">
        <v>225</v>
      </c>
      <c r="C435" s="2" t="s">
        <v>226</v>
      </c>
    </row>
    <row r="436" spans="1:5" x14ac:dyDescent="0.3">
      <c r="A436" s="2" t="s">
        <v>260</v>
      </c>
      <c r="B436" s="4">
        <v>5200</v>
      </c>
      <c r="C436" s="3">
        <v>187289.15</v>
      </c>
    </row>
    <row r="437" spans="1:5" x14ac:dyDescent="0.3">
      <c r="A437" s="2" t="s">
        <v>261</v>
      </c>
      <c r="B437" s="3">
        <v>21124.61</v>
      </c>
      <c r="C437" s="3">
        <v>44780.1</v>
      </c>
    </row>
    <row r="438" spans="1:5" x14ac:dyDescent="0.3">
      <c r="A438" s="2" t="s">
        <v>7</v>
      </c>
      <c r="B438" s="3">
        <v>26324.61</v>
      </c>
      <c r="C438" s="3">
        <v>232069.25</v>
      </c>
    </row>
    <row r="440" spans="1:5" x14ac:dyDescent="0.3">
      <c r="A440" s="1" t="s">
        <v>262</v>
      </c>
    </row>
    <row r="441" spans="1:5" x14ac:dyDescent="0.3">
      <c r="A441" s="2" t="s">
        <v>3</v>
      </c>
      <c r="B441" s="2" t="s">
        <v>225</v>
      </c>
      <c r="C441" s="2" t="s">
        <v>226</v>
      </c>
    </row>
    <row r="442" spans="1:5" x14ac:dyDescent="0.3">
      <c r="A442" s="2" t="s">
        <v>263</v>
      </c>
      <c r="B442" s="2"/>
      <c r="C442" s="3">
        <v>-994.93</v>
      </c>
    </row>
    <row r="443" spans="1:5" x14ac:dyDescent="0.3">
      <c r="A443" s="2" t="s">
        <v>264</v>
      </c>
      <c r="B443" s="2"/>
      <c r="C443" s="3">
        <v>-994.93</v>
      </c>
    </row>
    <row r="444" spans="1:5" x14ac:dyDescent="0.3">
      <c r="A444" s="2" t="s">
        <v>126</v>
      </c>
      <c r="B444" s="2"/>
      <c r="C444" s="2"/>
    </row>
    <row r="445" spans="1:5" x14ac:dyDescent="0.3">
      <c r="A445" s="2" t="s">
        <v>7</v>
      </c>
      <c r="B445" s="2"/>
      <c r="C445" s="3">
        <v>-994.93</v>
      </c>
    </row>
    <row r="447" spans="1:5" x14ac:dyDescent="0.3">
      <c r="A447" s="1" t="s">
        <v>265</v>
      </c>
    </row>
    <row r="448" spans="1:5" x14ac:dyDescent="0.3">
      <c r="A448" s="2" t="s">
        <v>3</v>
      </c>
      <c r="B448" s="2" t="s">
        <v>225</v>
      </c>
      <c r="C448" s="2" t="s">
        <v>226</v>
      </c>
      <c r="D448" s="2" t="s">
        <v>266</v>
      </c>
      <c r="E448" s="2" t="s">
        <v>266</v>
      </c>
    </row>
    <row r="449" spans="1:5" x14ac:dyDescent="0.3">
      <c r="A449" s="2" t="s">
        <v>192</v>
      </c>
      <c r="B449" s="3">
        <v>26.49</v>
      </c>
      <c r="C449" s="3">
        <v>1580.94</v>
      </c>
      <c r="D449" s="3">
        <v>26.49</v>
      </c>
      <c r="E449" s="2"/>
    </row>
    <row r="450" spans="1:5" x14ac:dyDescent="0.3">
      <c r="A450" s="2" t="s">
        <v>7</v>
      </c>
      <c r="B450" s="3">
        <v>26.49</v>
      </c>
      <c r="C450" s="3">
        <v>1580.94</v>
      </c>
      <c r="D450" s="3">
        <v>26.49</v>
      </c>
      <c r="E450" s="2"/>
    </row>
    <row r="452" spans="1:5" x14ac:dyDescent="0.3">
      <c r="A452" s="1" t="s">
        <v>267</v>
      </c>
    </row>
    <row r="453" spans="1:5" x14ac:dyDescent="0.3">
      <c r="A453" s="2" t="s">
        <v>3</v>
      </c>
      <c r="B453" s="2" t="s">
        <v>225</v>
      </c>
      <c r="C453" s="2" t="s">
        <v>226</v>
      </c>
      <c r="D453" s="2" t="s">
        <v>266</v>
      </c>
    </row>
    <row r="454" spans="1:5" x14ac:dyDescent="0.3">
      <c r="A454" s="2" t="s">
        <v>268</v>
      </c>
      <c r="B454" s="2"/>
      <c r="C454" s="3">
        <v>15777.52</v>
      </c>
      <c r="D454" s="2"/>
    </row>
    <row r="455" spans="1:5" x14ac:dyDescent="0.3">
      <c r="A455" s="2" t="s">
        <v>192</v>
      </c>
      <c r="B455" s="2"/>
      <c r="C455" s="4">
        <v>6800</v>
      </c>
      <c r="D455" s="2"/>
    </row>
    <row r="456" spans="1:5" x14ac:dyDescent="0.3">
      <c r="A456" s="2" t="s">
        <v>7</v>
      </c>
      <c r="B456" s="2"/>
      <c r="C456" s="3">
        <v>22577.52</v>
      </c>
      <c r="D456" s="2"/>
    </row>
    <row r="458" spans="1:5" x14ac:dyDescent="0.3">
      <c r="A458" s="1" t="s">
        <v>269</v>
      </c>
    </row>
    <row r="459" spans="1:5" x14ac:dyDescent="0.3">
      <c r="A459" s="2" t="s">
        <v>3</v>
      </c>
      <c r="B459" s="2" t="s">
        <v>225</v>
      </c>
      <c r="C459" s="2" t="s">
        <v>226</v>
      </c>
    </row>
    <row r="460" spans="1:5" x14ac:dyDescent="0.3">
      <c r="A460" s="2" t="s">
        <v>270</v>
      </c>
      <c r="B460" s="2"/>
      <c r="C460" s="2"/>
    </row>
    <row r="461" spans="1:5" x14ac:dyDescent="0.3">
      <c r="A461" s="2" t="s">
        <v>271</v>
      </c>
      <c r="B461" s="3">
        <v>-3241795.5</v>
      </c>
      <c r="C461" s="3">
        <v>-10027043.949999999</v>
      </c>
    </row>
    <row r="462" spans="1:5" x14ac:dyDescent="0.3">
      <c r="A462" s="2" t="s">
        <v>7</v>
      </c>
      <c r="B462" s="3">
        <v>-3241795.5</v>
      </c>
      <c r="C462" s="3">
        <v>-10027043.949999999</v>
      </c>
    </row>
    <row r="464" spans="1:5" x14ac:dyDescent="0.3">
      <c r="A464" s="1" t="s">
        <v>272</v>
      </c>
    </row>
    <row r="465" spans="1:4" x14ac:dyDescent="0.3">
      <c r="A465" t="s">
        <v>273</v>
      </c>
    </row>
    <row r="466" spans="1:4" x14ac:dyDescent="0.3">
      <c r="A466" s="2" t="s">
        <v>3</v>
      </c>
      <c r="B466" s="2" t="s">
        <v>225</v>
      </c>
      <c r="C466" s="2" t="s">
        <v>226</v>
      </c>
      <c r="D466" s="2"/>
    </row>
    <row r="467" spans="1:4" x14ac:dyDescent="0.3">
      <c r="A467" s="2" t="s">
        <v>274</v>
      </c>
      <c r="B467" s="3">
        <v>108920185.02</v>
      </c>
      <c r="C467" s="3">
        <v>361958460.69999999</v>
      </c>
      <c r="D467" s="3">
        <v>361958460.69999999</v>
      </c>
    </row>
    <row r="468" spans="1:4" x14ac:dyDescent="0.3">
      <c r="A468" s="2" t="s">
        <v>275</v>
      </c>
      <c r="B468" s="4">
        <v>50000</v>
      </c>
      <c r="C468" s="4">
        <v>48300</v>
      </c>
      <c r="D468" s="4">
        <v>48300</v>
      </c>
    </row>
    <row r="469" spans="1:4" x14ac:dyDescent="0.3">
      <c r="A469" s="2" t="s">
        <v>265</v>
      </c>
      <c r="B469" s="3">
        <v>24798.22</v>
      </c>
      <c r="C469" s="3">
        <v>216698.25</v>
      </c>
      <c r="D469" s="3">
        <v>216698.25</v>
      </c>
    </row>
    <row r="470" spans="1:4" x14ac:dyDescent="0.3">
      <c r="A470" s="2" t="s">
        <v>276</v>
      </c>
      <c r="B470" s="3">
        <v>171.66</v>
      </c>
      <c r="C470" s="3">
        <v>679.08</v>
      </c>
      <c r="D470" s="3">
        <v>679.08</v>
      </c>
    </row>
    <row r="471" spans="1:4" x14ac:dyDescent="0.3">
      <c r="A471" s="2" t="s">
        <v>192</v>
      </c>
      <c r="B471" s="3">
        <v>1552.88</v>
      </c>
      <c r="C471" s="3">
        <v>74112.17</v>
      </c>
      <c r="D471" s="3">
        <v>74112.17</v>
      </c>
    </row>
    <row r="472" spans="1:4" x14ac:dyDescent="0.3">
      <c r="A472" s="2" t="s">
        <v>7</v>
      </c>
      <c r="B472" s="3">
        <v>108996707.78</v>
      </c>
      <c r="C472" s="3">
        <v>362298250.19999999</v>
      </c>
      <c r="D472" s="3">
        <v>362298250.19999999</v>
      </c>
    </row>
    <row r="474" spans="1:4" x14ac:dyDescent="0.3">
      <c r="A474" t="s">
        <v>277</v>
      </c>
    </row>
    <row r="475" spans="1:4" x14ac:dyDescent="0.3">
      <c r="A475" s="2" t="s">
        <v>3</v>
      </c>
      <c r="B475" s="2" t="s">
        <v>225</v>
      </c>
      <c r="C475" s="2" t="s">
        <v>226</v>
      </c>
    </row>
    <row r="476" spans="1:4" x14ac:dyDescent="0.3">
      <c r="A476" s="2" t="s">
        <v>274</v>
      </c>
      <c r="B476" s="4">
        <v>78246991</v>
      </c>
      <c r="C476" s="3">
        <v>347257894.04000002</v>
      </c>
    </row>
    <row r="477" spans="1:4" x14ac:dyDescent="0.3">
      <c r="A477" s="2" t="s">
        <v>278</v>
      </c>
      <c r="B477" s="3">
        <v>5571701.46</v>
      </c>
      <c r="C477" s="3">
        <v>8132044.9900000002</v>
      </c>
    </row>
    <row r="478" spans="1:4" x14ac:dyDescent="0.3">
      <c r="A478" s="2" t="s">
        <v>275</v>
      </c>
      <c r="B478" s="4">
        <v>50000</v>
      </c>
      <c r="C478" s="4">
        <v>35000</v>
      </c>
    </row>
    <row r="479" spans="1:4" x14ac:dyDescent="0.3">
      <c r="A479" s="2" t="s">
        <v>279</v>
      </c>
      <c r="B479" s="3">
        <v>5799.64</v>
      </c>
      <c r="C479" s="3">
        <v>7127.1</v>
      </c>
    </row>
    <row r="480" spans="1:4" x14ac:dyDescent="0.3">
      <c r="A480" s="2" t="s">
        <v>267</v>
      </c>
      <c r="B480" s="2"/>
      <c r="C480" s="3">
        <v>15777.52</v>
      </c>
    </row>
    <row r="481" spans="1:6" x14ac:dyDescent="0.3">
      <c r="A481" s="2" t="s">
        <v>7</v>
      </c>
      <c r="B481" s="3">
        <v>83874492.099999994</v>
      </c>
      <c r="C481" s="3">
        <v>355447843.64999998</v>
      </c>
    </row>
    <row r="483" spans="1:6" x14ac:dyDescent="0.3">
      <c r="A483" s="1" t="s">
        <v>280</v>
      </c>
    </row>
    <row r="484" spans="1:6" x14ac:dyDescent="0.3">
      <c r="A484" t="s">
        <v>281</v>
      </c>
    </row>
    <row r="485" spans="1:6" x14ac:dyDescent="0.3">
      <c r="A485" s="2" t="s">
        <v>282</v>
      </c>
      <c r="B485" s="2" t="s">
        <v>215</v>
      </c>
      <c r="C485" s="2" t="s">
        <v>216</v>
      </c>
    </row>
    <row r="486" spans="1:6" x14ac:dyDescent="0.3">
      <c r="A486" s="2" t="s">
        <v>283</v>
      </c>
      <c r="B486" s="2"/>
      <c r="C486" s="2"/>
    </row>
    <row r="487" spans="1:6" x14ac:dyDescent="0.3">
      <c r="A487" s="2" t="s">
        <v>284</v>
      </c>
      <c r="B487" s="3">
        <v>-8167679.7800000003</v>
      </c>
      <c r="C487" s="3">
        <v>-21046775.07</v>
      </c>
    </row>
    <row r="488" spans="1:6" x14ac:dyDescent="0.3">
      <c r="A488" s="2" t="s">
        <v>285</v>
      </c>
      <c r="B488" s="2"/>
      <c r="C488" s="2"/>
    </row>
    <row r="489" spans="1:6" x14ac:dyDescent="0.3">
      <c r="A489" s="2" t="s">
        <v>286</v>
      </c>
      <c r="B489" s="2"/>
      <c r="C489" s="2"/>
    </row>
    <row r="490" spans="1:6" x14ac:dyDescent="0.3">
      <c r="A490" s="2" t="s">
        <v>287</v>
      </c>
      <c r="B490" s="3">
        <v>3370060.01</v>
      </c>
      <c r="C490" s="3">
        <v>3883331.48</v>
      </c>
      <c r="E490" s="11">
        <v>2419997.81</v>
      </c>
      <c r="F490" s="11">
        <v>950062.2</v>
      </c>
    </row>
    <row r="491" spans="1:6" x14ac:dyDescent="0.3">
      <c r="A491" s="2" t="s">
        <v>288</v>
      </c>
      <c r="B491" s="3">
        <v>517144.5</v>
      </c>
      <c r="C491" s="3">
        <v>915620.75</v>
      </c>
    </row>
    <row r="492" spans="1:6" x14ac:dyDescent="0.3">
      <c r="A492" s="2" t="s">
        <v>289</v>
      </c>
      <c r="B492" s="2"/>
      <c r="C492" s="2"/>
    </row>
    <row r="493" spans="1:6" x14ac:dyDescent="0.3">
      <c r="A493" s="2" t="s">
        <v>290</v>
      </c>
      <c r="B493" s="2"/>
      <c r="C493" s="2"/>
    </row>
    <row r="494" spans="1:6" x14ac:dyDescent="0.3">
      <c r="A494" s="2" t="s">
        <v>291</v>
      </c>
      <c r="B494" s="2"/>
      <c r="C494" s="3">
        <v>994.93</v>
      </c>
    </row>
    <row r="495" spans="1:6" x14ac:dyDescent="0.3">
      <c r="A495" s="2" t="s">
        <v>292</v>
      </c>
      <c r="B495" s="2"/>
      <c r="C495" s="2"/>
    </row>
    <row r="496" spans="1:6" x14ac:dyDescent="0.3">
      <c r="A496" s="2" t="s">
        <v>293</v>
      </c>
      <c r="B496" s="2"/>
      <c r="C496" s="2"/>
    </row>
    <row r="497" spans="1:3" x14ac:dyDescent="0.3">
      <c r="A497" s="2" t="s">
        <v>294</v>
      </c>
      <c r="B497" s="3">
        <v>446777.59999999998</v>
      </c>
      <c r="C497" s="3">
        <v>531687.93000000005</v>
      </c>
    </row>
    <row r="498" spans="1:3" x14ac:dyDescent="0.3">
      <c r="A498" s="2" t="s">
        <v>295</v>
      </c>
      <c r="B498" s="2"/>
      <c r="C498" s="2"/>
    </row>
    <row r="499" spans="1:3" x14ac:dyDescent="0.3">
      <c r="A499" s="2" t="s">
        <v>296</v>
      </c>
      <c r="B499" s="3">
        <v>-3099286.17</v>
      </c>
      <c r="C499" s="3">
        <v>-9939954.9100000001</v>
      </c>
    </row>
    <row r="500" spans="1:3" x14ac:dyDescent="0.3">
      <c r="A500" s="2" t="s">
        <v>297</v>
      </c>
      <c r="B500" s="3">
        <v>-142509.32999999999</v>
      </c>
      <c r="C500" s="3">
        <v>-87089.04</v>
      </c>
    </row>
    <row r="501" spans="1:3" x14ac:dyDescent="0.3">
      <c r="A501" s="2" t="s">
        <v>298</v>
      </c>
      <c r="B501" s="2"/>
      <c r="C501" s="2"/>
    </row>
    <row r="502" spans="1:3" x14ac:dyDescent="0.3">
      <c r="A502" s="2" t="s">
        <v>299</v>
      </c>
      <c r="B502" s="3">
        <v>-6658541.4400000004</v>
      </c>
      <c r="C502" s="3">
        <v>-14268842.02</v>
      </c>
    </row>
    <row r="503" spans="1:3" x14ac:dyDescent="0.3">
      <c r="A503" s="2" t="s">
        <v>300</v>
      </c>
      <c r="B503" s="3">
        <v>28069010.600000001</v>
      </c>
      <c r="C503" s="3">
        <v>31488312.550000001</v>
      </c>
    </row>
    <row r="504" spans="1:3" x14ac:dyDescent="0.3">
      <c r="A504" s="2" t="s">
        <v>192</v>
      </c>
      <c r="B504" s="2"/>
      <c r="C504" s="3">
        <v>-62058.42</v>
      </c>
    </row>
    <row r="505" spans="1:3" x14ac:dyDescent="0.3">
      <c r="A505" s="2"/>
      <c r="B505" s="3"/>
      <c r="C505" s="3"/>
    </row>
    <row r="506" spans="1:3" x14ac:dyDescent="0.3">
      <c r="A506" s="2" t="s">
        <v>301</v>
      </c>
      <c r="B506" s="3">
        <f>SUM(B487:B505)</f>
        <v>14334975.990000002</v>
      </c>
      <c r="C506" s="3">
        <v>-8584771.8200000003</v>
      </c>
    </row>
    <row r="507" spans="1:3" x14ac:dyDescent="0.3">
      <c r="A507" s="2" t="s">
        <v>302</v>
      </c>
      <c r="B507" s="2"/>
      <c r="C507" s="2"/>
    </row>
    <row r="508" spans="1:3" x14ac:dyDescent="0.3">
      <c r="A508" s="2" t="s">
        <v>303</v>
      </c>
      <c r="B508" s="2"/>
      <c r="C508" s="2"/>
    </row>
    <row r="509" spans="1:3" x14ac:dyDescent="0.3">
      <c r="A509" s="2" t="s">
        <v>304</v>
      </c>
      <c r="B509" s="2"/>
      <c r="C509" s="2"/>
    </row>
    <row r="510" spans="1:3" x14ac:dyDescent="0.3">
      <c r="A510" s="2" t="s">
        <v>305</v>
      </c>
      <c r="B510" s="2"/>
      <c r="C510" s="2"/>
    </row>
    <row r="511" spans="1:3" x14ac:dyDescent="0.3">
      <c r="A511" s="2" t="s">
        <v>306</v>
      </c>
      <c r="B511" s="2"/>
      <c r="C511" s="2"/>
    </row>
    <row r="512" spans="1:3" x14ac:dyDescent="0.3">
      <c r="A512" s="2" t="s">
        <v>307</v>
      </c>
      <c r="B512" s="3">
        <v>27133.74</v>
      </c>
      <c r="C512" s="3">
        <v>92747.55</v>
      </c>
    </row>
    <row r="513" spans="1:3" x14ac:dyDescent="0.3">
      <c r="A513" s="2" t="s">
        <v>308</v>
      </c>
      <c r="B513" s="3">
        <v>92747.55</v>
      </c>
      <c r="C513" s="3">
        <v>224773.23</v>
      </c>
    </row>
    <row r="514" spans="1:3" x14ac:dyDescent="0.3">
      <c r="A514" s="2" t="s">
        <v>309</v>
      </c>
      <c r="B514" s="2"/>
      <c r="C514" s="2"/>
    </row>
    <row r="515" spans="1:3" x14ac:dyDescent="0.3">
      <c r="A515" s="2" t="s">
        <v>310</v>
      </c>
      <c r="B515" s="2"/>
      <c r="C515" s="2"/>
    </row>
    <row r="516" spans="1:3" x14ac:dyDescent="0.3">
      <c r="A516" s="2" t="s">
        <v>311</v>
      </c>
      <c r="B516" s="3">
        <v>-65613.81</v>
      </c>
      <c r="C516" s="3">
        <v>-132025.68</v>
      </c>
    </row>
    <row r="518" spans="1:3" x14ac:dyDescent="0.3">
      <c r="A518" t="s">
        <v>312</v>
      </c>
    </row>
    <row r="519" spans="1:3" x14ac:dyDescent="0.3">
      <c r="A519" s="2" t="s">
        <v>3</v>
      </c>
      <c r="B519" s="2" t="s">
        <v>4</v>
      </c>
      <c r="C519" s="2" t="s">
        <v>5</v>
      </c>
    </row>
    <row r="520" spans="1:3" x14ac:dyDescent="0.3">
      <c r="A520" s="2" t="s">
        <v>313</v>
      </c>
      <c r="B520" s="3">
        <v>27133.74</v>
      </c>
      <c r="C520" s="3">
        <v>92747.55</v>
      </c>
    </row>
    <row r="521" spans="1:3" x14ac:dyDescent="0.3">
      <c r="A521" s="2" t="s">
        <v>314</v>
      </c>
      <c r="B521" s="3">
        <v>27133.74</v>
      </c>
      <c r="C521" s="3">
        <v>92747.55</v>
      </c>
    </row>
    <row r="522" spans="1:3" x14ac:dyDescent="0.3">
      <c r="A522" s="2" t="s">
        <v>315</v>
      </c>
      <c r="B522" s="2"/>
      <c r="C522" s="2"/>
    </row>
    <row r="523" spans="1:3" x14ac:dyDescent="0.3">
      <c r="A523" s="2" t="s">
        <v>316</v>
      </c>
      <c r="B523" s="2"/>
      <c r="C523" s="2"/>
    </row>
    <row r="524" spans="1:3" x14ac:dyDescent="0.3">
      <c r="A524" s="2" t="s">
        <v>317</v>
      </c>
      <c r="B524" s="3">
        <v>27133.74</v>
      </c>
      <c r="C524" s="3">
        <v>92747.55</v>
      </c>
    </row>
    <row r="526" spans="1:3" x14ac:dyDescent="0.3">
      <c r="A526" s="1" t="s">
        <v>318</v>
      </c>
    </row>
    <row r="527" spans="1:3" x14ac:dyDescent="0.3">
      <c r="A527" s="1" t="s">
        <v>319</v>
      </c>
    </row>
    <row r="528" spans="1:3" x14ac:dyDescent="0.3">
      <c r="A528" s="1" t="s">
        <v>320</v>
      </c>
    </row>
    <row r="529" spans="1:6" x14ac:dyDescent="0.3">
      <c r="A529" s="2" t="s">
        <v>321</v>
      </c>
      <c r="B529" s="2" t="s">
        <v>322</v>
      </c>
      <c r="C529" s="2" t="s">
        <v>323</v>
      </c>
      <c r="D529" s="2" t="s">
        <v>324</v>
      </c>
      <c r="E529" s="2" t="s">
        <v>325</v>
      </c>
      <c r="F529" s="2" t="s">
        <v>326</v>
      </c>
    </row>
    <row r="530" spans="1:6" x14ac:dyDescent="0.3">
      <c r="A530" s="2" t="s">
        <v>207</v>
      </c>
      <c r="B530" s="2" t="s">
        <v>327</v>
      </c>
      <c r="C530" s="2" t="s">
        <v>328</v>
      </c>
      <c r="D530" s="4">
        <v>1000</v>
      </c>
      <c r="E530" s="4">
        <v>100</v>
      </c>
      <c r="F530" s="4">
        <v>100</v>
      </c>
    </row>
    <row r="532" spans="1:6" x14ac:dyDescent="0.3">
      <c r="A532" t="s">
        <v>329</v>
      </c>
    </row>
    <row r="533" spans="1:6" x14ac:dyDescent="0.3">
      <c r="A533" s="1" t="s">
        <v>330</v>
      </c>
    </row>
    <row r="534" spans="1:6" x14ac:dyDescent="0.3">
      <c r="A534" s="2" t="s">
        <v>331</v>
      </c>
      <c r="B534" s="2" t="s">
        <v>322</v>
      </c>
      <c r="C534" s="2" t="s">
        <v>323</v>
      </c>
      <c r="D534" s="2" t="s">
        <v>332</v>
      </c>
      <c r="E534" s="2" t="s">
        <v>333</v>
      </c>
      <c r="F534" s="2" t="s">
        <v>333</v>
      </c>
    </row>
    <row r="535" spans="1:6" x14ac:dyDescent="0.3">
      <c r="A535" s="2" t="s">
        <v>331</v>
      </c>
      <c r="B535" s="2" t="s">
        <v>322</v>
      </c>
      <c r="C535" s="2" t="s">
        <v>323</v>
      </c>
      <c r="D535" s="2" t="s">
        <v>332</v>
      </c>
      <c r="E535" s="2" t="s">
        <v>334</v>
      </c>
      <c r="F535" s="2" t="s">
        <v>335</v>
      </c>
    </row>
    <row r="536" spans="1:6" x14ac:dyDescent="0.3">
      <c r="A536" s="2" t="s">
        <v>42</v>
      </c>
      <c r="B536" s="2" t="s">
        <v>336</v>
      </c>
      <c r="C536" s="2" t="s">
        <v>328</v>
      </c>
      <c r="D536" s="4">
        <v>2000</v>
      </c>
      <c r="E536" s="4">
        <v>100</v>
      </c>
      <c r="F536" s="4">
        <v>100</v>
      </c>
    </row>
    <row r="538" spans="1:6" x14ac:dyDescent="0.3">
      <c r="A538" s="1" t="s">
        <v>337</v>
      </c>
    </row>
    <row r="539" spans="1:6" x14ac:dyDescent="0.3">
      <c r="A539" s="2" t="s">
        <v>338</v>
      </c>
      <c r="B539" s="2" t="s">
        <v>339</v>
      </c>
    </row>
    <row r="540" spans="1:6" x14ac:dyDescent="0.3">
      <c r="A540" s="2" t="s">
        <v>195</v>
      </c>
      <c r="B540" s="2" t="s">
        <v>340</v>
      </c>
    </row>
    <row r="541" spans="1:6" x14ac:dyDescent="0.3">
      <c r="A541" s="2" t="s">
        <v>341</v>
      </c>
      <c r="B541" s="2" t="s">
        <v>340</v>
      </c>
    </row>
    <row r="542" spans="1:6" x14ac:dyDescent="0.3">
      <c r="A542" s="2" t="s">
        <v>342</v>
      </c>
      <c r="B542" s="2" t="s">
        <v>340</v>
      </c>
    </row>
    <row r="543" spans="1:6" x14ac:dyDescent="0.3">
      <c r="A543" s="2" t="s">
        <v>343</v>
      </c>
      <c r="B543" s="2" t="s">
        <v>340</v>
      </c>
    </row>
    <row r="544" spans="1:6" x14ac:dyDescent="0.3">
      <c r="A544" s="2" t="s">
        <v>344</v>
      </c>
      <c r="B544" s="2" t="s">
        <v>340</v>
      </c>
    </row>
    <row r="545" spans="1:2" x14ac:dyDescent="0.3">
      <c r="A545" s="2" t="s">
        <v>345</v>
      </c>
      <c r="B545" s="2" t="s">
        <v>340</v>
      </c>
    </row>
    <row r="546" spans="1:2" x14ac:dyDescent="0.3">
      <c r="A546" s="2" t="s">
        <v>346</v>
      </c>
      <c r="B546" s="2" t="s">
        <v>340</v>
      </c>
    </row>
    <row r="547" spans="1:2" x14ac:dyDescent="0.3">
      <c r="A547" s="2" t="s">
        <v>347</v>
      </c>
      <c r="B547" s="2" t="s">
        <v>340</v>
      </c>
    </row>
    <row r="548" spans="1:2" x14ac:dyDescent="0.3">
      <c r="A548" s="2" t="s">
        <v>29</v>
      </c>
      <c r="B548" s="2" t="s">
        <v>340</v>
      </c>
    </row>
    <row r="549" spans="1:2" x14ac:dyDescent="0.3">
      <c r="A549" s="2" t="s">
        <v>348</v>
      </c>
      <c r="B549" s="2" t="s">
        <v>349</v>
      </c>
    </row>
    <row r="550" spans="1:2" x14ac:dyDescent="0.3">
      <c r="A550" s="2" t="s">
        <v>350</v>
      </c>
      <c r="B550" s="2" t="s">
        <v>349</v>
      </c>
    </row>
    <row r="551" spans="1:2" x14ac:dyDescent="0.3">
      <c r="A551" s="2" t="s">
        <v>351</v>
      </c>
      <c r="B551" s="2" t="s">
        <v>349</v>
      </c>
    </row>
    <row r="552" spans="1:2" x14ac:dyDescent="0.3">
      <c r="A552" s="2" t="s">
        <v>352</v>
      </c>
      <c r="B552" s="2" t="s">
        <v>349</v>
      </c>
    </row>
    <row r="553" spans="1:2" x14ac:dyDescent="0.3">
      <c r="A553" s="2" t="s">
        <v>353</v>
      </c>
      <c r="B553" s="2" t="s">
        <v>349</v>
      </c>
    </row>
    <row r="554" spans="1:2" x14ac:dyDescent="0.3">
      <c r="A554" s="2" t="s">
        <v>32</v>
      </c>
      <c r="B554" s="2" t="s">
        <v>349</v>
      </c>
    </row>
    <row r="555" spans="1:2" x14ac:dyDescent="0.3">
      <c r="A555" s="2" t="s">
        <v>354</v>
      </c>
      <c r="B555" s="2" t="s">
        <v>355</v>
      </c>
    </row>
    <row r="556" spans="1:2" x14ac:dyDescent="0.3">
      <c r="A556" s="2" t="s">
        <v>356</v>
      </c>
      <c r="B556" s="2" t="s">
        <v>349</v>
      </c>
    </row>
    <row r="557" spans="1:2" x14ac:dyDescent="0.3">
      <c r="A557" s="2" t="s">
        <v>357</v>
      </c>
      <c r="B557" s="2" t="s">
        <v>340</v>
      </c>
    </row>
    <row r="558" spans="1:2" x14ac:dyDescent="0.3">
      <c r="A558" s="2" t="s">
        <v>358</v>
      </c>
      <c r="B558" s="2" t="s">
        <v>340</v>
      </c>
    </row>
    <row r="559" spans="1:2" x14ac:dyDescent="0.3">
      <c r="A559" s="2" t="s">
        <v>359</v>
      </c>
      <c r="B559" s="2" t="s">
        <v>340</v>
      </c>
    </row>
    <row r="560" spans="1:2" x14ac:dyDescent="0.3">
      <c r="A560" s="2" t="s">
        <v>360</v>
      </c>
      <c r="B560" s="2" t="s">
        <v>340</v>
      </c>
    </row>
    <row r="561" spans="1:2" x14ac:dyDescent="0.3">
      <c r="A561" s="2" t="s">
        <v>361</v>
      </c>
      <c r="B561" s="2" t="s">
        <v>340</v>
      </c>
    </row>
    <row r="562" spans="1:2" x14ac:dyDescent="0.3">
      <c r="A562" s="2" t="s">
        <v>362</v>
      </c>
      <c r="B562" s="2" t="s">
        <v>340</v>
      </c>
    </row>
    <row r="563" spans="1:2" x14ac:dyDescent="0.3">
      <c r="A563" s="2" t="s">
        <v>363</v>
      </c>
      <c r="B563" s="2" t="s">
        <v>340</v>
      </c>
    </row>
    <row r="564" spans="1:2" x14ac:dyDescent="0.3">
      <c r="A564" s="2" t="s">
        <v>364</v>
      </c>
      <c r="B564" s="2" t="s">
        <v>340</v>
      </c>
    </row>
    <row r="565" spans="1:2" x14ac:dyDescent="0.3">
      <c r="A565" s="2" t="s">
        <v>365</v>
      </c>
      <c r="B565" s="2" t="s">
        <v>340</v>
      </c>
    </row>
    <row r="566" spans="1:2" x14ac:dyDescent="0.3">
      <c r="A566" s="2" t="s">
        <v>366</v>
      </c>
      <c r="B566" s="2" t="s">
        <v>340</v>
      </c>
    </row>
    <row r="567" spans="1:2" x14ac:dyDescent="0.3">
      <c r="A567" s="2" t="s">
        <v>367</v>
      </c>
      <c r="B567" s="2" t="s">
        <v>340</v>
      </c>
    </row>
    <row r="568" spans="1:2" x14ac:dyDescent="0.3">
      <c r="A568" s="2" t="s">
        <v>368</v>
      </c>
      <c r="B568" s="2" t="s">
        <v>340</v>
      </c>
    </row>
    <row r="569" spans="1:2" x14ac:dyDescent="0.3">
      <c r="A569" s="2" t="s">
        <v>369</v>
      </c>
      <c r="B569" s="2" t="s">
        <v>340</v>
      </c>
    </row>
    <row r="570" spans="1:2" x14ac:dyDescent="0.3">
      <c r="A570" s="2" t="s">
        <v>370</v>
      </c>
      <c r="B570" s="2" t="s">
        <v>340</v>
      </c>
    </row>
    <row r="571" spans="1:2" x14ac:dyDescent="0.3">
      <c r="A571" s="2" t="s">
        <v>371</v>
      </c>
      <c r="B571" s="2" t="s">
        <v>340</v>
      </c>
    </row>
    <row r="572" spans="1:2" x14ac:dyDescent="0.3">
      <c r="A572" s="2" t="s">
        <v>372</v>
      </c>
      <c r="B572" s="2" t="s">
        <v>340</v>
      </c>
    </row>
    <row r="573" spans="1:2" x14ac:dyDescent="0.3">
      <c r="A573" s="2" t="s">
        <v>373</v>
      </c>
      <c r="B573" s="2" t="s">
        <v>340</v>
      </c>
    </row>
    <row r="574" spans="1:2" x14ac:dyDescent="0.3">
      <c r="A574" s="2" t="s">
        <v>374</v>
      </c>
      <c r="B574" s="2" t="s">
        <v>340</v>
      </c>
    </row>
    <row r="575" spans="1:2" x14ac:dyDescent="0.3">
      <c r="A575" s="2" t="s">
        <v>375</v>
      </c>
      <c r="B575" s="2" t="s">
        <v>340</v>
      </c>
    </row>
    <row r="576" spans="1:2" x14ac:dyDescent="0.3">
      <c r="A576" s="2" t="s">
        <v>376</v>
      </c>
      <c r="B576" s="2" t="s">
        <v>340</v>
      </c>
    </row>
    <row r="577" spans="1:4" x14ac:dyDescent="0.3">
      <c r="A577" s="2" t="s">
        <v>377</v>
      </c>
      <c r="B577" s="2" t="s">
        <v>340</v>
      </c>
    </row>
    <row r="578" spans="1:4" x14ac:dyDescent="0.3">
      <c r="A578" s="2" t="s">
        <v>378</v>
      </c>
      <c r="B578" s="2" t="s">
        <v>340</v>
      </c>
    </row>
    <row r="579" spans="1:4" x14ac:dyDescent="0.3">
      <c r="A579" s="2" t="s">
        <v>379</v>
      </c>
      <c r="B579" s="2" t="s">
        <v>340</v>
      </c>
    </row>
    <row r="580" spans="1:4" x14ac:dyDescent="0.3">
      <c r="A580" s="2" t="s">
        <v>380</v>
      </c>
      <c r="B580" s="2" t="s">
        <v>340</v>
      </c>
    </row>
    <row r="581" spans="1:4" x14ac:dyDescent="0.3">
      <c r="A581" s="2" t="s">
        <v>381</v>
      </c>
      <c r="B581" s="2" t="s">
        <v>340</v>
      </c>
    </row>
    <row r="582" spans="1:4" x14ac:dyDescent="0.3">
      <c r="A582" s="2" t="s">
        <v>382</v>
      </c>
      <c r="B582" s="2" t="s">
        <v>340</v>
      </c>
    </row>
    <row r="583" spans="1:4" x14ac:dyDescent="0.3">
      <c r="A583" s="2" t="s">
        <v>383</v>
      </c>
      <c r="B583" s="2" t="s">
        <v>340</v>
      </c>
    </row>
    <row r="585" spans="1:4" x14ac:dyDescent="0.3">
      <c r="A585" s="1" t="s">
        <v>384</v>
      </c>
    </row>
    <row r="586" spans="1:4" x14ac:dyDescent="0.3">
      <c r="A586" s="2" t="s">
        <v>338</v>
      </c>
      <c r="B586" s="2" t="s">
        <v>339</v>
      </c>
    </row>
    <row r="587" spans="1:4" x14ac:dyDescent="0.3">
      <c r="A587" s="2" t="s">
        <v>385</v>
      </c>
      <c r="B587" s="2" t="s">
        <v>386</v>
      </c>
    </row>
    <row r="589" spans="1:4" x14ac:dyDescent="0.3">
      <c r="A589" s="1" t="s">
        <v>387</v>
      </c>
    </row>
    <row r="590" spans="1:4" x14ac:dyDescent="0.3">
      <c r="A590" s="1" t="s">
        <v>388</v>
      </c>
    </row>
    <row r="591" spans="1:4" x14ac:dyDescent="0.3">
      <c r="A591" s="2" t="s">
        <v>389</v>
      </c>
      <c r="B591" s="2" t="s">
        <v>390</v>
      </c>
      <c r="C591" s="2" t="s">
        <v>391</v>
      </c>
      <c r="D591" s="2" t="s">
        <v>392</v>
      </c>
    </row>
    <row r="592" spans="1:4" x14ac:dyDescent="0.3">
      <c r="A592" s="2" t="s">
        <v>341</v>
      </c>
      <c r="B592" s="2" t="s">
        <v>393</v>
      </c>
      <c r="C592" s="2" t="s">
        <v>232</v>
      </c>
      <c r="D592" s="3">
        <v>6154449.8399999999</v>
      </c>
    </row>
    <row r="593" spans="1:6" x14ac:dyDescent="0.3">
      <c r="A593" s="2" t="s">
        <v>32</v>
      </c>
      <c r="B593" s="2" t="s">
        <v>393</v>
      </c>
      <c r="C593" s="2" t="s">
        <v>233</v>
      </c>
      <c r="D593" s="3">
        <v>417325.85</v>
      </c>
    </row>
    <row r="594" spans="1:6" x14ac:dyDescent="0.3">
      <c r="A594" s="2" t="s">
        <v>29</v>
      </c>
      <c r="B594" s="2" t="s">
        <v>393</v>
      </c>
      <c r="C594" s="2" t="s">
        <v>233</v>
      </c>
      <c r="D594" s="3">
        <v>3981359.08</v>
      </c>
    </row>
    <row r="596" spans="1:6" x14ac:dyDescent="0.3">
      <c r="A596" s="1" t="s">
        <v>394</v>
      </c>
    </row>
    <row r="597" spans="1:6" x14ac:dyDescent="0.3">
      <c r="A597" t="s">
        <v>395</v>
      </c>
    </row>
    <row r="598" spans="1:6" x14ac:dyDescent="0.3">
      <c r="A598" s="2" t="s">
        <v>396</v>
      </c>
      <c r="B598" s="2" t="s">
        <v>397</v>
      </c>
      <c r="C598" s="2" t="s">
        <v>398</v>
      </c>
      <c r="D598" s="2" t="s">
        <v>399</v>
      </c>
      <c r="E598" s="2" t="s">
        <v>400</v>
      </c>
      <c r="F598" s="2" t="s">
        <v>401</v>
      </c>
    </row>
    <row r="599" spans="1:6" x14ac:dyDescent="0.3">
      <c r="A599" s="2" t="s">
        <v>42</v>
      </c>
      <c r="B599" s="2" t="s">
        <v>402</v>
      </c>
      <c r="C599" s="2" t="s">
        <v>403</v>
      </c>
      <c r="D599" s="3">
        <v>1776803.62</v>
      </c>
      <c r="E599" s="2" t="s">
        <v>404</v>
      </c>
      <c r="F599" s="2" t="s">
        <v>405</v>
      </c>
    </row>
    <row r="600" spans="1:6" x14ac:dyDescent="0.3">
      <c r="A600" s="2" t="s">
        <v>42</v>
      </c>
      <c r="B600" s="2" t="s">
        <v>402</v>
      </c>
      <c r="C600" s="2" t="s">
        <v>403</v>
      </c>
      <c r="D600" s="3">
        <v>1056062.95</v>
      </c>
      <c r="E600" s="2" t="s">
        <v>406</v>
      </c>
      <c r="F600" s="2" t="s">
        <v>405</v>
      </c>
    </row>
    <row r="601" spans="1:6" x14ac:dyDescent="0.3">
      <c r="A601" s="2" t="s">
        <v>42</v>
      </c>
      <c r="B601" s="2" t="s">
        <v>402</v>
      </c>
      <c r="C601" s="2" t="s">
        <v>403</v>
      </c>
      <c r="D601" s="3">
        <v>1055099.6499999999</v>
      </c>
      <c r="E601" s="2" t="s">
        <v>407</v>
      </c>
      <c r="F601" s="2" t="s">
        <v>408</v>
      </c>
    </row>
    <row r="602" spans="1:6" x14ac:dyDescent="0.3">
      <c r="A602" s="2" t="s">
        <v>42</v>
      </c>
      <c r="B602" s="2" t="s">
        <v>402</v>
      </c>
      <c r="C602" s="2" t="s">
        <v>403</v>
      </c>
      <c r="D602" s="3">
        <v>1042750.98</v>
      </c>
      <c r="E602" s="2" t="s">
        <v>409</v>
      </c>
      <c r="F602" s="2" t="s">
        <v>410</v>
      </c>
    </row>
    <row r="603" spans="1:6" x14ac:dyDescent="0.3">
      <c r="A603" s="2" t="s">
        <v>42</v>
      </c>
      <c r="B603" s="2" t="s">
        <v>402</v>
      </c>
      <c r="C603" s="2" t="s">
        <v>403</v>
      </c>
      <c r="D603" s="3">
        <v>914169.2</v>
      </c>
      <c r="E603" s="2" t="s">
        <v>411</v>
      </c>
      <c r="F603" s="2" t="s">
        <v>405</v>
      </c>
    </row>
    <row r="604" spans="1:6" x14ac:dyDescent="0.3">
      <c r="A604" s="2" t="s">
        <v>42</v>
      </c>
      <c r="B604" s="2" t="s">
        <v>402</v>
      </c>
      <c r="C604" s="2" t="s">
        <v>403</v>
      </c>
      <c r="D604" s="3">
        <v>846285.38</v>
      </c>
      <c r="E604" s="2" t="s">
        <v>412</v>
      </c>
      <c r="F604" s="2" t="s">
        <v>405</v>
      </c>
    </row>
    <row r="605" spans="1:6" x14ac:dyDescent="0.3">
      <c r="A605" s="2" t="s">
        <v>42</v>
      </c>
      <c r="B605" s="2" t="s">
        <v>402</v>
      </c>
      <c r="C605" s="2" t="s">
        <v>403</v>
      </c>
      <c r="D605" s="3">
        <v>843155.44</v>
      </c>
      <c r="E605" s="2" t="s">
        <v>413</v>
      </c>
      <c r="F605" s="2" t="s">
        <v>410</v>
      </c>
    </row>
    <row r="606" spans="1:6" x14ac:dyDescent="0.3">
      <c r="A606" s="2" t="s">
        <v>42</v>
      </c>
      <c r="B606" s="2" t="s">
        <v>402</v>
      </c>
      <c r="C606" s="2" t="s">
        <v>403</v>
      </c>
      <c r="D606" s="3">
        <v>777700.96</v>
      </c>
      <c r="E606" s="2" t="s">
        <v>414</v>
      </c>
      <c r="F606" s="2" t="s">
        <v>410</v>
      </c>
    </row>
    <row r="607" spans="1:6" x14ac:dyDescent="0.3">
      <c r="A607" s="2" t="s">
        <v>42</v>
      </c>
      <c r="B607" s="2" t="s">
        <v>402</v>
      </c>
      <c r="C607" s="2" t="s">
        <v>403</v>
      </c>
      <c r="D607" s="4">
        <v>52000</v>
      </c>
      <c r="E607" s="2" t="s">
        <v>415</v>
      </c>
      <c r="F607" s="2" t="s">
        <v>408</v>
      </c>
    </row>
    <row r="608" spans="1:6" x14ac:dyDescent="0.3">
      <c r="A608" s="2" t="s">
        <v>42</v>
      </c>
      <c r="B608" s="2" t="s">
        <v>402</v>
      </c>
      <c r="C608" s="2" t="s">
        <v>403</v>
      </c>
      <c r="D608" s="4">
        <v>26000</v>
      </c>
      <c r="E608" s="2" t="s">
        <v>416</v>
      </c>
      <c r="F608" s="2" t="s">
        <v>408</v>
      </c>
    </row>
    <row r="609" spans="1:6" x14ac:dyDescent="0.3">
      <c r="A609" s="2" t="s">
        <v>42</v>
      </c>
      <c r="B609" s="2" t="s">
        <v>402</v>
      </c>
      <c r="C609" s="2" t="s">
        <v>403</v>
      </c>
      <c r="D609" s="4">
        <v>26000</v>
      </c>
      <c r="E609" s="2" t="s">
        <v>417</v>
      </c>
      <c r="F609" s="2" t="s">
        <v>408</v>
      </c>
    </row>
    <row r="610" spans="1:6" x14ac:dyDescent="0.3">
      <c r="A610" s="2" t="s">
        <v>42</v>
      </c>
      <c r="B610" s="2" t="s">
        <v>402</v>
      </c>
      <c r="C610" s="2" t="s">
        <v>403</v>
      </c>
      <c r="D610" s="4">
        <v>26000</v>
      </c>
      <c r="E610" s="2" t="s">
        <v>418</v>
      </c>
      <c r="F610" s="2" t="s">
        <v>405</v>
      </c>
    </row>
    <row r="611" spans="1:6" x14ac:dyDescent="0.3">
      <c r="A611" s="2" t="s">
        <v>42</v>
      </c>
      <c r="B611" s="2" t="s">
        <v>402</v>
      </c>
      <c r="C611" s="2" t="s">
        <v>403</v>
      </c>
      <c r="D611" s="4">
        <v>26000</v>
      </c>
      <c r="E611" s="2" t="s">
        <v>419</v>
      </c>
      <c r="F611" s="2" t="s">
        <v>405</v>
      </c>
    </row>
    <row r="612" spans="1:6" x14ac:dyDescent="0.3">
      <c r="A612" s="2" t="s">
        <v>42</v>
      </c>
      <c r="B612" s="2" t="s">
        <v>402</v>
      </c>
      <c r="C612" s="2" t="s">
        <v>403</v>
      </c>
      <c r="D612" s="3">
        <v>25681.23</v>
      </c>
      <c r="E612" s="2" t="s">
        <v>420</v>
      </c>
      <c r="F612" s="2" t="s">
        <v>408</v>
      </c>
    </row>
    <row r="613" spans="1:6" x14ac:dyDescent="0.3">
      <c r="A613" s="2" t="s">
        <v>42</v>
      </c>
      <c r="B613" s="2" t="s">
        <v>402</v>
      </c>
      <c r="C613" s="2" t="s">
        <v>403</v>
      </c>
      <c r="D613" s="3">
        <v>24804.6</v>
      </c>
      <c r="E613" s="2" t="s">
        <v>421</v>
      </c>
      <c r="F613" s="2" t="s">
        <v>408</v>
      </c>
    </row>
    <row r="615" spans="1:6" x14ac:dyDescent="0.3">
      <c r="A615" s="1" t="s">
        <v>422</v>
      </c>
    </row>
    <row r="616" spans="1:6" x14ac:dyDescent="0.3">
      <c r="A616" s="2" t="s">
        <v>27</v>
      </c>
      <c r="B616" s="2" t="s">
        <v>338</v>
      </c>
      <c r="C616" s="2" t="s">
        <v>4</v>
      </c>
    </row>
    <row r="617" spans="1:6" x14ac:dyDescent="0.3">
      <c r="A617" s="2" t="s">
        <v>9</v>
      </c>
      <c r="B617" s="2" t="s">
        <v>32</v>
      </c>
      <c r="C617" s="3">
        <v>97523.19</v>
      </c>
    </row>
    <row r="618" spans="1:6" x14ac:dyDescent="0.3">
      <c r="A618" s="2" t="s">
        <v>9</v>
      </c>
      <c r="B618" s="2" t="s">
        <v>29</v>
      </c>
      <c r="C618" s="3">
        <v>3981359.08</v>
      </c>
    </row>
    <row r="619" spans="1:6" x14ac:dyDescent="0.3">
      <c r="A619" s="2" t="s">
        <v>35</v>
      </c>
      <c r="B619" s="2" t="s">
        <v>42</v>
      </c>
      <c r="C619" s="4">
        <v>4034920</v>
      </c>
    </row>
    <row r="620" spans="1:6" x14ac:dyDescent="0.3">
      <c r="A620" s="2" t="s">
        <v>162</v>
      </c>
      <c r="B620" s="2" t="s">
        <v>341</v>
      </c>
      <c r="C620" s="3">
        <v>1332233.28</v>
      </c>
    </row>
    <row r="621" spans="1:6" x14ac:dyDescent="0.3">
      <c r="A621" s="2" t="s">
        <v>187</v>
      </c>
      <c r="B621" s="2" t="s">
        <v>195</v>
      </c>
      <c r="C621" s="3">
        <v>27130008.690000001</v>
      </c>
    </row>
    <row r="622" spans="1:6" x14ac:dyDescent="0.3">
      <c r="A622" s="2" t="s">
        <v>187</v>
      </c>
      <c r="B622" s="2" t="s">
        <v>341</v>
      </c>
      <c r="C622" s="3">
        <v>3770036.02</v>
      </c>
    </row>
    <row r="624" spans="1:6" x14ac:dyDescent="0.3">
      <c r="A624" s="1" t="s">
        <v>423</v>
      </c>
    </row>
    <row r="625" spans="1:5" x14ac:dyDescent="0.3">
      <c r="A625" t="s">
        <v>424</v>
      </c>
    </row>
    <row r="626" spans="1:5" x14ac:dyDescent="0.3">
      <c r="A626" s="1" t="s">
        <v>425</v>
      </c>
    </row>
    <row r="627" spans="1:5" x14ac:dyDescent="0.3">
      <c r="A627" t="s">
        <v>426</v>
      </c>
    </row>
    <row r="628" spans="1:5" x14ac:dyDescent="0.3">
      <c r="A628" s="1" t="s">
        <v>427</v>
      </c>
    </row>
    <row r="629" spans="1:5" x14ac:dyDescent="0.3">
      <c r="A629" t="s">
        <v>428</v>
      </c>
    </row>
    <row r="633" spans="1:5" x14ac:dyDescent="0.3">
      <c r="A633" s="2" t="s">
        <v>429</v>
      </c>
      <c r="B633" s="2"/>
      <c r="C633" s="2" t="s">
        <v>430</v>
      </c>
      <c r="D633" s="2"/>
      <c r="E633" s="2" t="s">
        <v>431</v>
      </c>
    </row>
    <row r="638" spans="1:5" x14ac:dyDescent="0.3">
      <c r="A638" t="s">
        <v>432</v>
      </c>
    </row>
    <row r="639" spans="1:5" x14ac:dyDescent="0.3">
      <c r="A639" t="s">
        <v>433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子全 何</cp:lastModifiedBy>
  <dcterms:created xsi:type="dcterms:W3CDTF">2026-05-06T14:47:35Z</dcterms:created>
  <dcterms:modified xsi:type="dcterms:W3CDTF">2026-05-06T15:55:13Z</dcterms:modified>
</cp:coreProperties>
</file>