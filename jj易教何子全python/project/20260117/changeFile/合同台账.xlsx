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90" windowHeight="8370"/>
  </bookViews>
  <sheets>
    <sheet name="2025.12.1" sheetId="1" r:id="rId1"/>
  </sheets>
  <definedNames>
    <definedName name="_xlnm._FilterDatabase" localSheetId="0" hidden="1">'2025.12.1'!$A$4:$HZ$337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<sst xmlns="http://schemas.openxmlformats.org/spreadsheetml/2006/main" count="2647" uniqueCount="902">
  <si>
    <t xml:space="preserve">鞋城 物业租赁情况表  </t>
  </si>
  <si>
    <t>序号</t>
  </si>
  <si>
    <t>基本信息</t>
  </si>
  <si>
    <t>公司定价</t>
  </si>
  <si>
    <t>物业实际出租情况</t>
  </si>
  <si>
    <t>备  注</t>
  </si>
  <si>
    <t>基本区域</t>
  </si>
  <si>
    <t>档号</t>
  </si>
  <si>
    <t>使用面积（㎡）</t>
  </si>
  <si>
    <t>建筑面积（使用率50%）㎡</t>
  </si>
  <si>
    <t>单价</t>
  </si>
  <si>
    <t>月租</t>
  </si>
  <si>
    <t>管理费</t>
  </si>
  <si>
    <t>档主名</t>
  </si>
  <si>
    <t>状态</t>
  </si>
  <si>
    <t>连档说明</t>
  </si>
  <si>
    <t>租赁性质</t>
  </si>
  <si>
    <t>签约日期</t>
  </si>
  <si>
    <t>起租日</t>
  </si>
  <si>
    <t>到期日</t>
  </si>
  <si>
    <t>计租日</t>
  </si>
  <si>
    <t>租金</t>
  </si>
  <si>
    <t>月份</t>
  </si>
  <si>
    <t>保证金</t>
  </si>
  <si>
    <t>递增日（2023）</t>
  </si>
  <si>
    <t>递增金额</t>
  </si>
  <si>
    <t>递增日（2024）</t>
  </si>
  <si>
    <t>请示报告单</t>
  </si>
  <si>
    <t>身份证复印件</t>
  </si>
  <si>
    <t>商铺转租记录</t>
  </si>
  <si>
    <t>市场管理规定</t>
  </si>
  <si>
    <t>防火安全责任</t>
  </si>
  <si>
    <t>申请书</t>
  </si>
  <si>
    <t>优惠协议</t>
  </si>
  <si>
    <t>承诺书</t>
  </si>
  <si>
    <t>面积确认单</t>
  </si>
  <si>
    <t>成交单</t>
  </si>
  <si>
    <t>档主身份证号码</t>
  </si>
  <si>
    <t>档主联系电话</t>
  </si>
  <si>
    <t>主合同租金</t>
  </si>
  <si>
    <t>管理合同租金</t>
  </si>
  <si>
    <t>总租金</t>
  </si>
  <si>
    <t>电费</t>
  </si>
  <si>
    <t>水费</t>
  </si>
  <si>
    <t>一楼商铺</t>
  </si>
  <si>
    <t>1001-01（临一）</t>
  </si>
  <si>
    <t>何具达</t>
  </si>
  <si>
    <t>1001-01</t>
  </si>
  <si>
    <t>V</t>
  </si>
  <si>
    <t>440882198810050015</t>
  </si>
  <si>
    <t>邓凤强</t>
  </si>
  <si>
    <t>440882198603076511</t>
  </si>
  <si>
    <t>2024年合同期不递增有报告</t>
  </si>
  <si>
    <t>苏建柳</t>
  </si>
  <si>
    <t>441581198609261433</t>
  </si>
  <si>
    <t>李鹏飞</t>
  </si>
  <si>
    <t>1003/1004</t>
  </si>
  <si>
    <t>412824200002037712</t>
  </si>
  <si>
    <t>412727198210018050</t>
  </si>
  <si>
    <t>黄腾凌</t>
  </si>
  <si>
    <t>445221198309154557</t>
  </si>
  <si>
    <t>刘展</t>
  </si>
  <si>
    <t>1006</t>
  </si>
  <si>
    <t>441521199306234137</t>
  </si>
  <si>
    <t>王正庚</t>
  </si>
  <si>
    <t>360313198810055510</t>
  </si>
  <si>
    <t>潭日标</t>
  </si>
  <si>
    <t>1008/1009</t>
  </si>
  <si>
    <t>44020419910318014</t>
  </si>
  <si>
    <t>王长梅</t>
  </si>
  <si>
    <t>431021198106220984</t>
  </si>
  <si>
    <t>段邦彦</t>
  </si>
  <si>
    <t>1011</t>
  </si>
  <si>
    <t>41282519741225915X</t>
  </si>
  <si>
    <t>李文学</t>
  </si>
  <si>
    <t>揭英祥</t>
  </si>
  <si>
    <t>440881199406615937</t>
  </si>
  <si>
    <t>陈文彬</t>
  </si>
  <si>
    <t>1014</t>
  </si>
  <si>
    <t>440582199101251592</t>
  </si>
  <si>
    <t>张平君</t>
  </si>
  <si>
    <t>1015</t>
  </si>
  <si>
    <t>430525198304204733</t>
  </si>
  <si>
    <t>卢汉总</t>
  </si>
  <si>
    <t>1016/1017</t>
  </si>
  <si>
    <t>441522198508282155</t>
  </si>
  <si>
    <t>13539995857</t>
  </si>
  <si>
    <t>白成滔</t>
  </si>
  <si>
    <t>1018</t>
  </si>
  <si>
    <t>440981198601075418</t>
  </si>
  <si>
    <t>1019</t>
  </si>
  <si>
    <t>张爱玲</t>
  </si>
  <si>
    <t>230204199201230022</t>
  </si>
  <si>
    <t>刘光全</t>
  </si>
  <si>
    <t>512925196401174497</t>
  </si>
  <si>
    <t>庄诗霖</t>
  </si>
  <si>
    <t>1022</t>
  </si>
  <si>
    <t>441521197912020076</t>
  </si>
  <si>
    <t>黎培健</t>
  </si>
  <si>
    <t>1023</t>
  </si>
  <si>
    <t>450821199008181513</t>
  </si>
  <si>
    <t>王小军</t>
  </si>
  <si>
    <t>1024</t>
  </si>
  <si>
    <t>免收市场服务费跟场地使用费</t>
  </si>
  <si>
    <t>v</t>
  </si>
  <si>
    <t>360313197407174013</t>
  </si>
  <si>
    <t>李雄辉</t>
  </si>
  <si>
    <t>1025</t>
  </si>
  <si>
    <t>432522199102043297</t>
  </si>
  <si>
    <t>1025-A</t>
  </si>
  <si>
    <t>马旦</t>
  </si>
  <si>
    <t>1026</t>
  </si>
  <si>
    <t>431225198811241840</t>
  </si>
  <si>
    <t>范宏成</t>
  </si>
  <si>
    <t>1027</t>
  </si>
  <si>
    <t>440524197612191517</t>
  </si>
  <si>
    <t>阮文彬</t>
  </si>
  <si>
    <t>1028</t>
  </si>
  <si>
    <t>421125197210091718</t>
  </si>
  <si>
    <t>钟玲玲</t>
  </si>
  <si>
    <t>1029</t>
  </si>
  <si>
    <t>440802198208270048</t>
  </si>
  <si>
    <t>覃燕芬</t>
  </si>
  <si>
    <t>1030</t>
  </si>
  <si>
    <t>452523197502026024</t>
  </si>
  <si>
    <t>陈恳</t>
  </si>
  <si>
    <t>1031</t>
  </si>
  <si>
    <t>420621199504263810</t>
  </si>
  <si>
    <t>范琼静</t>
  </si>
  <si>
    <t>1032</t>
  </si>
  <si>
    <t>440582198404071527</t>
  </si>
  <si>
    <t>蔡安琦</t>
  </si>
  <si>
    <t>440184199301145728</t>
  </si>
  <si>
    <t>杨志鸿</t>
  </si>
  <si>
    <t>1034</t>
  </si>
  <si>
    <t>441422198709134575</t>
  </si>
  <si>
    <t>1035</t>
  </si>
  <si>
    <t>2024年合同期不递增有报告（实际递增）</t>
  </si>
  <si>
    <t>李耿坚</t>
  </si>
  <si>
    <t>1036</t>
  </si>
  <si>
    <t>440582198509260033</t>
  </si>
  <si>
    <t>范宏健</t>
  </si>
  <si>
    <t>1037</t>
  </si>
  <si>
    <t>440514199702104911</t>
  </si>
  <si>
    <t>杨义坤</t>
  </si>
  <si>
    <t>1038</t>
  </si>
  <si>
    <t>230222196904061631</t>
  </si>
  <si>
    <t>139222198696</t>
  </si>
  <si>
    <t>陈秋香</t>
  </si>
  <si>
    <t>1039</t>
  </si>
  <si>
    <t>430424198209225622</t>
  </si>
  <si>
    <t>陈少华</t>
  </si>
  <si>
    <t>1040</t>
  </si>
  <si>
    <t>440524197504172028</t>
  </si>
  <si>
    <t>林文浩</t>
  </si>
  <si>
    <t>44152198910258317</t>
  </si>
  <si>
    <t>陈俊炳</t>
  </si>
  <si>
    <t>1042</t>
  </si>
  <si>
    <t>441522199311308037</t>
  </si>
  <si>
    <t>曾丽</t>
  </si>
  <si>
    <t>1043</t>
  </si>
  <si>
    <t>420923198705011323</t>
  </si>
  <si>
    <t>杨要</t>
  </si>
  <si>
    <t>1044</t>
  </si>
  <si>
    <t>421081199106240634</t>
  </si>
  <si>
    <t>陈柳旋</t>
  </si>
  <si>
    <t>1045</t>
  </si>
  <si>
    <t>441521199305031127</t>
  </si>
  <si>
    <t>胡命礼</t>
  </si>
  <si>
    <t>1046</t>
  </si>
  <si>
    <t>445224198706100033</t>
  </si>
  <si>
    <t>黄廉颖</t>
  </si>
  <si>
    <t>1047</t>
  </si>
  <si>
    <t>440881199501175939</t>
  </si>
  <si>
    <t>李嘉格</t>
  </si>
  <si>
    <t>1048</t>
  </si>
  <si>
    <t>441581199605041729</t>
  </si>
  <si>
    <t>何飞</t>
  </si>
  <si>
    <t>1049</t>
  </si>
  <si>
    <t>440924195812035853</t>
  </si>
  <si>
    <t>刘玲</t>
  </si>
  <si>
    <t>1050</t>
  </si>
  <si>
    <t>430426199705045142</t>
  </si>
  <si>
    <t>陈慧芳</t>
  </si>
  <si>
    <t>1051</t>
  </si>
  <si>
    <t>441521199208282741</t>
  </si>
  <si>
    <t>李硕果</t>
  </si>
  <si>
    <t>1052</t>
  </si>
  <si>
    <t>441501199903295047</t>
  </si>
  <si>
    <t>黄文波</t>
  </si>
  <si>
    <t>1053</t>
  </si>
  <si>
    <t>411381198608135631</t>
  </si>
  <si>
    <t>沈飞艳</t>
  </si>
  <si>
    <t>1054</t>
  </si>
  <si>
    <t>330781198602265583</t>
  </si>
  <si>
    <t>梁中梅</t>
  </si>
  <si>
    <t>1055</t>
  </si>
  <si>
    <t>440902197611093644</t>
  </si>
  <si>
    <t>吴玉荡</t>
  </si>
  <si>
    <t>1056</t>
  </si>
  <si>
    <t>330327196807201613</t>
  </si>
  <si>
    <t>肖梓尧</t>
  </si>
  <si>
    <t>1057</t>
  </si>
  <si>
    <t>441581199307061414</t>
  </si>
  <si>
    <t>江朝</t>
  </si>
  <si>
    <t>1058</t>
  </si>
  <si>
    <t>421222199410025897</t>
  </si>
  <si>
    <t>温平</t>
  </si>
  <si>
    <t>1059</t>
  </si>
  <si>
    <t>362102198309072036</t>
  </si>
  <si>
    <t>戴晓怡</t>
  </si>
  <si>
    <t>1060</t>
  </si>
  <si>
    <t>441701199411120022</t>
  </si>
  <si>
    <t>138827676845</t>
  </si>
  <si>
    <t>李丽</t>
  </si>
  <si>
    <t>1061</t>
  </si>
  <si>
    <t>232330198805191365</t>
  </si>
  <si>
    <t>章芳琴</t>
  </si>
  <si>
    <t>362502198910283047</t>
  </si>
  <si>
    <t>1065调档1062合同期内2240调整1500 免管理费 不享受折扣</t>
  </si>
  <si>
    <t>余迎龙</t>
  </si>
  <si>
    <t>1063</t>
  </si>
  <si>
    <t>441521197702074439</t>
  </si>
  <si>
    <t>万军银</t>
  </si>
  <si>
    <t>年租</t>
  </si>
  <si>
    <t>450922199802263956</t>
  </si>
  <si>
    <t>卢永润</t>
  </si>
  <si>
    <t>1066</t>
  </si>
  <si>
    <t>450721198603053479</t>
  </si>
  <si>
    <t>1067展柜</t>
  </si>
  <si>
    <t>展柜</t>
  </si>
  <si>
    <t>1068展柜</t>
  </si>
  <si>
    <t>黄伟慧</t>
  </si>
  <si>
    <t>1068-1069</t>
  </si>
  <si>
    <t>432930198206214078</t>
  </si>
  <si>
    <t>139287365333</t>
  </si>
  <si>
    <t>1069展柜</t>
  </si>
  <si>
    <t>合同拿到总部盖章8/7  未盖章</t>
  </si>
  <si>
    <t>大厅01</t>
  </si>
  <si>
    <t>张文英</t>
  </si>
  <si>
    <t>220303199108062420</t>
  </si>
  <si>
    <t>大厅02</t>
  </si>
  <si>
    <t>黎鹏其</t>
  </si>
  <si>
    <t>450821199204255276</t>
  </si>
  <si>
    <t>二楼商铺</t>
  </si>
  <si>
    <t>黄廉廷</t>
  </si>
  <si>
    <t>2001</t>
  </si>
  <si>
    <t>440881199404165931</t>
  </si>
  <si>
    <t>正常收取市场服务费2，垃圾费160，水费43</t>
  </si>
  <si>
    <t>孙标然</t>
  </si>
  <si>
    <t>2002</t>
  </si>
  <si>
    <t>441521199103074575</t>
  </si>
  <si>
    <t>陆兆亮</t>
  </si>
  <si>
    <t>2003</t>
  </si>
  <si>
    <t>440525197003196837</t>
  </si>
  <si>
    <t>林翠侠</t>
  </si>
  <si>
    <t>2004</t>
  </si>
  <si>
    <t>341221199106273123</t>
  </si>
  <si>
    <t>徐忠琴</t>
  </si>
  <si>
    <t>2005</t>
  </si>
  <si>
    <t>230208197002260620</t>
  </si>
  <si>
    <t>周丽红</t>
  </si>
  <si>
    <t>2006</t>
  </si>
  <si>
    <t>431022199605154564</t>
  </si>
  <si>
    <t>黄伟军</t>
  </si>
  <si>
    <t>2007-2008</t>
  </si>
  <si>
    <t>350521199201041539</t>
  </si>
  <si>
    <t>冯世豪</t>
  </si>
  <si>
    <t>2009</t>
  </si>
  <si>
    <t>445381199908082539</t>
  </si>
  <si>
    <t>王既异</t>
  </si>
  <si>
    <t>2010</t>
  </si>
  <si>
    <t>210105196503120412</t>
  </si>
  <si>
    <t>颜艳军</t>
  </si>
  <si>
    <t>2011</t>
  </si>
  <si>
    <t>430422197805208311</t>
  </si>
  <si>
    <t>19350389707</t>
  </si>
  <si>
    <t>卢永永</t>
  </si>
  <si>
    <t>2012</t>
  </si>
  <si>
    <t>45072119941118345X</t>
  </si>
  <si>
    <t>陈高俊</t>
  </si>
  <si>
    <t>2013</t>
  </si>
  <si>
    <t>430422199301296011</t>
  </si>
  <si>
    <t>张顶</t>
  </si>
  <si>
    <t>2014</t>
  </si>
  <si>
    <t>412825198201202553</t>
  </si>
  <si>
    <t>冯章权</t>
  </si>
  <si>
    <t>2015</t>
  </si>
  <si>
    <t>441230197506152516</t>
  </si>
  <si>
    <t>只收自己用水电</t>
  </si>
  <si>
    <t>黎慧敏</t>
  </si>
  <si>
    <t>2016</t>
  </si>
  <si>
    <t>450821198901011627</t>
  </si>
  <si>
    <t>2017</t>
  </si>
  <si>
    <t>钟丽梅</t>
  </si>
  <si>
    <t>2018</t>
  </si>
  <si>
    <t>452427198308033145</t>
  </si>
  <si>
    <t>周欣雨</t>
  </si>
  <si>
    <t>2019</t>
  </si>
  <si>
    <t>230225199005044638</t>
  </si>
  <si>
    <t>朱楚帆</t>
  </si>
  <si>
    <t>2020</t>
  </si>
  <si>
    <t>441827199003123231</t>
  </si>
  <si>
    <t>吴桂华</t>
  </si>
  <si>
    <t>2021</t>
  </si>
  <si>
    <t>440520197009243452</t>
  </si>
  <si>
    <t>谭雯心</t>
  </si>
  <si>
    <t>440981199009035462</t>
  </si>
  <si>
    <t>张秀珠</t>
  </si>
  <si>
    <t>2023</t>
  </si>
  <si>
    <t>441581198604151446</t>
  </si>
  <si>
    <t>余小帆</t>
  </si>
  <si>
    <t>2024</t>
  </si>
  <si>
    <t>441500066.09203091</t>
  </si>
  <si>
    <t>焦小峰</t>
  </si>
  <si>
    <t>2025</t>
  </si>
  <si>
    <t>22030319850625321X</t>
  </si>
  <si>
    <t>林樊杰</t>
  </si>
  <si>
    <t>2026</t>
  </si>
  <si>
    <t>44092319831031733X</t>
  </si>
  <si>
    <t>焦红楼</t>
  </si>
  <si>
    <t>2027</t>
  </si>
  <si>
    <t>412825196306209170</t>
  </si>
  <si>
    <t>郭林红</t>
  </si>
  <si>
    <t>2029</t>
  </si>
  <si>
    <t>152326199111270683</t>
  </si>
  <si>
    <t>2030</t>
  </si>
  <si>
    <t>441581199011271412</t>
  </si>
  <si>
    <t>习国斌</t>
  </si>
  <si>
    <t>2031</t>
  </si>
  <si>
    <t>430922198908241757</t>
  </si>
  <si>
    <t>张明亮</t>
  </si>
  <si>
    <t>2032</t>
  </si>
  <si>
    <t>41282520000304673X</t>
  </si>
  <si>
    <t>余芝玲</t>
  </si>
  <si>
    <t>44150219820913304X</t>
  </si>
  <si>
    <t>2034</t>
  </si>
  <si>
    <t>欧阳辉</t>
  </si>
  <si>
    <t>2035</t>
  </si>
  <si>
    <t>430422199607047712</t>
  </si>
  <si>
    <t>2035A</t>
  </si>
  <si>
    <t>邬水芬</t>
  </si>
  <si>
    <t>441622198405202066</t>
  </si>
  <si>
    <t>陈蓉</t>
  </si>
  <si>
    <t>2036</t>
  </si>
  <si>
    <t>43041119721107402X</t>
  </si>
  <si>
    <t>13560469199/18933931053</t>
  </si>
  <si>
    <t xml:space="preserve"> 徐介全</t>
  </si>
  <si>
    <t>2037</t>
  </si>
  <si>
    <t>330321197605317219</t>
  </si>
  <si>
    <t>2038</t>
  </si>
  <si>
    <t>蔡玉琴</t>
  </si>
  <si>
    <t>2039</t>
  </si>
  <si>
    <t>440923199104060283</t>
  </si>
  <si>
    <t>吕穗生</t>
  </si>
  <si>
    <t>2040-2041</t>
  </si>
  <si>
    <t>350881199809250374</t>
  </si>
  <si>
    <t>吴礼娴</t>
  </si>
  <si>
    <t>2042</t>
  </si>
  <si>
    <t>440785199304244026</t>
  </si>
  <si>
    <t>林晓玲</t>
  </si>
  <si>
    <t>2043-2044</t>
  </si>
  <si>
    <t>445224199412293022</t>
  </si>
  <si>
    <t>柏云涛</t>
  </si>
  <si>
    <t>2045</t>
  </si>
  <si>
    <t>230206198710150512</t>
  </si>
  <si>
    <t>文林海</t>
  </si>
  <si>
    <t>2046</t>
  </si>
  <si>
    <t>421087198201272718</t>
  </si>
  <si>
    <t>郭红林</t>
  </si>
  <si>
    <t>2047</t>
  </si>
  <si>
    <t>赵野</t>
  </si>
  <si>
    <t>2048</t>
  </si>
  <si>
    <t>230129198401230315</t>
  </si>
  <si>
    <t>黄腾坡</t>
  </si>
  <si>
    <t>2049</t>
  </si>
  <si>
    <t>4415011994041551111</t>
  </si>
  <si>
    <t>徐俊明</t>
  </si>
  <si>
    <t>2050</t>
  </si>
  <si>
    <t>44152219841010799X</t>
  </si>
  <si>
    <t>黄廉勃</t>
  </si>
  <si>
    <t>440881198910185914</t>
  </si>
  <si>
    <t>阚显巍</t>
  </si>
  <si>
    <t>2052</t>
  </si>
  <si>
    <t>230129199008133919</t>
  </si>
  <si>
    <t>詹爱彩</t>
  </si>
  <si>
    <t>2053</t>
  </si>
  <si>
    <t>44152219871010802X</t>
  </si>
  <si>
    <t>2054（2053A)</t>
  </si>
  <si>
    <t>孙瑜</t>
  </si>
  <si>
    <t>2053A-2055</t>
  </si>
  <si>
    <t>341222198305116325</t>
  </si>
  <si>
    <t>黄裕国</t>
  </si>
  <si>
    <t>2056</t>
  </si>
  <si>
    <t>445224199310160616</t>
  </si>
  <si>
    <t>牟军</t>
  </si>
  <si>
    <t>2057</t>
  </si>
  <si>
    <t>51302819710213911X</t>
  </si>
  <si>
    <t>2058</t>
  </si>
  <si>
    <t>陈惜萍</t>
  </si>
  <si>
    <t>2059</t>
  </si>
  <si>
    <t>44152219800710238X</t>
  </si>
  <si>
    <t>刘光明</t>
  </si>
  <si>
    <t>2060</t>
  </si>
  <si>
    <t>513723198609269811</t>
  </si>
  <si>
    <t>刘远</t>
  </si>
  <si>
    <t>2061</t>
  </si>
  <si>
    <t>430421199311024195</t>
  </si>
  <si>
    <t>黄桂涛</t>
  </si>
  <si>
    <t>2062</t>
  </si>
  <si>
    <t>445224199905015231</t>
  </si>
  <si>
    <t>吴彬辉</t>
  </si>
  <si>
    <t>2063-2063A</t>
  </si>
  <si>
    <t>445224198810023613</t>
  </si>
  <si>
    <t>王海亮</t>
  </si>
  <si>
    <t>330304198802258711</t>
  </si>
  <si>
    <t>郑美卿</t>
  </si>
  <si>
    <t>441581198107168001</t>
  </si>
  <si>
    <t>陈亚丽</t>
  </si>
  <si>
    <t>2069</t>
  </si>
  <si>
    <t>230881196905100041</t>
  </si>
  <si>
    <t>王名冲</t>
  </si>
  <si>
    <t>2070</t>
  </si>
  <si>
    <t>440582197810151536</t>
  </si>
  <si>
    <t>陈寿锋</t>
  </si>
  <si>
    <t>2071</t>
  </si>
  <si>
    <t>441882198710246054</t>
  </si>
  <si>
    <t>合同待盖章</t>
  </si>
  <si>
    <t>王琴</t>
  </si>
  <si>
    <t>2072</t>
  </si>
  <si>
    <t>513902199601205227</t>
  </si>
  <si>
    <t>林晓君</t>
  </si>
  <si>
    <t>2073</t>
  </si>
  <si>
    <t>44522419981120308X</t>
  </si>
  <si>
    <t xml:space="preserve"> </t>
  </si>
  <si>
    <t>2075A(2074)</t>
  </si>
  <si>
    <t>刘丽秀</t>
  </si>
  <si>
    <t>2075A</t>
  </si>
  <si>
    <t>450923198904213767</t>
  </si>
  <si>
    <t>王楚红</t>
  </si>
  <si>
    <t>2075</t>
  </si>
  <si>
    <t>445221197710131648</t>
  </si>
  <si>
    <t>2076</t>
  </si>
  <si>
    <t>刘真辉</t>
  </si>
  <si>
    <t>2077</t>
  </si>
  <si>
    <t>44150119911120512X</t>
  </si>
  <si>
    <t>周代安</t>
  </si>
  <si>
    <t>2078/2079</t>
  </si>
  <si>
    <t>421181197606295814</t>
  </si>
  <si>
    <t>邹其醒</t>
  </si>
  <si>
    <t>44098119711257516</t>
  </si>
  <si>
    <t>陈圣托</t>
  </si>
  <si>
    <t>2081</t>
  </si>
  <si>
    <t>44088219991118691X</t>
  </si>
  <si>
    <t>叶雪梅</t>
  </si>
  <si>
    <t>2082</t>
  </si>
  <si>
    <t>362128198001253328</t>
  </si>
  <si>
    <t>温明珠</t>
  </si>
  <si>
    <t>2083</t>
  </si>
  <si>
    <t>441522198610122828</t>
  </si>
  <si>
    <t>梁彬</t>
  </si>
  <si>
    <t>2084</t>
  </si>
  <si>
    <t>440981198705203218</t>
  </si>
  <si>
    <t>2085</t>
  </si>
  <si>
    <t>230183199105244619</t>
  </si>
  <si>
    <t>张维原</t>
  </si>
  <si>
    <t>2086</t>
  </si>
  <si>
    <t>441522199604111094</t>
  </si>
  <si>
    <t>刘江红</t>
  </si>
  <si>
    <t>2087</t>
  </si>
  <si>
    <t>431021198309277462</t>
  </si>
  <si>
    <t>林香超</t>
  </si>
  <si>
    <t>2088</t>
  </si>
  <si>
    <t>442531197510041038</t>
  </si>
  <si>
    <t>陈娇雅</t>
  </si>
  <si>
    <t>2089</t>
  </si>
  <si>
    <t>440882199011024069</t>
  </si>
  <si>
    <t>44088119940615937</t>
  </si>
  <si>
    <t>2091展柜</t>
  </si>
  <si>
    <t>2092展柜</t>
  </si>
  <si>
    <t>2092</t>
  </si>
  <si>
    <t>139027601329</t>
  </si>
  <si>
    <t>2093展柜</t>
  </si>
  <si>
    <t>2093A展柜</t>
  </si>
  <si>
    <t>黄小群</t>
  </si>
  <si>
    <t>452132196007202721</t>
  </si>
  <si>
    <t>2096展柜</t>
  </si>
  <si>
    <t>2097档展柜</t>
  </si>
  <si>
    <t>二楼中庭展柜</t>
  </si>
  <si>
    <t>杨琴琴</t>
  </si>
  <si>
    <t>421081198801060649</t>
  </si>
  <si>
    <t>三楼商铺</t>
  </si>
  <si>
    <t>曹伟元</t>
  </si>
  <si>
    <t>3001</t>
  </si>
  <si>
    <t>440823199209066512</t>
  </si>
  <si>
    <t>揭丽萍</t>
  </si>
  <si>
    <t>3002</t>
  </si>
  <si>
    <t>440881199306015921</t>
  </si>
  <si>
    <t>刘熙</t>
  </si>
  <si>
    <t>3003</t>
  </si>
  <si>
    <t>440181198910248139</t>
  </si>
  <si>
    <t>钟伟</t>
  </si>
  <si>
    <t>3004</t>
  </si>
  <si>
    <t>440982199204245859</t>
  </si>
  <si>
    <t>谢边弟</t>
  </si>
  <si>
    <t>3005</t>
  </si>
  <si>
    <t>440521195909121036</t>
  </si>
  <si>
    <t>3006</t>
  </si>
  <si>
    <t>赵宏英</t>
  </si>
  <si>
    <t>3007</t>
  </si>
  <si>
    <t>21140219820730082X</t>
  </si>
  <si>
    <t>陈坚实</t>
  </si>
  <si>
    <t>3008</t>
  </si>
  <si>
    <t>430421197904228717</t>
  </si>
  <si>
    <t xml:space="preserve"> v</t>
  </si>
  <si>
    <t>赵玉林</t>
  </si>
  <si>
    <t>3009</t>
  </si>
  <si>
    <t>341222199502287670</t>
  </si>
  <si>
    <t>3010</t>
  </si>
  <si>
    <t>330314198802258711</t>
  </si>
  <si>
    <t>3010档提前续签，有报告。</t>
  </si>
  <si>
    <t>3011</t>
  </si>
  <si>
    <t>李太焕</t>
  </si>
  <si>
    <t>3012</t>
  </si>
  <si>
    <t>440881199003185712</t>
  </si>
  <si>
    <t>陈超</t>
  </si>
  <si>
    <t>3013</t>
  </si>
  <si>
    <t>44020219857300312</t>
  </si>
  <si>
    <t>宋晓花</t>
  </si>
  <si>
    <t>3014</t>
  </si>
  <si>
    <t>642101197502110520</t>
  </si>
  <si>
    <t>陈广鹏</t>
  </si>
  <si>
    <t>3015</t>
  </si>
  <si>
    <t>445229198710102592</t>
  </si>
  <si>
    <t>吴登辉</t>
  </si>
  <si>
    <t>3016</t>
  </si>
  <si>
    <t>445224198507103610</t>
  </si>
  <si>
    <t>3017</t>
  </si>
  <si>
    <t>陈剑影</t>
  </si>
  <si>
    <t>3018</t>
  </si>
  <si>
    <t>330321197503168427</t>
  </si>
  <si>
    <t>潘程</t>
  </si>
  <si>
    <t>330324198209188412</t>
  </si>
  <si>
    <t>马润洲</t>
  </si>
  <si>
    <t>3020</t>
  </si>
  <si>
    <t>440582198706212313</t>
  </si>
  <si>
    <t>杨友明</t>
  </si>
  <si>
    <t>3021</t>
  </si>
  <si>
    <t>421081197706270619</t>
  </si>
  <si>
    <t>陈娇丽</t>
  </si>
  <si>
    <t>3022</t>
  </si>
  <si>
    <t>440882199205156529</t>
  </si>
  <si>
    <t>李丽如</t>
  </si>
  <si>
    <t>3023</t>
  </si>
  <si>
    <t>440525196611026220</t>
  </si>
  <si>
    <t>黄绍枝</t>
  </si>
  <si>
    <t>3024</t>
  </si>
  <si>
    <t>44088219920203063X</t>
  </si>
  <si>
    <t>林俊成</t>
  </si>
  <si>
    <t>3025</t>
  </si>
  <si>
    <t>441922198710040058</t>
  </si>
  <si>
    <t>周建明</t>
  </si>
  <si>
    <t>3026/3027</t>
  </si>
  <si>
    <t>512925196709046096</t>
  </si>
  <si>
    <t>张智森</t>
  </si>
  <si>
    <t>3028、3053、3054</t>
  </si>
  <si>
    <t>445224198310101355</t>
  </si>
  <si>
    <t>陈燕蕊</t>
  </si>
  <si>
    <t>3030</t>
  </si>
  <si>
    <t>440825199505181163</t>
  </si>
  <si>
    <t>祝梦雨</t>
  </si>
  <si>
    <t>3031</t>
  </si>
  <si>
    <t>341222199412257670</t>
  </si>
  <si>
    <t>陆游</t>
  </si>
  <si>
    <t>3032</t>
  </si>
  <si>
    <t>522121200107215616</t>
  </si>
  <si>
    <t>胡晓燕</t>
  </si>
  <si>
    <t>3033</t>
  </si>
  <si>
    <t>441824198005293329</t>
  </si>
  <si>
    <t>薛扬</t>
  </si>
  <si>
    <t>3034</t>
  </si>
  <si>
    <t>11022419860816362X</t>
  </si>
  <si>
    <t>陈文彦</t>
  </si>
  <si>
    <t>3035</t>
  </si>
  <si>
    <t>430923198404193233</t>
  </si>
  <si>
    <t>陈家慧</t>
  </si>
  <si>
    <t>3036</t>
  </si>
  <si>
    <t>440811200601040317</t>
  </si>
  <si>
    <t>邱启平</t>
  </si>
  <si>
    <t>3037</t>
  </si>
  <si>
    <t>马铭瑞</t>
  </si>
  <si>
    <t>440784198007020949</t>
  </si>
  <si>
    <t>林茂</t>
  </si>
  <si>
    <t>350181198706192252</t>
  </si>
  <si>
    <t>黄维</t>
  </si>
  <si>
    <t>3040</t>
  </si>
  <si>
    <t>431127199010012345</t>
  </si>
  <si>
    <t>3041</t>
  </si>
  <si>
    <t>张春来</t>
  </si>
  <si>
    <t>3042</t>
  </si>
  <si>
    <t>332603197302205311</t>
  </si>
  <si>
    <t>3043</t>
  </si>
  <si>
    <t>3043A</t>
  </si>
  <si>
    <t>陈润升</t>
  </si>
  <si>
    <t>441522199104270611</t>
  </si>
  <si>
    <t>潘胤仿</t>
  </si>
  <si>
    <t>3045</t>
  </si>
  <si>
    <t>330324198706298401</t>
  </si>
  <si>
    <t>余伟锋</t>
  </si>
  <si>
    <t xml:space="preserve">     </t>
  </si>
  <si>
    <t>3046</t>
  </si>
  <si>
    <t>440583199812241034</t>
  </si>
  <si>
    <t>陈秀军</t>
  </si>
  <si>
    <t>3047</t>
  </si>
  <si>
    <t>441581199308212608</t>
  </si>
  <si>
    <t>刘德政</t>
  </si>
  <si>
    <t>3048</t>
  </si>
  <si>
    <t>440111199211023315</t>
  </si>
  <si>
    <t>林香科</t>
  </si>
  <si>
    <t>3049</t>
  </si>
  <si>
    <t>441501198012155038</t>
  </si>
  <si>
    <t>杨焕如</t>
  </si>
  <si>
    <t>3050</t>
  </si>
  <si>
    <t>362202198401022512</t>
  </si>
  <si>
    <t>3050A</t>
  </si>
  <si>
    <t>揭英榴</t>
  </si>
  <si>
    <t>440881199008265973</t>
  </si>
  <si>
    <t>刘美欣</t>
  </si>
  <si>
    <t>440105199212075726</t>
  </si>
  <si>
    <t>梁谦志</t>
  </si>
  <si>
    <t>442828197106264318</t>
  </si>
  <si>
    <t>胡敏</t>
  </si>
  <si>
    <t>3055</t>
  </si>
  <si>
    <t>430581198909161765</t>
  </si>
  <si>
    <t>三楼前电梯展柜</t>
  </si>
  <si>
    <t>3056展柜</t>
  </si>
  <si>
    <t>四楼商铺</t>
  </si>
  <si>
    <t>王俊</t>
  </si>
  <si>
    <t>4001</t>
  </si>
  <si>
    <t>342529178610150038</t>
  </si>
  <si>
    <t>揭乐英</t>
  </si>
  <si>
    <t>4002</t>
  </si>
  <si>
    <t>440881198308205732</t>
  </si>
  <si>
    <t>卢世雍</t>
  </si>
  <si>
    <t>4003</t>
  </si>
  <si>
    <t>450721198809243411</t>
  </si>
  <si>
    <t>李春辉</t>
  </si>
  <si>
    <t>4004</t>
  </si>
  <si>
    <t>41282519920414914x</t>
  </si>
  <si>
    <t>黄瑞凤</t>
  </si>
  <si>
    <t>4005</t>
  </si>
  <si>
    <t>445224198203220324</t>
  </si>
  <si>
    <t>李露露</t>
  </si>
  <si>
    <t>4006</t>
  </si>
  <si>
    <t>431021200208128564</t>
  </si>
  <si>
    <t>黄会中</t>
  </si>
  <si>
    <t>4007</t>
  </si>
  <si>
    <t>412825199504159120</t>
  </si>
  <si>
    <t>叶清菊</t>
  </si>
  <si>
    <t>4008</t>
  </si>
  <si>
    <t>441521199305084448</t>
  </si>
  <si>
    <t>屈峰</t>
  </si>
  <si>
    <t>4009</t>
  </si>
  <si>
    <t>41130319880208391X</t>
  </si>
  <si>
    <t>刘楚飞</t>
  </si>
  <si>
    <t>4010</t>
  </si>
  <si>
    <t>430524198807164853</t>
  </si>
  <si>
    <t>郝文杰</t>
  </si>
  <si>
    <t>4011</t>
  </si>
  <si>
    <t>654222198903055599</t>
  </si>
  <si>
    <t>曾令阅</t>
  </si>
  <si>
    <t>4012</t>
  </si>
  <si>
    <t>450122198208263031</t>
  </si>
  <si>
    <t>刘俊芳</t>
  </si>
  <si>
    <t>4013</t>
  </si>
  <si>
    <t>150429197204292148</t>
  </si>
  <si>
    <t>4014</t>
  </si>
  <si>
    <t>35052119201041539</t>
  </si>
  <si>
    <t>陈秋凡</t>
  </si>
  <si>
    <t>4015</t>
  </si>
  <si>
    <t>441521199208202828</t>
  </si>
  <si>
    <t>刘林</t>
  </si>
  <si>
    <t>4016</t>
  </si>
  <si>
    <t>220882198410291310</t>
  </si>
  <si>
    <t>汪莉娜</t>
  </si>
  <si>
    <t>4017</t>
  </si>
  <si>
    <t>420111198601214020</t>
  </si>
  <si>
    <t>张丽凤</t>
  </si>
  <si>
    <t>4048</t>
  </si>
  <si>
    <t>450821198608252325</t>
  </si>
  <si>
    <t>颜黎明</t>
  </si>
  <si>
    <t>4019</t>
  </si>
  <si>
    <t>430422199804239211</t>
  </si>
  <si>
    <t>唐盛文</t>
  </si>
  <si>
    <t>4020</t>
  </si>
  <si>
    <t>431127199209206016</t>
  </si>
  <si>
    <t>张丽风</t>
  </si>
  <si>
    <t>4021</t>
  </si>
  <si>
    <t>孙博</t>
  </si>
  <si>
    <t>220303199008062626</t>
  </si>
  <si>
    <t>王奎</t>
  </si>
  <si>
    <t>4023</t>
  </si>
  <si>
    <t>34032119821028501X</t>
  </si>
  <si>
    <t>4024</t>
  </si>
  <si>
    <t>黄保军</t>
  </si>
  <si>
    <t>4025</t>
  </si>
  <si>
    <t>411121198002012015</t>
  </si>
  <si>
    <t>余家欣</t>
  </si>
  <si>
    <t>4026</t>
  </si>
  <si>
    <t>441521198710138214</t>
  </si>
  <si>
    <t>方静</t>
  </si>
  <si>
    <t>4027</t>
  </si>
  <si>
    <t>430721199610034904</t>
  </si>
  <si>
    <t>姚桂珍</t>
  </si>
  <si>
    <t>4028</t>
  </si>
  <si>
    <t>420321199109185422</t>
  </si>
  <si>
    <t>黄慧杰</t>
  </si>
  <si>
    <t>4029</t>
  </si>
  <si>
    <t>445224199108230334</t>
  </si>
  <si>
    <t>4030</t>
  </si>
  <si>
    <t>4031</t>
  </si>
  <si>
    <t>刘敏</t>
  </si>
  <si>
    <t>4032</t>
  </si>
  <si>
    <t>421081198705140657</t>
  </si>
  <si>
    <t>4033</t>
  </si>
  <si>
    <t>黄廉兴</t>
  </si>
  <si>
    <t>4035</t>
  </si>
  <si>
    <t>440881199501016014</t>
  </si>
  <si>
    <t>4035A</t>
  </si>
  <si>
    <t>张禹</t>
  </si>
  <si>
    <t>431127199212283418</t>
  </si>
  <si>
    <t>谢强</t>
  </si>
  <si>
    <t>445322198909142818</t>
  </si>
  <si>
    <t>李佳航</t>
  </si>
  <si>
    <t>441581199710163090</t>
  </si>
  <si>
    <t>4038</t>
  </si>
  <si>
    <t>440202198507300312</t>
  </si>
  <si>
    <t>林双来</t>
  </si>
  <si>
    <t>4039</t>
  </si>
  <si>
    <t>440582198202150059</t>
  </si>
  <si>
    <t>陈振威</t>
  </si>
  <si>
    <t>4040</t>
  </si>
  <si>
    <t>431127199006273411</t>
  </si>
  <si>
    <t>高英</t>
  </si>
  <si>
    <t>4041</t>
  </si>
  <si>
    <t>510902197212037168</t>
  </si>
  <si>
    <t>林美容</t>
  </si>
  <si>
    <t>445224199407133104</t>
  </si>
  <si>
    <t>黄杰清</t>
  </si>
  <si>
    <t>4043</t>
  </si>
  <si>
    <t>441521198905214133</t>
  </si>
  <si>
    <t>谢梅</t>
  </si>
  <si>
    <t>4044</t>
  </si>
  <si>
    <t>440881198906105977</t>
  </si>
  <si>
    <t>442828197008160662</t>
  </si>
  <si>
    <t>沈贝娜</t>
  </si>
  <si>
    <t>4045</t>
  </si>
  <si>
    <t>342423198809250024</t>
  </si>
  <si>
    <t>4046</t>
  </si>
  <si>
    <t>43112719930724231X</t>
  </si>
  <si>
    <t>4046A</t>
  </si>
  <si>
    <t>四楼展柜</t>
  </si>
  <si>
    <t>欧作贤</t>
  </si>
  <si>
    <t>44150219810618301x</t>
  </si>
  <si>
    <t>五楼商铺</t>
  </si>
  <si>
    <t>沈阳俊</t>
  </si>
  <si>
    <t>5001</t>
  </si>
  <si>
    <t>445102198902260014</t>
  </si>
  <si>
    <t>严生飞</t>
  </si>
  <si>
    <t>350221199507292913</t>
  </si>
  <si>
    <t>杨柳</t>
  </si>
  <si>
    <t>5003</t>
  </si>
  <si>
    <t>421081198605100631</t>
  </si>
  <si>
    <t>18665566367/18627269227</t>
  </si>
  <si>
    <t>5005A</t>
  </si>
  <si>
    <t>秦福成</t>
  </si>
  <si>
    <t>429001198702208412</t>
  </si>
  <si>
    <t>王冬雪</t>
  </si>
  <si>
    <t>5005</t>
  </si>
  <si>
    <t>431126200001073225</t>
  </si>
  <si>
    <t>陈淡吟</t>
  </si>
  <si>
    <t>5006</t>
  </si>
  <si>
    <t>440521196505061027</t>
  </si>
  <si>
    <t>5007</t>
  </si>
  <si>
    <t>41282519920414914X</t>
  </si>
  <si>
    <t>江瑞芝</t>
  </si>
  <si>
    <t>5008</t>
  </si>
  <si>
    <t>440525196108205942</t>
  </si>
  <si>
    <t>欧雅琴</t>
  </si>
  <si>
    <t>5009</t>
  </si>
  <si>
    <t>360425199111225846</t>
  </si>
  <si>
    <t>钟胜</t>
  </si>
  <si>
    <t>5010</t>
  </si>
  <si>
    <t>4409821989041212395X</t>
  </si>
  <si>
    <t>黄华清</t>
  </si>
  <si>
    <t>5011</t>
  </si>
  <si>
    <t>350321199105278631</t>
  </si>
  <si>
    <t>陈贤会</t>
  </si>
  <si>
    <t>5012</t>
  </si>
  <si>
    <t>33262619661003231x</t>
  </si>
  <si>
    <t>5013A</t>
  </si>
  <si>
    <t>陈美丽</t>
  </si>
  <si>
    <t>430422199803236022</t>
  </si>
  <si>
    <t>韩宏霞</t>
  </si>
  <si>
    <t>5015</t>
  </si>
  <si>
    <t>430821198305074820</t>
  </si>
  <si>
    <t>刘福文</t>
  </si>
  <si>
    <t>5016</t>
  </si>
  <si>
    <t>412726197702234939</t>
  </si>
  <si>
    <t>何平</t>
  </si>
  <si>
    <t>5017</t>
  </si>
  <si>
    <t>211223198412010021</t>
  </si>
  <si>
    <t>杨艳艳</t>
  </si>
  <si>
    <t>5018</t>
  </si>
  <si>
    <t>421081198911010706</t>
  </si>
  <si>
    <t>赵忆文</t>
  </si>
  <si>
    <t>5019</t>
  </si>
  <si>
    <t>320321199610231628</t>
  </si>
  <si>
    <t>刘庆</t>
  </si>
  <si>
    <t>5020</t>
  </si>
  <si>
    <t>421081198705031389</t>
  </si>
  <si>
    <t>黄文俊</t>
  </si>
  <si>
    <t>5021</t>
  </si>
  <si>
    <t>440823198904283610</t>
  </si>
  <si>
    <t>5022</t>
  </si>
  <si>
    <t>41282520000304676X</t>
  </si>
  <si>
    <t>王贵云</t>
  </si>
  <si>
    <t>5023</t>
  </si>
  <si>
    <t>51102719670113537X</t>
  </si>
  <si>
    <t>5024</t>
  </si>
  <si>
    <t>钟兰</t>
  </si>
  <si>
    <t>5025</t>
  </si>
  <si>
    <t>362122197909243856</t>
  </si>
  <si>
    <t>李朝阳</t>
  </si>
  <si>
    <t>5026</t>
  </si>
  <si>
    <t>412825199701169133</t>
  </si>
  <si>
    <t>毛招娣</t>
  </si>
  <si>
    <t>5027</t>
  </si>
  <si>
    <t>440204198808243043</t>
  </si>
  <si>
    <t>5028</t>
  </si>
  <si>
    <t>430529198501255519</t>
  </si>
  <si>
    <t>郭梅</t>
  </si>
  <si>
    <t>5029</t>
  </si>
  <si>
    <t>511322199502166127</t>
  </si>
  <si>
    <t>5030</t>
  </si>
  <si>
    <t>周玉清</t>
  </si>
  <si>
    <t>5031</t>
  </si>
  <si>
    <t>450902199610106221</t>
  </si>
  <si>
    <t>陈家惠</t>
  </si>
  <si>
    <t>5032</t>
  </si>
  <si>
    <t>陈文艳</t>
  </si>
  <si>
    <t>5033</t>
  </si>
  <si>
    <t>431127199109043440</t>
  </si>
  <si>
    <t>吕泽强</t>
  </si>
  <si>
    <t>5034</t>
  </si>
  <si>
    <t>441521198901280811</t>
  </si>
  <si>
    <t>5038</t>
  </si>
  <si>
    <t>刘南</t>
  </si>
  <si>
    <t>5036</t>
  </si>
  <si>
    <t>211322198504150039</t>
  </si>
  <si>
    <t>高艳红</t>
  </si>
  <si>
    <t>5037</t>
  </si>
  <si>
    <t>34122219810304436x</t>
  </si>
  <si>
    <t>陈汉真</t>
  </si>
  <si>
    <t>441522198502047971</t>
  </si>
  <si>
    <t>王林波</t>
  </si>
  <si>
    <t>5039</t>
  </si>
  <si>
    <t>513902198912105333</t>
  </si>
  <si>
    <t>张璐</t>
  </si>
  <si>
    <t>5040</t>
  </si>
  <si>
    <t>421022198702123923</t>
  </si>
  <si>
    <t>5041</t>
  </si>
  <si>
    <t>5042</t>
  </si>
  <si>
    <t>尹里云</t>
  </si>
  <si>
    <t>5043</t>
  </si>
  <si>
    <t>429006199121194211</t>
  </si>
  <si>
    <t>5043A</t>
  </si>
  <si>
    <t>刘建池</t>
  </si>
  <si>
    <t>440882199503212314</t>
  </si>
  <si>
    <t>冯彬彬</t>
  </si>
  <si>
    <t>5045</t>
  </si>
  <si>
    <t>532122198602141413</t>
  </si>
  <si>
    <t>5046A</t>
  </si>
  <si>
    <t>陈如</t>
  </si>
  <si>
    <t>442531195605230449</t>
  </si>
  <si>
    <t>邓杰</t>
  </si>
  <si>
    <t>5046-5047</t>
  </si>
  <si>
    <t>430722198907108742</t>
  </si>
  <si>
    <t>五楼电梯口展柜</t>
  </si>
  <si>
    <t xml:space="preserve">        </t>
  </si>
  <si>
    <t>办公室</t>
  </si>
  <si>
    <t>汇总项目</t>
  </si>
  <si>
    <t>一楼</t>
  </si>
  <si>
    <t>二楼</t>
  </si>
  <si>
    <t>三楼</t>
  </si>
  <si>
    <t>四楼</t>
  </si>
  <si>
    <t>五楼</t>
  </si>
  <si>
    <t>合计</t>
  </si>
  <si>
    <t>总面积</t>
  </si>
  <si>
    <t>空档面积</t>
  </si>
  <si>
    <t>出租率</t>
  </si>
  <si>
    <t>ila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</si>
</sst>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  <numFmt numFmtId="178" formatCode="0_);[Red]\(0\)"/>
    <numFmt numFmtId="179" formatCode="yy/m/d;@"/>
    <numFmt numFmtId="180" formatCode="yyyy/m/d;@"/>
    <numFmt numFmtId="181" formatCode="0&quot;㎡&quot;"/>
    <numFmt numFmtId="182" formatCode="0.00_ "/>
  </numFmts>
  <fonts count="31">
    <font>
      <sz val="12"/>
      <name val="宋体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b/>
      <sz val="11"/>
      <color indexed="8"/>
      <name val="宋体"/>
      <charset val="134"/>
      <scheme val="major"/>
    </font>
    <font>
      <b/>
      <sz val="11"/>
      <color theme="1"/>
      <name val="宋体"/>
      <charset val="134"/>
      <scheme val="major"/>
    </font>
    <font>
      <sz val="11"/>
      <color rgb="FFFF0000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indexed="8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2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</cellStyleXfs>
  <cellXfs count="17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1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1" applyNumberFormat="1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shrinkToFit="1"/>
    </xf>
    <xf numFmtId="0" fontId="1" fillId="0" borderId="1" xfId="53" applyFont="1" applyBorder="1" applyAlignment="1">
      <alignment horizontal="center" vertical="center"/>
    </xf>
    <xf numFmtId="0" fontId="1" fillId="0" borderId="2" xfId="25" applyFont="1" applyFill="1" applyBorder="1" applyAlignment="1">
      <alignment horizontal="center" vertical="center"/>
    </xf>
    <xf numFmtId="178" fontId="1" fillId="0" borderId="3" xfId="25" applyNumberFormat="1" applyFont="1" applyFill="1" applyBorder="1" applyAlignment="1">
      <alignment horizontal="center" vertical="center" wrapText="1"/>
    </xf>
    <xf numFmtId="0" fontId="1" fillId="0" borderId="3" xfId="25" applyFont="1" applyFill="1" applyBorder="1" applyAlignment="1">
      <alignment horizontal="center" vertical="center" wrapText="1"/>
    </xf>
    <xf numFmtId="0" fontId="1" fillId="0" borderId="3" xfId="25" applyNumberFormat="1" applyFont="1" applyFill="1" applyBorder="1" applyAlignment="1">
      <alignment horizontal="center" vertical="center" wrapText="1"/>
    </xf>
    <xf numFmtId="49" fontId="1" fillId="0" borderId="3" xfId="25" applyNumberFormat="1" applyFont="1" applyFill="1" applyBorder="1" applyAlignment="1">
      <alignment horizontal="center" vertical="center" wrapText="1"/>
    </xf>
    <xf numFmtId="0" fontId="1" fillId="0" borderId="4" xfId="25" applyFont="1" applyFill="1" applyBorder="1" applyAlignment="1">
      <alignment horizontal="center" vertical="center" shrinkToFit="1"/>
    </xf>
    <xf numFmtId="0" fontId="1" fillId="0" borderId="5" xfId="25" applyFont="1" applyFill="1" applyBorder="1" applyAlignment="1">
      <alignment horizontal="center" vertical="center"/>
    </xf>
    <xf numFmtId="178" fontId="1" fillId="0" borderId="6" xfId="25" applyNumberFormat="1" applyFont="1" applyFill="1" applyBorder="1" applyAlignment="1">
      <alignment horizontal="center" vertical="center" wrapText="1"/>
    </xf>
    <xf numFmtId="176" fontId="1" fillId="0" borderId="6" xfId="25" applyNumberFormat="1" applyFont="1" applyFill="1" applyBorder="1" applyAlignment="1">
      <alignment horizontal="center" vertical="center" wrapText="1"/>
    </xf>
    <xf numFmtId="177" fontId="1" fillId="0" borderId="6" xfId="1" applyNumberFormat="1" applyFont="1" applyFill="1" applyBorder="1" applyAlignment="1">
      <alignment horizontal="center" vertical="center" wrapText="1"/>
    </xf>
    <xf numFmtId="0" fontId="1" fillId="0" borderId="6" xfId="25" applyFont="1" applyFill="1" applyBorder="1" applyAlignment="1">
      <alignment horizontal="center" vertical="center" wrapText="1"/>
    </xf>
    <xf numFmtId="0" fontId="1" fillId="0" borderId="6" xfId="1" applyNumberFormat="1" applyFont="1" applyFill="1" applyBorder="1" applyAlignment="1">
      <alignment horizontal="center" vertical="center" wrapText="1"/>
    </xf>
    <xf numFmtId="0" fontId="1" fillId="0" borderId="6" xfId="25" applyNumberFormat="1" applyFont="1" applyFill="1" applyBorder="1" applyAlignment="1">
      <alignment horizontal="center" vertical="center" wrapText="1"/>
    </xf>
    <xf numFmtId="180" fontId="1" fillId="0" borderId="6" xfId="25" applyNumberFormat="1" applyFont="1" applyFill="1" applyBorder="1" applyAlignment="1">
      <alignment horizontal="center" vertical="center" wrapText="1"/>
    </xf>
    <xf numFmtId="180" fontId="1" fillId="0" borderId="6" xfId="25" applyNumberFormat="1" applyFont="1" applyFill="1" applyBorder="1" applyAlignment="1">
      <alignment horizontal="center" vertical="center" shrinkToFit="1"/>
    </xf>
    <xf numFmtId="179" fontId="1" fillId="0" borderId="7" xfId="25" applyNumberFormat="1" applyFont="1" applyFill="1" applyBorder="1" applyAlignment="1">
      <alignment horizontal="center" vertical="center" shrinkToFit="1"/>
    </xf>
    <xf numFmtId="179" fontId="1" fillId="0" borderId="8" xfId="25" applyNumberFormat="1" applyFont="1" applyFill="1" applyBorder="1" applyAlignment="1">
      <alignment horizontal="center" vertical="center" shrinkToFit="1"/>
    </xf>
    <xf numFmtId="178" fontId="1" fillId="0" borderId="9" xfId="25" applyNumberFormat="1" applyFont="1" applyFill="1" applyBorder="1" applyAlignment="1">
      <alignment horizontal="center" vertical="center" shrinkToFit="1"/>
    </xf>
    <xf numFmtId="0" fontId="1" fillId="0" borderId="9" xfId="25" applyFont="1" applyFill="1" applyBorder="1" applyAlignment="1">
      <alignment horizontal="center" vertical="center" wrapText="1"/>
    </xf>
    <xf numFmtId="49" fontId="1" fillId="0" borderId="6" xfId="25" applyNumberFormat="1" applyFont="1" applyFill="1" applyBorder="1" applyAlignment="1">
      <alignment horizontal="center" vertical="center" wrapText="1"/>
    </xf>
    <xf numFmtId="0" fontId="1" fillId="0" borderId="10" xfId="25" applyFont="1" applyFill="1" applyBorder="1" applyAlignment="1">
      <alignment horizontal="center" vertical="center" shrinkToFit="1"/>
    </xf>
    <xf numFmtId="179" fontId="1" fillId="0" borderId="6" xfId="25" applyNumberFormat="1" applyFont="1" applyFill="1" applyBorder="1" applyAlignment="1">
      <alignment horizontal="center" vertical="center" shrinkToFit="1"/>
    </xf>
    <xf numFmtId="178" fontId="1" fillId="0" borderId="11" xfId="25" applyNumberFormat="1" applyFont="1" applyFill="1" applyBorder="1" applyAlignment="1">
      <alignment horizontal="center" vertical="center" shrinkToFit="1"/>
    </xf>
    <xf numFmtId="0" fontId="1" fillId="0" borderId="11" xfId="25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80" fontId="1" fillId="0" borderId="6" xfId="0" applyNumberFormat="1" applyFon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shrinkToFit="1"/>
    </xf>
    <xf numFmtId="14" fontId="1" fillId="0" borderId="6" xfId="0" applyNumberFormat="1" applyFont="1" applyBorder="1" applyAlignment="1">
      <alignment horizontal="center" vertical="center"/>
    </xf>
    <xf numFmtId="49" fontId="1" fillId="0" borderId="6" xfId="53" applyNumberFormat="1" applyFont="1" applyBorder="1" applyAlignment="1">
      <alignment horizontal="center" vertical="center"/>
    </xf>
    <xf numFmtId="0" fontId="1" fillId="0" borderId="8" xfId="53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/>
    </xf>
    <xf numFmtId="177" fontId="1" fillId="2" borderId="6" xfId="0" applyNumberFormat="1" applyFont="1" applyFill="1" applyBorder="1" applyAlignment="1">
      <alignment horizontal="center" vertical="center"/>
    </xf>
    <xf numFmtId="180" fontId="1" fillId="2" borderId="6" xfId="0" applyNumberFormat="1" applyFont="1" applyFill="1" applyBorder="1" applyAlignment="1">
      <alignment horizontal="center" vertical="center"/>
    </xf>
    <xf numFmtId="178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80" fontId="1" fillId="3" borderId="6" xfId="0" applyNumberFormat="1" applyFont="1" applyFill="1" applyBorder="1" applyAlignment="1">
      <alignment horizontal="center" vertical="center"/>
    </xf>
    <xf numFmtId="178" fontId="1" fillId="3" borderId="6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 shrinkToFit="1"/>
    </xf>
    <xf numFmtId="0" fontId="1" fillId="4" borderId="6" xfId="0" applyFont="1" applyFill="1" applyBorder="1" applyAlignment="1">
      <alignment horizontal="center" vertical="center"/>
    </xf>
    <xf numFmtId="180" fontId="1" fillId="4" borderId="6" xfId="0" applyNumberFormat="1" applyFont="1" applyFill="1" applyBorder="1" applyAlignment="1">
      <alignment horizontal="center" vertical="center"/>
    </xf>
    <xf numFmtId="178" fontId="1" fillId="4" borderId="6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 shrinkToFit="1"/>
    </xf>
    <xf numFmtId="14" fontId="1" fillId="3" borderId="6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76" fontId="1" fillId="5" borderId="6" xfId="0" applyNumberFormat="1" applyFont="1" applyFill="1" applyBorder="1" applyAlignment="1">
      <alignment horizontal="center" vertical="center"/>
    </xf>
    <xf numFmtId="177" fontId="1" fillId="5" borderId="6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180" fontId="1" fillId="5" borderId="6" xfId="0" applyNumberFormat="1" applyFont="1" applyFill="1" applyBorder="1" applyAlignment="1">
      <alignment horizontal="center" vertical="center"/>
    </xf>
    <xf numFmtId="178" fontId="1" fillId="5" borderId="6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 shrinkToFit="1"/>
    </xf>
    <xf numFmtId="0" fontId="1" fillId="0" borderId="6" xfId="53" applyFont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177" fontId="1" fillId="4" borderId="6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14" fontId="1" fillId="4" borderId="6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6" xfId="49" applyFont="1" applyBorder="1" applyAlignment="1">
      <alignment horizontal="center" vertical="center" wrapText="1"/>
    </xf>
    <xf numFmtId="177" fontId="1" fillId="0" borderId="6" xfId="50" applyNumberFormat="1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1" fillId="0" borderId="6" xfId="51" applyFont="1" applyBorder="1" applyAlignment="1">
      <alignment horizontal="center" vertical="center"/>
    </xf>
    <xf numFmtId="180" fontId="1" fillId="0" borderId="6" xfId="50" applyNumberFormat="1" applyFont="1" applyBorder="1" applyAlignment="1">
      <alignment horizontal="center" vertical="center"/>
    </xf>
    <xf numFmtId="49" fontId="1" fillId="0" borderId="6" xfId="5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8" fontId="1" fillId="0" borderId="6" xfId="50" applyNumberFormat="1" applyFont="1" applyBorder="1" applyAlignment="1">
      <alignment horizontal="center" vertical="center"/>
    </xf>
    <xf numFmtId="0" fontId="1" fillId="5" borderId="6" xfId="49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177" fontId="1" fillId="5" borderId="6" xfId="50" applyNumberFormat="1" applyFont="1" applyFill="1" applyBorder="1" applyAlignment="1">
      <alignment horizontal="center" vertical="center"/>
    </xf>
    <xf numFmtId="0" fontId="1" fillId="5" borderId="6" xfId="50" applyFont="1" applyFill="1" applyBorder="1" applyAlignment="1">
      <alignment horizontal="center" vertical="center"/>
    </xf>
    <xf numFmtId="180" fontId="1" fillId="5" borderId="6" xfId="50" applyNumberFormat="1" applyFont="1" applyFill="1" applyBorder="1" applyAlignment="1">
      <alignment horizontal="center" vertical="center"/>
    </xf>
    <xf numFmtId="178" fontId="1" fillId="5" borderId="6" xfId="50" applyNumberFormat="1" applyFont="1" applyFill="1" applyBorder="1" applyAlignment="1">
      <alignment horizontal="center" vertical="center"/>
    </xf>
    <xf numFmtId="49" fontId="1" fillId="5" borderId="6" xfId="5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80" fontId="1" fillId="6" borderId="6" xfId="0" applyNumberFormat="1" applyFont="1" applyFill="1" applyBorder="1" applyAlignment="1">
      <alignment horizontal="center" vertical="center"/>
    </xf>
    <xf numFmtId="178" fontId="1" fillId="6" borderId="6" xfId="0" applyNumberFormat="1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80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/>
    </xf>
    <xf numFmtId="0" fontId="1" fillId="2" borderId="6" xfId="53" applyFont="1" applyFill="1" applyBorder="1" applyAlignment="1">
      <alignment horizontal="center" vertical="center"/>
    </xf>
    <xf numFmtId="177" fontId="1" fillId="0" borderId="6" xfId="51" applyNumberFormat="1" applyFont="1" applyBorder="1" applyAlignment="1">
      <alignment horizontal="center" vertical="center"/>
    </xf>
    <xf numFmtId="0" fontId="1" fillId="0" borderId="6" xfId="49" applyFont="1" applyBorder="1" applyAlignment="1">
      <alignment horizontal="center" vertical="center"/>
    </xf>
    <xf numFmtId="180" fontId="1" fillId="0" borderId="6" xfId="51" applyNumberFormat="1" applyFont="1" applyBorder="1" applyAlignment="1">
      <alignment horizontal="center" vertical="center"/>
    </xf>
    <xf numFmtId="49" fontId="1" fillId="0" borderId="6" xfId="51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6" xfId="51" applyFont="1" applyBorder="1" applyAlignment="1">
      <alignment horizontal="center" vertical="center"/>
    </xf>
    <xf numFmtId="177" fontId="5" fillId="0" borderId="6" xfId="51" applyNumberFormat="1" applyFont="1" applyBorder="1" applyAlignment="1">
      <alignment horizontal="center" vertical="center"/>
    </xf>
    <xf numFmtId="0" fontId="2" fillId="0" borderId="6" xfId="49" applyFont="1" applyBorder="1" applyAlignment="1">
      <alignment horizontal="center" vertical="center" wrapText="1"/>
    </xf>
    <xf numFmtId="177" fontId="2" fillId="0" borderId="6" xfId="51" applyNumberFormat="1" applyFont="1" applyBorder="1" applyAlignment="1">
      <alignment horizontal="center" vertical="center"/>
    </xf>
    <xf numFmtId="0" fontId="2" fillId="0" borderId="6" xfId="51" applyFont="1" applyBorder="1" applyAlignment="1">
      <alignment horizontal="center" vertical="center"/>
    </xf>
    <xf numFmtId="0" fontId="2" fillId="0" borderId="6" xfId="49" applyFont="1" applyBorder="1" applyAlignment="1">
      <alignment horizontal="center" vertical="center"/>
    </xf>
    <xf numFmtId="180" fontId="2" fillId="0" borderId="6" xfId="51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2" fillId="0" borderId="6" xfId="5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49" applyFont="1" applyFill="1" applyBorder="1" applyAlignment="1">
      <alignment horizontal="center" vertical="center" wrapText="1"/>
    </xf>
    <xf numFmtId="177" fontId="1" fillId="5" borderId="6" xfId="51" applyNumberFormat="1" applyFont="1" applyFill="1" applyBorder="1" applyAlignment="1">
      <alignment horizontal="center" vertical="center"/>
    </xf>
    <xf numFmtId="0" fontId="2" fillId="5" borderId="6" xfId="51" applyFont="1" applyFill="1" applyBorder="1" applyAlignment="1">
      <alignment horizontal="center" vertical="center"/>
    </xf>
    <xf numFmtId="0" fontId="2" fillId="5" borderId="6" xfId="49" applyFont="1" applyFill="1" applyBorder="1" applyAlignment="1">
      <alignment horizontal="center" vertical="center"/>
    </xf>
    <xf numFmtId="180" fontId="2" fillId="5" borderId="6" xfId="51" applyNumberFormat="1" applyFont="1" applyFill="1" applyBorder="1" applyAlignment="1">
      <alignment horizontal="center" vertical="center"/>
    </xf>
    <xf numFmtId="180" fontId="2" fillId="5" borderId="6" xfId="0" applyNumberFormat="1" applyFont="1" applyFill="1" applyBorder="1" applyAlignment="1">
      <alignment horizontal="center" vertical="center"/>
    </xf>
    <xf numFmtId="49" fontId="2" fillId="5" borderId="6" xfId="51" applyNumberFormat="1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/>
    </xf>
    <xf numFmtId="177" fontId="5" fillId="5" borderId="6" xfId="0" applyNumberFormat="1" applyFont="1" applyFill="1" applyBorder="1" applyAlignment="1">
      <alignment horizontal="center" vertical="center"/>
    </xf>
    <xf numFmtId="178" fontId="2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 shrinkToFit="1"/>
    </xf>
    <xf numFmtId="0" fontId="1" fillId="0" borderId="0" xfId="51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80" fontId="1" fillId="4" borderId="6" xfId="50" applyNumberFormat="1" applyFont="1" applyFill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6" xfId="53" applyNumberFormat="1" applyFont="1" applyFill="1" applyBorder="1" applyAlignment="1">
      <alignment horizontal="center" vertical="center"/>
    </xf>
    <xf numFmtId="0" fontId="2" fillId="5" borderId="6" xfId="53" applyFont="1" applyFill="1" applyBorder="1" applyAlignment="1">
      <alignment horizontal="center" vertical="center"/>
    </xf>
    <xf numFmtId="49" fontId="1" fillId="4" borderId="9" xfId="53" applyNumberFormat="1" applyFont="1" applyFill="1" applyBorder="1" applyAlignment="1">
      <alignment horizontal="center" vertical="center"/>
    </xf>
    <xf numFmtId="0" fontId="1" fillId="4" borderId="9" xfId="53" applyFont="1" applyFill="1" applyBorder="1" applyAlignment="1">
      <alignment horizontal="center" vertical="center"/>
    </xf>
    <xf numFmtId="49" fontId="1" fillId="0" borderId="9" xfId="53" applyNumberFormat="1" applyFont="1" applyBorder="1" applyAlignment="1">
      <alignment horizontal="center" vertical="center"/>
    </xf>
    <xf numFmtId="0" fontId="1" fillId="0" borderId="9" xfId="53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4" fontId="1" fillId="7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0" borderId="6" xfId="51" applyFont="1" applyBorder="1" applyAlignment="1">
      <alignment horizontal="center" vertical="center" wrapText="1"/>
    </xf>
    <xf numFmtId="177" fontId="1" fillId="0" borderId="6" xfId="1" applyNumberFormat="1" applyFont="1" applyFill="1" applyBorder="1" applyAlignment="1">
      <alignment horizontal="center" vertical="center"/>
    </xf>
    <xf numFmtId="177" fontId="1" fillId="5" borderId="6" xfId="1" applyNumberFormat="1" applyFont="1" applyFill="1" applyBorder="1" applyAlignment="1">
      <alignment horizontal="center" vertical="center"/>
    </xf>
    <xf numFmtId="0" fontId="1" fillId="2" borderId="6" xfId="51" applyFont="1" applyFill="1" applyBorder="1" applyAlignment="1">
      <alignment horizontal="center" vertical="center" wrapText="1"/>
    </xf>
    <xf numFmtId="177" fontId="1" fillId="2" borderId="6" xfId="1" applyNumberFormat="1" applyFont="1" applyFill="1" applyBorder="1" applyAlignment="1">
      <alignment horizontal="center" vertical="center"/>
    </xf>
    <xf numFmtId="0" fontId="1" fillId="4" borderId="6" xfId="51" applyFont="1" applyFill="1" applyBorder="1" applyAlignment="1">
      <alignment horizontal="center" vertical="center" wrapText="1"/>
    </xf>
    <xf numFmtId="0" fontId="1" fillId="0" borderId="6" xfId="1" applyNumberFormat="1" applyFont="1" applyFill="1" applyBorder="1" applyAlignment="1">
      <alignment horizontal="center" vertical="center"/>
    </xf>
    <xf numFmtId="0" fontId="1" fillId="0" borderId="6" xfId="52" applyFont="1" applyBorder="1" applyAlignment="1">
      <alignment horizontal="center" vertical="center" wrapText="1"/>
    </xf>
    <xf numFmtId="0" fontId="1" fillId="0" borderId="6" xfId="52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80" fontId="1" fillId="0" borderId="0" xfId="50" applyNumberFormat="1" applyFont="1" applyAlignment="1">
      <alignment horizontal="center" vertical="center"/>
    </xf>
    <xf numFmtId="0" fontId="7" fillId="0" borderId="6" xfId="0" applyFont="1" applyBorder="1">
      <alignment vertical="center"/>
    </xf>
    <xf numFmtId="181" fontId="7" fillId="0" borderId="6" xfId="0" applyNumberFormat="1" applyFont="1" applyBorder="1">
      <alignment vertical="center"/>
    </xf>
    <xf numFmtId="182" fontId="7" fillId="0" borderId="6" xfId="0" applyNumberFormat="1" applyFont="1" applyBorder="1">
      <alignment vertical="center"/>
    </xf>
    <xf numFmtId="0" fontId="7" fillId="0" borderId="6" xfId="0" applyFont="1" applyBorder="1" applyAlignment="1">
      <alignment horizontal="left" vertical="center"/>
    </xf>
    <xf numFmtId="10" fontId="8" fillId="0" borderId="6" xfId="0" applyNumberFormat="1" applyFont="1" applyBorder="1">
      <alignment vertical="center"/>
    </xf>
    <xf numFmtId="10" fontId="7" fillId="0" borderId="6" xfId="0" applyNumberFormat="1" applyFont="1" applyBorder="1">
      <alignment vertical="center"/>
    </xf>
    <xf numFmtId="177" fontId="1" fillId="0" borderId="0" xfId="1" applyNumberFormat="1" applyFont="1" applyFill="1" applyBorder="1" applyAlignment="1">
      <alignment horizontal="center" vertical="center"/>
    </xf>
    <xf numFmtId="0" fontId="1" fillId="0" borderId="0" xfId="51" applyFont="1" applyAlignment="1">
      <alignment horizontal="center" vertical="center" wrapText="1"/>
    </xf>
    <xf numFmtId="0" fontId="1" fillId="0" borderId="6" xfId="0" applyFont="1" applyBorder="1" applyAlignment="1" quotePrefix="1">
      <alignment horizontal="center" vertical="center"/>
    </xf>
    <xf numFmtId="0" fontId="1" fillId="4" borderId="6" xfId="0" applyFont="1" applyFill="1" applyBorder="1" applyAlignment="1" quotePrefix="1">
      <alignment horizontal="center" vertical="center"/>
    </xf>
    <xf numFmtId="0" fontId="1" fillId="0" borderId="6" xfId="50" applyFont="1" applyBorder="1" applyAlignment="1" quotePrefix="1">
      <alignment horizontal="center" vertical="center"/>
    </xf>
    <xf numFmtId="0" fontId="1" fillId="0" borderId="6" xfId="51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5" xfId="50"/>
    <cellStyle name="常规 6" xfId="51"/>
    <cellStyle name="常规 7" xfId="52"/>
    <cellStyle name="常规_Sheet1" xfId="53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36"/>
  <sheetViews>
    <sheetView tabSelected="1" workbookViewId="0">
      <selection activeCell="M10" sqref="M10"/>
    </sheetView>
  </sheetViews>
  <sheetFormatPr defaultColWidth="9" defaultRowHeight="13.5"/>
  <cols>
    <col min="1" max="1" width="5.08333333333333" style="1" customWidth="1"/>
    <col min="2" max="2" width="8.83333333333333" style="1" customWidth="1"/>
    <col min="3" max="3" width="16.8333333333333" style="1" customWidth="1"/>
    <col min="4" max="4" width="7.75" style="10" customWidth="1" outlineLevel="1"/>
    <col min="5" max="5" width="7.75" style="11" customWidth="1" outlineLevel="1"/>
    <col min="6" max="6" width="7.75" style="12" customWidth="1" outlineLevel="1"/>
    <col min="7" max="8" width="7.75" style="13" customWidth="1" outlineLevel="1"/>
    <col min="9" max="9" width="9.08333333333333" style="1" customWidth="1"/>
    <col min="10" max="10" width="7.75" style="1" hidden="1" customWidth="1"/>
    <col min="11" max="11" width="10.25" style="1" hidden="1" customWidth="1"/>
    <col min="12" max="12" width="11.5" style="14" hidden="1" customWidth="1"/>
    <col min="13" max="13" width="11.5" style="15" customWidth="1"/>
    <col min="14" max="14" width="11" style="15" customWidth="1"/>
    <col min="15" max="15" width="11.5833333333333" style="15" customWidth="1"/>
    <col min="16" max="16" width="11.8333333333333" style="15" customWidth="1"/>
    <col min="17" max="17" width="8.5" style="12" customWidth="1"/>
    <col min="18" max="18" width="7.5" style="12" customWidth="1"/>
    <col min="19" max="19" width="7" style="12" customWidth="1"/>
    <col min="20" max="20" width="5.25" style="12" customWidth="1"/>
    <col min="21" max="21" width="7.33333333333333" style="1" customWidth="1"/>
    <col min="22" max="22" width="7.83333333333333" style="1" customWidth="1"/>
    <col min="23" max="23" width="5.33333333333333" style="1" customWidth="1"/>
    <col min="24" max="24" width="8.08333333333333" style="1" customWidth="1"/>
    <col min="25" max="25" width="8.83333333333333" style="1" customWidth="1"/>
    <col min="26" max="26" width="11" style="1" hidden="1" customWidth="1"/>
    <col min="27" max="27" width="8.08333333333333" style="1" hidden="1" customWidth="1"/>
    <col min="28" max="29" width="10.3333333333333" style="1" hidden="1" customWidth="1"/>
    <col min="30" max="40" width="3.58333333333333" style="1" customWidth="1"/>
    <col min="41" max="41" width="22.0833333333333" style="16" customWidth="1"/>
    <col min="42" max="42" width="22.0833333333333" style="1" customWidth="1"/>
    <col min="43" max="43" width="32.5" style="1" customWidth="1"/>
    <col min="44" max="44" width="9.5" style="1" customWidth="1"/>
    <col min="45" max="46" width="9" style="1"/>
    <col min="47" max="47" width="3.08333333333333" style="1" customWidth="1"/>
    <col min="48" max="48" width="9" style="1"/>
    <col min="49" max="49" width="2.25" style="1" customWidth="1"/>
    <col min="50" max="50" width="9" style="1"/>
    <col min="51" max="52" width="2.25" style="1" customWidth="1"/>
    <col min="53" max="55" width="9" style="1"/>
    <col min="56" max="56" width="2.25" style="1" customWidth="1"/>
    <col min="57" max="58" width="9" style="1"/>
    <col min="59" max="59" width="17.8333333333333" style="1" customWidth="1"/>
    <col min="60" max="60" width="11.0833333333333" style="1" customWidth="1"/>
    <col min="61" max="16382" width="9" style="1"/>
    <col min="16383" max="16384" width="9" style="7"/>
  </cols>
  <sheetData>
    <row r="1" s="1" customFormat="1" ht="20.15" customHeight="1" spans="1:5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</row>
    <row r="2" s="1" customFormat="1" ht="20.15" customHeight="1" spans="1:58">
      <c r="A2" s="18" t="s">
        <v>1</v>
      </c>
      <c r="B2" s="19" t="s">
        <v>2</v>
      </c>
      <c r="C2" s="19"/>
      <c r="D2" s="19"/>
      <c r="E2" s="19"/>
      <c r="F2" s="19" t="s">
        <v>3</v>
      </c>
      <c r="G2" s="19"/>
      <c r="H2" s="19"/>
      <c r="I2" s="20" t="s">
        <v>4</v>
      </c>
      <c r="J2" s="20"/>
      <c r="K2" s="21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2"/>
      <c r="AP2" s="19"/>
      <c r="AQ2" s="23" t="s">
        <v>5</v>
      </c>
    </row>
    <row r="3" s="1" customFormat="1" ht="20.15" customHeight="1" spans="1:58">
      <c r="A3" s="24"/>
      <c r="B3" s="25" t="s">
        <v>6</v>
      </c>
      <c r="C3" s="25" t="s">
        <v>7</v>
      </c>
      <c r="D3" s="26" t="s">
        <v>8</v>
      </c>
      <c r="E3" s="27" t="s">
        <v>9</v>
      </c>
      <c r="F3" s="28" t="s">
        <v>10</v>
      </c>
      <c r="G3" s="29" t="s">
        <v>11</v>
      </c>
      <c r="H3" s="29" t="s">
        <v>12</v>
      </c>
      <c r="I3" s="28" t="s">
        <v>13</v>
      </c>
      <c r="J3" s="25" t="s">
        <v>14</v>
      </c>
      <c r="K3" s="30" t="s">
        <v>15</v>
      </c>
      <c r="L3" s="28" t="s">
        <v>16</v>
      </c>
      <c r="M3" s="31" t="s">
        <v>17</v>
      </c>
      <c r="N3" s="32" t="s">
        <v>18</v>
      </c>
      <c r="O3" s="32" t="s">
        <v>19</v>
      </c>
      <c r="P3" s="32" t="s">
        <v>20</v>
      </c>
      <c r="Q3" s="33" t="s">
        <v>21</v>
      </c>
      <c r="R3" s="34"/>
      <c r="S3" s="34"/>
      <c r="T3" s="35" t="s">
        <v>22</v>
      </c>
      <c r="U3" s="28" t="s">
        <v>23</v>
      </c>
      <c r="V3" s="28"/>
      <c r="W3" s="28"/>
      <c r="X3" s="28"/>
      <c r="Y3" s="28"/>
      <c r="Z3" s="31" t="s">
        <v>24</v>
      </c>
      <c r="AA3" s="28" t="s">
        <v>25</v>
      </c>
      <c r="AB3" s="31" t="s">
        <v>26</v>
      </c>
      <c r="AC3" s="28" t="s">
        <v>25</v>
      </c>
      <c r="AD3" s="36" t="s">
        <v>27</v>
      </c>
      <c r="AE3" s="36" t="s">
        <v>28</v>
      </c>
      <c r="AF3" s="36" t="s">
        <v>29</v>
      </c>
      <c r="AG3" s="36" t="s">
        <v>30</v>
      </c>
      <c r="AH3" s="36" t="s">
        <v>31</v>
      </c>
      <c r="AI3" s="36" t="s">
        <v>32</v>
      </c>
      <c r="AJ3" s="36" t="s">
        <v>33</v>
      </c>
      <c r="AK3" s="36" t="s">
        <v>34</v>
      </c>
      <c r="AL3" s="36" t="s">
        <v>35</v>
      </c>
      <c r="AM3" s="28" t="s">
        <v>36</v>
      </c>
      <c r="AN3" s="28" t="s">
        <v>35</v>
      </c>
      <c r="AO3" s="37" t="s">
        <v>37</v>
      </c>
      <c r="AP3" s="28" t="s">
        <v>38</v>
      </c>
      <c r="AQ3" s="38"/>
    </row>
    <row r="4" s="1" customFormat="1" ht="14" customHeight="1" spans="1:58">
      <c r="A4" s="24"/>
      <c r="B4" s="25"/>
      <c r="C4" s="25"/>
      <c r="D4" s="26"/>
      <c r="E4" s="27"/>
      <c r="F4" s="28"/>
      <c r="G4" s="29"/>
      <c r="H4" s="29"/>
      <c r="I4" s="28"/>
      <c r="J4" s="25"/>
      <c r="K4" s="30"/>
      <c r="L4" s="28"/>
      <c r="M4" s="31"/>
      <c r="N4" s="32"/>
      <c r="O4" s="32"/>
      <c r="P4" s="32"/>
      <c r="Q4" s="39" t="s">
        <v>39</v>
      </c>
      <c r="R4" s="39" t="s">
        <v>40</v>
      </c>
      <c r="S4" s="39" t="s">
        <v>41</v>
      </c>
      <c r="T4" s="40"/>
      <c r="U4" s="28"/>
      <c r="V4" s="28" t="s">
        <v>11</v>
      </c>
      <c r="W4" s="28" t="s">
        <v>12</v>
      </c>
      <c r="X4" s="28" t="s">
        <v>42</v>
      </c>
      <c r="Y4" s="28" t="s">
        <v>43</v>
      </c>
      <c r="Z4" s="31"/>
      <c r="AA4" s="28"/>
      <c r="AB4" s="31"/>
      <c r="AC4" s="28"/>
      <c r="AD4" s="41"/>
      <c r="AE4" s="41"/>
      <c r="AF4" s="41"/>
      <c r="AG4" s="41"/>
      <c r="AH4" s="41"/>
      <c r="AI4" s="41"/>
      <c r="AJ4" s="41"/>
      <c r="AK4" s="41"/>
      <c r="AL4" s="41"/>
      <c r="AM4" s="28"/>
      <c r="AN4" s="28"/>
      <c r="AO4" s="37"/>
      <c r="AP4" s="28"/>
      <c r="AQ4" s="38"/>
    </row>
    <row r="5" s="1" customFormat="1" ht="20.15" customHeight="1" spans="1:58">
      <c r="A5" s="42">
        <f t="shared" ref="A5:A68" si="0">ROW()-4</f>
        <v>1</v>
      </c>
      <c r="B5" s="42" t="s">
        <v>44</v>
      </c>
      <c r="C5" s="42" t="s">
        <v>45</v>
      </c>
      <c r="D5" s="43"/>
      <c r="E5" s="44">
        <v>19.5</v>
      </c>
      <c r="F5" s="42"/>
      <c r="G5" s="42">
        <v>2178</v>
      </c>
      <c r="H5" s="42">
        <v>210</v>
      </c>
      <c r="I5" s="42" t="s">
        <v>46</v>
      </c>
      <c r="J5" s="42"/>
      <c r="K5" s="45" t="s">
        <v>47</v>
      </c>
      <c r="L5" s="42" t="s">
        <v>11</v>
      </c>
      <c r="M5" s="46">
        <v>45603</v>
      </c>
      <c r="N5" s="46">
        <v>45717</v>
      </c>
      <c r="O5" s="46">
        <v>46081</v>
      </c>
      <c r="P5" s="46">
        <v>45717</v>
      </c>
      <c r="Q5" s="47">
        <v>3052</v>
      </c>
      <c r="R5" s="47"/>
      <c r="S5" s="47">
        <f t="shared" ref="S5:S68" si="1">Q5+R5</f>
        <v>3052</v>
      </c>
      <c r="T5" s="47">
        <f t="shared" ref="T5:T14" si="2">(O5-N5)/365*12</f>
        <v>11.9671232876712</v>
      </c>
      <c r="U5" s="42">
        <v>10000</v>
      </c>
      <c r="V5" s="42">
        <v>3052</v>
      </c>
      <c r="W5" s="42">
        <v>210</v>
      </c>
      <c r="X5" s="42"/>
      <c r="Y5" s="42"/>
      <c r="Z5" s="42"/>
      <c r="AA5" s="42"/>
      <c r="AB5" s="42"/>
      <c r="AC5" s="42"/>
      <c r="AD5" s="42"/>
      <c r="AE5" s="42" t="s">
        <v>48</v>
      </c>
      <c r="AF5" s="42"/>
      <c r="AG5" s="42" t="s">
        <v>48</v>
      </c>
      <c r="AH5" s="42" t="s">
        <v>48</v>
      </c>
      <c r="AI5" s="42"/>
      <c r="AJ5" s="42"/>
      <c r="AK5" s="42"/>
      <c r="AL5" s="42" t="s">
        <v>48</v>
      </c>
      <c r="AM5" s="42"/>
      <c r="AN5" s="42"/>
      <c r="AO5" s="48" t="s">
        <v>49</v>
      </c>
      <c r="AP5" s="42">
        <v>13711538691</v>
      </c>
      <c r="AQ5" s="42"/>
    </row>
    <row r="6" s="1" customFormat="1" ht="20.15" customHeight="1" spans="1:58">
      <c r="A6" s="42">
        <f t="shared" si="0"/>
        <v>2</v>
      </c>
      <c r="B6" s="42" t="s">
        <v>44</v>
      </c>
      <c r="C6" s="42">
        <v>1001</v>
      </c>
      <c r="D6" s="43"/>
      <c r="E6" s="44">
        <v>21.87</v>
      </c>
      <c r="F6" s="42"/>
      <c r="G6" s="42">
        <v>3812</v>
      </c>
      <c r="H6" s="42">
        <v>500</v>
      </c>
      <c r="I6" s="42" t="s">
        <v>50</v>
      </c>
      <c r="J6" s="42"/>
      <c r="K6" s="45">
        <v>1001</v>
      </c>
      <c r="L6" s="42" t="s">
        <v>11</v>
      </c>
      <c r="M6" s="46">
        <v>45600</v>
      </c>
      <c r="N6" s="46">
        <v>45748</v>
      </c>
      <c r="O6" s="46">
        <v>46112</v>
      </c>
      <c r="P6" s="46">
        <v>45748</v>
      </c>
      <c r="Q6" s="47">
        <v>4200</v>
      </c>
      <c r="R6" s="47"/>
      <c r="S6" s="47">
        <f t="shared" si="1"/>
        <v>4200</v>
      </c>
      <c r="T6" s="47">
        <f t="shared" si="2"/>
        <v>11.9671232876712</v>
      </c>
      <c r="U6" s="42">
        <v>10000</v>
      </c>
      <c r="V6" s="42">
        <v>4200</v>
      </c>
      <c r="W6" s="42">
        <v>500</v>
      </c>
      <c r="X6" s="42"/>
      <c r="Y6" s="42"/>
      <c r="Z6" s="49"/>
      <c r="AA6" s="42"/>
      <c r="AB6" s="49"/>
      <c r="AC6" s="42"/>
      <c r="AD6" s="42"/>
      <c r="AE6" s="42" t="s">
        <v>48</v>
      </c>
      <c r="AF6" s="42"/>
      <c r="AG6" s="42" t="s">
        <v>48</v>
      </c>
      <c r="AH6" s="42" t="s">
        <v>48</v>
      </c>
      <c r="AI6" s="42"/>
      <c r="AJ6" s="42"/>
      <c r="AK6" s="42"/>
      <c r="AL6" s="42" t="s">
        <v>48</v>
      </c>
      <c r="AM6" s="42"/>
      <c r="AN6" s="42"/>
      <c r="AO6" s="48" t="s">
        <v>51</v>
      </c>
      <c r="AP6" s="42">
        <v>13428880727</v>
      </c>
      <c r="AQ6" s="42" t="s">
        <v>52</v>
      </c>
    </row>
    <row r="7" s="1" customFormat="1" ht="20.15" customHeight="1" spans="1:58">
      <c r="A7" s="42">
        <f t="shared" si="0"/>
        <v>3</v>
      </c>
      <c r="B7" s="42" t="s">
        <v>44</v>
      </c>
      <c r="C7" s="42">
        <v>1002</v>
      </c>
      <c r="D7" s="43"/>
      <c r="E7" s="44">
        <v>21.87</v>
      </c>
      <c r="F7" s="42"/>
      <c r="G7" s="42">
        <v>3630</v>
      </c>
      <c r="H7" s="42">
        <v>500</v>
      </c>
      <c r="I7" s="42" t="s">
        <v>53</v>
      </c>
      <c r="J7" s="42"/>
      <c r="K7" s="45">
        <v>1002</v>
      </c>
      <c r="L7" s="42" t="s">
        <v>11</v>
      </c>
      <c r="M7" s="46">
        <v>45632</v>
      </c>
      <c r="N7" s="46">
        <v>45717</v>
      </c>
      <c r="O7" s="46">
        <v>46081</v>
      </c>
      <c r="P7" s="46">
        <v>45717</v>
      </c>
      <c r="Q7" s="47">
        <v>1500</v>
      </c>
      <c r="R7" s="47"/>
      <c r="S7" s="47">
        <f t="shared" si="1"/>
        <v>1500</v>
      </c>
      <c r="T7" s="47">
        <f t="shared" si="2"/>
        <v>11.9671232876712</v>
      </c>
      <c r="U7" s="42">
        <v>10000</v>
      </c>
      <c r="V7" s="42">
        <v>1500</v>
      </c>
      <c r="W7" s="42"/>
      <c r="X7" s="42"/>
      <c r="Y7" s="42"/>
      <c r="Z7" s="42"/>
      <c r="AA7" s="42"/>
      <c r="AB7" s="42"/>
      <c r="AC7" s="42"/>
      <c r="AD7" s="42"/>
      <c r="AE7" s="42" t="s">
        <v>48</v>
      </c>
      <c r="AF7" s="42"/>
      <c r="AG7" s="42" t="s">
        <v>48</v>
      </c>
      <c r="AH7" s="42" t="s">
        <v>48</v>
      </c>
      <c r="AI7" s="42"/>
      <c r="AJ7" s="42"/>
      <c r="AK7" s="42"/>
      <c r="AL7" s="42" t="s">
        <v>48</v>
      </c>
      <c r="AM7" s="42"/>
      <c r="AN7" s="42"/>
      <c r="AO7" s="50" t="s">
        <v>54</v>
      </c>
      <c r="AP7" s="51">
        <v>13660380227</v>
      </c>
      <c r="AQ7" s="42"/>
    </row>
    <row r="8" s="1" customFormat="1" ht="20.15" customHeight="1" spans="1:58">
      <c r="A8" s="42">
        <f t="shared" si="0"/>
        <v>4</v>
      </c>
      <c r="B8" s="42" t="s">
        <v>44</v>
      </c>
      <c r="C8" s="42">
        <v>1003</v>
      </c>
      <c r="D8" s="43"/>
      <c r="E8" s="44">
        <v>21.87</v>
      </c>
      <c r="F8" s="42"/>
      <c r="G8" s="42">
        <v>3000</v>
      </c>
      <c r="H8" s="42">
        <v>500</v>
      </c>
      <c r="I8" s="42" t="s">
        <v>55</v>
      </c>
      <c r="J8" s="42"/>
      <c r="K8" s="45" t="s">
        <v>56</v>
      </c>
      <c r="L8" s="42" t="s">
        <v>11</v>
      </c>
      <c r="M8" s="46">
        <v>45861</v>
      </c>
      <c r="N8" s="46">
        <v>45870</v>
      </c>
      <c r="O8" s="46">
        <v>46234</v>
      </c>
      <c r="P8" s="46">
        <v>45901</v>
      </c>
      <c r="Q8" s="47">
        <v>3000</v>
      </c>
      <c r="R8" s="47"/>
      <c r="S8" s="47">
        <f t="shared" si="1"/>
        <v>3000</v>
      </c>
      <c r="T8" s="47">
        <f t="shared" si="2"/>
        <v>11.9671232876712</v>
      </c>
      <c r="U8" s="42">
        <v>20000</v>
      </c>
      <c r="V8" s="42">
        <v>3000</v>
      </c>
      <c r="W8" s="42">
        <v>0</v>
      </c>
      <c r="X8" s="42"/>
      <c r="Y8" s="42"/>
      <c r="Z8" s="52"/>
      <c r="AA8" s="52"/>
      <c r="AB8" s="52"/>
      <c r="AC8" s="52"/>
      <c r="AD8" s="42" t="s">
        <v>48</v>
      </c>
      <c r="AE8" s="42" t="s">
        <v>48</v>
      </c>
      <c r="AF8" s="42" t="s">
        <v>48</v>
      </c>
      <c r="AG8" s="42" t="s">
        <v>48</v>
      </c>
      <c r="AH8" s="42" t="s">
        <v>48</v>
      </c>
      <c r="AI8" s="42" t="s">
        <v>48</v>
      </c>
      <c r="AJ8" s="42" t="s">
        <v>48</v>
      </c>
      <c r="AK8" s="42" t="s">
        <v>48</v>
      </c>
      <c r="AL8" s="42" t="s">
        <v>48</v>
      </c>
      <c r="AM8" s="42" t="s">
        <v>48</v>
      </c>
      <c r="AN8" s="42" t="s">
        <v>48</v>
      </c>
      <c r="AO8" s="48" t="s">
        <v>57</v>
      </c>
      <c r="AP8" s="42">
        <v>17513552887</v>
      </c>
      <c r="AQ8" s="42"/>
    </row>
    <row r="9" s="1" customFormat="1" ht="20.15" customHeight="1" spans="1:58">
      <c r="A9" s="42">
        <f t="shared" si="0"/>
        <v>5</v>
      </c>
      <c r="B9" s="42" t="s">
        <v>44</v>
      </c>
      <c r="C9" s="42">
        <v>1004</v>
      </c>
      <c r="D9" s="43"/>
      <c r="E9" s="44">
        <v>27.15</v>
      </c>
      <c r="F9" s="42"/>
      <c r="G9" s="42">
        <v>3812</v>
      </c>
      <c r="H9" s="42">
        <v>500</v>
      </c>
      <c r="I9" s="42" t="s">
        <v>55</v>
      </c>
      <c r="J9" s="42"/>
      <c r="K9" s="45" t="s">
        <v>56</v>
      </c>
      <c r="L9" s="42" t="s">
        <v>11</v>
      </c>
      <c r="M9" s="46">
        <v>45861</v>
      </c>
      <c r="N9" s="46">
        <v>45870</v>
      </c>
      <c r="O9" s="46">
        <v>46234</v>
      </c>
      <c r="P9" s="46">
        <v>45901</v>
      </c>
      <c r="Q9" s="47"/>
      <c r="R9" s="47"/>
      <c r="S9" s="47">
        <f t="shared" si="1"/>
        <v>0</v>
      </c>
      <c r="T9" s="47">
        <f t="shared" si="2"/>
        <v>11.9671232876712</v>
      </c>
      <c r="U9" s="42"/>
      <c r="V9" s="42"/>
      <c r="W9" s="42"/>
      <c r="X9" s="42"/>
      <c r="Y9" s="42"/>
      <c r="Z9" s="52"/>
      <c r="AA9" s="52"/>
      <c r="AB9" s="52"/>
      <c r="AC9" s="5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8" t="s">
        <v>58</v>
      </c>
      <c r="AP9" s="53">
        <v>13006899773</v>
      </c>
      <c r="AQ9" s="42"/>
    </row>
    <row r="10" s="1" customFormat="1" ht="20.15" customHeight="1" spans="1:58">
      <c r="A10" s="42">
        <f t="shared" si="0"/>
        <v>6</v>
      </c>
      <c r="B10" s="42" t="s">
        <v>44</v>
      </c>
      <c r="C10" s="42">
        <v>1005</v>
      </c>
      <c r="D10" s="43"/>
      <c r="E10" s="44">
        <v>27.15</v>
      </c>
      <c r="F10" s="42"/>
      <c r="G10" s="42">
        <v>3832</v>
      </c>
      <c r="H10" s="42">
        <v>500</v>
      </c>
      <c r="I10" s="42" t="s">
        <v>59</v>
      </c>
      <c r="J10" s="42"/>
      <c r="K10" s="42">
        <f>C10</f>
        <v>1005</v>
      </c>
      <c r="L10" s="42" t="s">
        <v>11</v>
      </c>
      <c r="M10" s="46">
        <v>45792</v>
      </c>
      <c r="N10" s="46">
        <v>45788</v>
      </c>
      <c r="O10" s="46">
        <v>46152</v>
      </c>
      <c r="P10" s="46">
        <v>45788</v>
      </c>
      <c r="Q10" s="47">
        <v>1200</v>
      </c>
      <c r="R10" s="47"/>
      <c r="S10" s="47">
        <f t="shared" si="1"/>
        <v>1200</v>
      </c>
      <c r="T10" s="47">
        <f t="shared" si="2"/>
        <v>11.9671232876712</v>
      </c>
      <c r="U10" s="42">
        <v>3000</v>
      </c>
      <c r="V10" s="42">
        <v>1200</v>
      </c>
      <c r="W10" s="42">
        <v>200</v>
      </c>
      <c r="X10" s="42"/>
      <c r="Y10" s="42"/>
      <c r="Z10" s="54"/>
      <c r="AA10" s="54"/>
      <c r="AB10" s="54"/>
      <c r="AC10" s="54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8" t="s">
        <v>60</v>
      </c>
      <c r="AP10" s="42">
        <v>15360812072</v>
      </c>
      <c r="AQ10" s="42"/>
    </row>
    <row r="11" s="1" customFormat="1" ht="20.15" customHeight="1" spans="1:58">
      <c r="A11" s="42">
        <f t="shared" si="0"/>
        <v>7</v>
      </c>
      <c r="B11" s="42" t="s">
        <v>44</v>
      </c>
      <c r="C11" s="42">
        <v>1006</v>
      </c>
      <c r="D11" s="43"/>
      <c r="E11" s="44">
        <v>27.15</v>
      </c>
      <c r="F11" s="42"/>
      <c r="G11" s="42">
        <v>3832</v>
      </c>
      <c r="H11" s="42">
        <v>500</v>
      </c>
      <c r="I11" s="42" t="s">
        <v>61</v>
      </c>
      <c r="J11" s="42"/>
      <c r="K11" s="45" t="s">
        <v>62</v>
      </c>
      <c r="L11" s="42" t="s">
        <v>11</v>
      </c>
      <c r="M11" s="46">
        <v>45770</v>
      </c>
      <c r="N11" s="46">
        <v>45778</v>
      </c>
      <c r="O11" s="46">
        <v>46142</v>
      </c>
      <c r="P11" s="46">
        <v>45778</v>
      </c>
      <c r="Q11" s="47">
        <v>1200</v>
      </c>
      <c r="R11" s="47"/>
      <c r="S11" s="47">
        <f t="shared" si="1"/>
        <v>1200</v>
      </c>
      <c r="T11" s="47">
        <f t="shared" si="2"/>
        <v>11.9671232876712</v>
      </c>
      <c r="U11" s="42">
        <v>3600</v>
      </c>
      <c r="V11" s="42">
        <v>1200</v>
      </c>
      <c r="W11" s="42">
        <v>200</v>
      </c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8" t="s">
        <v>63</v>
      </c>
      <c r="AP11" s="42">
        <v>13633344422</v>
      </c>
      <c r="AQ11" s="42"/>
    </row>
    <row r="12" s="1" customFormat="1" ht="20.15" customHeight="1" spans="1:58">
      <c r="A12" s="42">
        <f t="shared" si="0"/>
        <v>8</v>
      </c>
      <c r="B12" s="42" t="s">
        <v>44</v>
      </c>
      <c r="C12" s="42">
        <v>1007</v>
      </c>
      <c r="D12" s="43"/>
      <c r="E12" s="44">
        <v>27.15</v>
      </c>
      <c r="F12" s="42"/>
      <c r="G12" s="42">
        <v>3630</v>
      </c>
      <c r="H12" s="42">
        <v>500</v>
      </c>
      <c r="I12" s="42" t="s">
        <v>64</v>
      </c>
      <c r="J12" s="42"/>
      <c r="K12" s="42">
        <v>1007</v>
      </c>
      <c r="L12" s="42" t="s">
        <v>11</v>
      </c>
      <c r="M12" s="46">
        <v>45843</v>
      </c>
      <c r="N12" s="46">
        <v>45845</v>
      </c>
      <c r="O12" s="46">
        <v>46209</v>
      </c>
      <c r="P12" s="46">
        <v>45845</v>
      </c>
      <c r="Q12" s="47">
        <v>1200</v>
      </c>
      <c r="R12" s="47"/>
      <c r="S12" s="47">
        <f t="shared" si="1"/>
        <v>1200</v>
      </c>
      <c r="T12" s="47">
        <f t="shared" si="2"/>
        <v>11.9671232876712</v>
      </c>
      <c r="U12" s="42">
        <v>3600</v>
      </c>
      <c r="V12" s="42">
        <v>1200</v>
      </c>
      <c r="W12" s="42">
        <v>0</v>
      </c>
      <c r="X12" s="42"/>
      <c r="Y12" s="42"/>
      <c r="Z12" s="52"/>
      <c r="AA12" s="52"/>
      <c r="AB12" s="52"/>
      <c r="AC12" s="52"/>
      <c r="AD12" s="42"/>
      <c r="AE12" s="42" t="s">
        <v>48</v>
      </c>
      <c r="AF12" s="42" t="s">
        <v>48</v>
      </c>
      <c r="AG12" s="42" t="s">
        <v>48</v>
      </c>
      <c r="AH12" s="42" t="s">
        <v>48</v>
      </c>
      <c r="AI12" s="42" t="s">
        <v>48</v>
      </c>
      <c r="AJ12" s="42" t="s">
        <v>48</v>
      </c>
      <c r="AK12" s="42" t="s">
        <v>48</v>
      </c>
      <c r="AL12" s="42" t="s">
        <v>48</v>
      </c>
      <c r="AM12" s="42" t="s">
        <v>48</v>
      </c>
      <c r="AN12" s="42" t="s">
        <v>48</v>
      </c>
      <c r="AO12" s="48" t="s">
        <v>65</v>
      </c>
      <c r="AP12" s="42">
        <v>13286811871</v>
      </c>
      <c r="AQ12" s="42"/>
    </row>
    <row r="13" s="1" customFormat="1" ht="20.15" customHeight="1" spans="1:58">
      <c r="A13" s="42">
        <f t="shared" si="0"/>
        <v>9</v>
      </c>
      <c r="B13" s="42" t="s">
        <v>44</v>
      </c>
      <c r="C13" s="42">
        <v>1008</v>
      </c>
      <c r="D13" s="43"/>
      <c r="E13" s="44">
        <v>27.15</v>
      </c>
      <c r="F13" s="42"/>
      <c r="G13" s="42">
        <v>3000</v>
      </c>
      <c r="H13" s="42">
        <v>500</v>
      </c>
      <c r="I13" s="42" t="s">
        <v>66</v>
      </c>
      <c r="J13" s="42"/>
      <c r="K13" s="42" t="s">
        <v>67</v>
      </c>
      <c r="L13" s="42" t="s">
        <v>11</v>
      </c>
      <c r="M13" s="46">
        <v>45623</v>
      </c>
      <c r="N13" s="46">
        <v>45717</v>
      </c>
      <c r="O13" s="46">
        <v>46081</v>
      </c>
      <c r="P13" s="46">
        <v>45717</v>
      </c>
      <c r="Q13" s="47">
        <v>2500</v>
      </c>
      <c r="R13" s="47"/>
      <c r="S13" s="47">
        <f t="shared" si="1"/>
        <v>2500</v>
      </c>
      <c r="T13" s="47">
        <f t="shared" si="2"/>
        <v>11.9671232876712</v>
      </c>
      <c r="U13" s="42">
        <v>10000</v>
      </c>
      <c r="V13" s="42">
        <v>2500</v>
      </c>
      <c r="W13" s="42">
        <v>0</v>
      </c>
      <c r="X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8" t="s">
        <v>68</v>
      </c>
      <c r="AP13" s="42">
        <v>13622212348</v>
      </c>
      <c r="AQ13" s="42"/>
    </row>
    <row r="14" s="1" customFormat="1" ht="20.15" customHeight="1" spans="1:58">
      <c r="A14" s="42">
        <f t="shared" si="0"/>
        <v>10</v>
      </c>
      <c r="B14" s="42" t="s">
        <v>44</v>
      </c>
      <c r="C14" s="42">
        <v>1009</v>
      </c>
      <c r="D14" s="43"/>
      <c r="E14" s="44">
        <v>27.15</v>
      </c>
      <c r="F14" s="42"/>
      <c r="G14" s="47">
        <v>3812</v>
      </c>
      <c r="H14" s="42">
        <v>500</v>
      </c>
      <c r="I14" s="42" t="s">
        <v>66</v>
      </c>
      <c r="J14" s="42"/>
      <c r="K14" s="42" t="s">
        <v>67</v>
      </c>
      <c r="L14" s="42" t="s">
        <v>11</v>
      </c>
      <c r="M14" s="46">
        <v>45623</v>
      </c>
      <c r="N14" s="46">
        <v>45717</v>
      </c>
      <c r="O14" s="46">
        <v>46081</v>
      </c>
      <c r="P14" s="46">
        <v>45717</v>
      </c>
      <c r="Q14" s="47"/>
      <c r="R14" s="47"/>
      <c r="S14" s="47">
        <f t="shared" si="1"/>
        <v>0</v>
      </c>
      <c r="T14" s="47">
        <f t="shared" si="2"/>
        <v>11.9671232876712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8" t="s">
        <v>68</v>
      </c>
      <c r="AP14" s="42">
        <v>13622212348</v>
      </c>
      <c r="AQ14" s="42"/>
    </row>
    <row r="15" s="1" customFormat="1" ht="20.15" customHeight="1" spans="1:58">
      <c r="A15" s="42">
        <f t="shared" si="0"/>
        <v>11</v>
      </c>
      <c r="B15" s="42" t="s">
        <v>44</v>
      </c>
      <c r="C15" s="42">
        <v>1010</v>
      </c>
      <c r="D15" s="44"/>
      <c r="E15" s="44">
        <v>23.77</v>
      </c>
      <c r="F15" s="42"/>
      <c r="G15" s="47">
        <v>3812</v>
      </c>
      <c r="H15" s="42">
        <v>500</v>
      </c>
      <c r="I15" s="42" t="s">
        <v>69</v>
      </c>
      <c r="J15" s="42"/>
      <c r="K15" s="42">
        <v>1010</v>
      </c>
      <c r="L15" s="42" t="s">
        <v>11</v>
      </c>
      <c r="M15" s="46">
        <v>45598</v>
      </c>
      <c r="N15" s="46">
        <v>45731</v>
      </c>
      <c r="O15" s="46">
        <v>46095</v>
      </c>
      <c r="P15" s="46">
        <v>45731</v>
      </c>
      <c r="Q15" s="47">
        <v>1500</v>
      </c>
      <c r="R15" s="47"/>
      <c r="S15" s="47">
        <f t="shared" si="1"/>
        <v>1500</v>
      </c>
      <c r="T15" s="47">
        <v>11.9671232876712</v>
      </c>
      <c r="U15" s="42">
        <v>4500</v>
      </c>
      <c r="V15" s="42">
        <v>1500</v>
      </c>
      <c r="W15" s="42"/>
      <c r="X15" s="42"/>
      <c r="Y15" s="42"/>
      <c r="Z15" s="42"/>
      <c r="AA15" s="49"/>
      <c r="AB15" s="42"/>
      <c r="AC15" s="46"/>
      <c r="AD15" s="42"/>
      <c r="AE15" s="42"/>
      <c r="AF15" s="42"/>
      <c r="AG15" s="42"/>
      <c r="AH15" s="42"/>
      <c r="AI15" s="42"/>
      <c r="AJ15" s="42"/>
      <c r="AK15" s="42"/>
      <c r="AL15" s="42"/>
      <c r="AM15" s="49"/>
      <c r="AN15" s="48" t="s">
        <v>70</v>
      </c>
      <c r="AO15" s="45" t="s">
        <v>70</v>
      </c>
      <c r="AP15" s="42">
        <v>13590554409</v>
      </c>
      <c r="BF15" s="16"/>
    </row>
    <row r="16" s="1" customFormat="1" ht="20.15" customHeight="1" spans="1:58">
      <c r="A16" s="42">
        <f t="shared" si="0"/>
        <v>12</v>
      </c>
      <c r="B16" s="42" t="s">
        <v>44</v>
      </c>
      <c r="C16" s="42">
        <v>1011</v>
      </c>
      <c r="D16" s="44"/>
      <c r="E16" s="44">
        <v>27.15</v>
      </c>
      <c r="F16" s="42"/>
      <c r="G16" s="42">
        <v>3630</v>
      </c>
      <c r="H16" s="42">
        <v>500</v>
      </c>
      <c r="I16" s="42" t="s">
        <v>71</v>
      </c>
      <c r="J16" s="45"/>
      <c r="K16" s="45" t="s">
        <v>72</v>
      </c>
      <c r="L16" s="42" t="s">
        <v>11</v>
      </c>
      <c r="M16" s="46">
        <v>45869</v>
      </c>
      <c r="N16" s="46">
        <v>45870</v>
      </c>
      <c r="O16" s="46">
        <v>46234</v>
      </c>
      <c r="P16" s="46">
        <v>45877</v>
      </c>
      <c r="Q16" s="47">
        <v>750</v>
      </c>
      <c r="R16" s="47"/>
      <c r="S16" s="47">
        <f t="shared" si="1"/>
        <v>750</v>
      </c>
      <c r="T16" s="47">
        <v>11.9671232876712</v>
      </c>
      <c r="U16" s="42">
        <v>1500</v>
      </c>
      <c r="V16" s="42">
        <v>750</v>
      </c>
      <c r="W16" s="42"/>
      <c r="X16" s="42"/>
      <c r="Y16" s="42"/>
      <c r="Z16" s="52"/>
      <c r="AA16" s="52"/>
      <c r="AB16" s="52"/>
      <c r="AC16" s="52"/>
      <c r="AD16" s="42" t="s">
        <v>48</v>
      </c>
      <c r="AE16" s="42" t="s">
        <v>48</v>
      </c>
      <c r="AF16" s="42" t="s">
        <v>48</v>
      </c>
      <c r="AG16" s="42" t="s">
        <v>48</v>
      </c>
      <c r="AH16" s="42" t="s">
        <v>48</v>
      </c>
      <c r="AI16" s="42" t="s">
        <v>48</v>
      </c>
      <c r="AJ16" s="42" t="s">
        <v>48</v>
      </c>
      <c r="AK16" s="42" t="s">
        <v>48</v>
      </c>
      <c r="AL16" s="42" t="s">
        <v>48</v>
      </c>
      <c r="AM16" s="42" t="s">
        <v>48</v>
      </c>
      <c r="AN16" s="55" t="s">
        <v>48</v>
      </c>
      <c r="AO16" s="45" t="s">
        <v>73</v>
      </c>
      <c r="AP16" s="42">
        <v>13710266127</v>
      </c>
    </row>
    <row r="17" s="2" customFormat="1" ht="20.15" customHeight="1" spans="1:43">
      <c r="A17" s="52">
        <f t="shared" si="0"/>
        <v>13</v>
      </c>
      <c r="B17" s="52" t="s">
        <v>44</v>
      </c>
      <c r="C17" s="52">
        <v>1012</v>
      </c>
      <c r="D17" s="56"/>
      <c r="E17" s="57">
        <v>27.5</v>
      </c>
      <c r="F17" s="52"/>
      <c r="G17" s="52">
        <v>3832</v>
      </c>
      <c r="H17" s="52">
        <v>500</v>
      </c>
      <c r="I17" s="52" t="s">
        <v>74</v>
      </c>
      <c r="J17" s="52"/>
      <c r="K17" s="52">
        <v>1012</v>
      </c>
      <c r="L17" s="52" t="s">
        <v>11</v>
      </c>
      <c r="M17" s="58">
        <v>45960</v>
      </c>
      <c r="N17" s="58">
        <v>45992</v>
      </c>
      <c r="O17" s="58">
        <v>46356</v>
      </c>
      <c r="P17" s="58">
        <v>45992</v>
      </c>
      <c r="Q17" s="59">
        <v>750</v>
      </c>
      <c r="R17" s="59"/>
      <c r="S17" s="59">
        <f t="shared" si="1"/>
        <v>750</v>
      </c>
      <c r="T17" s="59">
        <f t="shared" ref="T17:T23" si="3">(O17-N17)/365*12</f>
        <v>11.9671232876712</v>
      </c>
      <c r="U17" s="52">
        <v>1500</v>
      </c>
      <c r="V17" s="59">
        <v>750</v>
      </c>
      <c r="W17" s="52"/>
      <c r="X17" s="52"/>
      <c r="Y17" s="52"/>
      <c r="Z17" s="42"/>
      <c r="AA17" s="42"/>
      <c r="AB17" s="42"/>
      <c r="AC17" s="4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60" t="s">
        <v>73</v>
      </c>
      <c r="AP17" s="52">
        <v>13710266127</v>
      </c>
      <c r="AQ17" s="52"/>
    </row>
    <row r="18" s="1" customFormat="1" ht="20.15" customHeight="1" spans="1:43">
      <c r="A18" s="42">
        <f t="shared" si="0"/>
        <v>14</v>
      </c>
      <c r="B18" s="42" t="s">
        <v>44</v>
      </c>
      <c r="C18" s="42">
        <v>1013</v>
      </c>
      <c r="D18" s="43"/>
      <c r="E18" s="44">
        <v>27.15</v>
      </c>
      <c r="F18" s="42"/>
      <c r="G18" s="42">
        <v>3812</v>
      </c>
      <c r="H18" s="42">
        <v>500</v>
      </c>
      <c r="I18" s="42" t="s">
        <v>75</v>
      </c>
      <c r="J18" s="42"/>
      <c r="K18" s="42">
        <v>1013</v>
      </c>
      <c r="L18" s="42" t="s">
        <v>11</v>
      </c>
      <c r="M18" s="46">
        <v>45760</v>
      </c>
      <c r="N18" s="46">
        <v>45767</v>
      </c>
      <c r="O18" s="46">
        <v>46131</v>
      </c>
      <c r="P18" s="46">
        <v>45767</v>
      </c>
      <c r="Q18" s="47">
        <v>1200</v>
      </c>
      <c r="R18" s="47"/>
      <c r="S18" s="47">
        <f t="shared" si="1"/>
        <v>1200</v>
      </c>
      <c r="T18" s="47">
        <f t="shared" si="3"/>
        <v>11.9671232876712</v>
      </c>
      <c r="U18" s="42">
        <v>3600</v>
      </c>
      <c r="V18" s="42">
        <v>1200</v>
      </c>
      <c r="W18" s="42"/>
      <c r="X18" s="42"/>
      <c r="Y18" s="42"/>
      <c r="Z18" s="52"/>
      <c r="AA18" s="52"/>
      <c r="AB18" s="52"/>
      <c r="AC18" s="5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8" t="s">
        <v>76</v>
      </c>
      <c r="AP18" s="42">
        <v>1362221127</v>
      </c>
      <c r="AQ18" s="42"/>
    </row>
    <row r="19" s="1" customFormat="1" ht="20.15" customHeight="1" spans="1:43">
      <c r="A19" s="42">
        <f t="shared" si="0"/>
        <v>15</v>
      </c>
      <c r="B19" s="42" t="s">
        <v>44</v>
      </c>
      <c r="C19" s="42">
        <v>1014</v>
      </c>
      <c r="D19" s="44"/>
      <c r="E19" s="44">
        <v>27.15</v>
      </c>
      <c r="F19" s="42"/>
      <c r="G19" s="42">
        <v>3630</v>
      </c>
      <c r="H19" s="42">
        <v>500</v>
      </c>
      <c r="I19" s="42" t="s">
        <v>77</v>
      </c>
      <c r="J19" s="45"/>
      <c r="K19" s="45" t="s">
        <v>78</v>
      </c>
      <c r="L19" s="42" t="s">
        <v>11</v>
      </c>
      <c r="M19" s="46">
        <v>45776</v>
      </c>
      <c r="N19" s="46">
        <v>45757</v>
      </c>
      <c r="O19" s="46">
        <v>46121</v>
      </c>
      <c r="P19" s="46">
        <v>45757</v>
      </c>
      <c r="Q19" s="47">
        <v>1500</v>
      </c>
      <c r="R19" s="47"/>
      <c r="S19" s="47">
        <f t="shared" si="1"/>
        <v>1500</v>
      </c>
      <c r="T19" s="47">
        <v>11.9671232876712</v>
      </c>
      <c r="U19" s="42">
        <v>10000</v>
      </c>
      <c r="V19" s="42">
        <v>1500</v>
      </c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55"/>
      <c r="AO19" s="45" t="s">
        <v>79</v>
      </c>
      <c r="AP19" s="42">
        <v>13229922125</v>
      </c>
    </row>
    <row r="20" s="2" customFormat="1" ht="20.15" customHeight="1" spans="1:43">
      <c r="A20" s="52">
        <f t="shared" si="0"/>
        <v>16</v>
      </c>
      <c r="B20" s="52" t="s">
        <v>44</v>
      </c>
      <c r="C20" s="52">
        <v>1015</v>
      </c>
      <c r="D20" s="56"/>
      <c r="E20" s="57">
        <v>27.15</v>
      </c>
      <c r="F20" s="52"/>
      <c r="G20" s="52">
        <v>3000</v>
      </c>
      <c r="H20" s="52">
        <v>500</v>
      </c>
      <c r="I20" s="52" t="s">
        <v>80</v>
      </c>
      <c r="J20" s="52"/>
      <c r="K20" s="61" t="s">
        <v>81</v>
      </c>
      <c r="L20" s="52" t="s">
        <v>11</v>
      </c>
      <c r="M20" s="58">
        <v>45960</v>
      </c>
      <c r="N20" s="58">
        <v>45945</v>
      </c>
      <c r="O20" s="58">
        <v>46309</v>
      </c>
      <c r="P20" s="58">
        <v>45945</v>
      </c>
      <c r="Q20" s="59">
        <v>1200</v>
      </c>
      <c r="R20" s="59"/>
      <c r="S20" s="59">
        <f t="shared" si="1"/>
        <v>1200</v>
      </c>
      <c r="T20" s="59">
        <f t="shared" si="3"/>
        <v>11.9671232876712</v>
      </c>
      <c r="U20" s="52">
        <v>3600</v>
      </c>
      <c r="V20" s="52">
        <v>1200</v>
      </c>
      <c r="W20" s="52"/>
      <c r="X20" s="52"/>
      <c r="Y20" s="52"/>
      <c r="Z20" s="42"/>
      <c r="AA20" s="42"/>
      <c r="AB20" s="42"/>
      <c r="AC20" s="42"/>
      <c r="AD20" s="52"/>
      <c r="AE20" s="52" t="s">
        <v>48</v>
      </c>
      <c r="AF20" s="52"/>
      <c r="AG20" s="52" t="s">
        <v>48</v>
      </c>
      <c r="AH20" s="52" t="s">
        <v>48</v>
      </c>
      <c r="AI20" s="52"/>
      <c r="AJ20" s="52"/>
      <c r="AK20" s="52"/>
      <c r="AL20" s="52" t="s">
        <v>48</v>
      </c>
      <c r="AM20" s="52"/>
      <c r="AN20" s="52"/>
      <c r="AO20" s="60" t="s">
        <v>82</v>
      </c>
      <c r="AP20" s="52">
        <v>18665557782</v>
      </c>
      <c r="AQ20" s="52"/>
    </row>
    <row r="21" s="1" customFormat="1" ht="20.15" customHeight="1" spans="1:43">
      <c r="A21" s="42">
        <f t="shared" si="0"/>
        <v>17</v>
      </c>
      <c r="B21" s="42" t="s">
        <v>44</v>
      </c>
      <c r="C21" s="42">
        <v>1016</v>
      </c>
      <c r="D21" s="43"/>
      <c r="E21" s="44">
        <v>27.15</v>
      </c>
      <c r="F21" s="42"/>
      <c r="G21" s="42">
        <v>3812</v>
      </c>
      <c r="H21" s="42">
        <v>500</v>
      </c>
      <c r="I21" s="42" t="s">
        <v>83</v>
      </c>
      <c r="J21" s="42"/>
      <c r="K21" s="42" t="s">
        <v>84</v>
      </c>
      <c r="L21" s="42" t="s">
        <v>11</v>
      </c>
      <c r="M21" s="46">
        <v>45818</v>
      </c>
      <c r="N21" s="46">
        <v>45818</v>
      </c>
      <c r="O21" s="46">
        <v>46182</v>
      </c>
      <c r="P21" s="46">
        <v>45818</v>
      </c>
      <c r="Q21" s="47">
        <v>2800</v>
      </c>
      <c r="R21" s="47"/>
      <c r="S21" s="47">
        <f t="shared" si="1"/>
        <v>2800</v>
      </c>
      <c r="T21" s="47">
        <f t="shared" si="3"/>
        <v>11.9671232876712</v>
      </c>
      <c r="U21" s="42">
        <v>10000</v>
      </c>
      <c r="V21" s="42">
        <v>2800</v>
      </c>
      <c r="W21" s="42">
        <v>200</v>
      </c>
      <c r="X21" s="42"/>
      <c r="Y21" s="42"/>
      <c r="Z21" s="54"/>
      <c r="AA21" s="54"/>
      <c r="AB21" s="54"/>
      <c r="AC21" s="54"/>
      <c r="AD21" s="42"/>
      <c r="AE21" s="42" t="s">
        <v>48</v>
      </c>
      <c r="AF21" s="42" t="s">
        <v>48</v>
      </c>
      <c r="AG21" s="42" t="s">
        <v>48</v>
      </c>
      <c r="AH21" s="42" t="s">
        <v>48</v>
      </c>
      <c r="AI21" s="42" t="s">
        <v>48</v>
      </c>
      <c r="AJ21" s="42" t="s">
        <v>48</v>
      </c>
      <c r="AK21" s="42" t="s">
        <v>48</v>
      </c>
      <c r="AL21" s="42" t="s">
        <v>48</v>
      </c>
      <c r="AM21" s="42" t="s">
        <v>48</v>
      </c>
      <c r="AN21" s="42" t="s">
        <v>48</v>
      </c>
      <c r="AO21" s="48" t="s">
        <v>85</v>
      </c>
      <c r="AP21" s="48" t="s">
        <v>86</v>
      </c>
      <c r="AQ21" s="42"/>
    </row>
    <row r="22" s="1" customFormat="1" ht="20.15" customHeight="1" spans="1:43">
      <c r="A22" s="42">
        <f t="shared" si="0"/>
        <v>18</v>
      </c>
      <c r="B22" s="42" t="s">
        <v>44</v>
      </c>
      <c r="C22" s="42">
        <v>1017</v>
      </c>
      <c r="D22" s="43"/>
      <c r="E22" s="44">
        <v>27.5</v>
      </c>
      <c r="F22" s="42"/>
      <c r="G22" s="42">
        <v>3812</v>
      </c>
      <c r="H22" s="42">
        <v>500</v>
      </c>
      <c r="I22" s="42" t="s">
        <v>83</v>
      </c>
      <c r="J22" s="42"/>
      <c r="K22" s="42" t="s">
        <v>84</v>
      </c>
      <c r="L22" s="42" t="s">
        <v>11</v>
      </c>
      <c r="M22" s="46">
        <v>45818</v>
      </c>
      <c r="N22" s="46">
        <v>45818</v>
      </c>
      <c r="O22" s="46">
        <v>46182</v>
      </c>
      <c r="P22" s="46">
        <v>45818</v>
      </c>
      <c r="Q22" s="47"/>
      <c r="R22" s="47"/>
      <c r="S22" s="47">
        <f t="shared" si="1"/>
        <v>0</v>
      </c>
      <c r="T22" s="47">
        <f t="shared" si="3"/>
        <v>11.9671232876712</v>
      </c>
      <c r="U22" s="42"/>
      <c r="V22" s="42"/>
      <c r="W22" s="42"/>
      <c r="X22" s="42"/>
      <c r="Y22" s="42"/>
      <c r="Z22" s="54"/>
      <c r="AA22" s="54"/>
      <c r="AB22" s="54"/>
      <c r="AC22" s="54"/>
      <c r="AD22" s="42"/>
      <c r="AE22" s="42" t="s">
        <v>48</v>
      </c>
      <c r="AF22" s="42" t="s">
        <v>48</v>
      </c>
      <c r="AG22" s="42" t="s">
        <v>48</v>
      </c>
      <c r="AH22" s="42" t="s">
        <v>48</v>
      </c>
      <c r="AI22" s="42" t="s">
        <v>48</v>
      </c>
      <c r="AJ22" s="42" t="s">
        <v>48</v>
      </c>
      <c r="AK22" s="42" t="s">
        <v>48</v>
      </c>
      <c r="AL22" s="42" t="s">
        <v>48</v>
      </c>
      <c r="AM22" s="42" t="s">
        <v>48</v>
      </c>
      <c r="AN22" s="42" t="s">
        <v>48</v>
      </c>
      <c r="AO22" s="48" t="s">
        <v>85</v>
      </c>
      <c r="AP22" s="48" t="s">
        <v>86</v>
      </c>
      <c r="AQ22" s="42"/>
    </row>
    <row r="23" s="1" customFormat="1" ht="20.15" customHeight="1" spans="1:43">
      <c r="A23" s="42">
        <f t="shared" si="0"/>
        <v>19</v>
      </c>
      <c r="B23" s="42" t="s">
        <v>44</v>
      </c>
      <c r="C23" s="42">
        <v>1018</v>
      </c>
      <c r="D23" s="43"/>
      <c r="E23" s="44">
        <v>27.5</v>
      </c>
      <c r="F23" s="42"/>
      <c r="G23" s="42">
        <v>3812</v>
      </c>
      <c r="H23" s="42">
        <v>500</v>
      </c>
      <c r="I23" s="42" t="s">
        <v>87</v>
      </c>
      <c r="J23" s="42"/>
      <c r="K23" s="45" t="s">
        <v>88</v>
      </c>
      <c r="L23" s="42" t="s">
        <v>11</v>
      </c>
      <c r="M23" s="46">
        <v>45629</v>
      </c>
      <c r="N23" s="46">
        <v>45748</v>
      </c>
      <c r="O23" s="46">
        <v>46112</v>
      </c>
      <c r="P23" s="46">
        <v>45748</v>
      </c>
      <c r="Q23" s="47">
        <v>2000</v>
      </c>
      <c r="R23" s="47"/>
      <c r="S23" s="47">
        <f t="shared" si="1"/>
        <v>2000</v>
      </c>
      <c r="T23" s="47">
        <f t="shared" si="3"/>
        <v>11.9671232876712</v>
      </c>
      <c r="U23" s="42">
        <v>10000</v>
      </c>
      <c r="V23" s="42">
        <v>2000</v>
      </c>
      <c r="W23" s="42"/>
      <c r="X23" s="42"/>
      <c r="Y23" s="42"/>
      <c r="Z23" s="42"/>
      <c r="AA23" s="42"/>
      <c r="AB23" s="42"/>
      <c r="AC23" s="42"/>
      <c r="AD23" s="42"/>
      <c r="AE23" s="42" t="s">
        <v>48</v>
      </c>
      <c r="AF23" s="42" t="s">
        <v>48</v>
      </c>
      <c r="AG23" s="42" t="s">
        <v>48</v>
      </c>
      <c r="AH23" s="42" t="s">
        <v>48</v>
      </c>
      <c r="AI23" s="42"/>
      <c r="AJ23" s="42"/>
      <c r="AK23" s="42"/>
      <c r="AL23" s="42" t="s">
        <v>48</v>
      </c>
      <c r="AM23" s="42"/>
      <c r="AN23" s="42"/>
      <c r="AO23" s="48" t="s">
        <v>89</v>
      </c>
      <c r="AP23" s="42">
        <v>13710787553</v>
      </c>
      <c r="AQ23" s="42"/>
    </row>
    <row r="24" s="1" customFormat="1" ht="20.15" customHeight="1" spans="1:43">
      <c r="A24" s="42">
        <f t="shared" si="0"/>
        <v>20</v>
      </c>
      <c r="B24" s="42" t="s">
        <v>44</v>
      </c>
      <c r="C24" s="42">
        <v>1019</v>
      </c>
      <c r="D24" s="44"/>
      <c r="E24" s="44">
        <v>27.15</v>
      </c>
      <c r="F24" s="42"/>
      <c r="G24" s="42">
        <v>3000</v>
      </c>
      <c r="H24" s="42">
        <v>500</v>
      </c>
      <c r="I24" s="42" t="s">
        <v>69</v>
      </c>
      <c r="J24" s="45"/>
      <c r="K24" s="45" t="s">
        <v>90</v>
      </c>
      <c r="L24" s="42" t="s">
        <v>11</v>
      </c>
      <c r="M24" s="46">
        <v>45604</v>
      </c>
      <c r="N24" s="46">
        <v>45717</v>
      </c>
      <c r="O24" s="46">
        <v>46081</v>
      </c>
      <c r="P24" s="46">
        <v>45717</v>
      </c>
      <c r="Q24" s="47">
        <v>1200</v>
      </c>
      <c r="R24" s="47"/>
      <c r="S24" s="47">
        <f t="shared" si="1"/>
        <v>1200</v>
      </c>
      <c r="T24" s="47">
        <v>12</v>
      </c>
      <c r="U24" s="42">
        <v>3600</v>
      </c>
      <c r="V24" s="42">
        <v>1200</v>
      </c>
      <c r="W24" s="42"/>
      <c r="X24" s="42"/>
      <c r="Y24" s="42"/>
      <c r="Z24" s="42"/>
      <c r="AA24" s="42"/>
      <c r="AB24" s="42"/>
      <c r="AC24" s="42"/>
      <c r="AD24" s="42"/>
      <c r="AE24" s="42" t="s">
        <v>48</v>
      </c>
      <c r="AF24" s="42"/>
      <c r="AG24" s="42" t="s">
        <v>48</v>
      </c>
      <c r="AH24" s="42" t="s">
        <v>48</v>
      </c>
      <c r="AI24" s="42"/>
      <c r="AJ24" s="42"/>
      <c r="AK24" s="42"/>
      <c r="AL24" s="42" t="s">
        <v>48</v>
      </c>
      <c r="AM24" s="42"/>
      <c r="AN24" s="55"/>
      <c r="AO24" s="45" t="s">
        <v>70</v>
      </c>
      <c r="AP24" s="42">
        <v>13590554409</v>
      </c>
    </row>
    <row r="25" s="1" customFormat="1" ht="20.15" customHeight="1" spans="1:43">
      <c r="A25" s="42">
        <f t="shared" si="0"/>
        <v>21</v>
      </c>
      <c r="B25" s="42" t="s">
        <v>44</v>
      </c>
      <c r="C25" s="42">
        <v>1020</v>
      </c>
      <c r="D25" s="43"/>
      <c r="E25" s="44">
        <v>27.15</v>
      </c>
      <c r="F25" s="42"/>
      <c r="G25" s="42">
        <v>3812</v>
      </c>
      <c r="H25" s="42">
        <v>500</v>
      </c>
      <c r="I25" s="42" t="s">
        <v>91</v>
      </c>
      <c r="J25" s="42"/>
      <c r="K25" s="42">
        <v>1020</v>
      </c>
      <c r="L25" s="42" t="s">
        <v>11</v>
      </c>
      <c r="M25" s="46">
        <v>45602</v>
      </c>
      <c r="N25" s="46">
        <v>45748</v>
      </c>
      <c r="O25" s="46">
        <v>46112</v>
      </c>
      <c r="P25" s="46">
        <v>45748</v>
      </c>
      <c r="Q25" s="47">
        <v>1200</v>
      </c>
      <c r="R25" s="47"/>
      <c r="S25" s="47">
        <f t="shared" si="1"/>
        <v>1200</v>
      </c>
      <c r="T25" s="47">
        <f t="shared" ref="T25:T27" si="4">(O25-N25)/365*12</f>
        <v>11.9671232876712</v>
      </c>
      <c r="U25" s="42">
        <v>3600</v>
      </c>
      <c r="V25" s="42">
        <v>1200</v>
      </c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8" t="s">
        <v>92</v>
      </c>
      <c r="AP25" s="42">
        <v>15845634447</v>
      </c>
      <c r="AQ25" s="42"/>
    </row>
    <row r="26" s="1" customFormat="1" ht="20.15" customHeight="1" spans="1:43">
      <c r="A26" s="42">
        <f t="shared" si="0"/>
        <v>22</v>
      </c>
      <c r="B26" s="42" t="s">
        <v>44</v>
      </c>
      <c r="C26" s="42">
        <v>1021</v>
      </c>
      <c r="D26" s="43"/>
      <c r="E26" s="44">
        <v>27.15</v>
      </c>
      <c r="F26" s="42"/>
      <c r="G26" s="42">
        <v>3812</v>
      </c>
      <c r="H26" s="42">
        <v>500</v>
      </c>
      <c r="I26" s="42" t="s">
        <v>93</v>
      </c>
      <c r="J26" s="42"/>
      <c r="K26" s="42">
        <v>1021</v>
      </c>
      <c r="L26" s="42" t="s">
        <v>11</v>
      </c>
      <c r="M26" s="46">
        <v>45766</v>
      </c>
      <c r="N26" s="46">
        <v>45767</v>
      </c>
      <c r="O26" s="46">
        <v>46131</v>
      </c>
      <c r="P26" s="46">
        <v>45767</v>
      </c>
      <c r="Q26" s="47">
        <v>1200</v>
      </c>
      <c r="R26" s="47"/>
      <c r="S26" s="47">
        <f t="shared" si="1"/>
        <v>1200</v>
      </c>
      <c r="T26" s="47">
        <f t="shared" si="4"/>
        <v>11.9671232876712</v>
      </c>
      <c r="U26" s="42">
        <v>3600</v>
      </c>
      <c r="V26" s="42">
        <v>1200</v>
      </c>
      <c r="W26" s="42">
        <v>200</v>
      </c>
      <c r="X26" s="42"/>
      <c r="Y26" s="42"/>
      <c r="Z26" s="54"/>
      <c r="AA26" s="54"/>
      <c r="AB26" s="54"/>
      <c r="AC26" s="54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8" t="s">
        <v>94</v>
      </c>
      <c r="AP26" s="42">
        <v>13827115026</v>
      </c>
      <c r="AQ26" s="42"/>
    </row>
    <row r="27" s="1" customFormat="1" ht="20.15" customHeight="1" spans="1:43">
      <c r="A27" s="42">
        <f t="shared" si="0"/>
        <v>23</v>
      </c>
      <c r="B27" s="42" t="s">
        <v>44</v>
      </c>
      <c r="C27" s="42">
        <v>1022</v>
      </c>
      <c r="D27" s="43"/>
      <c r="E27" s="44">
        <v>56.26</v>
      </c>
      <c r="F27" s="42"/>
      <c r="G27" s="42"/>
      <c r="H27" s="42"/>
      <c r="I27" s="42" t="s">
        <v>95</v>
      </c>
      <c r="J27" s="42"/>
      <c r="K27" s="45" t="s">
        <v>96</v>
      </c>
      <c r="L27" s="42" t="s">
        <v>11</v>
      </c>
      <c r="M27" s="46">
        <v>45444</v>
      </c>
      <c r="N27" s="46">
        <v>45444</v>
      </c>
      <c r="O27" s="46">
        <v>45808</v>
      </c>
      <c r="P27" s="46">
        <v>45444</v>
      </c>
      <c r="Q27" s="47">
        <v>2200</v>
      </c>
      <c r="R27" s="47"/>
      <c r="S27" s="47">
        <f t="shared" si="1"/>
        <v>2200</v>
      </c>
      <c r="T27" s="47">
        <f t="shared" si="4"/>
        <v>11.9671232876712</v>
      </c>
      <c r="U27" s="42">
        <v>5000</v>
      </c>
      <c r="V27" s="42">
        <v>2200</v>
      </c>
      <c r="W27" s="42"/>
      <c r="X27" s="42"/>
      <c r="Y27" s="42"/>
      <c r="Z27" s="42"/>
      <c r="AA27" s="42"/>
      <c r="AB27" s="42"/>
      <c r="AC27" s="42"/>
      <c r="AD27" s="42"/>
      <c r="AE27" s="42" t="s">
        <v>48</v>
      </c>
      <c r="AF27" s="42" t="s">
        <v>48</v>
      </c>
      <c r="AG27" s="42"/>
      <c r="AH27" s="42"/>
      <c r="AI27" s="42"/>
      <c r="AJ27" s="42"/>
      <c r="AK27" s="42" t="s">
        <v>48</v>
      </c>
      <c r="AL27" s="42" t="s">
        <v>48</v>
      </c>
      <c r="AM27" s="42" t="s">
        <v>48</v>
      </c>
      <c r="AN27" s="42" t="s">
        <v>48</v>
      </c>
      <c r="AO27" s="48" t="s">
        <v>97</v>
      </c>
      <c r="AP27" s="42">
        <v>15899970732</v>
      </c>
      <c r="AQ27" s="42"/>
    </row>
    <row r="28" s="1" customFormat="1" ht="20.15" customHeight="1" spans="1:43">
      <c r="A28" s="42">
        <f t="shared" si="0"/>
        <v>24</v>
      </c>
      <c r="B28" s="42" t="s">
        <v>44</v>
      </c>
      <c r="C28" s="42">
        <v>1023</v>
      </c>
      <c r="D28" s="43"/>
      <c r="E28" s="44">
        <v>31.79</v>
      </c>
      <c r="F28" s="42"/>
      <c r="G28" s="42">
        <v>3268</v>
      </c>
      <c r="H28" s="42">
        <v>500</v>
      </c>
      <c r="I28" s="42" t="s">
        <v>98</v>
      </c>
      <c r="J28" s="42"/>
      <c r="K28" s="45" t="s">
        <v>99</v>
      </c>
      <c r="L28" s="42"/>
      <c r="M28" s="46">
        <v>45615</v>
      </c>
      <c r="N28" s="46">
        <v>45717</v>
      </c>
      <c r="O28" s="46">
        <v>46081</v>
      </c>
      <c r="P28" s="46">
        <v>45717</v>
      </c>
      <c r="Q28" s="47">
        <v>600</v>
      </c>
      <c r="R28" s="47"/>
      <c r="S28" s="47">
        <f t="shared" si="1"/>
        <v>600</v>
      </c>
      <c r="T28" s="47">
        <v>12</v>
      </c>
      <c r="U28" s="42">
        <v>2000</v>
      </c>
      <c r="V28" s="42">
        <v>600</v>
      </c>
      <c r="W28" s="42">
        <v>0</v>
      </c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8" t="s">
        <v>100</v>
      </c>
      <c r="AP28" s="42">
        <v>13557456828</v>
      </c>
      <c r="AQ28" s="42"/>
    </row>
    <row r="29" s="3" customFormat="1" ht="20.15" customHeight="1" spans="1:43">
      <c r="A29" s="62">
        <f t="shared" si="0"/>
        <v>25</v>
      </c>
      <c r="B29" s="62" t="s">
        <v>44</v>
      </c>
      <c r="C29" s="62">
        <v>1024</v>
      </c>
      <c r="D29" s="43"/>
      <c r="E29" s="44">
        <v>43.89</v>
      </c>
      <c r="F29" s="42"/>
      <c r="G29" s="42"/>
      <c r="H29" s="42"/>
      <c r="I29" s="62" t="s">
        <v>101</v>
      </c>
      <c r="J29" s="42"/>
      <c r="K29" s="45" t="s">
        <v>102</v>
      </c>
      <c r="L29" s="42" t="s">
        <v>11</v>
      </c>
      <c r="M29" s="63">
        <v>45956</v>
      </c>
      <c r="N29" s="63">
        <v>45809</v>
      </c>
      <c r="O29" s="63">
        <v>46173</v>
      </c>
      <c r="P29" s="63">
        <v>45809</v>
      </c>
      <c r="Q29" s="64">
        <v>1448</v>
      </c>
      <c r="R29" s="64"/>
      <c r="S29" s="64">
        <f t="shared" si="1"/>
        <v>1448</v>
      </c>
      <c r="T29" s="64">
        <f t="shared" ref="T29:T75" si="5">(O29-N29)/365*12</f>
        <v>11.9671232876712</v>
      </c>
      <c r="U29" s="62">
        <v>2000</v>
      </c>
      <c r="V29" s="62">
        <v>1448</v>
      </c>
      <c r="W29" s="62"/>
      <c r="X29" s="62" t="s">
        <v>103</v>
      </c>
      <c r="Y29" s="62"/>
      <c r="Z29" s="42"/>
      <c r="AA29" s="42"/>
      <c r="AB29" s="42"/>
      <c r="AC29" s="42"/>
      <c r="AD29" s="62"/>
      <c r="AE29" s="62"/>
      <c r="AF29" s="62" t="s">
        <v>104</v>
      </c>
      <c r="AG29" s="62" t="s">
        <v>104</v>
      </c>
      <c r="AH29" s="62" t="s">
        <v>104</v>
      </c>
      <c r="AI29" s="62"/>
      <c r="AJ29" s="62"/>
      <c r="AK29" s="62"/>
      <c r="AL29" s="62"/>
      <c r="AM29" s="62"/>
      <c r="AN29" s="62"/>
      <c r="AO29" s="65" t="s">
        <v>105</v>
      </c>
      <c r="AP29" s="62">
        <v>13927790345</v>
      </c>
      <c r="AQ29" s="62"/>
    </row>
    <row r="30" s="1" customFormat="1" ht="20.15" customHeight="1" spans="1:43">
      <c r="A30" s="42">
        <f t="shared" si="0"/>
        <v>26</v>
      </c>
      <c r="B30" s="42" t="s">
        <v>44</v>
      </c>
      <c r="C30" s="42">
        <v>1025</v>
      </c>
      <c r="D30" s="43"/>
      <c r="E30" s="44">
        <v>27.15</v>
      </c>
      <c r="F30" s="42"/>
      <c r="G30" s="42">
        <v>3812</v>
      </c>
      <c r="H30" s="42">
        <v>500</v>
      </c>
      <c r="I30" s="42" t="s">
        <v>106</v>
      </c>
      <c r="J30" s="42"/>
      <c r="K30" s="45" t="s">
        <v>107</v>
      </c>
      <c r="L30" s="42" t="s">
        <v>11</v>
      </c>
      <c r="M30" s="46">
        <v>45601</v>
      </c>
      <c r="N30" s="46">
        <v>45748</v>
      </c>
      <c r="O30" s="46">
        <v>46112</v>
      </c>
      <c r="P30" s="46">
        <v>45748</v>
      </c>
      <c r="Q30" s="47">
        <v>4200</v>
      </c>
      <c r="R30" s="47"/>
      <c r="S30" s="47">
        <f t="shared" si="1"/>
        <v>4200</v>
      </c>
      <c r="T30" s="47">
        <f t="shared" si="5"/>
        <v>11.9671232876712</v>
      </c>
      <c r="U30" s="42">
        <v>10000</v>
      </c>
      <c r="V30" s="42">
        <v>4200</v>
      </c>
      <c r="W30" s="42">
        <v>500</v>
      </c>
      <c r="X30" s="42"/>
      <c r="Y30" s="42"/>
      <c r="Z30" s="49"/>
      <c r="AA30" s="42"/>
      <c r="AB30" s="49"/>
      <c r="AC30" s="42"/>
      <c r="AD30" s="42"/>
      <c r="AE30" s="42" t="s">
        <v>48</v>
      </c>
      <c r="AF30" s="42" t="s">
        <v>48</v>
      </c>
      <c r="AG30" s="42" t="s">
        <v>48</v>
      </c>
      <c r="AH30" s="42" t="s">
        <v>48</v>
      </c>
      <c r="AI30" s="42"/>
      <c r="AJ30" s="42"/>
      <c r="AK30" s="42"/>
      <c r="AL30" s="42" t="s">
        <v>48</v>
      </c>
      <c r="AM30" s="42"/>
      <c r="AN30" s="42"/>
      <c r="AO30" s="48" t="s">
        <v>108</v>
      </c>
      <c r="AP30" s="42">
        <v>18578669686</v>
      </c>
      <c r="AQ30" s="42"/>
    </row>
    <row r="31" s="1" customFormat="1" ht="20.15" customHeight="1" spans="1:43">
      <c r="A31" s="42">
        <f t="shared" si="0"/>
        <v>27</v>
      </c>
      <c r="B31" s="42" t="s">
        <v>44</v>
      </c>
      <c r="C31" s="42" t="s">
        <v>109</v>
      </c>
      <c r="D31" s="43"/>
      <c r="E31" s="44">
        <v>26.45</v>
      </c>
      <c r="F31" s="42"/>
      <c r="G31" s="42">
        <v>3812</v>
      </c>
      <c r="H31" s="42">
        <v>500</v>
      </c>
      <c r="I31" s="42" t="s">
        <v>53</v>
      </c>
      <c r="J31" s="42"/>
      <c r="K31" s="45" t="s">
        <v>109</v>
      </c>
      <c r="L31" s="42" t="s">
        <v>11</v>
      </c>
      <c r="M31" s="46">
        <v>45632</v>
      </c>
      <c r="N31" s="46">
        <v>45717</v>
      </c>
      <c r="O31" s="46">
        <v>46081</v>
      </c>
      <c r="P31" s="46">
        <v>45717</v>
      </c>
      <c r="Q31" s="47">
        <v>2206</v>
      </c>
      <c r="R31" s="47"/>
      <c r="S31" s="47">
        <f t="shared" si="1"/>
        <v>2206</v>
      </c>
      <c r="T31" s="47">
        <f t="shared" si="5"/>
        <v>11.9671232876712</v>
      </c>
      <c r="U31" s="42">
        <v>10000</v>
      </c>
      <c r="V31" s="42">
        <v>2206</v>
      </c>
      <c r="W31" s="42">
        <v>250</v>
      </c>
      <c r="X31" s="42"/>
      <c r="Y31" s="42"/>
      <c r="Z31" s="49"/>
      <c r="AA31" s="42"/>
      <c r="AB31" s="49"/>
      <c r="AC31" s="42"/>
      <c r="AD31" s="42"/>
      <c r="AE31" s="42" t="s">
        <v>48</v>
      </c>
      <c r="AF31" s="42"/>
      <c r="AG31" s="42" t="s">
        <v>48</v>
      </c>
      <c r="AH31" s="42" t="s">
        <v>48</v>
      </c>
      <c r="AI31" s="42"/>
      <c r="AJ31" s="42"/>
      <c r="AK31" s="42"/>
      <c r="AL31" s="42" t="s">
        <v>48</v>
      </c>
      <c r="AM31" s="42"/>
      <c r="AN31" s="42"/>
      <c r="AO31" s="48" t="s">
        <v>54</v>
      </c>
      <c r="AP31" s="42">
        <v>13660380227</v>
      </c>
      <c r="AQ31" s="42"/>
    </row>
    <row r="32" s="1" customFormat="1" ht="20.15" customHeight="1" spans="1:43">
      <c r="A32" s="42">
        <f t="shared" si="0"/>
        <v>28</v>
      </c>
      <c r="B32" s="42" t="s">
        <v>44</v>
      </c>
      <c r="C32" s="42">
        <v>1026</v>
      </c>
      <c r="D32" s="43"/>
      <c r="E32" s="44">
        <v>27.15</v>
      </c>
      <c r="F32" s="42"/>
      <c r="G32" s="42">
        <v>3812</v>
      </c>
      <c r="H32" s="42">
        <v>500</v>
      </c>
      <c r="I32" s="42" t="s">
        <v>110</v>
      </c>
      <c r="J32" s="42"/>
      <c r="K32" s="45" t="s">
        <v>111</v>
      </c>
      <c r="L32" s="42" t="s">
        <v>11</v>
      </c>
      <c r="M32" s="46">
        <v>45616</v>
      </c>
      <c r="N32" s="46">
        <v>45717</v>
      </c>
      <c r="O32" s="46">
        <v>46081</v>
      </c>
      <c r="P32" s="46">
        <v>45717</v>
      </c>
      <c r="Q32" s="47">
        <v>4202</v>
      </c>
      <c r="R32" s="47"/>
      <c r="S32" s="47">
        <f t="shared" si="1"/>
        <v>4202</v>
      </c>
      <c r="T32" s="47">
        <f t="shared" si="5"/>
        <v>11.9671232876712</v>
      </c>
      <c r="U32" s="42">
        <v>10000</v>
      </c>
      <c r="V32" s="42">
        <v>4202</v>
      </c>
      <c r="W32" s="42">
        <v>500</v>
      </c>
      <c r="X32" s="42"/>
      <c r="Y32" s="42"/>
      <c r="Z32" s="49"/>
      <c r="AA32" s="42"/>
      <c r="AB32" s="49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8" t="s">
        <v>112</v>
      </c>
      <c r="AP32" s="42">
        <v>18665016802</v>
      </c>
      <c r="AQ32" s="42"/>
    </row>
    <row r="33" s="1" customFormat="1" ht="20.15" customHeight="1" spans="1:43">
      <c r="A33" s="42">
        <f t="shared" si="0"/>
        <v>29</v>
      </c>
      <c r="B33" s="42" t="s">
        <v>44</v>
      </c>
      <c r="C33" s="42">
        <v>1027</v>
      </c>
      <c r="D33" s="43"/>
      <c r="E33" s="44">
        <v>27.15</v>
      </c>
      <c r="F33" s="42"/>
      <c r="G33" s="42">
        <v>3000</v>
      </c>
      <c r="H33" s="42">
        <v>500</v>
      </c>
      <c r="I33" s="42" t="s">
        <v>113</v>
      </c>
      <c r="J33" s="42"/>
      <c r="K33" s="45" t="s">
        <v>114</v>
      </c>
      <c r="L33" s="42" t="s">
        <v>11</v>
      </c>
      <c r="M33" s="46">
        <v>45622</v>
      </c>
      <c r="N33" s="46">
        <v>45731</v>
      </c>
      <c r="O33" s="46">
        <v>46095</v>
      </c>
      <c r="P33" s="46">
        <v>45731</v>
      </c>
      <c r="Q33" s="47">
        <v>4200</v>
      </c>
      <c r="R33" s="47"/>
      <c r="S33" s="47">
        <f t="shared" si="1"/>
        <v>4200</v>
      </c>
      <c r="T33" s="47">
        <f t="shared" si="5"/>
        <v>11.9671232876712</v>
      </c>
      <c r="U33" s="42">
        <v>10000</v>
      </c>
      <c r="V33" s="42">
        <v>4200</v>
      </c>
      <c r="W33" s="42">
        <v>500</v>
      </c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50" t="s">
        <v>115</v>
      </c>
      <c r="AP33" s="51">
        <v>13531255532</v>
      </c>
      <c r="AQ33" s="42"/>
    </row>
    <row r="34" s="1" customFormat="1" ht="20.15" customHeight="1" spans="1:43">
      <c r="A34" s="42">
        <f t="shared" si="0"/>
        <v>30</v>
      </c>
      <c r="B34" s="42" t="s">
        <v>44</v>
      </c>
      <c r="C34" s="42">
        <v>1028</v>
      </c>
      <c r="D34" s="43"/>
      <c r="E34" s="44">
        <v>27.15</v>
      </c>
      <c r="F34" s="42"/>
      <c r="G34" s="42">
        <v>3812</v>
      </c>
      <c r="H34" s="42">
        <v>500</v>
      </c>
      <c r="I34" s="42" t="s">
        <v>116</v>
      </c>
      <c r="J34" s="42"/>
      <c r="K34" s="45" t="s">
        <v>117</v>
      </c>
      <c r="L34" s="42" t="s">
        <v>11</v>
      </c>
      <c r="M34" s="46">
        <v>45620</v>
      </c>
      <c r="N34" s="46">
        <v>45748</v>
      </c>
      <c r="O34" s="46">
        <v>46112</v>
      </c>
      <c r="P34" s="46">
        <v>45748</v>
      </c>
      <c r="Q34" s="47">
        <v>4200</v>
      </c>
      <c r="R34" s="47"/>
      <c r="S34" s="47">
        <f t="shared" si="1"/>
        <v>4200</v>
      </c>
      <c r="T34" s="47">
        <f t="shared" si="5"/>
        <v>11.9671232876712</v>
      </c>
      <c r="U34" s="42">
        <v>10000</v>
      </c>
      <c r="V34" s="42">
        <v>4200</v>
      </c>
      <c r="W34" s="42">
        <v>500</v>
      </c>
      <c r="X34" s="42"/>
      <c r="Y34" s="42"/>
      <c r="Z34" s="49"/>
      <c r="AA34" s="42"/>
      <c r="AB34" s="49"/>
      <c r="AC34" s="42"/>
      <c r="AD34" s="42"/>
      <c r="AE34" s="42" t="s">
        <v>48</v>
      </c>
      <c r="AF34" s="42"/>
      <c r="AG34" s="42" t="s">
        <v>48</v>
      </c>
      <c r="AH34" s="42" t="s">
        <v>48</v>
      </c>
      <c r="AI34" s="42"/>
      <c r="AJ34" s="42"/>
      <c r="AK34" s="42"/>
      <c r="AL34" s="42" t="s">
        <v>48</v>
      </c>
      <c r="AM34" s="42"/>
      <c r="AN34" s="42"/>
      <c r="AO34" s="48" t="s">
        <v>118</v>
      </c>
      <c r="AP34" s="42">
        <v>15918727626</v>
      </c>
      <c r="AQ34" s="42" t="s">
        <v>52</v>
      </c>
    </row>
    <row r="35" s="1" customFormat="1" ht="20.15" customHeight="1" spans="1:43">
      <c r="A35" s="42">
        <f t="shared" si="0"/>
        <v>31</v>
      </c>
      <c r="B35" s="42" t="s">
        <v>44</v>
      </c>
      <c r="C35" s="42">
        <v>1029</v>
      </c>
      <c r="D35" s="43"/>
      <c r="E35" s="44">
        <v>27.15</v>
      </c>
      <c r="F35" s="42"/>
      <c r="G35" s="42">
        <v>3812</v>
      </c>
      <c r="H35" s="42">
        <v>500</v>
      </c>
      <c r="I35" s="42" t="s">
        <v>119</v>
      </c>
      <c r="J35" s="42"/>
      <c r="K35" s="45" t="s">
        <v>120</v>
      </c>
      <c r="L35" s="42" t="s">
        <v>11</v>
      </c>
      <c r="M35" s="46">
        <v>45618</v>
      </c>
      <c r="N35" s="46">
        <v>45748</v>
      </c>
      <c r="O35" s="46">
        <v>46112</v>
      </c>
      <c r="P35" s="46">
        <v>45748</v>
      </c>
      <c r="Q35" s="47">
        <v>4200</v>
      </c>
      <c r="R35" s="47"/>
      <c r="S35" s="47">
        <f t="shared" si="1"/>
        <v>4200</v>
      </c>
      <c r="T35" s="47">
        <f t="shared" si="5"/>
        <v>11.9671232876712</v>
      </c>
      <c r="U35" s="42">
        <v>10000</v>
      </c>
      <c r="V35" s="42">
        <v>4200</v>
      </c>
      <c r="W35" s="42">
        <v>500</v>
      </c>
      <c r="X35" s="42"/>
      <c r="Y35" s="42"/>
      <c r="Z35" s="49"/>
      <c r="AA35" s="42"/>
      <c r="AB35" s="49"/>
      <c r="AC35" s="42"/>
      <c r="AD35" s="42"/>
      <c r="AE35" s="42" t="s">
        <v>48</v>
      </c>
      <c r="AF35" s="42"/>
      <c r="AG35" s="42" t="s">
        <v>48</v>
      </c>
      <c r="AH35" s="42" t="s">
        <v>48</v>
      </c>
      <c r="AI35" s="42"/>
      <c r="AJ35" s="42"/>
      <c r="AK35" s="42"/>
      <c r="AL35" s="42" t="s">
        <v>48</v>
      </c>
      <c r="AM35" s="42"/>
      <c r="AN35" s="42"/>
      <c r="AO35" s="48" t="s">
        <v>121</v>
      </c>
      <c r="AP35" s="42">
        <v>13501489512</v>
      </c>
      <c r="AQ35" s="42" t="s">
        <v>52</v>
      </c>
    </row>
    <row r="36" s="2" customFormat="1" ht="20.15" customHeight="1" spans="1:43">
      <c r="A36" s="52">
        <f t="shared" si="0"/>
        <v>32</v>
      </c>
      <c r="B36" s="52" t="s">
        <v>44</v>
      </c>
      <c r="C36" s="52">
        <v>1030</v>
      </c>
      <c r="D36" s="56"/>
      <c r="E36" s="57">
        <v>27.15</v>
      </c>
      <c r="F36" s="52"/>
      <c r="G36" s="52">
        <v>4200</v>
      </c>
      <c r="H36" s="52">
        <v>500</v>
      </c>
      <c r="I36" s="52" t="s">
        <v>122</v>
      </c>
      <c r="J36" s="52"/>
      <c r="K36" s="61" t="s">
        <v>123</v>
      </c>
      <c r="L36" s="52" t="s">
        <v>11</v>
      </c>
      <c r="M36" s="58">
        <v>45959</v>
      </c>
      <c r="N36" s="58">
        <v>45931</v>
      </c>
      <c r="O36" s="58">
        <v>46295</v>
      </c>
      <c r="P36" s="58">
        <v>45931</v>
      </c>
      <c r="Q36" s="59">
        <v>4200</v>
      </c>
      <c r="R36" s="59"/>
      <c r="S36" s="59">
        <f t="shared" si="1"/>
        <v>4200</v>
      </c>
      <c r="T36" s="59">
        <f t="shared" si="5"/>
        <v>11.9671232876712</v>
      </c>
      <c r="U36" s="52">
        <v>10000</v>
      </c>
      <c r="V36" s="52">
        <v>4200</v>
      </c>
      <c r="W36" s="52">
        <v>500</v>
      </c>
      <c r="X36" s="52"/>
      <c r="Y36" s="52"/>
      <c r="Z36" s="42"/>
      <c r="AA36" s="42"/>
      <c r="AB36" s="42"/>
      <c r="AC36" s="42"/>
      <c r="AD36" s="52" t="s">
        <v>48</v>
      </c>
      <c r="AE36" s="52" t="s">
        <v>48</v>
      </c>
      <c r="AF36" s="52" t="s">
        <v>48</v>
      </c>
      <c r="AG36" s="52" t="s">
        <v>48</v>
      </c>
      <c r="AH36" s="52" t="s">
        <v>48</v>
      </c>
      <c r="AI36" s="52" t="s">
        <v>48</v>
      </c>
      <c r="AJ36" s="52" t="s">
        <v>48</v>
      </c>
      <c r="AK36" s="52" t="s">
        <v>48</v>
      </c>
      <c r="AL36" s="52" t="s">
        <v>48</v>
      </c>
      <c r="AM36" s="52" t="s">
        <v>48</v>
      </c>
      <c r="AN36" s="52" t="s">
        <v>48</v>
      </c>
      <c r="AO36" s="60" t="s">
        <v>124</v>
      </c>
      <c r="AP36" s="52">
        <v>18620006437</v>
      </c>
      <c r="AQ36" s="52"/>
    </row>
    <row r="37" s="1" customFormat="1" ht="20.15" customHeight="1" spans="1:43">
      <c r="A37" s="42">
        <f t="shared" si="0"/>
        <v>33</v>
      </c>
      <c r="B37" s="42" t="s">
        <v>44</v>
      </c>
      <c r="C37" s="42">
        <v>1031</v>
      </c>
      <c r="D37" s="43"/>
      <c r="E37" s="44">
        <v>23.77</v>
      </c>
      <c r="F37" s="42"/>
      <c r="G37" s="42">
        <v>3000</v>
      </c>
      <c r="H37" s="42">
        <v>500</v>
      </c>
      <c r="I37" s="42" t="s">
        <v>125</v>
      </c>
      <c r="J37" s="42"/>
      <c r="K37" s="45" t="s">
        <v>126</v>
      </c>
      <c r="L37" s="42" t="s">
        <v>11</v>
      </c>
      <c r="M37" s="46">
        <v>45648</v>
      </c>
      <c r="N37" s="46">
        <v>45748</v>
      </c>
      <c r="O37" s="46">
        <v>46112</v>
      </c>
      <c r="P37" s="46">
        <v>45748</v>
      </c>
      <c r="Q37" s="47">
        <v>4200</v>
      </c>
      <c r="R37" s="47"/>
      <c r="S37" s="47">
        <f t="shared" si="1"/>
        <v>4200</v>
      </c>
      <c r="T37" s="47">
        <f t="shared" si="5"/>
        <v>11.9671232876712</v>
      </c>
      <c r="U37" s="42">
        <v>10000</v>
      </c>
      <c r="V37" s="42">
        <v>4200</v>
      </c>
      <c r="W37" s="42">
        <v>500</v>
      </c>
      <c r="X37" s="42"/>
      <c r="Y37" s="42"/>
      <c r="Z37" s="49"/>
      <c r="AA37" s="42"/>
      <c r="AB37" s="49"/>
      <c r="AC37" s="42"/>
      <c r="AD37" s="42"/>
      <c r="AE37" s="42" t="s">
        <v>48</v>
      </c>
      <c r="AF37" s="42"/>
      <c r="AG37" s="42" t="s">
        <v>48</v>
      </c>
      <c r="AH37" s="42" t="s">
        <v>48</v>
      </c>
      <c r="AI37" s="42"/>
      <c r="AJ37" s="42"/>
      <c r="AK37" s="42"/>
      <c r="AL37" s="42" t="s">
        <v>48</v>
      </c>
      <c r="AM37" s="42"/>
      <c r="AN37" s="42"/>
      <c r="AO37" s="48" t="s">
        <v>127</v>
      </c>
      <c r="AP37" s="42">
        <v>17737776728</v>
      </c>
      <c r="AQ37" s="42" t="s">
        <v>52</v>
      </c>
    </row>
    <row r="38" s="1" customFormat="1" ht="20.15" customHeight="1" spans="1:43">
      <c r="A38" s="42">
        <f t="shared" si="0"/>
        <v>34</v>
      </c>
      <c r="B38" s="42" t="s">
        <v>44</v>
      </c>
      <c r="C38" s="42">
        <v>1032</v>
      </c>
      <c r="D38" s="43"/>
      <c r="E38" s="44">
        <v>27.15</v>
      </c>
      <c r="F38" s="42"/>
      <c r="G38" s="42">
        <v>3812</v>
      </c>
      <c r="H38" s="42">
        <v>500</v>
      </c>
      <c r="I38" s="42" t="s">
        <v>128</v>
      </c>
      <c r="J38" s="42"/>
      <c r="K38" s="45" t="s">
        <v>129</v>
      </c>
      <c r="L38" s="42" t="s">
        <v>11</v>
      </c>
      <c r="M38" s="46">
        <v>45599</v>
      </c>
      <c r="N38" s="46">
        <v>45748</v>
      </c>
      <c r="O38" s="46">
        <v>46112</v>
      </c>
      <c r="P38" s="46">
        <v>45748</v>
      </c>
      <c r="Q38" s="47">
        <v>4200</v>
      </c>
      <c r="R38" s="47"/>
      <c r="S38" s="47">
        <f t="shared" si="1"/>
        <v>4200</v>
      </c>
      <c r="T38" s="47">
        <f t="shared" si="5"/>
        <v>11.9671232876712</v>
      </c>
      <c r="U38" s="42">
        <v>10000</v>
      </c>
      <c r="V38" s="42">
        <v>4200</v>
      </c>
      <c r="W38" s="42">
        <v>500</v>
      </c>
      <c r="X38" s="42"/>
      <c r="Y38" s="42"/>
      <c r="Z38" s="49"/>
      <c r="AA38" s="42"/>
      <c r="AB38" s="49"/>
      <c r="AC38" s="42"/>
      <c r="AD38" s="42"/>
      <c r="AE38" s="42" t="s">
        <v>48</v>
      </c>
      <c r="AF38" s="42"/>
      <c r="AG38" s="42" t="s">
        <v>48</v>
      </c>
      <c r="AH38" s="42" t="s">
        <v>48</v>
      </c>
      <c r="AI38" s="42"/>
      <c r="AJ38" s="42"/>
      <c r="AK38" s="42"/>
      <c r="AL38" s="42" t="s">
        <v>48</v>
      </c>
      <c r="AM38" s="42"/>
      <c r="AN38" s="42"/>
      <c r="AO38" s="48" t="s">
        <v>130</v>
      </c>
      <c r="AP38" s="42">
        <v>13723468357</v>
      </c>
      <c r="AQ38" s="42"/>
    </row>
    <row r="39" s="1" customFormat="1" ht="20.15" customHeight="1" spans="1:43">
      <c r="A39" s="42">
        <f t="shared" si="0"/>
        <v>35</v>
      </c>
      <c r="B39" s="42" t="s">
        <v>44</v>
      </c>
      <c r="C39" s="42">
        <v>1033</v>
      </c>
      <c r="D39" s="43"/>
      <c r="E39" s="44">
        <v>27.15</v>
      </c>
      <c r="F39" s="42"/>
      <c r="G39" s="42">
        <v>3812</v>
      </c>
      <c r="H39" s="42">
        <v>500</v>
      </c>
      <c r="I39" s="42" t="s">
        <v>131</v>
      </c>
      <c r="J39" s="42"/>
      <c r="K39" s="42">
        <f>C39</f>
        <v>1033</v>
      </c>
      <c r="L39" s="42" t="s">
        <v>11</v>
      </c>
      <c r="M39" s="46">
        <v>45648</v>
      </c>
      <c r="N39" s="46">
        <v>45732</v>
      </c>
      <c r="O39" s="46">
        <v>46096</v>
      </c>
      <c r="P39" s="46">
        <v>45732</v>
      </c>
      <c r="Q39" s="47">
        <v>4200</v>
      </c>
      <c r="R39" s="47"/>
      <c r="S39" s="47">
        <f t="shared" si="1"/>
        <v>4200</v>
      </c>
      <c r="T39" s="47">
        <f t="shared" si="5"/>
        <v>11.9671232876712</v>
      </c>
      <c r="U39" s="42">
        <v>10000</v>
      </c>
      <c r="V39" s="42">
        <v>4200</v>
      </c>
      <c r="W39" s="42">
        <v>500</v>
      </c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8" t="s">
        <v>132</v>
      </c>
      <c r="AP39" s="42">
        <v>13852123138</v>
      </c>
      <c r="AQ39" s="42"/>
    </row>
    <row r="40" s="1" customFormat="1" ht="20.15" customHeight="1" spans="1:43">
      <c r="A40" s="42">
        <f t="shared" si="0"/>
        <v>36</v>
      </c>
      <c r="B40" s="42" t="s">
        <v>44</v>
      </c>
      <c r="C40" s="42">
        <v>1034</v>
      </c>
      <c r="D40" s="43"/>
      <c r="E40" s="44">
        <v>27.15</v>
      </c>
      <c r="F40" s="42"/>
      <c r="G40" s="42">
        <v>3812</v>
      </c>
      <c r="H40" s="42">
        <v>500</v>
      </c>
      <c r="I40" s="42" t="s">
        <v>133</v>
      </c>
      <c r="J40" s="42"/>
      <c r="K40" s="45" t="s">
        <v>134</v>
      </c>
      <c r="L40" s="42" t="s">
        <v>11</v>
      </c>
      <c r="M40" s="46">
        <v>45626</v>
      </c>
      <c r="N40" s="46">
        <v>45748</v>
      </c>
      <c r="O40" s="46">
        <v>46112</v>
      </c>
      <c r="P40" s="46">
        <v>45748</v>
      </c>
      <c r="Q40" s="47">
        <v>4200</v>
      </c>
      <c r="R40" s="47"/>
      <c r="S40" s="47">
        <f t="shared" si="1"/>
        <v>4200</v>
      </c>
      <c r="T40" s="47">
        <f t="shared" si="5"/>
        <v>11.9671232876712</v>
      </c>
      <c r="U40" s="42">
        <v>10000</v>
      </c>
      <c r="V40" s="42">
        <v>4200</v>
      </c>
      <c r="W40" s="42">
        <v>500</v>
      </c>
      <c r="X40" s="42"/>
      <c r="Y40" s="42"/>
      <c r="Z40" s="49"/>
      <c r="AA40" s="42"/>
      <c r="AB40" s="49"/>
      <c r="AC40" s="42"/>
      <c r="AD40" s="42"/>
      <c r="AE40" s="42" t="s">
        <v>48</v>
      </c>
      <c r="AF40" s="42" t="s">
        <v>48</v>
      </c>
      <c r="AG40" s="42" t="s">
        <v>48</v>
      </c>
      <c r="AH40" s="42" t="s">
        <v>48</v>
      </c>
      <c r="AI40" s="42" t="s">
        <v>48</v>
      </c>
      <c r="AJ40" s="42"/>
      <c r="AK40" s="42"/>
      <c r="AL40" s="42" t="s">
        <v>48</v>
      </c>
      <c r="AM40" s="42"/>
      <c r="AN40" s="42"/>
      <c r="AO40" s="48" t="s">
        <v>135</v>
      </c>
      <c r="AP40" s="42">
        <v>13570463955</v>
      </c>
      <c r="AQ40" s="42"/>
    </row>
    <row r="41" s="1" customFormat="1" ht="20.15" customHeight="1" spans="1:43">
      <c r="A41" s="42">
        <f t="shared" si="0"/>
        <v>37</v>
      </c>
      <c r="B41" s="42" t="s">
        <v>44</v>
      </c>
      <c r="C41" s="42">
        <v>1035</v>
      </c>
      <c r="D41" s="43"/>
      <c r="E41" s="44">
        <v>27.15</v>
      </c>
      <c r="F41" s="42"/>
      <c r="G41" s="42">
        <v>3812</v>
      </c>
      <c r="H41" s="42">
        <v>500</v>
      </c>
      <c r="I41" s="42" t="s">
        <v>64</v>
      </c>
      <c r="J41" s="42"/>
      <c r="K41" s="45" t="s">
        <v>136</v>
      </c>
      <c r="L41" s="42" t="s">
        <v>11</v>
      </c>
      <c r="M41" s="46">
        <v>45609</v>
      </c>
      <c r="N41" s="46">
        <v>45748</v>
      </c>
      <c r="O41" s="46">
        <v>46112</v>
      </c>
      <c r="P41" s="46">
        <v>45748</v>
      </c>
      <c r="Q41" s="47">
        <v>4200</v>
      </c>
      <c r="R41" s="47">
        <v>0</v>
      </c>
      <c r="S41" s="47">
        <f t="shared" si="1"/>
        <v>4200</v>
      </c>
      <c r="T41" s="47">
        <f t="shared" si="5"/>
        <v>11.9671232876712</v>
      </c>
      <c r="U41" s="42">
        <v>10000</v>
      </c>
      <c r="V41" s="42">
        <v>4200</v>
      </c>
      <c r="W41" s="42">
        <v>500</v>
      </c>
      <c r="X41" s="42"/>
      <c r="Y41" s="42"/>
      <c r="Z41" s="49"/>
      <c r="AA41" s="42"/>
      <c r="AB41" s="49"/>
      <c r="AC41" s="42"/>
      <c r="AD41" s="42"/>
      <c r="AE41" s="42" t="s">
        <v>48</v>
      </c>
      <c r="AF41" s="42"/>
      <c r="AG41" s="42" t="s">
        <v>48</v>
      </c>
      <c r="AH41" s="42" t="s">
        <v>48</v>
      </c>
      <c r="AI41" s="42"/>
      <c r="AJ41" s="42"/>
      <c r="AK41" s="42"/>
      <c r="AL41" s="42" t="s">
        <v>48</v>
      </c>
      <c r="AM41" s="42"/>
      <c r="AN41" s="42"/>
      <c r="AO41" s="48" t="s">
        <v>65</v>
      </c>
      <c r="AP41" s="42">
        <v>13286811871</v>
      </c>
      <c r="AQ41" s="42" t="s">
        <v>137</v>
      </c>
    </row>
    <row r="42" s="1" customFormat="1" ht="20.15" customHeight="1" spans="1:43">
      <c r="A42" s="42">
        <f t="shared" si="0"/>
        <v>38</v>
      </c>
      <c r="B42" s="42" t="s">
        <v>44</v>
      </c>
      <c r="C42" s="42">
        <v>1036</v>
      </c>
      <c r="D42" s="43"/>
      <c r="E42" s="44">
        <v>27.15</v>
      </c>
      <c r="F42" s="42"/>
      <c r="G42" s="42">
        <v>3812</v>
      </c>
      <c r="H42" s="42">
        <v>500</v>
      </c>
      <c r="I42" s="42" t="s">
        <v>138</v>
      </c>
      <c r="J42" s="42"/>
      <c r="K42" s="45" t="s">
        <v>139</v>
      </c>
      <c r="L42" s="42" t="s">
        <v>11</v>
      </c>
      <c r="M42" s="46">
        <v>45629</v>
      </c>
      <c r="N42" s="46">
        <v>45748</v>
      </c>
      <c r="O42" s="46">
        <v>46112</v>
      </c>
      <c r="P42" s="46">
        <v>45748</v>
      </c>
      <c r="Q42" s="47">
        <v>4200</v>
      </c>
      <c r="R42" s="47"/>
      <c r="S42" s="47">
        <f t="shared" si="1"/>
        <v>4200</v>
      </c>
      <c r="T42" s="47">
        <f t="shared" si="5"/>
        <v>11.9671232876712</v>
      </c>
      <c r="U42" s="42">
        <f>2101+7899</f>
        <v>10000</v>
      </c>
      <c r="V42" s="42">
        <v>4200</v>
      </c>
      <c r="W42" s="42">
        <v>500</v>
      </c>
      <c r="X42" s="42"/>
      <c r="Y42" s="42"/>
      <c r="Z42" s="49"/>
      <c r="AA42" s="42"/>
      <c r="AB42" s="49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8" t="s">
        <v>140</v>
      </c>
      <c r="AP42" s="42">
        <v>13763326697</v>
      </c>
      <c r="AQ42" s="42" t="s">
        <v>52</v>
      </c>
    </row>
    <row r="43" s="1" customFormat="1" ht="20.15" customHeight="1" spans="1:43">
      <c r="A43" s="42">
        <f t="shared" si="0"/>
        <v>39</v>
      </c>
      <c r="B43" s="42" t="s">
        <v>44</v>
      </c>
      <c r="C43" s="42">
        <v>1037</v>
      </c>
      <c r="D43" s="43"/>
      <c r="E43" s="44">
        <v>27.15</v>
      </c>
      <c r="F43" s="42"/>
      <c r="G43" s="42">
        <v>3812</v>
      </c>
      <c r="H43" s="42">
        <v>500</v>
      </c>
      <c r="I43" s="42" t="s">
        <v>141</v>
      </c>
      <c r="J43" s="42"/>
      <c r="K43" s="45" t="s">
        <v>142</v>
      </c>
      <c r="L43" s="42" t="s">
        <v>11</v>
      </c>
      <c r="M43" s="46">
        <v>45626</v>
      </c>
      <c r="N43" s="46">
        <v>45717</v>
      </c>
      <c r="O43" s="46">
        <v>46081</v>
      </c>
      <c r="P43" s="46">
        <v>45717</v>
      </c>
      <c r="Q43" s="47">
        <v>4200</v>
      </c>
      <c r="R43" s="47"/>
      <c r="S43" s="47">
        <f t="shared" si="1"/>
        <v>4200</v>
      </c>
      <c r="T43" s="47">
        <f t="shared" si="5"/>
        <v>11.9671232876712</v>
      </c>
      <c r="U43" s="42">
        <v>10000</v>
      </c>
      <c r="V43" s="42">
        <v>4200</v>
      </c>
      <c r="W43" s="42">
        <v>500</v>
      </c>
      <c r="X43" s="42"/>
      <c r="Y43" s="42"/>
      <c r="Z43" s="49"/>
      <c r="AA43" s="42"/>
      <c r="AB43" s="49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175" t="s">
        <v>143</v>
      </c>
      <c r="AP43" s="42">
        <v>13533878892</v>
      </c>
      <c r="AQ43" s="42"/>
    </row>
    <row r="44" s="4" customFormat="1" ht="20.15" customHeight="1" spans="1:43">
      <c r="A44" s="66">
        <f t="shared" si="0"/>
        <v>40</v>
      </c>
      <c r="B44" s="66" t="s">
        <v>44</v>
      </c>
      <c r="C44" s="66">
        <v>1038</v>
      </c>
      <c r="D44" s="43"/>
      <c r="E44" s="44">
        <v>27.15</v>
      </c>
      <c r="F44" s="42"/>
      <c r="G44" s="42">
        <v>3812</v>
      </c>
      <c r="H44" s="42">
        <v>500</v>
      </c>
      <c r="I44" s="66" t="s">
        <v>144</v>
      </c>
      <c r="J44" s="42"/>
      <c r="K44" s="45" t="s">
        <v>145</v>
      </c>
      <c r="L44" s="42" t="s">
        <v>11</v>
      </c>
      <c r="M44" s="67">
        <v>45991</v>
      </c>
      <c r="N44" s="67">
        <v>45992</v>
      </c>
      <c r="O44" s="67">
        <v>46356</v>
      </c>
      <c r="P44" s="67">
        <v>45999</v>
      </c>
      <c r="Q44" s="68">
        <v>4200</v>
      </c>
      <c r="R44" s="68"/>
      <c r="S44" s="68">
        <f t="shared" si="1"/>
        <v>4200</v>
      </c>
      <c r="T44" s="68">
        <f t="shared" si="5"/>
        <v>11.9671232876712</v>
      </c>
      <c r="U44" s="66">
        <v>10000</v>
      </c>
      <c r="V44" s="66">
        <v>4200</v>
      </c>
      <c r="W44" s="66">
        <v>500</v>
      </c>
      <c r="X44" s="66"/>
      <c r="Y44" s="66"/>
      <c r="Z44" s="49"/>
      <c r="AA44" s="42"/>
      <c r="AB44" s="49"/>
      <c r="AC44" s="42"/>
      <c r="AD44" s="66"/>
      <c r="AE44" s="66" t="s">
        <v>48</v>
      </c>
      <c r="AF44" s="66" t="s">
        <v>48</v>
      </c>
      <c r="AG44" s="66" t="s">
        <v>48</v>
      </c>
      <c r="AH44" s="66" t="s">
        <v>48</v>
      </c>
      <c r="AI44" s="66"/>
      <c r="AJ44" s="66"/>
      <c r="AK44" s="66"/>
      <c r="AL44" s="66" t="s">
        <v>48</v>
      </c>
      <c r="AM44" s="66"/>
      <c r="AN44" s="66"/>
      <c r="AO44" s="69" t="s">
        <v>146</v>
      </c>
      <c r="AP44" s="176" t="s">
        <v>147</v>
      </c>
      <c r="AQ44" s="66"/>
    </row>
    <row r="45" s="1" customFormat="1" ht="20.15" customHeight="1" spans="1:43">
      <c r="A45" s="42">
        <f t="shared" si="0"/>
        <v>41</v>
      </c>
      <c r="B45" s="42" t="s">
        <v>44</v>
      </c>
      <c r="C45" s="42">
        <v>1039</v>
      </c>
      <c r="D45" s="43"/>
      <c r="E45" s="44">
        <v>27.15</v>
      </c>
      <c r="F45" s="42"/>
      <c r="G45" s="42">
        <v>4404</v>
      </c>
      <c r="H45" s="42">
        <v>500</v>
      </c>
      <c r="I45" s="42" t="s">
        <v>148</v>
      </c>
      <c r="J45" s="42"/>
      <c r="K45" s="45" t="s">
        <v>149</v>
      </c>
      <c r="L45" s="42" t="s">
        <v>11</v>
      </c>
      <c r="M45" s="46">
        <v>45606</v>
      </c>
      <c r="N45" s="46">
        <v>45748</v>
      </c>
      <c r="O45" s="46">
        <v>46112</v>
      </c>
      <c r="P45" s="46">
        <v>45748</v>
      </c>
      <c r="Q45" s="47">
        <v>4200</v>
      </c>
      <c r="R45" s="47"/>
      <c r="S45" s="47">
        <f t="shared" si="1"/>
        <v>4200</v>
      </c>
      <c r="T45" s="47">
        <f t="shared" si="5"/>
        <v>11.9671232876712</v>
      </c>
      <c r="U45" s="42">
        <v>10000</v>
      </c>
      <c r="V45" s="42">
        <v>4200</v>
      </c>
      <c r="W45" s="42">
        <v>500</v>
      </c>
      <c r="X45" s="42"/>
      <c r="Y45" s="42"/>
      <c r="Z45" s="49"/>
      <c r="AA45" s="42"/>
      <c r="AB45" s="49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8" t="s">
        <v>150</v>
      </c>
      <c r="AP45" s="42">
        <v>13534321208</v>
      </c>
      <c r="AQ45" s="42" t="s">
        <v>52</v>
      </c>
    </row>
    <row r="46" s="1" customFormat="1" ht="20.15" customHeight="1" spans="1:43">
      <c r="A46" s="42">
        <f t="shared" si="0"/>
        <v>42</v>
      </c>
      <c r="B46" s="42" t="s">
        <v>44</v>
      </c>
      <c r="C46" s="42">
        <v>1040</v>
      </c>
      <c r="D46" s="43"/>
      <c r="E46" s="44">
        <v>27.15</v>
      </c>
      <c r="F46" s="42"/>
      <c r="G46" s="42">
        <v>3994</v>
      </c>
      <c r="H46" s="42">
        <v>500</v>
      </c>
      <c r="I46" s="42" t="s">
        <v>151</v>
      </c>
      <c r="J46" s="42"/>
      <c r="K46" s="45" t="s">
        <v>152</v>
      </c>
      <c r="L46" s="42" t="s">
        <v>11</v>
      </c>
      <c r="M46" s="46">
        <v>45622</v>
      </c>
      <c r="N46" s="46">
        <v>45717</v>
      </c>
      <c r="O46" s="46">
        <v>46081</v>
      </c>
      <c r="P46" s="46">
        <v>45717</v>
      </c>
      <c r="Q46" s="47">
        <v>4202</v>
      </c>
      <c r="R46" s="47"/>
      <c r="S46" s="47">
        <f t="shared" si="1"/>
        <v>4202</v>
      </c>
      <c r="T46" s="47">
        <f t="shared" si="5"/>
        <v>11.9671232876712</v>
      </c>
      <c r="U46" s="42">
        <v>10000</v>
      </c>
      <c r="V46" s="42">
        <v>4202</v>
      </c>
      <c r="W46" s="42">
        <v>500</v>
      </c>
      <c r="X46" s="42"/>
      <c r="Y46" s="42"/>
      <c r="Z46" s="42"/>
      <c r="AA46" s="42"/>
      <c r="AB46" s="42"/>
      <c r="AC46" s="42"/>
      <c r="AD46" s="42" t="s">
        <v>48</v>
      </c>
      <c r="AE46" s="42" t="s">
        <v>48</v>
      </c>
      <c r="AF46" s="42" t="s">
        <v>48</v>
      </c>
      <c r="AG46" s="42" t="s">
        <v>48</v>
      </c>
      <c r="AH46" s="42" t="s">
        <v>48</v>
      </c>
      <c r="AI46" s="42" t="s">
        <v>48</v>
      </c>
      <c r="AJ46" s="42" t="s">
        <v>48</v>
      </c>
      <c r="AK46" s="42" t="s">
        <v>48</v>
      </c>
      <c r="AL46" s="42" t="s">
        <v>48</v>
      </c>
      <c r="AM46" s="42" t="s">
        <v>48</v>
      </c>
      <c r="AN46" s="42" t="s">
        <v>48</v>
      </c>
      <c r="AO46" s="48" t="s">
        <v>153</v>
      </c>
      <c r="AP46" s="42">
        <v>13531255532</v>
      </c>
      <c r="AQ46" s="42"/>
    </row>
    <row r="47" s="1" customFormat="1" ht="20.15" customHeight="1" spans="1:43">
      <c r="A47" s="42">
        <f t="shared" si="0"/>
        <v>43</v>
      </c>
      <c r="B47" s="42" t="s">
        <v>44</v>
      </c>
      <c r="C47" s="42">
        <v>1041</v>
      </c>
      <c r="D47" s="43"/>
      <c r="E47" s="44">
        <v>27.15</v>
      </c>
      <c r="F47" s="42"/>
      <c r="G47" s="42">
        <v>3812</v>
      </c>
      <c r="H47" s="42">
        <v>500</v>
      </c>
      <c r="I47" s="42" t="s">
        <v>154</v>
      </c>
      <c r="J47" s="42"/>
      <c r="K47" s="42">
        <v>1041</v>
      </c>
      <c r="L47" s="42" t="s">
        <v>11</v>
      </c>
      <c r="M47" s="46">
        <v>45759</v>
      </c>
      <c r="N47" s="46">
        <v>45760</v>
      </c>
      <c r="O47" s="46">
        <v>46124</v>
      </c>
      <c r="P47" s="46">
        <v>45760</v>
      </c>
      <c r="Q47" s="47">
        <v>4200</v>
      </c>
      <c r="R47" s="47"/>
      <c r="S47" s="47">
        <f t="shared" si="1"/>
        <v>4200</v>
      </c>
      <c r="T47" s="47">
        <f t="shared" si="5"/>
        <v>11.9671232876712</v>
      </c>
      <c r="U47" s="42">
        <v>10000</v>
      </c>
      <c r="V47" s="42">
        <v>4200</v>
      </c>
      <c r="W47" s="42"/>
      <c r="X47" s="42"/>
      <c r="Y47" s="42"/>
      <c r="Z47" s="70"/>
      <c r="AA47" s="62"/>
      <c r="AB47" s="70"/>
      <c r="AC47" s="62"/>
      <c r="AD47" s="42"/>
      <c r="AE47" s="42" t="s">
        <v>48</v>
      </c>
      <c r="AF47" s="42" t="s">
        <v>48</v>
      </c>
      <c r="AG47" s="42" t="s">
        <v>48</v>
      </c>
      <c r="AH47" s="42" t="s">
        <v>48</v>
      </c>
      <c r="AI47" s="42" t="s">
        <v>48</v>
      </c>
      <c r="AJ47" s="42"/>
      <c r="AK47" s="42" t="s">
        <v>48</v>
      </c>
      <c r="AL47" s="42" t="s">
        <v>48</v>
      </c>
      <c r="AM47" s="42" t="s">
        <v>48</v>
      </c>
      <c r="AN47" s="42" t="s">
        <v>48</v>
      </c>
      <c r="AO47" s="48" t="s">
        <v>155</v>
      </c>
      <c r="AP47" s="42">
        <v>18928112222</v>
      </c>
      <c r="AQ47" s="42"/>
    </row>
    <row r="48" s="1" customFormat="1" ht="20.15" customHeight="1" spans="1:43">
      <c r="A48" s="42">
        <f t="shared" si="0"/>
        <v>44</v>
      </c>
      <c r="B48" s="42" t="s">
        <v>44</v>
      </c>
      <c r="C48" s="42">
        <v>1042</v>
      </c>
      <c r="D48" s="43"/>
      <c r="E48" s="44">
        <v>27.15</v>
      </c>
      <c r="F48" s="42"/>
      <c r="G48" s="42">
        <v>3812</v>
      </c>
      <c r="H48" s="42">
        <v>500</v>
      </c>
      <c r="I48" s="42" t="s">
        <v>156</v>
      </c>
      <c r="J48" s="42"/>
      <c r="K48" s="45" t="s">
        <v>157</v>
      </c>
      <c r="L48" s="42" t="s">
        <v>11</v>
      </c>
      <c r="M48" s="46">
        <v>45607</v>
      </c>
      <c r="N48" s="46">
        <v>45748</v>
      </c>
      <c r="O48" s="46">
        <v>46112</v>
      </c>
      <c r="P48" s="46">
        <v>45748</v>
      </c>
      <c r="Q48" s="47">
        <v>4200</v>
      </c>
      <c r="R48" s="47">
        <v>0</v>
      </c>
      <c r="S48" s="47">
        <f t="shared" si="1"/>
        <v>4200</v>
      </c>
      <c r="T48" s="47">
        <f t="shared" si="5"/>
        <v>11.9671232876712</v>
      </c>
      <c r="U48" s="42">
        <v>10000</v>
      </c>
      <c r="V48" s="42">
        <v>4200</v>
      </c>
      <c r="W48" s="42">
        <v>500</v>
      </c>
      <c r="X48" s="42"/>
      <c r="Y48" s="42"/>
      <c r="Z48" s="49"/>
      <c r="AA48" s="42"/>
      <c r="AB48" s="49"/>
      <c r="AC48" s="42"/>
      <c r="AD48" s="42"/>
      <c r="AE48" s="42" t="s">
        <v>48</v>
      </c>
      <c r="AF48" s="42"/>
      <c r="AG48" s="42" t="s">
        <v>48</v>
      </c>
      <c r="AH48" s="42" t="s">
        <v>48</v>
      </c>
      <c r="AI48" s="42"/>
      <c r="AJ48" s="42"/>
      <c r="AK48" s="42"/>
      <c r="AL48" s="42" t="s">
        <v>48</v>
      </c>
      <c r="AM48" s="42"/>
      <c r="AN48" s="42"/>
      <c r="AO48" s="48" t="s">
        <v>158</v>
      </c>
      <c r="AP48" s="42">
        <v>17876569866</v>
      </c>
      <c r="AQ48" s="42" t="s">
        <v>52</v>
      </c>
    </row>
    <row r="49" s="5" customFormat="1" ht="20.15" customHeight="1" spans="1:43 16383:16384">
      <c r="A49" s="71">
        <f t="shared" si="0"/>
        <v>45</v>
      </c>
      <c r="B49" s="71" t="s">
        <v>44</v>
      </c>
      <c r="C49" s="71">
        <v>1043</v>
      </c>
      <c r="D49" s="72"/>
      <c r="E49" s="73">
        <v>27.15</v>
      </c>
      <c r="F49" s="71"/>
      <c r="G49" s="71">
        <v>3812</v>
      </c>
      <c r="H49" s="71">
        <v>500</v>
      </c>
      <c r="I49" s="71" t="s">
        <v>159</v>
      </c>
      <c r="J49" s="71"/>
      <c r="K49" s="74" t="s">
        <v>160</v>
      </c>
      <c r="L49" s="71" t="s">
        <v>11</v>
      </c>
      <c r="M49" s="75">
        <v>45961</v>
      </c>
      <c r="N49" s="75">
        <v>45992</v>
      </c>
      <c r="O49" s="75">
        <v>46356</v>
      </c>
      <c r="P49" s="75">
        <v>45992</v>
      </c>
      <c r="Q49" s="76">
        <v>3500</v>
      </c>
      <c r="R49" s="76"/>
      <c r="S49" s="76">
        <f t="shared" si="1"/>
        <v>3500</v>
      </c>
      <c r="T49" s="76">
        <f t="shared" si="5"/>
        <v>11.9671232876712</v>
      </c>
      <c r="U49" s="71">
        <v>10000</v>
      </c>
      <c r="V49" s="71">
        <v>3500</v>
      </c>
      <c r="W49" s="71">
        <v>0</v>
      </c>
      <c r="X49" s="71"/>
      <c r="Y49" s="71"/>
      <c r="Z49" s="49"/>
      <c r="AA49" s="42"/>
      <c r="AB49" s="49"/>
      <c r="AC49" s="42"/>
      <c r="AD49" s="71"/>
      <c r="AE49" s="71" t="s">
        <v>48</v>
      </c>
      <c r="AF49" s="71"/>
      <c r="AG49" s="71" t="s">
        <v>48</v>
      </c>
      <c r="AH49" s="71" t="s">
        <v>48</v>
      </c>
      <c r="AI49" s="71"/>
      <c r="AJ49" s="71"/>
      <c r="AK49" s="71"/>
      <c r="AL49" s="71" t="s">
        <v>48</v>
      </c>
      <c r="AM49" s="71"/>
      <c r="AN49" s="71"/>
      <c r="AO49" s="77" t="s">
        <v>161</v>
      </c>
      <c r="AP49" s="71">
        <v>13250504930</v>
      </c>
      <c r="AQ49" s="71"/>
    </row>
    <row r="50" s="1" customFormat="1" ht="20.15" customHeight="1" spans="1:43 16383:16384">
      <c r="A50" s="42">
        <f t="shared" si="0"/>
        <v>46</v>
      </c>
      <c r="B50" s="42" t="s">
        <v>44</v>
      </c>
      <c r="C50" s="42">
        <v>1044</v>
      </c>
      <c r="D50" s="43"/>
      <c r="E50" s="44">
        <v>27.15</v>
      </c>
      <c r="F50" s="42"/>
      <c r="G50" s="42">
        <v>3812</v>
      </c>
      <c r="H50" s="42">
        <v>500</v>
      </c>
      <c r="I50" s="42" t="s">
        <v>162</v>
      </c>
      <c r="J50" s="42"/>
      <c r="K50" s="45" t="s">
        <v>163</v>
      </c>
      <c r="L50" s="42" t="s">
        <v>11</v>
      </c>
      <c r="M50" s="46">
        <v>45621</v>
      </c>
      <c r="N50" s="46">
        <v>45717</v>
      </c>
      <c r="O50" s="46">
        <v>46081</v>
      </c>
      <c r="P50" s="46">
        <v>45717</v>
      </c>
      <c r="Q50" s="47">
        <v>4202</v>
      </c>
      <c r="R50" s="47"/>
      <c r="S50" s="47">
        <f t="shared" si="1"/>
        <v>4202</v>
      </c>
      <c r="T50" s="47">
        <f t="shared" si="5"/>
        <v>11.9671232876712</v>
      </c>
      <c r="U50" s="42">
        <v>10000</v>
      </c>
      <c r="V50" s="42">
        <v>4202</v>
      </c>
      <c r="W50" s="42">
        <v>200</v>
      </c>
      <c r="X50" s="42"/>
      <c r="Y50" s="42"/>
      <c r="Z50" s="49"/>
      <c r="AA50" s="42"/>
      <c r="AB50" s="49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8" t="s">
        <v>164</v>
      </c>
      <c r="AP50" s="42">
        <v>18607217371</v>
      </c>
      <c r="AQ50" s="42"/>
    </row>
    <row r="51" s="5" customFormat="1" ht="20.15" customHeight="1" spans="1:43 16383:16384">
      <c r="A51" s="71">
        <f t="shared" si="0"/>
        <v>47</v>
      </c>
      <c r="B51" s="71" t="s">
        <v>44</v>
      </c>
      <c r="C51" s="71">
        <v>1045</v>
      </c>
      <c r="D51" s="72"/>
      <c r="E51" s="73">
        <v>26.49</v>
      </c>
      <c r="F51" s="71"/>
      <c r="G51" s="71">
        <v>4200</v>
      </c>
      <c r="H51" s="71">
        <v>500</v>
      </c>
      <c r="I51" s="71" t="s">
        <v>165</v>
      </c>
      <c r="J51" s="71"/>
      <c r="K51" s="74" t="s">
        <v>166</v>
      </c>
      <c r="L51" s="71" t="s">
        <v>11</v>
      </c>
      <c r="M51" s="75">
        <v>45946</v>
      </c>
      <c r="N51" s="75">
        <v>45931</v>
      </c>
      <c r="O51" s="75">
        <v>46295</v>
      </c>
      <c r="P51" s="75">
        <v>45931</v>
      </c>
      <c r="Q51" s="76">
        <v>4200</v>
      </c>
      <c r="R51" s="76"/>
      <c r="S51" s="76">
        <f t="shared" si="1"/>
        <v>4200</v>
      </c>
      <c r="T51" s="76">
        <f t="shared" si="5"/>
        <v>11.9671232876712</v>
      </c>
      <c r="U51" s="71">
        <v>10000</v>
      </c>
      <c r="V51" s="71">
        <v>4200</v>
      </c>
      <c r="W51" s="71">
        <v>500</v>
      </c>
      <c r="X51" s="71"/>
      <c r="Y51" s="71"/>
      <c r="Z51" s="42"/>
      <c r="AA51" s="42"/>
      <c r="AB51" s="42"/>
      <c r="AC51" s="42"/>
      <c r="AD51" s="71" t="s">
        <v>104</v>
      </c>
      <c r="AE51" s="71" t="s">
        <v>104</v>
      </c>
      <c r="AF51" s="71" t="s">
        <v>104</v>
      </c>
      <c r="AG51" s="71" t="s">
        <v>104</v>
      </c>
      <c r="AH51" s="71" t="s">
        <v>104</v>
      </c>
      <c r="AI51" s="71" t="s">
        <v>104</v>
      </c>
      <c r="AJ51" s="71" t="s">
        <v>104</v>
      </c>
      <c r="AK51" s="71" t="s">
        <v>104</v>
      </c>
      <c r="AL51" s="71" t="s">
        <v>104</v>
      </c>
      <c r="AM51" s="71" t="s">
        <v>104</v>
      </c>
      <c r="AN51" s="71" t="s">
        <v>104</v>
      </c>
      <c r="AO51" s="77" t="s">
        <v>167</v>
      </c>
      <c r="AP51" s="71">
        <v>13535285553</v>
      </c>
      <c r="AQ51" s="71"/>
    </row>
    <row r="52" s="1" customFormat="1" ht="20.15" customHeight="1" spans="1:43 16383:16384">
      <c r="A52" s="42">
        <f t="shared" si="0"/>
        <v>48</v>
      </c>
      <c r="B52" s="42" t="s">
        <v>44</v>
      </c>
      <c r="C52" s="42">
        <v>1046</v>
      </c>
      <c r="D52" s="43"/>
      <c r="E52" s="44">
        <v>26.49</v>
      </c>
      <c r="F52" s="42"/>
      <c r="G52" s="42">
        <v>3812</v>
      </c>
      <c r="H52" s="42">
        <v>500</v>
      </c>
      <c r="I52" s="42" t="s">
        <v>168</v>
      </c>
      <c r="J52" s="42"/>
      <c r="K52" s="45" t="s">
        <v>169</v>
      </c>
      <c r="L52" s="42" t="s">
        <v>11</v>
      </c>
      <c r="M52" s="46">
        <v>45639</v>
      </c>
      <c r="N52" s="46">
        <v>45748</v>
      </c>
      <c r="O52" s="46">
        <v>46112</v>
      </c>
      <c r="P52" s="46">
        <v>45748</v>
      </c>
      <c r="Q52" s="47">
        <v>4200</v>
      </c>
      <c r="R52" s="47"/>
      <c r="S52" s="47">
        <f t="shared" si="1"/>
        <v>4200</v>
      </c>
      <c r="T52" s="47">
        <f t="shared" si="5"/>
        <v>11.9671232876712</v>
      </c>
      <c r="U52" s="42">
        <f>2101+7899</f>
        <v>10000</v>
      </c>
      <c r="V52" s="42">
        <v>4200</v>
      </c>
      <c r="W52" s="42">
        <v>500</v>
      </c>
      <c r="X52" s="42"/>
      <c r="Y52" s="42"/>
      <c r="Z52" s="49"/>
      <c r="AA52" s="42"/>
      <c r="AB52" s="49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8" t="s">
        <v>170</v>
      </c>
      <c r="AP52" s="42">
        <v>15914183235</v>
      </c>
      <c r="AQ52" s="42" t="s">
        <v>52</v>
      </c>
    </row>
    <row r="53" s="1" customFormat="1" ht="20.15" customHeight="1" spans="1:43 16383:16384">
      <c r="A53" s="42">
        <f t="shared" si="0"/>
        <v>49</v>
      </c>
      <c r="B53" s="42" t="s">
        <v>44</v>
      </c>
      <c r="C53" s="42">
        <v>1047</v>
      </c>
      <c r="D53" s="43"/>
      <c r="E53" s="44">
        <v>26.49</v>
      </c>
      <c r="F53" s="42"/>
      <c r="G53" s="42">
        <v>3000</v>
      </c>
      <c r="H53" s="42">
        <v>500</v>
      </c>
      <c r="I53" s="42" t="s">
        <v>171</v>
      </c>
      <c r="J53" s="42"/>
      <c r="K53" s="45" t="s">
        <v>172</v>
      </c>
      <c r="L53" s="42" t="s">
        <v>11</v>
      </c>
      <c r="M53" s="46">
        <v>45646</v>
      </c>
      <c r="N53" s="46">
        <v>45732</v>
      </c>
      <c r="O53" s="46">
        <v>46096</v>
      </c>
      <c r="P53" s="46">
        <v>45732</v>
      </c>
      <c r="Q53" s="47">
        <v>4200</v>
      </c>
      <c r="R53" s="47"/>
      <c r="S53" s="47">
        <f t="shared" si="1"/>
        <v>4200</v>
      </c>
      <c r="T53" s="47">
        <f t="shared" si="5"/>
        <v>11.9671232876712</v>
      </c>
      <c r="U53" s="42">
        <v>10000</v>
      </c>
      <c r="V53" s="42">
        <v>4200</v>
      </c>
      <c r="W53" s="42">
        <v>500</v>
      </c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50" t="s">
        <v>173</v>
      </c>
      <c r="AP53" s="78">
        <v>13828226790</v>
      </c>
      <c r="AQ53" s="42"/>
    </row>
    <row r="54" s="1" customFormat="1" ht="20.15" customHeight="1" spans="1:43 16383:16384">
      <c r="A54" s="42">
        <f t="shared" si="0"/>
        <v>50</v>
      </c>
      <c r="B54" s="42" t="s">
        <v>44</v>
      </c>
      <c r="C54" s="42">
        <v>1048</v>
      </c>
      <c r="D54" s="43"/>
      <c r="E54" s="44">
        <v>26.49</v>
      </c>
      <c r="F54" s="42"/>
      <c r="G54" s="42">
        <v>3000</v>
      </c>
      <c r="H54" s="42">
        <v>500</v>
      </c>
      <c r="I54" s="42" t="s">
        <v>174</v>
      </c>
      <c r="J54" s="42"/>
      <c r="K54" s="45" t="s">
        <v>175</v>
      </c>
      <c r="L54" s="42" t="s">
        <v>11</v>
      </c>
      <c r="M54" s="46">
        <v>45624</v>
      </c>
      <c r="N54" s="46">
        <v>45708</v>
      </c>
      <c r="O54" s="46">
        <v>46072</v>
      </c>
      <c r="P54" s="46">
        <v>45708</v>
      </c>
      <c r="Q54" s="47">
        <v>4202</v>
      </c>
      <c r="R54" s="47"/>
      <c r="S54" s="47">
        <f t="shared" si="1"/>
        <v>4202</v>
      </c>
      <c r="T54" s="47">
        <f t="shared" si="5"/>
        <v>11.9671232876712</v>
      </c>
      <c r="U54" s="42">
        <v>10000</v>
      </c>
      <c r="V54" s="42">
        <v>4202</v>
      </c>
      <c r="W54" s="42">
        <v>500</v>
      </c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8" t="s">
        <v>176</v>
      </c>
      <c r="AP54" s="42">
        <v>13417592153</v>
      </c>
      <c r="AQ54" s="42"/>
    </row>
    <row r="55" s="1" customFormat="1" ht="20.15" customHeight="1" spans="1:43 16383:16384">
      <c r="A55" s="42">
        <f t="shared" si="0"/>
        <v>51</v>
      </c>
      <c r="B55" s="42" t="s">
        <v>44</v>
      </c>
      <c r="C55" s="42">
        <v>1049</v>
      </c>
      <c r="D55" s="43"/>
      <c r="E55" s="44">
        <v>26.49</v>
      </c>
      <c r="F55" s="42"/>
      <c r="G55" s="42">
        <v>3812</v>
      </c>
      <c r="H55" s="42">
        <v>500</v>
      </c>
      <c r="I55" s="42" t="s">
        <v>177</v>
      </c>
      <c r="J55" s="42"/>
      <c r="K55" s="45" t="s">
        <v>178</v>
      </c>
      <c r="L55" s="42" t="s">
        <v>11</v>
      </c>
      <c r="M55" s="46">
        <v>45614</v>
      </c>
      <c r="N55" s="46">
        <v>45748</v>
      </c>
      <c r="O55" s="46">
        <v>46112</v>
      </c>
      <c r="P55" s="46">
        <v>45748</v>
      </c>
      <c r="Q55" s="47">
        <v>4200</v>
      </c>
      <c r="R55" s="47"/>
      <c r="S55" s="47">
        <f t="shared" si="1"/>
        <v>4200</v>
      </c>
      <c r="T55" s="47">
        <f t="shared" si="5"/>
        <v>11.9671232876712</v>
      </c>
      <c r="U55" s="42">
        <v>10000</v>
      </c>
      <c r="V55" s="42">
        <v>4200</v>
      </c>
      <c r="W55" s="42">
        <v>500</v>
      </c>
      <c r="X55" s="42"/>
      <c r="Y55" s="42"/>
      <c r="Z55" s="49"/>
      <c r="AA55" s="42"/>
      <c r="AB55" s="49"/>
      <c r="AC55" s="42"/>
      <c r="AD55" s="42"/>
      <c r="AE55" s="42" t="s">
        <v>48</v>
      </c>
      <c r="AF55" s="42"/>
      <c r="AG55" s="42" t="s">
        <v>48</v>
      </c>
      <c r="AH55" s="42" t="s">
        <v>48</v>
      </c>
      <c r="AI55" s="42"/>
      <c r="AJ55" s="42"/>
      <c r="AK55" s="42"/>
      <c r="AL55" s="42" t="s">
        <v>48</v>
      </c>
      <c r="AM55" s="42"/>
      <c r="AN55" s="42"/>
      <c r="AO55" s="48" t="s">
        <v>179</v>
      </c>
      <c r="AP55" s="42">
        <v>18665077369</v>
      </c>
      <c r="AQ55" s="42" t="s">
        <v>52</v>
      </c>
    </row>
    <row r="56" s="1" customFormat="1" ht="20.15" customHeight="1" spans="1:43 16383:16384">
      <c r="A56" s="42">
        <f t="shared" si="0"/>
        <v>52</v>
      </c>
      <c r="B56" s="42" t="s">
        <v>44</v>
      </c>
      <c r="C56" s="42">
        <v>1050</v>
      </c>
      <c r="D56" s="43"/>
      <c r="E56" s="44">
        <v>26.49</v>
      </c>
      <c r="F56" s="42"/>
      <c r="G56" s="42">
        <v>3812</v>
      </c>
      <c r="H56" s="42">
        <v>500</v>
      </c>
      <c r="I56" s="42" t="s">
        <v>180</v>
      </c>
      <c r="J56" s="42"/>
      <c r="K56" s="45" t="s">
        <v>181</v>
      </c>
      <c r="L56" s="42" t="s">
        <v>11</v>
      </c>
      <c r="M56" s="46">
        <v>45625</v>
      </c>
      <c r="N56" s="46">
        <v>45748</v>
      </c>
      <c r="O56" s="46">
        <v>46112</v>
      </c>
      <c r="P56" s="46">
        <v>45748</v>
      </c>
      <c r="Q56" s="47">
        <v>4200</v>
      </c>
      <c r="R56" s="47">
        <v>0</v>
      </c>
      <c r="S56" s="47">
        <f t="shared" si="1"/>
        <v>4200</v>
      </c>
      <c r="T56" s="47">
        <f t="shared" si="5"/>
        <v>11.9671232876712</v>
      </c>
      <c r="U56" s="42">
        <v>10000</v>
      </c>
      <c r="V56" s="42">
        <v>4200</v>
      </c>
      <c r="W56" s="42">
        <v>500</v>
      </c>
      <c r="X56" s="42"/>
      <c r="Y56" s="42"/>
      <c r="Z56" s="49"/>
      <c r="AA56" s="42"/>
      <c r="AB56" s="49"/>
      <c r="AC56" s="42"/>
      <c r="AD56" s="42"/>
      <c r="AE56" s="42" t="s">
        <v>48</v>
      </c>
      <c r="AF56" s="42"/>
      <c r="AG56" s="42" t="s">
        <v>48</v>
      </c>
      <c r="AH56" s="42" t="s">
        <v>48</v>
      </c>
      <c r="AI56" s="42"/>
      <c r="AJ56" s="42"/>
      <c r="AK56" s="42"/>
      <c r="AL56" s="42" t="s">
        <v>48</v>
      </c>
      <c r="AM56" s="42"/>
      <c r="AN56" s="42"/>
      <c r="AO56" s="48" t="s">
        <v>182</v>
      </c>
      <c r="AP56" s="42">
        <v>18620770155</v>
      </c>
      <c r="AQ56" s="42"/>
    </row>
    <row r="57" s="1" customFormat="1" ht="20.15" customHeight="1" spans="1:43 16383:16384">
      <c r="A57" s="42">
        <f t="shared" si="0"/>
        <v>53</v>
      </c>
      <c r="B57" s="42" t="s">
        <v>44</v>
      </c>
      <c r="C57" s="42">
        <v>1051</v>
      </c>
      <c r="D57" s="43"/>
      <c r="E57" s="44">
        <v>26.49</v>
      </c>
      <c r="F57" s="42"/>
      <c r="G57" s="42">
        <v>3812</v>
      </c>
      <c r="H57" s="42">
        <v>500</v>
      </c>
      <c r="I57" s="42" t="s">
        <v>183</v>
      </c>
      <c r="J57" s="42"/>
      <c r="K57" s="45" t="s">
        <v>184</v>
      </c>
      <c r="L57" s="42" t="s">
        <v>11</v>
      </c>
      <c r="M57" s="46">
        <v>45633</v>
      </c>
      <c r="N57" s="46">
        <v>45748</v>
      </c>
      <c r="O57" s="46">
        <v>46112</v>
      </c>
      <c r="P57" s="46">
        <v>45748</v>
      </c>
      <c r="Q57" s="47">
        <v>4200</v>
      </c>
      <c r="R57" s="47"/>
      <c r="S57" s="47">
        <f t="shared" si="1"/>
        <v>4200</v>
      </c>
      <c r="T57" s="47">
        <f t="shared" si="5"/>
        <v>11.9671232876712</v>
      </c>
      <c r="U57" s="42">
        <v>10000</v>
      </c>
      <c r="V57" s="42">
        <v>4200</v>
      </c>
      <c r="W57" s="42">
        <v>500</v>
      </c>
      <c r="X57" s="42"/>
      <c r="Y57" s="42"/>
      <c r="Z57" s="49"/>
      <c r="AA57" s="42"/>
      <c r="AB57" s="49"/>
      <c r="AC57" s="42"/>
      <c r="AD57" s="42"/>
      <c r="AE57" s="42" t="s">
        <v>48</v>
      </c>
      <c r="AF57" s="42"/>
      <c r="AG57" s="42" t="s">
        <v>48</v>
      </c>
      <c r="AH57" s="42" t="s">
        <v>48</v>
      </c>
      <c r="AI57" s="42"/>
      <c r="AJ57" s="42"/>
      <c r="AK57" s="42"/>
      <c r="AL57" s="42" t="s">
        <v>48</v>
      </c>
      <c r="AM57" s="42"/>
      <c r="AN57" s="42"/>
      <c r="AO57" s="48" t="s">
        <v>185</v>
      </c>
      <c r="AP57" s="42">
        <v>13366666666</v>
      </c>
      <c r="AQ57" s="42"/>
    </row>
    <row r="58" s="1" customFormat="1" ht="20.15" customHeight="1" spans="1:43 16383:16384">
      <c r="A58" s="42">
        <f t="shared" si="0"/>
        <v>54</v>
      </c>
      <c r="B58" s="42" t="s">
        <v>44</v>
      </c>
      <c r="C58" s="42">
        <v>1052</v>
      </c>
      <c r="D58" s="43"/>
      <c r="E58" s="44">
        <v>26.49</v>
      </c>
      <c r="F58" s="42"/>
      <c r="G58" s="42">
        <v>3500</v>
      </c>
      <c r="H58" s="42">
        <v>500</v>
      </c>
      <c r="I58" s="42" t="s">
        <v>186</v>
      </c>
      <c r="J58" s="42"/>
      <c r="K58" s="45" t="s">
        <v>187</v>
      </c>
      <c r="L58" s="42" t="s">
        <v>11</v>
      </c>
      <c r="M58" s="46">
        <v>45617</v>
      </c>
      <c r="N58" s="46">
        <v>45708</v>
      </c>
      <c r="O58" s="46">
        <v>46072</v>
      </c>
      <c r="P58" s="46">
        <v>45708</v>
      </c>
      <c r="Q58" s="47">
        <v>4202</v>
      </c>
      <c r="R58" s="47"/>
      <c r="S58" s="47">
        <f t="shared" si="1"/>
        <v>4202</v>
      </c>
      <c r="T58" s="47">
        <f t="shared" si="5"/>
        <v>11.9671232876712</v>
      </c>
      <c r="U58" s="42">
        <v>10000</v>
      </c>
      <c r="V58" s="42">
        <v>4202</v>
      </c>
      <c r="W58" s="42">
        <v>500</v>
      </c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8" t="s">
        <v>188</v>
      </c>
      <c r="AP58" s="42">
        <v>13711712294</v>
      </c>
      <c r="AQ58" s="42"/>
    </row>
    <row r="59" s="1" customFormat="1" ht="20.15" customHeight="1" spans="1:43 16383:16384">
      <c r="A59" s="42">
        <f t="shared" si="0"/>
        <v>55</v>
      </c>
      <c r="B59" s="42" t="s">
        <v>44</v>
      </c>
      <c r="C59" s="42">
        <v>1053</v>
      </c>
      <c r="D59" s="43"/>
      <c r="E59" s="44">
        <v>26.15</v>
      </c>
      <c r="F59" s="42"/>
      <c r="G59" s="42">
        <v>3812</v>
      </c>
      <c r="H59" s="42">
        <v>500</v>
      </c>
      <c r="I59" s="42" t="s">
        <v>189</v>
      </c>
      <c r="J59" s="42"/>
      <c r="K59" s="45" t="s">
        <v>190</v>
      </c>
      <c r="L59" s="42" t="s">
        <v>11</v>
      </c>
      <c r="M59" s="46">
        <v>45744</v>
      </c>
      <c r="N59" s="46">
        <v>45748</v>
      </c>
      <c r="O59" s="46">
        <v>46112</v>
      </c>
      <c r="P59" s="46">
        <v>45748</v>
      </c>
      <c r="Q59" s="47">
        <v>4202</v>
      </c>
      <c r="R59" s="47"/>
      <c r="S59" s="47">
        <f t="shared" si="1"/>
        <v>4202</v>
      </c>
      <c r="T59" s="47">
        <f t="shared" si="5"/>
        <v>11.9671232876712</v>
      </c>
      <c r="U59" s="42">
        <v>10000</v>
      </c>
      <c r="V59" s="42">
        <v>4202</v>
      </c>
      <c r="W59" s="42">
        <v>500</v>
      </c>
      <c r="X59" s="42"/>
      <c r="Y59" s="42"/>
      <c r="Z59" s="42"/>
      <c r="AA59" s="42"/>
      <c r="AB59" s="42"/>
      <c r="AC59" s="42"/>
      <c r="AD59" s="42"/>
      <c r="AE59" s="42" t="s">
        <v>48</v>
      </c>
      <c r="AF59" s="42" t="s">
        <v>48</v>
      </c>
      <c r="AG59" s="42" t="s">
        <v>48</v>
      </c>
      <c r="AH59" s="42" t="s">
        <v>48</v>
      </c>
      <c r="AI59" s="42" t="s">
        <v>48</v>
      </c>
      <c r="AJ59" s="42" t="s">
        <v>48</v>
      </c>
      <c r="AK59" s="42" t="s">
        <v>48</v>
      </c>
      <c r="AL59" s="42" t="s">
        <v>48</v>
      </c>
      <c r="AM59" s="42" t="s">
        <v>48</v>
      </c>
      <c r="AN59" s="42" t="s">
        <v>48</v>
      </c>
      <c r="AO59" s="48" t="s">
        <v>191</v>
      </c>
      <c r="AP59" s="42">
        <v>18719409914</v>
      </c>
      <c r="AQ59" s="42"/>
    </row>
    <row r="60" s="1" customFormat="1" ht="20.15" customHeight="1" spans="1:43 16383:16384">
      <c r="A60" s="42">
        <f t="shared" si="0"/>
        <v>56</v>
      </c>
      <c r="B60" s="42" t="s">
        <v>44</v>
      </c>
      <c r="C60" s="42">
        <v>1054</v>
      </c>
      <c r="D60" s="43"/>
      <c r="E60" s="44">
        <v>27.15</v>
      </c>
      <c r="F60" s="42"/>
      <c r="G60" s="42">
        <v>3812</v>
      </c>
      <c r="H60" s="42">
        <v>500</v>
      </c>
      <c r="I60" s="42" t="s">
        <v>192</v>
      </c>
      <c r="J60" s="42"/>
      <c r="K60" s="45" t="s">
        <v>193</v>
      </c>
      <c r="L60" s="42" t="s">
        <v>11</v>
      </c>
      <c r="M60" s="46">
        <v>45605</v>
      </c>
      <c r="N60" s="46">
        <v>45748</v>
      </c>
      <c r="O60" s="46">
        <v>46112</v>
      </c>
      <c r="P60" s="46">
        <v>45748</v>
      </c>
      <c r="Q60" s="47">
        <v>4200</v>
      </c>
      <c r="R60" s="47"/>
      <c r="S60" s="47">
        <f t="shared" si="1"/>
        <v>4200</v>
      </c>
      <c r="T60" s="47">
        <f t="shared" si="5"/>
        <v>11.9671232876712</v>
      </c>
      <c r="U60" s="42">
        <v>10000</v>
      </c>
      <c r="V60" s="42">
        <v>4200</v>
      </c>
      <c r="W60" s="42">
        <v>500</v>
      </c>
      <c r="X60" s="42"/>
      <c r="Y60" s="42"/>
      <c r="Z60" s="49"/>
      <c r="AA60" s="42"/>
      <c r="AB60" s="49"/>
      <c r="AC60" s="42"/>
      <c r="AD60" s="42"/>
      <c r="AE60" s="42" t="s">
        <v>48</v>
      </c>
      <c r="AF60" s="42"/>
      <c r="AG60" s="42" t="s">
        <v>48</v>
      </c>
      <c r="AH60" s="42" t="s">
        <v>48</v>
      </c>
      <c r="AI60" s="42"/>
      <c r="AJ60" s="42" t="s">
        <v>48</v>
      </c>
      <c r="AK60" s="42"/>
      <c r="AL60" s="42" t="s">
        <v>48</v>
      </c>
      <c r="AM60" s="42"/>
      <c r="AN60" s="42"/>
      <c r="AO60" s="48" t="s">
        <v>194</v>
      </c>
      <c r="AP60" s="42">
        <v>13516992123</v>
      </c>
      <c r="AQ60" s="42" t="s">
        <v>52</v>
      </c>
    </row>
    <row r="61" s="1" customFormat="1" ht="20.15" customHeight="1" spans="1:43 16383:16384">
      <c r="A61" s="42">
        <f t="shared" si="0"/>
        <v>57</v>
      </c>
      <c r="B61" s="42" t="s">
        <v>44</v>
      </c>
      <c r="C61" s="42">
        <v>1055</v>
      </c>
      <c r="D61" s="43"/>
      <c r="E61" s="44">
        <v>26.49</v>
      </c>
      <c r="F61" s="42"/>
      <c r="G61" s="42">
        <v>3994</v>
      </c>
      <c r="H61" s="42">
        <v>500</v>
      </c>
      <c r="I61" s="42" t="s">
        <v>195</v>
      </c>
      <c r="J61" s="42"/>
      <c r="K61" s="45" t="s">
        <v>196</v>
      </c>
      <c r="L61" s="42" t="s">
        <v>11</v>
      </c>
      <c r="M61" s="46">
        <v>45626</v>
      </c>
      <c r="N61" s="46">
        <v>45717</v>
      </c>
      <c r="O61" s="46">
        <v>46081</v>
      </c>
      <c r="P61" s="46">
        <v>45717</v>
      </c>
      <c r="Q61" s="47">
        <v>4200</v>
      </c>
      <c r="R61" s="47"/>
      <c r="S61" s="47">
        <f t="shared" si="1"/>
        <v>4200</v>
      </c>
      <c r="T61" s="47">
        <f t="shared" si="5"/>
        <v>11.9671232876712</v>
      </c>
      <c r="U61" s="42">
        <v>10000</v>
      </c>
      <c r="V61" s="42">
        <v>4200</v>
      </c>
      <c r="W61" s="42">
        <v>500</v>
      </c>
      <c r="X61" s="42"/>
      <c r="Y61" s="42"/>
      <c r="Z61" s="49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8" t="s">
        <v>197</v>
      </c>
      <c r="AP61" s="42">
        <v>13247565187</v>
      </c>
      <c r="AQ61" s="42"/>
    </row>
    <row r="62" s="1" customFormat="1" ht="20.15" customHeight="1" spans="1:43 16383:16384">
      <c r="A62" s="42">
        <f t="shared" si="0"/>
        <v>58</v>
      </c>
      <c r="B62" s="42" t="s">
        <v>44</v>
      </c>
      <c r="C62" s="42">
        <v>1056</v>
      </c>
      <c r="D62" s="43"/>
      <c r="E62" s="44">
        <v>26.49</v>
      </c>
      <c r="F62" s="42"/>
      <c r="G62" s="42">
        <v>3812</v>
      </c>
      <c r="H62" s="42">
        <v>500</v>
      </c>
      <c r="I62" s="42" t="s">
        <v>198</v>
      </c>
      <c r="J62" s="42"/>
      <c r="K62" s="45" t="s">
        <v>199</v>
      </c>
      <c r="L62" s="42" t="s">
        <v>11</v>
      </c>
      <c r="M62" s="46">
        <v>45619</v>
      </c>
      <c r="N62" s="46">
        <v>45748</v>
      </c>
      <c r="O62" s="46">
        <v>46112</v>
      </c>
      <c r="P62" s="46">
        <v>45748</v>
      </c>
      <c r="Q62" s="47">
        <v>4200</v>
      </c>
      <c r="R62" s="47"/>
      <c r="S62" s="47">
        <f t="shared" si="1"/>
        <v>4200</v>
      </c>
      <c r="T62" s="47">
        <f t="shared" si="5"/>
        <v>11.9671232876712</v>
      </c>
      <c r="U62" s="42">
        <f>2101+7899</f>
        <v>10000</v>
      </c>
      <c r="V62" s="42">
        <v>4200</v>
      </c>
      <c r="W62" s="42">
        <v>500</v>
      </c>
      <c r="X62" s="42"/>
      <c r="Y62" s="42"/>
      <c r="Z62" s="49"/>
      <c r="AA62" s="42"/>
      <c r="AB62" s="49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8" t="s">
        <v>200</v>
      </c>
      <c r="AP62" s="42">
        <v>18267893288</v>
      </c>
      <c r="AQ62" s="42" t="s">
        <v>52</v>
      </c>
    </row>
    <row r="63" s="1" customFormat="1" ht="20.15" customHeight="1" spans="1:43 16383:16384">
      <c r="A63" s="42">
        <f t="shared" si="0"/>
        <v>59</v>
      </c>
      <c r="B63" s="42" t="s">
        <v>44</v>
      </c>
      <c r="C63" s="42">
        <v>1057</v>
      </c>
      <c r="D63" s="43"/>
      <c r="E63" s="44">
        <v>26.49</v>
      </c>
      <c r="F63" s="42"/>
      <c r="G63" s="42">
        <v>3812</v>
      </c>
      <c r="H63" s="42">
        <v>500</v>
      </c>
      <c r="I63" s="42" t="s">
        <v>201</v>
      </c>
      <c r="J63" s="42"/>
      <c r="K63" s="45" t="s">
        <v>202</v>
      </c>
      <c r="L63" s="42" t="s">
        <v>11</v>
      </c>
      <c r="M63" s="46">
        <v>45624</v>
      </c>
      <c r="N63" s="46">
        <v>45748</v>
      </c>
      <c r="O63" s="46">
        <v>46112</v>
      </c>
      <c r="P63" s="46">
        <v>45748</v>
      </c>
      <c r="Q63" s="47">
        <v>4200</v>
      </c>
      <c r="R63" s="47"/>
      <c r="S63" s="47">
        <f t="shared" si="1"/>
        <v>4200</v>
      </c>
      <c r="T63" s="47">
        <f t="shared" si="5"/>
        <v>11.9671232876712</v>
      </c>
      <c r="U63" s="42">
        <v>10000</v>
      </c>
      <c r="V63" s="42">
        <v>4200</v>
      </c>
      <c r="W63" s="42">
        <v>500</v>
      </c>
      <c r="X63" s="42"/>
      <c r="Y63" s="42"/>
      <c r="Z63" s="49"/>
      <c r="AA63" s="42"/>
      <c r="AB63" s="49"/>
      <c r="AC63" s="42"/>
      <c r="AD63" s="42"/>
      <c r="AE63" s="42" t="s">
        <v>48</v>
      </c>
      <c r="AF63" s="42" t="s">
        <v>48</v>
      </c>
      <c r="AG63" s="42" t="s">
        <v>48</v>
      </c>
      <c r="AH63" s="42" t="s">
        <v>48</v>
      </c>
      <c r="AI63" s="42"/>
      <c r="AJ63" s="42"/>
      <c r="AK63" s="42"/>
      <c r="AL63" s="42" t="s">
        <v>48</v>
      </c>
      <c r="AM63" s="42"/>
      <c r="AN63" s="42"/>
      <c r="AO63" s="48" t="s">
        <v>203</v>
      </c>
      <c r="AP63" s="42">
        <v>18680266833</v>
      </c>
      <c r="AQ63" s="42"/>
    </row>
    <row r="64" s="4" customFormat="1" ht="20.15" customHeight="1" spans="1:43 16383:16384">
      <c r="A64" s="66">
        <f t="shared" si="0"/>
        <v>60</v>
      </c>
      <c r="B64" s="66" t="s">
        <v>44</v>
      </c>
      <c r="C64" s="66">
        <v>1058</v>
      </c>
      <c r="D64" s="79"/>
      <c r="E64" s="80">
        <v>26.49</v>
      </c>
      <c r="F64" s="66"/>
      <c r="G64" s="66">
        <v>3812</v>
      </c>
      <c r="H64" s="66">
        <v>3812</v>
      </c>
      <c r="I64" s="66" t="s">
        <v>204</v>
      </c>
      <c r="J64" s="66"/>
      <c r="K64" s="81" t="s">
        <v>205</v>
      </c>
      <c r="L64" s="66" t="s">
        <v>11</v>
      </c>
      <c r="M64" s="67">
        <v>45962</v>
      </c>
      <c r="N64" s="67">
        <v>45962</v>
      </c>
      <c r="O64" s="67">
        <v>46326</v>
      </c>
      <c r="P64" s="67">
        <v>45962</v>
      </c>
      <c r="Q64" s="68">
        <v>4200</v>
      </c>
      <c r="R64" s="68"/>
      <c r="S64" s="68">
        <f t="shared" si="1"/>
        <v>4200</v>
      </c>
      <c r="T64" s="68">
        <f t="shared" si="5"/>
        <v>11.9671232876712</v>
      </c>
      <c r="U64" s="66">
        <v>10000</v>
      </c>
      <c r="V64" s="66">
        <v>4200</v>
      </c>
      <c r="W64" s="66">
        <v>500</v>
      </c>
      <c r="X64" s="66"/>
      <c r="Y64" s="66"/>
      <c r="Z64" s="82"/>
      <c r="AA64" s="66"/>
      <c r="AB64" s="82"/>
      <c r="AC64" s="66"/>
      <c r="AD64" s="66"/>
      <c r="AE64" s="66" t="s">
        <v>48</v>
      </c>
      <c r="AF64" s="66" t="s">
        <v>48</v>
      </c>
      <c r="AG64" s="66" t="s">
        <v>48</v>
      </c>
      <c r="AH64" s="66" t="s">
        <v>48</v>
      </c>
      <c r="AI64" s="66"/>
      <c r="AJ64" s="66"/>
      <c r="AK64" s="66"/>
      <c r="AL64" s="66" t="s">
        <v>48</v>
      </c>
      <c r="AM64" s="66"/>
      <c r="AN64" s="66"/>
      <c r="AO64" s="69" t="s">
        <v>206</v>
      </c>
      <c r="AP64" s="66">
        <v>16616652050</v>
      </c>
      <c r="AQ64" s="66" t="s">
        <v>52</v>
      </c>
      <c r="XFC64" s="83"/>
      <c r="XFD64" s="83"/>
    </row>
    <row r="65" s="1" customFormat="1" ht="20.15" customHeight="1" spans="1:43">
      <c r="A65" s="42">
        <f t="shared" si="0"/>
        <v>61</v>
      </c>
      <c r="B65" s="42" t="s">
        <v>44</v>
      </c>
      <c r="C65" s="42">
        <v>1059</v>
      </c>
      <c r="D65" s="43"/>
      <c r="E65" s="44">
        <v>26.49</v>
      </c>
      <c r="F65" s="42"/>
      <c r="G65" s="42">
        <v>3812</v>
      </c>
      <c r="H65" s="42">
        <v>500</v>
      </c>
      <c r="I65" s="42" t="s">
        <v>207</v>
      </c>
      <c r="J65" s="42"/>
      <c r="K65" s="45" t="s">
        <v>208</v>
      </c>
      <c r="L65" s="42" t="s">
        <v>11</v>
      </c>
      <c r="M65" s="46">
        <v>45626</v>
      </c>
      <c r="N65" s="46">
        <v>45748</v>
      </c>
      <c r="O65" s="46">
        <v>46112</v>
      </c>
      <c r="P65" s="46">
        <v>45748</v>
      </c>
      <c r="Q65" s="47">
        <v>4200</v>
      </c>
      <c r="R65" s="47"/>
      <c r="S65" s="47">
        <f t="shared" si="1"/>
        <v>4200</v>
      </c>
      <c r="T65" s="47">
        <f t="shared" si="5"/>
        <v>11.9671232876712</v>
      </c>
      <c r="U65" s="42">
        <v>10000</v>
      </c>
      <c r="V65" s="42">
        <v>4200</v>
      </c>
      <c r="W65" s="42">
        <v>500</v>
      </c>
      <c r="X65" s="42"/>
      <c r="Y65" s="42"/>
      <c r="Z65" s="49"/>
      <c r="AA65" s="42"/>
      <c r="AB65" s="49"/>
      <c r="AC65" s="42"/>
      <c r="AD65" s="42"/>
      <c r="AE65" s="42" t="s">
        <v>48</v>
      </c>
      <c r="AF65" s="42"/>
      <c r="AG65" s="42" t="s">
        <v>48</v>
      </c>
      <c r="AH65" s="42" t="s">
        <v>48</v>
      </c>
      <c r="AI65" s="42"/>
      <c r="AJ65" s="42"/>
      <c r="AK65" s="42"/>
      <c r="AL65" s="42" t="s">
        <v>48</v>
      </c>
      <c r="AM65" s="42"/>
      <c r="AN65" s="42"/>
      <c r="AO65" s="48" t="s">
        <v>209</v>
      </c>
      <c r="AP65" s="42">
        <v>13562455889</v>
      </c>
      <c r="AQ65" s="42" t="s">
        <v>52</v>
      </c>
    </row>
    <row r="66" s="1" customFormat="1" ht="20.15" customHeight="1" spans="1:43">
      <c r="A66" s="42">
        <f t="shared" si="0"/>
        <v>62</v>
      </c>
      <c r="B66" s="42" t="s">
        <v>44</v>
      </c>
      <c r="C66" s="42">
        <v>1060</v>
      </c>
      <c r="D66" s="43"/>
      <c r="E66" s="44">
        <v>26.49</v>
      </c>
      <c r="F66" s="42"/>
      <c r="G66" s="42">
        <v>3000</v>
      </c>
      <c r="H66" s="42">
        <v>500</v>
      </c>
      <c r="I66" s="42" t="s">
        <v>210</v>
      </c>
      <c r="J66" s="42"/>
      <c r="K66" s="45" t="s">
        <v>211</v>
      </c>
      <c r="L66" s="42" t="s">
        <v>11</v>
      </c>
      <c r="M66" s="46">
        <v>45612</v>
      </c>
      <c r="N66" s="46">
        <v>45748</v>
      </c>
      <c r="O66" s="46">
        <v>46082</v>
      </c>
      <c r="P66" s="46">
        <v>45748</v>
      </c>
      <c r="Q66" s="47">
        <v>4200</v>
      </c>
      <c r="R66" s="47"/>
      <c r="S66" s="47">
        <f t="shared" si="1"/>
        <v>4200</v>
      </c>
      <c r="T66" s="47">
        <f t="shared" si="5"/>
        <v>10.9808219178082</v>
      </c>
      <c r="U66" s="42">
        <f>2101+7899</f>
        <v>10000</v>
      </c>
      <c r="V66" s="42">
        <v>4200</v>
      </c>
      <c r="W66" s="42">
        <v>500</v>
      </c>
      <c r="X66" s="42"/>
      <c r="Y66" s="42"/>
      <c r="Z66" s="49"/>
      <c r="AA66" s="42"/>
      <c r="AB66" s="49"/>
      <c r="AC66" s="42"/>
      <c r="AD66" s="42"/>
      <c r="AE66" s="42" t="s">
        <v>48</v>
      </c>
      <c r="AF66" s="42"/>
      <c r="AG66" s="42" t="s">
        <v>48</v>
      </c>
      <c r="AH66" s="42" t="s">
        <v>48</v>
      </c>
      <c r="AI66" s="42"/>
      <c r="AJ66" s="42"/>
      <c r="AK66" s="42"/>
      <c r="AL66" s="42" t="s">
        <v>48</v>
      </c>
      <c r="AM66" s="42"/>
      <c r="AN66" s="42"/>
      <c r="AO66" s="48" t="s">
        <v>212</v>
      </c>
      <c r="AP66" s="175" t="s">
        <v>213</v>
      </c>
      <c r="AQ66" s="42" t="s">
        <v>52</v>
      </c>
    </row>
    <row r="67" s="1" customFormat="1" ht="20.15" customHeight="1" spans="1:43">
      <c r="A67" s="42">
        <f t="shared" si="0"/>
        <v>63</v>
      </c>
      <c r="B67" s="42" t="s">
        <v>44</v>
      </c>
      <c r="C67" s="42">
        <v>1061</v>
      </c>
      <c r="D67" s="43"/>
      <c r="E67" s="44">
        <v>26.49</v>
      </c>
      <c r="F67" s="42"/>
      <c r="G67" s="42">
        <v>3500</v>
      </c>
      <c r="H67" s="42">
        <v>200</v>
      </c>
      <c r="I67" s="42" t="s">
        <v>214</v>
      </c>
      <c r="J67" s="42"/>
      <c r="K67" s="45" t="s">
        <v>215</v>
      </c>
      <c r="L67" s="42" t="s">
        <v>11</v>
      </c>
      <c r="M67" s="46">
        <v>45952</v>
      </c>
      <c r="N67" s="46">
        <v>45901</v>
      </c>
      <c r="O67" s="46">
        <v>46265</v>
      </c>
      <c r="P67" s="46">
        <v>45901</v>
      </c>
      <c r="Q67" s="47">
        <v>3500</v>
      </c>
      <c r="R67" s="47"/>
      <c r="S67" s="47">
        <f t="shared" si="1"/>
        <v>3500</v>
      </c>
      <c r="T67" s="47">
        <f t="shared" si="5"/>
        <v>11.9671232876712</v>
      </c>
      <c r="U67" s="42">
        <v>10000</v>
      </c>
      <c r="V67" s="47">
        <v>3500</v>
      </c>
      <c r="W67" s="42">
        <v>200</v>
      </c>
      <c r="X67" s="42"/>
      <c r="Y67" s="42"/>
      <c r="Z67" s="42"/>
      <c r="AA67" s="42"/>
      <c r="AB67" s="42"/>
      <c r="AC67" s="42"/>
      <c r="AD67" s="42" t="s">
        <v>48</v>
      </c>
      <c r="AE67" s="42" t="s">
        <v>48</v>
      </c>
      <c r="AF67" s="42" t="s">
        <v>48</v>
      </c>
      <c r="AG67" s="42" t="s">
        <v>48</v>
      </c>
      <c r="AH67" s="42" t="s">
        <v>48</v>
      </c>
      <c r="AI67" s="42" t="s">
        <v>48</v>
      </c>
      <c r="AJ67" s="42" t="s">
        <v>48</v>
      </c>
      <c r="AK67" s="42" t="s">
        <v>48</v>
      </c>
      <c r="AL67" s="42" t="s">
        <v>48</v>
      </c>
      <c r="AM67" s="42" t="s">
        <v>48</v>
      </c>
      <c r="AN67" s="42" t="s">
        <v>48</v>
      </c>
      <c r="AO67" s="48" t="s">
        <v>216</v>
      </c>
      <c r="AP67" s="42">
        <v>13711515678</v>
      </c>
      <c r="AQ67" s="42"/>
    </row>
    <row r="68" s="1" customFormat="1" ht="20.15" customHeight="1" spans="1:43">
      <c r="A68" s="42">
        <f t="shared" si="0"/>
        <v>64</v>
      </c>
      <c r="B68" s="42" t="s">
        <v>44</v>
      </c>
      <c r="C68" s="42">
        <v>1062</v>
      </c>
      <c r="D68" s="43"/>
      <c r="E68" s="44">
        <v>27.15</v>
      </c>
      <c r="F68" s="42"/>
      <c r="G68" s="42">
        <v>3812</v>
      </c>
      <c r="H68" s="42">
        <v>500</v>
      </c>
      <c r="I68" s="42" t="s">
        <v>217</v>
      </c>
      <c r="J68" s="42"/>
      <c r="K68" s="42">
        <f>C68</f>
        <v>1062</v>
      </c>
      <c r="L68" s="42" t="s">
        <v>11</v>
      </c>
      <c r="M68" s="49">
        <v>45607</v>
      </c>
      <c r="N68" s="46">
        <v>45748</v>
      </c>
      <c r="O68" s="46">
        <v>46112</v>
      </c>
      <c r="P68" s="46">
        <v>45748</v>
      </c>
      <c r="Q68" s="47">
        <v>3000</v>
      </c>
      <c r="R68" s="47"/>
      <c r="S68" s="47">
        <f t="shared" si="1"/>
        <v>3000</v>
      </c>
      <c r="T68" s="47">
        <f t="shared" si="5"/>
        <v>11.9671232876712</v>
      </c>
      <c r="U68" s="42">
        <v>10000</v>
      </c>
      <c r="V68" s="42">
        <v>3000</v>
      </c>
      <c r="W68" s="42"/>
      <c r="X68" s="42"/>
      <c r="Y68" s="42"/>
      <c r="Z68" s="49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8" t="s">
        <v>218</v>
      </c>
      <c r="AP68" s="42">
        <v>13570548373</v>
      </c>
      <c r="AQ68" s="42" t="s">
        <v>219</v>
      </c>
    </row>
    <row r="69" s="1" customFormat="1" ht="20.15" customHeight="1" spans="1:43">
      <c r="A69" s="42">
        <f t="shared" ref="A69:A116" si="6">ROW()-4</f>
        <v>65</v>
      </c>
      <c r="B69" s="42" t="s">
        <v>44</v>
      </c>
      <c r="C69" s="42">
        <v>1063</v>
      </c>
      <c r="D69" s="43"/>
      <c r="E69" s="44">
        <v>6.21</v>
      </c>
      <c r="F69" s="42"/>
      <c r="G69" s="42">
        <v>2032</v>
      </c>
      <c r="H69" s="42">
        <v>200</v>
      </c>
      <c r="I69" s="42" t="s">
        <v>220</v>
      </c>
      <c r="J69" s="42"/>
      <c r="K69" s="45" t="s">
        <v>221</v>
      </c>
      <c r="L69" s="42" t="s">
        <v>11</v>
      </c>
      <c r="M69" s="46">
        <v>45626</v>
      </c>
      <c r="N69" s="46">
        <v>45748</v>
      </c>
      <c r="O69" s="46">
        <v>46112</v>
      </c>
      <c r="P69" s="46">
        <v>45748</v>
      </c>
      <c r="Q69" s="47">
        <v>1600</v>
      </c>
      <c r="R69" s="47"/>
      <c r="S69" s="47">
        <f t="shared" ref="S69:S75" si="7">Q69+R69</f>
        <v>1600</v>
      </c>
      <c r="T69" s="47">
        <f t="shared" si="5"/>
        <v>11.9671232876712</v>
      </c>
      <c r="U69" s="42">
        <v>10000</v>
      </c>
      <c r="V69" s="42">
        <v>1600</v>
      </c>
      <c r="W69" s="42">
        <v>0</v>
      </c>
      <c r="X69" s="42"/>
      <c r="Y69" s="42"/>
      <c r="Z69" s="49"/>
      <c r="AA69" s="42"/>
      <c r="AB69" s="42"/>
      <c r="AC69" s="42"/>
      <c r="AD69" s="42"/>
      <c r="AE69" s="42" t="s">
        <v>48</v>
      </c>
      <c r="AF69" s="42" t="s">
        <v>48</v>
      </c>
      <c r="AG69" s="42" t="s">
        <v>48</v>
      </c>
      <c r="AH69" s="42" t="s">
        <v>48</v>
      </c>
      <c r="AI69" s="42"/>
      <c r="AJ69" s="42"/>
      <c r="AK69" s="42" t="s">
        <v>48</v>
      </c>
      <c r="AL69" s="42" t="s">
        <v>48</v>
      </c>
      <c r="AM69" s="42" t="s">
        <v>48</v>
      </c>
      <c r="AN69" s="42"/>
      <c r="AO69" s="48" t="s">
        <v>222</v>
      </c>
      <c r="AP69" s="42">
        <v>18902231189</v>
      </c>
      <c r="AQ69" s="42"/>
    </row>
    <row r="70" s="1" customFormat="1" ht="20.15" customHeight="1" spans="1:43">
      <c r="A70" s="42">
        <f t="shared" si="6"/>
        <v>66</v>
      </c>
      <c r="B70" s="42" t="s">
        <v>44</v>
      </c>
      <c r="C70" s="42">
        <v>1065</v>
      </c>
      <c r="D70" s="43"/>
      <c r="E70" s="44">
        <v>6.21</v>
      </c>
      <c r="F70" s="42"/>
      <c r="G70" s="42">
        <v>2032</v>
      </c>
      <c r="H70" s="42">
        <v>200</v>
      </c>
      <c r="I70" s="42" t="s">
        <v>223</v>
      </c>
      <c r="J70" s="42"/>
      <c r="K70" s="42">
        <v>1065</v>
      </c>
      <c r="L70" s="42" t="s">
        <v>224</v>
      </c>
      <c r="M70" s="46">
        <v>45805</v>
      </c>
      <c r="N70" s="46">
        <v>45814</v>
      </c>
      <c r="O70" s="46">
        <v>46178</v>
      </c>
      <c r="P70" s="46">
        <v>45814</v>
      </c>
      <c r="Q70" s="47">
        <v>1200</v>
      </c>
      <c r="R70" s="47"/>
      <c r="S70" s="47">
        <f t="shared" si="7"/>
        <v>1200</v>
      </c>
      <c r="T70" s="47">
        <f t="shared" si="5"/>
        <v>11.9671232876712</v>
      </c>
      <c r="U70" s="42">
        <v>3600</v>
      </c>
      <c r="V70" s="42">
        <v>1200</v>
      </c>
      <c r="W70" s="42">
        <v>0</v>
      </c>
      <c r="X70" s="42"/>
      <c r="Y70" s="42"/>
      <c r="Z70" s="49"/>
      <c r="AA70" s="42"/>
      <c r="AB70" s="49"/>
      <c r="AC70" s="42"/>
      <c r="AD70" s="42"/>
      <c r="AE70" s="42" t="s">
        <v>48</v>
      </c>
      <c r="AF70" s="42" t="s">
        <v>48</v>
      </c>
      <c r="AG70" s="42" t="s">
        <v>48</v>
      </c>
      <c r="AH70" s="42" t="s">
        <v>48</v>
      </c>
      <c r="AI70" s="42"/>
      <c r="AJ70" s="42"/>
      <c r="AK70" s="42" t="s">
        <v>48</v>
      </c>
      <c r="AL70" s="42" t="s">
        <v>48</v>
      </c>
      <c r="AM70" s="42" t="s">
        <v>48</v>
      </c>
      <c r="AN70" s="42" t="s">
        <v>48</v>
      </c>
      <c r="AO70" s="48" t="s">
        <v>225</v>
      </c>
      <c r="AP70" s="42">
        <v>13318867399</v>
      </c>
      <c r="AQ70" s="42"/>
    </row>
    <row r="71" s="1" customFormat="1" ht="20.15" customHeight="1" spans="1:43">
      <c r="A71" s="42">
        <f t="shared" si="6"/>
        <v>67</v>
      </c>
      <c r="B71" s="42" t="s">
        <v>44</v>
      </c>
      <c r="C71" s="42">
        <v>1066</v>
      </c>
      <c r="D71" s="43"/>
      <c r="E71" s="44">
        <v>27.15</v>
      </c>
      <c r="F71" s="42"/>
      <c r="G71" s="42">
        <v>3832</v>
      </c>
      <c r="H71" s="42">
        <v>500</v>
      </c>
      <c r="I71" s="42" t="s">
        <v>226</v>
      </c>
      <c r="J71" s="42"/>
      <c r="K71" s="45" t="s">
        <v>227</v>
      </c>
      <c r="L71" s="42" t="s">
        <v>11</v>
      </c>
      <c r="M71" s="46">
        <v>45648</v>
      </c>
      <c r="N71" s="46">
        <v>45748</v>
      </c>
      <c r="O71" s="46">
        <v>46112</v>
      </c>
      <c r="P71" s="46">
        <v>45748</v>
      </c>
      <c r="Q71" s="47">
        <v>4200</v>
      </c>
      <c r="R71" s="47"/>
      <c r="S71" s="47">
        <f t="shared" si="7"/>
        <v>4200</v>
      </c>
      <c r="T71" s="47">
        <f t="shared" si="5"/>
        <v>11.9671232876712</v>
      </c>
      <c r="U71" s="42">
        <v>10000</v>
      </c>
      <c r="V71" s="42">
        <v>4200</v>
      </c>
      <c r="W71" s="42">
        <v>500</v>
      </c>
      <c r="X71" s="42"/>
      <c r="Y71" s="42"/>
      <c r="Z71" s="42"/>
      <c r="AA71" s="42"/>
      <c r="AB71" s="42"/>
      <c r="AC71" s="42"/>
      <c r="AD71" s="42"/>
      <c r="AE71" s="42" t="s">
        <v>48</v>
      </c>
      <c r="AF71" s="42" t="s">
        <v>48</v>
      </c>
      <c r="AG71" s="42" t="s">
        <v>48</v>
      </c>
      <c r="AH71" s="42" t="s">
        <v>48</v>
      </c>
      <c r="AI71" s="42"/>
      <c r="AJ71" s="42"/>
      <c r="AK71" s="42" t="s">
        <v>48</v>
      </c>
      <c r="AL71" s="42" t="s">
        <v>48</v>
      </c>
      <c r="AM71" s="42" t="s">
        <v>48</v>
      </c>
      <c r="AN71" s="42" t="s">
        <v>48</v>
      </c>
      <c r="AO71" s="48" t="s">
        <v>228</v>
      </c>
      <c r="AP71" s="42">
        <v>18929110733</v>
      </c>
      <c r="AQ71" s="42"/>
    </row>
    <row r="72" s="1" customFormat="1" ht="20.15" customHeight="1" spans="1:43">
      <c r="A72" s="42">
        <f t="shared" si="6"/>
        <v>68</v>
      </c>
      <c r="B72" s="42" t="s">
        <v>44</v>
      </c>
      <c r="C72" s="84" t="s">
        <v>229</v>
      </c>
      <c r="D72" s="43"/>
      <c r="E72" s="85"/>
      <c r="F72" s="85">
        <v>1.5</v>
      </c>
      <c r="G72" s="86"/>
      <c r="H72" s="42"/>
      <c r="I72" s="87" t="s">
        <v>217</v>
      </c>
      <c r="J72" s="42"/>
      <c r="K72" s="45" t="s">
        <v>230</v>
      </c>
      <c r="L72" s="42" t="s">
        <v>11</v>
      </c>
      <c r="M72" s="88">
        <v>45671</v>
      </c>
      <c r="N72" s="88">
        <v>45698</v>
      </c>
      <c r="O72" s="88">
        <v>46062</v>
      </c>
      <c r="P72" s="88">
        <v>45698</v>
      </c>
      <c r="Q72" s="86">
        <v>1500</v>
      </c>
      <c r="R72" s="86"/>
      <c r="S72" s="47">
        <f t="shared" si="7"/>
        <v>1500</v>
      </c>
      <c r="T72" s="47">
        <f t="shared" si="5"/>
        <v>11.9671232876712</v>
      </c>
      <c r="U72" s="86">
        <v>2300</v>
      </c>
      <c r="V72" s="86">
        <v>1500</v>
      </c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89" t="s">
        <v>218</v>
      </c>
      <c r="AP72" s="86">
        <v>13570548373</v>
      </c>
      <c r="AQ72" s="42"/>
    </row>
    <row r="73" s="1" customFormat="1" ht="20.15" customHeight="1" spans="1:43">
      <c r="A73" s="42">
        <f t="shared" si="6"/>
        <v>69</v>
      </c>
      <c r="B73" s="42" t="s">
        <v>44</v>
      </c>
      <c r="C73" s="84" t="s">
        <v>231</v>
      </c>
      <c r="D73" s="43"/>
      <c r="E73" s="85"/>
      <c r="F73" s="85">
        <v>3</v>
      </c>
      <c r="G73" s="86"/>
      <c r="H73" s="42"/>
      <c r="I73" s="87" t="s">
        <v>232</v>
      </c>
      <c r="J73" s="42"/>
      <c r="K73" s="45" t="s">
        <v>233</v>
      </c>
      <c r="L73" s="42" t="s">
        <v>11</v>
      </c>
      <c r="M73" s="88">
        <v>45795</v>
      </c>
      <c r="N73" s="88">
        <v>45809</v>
      </c>
      <c r="O73" s="88">
        <v>46173</v>
      </c>
      <c r="P73" s="88">
        <v>45809</v>
      </c>
      <c r="Q73" s="86">
        <v>1200</v>
      </c>
      <c r="R73" s="86"/>
      <c r="S73" s="47">
        <f t="shared" si="7"/>
        <v>1200</v>
      </c>
      <c r="T73" s="47">
        <f t="shared" si="5"/>
        <v>11.9671232876712</v>
      </c>
      <c r="U73" s="86">
        <v>1200</v>
      </c>
      <c r="V73" s="86">
        <v>1200</v>
      </c>
      <c r="W73" s="42"/>
      <c r="X73" s="42"/>
      <c r="Y73" s="42"/>
      <c r="Z73" s="62"/>
      <c r="AA73" s="62"/>
      <c r="AB73" s="62"/>
      <c r="AC73" s="62"/>
      <c r="AD73" s="42"/>
      <c r="AE73" s="42" t="s">
        <v>48</v>
      </c>
      <c r="AF73" s="42" t="s">
        <v>48</v>
      </c>
      <c r="AG73" s="42" t="s">
        <v>48</v>
      </c>
      <c r="AH73" s="42" t="s">
        <v>48</v>
      </c>
      <c r="AI73" s="42"/>
      <c r="AJ73" s="42"/>
      <c r="AK73" s="42" t="s">
        <v>48</v>
      </c>
      <c r="AL73" s="42" t="s">
        <v>48</v>
      </c>
      <c r="AM73" s="42" t="s">
        <v>48</v>
      </c>
      <c r="AN73" s="42" t="s">
        <v>48</v>
      </c>
      <c r="AO73" s="89" t="s">
        <v>234</v>
      </c>
      <c r="AP73" s="177" t="s">
        <v>235</v>
      </c>
      <c r="AQ73" s="42"/>
    </row>
    <row r="74" s="1" customFormat="1" ht="20.15" customHeight="1" spans="1:43">
      <c r="A74" s="42">
        <f t="shared" si="6"/>
        <v>70</v>
      </c>
      <c r="B74" s="42" t="s">
        <v>44</v>
      </c>
      <c r="C74" s="84" t="s">
        <v>236</v>
      </c>
      <c r="D74" s="43"/>
      <c r="E74" s="85"/>
      <c r="F74" s="85">
        <v>3</v>
      </c>
      <c r="G74" s="86">
        <v>2000</v>
      </c>
      <c r="H74" s="42">
        <v>100</v>
      </c>
      <c r="I74" s="42" t="s">
        <v>232</v>
      </c>
      <c r="J74" s="42"/>
      <c r="K74" s="45" t="s">
        <v>233</v>
      </c>
      <c r="L74" s="42" t="s">
        <v>11</v>
      </c>
      <c r="M74" s="88">
        <v>45795</v>
      </c>
      <c r="N74" s="88">
        <v>45809</v>
      </c>
      <c r="O74" s="88">
        <v>46173</v>
      </c>
      <c r="P74" s="88">
        <v>45809</v>
      </c>
      <c r="Q74" s="86"/>
      <c r="R74" s="86"/>
      <c r="S74" s="47">
        <f t="shared" si="7"/>
        <v>0</v>
      </c>
      <c r="T74" s="47">
        <f t="shared" si="5"/>
        <v>11.9671232876712</v>
      </c>
      <c r="U74" s="86"/>
      <c r="V74" s="86"/>
      <c r="W74" s="42"/>
      <c r="X74" s="42"/>
      <c r="Y74" s="42"/>
      <c r="Z74" s="62"/>
      <c r="AA74" s="62"/>
      <c r="AB74" s="62"/>
      <c r="AC74" s="62"/>
      <c r="AD74" s="42"/>
      <c r="AE74" s="42" t="s">
        <v>48</v>
      </c>
      <c r="AF74" s="42" t="s">
        <v>48</v>
      </c>
      <c r="AG74" s="42" t="s">
        <v>48</v>
      </c>
      <c r="AH74" s="42" t="s">
        <v>48</v>
      </c>
      <c r="AI74" s="42"/>
      <c r="AJ74" s="42"/>
      <c r="AK74" s="42" t="s">
        <v>48</v>
      </c>
      <c r="AL74" s="42" t="s">
        <v>48</v>
      </c>
      <c r="AM74" s="42" t="s">
        <v>48</v>
      </c>
      <c r="AN74" s="42" t="s">
        <v>48</v>
      </c>
      <c r="AO74" s="89" t="s">
        <v>234</v>
      </c>
      <c r="AP74" s="177" t="s">
        <v>235</v>
      </c>
      <c r="AQ74" s="42" t="s">
        <v>237</v>
      </c>
    </row>
    <row r="75" s="1" customFormat="1" ht="20.15" customHeight="1" spans="1:43">
      <c r="A75" s="42">
        <f t="shared" si="6"/>
        <v>71</v>
      </c>
      <c r="B75" s="42" t="s">
        <v>44</v>
      </c>
      <c r="C75" s="84" t="s">
        <v>238</v>
      </c>
      <c r="D75" s="90"/>
      <c r="E75" s="85"/>
      <c r="F75" s="85"/>
      <c r="G75" s="86"/>
      <c r="H75" s="42"/>
      <c r="I75" s="42" t="s">
        <v>239</v>
      </c>
      <c r="J75" s="42"/>
      <c r="K75" s="84" t="s">
        <v>238</v>
      </c>
      <c r="L75" s="42" t="s">
        <v>11</v>
      </c>
      <c r="M75" s="88">
        <v>45812</v>
      </c>
      <c r="N75" s="88">
        <v>45831</v>
      </c>
      <c r="O75" s="88">
        <v>46195</v>
      </c>
      <c r="P75" s="88">
        <v>45831</v>
      </c>
      <c r="Q75" s="86">
        <v>4000</v>
      </c>
      <c r="R75" s="86"/>
      <c r="S75" s="47">
        <f t="shared" si="7"/>
        <v>4000</v>
      </c>
      <c r="T75" s="47">
        <f t="shared" si="5"/>
        <v>11.9671232876712</v>
      </c>
      <c r="U75" s="91">
        <v>4000</v>
      </c>
      <c r="V75" s="86">
        <v>2000</v>
      </c>
      <c r="W75" s="42"/>
      <c r="X75" s="42"/>
      <c r="Y75" s="42"/>
      <c r="Z75" s="62"/>
      <c r="AA75" s="62"/>
      <c r="AB75" s="62"/>
      <c r="AC75" s="62"/>
      <c r="AD75" s="42"/>
      <c r="AE75" s="42" t="s">
        <v>48</v>
      </c>
      <c r="AF75" s="42" t="s">
        <v>48</v>
      </c>
      <c r="AG75" s="42" t="s">
        <v>48</v>
      </c>
      <c r="AH75" s="42" t="s">
        <v>48</v>
      </c>
      <c r="AI75" s="42" t="s">
        <v>48</v>
      </c>
      <c r="AJ75" s="42"/>
      <c r="AK75" s="42" t="s">
        <v>48</v>
      </c>
      <c r="AL75" s="42" t="s">
        <v>48</v>
      </c>
      <c r="AM75" s="42"/>
      <c r="AN75" s="42"/>
      <c r="AO75" s="89" t="s">
        <v>240</v>
      </c>
      <c r="AP75" s="86">
        <v>15944410897</v>
      </c>
      <c r="AQ75" s="42"/>
    </row>
    <row r="76" s="5" customFormat="1" ht="20.15" customHeight="1" spans="1:43">
      <c r="A76" s="71">
        <f t="shared" si="6"/>
        <v>72</v>
      </c>
      <c r="B76" s="71" t="s">
        <v>44</v>
      </c>
      <c r="C76" s="92" t="s">
        <v>241</v>
      </c>
      <c r="D76" s="93"/>
      <c r="E76" s="94"/>
      <c r="F76" s="94"/>
      <c r="G76" s="95"/>
      <c r="H76" s="71"/>
      <c r="I76" s="71" t="s">
        <v>242</v>
      </c>
      <c r="J76" s="71"/>
      <c r="K76" s="92" t="s">
        <v>241</v>
      </c>
      <c r="L76" s="71" t="s">
        <v>11</v>
      </c>
      <c r="M76" s="96">
        <v>45961</v>
      </c>
      <c r="N76" s="96">
        <v>45965</v>
      </c>
      <c r="O76" s="96">
        <v>46329</v>
      </c>
      <c r="P76" s="96">
        <v>45965</v>
      </c>
      <c r="Q76" s="95">
        <v>1500</v>
      </c>
      <c r="R76" s="95"/>
      <c r="S76" s="76">
        <v>1500</v>
      </c>
      <c r="T76" s="76">
        <v>12</v>
      </c>
      <c r="U76" s="97">
        <v>3400</v>
      </c>
      <c r="V76" s="95">
        <v>1500</v>
      </c>
      <c r="W76" s="71"/>
      <c r="X76" s="71"/>
      <c r="Y76" s="71"/>
      <c r="Z76" s="42"/>
      <c r="AA76" s="42"/>
      <c r="AB76" s="42"/>
      <c r="AC76" s="42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98" t="s">
        <v>243</v>
      </c>
      <c r="AP76" s="95">
        <v>13557456828</v>
      </c>
      <c r="AQ76" s="71"/>
    </row>
    <row r="77" s="1" customFormat="1" ht="20.15" customHeight="1" spans="1:43">
      <c r="A77" s="42">
        <f t="shared" si="6"/>
        <v>73</v>
      </c>
      <c r="B77" s="42" t="s">
        <v>244</v>
      </c>
      <c r="C77" s="42">
        <v>2001</v>
      </c>
      <c r="D77" s="43"/>
      <c r="E77" s="44">
        <v>27.42</v>
      </c>
      <c r="F77" s="42"/>
      <c r="G77" s="42">
        <v>3360</v>
      </c>
      <c r="H77" s="42">
        <v>500</v>
      </c>
      <c r="I77" s="42" t="s">
        <v>245</v>
      </c>
      <c r="J77" s="42"/>
      <c r="K77" s="45" t="s">
        <v>246</v>
      </c>
      <c r="L77" s="42" t="s">
        <v>11</v>
      </c>
      <c r="M77" s="46">
        <v>45609</v>
      </c>
      <c r="N77" s="46">
        <v>45597</v>
      </c>
      <c r="O77" s="46">
        <v>45961</v>
      </c>
      <c r="P77" s="46">
        <v>45597</v>
      </c>
      <c r="Q77" s="47">
        <v>1500</v>
      </c>
      <c r="R77" s="47"/>
      <c r="S77" s="47">
        <f t="shared" ref="S77:S140" si="8">Q77+R77</f>
        <v>1500</v>
      </c>
      <c r="T77" s="47">
        <f t="shared" ref="T77:T94" si="9">(O77-N77)/365*12</f>
        <v>11.9671232876712</v>
      </c>
      <c r="U77" s="42">
        <v>1500</v>
      </c>
      <c r="V77" s="42">
        <v>1500</v>
      </c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8" t="s">
        <v>247</v>
      </c>
      <c r="AP77" s="42">
        <v>18813225875</v>
      </c>
      <c r="AQ77" s="42" t="s">
        <v>248</v>
      </c>
    </row>
    <row r="78" s="1" customFormat="1" ht="20.15" customHeight="1" spans="1:43">
      <c r="A78" s="42">
        <f t="shared" si="6"/>
        <v>74</v>
      </c>
      <c r="B78" s="42" t="s">
        <v>244</v>
      </c>
      <c r="C78" s="42">
        <v>2002</v>
      </c>
      <c r="D78" s="43"/>
      <c r="E78" s="44">
        <v>19.54</v>
      </c>
      <c r="F78" s="42"/>
      <c r="G78" s="42">
        <v>3360</v>
      </c>
      <c r="H78" s="42">
        <v>500</v>
      </c>
      <c r="I78" s="42" t="s">
        <v>249</v>
      </c>
      <c r="J78" s="42"/>
      <c r="K78" s="45" t="s">
        <v>250</v>
      </c>
      <c r="L78" s="42" t="s">
        <v>11</v>
      </c>
      <c r="M78" s="46">
        <v>45625</v>
      </c>
      <c r="N78" s="46">
        <v>45717</v>
      </c>
      <c r="O78" s="46">
        <v>46081</v>
      </c>
      <c r="P78" s="46">
        <v>45717</v>
      </c>
      <c r="Q78" s="47">
        <v>2500</v>
      </c>
      <c r="R78" s="47"/>
      <c r="S78" s="47">
        <f t="shared" si="8"/>
        <v>2500</v>
      </c>
      <c r="T78" s="47">
        <f t="shared" si="9"/>
        <v>11.9671232876712</v>
      </c>
      <c r="U78" s="42">
        <v>10000</v>
      </c>
      <c r="V78" s="42">
        <v>2500</v>
      </c>
      <c r="W78" s="42">
        <v>200</v>
      </c>
      <c r="X78" s="42"/>
      <c r="Y78" s="42"/>
      <c r="Z78" s="42"/>
      <c r="AA78" s="42"/>
      <c r="AB78" s="42"/>
      <c r="AC78" s="42"/>
      <c r="AD78" s="42" t="s">
        <v>48</v>
      </c>
      <c r="AE78" s="42" t="s">
        <v>48</v>
      </c>
      <c r="AF78" s="42" t="s">
        <v>48</v>
      </c>
      <c r="AG78" s="42" t="s">
        <v>48</v>
      </c>
      <c r="AH78" s="42" t="s">
        <v>48</v>
      </c>
      <c r="AI78" s="42" t="s">
        <v>48</v>
      </c>
      <c r="AJ78" s="42" t="s">
        <v>48</v>
      </c>
      <c r="AK78" s="42" t="s">
        <v>48</v>
      </c>
      <c r="AL78" s="42" t="s">
        <v>48</v>
      </c>
      <c r="AM78" s="42" t="s">
        <v>48</v>
      </c>
      <c r="AN78" s="42" t="s">
        <v>48</v>
      </c>
      <c r="AO78" s="48" t="s">
        <v>251</v>
      </c>
      <c r="AP78" s="42">
        <v>15011790848</v>
      </c>
      <c r="AQ78" s="42"/>
    </row>
    <row r="79" s="1" customFormat="1" ht="20.15" customHeight="1" spans="1:43">
      <c r="A79" s="42">
        <f t="shared" si="6"/>
        <v>75</v>
      </c>
      <c r="B79" s="42" t="s">
        <v>244</v>
      </c>
      <c r="C79" s="42">
        <v>2003</v>
      </c>
      <c r="D79" s="43"/>
      <c r="E79" s="44">
        <v>19.54</v>
      </c>
      <c r="F79" s="42"/>
      <c r="G79" s="42">
        <v>3360</v>
      </c>
      <c r="H79" s="42">
        <v>500</v>
      </c>
      <c r="I79" s="42" t="s">
        <v>252</v>
      </c>
      <c r="J79" s="42"/>
      <c r="K79" s="45" t="s">
        <v>253</v>
      </c>
      <c r="L79" s="42" t="s">
        <v>11</v>
      </c>
      <c r="M79" s="46">
        <v>45619</v>
      </c>
      <c r="N79" s="46">
        <v>45689</v>
      </c>
      <c r="O79" s="46">
        <v>46053</v>
      </c>
      <c r="P79" s="46">
        <v>45689</v>
      </c>
      <c r="Q79" s="47">
        <v>2500</v>
      </c>
      <c r="R79" s="47"/>
      <c r="S79" s="47">
        <f t="shared" si="8"/>
        <v>2500</v>
      </c>
      <c r="T79" s="47">
        <f t="shared" si="9"/>
        <v>11.9671232876712</v>
      </c>
      <c r="U79" s="42">
        <v>10000</v>
      </c>
      <c r="V79" s="42">
        <v>2500</v>
      </c>
      <c r="W79" s="42">
        <v>200</v>
      </c>
      <c r="X79" s="42"/>
      <c r="Y79" s="42"/>
      <c r="Z79" s="42"/>
      <c r="AA79" s="42"/>
      <c r="AB79" s="42"/>
      <c r="AC79" s="42"/>
      <c r="AD79" s="42"/>
      <c r="AE79" s="42" t="s">
        <v>48</v>
      </c>
      <c r="AF79" s="42"/>
      <c r="AG79" s="42" t="s">
        <v>48</v>
      </c>
      <c r="AH79" s="42" t="s">
        <v>48</v>
      </c>
      <c r="AI79" s="42"/>
      <c r="AJ79" s="42"/>
      <c r="AK79" s="42"/>
      <c r="AL79" s="42" t="s">
        <v>48</v>
      </c>
      <c r="AM79" s="42"/>
      <c r="AN79" s="42"/>
      <c r="AO79" s="48" t="s">
        <v>254</v>
      </c>
      <c r="AP79" s="42">
        <v>17665045266</v>
      </c>
      <c r="AQ79" s="42"/>
    </row>
    <row r="80" s="1" customFormat="1" ht="20.15" customHeight="1" spans="1:43">
      <c r="A80" s="42">
        <f t="shared" si="6"/>
        <v>76</v>
      </c>
      <c r="B80" s="42" t="s">
        <v>244</v>
      </c>
      <c r="C80" s="42">
        <v>2004</v>
      </c>
      <c r="D80" s="43"/>
      <c r="E80" s="44">
        <v>19.54</v>
      </c>
      <c r="F80" s="42"/>
      <c r="G80" s="42">
        <v>3360</v>
      </c>
      <c r="H80" s="42">
        <v>500</v>
      </c>
      <c r="I80" s="42" t="s">
        <v>255</v>
      </c>
      <c r="J80" s="42"/>
      <c r="K80" s="45" t="s">
        <v>256</v>
      </c>
      <c r="L80" s="42" t="s">
        <v>11</v>
      </c>
      <c r="M80" s="46">
        <v>45770</v>
      </c>
      <c r="N80" s="46">
        <v>45767</v>
      </c>
      <c r="O80" s="46">
        <v>46131</v>
      </c>
      <c r="P80" s="46">
        <v>45767</v>
      </c>
      <c r="Q80" s="47">
        <v>2500</v>
      </c>
      <c r="R80" s="47"/>
      <c r="S80" s="47">
        <f t="shared" si="8"/>
        <v>2500</v>
      </c>
      <c r="T80" s="47">
        <f t="shared" si="9"/>
        <v>11.9671232876712</v>
      </c>
      <c r="U80" s="42">
        <v>10000</v>
      </c>
      <c r="V80" s="42">
        <v>2500</v>
      </c>
      <c r="W80" s="42">
        <v>200</v>
      </c>
      <c r="X80" s="42"/>
      <c r="Y80" s="42"/>
      <c r="Z80" s="42"/>
      <c r="AA80" s="42"/>
      <c r="AB80" s="42"/>
      <c r="AC80" s="42"/>
      <c r="AD80" s="42" t="s">
        <v>48</v>
      </c>
      <c r="AE80" s="42" t="s">
        <v>48</v>
      </c>
      <c r="AF80" s="42" t="s">
        <v>48</v>
      </c>
      <c r="AG80" s="42" t="s">
        <v>48</v>
      </c>
      <c r="AH80" s="42" t="s">
        <v>48</v>
      </c>
      <c r="AI80" s="42" t="s">
        <v>48</v>
      </c>
      <c r="AJ80" s="42" t="s">
        <v>48</v>
      </c>
      <c r="AK80" s="42" t="s">
        <v>48</v>
      </c>
      <c r="AL80" s="42" t="s">
        <v>48</v>
      </c>
      <c r="AM80" s="42" t="s">
        <v>48</v>
      </c>
      <c r="AN80" s="42" t="s">
        <v>48</v>
      </c>
      <c r="AO80" s="48" t="s">
        <v>257</v>
      </c>
      <c r="AP80" s="42">
        <v>13622212348</v>
      </c>
      <c r="AQ80" s="42"/>
    </row>
    <row r="81" s="1" customFormat="1" ht="20.15" customHeight="1" spans="1:43">
      <c r="A81" s="42">
        <f t="shared" si="6"/>
        <v>77</v>
      </c>
      <c r="B81" s="42" t="s">
        <v>244</v>
      </c>
      <c r="C81" s="42">
        <v>2005</v>
      </c>
      <c r="D81" s="43"/>
      <c r="E81" s="44">
        <v>19.54</v>
      </c>
      <c r="F81" s="42"/>
      <c r="G81" s="42">
        <v>3630</v>
      </c>
      <c r="H81" s="42">
        <v>500</v>
      </c>
      <c r="I81" s="42" t="s">
        <v>258</v>
      </c>
      <c r="J81" s="42"/>
      <c r="K81" s="45" t="s">
        <v>259</v>
      </c>
      <c r="L81" s="42" t="s">
        <v>11</v>
      </c>
      <c r="M81" s="46">
        <v>45770</v>
      </c>
      <c r="N81" s="46">
        <v>45762</v>
      </c>
      <c r="O81" s="46">
        <v>46126</v>
      </c>
      <c r="P81" s="46">
        <v>45762</v>
      </c>
      <c r="Q81" s="47">
        <v>2500</v>
      </c>
      <c r="R81" s="47"/>
      <c r="S81" s="47">
        <f t="shared" si="8"/>
        <v>2500</v>
      </c>
      <c r="T81" s="47">
        <f t="shared" si="9"/>
        <v>11.9671232876712</v>
      </c>
      <c r="U81" s="42">
        <v>10000</v>
      </c>
      <c r="V81" s="42">
        <v>2500</v>
      </c>
      <c r="W81" s="42">
        <v>200</v>
      </c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8" t="s">
        <v>260</v>
      </c>
      <c r="AP81" s="42">
        <v>18588867772</v>
      </c>
      <c r="AQ81" s="42"/>
    </row>
    <row r="82" s="1" customFormat="1" ht="20.15" customHeight="1" spans="1:43">
      <c r="A82" s="42">
        <f t="shared" si="6"/>
        <v>78</v>
      </c>
      <c r="B82" s="42" t="s">
        <v>244</v>
      </c>
      <c r="C82" s="42">
        <v>2006</v>
      </c>
      <c r="D82" s="43"/>
      <c r="E82" s="44">
        <v>19.54</v>
      </c>
      <c r="F82" s="42"/>
      <c r="G82" s="42">
        <v>3994</v>
      </c>
      <c r="H82" s="42">
        <v>500</v>
      </c>
      <c r="I82" s="42" t="s">
        <v>261</v>
      </c>
      <c r="J82" s="42"/>
      <c r="K82" s="45" t="s">
        <v>262</v>
      </c>
      <c r="L82" s="42" t="s">
        <v>11</v>
      </c>
      <c r="M82" s="46">
        <v>45624</v>
      </c>
      <c r="N82" s="46">
        <v>45717</v>
      </c>
      <c r="O82" s="46">
        <v>46081</v>
      </c>
      <c r="P82" s="46">
        <v>45717</v>
      </c>
      <c r="Q82" s="47">
        <v>2500</v>
      </c>
      <c r="R82" s="47"/>
      <c r="S82" s="47">
        <f t="shared" si="8"/>
        <v>2500</v>
      </c>
      <c r="T82" s="47">
        <f t="shared" si="9"/>
        <v>11.9671232876712</v>
      </c>
      <c r="U82" s="42">
        <v>10000</v>
      </c>
      <c r="V82" s="42">
        <v>2500</v>
      </c>
      <c r="W82" s="42">
        <v>200</v>
      </c>
      <c r="X82" s="42"/>
      <c r="Y82" s="42"/>
      <c r="Z82" s="42"/>
      <c r="AA82" s="42"/>
      <c r="AB82" s="42"/>
      <c r="AC82" s="42"/>
      <c r="AD82" s="42"/>
      <c r="AE82" s="42" t="s">
        <v>48</v>
      </c>
      <c r="AF82" s="42"/>
      <c r="AG82" s="42" t="s">
        <v>48</v>
      </c>
      <c r="AH82" s="42" t="s">
        <v>48</v>
      </c>
      <c r="AI82" s="42"/>
      <c r="AJ82" s="42"/>
      <c r="AK82" s="42"/>
      <c r="AL82" s="42" t="s">
        <v>48</v>
      </c>
      <c r="AM82" s="42"/>
      <c r="AN82" s="42"/>
      <c r="AO82" s="48" t="s">
        <v>263</v>
      </c>
      <c r="AP82" s="42">
        <v>19974219403</v>
      </c>
      <c r="AQ82" s="42"/>
    </row>
    <row r="83" s="1" customFormat="1" ht="20.15" customHeight="1" spans="1:43">
      <c r="A83" s="42">
        <f t="shared" si="6"/>
        <v>79</v>
      </c>
      <c r="B83" s="42" t="s">
        <v>244</v>
      </c>
      <c r="C83" s="42">
        <v>2007</v>
      </c>
      <c r="D83" s="43"/>
      <c r="E83" s="44">
        <v>19.54</v>
      </c>
      <c r="F83" s="42"/>
      <c r="G83" s="42">
        <v>3388</v>
      </c>
      <c r="H83" s="42">
        <v>500</v>
      </c>
      <c r="I83" s="42" t="s">
        <v>264</v>
      </c>
      <c r="J83" s="42"/>
      <c r="K83" s="45" t="s">
        <v>265</v>
      </c>
      <c r="L83" s="42" t="s">
        <v>11</v>
      </c>
      <c r="M83" s="46">
        <v>45615</v>
      </c>
      <c r="N83" s="46">
        <v>45713</v>
      </c>
      <c r="O83" s="46">
        <v>46077</v>
      </c>
      <c r="P83" s="46">
        <v>45713</v>
      </c>
      <c r="Q83" s="47">
        <v>5000</v>
      </c>
      <c r="R83" s="47"/>
      <c r="S83" s="47">
        <f t="shared" si="8"/>
        <v>5000</v>
      </c>
      <c r="T83" s="47">
        <f t="shared" si="9"/>
        <v>11.9671232876712</v>
      </c>
      <c r="U83" s="42">
        <v>20000</v>
      </c>
      <c r="V83" s="42">
        <v>5000</v>
      </c>
      <c r="W83" s="42">
        <v>400</v>
      </c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8" t="s">
        <v>266</v>
      </c>
      <c r="AP83" s="42">
        <v>18159351311</v>
      </c>
      <c r="AQ83" s="42"/>
    </row>
    <row r="84" s="1" customFormat="1" ht="20.15" customHeight="1" spans="1:43">
      <c r="A84" s="42">
        <f t="shared" si="6"/>
        <v>80</v>
      </c>
      <c r="B84" s="42" t="s">
        <v>244</v>
      </c>
      <c r="C84" s="42">
        <v>2008</v>
      </c>
      <c r="D84" s="43"/>
      <c r="E84" s="44">
        <v>19.54</v>
      </c>
      <c r="F84" s="42"/>
      <c r="G84" s="42"/>
      <c r="H84" s="42"/>
      <c r="I84" s="42" t="s">
        <v>264</v>
      </c>
      <c r="J84" s="42"/>
      <c r="K84" s="45" t="s">
        <v>265</v>
      </c>
      <c r="L84" s="42" t="s">
        <v>11</v>
      </c>
      <c r="M84" s="46">
        <v>45615</v>
      </c>
      <c r="N84" s="46">
        <v>45713</v>
      </c>
      <c r="O84" s="46">
        <v>46077</v>
      </c>
      <c r="P84" s="46">
        <v>45713</v>
      </c>
      <c r="Q84" s="47"/>
      <c r="R84" s="47"/>
      <c r="S84" s="47">
        <f t="shared" si="8"/>
        <v>0</v>
      </c>
      <c r="T84" s="47">
        <f t="shared" si="9"/>
        <v>11.9671232876712</v>
      </c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8" t="s">
        <v>266</v>
      </c>
      <c r="AP84" s="42">
        <v>18159351311</v>
      </c>
      <c r="AQ84" s="42"/>
    </row>
    <row r="85" s="1" customFormat="1" ht="20.15" customHeight="1" spans="1:43">
      <c r="A85" s="42">
        <f t="shared" si="6"/>
        <v>81</v>
      </c>
      <c r="B85" s="42" t="s">
        <v>244</v>
      </c>
      <c r="C85" s="42">
        <v>2009</v>
      </c>
      <c r="D85" s="43"/>
      <c r="E85" s="44">
        <v>19.54</v>
      </c>
      <c r="F85" s="42"/>
      <c r="G85" s="42">
        <v>3000</v>
      </c>
      <c r="H85" s="42">
        <v>500</v>
      </c>
      <c r="I85" s="42" t="s">
        <v>267</v>
      </c>
      <c r="J85" s="42"/>
      <c r="K85" s="45" t="s">
        <v>268</v>
      </c>
      <c r="L85" s="42" t="s">
        <v>11</v>
      </c>
      <c r="M85" s="46">
        <v>45624</v>
      </c>
      <c r="N85" s="46">
        <v>45717</v>
      </c>
      <c r="O85" s="46">
        <v>46081</v>
      </c>
      <c r="P85" s="46">
        <v>45717</v>
      </c>
      <c r="Q85" s="47">
        <v>2500</v>
      </c>
      <c r="R85" s="47"/>
      <c r="S85" s="47">
        <f t="shared" si="8"/>
        <v>2500</v>
      </c>
      <c r="T85" s="47">
        <f t="shared" si="9"/>
        <v>11.9671232876712</v>
      </c>
      <c r="U85" s="42">
        <v>10000</v>
      </c>
      <c r="V85" s="42">
        <v>2500</v>
      </c>
      <c r="W85" s="42">
        <v>200</v>
      </c>
      <c r="X85" s="42"/>
      <c r="Y85" s="42"/>
      <c r="Z85" s="42"/>
      <c r="AA85" s="42"/>
      <c r="AB85" s="42"/>
      <c r="AC85" s="42"/>
      <c r="AD85" s="42" t="s">
        <v>48</v>
      </c>
      <c r="AE85" s="42" t="s">
        <v>48</v>
      </c>
      <c r="AF85" s="42" t="s">
        <v>48</v>
      </c>
      <c r="AG85" s="42" t="s">
        <v>48</v>
      </c>
      <c r="AH85" s="42" t="s">
        <v>48</v>
      </c>
      <c r="AI85" s="42" t="s">
        <v>48</v>
      </c>
      <c r="AJ85" s="42" t="s">
        <v>48</v>
      </c>
      <c r="AK85" s="42" t="s">
        <v>48</v>
      </c>
      <c r="AL85" s="42" t="s">
        <v>48</v>
      </c>
      <c r="AM85" s="42" t="s">
        <v>48</v>
      </c>
      <c r="AN85" s="42" t="s">
        <v>48</v>
      </c>
      <c r="AO85" s="48" t="s">
        <v>269</v>
      </c>
      <c r="AP85" s="42">
        <v>15879504138</v>
      </c>
      <c r="AQ85" s="42"/>
    </row>
    <row r="86" s="1" customFormat="1" ht="20.15" customHeight="1" spans="1:43">
      <c r="A86" s="42">
        <f t="shared" si="6"/>
        <v>82</v>
      </c>
      <c r="B86" s="42" t="s">
        <v>244</v>
      </c>
      <c r="C86" s="42">
        <v>2010</v>
      </c>
      <c r="D86" s="43"/>
      <c r="E86" s="44">
        <v>19.54</v>
      </c>
      <c r="F86" s="42"/>
      <c r="G86" s="42">
        <v>3300</v>
      </c>
      <c r="H86" s="42">
        <v>500</v>
      </c>
      <c r="I86" s="42" t="s">
        <v>270</v>
      </c>
      <c r="J86" s="42"/>
      <c r="K86" s="45" t="s">
        <v>271</v>
      </c>
      <c r="L86" s="42" t="s">
        <v>11</v>
      </c>
      <c r="M86" s="46">
        <v>45624</v>
      </c>
      <c r="N86" s="46">
        <v>45689</v>
      </c>
      <c r="O86" s="46">
        <v>46053</v>
      </c>
      <c r="P86" s="46">
        <v>45689</v>
      </c>
      <c r="Q86" s="47">
        <v>2500</v>
      </c>
      <c r="R86" s="47"/>
      <c r="S86" s="47">
        <f t="shared" si="8"/>
        <v>2500</v>
      </c>
      <c r="T86" s="47">
        <f t="shared" si="9"/>
        <v>11.9671232876712</v>
      </c>
      <c r="U86" s="42">
        <v>10000</v>
      </c>
      <c r="V86" s="42">
        <v>2500</v>
      </c>
      <c r="W86" s="42">
        <v>200</v>
      </c>
      <c r="X86" s="42"/>
      <c r="Y86" s="42"/>
      <c r="Z86" s="42"/>
      <c r="AA86" s="42"/>
      <c r="AB86" s="42"/>
      <c r="AC86" s="42"/>
      <c r="AD86" s="42"/>
      <c r="AE86" s="42" t="s">
        <v>48</v>
      </c>
      <c r="AF86" s="42"/>
      <c r="AG86" s="42" t="s">
        <v>48</v>
      </c>
      <c r="AH86" s="42" t="s">
        <v>48</v>
      </c>
      <c r="AI86" s="42"/>
      <c r="AJ86" s="42"/>
      <c r="AK86" s="42"/>
      <c r="AL86" s="42" t="s">
        <v>48</v>
      </c>
      <c r="AM86" s="42"/>
      <c r="AN86" s="42"/>
      <c r="AO86" s="48" t="s">
        <v>272</v>
      </c>
      <c r="AP86" s="42">
        <v>18529229372</v>
      </c>
      <c r="AQ86" s="42"/>
    </row>
    <row r="87" s="1" customFormat="1" ht="20.15" customHeight="1" spans="1:43">
      <c r="A87" s="42">
        <f t="shared" si="6"/>
        <v>83</v>
      </c>
      <c r="B87" s="42" t="s">
        <v>244</v>
      </c>
      <c r="C87" s="42">
        <v>2011</v>
      </c>
      <c r="D87" s="43"/>
      <c r="E87" s="44">
        <v>19.54</v>
      </c>
      <c r="F87" s="42"/>
      <c r="G87" s="42">
        <v>3696</v>
      </c>
      <c r="H87" s="42">
        <v>500</v>
      </c>
      <c r="I87" s="42" t="s">
        <v>273</v>
      </c>
      <c r="J87" s="42"/>
      <c r="K87" s="45" t="s">
        <v>274</v>
      </c>
      <c r="L87" s="42" t="s">
        <v>11</v>
      </c>
      <c r="M87" s="46">
        <v>45624</v>
      </c>
      <c r="N87" s="46">
        <v>45748</v>
      </c>
      <c r="O87" s="46">
        <v>46112</v>
      </c>
      <c r="P87" s="46">
        <v>45748</v>
      </c>
      <c r="Q87" s="47">
        <v>2500</v>
      </c>
      <c r="R87" s="47"/>
      <c r="S87" s="47">
        <f t="shared" si="8"/>
        <v>2500</v>
      </c>
      <c r="T87" s="47">
        <f t="shared" si="9"/>
        <v>11.9671232876712</v>
      </c>
      <c r="U87" s="42">
        <v>10000</v>
      </c>
      <c r="V87" s="42">
        <v>2500</v>
      </c>
      <c r="W87" s="42">
        <v>200</v>
      </c>
      <c r="X87" s="42"/>
      <c r="Y87" s="42"/>
      <c r="Z87" s="42"/>
      <c r="AA87" s="42"/>
      <c r="AB87" s="42"/>
      <c r="AC87" s="42"/>
      <c r="AD87" s="42"/>
      <c r="AE87" s="42"/>
      <c r="AF87" s="42"/>
      <c r="AG87" s="42" t="s">
        <v>48</v>
      </c>
      <c r="AH87" s="42" t="s">
        <v>48</v>
      </c>
      <c r="AI87" s="42"/>
      <c r="AJ87" s="42"/>
      <c r="AK87" s="42"/>
      <c r="AL87" s="42" t="s">
        <v>48</v>
      </c>
      <c r="AM87" s="42"/>
      <c r="AN87" s="42"/>
      <c r="AO87" s="48" t="s">
        <v>275</v>
      </c>
      <c r="AP87" s="175" t="s">
        <v>276</v>
      </c>
      <c r="AQ87" s="42"/>
    </row>
    <row r="88" s="1" customFormat="1" ht="20.15" customHeight="1" spans="1:43">
      <c r="A88" s="42">
        <f t="shared" si="6"/>
        <v>84</v>
      </c>
      <c r="B88" s="42" t="s">
        <v>244</v>
      </c>
      <c r="C88" s="42">
        <v>2012</v>
      </c>
      <c r="D88" s="43"/>
      <c r="E88" s="44">
        <v>19.54</v>
      </c>
      <c r="F88" s="42"/>
      <c r="G88" s="42">
        <v>3360</v>
      </c>
      <c r="H88" s="42">
        <v>500</v>
      </c>
      <c r="I88" s="42" t="s">
        <v>277</v>
      </c>
      <c r="J88" s="42"/>
      <c r="K88" s="45" t="s">
        <v>278</v>
      </c>
      <c r="L88" s="42" t="s">
        <v>11</v>
      </c>
      <c r="M88" s="46">
        <v>45611</v>
      </c>
      <c r="N88" s="46">
        <v>45717</v>
      </c>
      <c r="O88" s="46">
        <v>46081</v>
      </c>
      <c r="P88" s="46">
        <v>45717</v>
      </c>
      <c r="Q88" s="47">
        <v>2500</v>
      </c>
      <c r="R88" s="47"/>
      <c r="S88" s="47">
        <f t="shared" si="8"/>
        <v>2500</v>
      </c>
      <c r="T88" s="47">
        <f t="shared" si="9"/>
        <v>11.9671232876712</v>
      </c>
      <c r="U88" s="42">
        <v>10000</v>
      </c>
      <c r="V88" s="42">
        <v>2500</v>
      </c>
      <c r="W88" s="42">
        <v>200</v>
      </c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8" t="s">
        <v>279</v>
      </c>
      <c r="AP88" s="42">
        <v>13286915418</v>
      </c>
      <c r="AQ88" s="42"/>
    </row>
    <row r="89" s="1" customFormat="1" ht="20.15" customHeight="1" spans="1:43">
      <c r="A89" s="42">
        <f t="shared" si="6"/>
        <v>85</v>
      </c>
      <c r="B89" s="42" t="s">
        <v>244</v>
      </c>
      <c r="C89" s="42">
        <v>2013</v>
      </c>
      <c r="D89" s="43"/>
      <c r="E89" s="44">
        <v>19.54</v>
      </c>
      <c r="F89" s="42"/>
      <c r="G89" s="42"/>
      <c r="H89" s="42"/>
      <c r="I89" s="42" t="s">
        <v>280</v>
      </c>
      <c r="J89" s="42"/>
      <c r="K89" s="45" t="s">
        <v>281</v>
      </c>
      <c r="L89" s="42" t="s">
        <v>11</v>
      </c>
      <c r="M89" s="46">
        <v>45619</v>
      </c>
      <c r="N89" s="46">
        <v>45717</v>
      </c>
      <c r="O89" s="46">
        <v>46081</v>
      </c>
      <c r="P89" s="46">
        <v>45717</v>
      </c>
      <c r="Q89" s="47">
        <v>2500</v>
      </c>
      <c r="R89" s="47"/>
      <c r="S89" s="47">
        <f t="shared" si="8"/>
        <v>2500</v>
      </c>
      <c r="T89" s="47">
        <f t="shared" si="9"/>
        <v>11.9671232876712</v>
      </c>
      <c r="U89" s="42">
        <v>10000</v>
      </c>
      <c r="V89" s="42">
        <v>2500</v>
      </c>
      <c r="W89" s="42">
        <v>200</v>
      </c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8" t="s">
        <v>282</v>
      </c>
      <c r="AP89" s="42">
        <v>13143524349</v>
      </c>
      <c r="AQ89" s="42"/>
    </row>
    <row r="90" s="1" customFormat="1" ht="20.15" customHeight="1" spans="1:43">
      <c r="A90" s="42">
        <f t="shared" si="6"/>
        <v>86</v>
      </c>
      <c r="B90" s="42" t="s">
        <v>244</v>
      </c>
      <c r="C90" s="42">
        <v>2014</v>
      </c>
      <c r="D90" s="43"/>
      <c r="E90" s="44">
        <v>19.54</v>
      </c>
      <c r="F90" s="42"/>
      <c r="G90" s="42"/>
      <c r="H90" s="42"/>
      <c r="I90" s="42" t="s">
        <v>283</v>
      </c>
      <c r="J90" s="42"/>
      <c r="K90" s="45" t="s">
        <v>284</v>
      </c>
      <c r="L90" s="42" t="s">
        <v>11</v>
      </c>
      <c r="M90" s="46">
        <v>45624</v>
      </c>
      <c r="N90" s="46">
        <v>45717</v>
      </c>
      <c r="O90" s="46">
        <v>46081</v>
      </c>
      <c r="P90" s="46">
        <v>45717</v>
      </c>
      <c r="Q90" s="47">
        <v>2500</v>
      </c>
      <c r="R90" s="47"/>
      <c r="S90" s="47">
        <f t="shared" si="8"/>
        <v>2500</v>
      </c>
      <c r="T90" s="47">
        <f t="shared" si="9"/>
        <v>11.9671232876712</v>
      </c>
      <c r="U90" s="42">
        <v>10000</v>
      </c>
      <c r="V90" s="42">
        <v>2500</v>
      </c>
      <c r="W90" s="42">
        <v>200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8" t="s">
        <v>285</v>
      </c>
      <c r="AP90" s="42">
        <v>13250539329</v>
      </c>
      <c r="AQ90" s="42"/>
    </row>
    <row r="91" s="1" customFormat="1" ht="20.15" customHeight="1" spans="1:43">
      <c r="A91" s="42">
        <f t="shared" si="6"/>
        <v>87</v>
      </c>
      <c r="B91" s="42" t="s">
        <v>244</v>
      </c>
      <c r="C91" s="42">
        <v>2015</v>
      </c>
      <c r="D91" s="43"/>
      <c r="E91" s="44">
        <v>19.54</v>
      </c>
      <c r="F91" s="42"/>
      <c r="G91" s="42"/>
      <c r="H91" s="42"/>
      <c r="I91" s="42" t="s">
        <v>286</v>
      </c>
      <c r="J91" s="42"/>
      <c r="K91" s="45" t="s">
        <v>287</v>
      </c>
      <c r="L91" s="42" t="s">
        <v>11</v>
      </c>
      <c r="M91" s="46">
        <v>45677</v>
      </c>
      <c r="N91" s="46">
        <v>45689</v>
      </c>
      <c r="O91" s="46">
        <v>46053</v>
      </c>
      <c r="P91" s="46">
        <v>45689</v>
      </c>
      <c r="Q91" s="47">
        <v>2500</v>
      </c>
      <c r="R91" s="47"/>
      <c r="S91" s="47">
        <f t="shared" si="8"/>
        <v>2500</v>
      </c>
      <c r="T91" s="47">
        <f t="shared" si="9"/>
        <v>11.9671232876712</v>
      </c>
      <c r="U91" s="42">
        <v>10000</v>
      </c>
      <c r="V91" s="42">
        <v>2500</v>
      </c>
      <c r="W91" s="42">
        <v>200</v>
      </c>
      <c r="X91" s="42"/>
      <c r="Y91" s="42"/>
      <c r="Z91" s="42"/>
      <c r="AA91" s="42"/>
      <c r="AB91" s="42"/>
      <c r="AC91" s="42"/>
      <c r="AD91" s="42" t="s">
        <v>48</v>
      </c>
      <c r="AE91" s="42" t="s">
        <v>48</v>
      </c>
      <c r="AF91" s="42" t="s">
        <v>48</v>
      </c>
      <c r="AG91" s="42" t="s">
        <v>48</v>
      </c>
      <c r="AH91" s="42" t="s">
        <v>48</v>
      </c>
      <c r="AI91" s="42" t="s">
        <v>48</v>
      </c>
      <c r="AJ91" s="42" t="s">
        <v>48</v>
      </c>
      <c r="AK91" s="42" t="s">
        <v>48</v>
      </c>
      <c r="AL91" s="42" t="s">
        <v>48</v>
      </c>
      <c r="AM91" s="42" t="s">
        <v>48</v>
      </c>
      <c r="AN91" s="42" t="s">
        <v>48</v>
      </c>
      <c r="AO91" s="48" t="s">
        <v>288</v>
      </c>
      <c r="AP91" s="42">
        <v>18802005016</v>
      </c>
      <c r="AQ91" s="42" t="s">
        <v>289</v>
      </c>
    </row>
    <row r="92" s="1" customFormat="1" ht="20.15" customHeight="1" spans="1:43">
      <c r="A92" s="42">
        <f t="shared" si="6"/>
        <v>88</v>
      </c>
      <c r="B92" s="42" t="s">
        <v>244</v>
      </c>
      <c r="C92" s="42">
        <v>2016</v>
      </c>
      <c r="D92" s="43"/>
      <c r="E92" s="44">
        <v>19.54</v>
      </c>
      <c r="F92" s="42"/>
      <c r="G92" s="42">
        <v>3764</v>
      </c>
      <c r="H92" s="42">
        <v>500</v>
      </c>
      <c r="I92" s="42" t="s">
        <v>290</v>
      </c>
      <c r="J92" s="42"/>
      <c r="K92" s="45" t="s">
        <v>291</v>
      </c>
      <c r="L92" s="42" t="s">
        <v>11</v>
      </c>
      <c r="M92" s="46">
        <v>45628</v>
      </c>
      <c r="N92" s="46">
        <v>45717</v>
      </c>
      <c r="O92" s="46">
        <v>46081</v>
      </c>
      <c r="P92" s="46">
        <v>45717</v>
      </c>
      <c r="Q92" s="47">
        <v>2500</v>
      </c>
      <c r="R92" s="47"/>
      <c r="S92" s="47">
        <f t="shared" si="8"/>
        <v>2500</v>
      </c>
      <c r="T92" s="47">
        <f t="shared" si="9"/>
        <v>11.9671232876712</v>
      </c>
      <c r="U92" s="42">
        <v>5000</v>
      </c>
      <c r="V92" s="42">
        <v>2500</v>
      </c>
      <c r="W92" s="42">
        <v>200</v>
      </c>
      <c r="X92" s="42"/>
      <c r="Y92" s="42"/>
      <c r="Z92" s="42"/>
      <c r="AA92" s="42"/>
      <c r="AB92" s="42"/>
      <c r="AC92" s="42"/>
      <c r="AD92" s="42" t="s">
        <v>48</v>
      </c>
      <c r="AE92" s="42" t="s">
        <v>48</v>
      </c>
      <c r="AF92" s="42" t="s">
        <v>48</v>
      </c>
      <c r="AG92" s="42" t="s">
        <v>48</v>
      </c>
      <c r="AH92" s="42" t="s">
        <v>48</v>
      </c>
      <c r="AI92" s="42" t="s">
        <v>48</v>
      </c>
      <c r="AJ92" s="42" t="s">
        <v>48</v>
      </c>
      <c r="AK92" s="42" t="s">
        <v>48</v>
      </c>
      <c r="AL92" s="42" t="s">
        <v>48</v>
      </c>
      <c r="AM92" s="42" t="s">
        <v>48</v>
      </c>
      <c r="AN92" s="42" t="s">
        <v>48</v>
      </c>
      <c r="AO92" s="48" t="s">
        <v>292</v>
      </c>
      <c r="AP92" s="42">
        <v>13557456828</v>
      </c>
      <c r="AQ92" s="42"/>
    </row>
    <row r="93" s="1" customFormat="1" ht="20.15" customHeight="1" spans="1:43">
      <c r="A93" s="42">
        <f t="shared" si="6"/>
        <v>89</v>
      </c>
      <c r="B93" s="42" t="s">
        <v>244</v>
      </c>
      <c r="C93" s="42">
        <v>2017</v>
      </c>
      <c r="D93" s="43"/>
      <c r="E93" s="44">
        <v>19.54</v>
      </c>
      <c r="F93" s="42"/>
      <c r="G93" s="42"/>
      <c r="H93" s="42"/>
      <c r="I93" s="42" t="s">
        <v>290</v>
      </c>
      <c r="J93" s="42"/>
      <c r="K93" s="45" t="s">
        <v>293</v>
      </c>
      <c r="L93" s="42" t="s">
        <v>11</v>
      </c>
      <c r="M93" s="46">
        <v>45628</v>
      </c>
      <c r="N93" s="46">
        <v>45717</v>
      </c>
      <c r="O93" s="46">
        <v>46081</v>
      </c>
      <c r="P93" s="46">
        <v>45717</v>
      </c>
      <c r="Q93" s="47">
        <v>2500</v>
      </c>
      <c r="R93" s="47"/>
      <c r="S93" s="47">
        <f t="shared" si="8"/>
        <v>2500</v>
      </c>
      <c r="T93" s="47">
        <f t="shared" si="9"/>
        <v>11.9671232876712</v>
      </c>
      <c r="U93" s="42">
        <v>10000</v>
      </c>
      <c r="V93" s="42">
        <v>2500</v>
      </c>
      <c r="W93" s="42">
        <v>200</v>
      </c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8" t="s">
        <v>292</v>
      </c>
      <c r="AP93" s="42">
        <v>13557456828</v>
      </c>
      <c r="AQ93" s="42"/>
    </row>
    <row r="94" s="1" customFormat="1" ht="20.15" customHeight="1" spans="1:43">
      <c r="A94" s="42">
        <f t="shared" si="6"/>
        <v>90</v>
      </c>
      <c r="B94" s="42" t="s">
        <v>244</v>
      </c>
      <c r="C94" s="42">
        <v>2018</v>
      </c>
      <c r="D94" s="43"/>
      <c r="E94" s="44">
        <v>19.54</v>
      </c>
      <c r="F94" s="42"/>
      <c r="G94" s="42">
        <v>3696</v>
      </c>
      <c r="H94" s="42">
        <v>500</v>
      </c>
      <c r="I94" s="42" t="s">
        <v>294</v>
      </c>
      <c r="J94" s="42"/>
      <c r="K94" s="45" t="s">
        <v>295</v>
      </c>
      <c r="L94" s="42" t="s">
        <v>11</v>
      </c>
      <c r="M94" s="46">
        <v>45618</v>
      </c>
      <c r="N94" s="46">
        <v>45717</v>
      </c>
      <c r="O94" s="46">
        <v>46081</v>
      </c>
      <c r="P94" s="46">
        <v>45717</v>
      </c>
      <c r="Q94" s="47">
        <v>2500</v>
      </c>
      <c r="R94" s="47"/>
      <c r="S94" s="47">
        <f t="shared" si="8"/>
        <v>2500</v>
      </c>
      <c r="T94" s="47">
        <f t="shared" si="9"/>
        <v>11.9671232876712</v>
      </c>
      <c r="U94" s="42">
        <v>10000</v>
      </c>
      <c r="V94" s="42">
        <v>2500</v>
      </c>
      <c r="W94" s="42">
        <v>200</v>
      </c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8" t="s">
        <v>296</v>
      </c>
      <c r="AP94" s="42">
        <v>18588698966</v>
      </c>
      <c r="AQ94" s="42"/>
    </row>
    <row r="95" s="1" customFormat="1" ht="20.15" customHeight="1" spans="1:43">
      <c r="A95" s="42">
        <f t="shared" si="6"/>
        <v>91</v>
      </c>
      <c r="B95" s="42" t="s">
        <v>244</v>
      </c>
      <c r="C95" s="42">
        <v>2019</v>
      </c>
      <c r="D95" s="44"/>
      <c r="E95" s="44">
        <v>19.54</v>
      </c>
      <c r="F95" s="42"/>
      <c r="G95" s="42">
        <v>3388</v>
      </c>
      <c r="H95" s="42">
        <v>500</v>
      </c>
      <c r="I95" s="42" t="s">
        <v>297</v>
      </c>
      <c r="J95" s="45"/>
      <c r="K95" s="45" t="s">
        <v>298</v>
      </c>
      <c r="L95" s="42" t="s">
        <v>11</v>
      </c>
      <c r="M95" s="46">
        <v>45606</v>
      </c>
      <c r="N95" s="46">
        <v>45711</v>
      </c>
      <c r="O95" s="46">
        <v>46075</v>
      </c>
      <c r="P95" s="46">
        <v>45711</v>
      </c>
      <c r="Q95" s="47">
        <v>2500</v>
      </c>
      <c r="R95" s="47"/>
      <c r="S95" s="47">
        <f t="shared" si="8"/>
        <v>2500</v>
      </c>
      <c r="T95" s="47">
        <v>12</v>
      </c>
      <c r="U95" s="42">
        <v>10000</v>
      </c>
      <c r="V95" s="42">
        <v>2500</v>
      </c>
      <c r="W95" s="42">
        <v>200</v>
      </c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55"/>
      <c r="AO95" s="45" t="s">
        <v>299</v>
      </c>
      <c r="AP95" s="42">
        <v>17612226982</v>
      </c>
    </row>
    <row r="96" s="1" customFormat="1" ht="20.15" customHeight="1" spans="1:43">
      <c r="A96" s="42">
        <f t="shared" si="6"/>
        <v>92</v>
      </c>
      <c r="B96" s="42" t="s">
        <v>244</v>
      </c>
      <c r="C96" s="42">
        <v>2020</v>
      </c>
      <c r="D96" s="43"/>
      <c r="E96" s="44">
        <v>19.54</v>
      </c>
      <c r="F96" s="42"/>
      <c r="G96" s="42">
        <v>3764</v>
      </c>
      <c r="H96" s="42">
        <v>500</v>
      </c>
      <c r="I96" s="42" t="s">
        <v>300</v>
      </c>
      <c r="J96" s="42"/>
      <c r="K96" s="45" t="s">
        <v>301</v>
      </c>
      <c r="L96" s="42" t="s">
        <v>11</v>
      </c>
      <c r="M96" s="46">
        <v>45624</v>
      </c>
      <c r="N96" s="46">
        <v>45689</v>
      </c>
      <c r="O96" s="46">
        <v>46053</v>
      </c>
      <c r="P96" s="46">
        <v>45689</v>
      </c>
      <c r="Q96" s="47">
        <v>2500</v>
      </c>
      <c r="R96" s="47"/>
      <c r="S96" s="47">
        <f t="shared" si="8"/>
        <v>2500</v>
      </c>
      <c r="T96" s="47">
        <f t="shared" ref="T96:T115" si="10">(O96-N96)/365*12</f>
        <v>11.9671232876712</v>
      </c>
      <c r="U96" s="42">
        <v>10000</v>
      </c>
      <c r="V96" s="42">
        <v>2500</v>
      </c>
      <c r="W96" s="42">
        <v>200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8" t="s">
        <v>302</v>
      </c>
      <c r="AP96" s="42">
        <v>13530118257</v>
      </c>
      <c r="AQ96" s="48"/>
    </row>
    <row r="97" s="1" customFormat="1" ht="20.15" customHeight="1" spans="1:43">
      <c r="A97" s="42">
        <f t="shared" si="6"/>
        <v>93</v>
      </c>
      <c r="B97" s="42" t="s">
        <v>244</v>
      </c>
      <c r="C97" s="42">
        <v>2021</v>
      </c>
      <c r="D97" s="43"/>
      <c r="E97" s="44">
        <v>19.54</v>
      </c>
      <c r="F97" s="42"/>
      <c r="G97" s="42"/>
      <c r="H97" s="42"/>
      <c r="I97" s="42" t="s">
        <v>303</v>
      </c>
      <c r="J97" s="42"/>
      <c r="K97" s="45" t="s">
        <v>304</v>
      </c>
      <c r="L97" s="42" t="s">
        <v>11</v>
      </c>
      <c r="M97" s="46">
        <v>45621</v>
      </c>
      <c r="N97" s="46">
        <v>45717</v>
      </c>
      <c r="O97" s="46">
        <v>46081</v>
      </c>
      <c r="P97" s="46">
        <v>45717</v>
      </c>
      <c r="Q97" s="47">
        <v>2500</v>
      </c>
      <c r="R97" s="47"/>
      <c r="S97" s="47">
        <f t="shared" si="8"/>
        <v>2500</v>
      </c>
      <c r="T97" s="47">
        <f t="shared" si="10"/>
        <v>11.9671232876712</v>
      </c>
      <c r="U97" s="42">
        <v>10000</v>
      </c>
      <c r="V97" s="42">
        <v>2500</v>
      </c>
      <c r="W97" s="42">
        <v>200</v>
      </c>
      <c r="X97" s="42"/>
      <c r="Y97" s="42"/>
      <c r="Z97" s="42"/>
      <c r="AA97" s="42"/>
      <c r="AB97" s="42"/>
      <c r="AC97" s="42"/>
      <c r="AD97" s="42" t="s">
        <v>48</v>
      </c>
      <c r="AE97" s="42" t="s">
        <v>48</v>
      </c>
      <c r="AF97" s="42" t="s">
        <v>48</v>
      </c>
      <c r="AG97" s="42" t="s">
        <v>48</v>
      </c>
      <c r="AH97" s="42" t="s">
        <v>48</v>
      </c>
      <c r="AI97" s="42" t="s">
        <v>48</v>
      </c>
      <c r="AJ97" s="42" t="s">
        <v>48</v>
      </c>
      <c r="AK97" s="42" t="s">
        <v>48</v>
      </c>
      <c r="AL97" s="42" t="s">
        <v>48</v>
      </c>
      <c r="AM97" s="42" t="s">
        <v>48</v>
      </c>
      <c r="AN97" s="42" t="s">
        <v>48</v>
      </c>
      <c r="AO97" s="50" t="s">
        <v>305</v>
      </c>
      <c r="AP97" s="78">
        <v>1352786666</v>
      </c>
      <c r="AQ97" s="42"/>
    </row>
    <row r="98" s="1" customFormat="1" ht="20.15" customHeight="1" spans="1:43">
      <c r="A98" s="42">
        <f t="shared" si="6"/>
        <v>94</v>
      </c>
      <c r="B98" s="42" t="s">
        <v>244</v>
      </c>
      <c r="C98" s="42">
        <v>2022</v>
      </c>
      <c r="D98" s="43"/>
      <c r="E98" s="44">
        <v>19.54</v>
      </c>
      <c r="F98" s="42"/>
      <c r="G98" s="42">
        <v>3764</v>
      </c>
      <c r="H98" s="42">
        <v>500</v>
      </c>
      <c r="I98" s="42" t="s">
        <v>306</v>
      </c>
      <c r="J98" s="42"/>
      <c r="K98" s="42">
        <f>C98</f>
        <v>2022</v>
      </c>
      <c r="L98" s="42" t="s">
        <v>11</v>
      </c>
      <c r="M98" s="46">
        <v>45629</v>
      </c>
      <c r="N98" s="46">
        <v>45713</v>
      </c>
      <c r="O98" s="46">
        <v>46077</v>
      </c>
      <c r="P98" s="46">
        <v>45713</v>
      </c>
      <c r="Q98" s="47">
        <v>2500</v>
      </c>
      <c r="R98" s="47"/>
      <c r="S98" s="47">
        <f t="shared" si="8"/>
        <v>2500</v>
      </c>
      <c r="T98" s="47">
        <f t="shared" si="10"/>
        <v>11.9671232876712</v>
      </c>
      <c r="U98" s="42">
        <v>6000</v>
      </c>
      <c r="V98" s="42">
        <v>2500</v>
      </c>
      <c r="W98" s="42">
        <v>200</v>
      </c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8" t="s">
        <v>307</v>
      </c>
      <c r="AP98" s="42">
        <v>18933941092</v>
      </c>
      <c r="AQ98" s="42"/>
    </row>
    <row r="99" s="1" customFormat="1" ht="20.15" customHeight="1" spans="1:43">
      <c r="A99" s="42">
        <f t="shared" si="6"/>
        <v>95</v>
      </c>
      <c r="B99" s="42" t="s">
        <v>244</v>
      </c>
      <c r="C99" s="42">
        <v>2023</v>
      </c>
      <c r="D99" s="43"/>
      <c r="E99" s="44">
        <v>19.54</v>
      </c>
      <c r="F99" s="42"/>
      <c r="G99" s="42">
        <v>3764</v>
      </c>
      <c r="H99" s="42">
        <v>500</v>
      </c>
      <c r="I99" s="42" t="s">
        <v>308</v>
      </c>
      <c r="J99" s="42"/>
      <c r="K99" s="45" t="s">
        <v>309</v>
      </c>
      <c r="L99" s="42" t="s">
        <v>11</v>
      </c>
      <c r="M99" s="46">
        <v>45613</v>
      </c>
      <c r="N99" s="46">
        <v>45717</v>
      </c>
      <c r="O99" s="46">
        <v>46081</v>
      </c>
      <c r="P99" s="46">
        <v>45717</v>
      </c>
      <c r="Q99" s="47">
        <v>2500</v>
      </c>
      <c r="R99" s="47"/>
      <c r="S99" s="47">
        <f t="shared" si="8"/>
        <v>2500</v>
      </c>
      <c r="T99" s="47">
        <f t="shared" si="10"/>
        <v>11.9671232876712</v>
      </c>
      <c r="U99" s="42">
        <v>10000</v>
      </c>
      <c r="V99" s="42">
        <v>2500</v>
      </c>
      <c r="W99" s="42">
        <v>200</v>
      </c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50" t="s">
        <v>310</v>
      </c>
      <c r="AP99" s="78">
        <v>18898787605</v>
      </c>
      <c r="AQ99" s="42"/>
    </row>
    <row r="100" s="1" customFormat="1" ht="20.15" customHeight="1" spans="1:43">
      <c r="A100" s="42">
        <f t="shared" si="6"/>
        <v>96</v>
      </c>
      <c r="B100" s="42" t="s">
        <v>244</v>
      </c>
      <c r="C100" s="42">
        <v>2024</v>
      </c>
      <c r="D100" s="43"/>
      <c r="E100" s="44">
        <v>19.54</v>
      </c>
      <c r="F100" s="42"/>
      <c r="G100" s="42">
        <v>3696</v>
      </c>
      <c r="H100" s="42">
        <v>500</v>
      </c>
      <c r="I100" s="42" t="s">
        <v>311</v>
      </c>
      <c r="J100" s="42"/>
      <c r="K100" s="45" t="s">
        <v>312</v>
      </c>
      <c r="L100" s="42" t="s">
        <v>11</v>
      </c>
      <c r="M100" s="46">
        <v>45613</v>
      </c>
      <c r="N100" s="46">
        <v>45717</v>
      </c>
      <c r="O100" s="46">
        <v>46081</v>
      </c>
      <c r="P100" s="46">
        <v>45717</v>
      </c>
      <c r="Q100" s="47">
        <v>2500</v>
      </c>
      <c r="R100" s="47"/>
      <c r="S100" s="47">
        <f t="shared" si="8"/>
        <v>2500</v>
      </c>
      <c r="T100" s="47">
        <f t="shared" si="10"/>
        <v>11.9671232876712</v>
      </c>
      <c r="U100" s="42">
        <v>10000</v>
      </c>
      <c r="V100" s="42">
        <v>2500</v>
      </c>
      <c r="W100" s="42">
        <v>200</v>
      </c>
      <c r="X100" s="42"/>
      <c r="Y100" s="42"/>
      <c r="Z100" s="42"/>
      <c r="AA100" s="42"/>
      <c r="AB100" s="42"/>
      <c r="AC100" s="42"/>
      <c r="AD100" s="42" t="s">
        <v>48</v>
      </c>
      <c r="AE100" s="42" t="s">
        <v>48</v>
      </c>
      <c r="AF100" s="42" t="s">
        <v>48</v>
      </c>
      <c r="AG100" s="42" t="s">
        <v>48</v>
      </c>
      <c r="AH100" s="42" t="s">
        <v>48</v>
      </c>
      <c r="AI100" s="42" t="s">
        <v>48</v>
      </c>
      <c r="AJ100" s="42" t="s">
        <v>48</v>
      </c>
      <c r="AK100" s="42" t="s">
        <v>48</v>
      </c>
      <c r="AL100" s="42" t="s">
        <v>48</v>
      </c>
      <c r="AM100" s="42" t="s">
        <v>48</v>
      </c>
      <c r="AN100" s="42" t="s">
        <v>48</v>
      </c>
      <c r="AO100" s="48" t="s">
        <v>313</v>
      </c>
      <c r="AP100" s="42">
        <v>13428239572</v>
      </c>
      <c r="AQ100" s="42"/>
    </row>
    <row r="101" s="1" customFormat="1" ht="20.15" customHeight="1" spans="1:43">
      <c r="A101" s="42">
        <f t="shared" si="6"/>
        <v>97</v>
      </c>
      <c r="B101" s="42" t="s">
        <v>244</v>
      </c>
      <c r="C101" s="42">
        <v>2025</v>
      </c>
      <c r="D101" s="43"/>
      <c r="E101" s="44">
        <v>23.84</v>
      </c>
      <c r="F101" s="42"/>
      <c r="G101" s="42"/>
      <c r="H101" s="42"/>
      <c r="I101" s="42" t="s">
        <v>314</v>
      </c>
      <c r="J101" s="42"/>
      <c r="K101" s="45" t="s">
        <v>315</v>
      </c>
      <c r="L101" s="42" t="s">
        <v>11</v>
      </c>
      <c r="M101" s="46">
        <v>45610</v>
      </c>
      <c r="N101" s="46">
        <v>45713</v>
      </c>
      <c r="O101" s="46">
        <v>46077</v>
      </c>
      <c r="P101" s="46">
        <v>45713</v>
      </c>
      <c r="Q101" s="47">
        <v>2500</v>
      </c>
      <c r="R101" s="47"/>
      <c r="S101" s="47">
        <f t="shared" si="8"/>
        <v>2500</v>
      </c>
      <c r="T101" s="47">
        <f t="shared" si="10"/>
        <v>11.9671232876712</v>
      </c>
      <c r="U101" s="42">
        <v>10000</v>
      </c>
      <c r="V101" s="42">
        <v>2500</v>
      </c>
      <c r="W101" s="42">
        <v>200</v>
      </c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8" t="s">
        <v>316</v>
      </c>
      <c r="AP101" s="42">
        <v>18629881116</v>
      </c>
      <c r="AQ101" s="42"/>
    </row>
    <row r="102" s="6" customFormat="1" ht="20.15" customHeight="1" spans="1:43">
      <c r="A102" s="99">
        <f t="shared" si="6"/>
        <v>98</v>
      </c>
      <c r="B102" s="99" t="s">
        <v>244</v>
      </c>
      <c r="C102" s="99">
        <v>2026</v>
      </c>
      <c r="D102" s="43"/>
      <c r="E102" s="44">
        <v>38.03</v>
      </c>
      <c r="F102" s="42"/>
      <c r="G102" s="42"/>
      <c r="H102" s="42"/>
      <c r="I102" s="99" t="s">
        <v>317</v>
      </c>
      <c r="J102" s="42"/>
      <c r="K102" s="45" t="s">
        <v>318</v>
      </c>
      <c r="L102" s="42" t="s">
        <v>11</v>
      </c>
      <c r="M102" s="100">
        <v>45561</v>
      </c>
      <c r="N102" s="100">
        <v>45597</v>
      </c>
      <c r="O102" s="100">
        <v>45961</v>
      </c>
      <c r="P102" s="100">
        <v>45597</v>
      </c>
      <c r="Q102" s="101">
        <v>1800</v>
      </c>
      <c r="R102" s="101"/>
      <c r="S102" s="101">
        <f t="shared" si="8"/>
        <v>1800</v>
      </c>
      <c r="T102" s="101">
        <f t="shared" si="10"/>
        <v>11.9671232876712</v>
      </c>
      <c r="U102" s="99">
        <v>10000</v>
      </c>
      <c r="V102" s="99">
        <v>1800</v>
      </c>
      <c r="W102" s="99"/>
      <c r="X102" s="100"/>
      <c r="Y102" s="100"/>
      <c r="Z102" s="42"/>
      <c r="AA102" s="42"/>
      <c r="AB102" s="42"/>
      <c r="AC102" s="42"/>
      <c r="AD102" s="99" t="s">
        <v>48</v>
      </c>
      <c r="AE102" s="99" t="s">
        <v>48</v>
      </c>
      <c r="AF102" s="99" t="s">
        <v>48</v>
      </c>
      <c r="AG102" s="99" t="s">
        <v>48</v>
      </c>
      <c r="AH102" s="99" t="s">
        <v>48</v>
      </c>
      <c r="AI102" s="99" t="s">
        <v>48</v>
      </c>
      <c r="AJ102" s="99" t="s">
        <v>48</v>
      </c>
      <c r="AK102" s="99" t="s">
        <v>48</v>
      </c>
      <c r="AL102" s="99" t="s">
        <v>48</v>
      </c>
      <c r="AM102" s="99" t="s">
        <v>48</v>
      </c>
      <c r="AN102" s="99" t="s">
        <v>48</v>
      </c>
      <c r="AO102" s="102" t="s">
        <v>319</v>
      </c>
      <c r="AP102" s="99">
        <v>13002024111</v>
      </c>
      <c r="AQ102" s="99"/>
    </row>
    <row r="103" s="1" customFormat="1" ht="20.15" customHeight="1" spans="1:43">
      <c r="A103" s="42">
        <f t="shared" si="6"/>
        <v>99</v>
      </c>
      <c r="B103" s="42" t="s">
        <v>244</v>
      </c>
      <c r="C103" s="42">
        <v>2027</v>
      </c>
      <c r="D103" s="43"/>
      <c r="E103" s="44">
        <v>39.33</v>
      </c>
      <c r="F103" s="42"/>
      <c r="G103" s="42">
        <v>1180</v>
      </c>
      <c r="H103" s="42"/>
      <c r="I103" s="42" t="s">
        <v>320</v>
      </c>
      <c r="J103" s="42"/>
      <c r="K103" s="45" t="s">
        <v>321</v>
      </c>
      <c r="L103" s="42" t="s">
        <v>11</v>
      </c>
      <c r="M103" s="46">
        <v>45801</v>
      </c>
      <c r="N103" s="46">
        <v>45809</v>
      </c>
      <c r="O103" s="46">
        <v>46173</v>
      </c>
      <c r="P103" s="46">
        <v>45809</v>
      </c>
      <c r="Q103" s="47">
        <v>1180</v>
      </c>
      <c r="R103" s="47"/>
      <c r="S103" s="47">
        <f t="shared" si="8"/>
        <v>1180</v>
      </c>
      <c r="T103" s="47">
        <f t="shared" si="10"/>
        <v>11.9671232876712</v>
      </c>
      <c r="U103" s="42">
        <v>1180</v>
      </c>
      <c r="V103" s="42">
        <v>1180</v>
      </c>
      <c r="W103" s="42"/>
      <c r="X103" s="42"/>
      <c r="Y103" s="42"/>
      <c r="Z103" s="62"/>
      <c r="AA103" s="62"/>
      <c r="AB103" s="62"/>
      <c r="AC103" s="62"/>
      <c r="AD103" s="42" t="s">
        <v>48</v>
      </c>
      <c r="AE103" s="42" t="s">
        <v>48</v>
      </c>
      <c r="AF103" s="42" t="s">
        <v>48</v>
      </c>
      <c r="AG103" s="42" t="s">
        <v>48</v>
      </c>
      <c r="AH103" s="42" t="s">
        <v>48</v>
      </c>
      <c r="AI103" s="42" t="s">
        <v>48</v>
      </c>
      <c r="AJ103" s="42"/>
      <c r="AK103" s="42" t="s">
        <v>48</v>
      </c>
      <c r="AL103" s="42" t="s">
        <v>48</v>
      </c>
      <c r="AM103" s="42" t="s">
        <v>48</v>
      </c>
      <c r="AN103" s="42" t="s">
        <v>48</v>
      </c>
      <c r="AO103" s="48" t="s">
        <v>322</v>
      </c>
      <c r="AP103" s="42">
        <v>13849605989</v>
      </c>
      <c r="AQ103" s="42"/>
    </row>
    <row r="104" s="1" customFormat="1" ht="20.15" customHeight="1" spans="1:43">
      <c r="A104" s="42">
        <f t="shared" si="6"/>
        <v>100</v>
      </c>
      <c r="B104" s="42" t="s">
        <v>244</v>
      </c>
      <c r="C104" s="42">
        <v>2029</v>
      </c>
      <c r="D104" s="43"/>
      <c r="E104" s="44">
        <v>18.32</v>
      </c>
      <c r="F104" s="42"/>
      <c r="G104" s="42">
        <v>3360</v>
      </c>
      <c r="H104" s="42">
        <v>500</v>
      </c>
      <c r="I104" s="42" t="s">
        <v>323</v>
      </c>
      <c r="J104" s="42"/>
      <c r="K104" s="45" t="s">
        <v>324</v>
      </c>
      <c r="L104" s="42" t="s">
        <v>11</v>
      </c>
      <c r="M104" s="46">
        <v>45626</v>
      </c>
      <c r="N104" s="46">
        <v>45717</v>
      </c>
      <c r="O104" s="46">
        <v>46081</v>
      </c>
      <c r="P104" s="46">
        <v>45717</v>
      </c>
      <c r="Q104" s="47">
        <v>2500</v>
      </c>
      <c r="R104" s="47"/>
      <c r="S104" s="47">
        <f t="shared" si="8"/>
        <v>2500</v>
      </c>
      <c r="T104" s="47">
        <f t="shared" si="10"/>
        <v>11.9671232876712</v>
      </c>
      <c r="U104" s="42">
        <v>10000</v>
      </c>
      <c r="V104" s="42">
        <v>2500</v>
      </c>
      <c r="W104" s="42">
        <v>200</v>
      </c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8" t="s">
        <v>325</v>
      </c>
      <c r="AP104" s="42">
        <v>18802005016</v>
      </c>
      <c r="AQ104" s="42"/>
    </row>
    <row r="105" s="1" customFormat="1" ht="20.15" customHeight="1" spans="1:43">
      <c r="A105" s="42">
        <f t="shared" si="6"/>
        <v>101</v>
      </c>
      <c r="B105" s="42" t="s">
        <v>244</v>
      </c>
      <c r="C105" s="42">
        <v>2030</v>
      </c>
      <c r="D105" s="43"/>
      <c r="E105" s="44">
        <v>16.54</v>
      </c>
      <c r="F105" s="42"/>
      <c r="G105" s="42">
        <v>3388</v>
      </c>
      <c r="H105" s="42">
        <v>500</v>
      </c>
      <c r="I105" s="42" t="s">
        <v>323</v>
      </c>
      <c r="J105" s="42"/>
      <c r="K105" s="45" t="s">
        <v>326</v>
      </c>
      <c r="L105" s="42" t="s">
        <v>11</v>
      </c>
      <c r="M105" s="46">
        <v>45626</v>
      </c>
      <c r="N105" s="46">
        <v>45710</v>
      </c>
      <c r="O105" s="46">
        <v>46074</v>
      </c>
      <c r="P105" s="88">
        <v>45710</v>
      </c>
      <c r="Q105" s="47">
        <v>2500</v>
      </c>
      <c r="R105" s="47"/>
      <c r="S105" s="47">
        <f t="shared" si="8"/>
        <v>2500</v>
      </c>
      <c r="T105" s="47">
        <f t="shared" si="10"/>
        <v>11.9671232876712</v>
      </c>
      <c r="U105" s="42">
        <v>10000</v>
      </c>
      <c r="V105" s="42">
        <v>2500</v>
      </c>
      <c r="W105" s="42">
        <v>200</v>
      </c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8" t="s">
        <v>327</v>
      </c>
      <c r="AP105" s="42">
        <v>13022079029</v>
      </c>
      <c r="AQ105" s="42"/>
    </row>
    <row r="106" s="1" customFormat="1" ht="20.15" customHeight="1" spans="1:43">
      <c r="A106" s="42">
        <f t="shared" si="6"/>
        <v>102</v>
      </c>
      <c r="B106" s="42" t="s">
        <v>244</v>
      </c>
      <c r="C106" s="42">
        <v>2031</v>
      </c>
      <c r="D106" s="43"/>
      <c r="E106" s="44">
        <v>16.54</v>
      </c>
      <c r="F106" s="42"/>
      <c r="G106" s="42">
        <v>3300</v>
      </c>
      <c r="H106" s="42">
        <v>500</v>
      </c>
      <c r="I106" s="42" t="s">
        <v>328</v>
      </c>
      <c r="J106" s="42"/>
      <c r="K106" s="45" t="s">
        <v>329</v>
      </c>
      <c r="L106" s="42" t="s">
        <v>11</v>
      </c>
      <c r="M106" s="46">
        <v>45626</v>
      </c>
      <c r="N106" s="46">
        <v>45689</v>
      </c>
      <c r="O106" s="46">
        <v>46053</v>
      </c>
      <c r="P106" s="46">
        <v>45689</v>
      </c>
      <c r="Q106" s="47">
        <v>2500</v>
      </c>
      <c r="R106" s="47"/>
      <c r="S106" s="47">
        <f t="shared" si="8"/>
        <v>2500</v>
      </c>
      <c r="T106" s="47">
        <f t="shared" si="10"/>
        <v>11.9671232876712</v>
      </c>
      <c r="U106" s="42">
        <v>10000</v>
      </c>
      <c r="V106" s="42">
        <v>2500</v>
      </c>
      <c r="W106" s="42">
        <v>200</v>
      </c>
      <c r="X106" s="42"/>
      <c r="Y106" s="42"/>
      <c r="Z106" s="42"/>
      <c r="AA106" s="42"/>
      <c r="AB106" s="42"/>
      <c r="AC106" s="42"/>
      <c r="AD106" s="42"/>
      <c r="AE106" s="42" t="s">
        <v>48</v>
      </c>
      <c r="AF106" s="42"/>
      <c r="AG106" s="42" t="s">
        <v>48</v>
      </c>
      <c r="AH106" s="42" t="s">
        <v>48</v>
      </c>
      <c r="AI106" s="42"/>
      <c r="AJ106" s="42"/>
      <c r="AK106" s="42"/>
      <c r="AL106" s="42" t="s">
        <v>48</v>
      </c>
      <c r="AM106" s="42"/>
      <c r="AN106" s="42"/>
      <c r="AO106" s="48" t="s">
        <v>330</v>
      </c>
      <c r="AP106" s="42">
        <v>13927715806</v>
      </c>
      <c r="AQ106" s="42"/>
    </row>
    <row r="107" s="1" customFormat="1" ht="20.15" customHeight="1" spans="1:43">
      <c r="A107" s="42">
        <f t="shared" si="6"/>
        <v>103</v>
      </c>
      <c r="B107" s="42" t="s">
        <v>244</v>
      </c>
      <c r="C107" s="42">
        <v>2032</v>
      </c>
      <c r="D107" s="43"/>
      <c r="E107" s="44">
        <v>16.54</v>
      </c>
      <c r="F107" s="42"/>
      <c r="G107" s="42">
        <v>3360</v>
      </c>
      <c r="H107" s="42">
        <v>500</v>
      </c>
      <c r="I107" s="42" t="s">
        <v>331</v>
      </c>
      <c r="J107" s="42"/>
      <c r="K107" s="45" t="s">
        <v>332</v>
      </c>
      <c r="L107" s="42" t="s">
        <v>11</v>
      </c>
      <c r="M107" s="46">
        <v>45774</v>
      </c>
      <c r="N107" s="46">
        <v>45771</v>
      </c>
      <c r="O107" s="46">
        <v>46135</v>
      </c>
      <c r="P107" s="46">
        <v>45771</v>
      </c>
      <c r="Q107" s="47">
        <v>2500</v>
      </c>
      <c r="R107" s="47"/>
      <c r="S107" s="47">
        <f t="shared" si="8"/>
        <v>2500</v>
      </c>
      <c r="T107" s="47">
        <f t="shared" si="10"/>
        <v>11.9671232876712</v>
      </c>
      <c r="U107" s="42">
        <v>10000</v>
      </c>
      <c r="V107" s="42">
        <v>2500</v>
      </c>
      <c r="W107" s="42">
        <v>200</v>
      </c>
      <c r="X107" s="42"/>
      <c r="Y107" s="42"/>
      <c r="Z107" s="54"/>
      <c r="AA107" s="54"/>
      <c r="AB107" s="54"/>
      <c r="AC107" s="54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8" t="s">
        <v>333</v>
      </c>
      <c r="AP107" s="42">
        <v>17737776729</v>
      </c>
      <c r="AQ107" s="42"/>
    </row>
    <row r="108" s="1" customFormat="1" ht="20.15" customHeight="1" spans="1:43">
      <c r="A108" s="42">
        <f t="shared" si="6"/>
        <v>104</v>
      </c>
      <c r="B108" s="42" t="s">
        <v>244</v>
      </c>
      <c r="C108" s="42">
        <v>2033</v>
      </c>
      <c r="D108" s="43"/>
      <c r="E108" s="44">
        <v>16.54</v>
      </c>
      <c r="F108" s="42"/>
      <c r="G108" s="42">
        <v>3388</v>
      </c>
      <c r="H108" s="42">
        <v>500</v>
      </c>
      <c r="I108" s="42" t="s">
        <v>334</v>
      </c>
      <c r="J108" s="42"/>
      <c r="K108" s="42">
        <f>C108</f>
        <v>2033</v>
      </c>
      <c r="L108" s="42" t="s">
        <v>11</v>
      </c>
      <c r="M108" s="46">
        <v>45625</v>
      </c>
      <c r="N108" s="46">
        <v>45689</v>
      </c>
      <c r="O108" s="46">
        <v>46053</v>
      </c>
      <c r="P108" s="88">
        <v>45689</v>
      </c>
      <c r="Q108" s="47">
        <v>2500</v>
      </c>
      <c r="R108" s="47"/>
      <c r="S108" s="47">
        <f t="shared" si="8"/>
        <v>2500</v>
      </c>
      <c r="T108" s="47">
        <f t="shared" si="10"/>
        <v>11.9671232876712</v>
      </c>
      <c r="U108" s="42">
        <v>10000</v>
      </c>
      <c r="V108" s="42">
        <v>2500</v>
      </c>
      <c r="W108" s="42">
        <v>200</v>
      </c>
      <c r="X108" s="42"/>
      <c r="Y108" s="42"/>
      <c r="Z108" s="42"/>
      <c r="AA108" s="42"/>
      <c r="AB108" s="42"/>
      <c r="AC108" s="42"/>
      <c r="AD108" s="42"/>
      <c r="AE108" s="42" t="s">
        <v>48</v>
      </c>
      <c r="AF108" s="42"/>
      <c r="AG108" s="42" t="s">
        <v>48</v>
      </c>
      <c r="AH108" s="42" t="s">
        <v>48</v>
      </c>
      <c r="AI108" s="42"/>
      <c r="AJ108" s="42"/>
      <c r="AK108" s="42"/>
      <c r="AL108" s="42" t="s">
        <v>48</v>
      </c>
      <c r="AM108" s="42"/>
      <c r="AN108" s="42"/>
      <c r="AO108" s="48" t="s">
        <v>335</v>
      </c>
      <c r="AP108" s="42">
        <v>13923589023</v>
      </c>
      <c r="AQ108" s="42"/>
    </row>
    <row r="109" s="1" customFormat="1" ht="20.15" customHeight="1" spans="1:43">
      <c r="A109" s="42">
        <f t="shared" si="6"/>
        <v>105</v>
      </c>
      <c r="B109" s="42" t="s">
        <v>244</v>
      </c>
      <c r="C109" s="42">
        <v>2034</v>
      </c>
      <c r="D109" s="43"/>
      <c r="E109" s="44">
        <v>16.54</v>
      </c>
      <c r="F109" s="42"/>
      <c r="G109" s="42">
        <v>3360</v>
      </c>
      <c r="H109" s="42">
        <v>500</v>
      </c>
      <c r="I109" s="42" t="s">
        <v>334</v>
      </c>
      <c r="J109" s="42"/>
      <c r="K109" s="45" t="s">
        <v>336</v>
      </c>
      <c r="L109" s="42" t="s">
        <v>11</v>
      </c>
      <c r="M109" s="46">
        <v>45625</v>
      </c>
      <c r="N109" s="46">
        <v>45748</v>
      </c>
      <c r="O109" s="46">
        <v>46112</v>
      </c>
      <c r="P109" s="46">
        <v>45748</v>
      </c>
      <c r="Q109" s="47">
        <v>2500</v>
      </c>
      <c r="R109" s="47"/>
      <c r="S109" s="47">
        <f t="shared" si="8"/>
        <v>2500</v>
      </c>
      <c r="T109" s="47">
        <f t="shared" si="10"/>
        <v>11.9671232876712</v>
      </c>
      <c r="U109" s="42">
        <v>10000</v>
      </c>
      <c r="V109" s="42">
        <v>2500</v>
      </c>
      <c r="W109" s="42">
        <v>200</v>
      </c>
      <c r="X109" s="42"/>
      <c r="Y109" s="42"/>
      <c r="Z109" s="42"/>
      <c r="AA109" s="42"/>
      <c r="AB109" s="42"/>
      <c r="AC109" s="42"/>
      <c r="AD109" s="42"/>
      <c r="AE109" s="42" t="s">
        <v>48</v>
      </c>
      <c r="AF109" s="42"/>
      <c r="AG109" s="42" t="s">
        <v>48</v>
      </c>
      <c r="AH109" s="42" t="s">
        <v>48</v>
      </c>
      <c r="AI109" s="42"/>
      <c r="AJ109" s="42"/>
      <c r="AK109" s="42"/>
      <c r="AL109" s="42" t="s">
        <v>48</v>
      </c>
      <c r="AM109" s="42"/>
      <c r="AN109" s="42"/>
      <c r="AO109" s="48" t="s">
        <v>325</v>
      </c>
      <c r="AP109" s="42">
        <v>18802005016</v>
      </c>
      <c r="AQ109" s="42"/>
    </row>
    <row r="110" s="1" customFormat="1" ht="20.15" customHeight="1" spans="1:43">
      <c r="A110" s="42">
        <f t="shared" si="6"/>
        <v>106</v>
      </c>
      <c r="B110" s="42" t="s">
        <v>244</v>
      </c>
      <c r="C110" s="42">
        <v>2035</v>
      </c>
      <c r="D110" s="43"/>
      <c r="E110" s="44">
        <v>16.54</v>
      </c>
      <c r="F110" s="42"/>
      <c r="G110" s="42">
        <v>3360</v>
      </c>
      <c r="H110" s="42">
        <v>500</v>
      </c>
      <c r="I110" s="42" t="s">
        <v>337</v>
      </c>
      <c r="J110" s="42"/>
      <c r="K110" s="45" t="s">
        <v>338</v>
      </c>
      <c r="L110" s="42" t="s">
        <v>11</v>
      </c>
      <c r="M110" s="46">
        <v>45623</v>
      </c>
      <c r="N110" s="46">
        <v>45748</v>
      </c>
      <c r="O110" s="46">
        <v>46112</v>
      </c>
      <c r="P110" s="46">
        <v>45748</v>
      </c>
      <c r="Q110" s="47">
        <v>2500</v>
      </c>
      <c r="R110" s="47"/>
      <c r="S110" s="47">
        <f t="shared" si="8"/>
        <v>2500</v>
      </c>
      <c r="T110" s="47">
        <f t="shared" si="10"/>
        <v>11.9671232876712</v>
      </c>
      <c r="U110" s="42">
        <v>10000</v>
      </c>
      <c r="V110" s="42">
        <v>2500</v>
      </c>
      <c r="W110" s="42">
        <v>200</v>
      </c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8" t="s">
        <v>339</v>
      </c>
      <c r="AP110" s="42">
        <v>13707343254</v>
      </c>
      <c r="AQ110" s="42"/>
    </row>
    <row r="111" s="1" customFormat="1" ht="20.15" customHeight="1" spans="1:43">
      <c r="A111" s="42">
        <f t="shared" si="6"/>
        <v>107</v>
      </c>
      <c r="B111" s="42" t="s">
        <v>244</v>
      </c>
      <c r="C111" s="42" t="s">
        <v>340</v>
      </c>
      <c r="D111" s="43"/>
      <c r="E111" s="44">
        <v>16.54</v>
      </c>
      <c r="F111" s="42"/>
      <c r="G111" s="42">
        <v>3360</v>
      </c>
      <c r="H111" s="42">
        <v>500</v>
      </c>
      <c r="I111" s="42" t="s">
        <v>341</v>
      </c>
      <c r="J111" s="42"/>
      <c r="K111" s="45" t="s">
        <v>340</v>
      </c>
      <c r="L111" s="42" t="s">
        <v>11</v>
      </c>
      <c r="M111" s="46">
        <v>45614</v>
      </c>
      <c r="N111" s="46">
        <v>45748</v>
      </c>
      <c r="O111" s="46">
        <v>46112</v>
      </c>
      <c r="P111" s="46">
        <v>45748</v>
      </c>
      <c r="Q111" s="47">
        <v>2500</v>
      </c>
      <c r="R111" s="47"/>
      <c r="S111" s="47">
        <f t="shared" si="8"/>
        <v>2500</v>
      </c>
      <c r="T111" s="47">
        <f t="shared" si="10"/>
        <v>11.9671232876712</v>
      </c>
      <c r="U111" s="42">
        <v>10000</v>
      </c>
      <c r="V111" s="42">
        <v>2500</v>
      </c>
      <c r="W111" s="42">
        <v>200</v>
      </c>
      <c r="X111" s="42"/>
      <c r="Y111" s="42"/>
      <c r="Z111" s="42"/>
      <c r="AA111" s="42"/>
      <c r="AB111" s="42"/>
      <c r="AC111" s="42"/>
      <c r="AD111" s="42"/>
      <c r="AE111" s="42" t="s">
        <v>48</v>
      </c>
      <c r="AF111" s="42"/>
      <c r="AG111" s="42" t="s">
        <v>48</v>
      </c>
      <c r="AH111" s="42" t="s">
        <v>48</v>
      </c>
      <c r="AI111" s="42"/>
      <c r="AJ111" s="42"/>
      <c r="AK111" s="42"/>
      <c r="AL111" s="42" t="s">
        <v>48</v>
      </c>
      <c r="AM111" s="42"/>
      <c r="AN111" s="42"/>
      <c r="AO111" s="48" t="s">
        <v>342</v>
      </c>
      <c r="AP111" s="42">
        <v>15917407430</v>
      </c>
      <c r="AQ111" s="42"/>
    </row>
    <row r="112" s="1" customFormat="1" ht="20.15" customHeight="1" spans="1:43">
      <c r="A112" s="42">
        <f t="shared" si="6"/>
        <v>108</v>
      </c>
      <c r="B112" s="42" t="s">
        <v>244</v>
      </c>
      <c r="C112" s="42">
        <v>2036</v>
      </c>
      <c r="D112" s="43"/>
      <c r="E112" s="44">
        <v>20.69</v>
      </c>
      <c r="F112" s="42"/>
      <c r="G112" s="42">
        <v>3388</v>
      </c>
      <c r="H112" s="42">
        <v>500</v>
      </c>
      <c r="I112" s="42" t="s">
        <v>343</v>
      </c>
      <c r="J112" s="42"/>
      <c r="K112" s="45" t="s">
        <v>344</v>
      </c>
      <c r="L112" s="42" t="s">
        <v>11</v>
      </c>
      <c r="M112" s="46">
        <v>45613</v>
      </c>
      <c r="N112" s="46">
        <v>45689</v>
      </c>
      <c r="O112" s="46">
        <v>46053</v>
      </c>
      <c r="P112" s="88">
        <v>45689</v>
      </c>
      <c r="Q112" s="47">
        <v>2500</v>
      </c>
      <c r="R112" s="47"/>
      <c r="S112" s="47">
        <f t="shared" si="8"/>
        <v>2500</v>
      </c>
      <c r="T112" s="47">
        <f t="shared" si="10"/>
        <v>11.9671232876712</v>
      </c>
      <c r="U112" s="42">
        <v>10000</v>
      </c>
      <c r="V112" s="42">
        <v>2500</v>
      </c>
      <c r="W112" s="42">
        <v>200</v>
      </c>
      <c r="X112" s="42"/>
      <c r="Y112" s="42"/>
      <c r="Z112" s="42"/>
      <c r="AA112" s="42"/>
      <c r="AB112" s="42"/>
      <c r="AC112" s="42"/>
      <c r="AD112" s="42"/>
      <c r="AE112" s="42" t="s">
        <v>48</v>
      </c>
      <c r="AF112" s="42"/>
      <c r="AG112" s="42" t="s">
        <v>48</v>
      </c>
      <c r="AH112" s="42" t="s">
        <v>48</v>
      </c>
      <c r="AI112" s="42"/>
      <c r="AJ112" s="42"/>
      <c r="AK112" s="42"/>
      <c r="AL112" s="42" t="s">
        <v>48</v>
      </c>
      <c r="AM112" s="42"/>
      <c r="AN112" s="42"/>
      <c r="AO112" s="48" t="s">
        <v>345</v>
      </c>
      <c r="AP112" s="42" t="s">
        <v>346</v>
      </c>
      <c r="AQ112" s="42"/>
    </row>
    <row r="113" s="1" customFormat="1" ht="20.15" customHeight="1" spans="1:43">
      <c r="A113" s="42">
        <f t="shared" si="6"/>
        <v>109</v>
      </c>
      <c r="B113" s="42" t="s">
        <v>244</v>
      </c>
      <c r="C113" s="42">
        <v>2037</v>
      </c>
      <c r="D113" s="43"/>
      <c r="E113" s="44">
        <v>16.54</v>
      </c>
      <c r="F113" s="42"/>
      <c r="G113" s="42"/>
      <c r="H113" s="42"/>
      <c r="I113" s="42" t="s">
        <v>347</v>
      </c>
      <c r="J113" s="42"/>
      <c r="K113" s="45" t="s">
        <v>348</v>
      </c>
      <c r="L113" s="42" t="s">
        <v>11</v>
      </c>
      <c r="M113" s="46">
        <v>45621</v>
      </c>
      <c r="N113" s="46">
        <v>45717</v>
      </c>
      <c r="O113" s="46">
        <v>46081</v>
      </c>
      <c r="P113" s="46">
        <v>45717</v>
      </c>
      <c r="Q113" s="47">
        <v>2500</v>
      </c>
      <c r="R113" s="47"/>
      <c r="S113" s="47">
        <f t="shared" si="8"/>
        <v>2500</v>
      </c>
      <c r="T113" s="47">
        <f t="shared" si="10"/>
        <v>11.9671232876712</v>
      </c>
      <c r="U113" s="42">
        <v>10000</v>
      </c>
      <c r="V113" s="42">
        <v>2500</v>
      </c>
      <c r="W113" s="42">
        <v>200</v>
      </c>
      <c r="X113" s="42"/>
      <c r="Y113" s="42"/>
      <c r="Z113" s="42"/>
      <c r="AA113" s="42"/>
      <c r="AB113" s="42"/>
      <c r="AC113" s="42"/>
      <c r="AD113" s="42" t="s">
        <v>48</v>
      </c>
      <c r="AE113" s="42" t="s">
        <v>48</v>
      </c>
      <c r="AF113" s="42" t="s">
        <v>48</v>
      </c>
      <c r="AG113" s="42" t="s">
        <v>48</v>
      </c>
      <c r="AH113" s="42" t="s">
        <v>48</v>
      </c>
      <c r="AI113" s="42" t="s">
        <v>48</v>
      </c>
      <c r="AJ113" s="42" t="s">
        <v>48</v>
      </c>
      <c r="AK113" s="42" t="s">
        <v>48</v>
      </c>
      <c r="AL113" s="42" t="s">
        <v>48</v>
      </c>
      <c r="AM113" s="42" t="s">
        <v>48</v>
      </c>
      <c r="AN113" s="42" t="s">
        <v>48</v>
      </c>
      <c r="AO113" s="48" t="s">
        <v>349</v>
      </c>
      <c r="AP113" s="42">
        <v>18665578777</v>
      </c>
      <c r="AQ113" s="42"/>
    </row>
    <row r="114" s="1" customFormat="1" ht="20.15" customHeight="1" spans="1:43">
      <c r="A114" s="42">
        <f t="shared" si="6"/>
        <v>110</v>
      </c>
      <c r="B114" s="42" t="s">
        <v>244</v>
      </c>
      <c r="C114" s="42">
        <v>2038</v>
      </c>
      <c r="D114" s="43"/>
      <c r="E114" s="44">
        <v>16.54</v>
      </c>
      <c r="F114" s="42"/>
      <c r="G114" s="42"/>
      <c r="H114" s="42"/>
      <c r="I114" s="42" t="s">
        <v>347</v>
      </c>
      <c r="J114" s="42"/>
      <c r="K114" s="45" t="s">
        <v>350</v>
      </c>
      <c r="L114" s="42" t="s">
        <v>11</v>
      </c>
      <c r="M114" s="46">
        <v>45621</v>
      </c>
      <c r="N114" s="46">
        <v>45710</v>
      </c>
      <c r="O114" s="46">
        <v>46074</v>
      </c>
      <c r="P114" s="46">
        <v>45710</v>
      </c>
      <c r="Q114" s="47">
        <v>2500</v>
      </c>
      <c r="R114" s="47"/>
      <c r="S114" s="47">
        <f t="shared" si="8"/>
        <v>2500</v>
      </c>
      <c r="T114" s="47">
        <f t="shared" si="10"/>
        <v>11.9671232876712</v>
      </c>
      <c r="U114" s="42">
        <v>10000</v>
      </c>
      <c r="V114" s="42">
        <v>2500</v>
      </c>
      <c r="W114" s="42">
        <v>200</v>
      </c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8" t="s">
        <v>349</v>
      </c>
      <c r="AP114" s="42">
        <v>18665578777</v>
      </c>
      <c r="AQ114" s="42"/>
    </row>
    <row r="115" s="1" customFormat="1" ht="20.15" customHeight="1" spans="1:43">
      <c r="A115" s="42">
        <f t="shared" si="6"/>
        <v>111</v>
      </c>
      <c r="B115" s="42" t="s">
        <v>244</v>
      </c>
      <c r="C115" s="42">
        <v>2039</v>
      </c>
      <c r="D115" s="43"/>
      <c r="E115" s="44">
        <v>16.54</v>
      </c>
      <c r="F115" s="42"/>
      <c r="G115" s="42"/>
      <c r="H115" s="42"/>
      <c r="I115" s="42" t="s">
        <v>351</v>
      </c>
      <c r="J115" s="42"/>
      <c r="K115" s="45" t="s">
        <v>352</v>
      </c>
      <c r="L115" s="42" t="s">
        <v>11</v>
      </c>
      <c r="M115" s="46">
        <v>45624</v>
      </c>
      <c r="N115" s="46">
        <v>45717</v>
      </c>
      <c r="O115" s="46">
        <v>46081</v>
      </c>
      <c r="P115" s="46">
        <v>45717</v>
      </c>
      <c r="Q115" s="47">
        <v>2500</v>
      </c>
      <c r="R115" s="47"/>
      <c r="S115" s="47">
        <f t="shared" si="8"/>
        <v>2500</v>
      </c>
      <c r="T115" s="47">
        <f t="shared" si="10"/>
        <v>11.9671232876712</v>
      </c>
      <c r="U115" s="42">
        <v>10000</v>
      </c>
      <c r="V115" s="42">
        <v>2500</v>
      </c>
      <c r="W115" s="42">
        <v>200</v>
      </c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8" t="s">
        <v>353</v>
      </c>
      <c r="AP115" s="42">
        <v>13922780776</v>
      </c>
      <c r="AQ115" s="42"/>
    </row>
    <row r="116" s="1" customFormat="1" ht="20.15" customHeight="1" spans="1:43">
      <c r="A116" s="42">
        <f t="shared" si="6"/>
        <v>112</v>
      </c>
      <c r="B116" s="42" t="s">
        <v>244</v>
      </c>
      <c r="C116" s="42">
        <v>2040</v>
      </c>
      <c r="D116" s="44"/>
      <c r="E116" s="44">
        <v>16.54</v>
      </c>
      <c r="F116" s="42"/>
      <c r="G116" s="42">
        <v>3696</v>
      </c>
      <c r="H116" s="42">
        <v>500</v>
      </c>
      <c r="I116" s="42" t="s">
        <v>354</v>
      </c>
      <c r="J116" s="45"/>
      <c r="K116" s="45" t="s">
        <v>355</v>
      </c>
      <c r="L116" s="42" t="s">
        <v>11</v>
      </c>
      <c r="M116" s="46">
        <v>45630</v>
      </c>
      <c r="N116" s="46">
        <v>45741</v>
      </c>
      <c r="O116" s="46">
        <v>46105</v>
      </c>
      <c r="P116" s="46">
        <v>45741</v>
      </c>
      <c r="Q116" s="47">
        <v>5000</v>
      </c>
      <c r="R116" s="47"/>
      <c r="S116" s="47">
        <f t="shared" si="8"/>
        <v>5000</v>
      </c>
      <c r="T116" s="47">
        <v>12</v>
      </c>
      <c r="U116" s="42">
        <v>20000</v>
      </c>
      <c r="V116" s="42">
        <v>5000</v>
      </c>
      <c r="W116" s="42">
        <v>400</v>
      </c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55"/>
      <c r="AO116" s="45" t="s">
        <v>356</v>
      </c>
      <c r="AP116" s="42">
        <v>13676291613</v>
      </c>
    </row>
    <row r="117" s="1" customFormat="1" ht="20.15" customHeight="1" spans="1:43">
      <c r="A117" s="42">
        <v>113</v>
      </c>
      <c r="B117" s="42" t="s">
        <v>244</v>
      </c>
      <c r="C117" s="42">
        <v>2041</v>
      </c>
      <c r="D117" s="44"/>
      <c r="E117" s="44">
        <v>16.54</v>
      </c>
      <c r="F117" s="53"/>
      <c r="G117" s="53"/>
      <c r="H117" s="42"/>
      <c r="I117" s="42" t="s">
        <v>354</v>
      </c>
      <c r="J117" s="45"/>
      <c r="K117" s="45" t="s">
        <v>355</v>
      </c>
      <c r="L117" s="42" t="s">
        <v>11</v>
      </c>
      <c r="M117" s="46">
        <v>45630</v>
      </c>
      <c r="N117" s="46">
        <v>45741</v>
      </c>
      <c r="O117" s="46">
        <v>46105</v>
      </c>
      <c r="P117" s="46">
        <v>45741</v>
      </c>
      <c r="Q117" s="47"/>
      <c r="R117" s="47"/>
      <c r="S117" s="47">
        <f t="shared" si="8"/>
        <v>0</v>
      </c>
      <c r="T117" s="47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55"/>
      <c r="AO117" s="45" t="s">
        <v>356</v>
      </c>
      <c r="AP117" s="42">
        <v>13676291613</v>
      </c>
    </row>
    <row r="118" s="1" customFormat="1" ht="20.15" customHeight="1" spans="1:43">
      <c r="A118" s="42">
        <f t="shared" ref="A118:A181" si="11">ROW()-4</f>
        <v>114</v>
      </c>
      <c r="B118" s="42" t="s">
        <v>244</v>
      </c>
      <c r="C118" s="42">
        <v>2042</v>
      </c>
      <c r="D118" s="43"/>
      <c r="E118" s="44">
        <v>16.54</v>
      </c>
      <c r="F118" s="42"/>
      <c r="G118" s="42"/>
      <c r="H118" s="42"/>
      <c r="I118" s="42" t="s">
        <v>357</v>
      </c>
      <c r="J118" s="42"/>
      <c r="K118" s="45" t="s">
        <v>358</v>
      </c>
      <c r="L118" s="42" t="s">
        <v>11</v>
      </c>
      <c r="M118" s="46">
        <v>45618</v>
      </c>
      <c r="N118" s="46">
        <v>45732</v>
      </c>
      <c r="O118" s="46">
        <v>46096</v>
      </c>
      <c r="P118" s="46">
        <v>45732</v>
      </c>
      <c r="Q118" s="47">
        <v>2500</v>
      </c>
      <c r="R118" s="47"/>
      <c r="S118" s="47">
        <f t="shared" si="8"/>
        <v>2500</v>
      </c>
      <c r="T118" s="47">
        <f t="shared" ref="T118:T127" si="12">(O118-N118)/365*12</f>
        <v>11.9671232876712</v>
      </c>
      <c r="U118" s="42">
        <v>10000</v>
      </c>
      <c r="V118" s="42">
        <v>2500</v>
      </c>
      <c r="W118" s="42">
        <v>200</v>
      </c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8" t="s">
        <v>359</v>
      </c>
      <c r="AP118" s="42">
        <v>13631334363</v>
      </c>
      <c r="AQ118" s="42"/>
    </row>
    <row r="119" s="1" customFormat="1" ht="20.15" customHeight="1" spans="1:43">
      <c r="A119" s="42">
        <f t="shared" si="11"/>
        <v>115</v>
      </c>
      <c r="B119" s="42" t="s">
        <v>244</v>
      </c>
      <c r="C119" s="42">
        <v>2043</v>
      </c>
      <c r="D119" s="43"/>
      <c r="E119" s="44">
        <v>16.54</v>
      </c>
      <c r="F119" s="42"/>
      <c r="G119" s="42">
        <v>3726</v>
      </c>
      <c r="H119" s="42">
        <v>500</v>
      </c>
      <c r="I119" s="42" t="s">
        <v>360</v>
      </c>
      <c r="J119" s="42"/>
      <c r="K119" s="45" t="s">
        <v>361</v>
      </c>
      <c r="L119" s="42" t="s">
        <v>11</v>
      </c>
      <c r="M119" s="46">
        <v>45628</v>
      </c>
      <c r="N119" s="46">
        <v>45717</v>
      </c>
      <c r="O119" s="46">
        <v>46081</v>
      </c>
      <c r="P119" s="46">
        <v>45717</v>
      </c>
      <c r="Q119" s="47">
        <v>5000</v>
      </c>
      <c r="R119" s="47"/>
      <c r="S119" s="47">
        <f t="shared" si="8"/>
        <v>5000</v>
      </c>
      <c r="T119" s="47">
        <f t="shared" si="12"/>
        <v>11.9671232876712</v>
      </c>
      <c r="U119" s="42">
        <v>20000</v>
      </c>
      <c r="V119" s="42">
        <v>5000</v>
      </c>
      <c r="W119" s="42">
        <v>400</v>
      </c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8" t="s">
        <v>362</v>
      </c>
      <c r="AP119" s="42">
        <v>13560227223</v>
      </c>
      <c r="AQ119" s="42"/>
    </row>
    <row r="120" s="1" customFormat="1" ht="20.15" customHeight="1" spans="1:43">
      <c r="A120" s="42">
        <f t="shared" si="11"/>
        <v>116</v>
      </c>
      <c r="B120" s="42" t="s">
        <v>244</v>
      </c>
      <c r="C120" s="42">
        <v>2044</v>
      </c>
      <c r="D120" s="43"/>
      <c r="E120" s="44">
        <v>16.54</v>
      </c>
      <c r="F120" s="42"/>
      <c r="G120" s="42"/>
      <c r="H120" s="42"/>
      <c r="I120" s="42" t="s">
        <v>360</v>
      </c>
      <c r="J120" s="42"/>
      <c r="K120" s="45" t="s">
        <v>361</v>
      </c>
      <c r="L120" s="42" t="s">
        <v>11</v>
      </c>
      <c r="M120" s="46">
        <v>45628</v>
      </c>
      <c r="N120" s="46">
        <v>45717</v>
      </c>
      <c r="O120" s="46">
        <v>46081</v>
      </c>
      <c r="P120" s="46">
        <v>45717</v>
      </c>
      <c r="Q120" s="47"/>
      <c r="R120" s="47"/>
      <c r="S120" s="47">
        <f t="shared" si="8"/>
        <v>0</v>
      </c>
      <c r="T120" s="47">
        <f t="shared" si="12"/>
        <v>11.9671232876712</v>
      </c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8" t="s">
        <v>362</v>
      </c>
      <c r="AP120" s="42">
        <v>13560227223</v>
      </c>
      <c r="AQ120" s="42"/>
    </row>
    <row r="121" s="1" customFormat="1" ht="20.15" customHeight="1" spans="1:43">
      <c r="A121" s="42">
        <f t="shared" si="11"/>
        <v>117</v>
      </c>
      <c r="B121" s="42" t="s">
        <v>244</v>
      </c>
      <c r="C121" s="42">
        <v>2045</v>
      </c>
      <c r="D121" s="43"/>
      <c r="E121" s="44">
        <v>16.54</v>
      </c>
      <c r="F121" s="42"/>
      <c r="G121" s="42">
        <v>3388</v>
      </c>
      <c r="H121" s="42">
        <v>300</v>
      </c>
      <c r="I121" s="42" t="s">
        <v>363</v>
      </c>
      <c r="J121" s="42"/>
      <c r="K121" s="45" t="s">
        <v>364</v>
      </c>
      <c r="L121" s="42" t="s">
        <v>11</v>
      </c>
      <c r="M121" s="46">
        <v>45609</v>
      </c>
      <c r="N121" s="46">
        <v>45717</v>
      </c>
      <c r="O121" s="46">
        <v>46081</v>
      </c>
      <c r="P121" s="46">
        <v>45717</v>
      </c>
      <c r="Q121" s="47">
        <v>2500</v>
      </c>
      <c r="R121" s="47"/>
      <c r="S121" s="47">
        <f t="shared" si="8"/>
        <v>2500</v>
      </c>
      <c r="T121" s="47">
        <f t="shared" si="12"/>
        <v>11.9671232876712</v>
      </c>
      <c r="U121" s="42">
        <v>10000</v>
      </c>
      <c r="V121" s="42">
        <v>2500</v>
      </c>
      <c r="W121" s="42">
        <v>200</v>
      </c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8" t="s">
        <v>365</v>
      </c>
      <c r="AP121" s="42">
        <v>13504533346</v>
      </c>
      <c r="AQ121" s="42"/>
    </row>
    <row r="122" s="1" customFormat="1" ht="20.15" customHeight="1" spans="1:43">
      <c r="A122" s="42">
        <f t="shared" si="11"/>
        <v>118</v>
      </c>
      <c r="B122" s="42" t="s">
        <v>244</v>
      </c>
      <c r="C122" s="42">
        <v>2046</v>
      </c>
      <c r="D122" s="43"/>
      <c r="E122" s="44">
        <v>16.54</v>
      </c>
      <c r="F122" s="42"/>
      <c r="G122" s="42">
        <v>3000</v>
      </c>
      <c r="H122" s="42">
        <v>500</v>
      </c>
      <c r="I122" s="42" t="s">
        <v>366</v>
      </c>
      <c r="J122" s="42"/>
      <c r="K122" s="45" t="s">
        <v>367</v>
      </c>
      <c r="L122" s="42" t="s">
        <v>11</v>
      </c>
      <c r="M122" s="46">
        <v>45614</v>
      </c>
      <c r="N122" s="46">
        <v>45713</v>
      </c>
      <c r="O122" s="46">
        <v>46077</v>
      </c>
      <c r="P122" s="46">
        <v>45713</v>
      </c>
      <c r="Q122" s="47">
        <v>2500</v>
      </c>
      <c r="R122" s="47"/>
      <c r="S122" s="47">
        <f t="shared" si="8"/>
        <v>2500</v>
      </c>
      <c r="T122" s="47">
        <f t="shared" si="12"/>
        <v>11.9671232876712</v>
      </c>
      <c r="U122" s="42">
        <v>10000</v>
      </c>
      <c r="V122" s="42">
        <v>2500</v>
      </c>
      <c r="W122" s="42">
        <v>200</v>
      </c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8" t="s">
        <v>368</v>
      </c>
      <c r="AP122" s="42">
        <v>18588769939</v>
      </c>
      <c r="AQ122" s="42"/>
    </row>
    <row r="123" s="1" customFormat="1" ht="20.15" customHeight="1" spans="1:43">
      <c r="A123" s="42">
        <f t="shared" si="11"/>
        <v>119</v>
      </c>
      <c r="B123" s="42" t="s">
        <v>244</v>
      </c>
      <c r="C123" s="42">
        <v>2047</v>
      </c>
      <c r="D123" s="43"/>
      <c r="E123" s="44">
        <v>36.48</v>
      </c>
      <c r="F123" s="42"/>
      <c r="G123" s="42">
        <v>2278</v>
      </c>
      <c r="H123" s="42">
        <v>500</v>
      </c>
      <c r="I123" s="42" t="s">
        <v>369</v>
      </c>
      <c r="J123" s="42"/>
      <c r="K123" s="45" t="s">
        <v>370</v>
      </c>
      <c r="L123" s="42" t="s">
        <v>11</v>
      </c>
      <c r="M123" s="46">
        <v>45626</v>
      </c>
      <c r="N123" s="46">
        <v>45717</v>
      </c>
      <c r="O123" s="46">
        <v>46081</v>
      </c>
      <c r="P123" s="88">
        <v>45717</v>
      </c>
      <c r="Q123" s="47">
        <v>2000</v>
      </c>
      <c r="R123" s="47"/>
      <c r="S123" s="47">
        <f t="shared" si="8"/>
        <v>2000</v>
      </c>
      <c r="T123" s="47">
        <f t="shared" si="12"/>
        <v>11.9671232876712</v>
      </c>
      <c r="U123" s="42">
        <v>10000</v>
      </c>
      <c r="V123" s="42">
        <v>2000</v>
      </c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8" t="s">
        <v>325</v>
      </c>
      <c r="AP123" s="42">
        <v>18802005076</v>
      </c>
      <c r="AQ123" s="42"/>
    </row>
    <row r="124" s="1" customFormat="1" ht="20.15" customHeight="1" spans="1:43">
      <c r="A124" s="42">
        <f t="shared" si="11"/>
        <v>120</v>
      </c>
      <c r="B124" s="42" t="s">
        <v>244</v>
      </c>
      <c r="C124" s="42">
        <v>2048</v>
      </c>
      <c r="D124" s="43"/>
      <c r="E124" s="44">
        <v>16.54</v>
      </c>
      <c r="F124" s="42"/>
      <c r="G124" s="42"/>
      <c r="H124" s="42"/>
      <c r="I124" s="42" t="s">
        <v>371</v>
      </c>
      <c r="J124" s="42"/>
      <c r="K124" s="45" t="s">
        <v>372</v>
      </c>
      <c r="L124" s="42" t="s">
        <v>11</v>
      </c>
      <c r="M124" s="46">
        <v>45598</v>
      </c>
      <c r="N124" s="46">
        <v>45713</v>
      </c>
      <c r="O124" s="46">
        <v>46077</v>
      </c>
      <c r="P124" s="46">
        <v>45713</v>
      </c>
      <c r="Q124" s="47">
        <v>2500</v>
      </c>
      <c r="R124" s="47"/>
      <c r="S124" s="47">
        <f t="shared" si="8"/>
        <v>2500</v>
      </c>
      <c r="T124" s="47">
        <f t="shared" si="12"/>
        <v>11.9671232876712</v>
      </c>
      <c r="U124" s="42">
        <v>10000</v>
      </c>
      <c r="V124" s="42">
        <v>2500</v>
      </c>
      <c r="W124" s="42">
        <v>200</v>
      </c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8" t="s">
        <v>373</v>
      </c>
      <c r="AP124" s="42">
        <v>13115551616</v>
      </c>
      <c r="AQ124" s="42"/>
    </row>
    <row r="125" s="1" customFormat="1" ht="20.15" customHeight="1" spans="1:43">
      <c r="A125" s="42">
        <f t="shared" si="11"/>
        <v>121</v>
      </c>
      <c r="B125" s="42" t="s">
        <v>244</v>
      </c>
      <c r="C125" s="42">
        <v>2049</v>
      </c>
      <c r="D125" s="43"/>
      <c r="E125" s="44">
        <v>16.54</v>
      </c>
      <c r="F125" s="42"/>
      <c r="G125" s="42">
        <v>3000</v>
      </c>
      <c r="H125" s="42"/>
      <c r="I125" s="42" t="s">
        <v>374</v>
      </c>
      <c r="J125" s="42"/>
      <c r="K125" s="45" t="s">
        <v>375</v>
      </c>
      <c r="L125" s="42" t="s">
        <v>11</v>
      </c>
      <c r="M125" s="46">
        <v>45607</v>
      </c>
      <c r="N125" s="46">
        <v>45713</v>
      </c>
      <c r="O125" s="46">
        <v>46077</v>
      </c>
      <c r="P125" s="46">
        <v>45713</v>
      </c>
      <c r="Q125" s="47">
        <v>2500</v>
      </c>
      <c r="R125" s="47"/>
      <c r="S125" s="47">
        <f t="shared" si="8"/>
        <v>2500</v>
      </c>
      <c r="T125" s="47">
        <f t="shared" si="12"/>
        <v>11.9671232876712</v>
      </c>
      <c r="U125" s="42">
        <v>10000</v>
      </c>
      <c r="V125" s="42">
        <v>2500</v>
      </c>
      <c r="W125" s="42">
        <v>200</v>
      </c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8" t="s">
        <v>376</v>
      </c>
      <c r="AP125" s="42">
        <v>17362915004</v>
      </c>
      <c r="AQ125" s="42"/>
    </row>
    <row r="126" s="1" customFormat="1" ht="20.15" customHeight="1" spans="1:43">
      <c r="A126" s="42">
        <f t="shared" si="11"/>
        <v>122</v>
      </c>
      <c r="B126" s="42" t="s">
        <v>244</v>
      </c>
      <c r="C126" s="42">
        <v>2050</v>
      </c>
      <c r="D126" s="43"/>
      <c r="E126" s="44">
        <v>16.54</v>
      </c>
      <c r="F126" s="42"/>
      <c r="G126" s="42">
        <v>3764</v>
      </c>
      <c r="H126" s="42">
        <v>500</v>
      </c>
      <c r="I126" s="42" t="s">
        <v>377</v>
      </c>
      <c r="J126" s="42"/>
      <c r="K126" s="45" t="s">
        <v>378</v>
      </c>
      <c r="L126" s="42" t="s">
        <v>11</v>
      </c>
      <c r="M126" s="46">
        <v>45620</v>
      </c>
      <c r="N126" s="46">
        <v>45710</v>
      </c>
      <c r="O126" s="46">
        <v>46074</v>
      </c>
      <c r="P126" s="46">
        <v>45710</v>
      </c>
      <c r="Q126" s="47">
        <v>2500</v>
      </c>
      <c r="R126" s="47"/>
      <c r="S126" s="47">
        <f t="shared" si="8"/>
        <v>2500</v>
      </c>
      <c r="T126" s="47">
        <f t="shared" si="12"/>
        <v>11.9671232876712</v>
      </c>
      <c r="U126" s="42">
        <v>10000</v>
      </c>
      <c r="V126" s="42">
        <v>2500</v>
      </c>
      <c r="W126" s="42">
        <v>200</v>
      </c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8" t="s">
        <v>379</v>
      </c>
      <c r="AP126" s="42">
        <v>13427737888</v>
      </c>
      <c r="AQ126" s="42"/>
    </row>
    <row r="127" s="1" customFormat="1" ht="20.15" customHeight="1" spans="1:43">
      <c r="A127" s="42">
        <f t="shared" si="11"/>
        <v>123</v>
      </c>
      <c r="B127" s="42" t="s">
        <v>244</v>
      </c>
      <c r="C127" s="42">
        <v>2051</v>
      </c>
      <c r="D127" s="43"/>
      <c r="E127" s="44">
        <v>16.54</v>
      </c>
      <c r="F127" s="42"/>
      <c r="G127" s="42">
        <v>3360</v>
      </c>
      <c r="H127" s="42">
        <v>500</v>
      </c>
      <c r="I127" s="42" t="s">
        <v>380</v>
      </c>
      <c r="J127" s="42"/>
      <c r="K127" s="42">
        <v>2051</v>
      </c>
      <c r="L127" s="42" t="s">
        <v>11</v>
      </c>
      <c r="M127" s="46">
        <v>45744</v>
      </c>
      <c r="N127" s="46">
        <v>45748</v>
      </c>
      <c r="O127" s="46">
        <v>46112</v>
      </c>
      <c r="P127" s="46">
        <v>45748</v>
      </c>
      <c r="Q127" s="47">
        <v>2500</v>
      </c>
      <c r="R127" s="47"/>
      <c r="S127" s="47">
        <f t="shared" si="8"/>
        <v>2500</v>
      </c>
      <c r="T127" s="47">
        <f t="shared" si="12"/>
        <v>11.9671232876712</v>
      </c>
      <c r="U127" s="42">
        <v>10000</v>
      </c>
      <c r="V127" s="42">
        <v>2500</v>
      </c>
      <c r="W127" s="42">
        <v>200</v>
      </c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8" t="s">
        <v>381</v>
      </c>
      <c r="AP127" s="42">
        <v>13825628323</v>
      </c>
      <c r="AQ127" s="42"/>
    </row>
    <row r="128" s="7" customFormat="1" ht="20.15" customHeight="1" spans="1:43">
      <c r="A128" s="42">
        <f t="shared" si="11"/>
        <v>124</v>
      </c>
      <c r="B128" s="53" t="s">
        <v>244</v>
      </c>
      <c r="C128" s="53">
        <v>2052</v>
      </c>
      <c r="D128" s="103"/>
      <c r="E128" s="103">
        <v>16.54</v>
      </c>
      <c r="F128" s="53"/>
      <c r="G128" s="53">
        <v>3360</v>
      </c>
      <c r="H128" s="53">
        <v>500</v>
      </c>
      <c r="I128" s="53" t="s">
        <v>382</v>
      </c>
      <c r="J128" s="104"/>
      <c r="K128" s="104" t="s">
        <v>383</v>
      </c>
      <c r="L128" s="53" t="s">
        <v>11</v>
      </c>
      <c r="M128" s="105">
        <v>45620</v>
      </c>
      <c r="N128" s="105">
        <v>45741</v>
      </c>
      <c r="O128" s="105">
        <v>46105</v>
      </c>
      <c r="P128" s="105">
        <v>45741</v>
      </c>
      <c r="Q128" s="106">
        <v>2500</v>
      </c>
      <c r="R128" s="106"/>
      <c r="S128" s="47">
        <f t="shared" si="8"/>
        <v>2500</v>
      </c>
      <c r="T128" s="106">
        <v>12</v>
      </c>
      <c r="U128" s="53">
        <v>10000</v>
      </c>
      <c r="V128" s="53">
        <v>2500</v>
      </c>
      <c r="W128" s="53">
        <v>200</v>
      </c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107"/>
      <c r="AO128" s="104" t="s">
        <v>384</v>
      </c>
      <c r="AP128" s="53">
        <v>13933665005</v>
      </c>
    </row>
    <row r="129" s="7" customFormat="1" ht="20.15" customHeight="1" spans="1:43">
      <c r="A129" s="42">
        <f t="shared" si="11"/>
        <v>125</v>
      </c>
      <c r="B129" s="53" t="s">
        <v>244</v>
      </c>
      <c r="C129" s="53">
        <v>2053</v>
      </c>
      <c r="D129" s="103"/>
      <c r="E129" s="103">
        <v>16.54</v>
      </c>
      <c r="F129" s="53"/>
      <c r="G129" s="53">
        <v>3388</v>
      </c>
      <c r="H129" s="53">
        <v>500</v>
      </c>
      <c r="I129" s="53" t="s">
        <v>385</v>
      </c>
      <c r="J129" s="104"/>
      <c r="K129" s="104" t="s">
        <v>386</v>
      </c>
      <c r="L129" s="53" t="s">
        <v>11</v>
      </c>
      <c r="M129" s="105">
        <v>45649</v>
      </c>
      <c r="N129" s="105">
        <v>45717</v>
      </c>
      <c r="O129" s="105">
        <v>46081</v>
      </c>
      <c r="P129" s="105">
        <v>45717</v>
      </c>
      <c r="Q129" s="106">
        <v>2500</v>
      </c>
      <c r="R129" s="106"/>
      <c r="S129" s="47">
        <f t="shared" si="8"/>
        <v>2500</v>
      </c>
      <c r="T129" s="106">
        <v>11.9671232876712</v>
      </c>
      <c r="U129" s="53">
        <v>10000</v>
      </c>
      <c r="V129" s="53">
        <v>2500</v>
      </c>
      <c r="W129" s="53">
        <v>200</v>
      </c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107"/>
      <c r="AO129" s="104" t="s">
        <v>387</v>
      </c>
      <c r="AP129" s="53">
        <v>15817257415</v>
      </c>
    </row>
    <row r="130" s="1" customFormat="1" ht="20.15" customHeight="1" spans="1:43">
      <c r="A130" s="42">
        <f t="shared" si="11"/>
        <v>126</v>
      </c>
      <c r="B130" s="42" t="s">
        <v>244</v>
      </c>
      <c r="C130" s="42" t="s">
        <v>388</v>
      </c>
      <c r="D130" s="43"/>
      <c r="E130" s="44">
        <v>16.54</v>
      </c>
      <c r="F130" s="42"/>
      <c r="G130" s="42">
        <v>3300</v>
      </c>
      <c r="H130" s="42">
        <v>500</v>
      </c>
      <c r="I130" s="42" t="s">
        <v>389</v>
      </c>
      <c r="J130" s="42"/>
      <c r="K130" s="45" t="s">
        <v>390</v>
      </c>
      <c r="L130" s="42" t="s">
        <v>11</v>
      </c>
      <c r="M130" s="46">
        <v>45626</v>
      </c>
      <c r="N130" s="46">
        <v>45717</v>
      </c>
      <c r="O130" s="46">
        <v>46081</v>
      </c>
      <c r="P130" s="46">
        <v>45717</v>
      </c>
      <c r="Q130" s="47">
        <v>5000</v>
      </c>
      <c r="R130" s="47"/>
      <c r="S130" s="47">
        <f t="shared" si="8"/>
        <v>5000</v>
      </c>
      <c r="T130" s="47">
        <f t="shared" ref="T130:T137" si="13">(O130-N130)/365*12</f>
        <v>11.9671232876712</v>
      </c>
      <c r="U130" s="42">
        <v>20000</v>
      </c>
      <c r="V130" s="42">
        <v>5000</v>
      </c>
      <c r="W130" s="42">
        <v>400</v>
      </c>
      <c r="X130" s="42"/>
      <c r="Y130" s="42"/>
      <c r="Z130" s="42"/>
      <c r="AA130" s="42"/>
      <c r="AB130" s="42"/>
      <c r="AC130" s="42"/>
      <c r="AD130" s="42"/>
      <c r="AE130" s="42" t="s">
        <v>48</v>
      </c>
      <c r="AF130" s="42"/>
      <c r="AG130" s="42" t="s">
        <v>48</v>
      </c>
      <c r="AH130" s="42" t="s">
        <v>48</v>
      </c>
      <c r="AI130" s="42"/>
      <c r="AJ130" s="42"/>
      <c r="AK130" s="42"/>
      <c r="AL130" s="42" t="s">
        <v>48</v>
      </c>
      <c r="AM130" s="42"/>
      <c r="AN130" s="42"/>
      <c r="AO130" s="48" t="s">
        <v>391</v>
      </c>
      <c r="AP130" s="42">
        <v>17316529896</v>
      </c>
      <c r="AQ130" s="42"/>
    </row>
    <row r="131" s="1" customFormat="1" ht="20.15" customHeight="1" spans="1:43">
      <c r="A131" s="42">
        <f t="shared" si="11"/>
        <v>127</v>
      </c>
      <c r="B131" s="42" t="s">
        <v>244</v>
      </c>
      <c r="C131" s="42">
        <v>2055</v>
      </c>
      <c r="D131" s="43"/>
      <c r="E131" s="44">
        <v>16.54</v>
      </c>
      <c r="F131" s="42"/>
      <c r="G131" s="42">
        <v>3360</v>
      </c>
      <c r="H131" s="42">
        <v>500</v>
      </c>
      <c r="I131" s="42" t="s">
        <v>389</v>
      </c>
      <c r="J131" s="42"/>
      <c r="K131" s="45" t="s">
        <v>390</v>
      </c>
      <c r="L131" s="42" t="s">
        <v>11</v>
      </c>
      <c r="M131" s="46">
        <v>45626</v>
      </c>
      <c r="N131" s="46">
        <v>45717</v>
      </c>
      <c r="O131" s="46">
        <v>46081</v>
      </c>
      <c r="P131" s="46">
        <v>45717</v>
      </c>
      <c r="Q131" s="47"/>
      <c r="R131" s="47"/>
      <c r="S131" s="47">
        <f t="shared" si="8"/>
        <v>0</v>
      </c>
      <c r="T131" s="47">
        <f t="shared" si="13"/>
        <v>11.9671232876712</v>
      </c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8" t="s">
        <v>391</v>
      </c>
      <c r="AP131" s="42">
        <v>17316529896</v>
      </c>
      <c r="AQ131" s="42"/>
    </row>
    <row r="132" s="1" customFormat="1" ht="20.15" customHeight="1" spans="1:43">
      <c r="A132" s="42">
        <f t="shared" si="11"/>
        <v>128</v>
      </c>
      <c r="B132" s="42" t="s">
        <v>244</v>
      </c>
      <c r="C132" s="42">
        <v>2056</v>
      </c>
      <c r="D132" s="43"/>
      <c r="E132" s="44">
        <v>16.54</v>
      </c>
      <c r="F132" s="42"/>
      <c r="G132" s="42">
        <v>3728</v>
      </c>
      <c r="H132" s="42"/>
      <c r="I132" s="42" t="s">
        <v>392</v>
      </c>
      <c r="J132" s="42"/>
      <c r="K132" s="45" t="s">
        <v>393</v>
      </c>
      <c r="L132" s="42" t="s">
        <v>11</v>
      </c>
      <c r="M132" s="46">
        <v>45624</v>
      </c>
      <c r="N132" s="46">
        <v>45689</v>
      </c>
      <c r="O132" s="46">
        <v>46053</v>
      </c>
      <c r="P132" s="46">
        <v>45689</v>
      </c>
      <c r="Q132" s="47">
        <v>2500</v>
      </c>
      <c r="R132" s="47"/>
      <c r="S132" s="47">
        <f t="shared" si="8"/>
        <v>2500</v>
      </c>
      <c r="T132" s="47">
        <f t="shared" si="13"/>
        <v>11.9671232876712</v>
      </c>
      <c r="U132" s="42">
        <v>10000</v>
      </c>
      <c r="V132" s="42">
        <v>2500</v>
      </c>
      <c r="W132" s="42">
        <v>200</v>
      </c>
      <c r="X132" s="42"/>
      <c r="Y132" s="42"/>
      <c r="Z132" s="42"/>
      <c r="AA132" s="42"/>
      <c r="AB132" s="42"/>
      <c r="AC132" s="42"/>
      <c r="AD132" s="42"/>
      <c r="AE132" s="42" t="s">
        <v>48</v>
      </c>
      <c r="AF132" s="42"/>
      <c r="AG132" s="42" t="s">
        <v>48</v>
      </c>
      <c r="AH132" s="42" t="s">
        <v>48</v>
      </c>
      <c r="AI132" s="42"/>
      <c r="AJ132" s="42"/>
      <c r="AK132" s="42"/>
      <c r="AL132" s="42" t="s">
        <v>48</v>
      </c>
      <c r="AM132" s="42"/>
      <c r="AN132" s="42"/>
      <c r="AO132" s="48" t="s">
        <v>394</v>
      </c>
      <c r="AP132" s="42">
        <v>13711546160</v>
      </c>
      <c r="AQ132" s="42"/>
    </row>
    <row r="133" s="1" customFormat="1" ht="20.15" customHeight="1" spans="1:43">
      <c r="A133" s="42">
        <f t="shared" si="11"/>
        <v>129</v>
      </c>
      <c r="B133" s="42" t="s">
        <v>244</v>
      </c>
      <c r="C133" s="42">
        <v>2057</v>
      </c>
      <c r="D133" s="43"/>
      <c r="E133" s="44">
        <v>16.54</v>
      </c>
      <c r="F133" s="42"/>
      <c r="G133" s="42">
        <v>3360</v>
      </c>
      <c r="H133" s="42">
        <v>500</v>
      </c>
      <c r="I133" s="42" t="s">
        <v>395</v>
      </c>
      <c r="J133" s="42"/>
      <c r="K133" s="45" t="s">
        <v>396</v>
      </c>
      <c r="L133" s="42" t="s">
        <v>11</v>
      </c>
      <c r="M133" s="46">
        <v>45622</v>
      </c>
      <c r="N133" s="46">
        <v>45717</v>
      </c>
      <c r="O133" s="46">
        <v>46081</v>
      </c>
      <c r="P133" s="46">
        <v>45717</v>
      </c>
      <c r="Q133" s="47">
        <v>2500</v>
      </c>
      <c r="R133" s="47"/>
      <c r="S133" s="47">
        <f t="shared" si="8"/>
        <v>2500</v>
      </c>
      <c r="T133" s="47">
        <f t="shared" si="13"/>
        <v>11.9671232876712</v>
      </c>
      <c r="U133" s="42">
        <v>10000</v>
      </c>
      <c r="V133" s="42">
        <v>2500</v>
      </c>
      <c r="W133" s="42">
        <v>200</v>
      </c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8" t="s">
        <v>397</v>
      </c>
      <c r="AP133" s="42">
        <v>13719903417</v>
      </c>
      <c r="AQ133" s="42"/>
    </row>
    <row r="134" s="1" customFormat="1" ht="20.15" customHeight="1" spans="1:43">
      <c r="A134" s="42">
        <f t="shared" si="11"/>
        <v>130</v>
      </c>
      <c r="B134" s="42" t="s">
        <v>244</v>
      </c>
      <c r="C134" s="42">
        <v>2058</v>
      </c>
      <c r="D134" s="43"/>
      <c r="E134" s="44">
        <v>16.54</v>
      </c>
      <c r="F134" s="42"/>
      <c r="G134" s="42">
        <v>3360</v>
      </c>
      <c r="H134" s="42">
        <v>500</v>
      </c>
      <c r="I134" s="42" t="s">
        <v>395</v>
      </c>
      <c r="J134" s="42"/>
      <c r="K134" s="45" t="s">
        <v>398</v>
      </c>
      <c r="L134" s="42" t="s">
        <v>11</v>
      </c>
      <c r="M134" s="46">
        <v>45622</v>
      </c>
      <c r="N134" s="46">
        <v>45748</v>
      </c>
      <c r="O134" s="46">
        <v>46112</v>
      </c>
      <c r="P134" s="46">
        <v>45748</v>
      </c>
      <c r="Q134" s="47">
        <v>2500</v>
      </c>
      <c r="R134" s="47"/>
      <c r="S134" s="47">
        <f t="shared" si="8"/>
        <v>2500</v>
      </c>
      <c r="T134" s="47">
        <f t="shared" si="13"/>
        <v>11.9671232876712</v>
      </c>
      <c r="U134" s="42">
        <v>10000</v>
      </c>
      <c r="V134" s="42">
        <v>2500</v>
      </c>
      <c r="W134" s="42">
        <v>200</v>
      </c>
      <c r="X134" s="42"/>
      <c r="Y134" s="42"/>
      <c r="Z134" s="42"/>
      <c r="AA134" s="42"/>
      <c r="AB134" s="42"/>
      <c r="AC134" s="42"/>
      <c r="AD134" s="42"/>
      <c r="AE134" s="42"/>
      <c r="AF134" s="42"/>
      <c r="AG134" s="42" t="s">
        <v>48</v>
      </c>
      <c r="AH134" s="42" t="s">
        <v>48</v>
      </c>
      <c r="AI134" s="42"/>
      <c r="AJ134" s="42"/>
      <c r="AK134" s="42"/>
      <c r="AL134" s="42" t="s">
        <v>48</v>
      </c>
      <c r="AM134" s="42"/>
      <c r="AN134" s="42"/>
      <c r="AO134" s="50" t="s">
        <v>397</v>
      </c>
      <c r="AP134" s="78">
        <v>13719903417</v>
      </c>
      <c r="AQ134" s="42"/>
    </row>
    <row r="135" s="1" customFormat="1" ht="20.15" customHeight="1" spans="1:43">
      <c r="A135" s="42">
        <f t="shared" si="11"/>
        <v>131</v>
      </c>
      <c r="B135" s="42" t="s">
        <v>244</v>
      </c>
      <c r="C135" s="42">
        <v>2059</v>
      </c>
      <c r="D135" s="43"/>
      <c r="E135" s="44">
        <v>16.54</v>
      </c>
      <c r="F135" s="42"/>
      <c r="G135" s="42"/>
      <c r="H135" s="42"/>
      <c r="I135" s="42" t="s">
        <v>399</v>
      </c>
      <c r="J135" s="42"/>
      <c r="K135" s="45" t="s">
        <v>400</v>
      </c>
      <c r="L135" s="42" t="s">
        <v>11</v>
      </c>
      <c r="M135" s="46">
        <v>45621</v>
      </c>
      <c r="N135" s="46">
        <v>45710</v>
      </c>
      <c r="O135" s="46">
        <v>46074</v>
      </c>
      <c r="P135" s="46">
        <v>45710</v>
      </c>
      <c r="Q135" s="47">
        <v>2500</v>
      </c>
      <c r="R135" s="47"/>
      <c r="S135" s="47">
        <f t="shared" si="8"/>
        <v>2500</v>
      </c>
      <c r="T135" s="47">
        <f t="shared" si="13"/>
        <v>11.9671232876712</v>
      </c>
      <c r="U135" s="42">
        <v>10000</v>
      </c>
      <c r="V135" s="42">
        <v>2500</v>
      </c>
      <c r="W135" s="42">
        <v>200</v>
      </c>
      <c r="X135" s="42"/>
      <c r="Y135" s="42"/>
      <c r="Z135" s="42"/>
      <c r="AA135" s="42"/>
      <c r="AB135" s="42"/>
      <c r="AC135" s="42"/>
      <c r="AD135" s="42"/>
      <c r="AE135" s="42" t="s">
        <v>48</v>
      </c>
      <c r="AF135" s="42" t="s">
        <v>48</v>
      </c>
      <c r="AG135" s="42" t="s">
        <v>48</v>
      </c>
      <c r="AH135" s="42" t="s">
        <v>48</v>
      </c>
      <c r="AI135" s="42"/>
      <c r="AJ135" s="42"/>
      <c r="AK135" s="42"/>
      <c r="AL135" s="42" t="s">
        <v>48</v>
      </c>
      <c r="AM135" s="42"/>
      <c r="AN135" s="42"/>
      <c r="AO135" s="48" t="s">
        <v>401</v>
      </c>
      <c r="AP135" s="42">
        <v>13640608821</v>
      </c>
      <c r="AQ135" s="42"/>
    </row>
    <row r="136" s="1" customFormat="1" ht="20.15" customHeight="1" spans="1:43">
      <c r="A136" s="42">
        <f t="shared" si="11"/>
        <v>132</v>
      </c>
      <c r="B136" s="42" t="s">
        <v>244</v>
      </c>
      <c r="C136" s="42">
        <v>2060</v>
      </c>
      <c r="D136" s="43"/>
      <c r="E136" s="44">
        <v>16.54</v>
      </c>
      <c r="F136" s="42"/>
      <c r="G136" s="42">
        <v>3764</v>
      </c>
      <c r="H136" s="42">
        <v>500</v>
      </c>
      <c r="I136" s="42" t="s">
        <v>402</v>
      </c>
      <c r="J136" s="42"/>
      <c r="K136" s="45" t="s">
        <v>403</v>
      </c>
      <c r="L136" s="42" t="s">
        <v>11</v>
      </c>
      <c r="M136" s="46">
        <v>45621</v>
      </c>
      <c r="N136" s="46">
        <v>45748</v>
      </c>
      <c r="O136" s="46">
        <v>46112</v>
      </c>
      <c r="P136" s="46">
        <v>45748</v>
      </c>
      <c r="Q136" s="47">
        <v>2500</v>
      </c>
      <c r="R136" s="47"/>
      <c r="S136" s="47">
        <f t="shared" si="8"/>
        <v>2500</v>
      </c>
      <c r="T136" s="47">
        <f t="shared" si="13"/>
        <v>11.9671232876712</v>
      </c>
      <c r="U136" s="42">
        <v>10000</v>
      </c>
      <c r="V136" s="42">
        <v>2500</v>
      </c>
      <c r="W136" s="42">
        <v>200</v>
      </c>
      <c r="X136" s="42"/>
      <c r="Y136" s="42"/>
      <c r="Z136" s="42"/>
      <c r="AA136" s="42"/>
      <c r="AB136" s="42"/>
      <c r="AC136" s="42"/>
      <c r="AD136" s="42"/>
      <c r="AE136" s="42" t="s">
        <v>48</v>
      </c>
      <c r="AF136" s="42" t="s">
        <v>48</v>
      </c>
      <c r="AG136" s="42" t="s">
        <v>48</v>
      </c>
      <c r="AH136" s="42" t="s">
        <v>48</v>
      </c>
      <c r="AI136" s="42"/>
      <c r="AJ136" s="42"/>
      <c r="AK136" s="42"/>
      <c r="AL136" s="42" t="s">
        <v>48</v>
      </c>
      <c r="AM136" s="42"/>
      <c r="AN136" s="42"/>
      <c r="AO136" s="48" t="s">
        <v>404</v>
      </c>
      <c r="AP136" s="42">
        <v>15013937918</v>
      </c>
      <c r="AQ136" s="42"/>
    </row>
    <row r="137" s="1" customFormat="1" ht="20.15" customHeight="1" spans="1:43">
      <c r="A137" s="42">
        <f t="shared" si="11"/>
        <v>133</v>
      </c>
      <c r="B137" s="42" t="s">
        <v>244</v>
      </c>
      <c r="C137" s="42">
        <v>2061</v>
      </c>
      <c r="D137" s="43"/>
      <c r="E137" s="44">
        <v>16.54</v>
      </c>
      <c r="F137" s="42"/>
      <c r="G137" s="42"/>
      <c r="H137" s="42"/>
      <c r="I137" s="42" t="s">
        <v>405</v>
      </c>
      <c r="J137" s="42"/>
      <c r="K137" s="45" t="s">
        <v>406</v>
      </c>
      <c r="L137" s="42" t="s">
        <v>11</v>
      </c>
      <c r="M137" s="46">
        <v>45620</v>
      </c>
      <c r="N137" s="46">
        <v>45732</v>
      </c>
      <c r="O137" s="46">
        <v>46096</v>
      </c>
      <c r="P137" s="46">
        <v>45732</v>
      </c>
      <c r="Q137" s="47">
        <v>2500</v>
      </c>
      <c r="R137" s="47"/>
      <c r="S137" s="47">
        <f t="shared" si="8"/>
        <v>2500</v>
      </c>
      <c r="T137" s="47">
        <f t="shared" si="13"/>
        <v>11.9671232876712</v>
      </c>
      <c r="U137" s="42">
        <v>10000</v>
      </c>
      <c r="V137" s="42">
        <v>2500</v>
      </c>
      <c r="W137" s="42">
        <v>200</v>
      </c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50" t="s">
        <v>407</v>
      </c>
      <c r="AP137" s="78">
        <v>15580333821</v>
      </c>
      <c r="AQ137" s="42"/>
    </row>
    <row r="138" s="1" customFormat="1" ht="20.15" customHeight="1" spans="1:43">
      <c r="A138" s="42">
        <f t="shared" si="11"/>
        <v>134</v>
      </c>
      <c r="B138" s="42" t="s">
        <v>244</v>
      </c>
      <c r="C138" s="42">
        <v>2062</v>
      </c>
      <c r="D138" s="103"/>
      <c r="E138" s="103">
        <v>16.54</v>
      </c>
      <c r="F138" s="53"/>
      <c r="G138" s="53">
        <v>3728</v>
      </c>
      <c r="H138" s="53"/>
      <c r="I138" s="42" t="s">
        <v>408</v>
      </c>
      <c r="J138" s="45"/>
      <c r="K138" s="45" t="s">
        <v>409</v>
      </c>
      <c r="L138" s="42" t="s">
        <v>11</v>
      </c>
      <c r="M138" s="46">
        <v>45624</v>
      </c>
      <c r="N138" s="46">
        <v>45732</v>
      </c>
      <c r="O138" s="46">
        <v>46096</v>
      </c>
      <c r="P138" s="46">
        <v>45732</v>
      </c>
      <c r="Q138" s="47">
        <v>2500</v>
      </c>
      <c r="R138" s="47"/>
      <c r="S138" s="47">
        <f t="shared" si="8"/>
        <v>2500</v>
      </c>
      <c r="T138" s="47">
        <v>11.9671232876712</v>
      </c>
      <c r="U138" s="42">
        <v>10000</v>
      </c>
      <c r="V138" s="42">
        <v>2500</v>
      </c>
      <c r="W138" s="42">
        <v>200</v>
      </c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55"/>
      <c r="AO138" s="45" t="s">
        <v>410</v>
      </c>
      <c r="AP138" s="42">
        <v>13006664947</v>
      </c>
    </row>
    <row r="139" s="1" customFormat="1" ht="20.15" customHeight="1" spans="1:43">
      <c r="A139" s="42">
        <f t="shared" si="11"/>
        <v>135</v>
      </c>
      <c r="B139" s="42" t="s">
        <v>244</v>
      </c>
      <c r="C139" s="42">
        <v>2063</v>
      </c>
      <c r="D139" s="43"/>
      <c r="E139" s="44">
        <v>16.54</v>
      </c>
      <c r="F139" s="42"/>
      <c r="G139" s="42">
        <v>3764</v>
      </c>
      <c r="H139" s="42">
        <v>500</v>
      </c>
      <c r="I139" s="42" t="s">
        <v>411</v>
      </c>
      <c r="J139" s="42"/>
      <c r="K139" s="45" t="s">
        <v>412</v>
      </c>
      <c r="L139" s="42" t="s">
        <v>11</v>
      </c>
      <c r="M139" s="46">
        <v>45622</v>
      </c>
      <c r="N139" s="46">
        <v>45717</v>
      </c>
      <c r="O139" s="46">
        <v>46081</v>
      </c>
      <c r="P139" s="46">
        <v>45717</v>
      </c>
      <c r="Q139" s="47">
        <v>5000</v>
      </c>
      <c r="R139" s="47"/>
      <c r="S139" s="47">
        <f t="shared" si="8"/>
        <v>5000</v>
      </c>
      <c r="T139" s="47">
        <f t="shared" ref="T139:T161" si="14">(O139-N139)/365*12</f>
        <v>11.9671232876712</v>
      </c>
      <c r="U139" s="42">
        <v>10000</v>
      </c>
      <c r="V139" s="42">
        <v>5000</v>
      </c>
      <c r="W139" s="42">
        <v>400</v>
      </c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8" t="s">
        <v>413</v>
      </c>
      <c r="AP139" s="42">
        <v>13622820863</v>
      </c>
      <c r="AQ139" s="42"/>
    </row>
    <row r="140" s="1" customFormat="1" ht="20.15" customHeight="1" spans="1:43">
      <c r="A140" s="42">
        <f t="shared" si="11"/>
        <v>136</v>
      </c>
      <c r="B140" s="42" t="s">
        <v>244</v>
      </c>
      <c r="C140" s="42">
        <v>2064</v>
      </c>
      <c r="D140" s="43"/>
      <c r="E140" s="44">
        <v>16.54</v>
      </c>
      <c r="F140" s="42"/>
      <c r="G140" s="42">
        <v>3388</v>
      </c>
      <c r="H140" s="42">
        <v>500</v>
      </c>
      <c r="I140" s="42" t="s">
        <v>411</v>
      </c>
      <c r="J140" s="42"/>
      <c r="K140" s="45" t="s">
        <v>412</v>
      </c>
      <c r="L140" s="42" t="s">
        <v>11</v>
      </c>
      <c r="M140" s="46">
        <v>45622</v>
      </c>
      <c r="N140" s="46">
        <v>45717</v>
      </c>
      <c r="O140" s="46">
        <v>46081</v>
      </c>
      <c r="P140" s="46">
        <v>45717</v>
      </c>
      <c r="Q140" s="47"/>
      <c r="R140" s="47"/>
      <c r="S140" s="47">
        <f t="shared" si="8"/>
        <v>0</v>
      </c>
      <c r="T140" s="47">
        <f t="shared" si="14"/>
        <v>11.9671232876712</v>
      </c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8" t="s">
        <v>413</v>
      </c>
      <c r="AP140" s="42">
        <v>13622820863</v>
      </c>
      <c r="AQ140" s="42"/>
    </row>
    <row r="141" s="1" customFormat="1" ht="20.15" customHeight="1" spans="1:43">
      <c r="A141" s="42">
        <f t="shared" si="11"/>
        <v>137</v>
      </c>
      <c r="B141" s="42" t="s">
        <v>244</v>
      </c>
      <c r="C141" s="42">
        <v>2066</v>
      </c>
      <c r="D141" s="43"/>
      <c r="E141" s="44">
        <v>30.62</v>
      </c>
      <c r="F141" s="42"/>
      <c r="G141" s="42">
        <v>2414</v>
      </c>
      <c r="H141" s="42">
        <v>500</v>
      </c>
      <c r="I141" s="42" t="s">
        <v>101</v>
      </c>
      <c r="J141" s="42"/>
      <c r="K141" s="42">
        <v>2066</v>
      </c>
      <c r="L141" s="42" t="s">
        <v>11</v>
      </c>
      <c r="M141" s="46">
        <v>45622</v>
      </c>
      <c r="N141" s="46">
        <v>45748</v>
      </c>
      <c r="O141" s="46">
        <v>46112</v>
      </c>
      <c r="P141" s="46">
        <v>45748</v>
      </c>
      <c r="Q141" s="47">
        <v>1500</v>
      </c>
      <c r="R141" s="47"/>
      <c r="S141" s="47">
        <f t="shared" ref="S141:S204" si="15">Q141+R141</f>
        <v>1500</v>
      </c>
      <c r="T141" s="47">
        <v>12</v>
      </c>
      <c r="U141" s="42">
        <v>4500</v>
      </c>
      <c r="V141" s="42">
        <v>1500</v>
      </c>
      <c r="W141" s="42">
        <v>200</v>
      </c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8" t="s">
        <v>105</v>
      </c>
      <c r="AP141" s="42">
        <v>13927790345</v>
      </c>
      <c r="AQ141" s="42"/>
    </row>
    <row r="142" s="1" customFormat="1" ht="20.15" customHeight="1" spans="1:43">
      <c r="A142" s="42">
        <f t="shared" si="11"/>
        <v>138</v>
      </c>
      <c r="B142" s="42" t="s">
        <v>244</v>
      </c>
      <c r="C142" s="42">
        <v>2067</v>
      </c>
      <c r="D142" s="43"/>
      <c r="E142" s="44">
        <v>33.67</v>
      </c>
      <c r="F142" s="42"/>
      <c r="G142" s="42"/>
      <c r="H142" s="42"/>
      <c r="I142" s="42" t="s">
        <v>414</v>
      </c>
      <c r="J142" s="42"/>
      <c r="K142" s="42">
        <f>C142</f>
        <v>2067</v>
      </c>
      <c r="L142" s="42" t="s">
        <v>11</v>
      </c>
      <c r="M142" s="46">
        <v>45626</v>
      </c>
      <c r="N142" s="46">
        <v>45732</v>
      </c>
      <c r="O142" s="46">
        <v>46096</v>
      </c>
      <c r="P142" s="46">
        <v>45732</v>
      </c>
      <c r="Q142" s="47">
        <v>1200</v>
      </c>
      <c r="R142" s="47"/>
      <c r="S142" s="47">
        <f t="shared" si="15"/>
        <v>1200</v>
      </c>
      <c r="T142" s="47">
        <f t="shared" si="14"/>
        <v>11.9671232876712</v>
      </c>
      <c r="U142" s="42">
        <v>3000</v>
      </c>
      <c r="V142" s="42">
        <v>1200</v>
      </c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8" t="s">
        <v>415</v>
      </c>
      <c r="AP142" s="42">
        <v>13099600888</v>
      </c>
      <c r="AQ142" s="42"/>
    </row>
    <row r="143" s="1" customFormat="1" ht="20.15" customHeight="1" spans="1:43">
      <c r="A143" s="42">
        <f t="shared" si="11"/>
        <v>139</v>
      </c>
      <c r="B143" s="42" t="s">
        <v>244</v>
      </c>
      <c r="C143" s="42">
        <v>2068</v>
      </c>
      <c r="D143" s="43"/>
      <c r="E143" s="44">
        <v>19.54</v>
      </c>
      <c r="F143" s="42"/>
      <c r="G143" s="42"/>
      <c r="H143" s="42"/>
      <c r="I143" s="42" t="s">
        <v>416</v>
      </c>
      <c r="J143" s="42"/>
      <c r="K143" s="42">
        <f>C143</f>
        <v>2068</v>
      </c>
      <c r="L143" s="42" t="s">
        <v>11</v>
      </c>
      <c r="M143" s="46">
        <v>45624</v>
      </c>
      <c r="N143" s="46">
        <v>45732</v>
      </c>
      <c r="O143" s="46">
        <v>46096</v>
      </c>
      <c r="P143" s="46">
        <v>45732</v>
      </c>
      <c r="Q143" s="47">
        <v>2000</v>
      </c>
      <c r="R143" s="47"/>
      <c r="S143" s="47">
        <f t="shared" si="15"/>
        <v>2000</v>
      </c>
      <c r="T143" s="47">
        <f t="shared" si="14"/>
        <v>11.9671232876712</v>
      </c>
      <c r="U143" s="42">
        <v>5000</v>
      </c>
      <c r="V143" s="42">
        <v>2000</v>
      </c>
      <c r="W143" s="42"/>
      <c r="X143" s="42"/>
      <c r="Y143" s="42"/>
      <c r="Z143" s="42"/>
      <c r="AA143" s="42"/>
      <c r="AB143" s="42"/>
      <c r="AC143" s="42"/>
      <c r="AD143" s="42"/>
      <c r="AE143" s="42" t="s">
        <v>48</v>
      </c>
      <c r="AF143" s="42" t="s">
        <v>48</v>
      </c>
      <c r="AG143" s="42" t="s">
        <v>48</v>
      </c>
      <c r="AH143" s="42" t="s">
        <v>48</v>
      </c>
      <c r="AI143" s="42"/>
      <c r="AJ143" s="42"/>
      <c r="AK143" s="42"/>
      <c r="AL143" s="42" t="s">
        <v>48</v>
      </c>
      <c r="AM143" s="42"/>
      <c r="AN143" s="42"/>
      <c r="AO143" s="48" t="s">
        <v>417</v>
      </c>
      <c r="AP143" s="42">
        <v>13728766888</v>
      </c>
      <c r="AQ143" s="42"/>
    </row>
    <row r="144" s="1" customFormat="1" ht="20.15" customHeight="1" spans="1:43">
      <c r="A144" s="42">
        <f t="shared" si="11"/>
        <v>140</v>
      </c>
      <c r="B144" s="42" t="s">
        <v>244</v>
      </c>
      <c r="C144" s="42">
        <v>2069</v>
      </c>
      <c r="D144" s="43"/>
      <c r="E144" s="44">
        <v>19.54</v>
      </c>
      <c r="F144" s="42"/>
      <c r="G144" s="42">
        <v>3360</v>
      </c>
      <c r="H144" s="42">
        <v>500</v>
      </c>
      <c r="I144" s="42" t="s">
        <v>418</v>
      </c>
      <c r="J144" s="42"/>
      <c r="K144" s="45" t="s">
        <v>419</v>
      </c>
      <c r="L144" s="42" t="s">
        <v>11</v>
      </c>
      <c r="M144" s="46">
        <v>45623</v>
      </c>
      <c r="N144" s="46">
        <v>45748</v>
      </c>
      <c r="O144" s="46">
        <v>46112</v>
      </c>
      <c r="P144" s="46">
        <v>45748</v>
      </c>
      <c r="Q144" s="47">
        <v>2500</v>
      </c>
      <c r="R144" s="47"/>
      <c r="S144" s="47">
        <f t="shared" si="15"/>
        <v>2500</v>
      </c>
      <c r="T144" s="47">
        <f t="shared" si="14"/>
        <v>11.9671232876712</v>
      </c>
      <c r="U144" s="42">
        <v>10000</v>
      </c>
      <c r="V144" s="42">
        <v>2500</v>
      </c>
      <c r="W144" s="42">
        <v>200</v>
      </c>
      <c r="X144" s="42"/>
      <c r="Y144" s="42"/>
      <c r="Z144" s="42"/>
      <c r="AA144" s="42"/>
      <c r="AB144" s="42"/>
      <c r="AC144" s="42"/>
      <c r="AD144" s="42"/>
      <c r="AE144" s="42" t="s">
        <v>48</v>
      </c>
      <c r="AF144" s="42"/>
      <c r="AG144" s="42" t="s">
        <v>48</v>
      </c>
      <c r="AH144" s="42" t="s">
        <v>48</v>
      </c>
      <c r="AI144" s="42"/>
      <c r="AJ144" s="42"/>
      <c r="AK144" s="42"/>
      <c r="AL144" s="42" t="s">
        <v>48</v>
      </c>
      <c r="AM144" s="42"/>
      <c r="AN144" s="42"/>
      <c r="AO144" s="48" t="s">
        <v>420</v>
      </c>
      <c r="AP144" s="42">
        <v>18320078900</v>
      </c>
      <c r="AQ144" s="42"/>
    </row>
    <row r="145" s="1" customFormat="1" ht="20.15" customHeight="1" spans="1:44">
      <c r="A145" s="42">
        <f t="shared" si="11"/>
        <v>141</v>
      </c>
      <c r="B145" s="42" t="s">
        <v>244</v>
      </c>
      <c r="C145" s="42">
        <v>2070</v>
      </c>
      <c r="D145" s="43"/>
      <c r="E145" s="44">
        <v>19.54</v>
      </c>
      <c r="F145" s="42"/>
      <c r="G145" s="42">
        <v>3774</v>
      </c>
      <c r="H145" s="42">
        <v>500</v>
      </c>
      <c r="I145" s="42" t="s">
        <v>421</v>
      </c>
      <c r="J145" s="108"/>
      <c r="K145" s="45" t="s">
        <v>422</v>
      </c>
      <c r="L145" s="42" t="s">
        <v>11</v>
      </c>
      <c r="M145" s="46">
        <v>45616</v>
      </c>
      <c r="N145" s="46">
        <v>45732</v>
      </c>
      <c r="O145" s="46">
        <v>46096</v>
      </c>
      <c r="P145" s="46">
        <v>45732</v>
      </c>
      <c r="Q145" s="47">
        <v>2500</v>
      </c>
      <c r="R145" s="47"/>
      <c r="S145" s="47">
        <f t="shared" si="15"/>
        <v>2500</v>
      </c>
      <c r="T145" s="47">
        <f t="shared" si="14"/>
        <v>11.9671232876712</v>
      </c>
      <c r="U145" s="42">
        <v>10000</v>
      </c>
      <c r="V145" s="42">
        <v>2500</v>
      </c>
      <c r="W145" s="42">
        <v>200</v>
      </c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8" t="s">
        <v>423</v>
      </c>
      <c r="AP145" s="42">
        <v>13535445075</v>
      </c>
      <c r="AQ145" s="42"/>
    </row>
    <row r="146" s="1" customFormat="1" ht="20.15" customHeight="1" spans="1:44">
      <c r="A146" s="42">
        <f t="shared" si="11"/>
        <v>142</v>
      </c>
      <c r="B146" s="42" t="s">
        <v>244</v>
      </c>
      <c r="C146" s="42">
        <v>2071</v>
      </c>
      <c r="D146" s="43"/>
      <c r="E146" s="44">
        <v>19.54</v>
      </c>
      <c r="F146" s="42"/>
      <c r="G146" s="42"/>
      <c r="H146" s="42"/>
      <c r="I146" s="42" t="s">
        <v>424</v>
      </c>
      <c r="J146" s="42"/>
      <c r="K146" s="45" t="s">
        <v>425</v>
      </c>
      <c r="L146" s="42" t="s">
        <v>11</v>
      </c>
      <c r="M146" s="46">
        <v>45626</v>
      </c>
      <c r="N146" s="46">
        <v>45708</v>
      </c>
      <c r="O146" s="46">
        <v>46072</v>
      </c>
      <c r="P146" s="46">
        <v>45708</v>
      </c>
      <c r="Q146" s="47">
        <v>2500</v>
      </c>
      <c r="R146" s="47"/>
      <c r="S146" s="47">
        <f t="shared" si="15"/>
        <v>2500</v>
      </c>
      <c r="T146" s="47">
        <f t="shared" si="14"/>
        <v>11.9671232876712</v>
      </c>
      <c r="U146" s="42">
        <v>10000</v>
      </c>
      <c r="V146" s="42">
        <v>2500</v>
      </c>
      <c r="W146" s="42">
        <v>200</v>
      </c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8" t="s">
        <v>426</v>
      </c>
      <c r="AP146" s="42">
        <v>13724028535</v>
      </c>
      <c r="AQ146" s="42"/>
      <c r="AR146" s="1" t="s">
        <v>427</v>
      </c>
    </row>
    <row r="147" s="1" customFormat="1" ht="20.15" customHeight="1" spans="1:44">
      <c r="A147" s="42">
        <f t="shared" si="11"/>
        <v>143</v>
      </c>
      <c r="B147" s="42" t="s">
        <v>244</v>
      </c>
      <c r="C147" s="42">
        <v>2072</v>
      </c>
      <c r="D147" s="43"/>
      <c r="E147" s="44">
        <v>19.54</v>
      </c>
      <c r="F147" s="42"/>
      <c r="G147" s="42">
        <v>6776</v>
      </c>
      <c r="H147" s="42">
        <v>1000</v>
      </c>
      <c r="I147" s="42" t="s">
        <v>428</v>
      </c>
      <c r="J147" s="42"/>
      <c r="K147" s="45" t="s">
        <v>429</v>
      </c>
      <c r="L147" s="42" t="s">
        <v>11</v>
      </c>
      <c r="M147" s="46">
        <v>45662</v>
      </c>
      <c r="N147" s="46">
        <v>45710</v>
      </c>
      <c r="O147" s="46">
        <v>46074</v>
      </c>
      <c r="P147" s="88">
        <v>45710</v>
      </c>
      <c r="Q147" s="47">
        <v>2500</v>
      </c>
      <c r="R147" s="47"/>
      <c r="S147" s="47">
        <f t="shared" si="15"/>
        <v>2500</v>
      </c>
      <c r="T147" s="47">
        <f t="shared" si="14"/>
        <v>11.9671232876712</v>
      </c>
      <c r="U147" s="42">
        <v>10000</v>
      </c>
      <c r="V147" s="42">
        <v>2500</v>
      </c>
      <c r="W147" s="42">
        <v>200</v>
      </c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8" t="s">
        <v>430</v>
      </c>
      <c r="AP147" s="42">
        <v>18620903595</v>
      </c>
      <c r="AQ147" s="42"/>
    </row>
    <row r="148" s="1" customFormat="1" ht="20.15" customHeight="1" spans="1:44">
      <c r="A148" s="42">
        <f t="shared" si="11"/>
        <v>144</v>
      </c>
      <c r="B148" s="42" t="s">
        <v>244</v>
      </c>
      <c r="C148" s="42">
        <v>2073</v>
      </c>
      <c r="D148" s="43"/>
      <c r="E148" s="44">
        <v>19.54</v>
      </c>
      <c r="F148" s="42"/>
      <c r="G148" s="42">
        <v>3388</v>
      </c>
      <c r="H148" s="42">
        <v>500</v>
      </c>
      <c r="I148" s="42" t="s">
        <v>431</v>
      </c>
      <c r="J148" s="42"/>
      <c r="K148" s="45" t="s">
        <v>432</v>
      </c>
      <c r="L148" s="42" t="s">
        <v>11</v>
      </c>
      <c r="M148" s="46">
        <v>45619</v>
      </c>
      <c r="N148" s="46">
        <v>45717</v>
      </c>
      <c r="O148" s="46">
        <v>46081</v>
      </c>
      <c r="P148" s="88">
        <v>45717</v>
      </c>
      <c r="Q148" s="47">
        <v>2500</v>
      </c>
      <c r="R148" s="47"/>
      <c r="S148" s="47">
        <f t="shared" si="15"/>
        <v>2500</v>
      </c>
      <c r="T148" s="47">
        <f t="shared" si="14"/>
        <v>11.9671232876712</v>
      </c>
      <c r="U148" s="42">
        <v>10000</v>
      </c>
      <c r="V148" s="42">
        <v>2500</v>
      </c>
      <c r="W148" s="42">
        <v>200</v>
      </c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8" t="s">
        <v>433</v>
      </c>
      <c r="AP148" s="42" t="s">
        <v>434</v>
      </c>
      <c r="AQ148" s="42"/>
    </row>
    <row r="149" s="1" customFormat="1" ht="20.15" customHeight="1" spans="1:44">
      <c r="A149" s="42">
        <f t="shared" si="11"/>
        <v>145</v>
      </c>
      <c r="B149" s="42" t="s">
        <v>244</v>
      </c>
      <c r="C149" s="42" t="s">
        <v>435</v>
      </c>
      <c r="D149" s="43"/>
      <c r="E149" s="44">
        <v>19.54</v>
      </c>
      <c r="F149" s="42"/>
      <c r="G149" s="42">
        <v>3764</v>
      </c>
      <c r="H149" s="42">
        <v>500</v>
      </c>
      <c r="I149" s="42" t="s">
        <v>436</v>
      </c>
      <c r="J149" s="42"/>
      <c r="K149" s="42" t="s">
        <v>437</v>
      </c>
      <c r="L149" s="42" t="s">
        <v>11</v>
      </c>
      <c r="M149" s="46">
        <v>45624</v>
      </c>
      <c r="N149" s="46">
        <v>45717</v>
      </c>
      <c r="O149" s="46">
        <v>46081</v>
      </c>
      <c r="P149" s="46">
        <v>45717</v>
      </c>
      <c r="Q149" s="47">
        <v>2500</v>
      </c>
      <c r="R149" s="47"/>
      <c r="S149" s="47">
        <f t="shared" si="15"/>
        <v>2500</v>
      </c>
      <c r="T149" s="47">
        <f t="shared" si="14"/>
        <v>11.9671232876712</v>
      </c>
      <c r="U149" s="42">
        <v>10000</v>
      </c>
      <c r="V149" s="42">
        <v>2500</v>
      </c>
      <c r="W149" s="42">
        <v>200</v>
      </c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8" t="s">
        <v>438</v>
      </c>
      <c r="AP149" s="42">
        <v>18200662396</v>
      </c>
      <c r="AQ149" s="42"/>
    </row>
    <row r="150" s="2" customFormat="1" ht="20.15" customHeight="1" spans="1:44">
      <c r="A150" s="52">
        <f t="shared" si="11"/>
        <v>146</v>
      </c>
      <c r="B150" s="52" t="s">
        <v>244</v>
      </c>
      <c r="C150" s="52">
        <v>2075</v>
      </c>
      <c r="D150" s="56"/>
      <c r="E150" s="57">
        <v>16.54</v>
      </c>
      <c r="F150" s="52"/>
      <c r="G150" s="52"/>
      <c r="H150" s="52"/>
      <c r="I150" s="52" t="s">
        <v>439</v>
      </c>
      <c r="J150" s="52"/>
      <c r="K150" s="61" t="s">
        <v>440</v>
      </c>
      <c r="L150" s="52" t="s">
        <v>11</v>
      </c>
      <c r="M150" s="58">
        <v>45958</v>
      </c>
      <c r="N150" s="58">
        <v>45940</v>
      </c>
      <c r="O150" s="58">
        <v>46304</v>
      </c>
      <c r="P150" s="58">
        <v>45940</v>
      </c>
      <c r="Q150" s="59">
        <v>2500</v>
      </c>
      <c r="R150" s="59"/>
      <c r="S150" s="59">
        <f t="shared" si="15"/>
        <v>2500</v>
      </c>
      <c r="T150" s="59">
        <f t="shared" si="14"/>
        <v>11.9671232876712</v>
      </c>
      <c r="U150" s="52">
        <v>10000</v>
      </c>
      <c r="V150" s="52">
        <v>2500</v>
      </c>
      <c r="W150" s="52">
        <v>200</v>
      </c>
      <c r="X150" s="52"/>
      <c r="Y150" s="52"/>
      <c r="Z150" s="42"/>
      <c r="AA150" s="42"/>
      <c r="AB150" s="42"/>
      <c r="AC150" s="4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60" t="s">
        <v>441</v>
      </c>
      <c r="AP150" s="109">
        <v>13431866686</v>
      </c>
      <c r="AQ150" s="52"/>
    </row>
    <row r="151" s="1" customFormat="1" ht="20.15" customHeight="1" spans="1:44">
      <c r="A151" s="42">
        <f t="shared" si="11"/>
        <v>147</v>
      </c>
      <c r="B151" s="42" t="s">
        <v>244</v>
      </c>
      <c r="C151" s="42">
        <v>2076</v>
      </c>
      <c r="D151" s="43"/>
      <c r="E151" s="44">
        <v>19.54</v>
      </c>
      <c r="F151" s="42"/>
      <c r="G151" s="42">
        <v>3764</v>
      </c>
      <c r="H151" s="42">
        <v>500</v>
      </c>
      <c r="I151" s="42" t="s">
        <v>389</v>
      </c>
      <c r="J151" s="42"/>
      <c r="K151" s="45" t="s">
        <v>442</v>
      </c>
      <c r="L151" s="42" t="s">
        <v>11</v>
      </c>
      <c r="M151" s="46">
        <v>45626</v>
      </c>
      <c r="N151" s="46">
        <v>45748</v>
      </c>
      <c r="O151" s="46">
        <v>46112</v>
      </c>
      <c r="P151" s="46">
        <v>45748</v>
      </c>
      <c r="Q151" s="47">
        <v>2500</v>
      </c>
      <c r="R151" s="47"/>
      <c r="S151" s="47">
        <f t="shared" si="15"/>
        <v>2500</v>
      </c>
      <c r="T151" s="47">
        <f t="shared" si="14"/>
        <v>11.9671232876712</v>
      </c>
      <c r="U151" s="42">
        <v>10000</v>
      </c>
      <c r="V151" s="42">
        <v>2500</v>
      </c>
      <c r="W151" s="42">
        <v>200</v>
      </c>
      <c r="X151" s="42"/>
      <c r="Y151" s="42"/>
      <c r="Z151" s="42"/>
      <c r="AA151" s="42"/>
      <c r="AB151" s="42"/>
      <c r="AC151" s="42"/>
      <c r="AD151" s="42"/>
      <c r="AE151" s="42" t="s">
        <v>48</v>
      </c>
      <c r="AF151" s="42" t="s">
        <v>48</v>
      </c>
      <c r="AG151" s="42" t="s">
        <v>48</v>
      </c>
      <c r="AH151" s="42" t="s">
        <v>48</v>
      </c>
      <c r="AI151" s="42"/>
      <c r="AJ151" s="42"/>
      <c r="AK151" s="42"/>
      <c r="AL151" s="42" t="s">
        <v>48</v>
      </c>
      <c r="AM151" s="42"/>
      <c r="AN151" s="42"/>
      <c r="AO151" s="48" t="s">
        <v>391</v>
      </c>
      <c r="AP151" s="42">
        <v>17316529896</v>
      </c>
      <c r="AQ151" s="42"/>
    </row>
    <row r="152" s="1" customFormat="1" ht="20.15" customHeight="1" spans="1:44">
      <c r="A152" s="42">
        <f t="shared" si="11"/>
        <v>148</v>
      </c>
      <c r="B152" s="42" t="s">
        <v>244</v>
      </c>
      <c r="C152" s="42">
        <v>2077</v>
      </c>
      <c r="D152" s="43"/>
      <c r="E152" s="44">
        <v>19.54</v>
      </c>
      <c r="F152" s="42"/>
      <c r="G152" s="42">
        <v>3764</v>
      </c>
      <c r="H152" s="42">
        <v>500</v>
      </c>
      <c r="I152" s="42" t="s">
        <v>443</v>
      </c>
      <c r="J152" s="42"/>
      <c r="K152" s="45" t="s">
        <v>444</v>
      </c>
      <c r="L152" s="42" t="s">
        <v>11</v>
      </c>
      <c r="M152" s="46">
        <v>45622</v>
      </c>
      <c r="N152" s="46">
        <v>45731</v>
      </c>
      <c r="O152" s="46">
        <v>46095</v>
      </c>
      <c r="P152" s="46">
        <v>45731</v>
      </c>
      <c r="Q152" s="47">
        <v>2500</v>
      </c>
      <c r="R152" s="47"/>
      <c r="S152" s="47">
        <f t="shared" si="15"/>
        <v>2500</v>
      </c>
      <c r="T152" s="47">
        <f t="shared" si="14"/>
        <v>11.9671232876712</v>
      </c>
      <c r="U152" s="42">
        <v>10000</v>
      </c>
      <c r="V152" s="42">
        <v>2500</v>
      </c>
      <c r="W152" s="42">
        <v>200</v>
      </c>
      <c r="X152" s="42"/>
      <c r="Y152" s="42"/>
      <c r="Z152" s="42"/>
      <c r="AA152" s="42"/>
      <c r="AB152" s="42"/>
      <c r="AC152" s="42"/>
      <c r="AD152" s="42"/>
      <c r="AE152" s="42" t="s">
        <v>48</v>
      </c>
      <c r="AF152" s="42" t="s">
        <v>48</v>
      </c>
      <c r="AG152" s="42" t="s">
        <v>48</v>
      </c>
      <c r="AH152" s="42" t="s">
        <v>48</v>
      </c>
      <c r="AI152" s="42"/>
      <c r="AJ152" s="42"/>
      <c r="AK152" s="42"/>
      <c r="AL152" s="42" t="s">
        <v>48</v>
      </c>
      <c r="AM152" s="42"/>
      <c r="AN152" s="42"/>
      <c r="AO152" s="48" t="s">
        <v>445</v>
      </c>
      <c r="AP152" s="42">
        <v>15913172585</v>
      </c>
      <c r="AQ152" s="42"/>
    </row>
    <row r="153" s="1" customFormat="1" ht="20.15" customHeight="1" spans="1:44">
      <c r="A153" s="42">
        <f t="shared" si="11"/>
        <v>149</v>
      </c>
      <c r="B153" s="42" t="s">
        <v>244</v>
      </c>
      <c r="C153" s="42">
        <v>2078</v>
      </c>
      <c r="D153" s="43"/>
      <c r="E153" s="44">
        <v>19.54</v>
      </c>
      <c r="F153" s="42"/>
      <c r="G153" s="42">
        <v>3360</v>
      </c>
      <c r="H153" s="42">
        <v>500</v>
      </c>
      <c r="I153" s="42" t="s">
        <v>446</v>
      </c>
      <c r="J153" s="42"/>
      <c r="K153" s="42" t="s">
        <v>447</v>
      </c>
      <c r="L153" s="42" t="s">
        <v>11</v>
      </c>
      <c r="M153" s="46">
        <v>45604</v>
      </c>
      <c r="N153" s="46">
        <v>45717</v>
      </c>
      <c r="O153" s="46">
        <v>46081</v>
      </c>
      <c r="P153" s="46">
        <v>45717</v>
      </c>
      <c r="Q153" s="47">
        <v>5000</v>
      </c>
      <c r="R153" s="47"/>
      <c r="S153" s="47">
        <f t="shared" si="15"/>
        <v>5000</v>
      </c>
      <c r="T153" s="47">
        <f t="shared" si="14"/>
        <v>11.9671232876712</v>
      </c>
      <c r="U153" s="42">
        <v>15000</v>
      </c>
      <c r="V153" s="42">
        <v>5000</v>
      </c>
      <c r="W153" s="42">
        <v>400</v>
      </c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8" t="s">
        <v>448</v>
      </c>
      <c r="AP153" s="42">
        <v>18028555557</v>
      </c>
      <c r="AQ153" s="42"/>
    </row>
    <row r="154" s="1" customFormat="1" ht="20.15" customHeight="1" spans="1:44">
      <c r="A154" s="42">
        <f t="shared" si="11"/>
        <v>150</v>
      </c>
      <c r="B154" s="42" t="s">
        <v>244</v>
      </c>
      <c r="C154" s="42">
        <v>2079</v>
      </c>
      <c r="D154" s="43"/>
      <c r="E154" s="44">
        <v>19.54</v>
      </c>
      <c r="F154" s="42"/>
      <c r="G154" s="42">
        <v>3360</v>
      </c>
      <c r="H154" s="42">
        <v>500</v>
      </c>
      <c r="I154" s="42" t="s">
        <v>446</v>
      </c>
      <c r="J154" s="42"/>
      <c r="K154" s="42" t="s">
        <v>447</v>
      </c>
      <c r="L154" s="42" t="s">
        <v>11</v>
      </c>
      <c r="M154" s="46">
        <v>45604</v>
      </c>
      <c r="N154" s="46">
        <v>45717</v>
      </c>
      <c r="O154" s="46">
        <v>46081</v>
      </c>
      <c r="P154" s="46">
        <v>45717</v>
      </c>
      <c r="Q154" s="47"/>
      <c r="R154" s="47"/>
      <c r="S154" s="47">
        <f t="shared" si="15"/>
        <v>0</v>
      </c>
      <c r="T154" s="47">
        <f t="shared" si="14"/>
        <v>11.9671232876712</v>
      </c>
      <c r="U154" s="42"/>
      <c r="V154" s="42"/>
      <c r="W154" s="42"/>
      <c r="X154" s="42"/>
      <c r="Y154" s="42"/>
      <c r="Z154" s="49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8" t="s">
        <v>448</v>
      </c>
      <c r="AP154" s="42">
        <v>18028555557</v>
      </c>
      <c r="AQ154" s="42"/>
    </row>
    <row r="155" s="1" customFormat="1" ht="20.15" customHeight="1" spans="1:44">
      <c r="A155" s="42">
        <f t="shared" si="11"/>
        <v>151</v>
      </c>
      <c r="B155" s="42" t="s">
        <v>244</v>
      </c>
      <c r="C155" s="42">
        <v>2080</v>
      </c>
      <c r="D155" s="43"/>
      <c r="E155" s="44">
        <v>19.54</v>
      </c>
      <c r="F155" s="42"/>
      <c r="G155" s="42">
        <v>3764</v>
      </c>
      <c r="H155" s="42">
        <v>500</v>
      </c>
      <c r="I155" s="42" t="s">
        <v>449</v>
      </c>
      <c r="J155" s="42"/>
      <c r="K155" s="42">
        <f>C155</f>
        <v>2080</v>
      </c>
      <c r="L155" s="42" t="s">
        <v>11</v>
      </c>
      <c r="M155" s="46">
        <v>45744</v>
      </c>
      <c r="N155" s="46">
        <v>45748</v>
      </c>
      <c r="O155" s="46">
        <v>46112</v>
      </c>
      <c r="P155" s="46">
        <v>45748</v>
      </c>
      <c r="Q155" s="47">
        <v>2500</v>
      </c>
      <c r="R155" s="47"/>
      <c r="S155" s="47">
        <f t="shared" si="15"/>
        <v>2500</v>
      </c>
      <c r="T155" s="47">
        <f t="shared" si="14"/>
        <v>11.9671232876712</v>
      </c>
      <c r="U155" s="42">
        <v>10000</v>
      </c>
      <c r="V155" s="42">
        <v>2500</v>
      </c>
      <c r="W155" s="42">
        <v>200</v>
      </c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50" t="s">
        <v>450</v>
      </c>
      <c r="AP155" s="78">
        <v>13827115026</v>
      </c>
      <c r="AQ155" s="42"/>
    </row>
    <row r="156" s="1" customFormat="1" ht="20.15" customHeight="1" spans="1:44">
      <c r="A156" s="42">
        <f t="shared" si="11"/>
        <v>152</v>
      </c>
      <c r="B156" s="42" t="s">
        <v>244</v>
      </c>
      <c r="C156" s="42">
        <v>2081</v>
      </c>
      <c r="D156" s="43"/>
      <c r="E156" s="44">
        <v>19.54</v>
      </c>
      <c r="F156" s="42"/>
      <c r="G156" s="42">
        <v>3360</v>
      </c>
      <c r="H156" s="42">
        <v>500</v>
      </c>
      <c r="I156" s="42" t="s">
        <v>451</v>
      </c>
      <c r="J156" s="42"/>
      <c r="K156" s="45" t="s">
        <v>452</v>
      </c>
      <c r="L156" s="42" t="s">
        <v>11</v>
      </c>
      <c r="M156" s="46">
        <v>45617</v>
      </c>
      <c r="N156" s="46">
        <v>45717</v>
      </c>
      <c r="O156" s="46">
        <v>46081</v>
      </c>
      <c r="P156" s="46">
        <v>45717</v>
      </c>
      <c r="Q156" s="47">
        <v>2500</v>
      </c>
      <c r="R156" s="47"/>
      <c r="S156" s="47">
        <f t="shared" si="15"/>
        <v>2500</v>
      </c>
      <c r="T156" s="47">
        <f t="shared" si="14"/>
        <v>11.9671232876712</v>
      </c>
      <c r="U156" s="42">
        <v>10000</v>
      </c>
      <c r="V156" s="42">
        <v>2500</v>
      </c>
      <c r="W156" s="42">
        <v>200</v>
      </c>
      <c r="X156" s="42"/>
      <c r="Y156" s="42"/>
      <c r="Z156" s="42"/>
      <c r="AA156" s="42"/>
      <c r="AB156" s="42"/>
      <c r="AC156" s="42"/>
      <c r="AD156" s="42"/>
      <c r="AE156" s="42" t="s">
        <v>48</v>
      </c>
      <c r="AF156" s="42"/>
      <c r="AG156" s="42" t="s">
        <v>48</v>
      </c>
      <c r="AH156" s="42" t="s">
        <v>48</v>
      </c>
      <c r="AI156" s="42"/>
      <c r="AJ156" s="42"/>
      <c r="AK156" s="42"/>
      <c r="AL156" s="42" t="s">
        <v>48</v>
      </c>
      <c r="AM156" s="42"/>
      <c r="AN156" s="42"/>
      <c r="AO156" s="48" t="s">
        <v>453</v>
      </c>
      <c r="AP156" s="42">
        <v>15611761797</v>
      </c>
      <c r="AQ156" s="42"/>
    </row>
    <row r="157" s="1" customFormat="1" ht="20.15" customHeight="1" spans="1:44">
      <c r="A157" s="42">
        <f t="shared" si="11"/>
        <v>153</v>
      </c>
      <c r="B157" s="42" t="s">
        <v>244</v>
      </c>
      <c r="C157" s="42">
        <v>2082</v>
      </c>
      <c r="D157" s="43"/>
      <c r="E157" s="44">
        <v>19.54</v>
      </c>
      <c r="F157" s="42"/>
      <c r="G157" s="42">
        <v>3388</v>
      </c>
      <c r="H157" s="42">
        <v>500</v>
      </c>
      <c r="I157" s="42" t="s">
        <v>454</v>
      </c>
      <c r="J157" s="42"/>
      <c r="K157" s="45" t="s">
        <v>455</v>
      </c>
      <c r="L157" s="42" t="s">
        <v>11</v>
      </c>
      <c r="M157" s="46">
        <v>45621</v>
      </c>
      <c r="N157" s="46">
        <v>45717</v>
      </c>
      <c r="O157" s="46">
        <v>46081</v>
      </c>
      <c r="P157" s="46">
        <v>45717</v>
      </c>
      <c r="Q157" s="47">
        <v>2500</v>
      </c>
      <c r="R157" s="47"/>
      <c r="S157" s="47">
        <f t="shared" si="15"/>
        <v>2500</v>
      </c>
      <c r="T157" s="47">
        <f t="shared" si="14"/>
        <v>11.9671232876712</v>
      </c>
      <c r="U157" s="42">
        <v>10000</v>
      </c>
      <c r="V157" s="42">
        <v>2500</v>
      </c>
      <c r="W157" s="42">
        <v>200</v>
      </c>
      <c r="X157" s="46"/>
      <c r="Y157" s="46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8" t="s">
        <v>456</v>
      </c>
      <c r="AP157" s="42">
        <v>15521376379</v>
      </c>
      <c r="AQ157" s="42"/>
    </row>
    <row r="158" s="1" customFormat="1" ht="20.15" customHeight="1" spans="1:44">
      <c r="A158" s="42">
        <f t="shared" si="11"/>
        <v>154</v>
      </c>
      <c r="B158" s="42" t="s">
        <v>244</v>
      </c>
      <c r="C158" s="42">
        <v>2083</v>
      </c>
      <c r="D158" s="43"/>
      <c r="E158" s="44">
        <v>19.54</v>
      </c>
      <c r="F158" s="42"/>
      <c r="G158" s="42">
        <v>3388</v>
      </c>
      <c r="H158" s="42">
        <v>500</v>
      </c>
      <c r="I158" s="42" t="s">
        <v>457</v>
      </c>
      <c r="J158" s="42"/>
      <c r="K158" s="45" t="s">
        <v>458</v>
      </c>
      <c r="L158" s="42" t="s">
        <v>11</v>
      </c>
      <c r="M158" s="46">
        <v>45622</v>
      </c>
      <c r="N158" s="46">
        <v>45748</v>
      </c>
      <c r="O158" s="46">
        <v>46112</v>
      </c>
      <c r="P158" s="46">
        <v>45748</v>
      </c>
      <c r="Q158" s="47">
        <v>2500</v>
      </c>
      <c r="R158" s="47"/>
      <c r="S158" s="47">
        <f t="shared" si="15"/>
        <v>2500</v>
      </c>
      <c r="T158" s="47">
        <f t="shared" si="14"/>
        <v>11.9671232876712</v>
      </c>
      <c r="U158" s="42">
        <v>10000</v>
      </c>
      <c r="V158" s="42">
        <v>2500</v>
      </c>
      <c r="W158" s="42">
        <v>200</v>
      </c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8" t="s">
        <v>459</v>
      </c>
      <c r="AP158" s="42">
        <v>18688203884</v>
      </c>
      <c r="AQ158" s="42"/>
    </row>
    <row r="159" s="1" customFormat="1" ht="20.15" customHeight="1" spans="1:44">
      <c r="A159" s="42">
        <f t="shared" si="11"/>
        <v>155</v>
      </c>
      <c r="B159" s="42" t="s">
        <v>244</v>
      </c>
      <c r="C159" s="42">
        <v>2084</v>
      </c>
      <c r="D159" s="43"/>
      <c r="E159" s="44">
        <v>19.54</v>
      </c>
      <c r="F159" s="42"/>
      <c r="G159" s="42">
        <v>3764</v>
      </c>
      <c r="H159" s="42">
        <v>500</v>
      </c>
      <c r="I159" s="42" t="s">
        <v>460</v>
      </c>
      <c r="J159" s="42"/>
      <c r="K159" s="45" t="s">
        <v>461</v>
      </c>
      <c r="L159" s="42" t="s">
        <v>11</v>
      </c>
      <c r="M159" s="46">
        <v>45624</v>
      </c>
      <c r="N159" s="46">
        <v>45717</v>
      </c>
      <c r="O159" s="46">
        <v>46081</v>
      </c>
      <c r="P159" s="46">
        <v>45717</v>
      </c>
      <c r="Q159" s="47">
        <v>2500</v>
      </c>
      <c r="R159" s="47"/>
      <c r="S159" s="47">
        <f t="shared" si="15"/>
        <v>2500</v>
      </c>
      <c r="T159" s="47">
        <f t="shared" si="14"/>
        <v>11.9671232876712</v>
      </c>
      <c r="U159" s="42">
        <v>10000</v>
      </c>
      <c r="V159" s="42">
        <v>2500</v>
      </c>
      <c r="W159" s="42">
        <v>200</v>
      </c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8" t="s">
        <v>462</v>
      </c>
      <c r="AP159" s="42">
        <v>15019312454</v>
      </c>
      <c r="AQ159" s="42"/>
    </row>
    <row r="160" s="1" customFormat="1" ht="20.15" customHeight="1" spans="1:44">
      <c r="A160" s="42">
        <f t="shared" si="11"/>
        <v>156</v>
      </c>
      <c r="B160" s="42" t="s">
        <v>244</v>
      </c>
      <c r="C160" s="42">
        <v>2085</v>
      </c>
      <c r="D160" s="43"/>
      <c r="E160" s="44">
        <v>19.54</v>
      </c>
      <c r="F160" s="42"/>
      <c r="G160" s="42">
        <v>3696</v>
      </c>
      <c r="H160" s="42">
        <v>500</v>
      </c>
      <c r="I160" s="42" t="s">
        <v>297</v>
      </c>
      <c r="J160" s="42"/>
      <c r="K160" s="45" t="s">
        <v>463</v>
      </c>
      <c r="L160" s="42" t="s">
        <v>11</v>
      </c>
      <c r="M160" s="46">
        <v>45606</v>
      </c>
      <c r="N160" s="46">
        <v>45708</v>
      </c>
      <c r="O160" s="46">
        <v>46072</v>
      </c>
      <c r="P160" s="46">
        <v>45708</v>
      </c>
      <c r="Q160" s="47">
        <v>2500</v>
      </c>
      <c r="R160" s="47"/>
      <c r="S160" s="47">
        <f t="shared" si="15"/>
        <v>2500</v>
      </c>
      <c r="T160" s="47">
        <f t="shared" si="14"/>
        <v>11.9671232876712</v>
      </c>
      <c r="U160" s="42">
        <v>10000</v>
      </c>
      <c r="V160" s="42">
        <v>2500</v>
      </c>
      <c r="W160" s="42">
        <v>200</v>
      </c>
      <c r="X160" s="42"/>
      <c r="Y160" s="42"/>
      <c r="Z160" s="42"/>
      <c r="AA160" s="42"/>
      <c r="AB160" s="42"/>
      <c r="AC160" s="42"/>
      <c r="AD160" s="42"/>
      <c r="AE160" s="42" t="s">
        <v>48</v>
      </c>
      <c r="AF160" s="42" t="s">
        <v>48</v>
      </c>
      <c r="AG160" s="42" t="s">
        <v>48</v>
      </c>
      <c r="AH160" s="42" t="s">
        <v>48</v>
      </c>
      <c r="AI160" s="42"/>
      <c r="AJ160" s="42"/>
      <c r="AK160" s="42"/>
      <c r="AL160" s="42" t="s">
        <v>48</v>
      </c>
      <c r="AM160" s="42"/>
      <c r="AN160" s="42"/>
      <c r="AO160" s="48" t="s">
        <v>464</v>
      </c>
      <c r="AP160" s="42">
        <v>15602383222</v>
      </c>
      <c r="AQ160" s="42"/>
    </row>
    <row r="161" s="1" customFormat="1" ht="20.15" customHeight="1" spans="1:43">
      <c r="A161" s="42">
        <f t="shared" si="11"/>
        <v>157</v>
      </c>
      <c r="B161" s="42" t="s">
        <v>244</v>
      </c>
      <c r="C161" s="42">
        <v>2086</v>
      </c>
      <c r="D161" s="43"/>
      <c r="E161" s="44">
        <v>19.54</v>
      </c>
      <c r="F161" s="42"/>
      <c r="G161" s="42">
        <v>3388</v>
      </c>
      <c r="H161" s="42">
        <v>500</v>
      </c>
      <c r="I161" s="42" t="s">
        <v>465</v>
      </c>
      <c r="J161" s="42"/>
      <c r="K161" s="45" t="s">
        <v>466</v>
      </c>
      <c r="L161" s="42" t="s">
        <v>11</v>
      </c>
      <c r="M161" s="46">
        <v>45622</v>
      </c>
      <c r="N161" s="46">
        <v>45717</v>
      </c>
      <c r="O161" s="46">
        <v>46081</v>
      </c>
      <c r="P161" s="46">
        <v>45717</v>
      </c>
      <c r="Q161" s="47">
        <v>2500</v>
      </c>
      <c r="R161" s="47"/>
      <c r="S161" s="47">
        <f t="shared" si="15"/>
        <v>2500</v>
      </c>
      <c r="T161" s="47">
        <f t="shared" si="14"/>
        <v>11.9671232876712</v>
      </c>
      <c r="U161" s="42">
        <v>10000</v>
      </c>
      <c r="V161" s="42">
        <v>2500</v>
      </c>
      <c r="W161" s="42">
        <v>200</v>
      </c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8" t="s">
        <v>467</v>
      </c>
      <c r="AP161" s="42">
        <v>13751946462</v>
      </c>
      <c r="AQ161" s="42"/>
    </row>
    <row r="162" s="1" customFormat="1" ht="20.15" customHeight="1" spans="1:43">
      <c r="A162" s="42">
        <f t="shared" si="11"/>
        <v>158</v>
      </c>
      <c r="B162" s="42" t="s">
        <v>244</v>
      </c>
      <c r="C162" s="42">
        <v>2087</v>
      </c>
      <c r="D162" s="44"/>
      <c r="E162" s="44">
        <v>19.54</v>
      </c>
      <c r="F162" s="42"/>
      <c r="G162" s="42">
        <v>3764</v>
      </c>
      <c r="H162" s="42">
        <v>500</v>
      </c>
      <c r="I162" s="42" t="s">
        <v>468</v>
      </c>
      <c r="J162" s="45"/>
      <c r="K162" s="45" t="s">
        <v>469</v>
      </c>
      <c r="L162" s="42" t="s">
        <v>11</v>
      </c>
      <c r="M162" s="46">
        <v>45610</v>
      </c>
      <c r="N162" s="46">
        <v>45748</v>
      </c>
      <c r="O162" s="46">
        <v>46112</v>
      </c>
      <c r="P162" s="46">
        <v>45748</v>
      </c>
      <c r="Q162" s="47">
        <v>2500</v>
      </c>
      <c r="R162" s="47"/>
      <c r="S162" s="47">
        <f t="shared" si="15"/>
        <v>2500</v>
      </c>
      <c r="T162" s="47">
        <v>11.9671232876712</v>
      </c>
      <c r="U162" s="42">
        <v>10000</v>
      </c>
      <c r="V162" s="42">
        <v>2500</v>
      </c>
      <c r="W162" s="42">
        <v>200</v>
      </c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55"/>
      <c r="AO162" s="45" t="s">
        <v>470</v>
      </c>
      <c r="AP162" s="42">
        <v>17665797839</v>
      </c>
    </row>
    <row r="163" s="1" customFormat="1" ht="20.15" customHeight="1" spans="1:43">
      <c r="A163" s="42">
        <f t="shared" si="11"/>
        <v>159</v>
      </c>
      <c r="B163" s="42" t="s">
        <v>244</v>
      </c>
      <c r="C163" s="42">
        <v>2088</v>
      </c>
      <c r="D163" s="43"/>
      <c r="E163" s="44">
        <v>23.84</v>
      </c>
      <c r="F163" s="42"/>
      <c r="G163" s="42">
        <v>3000</v>
      </c>
      <c r="H163" s="42">
        <v>500</v>
      </c>
      <c r="I163" s="42" t="s">
        <v>471</v>
      </c>
      <c r="J163" s="42"/>
      <c r="K163" s="45" t="s">
        <v>472</v>
      </c>
      <c r="L163" s="42" t="s">
        <v>11</v>
      </c>
      <c r="M163" s="46">
        <v>45624</v>
      </c>
      <c r="N163" s="46">
        <v>45717</v>
      </c>
      <c r="O163" s="46">
        <v>46081</v>
      </c>
      <c r="P163" s="46">
        <v>45717</v>
      </c>
      <c r="Q163" s="47">
        <v>2500</v>
      </c>
      <c r="R163" s="47"/>
      <c r="S163" s="47">
        <f t="shared" si="15"/>
        <v>2500</v>
      </c>
      <c r="T163" s="47">
        <f t="shared" ref="T163:T165" si="16">(O163-N163)/365*12</f>
        <v>11.9671232876712</v>
      </c>
      <c r="U163" s="42">
        <v>10000</v>
      </c>
      <c r="V163" s="42">
        <v>2500</v>
      </c>
      <c r="W163" s="42">
        <v>200</v>
      </c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8" t="s">
        <v>473</v>
      </c>
      <c r="AP163" s="42">
        <v>15728570828</v>
      </c>
      <c r="AQ163" s="42"/>
    </row>
    <row r="164" s="1" customFormat="1" ht="20.15" customHeight="1" spans="1:43">
      <c r="A164" s="42">
        <f t="shared" si="11"/>
        <v>160</v>
      </c>
      <c r="B164" s="42" t="s">
        <v>244</v>
      </c>
      <c r="C164" s="42">
        <v>2089</v>
      </c>
      <c r="D164" s="43"/>
      <c r="E164" s="44">
        <v>18.6</v>
      </c>
      <c r="F164" s="42"/>
      <c r="G164" s="42">
        <v>3764</v>
      </c>
      <c r="H164" s="42">
        <v>500</v>
      </c>
      <c r="I164" s="42" t="s">
        <v>474</v>
      </c>
      <c r="J164" s="42"/>
      <c r="K164" s="45" t="s">
        <v>475</v>
      </c>
      <c r="L164" s="42" t="s">
        <v>11</v>
      </c>
      <c r="M164" s="46">
        <v>45624</v>
      </c>
      <c r="N164" s="46">
        <v>45748</v>
      </c>
      <c r="O164" s="46">
        <v>46112</v>
      </c>
      <c r="P164" s="46">
        <v>45748</v>
      </c>
      <c r="Q164" s="47">
        <v>2500</v>
      </c>
      <c r="R164" s="47"/>
      <c r="S164" s="47">
        <f t="shared" si="15"/>
        <v>2500</v>
      </c>
      <c r="T164" s="47">
        <f t="shared" si="16"/>
        <v>11.9671232876712</v>
      </c>
      <c r="U164" s="42">
        <v>20000</v>
      </c>
      <c r="V164" s="42">
        <v>2500</v>
      </c>
      <c r="W164" s="42">
        <v>200</v>
      </c>
      <c r="X164" s="42"/>
      <c r="Y164" s="42"/>
      <c r="Z164" s="42"/>
      <c r="AA164" s="42"/>
      <c r="AB164" s="42"/>
      <c r="AC164" s="42"/>
      <c r="AD164" s="42"/>
      <c r="AE164" s="42" t="s">
        <v>48</v>
      </c>
      <c r="AF164" s="42"/>
      <c r="AG164" s="42" t="s">
        <v>48</v>
      </c>
      <c r="AH164" s="42" t="s">
        <v>48</v>
      </c>
      <c r="AI164" s="42"/>
      <c r="AJ164" s="42"/>
      <c r="AK164" s="42"/>
      <c r="AL164" s="42" t="s">
        <v>48</v>
      </c>
      <c r="AM164" s="42"/>
      <c r="AN164" s="42"/>
      <c r="AO164" s="48" t="s">
        <v>476</v>
      </c>
      <c r="AP164" s="42">
        <v>13414888298</v>
      </c>
      <c r="AQ164" s="42"/>
    </row>
    <row r="165" s="1" customFormat="1" ht="20.15" customHeight="1" spans="1:43">
      <c r="A165" s="42">
        <f t="shared" si="11"/>
        <v>161</v>
      </c>
      <c r="B165" s="42" t="s">
        <v>244</v>
      </c>
      <c r="C165" s="42">
        <v>2090</v>
      </c>
      <c r="D165" s="43"/>
      <c r="E165" s="44">
        <v>6</v>
      </c>
      <c r="F165" s="42"/>
      <c r="G165" s="42">
        <v>1500</v>
      </c>
      <c r="H165" s="42">
        <v>200</v>
      </c>
      <c r="I165" s="42" t="s">
        <v>75</v>
      </c>
      <c r="J165" s="42"/>
      <c r="K165" s="42">
        <v>2090</v>
      </c>
      <c r="L165" s="42" t="s">
        <v>11</v>
      </c>
      <c r="M165" s="46">
        <v>45808</v>
      </c>
      <c r="N165" s="46">
        <v>45809</v>
      </c>
      <c r="O165" s="46">
        <v>46173</v>
      </c>
      <c r="P165" s="46">
        <v>45809</v>
      </c>
      <c r="Q165" s="47">
        <v>1100</v>
      </c>
      <c r="R165" s="47"/>
      <c r="S165" s="47">
        <f t="shared" si="15"/>
        <v>1100</v>
      </c>
      <c r="T165" s="47">
        <f t="shared" si="16"/>
        <v>11.9671232876712</v>
      </c>
      <c r="U165" s="42">
        <v>3300</v>
      </c>
      <c r="V165" s="42">
        <v>1100</v>
      </c>
      <c r="W165" s="42"/>
      <c r="X165" s="42"/>
      <c r="Y165" s="42"/>
      <c r="Z165" s="62"/>
      <c r="AA165" s="62"/>
      <c r="AB165" s="62"/>
      <c r="AC165" s="62"/>
      <c r="AD165" s="42"/>
      <c r="AE165" s="42" t="s">
        <v>48</v>
      </c>
      <c r="AF165" s="42" t="s">
        <v>48</v>
      </c>
      <c r="AG165" s="42" t="s">
        <v>48</v>
      </c>
      <c r="AH165" s="42" t="s">
        <v>48</v>
      </c>
      <c r="AI165" s="42" t="s">
        <v>48</v>
      </c>
      <c r="AJ165" s="42"/>
      <c r="AK165" s="42" t="s">
        <v>48</v>
      </c>
      <c r="AL165" s="42" t="s">
        <v>48</v>
      </c>
      <c r="AM165" s="42" t="s">
        <v>48</v>
      </c>
      <c r="AN165" s="42" t="s">
        <v>48</v>
      </c>
      <c r="AO165" s="48" t="s">
        <v>477</v>
      </c>
      <c r="AP165" s="42">
        <v>13928721259</v>
      </c>
      <c r="AQ165" s="42"/>
    </row>
    <row r="166" s="1" customFormat="1" ht="20.15" customHeight="1" spans="1:43">
      <c r="A166" s="42">
        <f t="shared" si="11"/>
        <v>162</v>
      </c>
      <c r="B166" s="42" t="s">
        <v>244</v>
      </c>
      <c r="C166" s="84" t="s">
        <v>478</v>
      </c>
      <c r="D166" s="43"/>
      <c r="E166" s="42"/>
      <c r="F166" s="110">
        <v>2.7</v>
      </c>
      <c r="G166" s="87"/>
      <c r="H166" s="42"/>
      <c r="I166" s="111" t="s">
        <v>331</v>
      </c>
      <c r="J166" s="42"/>
      <c r="K166" s="42">
        <v>2091</v>
      </c>
      <c r="L166" s="42"/>
      <c r="M166" s="112">
        <v>45786</v>
      </c>
      <c r="N166" s="112">
        <v>45797</v>
      </c>
      <c r="O166" s="46">
        <v>46161</v>
      </c>
      <c r="P166" s="112">
        <v>45797</v>
      </c>
      <c r="Q166" s="87">
        <v>800</v>
      </c>
      <c r="R166" s="87"/>
      <c r="S166" s="47">
        <f t="shared" si="15"/>
        <v>800</v>
      </c>
      <c r="T166" s="47"/>
      <c r="U166" s="87">
        <v>2400</v>
      </c>
      <c r="V166" s="87">
        <v>800</v>
      </c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113" t="s">
        <v>333</v>
      </c>
      <c r="AP166" s="87">
        <v>18666048011</v>
      </c>
      <c r="AQ166" s="42"/>
    </row>
    <row r="167" s="1" customFormat="1" ht="20.15" customHeight="1" spans="1:43">
      <c r="A167" s="42">
        <f t="shared" si="11"/>
        <v>163</v>
      </c>
      <c r="B167" s="42" t="s">
        <v>244</v>
      </c>
      <c r="C167" s="84" t="s">
        <v>479</v>
      </c>
      <c r="D167" s="114"/>
      <c r="E167" s="42"/>
      <c r="F167" s="110">
        <v>1.5</v>
      </c>
      <c r="G167" s="115"/>
      <c r="H167" s="111"/>
      <c r="I167" s="111" t="s">
        <v>252</v>
      </c>
      <c r="J167" s="42"/>
      <c r="K167" s="45" t="s">
        <v>480</v>
      </c>
      <c r="L167" s="42" t="s">
        <v>11</v>
      </c>
      <c r="M167" s="112">
        <v>45500</v>
      </c>
      <c r="N167" s="112">
        <v>45774</v>
      </c>
      <c r="O167" s="46">
        <v>46138</v>
      </c>
      <c r="P167" s="112">
        <v>45774</v>
      </c>
      <c r="Q167" s="87">
        <v>1000</v>
      </c>
      <c r="R167" s="115"/>
      <c r="S167" s="47">
        <f t="shared" si="15"/>
        <v>1000</v>
      </c>
      <c r="T167" s="47">
        <v>12</v>
      </c>
      <c r="U167" s="87">
        <v>3000</v>
      </c>
      <c r="V167" s="87">
        <v>1000</v>
      </c>
      <c r="W167" s="42"/>
      <c r="X167" s="42"/>
      <c r="Y167" s="42"/>
      <c r="Z167" s="42"/>
      <c r="AA167" s="42"/>
      <c r="AB167" s="42"/>
      <c r="AC167" s="42"/>
      <c r="AD167" s="42"/>
      <c r="AE167" s="42" t="s">
        <v>48</v>
      </c>
      <c r="AF167" s="42" t="s">
        <v>48</v>
      </c>
      <c r="AG167" s="42" t="s">
        <v>48</v>
      </c>
      <c r="AH167" s="42" t="s">
        <v>48</v>
      </c>
      <c r="AI167" s="42"/>
      <c r="AJ167" s="42"/>
      <c r="AK167" s="42"/>
      <c r="AL167" s="42" t="s">
        <v>48</v>
      </c>
      <c r="AM167" s="42"/>
      <c r="AN167" s="42"/>
      <c r="AO167" s="113" t="s">
        <v>254</v>
      </c>
      <c r="AP167" s="178" t="s">
        <v>481</v>
      </c>
      <c r="AQ167" s="42"/>
    </row>
    <row r="168" s="1" customFormat="1" ht="20.15" customHeight="1" spans="1:43">
      <c r="A168" s="42">
        <f t="shared" si="11"/>
        <v>164</v>
      </c>
      <c r="B168" s="42" t="s">
        <v>244</v>
      </c>
      <c r="C168" s="84" t="s">
        <v>482</v>
      </c>
      <c r="D168" s="114"/>
      <c r="E168" s="42"/>
      <c r="F168" s="116"/>
      <c r="G168" s="115"/>
      <c r="H168" s="111"/>
      <c r="I168" s="45"/>
      <c r="J168" s="42"/>
      <c r="K168" s="42"/>
      <c r="L168" s="42"/>
      <c r="M168" s="112"/>
      <c r="N168" s="112"/>
      <c r="O168" s="46"/>
      <c r="P168" s="112"/>
      <c r="Q168" s="115"/>
      <c r="R168" s="115"/>
      <c r="S168" s="47">
        <f t="shared" si="15"/>
        <v>0</v>
      </c>
      <c r="T168" s="47"/>
      <c r="U168" s="87"/>
      <c r="V168" s="87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113"/>
      <c r="AP168" s="87"/>
      <c r="AQ168" s="42"/>
    </row>
    <row r="169" s="1" customFormat="1" ht="20.15" customHeight="1" spans="1:43">
      <c r="A169" s="42">
        <f t="shared" si="11"/>
        <v>165</v>
      </c>
      <c r="B169" s="53" t="s">
        <v>244</v>
      </c>
      <c r="C169" s="117" t="s">
        <v>483</v>
      </c>
      <c r="D169" s="114"/>
      <c r="E169" s="53"/>
      <c r="F169" s="118">
        <v>3</v>
      </c>
      <c r="G169" s="119"/>
      <c r="H169" s="53"/>
      <c r="I169" s="120" t="s">
        <v>484</v>
      </c>
      <c r="J169" s="53"/>
      <c r="K169" s="117" t="s">
        <v>483</v>
      </c>
      <c r="L169" s="42" t="s">
        <v>11</v>
      </c>
      <c r="M169" s="121">
        <v>45792</v>
      </c>
      <c r="N169" s="121">
        <v>45785</v>
      </c>
      <c r="O169" s="105">
        <v>46149</v>
      </c>
      <c r="P169" s="121">
        <v>45785</v>
      </c>
      <c r="Q169" s="119">
        <v>1200</v>
      </c>
      <c r="R169" s="119"/>
      <c r="S169" s="47">
        <f t="shared" si="15"/>
        <v>1200</v>
      </c>
      <c r="T169" s="47">
        <f t="shared" ref="T169:T175" si="17">(O169-N169)/365*12</f>
        <v>11.9671232876712</v>
      </c>
      <c r="U169" s="119">
        <v>2400</v>
      </c>
      <c r="V169" s="119">
        <v>1200</v>
      </c>
      <c r="W169" s="53"/>
      <c r="X169" s="53"/>
      <c r="Y169" s="53"/>
      <c r="Z169" s="122"/>
      <c r="AA169" s="122"/>
      <c r="AB169" s="122"/>
      <c r="AC169" s="122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123" t="s">
        <v>485</v>
      </c>
      <c r="AP169" s="119">
        <v>13422285695</v>
      </c>
      <c r="AQ169" s="53"/>
    </row>
    <row r="170" s="1" customFormat="1" ht="20.15" customHeight="1" spans="1:43">
      <c r="A170" s="42">
        <f t="shared" si="11"/>
        <v>166</v>
      </c>
      <c r="B170" s="42" t="s">
        <v>244</v>
      </c>
      <c r="C170" s="84" t="s">
        <v>486</v>
      </c>
      <c r="D170" s="43"/>
      <c r="E170" s="42"/>
      <c r="F170" s="110">
        <v>2</v>
      </c>
      <c r="G170" s="87"/>
      <c r="H170" s="42"/>
      <c r="I170" s="111"/>
      <c r="J170" s="42"/>
      <c r="K170" s="42"/>
      <c r="L170" s="42"/>
      <c r="M170" s="112"/>
      <c r="N170" s="112"/>
      <c r="O170" s="46"/>
      <c r="P170" s="112"/>
      <c r="Q170" s="87"/>
      <c r="R170" s="87"/>
      <c r="S170" s="47">
        <f t="shared" si="15"/>
        <v>0</v>
      </c>
      <c r="T170" s="47">
        <f t="shared" si="17"/>
        <v>0</v>
      </c>
      <c r="U170" s="87"/>
      <c r="V170" s="87"/>
      <c r="W170" s="42"/>
      <c r="X170" s="124"/>
      <c r="Y170" s="124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113"/>
      <c r="AP170" s="87"/>
      <c r="AQ170" s="42"/>
    </row>
    <row r="171" s="5" customFormat="1" ht="20.15" customHeight="1" spans="1:43">
      <c r="A171" s="71">
        <f t="shared" si="11"/>
        <v>167</v>
      </c>
      <c r="B171" s="125" t="s">
        <v>244</v>
      </c>
      <c r="C171" s="126" t="s">
        <v>487</v>
      </c>
      <c r="D171" s="72"/>
      <c r="E171" s="125"/>
      <c r="F171" s="127">
        <v>1.5</v>
      </c>
      <c r="G171" s="128"/>
      <c r="H171" s="125"/>
      <c r="I171" s="129" t="s">
        <v>242</v>
      </c>
      <c r="J171" s="125"/>
      <c r="K171" s="126" t="s">
        <v>487</v>
      </c>
      <c r="L171" s="71" t="s">
        <v>11</v>
      </c>
      <c r="M171" s="130">
        <v>45961</v>
      </c>
      <c r="N171" s="130">
        <v>45962</v>
      </c>
      <c r="O171" s="131">
        <v>46326</v>
      </c>
      <c r="P171" s="130">
        <v>45962</v>
      </c>
      <c r="Q171" s="128">
        <v>800</v>
      </c>
      <c r="R171" s="128"/>
      <c r="S171" s="76">
        <f t="shared" si="15"/>
        <v>800</v>
      </c>
      <c r="T171" s="76">
        <v>12</v>
      </c>
      <c r="U171" s="128">
        <v>2400</v>
      </c>
      <c r="V171" s="128">
        <v>800</v>
      </c>
      <c r="W171" s="125"/>
      <c r="X171" s="71"/>
      <c r="Y171" s="71"/>
      <c r="Z171" s="53"/>
      <c r="AA171" s="53"/>
      <c r="AB171" s="53"/>
      <c r="AC171" s="53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32" t="s">
        <v>243</v>
      </c>
      <c r="AP171" s="128">
        <v>13557456828</v>
      </c>
      <c r="AQ171" s="125"/>
    </row>
    <row r="172" s="8" customFormat="1" ht="20.15" customHeight="1" spans="1:43">
      <c r="A172" s="71">
        <f t="shared" si="11"/>
        <v>168</v>
      </c>
      <c r="B172" s="125" t="s">
        <v>244</v>
      </c>
      <c r="C172" s="125" t="s">
        <v>488</v>
      </c>
      <c r="D172" s="133"/>
      <c r="E172" s="125"/>
      <c r="F172" s="134">
        <v>2.5</v>
      </c>
      <c r="G172" s="125">
        <v>1300</v>
      </c>
      <c r="H172" s="125"/>
      <c r="I172" s="125" t="s">
        <v>489</v>
      </c>
      <c r="J172" s="125"/>
      <c r="K172" s="71" t="str">
        <f>C172</f>
        <v>二楼中庭展柜</v>
      </c>
      <c r="L172" s="71" t="s">
        <v>11</v>
      </c>
      <c r="M172" s="131">
        <v>45958</v>
      </c>
      <c r="N172" s="131">
        <v>45931</v>
      </c>
      <c r="O172" s="131">
        <v>46112</v>
      </c>
      <c r="P172" s="131">
        <v>45931</v>
      </c>
      <c r="Q172" s="135">
        <v>1300</v>
      </c>
      <c r="R172" s="135"/>
      <c r="S172" s="76">
        <f t="shared" si="15"/>
        <v>1300</v>
      </c>
      <c r="T172" s="76">
        <f t="shared" si="17"/>
        <v>5.95068493150685</v>
      </c>
      <c r="U172" s="125">
        <v>1300</v>
      </c>
      <c r="V172" s="125">
        <v>1300</v>
      </c>
      <c r="W172" s="125"/>
      <c r="X172" s="136"/>
      <c r="Y172" s="136"/>
      <c r="Z172" s="53"/>
      <c r="AA172" s="53"/>
      <c r="AB172" s="53"/>
      <c r="AC172" s="53"/>
      <c r="AD172" s="125" t="s">
        <v>48</v>
      </c>
      <c r="AE172" s="125" t="s">
        <v>48</v>
      </c>
      <c r="AF172" s="125" t="s">
        <v>48</v>
      </c>
      <c r="AG172" s="125"/>
      <c r="AH172" s="125"/>
      <c r="AI172" s="125"/>
      <c r="AJ172" s="125"/>
      <c r="AK172" s="125"/>
      <c r="AL172" s="125"/>
      <c r="AM172" s="125"/>
      <c r="AN172" s="125"/>
      <c r="AO172" s="137" t="s">
        <v>490</v>
      </c>
      <c r="AP172" s="125">
        <v>13922315606</v>
      </c>
      <c r="AQ172" s="71"/>
    </row>
    <row r="173" s="1" customFormat="1" ht="20.15" customHeight="1" spans="1:43">
      <c r="A173" s="42">
        <f t="shared" si="11"/>
        <v>169</v>
      </c>
      <c r="B173" s="42" t="s">
        <v>491</v>
      </c>
      <c r="C173" s="42">
        <v>3001</v>
      </c>
      <c r="D173" s="43"/>
      <c r="E173" s="44">
        <v>48.08</v>
      </c>
      <c r="F173" s="42"/>
      <c r="G173" s="42">
        <v>5988</v>
      </c>
      <c r="H173" s="42">
        <v>500</v>
      </c>
      <c r="I173" s="42" t="s">
        <v>492</v>
      </c>
      <c r="J173" s="42"/>
      <c r="K173" s="45" t="s">
        <v>493</v>
      </c>
      <c r="L173" s="42" t="s">
        <v>11</v>
      </c>
      <c r="M173" s="46">
        <v>45650</v>
      </c>
      <c r="N173" s="46">
        <v>45732</v>
      </c>
      <c r="O173" s="46">
        <v>46096</v>
      </c>
      <c r="P173" s="46">
        <v>45732</v>
      </c>
      <c r="Q173" s="47">
        <v>5000</v>
      </c>
      <c r="R173" s="47"/>
      <c r="S173" s="47">
        <f t="shared" si="15"/>
        <v>5000</v>
      </c>
      <c r="T173" s="47">
        <f t="shared" si="17"/>
        <v>11.9671232876712</v>
      </c>
      <c r="U173" s="42">
        <v>10000</v>
      </c>
      <c r="V173" s="42">
        <v>5000</v>
      </c>
      <c r="W173" s="42">
        <v>500</v>
      </c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8" t="s">
        <v>494</v>
      </c>
      <c r="AP173" s="42">
        <v>13439964416</v>
      </c>
      <c r="AQ173" s="42"/>
    </row>
    <row r="174" s="1" customFormat="1" ht="20.15" customHeight="1" spans="1:43">
      <c r="A174" s="42">
        <f t="shared" si="11"/>
        <v>170</v>
      </c>
      <c r="B174" s="42" t="s">
        <v>491</v>
      </c>
      <c r="C174" s="42">
        <v>3002</v>
      </c>
      <c r="D174" s="43"/>
      <c r="E174" s="44">
        <v>32.5</v>
      </c>
      <c r="F174" s="42"/>
      <c r="G174" s="42">
        <v>4180</v>
      </c>
      <c r="H174" s="42">
        <v>500</v>
      </c>
      <c r="I174" s="42" t="s">
        <v>495</v>
      </c>
      <c r="J174" s="42"/>
      <c r="K174" s="45" t="s">
        <v>496</v>
      </c>
      <c r="L174" s="42" t="s">
        <v>11</v>
      </c>
      <c r="M174" s="46">
        <v>45650</v>
      </c>
      <c r="N174" s="46">
        <v>45748</v>
      </c>
      <c r="O174" s="46">
        <v>46112</v>
      </c>
      <c r="P174" s="46">
        <v>45748</v>
      </c>
      <c r="Q174" s="47">
        <v>5000</v>
      </c>
      <c r="R174" s="47"/>
      <c r="S174" s="47">
        <f t="shared" si="15"/>
        <v>5000</v>
      </c>
      <c r="T174" s="47">
        <f t="shared" si="17"/>
        <v>11.9671232876712</v>
      </c>
      <c r="U174" s="42">
        <v>10000</v>
      </c>
      <c r="V174" s="42">
        <v>5000</v>
      </c>
      <c r="W174" s="42">
        <v>500</v>
      </c>
      <c r="X174" s="42"/>
      <c r="Y174" s="42"/>
      <c r="Z174" s="42"/>
      <c r="AA174" s="42"/>
      <c r="AB174" s="42"/>
      <c r="AC174" s="42"/>
      <c r="AD174" s="42"/>
      <c r="AE174" s="42" t="s">
        <v>48</v>
      </c>
      <c r="AF174" s="42"/>
      <c r="AG174" s="42" t="s">
        <v>48</v>
      </c>
      <c r="AH174" s="42" t="s">
        <v>48</v>
      </c>
      <c r="AI174" s="42"/>
      <c r="AJ174" s="42"/>
      <c r="AK174" s="42"/>
      <c r="AL174" s="42" t="s">
        <v>48</v>
      </c>
      <c r="AM174" s="42"/>
      <c r="AN174" s="42"/>
      <c r="AO174" s="48" t="s">
        <v>497</v>
      </c>
      <c r="AP174" s="138">
        <v>18825498460</v>
      </c>
      <c r="AQ174" s="42"/>
    </row>
    <row r="175" s="1" customFormat="1" ht="20.15" customHeight="1" spans="1:43">
      <c r="A175" s="42">
        <f t="shared" si="11"/>
        <v>171</v>
      </c>
      <c r="B175" s="42" t="s">
        <v>491</v>
      </c>
      <c r="C175" s="42">
        <v>3003</v>
      </c>
      <c r="D175" s="43"/>
      <c r="E175" s="44">
        <v>31.76</v>
      </c>
      <c r="F175" s="42"/>
      <c r="G175" s="42">
        <v>4180</v>
      </c>
      <c r="H175" s="42">
        <v>500</v>
      </c>
      <c r="I175" s="42" t="s">
        <v>498</v>
      </c>
      <c r="J175" s="42"/>
      <c r="K175" s="45" t="s">
        <v>499</v>
      </c>
      <c r="L175" s="42" t="s">
        <v>11</v>
      </c>
      <c r="M175" s="46">
        <v>45602</v>
      </c>
      <c r="N175" s="46">
        <v>45748</v>
      </c>
      <c r="O175" s="46">
        <v>46112</v>
      </c>
      <c r="P175" s="46">
        <v>45748</v>
      </c>
      <c r="Q175" s="47">
        <v>5000</v>
      </c>
      <c r="R175" s="47"/>
      <c r="S175" s="47">
        <f t="shared" si="15"/>
        <v>5000</v>
      </c>
      <c r="T175" s="47">
        <f t="shared" si="17"/>
        <v>11.9671232876712</v>
      </c>
      <c r="U175" s="42">
        <v>10000</v>
      </c>
      <c r="V175" s="42">
        <v>5000</v>
      </c>
      <c r="W175" s="42">
        <v>500</v>
      </c>
      <c r="X175" s="42"/>
      <c r="Y175" s="42"/>
      <c r="Z175" s="49"/>
      <c r="AA175" s="42"/>
      <c r="AB175" s="42"/>
      <c r="AC175" s="42"/>
      <c r="AD175" s="42"/>
      <c r="AE175" s="42" t="s">
        <v>48</v>
      </c>
      <c r="AF175" s="42" t="s">
        <v>48</v>
      </c>
      <c r="AG175" s="42" t="s">
        <v>48</v>
      </c>
      <c r="AH175" s="42" t="s">
        <v>48</v>
      </c>
      <c r="AI175" s="42"/>
      <c r="AJ175" s="42"/>
      <c r="AK175" s="42"/>
      <c r="AL175" s="42" t="s">
        <v>48</v>
      </c>
      <c r="AM175" s="42"/>
      <c r="AN175" s="42"/>
      <c r="AO175" s="48" t="s">
        <v>500</v>
      </c>
      <c r="AP175" s="42">
        <v>18620793993</v>
      </c>
      <c r="AQ175" s="42"/>
    </row>
    <row r="176" s="1" customFormat="1" ht="20.15" customHeight="1" spans="1:43">
      <c r="A176" s="42">
        <f t="shared" si="11"/>
        <v>172</v>
      </c>
      <c r="B176" s="42" t="s">
        <v>491</v>
      </c>
      <c r="C176" s="42">
        <v>3004</v>
      </c>
      <c r="D176" s="44"/>
      <c r="E176" s="44">
        <v>31.76</v>
      </c>
      <c r="F176" s="42"/>
      <c r="G176" s="42">
        <v>4180</v>
      </c>
      <c r="H176" s="42">
        <v>500</v>
      </c>
      <c r="I176" s="42" t="s">
        <v>501</v>
      </c>
      <c r="J176" s="45"/>
      <c r="K176" s="45" t="s">
        <v>502</v>
      </c>
      <c r="L176" s="42" t="s">
        <v>11</v>
      </c>
      <c r="M176" s="46">
        <v>45647</v>
      </c>
      <c r="N176" s="46">
        <v>45748</v>
      </c>
      <c r="O176" s="46">
        <v>46112</v>
      </c>
      <c r="P176" s="46">
        <v>45748</v>
      </c>
      <c r="Q176" s="47">
        <v>5000</v>
      </c>
      <c r="R176" s="47"/>
      <c r="S176" s="47">
        <f t="shared" si="15"/>
        <v>5000</v>
      </c>
      <c r="T176" s="47">
        <v>11.9671232876712</v>
      </c>
      <c r="U176" s="42">
        <v>10000</v>
      </c>
      <c r="V176" s="42">
        <v>5000</v>
      </c>
      <c r="W176" s="42">
        <v>500</v>
      </c>
      <c r="X176" s="42"/>
      <c r="Y176" s="42"/>
      <c r="Z176" s="42"/>
      <c r="AA176" s="42"/>
      <c r="AB176" s="42"/>
      <c r="AC176" s="42"/>
      <c r="AD176" s="42"/>
      <c r="AE176" s="42" t="s">
        <v>48</v>
      </c>
      <c r="AF176" s="42" t="s">
        <v>48</v>
      </c>
      <c r="AG176" s="42" t="s">
        <v>48</v>
      </c>
      <c r="AH176" s="42" t="s">
        <v>48</v>
      </c>
      <c r="AI176" s="42"/>
      <c r="AJ176" s="42"/>
      <c r="AK176" s="42"/>
      <c r="AL176" s="42" t="s">
        <v>48</v>
      </c>
      <c r="AM176" s="42"/>
      <c r="AN176" s="55"/>
      <c r="AO176" s="45" t="s">
        <v>503</v>
      </c>
      <c r="AP176" s="42">
        <v>15988888889</v>
      </c>
    </row>
    <row r="177" s="1" customFormat="1" ht="20.15" customHeight="1" spans="1:47">
      <c r="A177" s="42">
        <f t="shared" si="11"/>
        <v>173</v>
      </c>
      <c r="B177" s="42" t="s">
        <v>491</v>
      </c>
      <c r="C177" s="42">
        <v>3005</v>
      </c>
      <c r="D177" s="43"/>
      <c r="E177" s="44">
        <v>32.42</v>
      </c>
      <c r="F177" s="42"/>
      <c r="G177" s="42">
        <v>3800</v>
      </c>
      <c r="H177" s="42">
        <v>500</v>
      </c>
      <c r="I177" s="42" t="s">
        <v>504</v>
      </c>
      <c r="J177" s="42"/>
      <c r="K177" s="45" t="s">
        <v>505</v>
      </c>
      <c r="L177" s="42" t="s">
        <v>11</v>
      </c>
      <c r="M177" s="46">
        <v>45625</v>
      </c>
      <c r="N177" s="46">
        <v>45732</v>
      </c>
      <c r="O177" s="46">
        <v>46096</v>
      </c>
      <c r="P177" s="46">
        <v>45732</v>
      </c>
      <c r="Q177" s="47">
        <v>5000</v>
      </c>
      <c r="R177" s="47"/>
      <c r="S177" s="47">
        <f t="shared" si="15"/>
        <v>5000</v>
      </c>
      <c r="T177" s="47">
        <f t="shared" ref="T177:T227" si="18">(O177-N177)/365*12</f>
        <v>11.9671232876712</v>
      </c>
      <c r="U177" s="42">
        <v>10000</v>
      </c>
      <c r="V177" s="42">
        <v>5000</v>
      </c>
      <c r="W177" s="42">
        <v>500</v>
      </c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8" t="s">
        <v>506</v>
      </c>
      <c r="AP177" s="42">
        <v>18012345886</v>
      </c>
      <c r="AQ177" s="139"/>
    </row>
    <row r="178" s="1" customFormat="1" ht="20.15" customHeight="1" spans="1:47">
      <c r="A178" s="42">
        <f t="shared" si="11"/>
        <v>174</v>
      </c>
      <c r="B178" s="42" t="s">
        <v>491</v>
      </c>
      <c r="C178" s="42">
        <v>3006</v>
      </c>
      <c r="D178" s="43"/>
      <c r="E178" s="44">
        <v>32.42</v>
      </c>
      <c r="F178" s="42"/>
      <c r="G178" s="42">
        <v>3800</v>
      </c>
      <c r="H178" s="42">
        <v>500</v>
      </c>
      <c r="I178" s="42" t="s">
        <v>286</v>
      </c>
      <c r="J178" s="42"/>
      <c r="K178" s="45" t="s">
        <v>507</v>
      </c>
      <c r="L178" s="42" t="s">
        <v>11</v>
      </c>
      <c r="M178" s="46">
        <v>45744</v>
      </c>
      <c r="N178" s="46">
        <v>45689</v>
      </c>
      <c r="O178" s="46">
        <v>46053</v>
      </c>
      <c r="P178" s="46">
        <v>45689</v>
      </c>
      <c r="Q178" s="47">
        <v>5000</v>
      </c>
      <c r="R178" s="47"/>
      <c r="S178" s="47">
        <f t="shared" si="15"/>
        <v>5000</v>
      </c>
      <c r="T178" s="47">
        <f t="shared" si="18"/>
        <v>11.9671232876712</v>
      </c>
      <c r="U178" s="42">
        <v>10000</v>
      </c>
      <c r="V178" s="42">
        <v>5000</v>
      </c>
      <c r="W178" s="42">
        <v>500</v>
      </c>
      <c r="X178" s="42"/>
      <c r="Y178" s="42"/>
      <c r="Z178" s="42"/>
      <c r="AA178" s="42"/>
      <c r="AB178" s="42"/>
      <c r="AC178" s="42"/>
      <c r="AD178" s="42"/>
      <c r="AE178" s="42" t="s">
        <v>48</v>
      </c>
      <c r="AF178" s="42"/>
      <c r="AG178" s="42" t="s">
        <v>48</v>
      </c>
      <c r="AH178" s="42" t="s">
        <v>48</v>
      </c>
      <c r="AI178" s="42"/>
      <c r="AJ178" s="42"/>
      <c r="AK178" s="42"/>
      <c r="AL178" s="42" t="s">
        <v>48</v>
      </c>
      <c r="AM178" s="42"/>
      <c r="AN178" s="42"/>
      <c r="AO178" s="48" t="s">
        <v>288</v>
      </c>
      <c r="AP178" s="42">
        <v>13899991234</v>
      </c>
      <c r="AQ178" s="139"/>
    </row>
    <row r="179" s="1" customFormat="1" ht="20.15" customHeight="1" spans="1:47">
      <c r="A179" s="42">
        <f t="shared" si="11"/>
        <v>175</v>
      </c>
      <c r="B179" s="42" t="s">
        <v>491</v>
      </c>
      <c r="C179" s="42">
        <v>3007</v>
      </c>
      <c r="D179" s="43"/>
      <c r="E179" s="44">
        <v>32.42</v>
      </c>
      <c r="F179" s="42"/>
      <c r="G179" s="42">
        <v>4828</v>
      </c>
      <c r="H179" s="42">
        <v>500</v>
      </c>
      <c r="I179" s="42" t="s">
        <v>508</v>
      </c>
      <c r="J179" s="42"/>
      <c r="K179" s="45" t="s">
        <v>509</v>
      </c>
      <c r="L179" s="42" t="s">
        <v>11</v>
      </c>
      <c r="M179" s="46">
        <v>45611</v>
      </c>
      <c r="N179" s="46">
        <v>45732</v>
      </c>
      <c r="O179" s="46">
        <v>46096</v>
      </c>
      <c r="P179" s="46">
        <v>45732</v>
      </c>
      <c r="Q179" s="47">
        <v>5000</v>
      </c>
      <c r="R179" s="47"/>
      <c r="S179" s="47">
        <f t="shared" si="15"/>
        <v>5000</v>
      </c>
      <c r="T179" s="47">
        <f t="shared" si="18"/>
        <v>11.9671232876712</v>
      </c>
      <c r="U179" s="42">
        <v>10000</v>
      </c>
      <c r="V179" s="42">
        <v>5000</v>
      </c>
      <c r="W179" s="42">
        <v>500</v>
      </c>
      <c r="X179" s="42"/>
      <c r="Y179" s="42"/>
      <c r="Z179" s="49"/>
      <c r="AA179" s="42"/>
      <c r="AB179" s="49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8" t="s">
        <v>510</v>
      </c>
      <c r="AP179" s="42">
        <v>15142876666</v>
      </c>
      <c r="AQ179" s="42"/>
    </row>
    <row r="180" s="1" customFormat="1" ht="20.15" customHeight="1" spans="1:47">
      <c r="A180" s="42">
        <f t="shared" si="11"/>
        <v>176</v>
      </c>
      <c r="B180" s="42" t="s">
        <v>491</v>
      </c>
      <c r="C180" s="42">
        <v>3008</v>
      </c>
      <c r="D180" s="43"/>
      <c r="E180" s="44">
        <v>32.42</v>
      </c>
      <c r="F180" s="42"/>
      <c r="G180" s="42">
        <v>4180</v>
      </c>
      <c r="H180" s="42">
        <v>500</v>
      </c>
      <c r="I180" s="42" t="s">
        <v>511</v>
      </c>
      <c r="J180" s="42"/>
      <c r="K180" s="45" t="s">
        <v>512</v>
      </c>
      <c r="L180" s="42" t="s">
        <v>11</v>
      </c>
      <c r="M180" s="46">
        <v>45615</v>
      </c>
      <c r="N180" s="46">
        <v>45748</v>
      </c>
      <c r="O180" s="46">
        <v>46112</v>
      </c>
      <c r="P180" s="46">
        <v>45748</v>
      </c>
      <c r="Q180" s="47">
        <v>5000</v>
      </c>
      <c r="R180" s="47"/>
      <c r="S180" s="47">
        <f t="shared" si="15"/>
        <v>5000</v>
      </c>
      <c r="T180" s="47">
        <f t="shared" si="18"/>
        <v>11.9671232876712</v>
      </c>
      <c r="U180" s="42">
        <v>10000</v>
      </c>
      <c r="V180" s="42">
        <v>5000</v>
      </c>
      <c r="W180" s="42">
        <v>500</v>
      </c>
      <c r="X180" s="42"/>
      <c r="Y180" s="42"/>
      <c r="Z180" s="49"/>
      <c r="AA180" s="42"/>
      <c r="AB180" s="42"/>
      <c r="AC180" s="42"/>
      <c r="AD180" s="42"/>
      <c r="AE180" s="42" t="s">
        <v>48</v>
      </c>
      <c r="AF180" s="42"/>
      <c r="AG180" s="42" t="s">
        <v>48</v>
      </c>
      <c r="AH180" s="42" t="s">
        <v>48</v>
      </c>
      <c r="AI180" s="42"/>
      <c r="AJ180" s="42"/>
      <c r="AK180" s="42"/>
      <c r="AL180" s="42" t="s">
        <v>48</v>
      </c>
      <c r="AM180" s="42"/>
      <c r="AN180" s="42"/>
      <c r="AO180" s="48" t="s">
        <v>513</v>
      </c>
      <c r="AP180" s="42">
        <v>13500224135</v>
      </c>
      <c r="AQ180" s="42"/>
      <c r="AU180" s="1" t="s">
        <v>514</v>
      </c>
    </row>
    <row r="181" s="1" customFormat="1" ht="20.15" customHeight="1" spans="1:47">
      <c r="A181" s="42">
        <f t="shared" si="11"/>
        <v>177</v>
      </c>
      <c r="B181" s="42" t="s">
        <v>491</v>
      </c>
      <c r="C181" s="42">
        <v>3009</v>
      </c>
      <c r="D181" s="43"/>
      <c r="E181" s="44">
        <v>32.425</v>
      </c>
      <c r="F181" s="42"/>
      <c r="G181" s="42">
        <v>4180</v>
      </c>
      <c r="H181" s="42">
        <v>500</v>
      </c>
      <c r="I181" s="42" t="s">
        <v>515</v>
      </c>
      <c r="J181" s="42"/>
      <c r="K181" s="45" t="s">
        <v>516</v>
      </c>
      <c r="L181" s="42" t="s">
        <v>11</v>
      </c>
      <c r="M181" s="46">
        <v>45620</v>
      </c>
      <c r="N181" s="46">
        <v>45732</v>
      </c>
      <c r="O181" s="46">
        <v>46096</v>
      </c>
      <c r="P181" s="46">
        <v>45732</v>
      </c>
      <c r="Q181" s="47">
        <v>5000</v>
      </c>
      <c r="R181" s="47"/>
      <c r="S181" s="47">
        <f t="shared" si="15"/>
        <v>5000</v>
      </c>
      <c r="T181" s="47">
        <f t="shared" si="18"/>
        <v>11.9671232876712</v>
      </c>
      <c r="U181" s="42">
        <v>10000</v>
      </c>
      <c r="V181" s="42">
        <v>5000</v>
      </c>
      <c r="W181" s="42">
        <v>500</v>
      </c>
      <c r="X181" s="42"/>
      <c r="Y181" s="42"/>
      <c r="Z181" s="49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8" t="s">
        <v>517</v>
      </c>
      <c r="AP181" s="42">
        <v>13861034937</v>
      </c>
      <c r="AQ181" s="42"/>
    </row>
    <row r="182" s="5" customFormat="1" ht="20.15" customHeight="1" spans="1:47">
      <c r="A182" s="71">
        <f t="shared" ref="A182:A245" si="19">ROW()-4</f>
        <v>178</v>
      </c>
      <c r="B182" s="71" t="s">
        <v>491</v>
      </c>
      <c r="C182" s="71">
        <v>3010</v>
      </c>
      <c r="D182" s="72"/>
      <c r="E182" s="73">
        <v>32.425</v>
      </c>
      <c r="F182" s="71"/>
      <c r="G182" s="71">
        <v>4828</v>
      </c>
      <c r="H182" s="71">
        <v>500</v>
      </c>
      <c r="I182" s="71" t="s">
        <v>414</v>
      </c>
      <c r="J182" s="71"/>
      <c r="K182" s="74" t="s">
        <v>518</v>
      </c>
      <c r="L182" s="71" t="s">
        <v>11</v>
      </c>
      <c r="M182" s="75">
        <v>45961</v>
      </c>
      <c r="N182" s="75">
        <v>46023</v>
      </c>
      <c r="O182" s="75">
        <v>46387</v>
      </c>
      <c r="P182" s="75">
        <v>46023</v>
      </c>
      <c r="Q182" s="76">
        <v>5000</v>
      </c>
      <c r="R182" s="76"/>
      <c r="S182" s="76">
        <f t="shared" si="15"/>
        <v>5000</v>
      </c>
      <c r="T182" s="76">
        <f t="shared" si="18"/>
        <v>11.9671232876712</v>
      </c>
      <c r="U182" s="71">
        <v>10000</v>
      </c>
      <c r="V182" s="71">
        <v>5000</v>
      </c>
      <c r="W182" s="71">
        <v>500</v>
      </c>
      <c r="X182" s="71"/>
      <c r="Y182" s="71"/>
      <c r="Z182" s="49"/>
      <c r="AA182" s="42"/>
      <c r="AB182" s="49"/>
      <c r="AC182" s="42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7" t="s">
        <v>519</v>
      </c>
      <c r="AP182" s="71">
        <v>13099600888</v>
      </c>
      <c r="AQ182" s="71" t="s">
        <v>520</v>
      </c>
    </row>
    <row r="183" s="1" customFormat="1" ht="20.15" customHeight="1" spans="1:47">
      <c r="A183" s="42">
        <f t="shared" si="19"/>
        <v>179</v>
      </c>
      <c r="B183" s="42" t="s">
        <v>491</v>
      </c>
      <c r="C183" s="42">
        <v>3011</v>
      </c>
      <c r="D183" s="43"/>
      <c r="E183" s="44">
        <v>31.765</v>
      </c>
      <c r="F183" s="42"/>
      <c r="G183" s="42">
        <v>4828</v>
      </c>
      <c r="H183" s="42">
        <v>500</v>
      </c>
      <c r="I183" s="42" t="s">
        <v>414</v>
      </c>
      <c r="J183" s="42"/>
      <c r="K183" s="45" t="s">
        <v>521</v>
      </c>
      <c r="L183" s="42" t="s">
        <v>11</v>
      </c>
      <c r="M183" s="46">
        <v>45626</v>
      </c>
      <c r="N183" s="46">
        <v>45717</v>
      </c>
      <c r="O183" s="46">
        <v>46081</v>
      </c>
      <c r="P183" s="46">
        <v>45717</v>
      </c>
      <c r="Q183" s="47">
        <v>5000</v>
      </c>
      <c r="R183" s="47"/>
      <c r="S183" s="47">
        <f t="shared" si="15"/>
        <v>5000</v>
      </c>
      <c r="T183" s="47">
        <f t="shared" si="18"/>
        <v>11.9671232876712</v>
      </c>
      <c r="U183" s="42">
        <v>10000</v>
      </c>
      <c r="V183" s="42">
        <v>5000</v>
      </c>
      <c r="W183" s="42">
        <v>500</v>
      </c>
      <c r="X183" s="42"/>
      <c r="Y183" s="42"/>
      <c r="Z183" s="49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8" t="s">
        <v>415</v>
      </c>
      <c r="AP183" s="42">
        <v>1309960888</v>
      </c>
      <c r="AQ183" s="42"/>
    </row>
    <row r="184" s="1" customFormat="1" ht="20.15" customHeight="1" spans="1:47">
      <c r="A184" s="42">
        <f t="shared" si="19"/>
        <v>180</v>
      </c>
      <c r="B184" s="42" t="s">
        <v>491</v>
      </c>
      <c r="C184" s="42">
        <v>3012</v>
      </c>
      <c r="D184" s="43"/>
      <c r="E184" s="44">
        <v>31.765</v>
      </c>
      <c r="F184" s="42"/>
      <c r="G184" s="42">
        <v>4828</v>
      </c>
      <c r="H184" s="42">
        <v>500</v>
      </c>
      <c r="I184" s="42" t="s">
        <v>522</v>
      </c>
      <c r="J184" s="42"/>
      <c r="K184" s="45" t="s">
        <v>523</v>
      </c>
      <c r="L184" s="42" t="s">
        <v>11</v>
      </c>
      <c r="M184" s="46">
        <v>45790</v>
      </c>
      <c r="N184" s="46">
        <v>45803</v>
      </c>
      <c r="O184" s="46">
        <v>46167</v>
      </c>
      <c r="P184" s="46">
        <v>45803</v>
      </c>
      <c r="Q184" s="47">
        <v>5000</v>
      </c>
      <c r="R184" s="47"/>
      <c r="S184" s="47">
        <f t="shared" si="15"/>
        <v>5000</v>
      </c>
      <c r="T184" s="47">
        <f t="shared" si="18"/>
        <v>11.9671232876712</v>
      </c>
      <c r="U184" s="42">
        <v>10000</v>
      </c>
      <c r="V184" s="42">
        <v>5000</v>
      </c>
      <c r="W184" s="42">
        <v>500</v>
      </c>
      <c r="X184" s="42"/>
      <c r="Y184" s="42"/>
      <c r="Z184" s="49"/>
      <c r="AA184" s="42"/>
      <c r="AB184" s="49"/>
      <c r="AC184" s="42"/>
      <c r="AD184" s="42"/>
      <c r="AE184" s="42" t="s">
        <v>48</v>
      </c>
      <c r="AF184" s="42" t="s">
        <v>48</v>
      </c>
      <c r="AG184" s="42" t="s">
        <v>48</v>
      </c>
      <c r="AH184" s="42" t="s">
        <v>48</v>
      </c>
      <c r="AI184" s="42"/>
      <c r="AJ184" s="42"/>
      <c r="AK184" s="42"/>
      <c r="AL184" s="42" t="s">
        <v>48</v>
      </c>
      <c r="AM184" s="42"/>
      <c r="AN184" s="42"/>
      <c r="AO184" s="48" t="s">
        <v>524</v>
      </c>
      <c r="AP184" s="42">
        <v>13928921259</v>
      </c>
      <c r="AQ184" s="42"/>
    </row>
    <row r="185" s="5" customFormat="1" ht="20.15" customHeight="1" spans="1:47">
      <c r="A185" s="71">
        <f t="shared" si="19"/>
        <v>181</v>
      </c>
      <c r="B185" s="71" t="s">
        <v>491</v>
      </c>
      <c r="C185" s="71">
        <v>3013</v>
      </c>
      <c r="D185" s="72"/>
      <c r="E185" s="73">
        <v>31.765</v>
      </c>
      <c r="F185" s="71"/>
      <c r="G185" s="71">
        <v>5840</v>
      </c>
      <c r="H185" s="71">
        <v>500</v>
      </c>
      <c r="I185" s="71" t="s">
        <v>525</v>
      </c>
      <c r="J185" s="71"/>
      <c r="K185" s="74" t="s">
        <v>526</v>
      </c>
      <c r="L185" s="71" t="s">
        <v>11</v>
      </c>
      <c r="M185" s="75">
        <v>45919</v>
      </c>
      <c r="N185" s="75">
        <v>45935</v>
      </c>
      <c r="O185" s="75">
        <v>46299</v>
      </c>
      <c r="P185" s="75">
        <v>45935</v>
      </c>
      <c r="Q185" s="76">
        <v>5000</v>
      </c>
      <c r="R185" s="76"/>
      <c r="S185" s="76">
        <f t="shared" si="15"/>
        <v>5000</v>
      </c>
      <c r="T185" s="76">
        <f t="shared" si="18"/>
        <v>11.9671232876712</v>
      </c>
      <c r="U185" s="71">
        <v>10000</v>
      </c>
      <c r="V185" s="71">
        <v>5000</v>
      </c>
      <c r="W185" s="71">
        <v>500</v>
      </c>
      <c r="X185" s="71"/>
      <c r="Y185" s="71"/>
      <c r="Z185" s="49"/>
      <c r="AA185" s="42"/>
      <c r="AB185" s="42"/>
      <c r="AC185" s="42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7" t="s">
        <v>527</v>
      </c>
      <c r="AP185" s="71">
        <v>13828226790</v>
      </c>
      <c r="AQ185" s="71"/>
    </row>
    <row r="186" s="4" customFormat="1" ht="20.15" customHeight="1" spans="1:47">
      <c r="A186" s="66">
        <f t="shared" si="19"/>
        <v>182</v>
      </c>
      <c r="B186" s="66" t="s">
        <v>491</v>
      </c>
      <c r="C186" s="66">
        <v>3014</v>
      </c>
      <c r="D186" s="43"/>
      <c r="E186" s="44">
        <v>31.765</v>
      </c>
      <c r="F186" s="42"/>
      <c r="G186" s="42">
        <v>5058</v>
      </c>
      <c r="H186" s="42">
        <v>500</v>
      </c>
      <c r="I186" s="66" t="s">
        <v>528</v>
      </c>
      <c r="J186" s="42"/>
      <c r="K186" s="45" t="s">
        <v>529</v>
      </c>
      <c r="L186" s="42" t="s">
        <v>11</v>
      </c>
      <c r="M186" s="67">
        <v>45965</v>
      </c>
      <c r="N186" s="67">
        <v>45966</v>
      </c>
      <c r="O186" s="67">
        <v>46330</v>
      </c>
      <c r="P186" s="67">
        <v>45966</v>
      </c>
      <c r="Q186" s="68">
        <v>5000</v>
      </c>
      <c r="R186" s="68"/>
      <c r="S186" s="68">
        <f t="shared" si="15"/>
        <v>5000</v>
      </c>
      <c r="T186" s="68">
        <f t="shared" si="18"/>
        <v>11.9671232876712</v>
      </c>
      <c r="U186" s="66">
        <v>10000</v>
      </c>
      <c r="V186" s="66">
        <v>5000</v>
      </c>
      <c r="W186" s="66">
        <v>500</v>
      </c>
      <c r="X186" s="66"/>
      <c r="Y186" s="66"/>
      <c r="Z186" s="42"/>
      <c r="AA186" s="42"/>
      <c r="AB186" s="42"/>
      <c r="AC186" s="42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9" t="s">
        <v>530</v>
      </c>
      <c r="AP186" s="66">
        <v>13682432870</v>
      </c>
      <c r="AQ186" s="66"/>
    </row>
    <row r="187" s="1" customFormat="1" ht="20.15" customHeight="1" spans="1:47">
      <c r="A187" s="42">
        <f t="shared" si="19"/>
        <v>183</v>
      </c>
      <c r="B187" s="42" t="s">
        <v>491</v>
      </c>
      <c r="C187" s="42">
        <v>3015</v>
      </c>
      <c r="D187" s="43"/>
      <c r="E187" s="44">
        <v>31.76</v>
      </c>
      <c r="F187" s="42"/>
      <c r="G187" s="42">
        <v>4828</v>
      </c>
      <c r="H187" s="42">
        <v>500</v>
      </c>
      <c r="I187" s="42" t="s">
        <v>531</v>
      </c>
      <c r="J187" s="42"/>
      <c r="K187" s="45" t="s">
        <v>532</v>
      </c>
      <c r="L187" s="42" t="s">
        <v>11</v>
      </c>
      <c r="M187" s="46">
        <v>45624</v>
      </c>
      <c r="N187" s="46">
        <v>45748</v>
      </c>
      <c r="O187" s="46">
        <v>46112</v>
      </c>
      <c r="P187" s="46">
        <v>45748</v>
      </c>
      <c r="Q187" s="47">
        <v>5000</v>
      </c>
      <c r="R187" s="47"/>
      <c r="S187" s="47">
        <f t="shared" si="15"/>
        <v>5000</v>
      </c>
      <c r="T187" s="47">
        <f t="shared" si="18"/>
        <v>11.9671232876712</v>
      </c>
      <c r="U187" s="42">
        <v>10000</v>
      </c>
      <c r="V187" s="42">
        <v>5000</v>
      </c>
      <c r="W187" s="42">
        <v>500</v>
      </c>
      <c r="X187" s="42"/>
      <c r="Y187" s="42"/>
      <c r="Z187" s="49"/>
      <c r="AA187" s="42"/>
      <c r="AB187" s="49"/>
      <c r="AC187" s="42"/>
      <c r="AD187" s="42"/>
      <c r="AE187" s="42" t="s">
        <v>48</v>
      </c>
      <c r="AF187" s="42"/>
      <c r="AG187" s="42" t="s">
        <v>48</v>
      </c>
      <c r="AH187" s="42" t="s">
        <v>48</v>
      </c>
      <c r="AI187" s="42"/>
      <c r="AJ187" s="42"/>
      <c r="AK187" s="42"/>
      <c r="AL187" s="42" t="s">
        <v>48</v>
      </c>
      <c r="AM187" s="42"/>
      <c r="AN187" s="42"/>
      <c r="AO187" s="48" t="s">
        <v>533</v>
      </c>
      <c r="AP187" s="42">
        <v>13533311189</v>
      </c>
      <c r="AQ187" s="42"/>
    </row>
    <row r="188" s="1" customFormat="1" ht="20.15" customHeight="1" spans="1:47">
      <c r="A188" s="42">
        <f t="shared" si="19"/>
        <v>184</v>
      </c>
      <c r="B188" s="42" t="s">
        <v>491</v>
      </c>
      <c r="C188" s="42">
        <v>3016</v>
      </c>
      <c r="D188" s="43"/>
      <c r="E188" s="44">
        <v>31.76</v>
      </c>
      <c r="F188" s="42"/>
      <c r="G188" s="42">
        <v>4828</v>
      </c>
      <c r="H188" s="42">
        <v>500</v>
      </c>
      <c r="I188" s="42" t="s">
        <v>534</v>
      </c>
      <c r="J188" s="42"/>
      <c r="K188" s="45" t="s">
        <v>535</v>
      </c>
      <c r="L188" s="42" t="s">
        <v>11</v>
      </c>
      <c r="M188" s="46">
        <v>45608</v>
      </c>
      <c r="N188" s="46">
        <v>45748</v>
      </c>
      <c r="O188" s="46">
        <v>46112</v>
      </c>
      <c r="P188" s="46">
        <v>45748</v>
      </c>
      <c r="Q188" s="47">
        <v>5000</v>
      </c>
      <c r="R188" s="47">
        <v>0</v>
      </c>
      <c r="S188" s="47">
        <f t="shared" si="15"/>
        <v>5000</v>
      </c>
      <c r="T188" s="47">
        <f t="shared" si="18"/>
        <v>11.9671232876712</v>
      </c>
      <c r="U188" s="42">
        <v>10000</v>
      </c>
      <c r="V188" s="42">
        <v>5000</v>
      </c>
      <c r="W188" s="42">
        <v>500</v>
      </c>
      <c r="X188" s="42"/>
      <c r="Y188" s="42"/>
      <c r="Z188" s="49"/>
      <c r="AA188" s="42"/>
      <c r="AB188" s="49"/>
      <c r="AC188" s="42"/>
      <c r="AD188" s="42"/>
      <c r="AE188" s="42" t="s">
        <v>48</v>
      </c>
      <c r="AF188" s="42"/>
      <c r="AG188" s="42" t="s">
        <v>48</v>
      </c>
      <c r="AH188" s="42" t="s">
        <v>48</v>
      </c>
      <c r="AI188" s="42"/>
      <c r="AJ188" s="42"/>
      <c r="AK188" s="42"/>
      <c r="AL188" s="42" t="s">
        <v>48</v>
      </c>
      <c r="AM188" s="42"/>
      <c r="AN188" s="42"/>
      <c r="AO188" s="48" t="s">
        <v>536</v>
      </c>
      <c r="AP188" s="42">
        <v>13672468586</v>
      </c>
      <c r="AQ188" s="42"/>
    </row>
    <row r="189" s="1" customFormat="1" ht="20.15" customHeight="1" spans="1:47">
      <c r="A189" s="42">
        <f t="shared" si="19"/>
        <v>185</v>
      </c>
      <c r="B189" s="42" t="s">
        <v>491</v>
      </c>
      <c r="C189" s="42">
        <v>3017</v>
      </c>
      <c r="D189" s="43"/>
      <c r="E189" s="44">
        <v>31.76</v>
      </c>
      <c r="F189" s="42"/>
      <c r="G189" s="42">
        <v>4828</v>
      </c>
      <c r="H189" s="42">
        <v>500</v>
      </c>
      <c r="I189" s="42" t="s">
        <v>283</v>
      </c>
      <c r="J189" s="42"/>
      <c r="K189" s="45" t="s">
        <v>537</v>
      </c>
      <c r="L189" s="42" t="s">
        <v>11</v>
      </c>
      <c r="M189" s="46">
        <v>45624</v>
      </c>
      <c r="N189" s="46">
        <v>45717</v>
      </c>
      <c r="O189" s="46">
        <v>46081</v>
      </c>
      <c r="P189" s="46">
        <v>45717</v>
      </c>
      <c r="Q189" s="47">
        <v>5000</v>
      </c>
      <c r="R189" s="47"/>
      <c r="S189" s="47">
        <f t="shared" si="15"/>
        <v>5000</v>
      </c>
      <c r="T189" s="47">
        <f t="shared" si="18"/>
        <v>11.9671232876712</v>
      </c>
      <c r="U189" s="42">
        <v>10000</v>
      </c>
      <c r="V189" s="42">
        <v>5000</v>
      </c>
      <c r="W189" s="42">
        <v>500</v>
      </c>
      <c r="X189" s="42"/>
      <c r="Y189" s="42"/>
      <c r="Z189" s="49"/>
      <c r="AA189" s="42"/>
      <c r="AB189" s="49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8" t="s">
        <v>285</v>
      </c>
      <c r="AP189" s="42">
        <v>13250539329</v>
      </c>
      <c r="AQ189" s="42"/>
    </row>
    <row r="190" s="1" customFormat="1" ht="20.15" customHeight="1" spans="1:47">
      <c r="A190" s="42">
        <f t="shared" si="19"/>
        <v>186</v>
      </c>
      <c r="B190" s="42" t="s">
        <v>491</v>
      </c>
      <c r="C190" s="42">
        <v>3018</v>
      </c>
      <c r="D190" s="43"/>
      <c r="E190" s="44">
        <v>31.76</v>
      </c>
      <c r="F190" s="42"/>
      <c r="G190" s="42">
        <v>4180</v>
      </c>
      <c r="H190" s="42">
        <v>500</v>
      </c>
      <c r="I190" s="42" t="s">
        <v>538</v>
      </c>
      <c r="J190" s="42"/>
      <c r="K190" s="45" t="s">
        <v>539</v>
      </c>
      <c r="L190" s="42" t="s">
        <v>11</v>
      </c>
      <c r="M190" s="46">
        <v>45622</v>
      </c>
      <c r="N190" s="46">
        <v>45748</v>
      </c>
      <c r="O190" s="46">
        <v>46112</v>
      </c>
      <c r="P190" s="46">
        <v>45748</v>
      </c>
      <c r="Q190" s="47">
        <v>5000</v>
      </c>
      <c r="R190" s="47"/>
      <c r="S190" s="47">
        <f t="shared" si="15"/>
        <v>5000</v>
      </c>
      <c r="T190" s="47">
        <f t="shared" si="18"/>
        <v>11.9671232876712</v>
      </c>
      <c r="U190" s="42">
        <v>10000</v>
      </c>
      <c r="V190" s="42">
        <v>5000</v>
      </c>
      <c r="W190" s="42">
        <v>500</v>
      </c>
      <c r="X190" s="42"/>
      <c r="Y190" s="42"/>
      <c r="Z190" s="49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8" t="s">
        <v>540</v>
      </c>
      <c r="AP190" s="42">
        <v>13806894978</v>
      </c>
      <c r="AQ190" s="42"/>
    </row>
    <row r="191" s="1" customFormat="1" ht="20.15" customHeight="1" spans="1:47">
      <c r="A191" s="42">
        <f t="shared" si="19"/>
        <v>187</v>
      </c>
      <c r="B191" s="42" t="s">
        <v>491</v>
      </c>
      <c r="C191" s="42">
        <v>3019</v>
      </c>
      <c r="D191" s="43"/>
      <c r="E191" s="44">
        <v>31.76</v>
      </c>
      <c r="F191" s="42"/>
      <c r="G191" s="42">
        <v>4828</v>
      </c>
      <c r="H191" s="42">
        <v>500</v>
      </c>
      <c r="I191" s="42" t="s">
        <v>541</v>
      </c>
      <c r="J191" s="42"/>
      <c r="K191" s="42">
        <f>C191</f>
        <v>3019</v>
      </c>
      <c r="L191" s="42" t="s">
        <v>11</v>
      </c>
      <c r="M191" s="46">
        <v>45622</v>
      </c>
      <c r="N191" s="46">
        <v>45732</v>
      </c>
      <c r="O191" s="46">
        <v>46096</v>
      </c>
      <c r="P191" s="46">
        <v>45732</v>
      </c>
      <c r="Q191" s="47">
        <v>5000</v>
      </c>
      <c r="R191" s="47"/>
      <c r="S191" s="47">
        <f t="shared" si="15"/>
        <v>5000</v>
      </c>
      <c r="T191" s="47">
        <f t="shared" si="18"/>
        <v>11.9671232876712</v>
      </c>
      <c r="U191" s="42">
        <v>10000</v>
      </c>
      <c r="V191" s="42">
        <v>5000</v>
      </c>
      <c r="W191" s="42">
        <v>500</v>
      </c>
      <c r="X191" s="42"/>
      <c r="Y191" s="42"/>
      <c r="Z191" s="49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8" t="s">
        <v>542</v>
      </c>
      <c r="AP191" s="42">
        <v>15258782777</v>
      </c>
      <c r="AQ191" s="42"/>
    </row>
    <row r="192" s="1" customFormat="1" ht="20.15" customHeight="1" spans="1:47">
      <c r="A192" s="42">
        <f t="shared" si="19"/>
        <v>188</v>
      </c>
      <c r="B192" s="42" t="s">
        <v>491</v>
      </c>
      <c r="C192" s="42">
        <v>3020</v>
      </c>
      <c r="D192" s="43"/>
      <c r="E192" s="44">
        <v>31.76</v>
      </c>
      <c r="F192" s="42"/>
      <c r="G192" s="42">
        <v>4828</v>
      </c>
      <c r="H192" s="42">
        <v>500</v>
      </c>
      <c r="I192" s="42" t="s">
        <v>543</v>
      </c>
      <c r="J192" s="42"/>
      <c r="K192" s="45" t="s">
        <v>544</v>
      </c>
      <c r="L192" s="42" t="s">
        <v>11</v>
      </c>
      <c r="M192" s="46">
        <v>45622</v>
      </c>
      <c r="N192" s="46">
        <v>45748</v>
      </c>
      <c r="O192" s="46">
        <v>46112</v>
      </c>
      <c r="P192" s="46">
        <v>45748</v>
      </c>
      <c r="Q192" s="47">
        <v>5000</v>
      </c>
      <c r="R192" s="47"/>
      <c r="S192" s="47">
        <f t="shared" si="15"/>
        <v>5000</v>
      </c>
      <c r="T192" s="47">
        <f t="shared" si="18"/>
        <v>11.9671232876712</v>
      </c>
      <c r="U192" s="42">
        <f>2662+7338</f>
        <v>10000</v>
      </c>
      <c r="V192" s="42">
        <v>5000</v>
      </c>
      <c r="W192" s="42">
        <v>500</v>
      </c>
      <c r="X192" s="42"/>
      <c r="Y192" s="42"/>
      <c r="Z192" s="49"/>
      <c r="AA192" s="42"/>
      <c r="AB192" s="49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8" t="s">
        <v>545</v>
      </c>
      <c r="AP192" s="42">
        <v>13714605194</v>
      </c>
      <c r="AQ192" s="42"/>
    </row>
    <row r="193" s="1" customFormat="1" ht="20.15" customHeight="1" spans="1:43">
      <c r="A193" s="42">
        <f t="shared" si="19"/>
        <v>189</v>
      </c>
      <c r="B193" s="42" t="s">
        <v>491</v>
      </c>
      <c r="C193" s="42">
        <v>3021</v>
      </c>
      <c r="D193" s="43"/>
      <c r="E193" s="44">
        <v>31.765</v>
      </c>
      <c r="F193" s="42"/>
      <c r="G193" s="42">
        <v>4598</v>
      </c>
      <c r="H193" s="42">
        <v>500</v>
      </c>
      <c r="I193" s="42" t="s">
        <v>546</v>
      </c>
      <c r="J193" s="42"/>
      <c r="K193" s="45" t="s">
        <v>547</v>
      </c>
      <c r="L193" s="42" t="s">
        <v>11</v>
      </c>
      <c r="M193" s="46">
        <v>45609</v>
      </c>
      <c r="N193" s="46">
        <v>45717</v>
      </c>
      <c r="O193" s="46">
        <v>46081</v>
      </c>
      <c r="P193" s="46">
        <v>45717</v>
      </c>
      <c r="Q193" s="47">
        <v>5000</v>
      </c>
      <c r="R193" s="47"/>
      <c r="S193" s="47">
        <f t="shared" si="15"/>
        <v>5000</v>
      </c>
      <c r="T193" s="47">
        <f t="shared" si="18"/>
        <v>11.9671232876712</v>
      </c>
      <c r="U193" s="42">
        <v>10000</v>
      </c>
      <c r="V193" s="42">
        <v>5000</v>
      </c>
      <c r="W193" s="42">
        <v>500</v>
      </c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8" t="s">
        <v>548</v>
      </c>
      <c r="AP193" s="42">
        <v>13610070307</v>
      </c>
      <c r="AQ193" s="42"/>
    </row>
    <row r="194" s="1" customFormat="1" ht="20.15" customHeight="1" spans="1:43">
      <c r="A194" s="42">
        <f t="shared" si="19"/>
        <v>190</v>
      </c>
      <c r="B194" s="42" t="s">
        <v>491</v>
      </c>
      <c r="C194" s="42">
        <v>3022</v>
      </c>
      <c r="D194" s="43"/>
      <c r="E194" s="44">
        <v>31.765</v>
      </c>
      <c r="F194" s="42"/>
      <c r="G194" s="42">
        <v>4766</v>
      </c>
      <c r="H194" s="42">
        <v>500</v>
      </c>
      <c r="I194" s="42" t="s">
        <v>549</v>
      </c>
      <c r="J194" s="42"/>
      <c r="K194" s="45" t="s">
        <v>550</v>
      </c>
      <c r="L194" s="42" t="s">
        <v>11</v>
      </c>
      <c r="M194" s="46">
        <v>45624</v>
      </c>
      <c r="N194" s="46">
        <v>45717</v>
      </c>
      <c r="O194" s="46">
        <v>46081</v>
      </c>
      <c r="P194" s="46">
        <v>45717</v>
      </c>
      <c r="Q194" s="47">
        <v>5000</v>
      </c>
      <c r="R194" s="47"/>
      <c r="S194" s="47">
        <f t="shared" si="15"/>
        <v>5000</v>
      </c>
      <c r="T194" s="47">
        <f t="shared" si="18"/>
        <v>11.9671232876712</v>
      </c>
      <c r="U194" s="42">
        <v>10000</v>
      </c>
      <c r="V194" s="42">
        <v>5000</v>
      </c>
      <c r="W194" s="42">
        <v>500</v>
      </c>
      <c r="X194" s="42"/>
      <c r="Y194" s="42"/>
      <c r="Z194" s="49"/>
      <c r="AA194" s="42"/>
      <c r="AB194" s="42"/>
      <c r="AC194" s="42"/>
      <c r="AD194" s="42"/>
      <c r="AE194" s="42" t="s">
        <v>48</v>
      </c>
      <c r="AF194" s="42"/>
      <c r="AG194" s="42" t="s">
        <v>48</v>
      </c>
      <c r="AH194" s="42" t="s">
        <v>48</v>
      </c>
      <c r="AI194" s="42"/>
      <c r="AJ194" s="42"/>
      <c r="AK194" s="42"/>
      <c r="AL194" s="42" t="s">
        <v>48</v>
      </c>
      <c r="AM194" s="42"/>
      <c r="AN194" s="42"/>
      <c r="AO194" s="48" t="s">
        <v>551</v>
      </c>
      <c r="AP194" s="42">
        <v>15919670190</v>
      </c>
      <c r="AQ194" s="42"/>
    </row>
    <row r="195" s="1" customFormat="1" ht="20.15" customHeight="1" spans="1:43">
      <c r="A195" s="42">
        <f t="shared" si="19"/>
        <v>191</v>
      </c>
      <c r="B195" s="42" t="s">
        <v>491</v>
      </c>
      <c r="C195" s="42">
        <v>3023</v>
      </c>
      <c r="D195" s="43"/>
      <c r="E195" s="44">
        <v>31.76</v>
      </c>
      <c r="F195" s="42"/>
      <c r="G195" s="42">
        <v>4828</v>
      </c>
      <c r="H195" s="42">
        <v>500</v>
      </c>
      <c r="I195" s="42" t="s">
        <v>552</v>
      </c>
      <c r="J195" s="42"/>
      <c r="K195" s="45" t="s">
        <v>553</v>
      </c>
      <c r="L195" s="42" t="s">
        <v>11</v>
      </c>
      <c r="M195" s="46">
        <v>45626</v>
      </c>
      <c r="N195" s="46">
        <v>45726</v>
      </c>
      <c r="O195" s="46">
        <v>46090</v>
      </c>
      <c r="P195" s="46">
        <v>45726</v>
      </c>
      <c r="Q195" s="47">
        <v>5000</v>
      </c>
      <c r="R195" s="47"/>
      <c r="S195" s="47">
        <f t="shared" si="15"/>
        <v>5000</v>
      </c>
      <c r="T195" s="47">
        <f t="shared" si="18"/>
        <v>11.9671232876712</v>
      </c>
      <c r="U195" s="42">
        <v>10000</v>
      </c>
      <c r="V195" s="42">
        <v>5000</v>
      </c>
      <c r="W195" s="42">
        <v>500</v>
      </c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8" t="s">
        <v>554</v>
      </c>
      <c r="AP195" s="42">
        <v>18681419009</v>
      </c>
      <c r="AQ195" s="42"/>
    </row>
    <row r="196" s="4" customFormat="1" ht="20.15" customHeight="1" spans="1:43">
      <c r="A196" s="66">
        <f t="shared" si="19"/>
        <v>192</v>
      </c>
      <c r="B196" s="66" t="s">
        <v>491</v>
      </c>
      <c r="C196" s="66">
        <v>3024</v>
      </c>
      <c r="D196" s="43"/>
      <c r="E196" s="44">
        <v>31.765</v>
      </c>
      <c r="F196" s="42"/>
      <c r="G196" s="42">
        <v>5058</v>
      </c>
      <c r="H196" s="42">
        <v>500</v>
      </c>
      <c r="I196" s="66" t="s">
        <v>555</v>
      </c>
      <c r="J196" s="42"/>
      <c r="K196" s="45" t="s">
        <v>556</v>
      </c>
      <c r="L196" s="42" t="s">
        <v>11</v>
      </c>
      <c r="M196" s="67">
        <v>45927</v>
      </c>
      <c r="N196" s="67">
        <v>45971</v>
      </c>
      <c r="O196" s="67">
        <v>46335</v>
      </c>
      <c r="P196" s="140">
        <v>45971</v>
      </c>
      <c r="Q196" s="68">
        <v>5000</v>
      </c>
      <c r="R196" s="68"/>
      <c r="S196" s="68">
        <f t="shared" si="15"/>
        <v>5000</v>
      </c>
      <c r="T196" s="68">
        <f t="shared" si="18"/>
        <v>11.9671232876712</v>
      </c>
      <c r="U196" s="66">
        <v>10000</v>
      </c>
      <c r="V196" s="66">
        <v>5000</v>
      </c>
      <c r="W196" s="66">
        <v>500</v>
      </c>
      <c r="X196" s="66"/>
      <c r="Y196" s="66"/>
      <c r="Z196" s="42"/>
      <c r="AA196" s="42"/>
      <c r="AB196" s="42"/>
      <c r="AC196" s="42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9" t="s">
        <v>557</v>
      </c>
      <c r="AP196" s="66">
        <v>13727116111</v>
      </c>
      <c r="AQ196" s="66"/>
    </row>
    <row r="197" s="1" customFormat="1" ht="20.15" customHeight="1" spans="1:43">
      <c r="A197" s="42">
        <f t="shared" si="19"/>
        <v>193</v>
      </c>
      <c r="B197" s="42" t="s">
        <v>491</v>
      </c>
      <c r="C197" s="42">
        <v>3025</v>
      </c>
      <c r="D197" s="43"/>
      <c r="E197" s="44">
        <v>49.18</v>
      </c>
      <c r="F197" s="42"/>
      <c r="G197" s="42">
        <v>5072</v>
      </c>
      <c r="H197" s="42">
        <v>500</v>
      </c>
      <c r="I197" s="42" t="s">
        <v>558</v>
      </c>
      <c r="J197" s="42"/>
      <c r="K197" s="45" t="s">
        <v>559</v>
      </c>
      <c r="L197" s="42" t="s">
        <v>11</v>
      </c>
      <c r="M197" s="46">
        <v>45611</v>
      </c>
      <c r="N197" s="46">
        <v>45748</v>
      </c>
      <c r="O197" s="46">
        <v>46112</v>
      </c>
      <c r="P197" s="46">
        <v>45748</v>
      </c>
      <c r="Q197" s="47">
        <v>5500</v>
      </c>
      <c r="R197" s="47"/>
      <c r="S197" s="47">
        <f t="shared" si="15"/>
        <v>5500</v>
      </c>
      <c r="T197" s="47">
        <f t="shared" si="18"/>
        <v>11.9671232876712</v>
      </c>
      <c r="U197" s="42">
        <f>2796+7204</f>
        <v>10000</v>
      </c>
      <c r="V197" s="42">
        <v>5500</v>
      </c>
      <c r="W197" s="42">
        <v>500</v>
      </c>
      <c r="X197" s="42"/>
      <c r="Y197" s="42"/>
      <c r="Z197" s="49"/>
      <c r="AA197" s="42"/>
      <c r="AB197" s="49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8" t="s">
        <v>560</v>
      </c>
      <c r="AP197" s="42">
        <v>13535372188</v>
      </c>
      <c r="AQ197" s="42"/>
    </row>
    <row r="198" s="1" customFormat="1" ht="20.15" customHeight="1" spans="1:43">
      <c r="A198" s="42">
        <f t="shared" si="19"/>
        <v>194</v>
      </c>
      <c r="B198" s="42" t="s">
        <v>491</v>
      </c>
      <c r="C198" s="42">
        <v>3026</v>
      </c>
      <c r="D198" s="43"/>
      <c r="E198" s="44">
        <v>42.68</v>
      </c>
      <c r="F198" s="42"/>
      <c r="G198" s="42">
        <v>4816</v>
      </c>
      <c r="H198" s="42">
        <v>500</v>
      </c>
      <c r="I198" s="42" t="s">
        <v>561</v>
      </c>
      <c r="J198" s="42"/>
      <c r="K198" s="42" t="s">
        <v>562</v>
      </c>
      <c r="L198" s="42" t="s">
        <v>11</v>
      </c>
      <c r="M198" s="46">
        <v>45633</v>
      </c>
      <c r="N198" s="46">
        <v>45733</v>
      </c>
      <c r="O198" s="46">
        <v>46097</v>
      </c>
      <c r="P198" s="46">
        <v>45733</v>
      </c>
      <c r="Q198" s="47">
        <v>5000</v>
      </c>
      <c r="R198" s="47"/>
      <c r="S198" s="47">
        <f t="shared" si="15"/>
        <v>5000</v>
      </c>
      <c r="T198" s="47">
        <f t="shared" si="18"/>
        <v>11.9671232876712</v>
      </c>
      <c r="U198" s="42">
        <v>10000</v>
      </c>
      <c r="V198" s="42">
        <v>5000</v>
      </c>
      <c r="W198" s="42">
        <v>500</v>
      </c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50" t="s">
        <v>563</v>
      </c>
      <c r="AP198" s="78">
        <v>13323310099</v>
      </c>
      <c r="AQ198" s="42"/>
    </row>
    <row r="199" s="1" customFormat="1" ht="20.15" customHeight="1" spans="1:43">
      <c r="A199" s="42">
        <f t="shared" si="19"/>
        <v>195</v>
      </c>
      <c r="B199" s="42" t="s">
        <v>491</v>
      </c>
      <c r="C199" s="42">
        <v>3027</v>
      </c>
      <c r="D199" s="43"/>
      <c r="E199" s="44">
        <v>35.27</v>
      </c>
      <c r="F199" s="42"/>
      <c r="G199" s="42">
        <v>4800</v>
      </c>
      <c r="H199" s="42">
        <v>500</v>
      </c>
      <c r="I199" s="42" t="s">
        <v>561</v>
      </c>
      <c r="J199" s="42"/>
      <c r="K199" s="42" t="s">
        <v>562</v>
      </c>
      <c r="L199" s="42" t="s">
        <v>11</v>
      </c>
      <c r="M199" s="46">
        <v>45633</v>
      </c>
      <c r="N199" s="46">
        <v>45733</v>
      </c>
      <c r="O199" s="46">
        <v>46097</v>
      </c>
      <c r="P199" s="46">
        <v>45733</v>
      </c>
      <c r="Q199" s="47"/>
      <c r="R199" s="47"/>
      <c r="S199" s="47">
        <f t="shared" si="15"/>
        <v>0</v>
      </c>
      <c r="T199" s="47">
        <f t="shared" si="18"/>
        <v>11.9671232876712</v>
      </c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50" t="s">
        <v>563</v>
      </c>
      <c r="AP199" s="78">
        <v>13323310099</v>
      </c>
      <c r="AQ199" s="42"/>
    </row>
    <row r="200" s="1" customFormat="1" ht="20.15" customHeight="1" spans="1:43">
      <c r="A200" s="42">
        <f t="shared" si="19"/>
        <v>196</v>
      </c>
      <c r="B200" s="42" t="s">
        <v>491</v>
      </c>
      <c r="C200" s="42">
        <v>3028</v>
      </c>
      <c r="D200" s="43"/>
      <c r="E200" s="44">
        <v>48.18</v>
      </c>
      <c r="F200" s="42"/>
      <c r="G200" s="42">
        <v>4816</v>
      </c>
      <c r="H200" s="42">
        <v>500</v>
      </c>
      <c r="I200" s="42" t="s">
        <v>564</v>
      </c>
      <c r="J200" s="42"/>
      <c r="K200" s="42" t="s">
        <v>565</v>
      </c>
      <c r="L200" s="42" t="s">
        <v>11</v>
      </c>
      <c r="M200" s="46">
        <v>45626</v>
      </c>
      <c r="N200" s="46">
        <v>45717</v>
      </c>
      <c r="O200" s="46">
        <v>46081</v>
      </c>
      <c r="P200" s="46">
        <v>45717</v>
      </c>
      <c r="Q200" s="47">
        <v>6000</v>
      </c>
      <c r="R200" s="47"/>
      <c r="S200" s="47">
        <f t="shared" si="15"/>
        <v>6000</v>
      </c>
      <c r="T200" s="47">
        <f t="shared" si="18"/>
        <v>11.9671232876712</v>
      </c>
      <c r="U200" s="42">
        <v>30000</v>
      </c>
      <c r="V200" s="42">
        <v>6000</v>
      </c>
      <c r="W200" s="42">
        <v>500</v>
      </c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8" t="s">
        <v>566</v>
      </c>
      <c r="AP200" s="42">
        <v>13826522736</v>
      </c>
      <c r="AQ200" s="42"/>
    </row>
    <row r="201" s="1" customFormat="1" ht="20.15" customHeight="1" spans="1:43">
      <c r="A201" s="42">
        <f t="shared" si="19"/>
        <v>197</v>
      </c>
      <c r="B201" s="42" t="s">
        <v>491</v>
      </c>
      <c r="C201" s="42">
        <v>3030</v>
      </c>
      <c r="D201" s="43"/>
      <c r="E201" s="44">
        <v>30.53</v>
      </c>
      <c r="F201" s="42"/>
      <c r="G201" s="42">
        <v>4828</v>
      </c>
      <c r="H201" s="42">
        <v>500</v>
      </c>
      <c r="I201" s="42" t="s">
        <v>567</v>
      </c>
      <c r="J201" s="42"/>
      <c r="K201" s="45" t="s">
        <v>568</v>
      </c>
      <c r="L201" s="42" t="s">
        <v>11</v>
      </c>
      <c r="M201" s="46">
        <v>45650</v>
      </c>
      <c r="N201" s="46">
        <v>45732</v>
      </c>
      <c r="O201" s="46">
        <v>46096</v>
      </c>
      <c r="P201" s="46">
        <v>45732</v>
      </c>
      <c r="Q201" s="47">
        <v>5000</v>
      </c>
      <c r="R201" s="47"/>
      <c r="S201" s="47">
        <f t="shared" si="15"/>
        <v>5000</v>
      </c>
      <c r="T201" s="47">
        <f t="shared" si="18"/>
        <v>11.9671232876712</v>
      </c>
      <c r="U201" s="42">
        <v>10000</v>
      </c>
      <c r="V201" s="42">
        <v>5000</v>
      </c>
      <c r="W201" s="42">
        <v>500</v>
      </c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8" t="s">
        <v>569</v>
      </c>
      <c r="AP201" s="42">
        <v>13622211998</v>
      </c>
      <c r="AQ201" s="42"/>
    </row>
    <row r="202" s="1" customFormat="1" ht="20.15" customHeight="1" spans="1:43">
      <c r="A202" s="42">
        <f t="shared" si="19"/>
        <v>198</v>
      </c>
      <c r="B202" s="42" t="s">
        <v>491</v>
      </c>
      <c r="C202" s="42">
        <v>3031</v>
      </c>
      <c r="D202" s="43"/>
      <c r="E202" s="44">
        <v>33</v>
      </c>
      <c r="F202" s="42"/>
      <c r="G202" s="42">
        <v>3800</v>
      </c>
      <c r="H202" s="42">
        <v>500</v>
      </c>
      <c r="I202" s="42" t="s">
        <v>570</v>
      </c>
      <c r="J202" s="42"/>
      <c r="K202" s="45" t="s">
        <v>571</v>
      </c>
      <c r="L202" s="42" t="s">
        <v>11</v>
      </c>
      <c r="M202" s="46">
        <v>45625</v>
      </c>
      <c r="N202" s="46">
        <v>45748</v>
      </c>
      <c r="O202" s="46">
        <v>46112</v>
      </c>
      <c r="P202" s="46">
        <v>45748</v>
      </c>
      <c r="Q202" s="47">
        <v>5000</v>
      </c>
      <c r="R202" s="47"/>
      <c r="S202" s="47">
        <f t="shared" si="15"/>
        <v>5000</v>
      </c>
      <c r="T202" s="47">
        <f t="shared" si="18"/>
        <v>11.9671232876712</v>
      </c>
      <c r="U202" s="42">
        <v>10000</v>
      </c>
      <c r="V202" s="42">
        <v>5000</v>
      </c>
      <c r="W202" s="42">
        <v>500</v>
      </c>
      <c r="X202" s="42"/>
      <c r="Y202" s="42"/>
      <c r="Z202" s="49"/>
      <c r="AA202" s="42"/>
      <c r="AB202" s="49"/>
      <c r="AC202" s="42"/>
      <c r="AD202" s="42"/>
      <c r="AE202" s="42" t="s">
        <v>48</v>
      </c>
      <c r="AF202" s="42"/>
      <c r="AG202" s="42" t="s">
        <v>48</v>
      </c>
      <c r="AH202" s="42" t="s">
        <v>48</v>
      </c>
      <c r="AI202" s="42"/>
      <c r="AJ202" s="42"/>
      <c r="AK202" s="42"/>
      <c r="AL202" s="42" t="s">
        <v>48</v>
      </c>
      <c r="AM202" s="42"/>
      <c r="AN202" s="42"/>
      <c r="AO202" s="48" t="s">
        <v>572</v>
      </c>
      <c r="AP202" s="42">
        <v>15158666736</v>
      </c>
      <c r="AQ202" s="42"/>
    </row>
    <row r="203" s="1" customFormat="1" ht="20.15" customHeight="1" spans="1:43">
      <c r="A203" s="42">
        <f t="shared" si="19"/>
        <v>199</v>
      </c>
      <c r="B203" s="42" t="s">
        <v>491</v>
      </c>
      <c r="C203" s="42">
        <v>3032</v>
      </c>
      <c r="D203" s="43"/>
      <c r="E203" s="44">
        <v>31.765</v>
      </c>
      <c r="F203" s="42"/>
      <c r="G203" s="42">
        <v>4598</v>
      </c>
      <c r="H203" s="42">
        <v>500</v>
      </c>
      <c r="I203" s="42" t="s">
        <v>573</v>
      </c>
      <c r="J203" s="42"/>
      <c r="K203" s="45" t="s">
        <v>574</v>
      </c>
      <c r="L203" s="42" t="s">
        <v>11</v>
      </c>
      <c r="M203" s="46">
        <v>45655</v>
      </c>
      <c r="N203" s="46">
        <v>45748</v>
      </c>
      <c r="O203" s="46">
        <v>46112</v>
      </c>
      <c r="P203" s="46">
        <v>45748</v>
      </c>
      <c r="Q203" s="47">
        <v>5000</v>
      </c>
      <c r="R203" s="47"/>
      <c r="S203" s="47">
        <f t="shared" si="15"/>
        <v>5000</v>
      </c>
      <c r="T203" s="47">
        <f t="shared" si="18"/>
        <v>11.9671232876712</v>
      </c>
      <c r="U203" s="42">
        <v>10000</v>
      </c>
      <c r="V203" s="42">
        <v>5000</v>
      </c>
      <c r="W203" s="42">
        <v>500</v>
      </c>
      <c r="X203" s="42"/>
      <c r="Y203" s="42"/>
      <c r="Z203" s="42"/>
      <c r="AA203" s="42"/>
      <c r="AB203" s="42"/>
      <c r="AC203" s="42"/>
      <c r="AD203" s="42"/>
      <c r="AE203" s="42" t="s">
        <v>48</v>
      </c>
      <c r="AF203" s="42" t="s">
        <v>48</v>
      </c>
      <c r="AG203" s="42" t="s">
        <v>48</v>
      </c>
      <c r="AH203" s="42" t="s">
        <v>48</v>
      </c>
      <c r="AI203" s="42"/>
      <c r="AJ203" s="42"/>
      <c r="AK203" s="42"/>
      <c r="AL203" s="42" t="s">
        <v>48</v>
      </c>
      <c r="AM203" s="42"/>
      <c r="AN203" s="42"/>
      <c r="AO203" s="50" t="s">
        <v>575</v>
      </c>
      <c r="AP203" s="78">
        <v>18621225566</v>
      </c>
      <c r="AQ203" s="42"/>
    </row>
    <row r="204" s="1" customFormat="1" ht="20.15" customHeight="1" spans="1:43">
      <c r="A204" s="42">
        <f t="shared" si="19"/>
        <v>200</v>
      </c>
      <c r="B204" s="42" t="s">
        <v>491</v>
      </c>
      <c r="C204" s="42">
        <v>3033</v>
      </c>
      <c r="D204" s="43"/>
      <c r="E204" s="44">
        <v>31.76</v>
      </c>
      <c r="F204" s="42"/>
      <c r="G204" s="42">
        <v>5058</v>
      </c>
      <c r="H204" s="42">
        <v>500</v>
      </c>
      <c r="I204" s="42" t="s">
        <v>576</v>
      </c>
      <c r="J204" s="42"/>
      <c r="K204" s="45" t="s">
        <v>577</v>
      </c>
      <c r="L204" s="42" t="s">
        <v>11</v>
      </c>
      <c r="M204" s="46">
        <v>45605</v>
      </c>
      <c r="N204" s="46">
        <v>45748</v>
      </c>
      <c r="O204" s="46">
        <v>46112</v>
      </c>
      <c r="P204" s="46">
        <v>45748</v>
      </c>
      <c r="Q204" s="47">
        <v>5000</v>
      </c>
      <c r="R204" s="47"/>
      <c r="S204" s="47">
        <f t="shared" si="15"/>
        <v>5000</v>
      </c>
      <c r="T204" s="47">
        <f t="shared" si="18"/>
        <v>11.9671232876712</v>
      </c>
      <c r="U204" s="42">
        <v>10000</v>
      </c>
      <c r="V204" s="42">
        <v>5000</v>
      </c>
      <c r="W204" s="42">
        <v>500</v>
      </c>
      <c r="X204" s="42"/>
      <c r="Y204" s="42"/>
      <c r="Z204" s="49"/>
      <c r="AA204" s="42"/>
      <c r="AB204" s="42"/>
      <c r="AC204" s="42"/>
      <c r="AD204" s="42"/>
      <c r="AE204" s="42" t="s">
        <v>48</v>
      </c>
      <c r="AF204" s="42"/>
      <c r="AG204" s="42" t="s">
        <v>48</v>
      </c>
      <c r="AH204" s="42" t="s">
        <v>48</v>
      </c>
      <c r="AI204" s="42"/>
      <c r="AJ204" s="42"/>
      <c r="AK204" s="42"/>
      <c r="AL204" s="42" t="s">
        <v>48</v>
      </c>
      <c r="AM204" s="42"/>
      <c r="AN204" s="42"/>
      <c r="AO204" s="48" t="s">
        <v>578</v>
      </c>
      <c r="AP204" s="42">
        <v>15930455380</v>
      </c>
      <c r="AQ204" s="42"/>
    </row>
    <row r="205" s="1" customFormat="1" ht="20.15" customHeight="1" spans="1:43">
      <c r="A205" s="42">
        <f t="shared" si="19"/>
        <v>201</v>
      </c>
      <c r="B205" s="42" t="s">
        <v>491</v>
      </c>
      <c r="C205" s="42">
        <v>3034</v>
      </c>
      <c r="D205" s="43"/>
      <c r="E205" s="44">
        <v>31.765</v>
      </c>
      <c r="F205" s="42"/>
      <c r="G205" s="42">
        <v>4180</v>
      </c>
      <c r="H205" s="42">
        <v>500</v>
      </c>
      <c r="I205" s="42" t="s">
        <v>579</v>
      </c>
      <c r="J205" s="42"/>
      <c r="K205" s="45" t="s">
        <v>580</v>
      </c>
      <c r="L205" s="42" t="s">
        <v>11</v>
      </c>
      <c r="M205" s="46">
        <v>45622</v>
      </c>
      <c r="N205" s="46">
        <v>45732</v>
      </c>
      <c r="O205" s="46">
        <v>46096</v>
      </c>
      <c r="P205" s="46">
        <v>45732</v>
      </c>
      <c r="Q205" s="47">
        <v>5000</v>
      </c>
      <c r="R205" s="47"/>
      <c r="S205" s="47">
        <f t="shared" ref="S205:S228" si="20">Q205+R205</f>
        <v>5000</v>
      </c>
      <c r="T205" s="47">
        <f t="shared" si="18"/>
        <v>11.9671232876712</v>
      </c>
      <c r="U205" s="42">
        <v>10000</v>
      </c>
      <c r="V205" s="42">
        <v>5000</v>
      </c>
      <c r="W205" s="42">
        <v>500</v>
      </c>
      <c r="X205" s="42"/>
      <c r="Y205" s="42"/>
      <c r="Z205" s="49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8" t="s">
        <v>581</v>
      </c>
      <c r="AP205" s="42">
        <v>17727142718</v>
      </c>
      <c r="AQ205" s="42"/>
    </row>
    <row r="206" s="1" customFormat="1" ht="20.15" customHeight="1" spans="1:43">
      <c r="A206" s="42">
        <f t="shared" si="19"/>
        <v>202</v>
      </c>
      <c r="B206" s="42" t="s">
        <v>491</v>
      </c>
      <c r="C206" s="42">
        <v>3035</v>
      </c>
      <c r="D206" s="43"/>
      <c r="E206" s="44">
        <v>31.765</v>
      </c>
      <c r="F206" s="42"/>
      <c r="G206" s="42">
        <v>4828</v>
      </c>
      <c r="H206" s="42">
        <v>500</v>
      </c>
      <c r="I206" s="42" t="s">
        <v>582</v>
      </c>
      <c r="J206" s="42"/>
      <c r="K206" s="45" t="s">
        <v>583</v>
      </c>
      <c r="L206" s="42" t="s">
        <v>11</v>
      </c>
      <c r="M206" s="46">
        <v>45624</v>
      </c>
      <c r="N206" s="46">
        <v>45748</v>
      </c>
      <c r="O206" s="46">
        <v>46112</v>
      </c>
      <c r="P206" s="46">
        <v>45748</v>
      </c>
      <c r="Q206" s="47">
        <v>5000</v>
      </c>
      <c r="R206" s="47"/>
      <c r="S206" s="47">
        <f t="shared" si="20"/>
        <v>5000</v>
      </c>
      <c r="T206" s="47">
        <f t="shared" si="18"/>
        <v>11.9671232876712</v>
      </c>
      <c r="U206" s="42">
        <v>10000</v>
      </c>
      <c r="V206" s="42">
        <v>5000</v>
      </c>
      <c r="W206" s="42">
        <v>500</v>
      </c>
      <c r="X206" s="42"/>
      <c r="Y206" s="42"/>
      <c r="Z206" s="49"/>
      <c r="AA206" s="42"/>
      <c r="AB206" s="49"/>
      <c r="AC206" s="42"/>
      <c r="AD206" s="42"/>
      <c r="AE206" s="42" t="s">
        <v>48</v>
      </c>
      <c r="AF206" s="42"/>
      <c r="AG206" s="42" t="s">
        <v>48</v>
      </c>
      <c r="AH206" s="42" t="s">
        <v>48</v>
      </c>
      <c r="AI206" s="42"/>
      <c r="AJ206" s="42"/>
      <c r="AK206" s="42"/>
      <c r="AL206" s="42" t="s">
        <v>48</v>
      </c>
      <c r="AM206" s="42"/>
      <c r="AN206" s="42"/>
      <c r="AO206" s="48" t="s">
        <v>584</v>
      </c>
      <c r="AP206" s="42">
        <v>15989399762</v>
      </c>
      <c r="AQ206" s="42"/>
    </row>
    <row r="207" s="1" customFormat="1" ht="20.15" customHeight="1" spans="1:43">
      <c r="A207" s="42">
        <f t="shared" si="19"/>
        <v>203</v>
      </c>
      <c r="B207" s="42" t="s">
        <v>491</v>
      </c>
      <c r="C207" s="42">
        <v>3036</v>
      </c>
      <c r="D207" s="43"/>
      <c r="E207" s="44">
        <v>31.765</v>
      </c>
      <c r="F207" s="42"/>
      <c r="G207" s="42">
        <v>4180</v>
      </c>
      <c r="H207" s="42">
        <v>500</v>
      </c>
      <c r="I207" s="42" t="s">
        <v>585</v>
      </c>
      <c r="J207" s="42"/>
      <c r="K207" s="45" t="s">
        <v>586</v>
      </c>
      <c r="L207" s="42" t="s">
        <v>11</v>
      </c>
      <c r="M207" s="46">
        <v>45626</v>
      </c>
      <c r="N207" s="46">
        <v>45748</v>
      </c>
      <c r="O207" s="46">
        <v>46112</v>
      </c>
      <c r="P207" s="46">
        <v>45748</v>
      </c>
      <c r="Q207" s="47">
        <v>5000</v>
      </c>
      <c r="R207" s="47"/>
      <c r="S207" s="47">
        <f t="shared" si="20"/>
        <v>5000</v>
      </c>
      <c r="T207" s="47">
        <f t="shared" si="18"/>
        <v>11.9671232876712</v>
      </c>
      <c r="U207" s="42">
        <v>10000</v>
      </c>
      <c r="V207" s="42">
        <v>5000</v>
      </c>
      <c r="W207" s="42">
        <v>500</v>
      </c>
      <c r="X207" s="42"/>
      <c r="Y207" s="42"/>
      <c r="Z207" s="49"/>
      <c r="AA207" s="42"/>
      <c r="AB207" s="42"/>
      <c r="AC207" s="42"/>
      <c r="AD207" s="42"/>
      <c r="AE207" s="42" t="s">
        <v>48</v>
      </c>
      <c r="AF207" s="42"/>
      <c r="AG207" s="42" t="s">
        <v>48</v>
      </c>
      <c r="AH207" s="42" t="s">
        <v>48</v>
      </c>
      <c r="AI207" s="42"/>
      <c r="AJ207" s="42"/>
      <c r="AK207" s="42"/>
      <c r="AL207" s="42" t="s">
        <v>48</v>
      </c>
      <c r="AM207" s="42"/>
      <c r="AN207" s="42"/>
      <c r="AO207" s="48" t="s">
        <v>587</v>
      </c>
      <c r="AP207" s="42">
        <v>19128868498</v>
      </c>
      <c r="AQ207" s="42"/>
    </row>
    <row r="208" s="1" customFormat="1" ht="20.15" customHeight="1" spans="1:43">
      <c r="A208" s="42">
        <f t="shared" si="19"/>
        <v>204</v>
      </c>
      <c r="B208" s="42" t="s">
        <v>491</v>
      </c>
      <c r="C208" s="42">
        <v>3037</v>
      </c>
      <c r="D208" s="43"/>
      <c r="E208" s="44">
        <v>31.76</v>
      </c>
      <c r="F208" s="42"/>
      <c r="G208" s="42">
        <v>4828</v>
      </c>
      <c r="H208" s="42">
        <v>500</v>
      </c>
      <c r="I208" s="42" t="s">
        <v>588</v>
      </c>
      <c r="J208" s="42"/>
      <c r="K208" s="45" t="s">
        <v>589</v>
      </c>
      <c r="L208" s="42" t="s">
        <v>11</v>
      </c>
      <c r="M208" s="46">
        <v>45611</v>
      </c>
      <c r="N208" s="46">
        <v>45717</v>
      </c>
      <c r="O208" s="46">
        <v>46081</v>
      </c>
      <c r="P208" s="46">
        <v>45717</v>
      </c>
      <c r="Q208" s="47">
        <v>5000</v>
      </c>
      <c r="R208" s="47"/>
      <c r="S208" s="47">
        <f t="shared" si="20"/>
        <v>5000</v>
      </c>
      <c r="T208" s="47">
        <f t="shared" si="18"/>
        <v>11.9671232876712</v>
      </c>
      <c r="U208" s="42">
        <v>10000</v>
      </c>
      <c r="V208" s="42">
        <v>5000</v>
      </c>
      <c r="W208" s="42">
        <v>500</v>
      </c>
      <c r="X208" s="42"/>
      <c r="Y208" s="42"/>
      <c r="Z208" s="42"/>
      <c r="AA208" s="42"/>
      <c r="AB208" s="42"/>
      <c r="AC208" s="42"/>
      <c r="AD208" s="42"/>
      <c r="AE208" s="42" t="s">
        <v>48</v>
      </c>
      <c r="AF208" s="42" t="s">
        <v>48</v>
      </c>
      <c r="AG208" s="42" t="s">
        <v>48</v>
      </c>
      <c r="AH208" s="42" t="s">
        <v>48</v>
      </c>
      <c r="AI208" s="42"/>
      <c r="AJ208" s="42"/>
      <c r="AK208" s="42"/>
      <c r="AL208" s="42" t="s">
        <v>48</v>
      </c>
      <c r="AM208" s="42"/>
      <c r="AN208" s="42"/>
      <c r="AO208" s="48" t="s">
        <v>173</v>
      </c>
      <c r="AP208" s="42">
        <v>18813225875</v>
      </c>
      <c r="AQ208" s="42"/>
    </row>
    <row r="209" s="1" customFormat="1" ht="20.15" customHeight="1" spans="1:43">
      <c r="A209" s="42">
        <f t="shared" si="19"/>
        <v>205</v>
      </c>
      <c r="B209" s="42" t="s">
        <v>491</v>
      </c>
      <c r="C209" s="42">
        <v>3038</v>
      </c>
      <c r="D209" s="43"/>
      <c r="E209" s="44">
        <v>31.76</v>
      </c>
      <c r="F209" s="42"/>
      <c r="G209" s="42">
        <v>5070</v>
      </c>
      <c r="H209" s="42">
        <v>500</v>
      </c>
      <c r="I209" s="42" t="s">
        <v>590</v>
      </c>
      <c r="J209" s="42"/>
      <c r="K209" s="42">
        <f>C209</f>
        <v>3038</v>
      </c>
      <c r="L209" s="42" t="s">
        <v>11</v>
      </c>
      <c r="M209" s="46">
        <v>45645</v>
      </c>
      <c r="N209" s="46">
        <v>45732</v>
      </c>
      <c r="O209" s="46">
        <v>46096</v>
      </c>
      <c r="P209" s="46">
        <v>45732</v>
      </c>
      <c r="Q209" s="47">
        <v>5000</v>
      </c>
      <c r="R209" s="47"/>
      <c r="S209" s="47">
        <f t="shared" si="20"/>
        <v>5000</v>
      </c>
      <c r="T209" s="47">
        <f t="shared" si="18"/>
        <v>11.9671232876712</v>
      </c>
      <c r="U209" s="42">
        <v>10000</v>
      </c>
      <c r="V209" s="42">
        <v>5000</v>
      </c>
      <c r="W209" s="42">
        <v>500</v>
      </c>
      <c r="X209" s="42"/>
      <c r="Y209" s="42"/>
      <c r="Z209" s="49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50" t="s">
        <v>591</v>
      </c>
      <c r="AP209" s="78">
        <v>13682432870</v>
      </c>
      <c r="AQ209" s="42"/>
    </row>
    <row r="210" s="1" customFormat="1" ht="20.15" customHeight="1" spans="1:43">
      <c r="A210" s="42">
        <f t="shared" si="19"/>
        <v>206</v>
      </c>
      <c r="B210" s="42" t="s">
        <v>491</v>
      </c>
      <c r="C210" s="42">
        <v>3039</v>
      </c>
      <c r="D210" s="43"/>
      <c r="E210" s="44">
        <v>31.76</v>
      </c>
      <c r="F210" s="42"/>
      <c r="G210" s="42">
        <v>4828</v>
      </c>
      <c r="H210" s="42">
        <v>500</v>
      </c>
      <c r="I210" s="42" t="s">
        <v>592</v>
      </c>
      <c r="J210" s="42"/>
      <c r="K210" s="42">
        <f>C210</f>
        <v>3039</v>
      </c>
      <c r="L210" s="42" t="s">
        <v>11</v>
      </c>
      <c r="M210" s="46">
        <v>45623</v>
      </c>
      <c r="N210" s="46">
        <v>45748</v>
      </c>
      <c r="O210" s="46">
        <v>46112</v>
      </c>
      <c r="P210" s="46">
        <v>45748</v>
      </c>
      <c r="Q210" s="47">
        <v>5000</v>
      </c>
      <c r="R210" s="47"/>
      <c r="S210" s="47">
        <f t="shared" si="20"/>
        <v>5000</v>
      </c>
      <c r="T210" s="47">
        <f t="shared" si="18"/>
        <v>11.9671232876712</v>
      </c>
      <c r="U210" s="42">
        <v>10000</v>
      </c>
      <c r="V210" s="42">
        <v>5000</v>
      </c>
      <c r="W210" s="42">
        <v>500</v>
      </c>
      <c r="X210" s="42"/>
      <c r="Y210" s="42"/>
      <c r="Z210" s="49"/>
      <c r="AA210" s="42"/>
      <c r="AB210" s="49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8" t="s">
        <v>593</v>
      </c>
      <c r="AP210" s="42">
        <v>18350163536</v>
      </c>
      <c r="AQ210" s="42"/>
    </row>
    <row r="211" s="1" customFormat="1" ht="20.15" customHeight="1" spans="1:43">
      <c r="A211" s="42">
        <f t="shared" si="19"/>
        <v>207</v>
      </c>
      <c r="B211" s="42" t="s">
        <v>491</v>
      </c>
      <c r="C211" s="42">
        <v>3040</v>
      </c>
      <c r="D211" s="43"/>
      <c r="E211" s="44">
        <v>31.76</v>
      </c>
      <c r="F211" s="42"/>
      <c r="G211" s="42">
        <v>3800</v>
      </c>
      <c r="H211" s="42">
        <v>500</v>
      </c>
      <c r="I211" s="42" t="s">
        <v>594</v>
      </c>
      <c r="J211" s="42"/>
      <c r="K211" s="45" t="s">
        <v>595</v>
      </c>
      <c r="L211" s="42" t="s">
        <v>11</v>
      </c>
      <c r="M211" s="46">
        <v>46199</v>
      </c>
      <c r="N211" s="46">
        <v>45839</v>
      </c>
      <c r="O211" s="46">
        <v>46203</v>
      </c>
      <c r="P211" s="46">
        <v>45839</v>
      </c>
      <c r="Q211" s="47">
        <v>5000</v>
      </c>
      <c r="R211" s="47"/>
      <c r="S211" s="47">
        <f t="shared" si="20"/>
        <v>5000</v>
      </c>
      <c r="T211" s="47">
        <f t="shared" si="18"/>
        <v>11.9671232876712</v>
      </c>
      <c r="U211" s="42">
        <v>10000</v>
      </c>
      <c r="V211" s="42">
        <v>5000</v>
      </c>
      <c r="W211" s="42">
        <v>500</v>
      </c>
      <c r="X211" s="42"/>
      <c r="Y211" s="42"/>
      <c r="Z211" s="42"/>
      <c r="AA211" s="42"/>
      <c r="AB211" s="42"/>
      <c r="AC211" s="42"/>
      <c r="AD211" s="42"/>
      <c r="AE211" s="42" t="s">
        <v>48</v>
      </c>
      <c r="AF211" s="42" t="s">
        <v>48</v>
      </c>
      <c r="AG211" s="42" t="s">
        <v>48</v>
      </c>
      <c r="AH211" s="42" t="s">
        <v>48</v>
      </c>
      <c r="AI211" s="42" t="s">
        <v>48</v>
      </c>
      <c r="AJ211" s="42"/>
      <c r="AK211" s="42" t="s">
        <v>48</v>
      </c>
      <c r="AL211" s="42" t="s">
        <v>48</v>
      </c>
      <c r="AM211" s="42" t="s">
        <v>48</v>
      </c>
      <c r="AN211" s="42" t="s">
        <v>48</v>
      </c>
      <c r="AO211" s="48" t="s">
        <v>596</v>
      </c>
      <c r="AP211" s="42">
        <v>13668923857</v>
      </c>
      <c r="AQ211" s="42"/>
    </row>
    <row r="212" s="2" customFormat="1" ht="20.15" customHeight="1" spans="1:43">
      <c r="A212" s="52">
        <f t="shared" si="19"/>
        <v>208</v>
      </c>
      <c r="B212" s="52" t="s">
        <v>491</v>
      </c>
      <c r="C212" s="52">
        <v>3041</v>
      </c>
      <c r="D212" s="56"/>
      <c r="E212" s="57">
        <v>31.76</v>
      </c>
      <c r="F212" s="52"/>
      <c r="G212" s="52">
        <v>5000</v>
      </c>
      <c r="H212" s="52">
        <v>500</v>
      </c>
      <c r="I212" s="52" t="s">
        <v>543</v>
      </c>
      <c r="J212" s="52"/>
      <c r="K212" s="61" t="s">
        <v>597</v>
      </c>
      <c r="L212" s="52" t="s">
        <v>11</v>
      </c>
      <c r="M212" s="58">
        <v>45961</v>
      </c>
      <c r="N212" s="58">
        <v>45879</v>
      </c>
      <c r="O212" s="58">
        <v>46243</v>
      </c>
      <c r="P212" s="58">
        <v>45879</v>
      </c>
      <c r="Q212" s="59">
        <v>5000</v>
      </c>
      <c r="R212" s="59"/>
      <c r="S212" s="59">
        <f t="shared" si="20"/>
        <v>5000</v>
      </c>
      <c r="T212" s="59">
        <f t="shared" si="18"/>
        <v>11.9671232876712</v>
      </c>
      <c r="U212" s="52">
        <v>20000</v>
      </c>
      <c r="V212" s="52">
        <v>5000</v>
      </c>
      <c r="W212" s="52">
        <v>500</v>
      </c>
      <c r="X212" s="52"/>
      <c r="Y212" s="52"/>
      <c r="Z212" s="49"/>
      <c r="AA212" s="42"/>
      <c r="AB212" s="42"/>
      <c r="AC212" s="42"/>
      <c r="AD212" s="52" t="s">
        <v>48</v>
      </c>
      <c r="AE212" s="52" t="s">
        <v>48</v>
      </c>
      <c r="AF212" s="52" t="s">
        <v>48</v>
      </c>
      <c r="AG212" s="52" t="s">
        <v>48</v>
      </c>
      <c r="AH212" s="52" t="s">
        <v>48</v>
      </c>
      <c r="AI212" s="52" t="s">
        <v>48</v>
      </c>
      <c r="AJ212" s="52" t="s">
        <v>48</v>
      </c>
      <c r="AK212" s="52" t="s">
        <v>48</v>
      </c>
      <c r="AL212" s="52" t="s">
        <v>48</v>
      </c>
      <c r="AM212" s="52" t="s">
        <v>48</v>
      </c>
      <c r="AN212" s="52" t="s">
        <v>48</v>
      </c>
      <c r="AO212" s="60" t="s">
        <v>545</v>
      </c>
      <c r="AP212" s="52">
        <v>13714605194</v>
      </c>
      <c r="AQ212" s="52"/>
    </row>
    <row r="213" s="1" customFormat="1" ht="20.15" customHeight="1" spans="1:43">
      <c r="A213" s="42">
        <f t="shared" si="19"/>
        <v>209</v>
      </c>
      <c r="B213" s="42" t="s">
        <v>491</v>
      </c>
      <c r="C213" s="42">
        <v>3042</v>
      </c>
      <c r="D213" s="43"/>
      <c r="E213" s="44">
        <v>31.76</v>
      </c>
      <c r="F213" s="42"/>
      <c r="G213" s="42">
        <v>4180</v>
      </c>
      <c r="H213" s="42">
        <v>500</v>
      </c>
      <c r="I213" s="42" t="s">
        <v>598</v>
      </c>
      <c r="J213" s="42"/>
      <c r="K213" s="45" t="s">
        <v>599</v>
      </c>
      <c r="L213" s="42" t="s">
        <v>11</v>
      </c>
      <c r="M213" s="46">
        <v>45623</v>
      </c>
      <c r="N213" s="46">
        <v>45748</v>
      </c>
      <c r="O213" s="46">
        <v>46112</v>
      </c>
      <c r="P213" s="46">
        <v>45748</v>
      </c>
      <c r="Q213" s="47">
        <v>5000</v>
      </c>
      <c r="R213" s="47"/>
      <c r="S213" s="47">
        <f t="shared" si="20"/>
        <v>5000</v>
      </c>
      <c r="T213" s="47">
        <f t="shared" si="18"/>
        <v>11.9671232876712</v>
      </c>
      <c r="U213" s="42">
        <v>10000</v>
      </c>
      <c r="V213" s="42">
        <v>5000</v>
      </c>
      <c r="W213" s="42">
        <v>500</v>
      </c>
      <c r="X213" s="42"/>
      <c r="Y213" s="42"/>
      <c r="Z213" s="49"/>
      <c r="AA213" s="42"/>
      <c r="AB213" s="42"/>
      <c r="AC213" s="42"/>
      <c r="AD213" s="42"/>
      <c r="AE213" s="42" t="s">
        <v>48</v>
      </c>
      <c r="AF213" s="42"/>
      <c r="AG213" s="42" t="s">
        <v>48</v>
      </c>
      <c r="AH213" s="42" t="s">
        <v>48</v>
      </c>
      <c r="AI213" s="42"/>
      <c r="AJ213" s="42"/>
      <c r="AK213" s="42"/>
      <c r="AL213" s="42" t="s">
        <v>48</v>
      </c>
      <c r="AM213" s="42"/>
      <c r="AN213" s="42"/>
      <c r="AO213" s="48" t="s">
        <v>600</v>
      </c>
      <c r="AP213" s="42">
        <v>13719021588</v>
      </c>
      <c r="AQ213" s="42"/>
    </row>
    <row r="214" s="1" customFormat="1" ht="20.15" customHeight="1" spans="1:43">
      <c r="A214" s="42">
        <f t="shared" si="19"/>
        <v>210</v>
      </c>
      <c r="B214" s="42" t="s">
        <v>491</v>
      </c>
      <c r="C214" s="42">
        <v>3043</v>
      </c>
      <c r="D214" s="43"/>
      <c r="E214" s="44">
        <v>31.765</v>
      </c>
      <c r="F214" s="42"/>
      <c r="G214" s="42">
        <v>5564</v>
      </c>
      <c r="H214" s="42">
        <v>500</v>
      </c>
      <c r="I214" s="42" t="s">
        <v>347</v>
      </c>
      <c r="J214" s="42"/>
      <c r="K214" s="45" t="s">
        <v>601</v>
      </c>
      <c r="L214" s="42" t="s">
        <v>11</v>
      </c>
      <c r="M214" s="46">
        <v>45621</v>
      </c>
      <c r="N214" s="46">
        <v>45710</v>
      </c>
      <c r="O214" s="46">
        <v>46055</v>
      </c>
      <c r="P214" s="46">
        <v>45710</v>
      </c>
      <c r="Q214" s="47">
        <v>5000</v>
      </c>
      <c r="R214" s="47"/>
      <c r="S214" s="47">
        <f t="shared" si="20"/>
        <v>5000</v>
      </c>
      <c r="T214" s="47">
        <f t="shared" si="18"/>
        <v>11.3424657534247</v>
      </c>
      <c r="U214" s="42">
        <v>10000</v>
      </c>
      <c r="V214" s="42">
        <v>5000</v>
      </c>
      <c r="W214" s="42">
        <v>500</v>
      </c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8" t="s">
        <v>349</v>
      </c>
      <c r="AP214" s="42">
        <v>18665578777</v>
      </c>
      <c r="AQ214" s="42"/>
    </row>
    <row r="215" s="1" customFormat="1" ht="20.15" customHeight="1" spans="1:43">
      <c r="A215" s="42">
        <f t="shared" si="19"/>
        <v>211</v>
      </c>
      <c r="B215" s="42" t="s">
        <v>491</v>
      </c>
      <c r="C215" s="42" t="s">
        <v>602</v>
      </c>
      <c r="D215" s="43"/>
      <c r="E215" s="44">
        <v>31.765</v>
      </c>
      <c r="F215" s="42"/>
      <c r="G215" s="42">
        <v>3800</v>
      </c>
      <c r="H215" s="42">
        <v>500</v>
      </c>
      <c r="I215" s="42" t="s">
        <v>603</v>
      </c>
      <c r="J215" s="42"/>
      <c r="K215" s="42" t="s">
        <v>602</v>
      </c>
      <c r="L215" s="42" t="s">
        <v>11</v>
      </c>
      <c r="M215" s="46">
        <v>45899</v>
      </c>
      <c r="N215" s="46">
        <v>45931</v>
      </c>
      <c r="O215" s="46">
        <v>46295</v>
      </c>
      <c r="P215" s="46">
        <v>45931</v>
      </c>
      <c r="Q215" s="47">
        <v>5000</v>
      </c>
      <c r="R215" s="47"/>
      <c r="S215" s="47">
        <f t="shared" si="20"/>
        <v>5000</v>
      </c>
      <c r="T215" s="47">
        <f t="shared" si="18"/>
        <v>11.9671232876712</v>
      </c>
      <c r="U215" s="42">
        <v>10000</v>
      </c>
      <c r="V215" s="42">
        <v>5000</v>
      </c>
      <c r="W215" s="42">
        <v>500</v>
      </c>
      <c r="X215" s="42"/>
      <c r="Y215" s="42"/>
      <c r="Z215" s="42"/>
      <c r="AA215" s="42"/>
      <c r="AB215" s="42"/>
      <c r="AC215" s="42"/>
      <c r="AD215" s="42"/>
      <c r="AE215" s="42" t="s">
        <v>48</v>
      </c>
      <c r="AF215" s="42" t="s">
        <v>48</v>
      </c>
      <c r="AG215" s="42" t="s">
        <v>48</v>
      </c>
      <c r="AH215" s="42" t="s">
        <v>48</v>
      </c>
      <c r="AI215" s="42"/>
      <c r="AJ215" s="42"/>
      <c r="AK215" s="42"/>
      <c r="AL215" s="42" t="s">
        <v>48</v>
      </c>
      <c r="AM215" s="42"/>
      <c r="AN215" s="42"/>
      <c r="AO215" s="48" t="s">
        <v>604</v>
      </c>
      <c r="AP215" s="42">
        <v>18137993365</v>
      </c>
      <c r="AQ215" s="42"/>
    </row>
    <row r="216" s="1" customFormat="1" ht="20.15" customHeight="1" spans="1:43">
      <c r="A216" s="42">
        <f t="shared" si="19"/>
        <v>212</v>
      </c>
      <c r="B216" s="42" t="s">
        <v>491</v>
      </c>
      <c r="C216" s="42">
        <v>3045</v>
      </c>
      <c r="D216" s="43"/>
      <c r="E216" s="44">
        <v>31.76</v>
      </c>
      <c r="F216" s="42"/>
      <c r="G216" s="42">
        <v>3800</v>
      </c>
      <c r="H216" s="42">
        <v>500</v>
      </c>
      <c r="I216" s="42" t="s">
        <v>605</v>
      </c>
      <c r="J216" s="42"/>
      <c r="K216" s="45" t="s">
        <v>606</v>
      </c>
      <c r="L216" s="42" t="s">
        <v>11</v>
      </c>
      <c r="M216" s="46">
        <v>45834</v>
      </c>
      <c r="N216" s="46">
        <v>45839</v>
      </c>
      <c r="O216" s="46">
        <v>46203</v>
      </c>
      <c r="P216" s="46">
        <v>45839</v>
      </c>
      <c r="Q216" s="47">
        <v>5000</v>
      </c>
      <c r="R216" s="47"/>
      <c r="S216" s="47">
        <f t="shared" si="20"/>
        <v>5000</v>
      </c>
      <c r="T216" s="47">
        <f t="shared" si="18"/>
        <v>11.9671232876712</v>
      </c>
      <c r="U216" s="42">
        <v>10000</v>
      </c>
      <c r="V216" s="42">
        <v>5000</v>
      </c>
      <c r="W216" s="42">
        <v>500</v>
      </c>
      <c r="X216" s="42"/>
      <c r="Y216" s="42"/>
      <c r="Z216" s="49"/>
      <c r="AA216" s="42"/>
      <c r="AB216" s="42"/>
      <c r="AC216" s="42"/>
      <c r="AD216" s="42"/>
      <c r="AE216" s="42" t="s">
        <v>48</v>
      </c>
      <c r="AF216" s="42" t="s">
        <v>48</v>
      </c>
      <c r="AG216" s="42" t="s">
        <v>48</v>
      </c>
      <c r="AH216" s="42" t="s">
        <v>48</v>
      </c>
      <c r="AI216" s="42" t="s">
        <v>48</v>
      </c>
      <c r="AJ216" s="42" t="s">
        <v>48</v>
      </c>
      <c r="AK216" s="42" t="s">
        <v>48</v>
      </c>
      <c r="AL216" s="42" t="s">
        <v>48</v>
      </c>
      <c r="AM216" s="42" t="s">
        <v>48</v>
      </c>
      <c r="AN216" s="42" t="s">
        <v>48</v>
      </c>
      <c r="AO216" s="48" t="s">
        <v>607</v>
      </c>
      <c r="AP216" s="42">
        <v>13710020577</v>
      </c>
      <c r="AQ216" s="42"/>
    </row>
    <row r="217" s="1" customFormat="1" ht="20.15" customHeight="1" spans="1:43">
      <c r="A217" s="42">
        <f t="shared" si="19"/>
        <v>213</v>
      </c>
      <c r="B217" s="42" t="s">
        <v>491</v>
      </c>
      <c r="C217" s="42">
        <v>3046</v>
      </c>
      <c r="D217" s="43"/>
      <c r="E217" s="44">
        <v>31.765</v>
      </c>
      <c r="F217" s="42"/>
      <c r="G217" s="42">
        <v>5000</v>
      </c>
      <c r="H217" s="42">
        <v>500</v>
      </c>
      <c r="I217" s="42" t="s">
        <v>608</v>
      </c>
      <c r="J217" s="42" t="s">
        <v>609</v>
      </c>
      <c r="K217" s="45" t="s">
        <v>610</v>
      </c>
      <c r="L217" s="42" t="s">
        <v>11</v>
      </c>
      <c r="M217" s="46">
        <v>45914</v>
      </c>
      <c r="N217" s="46">
        <v>45915</v>
      </c>
      <c r="O217" s="46">
        <v>46279</v>
      </c>
      <c r="P217" s="88">
        <v>45915</v>
      </c>
      <c r="Q217" s="47">
        <v>5000</v>
      </c>
      <c r="R217" s="47"/>
      <c r="S217" s="47">
        <f t="shared" si="20"/>
        <v>5000</v>
      </c>
      <c r="T217" s="47">
        <f t="shared" si="18"/>
        <v>11.9671232876712</v>
      </c>
      <c r="U217" s="42">
        <v>10000</v>
      </c>
      <c r="V217" s="42">
        <v>5000</v>
      </c>
      <c r="W217" s="42">
        <v>500</v>
      </c>
      <c r="X217" s="42"/>
      <c r="Y217" s="42"/>
      <c r="Z217" s="42"/>
      <c r="AA217" s="42"/>
      <c r="AB217" s="42"/>
      <c r="AC217" s="42"/>
      <c r="AD217" s="42" t="s">
        <v>104</v>
      </c>
      <c r="AE217" s="42" t="s">
        <v>104</v>
      </c>
      <c r="AF217" s="42" t="s">
        <v>104</v>
      </c>
      <c r="AG217" s="42" t="s">
        <v>104</v>
      </c>
      <c r="AH217" s="42" t="s">
        <v>104</v>
      </c>
      <c r="AI217" s="42" t="s">
        <v>104</v>
      </c>
      <c r="AJ217" s="42" t="s">
        <v>104</v>
      </c>
      <c r="AK217" s="42" t="s">
        <v>104</v>
      </c>
      <c r="AL217" s="42" t="s">
        <v>104</v>
      </c>
      <c r="AM217" s="42" t="s">
        <v>104</v>
      </c>
      <c r="AN217" s="42" t="s">
        <v>104</v>
      </c>
      <c r="AO217" s="48" t="s">
        <v>611</v>
      </c>
      <c r="AP217" s="42">
        <v>13822183623</v>
      </c>
      <c r="AQ217" s="42"/>
    </row>
    <row r="218" s="1" customFormat="1" ht="20.15" customHeight="1" spans="1:43">
      <c r="A218" s="42">
        <f t="shared" si="19"/>
        <v>214</v>
      </c>
      <c r="B218" s="42" t="s">
        <v>491</v>
      </c>
      <c r="C218" s="42">
        <v>3047</v>
      </c>
      <c r="D218" s="43"/>
      <c r="E218" s="44">
        <v>31.76</v>
      </c>
      <c r="F218" s="42"/>
      <c r="G218" s="42">
        <v>4828</v>
      </c>
      <c r="H218" s="42">
        <v>500</v>
      </c>
      <c r="I218" s="42" t="s">
        <v>612</v>
      </c>
      <c r="J218" s="42"/>
      <c r="K218" s="45" t="s">
        <v>613</v>
      </c>
      <c r="L218" s="42" t="s">
        <v>11</v>
      </c>
      <c r="M218" s="46">
        <v>45621</v>
      </c>
      <c r="N218" s="46">
        <v>45748</v>
      </c>
      <c r="O218" s="46">
        <v>46112</v>
      </c>
      <c r="P218" s="46">
        <v>45748</v>
      </c>
      <c r="Q218" s="47">
        <v>5000</v>
      </c>
      <c r="R218" s="47"/>
      <c r="S218" s="47">
        <f t="shared" si="20"/>
        <v>5000</v>
      </c>
      <c r="T218" s="47">
        <f t="shared" si="18"/>
        <v>11.9671232876712</v>
      </c>
      <c r="U218" s="42">
        <v>10000</v>
      </c>
      <c r="V218" s="42">
        <v>5000</v>
      </c>
      <c r="W218" s="42">
        <v>500</v>
      </c>
      <c r="X218" s="42"/>
      <c r="Y218" s="42"/>
      <c r="Z218" s="49"/>
      <c r="AA218" s="42"/>
      <c r="AB218" s="49"/>
      <c r="AC218" s="42"/>
      <c r="AD218" s="42"/>
      <c r="AE218" s="42" t="s">
        <v>48</v>
      </c>
      <c r="AF218" s="42"/>
      <c r="AG218" s="42" t="s">
        <v>48</v>
      </c>
      <c r="AH218" s="42" t="s">
        <v>48</v>
      </c>
      <c r="AI218" s="42"/>
      <c r="AJ218" s="42"/>
      <c r="AK218" s="42"/>
      <c r="AL218" s="42" t="s">
        <v>48</v>
      </c>
      <c r="AM218" s="42"/>
      <c r="AN218" s="42"/>
      <c r="AO218" s="48" t="s">
        <v>614</v>
      </c>
      <c r="AP218" s="42">
        <v>13760696480</v>
      </c>
      <c r="AQ218" s="42"/>
    </row>
    <row r="219" s="1" customFormat="1" ht="20.15" customHeight="1" spans="1:43">
      <c r="A219" s="42">
        <f t="shared" si="19"/>
        <v>215</v>
      </c>
      <c r="B219" s="42" t="s">
        <v>491</v>
      </c>
      <c r="C219" s="42">
        <v>3048</v>
      </c>
      <c r="D219" s="43"/>
      <c r="E219" s="44">
        <v>31.76</v>
      </c>
      <c r="F219" s="42"/>
      <c r="G219" s="42">
        <v>4828</v>
      </c>
      <c r="H219" s="42">
        <v>500</v>
      </c>
      <c r="I219" s="42" t="s">
        <v>615</v>
      </c>
      <c r="J219" s="42"/>
      <c r="K219" s="45" t="s">
        <v>616</v>
      </c>
      <c r="L219" s="42" t="s">
        <v>11</v>
      </c>
      <c r="M219" s="46">
        <v>45625</v>
      </c>
      <c r="N219" s="46">
        <v>45717</v>
      </c>
      <c r="O219" s="46">
        <v>46081</v>
      </c>
      <c r="P219" s="46">
        <v>45717</v>
      </c>
      <c r="Q219" s="47">
        <v>5000</v>
      </c>
      <c r="R219" s="47"/>
      <c r="S219" s="47">
        <f t="shared" si="20"/>
        <v>5000</v>
      </c>
      <c r="T219" s="47">
        <f t="shared" si="18"/>
        <v>11.9671232876712</v>
      </c>
      <c r="U219" s="42">
        <f>7338+2662</f>
        <v>10000</v>
      </c>
      <c r="V219" s="42">
        <v>5000</v>
      </c>
      <c r="W219" s="42">
        <v>500</v>
      </c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8" t="s">
        <v>617</v>
      </c>
      <c r="AP219" s="42">
        <v>13128633117</v>
      </c>
      <c r="AQ219" s="42"/>
    </row>
    <row r="220" s="1" customFormat="1" ht="20.15" customHeight="1" spans="1:43">
      <c r="A220" s="42">
        <f t="shared" si="19"/>
        <v>216</v>
      </c>
      <c r="B220" s="42" t="s">
        <v>491</v>
      </c>
      <c r="C220" s="42">
        <v>3049</v>
      </c>
      <c r="D220" s="43"/>
      <c r="E220" s="44">
        <v>31.76</v>
      </c>
      <c r="F220" s="42"/>
      <c r="G220" s="42">
        <v>4180</v>
      </c>
      <c r="H220" s="42">
        <v>500</v>
      </c>
      <c r="I220" s="42" t="s">
        <v>618</v>
      </c>
      <c r="J220" s="42"/>
      <c r="K220" s="45" t="s">
        <v>619</v>
      </c>
      <c r="L220" s="42" t="s">
        <v>11</v>
      </c>
      <c r="M220" s="46">
        <v>45621</v>
      </c>
      <c r="N220" s="46">
        <v>45717</v>
      </c>
      <c r="O220" s="46">
        <v>46081</v>
      </c>
      <c r="P220" s="46">
        <v>45717</v>
      </c>
      <c r="Q220" s="47">
        <v>5000</v>
      </c>
      <c r="R220" s="47"/>
      <c r="S220" s="47">
        <f t="shared" si="20"/>
        <v>5000</v>
      </c>
      <c r="T220" s="47">
        <f t="shared" si="18"/>
        <v>11.9671232876712</v>
      </c>
      <c r="U220" s="42">
        <v>10000</v>
      </c>
      <c r="V220" s="42">
        <v>5000</v>
      </c>
      <c r="W220" s="42">
        <v>500</v>
      </c>
      <c r="X220" s="42"/>
      <c r="Y220" s="42"/>
      <c r="Z220" s="42"/>
      <c r="AA220" s="42"/>
      <c r="AB220" s="42"/>
      <c r="AC220" s="42"/>
      <c r="AD220" s="42"/>
      <c r="AE220" s="42" t="s">
        <v>48</v>
      </c>
      <c r="AF220" s="42"/>
      <c r="AG220" s="42" t="s">
        <v>48</v>
      </c>
      <c r="AH220" s="42" t="s">
        <v>48</v>
      </c>
      <c r="AI220" s="42"/>
      <c r="AJ220" s="42"/>
      <c r="AK220" s="42"/>
      <c r="AL220" s="42" t="s">
        <v>48</v>
      </c>
      <c r="AM220" s="42"/>
      <c r="AN220" s="42"/>
      <c r="AO220" s="48" t="s">
        <v>620</v>
      </c>
      <c r="AP220" s="42">
        <v>13725369229</v>
      </c>
      <c r="AQ220" s="42"/>
    </row>
    <row r="221" s="1" customFormat="1" ht="20.15" customHeight="1" spans="1:43">
      <c r="A221" s="42">
        <f t="shared" si="19"/>
        <v>217</v>
      </c>
      <c r="B221" s="42" t="s">
        <v>491</v>
      </c>
      <c r="C221" s="42">
        <v>3050</v>
      </c>
      <c r="D221" s="43"/>
      <c r="E221" s="44">
        <v>31.76</v>
      </c>
      <c r="F221" s="42"/>
      <c r="G221" s="42"/>
      <c r="H221" s="42"/>
      <c r="I221" s="42" t="s">
        <v>621</v>
      </c>
      <c r="J221" s="42"/>
      <c r="K221" s="45" t="s">
        <v>622</v>
      </c>
      <c r="L221" s="42" t="s">
        <v>11</v>
      </c>
      <c r="M221" s="46">
        <v>45775</v>
      </c>
      <c r="N221" s="46">
        <v>45778</v>
      </c>
      <c r="O221" s="46">
        <v>46142</v>
      </c>
      <c r="P221" s="46">
        <v>45778</v>
      </c>
      <c r="Q221" s="47">
        <v>5000</v>
      </c>
      <c r="R221" s="47"/>
      <c r="S221" s="47">
        <f t="shared" si="20"/>
        <v>5000</v>
      </c>
      <c r="T221" s="47">
        <f t="shared" si="18"/>
        <v>11.9671232876712</v>
      </c>
      <c r="U221" s="42">
        <v>10000</v>
      </c>
      <c r="V221" s="42">
        <v>5000</v>
      </c>
      <c r="W221" s="42">
        <v>500</v>
      </c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8" t="s">
        <v>623</v>
      </c>
      <c r="AP221" s="42">
        <v>13076792775</v>
      </c>
      <c r="AQ221" s="42"/>
    </row>
    <row r="222" s="1" customFormat="1" ht="20.15" customHeight="1" spans="1:43">
      <c r="A222" s="42">
        <f t="shared" si="19"/>
        <v>218</v>
      </c>
      <c r="B222" s="42" t="s">
        <v>491</v>
      </c>
      <c r="C222" s="42" t="s">
        <v>624</v>
      </c>
      <c r="D222" s="43"/>
      <c r="E222" s="44">
        <v>27.41</v>
      </c>
      <c r="F222" s="42"/>
      <c r="G222" s="42"/>
      <c r="H222" s="42"/>
      <c r="I222" s="42" t="s">
        <v>625</v>
      </c>
      <c r="J222" s="42"/>
      <c r="K222" s="42" t="s">
        <v>624</v>
      </c>
      <c r="L222" s="42" t="s">
        <v>11</v>
      </c>
      <c r="M222" s="46">
        <v>45633</v>
      </c>
      <c r="N222" s="46">
        <v>45732</v>
      </c>
      <c r="O222" s="46">
        <v>46096</v>
      </c>
      <c r="P222" s="46">
        <v>45732</v>
      </c>
      <c r="Q222" s="47">
        <v>1500</v>
      </c>
      <c r="R222" s="47"/>
      <c r="S222" s="47">
        <f t="shared" si="20"/>
        <v>1500</v>
      </c>
      <c r="T222" s="47">
        <f t="shared" si="18"/>
        <v>11.9671232876712</v>
      </c>
      <c r="U222" s="42">
        <v>3000</v>
      </c>
      <c r="V222" s="42">
        <v>1500</v>
      </c>
      <c r="W222" s="42">
        <v>100</v>
      </c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8" t="s">
        <v>626</v>
      </c>
      <c r="AP222" s="42">
        <v>13321177666</v>
      </c>
      <c r="AQ222" s="42"/>
    </row>
    <row r="223" s="1" customFormat="1" ht="20.15" customHeight="1" spans="1:43">
      <c r="A223" s="42">
        <f t="shared" si="19"/>
        <v>219</v>
      </c>
      <c r="B223" s="42" t="s">
        <v>491</v>
      </c>
      <c r="C223" s="42">
        <v>3051</v>
      </c>
      <c r="D223" s="43"/>
      <c r="E223" s="44">
        <v>34.28</v>
      </c>
      <c r="F223" s="42"/>
      <c r="G223" s="42">
        <v>3300</v>
      </c>
      <c r="H223" s="42">
        <v>500</v>
      </c>
      <c r="I223" s="42" t="s">
        <v>627</v>
      </c>
      <c r="J223" s="42"/>
      <c r="K223" s="42">
        <f>C223</f>
        <v>3051</v>
      </c>
      <c r="L223" s="42" t="s">
        <v>11</v>
      </c>
      <c r="M223" s="46">
        <v>45633</v>
      </c>
      <c r="N223" s="46">
        <v>45733</v>
      </c>
      <c r="O223" s="46">
        <v>46097</v>
      </c>
      <c r="P223" s="46">
        <v>45733</v>
      </c>
      <c r="Q223" s="47">
        <v>2500</v>
      </c>
      <c r="R223" s="47"/>
      <c r="S223" s="47">
        <f t="shared" si="20"/>
        <v>2500</v>
      </c>
      <c r="T223" s="47">
        <f t="shared" si="18"/>
        <v>11.9671232876712</v>
      </c>
      <c r="U223" s="42">
        <v>5000</v>
      </c>
      <c r="V223" s="42">
        <v>2500</v>
      </c>
      <c r="W223" s="42">
        <v>200</v>
      </c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8" t="s">
        <v>628</v>
      </c>
      <c r="AP223" s="42">
        <v>13533521227</v>
      </c>
      <c r="AQ223" s="42"/>
    </row>
    <row r="224" s="1" customFormat="1" ht="20.15" customHeight="1" spans="1:43">
      <c r="A224" s="42">
        <f t="shared" si="19"/>
        <v>220</v>
      </c>
      <c r="B224" s="42" t="s">
        <v>491</v>
      </c>
      <c r="C224" s="42">
        <v>3052</v>
      </c>
      <c r="D224" s="43"/>
      <c r="E224" s="44">
        <v>35.27</v>
      </c>
      <c r="F224" s="42"/>
      <c r="G224" s="42">
        <v>2882</v>
      </c>
      <c r="H224" s="42">
        <v>500</v>
      </c>
      <c r="I224" s="42" t="s">
        <v>629</v>
      </c>
      <c r="J224" s="42"/>
      <c r="K224" s="42">
        <f>C224</f>
        <v>3052</v>
      </c>
      <c r="L224" s="42" t="s">
        <v>11</v>
      </c>
      <c r="M224" s="46">
        <v>45633</v>
      </c>
      <c r="N224" s="46">
        <v>45732</v>
      </c>
      <c r="O224" s="46">
        <v>46096</v>
      </c>
      <c r="P224" s="46">
        <v>45732</v>
      </c>
      <c r="Q224" s="47">
        <v>2500</v>
      </c>
      <c r="R224" s="47"/>
      <c r="S224" s="47">
        <f t="shared" si="20"/>
        <v>2500</v>
      </c>
      <c r="T224" s="47">
        <f t="shared" si="18"/>
        <v>11.9671232876712</v>
      </c>
      <c r="U224" s="42">
        <v>5000</v>
      </c>
      <c r="V224" s="42">
        <v>2500</v>
      </c>
      <c r="W224" s="42">
        <v>200</v>
      </c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8" t="s">
        <v>630</v>
      </c>
      <c r="AP224" s="42">
        <v>13533535728</v>
      </c>
      <c r="AQ224" s="42"/>
    </row>
    <row r="225" s="1" customFormat="1" ht="20.15" customHeight="1" spans="1:43">
      <c r="A225" s="42">
        <f t="shared" si="19"/>
        <v>221</v>
      </c>
      <c r="B225" s="42" t="s">
        <v>491</v>
      </c>
      <c r="C225" s="42">
        <v>3053</v>
      </c>
      <c r="D225" s="43"/>
      <c r="E225" s="44">
        <v>93.2</v>
      </c>
      <c r="F225" s="42"/>
      <c r="G225" s="42">
        <v>7922</v>
      </c>
      <c r="H225" s="42">
        <v>600</v>
      </c>
      <c r="I225" s="42" t="s">
        <v>564</v>
      </c>
      <c r="J225" s="42"/>
      <c r="K225" s="42" t="s">
        <v>565</v>
      </c>
      <c r="L225" s="42" t="s">
        <v>11</v>
      </c>
      <c r="M225" s="46">
        <v>45626</v>
      </c>
      <c r="N225" s="46">
        <v>45717</v>
      </c>
      <c r="O225" s="46">
        <v>46081</v>
      </c>
      <c r="P225" s="46">
        <v>45717</v>
      </c>
      <c r="Q225" s="47"/>
      <c r="R225" s="47"/>
      <c r="S225" s="47">
        <f t="shared" si="20"/>
        <v>0</v>
      </c>
      <c r="T225" s="47">
        <f t="shared" si="18"/>
        <v>11.9671232876712</v>
      </c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 t="s">
        <v>48</v>
      </c>
      <c r="AH225" s="42"/>
      <c r="AI225" s="42"/>
      <c r="AJ225" s="42"/>
      <c r="AK225" s="42"/>
      <c r="AL225" s="42"/>
      <c r="AM225" s="42"/>
      <c r="AN225" s="42"/>
      <c r="AO225" s="48" t="s">
        <v>566</v>
      </c>
      <c r="AP225" s="42">
        <v>13826522736</v>
      </c>
      <c r="AQ225" s="42"/>
    </row>
    <row r="226" s="1" customFormat="1" ht="20.15" customHeight="1" spans="1:43">
      <c r="A226" s="42">
        <f t="shared" si="19"/>
        <v>222</v>
      </c>
      <c r="B226" s="42" t="s">
        <v>491</v>
      </c>
      <c r="C226" s="42">
        <v>3054</v>
      </c>
      <c r="D226" s="43"/>
      <c r="E226" s="44">
        <v>25.86</v>
      </c>
      <c r="F226" s="42"/>
      <c r="G226" s="42">
        <v>3300</v>
      </c>
      <c r="H226" s="42">
        <v>500</v>
      </c>
      <c r="I226" s="42" t="s">
        <v>564</v>
      </c>
      <c r="J226" s="42"/>
      <c r="K226" s="42" t="s">
        <v>565</v>
      </c>
      <c r="L226" s="42" t="s">
        <v>11</v>
      </c>
      <c r="M226" s="46">
        <v>45626</v>
      </c>
      <c r="N226" s="46">
        <v>45717</v>
      </c>
      <c r="O226" s="46">
        <v>46081</v>
      </c>
      <c r="P226" s="46">
        <v>45717</v>
      </c>
      <c r="Q226" s="47"/>
      <c r="R226" s="47"/>
      <c r="S226" s="47">
        <f t="shared" si="20"/>
        <v>0</v>
      </c>
      <c r="T226" s="47">
        <f t="shared" si="18"/>
        <v>11.9671232876712</v>
      </c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8" t="s">
        <v>566</v>
      </c>
      <c r="AP226" s="42">
        <v>13826522736</v>
      </c>
      <c r="AQ226" s="42"/>
    </row>
    <row r="227" s="1" customFormat="1" ht="20.15" customHeight="1" spans="1:43">
      <c r="A227" s="42">
        <f t="shared" si="19"/>
        <v>223</v>
      </c>
      <c r="B227" s="42" t="s">
        <v>491</v>
      </c>
      <c r="C227" s="42">
        <v>3055</v>
      </c>
      <c r="D227" s="43"/>
      <c r="E227" s="44">
        <v>31.76</v>
      </c>
      <c r="F227" s="42"/>
      <c r="G227" s="42">
        <v>4180</v>
      </c>
      <c r="H227" s="42">
        <v>500</v>
      </c>
      <c r="I227" s="42" t="s">
        <v>631</v>
      </c>
      <c r="J227" s="42"/>
      <c r="K227" s="45" t="s">
        <v>632</v>
      </c>
      <c r="L227" s="42" t="s">
        <v>11</v>
      </c>
      <c r="M227" s="46">
        <v>45615</v>
      </c>
      <c r="N227" s="46">
        <v>45748</v>
      </c>
      <c r="O227" s="46">
        <v>46112</v>
      </c>
      <c r="P227" s="46">
        <v>45748</v>
      </c>
      <c r="Q227" s="47">
        <v>5000</v>
      </c>
      <c r="R227" s="47"/>
      <c r="S227" s="47">
        <f t="shared" si="20"/>
        <v>5000</v>
      </c>
      <c r="T227" s="47">
        <f t="shared" si="18"/>
        <v>11.9671232876712</v>
      </c>
      <c r="U227" s="42">
        <v>10000</v>
      </c>
      <c r="V227" s="42">
        <v>5000</v>
      </c>
      <c r="W227" s="42">
        <v>500</v>
      </c>
      <c r="X227" s="42"/>
      <c r="Y227" s="42"/>
      <c r="Z227" s="49"/>
      <c r="AA227" s="42"/>
      <c r="AB227" s="42"/>
      <c r="AC227" s="42"/>
      <c r="AD227" s="42"/>
      <c r="AE227" s="42" t="s">
        <v>48</v>
      </c>
      <c r="AF227" s="42"/>
      <c r="AG227" s="42" t="s">
        <v>48</v>
      </c>
      <c r="AH227" s="42" t="s">
        <v>48</v>
      </c>
      <c r="AI227" s="42"/>
      <c r="AJ227" s="42"/>
      <c r="AK227" s="42"/>
      <c r="AL227" s="42" t="s">
        <v>48</v>
      </c>
      <c r="AM227" s="42"/>
      <c r="AN227" s="42"/>
      <c r="AO227" s="50" t="s">
        <v>633</v>
      </c>
      <c r="AP227" s="78">
        <v>13760767076</v>
      </c>
      <c r="AQ227" s="42"/>
    </row>
    <row r="228" s="1" customFormat="1" ht="20.15" customHeight="1" spans="1:43">
      <c r="A228" s="42">
        <f t="shared" si="19"/>
        <v>224</v>
      </c>
      <c r="B228" s="42" t="s">
        <v>491</v>
      </c>
      <c r="C228" s="42" t="s">
        <v>634</v>
      </c>
      <c r="D228" s="114"/>
      <c r="E228" s="42"/>
      <c r="F228" s="141">
        <v>1.5</v>
      </c>
      <c r="G228" s="124"/>
      <c r="H228" s="124"/>
      <c r="I228" s="42"/>
      <c r="J228" s="42"/>
      <c r="K228" s="42"/>
      <c r="L228" s="42"/>
      <c r="M228" s="46"/>
      <c r="N228" s="46"/>
      <c r="O228" s="46"/>
      <c r="P228" s="46"/>
      <c r="Q228" s="142"/>
      <c r="R228" s="142"/>
      <c r="S228" s="47">
        <f t="shared" si="20"/>
        <v>0</v>
      </c>
      <c r="T228" s="47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50"/>
      <c r="AP228" s="78"/>
      <c r="AQ228" s="42"/>
    </row>
    <row r="229" s="1" customFormat="1" ht="20.15" customHeight="1" spans="1:43">
      <c r="A229" s="42">
        <f t="shared" si="19"/>
        <v>225</v>
      </c>
      <c r="B229" s="42" t="s">
        <v>491</v>
      </c>
      <c r="C229" s="42" t="s">
        <v>635</v>
      </c>
      <c r="D229" s="114"/>
      <c r="E229" s="42"/>
      <c r="F229" s="141">
        <v>3</v>
      </c>
      <c r="G229" s="124"/>
      <c r="H229" s="124"/>
      <c r="I229" s="42"/>
      <c r="J229" s="42"/>
      <c r="K229" s="45" t="s">
        <v>635</v>
      </c>
      <c r="L229" s="42" t="s">
        <v>11</v>
      </c>
      <c r="M229" s="46">
        <v>45551</v>
      </c>
      <c r="N229" s="46"/>
      <c r="O229" s="46"/>
      <c r="P229" s="46"/>
      <c r="Q229" s="142"/>
      <c r="R229" s="142"/>
      <c r="S229" s="47"/>
      <c r="T229" s="47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50"/>
      <c r="AP229" s="78"/>
      <c r="AQ229" s="42"/>
    </row>
    <row r="230" s="1" customFormat="1" ht="20.15" customHeight="1" spans="1:43">
      <c r="A230" s="42">
        <f t="shared" si="19"/>
        <v>226</v>
      </c>
      <c r="B230" s="42" t="s">
        <v>636</v>
      </c>
      <c r="C230" s="45">
        <v>4001</v>
      </c>
      <c r="D230" s="43"/>
      <c r="E230" s="11">
        <f>81.9-32.425</f>
        <v>49.475</v>
      </c>
      <c r="F230" s="143"/>
      <c r="G230" s="143">
        <v>6462</v>
      </c>
      <c r="H230" s="42">
        <v>500</v>
      </c>
      <c r="I230" s="42" t="s">
        <v>637</v>
      </c>
      <c r="J230" s="42"/>
      <c r="K230" s="45" t="s">
        <v>638</v>
      </c>
      <c r="L230" s="42" t="s">
        <v>11</v>
      </c>
      <c r="M230" s="46">
        <v>45612</v>
      </c>
      <c r="N230" s="46">
        <v>45717</v>
      </c>
      <c r="O230" s="46">
        <v>46081</v>
      </c>
      <c r="P230" s="46">
        <v>45717</v>
      </c>
      <c r="Q230" s="47">
        <v>5000</v>
      </c>
      <c r="R230" s="47"/>
      <c r="S230" s="47">
        <f t="shared" ref="S230:S293" si="21">Q230+R230</f>
        <v>5000</v>
      </c>
      <c r="T230" s="47">
        <f t="shared" ref="T230:T272" si="22">(O230-N230)/365*12</f>
        <v>11.9671232876712</v>
      </c>
      <c r="U230" s="42">
        <v>10000</v>
      </c>
      <c r="V230" s="42">
        <v>5000</v>
      </c>
      <c r="W230" s="42">
        <v>500</v>
      </c>
      <c r="X230" s="42"/>
      <c r="Y230" s="42"/>
      <c r="Z230" s="42"/>
      <c r="AA230" s="42"/>
      <c r="AB230" s="42"/>
      <c r="AC230" s="42"/>
      <c r="AD230" s="42"/>
      <c r="AE230" s="42" t="s">
        <v>48</v>
      </c>
      <c r="AF230" s="42"/>
      <c r="AG230" s="42" t="s">
        <v>48</v>
      </c>
      <c r="AH230" s="42" t="s">
        <v>48</v>
      </c>
      <c r="AI230" s="42"/>
      <c r="AJ230" s="42"/>
      <c r="AK230" s="42"/>
      <c r="AL230" s="42"/>
      <c r="AM230" s="42"/>
      <c r="AN230" s="42"/>
      <c r="AO230" s="50" t="s">
        <v>639</v>
      </c>
      <c r="AP230" s="78">
        <v>15889942662</v>
      </c>
      <c r="AQ230" s="42"/>
    </row>
    <row r="231" s="1" customFormat="1" ht="20.15" customHeight="1" spans="1:43">
      <c r="A231" s="42">
        <f t="shared" si="19"/>
        <v>227</v>
      </c>
      <c r="B231" s="42" t="s">
        <v>636</v>
      </c>
      <c r="C231" s="42">
        <v>4002</v>
      </c>
      <c r="D231" s="43"/>
      <c r="E231" s="44">
        <v>32.425</v>
      </c>
      <c r="F231" s="42"/>
      <c r="G231" s="42">
        <v>5126</v>
      </c>
      <c r="H231" s="42">
        <v>500</v>
      </c>
      <c r="I231" s="42" t="s">
        <v>640</v>
      </c>
      <c r="J231" s="42"/>
      <c r="K231" s="45" t="s">
        <v>641</v>
      </c>
      <c r="L231" s="42" t="s">
        <v>11</v>
      </c>
      <c r="M231" s="46">
        <v>45721</v>
      </c>
      <c r="N231" s="46">
        <v>45732</v>
      </c>
      <c r="O231" s="46">
        <v>46096</v>
      </c>
      <c r="P231" s="46">
        <v>45732</v>
      </c>
      <c r="Q231" s="47">
        <v>5000</v>
      </c>
      <c r="R231" s="47"/>
      <c r="S231" s="47">
        <f t="shared" si="21"/>
        <v>5000</v>
      </c>
      <c r="T231" s="47">
        <f t="shared" si="22"/>
        <v>11.9671232876712</v>
      </c>
      <c r="U231" s="42">
        <v>10000</v>
      </c>
      <c r="V231" s="42">
        <v>5000</v>
      </c>
      <c r="W231" s="42">
        <v>500</v>
      </c>
      <c r="X231" s="42"/>
      <c r="Y231" s="42"/>
      <c r="Z231" s="42"/>
      <c r="AA231" s="42"/>
      <c r="AB231" s="42"/>
      <c r="AC231" s="42"/>
      <c r="AD231" s="42"/>
      <c r="AE231" s="42" t="s">
        <v>48</v>
      </c>
      <c r="AF231" s="42"/>
      <c r="AG231" s="42" t="s">
        <v>48</v>
      </c>
      <c r="AH231" s="42" t="s">
        <v>48</v>
      </c>
      <c r="AI231" s="42"/>
      <c r="AJ231" s="42"/>
      <c r="AK231" s="42"/>
      <c r="AL231" s="42"/>
      <c r="AM231" s="42"/>
      <c r="AN231" s="42"/>
      <c r="AO231" s="48" t="s">
        <v>642</v>
      </c>
      <c r="AP231" s="42">
        <v>13828777777</v>
      </c>
      <c r="AQ231" s="42"/>
    </row>
    <row r="232" s="1" customFormat="1" ht="20.15" customHeight="1" spans="1:43">
      <c r="A232" s="42">
        <f t="shared" si="19"/>
        <v>228</v>
      </c>
      <c r="B232" s="42" t="s">
        <v>636</v>
      </c>
      <c r="C232" s="42">
        <v>4003</v>
      </c>
      <c r="D232" s="43"/>
      <c r="E232" s="44">
        <v>32.425</v>
      </c>
      <c r="F232" s="42"/>
      <c r="G232" s="42">
        <v>4180</v>
      </c>
      <c r="H232" s="42">
        <v>500</v>
      </c>
      <c r="I232" s="42" t="s">
        <v>643</v>
      </c>
      <c r="J232" s="42"/>
      <c r="K232" s="45" t="s">
        <v>644</v>
      </c>
      <c r="L232" s="42" t="s">
        <v>11</v>
      </c>
      <c r="M232" s="46">
        <v>45617</v>
      </c>
      <c r="N232" s="46">
        <v>45717</v>
      </c>
      <c r="O232" s="46">
        <v>46081</v>
      </c>
      <c r="P232" s="46">
        <v>45717</v>
      </c>
      <c r="Q232" s="47">
        <v>5000</v>
      </c>
      <c r="R232" s="47"/>
      <c r="S232" s="47">
        <f t="shared" si="21"/>
        <v>5000</v>
      </c>
      <c r="T232" s="47">
        <f t="shared" si="22"/>
        <v>11.9671232876712</v>
      </c>
      <c r="U232" s="42">
        <v>10000</v>
      </c>
      <c r="V232" s="42">
        <v>5000</v>
      </c>
      <c r="W232" s="42">
        <v>500</v>
      </c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8" t="s">
        <v>645</v>
      </c>
      <c r="AP232" s="42">
        <v>13422193059</v>
      </c>
      <c r="AQ232" s="42"/>
    </row>
    <row r="233" s="1" customFormat="1" ht="20.15" customHeight="1" spans="1:43">
      <c r="A233" s="42">
        <f t="shared" si="19"/>
        <v>229</v>
      </c>
      <c r="B233" s="42" t="s">
        <v>636</v>
      </c>
      <c r="C233" s="42">
        <v>4004</v>
      </c>
      <c r="D233" s="43"/>
      <c r="E233" s="44">
        <v>32.425</v>
      </c>
      <c r="F233" s="42"/>
      <c r="G233" s="42">
        <v>4180</v>
      </c>
      <c r="H233" s="42">
        <v>500</v>
      </c>
      <c r="I233" s="42" t="s">
        <v>646</v>
      </c>
      <c r="J233" s="42"/>
      <c r="K233" s="45" t="s">
        <v>647</v>
      </c>
      <c r="L233" s="42" t="s">
        <v>11</v>
      </c>
      <c r="M233" s="46">
        <v>45599</v>
      </c>
      <c r="N233" s="46">
        <v>45717</v>
      </c>
      <c r="O233" s="46">
        <v>46081</v>
      </c>
      <c r="P233" s="46">
        <v>45717</v>
      </c>
      <c r="Q233" s="47">
        <v>5000</v>
      </c>
      <c r="R233" s="47"/>
      <c r="S233" s="47">
        <f t="shared" si="21"/>
        <v>5000</v>
      </c>
      <c r="T233" s="47">
        <f t="shared" si="22"/>
        <v>11.9671232876712</v>
      </c>
      <c r="U233" s="42">
        <v>10000</v>
      </c>
      <c r="V233" s="53">
        <v>5000</v>
      </c>
      <c r="W233" s="42">
        <v>500</v>
      </c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8" t="s">
        <v>648</v>
      </c>
      <c r="AP233" s="42">
        <v>13393953036</v>
      </c>
      <c r="AQ233" s="42"/>
    </row>
    <row r="234" s="4" customFormat="1" ht="20.15" customHeight="1" spans="1:43">
      <c r="A234" s="66">
        <f t="shared" si="19"/>
        <v>230</v>
      </c>
      <c r="B234" s="66" t="s">
        <v>636</v>
      </c>
      <c r="C234" s="66">
        <v>4005</v>
      </c>
      <c r="D234" s="43"/>
      <c r="E234" s="44">
        <v>32.425</v>
      </c>
      <c r="F234" s="42"/>
      <c r="G234" s="42">
        <v>4682</v>
      </c>
      <c r="H234" s="42">
        <v>500</v>
      </c>
      <c r="I234" s="66" t="s">
        <v>649</v>
      </c>
      <c r="J234" s="42"/>
      <c r="K234" s="45" t="s">
        <v>650</v>
      </c>
      <c r="L234" s="42" t="s">
        <v>11</v>
      </c>
      <c r="M234" s="67">
        <v>45915</v>
      </c>
      <c r="N234" s="67">
        <v>45973</v>
      </c>
      <c r="O234" s="67">
        <v>46337</v>
      </c>
      <c r="P234" s="67">
        <v>45973</v>
      </c>
      <c r="Q234" s="68">
        <v>5000</v>
      </c>
      <c r="R234" s="68"/>
      <c r="S234" s="68">
        <f t="shared" si="21"/>
        <v>5000</v>
      </c>
      <c r="T234" s="68">
        <f t="shared" si="22"/>
        <v>11.9671232876712</v>
      </c>
      <c r="U234" s="66">
        <v>10000</v>
      </c>
      <c r="V234" s="66">
        <v>5000</v>
      </c>
      <c r="W234" s="66">
        <v>500</v>
      </c>
      <c r="X234" s="66"/>
      <c r="Y234" s="66"/>
      <c r="Z234" s="42"/>
      <c r="AA234" s="42"/>
      <c r="AB234" s="42"/>
      <c r="AC234" s="42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9" t="s">
        <v>651</v>
      </c>
      <c r="AP234" s="66">
        <v>13682891533</v>
      </c>
      <c r="AQ234" s="66"/>
    </row>
    <row r="235" s="1" customFormat="1" ht="20.15" customHeight="1" spans="1:43">
      <c r="A235" s="42">
        <f t="shared" si="19"/>
        <v>231</v>
      </c>
      <c r="B235" s="42" t="s">
        <v>636</v>
      </c>
      <c r="C235" s="42">
        <v>4006</v>
      </c>
      <c r="D235" s="43"/>
      <c r="E235" s="44">
        <v>32.425</v>
      </c>
      <c r="F235" s="42"/>
      <c r="G235" s="42">
        <v>3800</v>
      </c>
      <c r="H235" s="42">
        <v>500</v>
      </c>
      <c r="I235" s="42" t="s">
        <v>652</v>
      </c>
      <c r="J235" s="42"/>
      <c r="K235" s="45" t="s">
        <v>653</v>
      </c>
      <c r="L235" s="42" t="s">
        <v>11</v>
      </c>
      <c r="M235" s="46">
        <v>45646</v>
      </c>
      <c r="N235" s="46">
        <v>45717</v>
      </c>
      <c r="O235" s="46">
        <v>46081</v>
      </c>
      <c r="P235" s="46">
        <v>45717</v>
      </c>
      <c r="Q235" s="47">
        <v>5000</v>
      </c>
      <c r="R235" s="47"/>
      <c r="S235" s="47">
        <f t="shared" si="21"/>
        <v>5000</v>
      </c>
      <c r="T235" s="47">
        <f t="shared" si="22"/>
        <v>11.9671232876712</v>
      </c>
      <c r="U235" s="42">
        <v>10000</v>
      </c>
      <c r="V235" s="42">
        <v>5000</v>
      </c>
      <c r="W235" s="42">
        <v>500</v>
      </c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8" t="s">
        <v>654</v>
      </c>
      <c r="AP235" s="42">
        <v>13729861438</v>
      </c>
      <c r="AQ235" s="42"/>
    </row>
    <row r="236" s="1" customFormat="1" ht="20.15" customHeight="1" spans="1:43">
      <c r="A236" s="42">
        <f t="shared" si="19"/>
        <v>232</v>
      </c>
      <c r="B236" s="42" t="s">
        <v>636</v>
      </c>
      <c r="C236" s="42">
        <v>4007</v>
      </c>
      <c r="D236" s="43"/>
      <c r="E236" s="44">
        <v>32.425</v>
      </c>
      <c r="F236" s="42"/>
      <c r="G236" s="42">
        <v>3500</v>
      </c>
      <c r="H236" s="42">
        <v>500</v>
      </c>
      <c r="I236" s="42" t="s">
        <v>655</v>
      </c>
      <c r="J236" s="42"/>
      <c r="K236" s="45" t="s">
        <v>656</v>
      </c>
      <c r="L236" s="42" t="s">
        <v>11</v>
      </c>
      <c r="M236" s="46">
        <v>45599</v>
      </c>
      <c r="N236" s="46">
        <v>45717</v>
      </c>
      <c r="O236" s="46">
        <v>46081</v>
      </c>
      <c r="P236" s="46">
        <v>45717</v>
      </c>
      <c r="Q236" s="47">
        <v>5000</v>
      </c>
      <c r="R236" s="47"/>
      <c r="S236" s="47">
        <f t="shared" si="21"/>
        <v>5000</v>
      </c>
      <c r="T236" s="47">
        <f t="shared" si="22"/>
        <v>11.9671232876712</v>
      </c>
      <c r="U236" s="42">
        <v>10000</v>
      </c>
      <c r="V236" s="53">
        <v>5000</v>
      </c>
      <c r="W236" s="42">
        <v>500</v>
      </c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8" t="s">
        <v>657</v>
      </c>
      <c r="AP236" s="42">
        <v>13393953036</v>
      </c>
      <c r="AQ236" s="42"/>
    </row>
    <row r="237" s="7" customFormat="1" ht="20.15" customHeight="1" spans="1:43">
      <c r="A237" s="53">
        <f t="shared" si="19"/>
        <v>233</v>
      </c>
      <c r="B237" s="53" t="s">
        <v>636</v>
      </c>
      <c r="C237" s="53">
        <v>4008</v>
      </c>
      <c r="D237" s="43"/>
      <c r="E237" s="44">
        <v>32.425</v>
      </c>
      <c r="F237" s="42"/>
      <c r="G237" s="42">
        <v>3500</v>
      </c>
      <c r="H237" s="42">
        <v>500</v>
      </c>
      <c r="I237" s="53" t="s">
        <v>658</v>
      </c>
      <c r="J237" s="42"/>
      <c r="K237" s="45" t="s">
        <v>659</v>
      </c>
      <c r="L237" s="42" t="s">
        <v>11</v>
      </c>
      <c r="M237" s="105">
        <v>45601</v>
      </c>
      <c r="N237" s="105">
        <v>45732</v>
      </c>
      <c r="O237" s="105">
        <v>46096</v>
      </c>
      <c r="P237" s="105">
        <v>45732</v>
      </c>
      <c r="Q237" s="106">
        <v>5000</v>
      </c>
      <c r="R237" s="106"/>
      <c r="S237" s="106">
        <f t="shared" si="21"/>
        <v>5000</v>
      </c>
      <c r="T237" s="47">
        <f t="shared" si="22"/>
        <v>11.9671232876712</v>
      </c>
      <c r="U237" s="42">
        <v>10000</v>
      </c>
      <c r="V237" s="53">
        <v>5000</v>
      </c>
      <c r="W237" s="53">
        <v>500</v>
      </c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144" t="s">
        <v>660</v>
      </c>
      <c r="AP237" s="53">
        <v>13172885348</v>
      </c>
      <c r="AQ237" s="53"/>
    </row>
    <row r="238" s="1" customFormat="1" ht="20.15" customHeight="1" spans="1:43">
      <c r="A238" s="42">
        <f t="shared" si="19"/>
        <v>234</v>
      </c>
      <c r="B238" s="42" t="s">
        <v>636</v>
      </c>
      <c r="C238" s="42">
        <v>4009</v>
      </c>
      <c r="D238" s="43"/>
      <c r="E238" s="44">
        <v>32.425</v>
      </c>
      <c r="F238" s="42"/>
      <c r="G238" s="42">
        <v>4236</v>
      </c>
      <c r="H238" s="42">
        <v>500</v>
      </c>
      <c r="I238" s="42" t="s">
        <v>661</v>
      </c>
      <c r="J238" s="42"/>
      <c r="K238" s="45" t="s">
        <v>662</v>
      </c>
      <c r="L238" s="42" t="s">
        <v>11</v>
      </c>
      <c r="M238" s="46">
        <v>45625</v>
      </c>
      <c r="N238" s="46">
        <v>45689</v>
      </c>
      <c r="O238" s="46">
        <v>46053</v>
      </c>
      <c r="P238" s="46">
        <v>45689</v>
      </c>
      <c r="Q238" s="47">
        <v>5000</v>
      </c>
      <c r="R238" s="47"/>
      <c r="S238" s="47">
        <f t="shared" si="21"/>
        <v>5000</v>
      </c>
      <c r="T238" s="47">
        <f t="shared" si="22"/>
        <v>11.9671232876712</v>
      </c>
      <c r="U238" s="42">
        <v>10000</v>
      </c>
      <c r="V238" s="42">
        <v>5000</v>
      </c>
      <c r="W238" s="42">
        <v>500</v>
      </c>
      <c r="X238" s="42"/>
      <c r="Y238" s="42"/>
      <c r="Z238" s="42"/>
      <c r="AA238" s="42"/>
      <c r="AB238" s="42"/>
      <c r="AC238" s="42"/>
      <c r="AD238" s="42" t="s">
        <v>48</v>
      </c>
      <c r="AE238" s="42" t="s">
        <v>48</v>
      </c>
      <c r="AF238" s="42" t="s">
        <v>48</v>
      </c>
      <c r="AG238" s="42" t="s">
        <v>48</v>
      </c>
      <c r="AH238" s="42" t="s">
        <v>48</v>
      </c>
      <c r="AI238" s="42" t="s">
        <v>48</v>
      </c>
      <c r="AJ238" s="42" t="s">
        <v>48</v>
      </c>
      <c r="AK238" s="42" t="s">
        <v>48</v>
      </c>
      <c r="AL238" s="42" t="s">
        <v>48</v>
      </c>
      <c r="AM238" s="42" t="s">
        <v>48</v>
      </c>
      <c r="AN238" s="42" t="s">
        <v>48</v>
      </c>
      <c r="AO238" s="48" t="s">
        <v>663</v>
      </c>
      <c r="AP238" s="42">
        <v>18666017718</v>
      </c>
      <c r="AQ238" s="42"/>
    </row>
    <row r="239" s="5" customFormat="1" ht="20.15" customHeight="1" spans="1:43">
      <c r="A239" s="71">
        <f t="shared" si="19"/>
        <v>235</v>
      </c>
      <c r="B239" s="71" t="s">
        <v>636</v>
      </c>
      <c r="C239" s="71">
        <v>4010</v>
      </c>
      <c r="D239" s="72"/>
      <c r="E239" s="73">
        <v>32.425</v>
      </c>
      <c r="F239" s="71"/>
      <c r="G239" s="71">
        <v>5000</v>
      </c>
      <c r="H239" s="71">
        <v>500</v>
      </c>
      <c r="I239" s="71" t="s">
        <v>664</v>
      </c>
      <c r="J239" s="71"/>
      <c r="K239" s="74" t="s">
        <v>665</v>
      </c>
      <c r="L239" s="71" t="s">
        <v>11</v>
      </c>
      <c r="M239" s="75">
        <v>45897</v>
      </c>
      <c r="N239" s="75">
        <v>45901</v>
      </c>
      <c r="O239" s="75">
        <v>46265</v>
      </c>
      <c r="P239" s="75">
        <v>45901</v>
      </c>
      <c r="Q239" s="76">
        <v>5000</v>
      </c>
      <c r="R239" s="76"/>
      <c r="S239" s="76">
        <f t="shared" si="21"/>
        <v>5000</v>
      </c>
      <c r="T239" s="76">
        <f t="shared" si="22"/>
        <v>11.9671232876712</v>
      </c>
      <c r="U239" s="71">
        <v>10000</v>
      </c>
      <c r="V239" s="71">
        <v>5000</v>
      </c>
      <c r="W239" s="71">
        <v>500</v>
      </c>
      <c r="X239" s="71"/>
      <c r="Y239" s="71"/>
      <c r="Z239" s="42"/>
      <c r="AA239" s="42"/>
      <c r="AB239" s="42"/>
      <c r="AC239" s="42"/>
      <c r="AD239" s="71" t="s">
        <v>48</v>
      </c>
      <c r="AE239" s="71" t="s">
        <v>48</v>
      </c>
      <c r="AF239" s="71" t="s">
        <v>48</v>
      </c>
      <c r="AG239" s="71" t="s">
        <v>48</v>
      </c>
      <c r="AH239" s="71" t="s">
        <v>48</v>
      </c>
      <c r="AI239" s="71" t="s">
        <v>48</v>
      </c>
      <c r="AJ239" s="71" t="s">
        <v>48</v>
      </c>
      <c r="AK239" s="71" t="s">
        <v>48</v>
      </c>
      <c r="AL239" s="71" t="s">
        <v>48</v>
      </c>
      <c r="AM239" s="71" t="s">
        <v>48</v>
      </c>
      <c r="AN239" s="71" t="s">
        <v>48</v>
      </c>
      <c r="AO239" s="77" t="s">
        <v>666</v>
      </c>
      <c r="AP239" s="71">
        <v>15818183658</v>
      </c>
      <c r="AQ239" s="71"/>
    </row>
    <row r="240" s="1" customFormat="1" ht="20.15" customHeight="1" spans="1:43">
      <c r="A240" s="42">
        <f t="shared" si="19"/>
        <v>236</v>
      </c>
      <c r="B240" s="42" t="s">
        <v>636</v>
      </c>
      <c r="C240" s="42">
        <v>4011</v>
      </c>
      <c r="D240" s="43"/>
      <c r="E240" s="44">
        <v>32.425</v>
      </c>
      <c r="F240" s="42"/>
      <c r="G240" s="42">
        <v>4682</v>
      </c>
      <c r="H240" s="42">
        <v>500</v>
      </c>
      <c r="I240" s="42" t="s">
        <v>667</v>
      </c>
      <c r="J240" s="42"/>
      <c r="K240" s="45" t="s">
        <v>668</v>
      </c>
      <c r="L240" s="42" t="s">
        <v>11</v>
      </c>
      <c r="M240" s="46">
        <v>45821</v>
      </c>
      <c r="N240" s="46">
        <v>45839</v>
      </c>
      <c r="O240" s="46">
        <v>46203</v>
      </c>
      <c r="P240" s="46">
        <v>45839</v>
      </c>
      <c r="Q240" s="47">
        <v>5000</v>
      </c>
      <c r="R240" s="47"/>
      <c r="S240" s="47">
        <f t="shared" si="21"/>
        <v>5000</v>
      </c>
      <c r="T240" s="47">
        <f t="shared" si="22"/>
        <v>11.9671232876712</v>
      </c>
      <c r="U240" s="42">
        <v>10000</v>
      </c>
      <c r="V240" s="47">
        <v>5000</v>
      </c>
      <c r="W240" s="42">
        <v>500</v>
      </c>
      <c r="X240" s="42"/>
      <c r="Y240" s="42"/>
      <c r="Z240" s="52"/>
      <c r="AA240" s="52"/>
      <c r="AB240" s="52"/>
      <c r="AC240" s="52"/>
      <c r="AD240" s="42"/>
      <c r="AE240" s="42" t="s">
        <v>48</v>
      </c>
      <c r="AF240" s="42" t="s">
        <v>48</v>
      </c>
      <c r="AG240" s="42" t="s">
        <v>48</v>
      </c>
      <c r="AH240" s="42" t="s">
        <v>48</v>
      </c>
      <c r="AI240" s="42" t="s">
        <v>48</v>
      </c>
      <c r="AJ240" s="42"/>
      <c r="AK240" s="42" t="s">
        <v>48</v>
      </c>
      <c r="AL240" s="42" t="s">
        <v>48</v>
      </c>
      <c r="AM240" s="42" t="s">
        <v>48</v>
      </c>
      <c r="AN240" s="42" t="s">
        <v>48</v>
      </c>
      <c r="AO240" s="48" t="s">
        <v>669</v>
      </c>
      <c r="AP240" s="42">
        <v>13622212348</v>
      </c>
      <c r="AQ240" s="42"/>
    </row>
    <row r="241" s="1" customFormat="1" ht="20.15" customHeight="1" spans="1:43">
      <c r="A241" s="42">
        <f t="shared" si="19"/>
        <v>237</v>
      </c>
      <c r="B241" s="42" t="s">
        <v>636</v>
      </c>
      <c r="C241" s="42">
        <v>4012</v>
      </c>
      <c r="D241" s="43"/>
      <c r="E241" s="44">
        <v>32.425</v>
      </c>
      <c r="F241" s="42"/>
      <c r="G241" s="42">
        <v>4766</v>
      </c>
      <c r="H241" s="42">
        <v>500</v>
      </c>
      <c r="I241" s="42" t="s">
        <v>670</v>
      </c>
      <c r="J241" s="42"/>
      <c r="K241" s="45" t="s">
        <v>671</v>
      </c>
      <c r="L241" s="42" t="s">
        <v>11</v>
      </c>
      <c r="M241" s="46">
        <v>45626</v>
      </c>
      <c r="N241" s="46">
        <v>45748</v>
      </c>
      <c r="O241" s="46">
        <v>46112</v>
      </c>
      <c r="P241" s="46">
        <v>45748</v>
      </c>
      <c r="Q241" s="47">
        <v>5000</v>
      </c>
      <c r="R241" s="47"/>
      <c r="S241" s="47">
        <f t="shared" si="21"/>
        <v>5000</v>
      </c>
      <c r="T241" s="47">
        <f t="shared" si="22"/>
        <v>11.9671232876712</v>
      </c>
      <c r="U241" s="42">
        <v>20000</v>
      </c>
      <c r="V241" s="42">
        <v>5000</v>
      </c>
      <c r="W241" s="42">
        <v>500</v>
      </c>
      <c r="X241" s="42"/>
      <c r="Y241" s="42"/>
      <c r="Z241" s="49"/>
      <c r="AA241" s="42"/>
      <c r="AB241" s="42"/>
      <c r="AC241" s="42"/>
      <c r="AD241" s="42"/>
      <c r="AE241" s="42" t="s">
        <v>48</v>
      </c>
      <c r="AF241" s="42"/>
      <c r="AG241" s="42" t="s">
        <v>48</v>
      </c>
      <c r="AH241" s="42" t="s">
        <v>48</v>
      </c>
      <c r="AI241" s="42"/>
      <c r="AJ241" s="42"/>
      <c r="AK241" s="42"/>
      <c r="AL241" s="42" t="s">
        <v>48</v>
      </c>
      <c r="AM241" s="42"/>
      <c r="AN241" s="42"/>
      <c r="AO241" s="48" t="s">
        <v>672</v>
      </c>
      <c r="AP241" s="42">
        <v>18676139319</v>
      </c>
      <c r="AQ241" s="42"/>
    </row>
    <row r="242" s="8" customFormat="1" ht="20.15" customHeight="1" spans="1:43">
      <c r="A242" s="71">
        <f t="shared" si="19"/>
        <v>238</v>
      </c>
      <c r="B242" s="125" t="s">
        <v>636</v>
      </c>
      <c r="C242" s="125">
        <v>4013</v>
      </c>
      <c r="D242" s="72"/>
      <c r="E242" s="73">
        <v>32.425</v>
      </c>
      <c r="F242" s="71"/>
      <c r="G242" s="71">
        <v>4658</v>
      </c>
      <c r="H242" s="71">
        <v>500</v>
      </c>
      <c r="I242" s="125" t="s">
        <v>673</v>
      </c>
      <c r="J242" s="71"/>
      <c r="K242" s="145" t="s">
        <v>674</v>
      </c>
      <c r="L242" s="125" t="s">
        <v>11</v>
      </c>
      <c r="M242" s="131">
        <v>45961</v>
      </c>
      <c r="N242" s="131">
        <v>45973</v>
      </c>
      <c r="O242" s="131">
        <v>46337</v>
      </c>
      <c r="P242" s="131">
        <v>45973</v>
      </c>
      <c r="Q242" s="135">
        <v>5000</v>
      </c>
      <c r="R242" s="135"/>
      <c r="S242" s="76">
        <f t="shared" si="21"/>
        <v>5000</v>
      </c>
      <c r="T242" s="135">
        <f t="shared" si="22"/>
        <v>11.9671232876712</v>
      </c>
      <c r="U242" s="125">
        <v>10000</v>
      </c>
      <c r="V242" s="125">
        <v>5000</v>
      </c>
      <c r="W242" s="125">
        <v>500</v>
      </c>
      <c r="X242" s="71"/>
      <c r="Y242" s="71"/>
      <c r="Z242" s="49"/>
      <c r="AA242" s="42"/>
      <c r="AB242" s="53"/>
      <c r="AC242" s="53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146" t="s">
        <v>675</v>
      </c>
      <c r="AP242" s="147">
        <v>13848983478</v>
      </c>
      <c r="AQ242" s="125"/>
    </row>
    <row r="243" s="1" customFormat="1" ht="20.15" customHeight="1" spans="1:43">
      <c r="A243" s="42">
        <f t="shared" si="19"/>
        <v>239</v>
      </c>
      <c r="B243" s="42" t="s">
        <v>636</v>
      </c>
      <c r="C243" s="42">
        <v>4014</v>
      </c>
      <c r="D243" s="43"/>
      <c r="E243" s="44">
        <v>32.425</v>
      </c>
      <c r="F243" s="42"/>
      <c r="G243" s="42">
        <v>5382</v>
      </c>
      <c r="H243" s="42">
        <v>500</v>
      </c>
      <c r="I243" s="42" t="s">
        <v>264</v>
      </c>
      <c r="J243" s="42"/>
      <c r="K243" s="45" t="s">
        <v>676</v>
      </c>
      <c r="L243" s="42" t="s">
        <v>11</v>
      </c>
      <c r="M243" s="46">
        <v>45617</v>
      </c>
      <c r="N243" s="46">
        <v>45717</v>
      </c>
      <c r="O243" s="46">
        <v>46081</v>
      </c>
      <c r="P243" s="46">
        <v>45717</v>
      </c>
      <c r="Q243" s="47">
        <v>5000</v>
      </c>
      <c r="R243" s="47"/>
      <c r="S243" s="47">
        <f t="shared" si="21"/>
        <v>5000</v>
      </c>
      <c r="T243" s="47">
        <f t="shared" si="22"/>
        <v>11.9671232876712</v>
      </c>
      <c r="U243" s="42">
        <v>10000</v>
      </c>
      <c r="V243" s="42">
        <v>5000</v>
      </c>
      <c r="W243" s="42">
        <v>500</v>
      </c>
      <c r="X243" s="42"/>
      <c r="Y243" s="42"/>
      <c r="Z243" s="49"/>
      <c r="AA243" s="42"/>
      <c r="AB243" s="49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8" t="s">
        <v>677</v>
      </c>
      <c r="AP243" s="42">
        <v>18159351311</v>
      </c>
      <c r="AQ243" s="42"/>
    </row>
    <row r="244" s="5" customFormat="1" ht="20.15" customHeight="1" spans="1:43">
      <c r="A244" s="71">
        <f t="shared" si="19"/>
        <v>240</v>
      </c>
      <c r="B244" s="71" t="s">
        <v>636</v>
      </c>
      <c r="C244" s="71">
        <v>4015</v>
      </c>
      <c r="D244" s="72"/>
      <c r="E244" s="73">
        <v>32.425</v>
      </c>
      <c r="F244" s="71"/>
      <c r="G244" s="71">
        <v>4766</v>
      </c>
      <c r="H244" s="71">
        <v>500</v>
      </c>
      <c r="I244" s="71" t="s">
        <v>678</v>
      </c>
      <c r="J244" s="71"/>
      <c r="K244" s="74" t="s">
        <v>679</v>
      </c>
      <c r="L244" s="71" t="s">
        <v>11</v>
      </c>
      <c r="M244" s="75">
        <v>45931</v>
      </c>
      <c r="N244" s="75">
        <v>45973</v>
      </c>
      <c r="O244" s="75">
        <v>46337</v>
      </c>
      <c r="P244" s="75">
        <v>45973</v>
      </c>
      <c r="Q244" s="76">
        <v>5000</v>
      </c>
      <c r="R244" s="76"/>
      <c r="S244" s="76">
        <f t="shared" si="21"/>
        <v>5000</v>
      </c>
      <c r="T244" s="76">
        <f t="shared" si="22"/>
        <v>11.9671232876712</v>
      </c>
      <c r="U244" s="71">
        <v>10000</v>
      </c>
      <c r="V244" s="71">
        <v>5000</v>
      </c>
      <c r="W244" s="71">
        <v>500</v>
      </c>
      <c r="X244" s="71"/>
      <c r="Y244" s="71"/>
      <c r="Z244" s="49"/>
      <c r="AA244" s="42"/>
      <c r="AB244" s="42"/>
      <c r="AC244" s="42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7" t="s">
        <v>680</v>
      </c>
      <c r="AP244" s="71">
        <v>15989217576</v>
      </c>
      <c r="AQ244" s="71"/>
    </row>
    <row r="245" s="1" customFormat="1" ht="20.15" customHeight="1" spans="1:43">
      <c r="A245" s="42">
        <f t="shared" si="19"/>
        <v>241</v>
      </c>
      <c r="B245" s="42" t="s">
        <v>636</v>
      </c>
      <c r="C245" s="42">
        <v>4016</v>
      </c>
      <c r="D245" s="43"/>
      <c r="E245" s="44">
        <v>32.425</v>
      </c>
      <c r="F245" s="42"/>
      <c r="G245" s="42">
        <v>4660</v>
      </c>
      <c r="H245" s="42">
        <v>500</v>
      </c>
      <c r="I245" s="42" t="s">
        <v>681</v>
      </c>
      <c r="J245" s="42"/>
      <c r="K245" s="45" t="s">
        <v>682</v>
      </c>
      <c r="L245" s="42" t="s">
        <v>11</v>
      </c>
      <c r="M245" s="46">
        <v>45601</v>
      </c>
      <c r="N245" s="46">
        <v>45717</v>
      </c>
      <c r="O245" s="46">
        <v>46081</v>
      </c>
      <c r="P245" s="46">
        <v>45717</v>
      </c>
      <c r="Q245" s="47">
        <v>5000</v>
      </c>
      <c r="R245" s="47"/>
      <c r="S245" s="47">
        <f t="shared" si="21"/>
        <v>5000</v>
      </c>
      <c r="T245" s="47">
        <f t="shared" si="22"/>
        <v>11.9671232876712</v>
      </c>
      <c r="U245" s="42">
        <v>10000</v>
      </c>
      <c r="V245" s="42">
        <v>5000</v>
      </c>
      <c r="W245" s="42">
        <v>500</v>
      </c>
      <c r="X245" s="42"/>
      <c r="Y245" s="42"/>
      <c r="Z245" s="49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8" t="s">
        <v>683</v>
      </c>
      <c r="AP245" s="42">
        <v>13147830408</v>
      </c>
      <c r="AQ245" s="42"/>
    </row>
    <row r="246" s="1" customFormat="1" ht="20.15" customHeight="1" spans="1:43">
      <c r="A246" s="42">
        <f t="shared" ref="A246:A309" si="23">ROW()-4</f>
        <v>242</v>
      </c>
      <c r="B246" s="42" t="s">
        <v>636</v>
      </c>
      <c r="C246" s="42">
        <v>4017</v>
      </c>
      <c r="D246" s="43"/>
      <c r="E246" s="44">
        <v>32.42</v>
      </c>
      <c r="F246" s="42"/>
      <c r="G246" s="42">
        <v>4682</v>
      </c>
      <c r="H246" s="42">
        <v>500</v>
      </c>
      <c r="I246" s="42" t="s">
        <v>684</v>
      </c>
      <c r="J246" s="42"/>
      <c r="K246" s="45" t="s">
        <v>685</v>
      </c>
      <c r="L246" s="42" t="s">
        <v>11</v>
      </c>
      <c r="M246" s="46">
        <v>45620</v>
      </c>
      <c r="N246" s="46">
        <v>45717</v>
      </c>
      <c r="O246" s="46">
        <v>46081</v>
      </c>
      <c r="P246" s="46">
        <v>45717</v>
      </c>
      <c r="Q246" s="47">
        <v>5000</v>
      </c>
      <c r="R246" s="47"/>
      <c r="S246" s="47">
        <f t="shared" si="21"/>
        <v>5000</v>
      </c>
      <c r="T246" s="47">
        <f t="shared" si="22"/>
        <v>11.9671232876712</v>
      </c>
      <c r="U246" s="42">
        <v>20000</v>
      </c>
      <c r="V246" s="42">
        <v>5000</v>
      </c>
      <c r="W246" s="42">
        <v>500</v>
      </c>
      <c r="X246" s="42"/>
      <c r="Y246" s="42"/>
      <c r="Z246" s="42"/>
      <c r="AA246" s="42"/>
      <c r="AB246" s="42"/>
      <c r="AC246" s="42"/>
      <c r="AD246" s="42"/>
      <c r="AE246" s="42" t="s">
        <v>48</v>
      </c>
      <c r="AF246" s="42"/>
      <c r="AG246" s="42" t="s">
        <v>48</v>
      </c>
      <c r="AH246" s="42" t="s">
        <v>48</v>
      </c>
      <c r="AI246" s="42"/>
      <c r="AJ246" s="42"/>
      <c r="AK246" s="42"/>
      <c r="AL246" s="42" t="s">
        <v>48</v>
      </c>
      <c r="AM246" s="42"/>
      <c r="AN246" s="42"/>
      <c r="AO246" s="48" t="s">
        <v>686</v>
      </c>
      <c r="AP246" s="42">
        <v>15118888837</v>
      </c>
      <c r="AQ246" s="42"/>
    </row>
    <row r="247" s="1" customFormat="1" ht="20.15" customHeight="1" spans="1:43">
      <c r="A247" s="42">
        <f t="shared" si="23"/>
        <v>243</v>
      </c>
      <c r="B247" s="42" t="s">
        <v>636</v>
      </c>
      <c r="C247" s="42">
        <v>4018</v>
      </c>
      <c r="D247" s="43"/>
      <c r="E247" s="44">
        <v>32.42</v>
      </c>
      <c r="F247" s="42"/>
      <c r="G247" s="42">
        <v>4682</v>
      </c>
      <c r="H247" s="42">
        <v>500</v>
      </c>
      <c r="I247" s="42" t="s">
        <v>687</v>
      </c>
      <c r="J247" s="42"/>
      <c r="K247" s="45" t="s">
        <v>688</v>
      </c>
      <c r="L247" s="42" t="s">
        <v>11</v>
      </c>
      <c r="M247" s="46">
        <v>45624</v>
      </c>
      <c r="N247" s="46">
        <v>45748</v>
      </c>
      <c r="O247" s="46">
        <v>46112</v>
      </c>
      <c r="P247" s="46">
        <v>45748</v>
      </c>
      <c r="Q247" s="47">
        <v>5000</v>
      </c>
      <c r="R247" s="47"/>
      <c r="S247" s="47">
        <f t="shared" si="21"/>
        <v>5000</v>
      </c>
      <c r="T247" s="47">
        <f t="shared" si="22"/>
        <v>11.9671232876712</v>
      </c>
      <c r="U247" s="42">
        <v>10000</v>
      </c>
      <c r="V247" s="42">
        <v>5000</v>
      </c>
      <c r="W247" s="42">
        <v>500</v>
      </c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8" t="s">
        <v>689</v>
      </c>
      <c r="AP247" s="42">
        <v>13557456828</v>
      </c>
      <c r="AQ247" s="42"/>
    </row>
    <row r="248" s="4" customFormat="1" ht="20.15" customHeight="1" spans="1:43">
      <c r="A248" s="66">
        <f t="shared" si="23"/>
        <v>244</v>
      </c>
      <c r="B248" s="66" t="s">
        <v>636</v>
      </c>
      <c r="C248" s="66">
        <v>4019</v>
      </c>
      <c r="D248" s="43"/>
      <c r="E248" s="44">
        <v>32.425</v>
      </c>
      <c r="F248" s="42"/>
      <c r="G248" s="42">
        <v>5000</v>
      </c>
      <c r="H248" s="42">
        <v>500</v>
      </c>
      <c r="I248" s="66" t="s">
        <v>690</v>
      </c>
      <c r="J248" s="42"/>
      <c r="K248" s="45" t="s">
        <v>691</v>
      </c>
      <c r="L248" s="42" t="s">
        <v>11</v>
      </c>
      <c r="M248" s="67">
        <v>45923</v>
      </c>
      <c r="N248" s="67">
        <v>45901</v>
      </c>
      <c r="O248" s="67">
        <v>46265</v>
      </c>
      <c r="P248" s="67">
        <v>45901</v>
      </c>
      <c r="Q248" s="68">
        <v>5000</v>
      </c>
      <c r="R248" s="68"/>
      <c r="S248" s="68">
        <f t="shared" si="21"/>
        <v>5000</v>
      </c>
      <c r="T248" s="68">
        <f t="shared" si="22"/>
        <v>11.9671232876712</v>
      </c>
      <c r="U248" s="66">
        <v>10000</v>
      </c>
      <c r="V248" s="66">
        <v>5000</v>
      </c>
      <c r="W248" s="66">
        <v>500</v>
      </c>
      <c r="X248" s="66"/>
      <c r="Y248" s="66"/>
      <c r="Z248" s="42"/>
      <c r="AA248" s="42"/>
      <c r="AB248" s="42"/>
      <c r="AC248" s="42"/>
      <c r="AD248" s="66" t="s">
        <v>48</v>
      </c>
      <c r="AE248" s="66" t="s">
        <v>48</v>
      </c>
      <c r="AF248" s="66" t="s">
        <v>48</v>
      </c>
      <c r="AG248" s="66" t="s">
        <v>48</v>
      </c>
      <c r="AH248" s="66" t="s">
        <v>48</v>
      </c>
      <c r="AI248" s="66" t="s">
        <v>48</v>
      </c>
      <c r="AJ248" s="66" t="s">
        <v>48</v>
      </c>
      <c r="AK248" s="66" t="s">
        <v>48</v>
      </c>
      <c r="AL248" s="66" t="s">
        <v>48</v>
      </c>
      <c r="AM248" s="66" t="s">
        <v>48</v>
      </c>
      <c r="AN248" s="66" t="s">
        <v>48</v>
      </c>
      <c r="AO248" s="148" t="s">
        <v>692</v>
      </c>
      <c r="AP248" s="149">
        <v>13538980433</v>
      </c>
      <c r="AQ248" s="66"/>
    </row>
    <row r="249" s="1" customFormat="1" ht="20.15" customHeight="1" spans="1:43">
      <c r="A249" s="42">
        <f t="shared" si="23"/>
        <v>245</v>
      </c>
      <c r="B249" s="42" t="s">
        <v>636</v>
      </c>
      <c r="C249" s="42">
        <v>4020</v>
      </c>
      <c r="D249" s="43"/>
      <c r="E249" s="44">
        <v>32.425</v>
      </c>
      <c r="F249" s="42"/>
      <c r="G249" s="42">
        <v>4236</v>
      </c>
      <c r="H249" s="42">
        <v>500</v>
      </c>
      <c r="I249" s="42" t="s">
        <v>693</v>
      </c>
      <c r="J249" s="42"/>
      <c r="K249" s="45" t="s">
        <v>694</v>
      </c>
      <c r="L249" s="42" t="s">
        <v>11</v>
      </c>
      <c r="M249" s="46">
        <v>45626</v>
      </c>
      <c r="N249" s="46">
        <v>45689</v>
      </c>
      <c r="O249" s="46">
        <v>46053</v>
      </c>
      <c r="P249" s="46">
        <v>45689</v>
      </c>
      <c r="Q249" s="47">
        <v>5000</v>
      </c>
      <c r="R249" s="47"/>
      <c r="S249" s="47">
        <f t="shared" si="21"/>
        <v>5000</v>
      </c>
      <c r="T249" s="47">
        <f t="shared" si="22"/>
        <v>11.9671232876712</v>
      </c>
      <c r="U249" s="42">
        <v>10000</v>
      </c>
      <c r="V249" s="42">
        <v>5000</v>
      </c>
      <c r="W249" s="42">
        <v>500</v>
      </c>
      <c r="X249" s="42"/>
      <c r="Y249" s="42"/>
      <c r="Z249" s="42"/>
      <c r="AA249" s="42"/>
      <c r="AB249" s="42"/>
      <c r="AC249" s="42"/>
      <c r="AD249" s="42" t="s">
        <v>48</v>
      </c>
      <c r="AE249" s="42" t="s">
        <v>48</v>
      </c>
      <c r="AF249" s="42" t="s">
        <v>48</v>
      </c>
      <c r="AG249" s="42" t="s">
        <v>48</v>
      </c>
      <c r="AH249" s="42" t="s">
        <v>48</v>
      </c>
      <c r="AI249" s="42" t="s">
        <v>48</v>
      </c>
      <c r="AJ249" s="42" t="s">
        <v>48</v>
      </c>
      <c r="AK249" s="42" t="s">
        <v>48</v>
      </c>
      <c r="AL249" s="42" t="s">
        <v>48</v>
      </c>
      <c r="AM249" s="42" t="s">
        <v>48</v>
      </c>
      <c r="AN249" s="42" t="s">
        <v>48</v>
      </c>
      <c r="AO249" s="150" t="s">
        <v>695</v>
      </c>
      <c r="AP249" s="151">
        <v>13826106384</v>
      </c>
      <c r="AQ249" s="42"/>
    </row>
    <row r="250" s="1" customFormat="1" ht="20.15" customHeight="1" spans="1:43">
      <c r="A250" s="42">
        <f t="shared" si="23"/>
        <v>246</v>
      </c>
      <c r="B250" s="42" t="s">
        <v>636</v>
      </c>
      <c r="C250" s="42">
        <v>4021</v>
      </c>
      <c r="D250" s="43"/>
      <c r="E250" s="44">
        <v>32.425</v>
      </c>
      <c r="F250" s="42"/>
      <c r="G250" s="42">
        <v>4682</v>
      </c>
      <c r="H250" s="42">
        <v>500</v>
      </c>
      <c r="I250" s="42" t="s">
        <v>696</v>
      </c>
      <c r="J250" s="42"/>
      <c r="K250" s="45" t="s">
        <v>697</v>
      </c>
      <c r="L250" s="42" t="s">
        <v>11</v>
      </c>
      <c r="M250" s="46">
        <v>45647</v>
      </c>
      <c r="N250" s="46">
        <v>45748</v>
      </c>
      <c r="O250" s="46">
        <v>46112</v>
      </c>
      <c r="P250" s="46">
        <v>45748</v>
      </c>
      <c r="Q250" s="47">
        <v>5000</v>
      </c>
      <c r="R250" s="47"/>
      <c r="S250" s="47">
        <f t="shared" si="21"/>
        <v>5000</v>
      </c>
      <c r="T250" s="47">
        <f t="shared" si="22"/>
        <v>11.9671232876712</v>
      </c>
      <c r="U250" s="42">
        <v>10000</v>
      </c>
      <c r="V250" s="42">
        <v>5000</v>
      </c>
      <c r="W250" s="42">
        <v>500</v>
      </c>
      <c r="X250" s="42"/>
      <c r="Y250" s="42"/>
      <c r="Z250" s="42"/>
      <c r="AA250" s="42"/>
      <c r="AB250" s="42"/>
      <c r="AC250" s="42"/>
      <c r="AD250" s="42"/>
      <c r="AE250" s="42" t="s">
        <v>48</v>
      </c>
      <c r="AF250" s="42" t="s">
        <v>48</v>
      </c>
      <c r="AG250" s="42" t="s">
        <v>48</v>
      </c>
      <c r="AH250" s="42" t="s">
        <v>48</v>
      </c>
      <c r="AI250" s="42"/>
      <c r="AJ250" s="42"/>
      <c r="AK250" s="42"/>
      <c r="AL250" s="42" t="s">
        <v>48</v>
      </c>
      <c r="AM250" s="42"/>
      <c r="AN250" s="42"/>
      <c r="AO250" s="48" t="s">
        <v>689</v>
      </c>
      <c r="AP250" s="42">
        <v>18520375875</v>
      </c>
      <c r="AQ250" s="42"/>
    </row>
    <row r="251" s="1" customFormat="1" ht="20.15" customHeight="1" spans="1:43">
      <c r="A251" s="42">
        <f t="shared" si="23"/>
        <v>247</v>
      </c>
      <c r="B251" s="42" t="s">
        <v>636</v>
      </c>
      <c r="C251" s="42">
        <v>4022</v>
      </c>
      <c r="D251" s="43"/>
      <c r="E251" s="44">
        <v>32.425</v>
      </c>
      <c r="F251" s="42"/>
      <c r="G251" s="42">
        <v>5000</v>
      </c>
      <c r="H251" s="42">
        <v>500</v>
      </c>
      <c r="I251" s="42" t="s">
        <v>698</v>
      </c>
      <c r="J251" s="42"/>
      <c r="K251" s="42">
        <v>4022</v>
      </c>
      <c r="L251" s="42" t="s">
        <v>11</v>
      </c>
      <c r="M251" s="46">
        <v>45945</v>
      </c>
      <c r="N251" s="46">
        <v>45908</v>
      </c>
      <c r="O251" s="46">
        <v>46272</v>
      </c>
      <c r="P251" s="46">
        <v>45908</v>
      </c>
      <c r="Q251" s="47">
        <v>5000</v>
      </c>
      <c r="R251" s="47"/>
      <c r="S251" s="47">
        <f t="shared" si="21"/>
        <v>5000</v>
      </c>
      <c r="T251" s="47">
        <f t="shared" si="22"/>
        <v>11.9671232876712</v>
      </c>
      <c r="U251" s="42">
        <v>10000</v>
      </c>
      <c r="V251" s="42">
        <v>5000</v>
      </c>
      <c r="W251" s="42">
        <v>500</v>
      </c>
      <c r="X251" s="42"/>
      <c r="Y251" s="42"/>
      <c r="Z251" s="49"/>
      <c r="AA251" s="42"/>
      <c r="AB251" s="42"/>
      <c r="AC251" s="42"/>
      <c r="AD251" s="42" t="s">
        <v>48</v>
      </c>
      <c r="AE251" s="42" t="s">
        <v>48</v>
      </c>
      <c r="AF251" s="42" t="s">
        <v>48</v>
      </c>
      <c r="AG251" s="42" t="s">
        <v>48</v>
      </c>
      <c r="AH251" s="42" t="s">
        <v>48</v>
      </c>
      <c r="AI251" s="42" t="s">
        <v>48</v>
      </c>
      <c r="AJ251" s="42" t="s">
        <v>48</v>
      </c>
      <c r="AK251" s="42" t="s">
        <v>48</v>
      </c>
      <c r="AL251" s="42" t="s">
        <v>48</v>
      </c>
      <c r="AM251" s="42" t="s">
        <v>48</v>
      </c>
      <c r="AN251" s="42" t="s">
        <v>48</v>
      </c>
      <c r="AO251" s="48" t="s">
        <v>699</v>
      </c>
      <c r="AP251" s="42">
        <v>15843405958</v>
      </c>
      <c r="AQ251" s="42"/>
    </row>
    <row r="252" s="1" customFormat="1" ht="20.15" customHeight="1" spans="1:43">
      <c r="A252" s="42">
        <f t="shared" si="23"/>
        <v>248</v>
      </c>
      <c r="B252" s="42" t="s">
        <v>636</v>
      </c>
      <c r="C252" s="42">
        <v>4023</v>
      </c>
      <c r="D252" s="43"/>
      <c r="E252" s="44">
        <v>32.425</v>
      </c>
      <c r="F252" s="42"/>
      <c r="G252" s="42">
        <v>4682</v>
      </c>
      <c r="H252" s="42">
        <v>500</v>
      </c>
      <c r="I252" s="42" t="s">
        <v>700</v>
      </c>
      <c r="J252" s="42"/>
      <c r="K252" s="45" t="s">
        <v>701</v>
      </c>
      <c r="L252" s="42" t="s">
        <v>11</v>
      </c>
      <c r="M252" s="46">
        <v>45612</v>
      </c>
      <c r="N252" s="46">
        <v>45689</v>
      </c>
      <c r="O252" s="46">
        <v>46053</v>
      </c>
      <c r="P252" s="46">
        <v>45689</v>
      </c>
      <c r="Q252" s="47">
        <v>5000</v>
      </c>
      <c r="R252" s="47"/>
      <c r="S252" s="47">
        <f t="shared" si="21"/>
        <v>5000</v>
      </c>
      <c r="T252" s="47">
        <f t="shared" si="22"/>
        <v>11.9671232876712</v>
      </c>
      <c r="U252" s="42">
        <v>10000</v>
      </c>
      <c r="V252" s="42">
        <v>5000</v>
      </c>
      <c r="W252" s="42">
        <v>500</v>
      </c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8" t="s">
        <v>702</v>
      </c>
      <c r="AP252" s="42">
        <v>18665656557</v>
      </c>
      <c r="AQ252" s="42"/>
    </row>
    <row r="253" s="1" customFormat="1" ht="20.15" customHeight="1" spans="1:43">
      <c r="A253" s="42">
        <f t="shared" si="23"/>
        <v>249</v>
      </c>
      <c r="B253" s="42" t="s">
        <v>636</v>
      </c>
      <c r="C253" s="42">
        <v>4024</v>
      </c>
      <c r="D253" s="43"/>
      <c r="E253" s="44">
        <v>32.425</v>
      </c>
      <c r="F253" s="42"/>
      <c r="G253" s="42">
        <v>4766</v>
      </c>
      <c r="H253" s="42">
        <v>500</v>
      </c>
      <c r="I253" s="42" t="s">
        <v>605</v>
      </c>
      <c r="J253" s="42"/>
      <c r="K253" s="45" t="s">
        <v>703</v>
      </c>
      <c r="L253" s="42" t="s">
        <v>11</v>
      </c>
      <c r="M253" s="46">
        <v>45834</v>
      </c>
      <c r="N253" s="46">
        <v>45870</v>
      </c>
      <c r="O253" s="46">
        <v>46234</v>
      </c>
      <c r="P253" s="46">
        <v>45870</v>
      </c>
      <c r="Q253" s="47">
        <v>5000</v>
      </c>
      <c r="R253" s="47"/>
      <c r="S253" s="47">
        <f t="shared" si="21"/>
        <v>5000</v>
      </c>
      <c r="T253" s="47">
        <f t="shared" si="22"/>
        <v>11.9671232876712</v>
      </c>
      <c r="U253" s="42">
        <v>10000</v>
      </c>
      <c r="V253" s="42">
        <v>5000</v>
      </c>
      <c r="W253" s="42">
        <v>500</v>
      </c>
      <c r="X253" s="42"/>
      <c r="Y253" s="42"/>
      <c r="Z253" s="49"/>
      <c r="AA253" s="42"/>
      <c r="AB253" s="42"/>
      <c r="AC253" s="42"/>
      <c r="AD253" s="42"/>
      <c r="AE253" s="42" t="s">
        <v>48</v>
      </c>
      <c r="AF253" s="42" t="s">
        <v>48</v>
      </c>
      <c r="AG253" s="42" t="s">
        <v>48</v>
      </c>
      <c r="AH253" s="42" t="s">
        <v>48</v>
      </c>
      <c r="AI253" s="42" t="s">
        <v>48</v>
      </c>
      <c r="AJ253" s="42" t="s">
        <v>48</v>
      </c>
      <c r="AK253" s="42" t="s">
        <v>48</v>
      </c>
      <c r="AL253" s="42" t="s">
        <v>48</v>
      </c>
      <c r="AM253" s="42" t="s">
        <v>48</v>
      </c>
      <c r="AN253" s="42" t="s">
        <v>48</v>
      </c>
      <c r="AO253" s="48" t="s">
        <v>607</v>
      </c>
      <c r="AP253" s="42">
        <v>13710020577</v>
      </c>
      <c r="AQ253" s="42"/>
    </row>
    <row r="254" s="1" customFormat="1" ht="20.15" customHeight="1" spans="1:43">
      <c r="A254" s="42">
        <f t="shared" si="23"/>
        <v>250</v>
      </c>
      <c r="B254" s="42" t="s">
        <v>636</v>
      </c>
      <c r="C254" s="42">
        <v>4025</v>
      </c>
      <c r="D254" s="43"/>
      <c r="E254" s="44">
        <v>50.5</v>
      </c>
      <c r="F254" s="42"/>
      <c r="G254" s="42">
        <v>6496</v>
      </c>
      <c r="H254" s="42">
        <v>500</v>
      </c>
      <c r="I254" s="42" t="s">
        <v>704</v>
      </c>
      <c r="J254" s="42"/>
      <c r="K254" s="45" t="s">
        <v>705</v>
      </c>
      <c r="L254" s="42" t="s">
        <v>11</v>
      </c>
      <c r="M254" s="46">
        <v>45621</v>
      </c>
      <c r="N254" s="46">
        <v>45717</v>
      </c>
      <c r="O254" s="46">
        <v>46081</v>
      </c>
      <c r="P254" s="46">
        <v>45717</v>
      </c>
      <c r="Q254" s="47">
        <v>5000</v>
      </c>
      <c r="R254" s="47"/>
      <c r="S254" s="47">
        <f t="shared" si="21"/>
        <v>5000</v>
      </c>
      <c r="T254" s="47">
        <f t="shared" si="22"/>
        <v>11.9671232876712</v>
      </c>
      <c r="U254" s="42">
        <v>10000</v>
      </c>
      <c r="V254" s="42">
        <v>5000</v>
      </c>
      <c r="W254" s="42">
        <v>500</v>
      </c>
      <c r="X254" s="42"/>
      <c r="Y254" s="42"/>
      <c r="Z254" s="42"/>
      <c r="AA254" s="42"/>
      <c r="AB254" s="42"/>
      <c r="AC254" s="42"/>
      <c r="AD254" s="42"/>
      <c r="AE254" s="42" t="s">
        <v>48</v>
      </c>
      <c r="AF254" s="42"/>
      <c r="AG254" s="42" t="s">
        <v>48</v>
      </c>
      <c r="AH254" s="42" t="s">
        <v>48</v>
      </c>
      <c r="AI254" s="42"/>
      <c r="AJ254" s="42"/>
      <c r="AK254" s="42"/>
      <c r="AL254" s="42" t="s">
        <v>48</v>
      </c>
      <c r="AM254" s="42"/>
      <c r="AN254" s="42"/>
      <c r="AO254" s="48" t="s">
        <v>706</v>
      </c>
      <c r="AP254" s="42">
        <v>1356228911</v>
      </c>
      <c r="AQ254" s="42"/>
    </row>
    <row r="255" s="1" customFormat="1" ht="20.15" customHeight="1" spans="1:43">
      <c r="A255" s="42">
        <f t="shared" si="23"/>
        <v>251</v>
      </c>
      <c r="B255" s="42" t="s">
        <v>636</v>
      </c>
      <c r="C255" s="42">
        <v>4026</v>
      </c>
      <c r="D255" s="43"/>
      <c r="E255" s="44">
        <v>32.425</v>
      </c>
      <c r="F255" s="42"/>
      <c r="G255" s="42">
        <v>4236</v>
      </c>
      <c r="H255" s="42">
        <v>500</v>
      </c>
      <c r="I255" s="42" t="s">
        <v>707</v>
      </c>
      <c r="J255" s="42"/>
      <c r="K255" s="45" t="s">
        <v>708</v>
      </c>
      <c r="L255" s="42" t="s">
        <v>11</v>
      </c>
      <c r="M255" s="46">
        <v>45625</v>
      </c>
      <c r="N255" s="46">
        <v>45748</v>
      </c>
      <c r="O255" s="46">
        <v>46112</v>
      </c>
      <c r="P255" s="46">
        <v>45748</v>
      </c>
      <c r="Q255" s="47">
        <v>5000</v>
      </c>
      <c r="R255" s="47"/>
      <c r="S255" s="47">
        <f t="shared" si="21"/>
        <v>5000</v>
      </c>
      <c r="T255" s="47">
        <f t="shared" si="22"/>
        <v>11.9671232876712</v>
      </c>
      <c r="U255" s="42">
        <v>10000</v>
      </c>
      <c r="V255" s="42">
        <v>5000</v>
      </c>
      <c r="W255" s="42">
        <v>500</v>
      </c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8" t="s">
        <v>709</v>
      </c>
      <c r="AP255" s="42">
        <v>15914314965</v>
      </c>
      <c r="AQ255" s="42"/>
    </row>
    <row r="256" s="1" customFormat="1" ht="20.15" customHeight="1" spans="1:43">
      <c r="A256" s="42">
        <f t="shared" si="23"/>
        <v>252</v>
      </c>
      <c r="B256" s="42" t="s">
        <v>636</v>
      </c>
      <c r="C256" s="42">
        <v>4027</v>
      </c>
      <c r="D256" s="43"/>
      <c r="E256" s="44">
        <v>32.425</v>
      </c>
      <c r="F256" s="42"/>
      <c r="G256" s="42">
        <v>4766</v>
      </c>
      <c r="H256" s="42">
        <v>500</v>
      </c>
      <c r="I256" s="42" t="s">
        <v>710</v>
      </c>
      <c r="J256" s="42"/>
      <c r="K256" s="45" t="s">
        <v>711</v>
      </c>
      <c r="L256" s="42" t="s">
        <v>11</v>
      </c>
      <c r="M256" s="46">
        <v>45532</v>
      </c>
      <c r="N256" s="46">
        <v>45748</v>
      </c>
      <c r="O256" s="46">
        <v>46112</v>
      </c>
      <c r="P256" s="46">
        <v>45748</v>
      </c>
      <c r="Q256" s="47">
        <v>5000</v>
      </c>
      <c r="R256" s="47"/>
      <c r="S256" s="47">
        <f t="shared" si="21"/>
        <v>5000</v>
      </c>
      <c r="T256" s="47">
        <f t="shared" si="22"/>
        <v>11.9671232876712</v>
      </c>
      <c r="U256" s="42">
        <v>20000</v>
      </c>
      <c r="V256" s="42">
        <v>5000</v>
      </c>
      <c r="W256" s="42">
        <v>500</v>
      </c>
      <c r="X256" s="42"/>
      <c r="Y256" s="42"/>
      <c r="Z256" s="49"/>
      <c r="AA256" s="42"/>
      <c r="AB256" s="42"/>
      <c r="AC256" s="42"/>
      <c r="AD256" s="42"/>
      <c r="AE256" s="42" t="s">
        <v>48</v>
      </c>
      <c r="AF256" s="42"/>
      <c r="AG256" s="42" t="s">
        <v>48</v>
      </c>
      <c r="AH256" s="42" t="s">
        <v>48</v>
      </c>
      <c r="AI256" s="42"/>
      <c r="AJ256" s="42" t="s">
        <v>48</v>
      </c>
      <c r="AK256" s="42"/>
      <c r="AL256" s="42" t="s">
        <v>48</v>
      </c>
      <c r="AM256" s="42"/>
      <c r="AN256" s="42"/>
      <c r="AO256" s="48" t="s">
        <v>712</v>
      </c>
      <c r="AP256" s="42">
        <v>18529729372</v>
      </c>
      <c r="AQ256" s="42"/>
    </row>
    <row r="257" s="4" customFormat="1" ht="20.15" customHeight="1" spans="1:1024 1025:16384">
      <c r="A257" s="66">
        <f t="shared" si="23"/>
        <v>253</v>
      </c>
      <c r="B257" s="66" t="s">
        <v>636</v>
      </c>
      <c r="C257" s="66">
        <v>4028</v>
      </c>
      <c r="D257" s="43"/>
      <c r="E257" s="44">
        <v>32.425</v>
      </c>
      <c r="F257" s="42"/>
      <c r="G257" s="42">
        <v>5516</v>
      </c>
      <c r="H257" s="42">
        <v>500</v>
      </c>
      <c r="I257" s="66" t="s">
        <v>713</v>
      </c>
      <c r="J257" s="42"/>
      <c r="K257" s="45" t="s">
        <v>714</v>
      </c>
      <c r="L257" s="42" t="s">
        <v>11</v>
      </c>
      <c r="M257" s="67">
        <v>45894</v>
      </c>
      <c r="N257" s="67">
        <v>45973</v>
      </c>
      <c r="O257" s="67">
        <v>46337</v>
      </c>
      <c r="P257" s="67">
        <v>45973</v>
      </c>
      <c r="Q257" s="68">
        <v>5000</v>
      </c>
      <c r="R257" s="68"/>
      <c r="S257" s="68">
        <f t="shared" si="21"/>
        <v>5000</v>
      </c>
      <c r="T257" s="68">
        <f t="shared" si="22"/>
        <v>11.9671232876712</v>
      </c>
      <c r="U257" s="66">
        <v>10000</v>
      </c>
      <c r="V257" s="66">
        <v>5000</v>
      </c>
      <c r="W257" s="66">
        <v>500</v>
      </c>
      <c r="X257" s="66"/>
      <c r="Y257" s="66"/>
      <c r="Z257" s="49"/>
      <c r="AA257" s="42"/>
      <c r="AB257" s="42"/>
      <c r="AC257" s="42"/>
      <c r="AD257" s="66"/>
      <c r="AE257" s="66" t="s">
        <v>48</v>
      </c>
      <c r="AF257" s="66" t="s">
        <v>48</v>
      </c>
      <c r="AG257" s="66" t="s">
        <v>48</v>
      </c>
      <c r="AH257" s="66" t="s">
        <v>48</v>
      </c>
      <c r="AI257" s="66"/>
      <c r="AJ257" s="66"/>
      <c r="AK257" s="66"/>
      <c r="AL257" s="66" t="s">
        <v>48</v>
      </c>
      <c r="AM257" s="66"/>
      <c r="AN257" s="66"/>
      <c r="AO257" s="69" t="s">
        <v>715</v>
      </c>
      <c r="AP257" s="66">
        <v>13622212349</v>
      </c>
      <c r="AQ257" s="66"/>
    </row>
    <row r="258" s="1" customFormat="1" ht="20.15" customHeight="1" spans="1:1024 1025:16384">
      <c r="A258" s="42">
        <f t="shared" si="23"/>
        <v>254</v>
      </c>
      <c r="B258" s="42" t="s">
        <v>636</v>
      </c>
      <c r="C258" s="42">
        <v>4029</v>
      </c>
      <c r="D258" s="43"/>
      <c r="E258" s="44">
        <v>32.425</v>
      </c>
      <c r="F258" s="42"/>
      <c r="G258" s="42">
        <v>5516</v>
      </c>
      <c r="H258" s="42">
        <v>500</v>
      </c>
      <c r="I258" s="42" t="s">
        <v>716</v>
      </c>
      <c r="J258" s="42"/>
      <c r="K258" s="45" t="s">
        <v>717</v>
      </c>
      <c r="L258" s="42" t="s">
        <v>11</v>
      </c>
      <c r="M258" s="46">
        <v>45626</v>
      </c>
      <c r="N258" s="46">
        <v>45748</v>
      </c>
      <c r="O258" s="46">
        <v>46112</v>
      </c>
      <c r="P258" s="46">
        <v>45748</v>
      </c>
      <c r="Q258" s="47">
        <v>5000</v>
      </c>
      <c r="R258" s="47"/>
      <c r="S258" s="47">
        <f t="shared" si="21"/>
        <v>5000</v>
      </c>
      <c r="T258" s="47">
        <f t="shared" si="22"/>
        <v>11.9671232876712</v>
      </c>
      <c r="U258" s="42">
        <v>10000</v>
      </c>
      <c r="V258" s="42">
        <v>5000</v>
      </c>
      <c r="W258" s="42">
        <v>500</v>
      </c>
      <c r="X258" s="42"/>
      <c r="Y258" s="42"/>
      <c r="Z258" s="49"/>
      <c r="AA258" s="42"/>
      <c r="AB258" s="42"/>
      <c r="AC258" s="42"/>
      <c r="AD258" s="42"/>
      <c r="AE258" s="42" t="s">
        <v>48</v>
      </c>
      <c r="AF258" s="42" t="s">
        <v>48</v>
      </c>
      <c r="AG258" s="42" t="s">
        <v>48</v>
      </c>
      <c r="AH258" s="42" t="s">
        <v>48</v>
      </c>
      <c r="AI258" s="42"/>
      <c r="AJ258" s="42"/>
      <c r="AK258" s="42"/>
      <c r="AL258" s="42" t="s">
        <v>48</v>
      </c>
      <c r="AM258" s="42"/>
      <c r="AN258" s="42"/>
      <c r="AO258" s="48" t="s">
        <v>718</v>
      </c>
      <c r="AP258" s="42">
        <v>13430777737</v>
      </c>
      <c r="AQ258" s="42"/>
    </row>
    <row r="259" s="1" customFormat="1" ht="20.15" customHeight="1" spans="1:1024 1025:16384">
      <c r="A259" s="42">
        <f t="shared" si="23"/>
        <v>255</v>
      </c>
      <c r="B259" s="42" t="s">
        <v>636</v>
      </c>
      <c r="C259" s="42">
        <v>4030</v>
      </c>
      <c r="D259" s="43"/>
      <c r="E259" s="44">
        <v>32.425</v>
      </c>
      <c r="F259" s="42"/>
      <c r="G259" s="42">
        <v>9364</v>
      </c>
      <c r="H259" s="42">
        <v>1000</v>
      </c>
      <c r="I259" s="42" t="s">
        <v>716</v>
      </c>
      <c r="J259" s="42"/>
      <c r="K259" s="45" t="s">
        <v>719</v>
      </c>
      <c r="L259" s="42" t="s">
        <v>11</v>
      </c>
      <c r="M259" s="46">
        <v>45838</v>
      </c>
      <c r="N259" s="46">
        <v>45839</v>
      </c>
      <c r="O259" s="46">
        <v>46203</v>
      </c>
      <c r="P259" s="46">
        <v>45839</v>
      </c>
      <c r="Q259" s="47">
        <v>5000</v>
      </c>
      <c r="R259" s="47"/>
      <c r="S259" s="47">
        <f t="shared" si="21"/>
        <v>5000</v>
      </c>
      <c r="T259" s="47">
        <f t="shared" si="22"/>
        <v>11.9671232876712</v>
      </c>
      <c r="U259" s="42">
        <v>10000</v>
      </c>
      <c r="V259" s="42">
        <v>5000</v>
      </c>
      <c r="W259" s="42">
        <v>500</v>
      </c>
      <c r="X259" s="42"/>
      <c r="Y259" s="42"/>
      <c r="Z259" s="52"/>
      <c r="AA259" s="52"/>
      <c r="AB259" s="52"/>
      <c r="AC259" s="52"/>
      <c r="AD259" s="42"/>
      <c r="AE259" s="42" t="s">
        <v>48</v>
      </c>
      <c r="AF259" s="42" t="s">
        <v>48</v>
      </c>
      <c r="AG259" s="42" t="s">
        <v>48</v>
      </c>
      <c r="AH259" s="42" t="s">
        <v>48</v>
      </c>
      <c r="AI259" s="42"/>
      <c r="AJ259" s="42"/>
      <c r="AK259" s="42" t="s">
        <v>48</v>
      </c>
      <c r="AL259" s="42" t="s">
        <v>48</v>
      </c>
      <c r="AM259" s="42" t="s">
        <v>48</v>
      </c>
      <c r="AN259" s="42" t="s">
        <v>48</v>
      </c>
      <c r="AO259" s="48" t="s">
        <v>718</v>
      </c>
      <c r="AP259" s="42">
        <v>18814366840</v>
      </c>
      <c r="AQ259" s="42"/>
    </row>
    <row r="260" s="4" customFormat="1" ht="20.15" customHeight="1" spans="1:1024 1025:16384">
      <c r="A260" s="66">
        <f t="shared" si="23"/>
        <v>256</v>
      </c>
      <c r="B260" s="66" t="s">
        <v>636</v>
      </c>
      <c r="C260" s="66">
        <v>4031</v>
      </c>
      <c r="D260" s="43"/>
      <c r="E260" s="44">
        <v>32.425</v>
      </c>
      <c r="F260" s="42"/>
      <c r="G260" s="42">
        <v>5000</v>
      </c>
      <c r="H260" s="42">
        <v>500</v>
      </c>
      <c r="I260" s="66" t="s">
        <v>592</v>
      </c>
      <c r="J260" s="42"/>
      <c r="K260" s="45" t="s">
        <v>720</v>
      </c>
      <c r="L260" s="42" t="s">
        <v>11</v>
      </c>
      <c r="M260" s="67">
        <v>45894</v>
      </c>
      <c r="N260" s="67">
        <v>45901</v>
      </c>
      <c r="O260" s="67">
        <v>46265</v>
      </c>
      <c r="P260" s="67">
        <v>45901</v>
      </c>
      <c r="Q260" s="68">
        <v>5000</v>
      </c>
      <c r="R260" s="68"/>
      <c r="S260" s="68">
        <f t="shared" si="21"/>
        <v>5000</v>
      </c>
      <c r="T260" s="68">
        <f t="shared" si="22"/>
        <v>11.9671232876712</v>
      </c>
      <c r="U260" s="66">
        <v>10000</v>
      </c>
      <c r="V260" s="66">
        <v>5000</v>
      </c>
      <c r="W260" s="66">
        <v>500</v>
      </c>
      <c r="X260" s="66"/>
      <c r="Y260" s="66"/>
      <c r="Z260" s="42"/>
      <c r="AA260" s="42"/>
      <c r="AB260" s="42"/>
      <c r="AC260" s="42"/>
      <c r="AD260" s="66" t="s">
        <v>48</v>
      </c>
      <c r="AE260" s="66" t="s">
        <v>48</v>
      </c>
      <c r="AF260" s="66" t="s">
        <v>48</v>
      </c>
      <c r="AG260" s="66" t="s">
        <v>48</v>
      </c>
      <c r="AH260" s="66" t="s">
        <v>48</v>
      </c>
      <c r="AI260" s="66" t="s">
        <v>48</v>
      </c>
      <c r="AJ260" s="66" t="s">
        <v>48</v>
      </c>
      <c r="AK260" s="66" t="s">
        <v>48</v>
      </c>
      <c r="AL260" s="66" t="s">
        <v>48</v>
      </c>
      <c r="AM260" s="66" t="s">
        <v>48</v>
      </c>
      <c r="AN260" s="66" t="s">
        <v>48</v>
      </c>
      <c r="AO260" s="69" t="s">
        <v>593</v>
      </c>
      <c r="AP260" s="66">
        <v>13928921259</v>
      </c>
      <c r="AQ260" s="66"/>
    </row>
    <row r="261" s="1" customFormat="1" ht="20.15" customHeight="1" spans="1:1024 1025:16384">
      <c r="A261" s="42">
        <f t="shared" si="23"/>
        <v>257</v>
      </c>
      <c r="B261" s="42" t="s">
        <v>636</v>
      </c>
      <c r="C261" s="42">
        <v>4032</v>
      </c>
      <c r="D261" s="43"/>
      <c r="E261" s="44">
        <v>32.425</v>
      </c>
      <c r="F261" s="42"/>
      <c r="G261" s="42">
        <v>4180</v>
      </c>
      <c r="H261" s="42">
        <v>500</v>
      </c>
      <c r="I261" s="42" t="s">
        <v>721</v>
      </c>
      <c r="J261" s="42"/>
      <c r="K261" s="45" t="s">
        <v>722</v>
      </c>
      <c r="L261" s="42" t="s">
        <v>11</v>
      </c>
      <c r="M261" s="46">
        <v>45610</v>
      </c>
      <c r="N261" s="46">
        <v>45717</v>
      </c>
      <c r="O261" s="46">
        <v>46081</v>
      </c>
      <c r="P261" s="46">
        <v>45717</v>
      </c>
      <c r="Q261" s="47">
        <v>5000</v>
      </c>
      <c r="R261" s="47"/>
      <c r="S261" s="47">
        <f t="shared" si="21"/>
        <v>5000</v>
      </c>
      <c r="T261" s="47">
        <f t="shared" si="22"/>
        <v>11.9671232876712</v>
      </c>
      <c r="U261" s="42">
        <v>10000</v>
      </c>
      <c r="V261" s="42">
        <v>5000</v>
      </c>
      <c r="W261" s="42">
        <v>500</v>
      </c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8" t="s">
        <v>723</v>
      </c>
      <c r="AP261" s="42">
        <v>15171192212</v>
      </c>
      <c r="AQ261" s="42"/>
    </row>
    <row r="262" s="5" customFormat="1" ht="20.15" customHeight="1" spans="1:1024 1025:16384">
      <c r="A262" s="71">
        <f t="shared" si="23"/>
        <v>258</v>
      </c>
      <c r="B262" s="71" t="s">
        <v>636</v>
      </c>
      <c r="C262" s="71">
        <v>4033</v>
      </c>
      <c r="D262" s="72"/>
      <c r="E262" s="73">
        <v>32.425</v>
      </c>
      <c r="F262" s="71"/>
      <c r="G262" s="71">
        <v>5382</v>
      </c>
      <c r="H262" s="71">
        <v>500</v>
      </c>
      <c r="I262" s="71" t="s">
        <v>414</v>
      </c>
      <c r="J262" s="71"/>
      <c r="K262" s="74" t="s">
        <v>724</v>
      </c>
      <c r="L262" s="71" t="s">
        <v>11</v>
      </c>
      <c r="M262" s="75">
        <v>45961</v>
      </c>
      <c r="N262" s="75">
        <v>45973</v>
      </c>
      <c r="O262" s="75">
        <v>46337</v>
      </c>
      <c r="P262" s="75">
        <v>45973</v>
      </c>
      <c r="Q262" s="76">
        <v>5000</v>
      </c>
      <c r="R262" s="76"/>
      <c r="S262" s="76">
        <f t="shared" si="21"/>
        <v>5000</v>
      </c>
      <c r="T262" s="76">
        <f t="shared" si="22"/>
        <v>11.9671232876712</v>
      </c>
      <c r="U262" s="71">
        <v>10000</v>
      </c>
      <c r="V262" s="71">
        <v>5000</v>
      </c>
      <c r="W262" s="71">
        <v>500</v>
      </c>
      <c r="X262" s="71"/>
      <c r="Y262" s="71"/>
      <c r="Z262" s="42"/>
      <c r="AA262" s="42"/>
      <c r="AB262" s="42"/>
      <c r="AC262" s="42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7" t="s">
        <v>415</v>
      </c>
      <c r="AP262" s="71">
        <v>13099600888</v>
      </c>
      <c r="AQ262" s="71"/>
    </row>
    <row r="263" s="1" customFormat="1" ht="20.15" customHeight="1" spans="1:1024 1025:16384">
      <c r="A263" s="42">
        <f t="shared" si="23"/>
        <v>259</v>
      </c>
      <c r="B263" s="42" t="s">
        <v>636</v>
      </c>
      <c r="C263" s="42">
        <v>4035</v>
      </c>
      <c r="D263" s="43"/>
      <c r="E263" s="44">
        <v>32.425</v>
      </c>
      <c r="F263" s="42"/>
      <c r="G263" s="42">
        <v>7600</v>
      </c>
      <c r="H263" s="42">
        <v>1000</v>
      </c>
      <c r="I263" s="42" t="s">
        <v>725</v>
      </c>
      <c r="J263" s="42"/>
      <c r="K263" s="45" t="s">
        <v>726</v>
      </c>
      <c r="L263" s="42" t="s">
        <v>11</v>
      </c>
      <c r="M263" s="46">
        <v>45821</v>
      </c>
      <c r="N263" s="46">
        <v>45839</v>
      </c>
      <c r="O263" s="46">
        <v>46203</v>
      </c>
      <c r="P263" s="46">
        <v>45839</v>
      </c>
      <c r="Q263" s="47">
        <v>5000</v>
      </c>
      <c r="R263" s="47"/>
      <c r="S263" s="47">
        <f t="shared" si="21"/>
        <v>5000</v>
      </c>
      <c r="T263" s="47">
        <f t="shared" si="22"/>
        <v>11.9671232876712</v>
      </c>
      <c r="U263" s="42">
        <v>10000</v>
      </c>
      <c r="V263" s="42">
        <v>5000</v>
      </c>
      <c r="W263" s="42">
        <v>500</v>
      </c>
      <c r="X263" s="42"/>
      <c r="Y263" s="42"/>
      <c r="Z263" s="52"/>
      <c r="AA263" s="52"/>
      <c r="AB263" s="52"/>
      <c r="AC263" s="52"/>
      <c r="AD263" s="42"/>
      <c r="AE263" s="42" t="s">
        <v>48</v>
      </c>
      <c r="AF263" s="42" t="s">
        <v>48</v>
      </c>
      <c r="AG263" s="42" t="s">
        <v>48</v>
      </c>
      <c r="AH263" s="42" t="s">
        <v>48</v>
      </c>
      <c r="AI263" s="42"/>
      <c r="AJ263" s="42"/>
      <c r="AK263" s="42" t="s">
        <v>48</v>
      </c>
      <c r="AL263" s="42" t="s">
        <v>48</v>
      </c>
      <c r="AM263" s="42" t="s">
        <v>48</v>
      </c>
      <c r="AN263" s="42" t="s">
        <v>48</v>
      </c>
      <c r="AO263" s="48" t="s">
        <v>727</v>
      </c>
      <c r="AP263" s="42">
        <v>13827115026</v>
      </c>
      <c r="AQ263" s="42"/>
      <c r="AR263" s="152"/>
    </row>
    <row r="264" s="5" customFormat="1" ht="20.15" customHeight="1" spans="1:1024 1025:16384">
      <c r="A264" s="71">
        <f t="shared" si="23"/>
        <v>260</v>
      </c>
      <c r="B264" s="71" t="s">
        <v>636</v>
      </c>
      <c r="C264" s="71" t="s">
        <v>728</v>
      </c>
      <c r="D264" s="72"/>
      <c r="E264" s="73">
        <v>32.425</v>
      </c>
      <c r="F264" s="71"/>
      <c r="G264" s="71"/>
      <c r="H264" s="71"/>
      <c r="I264" s="71" t="s">
        <v>729</v>
      </c>
      <c r="J264" s="71"/>
      <c r="K264" s="74" t="s">
        <v>728</v>
      </c>
      <c r="L264" s="71" t="s">
        <v>11</v>
      </c>
      <c r="M264" s="75">
        <v>45961</v>
      </c>
      <c r="N264" s="75">
        <v>45946</v>
      </c>
      <c r="O264" s="75">
        <v>46310</v>
      </c>
      <c r="P264" s="75">
        <v>45946</v>
      </c>
      <c r="Q264" s="76">
        <v>5000</v>
      </c>
      <c r="R264" s="76"/>
      <c r="S264" s="76">
        <f t="shared" si="21"/>
        <v>5000</v>
      </c>
      <c r="T264" s="76">
        <f t="shared" si="22"/>
        <v>11.9671232876712</v>
      </c>
      <c r="U264" s="71">
        <v>10000</v>
      </c>
      <c r="V264" s="71">
        <v>5000</v>
      </c>
      <c r="W264" s="71">
        <v>500</v>
      </c>
      <c r="X264" s="71"/>
      <c r="Y264" s="71"/>
      <c r="Z264" s="42"/>
      <c r="AA264" s="42"/>
      <c r="AB264" s="42"/>
      <c r="AC264" s="42"/>
      <c r="AD264" s="71"/>
      <c r="AE264" s="71" t="s">
        <v>48</v>
      </c>
      <c r="AF264" s="71" t="s">
        <v>48</v>
      </c>
      <c r="AG264" s="71" t="s">
        <v>48</v>
      </c>
      <c r="AH264" s="71" t="s">
        <v>48</v>
      </c>
      <c r="AI264" s="71"/>
      <c r="AJ264" s="71"/>
      <c r="AK264" s="71" t="s">
        <v>48</v>
      </c>
      <c r="AL264" s="71" t="s">
        <v>48</v>
      </c>
      <c r="AM264" s="71" t="s">
        <v>48</v>
      </c>
      <c r="AN264" s="71" t="s">
        <v>48</v>
      </c>
      <c r="AO264" s="77" t="s">
        <v>730</v>
      </c>
      <c r="AP264" s="71">
        <v>13922358624</v>
      </c>
      <c r="AQ264" s="71"/>
      <c r="AR264" s="153"/>
    </row>
    <row r="265" s="1" customFormat="1" ht="20.15" customHeight="1" spans="1:1024 1025:16384">
      <c r="A265" s="42">
        <f t="shared" si="23"/>
        <v>261</v>
      </c>
      <c r="B265" s="42" t="s">
        <v>636</v>
      </c>
      <c r="C265" s="42">
        <v>4036</v>
      </c>
      <c r="D265" s="43"/>
      <c r="E265" s="44">
        <v>32.425</v>
      </c>
      <c r="F265" s="42"/>
      <c r="G265" s="42">
        <v>9364</v>
      </c>
      <c r="H265" s="42">
        <v>1000</v>
      </c>
      <c r="I265" s="42" t="s">
        <v>731</v>
      </c>
      <c r="J265" s="42"/>
      <c r="K265" s="42">
        <v>4036</v>
      </c>
      <c r="L265" s="42" t="s">
        <v>11</v>
      </c>
      <c r="M265" s="46">
        <v>45650</v>
      </c>
      <c r="N265" s="46">
        <v>45732</v>
      </c>
      <c r="O265" s="46">
        <v>46096</v>
      </c>
      <c r="P265" s="46">
        <v>45732</v>
      </c>
      <c r="Q265" s="47">
        <v>5000</v>
      </c>
      <c r="R265" s="47"/>
      <c r="S265" s="47">
        <f t="shared" si="21"/>
        <v>5000</v>
      </c>
      <c r="T265" s="47">
        <f t="shared" si="22"/>
        <v>11.9671232876712</v>
      </c>
      <c r="U265" s="42">
        <v>10000</v>
      </c>
      <c r="V265" s="42">
        <v>5000</v>
      </c>
      <c r="W265" s="42">
        <v>500</v>
      </c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8" t="s">
        <v>732</v>
      </c>
      <c r="AP265" s="42">
        <v>18898570075</v>
      </c>
      <c r="AQ265" s="42"/>
    </row>
    <row r="266" s="1" customFormat="1" ht="20.15" customHeight="1" spans="1:1024 1025:16384">
      <c r="A266" s="42">
        <f t="shared" si="23"/>
        <v>262</v>
      </c>
      <c r="B266" s="42" t="s">
        <v>636</v>
      </c>
      <c r="C266" s="42">
        <v>4037</v>
      </c>
      <c r="D266" s="43"/>
      <c r="E266" s="44">
        <v>32.425</v>
      </c>
      <c r="F266" s="42"/>
      <c r="G266" s="42"/>
      <c r="H266" s="42"/>
      <c r="I266" s="42" t="s">
        <v>733</v>
      </c>
      <c r="J266" s="42"/>
      <c r="K266" s="42">
        <v>4037</v>
      </c>
      <c r="L266" s="42" t="s">
        <v>11</v>
      </c>
      <c r="M266" s="46">
        <v>45631</v>
      </c>
      <c r="N266" s="46">
        <v>45732</v>
      </c>
      <c r="O266" s="46">
        <v>46096</v>
      </c>
      <c r="P266" s="46">
        <v>45732</v>
      </c>
      <c r="Q266" s="47">
        <v>5000</v>
      </c>
      <c r="R266" s="47"/>
      <c r="S266" s="47">
        <f t="shared" si="21"/>
        <v>5000</v>
      </c>
      <c r="T266" s="47">
        <f t="shared" si="22"/>
        <v>11.9671232876712</v>
      </c>
      <c r="U266" s="42">
        <v>10000</v>
      </c>
      <c r="V266" s="42">
        <v>5000</v>
      </c>
      <c r="W266" s="42">
        <v>500</v>
      </c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8" t="s">
        <v>734</v>
      </c>
      <c r="AP266" s="42">
        <v>15899957930</v>
      </c>
      <c r="AQ266" s="42"/>
    </row>
    <row r="267" s="1" customFormat="1" ht="20.15" customHeight="1" spans="1:1024 1025:16384">
      <c r="A267" s="42">
        <f t="shared" si="23"/>
        <v>263</v>
      </c>
      <c r="B267" s="42" t="s">
        <v>636</v>
      </c>
      <c r="C267" s="42">
        <v>4038</v>
      </c>
      <c r="D267" s="43"/>
      <c r="E267" s="44">
        <v>32.425</v>
      </c>
      <c r="F267" s="42"/>
      <c r="G267" s="42">
        <v>5382</v>
      </c>
      <c r="H267" s="42">
        <v>500</v>
      </c>
      <c r="I267" s="42" t="s">
        <v>525</v>
      </c>
      <c r="J267" s="42"/>
      <c r="K267" s="45" t="s">
        <v>735</v>
      </c>
      <c r="L267" s="42" t="s">
        <v>11</v>
      </c>
      <c r="M267" s="46">
        <v>45650</v>
      </c>
      <c r="N267" s="46">
        <v>45748</v>
      </c>
      <c r="O267" s="46">
        <v>46112</v>
      </c>
      <c r="P267" s="46">
        <v>45748</v>
      </c>
      <c r="Q267" s="47">
        <v>5000</v>
      </c>
      <c r="R267" s="47"/>
      <c r="S267" s="47">
        <f t="shared" si="21"/>
        <v>5000</v>
      </c>
      <c r="T267" s="47">
        <f t="shared" si="22"/>
        <v>11.9671232876712</v>
      </c>
      <c r="U267" s="42">
        <v>10000</v>
      </c>
      <c r="V267" s="42">
        <v>5000</v>
      </c>
      <c r="W267" s="42">
        <v>500</v>
      </c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8" t="s">
        <v>736</v>
      </c>
      <c r="AP267" s="42">
        <v>13828226790</v>
      </c>
      <c r="AQ267" s="42"/>
    </row>
    <row r="268" s="9" customFormat="1" ht="20.15" customHeight="1" spans="1:1024 1025:16384">
      <c r="A268" s="42">
        <f t="shared" si="23"/>
        <v>264</v>
      </c>
      <c r="B268" s="42" t="s">
        <v>636</v>
      </c>
      <c r="C268" s="42">
        <v>4039</v>
      </c>
      <c r="D268" s="43"/>
      <c r="E268" s="44">
        <v>32.425</v>
      </c>
      <c r="F268" s="42"/>
      <c r="G268" s="42">
        <v>5382</v>
      </c>
      <c r="H268" s="42">
        <v>500</v>
      </c>
      <c r="I268" s="42" t="s">
        <v>737</v>
      </c>
      <c r="J268" s="42"/>
      <c r="K268" s="45" t="s">
        <v>738</v>
      </c>
      <c r="L268" s="42" t="s">
        <v>11</v>
      </c>
      <c r="M268" s="46">
        <v>45952</v>
      </c>
      <c r="N268" s="46">
        <v>45971</v>
      </c>
      <c r="O268" s="46">
        <v>46335</v>
      </c>
      <c r="P268" s="46">
        <v>45971</v>
      </c>
      <c r="Q268" s="47">
        <v>5000</v>
      </c>
      <c r="R268" s="47"/>
      <c r="S268" s="47">
        <f t="shared" si="21"/>
        <v>5000</v>
      </c>
      <c r="T268" s="47">
        <f t="shared" si="22"/>
        <v>11.9671232876712</v>
      </c>
      <c r="U268" s="42">
        <v>10000</v>
      </c>
      <c r="V268" s="42">
        <v>5000</v>
      </c>
      <c r="W268" s="42">
        <v>500</v>
      </c>
      <c r="X268" s="42"/>
      <c r="Y268" s="42"/>
      <c r="Z268" s="154"/>
      <c r="AA268" s="155"/>
      <c r="AB268" s="154"/>
      <c r="AC268" s="155"/>
      <c r="AD268" s="42"/>
      <c r="AE268" s="42" t="s">
        <v>48</v>
      </c>
      <c r="AF268" s="42"/>
      <c r="AG268" s="42" t="s">
        <v>48</v>
      </c>
      <c r="AH268" s="42" t="s">
        <v>48</v>
      </c>
      <c r="AI268" s="42"/>
      <c r="AJ268" s="42"/>
      <c r="AK268" s="42"/>
      <c r="AL268" s="42" t="s">
        <v>48</v>
      </c>
      <c r="AM268" s="42"/>
      <c r="AN268" s="42"/>
      <c r="AO268" s="48" t="s">
        <v>739</v>
      </c>
      <c r="AP268" s="42">
        <v>15113883771</v>
      </c>
      <c r="AQ268" s="42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  <c r="ALN268" s="1"/>
      <c r="ALO268" s="1"/>
      <c r="ALP268" s="1"/>
      <c r="ALQ268" s="1"/>
      <c r="ALR268" s="1"/>
      <c r="ALS268" s="1"/>
      <c r="ALT268" s="1"/>
      <c r="ALU268" s="1"/>
      <c r="ALV268" s="1"/>
      <c r="ALW268" s="1"/>
      <c r="ALX268" s="1"/>
      <c r="ALY268" s="1"/>
      <c r="ALZ268" s="1"/>
      <c r="AMA268" s="1"/>
      <c r="AMB268" s="1"/>
      <c r="AMC268" s="1"/>
      <c r="AMD268" s="1"/>
      <c r="AME268" s="1"/>
      <c r="AMF268" s="1"/>
      <c r="AMG268" s="1"/>
      <c r="AMH268" s="1"/>
      <c r="AMI268" s="1"/>
      <c r="AMJ268" s="1"/>
      <c r="AMK268" s="1"/>
      <c r="AML268" s="1"/>
      <c r="AMM268" s="1"/>
      <c r="AMN268" s="1"/>
      <c r="AMO268" s="1"/>
      <c r="AMP268" s="1"/>
      <c r="AMQ268" s="1"/>
      <c r="AMR268" s="1"/>
      <c r="AMS268" s="1"/>
      <c r="AMT268" s="1"/>
      <c r="AMU268" s="1"/>
      <c r="AMV268" s="1"/>
      <c r="AMW268" s="1"/>
      <c r="AMX268" s="1"/>
      <c r="AMY268" s="1"/>
      <c r="AMZ268" s="1"/>
      <c r="ANA268" s="1"/>
      <c r="ANB268" s="1"/>
      <c r="ANC268" s="1"/>
      <c r="AND268" s="1"/>
      <c r="ANE268" s="1"/>
      <c r="ANF268" s="1"/>
      <c r="ANG268" s="1"/>
      <c r="ANH268" s="1"/>
      <c r="ANI268" s="1"/>
      <c r="ANJ268" s="1"/>
      <c r="ANK268" s="1"/>
      <c r="ANL268" s="1"/>
      <c r="ANM268" s="1"/>
      <c r="ANN268" s="1"/>
      <c r="ANO268" s="1"/>
      <c r="ANP268" s="1"/>
      <c r="ANQ268" s="1"/>
      <c r="ANR268" s="1"/>
      <c r="ANS268" s="1"/>
      <c r="ANT268" s="1"/>
      <c r="ANU268" s="1"/>
      <c r="ANV268" s="1"/>
      <c r="ANW268" s="1"/>
      <c r="ANX268" s="1"/>
      <c r="ANY268" s="1"/>
      <c r="ANZ268" s="1"/>
      <c r="AOA268" s="1"/>
      <c r="AOB268" s="1"/>
      <c r="AOC268" s="1"/>
      <c r="AOD268" s="1"/>
      <c r="AOE268" s="1"/>
      <c r="AOF268" s="1"/>
      <c r="AOG268" s="1"/>
      <c r="AOH268" s="1"/>
      <c r="AOI268" s="1"/>
      <c r="AOJ268" s="1"/>
      <c r="AOK268" s="1"/>
      <c r="AOL268" s="1"/>
      <c r="AOM268" s="1"/>
      <c r="AON268" s="1"/>
      <c r="AOO268" s="1"/>
      <c r="AOP268" s="1"/>
      <c r="AOQ268" s="1"/>
      <c r="AOR268" s="1"/>
      <c r="AOS268" s="1"/>
      <c r="AOT268" s="1"/>
      <c r="AOU268" s="1"/>
      <c r="AOV268" s="1"/>
      <c r="AOW268" s="1"/>
      <c r="AOX268" s="1"/>
      <c r="AOY268" s="1"/>
      <c r="AOZ268" s="1"/>
      <c r="APA268" s="1"/>
      <c r="APB268" s="1"/>
      <c r="APC268" s="1"/>
      <c r="APD268" s="1"/>
      <c r="APE268" s="1"/>
      <c r="APF268" s="1"/>
      <c r="APG268" s="1"/>
      <c r="APH268" s="1"/>
      <c r="API268" s="1"/>
      <c r="APJ268" s="1"/>
      <c r="APK268" s="1"/>
      <c r="APL268" s="1"/>
      <c r="APM268" s="1"/>
      <c r="APN268" s="1"/>
      <c r="APO268" s="1"/>
      <c r="APP268" s="1"/>
      <c r="APQ268" s="1"/>
      <c r="APR268" s="1"/>
      <c r="APS268" s="1"/>
      <c r="APT268" s="1"/>
      <c r="APU268" s="1"/>
      <c r="APV268" s="1"/>
      <c r="APW268" s="1"/>
      <c r="APX268" s="1"/>
      <c r="APY268" s="1"/>
      <c r="APZ268" s="1"/>
      <c r="AQA268" s="1"/>
      <c r="AQB268" s="1"/>
      <c r="AQC268" s="1"/>
      <c r="AQD268" s="1"/>
      <c r="AQE268" s="1"/>
      <c r="AQF268" s="1"/>
      <c r="AQG268" s="1"/>
      <c r="AQH268" s="1"/>
      <c r="AQI268" s="1"/>
      <c r="AQJ268" s="1"/>
      <c r="AQK268" s="1"/>
      <c r="AQL268" s="1"/>
      <c r="AQM268" s="1"/>
      <c r="AQN268" s="1"/>
      <c r="AQO268" s="1"/>
      <c r="AQP268" s="1"/>
      <c r="AQQ268" s="1"/>
      <c r="AQR268" s="1"/>
      <c r="AQS268" s="1"/>
      <c r="AQT268" s="1"/>
      <c r="AQU268" s="1"/>
      <c r="AQV268" s="1"/>
      <c r="AQW268" s="1"/>
      <c r="AQX268" s="1"/>
      <c r="AQY268" s="1"/>
      <c r="AQZ268" s="1"/>
      <c r="ARA268" s="1"/>
      <c r="ARB268" s="1"/>
      <c r="ARC268" s="1"/>
      <c r="ARD268" s="1"/>
      <c r="ARE268" s="1"/>
      <c r="ARF268" s="1"/>
      <c r="ARG268" s="1"/>
      <c r="ARH268" s="1"/>
      <c r="ARI268" s="1"/>
      <c r="ARJ268" s="1"/>
      <c r="ARK268" s="1"/>
      <c r="ARL268" s="1"/>
      <c r="ARM268" s="1"/>
      <c r="ARN268" s="1"/>
      <c r="ARO268" s="1"/>
      <c r="ARP268" s="1"/>
      <c r="ARQ268" s="1"/>
      <c r="ARR268" s="1"/>
      <c r="ARS268" s="1"/>
      <c r="ART268" s="1"/>
      <c r="ARU268" s="1"/>
      <c r="ARV268" s="1"/>
      <c r="ARW268" s="1"/>
      <c r="ARX268" s="1"/>
      <c r="ARY268" s="1"/>
      <c r="ARZ268" s="1"/>
      <c r="ASA268" s="1"/>
      <c r="ASB268" s="1"/>
      <c r="ASC268" s="1"/>
      <c r="ASD268" s="1"/>
      <c r="ASE268" s="1"/>
      <c r="ASF268" s="1"/>
      <c r="ASG268" s="1"/>
      <c r="ASH268" s="1"/>
      <c r="ASI268" s="1"/>
      <c r="ASJ268" s="1"/>
      <c r="ASK268" s="1"/>
      <c r="ASL268" s="1"/>
      <c r="ASM268" s="1"/>
      <c r="ASN268" s="1"/>
      <c r="ASO268" s="1"/>
      <c r="ASP268" s="1"/>
      <c r="ASQ268" s="1"/>
      <c r="ASR268" s="1"/>
      <c r="ASS268" s="1"/>
      <c r="AST268" s="1"/>
      <c r="ASU268" s="1"/>
      <c r="ASV268" s="1"/>
      <c r="ASW268" s="1"/>
      <c r="ASX268" s="1"/>
      <c r="ASY268" s="1"/>
      <c r="ASZ268" s="1"/>
      <c r="ATA268" s="1"/>
      <c r="ATB268" s="1"/>
      <c r="ATC268" s="1"/>
      <c r="ATD268" s="1"/>
      <c r="ATE268" s="1"/>
      <c r="ATF268" s="1"/>
      <c r="ATG268" s="1"/>
      <c r="ATH268" s="1"/>
      <c r="ATI268" s="1"/>
      <c r="ATJ268" s="1"/>
      <c r="ATK268" s="1"/>
      <c r="ATL268" s="1"/>
      <c r="ATM268" s="1"/>
      <c r="ATN268" s="1"/>
      <c r="ATO268" s="1"/>
      <c r="ATP268" s="1"/>
      <c r="ATQ268" s="1"/>
      <c r="ATR268" s="1"/>
      <c r="ATS268" s="1"/>
      <c r="ATT268" s="1"/>
      <c r="ATU268" s="1"/>
      <c r="ATV268" s="1"/>
      <c r="ATW268" s="1"/>
      <c r="ATX268" s="1"/>
      <c r="ATY268" s="1"/>
      <c r="ATZ268" s="1"/>
      <c r="AUA268" s="1"/>
      <c r="AUB268" s="1"/>
      <c r="AUC268" s="1"/>
      <c r="AUD268" s="1"/>
      <c r="AUE268" s="1"/>
      <c r="AUF268" s="1"/>
      <c r="AUG268" s="1"/>
      <c r="AUH268" s="1"/>
      <c r="AUI268" s="1"/>
      <c r="AUJ268" s="1"/>
      <c r="AUK268" s="1"/>
      <c r="AUL268" s="1"/>
      <c r="AUM268" s="1"/>
      <c r="AUN268" s="1"/>
      <c r="AUO268" s="1"/>
      <c r="AUP268" s="1"/>
      <c r="AUQ268" s="1"/>
      <c r="AUR268" s="1"/>
      <c r="AUS268" s="1"/>
      <c r="AUT268" s="1"/>
      <c r="AUU268" s="1"/>
      <c r="AUV268" s="1"/>
      <c r="AUW268" s="1"/>
      <c r="AUX268" s="1"/>
      <c r="AUY268" s="1"/>
      <c r="AUZ268" s="1"/>
      <c r="AVA268" s="1"/>
      <c r="AVB268" s="1"/>
      <c r="AVC268" s="1"/>
      <c r="AVD268" s="1"/>
      <c r="AVE268" s="1"/>
      <c r="AVF268" s="1"/>
      <c r="AVG268" s="1"/>
      <c r="AVH268" s="1"/>
      <c r="AVI268" s="1"/>
      <c r="AVJ268" s="1"/>
      <c r="AVK268" s="1"/>
      <c r="AVL268" s="1"/>
      <c r="AVM268" s="1"/>
      <c r="AVN268" s="1"/>
      <c r="AVO268" s="1"/>
      <c r="AVP268" s="1"/>
      <c r="AVQ268" s="1"/>
      <c r="AVR268" s="1"/>
      <c r="AVS268" s="1"/>
      <c r="AVT268" s="1"/>
      <c r="AVU268" s="1"/>
      <c r="AVV268" s="1"/>
      <c r="AVW268" s="1"/>
      <c r="AVX268" s="1"/>
      <c r="AVY268" s="1"/>
      <c r="AVZ268" s="1"/>
      <c r="AWA268" s="1"/>
      <c r="AWB268" s="1"/>
      <c r="AWC268" s="1"/>
      <c r="AWD268" s="1"/>
      <c r="AWE268" s="1"/>
      <c r="AWF268" s="1"/>
      <c r="AWG268" s="1"/>
      <c r="AWH268" s="1"/>
      <c r="AWI268" s="1"/>
      <c r="AWJ268" s="1"/>
      <c r="AWK268" s="1"/>
      <c r="AWL268" s="1"/>
      <c r="AWM268" s="1"/>
      <c r="AWN268" s="1"/>
      <c r="AWO268" s="1"/>
      <c r="AWP268" s="1"/>
      <c r="AWQ268" s="1"/>
      <c r="AWR268" s="1"/>
      <c r="AWS268" s="1"/>
      <c r="AWT268" s="1"/>
      <c r="AWU268" s="1"/>
      <c r="AWV268" s="1"/>
      <c r="AWW268" s="1"/>
      <c r="AWX268" s="1"/>
      <c r="AWY268" s="1"/>
      <c r="AWZ268" s="1"/>
      <c r="AXA268" s="1"/>
      <c r="AXB268" s="1"/>
      <c r="AXC268" s="1"/>
      <c r="AXD268" s="1"/>
      <c r="AXE268" s="1"/>
      <c r="AXF268" s="1"/>
      <c r="AXG268" s="1"/>
      <c r="AXH268" s="1"/>
      <c r="AXI268" s="1"/>
      <c r="AXJ268" s="1"/>
      <c r="AXK268" s="1"/>
      <c r="AXL268" s="1"/>
      <c r="AXM268" s="1"/>
      <c r="AXN268" s="1"/>
      <c r="AXO268" s="1"/>
      <c r="AXP268" s="1"/>
      <c r="AXQ268" s="1"/>
      <c r="AXR268" s="1"/>
      <c r="AXS268" s="1"/>
      <c r="AXT268" s="1"/>
      <c r="AXU268" s="1"/>
      <c r="AXV268" s="1"/>
      <c r="AXW268" s="1"/>
      <c r="AXX268" s="1"/>
      <c r="AXY268" s="1"/>
      <c r="AXZ268" s="1"/>
      <c r="AYA268" s="1"/>
      <c r="AYB268" s="1"/>
      <c r="AYC268" s="1"/>
      <c r="AYD268" s="1"/>
      <c r="AYE268" s="1"/>
      <c r="AYF268" s="1"/>
      <c r="AYG268" s="1"/>
      <c r="AYH268" s="1"/>
      <c r="AYI268" s="1"/>
      <c r="AYJ268" s="1"/>
      <c r="AYK268" s="1"/>
      <c r="AYL268" s="1"/>
      <c r="AYM268" s="1"/>
      <c r="AYN268" s="1"/>
      <c r="AYO268" s="1"/>
      <c r="AYP268" s="1"/>
      <c r="AYQ268" s="1"/>
      <c r="AYR268" s="1"/>
      <c r="AYS268" s="1"/>
      <c r="AYT268" s="1"/>
      <c r="AYU268" s="1"/>
      <c r="AYV268" s="1"/>
      <c r="AYW268" s="1"/>
      <c r="AYX268" s="1"/>
      <c r="AYY268" s="1"/>
      <c r="AYZ268" s="1"/>
      <c r="AZA268" s="1"/>
      <c r="AZB268" s="1"/>
      <c r="AZC268" s="1"/>
      <c r="AZD268" s="1"/>
      <c r="AZE268" s="1"/>
      <c r="AZF268" s="1"/>
      <c r="AZG268" s="1"/>
      <c r="AZH268" s="1"/>
      <c r="AZI268" s="1"/>
      <c r="AZJ268" s="1"/>
      <c r="AZK268" s="1"/>
      <c r="AZL268" s="1"/>
      <c r="AZM268" s="1"/>
      <c r="AZN268" s="1"/>
      <c r="AZO268" s="1"/>
      <c r="AZP268" s="1"/>
      <c r="AZQ268" s="1"/>
      <c r="AZR268" s="1"/>
      <c r="AZS268" s="1"/>
      <c r="AZT268" s="1"/>
      <c r="AZU268" s="1"/>
      <c r="AZV268" s="1"/>
      <c r="AZW268" s="1"/>
      <c r="AZX268" s="1"/>
      <c r="AZY268" s="1"/>
      <c r="AZZ268" s="1"/>
      <c r="BAA268" s="1"/>
      <c r="BAB268" s="1"/>
      <c r="BAC268" s="1"/>
      <c r="BAD268" s="1"/>
      <c r="BAE268" s="1"/>
      <c r="BAF268" s="1"/>
      <c r="BAG268" s="1"/>
      <c r="BAH268" s="1"/>
      <c r="BAI268" s="1"/>
      <c r="BAJ268" s="1"/>
      <c r="BAK268" s="1"/>
      <c r="BAL268" s="1"/>
      <c r="BAM268" s="1"/>
      <c r="BAN268" s="1"/>
      <c r="BAO268" s="1"/>
      <c r="BAP268" s="1"/>
      <c r="BAQ268" s="1"/>
      <c r="BAR268" s="1"/>
      <c r="BAS268" s="1"/>
      <c r="BAT268" s="1"/>
      <c r="BAU268" s="1"/>
      <c r="BAV268" s="1"/>
      <c r="BAW268" s="1"/>
      <c r="BAX268" s="1"/>
      <c r="BAY268" s="1"/>
      <c r="BAZ268" s="1"/>
      <c r="BBA268" s="1"/>
      <c r="BBB268" s="1"/>
      <c r="BBC268" s="1"/>
      <c r="BBD268" s="1"/>
      <c r="BBE268" s="1"/>
      <c r="BBF268" s="1"/>
      <c r="BBG268" s="1"/>
      <c r="BBH268" s="1"/>
      <c r="BBI268" s="1"/>
      <c r="BBJ268" s="1"/>
      <c r="BBK268" s="1"/>
      <c r="BBL268" s="1"/>
      <c r="BBM268" s="1"/>
      <c r="BBN268" s="1"/>
      <c r="BBO268" s="1"/>
      <c r="BBP268" s="1"/>
      <c r="BBQ268" s="1"/>
      <c r="BBR268" s="1"/>
      <c r="BBS268" s="1"/>
      <c r="BBT268" s="1"/>
      <c r="BBU268" s="1"/>
      <c r="BBV268" s="1"/>
      <c r="BBW268" s="1"/>
      <c r="BBX268" s="1"/>
      <c r="BBY268" s="1"/>
      <c r="BBZ268" s="1"/>
      <c r="BCA268" s="1"/>
      <c r="BCB268" s="1"/>
      <c r="BCC268" s="1"/>
      <c r="BCD268" s="1"/>
      <c r="BCE268" s="1"/>
      <c r="BCF268" s="1"/>
      <c r="BCG268" s="1"/>
      <c r="BCH268" s="1"/>
      <c r="BCI268" s="1"/>
      <c r="BCJ268" s="1"/>
      <c r="BCK268" s="1"/>
      <c r="BCL268" s="1"/>
      <c r="BCM268" s="1"/>
      <c r="BCN268" s="1"/>
      <c r="BCO268" s="1"/>
      <c r="BCP268" s="1"/>
      <c r="BCQ268" s="1"/>
      <c r="BCR268" s="1"/>
      <c r="BCS268" s="1"/>
      <c r="BCT268" s="1"/>
      <c r="BCU268" s="1"/>
      <c r="BCV268" s="1"/>
      <c r="BCW268" s="1"/>
      <c r="BCX268" s="1"/>
      <c r="BCY268" s="1"/>
      <c r="BCZ268" s="1"/>
      <c r="BDA268" s="1"/>
      <c r="BDB268" s="1"/>
      <c r="BDC268" s="1"/>
      <c r="BDD268" s="1"/>
      <c r="BDE268" s="1"/>
      <c r="BDF268" s="1"/>
      <c r="BDG268" s="1"/>
      <c r="BDH268" s="1"/>
      <c r="BDI268" s="1"/>
      <c r="BDJ268" s="1"/>
      <c r="BDK268" s="1"/>
      <c r="BDL268" s="1"/>
      <c r="BDM268" s="1"/>
      <c r="BDN268" s="1"/>
      <c r="BDO268" s="1"/>
      <c r="BDP268" s="1"/>
      <c r="BDQ268" s="1"/>
      <c r="BDR268" s="1"/>
      <c r="BDS268" s="1"/>
      <c r="BDT268" s="1"/>
      <c r="BDU268" s="1"/>
      <c r="BDV268" s="1"/>
      <c r="BDW268" s="1"/>
      <c r="BDX268" s="1"/>
      <c r="BDY268" s="1"/>
      <c r="BDZ268" s="1"/>
      <c r="BEA268" s="1"/>
      <c r="BEB268" s="1"/>
      <c r="BEC268" s="1"/>
      <c r="BED268" s="1"/>
      <c r="BEE268" s="1"/>
      <c r="BEF268" s="1"/>
      <c r="BEG268" s="1"/>
      <c r="BEH268" s="1"/>
      <c r="BEI268" s="1"/>
      <c r="BEJ268" s="1"/>
      <c r="BEK268" s="1"/>
      <c r="BEL268" s="1"/>
      <c r="BEM268" s="1"/>
      <c r="BEN268" s="1"/>
      <c r="BEO268" s="1"/>
      <c r="BEP268" s="1"/>
      <c r="BEQ268" s="1"/>
      <c r="BER268" s="1"/>
      <c r="BES268" s="1"/>
      <c r="BET268" s="1"/>
      <c r="BEU268" s="1"/>
      <c r="BEV268" s="1"/>
      <c r="BEW268" s="1"/>
      <c r="BEX268" s="1"/>
      <c r="BEY268" s="1"/>
      <c r="BEZ268" s="1"/>
      <c r="BFA268" s="1"/>
      <c r="BFB268" s="1"/>
      <c r="BFC268" s="1"/>
      <c r="BFD268" s="1"/>
      <c r="BFE268" s="1"/>
      <c r="BFF268" s="1"/>
      <c r="BFG268" s="1"/>
      <c r="BFH268" s="1"/>
      <c r="BFI268" s="1"/>
      <c r="BFJ268" s="1"/>
      <c r="BFK268" s="1"/>
      <c r="BFL268" s="1"/>
      <c r="BFM268" s="1"/>
      <c r="BFN268" s="1"/>
      <c r="BFO268" s="1"/>
      <c r="BFP268" s="1"/>
      <c r="BFQ268" s="1"/>
      <c r="BFR268" s="1"/>
      <c r="BFS268" s="1"/>
      <c r="BFT268" s="1"/>
      <c r="BFU268" s="1"/>
      <c r="BFV268" s="1"/>
      <c r="BFW268" s="1"/>
      <c r="BFX268" s="1"/>
      <c r="BFY268" s="1"/>
      <c r="BFZ268" s="1"/>
      <c r="BGA268" s="1"/>
      <c r="BGB268" s="1"/>
      <c r="BGC268" s="1"/>
      <c r="BGD268" s="1"/>
      <c r="BGE268" s="1"/>
      <c r="BGF268" s="1"/>
      <c r="BGG268" s="1"/>
      <c r="BGH268" s="1"/>
      <c r="BGI268" s="1"/>
      <c r="BGJ268" s="1"/>
      <c r="BGK268" s="1"/>
      <c r="BGL268" s="1"/>
      <c r="BGM268" s="1"/>
      <c r="BGN268" s="1"/>
      <c r="BGO268" s="1"/>
      <c r="BGP268" s="1"/>
      <c r="BGQ268" s="1"/>
      <c r="BGR268" s="1"/>
      <c r="BGS268" s="1"/>
      <c r="BGT268" s="1"/>
      <c r="BGU268" s="1"/>
      <c r="BGV268" s="1"/>
      <c r="BGW268" s="1"/>
      <c r="BGX268" s="1"/>
      <c r="BGY268" s="1"/>
      <c r="BGZ268" s="1"/>
      <c r="BHA268" s="1"/>
      <c r="BHB268" s="1"/>
      <c r="BHC268" s="1"/>
      <c r="BHD268" s="1"/>
      <c r="BHE268" s="1"/>
      <c r="BHF268" s="1"/>
      <c r="BHG268" s="1"/>
      <c r="BHH268" s="1"/>
      <c r="BHI268" s="1"/>
      <c r="BHJ268" s="1"/>
      <c r="BHK268" s="1"/>
      <c r="BHL268" s="1"/>
      <c r="BHM268" s="1"/>
      <c r="BHN268" s="1"/>
      <c r="BHO268" s="1"/>
      <c r="BHP268" s="1"/>
      <c r="BHQ268" s="1"/>
      <c r="BHR268" s="1"/>
      <c r="BHS268" s="1"/>
      <c r="BHT268" s="1"/>
      <c r="BHU268" s="1"/>
      <c r="BHV268" s="1"/>
      <c r="BHW268" s="1"/>
      <c r="BHX268" s="1"/>
      <c r="BHY268" s="1"/>
      <c r="BHZ268" s="1"/>
      <c r="BIA268" s="1"/>
      <c r="BIB268" s="1"/>
      <c r="BIC268" s="1"/>
      <c r="BID268" s="1"/>
      <c r="BIE268" s="1"/>
      <c r="BIF268" s="1"/>
      <c r="BIG268" s="1"/>
      <c r="BIH268" s="1"/>
      <c r="BII268" s="1"/>
      <c r="BIJ268" s="1"/>
      <c r="BIK268" s="1"/>
      <c r="BIL268" s="1"/>
      <c r="BIM268" s="1"/>
      <c r="BIN268" s="1"/>
      <c r="BIO268" s="1"/>
      <c r="BIP268" s="1"/>
      <c r="BIQ268" s="1"/>
      <c r="BIR268" s="1"/>
      <c r="BIS268" s="1"/>
      <c r="BIT268" s="1"/>
      <c r="BIU268" s="1"/>
      <c r="BIV268" s="1"/>
      <c r="BIW268" s="1"/>
      <c r="BIX268" s="1"/>
      <c r="BIY268" s="1"/>
      <c r="BIZ268" s="1"/>
      <c r="BJA268" s="1"/>
      <c r="BJB268" s="1"/>
      <c r="BJC268" s="1"/>
      <c r="BJD268" s="1"/>
      <c r="BJE268" s="1"/>
      <c r="BJF268" s="1"/>
      <c r="BJG268" s="1"/>
      <c r="BJH268" s="1"/>
      <c r="BJI268" s="1"/>
      <c r="BJJ268" s="1"/>
      <c r="BJK268" s="1"/>
      <c r="BJL268" s="1"/>
      <c r="BJM268" s="1"/>
      <c r="BJN268" s="1"/>
      <c r="BJO268" s="1"/>
      <c r="BJP268" s="1"/>
      <c r="BJQ268" s="1"/>
      <c r="BJR268" s="1"/>
      <c r="BJS268" s="1"/>
      <c r="BJT268" s="1"/>
      <c r="BJU268" s="1"/>
      <c r="BJV268" s="1"/>
      <c r="BJW268" s="1"/>
      <c r="BJX268" s="1"/>
      <c r="BJY268" s="1"/>
      <c r="BJZ268" s="1"/>
      <c r="BKA268" s="1"/>
      <c r="BKB268" s="1"/>
      <c r="BKC268" s="1"/>
      <c r="BKD268" s="1"/>
      <c r="BKE268" s="1"/>
      <c r="BKF268" s="1"/>
      <c r="BKG268" s="1"/>
      <c r="BKH268" s="1"/>
      <c r="BKI268" s="1"/>
      <c r="BKJ268" s="1"/>
      <c r="BKK268" s="1"/>
      <c r="BKL268" s="1"/>
      <c r="BKM268" s="1"/>
      <c r="BKN268" s="1"/>
      <c r="BKO268" s="1"/>
      <c r="BKP268" s="1"/>
      <c r="BKQ268" s="1"/>
      <c r="BKR268" s="1"/>
      <c r="BKS268" s="1"/>
      <c r="BKT268" s="1"/>
      <c r="BKU268" s="1"/>
      <c r="BKV268" s="1"/>
      <c r="BKW268" s="1"/>
      <c r="BKX268" s="1"/>
      <c r="BKY268" s="1"/>
      <c r="BKZ268" s="1"/>
      <c r="BLA268" s="1"/>
      <c r="BLB268" s="1"/>
      <c r="BLC268" s="1"/>
      <c r="BLD268" s="1"/>
      <c r="BLE268" s="1"/>
      <c r="BLF268" s="1"/>
      <c r="BLG268" s="1"/>
      <c r="BLH268" s="1"/>
      <c r="BLI268" s="1"/>
      <c r="BLJ268" s="1"/>
      <c r="BLK268" s="1"/>
      <c r="BLL268" s="1"/>
      <c r="BLM268" s="1"/>
      <c r="BLN268" s="1"/>
      <c r="BLO268" s="1"/>
      <c r="BLP268" s="1"/>
      <c r="BLQ268" s="1"/>
      <c r="BLR268" s="1"/>
      <c r="BLS268" s="1"/>
      <c r="BLT268" s="1"/>
      <c r="BLU268" s="1"/>
      <c r="BLV268" s="1"/>
      <c r="BLW268" s="1"/>
      <c r="BLX268" s="1"/>
      <c r="BLY268" s="1"/>
      <c r="BLZ268" s="1"/>
      <c r="BMA268" s="1"/>
      <c r="BMB268" s="1"/>
      <c r="BMC268" s="1"/>
      <c r="BMD268" s="1"/>
      <c r="BME268" s="1"/>
      <c r="BMF268" s="1"/>
      <c r="BMG268" s="1"/>
      <c r="BMH268" s="1"/>
      <c r="BMI268" s="1"/>
      <c r="BMJ268" s="1"/>
      <c r="BMK268" s="1"/>
      <c r="BML268" s="1"/>
      <c r="BMM268" s="1"/>
      <c r="BMN268" s="1"/>
      <c r="BMO268" s="1"/>
      <c r="BMP268" s="1"/>
      <c r="BMQ268" s="1"/>
      <c r="BMR268" s="1"/>
      <c r="BMS268" s="1"/>
      <c r="BMT268" s="1"/>
      <c r="BMU268" s="1"/>
      <c r="BMV268" s="1"/>
      <c r="BMW268" s="1"/>
      <c r="BMX268" s="1"/>
      <c r="BMY268" s="1"/>
      <c r="BMZ268" s="1"/>
      <c r="BNA268" s="1"/>
      <c r="BNB268" s="1"/>
      <c r="BNC268" s="1"/>
      <c r="BND268" s="1"/>
      <c r="BNE268" s="1"/>
      <c r="BNF268" s="1"/>
      <c r="BNG268" s="1"/>
      <c r="BNH268" s="1"/>
      <c r="BNI268" s="1"/>
      <c r="BNJ268" s="1"/>
      <c r="BNK268" s="1"/>
      <c r="BNL268" s="1"/>
      <c r="BNM268" s="1"/>
      <c r="BNN268" s="1"/>
      <c r="BNO268" s="1"/>
      <c r="BNP268" s="1"/>
      <c r="BNQ268" s="1"/>
      <c r="BNR268" s="1"/>
      <c r="BNS268" s="1"/>
      <c r="BNT268" s="1"/>
      <c r="BNU268" s="1"/>
      <c r="BNV268" s="1"/>
      <c r="BNW268" s="1"/>
      <c r="BNX268" s="1"/>
      <c r="BNY268" s="1"/>
      <c r="BNZ268" s="1"/>
      <c r="BOA268" s="1"/>
      <c r="BOB268" s="1"/>
      <c r="BOC268" s="1"/>
      <c r="BOD268" s="1"/>
      <c r="BOE268" s="1"/>
      <c r="BOF268" s="1"/>
      <c r="BOG268" s="1"/>
      <c r="BOH268" s="1"/>
      <c r="BOI268" s="1"/>
      <c r="BOJ268" s="1"/>
      <c r="BOK268" s="1"/>
      <c r="BOL268" s="1"/>
      <c r="BOM268" s="1"/>
      <c r="BON268" s="1"/>
      <c r="BOO268" s="1"/>
      <c r="BOP268" s="1"/>
      <c r="BOQ268" s="1"/>
      <c r="BOR268" s="1"/>
      <c r="BOS268" s="1"/>
      <c r="BOT268" s="1"/>
      <c r="BOU268" s="1"/>
      <c r="BOV268" s="1"/>
      <c r="BOW268" s="1"/>
      <c r="BOX268" s="1"/>
      <c r="BOY268" s="1"/>
      <c r="BOZ268" s="1"/>
      <c r="BPA268" s="1"/>
      <c r="BPB268" s="1"/>
      <c r="BPC268" s="1"/>
      <c r="BPD268" s="1"/>
      <c r="BPE268" s="1"/>
      <c r="BPF268" s="1"/>
      <c r="BPG268" s="1"/>
      <c r="BPH268" s="1"/>
      <c r="BPI268" s="1"/>
      <c r="BPJ268" s="1"/>
      <c r="BPK268" s="1"/>
      <c r="BPL268" s="1"/>
      <c r="BPM268" s="1"/>
      <c r="BPN268" s="1"/>
      <c r="BPO268" s="1"/>
      <c r="BPP268" s="1"/>
      <c r="BPQ268" s="1"/>
      <c r="BPR268" s="1"/>
      <c r="BPS268" s="1"/>
      <c r="BPT268" s="1"/>
      <c r="BPU268" s="1"/>
      <c r="BPV268" s="1"/>
      <c r="BPW268" s="1"/>
      <c r="BPX268" s="1"/>
      <c r="BPY268" s="1"/>
      <c r="BPZ268" s="1"/>
      <c r="BQA268" s="1"/>
      <c r="BQB268" s="1"/>
      <c r="BQC268" s="1"/>
      <c r="BQD268" s="1"/>
      <c r="BQE268" s="1"/>
      <c r="BQF268" s="1"/>
      <c r="BQG268" s="1"/>
      <c r="BQH268" s="1"/>
      <c r="BQI268" s="1"/>
      <c r="BQJ268" s="1"/>
      <c r="BQK268" s="1"/>
      <c r="BQL268" s="1"/>
      <c r="BQM268" s="1"/>
      <c r="BQN268" s="1"/>
      <c r="BQO268" s="1"/>
      <c r="BQP268" s="1"/>
      <c r="BQQ268" s="1"/>
      <c r="BQR268" s="1"/>
      <c r="BQS268" s="1"/>
      <c r="BQT268" s="1"/>
      <c r="BQU268" s="1"/>
      <c r="BQV268" s="1"/>
      <c r="BQW268" s="1"/>
      <c r="BQX268" s="1"/>
      <c r="BQY268" s="1"/>
      <c r="BQZ268" s="1"/>
      <c r="BRA268" s="1"/>
      <c r="BRB268" s="1"/>
      <c r="BRC268" s="1"/>
      <c r="BRD268" s="1"/>
      <c r="BRE268" s="1"/>
      <c r="BRF268" s="1"/>
      <c r="BRG268" s="1"/>
      <c r="BRH268" s="1"/>
      <c r="BRI268" s="1"/>
      <c r="BRJ268" s="1"/>
      <c r="BRK268" s="1"/>
      <c r="BRL268" s="1"/>
      <c r="BRM268" s="1"/>
      <c r="BRN268" s="1"/>
      <c r="BRO268" s="1"/>
      <c r="BRP268" s="1"/>
      <c r="BRQ268" s="1"/>
      <c r="BRR268" s="1"/>
      <c r="BRS268" s="1"/>
      <c r="BRT268" s="1"/>
      <c r="BRU268" s="1"/>
      <c r="BRV268" s="1"/>
      <c r="BRW268" s="1"/>
      <c r="BRX268" s="1"/>
      <c r="BRY268" s="1"/>
      <c r="BRZ268" s="1"/>
      <c r="BSA268" s="1"/>
      <c r="BSB268" s="1"/>
      <c r="BSC268" s="1"/>
      <c r="BSD268" s="1"/>
      <c r="BSE268" s="1"/>
      <c r="BSF268" s="1"/>
      <c r="BSG268" s="1"/>
      <c r="BSH268" s="1"/>
      <c r="BSI268" s="1"/>
      <c r="BSJ268" s="1"/>
      <c r="BSK268" s="1"/>
      <c r="BSL268" s="1"/>
      <c r="BSM268" s="1"/>
      <c r="BSN268" s="1"/>
      <c r="BSO268" s="1"/>
      <c r="BSP268" s="1"/>
      <c r="BSQ268" s="1"/>
      <c r="BSR268" s="1"/>
      <c r="BSS268" s="1"/>
      <c r="BST268" s="1"/>
      <c r="BSU268" s="1"/>
      <c r="BSV268" s="1"/>
      <c r="BSW268" s="1"/>
      <c r="BSX268" s="1"/>
      <c r="BSY268" s="1"/>
      <c r="BSZ268" s="1"/>
      <c r="BTA268" s="1"/>
      <c r="BTB268" s="1"/>
      <c r="BTC268" s="1"/>
      <c r="BTD268" s="1"/>
      <c r="BTE268" s="1"/>
      <c r="BTF268" s="1"/>
      <c r="BTG268" s="1"/>
      <c r="BTH268" s="1"/>
      <c r="BTI268" s="1"/>
      <c r="BTJ268" s="1"/>
      <c r="BTK268" s="1"/>
      <c r="BTL268" s="1"/>
      <c r="BTM268" s="1"/>
      <c r="BTN268" s="1"/>
      <c r="BTO268" s="1"/>
      <c r="BTP268" s="1"/>
      <c r="BTQ268" s="1"/>
      <c r="BTR268" s="1"/>
      <c r="BTS268" s="1"/>
      <c r="BTT268" s="1"/>
      <c r="BTU268" s="1"/>
      <c r="BTV268" s="1"/>
      <c r="BTW268" s="1"/>
      <c r="BTX268" s="1"/>
      <c r="BTY268" s="1"/>
      <c r="BTZ268" s="1"/>
      <c r="BUA268" s="1"/>
      <c r="BUB268" s="1"/>
      <c r="BUC268" s="1"/>
      <c r="BUD268" s="1"/>
      <c r="BUE268" s="1"/>
      <c r="BUF268" s="1"/>
      <c r="BUG268" s="1"/>
      <c r="BUH268" s="1"/>
      <c r="BUI268" s="1"/>
      <c r="BUJ268" s="1"/>
      <c r="BUK268" s="1"/>
      <c r="BUL268" s="1"/>
      <c r="BUM268" s="1"/>
      <c r="BUN268" s="1"/>
      <c r="BUO268" s="1"/>
      <c r="BUP268" s="1"/>
      <c r="BUQ268" s="1"/>
      <c r="BUR268" s="1"/>
      <c r="BUS268" s="1"/>
      <c r="BUT268" s="1"/>
      <c r="BUU268" s="1"/>
      <c r="BUV268" s="1"/>
      <c r="BUW268" s="1"/>
      <c r="BUX268" s="1"/>
      <c r="BUY268" s="1"/>
      <c r="BUZ268" s="1"/>
      <c r="BVA268" s="1"/>
      <c r="BVB268" s="1"/>
      <c r="BVC268" s="1"/>
      <c r="BVD268" s="1"/>
      <c r="BVE268" s="1"/>
      <c r="BVF268" s="1"/>
      <c r="BVG268" s="1"/>
      <c r="BVH268" s="1"/>
      <c r="BVI268" s="1"/>
      <c r="BVJ268" s="1"/>
      <c r="BVK268" s="1"/>
      <c r="BVL268" s="1"/>
      <c r="BVM268" s="1"/>
      <c r="BVN268" s="1"/>
      <c r="BVO268" s="1"/>
      <c r="BVP268" s="1"/>
      <c r="BVQ268" s="1"/>
      <c r="BVR268" s="1"/>
      <c r="BVS268" s="1"/>
      <c r="BVT268" s="1"/>
      <c r="BVU268" s="1"/>
      <c r="BVV268" s="1"/>
      <c r="BVW268" s="1"/>
      <c r="BVX268" s="1"/>
      <c r="BVY268" s="1"/>
      <c r="BVZ268" s="1"/>
      <c r="BWA268" s="1"/>
      <c r="BWB268" s="1"/>
      <c r="BWC268" s="1"/>
      <c r="BWD268" s="1"/>
      <c r="BWE268" s="1"/>
      <c r="BWF268" s="1"/>
      <c r="BWG268" s="1"/>
      <c r="BWH268" s="1"/>
      <c r="BWI268" s="1"/>
      <c r="BWJ268" s="1"/>
      <c r="BWK268" s="1"/>
      <c r="BWL268" s="1"/>
      <c r="BWM268" s="1"/>
      <c r="BWN268" s="1"/>
      <c r="BWO268" s="1"/>
      <c r="BWP268" s="1"/>
      <c r="BWQ268" s="1"/>
      <c r="BWR268" s="1"/>
      <c r="BWS268" s="1"/>
      <c r="BWT268" s="1"/>
      <c r="BWU268" s="1"/>
      <c r="BWV268" s="1"/>
      <c r="BWW268" s="1"/>
      <c r="BWX268" s="1"/>
      <c r="BWY268" s="1"/>
      <c r="BWZ268" s="1"/>
      <c r="BXA268" s="1"/>
      <c r="BXB268" s="1"/>
      <c r="BXC268" s="1"/>
      <c r="BXD268" s="1"/>
      <c r="BXE268" s="1"/>
      <c r="BXF268" s="1"/>
      <c r="BXG268" s="1"/>
      <c r="BXH268" s="1"/>
      <c r="BXI268" s="1"/>
      <c r="BXJ268" s="1"/>
      <c r="BXK268" s="1"/>
      <c r="BXL268" s="1"/>
      <c r="BXM268" s="1"/>
      <c r="BXN268" s="1"/>
      <c r="BXO268" s="1"/>
      <c r="BXP268" s="1"/>
      <c r="BXQ268" s="1"/>
      <c r="BXR268" s="1"/>
      <c r="BXS268" s="1"/>
      <c r="BXT268" s="1"/>
      <c r="BXU268" s="1"/>
      <c r="BXV268" s="1"/>
      <c r="BXW268" s="1"/>
      <c r="BXX268" s="1"/>
      <c r="BXY268" s="1"/>
      <c r="BXZ268" s="1"/>
      <c r="BYA268" s="1"/>
      <c r="BYB268" s="1"/>
      <c r="BYC268" s="1"/>
      <c r="BYD268" s="1"/>
      <c r="BYE268" s="1"/>
      <c r="BYF268" s="1"/>
      <c r="BYG268" s="1"/>
      <c r="BYH268" s="1"/>
      <c r="BYI268" s="1"/>
      <c r="BYJ268" s="1"/>
      <c r="BYK268" s="1"/>
      <c r="BYL268" s="1"/>
      <c r="BYM268" s="1"/>
      <c r="BYN268" s="1"/>
      <c r="BYO268" s="1"/>
      <c r="BYP268" s="1"/>
      <c r="BYQ268" s="1"/>
      <c r="BYR268" s="1"/>
      <c r="BYS268" s="1"/>
      <c r="BYT268" s="1"/>
      <c r="BYU268" s="1"/>
      <c r="BYV268" s="1"/>
      <c r="BYW268" s="1"/>
      <c r="BYX268" s="1"/>
      <c r="BYY268" s="1"/>
      <c r="BYZ268" s="1"/>
      <c r="BZA268" s="1"/>
      <c r="BZB268" s="1"/>
      <c r="BZC268" s="1"/>
      <c r="BZD268" s="1"/>
      <c r="BZE268" s="1"/>
      <c r="BZF268" s="1"/>
      <c r="BZG268" s="1"/>
      <c r="BZH268" s="1"/>
      <c r="BZI268" s="1"/>
      <c r="BZJ268" s="1"/>
      <c r="BZK268" s="1"/>
      <c r="BZL268" s="1"/>
      <c r="BZM268" s="1"/>
      <c r="BZN268" s="1"/>
      <c r="BZO268" s="1"/>
      <c r="BZP268" s="1"/>
      <c r="BZQ268" s="1"/>
      <c r="BZR268" s="1"/>
      <c r="BZS268" s="1"/>
      <c r="BZT268" s="1"/>
      <c r="BZU268" s="1"/>
      <c r="BZV268" s="1"/>
      <c r="BZW268" s="1"/>
      <c r="BZX268" s="1"/>
      <c r="BZY268" s="1"/>
      <c r="BZZ268" s="1"/>
      <c r="CAA268" s="1"/>
      <c r="CAB268" s="1"/>
      <c r="CAC268" s="1"/>
      <c r="CAD268" s="1"/>
      <c r="CAE268" s="1"/>
      <c r="CAF268" s="1"/>
      <c r="CAG268" s="1"/>
      <c r="CAH268" s="1"/>
      <c r="CAI268" s="1"/>
      <c r="CAJ268" s="1"/>
      <c r="CAK268" s="1"/>
      <c r="CAL268" s="1"/>
      <c r="CAM268" s="1"/>
      <c r="CAN268" s="1"/>
      <c r="CAO268" s="1"/>
      <c r="CAP268" s="1"/>
      <c r="CAQ268" s="1"/>
      <c r="CAR268" s="1"/>
      <c r="CAS268" s="1"/>
      <c r="CAT268" s="1"/>
      <c r="CAU268" s="1"/>
      <c r="CAV268" s="1"/>
      <c r="CAW268" s="1"/>
      <c r="CAX268" s="1"/>
      <c r="CAY268" s="1"/>
      <c r="CAZ268" s="1"/>
      <c r="CBA268" s="1"/>
      <c r="CBB268" s="1"/>
      <c r="CBC268" s="1"/>
      <c r="CBD268" s="1"/>
      <c r="CBE268" s="1"/>
      <c r="CBF268" s="1"/>
      <c r="CBG268" s="1"/>
      <c r="CBH268" s="1"/>
      <c r="CBI268" s="1"/>
      <c r="CBJ268" s="1"/>
      <c r="CBK268" s="1"/>
      <c r="CBL268" s="1"/>
      <c r="CBM268" s="1"/>
      <c r="CBN268" s="1"/>
      <c r="CBO268" s="1"/>
      <c r="CBP268" s="1"/>
      <c r="CBQ268" s="1"/>
      <c r="CBR268" s="1"/>
      <c r="CBS268" s="1"/>
      <c r="CBT268" s="1"/>
      <c r="CBU268" s="1"/>
      <c r="CBV268" s="1"/>
      <c r="CBW268" s="1"/>
      <c r="CBX268" s="1"/>
      <c r="CBY268" s="1"/>
      <c r="CBZ268" s="1"/>
      <c r="CCA268" s="1"/>
      <c r="CCB268" s="1"/>
      <c r="CCC268" s="1"/>
      <c r="CCD268" s="1"/>
      <c r="CCE268" s="1"/>
      <c r="CCF268" s="1"/>
      <c r="CCG268" s="1"/>
      <c r="CCH268" s="1"/>
      <c r="CCI268" s="1"/>
      <c r="CCJ268" s="1"/>
      <c r="CCK268" s="1"/>
      <c r="CCL268" s="1"/>
      <c r="CCM268" s="1"/>
      <c r="CCN268" s="1"/>
      <c r="CCO268" s="1"/>
      <c r="CCP268" s="1"/>
      <c r="CCQ268" s="1"/>
      <c r="CCR268" s="1"/>
      <c r="CCS268" s="1"/>
      <c r="CCT268" s="1"/>
      <c r="CCU268" s="1"/>
      <c r="CCV268" s="1"/>
      <c r="CCW268" s="1"/>
      <c r="CCX268" s="1"/>
      <c r="CCY268" s="1"/>
      <c r="CCZ268" s="1"/>
      <c r="CDA268" s="1"/>
      <c r="CDB268" s="1"/>
      <c r="CDC268" s="1"/>
      <c r="CDD268" s="1"/>
      <c r="CDE268" s="1"/>
      <c r="CDF268" s="1"/>
      <c r="CDG268" s="1"/>
      <c r="CDH268" s="1"/>
      <c r="CDI268" s="1"/>
      <c r="CDJ268" s="1"/>
      <c r="CDK268" s="1"/>
      <c r="CDL268" s="1"/>
      <c r="CDM268" s="1"/>
      <c r="CDN268" s="1"/>
      <c r="CDO268" s="1"/>
      <c r="CDP268" s="1"/>
      <c r="CDQ268" s="1"/>
      <c r="CDR268" s="1"/>
      <c r="CDS268" s="1"/>
      <c r="CDT268" s="1"/>
      <c r="CDU268" s="1"/>
      <c r="CDV268" s="1"/>
      <c r="CDW268" s="1"/>
      <c r="CDX268" s="1"/>
      <c r="CDY268" s="1"/>
      <c r="CDZ268" s="1"/>
      <c r="CEA268" s="1"/>
      <c r="CEB268" s="1"/>
      <c r="CEC268" s="1"/>
      <c r="CED268" s="1"/>
      <c r="CEE268" s="1"/>
      <c r="CEF268" s="1"/>
      <c r="CEG268" s="1"/>
      <c r="CEH268" s="1"/>
      <c r="CEI268" s="1"/>
      <c r="CEJ268" s="1"/>
      <c r="CEK268" s="1"/>
      <c r="CEL268" s="1"/>
      <c r="CEM268" s="1"/>
      <c r="CEN268" s="1"/>
      <c r="CEO268" s="1"/>
      <c r="CEP268" s="1"/>
      <c r="CEQ268" s="1"/>
      <c r="CER268" s="1"/>
      <c r="CES268" s="1"/>
      <c r="CET268" s="1"/>
      <c r="CEU268" s="1"/>
      <c r="CEV268" s="1"/>
      <c r="CEW268" s="1"/>
      <c r="CEX268" s="1"/>
      <c r="CEY268" s="1"/>
      <c r="CEZ268" s="1"/>
      <c r="CFA268" s="1"/>
      <c r="CFB268" s="1"/>
      <c r="CFC268" s="1"/>
      <c r="CFD268" s="1"/>
      <c r="CFE268" s="1"/>
      <c r="CFF268" s="1"/>
      <c r="CFG268" s="1"/>
      <c r="CFH268" s="1"/>
      <c r="CFI268" s="1"/>
      <c r="CFJ268" s="1"/>
      <c r="CFK268" s="1"/>
      <c r="CFL268" s="1"/>
      <c r="CFM268" s="1"/>
      <c r="CFN268" s="1"/>
      <c r="CFO268" s="1"/>
      <c r="CFP268" s="1"/>
      <c r="CFQ268" s="1"/>
      <c r="CFR268" s="1"/>
      <c r="CFS268" s="1"/>
      <c r="CFT268" s="1"/>
      <c r="CFU268" s="1"/>
      <c r="CFV268" s="1"/>
      <c r="CFW268" s="1"/>
      <c r="CFX268" s="1"/>
      <c r="CFY268" s="1"/>
      <c r="CFZ268" s="1"/>
      <c r="CGA268" s="1"/>
      <c r="CGB268" s="1"/>
      <c r="CGC268" s="1"/>
      <c r="CGD268" s="1"/>
      <c r="CGE268" s="1"/>
      <c r="CGF268" s="1"/>
      <c r="CGG268" s="1"/>
      <c r="CGH268" s="1"/>
      <c r="CGI268" s="1"/>
      <c r="CGJ268" s="1"/>
      <c r="CGK268" s="1"/>
      <c r="CGL268" s="1"/>
      <c r="CGM268" s="1"/>
      <c r="CGN268" s="1"/>
      <c r="CGO268" s="1"/>
      <c r="CGP268" s="1"/>
      <c r="CGQ268" s="1"/>
      <c r="CGR268" s="1"/>
      <c r="CGS268" s="1"/>
      <c r="CGT268" s="1"/>
      <c r="CGU268" s="1"/>
      <c r="CGV268" s="1"/>
      <c r="CGW268" s="1"/>
      <c r="CGX268" s="1"/>
      <c r="CGY268" s="1"/>
      <c r="CGZ268" s="1"/>
      <c r="CHA268" s="1"/>
      <c r="CHB268" s="1"/>
      <c r="CHC268" s="1"/>
      <c r="CHD268" s="1"/>
      <c r="CHE268" s="1"/>
      <c r="CHF268" s="1"/>
      <c r="CHG268" s="1"/>
      <c r="CHH268" s="1"/>
      <c r="CHI268" s="1"/>
      <c r="CHJ268" s="1"/>
      <c r="CHK268" s="1"/>
      <c r="CHL268" s="1"/>
      <c r="CHM268" s="1"/>
      <c r="CHN268" s="1"/>
      <c r="CHO268" s="1"/>
      <c r="CHP268" s="1"/>
      <c r="CHQ268" s="1"/>
      <c r="CHR268" s="1"/>
      <c r="CHS268" s="1"/>
      <c r="CHT268" s="1"/>
      <c r="CHU268" s="1"/>
      <c r="CHV268" s="1"/>
      <c r="CHW268" s="1"/>
      <c r="CHX268" s="1"/>
      <c r="CHY268" s="1"/>
      <c r="CHZ268" s="1"/>
      <c r="CIA268" s="1"/>
      <c r="CIB268" s="1"/>
      <c r="CIC268" s="1"/>
      <c r="CID268" s="1"/>
      <c r="CIE268" s="1"/>
      <c r="CIF268" s="1"/>
      <c r="CIG268" s="1"/>
      <c r="CIH268" s="1"/>
      <c r="CII268" s="1"/>
      <c r="CIJ268" s="1"/>
      <c r="CIK268" s="1"/>
      <c r="CIL268" s="1"/>
      <c r="CIM268" s="1"/>
      <c r="CIN268" s="1"/>
      <c r="CIO268" s="1"/>
      <c r="CIP268" s="1"/>
      <c r="CIQ268" s="1"/>
      <c r="CIR268" s="1"/>
      <c r="CIS268" s="1"/>
      <c r="CIT268" s="1"/>
      <c r="CIU268" s="1"/>
      <c r="CIV268" s="1"/>
      <c r="CIW268" s="1"/>
      <c r="CIX268" s="1"/>
      <c r="CIY268" s="1"/>
      <c r="CIZ268" s="1"/>
      <c r="CJA268" s="1"/>
      <c r="CJB268" s="1"/>
      <c r="CJC268" s="1"/>
      <c r="CJD268" s="1"/>
      <c r="CJE268" s="1"/>
      <c r="CJF268" s="1"/>
      <c r="CJG268" s="1"/>
      <c r="CJH268" s="1"/>
      <c r="CJI268" s="1"/>
      <c r="CJJ268" s="1"/>
      <c r="CJK268" s="1"/>
      <c r="CJL268" s="1"/>
      <c r="CJM268" s="1"/>
      <c r="CJN268" s="1"/>
      <c r="CJO268" s="1"/>
      <c r="CJP268" s="1"/>
      <c r="CJQ268" s="1"/>
      <c r="CJR268" s="1"/>
      <c r="CJS268" s="1"/>
      <c r="CJT268" s="1"/>
      <c r="CJU268" s="1"/>
      <c r="CJV268" s="1"/>
      <c r="CJW268" s="1"/>
      <c r="CJX268" s="1"/>
      <c r="CJY268" s="1"/>
      <c r="CJZ268" s="1"/>
      <c r="CKA268" s="1"/>
      <c r="CKB268" s="1"/>
      <c r="CKC268" s="1"/>
      <c r="CKD268" s="1"/>
      <c r="CKE268" s="1"/>
      <c r="CKF268" s="1"/>
      <c r="CKG268" s="1"/>
      <c r="CKH268" s="1"/>
      <c r="CKI268" s="1"/>
      <c r="CKJ268" s="1"/>
      <c r="CKK268" s="1"/>
      <c r="CKL268" s="1"/>
      <c r="CKM268" s="1"/>
      <c r="CKN268" s="1"/>
      <c r="CKO268" s="1"/>
      <c r="CKP268" s="1"/>
      <c r="CKQ268" s="1"/>
      <c r="CKR268" s="1"/>
      <c r="CKS268" s="1"/>
      <c r="CKT268" s="1"/>
      <c r="CKU268" s="1"/>
      <c r="CKV268" s="1"/>
      <c r="CKW268" s="1"/>
      <c r="CKX268" s="1"/>
      <c r="CKY268" s="1"/>
      <c r="CKZ268" s="1"/>
      <c r="CLA268" s="1"/>
      <c r="CLB268" s="1"/>
      <c r="CLC268" s="1"/>
      <c r="CLD268" s="1"/>
      <c r="CLE268" s="1"/>
      <c r="CLF268" s="1"/>
      <c r="CLG268" s="1"/>
      <c r="CLH268" s="1"/>
      <c r="CLI268" s="1"/>
      <c r="CLJ268" s="1"/>
      <c r="CLK268" s="1"/>
      <c r="CLL268" s="1"/>
      <c r="CLM268" s="1"/>
      <c r="CLN268" s="1"/>
      <c r="CLO268" s="1"/>
      <c r="CLP268" s="1"/>
      <c r="CLQ268" s="1"/>
      <c r="CLR268" s="1"/>
      <c r="CLS268" s="1"/>
      <c r="CLT268" s="1"/>
      <c r="CLU268" s="1"/>
      <c r="CLV268" s="1"/>
      <c r="CLW268" s="1"/>
      <c r="CLX268" s="1"/>
      <c r="CLY268" s="1"/>
      <c r="CLZ268" s="1"/>
      <c r="CMA268" s="1"/>
      <c r="CMB268" s="1"/>
      <c r="CMC268" s="1"/>
      <c r="CMD268" s="1"/>
      <c r="CME268" s="1"/>
      <c r="CMF268" s="1"/>
      <c r="CMG268" s="1"/>
      <c r="CMH268" s="1"/>
      <c r="CMI268" s="1"/>
      <c r="CMJ268" s="1"/>
      <c r="CMK268" s="1"/>
      <c r="CML268" s="1"/>
      <c r="CMM268" s="1"/>
      <c r="CMN268" s="1"/>
      <c r="CMO268" s="1"/>
      <c r="CMP268" s="1"/>
      <c r="CMQ268" s="1"/>
      <c r="CMR268" s="1"/>
      <c r="CMS268" s="1"/>
      <c r="CMT268" s="1"/>
      <c r="CMU268" s="1"/>
      <c r="CMV268" s="1"/>
      <c r="CMW268" s="1"/>
      <c r="CMX268" s="1"/>
      <c r="CMY268" s="1"/>
      <c r="CMZ268" s="1"/>
      <c r="CNA268" s="1"/>
      <c r="CNB268" s="1"/>
      <c r="CNC268" s="1"/>
      <c r="CND268" s="1"/>
      <c r="CNE268" s="1"/>
      <c r="CNF268" s="1"/>
      <c r="CNG268" s="1"/>
      <c r="CNH268" s="1"/>
      <c r="CNI268" s="1"/>
      <c r="CNJ268" s="1"/>
      <c r="CNK268" s="1"/>
      <c r="CNL268" s="1"/>
      <c r="CNM268" s="1"/>
      <c r="CNN268" s="1"/>
      <c r="CNO268" s="1"/>
      <c r="CNP268" s="1"/>
      <c r="CNQ268" s="1"/>
      <c r="CNR268" s="1"/>
      <c r="CNS268" s="1"/>
      <c r="CNT268" s="1"/>
      <c r="CNU268" s="1"/>
      <c r="CNV268" s="1"/>
      <c r="CNW268" s="1"/>
      <c r="CNX268" s="1"/>
      <c r="CNY268" s="1"/>
      <c r="CNZ268" s="1"/>
      <c r="COA268" s="1"/>
      <c r="COB268" s="1"/>
      <c r="COC268" s="1"/>
      <c r="COD268" s="1"/>
      <c r="COE268" s="1"/>
      <c r="COF268" s="1"/>
      <c r="COG268" s="1"/>
      <c r="COH268" s="1"/>
      <c r="COI268" s="1"/>
      <c r="COJ268" s="1"/>
      <c r="COK268" s="1"/>
      <c r="COL268" s="1"/>
      <c r="COM268" s="1"/>
      <c r="CON268" s="1"/>
      <c r="COO268" s="1"/>
      <c r="COP268" s="1"/>
      <c r="COQ268" s="1"/>
      <c r="COR268" s="1"/>
      <c r="COS268" s="1"/>
      <c r="COT268" s="1"/>
      <c r="COU268" s="1"/>
      <c r="COV268" s="1"/>
      <c r="COW268" s="1"/>
      <c r="COX268" s="1"/>
      <c r="COY268" s="1"/>
      <c r="COZ268" s="1"/>
      <c r="CPA268" s="1"/>
      <c r="CPB268" s="1"/>
      <c r="CPC268" s="1"/>
      <c r="CPD268" s="1"/>
      <c r="CPE268" s="1"/>
      <c r="CPF268" s="1"/>
      <c r="CPG268" s="1"/>
      <c r="CPH268" s="1"/>
      <c r="CPI268" s="1"/>
      <c r="CPJ268" s="1"/>
      <c r="CPK268" s="1"/>
      <c r="CPL268" s="1"/>
      <c r="CPM268" s="1"/>
      <c r="CPN268" s="1"/>
      <c r="CPO268" s="1"/>
      <c r="CPP268" s="1"/>
      <c r="CPQ268" s="1"/>
      <c r="CPR268" s="1"/>
      <c r="CPS268" s="1"/>
      <c r="CPT268" s="1"/>
      <c r="CPU268" s="1"/>
      <c r="CPV268" s="1"/>
      <c r="CPW268" s="1"/>
      <c r="CPX268" s="1"/>
      <c r="CPY268" s="1"/>
      <c r="CPZ268" s="1"/>
      <c r="CQA268" s="1"/>
      <c r="CQB268" s="1"/>
      <c r="CQC268" s="1"/>
      <c r="CQD268" s="1"/>
      <c r="CQE268" s="1"/>
      <c r="CQF268" s="1"/>
      <c r="CQG268" s="1"/>
      <c r="CQH268" s="1"/>
      <c r="CQI268" s="1"/>
      <c r="CQJ268" s="1"/>
      <c r="CQK268" s="1"/>
      <c r="CQL268" s="1"/>
      <c r="CQM268" s="1"/>
      <c r="CQN268" s="1"/>
      <c r="CQO268" s="1"/>
      <c r="CQP268" s="1"/>
      <c r="CQQ268" s="1"/>
      <c r="CQR268" s="1"/>
      <c r="CQS268" s="1"/>
      <c r="CQT268" s="1"/>
      <c r="CQU268" s="1"/>
      <c r="CQV268" s="1"/>
      <c r="CQW268" s="1"/>
      <c r="CQX268" s="1"/>
      <c r="CQY268" s="1"/>
      <c r="CQZ268" s="1"/>
      <c r="CRA268" s="1"/>
      <c r="CRB268" s="1"/>
      <c r="CRC268" s="1"/>
      <c r="CRD268" s="1"/>
      <c r="CRE268" s="1"/>
      <c r="CRF268" s="1"/>
      <c r="CRG268" s="1"/>
      <c r="CRH268" s="1"/>
      <c r="CRI268" s="1"/>
      <c r="CRJ268" s="1"/>
      <c r="CRK268" s="1"/>
      <c r="CRL268" s="1"/>
      <c r="CRM268" s="1"/>
      <c r="CRN268" s="1"/>
      <c r="CRO268" s="1"/>
      <c r="CRP268" s="1"/>
      <c r="CRQ268" s="1"/>
      <c r="CRR268" s="1"/>
      <c r="CRS268" s="1"/>
      <c r="CRT268" s="1"/>
      <c r="CRU268" s="1"/>
      <c r="CRV268" s="1"/>
      <c r="CRW268" s="1"/>
      <c r="CRX268" s="1"/>
      <c r="CRY268" s="1"/>
      <c r="CRZ268" s="1"/>
      <c r="CSA268" s="1"/>
      <c r="CSB268" s="1"/>
      <c r="CSC268" s="1"/>
      <c r="CSD268" s="1"/>
      <c r="CSE268" s="1"/>
      <c r="CSF268" s="1"/>
      <c r="CSG268" s="1"/>
      <c r="CSH268" s="1"/>
      <c r="CSI268" s="1"/>
      <c r="CSJ268" s="1"/>
      <c r="CSK268" s="1"/>
      <c r="CSL268" s="1"/>
      <c r="CSM268" s="1"/>
      <c r="CSN268" s="1"/>
      <c r="CSO268" s="1"/>
      <c r="CSP268" s="1"/>
      <c r="CSQ268" s="1"/>
      <c r="CSR268" s="1"/>
      <c r="CSS268" s="1"/>
      <c r="CST268" s="1"/>
      <c r="CSU268" s="1"/>
      <c r="CSV268" s="1"/>
      <c r="CSW268" s="1"/>
      <c r="CSX268" s="1"/>
      <c r="CSY268" s="1"/>
      <c r="CSZ268" s="1"/>
      <c r="CTA268" s="1"/>
      <c r="CTB268" s="1"/>
      <c r="CTC268" s="1"/>
      <c r="CTD268" s="1"/>
      <c r="CTE268" s="1"/>
      <c r="CTF268" s="1"/>
      <c r="CTG268" s="1"/>
      <c r="CTH268" s="1"/>
      <c r="CTI268" s="1"/>
      <c r="CTJ268" s="1"/>
      <c r="CTK268" s="1"/>
      <c r="CTL268" s="1"/>
      <c r="CTM268" s="1"/>
      <c r="CTN268" s="1"/>
      <c r="CTO268" s="1"/>
      <c r="CTP268" s="1"/>
      <c r="CTQ268" s="1"/>
      <c r="CTR268" s="1"/>
      <c r="CTS268" s="1"/>
      <c r="CTT268" s="1"/>
      <c r="CTU268" s="1"/>
      <c r="CTV268" s="1"/>
      <c r="CTW268" s="1"/>
      <c r="CTX268" s="1"/>
      <c r="CTY268" s="1"/>
      <c r="CTZ268" s="1"/>
      <c r="CUA268" s="1"/>
      <c r="CUB268" s="1"/>
      <c r="CUC268" s="1"/>
      <c r="CUD268" s="1"/>
      <c r="CUE268" s="1"/>
      <c r="CUF268" s="1"/>
      <c r="CUG268" s="1"/>
      <c r="CUH268" s="1"/>
      <c r="CUI268" s="1"/>
      <c r="CUJ268" s="1"/>
      <c r="CUK268" s="1"/>
      <c r="CUL268" s="1"/>
      <c r="CUM268" s="1"/>
      <c r="CUN268" s="1"/>
      <c r="CUO268" s="1"/>
      <c r="CUP268" s="1"/>
      <c r="CUQ268" s="1"/>
      <c r="CUR268" s="1"/>
      <c r="CUS268" s="1"/>
      <c r="CUT268" s="1"/>
      <c r="CUU268" s="1"/>
      <c r="CUV268" s="1"/>
      <c r="CUW268" s="1"/>
      <c r="CUX268" s="1"/>
      <c r="CUY268" s="1"/>
      <c r="CUZ268" s="1"/>
      <c r="CVA268" s="1"/>
      <c r="CVB268" s="1"/>
      <c r="CVC268" s="1"/>
      <c r="CVD268" s="1"/>
      <c r="CVE268" s="1"/>
      <c r="CVF268" s="1"/>
      <c r="CVG268" s="1"/>
      <c r="CVH268" s="1"/>
      <c r="CVI268" s="1"/>
      <c r="CVJ268" s="1"/>
      <c r="CVK268" s="1"/>
      <c r="CVL268" s="1"/>
      <c r="CVM268" s="1"/>
      <c r="CVN268" s="1"/>
      <c r="CVO268" s="1"/>
      <c r="CVP268" s="1"/>
      <c r="CVQ268" s="1"/>
      <c r="CVR268" s="1"/>
      <c r="CVS268" s="1"/>
      <c r="CVT268" s="1"/>
      <c r="CVU268" s="1"/>
      <c r="CVV268" s="1"/>
      <c r="CVW268" s="1"/>
      <c r="CVX268" s="1"/>
      <c r="CVY268" s="1"/>
      <c r="CVZ268" s="1"/>
      <c r="CWA268" s="1"/>
      <c r="CWB268" s="1"/>
      <c r="CWC268" s="1"/>
      <c r="CWD268" s="1"/>
      <c r="CWE268" s="1"/>
      <c r="CWF268" s="1"/>
      <c r="CWG268" s="1"/>
      <c r="CWH268" s="1"/>
      <c r="CWI268" s="1"/>
      <c r="CWJ268" s="1"/>
      <c r="CWK268" s="1"/>
      <c r="CWL268" s="1"/>
      <c r="CWM268" s="1"/>
      <c r="CWN268" s="1"/>
      <c r="CWO268" s="1"/>
      <c r="CWP268" s="1"/>
      <c r="CWQ268" s="1"/>
      <c r="CWR268" s="1"/>
      <c r="CWS268" s="1"/>
      <c r="CWT268" s="1"/>
      <c r="CWU268" s="1"/>
      <c r="CWV268" s="1"/>
      <c r="CWW268" s="1"/>
      <c r="CWX268" s="1"/>
      <c r="CWY268" s="1"/>
      <c r="CWZ268" s="1"/>
      <c r="CXA268" s="1"/>
      <c r="CXB268" s="1"/>
      <c r="CXC268" s="1"/>
      <c r="CXD268" s="1"/>
      <c r="CXE268" s="1"/>
      <c r="CXF268" s="1"/>
      <c r="CXG268" s="1"/>
      <c r="CXH268" s="1"/>
      <c r="CXI268" s="1"/>
      <c r="CXJ268" s="1"/>
      <c r="CXK268" s="1"/>
      <c r="CXL268" s="1"/>
      <c r="CXM268" s="1"/>
      <c r="CXN268" s="1"/>
      <c r="CXO268" s="1"/>
      <c r="CXP268" s="1"/>
      <c r="CXQ268" s="1"/>
      <c r="CXR268" s="1"/>
      <c r="CXS268" s="1"/>
      <c r="CXT268" s="1"/>
      <c r="CXU268" s="1"/>
      <c r="CXV268" s="1"/>
      <c r="CXW268" s="1"/>
      <c r="CXX268" s="1"/>
      <c r="CXY268" s="1"/>
      <c r="CXZ268" s="1"/>
      <c r="CYA268" s="1"/>
      <c r="CYB268" s="1"/>
      <c r="CYC268" s="1"/>
      <c r="CYD268" s="1"/>
      <c r="CYE268" s="1"/>
      <c r="CYF268" s="1"/>
      <c r="CYG268" s="1"/>
      <c r="CYH268" s="1"/>
      <c r="CYI268" s="1"/>
      <c r="CYJ268" s="1"/>
      <c r="CYK268" s="1"/>
      <c r="CYL268" s="1"/>
      <c r="CYM268" s="1"/>
      <c r="CYN268" s="1"/>
      <c r="CYO268" s="1"/>
      <c r="CYP268" s="1"/>
      <c r="CYQ268" s="1"/>
      <c r="CYR268" s="1"/>
      <c r="CYS268" s="1"/>
      <c r="CYT268" s="1"/>
      <c r="CYU268" s="1"/>
      <c r="CYV268" s="1"/>
      <c r="CYW268" s="1"/>
      <c r="CYX268" s="1"/>
      <c r="CYY268" s="1"/>
      <c r="CYZ268" s="1"/>
      <c r="CZA268" s="1"/>
      <c r="CZB268" s="1"/>
      <c r="CZC268" s="1"/>
      <c r="CZD268" s="1"/>
      <c r="CZE268" s="1"/>
      <c r="CZF268" s="1"/>
      <c r="CZG268" s="1"/>
      <c r="CZH268" s="1"/>
      <c r="CZI268" s="1"/>
      <c r="CZJ268" s="1"/>
      <c r="CZK268" s="1"/>
      <c r="CZL268" s="1"/>
      <c r="CZM268" s="1"/>
      <c r="CZN268" s="1"/>
      <c r="CZO268" s="1"/>
      <c r="CZP268" s="1"/>
      <c r="CZQ268" s="1"/>
      <c r="CZR268" s="1"/>
      <c r="CZS268" s="1"/>
      <c r="CZT268" s="1"/>
      <c r="CZU268" s="1"/>
      <c r="CZV268" s="1"/>
      <c r="CZW268" s="1"/>
      <c r="CZX268" s="1"/>
      <c r="CZY268" s="1"/>
      <c r="CZZ268" s="1"/>
      <c r="DAA268" s="1"/>
      <c r="DAB268" s="1"/>
      <c r="DAC268" s="1"/>
      <c r="DAD268" s="1"/>
      <c r="DAE268" s="1"/>
      <c r="DAF268" s="1"/>
      <c r="DAG268" s="1"/>
      <c r="DAH268" s="1"/>
      <c r="DAI268" s="1"/>
      <c r="DAJ268" s="1"/>
      <c r="DAK268" s="1"/>
      <c r="DAL268" s="1"/>
      <c r="DAM268" s="1"/>
      <c r="DAN268" s="1"/>
      <c r="DAO268" s="1"/>
      <c r="DAP268" s="1"/>
      <c r="DAQ268" s="1"/>
      <c r="DAR268" s="1"/>
      <c r="DAS268" s="1"/>
      <c r="DAT268" s="1"/>
      <c r="DAU268" s="1"/>
      <c r="DAV268" s="1"/>
      <c r="DAW268" s="1"/>
      <c r="DAX268" s="1"/>
      <c r="DAY268" s="1"/>
      <c r="DAZ268" s="1"/>
      <c r="DBA268" s="1"/>
      <c r="DBB268" s="1"/>
      <c r="DBC268" s="1"/>
      <c r="DBD268" s="1"/>
      <c r="DBE268" s="1"/>
      <c r="DBF268" s="1"/>
      <c r="DBG268" s="1"/>
      <c r="DBH268" s="1"/>
      <c r="DBI268" s="1"/>
      <c r="DBJ268" s="1"/>
      <c r="DBK268" s="1"/>
      <c r="DBL268" s="1"/>
      <c r="DBM268" s="1"/>
      <c r="DBN268" s="1"/>
      <c r="DBO268" s="1"/>
      <c r="DBP268" s="1"/>
      <c r="DBQ268" s="1"/>
      <c r="DBR268" s="1"/>
      <c r="DBS268" s="1"/>
      <c r="DBT268" s="1"/>
      <c r="DBU268" s="1"/>
      <c r="DBV268" s="1"/>
      <c r="DBW268" s="1"/>
      <c r="DBX268" s="1"/>
      <c r="DBY268" s="1"/>
      <c r="DBZ268" s="1"/>
      <c r="DCA268" s="1"/>
      <c r="DCB268" s="1"/>
      <c r="DCC268" s="1"/>
      <c r="DCD268" s="1"/>
      <c r="DCE268" s="1"/>
      <c r="DCF268" s="1"/>
      <c r="DCG268" s="1"/>
      <c r="DCH268" s="1"/>
      <c r="DCI268" s="1"/>
      <c r="DCJ268" s="1"/>
      <c r="DCK268" s="1"/>
      <c r="DCL268" s="1"/>
      <c r="DCM268" s="1"/>
      <c r="DCN268" s="1"/>
      <c r="DCO268" s="1"/>
      <c r="DCP268" s="1"/>
      <c r="DCQ268" s="1"/>
      <c r="DCR268" s="1"/>
      <c r="DCS268" s="1"/>
      <c r="DCT268" s="1"/>
      <c r="DCU268" s="1"/>
      <c r="DCV268" s="1"/>
      <c r="DCW268" s="1"/>
      <c r="DCX268" s="1"/>
      <c r="DCY268" s="1"/>
      <c r="DCZ268" s="1"/>
      <c r="DDA268" s="1"/>
      <c r="DDB268" s="1"/>
      <c r="DDC268" s="1"/>
      <c r="DDD268" s="1"/>
      <c r="DDE268" s="1"/>
      <c r="DDF268" s="1"/>
      <c r="DDG268" s="1"/>
      <c r="DDH268" s="1"/>
      <c r="DDI268" s="1"/>
      <c r="DDJ268" s="1"/>
      <c r="DDK268" s="1"/>
      <c r="DDL268" s="1"/>
      <c r="DDM268" s="1"/>
      <c r="DDN268" s="1"/>
      <c r="DDO268" s="1"/>
      <c r="DDP268" s="1"/>
      <c r="DDQ268" s="1"/>
      <c r="DDR268" s="1"/>
      <c r="DDS268" s="1"/>
      <c r="DDT268" s="1"/>
      <c r="DDU268" s="1"/>
      <c r="DDV268" s="1"/>
      <c r="DDW268" s="1"/>
      <c r="DDX268" s="1"/>
      <c r="DDY268" s="1"/>
      <c r="DDZ268" s="1"/>
      <c r="DEA268" s="1"/>
      <c r="DEB268" s="1"/>
      <c r="DEC268" s="1"/>
      <c r="DED268" s="1"/>
      <c r="DEE268" s="1"/>
      <c r="DEF268" s="1"/>
      <c r="DEG268" s="1"/>
      <c r="DEH268" s="1"/>
      <c r="DEI268" s="1"/>
      <c r="DEJ268" s="1"/>
      <c r="DEK268" s="1"/>
      <c r="DEL268" s="1"/>
      <c r="DEM268" s="1"/>
      <c r="DEN268" s="1"/>
      <c r="DEO268" s="1"/>
      <c r="DEP268" s="1"/>
      <c r="DEQ268" s="1"/>
      <c r="DER268" s="1"/>
      <c r="DES268" s="1"/>
      <c r="DET268" s="1"/>
      <c r="DEU268" s="1"/>
      <c r="DEV268" s="1"/>
      <c r="DEW268" s="1"/>
      <c r="DEX268" s="1"/>
      <c r="DEY268" s="1"/>
      <c r="DEZ268" s="1"/>
      <c r="DFA268" s="1"/>
      <c r="DFB268" s="1"/>
      <c r="DFC268" s="1"/>
      <c r="DFD268" s="1"/>
      <c r="DFE268" s="1"/>
      <c r="DFF268" s="1"/>
      <c r="DFG268" s="1"/>
      <c r="DFH268" s="1"/>
      <c r="DFI268" s="1"/>
      <c r="DFJ268" s="1"/>
      <c r="DFK268" s="1"/>
      <c r="DFL268" s="1"/>
      <c r="DFM268" s="1"/>
      <c r="DFN268" s="1"/>
      <c r="DFO268" s="1"/>
      <c r="DFP268" s="1"/>
      <c r="DFQ268" s="1"/>
      <c r="DFR268" s="1"/>
      <c r="DFS268" s="1"/>
      <c r="DFT268" s="1"/>
      <c r="DFU268" s="1"/>
      <c r="DFV268" s="1"/>
      <c r="DFW268" s="1"/>
      <c r="DFX268" s="1"/>
      <c r="DFY268" s="1"/>
      <c r="DFZ268" s="1"/>
      <c r="DGA268" s="1"/>
      <c r="DGB268" s="1"/>
      <c r="DGC268" s="1"/>
      <c r="DGD268" s="1"/>
      <c r="DGE268" s="1"/>
      <c r="DGF268" s="1"/>
      <c r="DGG268" s="1"/>
      <c r="DGH268" s="1"/>
      <c r="DGI268" s="1"/>
      <c r="DGJ268" s="1"/>
      <c r="DGK268" s="1"/>
      <c r="DGL268" s="1"/>
      <c r="DGM268" s="1"/>
      <c r="DGN268" s="1"/>
      <c r="DGO268" s="1"/>
      <c r="DGP268" s="1"/>
      <c r="DGQ268" s="1"/>
      <c r="DGR268" s="1"/>
      <c r="DGS268" s="1"/>
      <c r="DGT268" s="1"/>
      <c r="DGU268" s="1"/>
      <c r="DGV268" s="1"/>
      <c r="DGW268" s="1"/>
      <c r="DGX268" s="1"/>
      <c r="DGY268" s="1"/>
      <c r="DGZ268" s="1"/>
      <c r="DHA268" s="1"/>
      <c r="DHB268" s="1"/>
      <c r="DHC268" s="1"/>
      <c r="DHD268" s="1"/>
      <c r="DHE268" s="1"/>
      <c r="DHF268" s="1"/>
      <c r="DHG268" s="1"/>
      <c r="DHH268" s="1"/>
      <c r="DHI268" s="1"/>
      <c r="DHJ268" s="1"/>
      <c r="DHK268" s="1"/>
      <c r="DHL268" s="1"/>
      <c r="DHM268" s="1"/>
      <c r="DHN268" s="1"/>
      <c r="DHO268" s="1"/>
      <c r="DHP268" s="1"/>
      <c r="DHQ268" s="1"/>
      <c r="DHR268" s="1"/>
      <c r="DHS268" s="1"/>
      <c r="DHT268" s="1"/>
      <c r="DHU268" s="1"/>
      <c r="DHV268" s="1"/>
      <c r="DHW268" s="1"/>
      <c r="DHX268" s="1"/>
      <c r="DHY268" s="1"/>
      <c r="DHZ268" s="1"/>
      <c r="DIA268" s="1"/>
      <c r="DIB268" s="1"/>
      <c r="DIC268" s="1"/>
      <c r="DID268" s="1"/>
      <c r="DIE268" s="1"/>
      <c r="DIF268" s="1"/>
      <c r="DIG268" s="1"/>
      <c r="DIH268" s="1"/>
      <c r="DII268" s="1"/>
      <c r="DIJ268" s="1"/>
      <c r="DIK268" s="1"/>
      <c r="DIL268" s="1"/>
      <c r="DIM268" s="1"/>
      <c r="DIN268" s="1"/>
      <c r="DIO268" s="1"/>
      <c r="DIP268" s="1"/>
      <c r="DIQ268" s="1"/>
      <c r="DIR268" s="1"/>
      <c r="DIS268" s="1"/>
      <c r="DIT268" s="1"/>
      <c r="DIU268" s="1"/>
      <c r="DIV268" s="1"/>
      <c r="DIW268" s="1"/>
      <c r="DIX268" s="1"/>
      <c r="DIY268" s="1"/>
      <c r="DIZ268" s="1"/>
      <c r="DJA268" s="1"/>
      <c r="DJB268" s="1"/>
      <c r="DJC268" s="1"/>
      <c r="DJD268" s="1"/>
      <c r="DJE268" s="1"/>
      <c r="DJF268" s="1"/>
      <c r="DJG268" s="1"/>
      <c r="DJH268" s="1"/>
      <c r="DJI268" s="1"/>
      <c r="DJJ268" s="1"/>
      <c r="DJK268" s="1"/>
      <c r="DJL268" s="1"/>
      <c r="DJM268" s="1"/>
      <c r="DJN268" s="1"/>
      <c r="DJO268" s="1"/>
      <c r="DJP268" s="1"/>
      <c r="DJQ268" s="1"/>
      <c r="DJR268" s="1"/>
      <c r="DJS268" s="1"/>
      <c r="DJT268" s="1"/>
      <c r="DJU268" s="1"/>
      <c r="DJV268" s="1"/>
      <c r="DJW268" s="1"/>
      <c r="DJX268" s="1"/>
      <c r="DJY268" s="1"/>
      <c r="DJZ268" s="1"/>
      <c r="DKA268" s="1"/>
      <c r="DKB268" s="1"/>
      <c r="DKC268" s="1"/>
      <c r="DKD268" s="1"/>
      <c r="DKE268" s="1"/>
      <c r="DKF268" s="1"/>
      <c r="DKG268" s="1"/>
      <c r="DKH268" s="1"/>
      <c r="DKI268" s="1"/>
      <c r="DKJ268" s="1"/>
      <c r="DKK268" s="1"/>
      <c r="DKL268" s="1"/>
      <c r="DKM268" s="1"/>
      <c r="DKN268" s="1"/>
      <c r="DKO268" s="1"/>
      <c r="DKP268" s="1"/>
      <c r="DKQ268" s="1"/>
      <c r="DKR268" s="1"/>
      <c r="DKS268" s="1"/>
      <c r="DKT268" s="1"/>
      <c r="DKU268" s="1"/>
      <c r="DKV268" s="1"/>
      <c r="DKW268" s="1"/>
      <c r="DKX268" s="1"/>
      <c r="DKY268" s="1"/>
      <c r="DKZ268" s="1"/>
      <c r="DLA268" s="1"/>
      <c r="DLB268" s="1"/>
      <c r="DLC268" s="1"/>
      <c r="DLD268" s="1"/>
      <c r="DLE268" s="1"/>
      <c r="DLF268" s="1"/>
      <c r="DLG268" s="1"/>
      <c r="DLH268" s="1"/>
      <c r="DLI268" s="1"/>
      <c r="DLJ268" s="1"/>
      <c r="DLK268" s="1"/>
      <c r="DLL268" s="1"/>
      <c r="DLM268" s="1"/>
      <c r="DLN268" s="1"/>
      <c r="DLO268" s="1"/>
      <c r="DLP268" s="1"/>
      <c r="DLQ268" s="1"/>
      <c r="DLR268" s="1"/>
      <c r="DLS268" s="1"/>
      <c r="DLT268" s="1"/>
      <c r="DLU268" s="1"/>
      <c r="DLV268" s="1"/>
      <c r="DLW268" s="1"/>
      <c r="DLX268" s="1"/>
      <c r="DLY268" s="1"/>
      <c r="DLZ268" s="1"/>
      <c r="DMA268" s="1"/>
      <c r="DMB268" s="1"/>
      <c r="DMC268" s="1"/>
      <c r="DMD268" s="1"/>
      <c r="DME268" s="1"/>
      <c r="DMF268" s="1"/>
      <c r="DMG268" s="1"/>
      <c r="DMH268" s="1"/>
      <c r="DMI268" s="1"/>
      <c r="DMJ268" s="1"/>
      <c r="DMK268" s="1"/>
      <c r="DML268" s="1"/>
      <c r="DMM268" s="1"/>
      <c r="DMN268" s="1"/>
      <c r="DMO268" s="1"/>
      <c r="DMP268" s="1"/>
      <c r="DMQ268" s="1"/>
      <c r="DMR268" s="1"/>
      <c r="DMS268" s="1"/>
      <c r="DMT268" s="1"/>
      <c r="DMU268" s="1"/>
      <c r="DMV268" s="1"/>
      <c r="DMW268" s="1"/>
      <c r="DMX268" s="1"/>
      <c r="DMY268" s="1"/>
      <c r="DMZ268" s="1"/>
      <c r="DNA268" s="1"/>
      <c r="DNB268" s="1"/>
      <c r="DNC268" s="1"/>
      <c r="DND268" s="1"/>
      <c r="DNE268" s="1"/>
      <c r="DNF268" s="1"/>
      <c r="DNG268" s="1"/>
      <c r="DNH268" s="1"/>
      <c r="DNI268" s="1"/>
      <c r="DNJ268" s="1"/>
      <c r="DNK268" s="1"/>
      <c r="DNL268" s="1"/>
      <c r="DNM268" s="1"/>
      <c r="DNN268" s="1"/>
      <c r="DNO268" s="1"/>
      <c r="DNP268" s="1"/>
      <c r="DNQ268" s="1"/>
      <c r="DNR268" s="1"/>
      <c r="DNS268" s="1"/>
      <c r="DNT268" s="1"/>
      <c r="DNU268" s="1"/>
      <c r="DNV268" s="1"/>
      <c r="DNW268" s="1"/>
      <c r="DNX268" s="1"/>
      <c r="DNY268" s="1"/>
      <c r="DNZ268" s="1"/>
      <c r="DOA268" s="1"/>
      <c r="DOB268" s="1"/>
      <c r="DOC268" s="1"/>
      <c r="DOD268" s="1"/>
      <c r="DOE268" s="1"/>
      <c r="DOF268" s="1"/>
      <c r="DOG268" s="1"/>
      <c r="DOH268" s="1"/>
      <c r="DOI268" s="1"/>
      <c r="DOJ268" s="1"/>
      <c r="DOK268" s="1"/>
      <c r="DOL268" s="1"/>
      <c r="DOM268" s="1"/>
      <c r="DON268" s="1"/>
      <c r="DOO268" s="1"/>
      <c r="DOP268" s="1"/>
      <c r="DOQ268" s="1"/>
      <c r="DOR268" s="1"/>
      <c r="DOS268" s="1"/>
      <c r="DOT268" s="1"/>
      <c r="DOU268" s="1"/>
      <c r="DOV268" s="1"/>
      <c r="DOW268" s="1"/>
      <c r="DOX268" s="1"/>
      <c r="DOY268" s="1"/>
      <c r="DOZ268" s="1"/>
      <c r="DPA268" s="1"/>
      <c r="DPB268" s="1"/>
      <c r="DPC268" s="1"/>
      <c r="DPD268" s="1"/>
      <c r="DPE268" s="1"/>
      <c r="DPF268" s="1"/>
      <c r="DPG268" s="1"/>
      <c r="DPH268" s="1"/>
      <c r="DPI268" s="1"/>
      <c r="DPJ268" s="1"/>
      <c r="DPK268" s="1"/>
      <c r="DPL268" s="1"/>
      <c r="DPM268" s="1"/>
      <c r="DPN268" s="1"/>
      <c r="DPO268" s="1"/>
      <c r="DPP268" s="1"/>
      <c r="DPQ268" s="1"/>
      <c r="DPR268" s="1"/>
      <c r="DPS268" s="1"/>
      <c r="DPT268" s="1"/>
      <c r="DPU268" s="1"/>
      <c r="DPV268" s="1"/>
      <c r="DPW268" s="1"/>
      <c r="DPX268" s="1"/>
      <c r="DPY268" s="1"/>
      <c r="DPZ268" s="1"/>
      <c r="DQA268" s="1"/>
      <c r="DQB268" s="1"/>
      <c r="DQC268" s="1"/>
      <c r="DQD268" s="1"/>
      <c r="DQE268" s="1"/>
      <c r="DQF268" s="1"/>
      <c r="DQG268" s="1"/>
      <c r="DQH268" s="1"/>
      <c r="DQI268" s="1"/>
      <c r="DQJ268" s="1"/>
      <c r="DQK268" s="1"/>
      <c r="DQL268" s="1"/>
      <c r="DQM268" s="1"/>
      <c r="DQN268" s="1"/>
      <c r="DQO268" s="1"/>
      <c r="DQP268" s="1"/>
      <c r="DQQ268" s="1"/>
      <c r="DQR268" s="1"/>
      <c r="DQS268" s="1"/>
      <c r="DQT268" s="1"/>
      <c r="DQU268" s="1"/>
      <c r="DQV268" s="1"/>
      <c r="DQW268" s="1"/>
      <c r="DQX268" s="1"/>
      <c r="DQY268" s="1"/>
      <c r="DQZ268" s="1"/>
      <c r="DRA268" s="1"/>
      <c r="DRB268" s="1"/>
      <c r="DRC268" s="1"/>
      <c r="DRD268" s="1"/>
      <c r="DRE268" s="1"/>
      <c r="DRF268" s="1"/>
      <c r="DRG268" s="1"/>
      <c r="DRH268" s="1"/>
      <c r="DRI268" s="1"/>
      <c r="DRJ268" s="1"/>
      <c r="DRK268" s="1"/>
      <c r="DRL268" s="1"/>
      <c r="DRM268" s="1"/>
      <c r="DRN268" s="1"/>
      <c r="DRO268" s="1"/>
      <c r="DRP268" s="1"/>
      <c r="DRQ268" s="1"/>
      <c r="DRR268" s="1"/>
      <c r="DRS268" s="1"/>
      <c r="DRT268" s="1"/>
      <c r="DRU268" s="1"/>
      <c r="DRV268" s="1"/>
      <c r="DRW268" s="1"/>
      <c r="DRX268" s="1"/>
      <c r="DRY268" s="1"/>
      <c r="DRZ268" s="1"/>
      <c r="DSA268" s="1"/>
      <c r="DSB268" s="1"/>
      <c r="DSC268" s="1"/>
      <c r="DSD268" s="1"/>
      <c r="DSE268" s="1"/>
      <c r="DSF268" s="1"/>
      <c r="DSG268" s="1"/>
      <c r="DSH268" s="1"/>
      <c r="DSI268" s="1"/>
      <c r="DSJ268" s="1"/>
      <c r="DSK268" s="1"/>
      <c r="DSL268" s="1"/>
      <c r="DSM268" s="1"/>
      <c r="DSN268" s="1"/>
      <c r="DSO268" s="1"/>
      <c r="DSP268" s="1"/>
      <c r="DSQ268" s="1"/>
      <c r="DSR268" s="1"/>
      <c r="DSS268" s="1"/>
      <c r="DST268" s="1"/>
      <c r="DSU268" s="1"/>
      <c r="DSV268" s="1"/>
      <c r="DSW268" s="1"/>
      <c r="DSX268" s="1"/>
      <c r="DSY268" s="1"/>
      <c r="DSZ268" s="1"/>
      <c r="DTA268" s="1"/>
      <c r="DTB268" s="1"/>
      <c r="DTC268" s="1"/>
      <c r="DTD268" s="1"/>
      <c r="DTE268" s="1"/>
      <c r="DTF268" s="1"/>
      <c r="DTG268" s="1"/>
      <c r="DTH268" s="1"/>
      <c r="DTI268" s="1"/>
      <c r="DTJ268" s="1"/>
      <c r="DTK268" s="1"/>
      <c r="DTL268" s="1"/>
      <c r="DTM268" s="1"/>
      <c r="DTN268" s="1"/>
      <c r="DTO268" s="1"/>
      <c r="DTP268" s="1"/>
      <c r="DTQ268" s="1"/>
      <c r="DTR268" s="1"/>
      <c r="DTS268" s="1"/>
      <c r="DTT268" s="1"/>
      <c r="DTU268" s="1"/>
      <c r="DTV268" s="1"/>
      <c r="DTW268" s="1"/>
      <c r="DTX268" s="1"/>
      <c r="DTY268" s="1"/>
      <c r="DTZ268" s="1"/>
      <c r="DUA268" s="1"/>
      <c r="DUB268" s="1"/>
      <c r="DUC268" s="1"/>
      <c r="DUD268" s="1"/>
      <c r="DUE268" s="1"/>
      <c r="DUF268" s="1"/>
      <c r="DUG268" s="1"/>
      <c r="DUH268" s="1"/>
      <c r="DUI268" s="1"/>
      <c r="DUJ268" s="1"/>
      <c r="DUK268" s="1"/>
      <c r="DUL268" s="1"/>
      <c r="DUM268" s="1"/>
      <c r="DUN268" s="1"/>
      <c r="DUO268" s="1"/>
      <c r="DUP268" s="1"/>
      <c r="DUQ268" s="1"/>
      <c r="DUR268" s="1"/>
      <c r="DUS268" s="1"/>
      <c r="DUT268" s="1"/>
      <c r="DUU268" s="1"/>
      <c r="DUV268" s="1"/>
      <c r="DUW268" s="1"/>
      <c r="DUX268" s="1"/>
      <c r="DUY268" s="1"/>
      <c r="DUZ268" s="1"/>
      <c r="DVA268" s="1"/>
      <c r="DVB268" s="1"/>
      <c r="DVC268" s="1"/>
      <c r="DVD268" s="1"/>
      <c r="DVE268" s="1"/>
      <c r="DVF268" s="1"/>
      <c r="DVG268" s="1"/>
      <c r="DVH268" s="1"/>
      <c r="DVI268" s="1"/>
      <c r="DVJ268" s="1"/>
      <c r="DVK268" s="1"/>
      <c r="DVL268" s="1"/>
      <c r="DVM268" s="1"/>
      <c r="DVN268" s="1"/>
      <c r="DVO268" s="1"/>
      <c r="DVP268" s="1"/>
      <c r="DVQ268" s="1"/>
      <c r="DVR268" s="1"/>
      <c r="DVS268" s="1"/>
      <c r="DVT268" s="1"/>
      <c r="DVU268" s="1"/>
      <c r="DVV268" s="1"/>
      <c r="DVW268" s="1"/>
      <c r="DVX268" s="1"/>
      <c r="DVY268" s="1"/>
      <c r="DVZ268" s="1"/>
      <c r="DWA268" s="1"/>
      <c r="DWB268" s="1"/>
      <c r="DWC268" s="1"/>
      <c r="DWD268" s="1"/>
      <c r="DWE268" s="1"/>
      <c r="DWF268" s="1"/>
      <c r="DWG268" s="1"/>
      <c r="DWH268" s="1"/>
      <c r="DWI268" s="1"/>
      <c r="DWJ268" s="1"/>
      <c r="DWK268" s="1"/>
      <c r="DWL268" s="1"/>
      <c r="DWM268" s="1"/>
      <c r="DWN268" s="1"/>
      <c r="DWO268" s="1"/>
      <c r="DWP268" s="1"/>
      <c r="DWQ268" s="1"/>
      <c r="DWR268" s="1"/>
      <c r="DWS268" s="1"/>
      <c r="DWT268" s="1"/>
      <c r="DWU268" s="1"/>
      <c r="DWV268" s="1"/>
      <c r="DWW268" s="1"/>
      <c r="DWX268" s="1"/>
      <c r="DWY268" s="1"/>
      <c r="DWZ268" s="1"/>
      <c r="DXA268" s="1"/>
      <c r="DXB268" s="1"/>
      <c r="DXC268" s="1"/>
      <c r="DXD268" s="1"/>
      <c r="DXE268" s="1"/>
      <c r="DXF268" s="1"/>
      <c r="DXG268" s="1"/>
      <c r="DXH268" s="1"/>
      <c r="DXI268" s="1"/>
      <c r="DXJ268" s="1"/>
      <c r="DXK268" s="1"/>
      <c r="DXL268" s="1"/>
      <c r="DXM268" s="1"/>
      <c r="DXN268" s="1"/>
      <c r="DXO268" s="1"/>
      <c r="DXP268" s="1"/>
      <c r="DXQ268" s="1"/>
      <c r="DXR268" s="1"/>
      <c r="DXS268" s="1"/>
      <c r="DXT268" s="1"/>
      <c r="DXU268" s="1"/>
      <c r="DXV268" s="1"/>
      <c r="DXW268" s="1"/>
      <c r="DXX268" s="1"/>
      <c r="DXY268" s="1"/>
      <c r="DXZ268" s="1"/>
      <c r="DYA268" s="1"/>
      <c r="DYB268" s="1"/>
      <c r="DYC268" s="1"/>
      <c r="DYD268" s="1"/>
      <c r="DYE268" s="1"/>
      <c r="DYF268" s="1"/>
      <c r="DYG268" s="1"/>
      <c r="DYH268" s="1"/>
      <c r="DYI268" s="1"/>
      <c r="DYJ268" s="1"/>
      <c r="DYK268" s="1"/>
      <c r="DYL268" s="1"/>
      <c r="DYM268" s="1"/>
      <c r="DYN268" s="1"/>
      <c r="DYO268" s="1"/>
      <c r="DYP268" s="1"/>
      <c r="DYQ268" s="1"/>
      <c r="DYR268" s="1"/>
      <c r="DYS268" s="1"/>
      <c r="DYT268" s="1"/>
      <c r="DYU268" s="1"/>
      <c r="DYV268" s="1"/>
      <c r="DYW268" s="1"/>
      <c r="DYX268" s="1"/>
      <c r="DYY268" s="1"/>
      <c r="DYZ268" s="1"/>
      <c r="DZA268" s="1"/>
      <c r="DZB268" s="1"/>
      <c r="DZC268" s="1"/>
      <c r="DZD268" s="1"/>
      <c r="DZE268" s="1"/>
      <c r="DZF268" s="1"/>
      <c r="DZG268" s="1"/>
      <c r="DZH268" s="1"/>
      <c r="DZI268" s="1"/>
      <c r="DZJ268" s="1"/>
      <c r="DZK268" s="1"/>
      <c r="DZL268" s="1"/>
      <c r="DZM268" s="1"/>
      <c r="DZN268" s="1"/>
      <c r="DZO268" s="1"/>
      <c r="DZP268" s="1"/>
      <c r="DZQ268" s="1"/>
      <c r="DZR268" s="1"/>
      <c r="DZS268" s="1"/>
      <c r="DZT268" s="1"/>
      <c r="DZU268" s="1"/>
      <c r="DZV268" s="1"/>
      <c r="DZW268" s="1"/>
      <c r="DZX268" s="1"/>
      <c r="DZY268" s="1"/>
      <c r="DZZ268" s="1"/>
      <c r="EAA268" s="1"/>
      <c r="EAB268" s="1"/>
      <c r="EAC268" s="1"/>
      <c r="EAD268" s="1"/>
      <c r="EAE268" s="1"/>
      <c r="EAF268" s="1"/>
      <c r="EAG268" s="1"/>
      <c r="EAH268" s="1"/>
      <c r="EAI268" s="1"/>
      <c r="EAJ268" s="1"/>
      <c r="EAK268" s="1"/>
      <c r="EAL268" s="1"/>
      <c r="EAM268" s="1"/>
      <c r="EAN268" s="1"/>
      <c r="EAO268" s="1"/>
      <c r="EAP268" s="1"/>
      <c r="EAQ268" s="1"/>
      <c r="EAR268" s="1"/>
      <c r="EAS268" s="1"/>
      <c r="EAT268" s="1"/>
      <c r="EAU268" s="1"/>
      <c r="EAV268" s="1"/>
      <c r="EAW268" s="1"/>
      <c r="EAX268" s="1"/>
      <c r="EAY268" s="1"/>
      <c r="EAZ268" s="1"/>
      <c r="EBA268" s="1"/>
      <c r="EBB268" s="1"/>
      <c r="EBC268" s="1"/>
      <c r="EBD268" s="1"/>
      <c r="EBE268" s="1"/>
      <c r="EBF268" s="1"/>
      <c r="EBG268" s="1"/>
      <c r="EBH268" s="1"/>
      <c r="EBI268" s="1"/>
      <c r="EBJ268" s="1"/>
      <c r="EBK268" s="1"/>
      <c r="EBL268" s="1"/>
      <c r="EBM268" s="1"/>
      <c r="EBN268" s="1"/>
      <c r="EBO268" s="1"/>
      <c r="EBP268" s="1"/>
      <c r="EBQ268" s="1"/>
      <c r="EBR268" s="1"/>
      <c r="EBS268" s="1"/>
      <c r="EBT268" s="1"/>
      <c r="EBU268" s="1"/>
      <c r="EBV268" s="1"/>
      <c r="EBW268" s="1"/>
      <c r="EBX268" s="1"/>
      <c r="EBY268" s="1"/>
      <c r="EBZ268" s="1"/>
      <c r="ECA268" s="1"/>
      <c r="ECB268" s="1"/>
      <c r="ECC268" s="1"/>
      <c r="ECD268" s="1"/>
      <c r="ECE268" s="1"/>
      <c r="ECF268" s="1"/>
      <c r="ECG268" s="1"/>
      <c r="ECH268" s="1"/>
      <c r="ECI268" s="1"/>
      <c r="ECJ268" s="1"/>
      <c r="ECK268" s="1"/>
      <c r="ECL268" s="1"/>
      <c r="ECM268" s="1"/>
      <c r="ECN268" s="1"/>
      <c r="ECO268" s="1"/>
      <c r="ECP268" s="1"/>
      <c r="ECQ268" s="1"/>
      <c r="ECR268" s="1"/>
      <c r="ECS268" s="1"/>
      <c r="ECT268" s="1"/>
      <c r="ECU268" s="1"/>
      <c r="ECV268" s="1"/>
      <c r="ECW268" s="1"/>
      <c r="ECX268" s="1"/>
      <c r="ECY268" s="1"/>
      <c r="ECZ268" s="1"/>
      <c r="EDA268" s="1"/>
      <c r="EDB268" s="1"/>
      <c r="EDC268" s="1"/>
      <c r="EDD268" s="1"/>
      <c r="EDE268" s="1"/>
      <c r="EDF268" s="1"/>
      <c r="EDG268" s="1"/>
      <c r="EDH268" s="1"/>
      <c r="EDI268" s="1"/>
      <c r="EDJ268" s="1"/>
      <c r="EDK268" s="1"/>
      <c r="EDL268" s="1"/>
      <c r="EDM268" s="1"/>
      <c r="EDN268" s="1"/>
      <c r="EDO268" s="1"/>
      <c r="EDP268" s="1"/>
      <c r="EDQ268" s="1"/>
      <c r="EDR268" s="1"/>
      <c r="EDS268" s="1"/>
      <c r="EDT268" s="1"/>
      <c r="EDU268" s="1"/>
      <c r="EDV268" s="1"/>
      <c r="EDW268" s="1"/>
      <c r="EDX268" s="1"/>
      <c r="EDY268" s="1"/>
      <c r="EDZ268" s="1"/>
      <c r="EEA268" s="1"/>
      <c r="EEB268" s="1"/>
      <c r="EEC268" s="1"/>
      <c r="EED268" s="1"/>
      <c r="EEE268" s="1"/>
      <c r="EEF268" s="1"/>
      <c r="EEG268" s="1"/>
      <c r="EEH268" s="1"/>
      <c r="EEI268" s="1"/>
      <c r="EEJ268" s="1"/>
      <c r="EEK268" s="1"/>
      <c r="EEL268" s="1"/>
      <c r="EEM268" s="1"/>
      <c r="EEN268" s="1"/>
      <c r="EEO268" s="1"/>
      <c r="EEP268" s="1"/>
      <c r="EEQ268" s="1"/>
      <c r="EER268" s="1"/>
      <c r="EES268" s="1"/>
      <c r="EET268" s="1"/>
      <c r="EEU268" s="1"/>
      <c r="EEV268" s="1"/>
      <c r="EEW268" s="1"/>
      <c r="EEX268" s="1"/>
      <c r="EEY268" s="1"/>
      <c r="EEZ268" s="1"/>
      <c r="EFA268" s="1"/>
      <c r="EFB268" s="1"/>
      <c r="EFC268" s="1"/>
      <c r="EFD268" s="1"/>
      <c r="EFE268" s="1"/>
      <c r="EFF268" s="1"/>
      <c r="EFG268" s="1"/>
      <c r="EFH268" s="1"/>
      <c r="EFI268" s="1"/>
      <c r="EFJ268" s="1"/>
      <c r="EFK268" s="1"/>
      <c r="EFL268" s="1"/>
      <c r="EFM268" s="1"/>
      <c r="EFN268" s="1"/>
      <c r="EFO268" s="1"/>
      <c r="EFP268" s="1"/>
      <c r="EFQ268" s="1"/>
      <c r="EFR268" s="1"/>
      <c r="EFS268" s="1"/>
      <c r="EFT268" s="1"/>
      <c r="EFU268" s="1"/>
      <c r="EFV268" s="1"/>
      <c r="EFW268" s="1"/>
      <c r="EFX268" s="1"/>
      <c r="EFY268" s="1"/>
      <c r="EFZ268" s="1"/>
      <c r="EGA268" s="1"/>
      <c r="EGB268" s="1"/>
      <c r="EGC268" s="1"/>
      <c r="EGD268" s="1"/>
      <c r="EGE268" s="1"/>
      <c r="EGF268" s="1"/>
      <c r="EGG268" s="1"/>
      <c r="EGH268" s="1"/>
      <c r="EGI268" s="1"/>
      <c r="EGJ268" s="1"/>
      <c r="EGK268" s="1"/>
      <c r="EGL268" s="1"/>
      <c r="EGM268" s="1"/>
      <c r="EGN268" s="1"/>
      <c r="EGO268" s="1"/>
      <c r="EGP268" s="1"/>
      <c r="EGQ268" s="1"/>
      <c r="EGR268" s="1"/>
      <c r="EGS268" s="1"/>
      <c r="EGT268" s="1"/>
      <c r="EGU268" s="1"/>
      <c r="EGV268" s="1"/>
      <c r="EGW268" s="1"/>
      <c r="EGX268" s="1"/>
      <c r="EGY268" s="1"/>
      <c r="EGZ268" s="1"/>
      <c r="EHA268" s="1"/>
      <c r="EHB268" s="1"/>
      <c r="EHC268" s="1"/>
      <c r="EHD268" s="1"/>
      <c r="EHE268" s="1"/>
      <c r="EHF268" s="1"/>
      <c r="EHG268" s="1"/>
      <c r="EHH268" s="1"/>
      <c r="EHI268" s="1"/>
      <c r="EHJ268" s="1"/>
      <c r="EHK268" s="1"/>
      <c r="EHL268" s="1"/>
      <c r="EHM268" s="1"/>
      <c r="EHN268" s="1"/>
      <c r="EHO268" s="1"/>
      <c r="EHP268" s="1"/>
      <c r="EHQ268" s="1"/>
      <c r="EHR268" s="1"/>
      <c r="EHS268" s="1"/>
      <c r="EHT268" s="1"/>
      <c r="EHU268" s="1"/>
      <c r="EHV268" s="1"/>
      <c r="EHW268" s="1"/>
      <c r="EHX268" s="1"/>
      <c r="EHY268" s="1"/>
      <c r="EHZ268" s="1"/>
      <c r="EIA268" s="1"/>
      <c r="EIB268" s="1"/>
      <c r="EIC268" s="1"/>
      <c r="EID268" s="1"/>
      <c r="EIE268" s="1"/>
      <c r="EIF268" s="1"/>
      <c r="EIG268" s="1"/>
      <c r="EIH268" s="1"/>
      <c r="EII268" s="1"/>
      <c r="EIJ268" s="1"/>
      <c r="EIK268" s="1"/>
      <c r="EIL268" s="1"/>
      <c r="EIM268" s="1"/>
      <c r="EIN268" s="1"/>
      <c r="EIO268" s="1"/>
      <c r="EIP268" s="1"/>
      <c r="EIQ268" s="1"/>
      <c r="EIR268" s="1"/>
      <c r="EIS268" s="1"/>
      <c r="EIT268" s="1"/>
      <c r="EIU268" s="1"/>
      <c r="EIV268" s="1"/>
      <c r="EIW268" s="1"/>
      <c r="EIX268" s="1"/>
      <c r="EIY268" s="1"/>
      <c r="EIZ268" s="1"/>
      <c r="EJA268" s="1"/>
      <c r="EJB268" s="1"/>
      <c r="EJC268" s="1"/>
      <c r="EJD268" s="1"/>
      <c r="EJE268" s="1"/>
      <c r="EJF268" s="1"/>
      <c r="EJG268" s="1"/>
      <c r="EJH268" s="1"/>
      <c r="EJI268" s="1"/>
      <c r="EJJ268" s="1"/>
      <c r="EJK268" s="1"/>
      <c r="EJL268" s="1"/>
      <c r="EJM268" s="1"/>
      <c r="EJN268" s="1"/>
      <c r="EJO268" s="1"/>
      <c r="EJP268" s="1"/>
      <c r="EJQ268" s="1"/>
      <c r="EJR268" s="1"/>
      <c r="EJS268" s="1"/>
      <c r="EJT268" s="1"/>
      <c r="EJU268" s="1"/>
      <c r="EJV268" s="1"/>
      <c r="EJW268" s="1"/>
      <c r="EJX268" s="1"/>
      <c r="EJY268" s="1"/>
      <c r="EJZ268" s="1"/>
      <c r="EKA268" s="1"/>
      <c r="EKB268" s="1"/>
      <c r="EKC268" s="1"/>
      <c r="EKD268" s="1"/>
      <c r="EKE268" s="1"/>
      <c r="EKF268" s="1"/>
      <c r="EKG268" s="1"/>
      <c r="EKH268" s="1"/>
      <c r="EKI268" s="1"/>
      <c r="EKJ268" s="1"/>
      <c r="EKK268" s="1"/>
      <c r="EKL268" s="1"/>
      <c r="EKM268" s="1"/>
      <c r="EKN268" s="1"/>
      <c r="EKO268" s="1"/>
      <c r="EKP268" s="1"/>
      <c r="EKQ268" s="1"/>
      <c r="EKR268" s="1"/>
      <c r="EKS268" s="1"/>
      <c r="EKT268" s="1"/>
      <c r="EKU268" s="1"/>
      <c r="EKV268" s="1"/>
      <c r="EKW268" s="1"/>
      <c r="EKX268" s="1"/>
      <c r="EKY268" s="1"/>
      <c r="EKZ268" s="1"/>
      <c r="ELA268" s="1"/>
      <c r="ELB268" s="1"/>
      <c r="ELC268" s="1"/>
      <c r="ELD268" s="1"/>
      <c r="ELE268" s="1"/>
      <c r="ELF268" s="1"/>
      <c r="ELG268" s="1"/>
      <c r="ELH268" s="1"/>
      <c r="ELI268" s="1"/>
      <c r="ELJ268" s="1"/>
      <c r="ELK268" s="1"/>
      <c r="ELL268" s="1"/>
      <c r="ELM268" s="1"/>
      <c r="ELN268" s="1"/>
      <c r="ELO268" s="1"/>
      <c r="ELP268" s="1"/>
      <c r="ELQ268" s="1"/>
      <c r="ELR268" s="1"/>
      <c r="ELS268" s="1"/>
      <c r="ELT268" s="1"/>
      <c r="ELU268" s="1"/>
      <c r="ELV268" s="1"/>
      <c r="ELW268" s="1"/>
      <c r="ELX268" s="1"/>
      <c r="ELY268" s="1"/>
      <c r="ELZ268" s="1"/>
      <c r="EMA268" s="1"/>
      <c r="EMB268" s="1"/>
      <c r="EMC268" s="1"/>
      <c r="EMD268" s="1"/>
      <c r="EME268" s="1"/>
      <c r="EMF268" s="1"/>
      <c r="EMG268" s="1"/>
      <c r="EMH268" s="1"/>
      <c r="EMI268" s="1"/>
      <c r="EMJ268" s="1"/>
      <c r="EMK268" s="1"/>
      <c r="EML268" s="1"/>
      <c r="EMM268" s="1"/>
      <c r="EMN268" s="1"/>
      <c r="EMO268" s="1"/>
      <c r="EMP268" s="1"/>
      <c r="EMQ268" s="1"/>
      <c r="EMR268" s="1"/>
      <c r="EMS268" s="1"/>
      <c r="EMT268" s="1"/>
      <c r="EMU268" s="1"/>
      <c r="EMV268" s="1"/>
      <c r="EMW268" s="1"/>
      <c r="EMX268" s="1"/>
      <c r="EMY268" s="1"/>
      <c r="EMZ268" s="1"/>
      <c r="ENA268" s="1"/>
      <c r="ENB268" s="1"/>
      <c r="ENC268" s="1"/>
      <c r="END268" s="1"/>
      <c r="ENE268" s="1"/>
      <c r="ENF268" s="1"/>
      <c r="ENG268" s="1"/>
      <c r="ENH268" s="1"/>
      <c r="ENI268" s="1"/>
      <c r="ENJ268" s="1"/>
      <c r="ENK268" s="1"/>
      <c r="ENL268" s="1"/>
      <c r="ENM268" s="1"/>
      <c r="ENN268" s="1"/>
      <c r="ENO268" s="1"/>
      <c r="ENP268" s="1"/>
      <c r="ENQ268" s="1"/>
      <c r="ENR268" s="1"/>
      <c r="ENS268" s="1"/>
      <c r="ENT268" s="1"/>
      <c r="ENU268" s="1"/>
      <c r="ENV268" s="1"/>
      <c r="ENW268" s="1"/>
      <c r="ENX268" s="1"/>
      <c r="ENY268" s="1"/>
      <c r="ENZ268" s="1"/>
      <c r="EOA268" s="1"/>
      <c r="EOB268" s="1"/>
      <c r="EOC268" s="1"/>
      <c r="EOD268" s="1"/>
      <c r="EOE268" s="1"/>
      <c r="EOF268" s="1"/>
      <c r="EOG268" s="1"/>
      <c r="EOH268" s="1"/>
      <c r="EOI268" s="1"/>
      <c r="EOJ268" s="1"/>
      <c r="EOK268" s="1"/>
      <c r="EOL268" s="1"/>
      <c r="EOM268" s="1"/>
      <c r="EON268" s="1"/>
      <c r="EOO268" s="1"/>
      <c r="EOP268" s="1"/>
      <c r="EOQ268" s="1"/>
      <c r="EOR268" s="1"/>
      <c r="EOS268" s="1"/>
      <c r="EOT268" s="1"/>
      <c r="EOU268" s="1"/>
      <c r="EOV268" s="1"/>
      <c r="EOW268" s="1"/>
      <c r="EOX268" s="1"/>
      <c r="EOY268" s="1"/>
      <c r="EOZ268" s="1"/>
      <c r="EPA268" s="1"/>
      <c r="EPB268" s="1"/>
      <c r="EPC268" s="1"/>
      <c r="EPD268" s="1"/>
      <c r="EPE268" s="1"/>
      <c r="EPF268" s="1"/>
      <c r="EPG268" s="1"/>
      <c r="EPH268" s="1"/>
      <c r="EPI268" s="1"/>
      <c r="EPJ268" s="1"/>
      <c r="EPK268" s="1"/>
      <c r="EPL268" s="1"/>
      <c r="EPM268" s="1"/>
      <c r="EPN268" s="1"/>
      <c r="EPO268" s="1"/>
      <c r="EPP268" s="1"/>
      <c r="EPQ268" s="1"/>
      <c r="EPR268" s="1"/>
      <c r="EPS268" s="1"/>
      <c r="EPT268" s="1"/>
      <c r="EPU268" s="1"/>
      <c r="EPV268" s="1"/>
      <c r="EPW268" s="1"/>
      <c r="EPX268" s="1"/>
      <c r="EPY268" s="1"/>
      <c r="EPZ268" s="1"/>
      <c r="EQA268" s="1"/>
      <c r="EQB268" s="1"/>
      <c r="EQC268" s="1"/>
      <c r="EQD268" s="1"/>
      <c r="EQE268" s="1"/>
      <c r="EQF268" s="1"/>
      <c r="EQG268" s="1"/>
      <c r="EQH268" s="1"/>
      <c r="EQI268" s="1"/>
      <c r="EQJ268" s="1"/>
      <c r="EQK268" s="1"/>
      <c r="EQL268" s="1"/>
      <c r="EQM268" s="1"/>
      <c r="EQN268" s="1"/>
      <c r="EQO268" s="1"/>
      <c r="EQP268" s="1"/>
      <c r="EQQ268" s="1"/>
      <c r="EQR268" s="1"/>
      <c r="EQS268" s="1"/>
      <c r="EQT268" s="1"/>
      <c r="EQU268" s="1"/>
      <c r="EQV268" s="1"/>
      <c r="EQW268" s="1"/>
      <c r="EQX268" s="1"/>
      <c r="EQY268" s="1"/>
      <c r="EQZ268" s="1"/>
      <c r="ERA268" s="1"/>
      <c r="ERB268" s="1"/>
      <c r="ERC268" s="1"/>
      <c r="ERD268" s="1"/>
      <c r="ERE268" s="1"/>
      <c r="ERF268" s="1"/>
      <c r="ERG268" s="1"/>
      <c r="ERH268" s="1"/>
      <c r="ERI268" s="1"/>
      <c r="ERJ268" s="1"/>
      <c r="ERK268" s="1"/>
      <c r="ERL268" s="1"/>
      <c r="ERM268" s="1"/>
      <c r="ERN268" s="1"/>
      <c r="ERO268" s="1"/>
      <c r="ERP268" s="1"/>
      <c r="ERQ268" s="1"/>
      <c r="ERR268" s="1"/>
      <c r="ERS268" s="1"/>
      <c r="ERT268" s="1"/>
      <c r="ERU268" s="1"/>
      <c r="ERV268" s="1"/>
      <c r="ERW268" s="1"/>
      <c r="ERX268" s="1"/>
      <c r="ERY268" s="1"/>
      <c r="ERZ268" s="1"/>
      <c r="ESA268" s="1"/>
      <c r="ESB268" s="1"/>
      <c r="ESC268" s="1"/>
      <c r="ESD268" s="1"/>
      <c r="ESE268" s="1"/>
      <c r="ESF268" s="1"/>
      <c r="ESG268" s="1"/>
      <c r="ESH268" s="1"/>
      <c r="ESI268" s="1"/>
      <c r="ESJ268" s="1"/>
      <c r="ESK268" s="1"/>
      <c r="ESL268" s="1"/>
      <c r="ESM268" s="1"/>
      <c r="ESN268" s="1"/>
      <c r="ESO268" s="1"/>
      <c r="ESP268" s="1"/>
      <c r="ESQ268" s="1"/>
      <c r="ESR268" s="1"/>
      <c r="ESS268" s="1"/>
      <c r="EST268" s="1"/>
      <c r="ESU268" s="1"/>
      <c r="ESV268" s="1"/>
      <c r="ESW268" s="1"/>
      <c r="ESX268" s="1"/>
      <c r="ESY268" s="1"/>
      <c r="ESZ268" s="1"/>
      <c r="ETA268" s="1"/>
      <c r="ETB268" s="1"/>
      <c r="ETC268" s="1"/>
      <c r="ETD268" s="1"/>
      <c r="ETE268" s="1"/>
      <c r="ETF268" s="1"/>
      <c r="ETG268" s="1"/>
      <c r="ETH268" s="1"/>
      <c r="ETI268" s="1"/>
      <c r="ETJ268" s="1"/>
      <c r="ETK268" s="1"/>
      <c r="ETL268" s="1"/>
      <c r="ETM268" s="1"/>
      <c r="ETN268" s="1"/>
      <c r="ETO268" s="1"/>
      <c r="ETP268" s="1"/>
      <c r="ETQ268" s="1"/>
      <c r="ETR268" s="1"/>
      <c r="ETS268" s="1"/>
      <c r="ETT268" s="1"/>
      <c r="ETU268" s="1"/>
      <c r="ETV268" s="1"/>
      <c r="ETW268" s="1"/>
      <c r="ETX268" s="1"/>
      <c r="ETY268" s="1"/>
      <c r="ETZ268" s="1"/>
      <c r="EUA268" s="1"/>
      <c r="EUB268" s="1"/>
      <c r="EUC268" s="1"/>
      <c r="EUD268" s="1"/>
      <c r="EUE268" s="1"/>
      <c r="EUF268" s="1"/>
      <c r="EUG268" s="1"/>
      <c r="EUH268" s="1"/>
      <c r="EUI268" s="1"/>
      <c r="EUJ268" s="1"/>
      <c r="EUK268" s="1"/>
      <c r="EUL268" s="1"/>
      <c r="EUM268" s="1"/>
      <c r="EUN268" s="1"/>
      <c r="EUO268" s="1"/>
      <c r="EUP268" s="1"/>
      <c r="EUQ268" s="1"/>
      <c r="EUR268" s="1"/>
      <c r="EUS268" s="1"/>
      <c r="EUT268" s="1"/>
      <c r="EUU268" s="1"/>
      <c r="EUV268" s="1"/>
      <c r="EUW268" s="1"/>
      <c r="EUX268" s="1"/>
      <c r="EUY268" s="1"/>
      <c r="EUZ268" s="1"/>
      <c r="EVA268" s="1"/>
      <c r="EVB268" s="1"/>
      <c r="EVC268" s="1"/>
      <c r="EVD268" s="1"/>
      <c r="EVE268" s="1"/>
      <c r="EVF268" s="1"/>
      <c r="EVG268" s="1"/>
      <c r="EVH268" s="1"/>
      <c r="EVI268" s="1"/>
      <c r="EVJ268" s="1"/>
      <c r="EVK268" s="1"/>
      <c r="EVL268" s="1"/>
      <c r="EVM268" s="1"/>
      <c r="EVN268" s="1"/>
      <c r="EVO268" s="1"/>
      <c r="EVP268" s="1"/>
      <c r="EVQ268" s="1"/>
      <c r="EVR268" s="1"/>
      <c r="EVS268" s="1"/>
      <c r="EVT268" s="1"/>
      <c r="EVU268" s="1"/>
      <c r="EVV268" s="1"/>
      <c r="EVW268" s="1"/>
      <c r="EVX268" s="1"/>
      <c r="EVY268" s="1"/>
      <c r="EVZ268" s="1"/>
      <c r="EWA268" s="1"/>
      <c r="EWB268" s="1"/>
      <c r="EWC268" s="1"/>
      <c r="EWD268" s="1"/>
      <c r="EWE268" s="1"/>
      <c r="EWF268" s="1"/>
      <c r="EWG268" s="1"/>
      <c r="EWH268" s="1"/>
      <c r="EWI268" s="1"/>
      <c r="EWJ268" s="1"/>
      <c r="EWK268" s="1"/>
      <c r="EWL268" s="1"/>
      <c r="EWM268" s="1"/>
      <c r="EWN268" s="1"/>
      <c r="EWO268" s="1"/>
      <c r="EWP268" s="1"/>
      <c r="EWQ268" s="1"/>
      <c r="EWR268" s="1"/>
      <c r="EWS268" s="1"/>
      <c r="EWT268" s="1"/>
      <c r="EWU268" s="1"/>
      <c r="EWV268" s="1"/>
      <c r="EWW268" s="1"/>
      <c r="EWX268" s="1"/>
      <c r="EWY268" s="1"/>
      <c r="EWZ268" s="1"/>
      <c r="EXA268" s="1"/>
      <c r="EXB268" s="1"/>
      <c r="EXC268" s="1"/>
      <c r="EXD268" s="1"/>
      <c r="EXE268" s="1"/>
      <c r="EXF268" s="1"/>
      <c r="EXG268" s="1"/>
      <c r="EXH268" s="1"/>
      <c r="EXI268" s="1"/>
      <c r="EXJ268" s="1"/>
      <c r="EXK268" s="1"/>
      <c r="EXL268" s="1"/>
      <c r="EXM268" s="1"/>
      <c r="EXN268" s="1"/>
      <c r="EXO268" s="1"/>
      <c r="EXP268" s="1"/>
      <c r="EXQ268" s="1"/>
      <c r="EXR268" s="1"/>
      <c r="EXS268" s="1"/>
      <c r="EXT268" s="1"/>
      <c r="EXU268" s="1"/>
      <c r="EXV268" s="1"/>
      <c r="EXW268" s="1"/>
      <c r="EXX268" s="1"/>
      <c r="EXY268" s="1"/>
      <c r="EXZ268" s="1"/>
      <c r="EYA268" s="1"/>
      <c r="EYB268" s="1"/>
      <c r="EYC268" s="1"/>
      <c r="EYD268" s="1"/>
      <c r="EYE268" s="1"/>
      <c r="EYF268" s="1"/>
      <c r="EYG268" s="1"/>
      <c r="EYH268" s="1"/>
      <c r="EYI268" s="1"/>
      <c r="EYJ268" s="1"/>
      <c r="EYK268" s="1"/>
      <c r="EYL268" s="1"/>
      <c r="EYM268" s="1"/>
      <c r="EYN268" s="1"/>
      <c r="EYO268" s="1"/>
      <c r="EYP268" s="1"/>
      <c r="EYQ268" s="1"/>
      <c r="EYR268" s="1"/>
      <c r="EYS268" s="1"/>
      <c r="EYT268" s="1"/>
      <c r="EYU268" s="1"/>
      <c r="EYV268" s="1"/>
      <c r="EYW268" s="1"/>
      <c r="EYX268" s="1"/>
      <c r="EYY268" s="1"/>
      <c r="EYZ268" s="1"/>
      <c r="EZA268" s="1"/>
      <c r="EZB268" s="1"/>
      <c r="EZC268" s="1"/>
      <c r="EZD268" s="1"/>
      <c r="EZE268" s="1"/>
      <c r="EZF268" s="1"/>
      <c r="EZG268" s="1"/>
      <c r="EZH268" s="1"/>
      <c r="EZI268" s="1"/>
      <c r="EZJ268" s="1"/>
      <c r="EZK268" s="1"/>
      <c r="EZL268" s="1"/>
      <c r="EZM268" s="1"/>
      <c r="EZN268" s="1"/>
      <c r="EZO268" s="1"/>
      <c r="EZP268" s="1"/>
      <c r="EZQ268" s="1"/>
      <c r="EZR268" s="1"/>
      <c r="EZS268" s="1"/>
      <c r="EZT268" s="1"/>
      <c r="EZU268" s="1"/>
      <c r="EZV268" s="1"/>
      <c r="EZW268" s="1"/>
      <c r="EZX268" s="1"/>
      <c r="EZY268" s="1"/>
      <c r="EZZ268" s="1"/>
      <c r="FAA268" s="1"/>
      <c r="FAB268" s="1"/>
      <c r="FAC268" s="1"/>
      <c r="FAD268" s="1"/>
      <c r="FAE268" s="1"/>
      <c r="FAF268" s="1"/>
      <c r="FAG268" s="1"/>
      <c r="FAH268" s="1"/>
      <c r="FAI268" s="1"/>
      <c r="FAJ268" s="1"/>
      <c r="FAK268" s="1"/>
      <c r="FAL268" s="1"/>
      <c r="FAM268" s="1"/>
      <c r="FAN268" s="1"/>
      <c r="FAO268" s="1"/>
      <c r="FAP268" s="1"/>
      <c r="FAQ268" s="1"/>
      <c r="FAR268" s="1"/>
      <c r="FAS268" s="1"/>
      <c r="FAT268" s="1"/>
      <c r="FAU268" s="1"/>
      <c r="FAV268" s="1"/>
      <c r="FAW268" s="1"/>
      <c r="FAX268" s="1"/>
      <c r="FAY268" s="1"/>
      <c r="FAZ268" s="1"/>
      <c r="FBA268" s="1"/>
      <c r="FBB268" s="1"/>
      <c r="FBC268" s="1"/>
      <c r="FBD268" s="1"/>
      <c r="FBE268" s="1"/>
      <c r="FBF268" s="1"/>
      <c r="FBG268" s="1"/>
      <c r="FBH268" s="1"/>
      <c r="FBI268" s="1"/>
      <c r="FBJ268" s="1"/>
      <c r="FBK268" s="1"/>
      <c r="FBL268" s="1"/>
      <c r="FBM268" s="1"/>
      <c r="FBN268" s="1"/>
      <c r="FBO268" s="1"/>
      <c r="FBP268" s="1"/>
      <c r="FBQ268" s="1"/>
      <c r="FBR268" s="1"/>
      <c r="FBS268" s="1"/>
      <c r="FBT268" s="1"/>
      <c r="FBU268" s="1"/>
      <c r="FBV268" s="1"/>
      <c r="FBW268" s="1"/>
      <c r="FBX268" s="1"/>
      <c r="FBY268" s="1"/>
      <c r="FBZ268" s="1"/>
      <c r="FCA268" s="1"/>
      <c r="FCB268" s="1"/>
      <c r="FCC268" s="1"/>
      <c r="FCD268" s="1"/>
      <c r="FCE268" s="1"/>
      <c r="FCF268" s="1"/>
      <c r="FCG268" s="1"/>
      <c r="FCH268" s="1"/>
      <c r="FCI268" s="1"/>
      <c r="FCJ268" s="1"/>
      <c r="FCK268" s="1"/>
      <c r="FCL268" s="1"/>
      <c r="FCM268" s="1"/>
      <c r="FCN268" s="1"/>
      <c r="FCO268" s="1"/>
      <c r="FCP268" s="1"/>
      <c r="FCQ268" s="1"/>
      <c r="FCR268" s="1"/>
      <c r="FCS268" s="1"/>
      <c r="FCT268" s="1"/>
      <c r="FCU268" s="1"/>
      <c r="FCV268" s="1"/>
      <c r="FCW268" s="1"/>
      <c r="FCX268" s="1"/>
      <c r="FCY268" s="1"/>
      <c r="FCZ268" s="1"/>
      <c r="FDA268" s="1"/>
      <c r="FDB268" s="1"/>
      <c r="FDC268" s="1"/>
      <c r="FDD268" s="1"/>
      <c r="FDE268" s="1"/>
      <c r="FDF268" s="1"/>
      <c r="FDG268" s="1"/>
      <c r="FDH268" s="1"/>
      <c r="FDI268" s="1"/>
      <c r="FDJ268" s="1"/>
      <c r="FDK268" s="1"/>
      <c r="FDL268" s="1"/>
      <c r="FDM268" s="1"/>
      <c r="FDN268" s="1"/>
      <c r="FDO268" s="1"/>
      <c r="FDP268" s="1"/>
      <c r="FDQ268" s="1"/>
      <c r="FDR268" s="1"/>
      <c r="FDS268" s="1"/>
      <c r="FDT268" s="1"/>
      <c r="FDU268" s="1"/>
      <c r="FDV268" s="1"/>
      <c r="FDW268" s="1"/>
      <c r="FDX268" s="1"/>
      <c r="FDY268" s="1"/>
      <c r="FDZ268" s="1"/>
      <c r="FEA268" s="1"/>
      <c r="FEB268" s="1"/>
      <c r="FEC268" s="1"/>
      <c r="FED268" s="1"/>
      <c r="FEE268" s="1"/>
      <c r="FEF268" s="1"/>
      <c r="FEG268" s="1"/>
      <c r="FEH268" s="1"/>
      <c r="FEI268" s="1"/>
      <c r="FEJ268" s="1"/>
      <c r="FEK268" s="1"/>
      <c r="FEL268" s="1"/>
      <c r="FEM268" s="1"/>
      <c r="FEN268" s="1"/>
      <c r="FEO268" s="1"/>
      <c r="FEP268" s="1"/>
      <c r="FEQ268" s="1"/>
      <c r="FER268" s="1"/>
      <c r="FES268" s="1"/>
      <c r="FET268" s="1"/>
      <c r="FEU268" s="1"/>
      <c r="FEV268" s="1"/>
      <c r="FEW268" s="1"/>
      <c r="FEX268" s="1"/>
      <c r="FEY268" s="1"/>
      <c r="FEZ268" s="1"/>
      <c r="FFA268" s="1"/>
      <c r="FFB268" s="1"/>
      <c r="FFC268" s="1"/>
      <c r="FFD268" s="1"/>
      <c r="FFE268" s="1"/>
      <c r="FFF268" s="1"/>
      <c r="FFG268" s="1"/>
      <c r="FFH268" s="1"/>
      <c r="FFI268" s="1"/>
      <c r="FFJ268" s="1"/>
      <c r="FFK268" s="1"/>
      <c r="FFL268" s="1"/>
      <c r="FFM268" s="1"/>
      <c r="FFN268" s="1"/>
      <c r="FFO268" s="1"/>
      <c r="FFP268" s="1"/>
      <c r="FFQ268" s="1"/>
      <c r="FFR268" s="1"/>
      <c r="FFS268" s="1"/>
      <c r="FFT268" s="1"/>
      <c r="FFU268" s="1"/>
      <c r="FFV268" s="1"/>
      <c r="FFW268" s="1"/>
      <c r="FFX268" s="1"/>
      <c r="FFY268" s="1"/>
      <c r="FFZ268" s="1"/>
      <c r="FGA268" s="1"/>
      <c r="FGB268" s="1"/>
      <c r="FGC268" s="1"/>
      <c r="FGD268" s="1"/>
      <c r="FGE268" s="1"/>
      <c r="FGF268" s="1"/>
      <c r="FGG268" s="1"/>
      <c r="FGH268" s="1"/>
      <c r="FGI268" s="1"/>
      <c r="FGJ268" s="1"/>
      <c r="FGK268" s="1"/>
      <c r="FGL268" s="1"/>
      <c r="FGM268" s="1"/>
      <c r="FGN268" s="1"/>
      <c r="FGO268" s="1"/>
      <c r="FGP268" s="1"/>
      <c r="FGQ268" s="1"/>
      <c r="FGR268" s="1"/>
      <c r="FGS268" s="1"/>
      <c r="FGT268" s="1"/>
      <c r="FGU268" s="1"/>
      <c r="FGV268" s="1"/>
      <c r="FGW268" s="1"/>
      <c r="FGX268" s="1"/>
      <c r="FGY268" s="1"/>
      <c r="FGZ268" s="1"/>
      <c r="FHA268" s="1"/>
      <c r="FHB268" s="1"/>
      <c r="FHC268" s="1"/>
      <c r="FHD268" s="1"/>
      <c r="FHE268" s="1"/>
      <c r="FHF268" s="1"/>
      <c r="FHG268" s="1"/>
      <c r="FHH268" s="1"/>
      <c r="FHI268" s="1"/>
      <c r="FHJ268" s="1"/>
      <c r="FHK268" s="1"/>
      <c r="FHL268" s="1"/>
      <c r="FHM268" s="1"/>
      <c r="FHN268" s="1"/>
      <c r="FHO268" s="1"/>
      <c r="FHP268" s="1"/>
      <c r="FHQ268" s="1"/>
      <c r="FHR268" s="1"/>
      <c r="FHS268" s="1"/>
      <c r="FHT268" s="1"/>
      <c r="FHU268" s="1"/>
      <c r="FHV268" s="1"/>
      <c r="FHW268" s="1"/>
      <c r="FHX268" s="1"/>
      <c r="FHY268" s="1"/>
      <c r="FHZ268" s="1"/>
      <c r="FIA268" s="1"/>
      <c r="FIB268" s="1"/>
      <c r="FIC268" s="1"/>
      <c r="FID268" s="1"/>
      <c r="FIE268" s="1"/>
      <c r="FIF268" s="1"/>
      <c r="FIG268" s="1"/>
      <c r="FIH268" s="1"/>
      <c r="FII268" s="1"/>
      <c r="FIJ268" s="1"/>
      <c r="FIK268" s="1"/>
      <c r="FIL268" s="1"/>
      <c r="FIM268" s="1"/>
      <c r="FIN268" s="1"/>
      <c r="FIO268" s="1"/>
      <c r="FIP268" s="1"/>
      <c r="FIQ268" s="1"/>
      <c r="FIR268" s="1"/>
      <c r="FIS268" s="1"/>
      <c r="FIT268" s="1"/>
      <c r="FIU268" s="1"/>
      <c r="FIV268" s="1"/>
      <c r="FIW268" s="1"/>
      <c r="FIX268" s="1"/>
      <c r="FIY268" s="1"/>
      <c r="FIZ268" s="1"/>
      <c r="FJA268" s="1"/>
      <c r="FJB268" s="1"/>
      <c r="FJC268" s="1"/>
      <c r="FJD268" s="1"/>
      <c r="FJE268" s="1"/>
      <c r="FJF268" s="1"/>
      <c r="FJG268" s="1"/>
      <c r="FJH268" s="1"/>
      <c r="FJI268" s="1"/>
      <c r="FJJ268" s="1"/>
      <c r="FJK268" s="1"/>
      <c r="FJL268" s="1"/>
      <c r="FJM268" s="1"/>
      <c r="FJN268" s="1"/>
      <c r="FJO268" s="1"/>
      <c r="FJP268" s="1"/>
      <c r="FJQ268" s="1"/>
      <c r="FJR268" s="1"/>
      <c r="FJS268" s="1"/>
      <c r="FJT268" s="1"/>
      <c r="FJU268" s="1"/>
      <c r="FJV268" s="1"/>
      <c r="FJW268" s="1"/>
      <c r="FJX268" s="1"/>
      <c r="FJY268" s="1"/>
      <c r="FJZ268" s="1"/>
      <c r="FKA268" s="1"/>
      <c r="FKB268" s="1"/>
      <c r="FKC268" s="1"/>
      <c r="FKD268" s="1"/>
      <c r="FKE268" s="1"/>
      <c r="FKF268" s="1"/>
      <c r="FKG268" s="1"/>
      <c r="FKH268" s="1"/>
      <c r="FKI268" s="1"/>
      <c r="FKJ268" s="1"/>
      <c r="FKK268" s="1"/>
      <c r="FKL268" s="1"/>
      <c r="FKM268" s="1"/>
      <c r="FKN268" s="1"/>
      <c r="FKO268" s="1"/>
      <c r="FKP268" s="1"/>
      <c r="FKQ268" s="1"/>
      <c r="FKR268" s="1"/>
      <c r="FKS268" s="1"/>
      <c r="FKT268" s="1"/>
      <c r="FKU268" s="1"/>
      <c r="FKV268" s="1"/>
      <c r="FKW268" s="1"/>
      <c r="FKX268" s="1"/>
      <c r="FKY268" s="1"/>
      <c r="FKZ268" s="1"/>
      <c r="FLA268" s="1"/>
      <c r="FLB268" s="1"/>
      <c r="FLC268" s="1"/>
      <c r="FLD268" s="1"/>
      <c r="FLE268" s="1"/>
      <c r="FLF268" s="1"/>
      <c r="FLG268" s="1"/>
      <c r="FLH268" s="1"/>
      <c r="FLI268" s="1"/>
      <c r="FLJ268" s="1"/>
      <c r="FLK268" s="1"/>
      <c r="FLL268" s="1"/>
      <c r="FLM268" s="1"/>
      <c r="FLN268" s="1"/>
      <c r="FLO268" s="1"/>
      <c r="FLP268" s="1"/>
      <c r="FLQ268" s="1"/>
      <c r="FLR268" s="1"/>
      <c r="FLS268" s="1"/>
      <c r="FLT268" s="1"/>
      <c r="FLU268" s="1"/>
      <c r="FLV268" s="1"/>
      <c r="FLW268" s="1"/>
      <c r="FLX268" s="1"/>
      <c r="FLY268" s="1"/>
      <c r="FLZ268" s="1"/>
      <c r="FMA268" s="1"/>
      <c r="FMB268" s="1"/>
      <c r="FMC268" s="1"/>
      <c r="FMD268" s="1"/>
      <c r="FME268" s="1"/>
      <c r="FMF268" s="1"/>
      <c r="FMG268" s="1"/>
      <c r="FMH268" s="1"/>
      <c r="FMI268" s="1"/>
      <c r="FMJ268" s="1"/>
      <c r="FMK268" s="1"/>
      <c r="FML268" s="1"/>
      <c r="FMM268" s="1"/>
      <c r="FMN268" s="1"/>
      <c r="FMO268" s="1"/>
      <c r="FMP268" s="1"/>
      <c r="FMQ268" s="1"/>
      <c r="FMR268" s="1"/>
      <c r="FMS268" s="1"/>
      <c r="FMT268" s="1"/>
      <c r="FMU268" s="1"/>
      <c r="FMV268" s="1"/>
      <c r="FMW268" s="1"/>
      <c r="FMX268" s="1"/>
      <c r="FMY268" s="1"/>
      <c r="FMZ268" s="1"/>
      <c r="FNA268" s="1"/>
      <c r="FNB268" s="1"/>
      <c r="FNC268" s="1"/>
      <c r="FND268" s="1"/>
      <c r="FNE268" s="1"/>
      <c r="FNF268" s="1"/>
      <c r="FNG268" s="1"/>
      <c r="FNH268" s="1"/>
      <c r="FNI268" s="1"/>
      <c r="FNJ268" s="1"/>
      <c r="FNK268" s="1"/>
      <c r="FNL268" s="1"/>
      <c r="FNM268" s="1"/>
      <c r="FNN268" s="1"/>
      <c r="FNO268" s="1"/>
      <c r="FNP268" s="1"/>
      <c r="FNQ268" s="1"/>
      <c r="FNR268" s="1"/>
      <c r="FNS268" s="1"/>
      <c r="FNT268" s="1"/>
      <c r="FNU268" s="1"/>
      <c r="FNV268" s="1"/>
      <c r="FNW268" s="1"/>
      <c r="FNX268" s="1"/>
      <c r="FNY268" s="1"/>
      <c r="FNZ268" s="1"/>
      <c r="FOA268" s="1"/>
      <c r="FOB268" s="1"/>
      <c r="FOC268" s="1"/>
      <c r="FOD268" s="1"/>
      <c r="FOE268" s="1"/>
      <c r="FOF268" s="1"/>
      <c r="FOG268" s="1"/>
      <c r="FOH268" s="1"/>
      <c r="FOI268" s="1"/>
      <c r="FOJ268" s="1"/>
      <c r="FOK268" s="1"/>
      <c r="FOL268" s="1"/>
      <c r="FOM268" s="1"/>
      <c r="FON268" s="1"/>
      <c r="FOO268" s="1"/>
      <c r="FOP268" s="1"/>
      <c r="FOQ268" s="1"/>
      <c r="FOR268" s="1"/>
      <c r="FOS268" s="1"/>
      <c r="FOT268" s="1"/>
      <c r="FOU268" s="1"/>
      <c r="FOV268" s="1"/>
      <c r="FOW268" s="1"/>
      <c r="FOX268" s="1"/>
      <c r="FOY268" s="1"/>
      <c r="FOZ268" s="1"/>
      <c r="FPA268" s="1"/>
      <c r="FPB268" s="1"/>
      <c r="FPC268" s="1"/>
      <c r="FPD268" s="1"/>
      <c r="FPE268" s="1"/>
      <c r="FPF268" s="1"/>
      <c r="FPG268" s="1"/>
      <c r="FPH268" s="1"/>
      <c r="FPI268" s="1"/>
      <c r="FPJ268" s="1"/>
      <c r="FPK268" s="1"/>
      <c r="FPL268" s="1"/>
      <c r="FPM268" s="1"/>
      <c r="FPN268" s="1"/>
      <c r="FPO268" s="1"/>
      <c r="FPP268" s="1"/>
      <c r="FPQ268" s="1"/>
      <c r="FPR268" s="1"/>
      <c r="FPS268" s="1"/>
      <c r="FPT268" s="1"/>
      <c r="FPU268" s="1"/>
      <c r="FPV268" s="1"/>
      <c r="FPW268" s="1"/>
      <c r="FPX268" s="1"/>
      <c r="FPY268" s="1"/>
      <c r="FPZ268" s="1"/>
      <c r="FQA268" s="1"/>
      <c r="FQB268" s="1"/>
      <c r="FQC268" s="1"/>
      <c r="FQD268" s="1"/>
      <c r="FQE268" s="1"/>
      <c r="FQF268" s="1"/>
      <c r="FQG268" s="1"/>
      <c r="FQH268" s="1"/>
      <c r="FQI268" s="1"/>
      <c r="FQJ268" s="1"/>
      <c r="FQK268" s="1"/>
      <c r="FQL268" s="1"/>
      <c r="FQM268" s="1"/>
      <c r="FQN268" s="1"/>
      <c r="FQO268" s="1"/>
      <c r="FQP268" s="1"/>
      <c r="FQQ268" s="1"/>
      <c r="FQR268" s="1"/>
      <c r="FQS268" s="1"/>
      <c r="FQT268" s="1"/>
      <c r="FQU268" s="1"/>
      <c r="FQV268" s="1"/>
      <c r="FQW268" s="1"/>
      <c r="FQX268" s="1"/>
      <c r="FQY268" s="1"/>
      <c r="FQZ268" s="1"/>
      <c r="FRA268" s="1"/>
      <c r="FRB268" s="1"/>
      <c r="FRC268" s="1"/>
      <c r="FRD268" s="1"/>
      <c r="FRE268" s="1"/>
      <c r="FRF268" s="1"/>
      <c r="FRG268" s="1"/>
      <c r="FRH268" s="1"/>
      <c r="FRI268" s="1"/>
      <c r="FRJ268" s="1"/>
      <c r="FRK268" s="1"/>
      <c r="FRL268" s="1"/>
      <c r="FRM268" s="1"/>
      <c r="FRN268" s="1"/>
      <c r="FRO268" s="1"/>
      <c r="FRP268" s="1"/>
      <c r="FRQ268" s="1"/>
      <c r="FRR268" s="1"/>
      <c r="FRS268" s="1"/>
      <c r="FRT268" s="1"/>
      <c r="FRU268" s="1"/>
      <c r="FRV268" s="1"/>
      <c r="FRW268" s="1"/>
      <c r="FRX268" s="1"/>
      <c r="FRY268" s="1"/>
      <c r="FRZ268" s="1"/>
      <c r="FSA268" s="1"/>
      <c r="FSB268" s="1"/>
      <c r="FSC268" s="1"/>
      <c r="FSD268" s="1"/>
      <c r="FSE268" s="1"/>
      <c r="FSF268" s="1"/>
      <c r="FSG268" s="1"/>
      <c r="FSH268" s="1"/>
      <c r="FSI268" s="1"/>
      <c r="FSJ268" s="1"/>
      <c r="FSK268" s="1"/>
      <c r="FSL268" s="1"/>
      <c r="FSM268" s="1"/>
      <c r="FSN268" s="1"/>
      <c r="FSO268" s="1"/>
      <c r="FSP268" s="1"/>
      <c r="FSQ268" s="1"/>
      <c r="FSR268" s="1"/>
      <c r="FSS268" s="1"/>
      <c r="FST268" s="1"/>
      <c r="FSU268" s="1"/>
      <c r="FSV268" s="1"/>
      <c r="FSW268" s="1"/>
      <c r="FSX268" s="1"/>
      <c r="FSY268" s="1"/>
      <c r="FSZ268" s="1"/>
      <c r="FTA268" s="1"/>
      <c r="FTB268" s="1"/>
      <c r="FTC268" s="1"/>
      <c r="FTD268" s="1"/>
      <c r="FTE268" s="1"/>
      <c r="FTF268" s="1"/>
      <c r="FTG268" s="1"/>
      <c r="FTH268" s="1"/>
      <c r="FTI268" s="1"/>
      <c r="FTJ268" s="1"/>
      <c r="FTK268" s="1"/>
      <c r="FTL268" s="1"/>
      <c r="FTM268" s="1"/>
      <c r="FTN268" s="1"/>
      <c r="FTO268" s="1"/>
      <c r="FTP268" s="1"/>
      <c r="FTQ268" s="1"/>
      <c r="FTR268" s="1"/>
      <c r="FTS268" s="1"/>
      <c r="FTT268" s="1"/>
      <c r="FTU268" s="1"/>
      <c r="FTV268" s="1"/>
      <c r="FTW268" s="1"/>
      <c r="FTX268" s="1"/>
      <c r="FTY268" s="1"/>
      <c r="FTZ268" s="1"/>
      <c r="FUA268" s="1"/>
      <c r="FUB268" s="1"/>
      <c r="FUC268" s="1"/>
      <c r="FUD268" s="1"/>
      <c r="FUE268" s="1"/>
      <c r="FUF268" s="1"/>
      <c r="FUG268" s="1"/>
      <c r="FUH268" s="1"/>
      <c r="FUI268" s="1"/>
      <c r="FUJ268" s="1"/>
      <c r="FUK268" s="1"/>
      <c r="FUL268" s="1"/>
      <c r="FUM268" s="1"/>
      <c r="FUN268" s="1"/>
      <c r="FUO268" s="1"/>
      <c r="FUP268" s="1"/>
      <c r="FUQ268" s="1"/>
      <c r="FUR268" s="1"/>
      <c r="FUS268" s="1"/>
      <c r="FUT268" s="1"/>
      <c r="FUU268" s="1"/>
      <c r="FUV268" s="1"/>
      <c r="FUW268" s="1"/>
      <c r="FUX268" s="1"/>
      <c r="FUY268" s="1"/>
      <c r="FUZ268" s="1"/>
      <c r="FVA268" s="1"/>
      <c r="FVB268" s="1"/>
      <c r="FVC268" s="1"/>
      <c r="FVD268" s="1"/>
      <c r="FVE268" s="1"/>
      <c r="FVF268" s="1"/>
      <c r="FVG268" s="1"/>
      <c r="FVH268" s="1"/>
      <c r="FVI268" s="1"/>
      <c r="FVJ268" s="1"/>
      <c r="FVK268" s="1"/>
      <c r="FVL268" s="1"/>
      <c r="FVM268" s="1"/>
      <c r="FVN268" s="1"/>
      <c r="FVO268" s="1"/>
      <c r="FVP268" s="1"/>
      <c r="FVQ268" s="1"/>
      <c r="FVR268" s="1"/>
      <c r="FVS268" s="1"/>
      <c r="FVT268" s="1"/>
      <c r="FVU268" s="1"/>
      <c r="FVV268" s="1"/>
      <c r="FVW268" s="1"/>
      <c r="FVX268" s="1"/>
      <c r="FVY268" s="1"/>
      <c r="FVZ268" s="1"/>
      <c r="FWA268" s="1"/>
      <c r="FWB268" s="1"/>
      <c r="FWC268" s="1"/>
      <c r="FWD268" s="1"/>
      <c r="FWE268" s="1"/>
      <c r="FWF268" s="1"/>
      <c r="FWG268" s="1"/>
      <c r="FWH268" s="1"/>
      <c r="FWI268" s="1"/>
      <c r="FWJ268" s="1"/>
      <c r="FWK268" s="1"/>
      <c r="FWL268" s="1"/>
      <c r="FWM268" s="1"/>
      <c r="FWN268" s="1"/>
      <c r="FWO268" s="1"/>
      <c r="FWP268" s="1"/>
      <c r="FWQ268" s="1"/>
      <c r="FWR268" s="1"/>
      <c r="FWS268" s="1"/>
      <c r="FWT268" s="1"/>
      <c r="FWU268" s="1"/>
      <c r="FWV268" s="1"/>
      <c r="FWW268" s="1"/>
      <c r="FWX268" s="1"/>
      <c r="FWY268" s="1"/>
      <c r="FWZ268" s="1"/>
      <c r="FXA268" s="1"/>
      <c r="FXB268" s="1"/>
      <c r="FXC268" s="1"/>
      <c r="FXD268" s="1"/>
      <c r="FXE268" s="1"/>
      <c r="FXF268" s="1"/>
      <c r="FXG268" s="1"/>
      <c r="FXH268" s="1"/>
      <c r="FXI268" s="1"/>
      <c r="FXJ268" s="1"/>
      <c r="FXK268" s="1"/>
      <c r="FXL268" s="1"/>
      <c r="FXM268" s="1"/>
      <c r="FXN268" s="1"/>
      <c r="FXO268" s="1"/>
      <c r="FXP268" s="1"/>
      <c r="FXQ268" s="1"/>
      <c r="FXR268" s="1"/>
      <c r="FXS268" s="1"/>
      <c r="FXT268" s="1"/>
      <c r="FXU268" s="1"/>
      <c r="FXV268" s="1"/>
      <c r="FXW268" s="1"/>
      <c r="FXX268" s="1"/>
      <c r="FXY268" s="1"/>
      <c r="FXZ268" s="1"/>
      <c r="FYA268" s="1"/>
      <c r="FYB268" s="1"/>
      <c r="FYC268" s="1"/>
      <c r="FYD268" s="1"/>
      <c r="FYE268" s="1"/>
      <c r="FYF268" s="1"/>
      <c r="FYG268" s="1"/>
      <c r="FYH268" s="1"/>
      <c r="FYI268" s="1"/>
      <c r="FYJ268" s="1"/>
      <c r="FYK268" s="1"/>
      <c r="FYL268" s="1"/>
      <c r="FYM268" s="1"/>
      <c r="FYN268" s="1"/>
      <c r="FYO268" s="1"/>
      <c r="FYP268" s="1"/>
      <c r="FYQ268" s="1"/>
      <c r="FYR268" s="1"/>
      <c r="FYS268" s="1"/>
      <c r="FYT268" s="1"/>
      <c r="FYU268" s="1"/>
      <c r="FYV268" s="1"/>
      <c r="FYW268" s="1"/>
      <c r="FYX268" s="1"/>
      <c r="FYY268" s="1"/>
      <c r="FYZ268" s="1"/>
      <c r="FZA268" s="1"/>
      <c r="FZB268" s="1"/>
      <c r="FZC268" s="1"/>
      <c r="FZD268" s="1"/>
      <c r="FZE268" s="1"/>
      <c r="FZF268" s="1"/>
      <c r="FZG268" s="1"/>
      <c r="FZH268" s="1"/>
      <c r="FZI268" s="1"/>
      <c r="FZJ268" s="1"/>
      <c r="FZK268" s="1"/>
      <c r="FZL268" s="1"/>
      <c r="FZM268" s="1"/>
      <c r="FZN268" s="1"/>
      <c r="FZO268" s="1"/>
      <c r="FZP268" s="1"/>
      <c r="FZQ268" s="1"/>
      <c r="FZR268" s="1"/>
      <c r="FZS268" s="1"/>
      <c r="FZT268" s="1"/>
      <c r="FZU268" s="1"/>
      <c r="FZV268" s="1"/>
      <c r="FZW268" s="1"/>
      <c r="FZX268" s="1"/>
      <c r="FZY268" s="1"/>
      <c r="FZZ268" s="1"/>
      <c r="GAA268" s="1"/>
      <c r="GAB268" s="1"/>
      <c r="GAC268" s="1"/>
      <c r="GAD268" s="1"/>
      <c r="GAE268" s="1"/>
      <c r="GAF268" s="1"/>
      <c r="GAG268" s="1"/>
      <c r="GAH268" s="1"/>
      <c r="GAI268" s="1"/>
      <c r="GAJ268" s="1"/>
      <c r="GAK268" s="1"/>
      <c r="GAL268" s="1"/>
      <c r="GAM268" s="1"/>
      <c r="GAN268" s="1"/>
      <c r="GAO268" s="1"/>
      <c r="GAP268" s="1"/>
      <c r="GAQ268" s="1"/>
      <c r="GAR268" s="1"/>
      <c r="GAS268" s="1"/>
      <c r="GAT268" s="1"/>
      <c r="GAU268" s="1"/>
      <c r="GAV268" s="1"/>
      <c r="GAW268" s="1"/>
      <c r="GAX268" s="1"/>
      <c r="GAY268" s="1"/>
      <c r="GAZ268" s="1"/>
      <c r="GBA268" s="1"/>
      <c r="GBB268" s="1"/>
      <c r="GBC268" s="1"/>
      <c r="GBD268" s="1"/>
      <c r="GBE268" s="1"/>
      <c r="GBF268" s="1"/>
      <c r="GBG268" s="1"/>
      <c r="GBH268" s="1"/>
      <c r="GBI268" s="1"/>
      <c r="GBJ268" s="1"/>
      <c r="GBK268" s="1"/>
      <c r="GBL268" s="1"/>
      <c r="GBM268" s="1"/>
      <c r="GBN268" s="1"/>
      <c r="GBO268" s="1"/>
      <c r="GBP268" s="1"/>
      <c r="GBQ268" s="1"/>
      <c r="GBR268" s="1"/>
      <c r="GBS268" s="1"/>
      <c r="GBT268" s="1"/>
      <c r="GBU268" s="1"/>
      <c r="GBV268" s="1"/>
      <c r="GBW268" s="1"/>
      <c r="GBX268" s="1"/>
      <c r="GBY268" s="1"/>
      <c r="GBZ268" s="1"/>
      <c r="GCA268" s="1"/>
      <c r="GCB268" s="1"/>
      <c r="GCC268" s="1"/>
      <c r="GCD268" s="1"/>
      <c r="GCE268" s="1"/>
      <c r="GCF268" s="1"/>
      <c r="GCG268" s="1"/>
      <c r="GCH268" s="1"/>
      <c r="GCI268" s="1"/>
      <c r="GCJ268" s="1"/>
      <c r="GCK268" s="1"/>
      <c r="GCL268" s="1"/>
      <c r="GCM268" s="1"/>
      <c r="GCN268" s="1"/>
      <c r="GCO268" s="1"/>
      <c r="GCP268" s="1"/>
      <c r="GCQ268" s="1"/>
      <c r="GCR268" s="1"/>
      <c r="GCS268" s="1"/>
      <c r="GCT268" s="1"/>
      <c r="GCU268" s="1"/>
      <c r="GCV268" s="1"/>
      <c r="GCW268" s="1"/>
      <c r="GCX268" s="1"/>
      <c r="GCY268" s="1"/>
      <c r="GCZ268" s="1"/>
      <c r="GDA268" s="1"/>
      <c r="GDB268" s="1"/>
      <c r="GDC268" s="1"/>
      <c r="GDD268" s="1"/>
      <c r="GDE268" s="1"/>
      <c r="GDF268" s="1"/>
      <c r="GDG268" s="1"/>
      <c r="GDH268" s="1"/>
      <c r="GDI268" s="1"/>
      <c r="GDJ268" s="1"/>
      <c r="GDK268" s="1"/>
      <c r="GDL268" s="1"/>
      <c r="GDM268" s="1"/>
      <c r="GDN268" s="1"/>
      <c r="GDO268" s="1"/>
      <c r="GDP268" s="1"/>
      <c r="GDQ268" s="1"/>
      <c r="GDR268" s="1"/>
      <c r="GDS268" s="1"/>
      <c r="GDT268" s="1"/>
      <c r="GDU268" s="1"/>
      <c r="GDV268" s="1"/>
      <c r="GDW268" s="1"/>
      <c r="GDX268" s="1"/>
      <c r="GDY268" s="1"/>
      <c r="GDZ268" s="1"/>
      <c r="GEA268" s="1"/>
      <c r="GEB268" s="1"/>
      <c r="GEC268" s="1"/>
      <c r="GED268" s="1"/>
      <c r="GEE268" s="1"/>
      <c r="GEF268" s="1"/>
      <c r="GEG268" s="1"/>
      <c r="GEH268" s="1"/>
      <c r="GEI268" s="1"/>
      <c r="GEJ268" s="1"/>
      <c r="GEK268" s="1"/>
      <c r="GEL268" s="1"/>
      <c r="GEM268" s="1"/>
      <c r="GEN268" s="1"/>
      <c r="GEO268" s="1"/>
      <c r="GEP268" s="1"/>
      <c r="GEQ268" s="1"/>
      <c r="GER268" s="1"/>
      <c r="GES268" s="1"/>
      <c r="GET268" s="1"/>
      <c r="GEU268" s="1"/>
      <c r="GEV268" s="1"/>
      <c r="GEW268" s="1"/>
      <c r="GEX268" s="1"/>
      <c r="GEY268" s="1"/>
      <c r="GEZ268" s="1"/>
      <c r="GFA268" s="1"/>
      <c r="GFB268" s="1"/>
      <c r="GFC268" s="1"/>
      <c r="GFD268" s="1"/>
      <c r="GFE268" s="1"/>
      <c r="GFF268" s="1"/>
      <c r="GFG268" s="1"/>
      <c r="GFH268" s="1"/>
      <c r="GFI268" s="1"/>
      <c r="GFJ268" s="1"/>
      <c r="GFK268" s="1"/>
      <c r="GFL268" s="1"/>
      <c r="GFM268" s="1"/>
      <c r="GFN268" s="1"/>
      <c r="GFO268" s="1"/>
      <c r="GFP268" s="1"/>
      <c r="GFQ268" s="1"/>
      <c r="GFR268" s="1"/>
      <c r="GFS268" s="1"/>
      <c r="GFT268" s="1"/>
      <c r="GFU268" s="1"/>
      <c r="GFV268" s="1"/>
      <c r="GFW268" s="1"/>
      <c r="GFX268" s="1"/>
      <c r="GFY268" s="1"/>
      <c r="GFZ268" s="1"/>
      <c r="GGA268" s="1"/>
      <c r="GGB268" s="1"/>
      <c r="GGC268" s="1"/>
      <c r="GGD268" s="1"/>
      <c r="GGE268" s="1"/>
      <c r="GGF268" s="1"/>
      <c r="GGG268" s="1"/>
      <c r="GGH268" s="1"/>
      <c r="GGI268" s="1"/>
      <c r="GGJ268" s="1"/>
      <c r="GGK268" s="1"/>
      <c r="GGL268" s="1"/>
      <c r="GGM268" s="1"/>
      <c r="GGN268" s="1"/>
      <c r="GGO268" s="1"/>
      <c r="GGP268" s="1"/>
      <c r="GGQ268" s="1"/>
      <c r="GGR268" s="1"/>
      <c r="GGS268" s="1"/>
      <c r="GGT268" s="1"/>
      <c r="GGU268" s="1"/>
      <c r="GGV268" s="1"/>
      <c r="GGW268" s="1"/>
      <c r="GGX268" s="1"/>
      <c r="GGY268" s="1"/>
      <c r="GGZ268" s="1"/>
      <c r="GHA268" s="1"/>
      <c r="GHB268" s="1"/>
      <c r="GHC268" s="1"/>
      <c r="GHD268" s="1"/>
      <c r="GHE268" s="1"/>
      <c r="GHF268" s="1"/>
      <c r="GHG268" s="1"/>
      <c r="GHH268" s="1"/>
      <c r="GHI268" s="1"/>
      <c r="GHJ268" s="1"/>
      <c r="GHK268" s="1"/>
      <c r="GHL268" s="1"/>
      <c r="GHM268" s="1"/>
      <c r="GHN268" s="1"/>
      <c r="GHO268" s="1"/>
      <c r="GHP268" s="1"/>
      <c r="GHQ268" s="1"/>
      <c r="GHR268" s="1"/>
      <c r="GHS268" s="1"/>
      <c r="GHT268" s="1"/>
      <c r="GHU268" s="1"/>
      <c r="GHV268" s="1"/>
      <c r="GHW268" s="1"/>
      <c r="GHX268" s="1"/>
      <c r="GHY268" s="1"/>
      <c r="GHZ268" s="1"/>
      <c r="GIA268" s="1"/>
      <c r="GIB268" s="1"/>
      <c r="GIC268" s="1"/>
      <c r="GID268" s="1"/>
      <c r="GIE268" s="1"/>
      <c r="GIF268" s="1"/>
      <c r="GIG268" s="1"/>
      <c r="GIH268" s="1"/>
      <c r="GII268" s="1"/>
      <c r="GIJ268" s="1"/>
      <c r="GIK268" s="1"/>
      <c r="GIL268" s="1"/>
      <c r="GIM268" s="1"/>
      <c r="GIN268" s="1"/>
      <c r="GIO268" s="1"/>
      <c r="GIP268" s="1"/>
      <c r="GIQ268" s="1"/>
      <c r="GIR268" s="1"/>
      <c r="GIS268" s="1"/>
      <c r="GIT268" s="1"/>
      <c r="GIU268" s="1"/>
      <c r="GIV268" s="1"/>
      <c r="GIW268" s="1"/>
      <c r="GIX268" s="1"/>
      <c r="GIY268" s="1"/>
      <c r="GIZ268" s="1"/>
      <c r="GJA268" s="1"/>
      <c r="GJB268" s="1"/>
      <c r="GJC268" s="1"/>
      <c r="GJD268" s="1"/>
      <c r="GJE268" s="1"/>
      <c r="GJF268" s="1"/>
      <c r="GJG268" s="1"/>
      <c r="GJH268" s="1"/>
      <c r="GJI268" s="1"/>
      <c r="GJJ268" s="1"/>
      <c r="GJK268" s="1"/>
      <c r="GJL268" s="1"/>
      <c r="GJM268" s="1"/>
      <c r="GJN268" s="1"/>
      <c r="GJO268" s="1"/>
      <c r="GJP268" s="1"/>
      <c r="GJQ268" s="1"/>
      <c r="GJR268" s="1"/>
      <c r="GJS268" s="1"/>
      <c r="GJT268" s="1"/>
      <c r="GJU268" s="1"/>
      <c r="GJV268" s="1"/>
      <c r="GJW268" s="1"/>
      <c r="GJX268" s="1"/>
      <c r="GJY268" s="1"/>
      <c r="GJZ268" s="1"/>
      <c r="GKA268" s="1"/>
      <c r="GKB268" s="1"/>
      <c r="GKC268" s="1"/>
      <c r="GKD268" s="1"/>
      <c r="GKE268" s="1"/>
      <c r="GKF268" s="1"/>
      <c r="GKG268" s="1"/>
      <c r="GKH268" s="1"/>
      <c r="GKI268" s="1"/>
      <c r="GKJ268" s="1"/>
      <c r="GKK268" s="1"/>
      <c r="GKL268" s="1"/>
      <c r="GKM268" s="1"/>
      <c r="GKN268" s="1"/>
      <c r="GKO268" s="1"/>
      <c r="GKP268" s="1"/>
      <c r="GKQ268" s="1"/>
      <c r="GKR268" s="1"/>
      <c r="GKS268" s="1"/>
      <c r="GKT268" s="1"/>
      <c r="GKU268" s="1"/>
      <c r="GKV268" s="1"/>
      <c r="GKW268" s="1"/>
      <c r="GKX268" s="1"/>
      <c r="GKY268" s="1"/>
      <c r="GKZ268" s="1"/>
      <c r="GLA268" s="1"/>
      <c r="GLB268" s="1"/>
      <c r="GLC268" s="1"/>
      <c r="GLD268" s="1"/>
      <c r="GLE268" s="1"/>
      <c r="GLF268" s="1"/>
      <c r="GLG268" s="1"/>
      <c r="GLH268" s="1"/>
      <c r="GLI268" s="1"/>
      <c r="GLJ268" s="1"/>
      <c r="GLK268" s="1"/>
      <c r="GLL268" s="1"/>
      <c r="GLM268" s="1"/>
      <c r="GLN268" s="1"/>
      <c r="GLO268" s="1"/>
      <c r="GLP268" s="1"/>
      <c r="GLQ268" s="1"/>
      <c r="GLR268" s="1"/>
      <c r="GLS268" s="1"/>
      <c r="GLT268" s="1"/>
      <c r="GLU268" s="1"/>
      <c r="GLV268" s="1"/>
      <c r="GLW268" s="1"/>
      <c r="GLX268" s="1"/>
      <c r="GLY268" s="1"/>
      <c r="GLZ268" s="1"/>
      <c r="GMA268" s="1"/>
      <c r="GMB268" s="1"/>
      <c r="GMC268" s="1"/>
      <c r="GMD268" s="1"/>
      <c r="GME268" s="1"/>
      <c r="GMF268" s="1"/>
      <c r="GMG268" s="1"/>
      <c r="GMH268" s="1"/>
      <c r="GMI268" s="1"/>
      <c r="GMJ268" s="1"/>
      <c r="GMK268" s="1"/>
      <c r="GML268" s="1"/>
      <c r="GMM268" s="1"/>
      <c r="GMN268" s="1"/>
      <c r="GMO268" s="1"/>
      <c r="GMP268" s="1"/>
      <c r="GMQ268" s="1"/>
      <c r="GMR268" s="1"/>
      <c r="GMS268" s="1"/>
      <c r="GMT268" s="1"/>
      <c r="GMU268" s="1"/>
      <c r="GMV268" s="1"/>
      <c r="GMW268" s="1"/>
      <c r="GMX268" s="1"/>
      <c r="GMY268" s="1"/>
      <c r="GMZ268" s="1"/>
      <c r="GNA268" s="1"/>
      <c r="GNB268" s="1"/>
      <c r="GNC268" s="1"/>
      <c r="GND268" s="1"/>
      <c r="GNE268" s="1"/>
      <c r="GNF268" s="1"/>
      <c r="GNG268" s="1"/>
      <c r="GNH268" s="1"/>
      <c r="GNI268" s="1"/>
      <c r="GNJ268" s="1"/>
      <c r="GNK268" s="1"/>
      <c r="GNL268" s="1"/>
      <c r="GNM268" s="1"/>
      <c r="GNN268" s="1"/>
      <c r="GNO268" s="1"/>
      <c r="GNP268" s="1"/>
      <c r="GNQ268" s="1"/>
      <c r="GNR268" s="1"/>
      <c r="GNS268" s="1"/>
      <c r="GNT268" s="1"/>
      <c r="GNU268" s="1"/>
      <c r="GNV268" s="1"/>
      <c r="GNW268" s="1"/>
      <c r="GNX268" s="1"/>
      <c r="GNY268" s="1"/>
      <c r="GNZ268" s="1"/>
      <c r="GOA268" s="1"/>
      <c r="GOB268" s="1"/>
      <c r="GOC268" s="1"/>
      <c r="GOD268" s="1"/>
      <c r="GOE268" s="1"/>
      <c r="GOF268" s="1"/>
      <c r="GOG268" s="1"/>
      <c r="GOH268" s="1"/>
      <c r="GOI268" s="1"/>
      <c r="GOJ268" s="1"/>
      <c r="GOK268" s="1"/>
      <c r="GOL268" s="1"/>
      <c r="GOM268" s="1"/>
      <c r="GON268" s="1"/>
      <c r="GOO268" s="1"/>
      <c r="GOP268" s="1"/>
      <c r="GOQ268" s="1"/>
      <c r="GOR268" s="1"/>
      <c r="GOS268" s="1"/>
      <c r="GOT268" s="1"/>
      <c r="GOU268" s="1"/>
      <c r="GOV268" s="1"/>
      <c r="GOW268" s="1"/>
      <c r="GOX268" s="1"/>
      <c r="GOY268" s="1"/>
      <c r="GOZ268" s="1"/>
      <c r="GPA268" s="1"/>
      <c r="GPB268" s="1"/>
      <c r="GPC268" s="1"/>
      <c r="GPD268" s="1"/>
      <c r="GPE268" s="1"/>
      <c r="GPF268" s="1"/>
      <c r="GPG268" s="1"/>
      <c r="GPH268" s="1"/>
      <c r="GPI268" s="1"/>
      <c r="GPJ268" s="1"/>
      <c r="GPK268" s="1"/>
      <c r="GPL268" s="1"/>
      <c r="GPM268" s="1"/>
      <c r="GPN268" s="1"/>
      <c r="GPO268" s="1"/>
      <c r="GPP268" s="1"/>
      <c r="GPQ268" s="1"/>
      <c r="GPR268" s="1"/>
      <c r="GPS268" s="1"/>
      <c r="GPT268" s="1"/>
      <c r="GPU268" s="1"/>
      <c r="GPV268" s="1"/>
      <c r="GPW268" s="1"/>
      <c r="GPX268" s="1"/>
      <c r="GPY268" s="1"/>
      <c r="GPZ268" s="1"/>
      <c r="GQA268" s="1"/>
      <c r="GQB268" s="1"/>
      <c r="GQC268" s="1"/>
      <c r="GQD268" s="1"/>
      <c r="GQE268" s="1"/>
      <c r="GQF268" s="1"/>
      <c r="GQG268" s="1"/>
      <c r="GQH268" s="1"/>
      <c r="GQI268" s="1"/>
      <c r="GQJ268" s="1"/>
      <c r="GQK268" s="1"/>
      <c r="GQL268" s="1"/>
      <c r="GQM268" s="1"/>
      <c r="GQN268" s="1"/>
      <c r="GQO268" s="1"/>
      <c r="GQP268" s="1"/>
      <c r="GQQ268" s="1"/>
      <c r="GQR268" s="1"/>
      <c r="GQS268" s="1"/>
      <c r="GQT268" s="1"/>
      <c r="GQU268" s="1"/>
      <c r="GQV268" s="1"/>
      <c r="GQW268" s="1"/>
      <c r="GQX268" s="1"/>
      <c r="GQY268" s="1"/>
      <c r="GQZ268" s="1"/>
      <c r="GRA268" s="1"/>
      <c r="GRB268" s="1"/>
      <c r="GRC268" s="1"/>
      <c r="GRD268" s="1"/>
      <c r="GRE268" s="1"/>
      <c r="GRF268" s="1"/>
      <c r="GRG268" s="1"/>
      <c r="GRH268" s="1"/>
      <c r="GRI268" s="1"/>
      <c r="GRJ268" s="1"/>
      <c r="GRK268" s="1"/>
      <c r="GRL268" s="1"/>
      <c r="GRM268" s="1"/>
      <c r="GRN268" s="1"/>
      <c r="GRO268" s="1"/>
      <c r="GRP268" s="1"/>
      <c r="GRQ268" s="1"/>
      <c r="GRR268" s="1"/>
      <c r="GRS268" s="1"/>
      <c r="GRT268" s="1"/>
      <c r="GRU268" s="1"/>
      <c r="GRV268" s="1"/>
      <c r="GRW268" s="1"/>
      <c r="GRX268" s="1"/>
      <c r="GRY268" s="1"/>
      <c r="GRZ268" s="1"/>
      <c r="GSA268" s="1"/>
      <c r="GSB268" s="1"/>
      <c r="GSC268" s="1"/>
      <c r="GSD268" s="1"/>
      <c r="GSE268" s="1"/>
      <c r="GSF268" s="1"/>
      <c r="GSG268" s="1"/>
      <c r="GSH268" s="1"/>
      <c r="GSI268" s="1"/>
      <c r="GSJ268" s="1"/>
      <c r="GSK268" s="1"/>
      <c r="GSL268" s="1"/>
      <c r="GSM268" s="1"/>
      <c r="GSN268" s="1"/>
      <c r="GSO268" s="1"/>
      <c r="GSP268" s="1"/>
      <c r="GSQ268" s="1"/>
      <c r="GSR268" s="1"/>
      <c r="GSS268" s="1"/>
      <c r="GST268" s="1"/>
      <c r="GSU268" s="1"/>
      <c r="GSV268" s="1"/>
      <c r="GSW268" s="1"/>
      <c r="GSX268" s="1"/>
      <c r="GSY268" s="1"/>
      <c r="GSZ268" s="1"/>
      <c r="GTA268" s="1"/>
      <c r="GTB268" s="1"/>
      <c r="GTC268" s="1"/>
      <c r="GTD268" s="1"/>
      <c r="GTE268" s="1"/>
      <c r="GTF268" s="1"/>
      <c r="GTG268" s="1"/>
      <c r="GTH268" s="1"/>
      <c r="GTI268" s="1"/>
      <c r="GTJ268" s="1"/>
      <c r="GTK268" s="1"/>
      <c r="GTL268" s="1"/>
      <c r="GTM268" s="1"/>
      <c r="GTN268" s="1"/>
      <c r="GTO268" s="1"/>
      <c r="GTP268" s="1"/>
      <c r="GTQ268" s="1"/>
      <c r="GTR268" s="1"/>
      <c r="GTS268" s="1"/>
      <c r="GTT268" s="1"/>
      <c r="GTU268" s="1"/>
      <c r="GTV268" s="1"/>
      <c r="GTW268" s="1"/>
      <c r="GTX268" s="1"/>
      <c r="GTY268" s="1"/>
      <c r="GTZ268" s="1"/>
      <c r="GUA268" s="1"/>
      <c r="GUB268" s="1"/>
      <c r="GUC268" s="1"/>
      <c r="GUD268" s="1"/>
      <c r="GUE268" s="1"/>
      <c r="GUF268" s="1"/>
      <c r="GUG268" s="1"/>
      <c r="GUH268" s="1"/>
      <c r="GUI268" s="1"/>
      <c r="GUJ268" s="1"/>
      <c r="GUK268" s="1"/>
      <c r="GUL268" s="1"/>
      <c r="GUM268" s="1"/>
      <c r="GUN268" s="1"/>
      <c r="GUO268" s="1"/>
      <c r="GUP268" s="1"/>
      <c r="GUQ268" s="1"/>
      <c r="GUR268" s="1"/>
      <c r="GUS268" s="1"/>
      <c r="GUT268" s="1"/>
      <c r="GUU268" s="1"/>
      <c r="GUV268" s="1"/>
      <c r="GUW268" s="1"/>
      <c r="GUX268" s="1"/>
      <c r="GUY268" s="1"/>
      <c r="GUZ268" s="1"/>
      <c r="GVA268" s="1"/>
      <c r="GVB268" s="1"/>
      <c r="GVC268" s="1"/>
      <c r="GVD268" s="1"/>
      <c r="GVE268" s="1"/>
      <c r="GVF268" s="1"/>
      <c r="GVG268" s="1"/>
      <c r="GVH268" s="1"/>
      <c r="GVI268" s="1"/>
      <c r="GVJ268" s="1"/>
      <c r="GVK268" s="1"/>
      <c r="GVL268" s="1"/>
      <c r="GVM268" s="1"/>
      <c r="GVN268" s="1"/>
      <c r="GVO268" s="1"/>
      <c r="GVP268" s="1"/>
      <c r="GVQ268" s="1"/>
      <c r="GVR268" s="1"/>
      <c r="GVS268" s="1"/>
      <c r="GVT268" s="1"/>
      <c r="GVU268" s="1"/>
      <c r="GVV268" s="1"/>
      <c r="GVW268" s="1"/>
      <c r="GVX268" s="1"/>
      <c r="GVY268" s="1"/>
      <c r="GVZ268" s="1"/>
      <c r="GWA268" s="1"/>
      <c r="GWB268" s="1"/>
      <c r="GWC268" s="1"/>
      <c r="GWD268" s="1"/>
      <c r="GWE268" s="1"/>
      <c r="GWF268" s="1"/>
      <c r="GWG268" s="1"/>
      <c r="GWH268" s="1"/>
      <c r="GWI268" s="1"/>
      <c r="GWJ268" s="1"/>
      <c r="GWK268" s="1"/>
      <c r="GWL268" s="1"/>
      <c r="GWM268" s="1"/>
      <c r="GWN268" s="1"/>
      <c r="GWO268" s="1"/>
      <c r="GWP268" s="1"/>
      <c r="GWQ268" s="1"/>
      <c r="GWR268" s="1"/>
      <c r="GWS268" s="1"/>
      <c r="GWT268" s="1"/>
      <c r="GWU268" s="1"/>
      <c r="GWV268" s="1"/>
      <c r="GWW268" s="1"/>
      <c r="GWX268" s="1"/>
      <c r="GWY268" s="1"/>
      <c r="GWZ268" s="1"/>
      <c r="GXA268" s="1"/>
      <c r="GXB268" s="1"/>
      <c r="GXC268" s="1"/>
      <c r="GXD268" s="1"/>
      <c r="GXE268" s="1"/>
      <c r="GXF268" s="1"/>
      <c r="GXG268" s="1"/>
      <c r="GXH268" s="1"/>
      <c r="GXI268" s="1"/>
      <c r="GXJ268" s="1"/>
      <c r="GXK268" s="1"/>
      <c r="GXL268" s="1"/>
      <c r="GXM268" s="1"/>
      <c r="GXN268" s="1"/>
      <c r="GXO268" s="1"/>
      <c r="GXP268" s="1"/>
      <c r="GXQ268" s="1"/>
      <c r="GXR268" s="1"/>
      <c r="GXS268" s="1"/>
      <c r="GXT268" s="1"/>
      <c r="GXU268" s="1"/>
      <c r="GXV268" s="1"/>
      <c r="GXW268" s="1"/>
      <c r="GXX268" s="1"/>
      <c r="GXY268" s="1"/>
      <c r="GXZ268" s="1"/>
      <c r="GYA268" s="1"/>
      <c r="GYB268" s="1"/>
      <c r="GYC268" s="1"/>
      <c r="GYD268" s="1"/>
      <c r="GYE268" s="1"/>
      <c r="GYF268" s="1"/>
      <c r="GYG268" s="1"/>
      <c r="GYH268" s="1"/>
      <c r="GYI268" s="1"/>
      <c r="GYJ268" s="1"/>
      <c r="GYK268" s="1"/>
      <c r="GYL268" s="1"/>
      <c r="GYM268" s="1"/>
      <c r="GYN268" s="1"/>
      <c r="GYO268" s="1"/>
      <c r="GYP268" s="1"/>
      <c r="GYQ268" s="1"/>
      <c r="GYR268" s="1"/>
      <c r="GYS268" s="1"/>
      <c r="GYT268" s="1"/>
      <c r="GYU268" s="1"/>
      <c r="GYV268" s="1"/>
      <c r="GYW268" s="1"/>
      <c r="GYX268" s="1"/>
      <c r="GYY268" s="1"/>
      <c r="GYZ268" s="1"/>
      <c r="GZA268" s="1"/>
      <c r="GZB268" s="1"/>
      <c r="GZC268" s="1"/>
      <c r="GZD268" s="1"/>
      <c r="GZE268" s="1"/>
      <c r="GZF268" s="1"/>
      <c r="GZG268" s="1"/>
      <c r="GZH268" s="1"/>
      <c r="GZI268" s="1"/>
      <c r="GZJ268" s="1"/>
      <c r="GZK268" s="1"/>
      <c r="GZL268" s="1"/>
      <c r="GZM268" s="1"/>
      <c r="GZN268" s="1"/>
      <c r="GZO268" s="1"/>
      <c r="GZP268" s="1"/>
      <c r="GZQ268" s="1"/>
      <c r="GZR268" s="1"/>
      <c r="GZS268" s="1"/>
      <c r="GZT268" s="1"/>
      <c r="GZU268" s="1"/>
      <c r="GZV268" s="1"/>
      <c r="GZW268" s="1"/>
      <c r="GZX268" s="1"/>
      <c r="GZY268" s="1"/>
      <c r="GZZ268" s="1"/>
      <c r="HAA268" s="1"/>
      <c r="HAB268" s="1"/>
      <c r="HAC268" s="1"/>
      <c r="HAD268" s="1"/>
      <c r="HAE268" s="1"/>
      <c r="HAF268" s="1"/>
      <c r="HAG268" s="1"/>
      <c r="HAH268" s="1"/>
      <c r="HAI268" s="1"/>
      <c r="HAJ268" s="1"/>
      <c r="HAK268" s="1"/>
      <c r="HAL268" s="1"/>
      <c r="HAM268" s="1"/>
      <c r="HAN268" s="1"/>
      <c r="HAO268" s="1"/>
      <c r="HAP268" s="1"/>
      <c r="HAQ268" s="1"/>
      <c r="HAR268" s="1"/>
      <c r="HAS268" s="1"/>
      <c r="HAT268" s="1"/>
      <c r="HAU268" s="1"/>
      <c r="HAV268" s="1"/>
      <c r="HAW268" s="1"/>
      <c r="HAX268" s="1"/>
      <c r="HAY268" s="1"/>
      <c r="HAZ268" s="1"/>
      <c r="HBA268" s="1"/>
      <c r="HBB268" s="1"/>
      <c r="HBC268" s="1"/>
      <c r="HBD268" s="1"/>
      <c r="HBE268" s="1"/>
      <c r="HBF268" s="1"/>
      <c r="HBG268" s="1"/>
      <c r="HBH268" s="1"/>
      <c r="HBI268" s="1"/>
      <c r="HBJ268" s="1"/>
      <c r="HBK268" s="1"/>
      <c r="HBL268" s="1"/>
      <c r="HBM268" s="1"/>
      <c r="HBN268" s="1"/>
      <c r="HBO268" s="1"/>
      <c r="HBP268" s="1"/>
      <c r="HBQ268" s="1"/>
      <c r="HBR268" s="1"/>
      <c r="HBS268" s="1"/>
      <c r="HBT268" s="1"/>
      <c r="HBU268" s="1"/>
      <c r="HBV268" s="1"/>
      <c r="HBW268" s="1"/>
      <c r="HBX268" s="1"/>
      <c r="HBY268" s="1"/>
      <c r="HBZ268" s="1"/>
      <c r="HCA268" s="1"/>
      <c r="HCB268" s="1"/>
      <c r="HCC268" s="1"/>
      <c r="HCD268" s="1"/>
      <c r="HCE268" s="1"/>
      <c r="HCF268" s="1"/>
      <c r="HCG268" s="1"/>
      <c r="HCH268" s="1"/>
      <c r="HCI268" s="1"/>
      <c r="HCJ268" s="1"/>
      <c r="HCK268" s="1"/>
      <c r="HCL268" s="1"/>
      <c r="HCM268" s="1"/>
      <c r="HCN268" s="1"/>
      <c r="HCO268" s="1"/>
      <c r="HCP268" s="1"/>
      <c r="HCQ268" s="1"/>
      <c r="HCR268" s="1"/>
      <c r="HCS268" s="1"/>
      <c r="HCT268" s="1"/>
      <c r="HCU268" s="1"/>
      <c r="HCV268" s="1"/>
      <c r="HCW268" s="1"/>
      <c r="HCX268" s="1"/>
      <c r="HCY268" s="1"/>
      <c r="HCZ268" s="1"/>
      <c r="HDA268" s="1"/>
      <c r="HDB268" s="1"/>
      <c r="HDC268" s="1"/>
      <c r="HDD268" s="1"/>
      <c r="HDE268" s="1"/>
      <c r="HDF268" s="1"/>
      <c r="HDG268" s="1"/>
      <c r="HDH268" s="1"/>
      <c r="HDI268" s="1"/>
      <c r="HDJ268" s="1"/>
      <c r="HDK268" s="1"/>
      <c r="HDL268" s="1"/>
      <c r="HDM268" s="1"/>
      <c r="HDN268" s="1"/>
      <c r="HDO268" s="1"/>
      <c r="HDP268" s="1"/>
      <c r="HDQ268" s="1"/>
      <c r="HDR268" s="1"/>
      <c r="HDS268" s="1"/>
      <c r="HDT268" s="1"/>
      <c r="HDU268" s="1"/>
      <c r="HDV268" s="1"/>
      <c r="HDW268" s="1"/>
      <c r="HDX268" s="1"/>
      <c r="HDY268" s="1"/>
      <c r="HDZ268" s="1"/>
      <c r="HEA268" s="1"/>
      <c r="HEB268" s="1"/>
      <c r="HEC268" s="1"/>
      <c r="HED268" s="1"/>
      <c r="HEE268" s="1"/>
      <c r="HEF268" s="1"/>
      <c r="HEG268" s="1"/>
      <c r="HEH268" s="1"/>
      <c r="HEI268" s="1"/>
      <c r="HEJ268" s="1"/>
      <c r="HEK268" s="1"/>
      <c r="HEL268" s="1"/>
      <c r="HEM268" s="1"/>
      <c r="HEN268" s="1"/>
      <c r="HEO268" s="1"/>
      <c r="HEP268" s="1"/>
      <c r="HEQ268" s="1"/>
      <c r="HER268" s="1"/>
      <c r="HES268" s="1"/>
      <c r="HET268" s="1"/>
      <c r="HEU268" s="1"/>
      <c r="HEV268" s="1"/>
      <c r="HEW268" s="1"/>
      <c r="HEX268" s="1"/>
      <c r="HEY268" s="1"/>
      <c r="HEZ268" s="1"/>
      <c r="HFA268" s="1"/>
      <c r="HFB268" s="1"/>
      <c r="HFC268" s="1"/>
      <c r="HFD268" s="1"/>
      <c r="HFE268" s="1"/>
      <c r="HFF268" s="1"/>
      <c r="HFG268" s="1"/>
      <c r="HFH268" s="1"/>
      <c r="HFI268" s="1"/>
      <c r="HFJ268" s="1"/>
      <c r="HFK268" s="1"/>
      <c r="HFL268" s="1"/>
      <c r="HFM268" s="1"/>
      <c r="HFN268" s="1"/>
      <c r="HFO268" s="1"/>
      <c r="HFP268" s="1"/>
      <c r="HFQ268" s="1"/>
      <c r="HFR268" s="1"/>
      <c r="HFS268" s="1"/>
      <c r="HFT268" s="1"/>
      <c r="HFU268" s="1"/>
      <c r="HFV268" s="1"/>
      <c r="HFW268" s="1"/>
      <c r="HFX268" s="1"/>
      <c r="HFY268" s="1"/>
      <c r="HFZ268" s="1"/>
      <c r="HGA268" s="1"/>
      <c r="HGB268" s="1"/>
      <c r="HGC268" s="1"/>
      <c r="HGD268" s="1"/>
      <c r="HGE268" s="1"/>
      <c r="HGF268" s="1"/>
      <c r="HGG268" s="1"/>
      <c r="HGH268" s="1"/>
      <c r="HGI268" s="1"/>
      <c r="HGJ268" s="1"/>
      <c r="HGK268" s="1"/>
      <c r="HGL268" s="1"/>
      <c r="HGM268" s="1"/>
      <c r="HGN268" s="1"/>
      <c r="HGO268" s="1"/>
      <c r="HGP268" s="1"/>
      <c r="HGQ268" s="1"/>
      <c r="HGR268" s="1"/>
      <c r="HGS268" s="1"/>
      <c r="HGT268" s="1"/>
      <c r="HGU268" s="1"/>
      <c r="HGV268" s="1"/>
      <c r="HGW268" s="1"/>
      <c r="HGX268" s="1"/>
      <c r="HGY268" s="1"/>
      <c r="HGZ268" s="1"/>
      <c r="HHA268" s="1"/>
      <c r="HHB268" s="1"/>
      <c r="HHC268" s="1"/>
      <c r="HHD268" s="1"/>
      <c r="HHE268" s="1"/>
      <c r="HHF268" s="1"/>
      <c r="HHG268" s="1"/>
      <c r="HHH268" s="1"/>
      <c r="HHI268" s="1"/>
      <c r="HHJ268" s="1"/>
      <c r="HHK268" s="1"/>
      <c r="HHL268" s="1"/>
      <c r="HHM268" s="1"/>
      <c r="HHN268" s="1"/>
      <c r="HHO268" s="1"/>
      <c r="HHP268" s="1"/>
      <c r="HHQ268" s="1"/>
      <c r="HHR268" s="1"/>
      <c r="HHS268" s="1"/>
      <c r="HHT268" s="1"/>
      <c r="HHU268" s="1"/>
      <c r="HHV268" s="1"/>
      <c r="HHW268" s="1"/>
      <c r="HHX268" s="1"/>
      <c r="HHY268" s="1"/>
      <c r="HHZ268" s="1"/>
      <c r="HIA268" s="1"/>
      <c r="HIB268" s="1"/>
      <c r="HIC268" s="1"/>
      <c r="HID268" s="1"/>
      <c r="HIE268" s="1"/>
      <c r="HIF268" s="1"/>
      <c r="HIG268" s="1"/>
      <c r="HIH268" s="1"/>
      <c r="HII268" s="1"/>
      <c r="HIJ268" s="1"/>
      <c r="HIK268" s="1"/>
      <c r="HIL268" s="1"/>
      <c r="HIM268" s="1"/>
      <c r="HIN268" s="1"/>
      <c r="HIO268" s="1"/>
      <c r="HIP268" s="1"/>
      <c r="HIQ268" s="1"/>
      <c r="HIR268" s="1"/>
      <c r="HIS268" s="1"/>
      <c r="HIT268" s="1"/>
      <c r="HIU268" s="1"/>
      <c r="HIV268" s="1"/>
      <c r="HIW268" s="1"/>
      <c r="HIX268" s="1"/>
      <c r="HIY268" s="1"/>
      <c r="HIZ268" s="1"/>
      <c r="HJA268" s="1"/>
      <c r="HJB268" s="1"/>
      <c r="HJC268" s="1"/>
      <c r="HJD268" s="1"/>
      <c r="HJE268" s="1"/>
      <c r="HJF268" s="1"/>
      <c r="HJG268" s="1"/>
      <c r="HJH268" s="1"/>
      <c r="HJI268" s="1"/>
      <c r="HJJ268" s="1"/>
      <c r="HJK268" s="1"/>
      <c r="HJL268" s="1"/>
      <c r="HJM268" s="1"/>
      <c r="HJN268" s="1"/>
      <c r="HJO268" s="1"/>
      <c r="HJP268" s="1"/>
      <c r="HJQ268" s="1"/>
      <c r="HJR268" s="1"/>
      <c r="HJS268" s="1"/>
      <c r="HJT268" s="1"/>
      <c r="HJU268" s="1"/>
      <c r="HJV268" s="1"/>
      <c r="HJW268" s="1"/>
      <c r="HJX268" s="1"/>
      <c r="HJY268" s="1"/>
      <c r="HJZ268" s="1"/>
      <c r="HKA268" s="1"/>
      <c r="HKB268" s="1"/>
      <c r="HKC268" s="1"/>
      <c r="HKD268" s="1"/>
      <c r="HKE268" s="1"/>
      <c r="HKF268" s="1"/>
      <c r="HKG268" s="1"/>
      <c r="HKH268" s="1"/>
      <c r="HKI268" s="1"/>
      <c r="HKJ268" s="1"/>
      <c r="HKK268" s="1"/>
      <c r="HKL268" s="1"/>
      <c r="HKM268" s="1"/>
      <c r="HKN268" s="1"/>
      <c r="HKO268" s="1"/>
      <c r="HKP268" s="1"/>
      <c r="HKQ268" s="1"/>
      <c r="HKR268" s="1"/>
      <c r="HKS268" s="1"/>
      <c r="HKT268" s="1"/>
      <c r="HKU268" s="1"/>
      <c r="HKV268" s="1"/>
      <c r="HKW268" s="1"/>
      <c r="HKX268" s="1"/>
      <c r="HKY268" s="1"/>
      <c r="HKZ268" s="1"/>
      <c r="HLA268" s="1"/>
      <c r="HLB268" s="1"/>
      <c r="HLC268" s="1"/>
      <c r="HLD268" s="1"/>
      <c r="HLE268" s="1"/>
      <c r="HLF268" s="1"/>
      <c r="HLG268" s="1"/>
      <c r="HLH268" s="1"/>
      <c r="HLI268" s="1"/>
      <c r="HLJ268" s="1"/>
      <c r="HLK268" s="1"/>
      <c r="HLL268" s="1"/>
      <c r="HLM268" s="1"/>
      <c r="HLN268" s="1"/>
      <c r="HLO268" s="1"/>
      <c r="HLP268" s="1"/>
      <c r="HLQ268" s="1"/>
      <c r="HLR268" s="1"/>
      <c r="HLS268" s="1"/>
      <c r="HLT268" s="1"/>
      <c r="HLU268" s="1"/>
      <c r="HLV268" s="1"/>
      <c r="HLW268" s="1"/>
      <c r="HLX268" s="1"/>
      <c r="HLY268" s="1"/>
      <c r="HLZ268" s="1"/>
      <c r="HMA268" s="1"/>
      <c r="HMB268" s="1"/>
      <c r="HMC268" s="1"/>
      <c r="HMD268" s="1"/>
      <c r="HME268" s="1"/>
      <c r="HMF268" s="1"/>
      <c r="HMG268" s="1"/>
      <c r="HMH268" s="1"/>
      <c r="HMI268" s="1"/>
      <c r="HMJ268" s="1"/>
      <c r="HMK268" s="1"/>
      <c r="HML268" s="1"/>
      <c r="HMM268" s="1"/>
      <c r="HMN268" s="1"/>
      <c r="HMO268" s="1"/>
      <c r="HMP268" s="1"/>
      <c r="HMQ268" s="1"/>
      <c r="HMR268" s="1"/>
      <c r="HMS268" s="1"/>
      <c r="HMT268" s="1"/>
      <c r="HMU268" s="1"/>
      <c r="HMV268" s="1"/>
      <c r="HMW268" s="1"/>
      <c r="HMX268" s="1"/>
      <c r="HMY268" s="1"/>
      <c r="HMZ268" s="1"/>
      <c r="HNA268" s="1"/>
      <c r="HNB268" s="1"/>
      <c r="HNC268" s="1"/>
      <c r="HND268" s="1"/>
      <c r="HNE268" s="1"/>
      <c r="HNF268" s="1"/>
      <c r="HNG268" s="1"/>
      <c r="HNH268" s="1"/>
      <c r="HNI268" s="1"/>
      <c r="HNJ268" s="1"/>
      <c r="HNK268" s="1"/>
      <c r="HNL268" s="1"/>
      <c r="HNM268" s="1"/>
      <c r="HNN268" s="1"/>
      <c r="HNO268" s="1"/>
      <c r="HNP268" s="1"/>
      <c r="HNQ268" s="1"/>
      <c r="HNR268" s="1"/>
      <c r="HNS268" s="1"/>
      <c r="HNT268" s="1"/>
      <c r="HNU268" s="1"/>
      <c r="HNV268" s="1"/>
      <c r="HNW268" s="1"/>
      <c r="HNX268" s="1"/>
      <c r="HNY268" s="1"/>
      <c r="HNZ268" s="1"/>
      <c r="HOA268" s="1"/>
      <c r="HOB268" s="1"/>
      <c r="HOC268" s="1"/>
      <c r="HOD268" s="1"/>
      <c r="HOE268" s="1"/>
      <c r="HOF268" s="1"/>
      <c r="HOG268" s="1"/>
      <c r="HOH268" s="1"/>
      <c r="HOI268" s="1"/>
      <c r="HOJ268" s="1"/>
      <c r="HOK268" s="1"/>
      <c r="HOL268" s="1"/>
      <c r="HOM268" s="1"/>
      <c r="HON268" s="1"/>
      <c r="HOO268" s="1"/>
      <c r="HOP268" s="1"/>
      <c r="HOQ268" s="1"/>
      <c r="HOR268" s="1"/>
      <c r="HOS268" s="1"/>
      <c r="HOT268" s="1"/>
      <c r="HOU268" s="1"/>
      <c r="HOV268" s="1"/>
      <c r="HOW268" s="1"/>
      <c r="HOX268" s="1"/>
      <c r="HOY268" s="1"/>
      <c r="HOZ268" s="1"/>
      <c r="HPA268" s="1"/>
      <c r="HPB268" s="1"/>
      <c r="HPC268" s="1"/>
      <c r="HPD268" s="1"/>
      <c r="HPE268" s="1"/>
      <c r="HPF268" s="1"/>
      <c r="HPG268" s="1"/>
      <c r="HPH268" s="1"/>
      <c r="HPI268" s="1"/>
      <c r="HPJ268" s="1"/>
      <c r="HPK268" s="1"/>
      <c r="HPL268" s="1"/>
      <c r="HPM268" s="1"/>
      <c r="HPN268" s="1"/>
      <c r="HPO268" s="1"/>
      <c r="HPP268" s="1"/>
      <c r="HPQ268" s="1"/>
      <c r="HPR268" s="1"/>
      <c r="HPS268" s="1"/>
      <c r="HPT268" s="1"/>
      <c r="HPU268" s="1"/>
      <c r="HPV268" s="1"/>
      <c r="HPW268" s="1"/>
      <c r="HPX268" s="1"/>
      <c r="HPY268" s="1"/>
      <c r="HPZ268" s="1"/>
      <c r="HQA268" s="1"/>
      <c r="HQB268" s="1"/>
      <c r="HQC268" s="1"/>
      <c r="HQD268" s="1"/>
      <c r="HQE268" s="1"/>
      <c r="HQF268" s="1"/>
      <c r="HQG268" s="1"/>
      <c r="HQH268" s="1"/>
      <c r="HQI268" s="1"/>
      <c r="HQJ268" s="1"/>
      <c r="HQK268" s="1"/>
      <c r="HQL268" s="1"/>
      <c r="HQM268" s="1"/>
      <c r="HQN268" s="1"/>
      <c r="HQO268" s="1"/>
      <c r="HQP268" s="1"/>
      <c r="HQQ268" s="1"/>
      <c r="HQR268" s="1"/>
      <c r="HQS268" s="1"/>
      <c r="HQT268" s="1"/>
      <c r="HQU268" s="1"/>
      <c r="HQV268" s="1"/>
      <c r="HQW268" s="1"/>
      <c r="HQX268" s="1"/>
      <c r="HQY268" s="1"/>
      <c r="HQZ268" s="1"/>
      <c r="HRA268" s="1"/>
      <c r="HRB268" s="1"/>
      <c r="HRC268" s="1"/>
      <c r="HRD268" s="1"/>
      <c r="HRE268" s="1"/>
      <c r="HRF268" s="1"/>
      <c r="HRG268" s="1"/>
      <c r="HRH268" s="1"/>
      <c r="HRI268" s="1"/>
      <c r="HRJ268" s="1"/>
      <c r="HRK268" s="1"/>
      <c r="HRL268" s="1"/>
      <c r="HRM268" s="1"/>
      <c r="HRN268" s="1"/>
      <c r="HRO268" s="1"/>
      <c r="HRP268" s="1"/>
      <c r="HRQ268" s="1"/>
      <c r="HRR268" s="1"/>
      <c r="HRS268" s="1"/>
      <c r="HRT268" s="1"/>
      <c r="HRU268" s="1"/>
      <c r="HRV268" s="1"/>
      <c r="HRW268" s="1"/>
      <c r="HRX268" s="1"/>
      <c r="HRY268" s="1"/>
      <c r="HRZ268" s="1"/>
      <c r="HSA268" s="1"/>
      <c r="HSB268" s="1"/>
      <c r="HSC268" s="1"/>
      <c r="HSD268" s="1"/>
      <c r="HSE268" s="1"/>
      <c r="HSF268" s="1"/>
      <c r="HSG268" s="1"/>
      <c r="HSH268" s="1"/>
      <c r="HSI268" s="1"/>
      <c r="HSJ268" s="1"/>
      <c r="HSK268" s="1"/>
      <c r="HSL268" s="1"/>
      <c r="HSM268" s="1"/>
      <c r="HSN268" s="1"/>
      <c r="HSO268" s="1"/>
      <c r="HSP268" s="1"/>
      <c r="HSQ268" s="1"/>
      <c r="HSR268" s="1"/>
      <c r="HSS268" s="1"/>
      <c r="HST268" s="1"/>
      <c r="HSU268" s="1"/>
      <c r="HSV268" s="1"/>
      <c r="HSW268" s="1"/>
      <c r="HSX268" s="1"/>
      <c r="HSY268" s="1"/>
      <c r="HSZ268" s="1"/>
      <c r="HTA268" s="1"/>
      <c r="HTB268" s="1"/>
      <c r="HTC268" s="1"/>
      <c r="HTD268" s="1"/>
      <c r="HTE268" s="1"/>
      <c r="HTF268" s="1"/>
      <c r="HTG268" s="1"/>
      <c r="HTH268" s="1"/>
      <c r="HTI268" s="1"/>
      <c r="HTJ268" s="1"/>
      <c r="HTK268" s="1"/>
      <c r="HTL268" s="1"/>
      <c r="HTM268" s="1"/>
      <c r="HTN268" s="1"/>
      <c r="HTO268" s="1"/>
      <c r="HTP268" s="1"/>
      <c r="HTQ268" s="1"/>
      <c r="HTR268" s="1"/>
      <c r="HTS268" s="1"/>
      <c r="HTT268" s="1"/>
      <c r="HTU268" s="1"/>
      <c r="HTV268" s="1"/>
      <c r="HTW268" s="1"/>
      <c r="HTX268" s="1"/>
      <c r="HTY268" s="1"/>
      <c r="HTZ268" s="1"/>
      <c r="HUA268" s="1"/>
      <c r="HUB268" s="1"/>
      <c r="HUC268" s="1"/>
      <c r="HUD268" s="1"/>
      <c r="HUE268" s="1"/>
      <c r="HUF268" s="1"/>
      <c r="HUG268" s="1"/>
      <c r="HUH268" s="1"/>
      <c r="HUI268" s="1"/>
      <c r="HUJ268" s="1"/>
      <c r="HUK268" s="1"/>
      <c r="HUL268" s="1"/>
      <c r="HUM268" s="1"/>
      <c r="HUN268" s="1"/>
      <c r="HUO268" s="1"/>
      <c r="HUP268" s="1"/>
      <c r="HUQ268" s="1"/>
      <c r="HUR268" s="1"/>
      <c r="HUS268" s="1"/>
      <c r="HUT268" s="1"/>
      <c r="HUU268" s="1"/>
      <c r="HUV268" s="1"/>
      <c r="HUW268" s="1"/>
      <c r="HUX268" s="1"/>
      <c r="HUY268" s="1"/>
      <c r="HUZ268" s="1"/>
      <c r="HVA268" s="1"/>
      <c r="HVB268" s="1"/>
      <c r="HVC268" s="1"/>
      <c r="HVD268" s="1"/>
      <c r="HVE268" s="1"/>
      <c r="HVF268" s="1"/>
      <c r="HVG268" s="1"/>
      <c r="HVH268" s="1"/>
      <c r="HVI268" s="1"/>
      <c r="HVJ268" s="1"/>
      <c r="HVK268" s="1"/>
      <c r="HVL268" s="1"/>
      <c r="HVM268" s="1"/>
      <c r="HVN268" s="1"/>
      <c r="HVO268" s="1"/>
      <c r="HVP268" s="1"/>
      <c r="HVQ268" s="1"/>
      <c r="HVR268" s="1"/>
      <c r="HVS268" s="1"/>
      <c r="HVT268" s="1"/>
      <c r="HVU268" s="1"/>
      <c r="HVV268" s="1"/>
      <c r="HVW268" s="1"/>
      <c r="HVX268" s="1"/>
      <c r="HVY268" s="1"/>
      <c r="HVZ268" s="1"/>
      <c r="HWA268" s="1"/>
      <c r="HWB268" s="1"/>
      <c r="HWC268" s="1"/>
      <c r="HWD268" s="1"/>
      <c r="HWE268" s="1"/>
      <c r="HWF268" s="1"/>
      <c r="HWG268" s="1"/>
      <c r="HWH268" s="1"/>
      <c r="HWI268" s="1"/>
      <c r="HWJ268" s="1"/>
      <c r="HWK268" s="1"/>
      <c r="HWL268" s="1"/>
      <c r="HWM268" s="1"/>
      <c r="HWN268" s="1"/>
      <c r="HWO268" s="1"/>
      <c r="HWP268" s="1"/>
      <c r="HWQ268" s="1"/>
      <c r="HWR268" s="1"/>
      <c r="HWS268" s="1"/>
      <c r="HWT268" s="1"/>
      <c r="HWU268" s="1"/>
      <c r="HWV268" s="1"/>
      <c r="HWW268" s="1"/>
      <c r="HWX268" s="1"/>
      <c r="HWY268" s="1"/>
      <c r="HWZ268" s="1"/>
      <c r="HXA268" s="1"/>
      <c r="HXB268" s="1"/>
      <c r="HXC268" s="1"/>
      <c r="HXD268" s="1"/>
      <c r="HXE268" s="1"/>
      <c r="HXF268" s="1"/>
      <c r="HXG268" s="1"/>
      <c r="HXH268" s="1"/>
      <c r="HXI268" s="1"/>
      <c r="HXJ268" s="1"/>
      <c r="HXK268" s="1"/>
      <c r="HXL268" s="1"/>
      <c r="HXM268" s="1"/>
      <c r="HXN268" s="1"/>
      <c r="HXO268" s="1"/>
      <c r="HXP268" s="1"/>
      <c r="HXQ268" s="1"/>
      <c r="HXR268" s="1"/>
      <c r="HXS268" s="1"/>
      <c r="HXT268" s="1"/>
      <c r="HXU268" s="1"/>
      <c r="HXV268" s="1"/>
      <c r="HXW268" s="1"/>
      <c r="HXX268" s="1"/>
      <c r="HXY268" s="1"/>
      <c r="HXZ268" s="1"/>
      <c r="HYA268" s="1"/>
      <c r="HYB268" s="1"/>
      <c r="HYC268" s="1"/>
      <c r="HYD268" s="1"/>
      <c r="HYE268" s="1"/>
      <c r="HYF268" s="1"/>
      <c r="HYG268" s="1"/>
      <c r="HYH268" s="1"/>
      <c r="HYI268" s="1"/>
      <c r="HYJ268" s="1"/>
      <c r="HYK268" s="1"/>
      <c r="HYL268" s="1"/>
      <c r="HYM268" s="1"/>
      <c r="HYN268" s="1"/>
      <c r="HYO268" s="1"/>
      <c r="HYP268" s="1"/>
      <c r="HYQ268" s="1"/>
      <c r="HYR268" s="1"/>
      <c r="HYS268" s="1"/>
      <c r="HYT268" s="1"/>
      <c r="HYU268" s="1"/>
      <c r="HYV268" s="1"/>
      <c r="HYW268" s="1"/>
      <c r="HYX268" s="1"/>
      <c r="HYY268" s="1"/>
      <c r="HYZ268" s="1"/>
      <c r="HZA268" s="1"/>
      <c r="HZB268" s="1"/>
      <c r="HZC268" s="1"/>
      <c r="HZD268" s="1"/>
      <c r="HZE268" s="1"/>
      <c r="HZF268" s="1"/>
      <c r="HZG268" s="1"/>
      <c r="HZH268" s="1"/>
      <c r="HZI268" s="1"/>
      <c r="HZJ268" s="1"/>
      <c r="HZK268" s="1"/>
      <c r="HZL268" s="1"/>
      <c r="HZM268" s="1"/>
      <c r="HZN268" s="1"/>
      <c r="HZO268" s="1"/>
      <c r="HZP268" s="1"/>
      <c r="HZQ268" s="1"/>
      <c r="HZR268" s="1"/>
      <c r="HZS268" s="1"/>
      <c r="HZT268" s="1"/>
      <c r="HZU268" s="1"/>
      <c r="HZV268" s="1"/>
      <c r="HZW268" s="1"/>
      <c r="HZX268" s="1"/>
      <c r="HZY268" s="1"/>
      <c r="HZZ268" s="1"/>
      <c r="IAA268" s="1"/>
      <c r="IAB268" s="1"/>
      <c r="IAC268" s="1"/>
      <c r="IAD268" s="1"/>
      <c r="IAE268" s="1"/>
      <c r="IAF268" s="1"/>
      <c r="IAG268" s="1"/>
      <c r="IAH268" s="1"/>
      <c r="IAI268" s="1"/>
      <c r="IAJ268" s="1"/>
      <c r="IAK268" s="1"/>
      <c r="IAL268" s="1"/>
      <c r="IAM268" s="1"/>
      <c r="IAN268" s="1"/>
      <c r="IAO268" s="1"/>
      <c r="IAP268" s="1"/>
      <c r="IAQ268" s="1"/>
      <c r="IAR268" s="1"/>
      <c r="IAS268" s="1"/>
      <c r="IAT268" s="1"/>
      <c r="IAU268" s="1"/>
      <c r="IAV268" s="1"/>
      <c r="IAW268" s="1"/>
      <c r="IAX268" s="1"/>
      <c r="IAY268" s="1"/>
      <c r="IAZ268" s="1"/>
      <c r="IBA268" s="1"/>
      <c r="IBB268" s="1"/>
      <c r="IBC268" s="1"/>
      <c r="IBD268" s="1"/>
      <c r="IBE268" s="1"/>
      <c r="IBF268" s="1"/>
      <c r="IBG268" s="1"/>
      <c r="IBH268" s="1"/>
      <c r="IBI268" s="1"/>
      <c r="IBJ268" s="1"/>
      <c r="IBK268" s="1"/>
      <c r="IBL268" s="1"/>
      <c r="IBM268" s="1"/>
      <c r="IBN268" s="1"/>
      <c r="IBO268" s="1"/>
      <c r="IBP268" s="1"/>
      <c r="IBQ268" s="1"/>
      <c r="IBR268" s="1"/>
      <c r="IBS268" s="1"/>
      <c r="IBT268" s="1"/>
      <c r="IBU268" s="1"/>
      <c r="IBV268" s="1"/>
      <c r="IBW268" s="1"/>
      <c r="IBX268" s="1"/>
      <c r="IBY268" s="1"/>
      <c r="IBZ268" s="1"/>
      <c r="ICA268" s="1"/>
      <c r="ICB268" s="1"/>
      <c r="ICC268" s="1"/>
      <c r="ICD268" s="1"/>
      <c r="ICE268" s="1"/>
      <c r="ICF268" s="1"/>
      <c r="ICG268" s="1"/>
      <c r="ICH268" s="1"/>
      <c r="ICI268" s="1"/>
      <c r="ICJ268" s="1"/>
      <c r="ICK268" s="1"/>
      <c r="ICL268" s="1"/>
      <c r="ICM268" s="1"/>
      <c r="ICN268" s="1"/>
      <c r="ICO268" s="1"/>
      <c r="ICP268" s="1"/>
      <c r="ICQ268" s="1"/>
      <c r="ICR268" s="1"/>
      <c r="ICS268" s="1"/>
      <c r="ICT268" s="1"/>
      <c r="ICU268" s="1"/>
      <c r="ICV268" s="1"/>
      <c r="ICW268" s="1"/>
      <c r="ICX268" s="1"/>
      <c r="ICY268" s="1"/>
      <c r="ICZ268" s="1"/>
      <c r="IDA268" s="1"/>
      <c r="IDB268" s="1"/>
      <c r="IDC268" s="1"/>
      <c r="IDD268" s="1"/>
      <c r="IDE268" s="1"/>
      <c r="IDF268" s="1"/>
      <c r="IDG268" s="1"/>
      <c r="IDH268" s="1"/>
      <c r="IDI268" s="1"/>
      <c r="IDJ268" s="1"/>
      <c r="IDK268" s="1"/>
      <c r="IDL268" s="1"/>
      <c r="IDM268" s="1"/>
      <c r="IDN268" s="1"/>
      <c r="IDO268" s="1"/>
      <c r="IDP268" s="1"/>
      <c r="IDQ268" s="1"/>
      <c r="IDR268" s="1"/>
      <c r="IDS268" s="1"/>
      <c r="IDT268" s="1"/>
      <c r="IDU268" s="1"/>
      <c r="IDV268" s="1"/>
      <c r="IDW268" s="1"/>
      <c r="IDX268" s="1"/>
      <c r="IDY268" s="1"/>
      <c r="IDZ268" s="1"/>
      <c r="IEA268" s="1"/>
      <c r="IEB268" s="1"/>
      <c r="IEC268" s="1"/>
      <c r="IED268" s="1"/>
      <c r="IEE268" s="1"/>
      <c r="IEF268" s="1"/>
      <c r="IEG268" s="1"/>
      <c r="IEH268" s="1"/>
      <c r="IEI268" s="1"/>
      <c r="IEJ268" s="1"/>
      <c r="IEK268" s="1"/>
      <c r="IEL268" s="1"/>
      <c r="IEM268" s="1"/>
      <c r="IEN268" s="1"/>
      <c r="IEO268" s="1"/>
      <c r="IEP268" s="1"/>
      <c r="IEQ268" s="1"/>
      <c r="IER268" s="1"/>
      <c r="IES268" s="1"/>
      <c r="IET268" s="1"/>
      <c r="IEU268" s="1"/>
      <c r="IEV268" s="1"/>
      <c r="IEW268" s="1"/>
      <c r="IEX268" s="1"/>
      <c r="IEY268" s="1"/>
      <c r="IEZ268" s="1"/>
      <c r="IFA268" s="1"/>
      <c r="IFB268" s="1"/>
      <c r="IFC268" s="1"/>
      <c r="IFD268" s="1"/>
      <c r="IFE268" s="1"/>
      <c r="IFF268" s="1"/>
      <c r="IFG268" s="1"/>
      <c r="IFH268" s="1"/>
      <c r="IFI268" s="1"/>
      <c r="IFJ268" s="1"/>
      <c r="IFK268" s="1"/>
      <c r="IFL268" s="1"/>
      <c r="IFM268" s="1"/>
      <c r="IFN268" s="1"/>
      <c r="IFO268" s="1"/>
      <c r="IFP268" s="1"/>
      <c r="IFQ268" s="1"/>
      <c r="IFR268" s="1"/>
      <c r="IFS268" s="1"/>
      <c r="IFT268" s="1"/>
      <c r="IFU268" s="1"/>
      <c r="IFV268" s="1"/>
      <c r="IFW268" s="1"/>
      <c r="IFX268" s="1"/>
      <c r="IFY268" s="1"/>
      <c r="IFZ268" s="1"/>
      <c r="IGA268" s="1"/>
      <c r="IGB268" s="1"/>
      <c r="IGC268" s="1"/>
      <c r="IGD268" s="1"/>
      <c r="IGE268" s="1"/>
      <c r="IGF268" s="1"/>
      <c r="IGG268" s="1"/>
      <c r="IGH268" s="1"/>
      <c r="IGI268" s="1"/>
      <c r="IGJ268" s="1"/>
      <c r="IGK268" s="1"/>
      <c r="IGL268" s="1"/>
      <c r="IGM268" s="1"/>
      <c r="IGN268" s="1"/>
      <c r="IGO268" s="1"/>
      <c r="IGP268" s="1"/>
      <c r="IGQ268" s="1"/>
      <c r="IGR268" s="1"/>
      <c r="IGS268" s="1"/>
      <c r="IGT268" s="1"/>
      <c r="IGU268" s="1"/>
      <c r="IGV268" s="1"/>
      <c r="IGW268" s="1"/>
      <c r="IGX268" s="1"/>
      <c r="IGY268" s="1"/>
      <c r="IGZ268" s="1"/>
      <c r="IHA268" s="1"/>
      <c r="IHB268" s="1"/>
      <c r="IHC268" s="1"/>
      <c r="IHD268" s="1"/>
      <c r="IHE268" s="1"/>
      <c r="IHF268" s="1"/>
      <c r="IHG268" s="1"/>
      <c r="IHH268" s="1"/>
      <c r="IHI268" s="1"/>
      <c r="IHJ268" s="1"/>
      <c r="IHK268" s="1"/>
      <c r="IHL268" s="1"/>
      <c r="IHM268" s="1"/>
      <c r="IHN268" s="1"/>
      <c r="IHO268" s="1"/>
      <c r="IHP268" s="1"/>
      <c r="IHQ268" s="1"/>
      <c r="IHR268" s="1"/>
      <c r="IHS268" s="1"/>
      <c r="IHT268" s="1"/>
      <c r="IHU268" s="1"/>
      <c r="IHV268" s="1"/>
      <c r="IHW268" s="1"/>
      <c r="IHX268" s="1"/>
      <c r="IHY268" s="1"/>
      <c r="IHZ268" s="1"/>
      <c r="IIA268" s="1"/>
      <c r="IIB268" s="1"/>
      <c r="IIC268" s="1"/>
      <c r="IID268" s="1"/>
      <c r="IIE268" s="1"/>
      <c r="IIF268" s="1"/>
      <c r="IIG268" s="1"/>
      <c r="IIH268" s="1"/>
      <c r="III268" s="1"/>
      <c r="IIJ268" s="1"/>
      <c r="IIK268" s="1"/>
      <c r="IIL268" s="1"/>
      <c r="IIM268" s="1"/>
      <c r="IIN268" s="1"/>
      <c r="IIO268" s="1"/>
      <c r="IIP268" s="1"/>
      <c r="IIQ268" s="1"/>
      <c r="IIR268" s="1"/>
      <c r="IIS268" s="1"/>
      <c r="IIT268" s="1"/>
      <c r="IIU268" s="1"/>
      <c r="IIV268" s="1"/>
      <c r="IIW268" s="1"/>
      <c r="IIX268" s="1"/>
      <c r="IIY268" s="1"/>
      <c r="IIZ268" s="1"/>
      <c r="IJA268" s="1"/>
      <c r="IJB268" s="1"/>
      <c r="IJC268" s="1"/>
      <c r="IJD268" s="1"/>
      <c r="IJE268" s="1"/>
      <c r="IJF268" s="1"/>
      <c r="IJG268" s="1"/>
      <c r="IJH268" s="1"/>
      <c r="IJI268" s="1"/>
      <c r="IJJ268" s="1"/>
      <c r="IJK268" s="1"/>
      <c r="IJL268" s="1"/>
      <c r="IJM268" s="1"/>
      <c r="IJN268" s="1"/>
      <c r="IJO268" s="1"/>
      <c r="IJP268" s="1"/>
      <c r="IJQ268" s="1"/>
      <c r="IJR268" s="1"/>
      <c r="IJS268" s="1"/>
      <c r="IJT268" s="1"/>
      <c r="IJU268" s="1"/>
      <c r="IJV268" s="1"/>
      <c r="IJW268" s="1"/>
      <c r="IJX268" s="1"/>
      <c r="IJY268" s="1"/>
      <c r="IJZ268" s="1"/>
      <c r="IKA268" s="1"/>
      <c r="IKB268" s="1"/>
      <c r="IKC268" s="1"/>
      <c r="IKD268" s="1"/>
      <c r="IKE268" s="1"/>
      <c r="IKF268" s="1"/>
      <c r="IKG268" s="1"/>
      <c r="IKH268" s="1"/>
      <c r="IKI268" s="1"/>
      <c r="IKJ268" s="1"/>
      <c r="IKK268" s="1"/>
      <c r="IKL268" s="1"/>
      <c r="IKM268" s="1"/>
      <c r="IKN268" s="1"/>
      <c r="IKO268" s="1"/>
      <c r="IKP268" s="1"/>
      <c r="IKQ268" s="1"/>
      <c r="IKR268" s="1"/>
      <c r="IKS268" s="1"/>
      <c r="IKT268" s="1"/>
      <c r="IKU268" s="1"/>
      <c r="IKV268" s="1"/>
      <c r="IKW268" s="1"/>
      <c r="IKX268" s="1"/>
      <c r="IKY268" s="1"/>
      <c r="IKZ268" s="1"/>
      <c r="ILA268" s="1"/>
      <c r="ILB268" s="1"/>
      <c r="ILC268" s="1"/>
      <c r="ILD268" s="1"/>
      <c r="ILE268" s="1"/>
      <c r="ILF268" s="1"/>
      <c r="ILG268" s="1"/>
      <c r="ILH268" s="1"/>
      <c r="ILI268" s="1"/>
      <c r="ILJ268" s="1"/>
      <c r="ILK268" s="1"/>
      <c r="ILL268" s="1"/>
      <c r="ILM268" s="1"/>
      <c r="ILN268" s="1"/>
      <c r="ILO268" s="1"/>
      <c r="ILP268" s="1"/>
      <c r="ILQ268" s="1"/>
      <c r="ILR268" s="1"/>
      <c r="ILS268" s="1"/>
      <c r="ILT268" s="1"/>
      <c r="ILU268" s="1"/>
      <c r="ILV268" s="1"/>
      <c r="ILW268" s="1"/>
      <c r="ILX268" s="1"/>
      <c r="ILY268" s="1"/>
      <c r="ILZ268" s="1"/>
      <c r="IMA268" s="1"/>
      <c r="IMB268" s="1"/>
      <c r="IMC268" s="1"/>
      <c r="IMD268" s="1"/>
      <c r="IME268" s="1"/>
      <c r="IMF268" s="1"/>
      <c r="IMG268" s="1"/>
      <c r="IMH268" s="1"/>
      <c r="IMI268" s="1"/>
      <c r="IMJ268" s="1"/>
      <c r="IMK268" s="1"/>
      <c r="IML268" s="1"/>
      <c r="IMM268" s="1"/>
      <c r="IMN268" s="1"/>
      <c r="IMO268" s="1"/>
      <c r="IMP268" s="1"/>
      <c r="IMQ268" s="1"/>
      <c r="IMR268" s="1"/>
      <c r="IMS268" s="1"/>
      <c r="IMT268" s="1"/>
      <c r="IMU268" s="1"/>
      <c r="IMV268" s="1"/>
      <c r="IMW268" s="1"/>
      <c r="IMX268" s="1"/>
      <c r="IMY268" s="1"/>
      <c r="IMZ268" s="1"/>
      <c r="INA268" s="1"/>
      <c r="INB268" s="1"/>
      <c r="INC268" s="1"/>
      <c r="IND268" s="1"/>
      <c r="INE268" s="1"/>
      <c r="INF268" s="1"/>
      <c r="ING268" s="1"/>
      <c r="INH268" s="1"/>
      <c r="INI268" s="1"/>
      <c r="INJ268" s="1"/>
      <c r="INK268" s="1"/>
      <c r="INL268" s="1"/>
      <c r="INM268" s="1"/>
      <c r="INN268" s="1"/>
      <c r="INO268" s="1"/>
      <c r="INP268" s="1"/>
      <c r="INQ268" s="1"/>
      <c r="INR268" s="1"/>
      <c r="INS268" s="1"/>
      <c r="INT268" s="1"/>
      <c r="INU268" s="1"/>
      <c r="INV268" s="1"/>
      <c r="INW268" s="1"/>
      <c r="INX268" s="1"/>
      <c r="INY268" s="1"/>
      <c r="INZ268" s="1"/>
      <c r="IOA268" s="1"/>
      <c r="IOB268" s="1"/>
      <c r="IOC268" s="1"/>
      <c r="IOD268" s="1"/>
      <c r="IOE268" s="1"/>
      <c r="IOF268" s="1"/>
      <c r="IOG268" s="1"/>
      <c r="IOH268" s="1"/>
      <c r="IOI268" s="1"/>
      <c r="IOJ268" s="1"/>
      <c r="IOK268" s="1"/>
      <c r="IOL268" s="1"/>
      <c r="IOM268" s="1"/>
      <c r="ION268" s="1"/>
      <c r="IOO268" s="1"/>
      <c r="IOP268" s="1"/>
      <c r="IOQ268" s="1"/>
      <c r="IOR268" s="1"/>
      <c r="IOS268" s="1"/>
      <c r="IOT268" s="1"/>
      <c r="IOU268" s="1"/>
      <c r="IOV268" s="1"/>
      <c r="IOW268" s="1"/>
      <c r="IOX268" s="1"/>
      <c r="IOY268" s="1"/>
      <c r="IOZ268" s="1"/>
      <c r="IPA268" s="1"/>
      <c r="IPB268" s="1"/>
      <c r="IPC268" s="1"/>
      <c r="IPD268" s="1"/>
      <c r="IPE268" s="1"/>
      <c r="IPF268" s="1"/>
      <c r="IPG268" s="1"/>
      <c r="IPH268" s="1"/>
      <c r="IPI268" s="1"/>
      <c r="IPJ268" s="1"/>
      <c r="IPK268" s="1"/>
      <c r="IPL268" s="1"/>
      <c r="IPM268" s="1"/>
      <c r="IPN268" s="1"/>
      <c r="IPO268" s="1"/>
      <c r="IPP268" s="1"/>
      <c r="IPQ268" s="1"/>
      <c r="IPR268" s="1"/>
      <c r="IPS268" s="1"/>
      <c r="IPT268" s="1"/>
      <c r="IPU268" s="1"/>
      <c r="IPV268" s="1"/>
      <c r="IPW268" s="1"/>
      <c r="IPX268" s="1"/>
      <c r="IPY268" s="1"/>
      <c r="IPZ268" s="1"/>
      <c r="IQA268" s="1"/>
      <c r="IQB268" s="1"/>
      <c r="IQC268" s="1"/>
      <c r="IQD268" s="1"/>
      <c r="IQE268" s="1"/>
      <c r="IQF268" s="1"/>
      <c r="IQG268" s="1"/>
      <c r="IQH268" s="1"/>
      <c r="IQI268" s="1"/>
      <c r="IQJ268" s="1"/>
      <c r="IQK268" s="1"/>
      <c r="IQL268" s="1"/>
      <c r="IQM268" s="1"/>
      <c r="IQN268" s="1"/>
      <c r="IQO268" s="1"/>
      <c r="IQP268" s="1"/>
      <c r="IQQ268" s="1"/>
      <c r="IQR268" s="1"/>
      <c r="IQS268" s="1"/>
      <c r="IQT268" s="1"/>
      <c r="IQU268" s="1"/>
      <c r="IQV268" s="1"/>
      <c r="IQW268" s="1"/>
      <c r="IQX268" s="1"/>
      <c r="IQY268" s="1"/>
      <c r="IQZ268" s="1"/>
      <c r="IRA268" s="1"/>
      <c r="IRB268" s="1"/>
      <c r="IRC268" s="1"/>
      <c r="IRD268" s="1"/>
      <c r="IRE268" s="1"/>
      <c r="IRF268" s="1"/>
      <c r="IRG268" s="1"/>
      <c r="IRH268" s="1"/>
      <c r="IRI268" s="1"/>
      <c r="IRJ268" s="1"/>
      <c r="IRK268" s="1"/>
      <c r="IRL268" s="1"/>
      <c r="IRM268" s="1"/>
      <c r="IRN268" s="1"/>
      <c r="IRO268" s="1"/>
      <c r="IRP268" s="1"/>
      <c r="IRQ268" s="1"/>
      <c r="IRR268" s="1"/>
      <c r="IRS268" s="1"/>
      <c r="IRT268" s="1"/>
      <c r="IRU268" s="1"/>
      <c r="IRV268" s="1"/>
      <c r="IRW268" s="1"/>
      <c r="IRX268" s="1"/>
      <c r="IRY268" s="1"/>
      <c r="IRZ268" s="1"/>
      <c r="ISA268" s="1"/>
      <c r="ISB268" s="1"/>
      <c r="ISC268" s="1"/>
      <c r="ISD268" s="1"/>
      <c r="ISE268" s="1"/>
      <c r="ISF268" s="1"/>
      <c r="ISG268" s="1"/>
      <c r="ISH268" s="1"/>
      <c r="ISI268" s="1"/>
      <c r="ISJ268" s="1"/>
      <c r="ISK268" s="1"/>
      <c r="ISL268" s="1"/>
      <c r="ISM268" s="1"/>
      <c r="ISN268" s="1"/>
      <c r="ISO268" s="1"/>
      <c r="ISP268" s="1"/>
      <c r="ISQ268" s="1"/>
      <c r="ISR268" s="1"/>
      <c r="ISS268" s="1"/>
      <c r="IST268" s="1"/>
      <c r="ISU268" s="1"/>
      <c r="ISV268" s="1"/>
      <c r="ISW268" s="1"/>
      <c r="ISX268" s="1"/>
      <c r="ISY268" s="1"/>
      <c r="ISZ268" s="1"/>
      <c r="ITA268" s="1"/>
      <c r="ITB268" s="1"/>
      <c r="ITC268" s="1"/>
      <c r="ITD268" s="1"/>
      <c r="ITE268" s="1"/>
      <c r="ITF268" s="1"/>
      <c r="ITG268" s="1"/>
      <c r="ITH268" s="1"/>
      <c r="ITI268" s="1"/>
      <c r="ITJ268" s="1"/>
      <c r="ITK268" s="1"/>
      <c r="ITL268" s="1"/>
      <c r="ITM268" s="1"/>
      <c r="ITN268" s="1"/>
      <c r="ITO268" s="1"/>
      <c r="ITP268" s="1"/>
      <c r="ITQ268" s="1"/>
      <c r="ITR268" s="1"/>
      <c r="ITS268" s="1"/>
      <c r="ITT268" s="1"/>
      <c r="ITU268" s="1"/>
      <c r="ITV268" s="1"/>
      <c r="ITW268" s="1"/>
      <c r="ITX268" s="1"/>
      <c r="ITY268" s="1"/>
      <c r="ITZ268" s="1"/>
      <c r="IUA268" s="1"/>
      <c r="IUB268" s="1"/>
      <c r="IUC268" s="1"/>
      <c r="IUD268" s="1"/>
      <c r="IUE268" s="1"/>
      <c r="IUF268" s="1"/>
      <c r="IUG268" s="1"/>
      <c r="IUH268" s="1"/>
      <c r="IUI268" s="1"/>
      <c r="IUJ268" s="1"/>
      <c r="IUK268" s="1"/>
      <c r="IUL268" s="1"/>
      <c r="IUM268" s="1"/>
      <c r="IUN268" s="1"/>
      <c r="IUO268" s="1"/>
      <c r="IUP268" s="1"/>
      <c r="IUQ268" s="1"/>
      <c r="IUR268" s="1"/>
      <c r="IUS268" s="1"/>
      <c r="IUT268" s="1"/>
      <c r="IUU268" s="1"/>
      <c r="IUV268" s="1"/>
      <c r="IUW268" s="1"/>
      <c r="IUX268" s="1"/>
      <c r="IUY268" s="1"/>
      <c r="IUZ268" s="1"/>
      <c r="IVA268" s="1"/>
      <c r="IVB268" s="1"/>
      <c r="IVC268" s="1"/>
      <c r="IVD268" s="1"/>
      <c r="IVE268" s="1"/>
      <c r="IVF268" s="1"/>
      <c r="IVG268" s="1"/>
      <c r="IVH268" s="1"/>
      <c r="IVI268" s="1"/>
      <c r="IVJ268" s="1"/>
      <c r="IVK268" s="1"/>
      <c r="IVL268" s="1"/>
      <c r="IVM268" s="1"/>
      <c r="IVN268" s="1"/>
      <c r="IVO268" s="1"/>
      <c r="IVP268" s="1"/>
      <c r="IVQ268" s="1"/>
      <c r="IVR268" s="1"/>
      <c r="IVS268" s="1"/>
      <c r="IVT268" s="1"/>
      <c r="IVU268" s="1"/>
      <c r="IVV268" s="1"/>
      <c r="IVW268" s="1"/>
      <c r="IVX268" s="1"/>
      <c r="IVY268" s="1"/>
      <c r="IVZ268" s="1"/>
      <c r="IWA268" s="1"/>
      <c r="IWB268" s="1"/>
      <c r="IWC268" s="1"/>
      <c r="IWD268" s="1"/>
      <c r="IWE268" s="1"/>
      <c r="IWF268" s="1"/>
      <c r="IWG268" s="1"/>
      <c r="IWH268" s="1"/>
      <c r="IWI268" s="1"/>
      <c r="IWJ268" s="1"/>
      <c r="IWK268" s="1"/>
      <c r="IWL268" s="1"/>
      <c r="IWM268" s="1"/>
      <c r="IWN268" s="1"/>
      <c r="IWO268" s="1"/>
      <c r="IWP268" s="1"/>
      <c r="IWQ268" s="1"/>
      <c r="IWR268" s="1"/>
      <c r="IWS268" s="1"/>
      <c r="IWT268" s="1"/>
      <c r="IWU268" s="1"/>
      <c r="IWV268" s="1"/>
      <c r="IWW268" s="1"/>
      <c r="IWX268" s="1"/>
      <c r="IWY268" s="1"/>
      <c r="IWZ268" s="1"/>
      <c r="IXA268" s="1"/>
      <c r="IXB268" s="1"/>
      <c r="IXC268" s="1"/>
      <c r="IXD268" s="1"/>
      <c r="IXE268" s="1"/>
      <c r="IXF268" s="1"/>
      <c r="IXG268" s="1"/>
      <c r="IXH268" s="1"/>
      <c r="IXI268" s="1"/>
      <c r="IXJ268" s="1"/>
      <c r="IXK268" s="1"/>
      <c r="IXL268" s="1"/>
      <c r="IXM268" s="1"/>
      <c r="IXN268" s="1"/>
      <c r="IXO268" s="1"/>
      <c r="IXP268" s="1"/>
      <c r="IXQ268" s="1"/>
      <c r="IXR268" s="1"/>
      <c r="IXS268" s="1"/>
      <c r="IXT268" s="1"/>
      <c r="IXU268" s="1"/>
      <c r="IXV268" s="1"/>
      <c r="IXW268" s="1"/>
      <c r="IXX268" s="1"/>
      <c r="IXY268" s="1"/>
      <c r="IXZ268" s="1"/>
      <c r="IYA268" s="1"/>
      <c r="IYB268" s="1"/>
      <c r="IYC268" s="1"/>
      <c r="IYD268" s="1"/>
      <c r="IYE268" s="1"/>
      <c r="IYF268" s="1"/>
      <c r="IYG268" s="1"/>
      <c r="IYH268" s="1"/>
      <c r="IYI268" s="1"/>
      <c r="IYJ268" s="1"/>
      <c r="IYK268" s="1"/>
      <c r="IYL268" s="1"/>
      <c r="IYM268" s="1"/>
      <c r="IYN268" s="1"/>
      <c r="IYO268" s="1"/>
      <c r="IYP268" s="1"/>
      <c r="IYQ268" s="1"/>
      <c r="IYR268" s="1"/>
      <c r="IYS268" s="1"/>
      <c r="IYT268" s="1"/>
      <c r="IYU268" s="1"/>
      <c r="IYV268" s="1"/>
      <c r="IYW268" s="1"/>
      <c r="IYX268" s="1"/>
      <c r="IYY268" s="1"/>
      <c r="IYZ268" s="1"/>
      <c r="IZA268" s="1"/>
      <c r="IZB268" s="1"/>
      <c r="IZC268" s="1"/>
      <c r="IZD268" s="1"/>
      <c r="IZE268" s="1"/>
      <c r="IZF268" s="1"/>
      <c r="IZG268" s="1"/>
      <c r="IZH268" s="1"/>
      <c r="IZI268" s="1"/>
      <c r="IZJ268" s="1"/>
      <c r="IZK268" s="1"/>
      <c r="IZL268" s="1"/>
      <c r="IZM268" s="1"/>
      <c r="IZN268" s="1"/>
      <c r="IZO268" s="1"/>
      <c r="IZP268" s="1"/>
      <c r="IZQ268" s="1"/>
      <c r="IZR268" s="1"/>
      <c r="IZS268" s="1"/>
      <c r="IZT268" s="1"/>
      <c r="IZU268" s="1"/>
      <c r="IZV268" s="1"/>
      <c r="IZW268" s="1"/>
      <c r="IZX268" s="1"/>
      <c r="IZY268" s="1"/>
      <c r="IZZ268" s="1"/>
      <c r="JAA268" s="1"/>
      <c r="JAB268" s="1"/>
      <c r="JAC268" s="1"/>
      <c r="JAD268" s="1"/>
      <c r="JAE268" s="1"/>
      <c r="JAF268" s="1"/>
      <c r="JAG268" s="1"/>
      <c r="JAH268" s="1"/>
      <c r="JAI268" s="1"/>
      <c r="JAJ268" s="1"/>
      <c r="JAK268" s="1"/>
      <c r="JAL268" s="1"/>
      <c r="JAM268" s="1"/>
      <c r="JAN268" s="1"/>
      <c r="JAO268" s="1"/>
      <c r="JAP268" s="1"/>
      <c r="JAQ268" s="1"/>
      <c r="JAR268" s="1"/>
      <c r="JAS268" s="1"/>
      <c r="JAT268" s="1"/>
      <c r="JAU268" s="1"/>
      <c r="JAV268" s="1"/>
      <c r="JAW268" s="1"/>
      <c r="JAX268" s="1"/>
      <c r="JAY268" s="1"/>
      <c r="JAZ268" s="1"/>
      <c r="JBA268" s="1"/>
      <c r="JBB268" s="1"/>
      <c r="JBC268" s="1"/>
      <c r="JBD268" s="1"/>
      <c r="JBE268" s="1"/>
      <c r="JBF268" s="1"/>
      <c r="JBG268" s="1"/>
      <c r="JBH268" s="1"/>
      <c r="JBI268" s="1"/>
      <c r="JBJ268" s="1"/>
      <c r="JBK268" s="1"/>
      <c r="JBL268" s="1"/>
      <c r="JBM268" s="1"/>
      <c r="JBN268" s="1"/>
      <c r="JBO268" s="1"/>
      <c r="JBP268" s="1"/>
      <c r="JBQ268" s="1"/>
      <c r="JBR268" s="1"/>
      <c r="JBS268" s="1"/>
      <c r="JBT268" s="1"/>
      <c r="JBU268" s="1"/>
      <c r="JBV268" s="1"/>
      <c r="JBW268" s="1"/>
      <c r="JBX268" s="1"/>
      <c r="JBY268" s="1"/>
      <c r="JBZ268" s="1"/>
      <c r="JCA268" s="1"/>
      <c r="JCB268" s="1"/>
      <c r="JCC268" s="1"/>
      <c r="JCD268" s="1"/>
      <c r="JCE268" s="1"/>
      <c r="JCF268" s="1"/>
      <c r="JCG268" s="1"/>
      <c r="JCH268" s="1"/>
      <c r="JCI268" s="1"/>
      <c r="JCJ268" s="1"/>
      <c r="JCK268" s="1"/>
      <c r="JCL268" s="1"/>
      <c r="JCM268" s="1"/>
      <c r="JCN268" s="1"/>
      <c r="JCO268" s="1"/>
      <c r="JCP268" s="1"/>
      <c r="JCQ268" s="1"/>
      <c r="JCR268" s="1"/>
      <c r="JCS268" s="1"/>
      <c r="JCT268" s="1"/>
      <c r="JCU268" s="1"/>
      <c r="JCV268" s="1"/>
      <c r="JCW268" s="1"/>
      <c r="JCX268" s="1"/>
      <c r="JCY268" s="1"/>
      <c r="JCZ268" s="1"/>
      <c r="JDA268" s="1"/>
      <c r="JDB268" s="1"/>
      <c r="JDC268" s="1"/>
      <c r="JDD268" s="1"/>
      <c r="JDE268" s="1"/>
      <c r="JDF268" s="1"/>
      <c r="JDG268" s="1"/>
      <c r="JDH268" s="1"/>
      <c r="JDI268" s="1"/>
      <c r="JDJ268" s="1"/>
      <c r="JDK268" s="1"/>
      <c r="JDL268" s="1"/>
      <c r="JDM268" s="1"/>
      <c r="JDN268" s="1"/>
      <c r="JDO268" s="1"/>
      <c r="JDP268" s="1"/>
      <c r="JDQ268" s="1"/>
      <c r="JDR268" s="1"/>
      <c r="JDS268" s="1"/>
      <c r="JDT268" s="1"/>
      <c r="JDU268" s="1"/>
      <c r="JDV268" s="1"/>
      <c r="JDW268" s="1"/>
      <c r="JDX268" s="1"/>
      <c r="JDY268" s="1"/>
      <c r="JDZ268" s="1"/>
      <c r="JEA268" s="1"/>
      <c r="JEB268" s="1"/>
      <c r="JEC268" s="1"/>
      <c r="JED268" s="1"/>
      <c r="JEE268" s="1"/>
      <c r="JEF268" s="1"/>
      <c r="JEG268" s="1"/>
      <c r="JEH268" s="1"/>
      <c r="JEI268" s="1"/>
      <c r="JEJ268" s="1"/>
      <c r="JEK268" s="1"/>
      <c r="JEL268" s="1"/>
      <c r="JEM268" s="1"/>
      <c r="JEN268" s="1"/>
      <c r="JEO268" s="1"/>
      <c r="JEP268" s="1"/>
      <c r="JEQ268" s="1"/>
      <c r="JER268" s="1"/>
      <c r="JES268" s="1"/>
      <c r="JET268" s="1"/>
      <c r="JEU268" s="1"/>
      <c r="JEV268" s="1"/>
      <c r="JEW268" s="1"/>
      <c r="JEX268" s="1"/>
      <c r="JEY268" s="1"/>
      <c r="JEZ268" s="1"/>
      <c r="JFA268" s="1"/>
      <c r="JFB268" s="1"/>
      <c r="JFC268" s="1"/>
      <c r="JFD268" s="1"/>
      <c r="JFE268" s="1"/>
      <c r="JFF268" s="1"/>
      <c r="JFG268" s="1"/>
      <c r="JFH268" s="1"/>
      <c r="JFI268" s="1"/>
      <c r="JFJ268" s="1"/>
      <c r="JFK268" s="1"/>
      <c r="JFL268" s="1"/>
      <c r="JFM268" s="1"/>
      <c r="JFN268" s="1"/>
      <c r="JFO268" s="1"/>
      <c r="JFP268" s="1"/>
      <c r="JFQ268" s="1"/>
      <c r="JFR268" s="1"/>
      <c r="JFS268" s="1"/>
      <c r="JFT268" s="1"/>
      <c r="JFU268" s="1"/>
      <c r="JFV268" s="1"/>
      <c r="JFW268" s="1"/>
      <c r="JFX268" s="1"/>
      <c r="JFY268" s="1"/>
      <c r="JFZ268" s="1"/>
      <c r="JGA268" s="1"/>
      <c r="JGB268" s="1"/>
      <c r="JGC268" s="1"/>
      <c r="JGD268" s="1"/>
      <c r="JGE268" s="1"/>
      <c r="JGF268" s="1"/>
      <c r="JGG268" s="1"/>
      <c r="JGH268" s="1"/>
      <c r="JGI268" s="1"/>
      <c r="JGJ268" s="1"/>
      <c r="JGK268" s="1"/>
      <c r="JGL268" s="1"/>
      <c r="JGM268" s="1"/>
      <c r="JGN268" s="1"/>
      <c r="JGO268" s="1"/>
      <c r="JGP268" s="1"/>
      <c r="JGQ268" s="1"/>
      <c r="JGR268" s="1"/>
      <c r="JGS268" s="1"/>
      <c r="JGT268" s="1"/>
      <c r="JGU268" s="1"/>
      <c r="JGV268" s="1"/>
      <c r="JGW268" s="1"/>
      <c r="JGX268" s="1"/>
      <c r="JGY268" s="1"/>
      <c r="JGZ268" s="1"/>
      <c r="JHA268" s="1"/>
      <c r="JHB268" s="1"/>
      <c r="JHC268" s="1"/>
      <c r="JHD268" s="1"/>
      <c r="JHE268" s="1"/>
      <c r="JHF268" s="1"/>
      <c r="JHG268" s="1"/>
      <c r="JHH268" s="1"/>
      <c r="JHI268" s="1"/>
      <c r="JHJ268" s="1"/>
      <c r="JHK268" s="1"/>
      <c r="JHL268" s="1"/>
      <c r="JHM268" s="1"/>
      <c r="JHN268" s="1"/>
      <c r="JHO268" s="1"/>
      <c r="JHP268" s="1"/>
      <c r="JHQ268" s="1"/>
      <c r="JHR268" s="1"/>
      <c r="JHS268" s="1"/>
      <c r="JHT268" s="1"/>
      <c r="JHU268" s="1"/>
      <c r="JHV268" s="1"/>
      <c r="JHW268" s="1"/>
      <c r="JHX268" s="1"/>
      <c r="JHY268" s="1"/>
      <c r="JHZ268" s="1"/>
      <c r="JIA268" s="1"/>
      <c r="JIB268" s="1"/>
      <c r="JIC268" s="1"/>
      <c r="JID268" s="1"/>
      <c r="JIE268" s="1"/>
      <c r="JIF268" s="1"/>
      <c r="JIG268" s="1"/>
      <c r="JIH268" s="1"/>
      <c r="JII268" s="1"/>
      <c r="JIJ268" s="1"/>
      <c r="JIK268" s="1"/>
      <c r="JIL268" s="1"/>
      <c r="JIM268" s="1"/>
      <c r="JIN268" s="1"/>
      <c r="JIO268" s="1"/>
      <c r="JIP268" s="1"/>
      <c r="JIQ268" s="1"/>
      <c r="JIR268" s="1"/>
      <c r="JIS268" s="1"/>
      <c r="JIT268" s="1"/>
      <c r="JIU268" s="1"/>
      <c r="JIV268" s="1"/>
      <c r="JIW268" s="1"/>
      <c r="JIX268" s="1"/>
      <c r="JIY268" s="1"/>
      <c r="JIZ268" s="1"/>
      <c r="JJA268" s="1"/>
      <c r="JJB268" s="1"/>
      <c r="JJC268" s="1"/>
      <c r="JJD268" s="1"/>
      <c r="JJE268" s="1"/>
      <c r="JJF268" s="1"/>
      <c r="JJG268" s="1"/>
      <c r="JJH268" s="1"/>
      <c r="JJI268" s="1"/>
      <c r="JJJ268" s="1"/>
      <c r="JJK268" s="1"/>
      <c r="JJL268" s="1"/>
      <c r="JJM268" s="1"/>
      <c r="JJN268" s="1"/>
      <c r="JJO268" s="1"/>
      <c r="JJP268" s="1"/>
      <c r="JJQ268" s="1"/>
      <c r="JJR268" s="1"/>
      <c r="JJS268" s="1"/>
      <c r="JJT268" s="1"/>
      <c r="JJU268" s="1"/>
      <c r="JJV268" s="1"/>
      <c r="JJW268" s="1"/>
      <c r="JJX268" s="1"/>
      <c r="JJY268" s="1"/>
      <c r="JJZ268" s="1"/>
      <c r="JKA268" s="1"/>
      <c r="JKB268" s="1"/>
      <c r="JKC268" s="1"/>
      <c r="JKD268" s="1"/>
      <c r="JKE268" s="1"/>
      <c r="JKF268" s="1"/>
      <c r="JKG268" s="1"/>
      <c r="JKH268" s="1"/>
      <c r="JKI268" s="1"/>
      <c r="JKJ268" s="1"/>
      <c r="JKK268" s="1"/>
      <c r="JKL268" s="1"/>
      <c r="JKM268" s="1"/>
      <c r="JKN268" s="1"/>
      <c r="JKO268" s="1"/>
      <c r="JKP268" s="1"/>
      <c r="JKQ268" s="1"/>
      <c r="JKR268" s="1"/>
      <c r="JKS268" s="1"/>
      <c r="JKT268" s="1"/>
      <c r="JKU268" s="1"/>
      <c r="JKV268" s="1"/>
      <c r="JKW268" s="1"/>
      <c r="JKX268" s="1"/>
      <c r="JKY268" s="1"/>
      <c r="JKZ268" s="1"/>
      <c r="JLA268" s="1"/>
      <c r="JLB268" s="1"/>
      <c r="JLC268" s="1"/>
      <c r="JLD268" s="1"/>
      <c r="JLE268" s="1"/>
      <c r="JLF268" s="1"/>
      <c r="JLG268" s="1"/>
      <c r="JLH268" s="1"/>
      <c r="JLI268" s="1"/>
      <c r="JLJ268" s="1"/>
      <c r="JLK268" s="1"/>
      <c r="JLL268" s="1"/>
      <c r="JLM268" s="1"/>
      <c r="JLN268" s="1"/>
      <c r="JLO268" s="1"/>
      <c r="JLP268" s="1"/>
      <c r="JLQ268" s="1"/>
      <c r="JLR268" s="1"/>
      <c r="JLS268" s="1"/>
      <c r="JLT268" s="1"/>
      <c r="JLU268" s="1"/>
      <c r="JLV268" s="1"/>
      <c r="JLW268" s="1"/>
      <c r="JLX268" s="1"/>
      <c r="JLY268" s="1"/>
      <c r="JLZ268" s="1"/>
      <c r="JMA268" s="1"/>
      <c r="JMB268" s="1"/>
      <c r="JMC268" s="1"/>
      <c r="JMD268" s="1"/>
      <c r="JME268" s="1"/>
      <c r="JMF268" s="1"/>
      <c r="JMG268" s="1"/>
      <c r="JMH268" s="1"/>
      <c r="JMI268" s="1"/>
      <c r="JMJ268" s="1"/>
      <c r="JMK268" s="1"/>
      <c r="JML268" s="1"/>
      <c r="JMM268" s="1"/>
      <c r="JMN268" s="1"/>
      <c r="JMO268" s="1"/>
      <c r="JMP268" s="1"/>
      <c r="JMQ268" s="1"/>
      <c r="JMR268" s="1"/>
      <c r="JMS268" s="1"/>
      <c r="JMT268" s="1"/>
      <c r="JMU268" s="1"/>
      <c r="JMV268" s="1"/>
      <c r="JMW268" s="1"/>
      <c r="JMX268" s="1"/>
      <c r="JMY268" s="1"/>
      <c r="JMZ268" s="1"/>
      <c r="JNA268" s="1"/>
      <c r="JNB268" s="1"/>
      <c r="JNC268" s="1"/>
      <c r="JND268" s="1"/>
      <c r="JNE268" s="1"/>
      <c r="JNF268" s="1"/>
      <c r="JNG268" s="1"/>
      <c r="JNH268" s="1"/>
      <c r="JNI268" s="1"/>
      <c r="JNJ268" s="1"/>
      <c r="JNK268" s="1"/>
      <c r="JNL268" s="1"/>
      <c r="JNM268" s="1"/>
      <c r="JNN268" s="1"/>
      <c r="JNO268" s="1"/>
      <c r="JNP268" s="1"/>
      <c r="JNQ268" s="1"/>
      <c r="JNR268" s="1"/>
      <c r="JNS268" s="1"/>
      <c r="JNT268" s="1"/>
      <c r="JNU268" s="1"/>
      <c r="JNV268" s="1"/>
      <c r="JNW268" s="1"/>
      <c r="JNX268" s="1"/>
      <c r="JNY268" s="1"/>
      <c r="JNZ268" s="1"/>
      <c r="JOA268" s="1"/>
      <c r="JOB268" s="1"/>
      <c r="JOC268" s="1"/>
      <c r="JOD268" s="1"/>
      <c r="JOE268" s="1"/>
      <c r="JOF268" s="1"/>
      <c r="JOG268" s="1"/>
      <c r="JOH268" s="1"/>
      <c r="JOI268" s="1"/>
      <c r="JOJ268" s="1"/>
      <c r="JOK268" s="1"/>
      <c r="JOL268" s="1"/>
      <c r="JOM268" s="1"/>
      <c r="JON268" s="1"/>
      <c r="JOO268" s="1"/>
      <c r="JOP268" s="1"/>
      <c r="JOQ268" s="1"/>
      <c r="JOR268" s="1"/>
      <c r="JOS268" s="1"/>
      <c r="JOT268" s="1"/>
      <c r="JOU268" s="1"/>
      <c r="JOV268" s="1"/>
      <c r="JOW268" s="1"/>
      <c r="JOX268" s="1"/>
      <c r="JOY268" s="1"/>
      <c r="JOZ268" s="1"/>
      <c r="JPA268" s="1"/>
      <c r="JPB268" s="1"/>
      <c r="JPC268" s="1"/>
      <c r="JPD268" s="1"/>
      <c r="JPE268" s="1"/>
      <c r="JPF268" s="1"/>
      <c r="JPG268" s="1"/>
      <c r="JPH268" s="1"/>
      <c r="JPI268" s="1"/>
      <c r="JPJ268" s="1"/>
      <c r="JPK268" s="1"/>
      <c r="JPL268" s="1"/>
      <c r="JPM268" s="1"/>
      <c r="JPN268" s="1"/>
      <c r="JPO268" s="1"/>
      <c r="JPP268" s="1"/>
      <c r="JPQ268" s="1"/>
      <c r="JPR268" s="1"/>
      <c r="JPS268" s="1"/>
      <c r="JPT268" s="1"/>
      <c r="JPU268" s="1"/>
      <c r="JPV268" s="1"/>
      <c r="JPW268" s="1"/>
      <c r="JPX268" s="1"/>
      <c r="JPY268" s="1"/>
      <c r="JPZ268" s="1"/>
      <c r="JQA268" s="1"/>
      <c r="JQB268" s="1"/>
      <c r="JQC268" s="1"/>
      <c r="JQD268" s="1"/>
      <c r="JQE268" s="1"/>
      <c r="JQF268" s="1"/>
      <c r="JQG268" s="1"/>
      <c r="JQH268" s="1"/>
      <c r="JQI268" s="1"/>
      <c r="JQJ268" s="1"/>
      <c r="JQK268" s="1"/>
      <c r="JQL268" s="1"/>
      <c r="JQM268" s="1"/>
      <c r="JQN268" s="1"/>
      <c r="JQO268" s="1"/>
      <c r="JQP268" s="1"/>
      <c r="JQQ268" s="1"/>
      <c r="JQR268" s="1"/>
      <c r="JQS268" s="1"/>
      <c r="JQT268" s="1"/>
      <c r="JQU268" s="1"/>
      <c r="JQV268" s="1"/>
      <c r="JQW268" s="1"/>
      <c r="JQX268" s="1"/>
      <c r="JQY268" s="1"/>
      <c r="JQZ268" s="1"/>
      <c r="JRA268" s="1"/>
      <c r="JRB268" s="1"/>
      <c r="JRC268" s="1"/>
      <c r="JRD268" s="1"/>
      <c r="JRE268" s="1"/>
      <c r="JRF268" s="1"/>
      <c r="JRG268" s="1"/>
      <c r="JRH268" s="1"/>
      <c r="JRI268" s="1"/>
      <c r="JRJ268" s="1"/>
      <c r="JRK268" s="1"/>
      <c r="JRL268" s="1"/>
      <c r="JRM268" s="1"/>
      <c r="JRN268" s="1"/>
      <c r="JRO268" s="1"/>
      <c r="JRP268" s="1"/>
      <c r="JRQ268" s="1"/>
      <c r="JRR268" s="1"/>
      <c r="JRS268" s="1"/>
      <c r="JRT268" s="1"/>
      <c r="JRU268" s="1"/>
      <c r="JRV268" s="1"/>
      <c r="JRW268" s="1"/>
      <c r="JRX268" s="1"/>
      <c r="JRY268" s="1"/>
      <c r="JRZ268" s="1"/>
      <c r="JSA268" s="1"/>
      <c r="JSB268" s="1"/>
      <c r="JSC268" s="1"/>
      <c r="JSD268" s="1"/>
      <c r="JSE268" s="1"/>
      <c r="JSF268" s="1"/>
      <c r="JSG268" s="1"/>
      <c r="JSH268" s="1"/>
      <c r="JSI268" s="1"/>
      <c r="JSJ268" s="1"/>
      <c r="JSK268" s="1"/>
      <c r="JSL268" s="1"/>
      <c r="JSM268" s="1"/>
      <c r="JSN268" s="1"/>
      <c r="JSO268" s="1"/>
      <c r="JSP268" s="1"/>
      <c r="JSQ268" s="1"/>
      <c r="JSR268" s="1"/>
      <c r="JSS268" s="1"/>
      <c r="JST268" s="1"/>
      <c r="JSU268" s="1"/>
      <c r="JSV268" s="1"/>
      <c r="JSW268" s="1"/>
      <c r="JSX268" s="1"/>
      <c r="JSY268" s="1"/>
      <c r="JSZ268" s="1"/>
      <c r="JTA268" s="1"/>
      <c r="JTB268" s="1"/>
      <c r="JTC268" s="1"/>
      <c r="JTD268" s="1"/>
      <c r="JTE268" s="1"/>
      <c r="JTF268" s="1"/>
      <c r="JTG268" s="1"/>
      <c r="JTH268" s="1"/>
      <c r="JTI268" s="1"/>
      <c r="JTJ268" s="1"/>
      <c r="JTK268" s="1"/>
      <c r="JTL268" s="1"/>
      <c r="JTM268" s="1"/>
      <c r="JTN268" s="1"/>
      <c r="JTO268" s="1"/>
      <c r="JTP268" s="1"/>
      <c r="JTQ268" s="1"/>
      <c r="JTR268" s="1"/>
      <c r="JTS268" s="1"/>
      <c r="JTT268" s="1"/>
      <c r="JTU268" s="1"/>
      <c r="JTV268" s="1"/>
      <c r="JTW268" s="1"/>
      <c r="JTX268" s="1"/>
      <c r="JTY268" s="1"/>
      <c r="JTZ268" s="1"/>
      <c r="JUA268" s="1"/>
      <c r="JUB268" s="1"/>
      <c r="JUC268" s="1"/>
      <c r="JUD268" s="1"/>
      <c r="JUE268" s="1"/>
      <c r="JUF268" s="1"/>
      <c r="JUG268" s="1"/>
      <c r="JUH268" s="1"/>
      <c r="JUI268" s="1"/>
      <c r="JUJ268" s="1"/>
      <c r="JUK268" s="1"/>
      <c r="JUL268" s="1"/>
      <c r="JUM268" s="1"/>
      <c r="JUN268" s="1"/>
      <c r="JUO268" s="1"/>
      <c r="JUP268" s="1"/>
      <c r="JUQ268" s="1"/>
      <c r="JUR268" s="1"/>
      <c r="JUS268" s="1"/>
      <c r="JUT268" s="1"/>
      <c r="JUU268" s="1"/>
      <c r="JUV268" s="1"/>
      <c r="JUW268" s="1"/>
      <c r="JUX268" s="1"/>
      <c r="JUY268" s="1"/>
      <c r="JUZ268" s="1"/>
      <c r="JVA268" s="1"/>
      <c r="JVB268" s="1"/>
      <c r="JVC268" s="1"/>
      <c r="JVD268" s="1"/>
      <c r="JVE268" s="1"/>
      <c r="JVF268" s="1"/>
      <c r="JVG268" s="1"/>
      <c r="JVH268" s="1"/>
      <c r="JVI268" s="1"/>
      <c r="JVJ268" s="1"/>
      <c r="JVK268" s="1"/>
      <c r="JVL268" s="1"/>
      <c r="JVM268" s="1"/>
      <c r="JVN268" s="1"/>
      <c r="JVO268" s="1"/>
      <c r="JVP268" s="1"/>
      <c r="JVQ268" s="1"/>
      <c r="JVR268" s="1"/>
      <c r="JVS268" s="1"/>
      <c r="JVT268" s="1"/>
      <c r="JVU268" s="1"/>
      <c r="JVV268" s="1"/>
      <c r="JVW268" s="1"/>
      <c r="JVX268" s="1"/>
      <c r="JVY268" s="1"/>
      <c r="JVZ268" s="1"/>
      <c r="JWA268" s="1"/>
      <c r="JWB268" s="1"/>
      <c r="JWC268" s="1"/>
      <c r="JWD268" s="1"/>
      <c r="JWE268" s="1"/>
      <c r="JWF268" s="1"/>
      <c r="JWG268" s="1"/>
      <c r="JWH268" s="1"/>
      <c r="JWI268" s="1"/>
      <c r="JWJ268" s="1"/>
      <c r="JWK268" s="1"/>
      <c r="JWL268" s="1"/>
      <c r="JWM268" s="1"/>
      <c r="JWN268" s="1"/>
      <c r="JWO268" s="1"/>
      <c r="JWP268" s="1"/>
      <c r="JWQ268" s="1"/>
      <c r="JWR268" s="1"/>
      <c r="JWS268" s="1"/>
      <c r="JWT268" s="1"/>
      <c r="JWU268" s="1"/>
      <c r="JWV268" s="1"/>
      <c r="JWW268" s="1"/>
      <c r="JWX268" s="1"/>
      <c r="JWY268" s="1"/>
      <c r="JWZ268" s="1"/>
      <c r="JXA268" s="1"/>
      <c r="JXB268" s="1"/>
      <c r="JXC268" s="1"/>
      <c r="JXD268" s="1"/>
      <c r="JXE268" s="1"/>
      <c r="JXF268" s="1"/>
      <c r="JXG268" s="1"/>
      <c r="JXH268" s="1"/>
      <c r="JXI268" s="1"/>
      <c r="JXJ268" s="1"/>
      <c r="JXK268" s="1"/>
      <c r="JXL268" s="1"/>
      <c r="JXM268" s="1"/>
      <c r="JXN268" s="1"/>
      <c r="JXO268" s="1"/>
      <c r="JXP268" s="1"/>
      <c r="JXQ268" s="1"/>
      <c r="JXR268" s="1"/>
      <c r="JXS268" s="1"/>
      <c r="JXT268" s="1"/>
      <c r="JXU268" s="1"/>
      <c r="JXV268" s="1"/>
      <c r="JXW268" s="1"/>
      <c r="JXX268" s="1"/>
      <c r="JXY268" s="1"/>
      <c r="JXZ268" s="1"/>
      <c r="JYA268" s="1"/>
      <c r="JYB268" s="1"/>
      <c r="JYC268" s="1"/>
      <c r="JYD268" s="1"/>
      <c r="JYE268" s="1"/>
      <c r="JYF268" s="1"/>
      <c r="JYG268" s="1"/>
      <c r="JYH268" s="1"/>
      <c r="JYI268" s="1"/>
      <c r="JYJ268" s="1"/>
      <c r="JYK268" s="1"/>
      <c r="JYL268" s="1"/>
      <c r="JYM268" s="1"/>
      <c r="JYN268" s="1"/>
      <c r="JYO268" s="1"/>
      <c r="JYP268" s="1"/>
      <c r="JYQ268" s="1"/>
      <c r="JYR268" s="1"/>
      <c r="JYS268" s="1"/>
      <c r="JYT268" s="1"/>
      <c r="JYU268" s="1"/>
      <c r="JYV268" s="1"/>
      <c r="JYW268" s="1"/>
      <c r="JYX268" s="1"/>
      <c r="JYY268" s="1"/>
      <c r="JYZ268" s="1"/>
      <c r="JZA268" s="1"/>
      <c r="JZB268" s="1"/>
      <c r="JZC268" s="1"/>
      <c r="JZD268" s="1"/>
      <c r="JZE268" s="1"/>
      <c r="JZF268" s="1"/>
      <c r="JZG268" s="1"/>
      <c r="JZH268" s="1"/>
      <c r="JZI268" s="1"/>
      <c r="JZJ268" s="1"/>
      <c r="JZK268" s="1"/>
      <c r="JZL268" s="1"/>
      <c r="JZM268" s="1"/>
      <c r="JZN268" s="1"/>
      <c r="JZO268" s="1"/>
      <c r="JZP268" s="1"/>
      <c r="JZQ268" s="1"/>
      <c r="JZR268" s="1"/>
      <c r="JZS268" s="1"/>
      <c r="JZT268" s="1"/>
      <c r="JZU268" s="1"/>
      <c r="JZV268" s="1"/>
      <c r="JZW268" s="1"/>
      <c r="JZX268" s="1"/>
      <c r="JZY268" s="1"/>
      <c r="JZZ268" s="1"/>
      <c r="KAA268" s="1"/>
      <c r="KAB268" s="1"/>
      <c r="KAC268" s="1"/>
      <c r="KAD268" s="1"/>
      <c r="KAE268" s="1"/>
      <c r="KAF268" s="1"/>
      <c r="KAG268" s="1"/>
      <c r="KAH268" s="1"/>
      <c r="KAI268" s="1"/>
      <c r="KAJ268" s="1"/>
      <c r="KAK268" s="1"/>
      <c r="KAL268" s="1"/>
      <c r="KAM268" s="1"/>
      <c r="KAN268" s="1"/>
      <c r="KAO268" s="1"/>
      <c r="KAP268" s="1"/>
      <c r="KAQ268" s="1"/>
      <c r="KAR268" s="1"/>
      <c r="KAS268" s="1"/>
      <c r="KAT268" s="1"/>
      <c r="KAU268" s="1"/>
      <c r="KAV268" s="1"/>
      <c r="KAW268" s="1"/>
      <c r="KAX268" s="1"/>
      <c r="KAY268" s="1"/>
      <c r="KAZ268" s="1"/>
      <c r="KBA268" s="1"/>
      <c r="KBB268" s="1"/>
      <c r="KBC268" s="1"/>
      <c r="KBD268" s="1"/>
      <c r="KBE268" s="1"/>
      <c r="KBF268" s="1"/>
      <c r="KBG268" s="1"/>
      <c r="KBH268" s="1"/>
      <c r="KBI268" s="1"/>
      <c r="KBJ268" s="1"/>
      <c r="KBK268" s="1"/>
      <c r="KBL268" s="1"/>
      <c r="KBM268" s="1"/>
      <c r="KBN268" s="1"/>
      <c r="KBO268" s="1"/>
      <c r="KBP268" s="1"/>
      <c r="KBQ268" s="1"/>
      <c r="KBR268" s="1"/>
      <c r="KBS268" s="1"/>
      <c r="KBT268" s="1"/>
      <c r="KBU268" s="1"/>
      <c r="KBV268" s="1"/>
      <c r="KBW268" s="1"/>
      <c r="KBX268" s="1"/>
      <c r="KBY268" s="1"/>
      <c r="KBZ268" s="1"/>
      <c r="KCA268" s="1"/>
      <c r="KCB268" s="1"/>
      <c r="KCC268" s="1"/>
      <c r="KCD268" s="1"/>
      <c r="KCE268" s="1"/>
      <c r="KCF268" s="1"/>
      <c r="KCG268" s="1"/>
      <c r="KCH268" s="1"/>
      <c r="KCI268" s="1"/>
      <c r="KCJ268" s="1"/>
      <c r="KCK268" s="1"/>
      <c r="KCL268" s="1"/>
      <c r="KCM268" s="1"/>
      <c r="KCN268" s="1"/>
      <c r="KCO268" s="1"/>
      <c r="KCP268" s="1"/>
      <c r="KCQ268" s="1"/>
      <c r="KCR268" s="1"/>
      <c r="KCS268" s="1"/>
      <c r="KCT268" s="1"/>
      <c r="KCU268" s="1"/>
      <c r="KCV268" s="1"/>
      <c r="KCW268" s="1"/>
      <c r="KCX268" s="1"/>
      <c r="KCY268" s="1"/>
      <c r="KCZ268" s="1"/>
      <c r="KDA268" s="1"/>
      <c r="KDB268" s="1"/>
      <c r="KDC268" s="1"/>
      <c r="KDD268" s="1"/>
      <c r="KDE268" s="1"/>
      <c r="KDF268" s="1"/>
      <c r="KDG268" s="1"/>
      <c r="KDH268" s="1"/>
      <c r="KDI268" s="1"/>
      <c r="KDJ268" s="1"/>
      <c r="KDK268" s="1"/>
      <c r="KDL268" s="1"/>
      <c r="KDM268" s="1"/>
      <c r="KDN268" s="1"/>
      <c r="KDO268" s="1"/>
      <c r="KDP268" s="1"/>
      <c r="KDQ268" s="1"/>
      <c r="KDR268" s="1"/>
      <c r="KDS268" s="1"/>
      <c r="KDT268" s="1"/>
      <c r="KDU268" s="1"/>
      <c r="KDV268" s="1"/>
      <c r="KDW268" s="1"/>
      <c r="KDX268" s="1"/>
      <c r="KDY268" s="1"/>
      <c r="KDZ268" s="1"/>
      <c r="KEA268" s="1"/>
      <c r="KEB268" s="1"/>
      <c r="KEC268" s="1"/>
      <c r="KED268" s="1"/>
      <c r="KEE268" s="1"/>
      <c r="KEF268" s="1"/>
      <c r="KEG268" s="1"/>
      <c r="KEH268" s="1"/>
      <c r="KEI268" s="1"/>
      <c r="KEJ268" s="1"/>
      <c r="KEK268" s="1"/>
      <c r="KEL268" s="1"/>
      <c r="KEM268" s="1"/>
      <c r="KEN268" s="1"/>
      <c r="KEO268" s="1"/>
      <c r="KEP268" s="1"/>
      <c r="KEQ268" s="1"/>
      <c r="KER268" s="1"/>
      <c r="KES268" s="1"/>
      <c r="KET268" s="1"/>
      <c r="KEU268" s="1"/>
      <c r="KEV268" s="1"/>
      <c r="KEW268" s="1"/>
      <c r="KEX268" s="1"/>
      <c r="KEY268" s="1"/>
      <c r="KEZ268" s="1"/>
      <c r="KFA268" s="1"/>
      <c r="KFB268" s="1"/>
      <c r="KFC268" s="1"/>
      <c r="KFD268" s="1"/>
      <c r="KFE268" s="1"/>
      <c r="KFF268" s="1"/>
      <c r="KFG268" s="1"/>
      <c r="KFH268" s="1"/>
      <c r="KFI268" s="1"/>
      <c r="KFJ268" s="1"/>
      <c r="KFK268" s="1"/>
      <c r="KFL268" s="1"/>
      <c r="KFM268" s="1"/>
      <c r="KFN268" s="1"/>
      <c r="KFO268" s="1"/>
      <c r="KFP268" s="1"/>
      <c r="KFQ268" s="1"/>
      <c r="KFR268" s="1"/>
      <c r="KFS268" s="1"/>
      <c r="KFT268" s="1"/>
      <c r="KFU268" s="1"/>
      <c r="KFV268" s="1"/>
      <c r="KFW268" s="1"/>
      <c r="KFX268" s="1"/>
      <c r="KFY268" s="1"/>
      <c r="KFZ268" s="1"/>
      <c r="KGA268" s="1"/>
      <c r="KGB268" s="1"/>
      <c r="KGC268" s="1"/>
      <c r="KGD268" s="1"/>
      <c r="KGE268" s="1"/>
      <c r="KGF268" s="1"/>
      <c r="KGG268" s="1"/>
      <c r="KGH268" s="1"/>
      <c r="KGI268" s="1"/>
      <c r="KGJ268" s="1"/>
      <c r="KGK268" s="1"/>
      <c r="KGL268" s="1"/>
      <c r="KGM268" s="1"/>
      <c r="KGN268" s="1"/>
      <c r="KGO268" s="1"/>
      <c r="KGP268" s="1"/>
      <c r="KGQ268" s="1"/>
      <c r="KGR268" s="1"/>
      <c r="KGS268" s="1"/>
      <c r="KGT268" s="1"/>
      <c r="KGU268" s="1"/>
      <c r="KGV268" s="1"/>
      <c r="KGW268" s="1"/>
      <c r="KGX268" s="1"/>
      <c r="KGY268" s="1"/>
      <c r="KGZ268" s="1"/>
      <c r="KHA268" s="1"/>
      <c r="KHB268" s="1"/>
      <c r="KHC268" s="1"/>
      <c r="KHD268" s="1"/>
      <c r="KHE268" s="1"/>
      <c r="KHF268" s="1"/>
      <c r="KHG268" s="1"/>
      <c r="KHH268" s="1"/>
      <c r="KHI268" s="1"/>
      <c r="KHJ268" s="1"/>
      <c r="KHK268" s="1"/>
      <c r="KHL268" s="1"/>
      <c r="KHM268" s="1"/>
      <c r="KHN268" s="1"/>
      <c r="KHO268" s="1"/>
      <c r="KHP268" s="1"/>
      <c r="KHQ268" s="1"/>
      <c r="KHR268" s="1"/>
      <c r="KHS268" s="1"/>
      <c r="KHT268" s="1"/>
      <c r="KHU268" s="1"/>
      <c r="KHV268" s="1"/>
      <c r="KHW268" s="1"/>
      <c r="KHX268" s="1"/>
      <c r="KHY268" s="1"/>
      <c r="KHZ268" s="1"/>
      <c r="KIA268" s="1"/>
      <c r="KIB268" s="1"/>
      <c r="KIC268" s="1"/>
      <c r="KID268" s="1"/>
      <c r="KIE268" s="1"/>
      <c r="KIF268" s="1"/>
      <c r="KIG268" s="1"/>
      <c r="KIH268" s="1"/>
      <c r="KII268" s="1"/>
      <c r="KIJ268" s="1"/>
      <c r="KIK268" s="1"/>
      <c r="KIL268" s="1"/>
      <c r="KIM268" s="1"/>
      <c r="KIN268" s="1"/>
      <c r="KIO268" s="1"/>
      <c r="KIP268" s="1"/>
      <c r="KIQ268" s="1"/>
      <c r="KIR268" s="1"/>
      <c r="KIS268" s="1"/>
      <c r="KIT268" s="1"/>
      <c r="KIU268" s="1"/>
      <c r="KIV268" s="1"/>
      <c r="KIW268" s="1"/>
      <c r="KIX268" s="1"/>
      <c r="KIY268" s="1"/>
      <c r="KIZ268" s="1"/>
      <c r="KJA268" s="1"/>
      <c r="KJB268" s="1"/>
      <c r="KJC268" s="1"/>
      <c r="KJD268" s="1"/>
      <c r="KJE268" s="1"/>
      <c r="KJF268" s="1"/>
      <c r="KJG268" s="1"/>
      <c r="KJH268" s="1"/>
      <c r="KJI268" s="1"/>
      <c r="KJJ268" s="1"/>
      <c r="KJK268" s="1"/>
      <c r="KJL268" s="1"/>
      <c r="KJM268" s="1"/>
      <c r="KJN268" s="1"/>
      <c r="KJO268" s="1"/>
      <c r="KJP268" s="1"/>
      <c r="KJQ268" s="1"/>
      <c r="KJR268" s="1"/>
      <c r="KJS268" s="1"/>
      <c r="KJT268" s="1"/>
      <c r="KJU268" s="1"/>
      <c r="KJV268" s="1"/>
      <c r="KJW268" s="1"/>
      <c r="KJX268" s="1"/>
      <c r="KJY268" s="1"/>
      <c r="KJZ268" s="1"/>
      <c r="KKA268" s="1"/>
      <c r="KKB268" s="1"/>
      <c r="KKC268" s="1"/>
      <c r="KKD268" s="1"/>
      <c r="KKE268" s="1"/>
      <c r="KKF268" s="1"/>
      <c r="KKG268" s="1"/>
      <c r="KKH268" s="1"/>
      <c r="KKI268" s="1"/>
      <c r="KKJ268" s="1"/>
      <c r="KKK268" s="1"/>
      <c r="KKL268" s="1"/>
      <c r="KKM268" s="1"/>
      <c r="KKN268" s="1"/>
      <c r="KKO268" s="1"/>
      <c r="KKP268" s="1"/>
      <c r="KKQ268" s="1"/>
      <c r="KKR268" s="1"/>
      <c r="KKS268" s="1"/>
      <c r="KKT268" s="1"/>
      <c r="KKU268" s="1"/>
      <c r="KKV268" s="1"/>
      <c r="KKW268" s="1"/>
      <c r="KKX268" s="1"/>
      <c r="KKY268" s="1"/>
      <c r="KKZ268" s="1"/>
      <c r="KLA268" s="1"/>
      <c r="KLB268" s="1"/>
      <c r="KLC268" s="1"/>
      <c r="KLD268" s="1"/>
      <c r="KLE268" s="1"/>
      <c r="KLF268" s="1"/>
      <c r="KLG268" s="1"/>
      <c r="KLH268" s="1"/>
      <c r="KLI268" s="1"/>
      <c r="KLJ268" s="1"/>
      <c r="KLK268" s="1"/>
      <c r="KLL268" s="1"/>
      <c r="KLM268" s="1"/>
      <c r="KLN268" s="1"/>
      <c r="KLO268" s="1"/>
      <c r="KLP268" s="1"/>
      <c r="KLQ268" s="1"/>
      <c r="KLR268" s="1"/>
      <c r="KLS268" s="1"/>
      <c r="KLT268" s="1"/>
      <c r="KLU268" s="1"/>
      <c r="KLV268" s="1"/>
      <c r="KLW268" s="1"/>
      <c r="KLX268" s="1"/>
      <c r="KLY268" s="1"/>
      <c r="KLZ268" s="1"/>
      <c r="KMA268" s="1"/>
      <c r="KMB268" s="1"/>
      <c r="KMC268" s="1"/>
      <c r="KMD268" s="1"/>
      <c r="KME268" s="1"/>
      <c r="KMF268" s="1"/>
      <c r="KMG268" s="1"/>
      <c r="KMH268" s="1"/>
      <c r="KMI268" s="1"/>
      <c r="KMJ268" s="1"/>
      <c r="KMK268" s="1"/>
      <c r="KML268" s="1"/>
      <c r="KMM268" s="1"/>
      <c r="KMN268" s="1"/>
      <c r="KMO268" s="1"/>
      <c r="KMP268" s="1"/>
      <c r="KMQ268" s="1"/>
      <c r="KMR268" s="1"/>
      <c r="KMS268" s="1"/>
      <c r="KMT268" s="1"/>
      <c r="KMU268" s="1"/>
      <c r="KMV268" s="1"/>
      <c r="KMW268" s="1"/>
      <c r="KMX268" s="1"/>
      <c r="KMY268" s="1"/>
      <c r="KMZ268" s="1"/>
      <c r="KNA268" s="1"/>
      <c r="KNB268" s="1"/>
      <c r="KNC268" s="1"/>
      <c r="KND268" s="1"/>
      <c r="KNE268" s="1"/>
      <c r="KNF268" s="1"/>
      <c r="KNG268" s="1"/>
      <c r="KNH268" s="1"/>
      <c r="KNI268" s="1"/>
      <c r="KNJ268" s="1"/>
      <c r="KNK268" s="1"/>
      <c r="KNL268" s="1"/>
      <c r="KNM268" s="1"/>
      <c r="KNN268" s="1"/>
      <c r="KNO268" s="1"/>
      <c r="KNP268" s="1"/>
      <c r="KNQ268" s="1"/>
      <c r="KNR268" s="1"/>
      <c r="KNS268" s="1"/>
      <c r="KNT268" s="1"/>
      <c r="KNU268" s="1"/>
      <c r="KNV268" s="1"/>
      <c r="KNW268" s="1"/>
      <c r="KNX268" s="1"/>
      <c r="KNY268" s="1"/>
      <c r="KNZ268" s="1"/>
      <c r="KOA268" s="1"/>
      <c r="KOB268" s="1"/>
      <c r="KOC268" s="1"/>
      <c r="KOD268" s="1"/>
      <c r="KOE268" s="1"/>
      <c r="KOF268" s="1"/>
      <c r="KOG268" s="1"/>
      <c r="KOH268" s="1"/>
      <c r="KOI268" s="1"/>
      <c r="KOJ268" s="1"/>
      <c r="KOK268" s="1"/>
      <c r="KOL268" s="1"/>
      <c r="KOM268" s="1"/>
      <c r="KON268" s="1"/>
      <c r="KOO268" s="1"/>
      <c r="KOP268" s="1"/>
      <c r="KOQ268" s="1"/>
      <c r="KOR268" s="1"/>
      <c r="KOS268" s="1"/>
      <c r="KOT268" s="1"/>
      <c r="KOU268" s="1"/>
      <c r="KOV268" s="1"/>
      <c r="KOW268" s="1"/>
      <c r="KOX268" s="1"/>
      <c r="KOY268" s="1"/>
      <c r="KOZ268" s="1"/>
      <c r="KPA268" s="1"/>
      <c r="KPB268" s="1"/>
      <c r="KPC268" s="1"/>
      <c r="KPD268" s="1"/>
      <c r="KPE268" s="1"/>
      <c r="KPF268" s="1"/>
      <c r="KPG268" s="1"/>
      <c r="KPH268" s="1"/>
      <c r="KPI268" s="1"/>
      <c r="KPJ268" s="1"/>
      <c r="KPK268" s="1"/>
      <c r="KPL268" s="1"/>
      <c r="KPM268" s="1"/>
      <c r="KPN268" s="1"/>
      <c r="KPO268" s="1"/>
      <c r="KPP268" s="1"/>
      <c r="KPQ268" s="1"/>
      <c r="KPR268" s="1"/>
      <c r="KPS268" s="1"/>
      <c r="KPT268" s="1"/>
      <c r="KPU268" s="1"/>
      <c r="KPV268" s="1"/>
      <c r="KPW268" s="1"/>
      <c r="KPX268" s="1"/>
      <c r="KPY268" s="1"/>
      <c r="KPZ268" s="1"/>
      <c r="KQA268" s="1"/>
      <c r="KQB268" s="1"/>
      <c r="KQC268" s="1"/>
      <c r="KQD268" s="1"/>
      <c r="KQE268" s="1"/>
      <c r="KQF268" s="1"/>
      <c r="KQG268" s="1"/>
      <c r="KQH268" s="1"/>
      <c r="KQI268" s="1"/>
      <c r="KQJ268" s="1"/>
      <c r="KQK268" s="1"/>
      <c r="KQL268" s="1"/>
      <c r="KQM268" s="1"/>
      <c r="KQN268" s="1"/>
      <c r="KQO268" s="1"/>
      <c r="KQP268" s="1"/>
      <c r="KQQ268" s="1"/>
      <c r="KQR268" s="1"/>
      <c r="KQS268" s="1"/>
      <c r="KQT268" s="1"/>
      <c r="KQU268" s="1"/>
      <c r="KQV268" s="1"/>
      <c r="KQW268" s="1"/>
      <c r="KQX268" s="1"/>
      <c r="KQY268" s="1"/>
      <c r="KQZ268" s="1"/>
      <c r="KRA268" s="1"/>
      <c r="KRB268" s="1"/>
      <c r="KRC268" s="1"/>
      <c r="KRD268" s="1"/>
      <c r="KRE268" s="1"/>
      <c r="KRF268" s="1"/>
      <c r="KRG268" s="1"/>
      <c r="KRH268" s="1"/>
      <c r="KRI268" s="1"/>
      <c r="KRJ268" s="1"/>
      <c r="KRK268" s="1"/>
      <c r="KRL268" s="1"/>
      <c r="KRM268" s="1"/>
      <c r="KRN268" s="1"/>
      <c r="KRO268" s="1"/>
      <c r="KRP268" s="1"/>
      <c r="KRQ268" s="1"/>
      <c r="KRR268" s="1"/>
      <c r="KRS268" s="1"/>
      <c r="KRT268" s="1"/>
      <c r="KRU268" s="1"/>
      <c r="KRV268" s="1"/>
      <c r="KRW268" s="1"/>
      <c r="KRX268" s="1"/>
      <c r="KRY268" s="1"/>
      <c r="KRZ268" s="1"/>
      <c r="KSA268" s="1"/>
      <c r="KSB268" s="1"/>
      <c r="KSC268" s="1"/>
      <c r="KSD268" s="1"/>
      <c r="KSE268" s="1"/>
      <c r="KSF268" s="1"/>
      <c r="KSG268" s="1"/>
      <c r="KSH268" s="1"/>
      <c r="KSI268" s="1"/>
      <c r="KSJ268" s="1"/>
      <c r="KSK268" s="1"/>
      <c r="KSL268" s="1"/>
      <c r="KSM268" s="1"/>
      <c r="KSN268" s="1"/>
      <c r="KSO268" s="1"/>
      <c r="KSP268" s="1"/>
      <c r="KSQ268" s="1"/>
      <c r="KSR268" s="1"/>
      <c r="KSS268" s="1"/>
      <c r="KST268" s="1"/>
      <c r="KSU268" s="1"/>
      <c r="KSV268" s="1"/>
      <c r="KSW268" s="1"/>
      <c r="KSX268" s="1"/>
      <c r="KSY268" s="1"/>
      <c r="KSZ268" s="1"/>
      <c r="KTA268" s="1"/>
      <c r="KTB268" s="1"/>
      <c r="KTC268" s="1"/>
      <c r="KTD268" s="1"/>
      <c r="KTE268" s="1"/>
      <c r="KTF268" s="1"/>
      <c r="KTG268" s="1"/>
      <c r="KTH268" s="1"/>
      <c r="KTI268" s="1"/>
      <c r="KTJ268" s="1"/>
      <c r="KTK268" s="1"/>
      <c r="KTL268" s="1"/>
      <c r="KTM268" s="1"/>
      <c r="KTN268" s="1"/>
      <c r="KTO268" s="1"/>
      <c r="KTP268" s="1"/>
      <c r="KTQ268" s="1"/>
      <c r="KTR268" s="1"/>
      <c r="KTS268" s="1"/>
      <c r="KTT268" s="1"/>
      <c r="KTU268" s="1"/>
      <c r="KTV268" s="1"/>
      <c r="KTW268" s="1"/>
      <c r="KTX268" s="1"/>
      <c r="KTY268" s="1"/>
      <c r="KTZ268" s="1"/>
      <c r="KUA268" s="1"/>
      <c r="KUB268" s="1"/>
      <c r="KUC268" s="1"/>
      <c r="KUD268" s="1"/>
      <c r="KUE268" s="1"/>
      <c r="KUF268" s="1"/>
      <c r="KUG268" s="1"/>
      <c r="KUH268" s="1"/>
      <c r="KUI268" s="1"/>
      <c r="KUJ268" s="1"/>
      <c r="KUK268" s="1"/>
      <c r="KUL268" s="1"/>
      <c r="KUM268" s="1"/>
      <c r="KUN268" s="1"/>
      <c r="KUO268" s="1"/>
      <c r="KUP268" s="1"/>
      <c r="KUQ268" s="1"/>
      <c r="KUR268" s="1"/>
      <c r="KUS268" s="1"/>
      <c r="KUT268" s="1"/>
      <c r="KUU268" s="1"/>
      <c r="KUV268" s="1"/>
      <c r="KUW268" s="1"/>
      <c r="KUX268" s="1"/>
      <c r="KUY268" s="1"/>
      <c r="KUZ268" s="1"/>
      <c r="KVA268" s="1"/>
      <c r="KVB268" s="1"/>
      <c r="KVC268" s="1"/>
      <c r="KVD268" s="1"/>
      <c r="KVE268" s="1"/>
      <c r="KVF268" s="1"/>
      <c r="KVG268" s="1"/>
      <c r="KVH268" s="1"/>
      <c r="KVI268" s="1"/>
      <c r="KVJ268" s="1"/>
      <c r="KVK268" s="1"/>
      <c r="KVL268" s="1"/>
      <c r="KVM268" s="1"/>
      <c r="KVN268" s="1"/>
      <c r="KVO268" s="1"/>
      <c r="KVP268" s="1"/>
      <c r="KVQ268" s="1"/>
      <c r="KVR268" s="1"/>
      <c r="KVS268" s="1"/>
      <c r="KVT268" s="1"/>
      <c r="KVU268" s="1"/>
      <c r="KVV268" s="1"/>
      <c r="KVW268" s="1"/>
      <c r="KVX268" s="1"/>
      <c r="KVY268" s="1"/>
      <c r="KVZ268" s="1"/>
      <c r="KWA268" s="1"/>
      <c r="KWB268" s="1"/>
      <c r="KWC268" s="1"/>
      <c r="KWD268" s="1"/>
      <c r="KWE268" s="1"/>
      <c r="KWF268" s="1"/>
      <c r="KWG268" s="1"/>
      <c r="KWH268" s="1"/>
      <c r="KWI268" s="1"/>
      <c r="KWJ268" s="1"/>
      <c r="KWK268" s="1"/>
      <c r="KWL268" s="1"/>
      <c r="KWM268" s="1"/>
      <c r="KWN268" s="1"/>
      <c r="KWO268" s="1"/>
      <c r="KWP268" s="1"/>
      <c r="KWQ268" s="1"/>
      <c r="KWR268" s="1"/>
      <c r="KWS268" s="1"/>
      <c r="KWT268" s="1"/>
      <c r="KWU268" s="1"/>
      <c r="KWV268" s="1"/>
      <c r="KWW268" s="1"/>
      <c r="KWX268" s="1"/>
      <c r="KWY268" s="1"/>
      <c r="KWZ268" s="1"/>
      <c r="KXA268" s="1"/>
      <c r="KXB268" s="1"/>
      <c r="KXC268" s="1"/>
      <c r="KXD268" s="1"/>
      <c r="KXE268" s="1"/>
      <c r="KXF268" s="1"/>
      <c r="KXG268" s="1"/>
      <c r="KXH268" s="1"/>
      <c r="KXI268" s="1"/>
      <c r="KXJ268" s="1"/>
      <c r="KXK268" s="1"/>
      <c r="KXL268" s="1"/>
      <c r="KXM268" s="1"/>
      <c r="KXN268" s="1"/>
      <c r="KXO268" s="1"/>
      <c r="KXP268" s="1"/>
      <c r="KXQ268" s="1"/>
      <c r="KXR268" s="1"/>
      <c r="KXS268" s="1"/>
      <c r="KXT268" s="1"/>
      <c r="KXU268" s="1"/>
      <c r="KXV268" s="1"/>
      <c r="KXW268" s="1"/>
      <c r="KXX268" s="1"/>
      <c r="KXY268" s="1"/>
      <c r="KXZ268" s="1"/>
      <c r="KYA268" s="1"/>
      <c r="KYB268" s="1"/>
      <c r="KYC268" s="1"/>
      <c r="KYD268" s="1"/>
      <c r="KYE268" s="1"/>
      <c r="KYF268" s="1"/>
      <c r="KYG268" s="1"/>
      <c r="KYH268" s="1"/>
      <c r="KYI268" s="1"/>
      <c r="KYJ268" s="1"/>
      <c r="KYK268" s="1"/>
      <c r="KYL268" s="1"/>
      <c r="KYM268" s="1"/>
      <c r="KYN268" s="1"/>
      <c r="KYO268" s="1"/>
      <c r="KYP268" s="1"/>
      <c r="KYQ268" s="1"/>
      <c r="KYR268" s="1"/>
      <c r="KYS268" s="1"/>
      <c r="KYT268" s="1"/>
      <c r="KYU268" s="1"/>
      <c r="KYV268" s="1"/>
      <c r="KYW268" s="1"/>
      <c r="KYX268" s="1"/>
      <c r="KYY268" s="1"/>
      <c r="KYZ268" s="1"/>
      <c r="KZA268" s="1"/>
      <c r="KZB268" s="1"/>
      <c r="KZC268" s="1"/>
      <c r="KZD268" s="1"/>
      <c r="KZE268" s="1"/>
      <c r="KZF268" s="1"/>
      <c r="KZG268" s="1"/>
      <c r="KZH268" s="1"/>
      <c r="KZI268" s="1"/>
      <c r="KZJ268" s="1"/>
      <c r="KZK268" s="1"/>
      <c r="KZL268" s="1"/>
      <c r="KZM268" s="1"/>
      <c r="KZN268" s="1"/>
      <c r="KZO268" s="1"/>
      <c r="KZP268" s="1"/>
      <c r="KZQ268" s="1"/>
      <c r="KZR268" s="1"/>
      <c r="KZS268" s="1"/>
      <c r="KZT268" s="1"/>
      <c r="KZU268" s="1"/>
      <c r="KZV268" s="1"/>
      <c r="KZW268" s="1"/>
      <c r="KZX268" s="1"/>
      <c r="KZY268" s="1"/>
      <c r="KZZ268" s="1"/>
      <c r="LAA268" s="1"/>
      <c r="LAB268" s="1"/>
      <c r="LAC268" s="1"/>
      <c r="LAD268" s="1"/>
      <c r="LAE268" s="1"/>
      <c r="LAF268" s="1"/>
      <c r="LAG268" s="1"/>
      <c r="LAH268" s="1"/>
      <c r="LAI268" s="1"/>
      <c r="LAJ268" s="1"/>
      <c r="LAK268" s="1"/>
      <c r="LAL268" s="1"/>
      <c r="LAM268" s="1"/>
      <c r="LAN268" s="1"/>
      <c r="LAO268" s="1"/>
      <c r="LAP268" s="1"/>
      <c r="LAQ268" s="1"/>
      <c r="LAR268" s="1"/>
      <c r="LAS268" s="1"/>
      <c r="LAT268" s="1"/>
      <c r="LAU268" s="1"/>
      <c r="LAV268" s="1"/>
      <c r="LAW268" s="1"/>
      <c r="LAX268" s="1"/>
      <c r="LAY268" s="1"/>
      <c r="LAZ268" s="1"/>
      <c r="LBA268" s="1"/>
      <c r="LBB268" s="1"/>
      <c r="LBC268" s="1"/>
      <c r="LBD268" s="1"/>
      <c r="LBE268" s="1"/>
      <c r="LBF268" s="1"/>
      <c r="LBG268" s="1"/>
      <c r="LBH268" s="1"/>
      <c r="LBI268" s="1"/>
      <c r="LBJ268" s="1"/>
      <c r="LBK268" s="1"/>
      <c r="LBL268" s="1"/>
      <c r="LBM268" s="1"/>
      <c r="LBN268" s="1"/>
      <c r="LBO268" s="1"/>
      <c r="LBP268" s="1"/>
      <c r="LBQ268" s="1"/>
      <c r="LBR268" s="1"/>
      <c r="LBS268" s="1"/>
      <c r="LBT268" s="1"/>
      <c r="LBU268" s="1"/>
      <c r="LBV268" s="1"/>
      <c r="LBW268" s="1"/>
      <c r="LBX268" s="1"/>
      <c r="LBY268" s="1"/>
      <c r="LBZ268" s="1"/>
      <c r="LCA268" s="1"/>
      <c r="LCB268" s="1"/>
      <c r="LCC268" s="1"/>
      <c r="LCD268" s="1"/>
      <c r="LCE268" s="1"/>
      <c r="LCF268" s="1"/>
      <c r="LCG268" s="1"/>
      <c r="LCH268" s="1"/>
      <c r="LCI268" s="1"/>
      <c r="LCJ268" s="1"/>
      <c r="LCK268" s="1"/>
      <c r="LCL268" s="1"/>
      <c r="LCM268" s="1"/>
      <c r="LCN268" s="1"/>
      <c r="LCO268" s="1"/>
      <c r="LCP268" s="1"/>
      <c r="LCQ268" s="1"/>
      <c r="LCR268" s="1"/>
      <c r="LCS268" s="1"/>
      <c r="LCT268" s="1"/>
      <c r="LCU268" s="1"/>
      <c r="LCV268" s="1"/>
      <c r="LCW268" s="1"/>
      <c r="LCX268" s="1"/>
      <c r="LCY268" s="1"/>
      <c r="LCZ268" s="1"/>
      <c r="LDA268" s="1"/>
      <c r="LDB268" s="1"/>
      <c r="LDC268" s="1"/>
      <c r="LDD268" s="1"/>
      <c r="LDE268" s="1"/>
      <c r="LDF268" s="1"/>
      <c r="LDG268" s="1"/>
      <c r="LDH268" s="1"/>
      <c r="LDI268" s="1"/>
      <c r="LDJ268" s="1"/>
      <c r="LDK268" s="1"/>
      <c r="LDL268" s="1"/>
      <c r="LDM268" s="1"/>
      <c r="LDN268" s="1"/>
      <c r="LDO268" s="1"/>
      <c r="LDP268" s="1"/>
      <c r="LDQ268" s="1"/>
      <c r="LDR268" s="1"/>
      <c r="LDS268" s="1"/>
      <c r="LDT268" s="1"/>
      <c r="LDU268" s="1"/>
      <c r="LDV268" s="1"/>
      <c r="LDW268" s="1"/>
      <c r="LDX268" s="1"/>
      <c r="LDY268" s="1"/>
      <c r="LDZ268" s="1"/>
      <c r="LEA268" s="1"/>
      <c r="LEB268" s="1"/>
      <c r="LEC268" s="1"/>
      <c r="LED268" s="1"/>
      <c r="LEE268" s="1"/>
      <c r="LEF268" s="1"/>
      <c r="LEG268" s="1"/>
      <c r="LEH268" s="1"/>
      <c r="LEI268" s="1"/>
      <c r="LEJ268" s="1"/>
      <c r="LEK268" s="1"/>
      <c r="LEL268" s="1"/>
      <c r="LEM268" s="1"/>
      <c r="LEN268" s="1"/>
      <c r="LEO268" s="1"/>
      <c r="LEP268" s="1"/>
      <c r="LEQ268" s="1"/>
      <c r="LER268" s="1"/>
      <c r="LES268" s="1"/>
      <c r="LET268" s="1"/>
      <c r="LEU268" s="1"/>
      <c r="LEV268" s="1"/>
      <c r="LEW268" s="1"/>
      <c r="LEX268" s="1"/>
      <c r="LEY268" s="1"/>
      <c r="LEZ268" s="1"/>
      <c r="LFA268" s="1"/>
      <c r="LFB268" s="1"/>
      <c r="LFC268" s="1"/>
      <c r="LFD268" s="1"/>
      <c r="LFE268" s="1"/>
      <c r="LFF268" s="1"/>
      <c r="LFG268" s="1"/>
      <c r="LFH268" s="1"/>
      <c r="LFI268" s="1"/>
      <c r="LFJ268" s="1"/>
      <c r="LFK268" s="1"/>
      <c r="LFL268" s="1"/>
      <c r="LFM268" s="1"/>
      <c r="LFN268" s="1"/>
      <c r="LFO268" s="1"/>
      <c r="LFP268" s="1"/>
      <c r="LFQ268" s="1"/>
      <c r="LFR268" s="1"/>
      <c r="LFS268" s="1"/>
      <c r="LFT268" s="1"/>
      <c r="LFU268" s="1"/>
      <c r="LFV268" s="1"/>
      <c r="LFW268" s="1"/>
      <c r="LFX268" s="1"/>
      <c r="LFY268" s="1"/>
      <c r="LFZ268" s="1"/>
      <c r="LGA268" s="1"/>
      <c r="LGB268" s="1"/>
      <c r="LGC268" s="1"/>
      <c r="LGD268" s="1"/>
      <c r="LGE268" s="1"/>
      <c r="LGF268" s="1"/>
      <c r="LGG268" s="1"/>
      <c r="LGH268" s="1"/>
      <c r="LGI268" s="1"/>
      <c r="LGJ268" s="1"/>
      <c r="LGK268" s="1"/>
      <c r="LGL268" s="1"/>
      <c r="LGM268" s="1"/>
      <c r="LGN268" s="1"/>
      <c r="LGO268" s="1"/>
      <c r="LGP268" s="1"/>
      <c r="LGQ268" s="1"/>
      <c r="LGR268" s="1"/>
      <c r="LGS268" s="1"/>
      <c r="LGT268" s="1"/>
      <c r="LGU268" s="1"/>
      <c r="LGV268" s="1"/>
      <c r="LGW268" s="1"/>
      <c r="LGX268" s="1"/>
      <c r="LGY268" s="1"/>
      <c r="LGZ268" s="1"/>
      <c r="LHA268" s="1"/>
      <c r="LHB268" s="1"/>
      <c r="LHC268" s="1"/>
      <c r="LHD268" s="1"/>
      <c r="LHE268" s="1"/>
      <c r="LHF268" s="1"/>
      <c r="LHG268" s="1"/>
      <c r="LHH268" s="1"/>
      <c r="LHI268" s="1"/>
      <c r="LHJ268" s="1"/>
      <c r="LHK268" s="1"/>
      <c r="LHL268" s="1"/>
      <c r="LHM268" s="1"/>
      <c r="LHN268" s="1"/>
      <c r="LHO268" s="1"/>
      <c r="LHP268" s="1"/>
      <c r="LHQ268" s="1"/>
      <c r="LHR268" s="1"/>
      <c r="LHS268" s="1"/>
      <c r="LHT268" s="1"/>
      <c r="LHU268" s="1"/>
      <c r="LHV268" s="1"/>
      <c r="LHW268" s="1"/>
      <c r="LHX268" s="1"/>
      <c r="LHY268" s="1"/>
      <c r="LHZ268" s="1"/>
      <c r="LIA268" s="1"/>
      <c r="LIB268" s="1"/>
      <c r="LIC268" s="1"/>
      <c r="LID268" s="1"/>
      <c r="LIE268" s="1"/>
      <c r="LIF268" s="1"/>
      <c r="LIG268" s="1"/>
      <c r="LIH268" s="1"/>
      <c r="LII268" s="1"/>
      <c r="LIJ268" s="1"/>
      <c r="LIK268" s="1"/>
      <c r="LIL268" s="1"/>
      <c r="LIM268" s="1"/>
      <c r="LIN268" s="1"/>
      <c r="LIO268" s="1"/>
      <c r="LIP268" s="1"/>
      <c r="LIQ268" s="1"/>
      <c r="LIR268" s="1"/>
      <c r="LIS268" s="1"/>
      <c r="LIT268" s="1"/>
      <c r="LIU268" s="1"/>
      <c r="LIV268" s="1"/>
      <c r="LIW268" s="1"/>
      <c r="LIX268" s="1"/>
      <c r="LIY268" s="1"/>
      <c r="LIZ268" s="1"/>
      <c r="LJA268" s="1"/>
      <c r="LJB268" s="1"/>
      <c r="LJC268" s="1"/>
      <c r="LJD268" s="1"/>
      <c r="LJE268" s="1"/>
      <c r="LJF268" s="1"/>
      <c r="LJG268" s="1"/>
      <c r="LJH268" s="1"/>
      <c r="LJI268" s="1"/>
      <c r="LJJ268" s="1"/>
      <c r="LJK268" s="1"/>
      <c r="LJL268" s="1"/>
      <c r="LJM268" s="1"/>
      <c r="LJN268" s="1"/>
      <c r="LJO268" s="1"/>
      <c r="LJP268" s="1"/>
      <c r="LJQ268" s="1"/>
      <c r="LJR268" s="1"/>
      <c r="LJS268" s="1"/>
      <c r="LJT268" s="1"/>
      <c r="LJU268" s="1"/>
      <c r="LJV268" s="1"/>
      <c r="LJW268" s="1"/>
      <c r="LJX268" s="1"/>
      <c r="LJY268" s="1"/>
      <c r="LJZ268" s="1"/>
      <c r="LKA268" s="1"/>
      <c r="LKB268" s="1"/>
      <c r="LKC268" s="1"/>
      <c r="LKD268" s="1"/>
      <c r="LKE268" s="1"/>
      <c r="LKF268" s="1"/>
      <c r="LKG268" s="1"/>
      <c r="LKH268" s="1"/>
      <c r="LKI268" s="1"/>
      <c r="LKJ268" s="1"/>
      <c r="LKK268" s="1"/>
      <c r="LKL268" s="1"/>
      <c r="LKM268" s="1"/>
      <c r="LKN268" s="1"/>
      <c r="LKO268" s="1"/>
      <c r="LKP268" s="1"/>
      <c r="LKQ268" s="1"/>
      <c r="LKR268" s="1"/>
      <c r="LKS268" s="1"/>
      <c r="LKT268" s="1"/>
      <c r="LKU268" s="1"/>
      <c r="LKV268" s="1"/>
      <c r="LKW268" s="1"/>
      <c r="LKX268" s="1"/>
      <c r="LKY268" s="1"/>
      <c r="LKZ268" s="1"/>
      <c r="LLA268" s="1"/>
      <c r="LLB268" s="1"/>
      <c r="LLC268" s="1"/>
      <c r="LLD268" s="1"/>
      <c r="LLE268" s="1"/>
      <c r="LLF268" s="1"/>
      <c r="LLG268" s="1"/>
      <c r="LLH268" s="1"/>
      <c r="LLI268" s="1"/>
      <c r="LLJ268" s="1"/>
      <c r="LLK268" s="1"/>
      <c r="LLL268" s="1"/>
      <c r="LLM268" s="1"/>
      <c r="LLN268" s="1"/>
      <c r="LLO268" s="1"/>
      <c r="LLP268" s="1"/>
      <c r="LLQ268" s="1"/>
      <c r="LLR268" s="1"/>
      <c r="LLS268" s="1"/>
      <c r="LLT268" s="1"/>
      <c r="LLU268" s="1"/>
      <c r="LLV268" s="1"/>
      <c r="LLW268" s="1"/>
      <c r="LLX268" s="1"/>
      <c r="LLY268" s="1"/>
      <c r="LLZ268" s="1"/>
      <c r="LMA268" s="1"/>
      <c r="LMB268" s="1"/>
      <c r="LMC268" s="1"/>
      <c r="LMD268" s="1"/>
      <c r="LME268" s="1"/>
      <c r="LMF268" s="1"/>
      <c r="LMG268" s="1"/>
      <c r="LMH268" s="1"/>
      <c r="LMI268" s="1"/>
      <c r="LMJ268" s="1"/>
      <c r="LMK268" s="1"/>
      <c r="LML268" s="1"/>
      <c r="LMM268" s="1"/>
      <c r="LMN268" s="1"/>
      <c r="LMO268" s="1"/>
      <c r="LMP268" s="1"/>
      <c r="LMQ268" s="1"/>
      <c r="LMR268" s="1"/>
      <c r="LMS268" s="1"/>
      <c r="LMT268" s="1"/>
      <c r="LMU268" s="1"/>
      <c r="LMV268" s="1"/>
      <c r="LMW268" s="1"/>
      <c r="LMX268" s="1"/>
      <c r="LMY268" s="1"/>
      <c r="LMZ268" s="1"/>
      <c r="LNA268" s="1"/>
      <c r="LNB268" s="1"/>
      <c r="LNC268" s="1"/>
      <c r="LND268" s="1"/>
      <c r="LNE268" s="1"/>
      <c r="LNF268" s="1"/>
      <c r="LNG268" s="1"/>
      <c r="LNH268" s="1"/>
      <c r="LNI268" s="1"/>
      <c r="LNJ268" s="1"/>
      <c r="LNK268" s="1"/>
      <c r="LNL268" s="1"/>
      <c r="LNM268" s="1"/>
      <c r="LNN268" s="1"/>
      <c r="LNO268" s="1"/>
      <c r="LNP268" s="1"/>
      <c r="LNQ268" s="1"/>
      <c r="LNR268" s="1"/>
      <c r="LNS268" s="1"/>
      <c r="LNT268" s="1"/>
      <c r="LNU268" s="1"/>
      <c r="LNV268" s="1"/>
      <c r="LNW268" s="1"/>
      <c r="LNX268" s="1"/>
      <c r="LNY268" s="1"/>
      <c r="LNZ268" s="1"/>
      <c r="LOA268" s="1"/>
      <c r="LOB268" s="1"/>
      <c r="LOC268" s="1"/>
      <c r="LOD268" s="1"/>
      <c r="LOE268" s="1"/>
      <c r="LOF268" s="1"/>
      <c r="LOG268" s="1"/>
      <c r="LOH268" s="1"/>
      <c r="LOI268" s="1"/>
      <c r="LOJ268" s="1"/>
      <c r="LOK268" s="1"/>
      <c r="LOL268" s="1"/>
      <c r="LOM268" s="1"/>
      <c r="LON268" s="1"/>
      <c r="LOO268" s="1"/>
      <c r="LOP268" s="1"/>
      <c r="LOQ268" s="1"/>
      <c r="LOR268" s="1"/>
      <c r="LOS268" s="1"/>
      <c r="LOT268" s="1"/>
      <c r="LOU268" s="1"/>
      <c r="LOV268" s="1"/>
      <c r="LOW268" s="1"/>
      <c r="LOX268" s="1"/>
      <c r="LOY268" s="1"/>
      <c r="LOZ268" s="1"/>
      <c r="LPA268" s="1"/>
      <c r="LPB268" s="1"/>
      <c r="LPC268" s="1"/>
      <c r="LPD268" s="1"/>
      <c r="LPE268" s="1"/>
      <c r="LPF268" s="1"/>
      <c r="LPG268" s="1"/>
      <c r="LPH268" s="1"/>
      <c r="LPI268" s="1"/>
      <c r="LPJ268" s="1"/>
      <c r="LPK268" s="1"/>
      <c r="LPL268" s="1"/>
      <c r="LPM268" s="1"/>
      <c r="LPN268" s="1"/>
      <c r="LPO268" s="1"/>
      <c r="LPP268" s="1"/>
      <c r="LPQ268" s="1"/>
      <c r="LPR268" s="1"/>
      <c r="LPS268" s="1"/>
      <c r="LPT268" s="1"/>
      <c r="LPU268" s="1"/>
      <c r="LPV268" s="1"/>
      <c r="LPW268" s="1"/>
      <c r="LPX268" s="1"/>
      <c r="LPY268" s="1"/>
      <c r="LPZ268" s="1"/>
      <c r="LQA268" s="1"/>
      <c r="LQB268" s="1"/>
      <c r="LQC268" s="1"/>
      <c r="LQD268" s="1"/>
      <c r="LQE268" s="1"/>
      <c r="LQF268" s="1"/>
      <c r="LQG268" s="1"/>
      <c r="LQH268" s="1"/>
      <c r="LQI268" s="1"/>
      <c r="LQJ268" s="1"/>
      <c r="LQK268" s="1"/>
      <c r="LQL268" s="1"/>
      <c r="LQM268" s="1"/>
      <c r="LQN268" s="1"/>
      <c r="LQO268" s="1"/>
      <c r="LQP268" s="1"/>
      <c r="LQQ268" s="1"/>
      <c r="LQR268" s="1"/>
      <c r="LQS268" s="1"/>
      <c r="LQT268" s="1"/>
      <c r="LQU268" s="1"/>
      <c r="LQV268" s="1"/>
      <c r="LQW268" s="1"/>
      <c r="LQX268" s="1"/>
      <c r="LQY268" s="1"/>
      <c r="LQZ268" s="1"/>
      <c r="LRA268" s="1"/>
      <c r="LRB268" s="1"/>
      <c r="LRC268" s="1"/>
      <c r="LRD268" s="1"/>
      <c r="LRE268" s="1"/>
      <c r="LRF268" s="1"/>
      <c r="LRG268" s="1"/>
      <c r="LRH268" s="1"/>
      <c r="LRI268" s="1"/>
      <c r="LRJ268" s="1"/>
      <c r="LRK268" s="1"/>
      <c r="LRL268" s="1"/>
      <c r="LRM268" s="1"/>
      <c r="LRN268" s="1"/>
      <c r="LRO268" s="1"/>
      <c r="LRP268" s="1"/>
      <c r="LRQ268" s="1"/>
      <c r="LRR268" s="1"/>
      <c r="LRS268" s="1"/>
      <c r="LRT268" s="1"/>
      <c r="LRU268" s="1"/>
      <c r="LRV268" s="1"/>
      <c r="LRW268" s="1"/>
      <c r="LRX268" s="1"/>
      <c r="LRY268" s="1"/>
      <c r="LRZ268" s="1"/>
      <c r="LSA268" s="1"/>
      <c r="LSB268" s="1"/>
      <c r="LSC268" s="1"/>
      <c r="LSD268" s="1"/>
      <c r="LSE268" s="1"/>
      <c r="LSF268" s="1"/>
      <c r="LSG268" s="1"/>
      <c r="LSH268" s="1"/>
      <c r="LSI268" s="1"/>
      <c r="LSJ268" s="1"/>
      <c r="LSK268" s="1"/>
      <c r="LSL268" s="1"/>
      <c r="LSM268" s="1"/>
      <c r="LSN268" s="1"/>
      <c r="LSO268" s="1"/>
      <c r="LSP268" s="1"/>
      <c r="LSQ268" s="1"/>
      <c r="LSR268" s="1"/>
      <c r="LSS268" s="1"/>
      <c r="LST268" s="1"/>
      <c r="LSU268" s="1"/>
      <c r="LSV268" s="1"/>
      <c r="LSW268" s="1"/>
      <c r="LSX268" s="1"/>
      <c r="LSY268" s="1"/>
      <c r="LSZ268" s="1"/>
      <c r="LTA268" s="1"/>
      <c r="LTB268" s="1"/>
      <c r="LTC268" s="1"/>
      <c r="LTD268" s="1"/>
      <c r="LTE268" s="1"/>
      <c r="LTF268" s="1"/>
      <c r="LTG268" s="1"/>
      <c r="LTH268" s="1"/>
      <c r="LTI268" s="1"/>
      <c r="LTJ268" s="1"/>
      <c r="LTK268" s="1"/>
      <c r="LTL268" s="1"/>
      <c r="LTM268" s="1"/>
      <c r="LTN268" s="1"/>
      <c r="LTO268" s="1"/>
      <c r="LTP268" s="1"/>
      <c r="LTQ268" s="1"/>
      <c r="LTR268" s="1"/>
      <c r="LTS268" s="1"/>
      <c r="LTT268" s="1"/>
      <c r="LTU268" s="1"/>
      <c r="LTV268" s="1"/>
      <c r="LTW268" s="1"/>
      <c r="LTX268" s="1"/>
      <c r="LTY268" s="1"/>
      <c r="LTZ268" s="1"/>
      <c r="LUA268" s="1"/>
      <c r="LUB268" s="1"/>
      <c r="LUC268" s="1"/>
      <c r="LUD268" s="1"/>
      <c r="LUE268" s="1"/>
      <c r="LUF268" s="1"/>
      <c r="LUG268" s="1"/>
      <c r="LUH268" s="1"/>
      <c r="LUI268" s="1"/>
      <c r="LUJ268" s="1"/>
      <c r="LUK268" s="1"/>
      <c r="LUL268" s="1"/>
      <c r="LUM268" s="1"/>
      <c r="LUN268" s="1"/>
      <c r="LUO268" s="1"/>
      <c r="LUP268" s="1"/>
      <c r="LUQ268" s="1"/>
      <c r="LUR268" s="1"/>
      <c r="LUS268" s="1"/>
      <c r="LUT268" s="1"/>
      <c r="LUU268" s="1"/>
      <c r="LUV268" s="1"/>
      <c r="LUW268" s="1"/>
      <c r="LUX268" s="1"/>
      <c r="LUY268" s="1"/>
      <c r="LUZ268" s="1"/>
      <c r="LVA268" s="1"/>
      <c r="LVB268" s="1"/>
      <c r="LVC268" s="1"/>
      <c r="LVD268" s="1"/>
      <c r="LVE268" s="1"/>
      <c r="LVF268" s="1"/>
      <c r="LVG268" s="1"/>
      <c r="LVH268" s="1"/>
      <c r="LVI268" s="1"/>
      <c r="LVJ268" s="1"/>
      <c r="LVK268" s="1"/>
      <c r="LVL268" s="1"/>
      <c r="LVM268" s="1"/>
      <c r="LVN268" s="1"/>
      <c r="LVO268" s="1"/>
      <c r="LVP268" s="1"/>
      <c r="LVQ268" s="1"/>
      <c r="LVR268" s="1"/>
      <c r="LVS268" s="1"/>
      <c r="LVT268" s="1"/>
      <c r="LVU268" s="1"/>
      <c r="LVV268" s="1"/>
      <c r="LVW268" s="1"/>
      <c r="LVX268" s="1"/>
      <c r="LVY268" s="1"/>
      <c r="LVZ268" s="1"/>
      <c r="LWA268" s="1"/>
      <c r="LWB268" s="1"/>
      <c r="LWC268" s="1"/>
      <c r="LWD268" s="1"/>
      <c r="LWE268" s="1"/>
      <c r="LWF268" s="1"/>
      <c r="LWG268" s="1"/>
      <c r="LWH268" s="1"/>
      <c r="LWI268" s="1"/>
      <c r="LWJ268" s="1"/>
      <c r="LWK268" s="1"/>
      <c r="LWL268" s="1"/>
      <c r="LWM268" s="1"/>
      <c r="LWN268" s="1"/>
      <c r="LWO268" s="1"/>
      <c r="LWP268" s="1"/>
      <c r="LWQ268" s="1"/>
      <c r="LWR268" s="1"/>
      <c r="LWS268" s="1"/>
      <c r="LWT268" s="1"/>
      <c r="LWU268" s="1"/>
      <c r="LWV268" s="1"/>
      <c r="LWW268" s="1"/>
      <c r="LWX268" s="1"/>
      <c r="LWY268" s="1"/>
      <c r="LWZ268" s="1"/>
      <c r="LXA268" s="1"/>
      <c r="LXB268" s="1"/>
      <c r="LXC268" s="1"/>
      <c r="LXD268" s="1"/>
      <c r="LXE268" s="1"/>
      <c r="LXF268" s="1"/>
      <c r="LXG268" s="1"/>
      <c r="LXH268" s="1"/>
      <c r="LXI268" s="1"/>
      <c r="LXJ268" s="1"/>
      <c r="LXK268" s="1"/>
      <c r="LXL268" s="1"/>
      <c r="LXM268" s="1"/>
      <c r="LXN268" s="1"/>
      <c r="LXO268" s="1"/>
      <c r="LXP268" s="1"/>
      <c r="LXQ268" s="1"/>
      <c r="LXR268" s="1"/>
      <c r="LXS268" s="1"/>
      <c r="LXT268" s="1"/>
      <c r="LXU268" s="1"/>
      <c r="LXV268" s="1"/>
      <c r="LXW268" s="1"/>
      <c r="LXX268" s="1"/>
      <c r="LXY268" s="1"/>
      <c r="LXZ268" s="1"/>
      <c r="LYA268" s="1"/>
      <c r="LYB268" s="1"/>
      <c r="LYC268" s="1"/>
      <c r="LYD268" s="1"/>
      <c r="LYE268" s="1"/>
      <c r="LYF268" s="1"/>
      <c r="LYG268" s="1"/>
      <c r="LYH268" s="1"/>
      <c r="LYI268" s="1"/>
      <c r="LYJ268" s="1"/>
      <c r="LYK268" s="1"/>
      <c r="LYL268" s="1"/>
      <c r="LYM268" s="1"/>
      <c r="LYN268" s="1"/>
      <c r="LYO268" s="1"/>
      <c r="LYP268" s="1"/>
      <c r="LYQ268" s="1"/>
      <c r="LYR268" s="1"/>
      <c r="LYS268" s="1"/>
      <c r="LYT268" s="1"/>
      <c r="LYU268" s="1"/>
      <c r="LYV268" s="1"/>
      <c r="LYW268" s="1"/>
      <c r="LYX268" s="1"/>
      <c r="LYY268" s="1"/>
      <c r="LYZ268" s="1"/>
      <c r="LZA268" s="1"/>
      <c r="LZB268" s="1"/>
      <c r="LZC268" s="1"/>
      <c r="LZD268" s="1"/>
      <c r="LZE268" s="1"/>
      <c r="LZF268" s="1"/>
      <c r="LZG268" s="1"/>
      <c r="LZH268" s="1"/>
      <c r="LZI268" s="1"/>
      <c r="LZJ268" s="1"/>
      <c r="LZK268" s="1"/>
      <c r="LZL268" s="1"/>
      <c r="LZM268" s="1"/>
      <c r="LZN268" s="1"/>
      <c r="LZO268" s="1"/>
      <c r="LZP268" s="1"/>
      <c r="LZQ268" s="1"/>
      <c r="LZR268" s="1"/>
      <c r="LZS268" s="1"/>
      <c r="LZT268" s="1"/>
      <c r="LZU268" s="1"/>
      <c r="LZV268" s="1"/>
      <c r="LZW268" s="1"/>
      <c r="LZX268" s="1"/>
      <c r="LZY268" s="1"/>
      <c r="LZZ268" s="1"/>
      <c r="MAA268" s="1"/>
      <c r="MAB268" s="1"/>
      <c r="MAC268" s="1"/>
      <c r="MAD268" s="1"/>
      <c r="MAE268" s="1"/>
      <c r="MAF268" s="1"/>
      <c r="MAG268" s="1"/>
      <c r="MAH268" s="1"/>
      <c r="MAI268" s="1"/>
      <c r="MAJ268" s="1"/>
      <c r="MAK268" s="1"/>
      <c r="MAL268" s="1"/>
      <c r="MAM268" s="1"/>
      <c r="MAN268" s="1"/>
      <c r="MAO268" s="1"/>
      <c r="MAP268" s="1"/>
      <c r="MAQ268" s="1"/>
      <c r="MAR268" s="1"/>
      <c r="MAS268" s="1"/>
      <c r="MAT268" s="1"/>
      <c r="MAU268" s="1"/>
      <c r="MAV268" s="1"/>
      <c r="MAW268" s="1"/>
      <c r="MAX268" s="1"/>
      <c r="MAY268" s="1"/>
      <c r="MAZ268" s="1"/>
      <c r="MBA268" s="1"/>
      <c r="MBB268" s="1"/>
      <c r="MBC268" s="1"/>
      <c r="MBD268" s="1"/>
      <c r="MBE268" s="1"/>
      <c r="MBF268" s="1"/>
      <c r="MBG268" s="1"/>
      <c r="MBH268" s="1"/>
      <c r="MBI268" s="1"/>
      <c r="MBJ268" s="1"/>
      <c r="MBK268" s="1"/>
      <c r="MBL268" s="1"/>
      <c r="MBM268" s="1"/>
      <c r="MBN268" s="1"/>
      <c r="MBO268" s="1"/>
      <c r="MBP268" s="1"/>
      <c r="MBQ268" s="1"/>
      <c r="MBR268" s="1"/>
      <c r="MBS268" s="1"/>
      <c r="MBT268" s="1"/>
      <c r="MBU268" s="1"/>
      <c r="MBV268" s="1"/>
      <c r="MBW268" s="1"/>
      <c r="MBX268" s="1"/>
      <c r="MBY268" s="1"/>
      <c r="MBZ268" s="1"/>
      <c r="MCA268" s="1"/>
      <c r="MCB268" s="1"/>
      <c r="MCC268" s="1"/>
      <c r="MCD268" s="1"/>
      <c r="MCE268" s="1"/>
      <c r="MCF268" s="1"/>
      <c r="MCG268" s="1"/>
      <c r="MCH268" s="1"/>
      <c r="MCI268" s="1"/>
      <c r="MCJ268" s="1"/>
      <c r="MCK268" s="1"/>
      <c r="MCL268" s="1"/>
      <c r="MCM268" s="1"/>
      <c r="MCN268" s="1"/>
      <c r="MCO268" s="1"/>
      <c r="MCP268" s="1"/>
      <c r="MCQ268" s="1"/>
      <c r="MCR268" s="1"/>
      <c r="MCS268" s="1"/>
      <c r="MCT268" s="1"/>
      <c r="MCU268" s="1"/>
      <c r="MCV268" s="1"/>
      <c r="MCW268" s="1"/>
      <c r="MCX268" s="1"/>
      <c r="MCY268" s="1"/>
      <c r="MCZ268" s="1"/>
      <c r="MDA268" s="1"/>
      <c r="MDB268" s="1"/>
      <c r="MDC268" s="1"/>
      <c r="MDD268" s="1"/>
      <c r="MDE268" s="1"/>
      <c r="MDF268" s="1"/>
      <c r="MDG268" s="1"/>
      <c r="MDH268" s="1"/>
      <c r="MDI268" s="1"/>
      <c r="MDJ268" s="1"/>
      <c r="MDK268" s="1"/>
      <c r="MDL268" s="1"/>
      <c r="MDM268" s="1"/>
      <c r="MDN268" s="1"/>
      <c r="MDO268" s="1"/>
      <c r="MDP268" s="1"/>
      <c r="MDQ268" s="1"/>
      <c r="MDR268" s="1"/>
      <c r="MDS268" s="1"/>
      <c r="MDT268" s="1"/>
      <c r="MDU268" s="1"/>
      <c r="MDV268" s="1"/>
      <c r="MDW268" s="1"/>
      <c r="MDX268" s="1"/>
      <c r="MDY268" s="1"/>
      <c r="MDZ268" s="1"/>
      <c r="MEA268" s="1"/>
      <c r="MEB268" s="1"/>
      <c r="MEC268" s="1"/>
      <c r="MED268" s="1"/>
      <c r="MEE268" s="1"/>
      <c r="MEF268" s="1"/>
      <c r="MEG268" s="1"/>
      <c r="MEH268" s="1"/>
      <c r="MEI268" s="1"/>
      <c r="MEJ268" s="1"/>
      <c r="MEK268" s="1"/>
      <c r="MEL268" s="1"/>
      <c r="MEM268" s="1"/>
      <c r="MEN268" s="1"/>
      <c r="MEO268" s="1"/>
      <c r="MEP268" s="1"/>
      <c r="MEQ268" s="1"/>
      <c r="MER268" s="1"/>
      <c r="MES268" s="1"/>
      <c r="MET268" s="1"/>
      <c r="MEU268" s="1"/>
      <c r="MEV268" s="1"/>
      <c r="MEW268" s="1"/>
      <c r="MEX268" s="1"/>
      <c r="MEY268" s="1"/>
      <c r="MEZ268" s="1"/>
      <c r="MFA268" s="1"/>
      <c r="MFB268" s="1"/>
      <c r="MFC268" s="1"/>
      <c r="MFD268" s="1"/>
      <c r="MFE268" s="1"/>
      <c r="MFF268" s="1"/>
      <c r="MFG268" s="1"/>
      <c r="MFH268" s="1"/>
      <c r="MFI268" s="1"/>
      <c r="MFJ268" s="1"/>
      <c r="MFK268" s="1"/>
      <c r="MFL268" s="1"/>
      <c r="MFM268" s="1"/>
      <c r="MFN268" s="1"/>
      <c r="MFO268" s="1"/>
      <c r="MFP268" s="1"/>
      <c r="MFQ268" s="1"/>
      <c r="MFR268" s="1"/>
      <c r="MFS268" s="1"/>
      <c r="MFT268" s="1"/>
      <c r="MFU268" s="1"/>
      <c r="MFV268" s="1"/>
      <c r="MFW268" s="1"/>
      <c r="MFX268" s="1"/>
      <c r="MFY268" s="1"/>
      <c r="MFZ268" s="1"/>
      <c r="MGA268" s="1"/>
      <c r="MGB268" s="1"/>
      <c r="MGC268" s="1"/>
      <c r="MGD268" s="1"/>
      <c r="MGE268" s="1"/>
      <c r="MGF268" s="1"/>
      <c r="MGG268" s="1"/>
      <c r="MGH268" s="1"/>
      <c r="MGI268" s="1"/>
      <c r="MGJ268" s="1"/>
      <c r="MGK268" s="1"/>
      <c r="MGL268" s="1"/>
      <c r="MGM268" s="1"/>
      <c r="MGN268" s="1"/>
      <c r="MGO268" s="1"/>
      <c r="MGP268" s="1"/>
      <c r="MGQ268" s="1"/>
      <c r="MGR268" s="1"/>
      <c r="MGS268" s="1"/>
      <c r="MGT268" s="1"/>
      <c r="MGU268" s="1"/>
      <c r="MGV268" s="1"/>
      <c r="MGW268" s="1"/>
      <c r="MGX268" s="1"/>
      <c r="MGY268" s="1"/>
      <c r="MGZ268" s="1"/>
      <c r="MHA268" s="1"/>
      <c r="MHB268" s="1"/>
      <c r="MHC268" s="1"/>
      <c r="MHD268" s="1"/>
      <c r="MHE268" s="1"/>
      <c r="MHF268" s="1"/>
      <c r="MHG268" s="1"/>
      <c r="MHH268" s="1"/>
      <c r="MHI268" s="1"/>
      <c r="MHJ268" s="1"/>
      <c r="MHK268" s="1"/>
      <c r="MHL268" s="1"/>
      <c r="MHM268" s="1"/>
      <c r="MHN268" s="1"/>
      <c r="MHO268" s="1"/>
      <c r="MHP268" s="1"/>
      <c r="MHQ268" s="1"/>
      <c r="MHR268" s="1"/>
      <c r="MHS268" s="1"/>
      <c r="MHT268" s="1"/>
      <c r="MHU268" s="1"/>
      <c r="MHV268" s="1"/>
      <c r="MHW268" s="1"/>
      <c r="MHX268" s="1"/>
      <c r="MHY268" s="1"/>
      <c r="MHZ268" s="1"/>
      <c r="MIA268" s="1"/>
      <c r="MIB268" s="1"/>
      <c r="MIC268" s="1"/>
      <c r="MID268" s="1"/>
      <c r="MIE268" s="1"/>
      <c r="MIF268" s="1"/>
      <c r="MIG268" s="1"/>
      <c r="MIH268" s="1"/>
      <c r="MII268" s="1"/>
      <c r="MIJ268" s="1"/>
      <c r="MIK268" s="1"/>
      <c r="MIL268" s="1"/>
      <c r="MIM268" s="1"/>
      <c r="MIN268" s="1"/>
      <c r="MIO268" s="1"/>
      <c r="MIP268" s="1"/>
      <c r="MIQ268" s="1"/>
      <c r="MIR268" s="1"/>
      <c r="MIS268" s="1"/>
      <c r="MIT268" s="1"/>
      <c r="MIU268" s="1"/>
      <c r="MIV268" s="1"/>
      <c r="MIW268" s="1"/>
      <c r="MIX268" s="1"/>
      <c r="MIY268" s="1"/>
      <c r="MIZ268" s="1"/>
      <c r="MJA268" s="1"/>
      <c r="MJB268" s="1"/>
      <c r="MJC268" s="1"/>
      <c r="MJD268" s="1"/>
      <c r="MJE268" s="1"/>
      <c r="MJF268" s="1"/>
      <c r="MJG268" s="1"/>
      <c r="MJH268" s="1"/>
      <c r="MJI268" s="1"/>
      <c r="MJJ268" s="1"/>
      <c r="MJK268" s="1"/>
      <c r="MJL268" s="1"/>
      <c r="MJM268" s="1"/>
      <c r="MJN268" s="1"/>
      <c r="MJO268" s="1"/>
      <c r="MJP268" s="1"/>
      <c r="MJQ268" s="1"/>
      <c r="MJR268" s="1"/>
      <c r="MJS268" s="1"/>
      <c r="MJT268" s="1"/>
      <c r="MJU268" s="1"/>
      <c r="MJV268" s="1"/>
      <c r="MJW268" s="1"/>
      <c r="MJX268" s="1"/>
      <c r="MJY268" s="1"/>
      <c r="MJZ268" s="1"/>
      <c r="MKA268" s="1"/>
      <c r="MKB268" s="1"/>
      <c r="MKC268" s="1"/>
      <c r="MKD268" s="1"/>
      <c r="MKE268" s="1"/>
      <c r="MKF268" s="1"/>
      <c r="MKG268" s="1"/>
      <c r="MKH268" s="1"/>
      <c r="MKI268" s="1"/>
      <c r="MKJ268" s="1"/>
      <c r="MKK268" s="1"/>
      <c r="MKL268" s="1"/>
      <c r="MKM268" s="1"/>
      <c r="MKN268" s="1"/>
      <c r="MKO268" s="1"/>
      <c r="MKP268" s="1"/>
      <c r="MKQ268" s="1"/>
      <c r="MKR268" s="1"/>
      <c r="MKS268" s="1"/>
      <c r="MKT268" s="1"/>
      <c r="MKU268" s="1"/>
      <c r="MKV268" s="1"/>
      <c r="MKW268" s="1"/>
      <c r="MKX268" s="1"/>
      <c r="MKY268" s="1"/>
      <c r="MKZ268" s="1"/>
      <c r="MLA268" s="1"/>
      <c r="MLB268" s="1"/>
      <c r="MLC268" s="1"/>
      <c r="MLD268" s="1"/>
      <c r="MLE268" s="1"/>
      <c r="MLF268" s="1"/>
      <c r="MLG268" s="1"/>
      <c r="MLH268" s="1"/>
      <c r="MLI268" s="1"/>
      <c r="MLJ268" s="1"/>
      <c r="MLK268" s="1"/>
      <c r="MLL268" s="1"/>
      <c r="MLM268" s="1"/>
      <c r="MLN268" s="1"/>
      <c r="MLO268" s="1"/>
      <c r="MLP268" s="1"/>
      <c r="MLQ268" s="1"/>
      <c r="MLR268" s="1"/>
      <c r="MLS268" s="1"/>
      <c r="MLT268" s="1"/>
      <c r="MLU268" s="1"/>
      <c r="MLV268" s="1"/>
      <c r="MLW268" s="1"/>
      <c r="MLX268" s="1"/>
      <c r="MLY268" s="1"/>
      <c r="MLZ268" s="1"/>
      <c r="MMA268" s="1"/>
      <c r="MMB268" s="1"/>
      <c r="MMC268" s="1"/>
      <c r="MMD268" s="1"/>
      <c r="MME268" s="1"/>
      <c r="MMF268" s="1"/>
      <c r="MMG268" s="1"/>
      <c r="MMH268" s="1"/>
      <c r="MMI268" s="1"/>
      <c r="MMJ268" s="1"/>
      <c r="MMK268" s="1"/>
      <c r="MML268" s="1"/>
      <c r="MMM268" s="1"/>
      <c r="MMN268" s="1"/>
      <c r="MMO268" s="1"/>
      <c r="MMP268" s="1"/>
      <c r="MMQ268" s="1"/>
      <c r="MMR268" s="1"/>
      <c r="MMS268" s="1"/>
      <c r="MMT268" s="1"/>
      <c r="MMU268" s="1"/>
      <c r="MMV268" s="1"/>
      <c r="MMW268" s="1"/>
      <c r="MMX268" s="1"/>
      <c r="MMY268" s="1"/>
      <c r="MMZ268" s="1"/>
      <c r="MNA268" s="1"/>
      <c r="MNB268" s="1"/>
      <c r="MNC268" s="1"/>
      <c r="MND268" s="1"/>
      <c r="MNE268" s="1"/>
      <c r="MNF268" s="1"/>
      <c r="MNG268" s="1"/>
      <c r="MNH268" s="1"/>
      <c r="MNI268" s="1"/>
      <c r="MNJ268" s="1"/>
      <c r="MNK268" s="1"/>
      <c r="MNL268" s="1"/>
      <c r="MNM268" s="1"/>
      <c r="MNN268" s="1"/>
      <c r="MNO268" s="1"/>
      <c r="MNP268" s="1"/>
      <c r="MNQ268" s="1"/>
      <c r="MNR268" s="1"/>
      <c r="MNS268" s="1"/>
      <c r="MNT268" s="1"/>
      <c r="MNU268" s="1"/>
      <c r="MNV268" s="1"/>
      <c r="MNW268" s="1"/>
      <c r="MNX268" s="1"/>
      <c r="MNY268" s="1"/>
      <c r="MNZ268" s="1"/>
      <c r="MOA268" s="1"/>
      <c r="MOB268" s="1"/>
      <c r="MOC268" s="1"/>
      <c r="MOD268" s="1"/>
      <c r="MOE268" s="1"/>
      <c r="MOF268" s="1"/>
      <c r="MOG268" s="1"/>
      <c r="MOH268" s="1"/>
      <c r="MOI268" s="1"/>
      <c r="MOJ268" s="1"/>
      <c r="MOK268" s="1"/>
      <c r="MOL268" s="1"/>
      <c r="MOM268" s="1"/>
      <c r="MON268" s="1"/>
      <c r="MOO268" s="1"/>
      <c r="MOP268" s="1"/>
      <c r="MOQ268" s="1"/>
      <c r="MOR268" s="1"/>
      <c r="MOS268" s="1"/>
      <c r="MOT268" s="1"/>
      <c r="MOU268" s="1"/>
      <c r="MOV268" s="1"/>
      <c r="MOW268" s="1"/>
      <c r="MOX268" s="1"/>
      <c r="MOY268" s="1"/>
      <c r="MOZ268" s="1"/>
      <c r="MPA268" s="1"/>
      <c r="MPB268" s="1"/>
      <c r="MPC268" s="1"/>
      <c r="MPD268" s="1"/>
      <c r="MPE268" s="1"/>
      <c r="MPF268" s="1"/>
      <c r="MPG268" s="1"/>
      <c r="MPH268" s="1"/>
      <c r="MPI268" s="1"/>
      <c r="MPJ268" s="1"/>
      <c r="MPK268" s="1"/>
      <c r="MPL268" s="1"/>
      <c r="MPM268" s="1"/>
      <c r="MPN268" s="1"/>
      <c r="MPO268" s="1"/>
      <c r="MPP268" s="1"/>
      <c r="MPQ268" s="1"/>
      <c r="MPR268" s="1"/>
      <c r="MPS268" s="1"/>
      <c r="MPT268" s="1"/>
      <c r="MPU268" s="1"/>
      <c r="MPV268" s="1"/>
      <c r="MPW268" s="1"/>
      <c r="MPX268" s="1"/>
      <c r="MPY268" s="1"/>
      <c r="MPZ268" s="1"/>
      <c r="MQA268" s="1"/>
      <c r="MQB268" s="1"/>
      <c r="MQC268" s="1"/>
      <c r="MQD268" s="1"/>
      <c r="MQE268" s="1"/>
      <c r="MQF268" s="1"/>
      <c r="MQG268" s="1"/>
      <c r="MQH268" s="1"/>
      <c r="MQI268" s="1"/>
      <c r="MQJ268" s="1"/>
      <c r="MQK268" s="1"/>
      <c r="MQL268" s="1"/>
      <c r="MQM268" s="1"/>
      <c r="MQN268" s="1"/>
      <c r="MQO268" s="1"/>
      <c r="MQP268" s="1"/>
      <c r="MQQ268" s="1"/>
      <c r="MQR268" s="1"/>
      <c r="MQS268" s="1"/>
      <c r="MQT268" s="1"/>
      <c r="MQU268" s="1"/>
      <c r="MQV268" s="1"/>
      <c r="MQW268" s="1"/>
      <c r="MQX268" s="1"/>
      <c r="MQY268" s="1"/>
      <c r="MQZ268" s="1"/>
      <c r="MRA268" s="1"/>
      <c r="MRB268" s="1"/>
      <c r="MRC268" s="1"/>
      <c r="MRD268" s="1"/>
      <c r="MRE268" s="1"/>
      <c r="MRF268" s="1"/>
      <c r="MRG268" s="1"/>
      <c r="MRH268" s="1"/>
      <c r="MRI268" s="1"/>
      <c r="MRJ268" s="1"/>
      <c r="MRK268" s="1"/>
      <c r="MRL268" s="1"/>
      <c r="MRM268" s="1"/>
      <c r="MRN268" s="1"/>
      <c r="MRO268" s="1"/>
      <c r="MRP268" s="1"/>
      <c r="MRQ268" s="1"/>
      <c r="MRR268" s="1"/>
      <c r="MRS268" s="1"/>
      <c r="MRT268" s="1"/>
      <c r="MRU268" s="1"/>
      <c r="MRV268" s="1"/>
      <c r="MRW268" s="1"/>
      <c r="MRX268" s="1"/>
      <c r="MRY268" s="1"/>
      <c r="MRZ268" s="1"/>
      <c r="MSA268" s="1"/>
      <c r="MSB268" s="1"/>
      <c r="MSC268" s="1"/>
      <c r="MSD268" s="1"/>
      <c r="MSE268" s="1"/>
      <c r="MSF268" s="1"/>
      <c r="MSG268" s="1"/>
      <c r="MSH268" s="1"/>
      <c r="MSI268" s="1"/>
      <c r="MSJ268" s="1"/>
      <c r="MSK268" s="1"/>
      <c r="MSL268" s="1"/>
      <c r="MSM268" s="1"/>
      <c r="MSN268" s="1"/>
      <c r="MSO268" s="1"/>
      <c r="MSP268" s="1"/>
      <c r="MSQ268" s="1"/>
      <c r="MSR268" s="1"/>
      <c r="MSS268" s="1"/>
      <c r="MST268" s="1"/>
      <c r="MSU268" s="1"/>
      <c r="MSV268" s="1"/>
      <c r="MSW268" s="1"/>
      <c r="MSX268" s="1"/>
      <c r="MSY268" s="1"/>
      <c r="MSZ268" s="1"/>
      <c r="MTA268" s="1"/>
      <c r="MTB268" s="1"/>
      <c r="MTC268" s="1"/>
      <c r="MTD268" s="1"/>
      <c r="MTE268" s="1"/>
      <c r="MTF268" s="1"/>
      <c r="MTG268" s="1"/>
      <c r="MTH268" s="1"/>
      <c r="MTI268" s="1"/>
      <c r="MTJ268" s="1"/>
      <c r="MTK268" s="1"/>
      <c r="MTL268" s="1"/>
      <c r="MTM268" s="1"/>
      <c r="MTN268" s="1"/>
      <c r="MTO268" s="1"/>
      <c r="MTP268" s="1"/>
      <c r="MTQ268" s="1"/>
      <c r="MTR268" s="1"/>
      <c r="MTS268" s="1"/>
      <c r="MTT268" s="1"/>
      <c r="MTU268" s="1"/>
      <c r="MTV268" s="1"/>
      <c r="MTW268" s="1"/>
      <c r="MTX268" s="1"/>
      <c r="MTY268" s="1"/>
      <c r="MTZ268" s="1"/>
      <c r="MUA268" s="1"/>
      <c r="MUB268" s="1"/>
      <c r="MUC268" s="1"/>
      <c r="MUD268" s="1"/>
      <c r="MUE268" s="1"/>
      <c r="MUF268" s="1"/>
      <c r="MUG268" s="1"/>
      <c r="MUH268" s="1"/>
      <c r="MUI268" s="1"/>
      <c r="MUJ268" s="1"/>
      <c r="MUK268" s="1"/>
      <c r="MUL268" s="1"/>
      <c r="MUM268" s="1"/>
      <c r="MUN268" s="1"/>
      <c r="MUO268" s="1"/>
      <c r="MUP268" s="1"/>
      <c r="MUQ268" s="1"/>
      <c r="MUR268" s="1"/>
      <c r="MUS268" s="1"/>
      <c r="MUT268" s="1"/>
      <c r="MUU268" s="1"/>
      <c r="MUV268" s="1"/>
      <c r="MUW268" s="1"/>
      <c r="MUX268" s="1"/>
      <c r="MUY268" s="1"/>
      <c r="MUZ268" s="1"/>
      <c r="MVA268" s="1"/>
      <c r="MVB268" s="1"/>
      <c r="MVC268" s="1"/>
      <c r="MVD268" s="1"/>
      <c r="MVE268" s="1"/>
      <c r="MVF268" s="1"/>
      <c r="MVG268" s="1"/>
      <c r="MVH268" s="1"/>
      <c r="MVI268" s="1"/>
      <c r="MVJ268" s="1"/>
      <c r="MVK268" s="1"/>
      <c r="MVL268" s="1"/>
      <c r="MVM268" s="1"/>
      <c r="MVN268" s="1"/>
      <c r="MVO268" s="1"/>
      <c r="MVP268" s="1"/>
      <c r="MVQ268" s="1"/>
      <c r="MVR268" s="1"/>
      <c r="MVS268" s="1"/>
      <c r="MVT268" s="1"/>
      <c r="MVU268" s="1"/>
      <c r="MVV268" s="1"/>
      <c r="MVW268" s="1"/>
      <c r="MVX268" s="1"/>
      <c r="MVY268" s="1"/>
      <c r="MVZ268" s="1"/>
      <c r="MWA268" s="1"/>
      <c r="MWB268" s="1"/>
      <c r="MWC268" s="1"/>
      <c r="MWD268" s="1"/>
      <c r="MWE268" s="1"/>
      <c r="MWF268" s="1"/>
      <c r="MWG268" s="1"/>
      <c r="MWH268" s="1"/>
      <c r="MWI268" s="1"/>
      <c r="MWJ268" s="1"/>
      <c r="MWK268" s="1"/>
      <c r="MWL268" s="1"/>
      <c r="MWM268" s="1"/>
      <c r="MWN268" s="1"/>
      <c r="MWO268" s="1"/>
      <c r="MWP268" s="1"/>
      <c r="MWQ268" s="1"/>
      <c r="MWR268" s="1"/>
      <c r="MWS268" s="1"/>
      <c r="MWT268" s="1"/>
      <c r="MWU268" s="1"/>
      <c r="MWV268" s="1"/>
      <c r="MWW268" s="1"/>
      <c r="MWX268" s="1"/>
      <c r="MWY268" s="1"/>
      <c r="MWZ268" s="1"/>
      <c r="MXA268" s="1"/>
      <c r="MXB268" s="1"/>
      <c r="MXC268" s="1"/>
      <c r="MXD268" s="1"/>
      <c r="MXE268" s="1"/>
      <c r="MXF268" s="1"/>
      <c r="MXG268" s="1"/>
      <c r="MXH268" s="1"/>
      <c r="MXI268" s="1"/>
      <c r="MXJ268" s="1"/>
      <c r="MXK268" s="1"/>
      <c r="MXL268" s="1"/>
      <c r="MXM268" s="1"/>
      <c r="MXN268" s="1"/>
      <c r="MXO268" s="1"/>
      <c r="MXP268" s="1"/>
      <c r="MXQ268" s="1"/>
      <c r="MXR268" s="1"/>
      <c r="MXS268" s="1"/>
      <c r="MXT268" s="1"/>
      <c r="MXU268" s="1"/>
      <c r="MXV268" s="1"/>
      <c r="MXW268" s="1"/>
      <c r="MXX268" s="1"/>
      <c r="MXY268" s="1"/>
      <c r="MXZ268" s="1"/>
      <c r="MYA268" s="1"/>
      <c r="MYB268" s="1"/>
      <c r="MYC268" s="1"/>
      <c r="MYD268" s="1"/>
      <c r="MYE268" s="1"/>
      <c r="MYF268" s="1"/>
      <c r="MYG268" s="1"/>
      <c r="MYH268" s="1"/>
      <c r="MYI268" s="1"/>
      <c r="MYJ268" s="1"/>
      <c r="MYK268" s="1"/>
      <c r="MYL268" s="1"/>
      <c r="MYM268" s="1"/>
      <c r="MYN268" s="1"/>
      <c r="MYO268" s="1"/>
      <c r="MYP268" s="1"/>
      <c r="MYQ268" s="1"/>
      <c r="MYR268" s="1"/>
      <c r="MYS268" s="1"/>
      <c r="MYT268" s="1"/>
      <c r="MYU268" s="1"/>
      <c r="MYV268" s="1"/>
      <c r="MYW268" s="1"/>
      <c r="MYX268" s="1"/>
      <c r="MYY268" s="1"/>
      <c r="MYZ268" s="1"/>
      <c r="MZA268" s="1"/>
      <c r="MZB268" s="1"/>
      <c r="MZC268" s="1"/>
      <c r="MZD268" s="1"/>
      <c r="MZE268" s="1"/>
      <c r="MZF268" s="1"/>
      <c r="MZG268" s="1"/>
      <c r="MZH268" s="1"/>
      <c r="MZI268" s="1"/>
      <c r="MZJ268" s="1"/>
      <c r="MZK268" s="1"/>
      <c r="MZL268" s="1"/>
      <c r="MZM268" s="1"/>
      <c r="MZN268" s="1"/>
      <c r="MZO268" s="1"/>
      <c r="MZP268" s="1"/>
      <c r="MZQ268" s="1"/>
      <c r="MZR268" s="1"/>
      <c r="MZS268" s="1"/>
      <c r="MZT268" s="1"/>
      <c r="MZU268" s="1"/>
      <c r="MZV268" s="1"/>
      <c r="MZW268" s="1"/>
      <c r="MZX268" s="1"/>
      <c r="MZY268" s="1"/>
      <c r="MZZ268" s="1"/>
      <c r="NAA268" s="1"/>
      <c r="NAB268" s="1"/>
      <c r="NAC268" s="1"/>
      <c r="NAD268" s="1"/>
      <c r="NAE268" s="1"/>
      <c r="NAF268" s="1"/>
      <c r="NAG268" s="1"/>
      <c r="NAH268" s="1"/>
      <c r="NAI268" s="1"/>
      <c r="NAJ268" s="1"/>
      <c r="NAK268" s="1"/>
      <c r="NAL268" s="1"/>
      <c r="NAM268" s="1"/>
      <c r="NAN268" s="1"/>
      <c r="NAO268" s="1"/>
      <c r="NAP268" s="1"/>
      <c r="NAQ268" s="1"/>
      <c r="NAR268" s="1"/>
      <c r="NAS268" s="1"/>
      <c r="NAT268" s="1"/>
      <c r="NAU268" s="1"/>
      <c r="NAV268" s="1"/>
      <c r="NAW268" s="1"/>
      <c r="NAX268" s="1"/>
      <c r="NAY268" s="1"/>
      <c r="NAZ268" s="1"/>
      <c r="NBA268" s="1"/>
      <c r="NBB268" s="1"/>
      <c r="NBC268" s="1"/>
      <c r="NBD268" s="1"/>
      <c r="NBE268" s="1"/>
      <c r="NBF268" s="1"/>
      <c r="NBG268" s="1"/>
      <c r="NBH268" s="1"/>
      <c r="NBI268" s="1"/>
      <c r="NBJ268" s="1"/>
      <c r="NBK268" s="1"/>
      <c r="NBL268" s="1"/>
      <c r="NBM268" s="1"/>
      <c r="NBN268" s="1"/>
      <c r="NBO268" s="1"/>
      <c r="NBP268" s="1"/>
      <c r="NBQ268" s="1"/>
      <c r="NBR268" s="1"/>
      <c r="NBS268" s="1"/>
      <c r="NBT268" s="1"/>
      <c r="NBU268" s="1"/>
      <c r="NBV268" s="1"/>
      <c r="NBW268" s="1"/>
      <c r="NBX268" s="1"/>
      <c r="NBY268" s="1"/>
      <c r="NBZ268" s="1"/>
      <c r="NCA268" s="1"/>
      <c r="NCB268" s="1"/>
      <c r="NCC268" s="1"/>
      <c r="NCD268" s="1"/>
      <c r="NCE268" s="1"/>
      <c r="NCF268" s="1"/>
      <c r="NCG268" s="1"/>
      <c r="NCH268" s="1"/>
      <c r="NCI268" s="1"/>
      <c r="NCJ268" s="1"/>
      <c r="NCK268" s="1"/>
      <c r="NCL268" s="1"/>
      <c r="NCM268" s="1"/>
      <c r="NCN268" s="1"/>
      <c r="NCO268" s="1"/>
      <c r="NCP268" s="1"/>
      <c r="NCQ268" s="1"/>
      <c r="NCR268" s="1"/>
      <c r="NCS268" s="1"/>
      <c r="NCT268" s="1"/>
      <c r="NCU268" s="1"/>
      <c r="NCV268" s="1"/>
      <c r="NCW268" s="1"/>
      <c r="NCX268" s="1"/>
      <c r="NCY268" s="1"/>
      <c r="NCZ268" s="1"/>
      <c r="NDA268" s="1"/>
      <c r="NDB268" s="1"/>
      <c r="NDC268" s="1"/>
      <c r="NDD268" s="1"/>
      <c r="NDE268" s="1"/>
      <c r="NDF268" s="1"/>
      <c r="NDG268" s="1"/>
      <c r="NDH268" s="1"/>
      <c r="NDI268" s="1"/>
      <c r="NDJ268" s="1"/>
      <c r="NDK268" s="1"/>
      <c r="NDL268" s="1"/>
      <c r="NDM268" s="1"/>
      <c r="NDN268" s="1"/>
      <c r="NDO268" s="1"/>
      <c r="NDP268" s="1"/>
      <c r="NDQ268" s="1"/>
      <c r="NDR268" s="1"/>
      <c r="NDS268" s="1"/>
      <c r="NDT268" s="1"/>
      <c r="NDU268" s="1"/>
      <c r="NDV268" s="1"/>
      <c r="NDW268" s="1"/>
      <c r="NDX268" s="1"/>
      <c r="NDY268" s="1"/>
      <c r="NDZ268" s="1"/>
      <c r="NEA268" s="1"/>
      <c r="NEB268" s="1"/>
      <c r="NEC268" s="1"/>
      <c r="NED268" s="1"/>
      <c r="NEE268" s="1"/>
      <c r="NEF268" s="1"/>
      <c r="NEG268" s="1"/>
      <c r="NEH268" s="1"/>
      <c r="NEI268" s="1"/>
      <c r="NEJ268" s="1"/>
      <c r="NEK268" s="1"/>
      <c r="NEL268" s="1"/>
      <c r="NEM268" s="1"/>
      <c r="NEN268" s="1"/>
      <c r="NEO268" s="1"/>
      <c r="NEP268" s="1"/>
      <c r="NEQ268" s="1"/>
      <c r="NER268" s="1"/>
      <c r="NES268" s="1"/>
      <c r="NET268" s="1"/>
      <c r="NEU268" s="1"/>
      <c r="NEV268" s="1"/>
      <c r="NEW268" s="1"/>
      <c r="NEX268" s="1"/>
      <c r="NEY268" s="1"/>
      <c r="NEZ268" s="1"/>
      <c r="NFA268" s="1"/>
      <c r="NFB268" s="1"/>
      <c r="NFC268" s="1"/>
      <c r="NFD268" s="1"/>
      <c r="NFE268" s="1"/>
      <c r="NFF268" s="1"/>
      <c r="NFG268" s="1"/>
      <c r="NFH268" s="1"/>
      <c r="NFI268" s="1"/>
      <c r="NFJ268" s="1"/>
      <c r="NFK268" s="1"/>
      <c r="NFL268" s="1"/>
      <c r="NFM268" s="1"/>
      <c r="NFN268" s="1"/>
      <c r="NFO268" s="1"/>
      <c r="NFP268" s="1"/>
      <c r="NFQ268" s="1"/>
      <c r="NFR268" s="1"/>
      <c r="NFS268" s="1"/>
      <c r="NFT268" s="1"/>
      <c r="NFU268" s="1"/>
      <c r="NFV268" s="1"/>
      <c r="NFW268" s="1"/>
      <c r="NFX268" s="1"/>
      <c r="NFY268" s="1"/>
      <c r="NFZ268" s="1"/>
      <c r="NGA268" s="1"/>
      <c r="NGB268" s="1"/>
      <c r="NGC268" s="1"/>
      <c r="NGD268" s="1"/>
      <c r="NGE268" s="1"/>
      <c r="NGF268" s="1"/>
      <c r="NGG268" s="1"/>
      <c r="NGH268" s="1"/>
      <c r="NGI268" s="1"/>
      <c r="NGJ268" s="1"/>
      <c r="NGK268" s="1"/>
      <c r="NGL268" s="1"/>
      <c r="NGM268" s="1"/>
      <c r="NGN268" s="1"/>
      <c r="NGO268" s="1"/>
      <c r="NGP268" s="1"/>
      <c r="NGQ268" s="1"/>
      <c r="NGR268" s="1"/>
      <c r="NGS268" s="1"/>
      <c r="NGT268" s="1"/>
      <c r="NGU268" s="1"/>
      <c r="NGV268" s="1"/>
      <c r="NGW268" s="1"/>
      <c r="NGX268" s="1"/>
      <c r="NGY268" s="1"/>
      <c r="NGZ268" s="1"/>
      <c r="NHA268" s="1"/>
      <c r="NHB268" s="1"/>
      <c r="NHC268" s="1"/>
      <c r="NHD268" s="1"/>
      <c r="NHE268" s="1"/>
      <c r="NHF268" s="1"/>
      <c r="NHG268" s="1"/>
      <c r="NHH268" s="1"/>
      <c r="NHI268" s="1"/>
      <c r="NHJ268" s="1"/>
      <c r="NHK268" s="1"/>
      <c r="NHL268" s="1"/>
      <c r="NHM268" s="1"/>
      <c r="NHN268" s="1"/>
      <c r="NHO268" s="1"/>
      <c r="NHP268" s="1"/>
      <c r="NHQ268" s="1"/>
      <c r="NHR268" s="1"/>
      <c r="NHS268" s="1"/>
      <c r="NHT268" s="1"/>
      <c r="NHU268" s="1"/>
      <c r="NHV268" s="1"/>
      <c r="NHW268" s="1"/>
      <c r="NHX268" s="1"/>
      <c r="NHY268" s="1"/>
      <c r="NHZ268" s="1"/>
      <c r="NIA268" s="1"/>
      <c r="NIB268" s="1"/>
      <c r="NIC268" s="1"/>
      <c r="NID268" s="1"/>
      <c r="NIE268" s="1"/>
      <c r="NIF268" s="1"/>
      <c r="NIG268" s="1"/>
      <c r="NIH268" s="1"/>
      <c r="NII268" s="1"/>
      <c r="NIJ268" s="1"/>
      <c r="NIK268" s="1"/>
      <c r="NIL268" s="1"/>
      <c r="NIM268" s="1"/>
      <c r="NIN268" s="1"/>
      <c r="NIO268" s="1"/>
      <c r="NIP268" s="1"/>
      <c r="NIQ268" s="1"/>
      <c r="NIR268" s="1"/>
      <c r="NIS268" s="1"/>
      <c r="NIT268" s="1"/>
      <c r="NIU268" s="1"/>
      <c r="NIV268" s="1"/>
      <c r="NIW268" s="1"/>
      <c r="NIX268" s="1"/>
      <c r="NIY268" s="1"/>
      <c r="NIZ268" s="1"/>
      <c r="NJA268" s="1"/>
      <c r="NJB268" s="1"/>
      <c r="NJC268" s="1"/>
      <c r="NJD268" s="1"/>
      <c r="NJE268" s="1"/>
      <c r="NJF268" s="1"/>
      <c r="NJG268" s="1"/>
      <c r="NJH268" s="1"/>
      <c r="NJI268" s="1"/>
      <c r="NJJ268" s="1"/>
      <c r="NJK268" s="1"/>
      <c r="NJL268" s="1"/>
      <c r="NJM268" s="1"/>
      <c r="NJN268" s="1"/>
      <c r="NJO268" s="1"/>
      <c r="NJP268" s="1"/>
      <c r="NJQ268" s="1"/>
      <c r="NJR268" s="1"/>
      <c r="NJS268" s="1"/>
      <c r="NJT268" s="1"/>
      <c r="NJU268" s="1"/>
      <c r="NJV268" s="1"/>
      <c r="NJW268" s="1"/>
      <c r="NJX268" s="1"/>
      <c r="NJY268" s="1"/>
      <c r="NJZ268" s="1"/>
      <c r="NKA268" s="1"/>
      <c r="NKB268" s="1"/>
      <c r="NKC268" s="1"/>
      <c r="NKD268" s="1"/>
      <c r="NKE268" s="1"/>
      <c r="NKF268" s="1"/>
      <c r="NKG268" s="1"/>
      <c r="NKH268" s="1"/>
      <c r="NKI268" s="1"/>
      <c r="NKJ268" s="1"/>
      <c r="NKK268" s="1"/>
      <c r="NKL268" s="1"/>
      <c r="NKM268" s="1"/>
      <c r="NKN268" s="1"/>
      <c r="NKO268" s="1"/>
      <c r="NKP268" s="1"/>
      <c r="NKQ268" s="1"/>
      <c r="NKR268" s="1"/>
      <c r="NKS268" s="1"/>
      <c r="NKT268" s="1"/>
      <c r="NKU268" s="1"/>
      <c r="NKV268" s="1"/>
      <c r="NKW268" s="1"/>
      <c r="NKX268" s="1"/>
      <c r="NKY268" s="1"/>
      <c r="NKZ268" s="1"/>
      <c r="NLA268" s="1"/>
      <c r="NLB268" s="1"/>
      <c r="NLC268" s="1"/>
      <c r="NLD268" s="1"/>
      <c r="NLE268" s="1"/>
      <c r="NLF268" s="1"/>
      <c r="NLG268" s="1"/>
      <c r="NLH268" s="1"/>
      <c r="NLI268" s="1"/>
      <c r="NLJ268" s="1"/>
      <c r="NLK268" s="1"/>
      <c r="NLL268" s="1"/>
      <c r="NLM268" s="1"/>
      <c r="NLN268" s="1"/>
      <c r="NLO268" s="1"/>
      <c r="NLP268" s="1"/>
      <c r="NLQ268" s="1"/>
      <c r="NLR268" s="1"/>
      <c r="NLS268" s="1"/>
      <c r="NLT268" s="1"/>
      <c r="NLU268" s="1"/>
      <c r="NLV268" s="1"/>
      <c r="NLW268" s="1"/>
      <c r="NLX268" s="1"/>
      <c r="NLY268" s="1"/>
      <c r="NLZ268" s="1"/>
      <c r="NMA268" s="1"/>
      <c r="NMB268" s="1"/>
      <c r="NMC268" s="1"/>
      <c r="NMD268" s="1"/>
      <c r="NME268" s="1"/>
      <c r="NMF268" s="1"/>
      <c r="NMG268" s="1"/>
      <c r="NMH268" s="1"/>
      <c r="NMI268" s="1"/>
      <c r="NMJ268" s="1"/>
      <c r="NMK268" s="1"/>
      <c r="NML268" s="1"/>
      <c r="NMM268" s="1"/>
      <c r="NMN268" s="1"/>
      <c r="NMO268" s="1"/>
      <c r="NMP268" s="1"/>
      <c r="NMQ268" s="1"/>
      <c r="NMR268" s="1"/>
      <c r="NMS268" s="1"/>
      <c r="NMT268" s="1"/>
      <c r="NMU268" s="1"/>
      <c r="NMV268" s="1"/>
      <c r="NMW268" s="1"/>
      <c r="NMX268" s="1"/>
      <c r="NMY268" s="1"/>
      <c r="NMZ268" s="1"/>
      <c r="NNA268" s="1"/>
      <c r="NNB268" s="1"/>
      <c r="NNC268" s="1"/>
      <c r="NND268" s="1"/>
      <c r="NNE268" s="1"/>
      <c r="NNF268" s="1"/>
      <c r="NNG268" s="1"/>
      <c r="NNH268" s="1"/>
      <c r="NNI268" s="1"/>
      <c r="NNJ268" s="1"/>
      <c r="NNK268" s="1"/>
      <c r="NNL268" s="1"/>
      <c r="NNM268" s="1"/>
      <c r="NNN268" s="1"/>
      <c r="NNO268" s="1"/>
      <c r="NNP268" s="1"/>
      <c r="NNQ268" s="1"/>
      <c r="NNR268" s="1"/>
      <c r="NNS268" s="1"/>
      <c r="NNT268" s="1"/>
      <c r="NNU268" s="1"/>
      <c r="NNV268" s="1"/>
      <c r="NNW268" s="1"/>
      <c r="NNX268" s="1"/>
      <c r="NNY268" s="1"/>
      <c r="NNZ268" s="1"/>
      <c r="NOA268" s="1"/>
      <c r="NOB268" s="1"/>
      <c r="NOC268" s="1"/>
      <c r="NOD268" s="1"/>
      <c r="NOE268" s="1"/>
      <c r="NOF268" s="1"/>
      <c r="NOG268" s="1"/>
      <c r="NOH268" s="1"/>
      <c r="NOI268" s="1"/>
      <c r="NOJ268" s="1"/>
      <c r="NOK268" s="1"/>
      <c r="NOL268" s="1"/>
      <c r="NOM268" s="1"/>
      <c r="NON268" s="1"/>
      <c r="NOO268" s="1"/>
      <c r="NOP268" s="1"/>
      <c r="NOQ268" s="1"/>
      <c r="NOR268" s="1"/>
      <c r="NOS268" s="1"/>
      <c r="NOT268" s="1"/>
      <c r="NOU268" s="1"/>
      <c r="NOV268" s="1"/>
      <c r="NOW268" s="1"/>
      <c r="NOX268" s="1"/>
      <c r="NOY268" s="1"/>
      <c r="NOZ268" s="1"/>
      <c r="NPA268" s="1"/>
      <c r="NPB268" s="1"/>
      <c r="NPC268" s="1"/>
      <c r="NPD268" s="1"/>
      <c r="NPE268" s="1"/>
      <c r="NPF268" s="1"/>
      <c r="NPG268" s="1"/>
      <c r="NPH268" s="1"/>
      <c r="NPI268" s="1"/>
      <c r="NPJ268" s="1"/>
      <c r="NPK268" s="1"/>
      <c r="NPL268" s="1"/>
      <c r="NPM268" s="1"/>
      <c r="NPN268" s="1"/>
      <c r="NPO268" s="1"/>
      <c r="NPP268" s="1"/>
      <c r="NPQ268" s="1"/>
      <c r="NPR268" s="1"/>
      <c r="NPS268" s="1"/>
      <c r="NPT268" s="1"/>
      <c r="NPU268" s="1"/>
      <c r="NPV268" s="1"/>
      <c r="NPW268" s="1"/>
      <c r="NPX268" s="1"/>
      <c r="NPY268" s="1"/>
      <c r="NPZ268" s="1"/>
      <c r="NQA268" s="1"/>
      <c r="NQB268" s="1"/>
      <c r="NQC268" s="1"/>
      <c r="NQD268" s="1"/>
      <c r="NQE268" s="1"/>
      <c r="NQF268" s="1"/>
      <c r="NQG268" s="1"/>
      <c r="NQH268" s="1"/>
      <c r="NQI268" s="1"/>
      <c r="NQJ268" s="1"/>
      <c r="NQK268" s="1"/>
      <c r="NQL268" s="1"/>
      <c r="NQM268" s="1"/>
      <c r="NQN268" s="1"/>
      <c r="NQO268" s="1"/>
      <c r="NQP268" s="1"/>
      <c r="NQQ268" s="1"/>
      <c r="NQR268" s="1"/>
      <c r="NQS268" s="1"/>
      <c r="NQT268" s="1"/>
      <c r="NQU268" s="1"/>
      <c r="NQV268" s="1"/>
      <c r="NQW268" s="1"/>
      <c r="NQX268" s="1"/>
      <c r="NQY268" s="1"/>
      <c r="NQZ268" s="1"/>
      <c r="NRA268" s="1"/>
      <c r="NRB268" s="1"/>
      <c r="NRC268" s="1"/>
      <c r="NRD268" s="1"/>
      <c r="NRE268" s="1"/>
      <c r="NRF268" s="1"/>
      <c r="NRG268" s="1"/>
      <c r="NRH268" s="1"/>
      <c r="NRI268" s="1"/>
      <c r="NRJ268" s="1"/>
      <c r="NRK268" s="1"/>
      <c r="NRL268" s="1"/>
      <c r="NRM268" s="1"/>
      <c r="NRN268" s="1"/>
      <c r="NRO268" s="1"/>
      <c r="NRP268" s="1"/>
      <c r="NRQ268" s="1"/>
      <c r="NRR268" s="1"/>
      <c r="NRS268" s="1"/>
      <c r="NRT268" s="1"/>
      <c r="NRU268" s="1"/>
      <c r="NRV268" s="1"/>
      <c r="NRW268" s="1"/>
      <c r="NRX268" s="1"/>
      <c r="NRY268" s="1"/>
      <c r="NRZ268" s="1"/>
      <c r="NSA268" s="1"/>
      <c r="NSB268" s="1"/>
      <c r="NSC268" s="1"/>
      <c r="NSD268" s="1"/>
      <c r="NSE268" s="1"/>
      <c r="NSF268" s="1"/>
      <c r="NSG268" s="1"/>
      <c r="NSH268" s="1"/>
      <c r="NSI268" s="1"/>
      <c r="NSJ268" s="1"/>
      <c r="NSK268" s="1"/>
      <c r="NSL268" s="1"/>
      <c r="NSM268" s="1"/>
      <c r="NSN268" s="1"/>
      <c r="NSO268" s="1"/>
      <c r="NSP268" s="1"/>
      <c r="NSQ268" s="1"/>
      <c r="NSR268" s="1"/>
      <c r="NSS268" s="1"/>
      <c r="NST268" s="1"/>
      <c r="NSU268" s="1"/>
      <c r="NSV268" s="1"/>
      <c r="NSW268" s="1"/>
      <c r="NSX268" s="1"/>
      <c r="NSY268" s="1"/>
      <c r="NSZ268" s="1"/>
      <c r="NTA268" s="1"/>
      <c r="NTB268" s="1"/>
      <c r="NTC268" s="1"/>
      <c r="NTD268" s="1"/>
      <c r="NTE268" s="1"/>
      <c r="NTF268" s="1"/>
      <c r="NTG268" s="1"/>
      <c r="NTH268" s="1"/>
      <c r="NTI268" s="1"/>
      <c r="NTJ268" s="1"/>
      <c r="NTK268" s="1"/>
      <c r="NTL268" s="1"/>
      <c r="NTM268" s="1"/>
      <c r="NTN268" s="1"/>
      <c r="NTO268" s="1"/>
      <c r="NTP268" s="1"/>
      <c r="NTQ268" s="1"/>
      <c r="NTR268" s="1"/>
      <c r="NTS268" s="1"/>
      <c r="NTT268" s="1"/>
      <c r="NTU268" s="1"/>
      <c r="NTV268" s="1"/>
      <c r="NTW268" s="1"/>
      <c r="NTX268" s="1"/>
      <c r="NTY268" s="1"/>
      <c r="NTZ268" s="1"/>
      <c r="NUA268" s="1"/>
      <c r="NUB268" s="1"/>
      <c r="NUC268" s="1"/>
      <c r="NUD268" s="1"/>
      <c r="NUE268" s="1"/>
      <c r="NUF268" s="1"/>
      <c r="NUG268" s="1"/>
      <c r="NUH268" s="1"/>
      <c r="NUI268" s="1"/>
      <c r="NUJ268" s="1"/>
      <c r="NUK268" s="1"/>
      <c r="NUL268" s="1"/>
      <c r="NUM268" s="1"/>
      <c r="NUN268" s="1"/>
      <c r="NUO268" s="1"/>
      <c r="NUP268" s="1"/>
      <c r="NUQ268" s="1"/>
      <c r="NUR268" s="1"/>
      <c r="NUS268" s="1"/>
      <c r="NUT268" s="1"/>
      <c r="NUU268" s="1"/>
      <c r="NUV268" s="1"/>
      <c r="NUW268" s="1"/>
      <c r="NUX268" s="1"/>
      <c r="NUY268" s="1"/>
      <c r="NUZ268" s="1"/>
      <c r="NVA268" s="1"/>
      <c r="NVB268" s="1"/>
      <c r="NVC268" s="1"/>
      <c r="NVD268" s="1"/>
      <c r="NVE268" s="1"/>
      <c r="NVF268" s="1"/>
      <c r="NVG268" s="1"/>
      <c r="NVH268" s="1"/>
      <c r="NVI268" s="1"/>
      <c r="NVJ268" s="1"/>
      <c r="NVK268" s="1"/>
      <c r="NVL268" s="1"/>
      <c r="NVM268" s="1"/>
      <c r="NVN268" s="1"/>
      <c r="NVO268" s="1"/>
      <c r="NVP268" s="1"/>
      <c r="NVQ268" s="1"/>
      <c r="NVR268" s="1"/>
      <c r="NVS268" s="1"/>
      <c r="NVT268" s="1"/>
      <c r="NVU268" s="1"/>
      <c r="NVV268" s="1"/>
      <c r="NVW268" s="1"/>
      <c r="NVX268" s="1"/>
      <c r="NVY268" s="1"/>
      <c r="NVZ268" s="1"/>
      <c r="NWA268" s="1"/>
      <c r="NWB268" s="1"/>
      <c r="NWC268" s="1"/>
      <c r="NWD268" s="1"/>
      <c r="NWE268" s="1"/>
      <c r="NWF268" s="1"/>
      <c r="NWG268" s="1"/>
      <c r="NWH268" s="1"/>
      <c r="NWI268" s="1"/>
      <c r="NWJ268" s="1"/>
      <c r="NWK268" s="1"/>
      <c r="NWL268" s="1"/>
      <c r="NWM268" s="1"/>
      <c r="NWN268" s="1"/>
      <c r="NWO268" s="1"/>
      <c r="NWP268" s="1"/>
      <c r="NWQ268" s="1"/>
      <c r="NWR268" s="1"/>
      <c r="NWS268" s="1"/>
      <c r="NWT268" s="1"/>
      <c r="NWU268" s="1"/>
      <c r="NWV268" s="1"/>
      <c r="NWW268" s="1"/>
      <c r="NWX268" s="1"/>
      <c r="NWY268" s="1"/>
      <c r="NWZ268" s="1"/>
      <c r="NXA268" s="1"/>
      <c r="NXB268" s="1"/>
      <c r="NXC268" s="1"/>
      <c r="NXD268" s="1"/>
      <c r="NXE268" s="1"/>
      <c r="NXF268" s="1"/>
      <c r="NXG268" s="1"/>
      <c r="NXH268" s="1"/>
      <c r="NXI268" s="1"/>
      <c r="NXJ268" s="1"/>
      <c r="NXK268" s="1"/>
      <c r="NXL268" s="1"/>
      <c r="NXM268" s="1"/>
      <c r="NXN268" s="1"/>
      <c r="NXO268" s="1"/>
      <c r="NXP268" s="1"/>
      <c r="NXQ268" s="1"/>
      <c r="NXR268" s="1"/>
      <c r="NXS268" s="1"/>
      <c r="NXT268" s="1"/>
      <c r="NXU268" s="1"/>
      <c r="NXV268" s="1"/>
      <c r="NXW268" s="1"/>
      <c r="NXX268" s="1"/>
      <c r="NXY268" s="1"/>
      <c r="NXZ268" s="1"/>
      <c r="NYA268" s="1"/>
      <c r="NYB268" s="1"/>
      <c r="NYC268" s="1"/>
      <c r="NYD268" s="1"/>
      <c r="NYE268" s="1"/>
      <c r="NYF268" s="1"/>
      <c r="NYG268" s="1"/>
      <c r="NYH268" s="1"/>
      <c r="NYI268" s="1"/>
      <c r="NYJ268" s="1"/>
      <c r="NYK268" s="1"/>
      <c r="NYL268" s="1"/>
      <c r="NYM268" s="1"/>
      <c r="NYN268" s="1"/>
      <c r="NYO268" s="1"/>
      <c r="NYP268" s="1"/>
      <c r="NYQ268" s="1"/>
      <c r="NYR268" s="1"/>
      <c r="NYS268" s="1"/>
      <c r="NYT268" s="1"/>
      <c r="NYU268" s="1"/>
      <c r="NYV268" s="1"/>
      <c r="NYW268" s="1"/>
      <c r="NYX268" s="1"/>
      <c r="NYY268" s="1"/>
      <c r="NYZ268" s="1"/>
      <c r="NZA268" s="1"/>
      <c r="NZB268" s="1"/>
      <c r="NZC268" s="1"/>
      <c r="NZD268" s="1"/>
      <c r="NZE268" s="1"/>
      <c r="NZF268" s="1"/>
      <c r="NZG268" s="1"/>
      <c r="NZH268" s="1"/>
      <c r="NZI268" s="1"/>
      <c r="NZJ268" s="1"/>
      <c r="NZK268" s="1"/>
      <c r="NZL268" s="1"/>
      <c r="NZM268" s="1"/>
      <c r="NZN268" s="1"/>
      <c r="NZO268" s="1"/>
      <c r="NZP268" s="1"/>
      <c r="NZQ268" s="1"/>
      <c r="NZR268" s="1"/>
      <c r="NZS268" s="1"/>
      <c r="NZT268" s="1"/>
      <c r="NZU268" s="1"/>
      <c r="NZV268" s="1"/>
      <c r="NZW268" s="1"/>
      <c r="NZX268" s="1"/>
      <c r="NZY268" s="1"/>
      <c r="NZZ268" s="1"/>
      <c r="OAA268" s="1"/>
      <c r="OAB268" s="1"/>
      <c r="OAC268" s="1"/>
      <c r="OAD268" s="1"/>
      <c r="OAE268" s="1"/>
      <c r="OAF268" s="1"/>
      <c r="OAG268" s="1"/>
      <c r="OAH268" s="1"/>
      <c r="OAI268" s="1"/>
      <c r="OAJ268" s="1"/>
      <c r="OAK268" s="1"/>
      <c r="OAL268" s="1"/>
      <c r="OAM268" s="1"/>
      <c r="OAN268" s="1"/>
      <c r="OAO268" s="1"/>
      <c r="OAP268" s="1"/>
      <c r="OAQ268" s="1"/>
      <c r="OAR268" s="1"/>
      <c r="OAS268" s="1"/>
      <c r="OAT268" s="1"/>
      <c r="OAU268" s="1"/>
      <c r="OAV268" s="1"/>
      <c r="OAW268" s="1"/>
      <c r="OAX268" s="1"/>
      <c r="OAY268" s="1"/>
      <c r="OAZ268" s="1"/>
      <c r="OBA268" s="1"/>
      <c r="OBB268" s="1"/>
      <c r="OBC268" s="1"/>
      <c r="OBD268" s="1"/>
      <c r="OBE268" s="1"/>
      <c r="OBF268" s="1"/>
      <c r="OBG268" s="1"/>
      <c r="OBH268" s="1"/>
      <c r="OBI268" s="1"/>
      <c r="OBJ268" s="1"/>
      <c r="OBK268" s="1"/>
      <c r="OBL268" s="1"/>
      <c r="OBM268" s="1"/>
      <c r="OBN268" s="1"/>
      <c r="OBO268" s="1"/>
      <c r="OBP268" s="1"/>
      <c r="OBQ268" s="1"/>
      <c r="OBR268" s="1"/>
      <c r="OBS268" s="1"/>
      <c r="OBT268" s="1"/>
      <c r="OBU268" s="1"/>
      <c r="OBV268" s="1"/>
      <c r="OBW268" s="1"/>
      <c r="OBX268" s="1"/>
      <c r="OBY268" s="1"/>
      <c r="OBZ268" s="1"/>
      <c r="OCA268" s="1"/>
      <c r="OCB268" s="1"/>
      <c r="OCC268" s="1"/>
      <c r="OCD268" s="1"/>
      <c r="OCE268" s="1"/>
      <c r="OCF268" s="1"/>
      <c r="OCG268" s="1"/>
      <c r="OCH268" s="1"/>
      <c r="OCI268" s="1"/>
      <c r="OCJ268" s="1"/>
      <c r="OCK268" s="1"/>
      <c r="OCL268" s="1"/>
      <c r="OCM268" s="1"/>
      <c r="OCN268" s="1"/>
      <c r="OCO268" s="1"/>
      <c r="OCP268" s="1"/>
      <c r="OCQ268" s="1"/>
      <c r="OCR268" s="1"/>
      <c r="OCS268" s="1"/>
      <c r="OCT268" s="1"/>
      <c r="OCU268" s="1"/>
      <c r="OCV268" s="1"/>
      <c r="OCW268" s="1"/>
      <c r="OCX268" s="1"/>
      <c r="OCY268" s="1"/>
      <c r="OCZ268" s="1"/>
      <c r="ODA268" s="1"/>
      <c r="ODB268" s="1"/>
      <c r="ODC268" s="1"/>
      <c r="ODD268" s="1"/>
      <c r="ODE268" s="1"/>
      <c r="ODF268" s="1"/>
      <c r="ODG268" s="1"/>
      <c r="ODH268" s="1"/>
      <c r="ODI268" s="1"/>
      <c r="ODJ268" s="1"/>
      <c r="ODK268" s="1"/>
      <c r="ODL268" s="1"/>
      <c r="ODM268" s="1"/>
      <c r="ODN268" s="1"/>
      <c r="ODO268" s="1"/>
      <c r="ODP268" s="1"/>
      <c r="ODQ268" s="1"/>
      <c r="ODR268" s="1"/>
      <c r="ODS268" s="1"/>
      <c r="ODT268" s="1"/>
      <c r="ODU268" s="1"/>
      <c r="ODV268" s="1"/>
      <c r="ODW268" s="1"/>
      <c r="ODX268" s="1"/>
      <c r="ODY268" s="1"/>
      <c r="ODZ268" s="1"/>
      <c r="OEA268" s="1"/>
      <c r="OEB268" s="1"/>
      <c r="OEC268" s="1"/>
      <c r="OED268" s="1"/>
      <c r="OEE268" s="1"/>
      <c r="OEF268" s="1"/>
      <c r="OEG268" s="1"/>
      <c r="OEH268" s="1"/>
      <c r="OEI268" s="1"/>
      <c r="OEJ268" s="1"/>
      <c r="OEK268" s="1"/>
      <c r="OEL268" s="1"/>
      <c r="OEM268" s="1"/>
      <c r="OEN268" s="1"/>
      <c r="OEO268" s="1"/>
      <c r="OEP268" s="1"/>
      <c r="OEQ268" s="1"/>
      <c r="OER268" s="1"/>
      <c r="OES268" s="1"/>
      <c r="OET268" s="1"/>
      <c r="OEU268" s="1"/>
      <c r="OEV268" s="1"/>
      <c r="OEW268" s="1"/>
      <c r="OEX268" s="1"/>
      <c r="OEY268" s="1"/>
      <c r="OEZ268" s="1"/>
      <c r="OFA268" s="1"/>
      <c r="OFB268" s="1"/>
      <c r="OFC268" s="1"/>
      <c r="OFD268" s="1"/>
      <c r="OFE268" s="1"/>
      <c r="OFF268" s="1"/>
      <c r="OFG268" s="1"/>
      <c r="OFH268" s="1"/>
      <c r="OFI268" s="1"/>
      <c r="OFJ268" s="1"/>
      <c r="OFK268" s="1"/>
      <c r="OFL268" s="1"/>
      <c r="OFM268" s="1"/>
      <c r="OFN268" s="1"/>
      <c r="OFO268" s="1"/>
      <c r="OFP268" s="1"/>
      <c r="OFQ268" s="1"/>
      <c r="OFR268" s="1"/>
      <c r="OFS268" s="1"/>
      <c r="OFT268" s="1"/>
      <c r="OFU268" s="1"/>
      <c r="OFV268" s="1"/>
      <c r="OFW268" s="1"/>
      <c r="OFX268" s="1"/>
      <c r="OFY268" s="1"/>
      <c r="OFZ268" s="1"/>
      <c r="OGA268" s="1"/>
      <c r="OGB268" s="1"/>
      <c r="OGC268" s="1"/>
      <c r="OGD268" s="1"/>
      <c r="OGE268" s="1"/>
      <c r="OGF268" s="1"/>
      <c r="OGG268" s="1"/>
      <c r="OGH268" s="1"/>
      <c r="OGI268" s="1"/>
      <c r="OGJ268" s="1"/>
      <c r="OGK268" s="1"/>
      <c r="OGL268" s="1"/>
      <c r="OGM268" s="1"/>
      <c r="OGN268" s="1"/>
      <c r="OGO268" s="1"/>
      <c r="OGP268" s="1"/>
      <c r="OGQ268" s="1"/>
      <c r="OGR268" s="1"/>
      <c r="OGS268" s="1"/>
      <c r="OGT268" s="1"/>
      <c r="OGU268" s="1"/>
      <c r="OGV268" s="1"/>
      <c r="OGW268" s="1"/>
      <c r="OGX268" s="1"/>
      <c r="OGY268" s="1"/>
      <c r="OGZ268" s="1"/>
      <c r="OHA268" s="1"/>
      <c r="OHB268" s="1"/>
      <c r="OHC268" s="1"/>
      <c r="OHD268" s="1"/>
      <c r="OHE268" s="1"/>
      <c r="OHF268" s="1"/>
      <c r="OHG268" s="1"/>
      <c r="OHH268" s="1"/>
      <c r="OHI268" s="1"/>
      <c r="OHJ268" s="1"/>
      <c r="OHK268" s="1"/>
      <c r="OHL268" s="1"/>
      <c r="OHM268" s="1"/>
      <c r="OHN268" s="1"/>
      <c r="OHO268" s="1"/>
      <c r="OHP268" s="1"/>
      <c r="OHQ268" s="1"/>
      <c r="OHR268" s="1"/>
      <c r="OHS268" s="1"/>
      <c r="OHT268" s="1"/>
      <c r="OHU268" s="1"/>
      <c r="OHV268" s="1"/>
      <c r="OHW268" s="1"/>
      <c r="OHX268" s="1"/>
      <c r="OHY268" s="1"/>
      <c r="OHZ268" s="1"/>
      <c r="OIA268" s="1"/>
      <c r="OIB268" s="1"/>
      <c r="OIC268" s="1"/>
      <c r="OID268" s="1"/>
      <c r="OIE268" s="1"/>
      <c r="OIF268" s="1"/>
      <c r="OIG268" s="1"/>
      <c r="OIH268" s="1"/>
      <c r="OII268" s="1"/>
      <c r="OIJ268" s="1"/>
      <c r="OIK268" s="1"/>
      <c r="OIL268" s="1"/>
      <c r="OIM268" s="1"/>
      <c r="OIN268" s="1"/>
      <c r="OIO268" s="1"/>
      <c r="OIP268" s="1"/>
      <c r="OIQ268" s="1"/>
      <c r="OIR268" s="1"/>
      <c r="OIS268" s="1"/>
      <c r="OIT268" s="1"/>
      <c r="OIU268" s="1"/>
      <c r="OIV268" s="1"/>
      <c r="OIW268" s="1"/>
      <c r="OIX268" s="1"/>
      <c r="OIY268" s="1"/>
      <c r="OIZ268" s="1"/>
      <c r="OJA268" s="1"/>
      <c r="OJB268" s="1"/>
      <c r="OJC268" s="1"/>
      <c r="OJD268" s="1"/>
      <c r="OJE268" s="1"/>
      <c r="OJF268" s="1"/>
      <c r="OJG268" s="1"/>
      <c r="OJH268" s="1"/>
      <c r="OJI268" s="1"/>
      <c r="OJJ268" s="1"/>
      <c r="OJK268" s="1"/>
      <c r="OJL268" s="1"/>
      <c r="OJM268" s="1"/>
      <c r="OJN268" s="1"/>
      <c r="OJO268" s="1"/>
      <c r="OJP268" s="1"/>
      <c r="OJQ268" s="1"/>
      <c r="OJR268" s="1"/>
      <c r="OJS268" s="1"/>
      <c r="OJT268" s="1"/>
      <c r="OJU268" s="1"/>
      <c r="OJV268" s="1"/>
      <c r="OJW268" s="1"/>
      <c r="OJX268" s="1"/>
      <c r="OJY268" s="1"/>
      <c r="OJZ268" s="1"/>
      <c r="OKA268" s="1"/>
      <c r="OKB268" s="1"/>
      <c r="OKC268" s="1"/>
      <c r="OKD268" s="1"/>
      <c r="OKE268" s="1"/>
      <c r="OKF268" s="1"/>
      <c r="OKG268" s="1"/>
      <c r="OKH268" s="1"/>
      <c r="OKI268" s="1"/>
      <c r="OKJ268" s="1"/>
      <c r="OKK268" s="1"/>
      <c r="OKL268" s="1"/>
      <c r="OKM268" s="1"/>
      <c r="OKN268" s="1"/>
      <c r="OKO268" s="1"/>
      <c r="OKP268" s="1"/>
      <c r="OKQ268" s="1"/>
      <c r="OKR268" s="1"/>
      <c r="OKS268" s="1"/>
      <c r="OKT268" s="1"/>
      <c r="OKU268" s="1"/>
      <c r="OKV268" s="1"/>
      <c r="OKW268" s="1"/>
      <c r="OKX268" s="1"/>
      <c r="OKY268" s="1"/>
      <c r="OKZ268" s="1"/>
      <c r="OLA268" s="1"/>
      <c r="OLB268" s="1"/>
      <c r="OLC268" s="1"/>
      <c r="OLD268" s="1"/>
      <c r="OLE268" s="1"/>
      <c r="OLF268" s="1"/>
      <c r="OLG268" s="1"/>
      <c r="OLH268" s="1"/>
      <c r="OLI268" s="1"/>
      <c r="OLJ268" s="1"/>
      <c r="OLK268" s="1"/>
      <c r="OLL268" s="1"/>
      <c r="OLM268" s="1"/>
      <c r="OLN268" s="1"/>
      <c r="OLO268" s="1"/>
      <c r="OLP268" s="1"/>
      <c r="OLQ268" s="1"/>
      <c r="OLR268" s="1"/>
      <c r="OLS268" s="1"/>
      <c r="OLT268" s="1"/>
      <c r="OLU268" s="1"/>
      <c r="OLV268" s="1"/>
      <c r="OLW268" s="1"/>
      <c r="OLX268" s="1"/>
      <c r="OLY268" s="1"/>
      <c r="OLZ268" s="1"/>
      <c r="OMA268" s="1"/>
      <c r="OMB268" s="1"/>
      <c r="OMC268" s="1"/>
      <c r="OMD268" s="1"/>
      <c r="OME268" s="1"/>
      <c r="OMF268" s="1"/>
      <c r="OMG268" s="1"/>
      <c r="OMH268" s="1"/>
      <c r="OMI268" s="1"/>
      <c r="OMJ268" s="1"/>
      <c r="OMK268" s="1"/>
      <c r="OML268" s="1"/>
      <c r="OMM268" s="1"/>
      <c r="OMN268" s="1"/>
      <c r="OMO268" s="1"/>
      <c r="OMP268" s="1"/>
      <c r="OMQ268" s="1"/>
      <c r="OMR268" s="1"/>
      <c r="OMS268" s="1"/>
      <c r="OMT268" s="1"/>
      <c r="OMU268" s="1"/>
      <c r="OMV268" s="1"/>
      <c r="OMW268" s="1"/>
      <c r="OMX268" s="1"/>
      <c r="OMY268" s="1"/>
      <c r="OMZ268" s="1"/>
      <c r="ONA268" s="1"/>
      <c r="ONB268" s="1"/>
      <c r="ONC268" s="1"/>
      <c r="OND268" s="1"/>
      <c r="ONE268" s="1"/>
      <c r="ONF268" s="1"/>
      <c r="ONG268" s="1"/>
      <c r="ONH268" s="1"/>
      <c r="ONI268" s="1"/>
      <c r="ONJ268" s="1"/>
      <c r="ONK268" s="1"/>
      <c r="ONL268" s="1"/>
      <c r="ONM268" s="1"/>
      <c r="ONN268" s="1"/>
      <c r="ONO268" s="1"/>
      <c r="ONP268" s="1"/>
      <c r="ONQ268" s="1"/>
      <c r="ONR268" s="1"/>
      <c r="ONS268" s="1"/>
      <c r="ONT268" s="1"/>
      <c r="ONU268" s="1"/>
      <c r="ONV268" s="1"/>
      <c r="ONW268" s="1"/>
      <c r="ONX268" s="1"/>
      <c r="ONY268" s="1"/>
      <c r="ONZ268" s="1"/>
      <c r="OOA268" s="1"/>
      <c r="OOB268" s="1"/>
      <c r="OOC268" s="1"/>
      <c r="OOD268" s="1"/>
      <c r="OOE268" s="1"/>
      <c r="OOF268" s="1"/>
      <c r="OOG268" s="1"/>
      <c r="OOH268" s="1"/>
      <c r="OOI268" s="1"/>
      <c r="OOJ268" s="1"/>
      <c r="OOK268" s="1"/>
      <c r="OOL268" s="1"/>
      <c r="OOM268" s="1"/>
      <c r="OON268" s="1"/>
      <c r="OOO268" s="1"/>
      <c r="OOP268" s="1"/>
      <c r="OOQ268" s="1"/>
      <c r="OOR268" s="1"/>
      <c r="OOS268" s="1"/>
      <c r="OOT268" s="1"/>
      <c r="OOU268" s="1"/>
      <c r="OOV268" s="1"/>
      <c r="OOW268" s="1"/>
      <c r="OOX268" s="1"/>
      <c r="OOY268" s="1"/>
      <c r="OOZ268" s="1"/>
      <c r="OPA268" s="1"/>
      <c r="OPB268" s="1"/>
      <c r="OPC268" s="1"/>
      <c r="OPD268" s="1"/>
      <c r="OPE268" s="1"/>
      <c r="OPF268" s="1"/>
      <c r="OPG268" s="1"/>
      <c r="OPH268" s="1"/>
      <c r="OPI268" s="1"/>
      <c r="OPJ268" s="1"/>
      <c r="OPK268" s="1"/>
      <c r="OPL268" s="1"/>
      <c r="OPM268" s="1"/>
      <c r="OPN268" s="1"/>
      <c r="OPO268" s="1"/>
      <c r="OPP268" s="1"/>
      <c r="OPQ268" s="1"/>
      <c r="OPR268" s="1"/>
      <c r="OPS268" s="1"/>
      <c r="OPT268" s="1"/>
      <c r="OPU268" s="1"/>
      <c r="OPV268" s="1"/>
      <c r="OPW268" s="1"/>
      <c r="OPX268" s="1"/>
      <c r="OPY268" s="1"/>
      <c r="OPZ268" s="1"/>
      <c r="OQA268" s="1"/>
      <c r="OQB268" s="1"/>
      <c r="OQC268" s="1"/>
      <c r="OQD268" s="1"/>
      <c r="OQE268" s="1"/>
      <c r="OQF268" s="1"/>
      <c r="OQG268" s="1"/>
      <c r="OQH268" s="1"/>
      <c r="OQI268" s="1"/>
      <c r="OQJ268" s="1"/>
      <c r="OQK268" s="1"/>
      <c r="OQL268" s="1"/>
      <c r="OQM268" s="1"/>
      <c r="OQN268" s="1"/>
      <c r="OQO268" s="1"/>
      <c r="OQP268" s="1"/>
      <c r="OQQ268" s="1"/>
      <c r="OQR268" s="1"/>
      <c r="OQS268" s="1"/>
      <c r="OQT268" s="1"/>
      <c r="OQU268" s="1"/>
      <c r="OQV268" s="1"/>
      <c r="OQW268" s="1"/>
      <c r="OQX268" s="1"/>
      <c r="OQY268" s="1"/>
      <c r="OQZ268" s="1"/>
      <c r="ORA268" s="1"/>
      <c r="ORB268" s="1"/>
      <c r="ORC268" s="1"/>
      <c r="ORD268" s="1"/>
      <c r="ORE268" s="1"/>
      <c r="ORF268" s="1"/>
      <c r="ORG268" s="1"/>
      <c r="ORH268" s="1"/>
      <c r="ORI268" s="1"/>
      <c r="ORJ268" s="1"/>
      <c r="ORK268" s="1"/>
      <c r="ORL268" s="1"/>
      <c r="ORM268" s="1"/>
      <c r="ORN268" s="1"/>
      <c r="ORO268" s="1"/>
      <c r="ORP268" s="1"/>
      <c r="ORQ268" s="1"/>
      <c r="ORR268" s="1"/>
      <c r="ORS268" s="1"/>
      <c r="ORT268" s="1"/>
      <c r="ORU268" s="1"/>
      <c r="ORV268" s="1"/>
      <c r="ORW268" s="1"/>
      <c r="ORX268" s="1"/>
      <c r="ORY268" s="1"/>
      <c r="ORZ268" s="1"/>
      <c r="OSA268" s="1"/>
      <c r="OSB268" s="1"/>
      <c r="OSC268" s="1"/>
      <c r="OSD268" s="1"/>
      <c r="OSE268" s="1"/>
      <c r="OSF268" s="1"/>
      <c r="OSG268" s="1"/>
      <c r="OSH268" s="1"/>
      <c r="OSI268" s="1"/>
      <c r="OSJ268" s="1"/>
      <c r="OSK268" s="1"/>
      <c r="OSL268" s="1"/>
      <c r="OSM268" s="1"/>
      <c r="OSN268" s="1"/>
      <c r="OSO268" s="1"/>
      <c r="OSP268" s="1"/>
      <c r="OSQ268" s="1"/>
      <c r="OSR268" s="1"/>
      <c r="OSS268" s="1"/>
      <c r="OST268" s="1"/>
      <c r="OSU268" s="1"/>
      <c r="OSV268" s="1"/>
      <c r="OSW268" s="1"/>
      <c r="OSX268" s="1"/>
      <c r="OSY268" s="1"/>
      <c r="OSZ268" s="1"/>
      <c r="OTA268" s="1"/>
      <c r="OTB268" s="1"/>
      <c r="OTC268" s="1"/>
      <c r="OTD268" s="1"/>
      <c r="OTE268" s="1"/>
      <c r="OTF268" s="1"/>
      <c r="OTG268" s="1"/>
      <c r="OTH268" s="1"/>
      <c r="OTI268" s="1"/>
      <c r="OTJ268" s="1"/>
      <c r="OTK268" s="1"/>
      <c r="OTL268" s="1"/>
      <c r="OTM268" s="1"/>
      <c r="OTN268" s="1"/>
      <c r="OTO268" s="1"/>
      <c r="OTP268" s="1"/>
      <c r="OTQ268" s="1"/>
      <c r="OTR268" s="1"/>
      <c r="OTS268" s="1"/>
      <c r="OTT268" s="1"/>
      <c r="OTU268" s="1"/>
      <c r="OTV268" s="1"/>
      <c r="OTW268" s="1"/>
      <c r="OTX268" s="1"/>
      <c r="OTY268" s="1"/>
      <c r="OTZ268" s="1"/>
      <c r="OUA268" s="1"/>
      <c r="OUB268" s="1"/>
      <c r="OUC268" s="1"/>
      <c r="OUD268" s="1"/>
      <c r="OUE268" s="1"/>
      <c r="OUF268" s="1"/>
      <c r="OUG268" s="1"/>
      <c r="OUH268" s="1"/>
      <c r="OUI268" s="1"/>
      <c r="OUJ268" s="1"/>
      <c r="OUK268" s="1"/>
      <c r="OUL268" s="1"/>
      <c r="OUM268" s="1"/>
      <c r="OUN268" s="1"/>
      <c r="OUO268" s="1"/>
      <c r="OUP268" s="1"/>
      <c r="OUQ268" s="1"/>
      <c r="OUR268" s="1"/>
      <c r="OUS268" s="1"/>
      <c r="OUT268" s="1"/>
      <c r="OUU268" s="1"/>
      <c r="OUV268" s="1"/>
      <c r="OUW268" s="1"/>
      <c r="OUX268" s="1"/>
      <c r="OUY268" s="1"/>
      <c r="OUZ268" s="1"/>
      <c r="OVA268" s="1"/>
      <c r="OVB268" s="1"/>
      <c r="OVC268" s="1"/>
      <c r="OVD268" s="1"/>
      <c r="OVE268" s="1"/>
      <c r="OVF268" s="1"/>
      <c r="OVG268" s="1"/>
      <c r="OVH268" s="1"/>
      <c r="OVI268" s="1"/>
      <c r="OVJ268" s="1"/>
      <c r="OVK268" s="1"/>
      <c r="OVL268" s="1"/>
      <c r="OVM268" s="1"/>
      <c r="OVN268" s="1"/>
      <c r="OVO268" s="1"/>
      <c r="OVP268" s="1"/>
      <c r="OVQ268" s="1"/>
      <c r="OVR268" s="1"/>
      <c r="OVS268" s="1"/>
      <c r="OVT268" s="1"/>
      <c r="OVU268" s="1"/>
      <c r="OVV268" s="1"/>
      <c r="OVW268" s="1"/>
      <c r="OVX268" s="1"/>
      <c r="OVY268" s="1"/>
      <c r="OVZ268" s="1"/>
      <c r="OWA268" s="1"/>
      <c r="OWB268" s="1"/>
      <c r="OWC268" s="1"/>
      <c r="OWD268" s="1"/>
      <c r="OWE268" s="1"/>
      <c r="OWF268" s="1"/>
      <c r="OWG268" s="1"/>
      <c r="OWH268" s="1"/>
      <c r="OWI268" s="1"/>
      <c r="OWJ268" s="1"/>
      <c r="OWK268" s="1"/>
      <c r="OWL268" s="1"/>
      <c r="OWM268" s="1"/>
      <c r="OWN268" s="1"/>
      <c r="OWO268" s="1"/>
      <c r="OWP268" s="1"/>
      <c r="OWQ268" s="1"/>
      <c r="OWR268" s="1"/>
      <c r="OWS268" s="1"/>
      <c r="OWT268" s="1"/>
      <c r="OWU268" s="1"/>
      <c r="OWV268" s="1"/>
      <c r="OWW268" s="1"/>
      <c r="OWX268" s="1"/>
      <c r="OWY268" s="1"/>
      <c r="OWZ268" s="1"/>
      <c r="OXA268" s="1"/>
      <c r="OXB268" s="1"/>
      <c r="OXC268" s="1"/>
      <c r="OXD268" s="1"/>
      <c r="OXE268" s="1"/>
      <c r="OXF268" s="1"/>
      <c r="OXG268" s="1"/>
      <c r="OXH268" s="1"/>
      <c r="OXI268" s="1"/>
      <c r="OXJ268" s="1"/>
      <c r="OXK268" s="1"/>
      <c r="OXL268" s="1"/>
      <c r="OXM268" s="1"/>
      <c r="OXN268" s="1"/>
      <c r="OXO268" s="1"/>
      <c r="OXP268" s="1"/>
      <c r="OXQ268" s="1"/>
      <c r="OXR268" s="1"/>
      <c r="OXS268" s="1"/>
      <c r="OXT268" s="1"/>
      <c r="OXU268" s="1"/>
      <c r="OXV268" s="1"/>
      <c r="OXW268" s="1"/>
      <c r="OXX268" s="1"/>
      <c r="OXY268" s="1"/>
      <c r="OXZ268" s="1"/>
      <c r="OYA268" s="1"/>
      <c r="OYB268" s="1"/>
      <c r="OYC268" s="1"/>
      <c r="OYD268" s="1"/>
      <c r="OYE268" s="1"/>
      <c r="OYF268" s="1"/>
      <c r="OYG268" s="1"/>
      <c r="OYH268" s="1"/>
      <c r="OYI268" s="1"/>
      <c r="OYJ268" s="1"/>
      <c r="OYK268" s="1"/>
      <c r="OYL268" s="1"/>
      <c r="OYM268" s="1"/>
      <c r="OYN268" s="1"/>
      <c r="OYO268" s="1"/>
      <c r="OYP268" s="1"/>
      <c r="OYQ268" s="1"/>
      <c r="OYR268" s="1"/>
      <c r="OYS268" s="1"/>
      <c r="OYT268" s="1"/>
      <c r="OYU268" s="1"/>
      <c r="OYV268" s="1"/>
      <c r="OYW268" s="1"/>
      <c r="OYX268" s="1"/>
      <c r="OYY268" s="1"/>
      <c r="OYZ268" s="1"/>
      <c r="OZA268" s="1"/>
      <c r="OZB268" s="1"/>
      <c r="OZC268" s="1"/>
      <c r="OZD268" s="1"/>
      <c r="OZE268" s="1"/>
      <c r="OZF268" s="1"/>
      <c r="OZG268" s="1"/>
      <c r="OZH268" s="1"/>
      <c r="OZI268" s="1"/>
      <c r="OZJ268" s="1"/>
      <c r="OZK268" s="1"/>
      <c r="OZL268" s="1"/>
      <c r="OZM268" s="1"/>
      <c r="OZN268" s="1"/>
      <c r="OZO268" s="1"/>
      <c r="OZP268" s="1"/>
      <c r="OZQ268" s="1"/>
      <c r="OZR268" s="1"/>
      <c r="OZS268" s="1"/>
      <c r="OZT268" s="1"/>
      <c r="OZU268" s="1"/>
      <c r="OZV268" s="1"/>
      <c r="OZW268" s="1"/>
      <c r="OZX268" s="1"/>
      <c r="OZY268" s="1"/>
      <c r="OZZ268" s="1"/>
      <c r="PAA268" s="1"/>
      <c r="PAB268" s="1"/>
      <c r="PAC268" s="1"/>
      <c r="PAD268" s="1"/>
      <c r="PAE268" s="1"/>
      <c r="PAF268" s="1"/>
      <c r="PAG268" s="1"/>
      <c r="PAH268" s="1"/>
      <c r="PAI268" s="1"/>
      <c r="PAJ268" s="1"/>
      <c r="PAK268" s="1"/>
      <c r="PAL268" s="1"/>
      <c r="PAM268" s="1"/>
      <c r="PAN268" s="1"/>
      <c r="PAO268" s="1"/>
      <c r="PAP268" s="1"/>
      <c r="PAQ268" s="1"/>
      <c r="PAR268" s="1"/>
      <c r="PAS268" s="1"/>
      <c r="PAT268" s="1"/>
      <c r="PAU268" s="1"/>
      <c r="PAV268" s="1"/>
      <c r="PAW268" s="1"/>
      <c r="PAX268" s="1"/>
      <c r="PAY268" s="1"/>
      <c r="PAZ268" s="1"/>
      <c r="PBA268" s="1"/>
      <c r="PBB268" s="1"/>
      <c r="PBC268" s="1"/>
      <c r="PBD268" s="1"/>
      <c r="PBE268" s="1"/>
      <c r="PBF268" s="1"/>
      <c r="PBG268" s="1"/>
      <c r="PBH268" s="1"/>
      <c r="PBI268" s="1"/>
      <c r="PBJ268" s="1"/>
      <c r="PBK268" s="1"/>
      <c r="PBL268" s="1"/>
      <c r="PBM268" s="1"/>
      <c r="PBN268" s="1"/>
      <c r="PBO268" s="1"/>
      <c r="PBP268" s="1"/>
      <c r="PBQ268" s="1"/>
      <c r="PBR268" s="1"/>
      <c r="PBS268" s="1"/>
      <c r="PBT268" s="1"/>
      <c r="PBU268" s="1"/>
      <c r="PBV268" s="1"/>
      <c r="PBW268" s="1"/>
      <c r="PBX268" s="1"/>
      <c r="PBY268" s="1"/>
      <c r="PBZ268" s="1"/>
      <c r="PCA268" s="1"/>
      <c r="PCB268" s="1"/>
      <c r="PCC268" s="1"/>
      <c r="PCD268" s="1"/>
      <c r="PCE268" s="1"/>
      <c r="PCF268" s="1"/>
      <c r="PCG268" s="1"/>
      <c r="PCH268" s="1"/>
      <c r="PCI268" s="1"/>
      <c r="PCJ268" s="1"/>
      <c r="PCK268" s="1"/>
      <c r="PCL268" s="1"/>
      <c r="PCM268" s="1"/>
      <c r="PCN268" s="1"/>
      <c r="PCO268" s="1"/>
      <c r="PCP268" s="1"/>
      <c r="PCQ268" s="1"/>
      <c r="PCR268" s="1"/>
      <c r="PCS268" s="1"/>
      <c r="PCT268" s="1"/>
      <c r="PCU268" s="1"/>
      <c r="PCV268" s="1"/>
      <c r="PCW268" s="1"/>
      <c r="PCX268" s="1"/>
      <c r="PCY268" s="1"/>
      <c r="PCZ268" s="1"/>
      <c r="PDA268" s="1"/>
      <c r="PDB268" s="1"/>
      <c r="PDC268" s="1"/>
      <c r="PDD268" s="1"/>
      <c r="PDE268" s="1"/>
      <c r="PDF268" s="1"/>
      <c r="PDG268" s="1"/>
      <c r="PDH268" s="1"/>
      <c r="PDI268" s="1"/>
      <c r="PDJ268" s="1"/>
      <c r="PDK268" s="1"/>
      <c r="PDL268" s="1"/>
      <c r="PDM268" s="1"/>
      <c r="PDN268" s="1"/>
      <c r="PDO268" s="1"/>
      <c r="PDP268" s="1"/>
      <c r="PDQ268" s="1"/>
      <c r="PDR268" s="1"/>
      <c r="PDS268" s="1"/>
      <c r="PDT268" s="1"/>
      <c r="PDU268" s="1"/>
      <c r="PDV268" s="1"/>
      <c r="PDW268" s="1"/>
      <c r="PDX268" s="1"/>
      <c r="PDY268" s="1"/>
      <c r="PDZ268" s="1"/>
      <c r="PEA268" s="1"/>
      <c r="PEB268" s="1"/>
      <c r="PEC268" s="1"/>
      <c r="PED268" s="1"/>
      <c r="PEE268" s="1"/>
      <c r="PEF268" s="1"/>
      <c r="PEG268" s="1"/>
      <c r="PEH268" s="1"/>
      <c r="PEI268" s="1"/>
      <c r="PEJ268" s="1"/>
      <c r="PEK268" s="1"/>
      <c r="PEL268" s="1"/>
      <c r="PEM268" s="1"/>
      <c r="PEN268" s="1"/>
      <c r="PEO268" s="1"/>
      <c r="PEP268" s="1"/>
      <c r="PEQ268" s="1"/>
      <c r="PER268" s="1"/>
      <c r="PES268" s="1"/>
      <c r="PET268" s="1"/>
      <c r="PEU268" s="1"/>
      <c r="PEV268" s="1"/>
      <c r="PEW268" s="1"/>
      <c r="PEX268" s="1"/>
      <c r="PEY268" s="1"/>
      <c r="PEZ268" s="1"/>
      <c r="PFA268" s="1"/>
      <c r="PFB268" s="1"/>
      <c r="PFC268" s="1"/>
      <c r="PFD268" s="1"/>
      <c r="PFE268" s="1"/>
      <c r="PFF268" s="1"/>
      <c r="PFG268" s="1"/>
      <c r="PFH268" s="1"/>
      <c r="PFI268" s="1"/>
      <c r="PFJ268" s="1"/>
      <c r="PFK268" s="1"/>
      <c r="PFL268" s="1"/>
      <c r="PFM268" s="1"/>
      <c r="PFN268" s="1"/>
      <c r="PFO268" s="1"/>
      <c r="PFP268" s="1"/>
      <c r="PFQ268" s="1"/>
      <c r="PFR268" s="1"/>
      <c r="PFS268" s="1"/>
      <c r="PFT268" s="1"/>
      <c r="PFU268" s="1"/>
      <c r="PFV268" s="1"/>
      <c r="PFW268" s="1"/>
      <c r="PFX268" s="1"/>
      <c r="PFY268" s="1"/>
      <c r="PFZ268" s="1"/>
      <c r="PGA268" s="1"/>
      <c r="PGB268" s="1"/>
      <c r="PGC268" s="1"/>
      <c r="PGD268" s="1"/>
      <c r="PGE268" s="1"/>
      <c r="PGF268" s="1"/>
      <c r="PGG268" s="1"/>
      <c r="PGH268" s="1"/>
      <c r="PGI268" s="1"/>
      <c r="PGJ268" s="1"/>
      <c r="PGK268" s="1"/>
      <c r="PGL268" s="1"/>
      <c r="PGM268" s="1"/>
      <c r="PGN268" s="1"/>
      <c r="PGO268" s="1"/>
      <c r="PGP268" s="1"/>
      <c r="PGQ268" s="1"/>
      <c r="PGR268" s="1"/>
      <c r="PGS268" s="1"/>
      <c r="PGT268" s="1"/>
      <c r="PGU268" s="1"/>
      <c r="PGV268" s="1"/>
      <c r="PGW268" s="1"/>
      <c r="PGX268" s="1"/>
      <c r="PGY268" s="1"/>
      <c r="PGZ268" s="1"/>
      <c r="PHA268" s="1"/>
      <c r="PHB268" s="1"/>
      <c r="PHC268" s="1"/>
      <c r="PHD268" s="1"/>
      <c r="PHE268" s="1"/>
      <c r="PHF268" s="1"/>
      <c r="PHG268" s="1"/>
      <c r="PHH268" s="1"/>
      <c r="PHI268" s="1"/>
      <c r="PHJ268" s="1"/>
      <c r="PHK268" s="1"/>
      <c r="PHL268" s="1"/>
      <c r="PHM268" s="1"/>
      <c r="PHN268" s="1"/>
      <c r="PHO268" s="1"/>
      <c r="PHP268" s="1"/>
      <c r="PHQ268" s="1"/>
      <c r="PHR268" s="1"/>
      <c r="PHS268" s="1"/>
      <c r="PHT268" s="1"/>
      <c r="PHU268" s="1"/>
      <c r="PHV268" s="1"/>
      <c r="PHW268" s="1"/>
      <c r="PHX268" s="1"/>
      <c r="PHY268" s="1"/>
      <c r="PHZ268" s="1"/>
      <c r="PIA268" s="1"/>
      <c r="PIB268" s="1"/>
      <c r="PIC268" s="1"/>
      <c r="PID268" s="1"/>
      <c r="PIE268" s="1"/>
      <c r="PIF268" s="1"/>
      <c r="PIG268" s="1"/>
      <c r="PIH268" s="1"/>
      <c r="PII268" s="1"/>
      <c r="PIJ268" s="1"/>
      <c r="PIK268" s="1"/>
      <c r="PIL268" s="1"/>
      <c r="PIM268" s="1"/>
      <c r="PIN268" s="1"/>
      <c r="PIO268" s="1"/>
      <c r="PIP268" s="1"/>
      <c r="PIQ268" s="1"/>
      <c r="PIR268" s="1"/>
      <c r="PIS268" s="1"/>
      <c r="PIT268" s="1"/>
      <c r="PIU268" s="1"/>
      <c r="PIV268" s="1"/>
      <c r="PIW268" s="1"/>
      <c r="PIX268" s="1"/>
      <c r="PIY268" s="1"/>
      <c r="PIZ268" s="1"/>
      <c r="PJA268" s="1"/>
      <c r="PJB268" s="1"/>
      <c r="PJC268" s="1"/>
      <c r="PJD268" s="1"/>
      <c r="PJE268" s="1"/>
      <c r="PJF268" s="1"/>
      <c r="PJG268" s="1"/>
      <c r="PJH268" s="1"/>
      <c r="PJI268" s="1"/>
      <c r="PJJ268" s="1"/>
      <c r="PJK268" s="1"/>
      <c r="PJL268" s="1"/>
      <c r="PJM268" s="1"/>
      <c r="PJN268" s="1"/>
      <c r="PJO268" s="1"/>
      <c r="PJP268" s="1"/>
      <c r="PJQ268" s="1"/>
      <c r="PJR268" s="1"/>
      <c r="PJS268" s="1"/>
      <c r="PJT268" s="1"/>
      <c r="PJU268" s="1"/>
      <c r="PJV268" s="1"/>
      <c r="PJW268" s="1"/>
      <c r="PJX268" s="1"/>
      <c r="PJY268" s="1"/>
      <c r="PJZ268" s="1"/>
      <c r="PKA268" s="1"/>
      <c r="PKB268" s="1"/>
      <c r="PKC268" s="1"/>
      <c r="PKD268" s="1"/>
      <c r="PKE268" s="1"/>
      <c r="PKF268" s="1"/>
      <c r="PKG268" s="1"/>
      <c r="PKH268" s="1"/>
      <c r="PKI268" s="1"/>
      <c r="PKJ268" s="1"/>
      <c r="PKK268" s="1"/>
      <c r="PKL268" s="1"/>
      <c r="PKM268" s="1"/>
      <c r="PKN268" s="1"/>
      <c r="PKO268" s="1"/>
      <c r="PKP268" s="1"/>
      <c r="PKQ268" s="1"/>
      <c r="PKR268" s="1"/>
      <c r="PKS268" s="1"/>
      <c r="PKT268" s="1"/>
      <c r="PKU268" s="1"/>
      <c r="PKV268" s="1"/>
      <c r="PKW268" s="1"/>
      <c r="PKX268" s="1"/>
      <c r="PKY268" s="1"/>
      <c r="PKZ268" s="1"/>
      <c r="PLA268" s="1"/>
      <c r="PLB268" s="1"/>
      <c r="PLC268" s="1"/>
      <c r="PLD268" s="1"/>
      <c r="PLE268" s="1"/>
      <c r="PLF268" s="1"/>
      <c r="PLG268" s="1"/>
      <c r="PLH268" s="1"/>
      <c r="PLI268" s="1"/>
      <c r="PLJ268" s="1"/>
      <c r="PLK268" s="1"/>
      <c r="PLL268" s="1"/>
      <c r="PLM268" s="1"/>
      <c r="PLN268" s="1"/>
      <c r="PLO268" s="1"/>
      <c r="PLP268" s="1"/>
      <c r="PLQ268" s="1"/>
      <c r="PLR268" s="1"/>
      <c r="PLS268" s="1"/>
      <c r="PLT268" s="1"/>
      <c r="PLU268" s="1"/>
      <c r="PLV268" s="1"/>
      <c r="PLW268" s="1"/>
      <c r="PLX268" s="1"/>
      <c r="PLY268" s="1"/>
      <c r="PLZ268" s="1"/>
      <c r="PMA268" s="1"/>
      <c r="PMB268" s="1"/>
      <c r="PMC268" s="1"/>
      <c r="PMD268" s="1"/>
      <c r="PME268" s="1"/>
      <c r="PMF268" s="1"/>
      <c r="PMG268" s="1"/>
      <c r="PMH268" s="1"/>
      <c r="PMI268" s="1"/>
      <c r="PMJ268" s="1"/>
      <c r="PMK268" s="1"/>
      <c r="PML268" s="1"/>
      <c r="PMM268" s="1"/>
      <c r="PMN268" s="1"/>
      <c r="PMO268" s="1"/>
      <c r="PMP268" s="1"/>
      <c r="PMQ268" s="1"/>
      <c r="PMR268" s="1"/>
      <c r="PMS268" s="1"/>
      <c r="PMT268" s="1"/>
      <c r="PMU268" s="1"/>
      <c r="PMV268" s="1"/>
      <c r="PMW268" s="1"/>
      <c r="PMX268" s="1"/>
      <c r="PMY268" s="1"/>
      <c r="PMZ268" s="1"/>
      <c r="PNA268" s="1"/>
      <c r="PNB268" s="1"/>
      <c r="PNC268" s="1"/>
      <c r="PND268" s="1"/>
      <c r="PNE268" s="1"/>
      <c r="PNF268" s="1"/>
      <c r="PNG268" s="1"/>
      <c r="PNH268" s="1"/>
      <c r="PNI268" s="1"/>
      <c r="PNJ268" s="1"/>
      <c r="PNK268" s="1"/>
      <c r="PNL268" s="1"/>
      <c r="PNM268" s="1"/>
      <c r="PNN268" s="1"/>
      <c r="PNO268" s="1"/>
      <c r="PNP268" s="1"/>
      <c r="PNQ268" s="1"/>
      <c r="PNR268" s="1"/>
      <c r="PNS268" s="1"/>
      <c r="PNT268" s="1"/>
      <c r="PNU268" s="1"/>
      <c r="PNV268" s="1"/>
      <c r="PNW268" s="1"/>
      <c r="PNX268" s="1"/>
      <c r="PNY268" s="1"/>
      <c r="PNZ268" s="1"/>
      <c r="POA268" s="1"/>
      <c r="POB268" s="1"/>
      <c r="POC268" s="1"/>
      <c r="POD268" s="1"/>
      <c r="POE268" s="1"/>
      <c r="POF268" s="1"/>
      <c r="POG268" s="1"/>
      <c r="POH268" s="1"/>
      <c r="POI268" s="1"/>
      <c r="POJ268" s="1"/>
      <c r="POK268" s="1"/>
      <c r="POL268" s="1"/>
      <c r="POM268" s="1"/>
      <c r="PON268" s="1"/>
      <c r="POO268" s="1"/>
      <c r="POP268" s="1"/>
      <c r="POQ268" s="1"/>
      <c r="POR268" s="1"/>
      <c r="POS268" s="1"/>
      <c r="POT268" s="1"/>
      <c r="POU268" s="1"/>
      <c r="POV268" s="1"/>
      <c r="POW268" s="1"/>
      <c r="POX268" s="1"/>
      <c r="POY268" s="1"/>
      <c r="POZ268" s="1"/>
      <c r="PPA268" s="1"/>
      <c r="PPB268" s="1"/>
      <c r="PPC268" s="1"/>
      <c r="PPD268" s="1"/>
      <c r="PPE268" s="1"/>
      <c r="PPF268" s="1"/>
      <c r="PPG268" s="1"/>
      <c r="PPH268" s="1"/>
      <c r="PPI268" s="1"/>
      <c r="PPJ268" s="1"/>
      <c r="PPK268" s="1"/>
      <c r="PPL268" s="1"/>
      <c r="PPM268" s="1"/>
      <c r="PPN268" s="1"/>
      <c r="PPO268" s="1"/>
      <c r="PPP268" s="1"/>
      <c r="PPQ268" s="1"/>
      <c r="PPR268" s="1"/>
      <c r="PPS268" s="1"/>
      <c r="PPT268" s="1"/>
      <c r="PPU268" s="1"/>
      <c r="PPV268" s="1"/>
      <c r="PPW268" s="1"/>
      <c r="PPX268" s="1"/>
      <c r="PPY268" s="1"/>
      <c r="PPZ268" s="1"/>
      <c r="PQA268" s="1"/>
      <c r="PQB268" s="1"/>
      <c r="PQC268" s="1"/>
      <c r="PQD268" s="1"/>
      <c r="PQE268" s="1"/>
      <c r="PQF268" s="1"/>
      <c r="PQG268" s="1"/>
      <c r="PQH268" s="1"/>
      <c r="PQI268" s="1"/>
      <c r="PQJ268" s="1"/>
      <c r="PQK268" s="1"/>
      <c r="PQL268" s="1"/>
      <c r="PQM268" s="1"/>
      <c r="PQN268" s="1"/>
      <c r="PQO268" s="1"/>
      <c r="PQP268" s="1"/>
      <c r="PQQ268" s="1"/>
      <c r="PQR268" s="1"/>
      <c r="PQS268" s="1"/>
      <c r="PQT268" s="1"/>
      <c r="PQU268" s="1"/>
      <c r="PQV268" s="1"/>
      <c r="PQW268" s="1"/>
      <c r="PQX268" s="1"/>
      <c r="PQY268" s="1"/>
      <c r="PQZ268" s="1"/>
      <c r="PRA268" s="1"/>
      <c r="PRB268" s="1"/>
      <c r="PRC268" s="1"/>
      <c r="PRD268" s="1"/>
      <c r="PRE268" s="1"/>
      <c r="PRF268" s="1"/>
      <c r="PRG268" s="1"/>
      <c r="PRH268" s="1"/>
      <c r="PRI268" s="1"/>
      <c r="PRJ268" s="1"/>
      <c r="PRK268" s="1"/>
      <c r="PRL268" s="1"/>
      <c r="PRM268" s="1"/>
      <c r="PRN268" s="1"/>
      <c r="PRO268" s="1"/>
      <c r="PRP268" s="1"/>
      <c r="PRQ268" s="1"/>
      <c r="PRR268" s="1"/>
      <c r="PRS268" s="1"/>
      <c r="PRT268" s="1"/>
      <c r="PRU268" s="1"/>
      <c r="PRV268" s="1"/>
      <c r="PRW268" s="1"/>
      <c r="PRX268" s="1"/>
      <c r="PRY268" s="1"/>
      <c r="PRZ268" s="1"/>
      <c r="PSA268" s="1"/>
      <c r="PSB268" s="1"/>
      <c r="PSC268" s="1"/>
      <c r="PSD268" s="1"/>
      <c r="PSE268" s="1"/>
      <c r="PSF268" s="1"/>
      <c r="PSG268" s="1"/>
      <c r="PSH268" s="1"/>
      <c r="PSI268" s="1"/>
      <c r="PSJ268" s="1"/>
      <c r="PSK268" s="1"/>
      <c r="PSL268" s="1"/>
      <c r="PSM268" s="1"/>
      <c r="PSN268" s="1"/>
      <c r="PSO268" s="1"/>
      <c r="PSP268" s="1"/>
      <c r="PSQ268" s="1"/>
      <c r="PSR268" s="1"/>
      <c r="PSS268" s="1"/>
      <c r="PST268" s="1"/>
      <c r="PSU268" s="1"/>
      <c r="PSV268" s="1"/>
      <c r="PSW268" s="1"/>
      <c r="PSX268" s="1"/>
      <c r="PSY268" s="1"/>
      <c r="PSZ268" s="1"/>
      <c r="PTA268" s="1"/>
      <c r="PTB268" s="1"/>
      <c r="PTC268" s="1"/>
      <c r="PTD268" s="1"/>
      <c r="PTE268" s="1"/>
      <c r="PTF268" s="1"/>
      <c r="PTG268" s="1"/>
      <c r="PTH268" s="1"/>
      <c r="PTI268" s="1"/>
      <c r="PTJ268" s="1"/>
      <c r="PTK268" s="1"/>
      <c r="PTL268" s="1"/>
      <c r="PTM268" s="1"/>
      <c r="PTN268" s="1"/>
      <c r="PTO268" s="1"/>
      <c r="PTP268" s="1"/>
      <c r="PTQ268" s="1"/>
      <c r="PTR268" s="1"/>
      <c r="PTS268" s="1"/>
      <c r="PTT268" s="1"/>
      <c r="PTU268" s="1"/>
      <c r="PTV268" s="1"/>
      <c r="PTW268" s="1"/>
      <c r="PTX268" s="1"/>
      <c r="PTY268" s="1"/>
      <c r="PTZ268" s="1"/>
      <c r="PUA268" s="1"/>
      <c r="PUB268" s="1"/>
      <c r="PUC268" s="1"/>
      <c r="PUD268" s="1"/>
      <c r="PUE268" s="1"/>
      <c r="PUF268" s="1"/>
      <c r="PUG268" s="1"/>
      <c r="PUH268" s="1"/>
      <c r="PUI268" s="1"/>
      <c r="PUJ268" s="1"/>
      <c r="PUK268" s="1"/>
      <c r="PUL268" s="1"/>
      <c r="PUM268" s="1"/>
      <c r="PUN268" s="1"/>
      <c r="PUO268" s="1"/>
      <c r="PUP268" s="1"/>
      <c r="PUQ268" s="1"/>
      <c r="PUR268" s="1"/>
      <c r="PUS268" s="1"/>
      <c r="PUT268" s="1"/>
      <c r="PUU268" s="1"/>
      <c r="PUV268" s="1"/>
      <c r="PUW268" s="1"/>
      <c r="PUX268" s="1"/>
      <c r="PUY268" s="1"/>
      <c r="PUZ268" s="1"/>
      <c r="PVA268" s="1"/>
      <c r="PVB268" s="1"/>
      <c r="PVC268" s="1"/>
      <c r="PVD268" s="1"/>
      <c r="PVE268" s="1"/>
      <c r="PVF268" s="1"/>
      <c r="PVG268" s="1"/>
      <c r="PVH268" s="1"/>
      <c r="PVI268" s="1"/>
      <c r="PVJ268" s="1"/>
      <c r="PVK268" s="1"/>
      <c r="PVL268" s="1"/>
      <c r="PVM268" s="1"/>
      <c r="PVN268" s="1"/>
      <c r="PVO268" s="1"/>
      <c r="PVP268" s="1"/>
      <c r="PVQ268" s="1"/>
      <c r="PVR268" s="1"/>
      <c r="PVS268" s="1"/>
      <c r="PVT268" s="1"/>
      <c r="PVU268" s="1"/>
      <c r="PVV268" s="1"/>
      <c r="PVW268" s="1"/>
      <c r="PVX268" s="1"/>
      <c r="PVY268" s="1"/>
      <c r="PVZ268" s="1"/>
      <c r="PWA268" s="1"/>
      <c r="PWB268" s="1"/>
      <c r="PWC268" s="1"/>
      <c r="PWD268" s="1"/>
      <c r="PWE268" s="1"/>
      <c r="PWF268" s="1"/>
      <c r="PWG268" s="1"/>
      <c r="PWH268" s="1"/>
      <c r="PWI268" s="1"/>
      <c r="PWJ268" s="1"/>
      <c r="PWK268" s="1"/>
      <c r="PWL268" s="1"/>
      <c r="PWM268" s="1"/>
      <c r="PWN268" s="1"/>
      <c r="PWO268" s="1"/>
      <c r="PWP268" s="1"/>
      <c r="PWQ268" s="1"/>
      <c r="PWR268" s="1"/>
      <c r="PWS268" s="1"/>
      <c r="PWT268" s="1"/>
      <c r="PWU268" s="1"/>
      <c r="PWV268" s="1"/>
      <c r="PWW268" s="1"/>
      <c r="PWX268" s="1"/>
      <c r="PWY268" s="1"/>
      <c r="PWZ268" s="1"/>
      <c r="PXA268" s="1"/>
      <c r="PXB268" s="1"/>
      <c r="PXC268" s="1"/>
      <c r="PXD268" s="1"/>
      <c r="PXE268" s="1"/>
      <c r="PXF268" s="1"/>
      <c r="PXG268" s="1"/>
      <c r="PXH268" s="1"/>
      <c r="PXI268" s="1"/>
      <c r="PXJ268" s="1"/>
      <c r="PXK268" s="1"/>
      <c r="PXL268" s="1"/>
      <c r="PXM268" s="1"/>
      <c r="PXN268" s="1"/>
      <c r="PXO268" s="1"/>
      <c r="PXP268" s="1"/>
      <c r="PXQ268" s="1"/>
      <c r="PXR268" s="1"/>
      <c r="PXS268" s="1"/>
      <c r="PXT268" s="1"/>
      <c r="PXU268" s="1"/>
      <c r="PXV268" s="1"/>
      <c r="PXW268" s="1"/>
      <c r="PXX268" s="1"/>
      <c r="PXY268" s="1"/>
      <c r="PXZ268" s="1"/>
      <c r="PYA268" s="1"/>
      <c r="PYB268" s="1"/>
      <c r="PYC268" s="1"/>
      <c r="PYD268" s="1"/>
      <c r="PYE268" s="1"/>
      <c r="PYF268" s="1"/>
      <c r="PYG268" s="1"/>
      <c r="PYH268" s="1"/>
      <c r="PYI268" s="1"/>
      <c r="PYJ268" s="1"/>
      <c r="PYK268" s="1"/>
      <c r="PYL268" s="1"/>
      <c r="PYM268" s="1"/>
      <c r="PYN268" s="1"/>
      <c r="PYO268" s="1"/>
      <c r="PYP268" s="1"/>
      <c r="PYQ268" s="1"/>
      <c r="PYR268" s="1"/>
      <c r="PYS268" s="1"/>
      <c r="PYT268" s="1"/>
      <c r="PYU268" s="1"/>
      <c r="PYV268" s="1"/>
      <c r="PYW268" s="1"/>
      <c r="PYX268" s="1"/>
      <c r="PYY268" s="1"/>
      <c r="PYZ268" s="1"/>
      <c r="PZA268" s="1"/>
      <c r="PZB268" s="1"/>
      <c r="PZC268" s="1"/>
      <c r="PZD268" s="1"/>
      <c r="PZE268" s="1"/>
      <c r="PZF268" s="1"/>
      <c r="PZG268" s="1"/>
      <c r="PZH268" s="1"/>
      <c r="PZI268" s="1"/>
      <c r="PZJ268" s="1"/>
      <c r="PZK268" s="1"/>
      <c r="PZL268" s="1"/>
      <c r="PZM268" s="1"/>
      <c r="PZN268" s="1"/>
      <c r="PZO268" s="1"/>
      <c r="PZP268" s="1"/>
      <c r="PZQ268" s="1"/>
      <c r="PZR268" s="1"/>
      <c r="PZS268" s="1"/>
      <c r="PZT268" s="1"/>
      <c r="PZU268" s="1"/>
      <c r="PZV268" s="1"/>
      <c r="PZW268" s="1"/>
      <c r="PZX268" s="1"/>
      <c r="PZY268" s="1"/>
      <c r="PZZ268" s="1"/>
      <c r="QAA268" s="1"/>
      <c r="QAB268" s="1"/>
      <c r="QAC268" s="1"/>
      <c r="QAD268" s="1"/>
      <c r="QAE268" s="1"/>
      <c r="QAF268" s="1"/>
      <c r="QAG268" s="1"/>
      <c r="QAH268" s="1"/>
      <c r="QAI268" s="1"/>
      <c r="QAJ268" s="1"/>
      <c r="QAK268" s="1"/>
      <c r="QAL268" s="1"/>
      <c r="QAM268" s="1"/>
      <c r="QAN268" s="1"/>
      <c r="QAO268" s="1"/>
      <c r="QAP268" s="1"/>
      <c r="QAQ268" s="1"/>
      <c r="QAR268" s="1"/>
      <c r="QAS268" s="1"/>
      <c r="QAT268" s="1"/>
      <c r="QAU268" s="1"/>
      <c r="QAV268" s="1"/>
      <c r="QAW268" s="1"/>
      <c r="QAX268" s="1"/>
      <c r="QAY268" s="1"/>
      <c r="QAZ268" s="1"/>
      <c r="QBA268" s="1"/>
      <c r="QBB268" s="1"/>
      <c r="QBC268" s="1"/>
      <c r="QBD268" s="1"/>
      <c r="QBE268" s="1"/>
      <c r="QBF268" s="1"/>
      <c r="QBG268" s="1"/>
      <c r="QBH268" s="1"/>
      <c r="QBI268" s="1"/>
      <c r="QBJ268" s="1"/>
      <c r="QBK268" s="1"/>
      <c r="QBL268" s="1"/>
      <c r="QBM268" s="1"/>
      <c r="QBN268" s="1"/>
      <c r="QBO268" s="1"/>
      <c r="QBP268" s="1"/>
      <c r="QBQ268" s="1"/>
      <c r="QBR268" s="1"/>
      <c r="QBS268" s="1"/>
      <c r="QBT268" s="1"/>
      <c r="QBU268" s="1"/>
      <c r="QBV268" s="1"/>
      <c r="QBW268" s="1"/>
      <c r="QBX268" s="1"/>
      <c r="QBY268" s="1"/>
      <c r="QBZ268" s="1"/>
      <c r="QCA268" s="1"/>
      <c r="QCB268" s="1"/>
      <c r="QCC268" s="1"/>
      <c r="QCD268" s="1"/>
      <c r="QCE268" s="1"/>
      <c r="QCF268" s="1"/>
      <c r="QCG268" s="1"/>
      <c r="QCH268" s="1"/>
      <c r="QCI268" s="1"/>
      <c r="QCJ268" s="1"/>
      <c r="QCK268" s="1"/>
      <c r="QCL268" s="1"/>
      <c r="QCM268" s="1"/>
      <c r="QCN268" s="1"/>
      <c r="QCO268" s="1"/>
      <c r="QCP268" s="1"/>
      <c r="QCQ268" s="1"/>
      <c r="QCR268" s="1"/>
      <c r="QCS268" s="1"/>
      <c r="QCT268" s="1"/>
      <c r="QCU268" s="1"/>
      <c r="QCV268" s="1"/>
      <c r="QCW268" s="1"/>
      <c r="QCX268" s="1"/>
      <c r="QCY268" s="1"/>
      <c r="QCZ268" s="1"/>
      <c r="QDA268" s="1"/>
      <c r="QDB268" s="1"/>
      <c r="QDC268" s="1"/>
      <c r="QDD268" s="1"/>
      <c r="QDE268" s="1"/>
      <c r="QDF268" s="1"/>
      <c r="QDG268" s="1"/>
      <c r="QDH268" s="1"/>
      <c r="QDI268" s="1"/>
      <c r="QDJ268" s="1"/>
      <c r="QDK268" s="1"/>
      <c r="QDL268" s="1"/>
      <c r="QDM268" s="1"/>
      <c r="QDN268" s="1"/>
      <c r="QDO268" s="1"/>
      <c r="QDP268" s="1"/>
      <c r="QDQ268" s="1"/>
      <c r="QDR268" s="1"/>
      <c r="QDS268" s="1"/>
      <c r="QDT268" s="1"/>
      <c r="QDU268" s="1"/>
      <c r="QDV268" s="1"/>
      <c r="QDW268" s="1"/>
      <c r="QDX268" s="1"/>
      <c r="QDY268" s="1"/>
      <c r="QDZ268" s="1"/>
      <c r="QEA268" s="1"/>
      <c r="QEB268" s="1"/>
      <c r="QEC268" s="1"/>
      <c r="QED268" s="1"/>
      <c r="QEE268" s="1"/>
      <c r="QEF268" s="1"/>
      <c r="QEG268" s="1"/>
      <c r="QEH268" s="1"/>
      <c r="QEI268" s="1"/>
      <c r="QEJ268" s="1"/>
      <c r="QEK268" s="1"/>
      <c r="QEL268" s="1"/>
      <c r="QEM268" s="1"/>
      <c r="QEN268" s="1"/>
      <c r="QEO268" s="1"/>
      <c r="QEP268" s="1"/>
      <c r="QEQ268" s="1"/>
      <c r="QER268" s="1"/>
      <c r="QES268" s="1"/>
      <c r="QET268" s="1"/>
      <c r="QEU268" s="1"/>
      <c r="QEV268" s="1"/>
      <c r="QEW268" s="1"/>
      <c r="QEX268" s="1"/>
      <c r="QEY268" s="1"/>
      <c r="QEZ268" s="1"/>
      <c r="QFA268" s="1"/>
      <c r="QFB268" s="1"/>
      <c r="QFC268" s="1"/>
      <c r="QFD268" s="1"/>
      <c r="QFE268" s="1"/>
      <c r="QFF268" s="1"/>
      <c r="QFG268" s="1"/>
      <c r="QFH268" s="1"/>
      <c r="QFI268" s="1"/>
      <c r="QFJ268" s="1"/>
      <c r="QFK268" s="1"/>
      <c r="QFL268" s="1"/>
      <c r="QFM268" s="1"/>
      <c r="QFN268" s="1"/>
      <c r="QFO268" s="1"/>
      <c r="QFP268" s="1"/>
      <c r="QFQ268" s="1"/>
      <c r="QFR268" s="1"/>
      <c r="QFS268" s="1"/>
      <c r="QFT268" s="1"/>
      <c r="QFU268" s="1"/>
      <c r="QFV268" s="1"/>
      <c r="QFW268" s="1"/>
      <c r="QFX268" s="1"/>
      <c r="QFY268" s="1"/>
      <c r="QFZ268" s="1"/>
      <c r="QGA268" s="1"/>
      <c r="QGB268" s="1"/>
      <c r="QGC268" s="1"/>
      <c r="QGD268" s="1"/>
      <c r="QGE268" s="1"/>
      <c r="QGF268" s="1"/>
      <c r="QGG268" s="1"/>
      <c r="QGH268" s="1"/>
      <c r="QGI268" s="1"/>
      <c r="QGJ268" s="1"/>
      <c r="QGK268" s="1"/>
      <c r="QGL268" s="1"/>
      <c r="QGM268" s="1"/>
      <c r="QGN268" s="1"/>
      <c r="QGO268" s="1"/>
      <c r="QGP268" s="1"/>
      <c r="QGQ268" s="1"/>
      <c r="QGR268" s="1"/>
      <c r="QGS268" s="1"/>
      <c r="QGT268" s="1"/>
      <c r="QGU268" s="1"/>
      <c r="QGV268" s="1"/>
      <c r="QGW268" s="1"/>
      <c r="QGX268" s="1"/>
      <c r="QGY268" s="1"/>
      <c r="QGZ268" s="1"/>
      <c r="QHA268" s="1"/>
      <c r="QHB268" s="1"/>
      <c r="QHC268" s="1"/>
      <c r="QHD268" s="1"/>
      <c r="QHE268" s="1"/>
      <c r="QHF268" s="1"/>
      <c r="QHG268" s="1"/>
      <c r="QHH268" s="1"/>
      <c r="QHI268" s="1"/>
      <c r="QHJ268" s="1"/>
      <c r="QHK268" s="1"/>
      <c r="QHL268" s="1"/>
      <c r="QHM268" s="1"/>
      <c r="QHN268" s="1"/>
      <c r="QHO268" s="1"/>
      <c r="QHP268" s="1"/>
      <c r="QHQ268" s="1"/>
      <c r="QHR268" s="1"/>
      <c r="QHS268" s="1"/>
      <c r="QHT268" s="1"/>
      <c r="QHU268" s="1"/>
      <c r="QHV268" s="1"/>
      <c r="QHW268" s="1"/>
      <c r="QHX268" s="1"/>
      <c r="QHY268" s="1"/>
      <c r="QHZ268" s="1"/>
      <c r="QIA268" s="1"/>
      <c r="QIB268" s="1"/>
      <c r="QIC268" s="1"/>
      <c r="QID268" s="1"/>
      <c r="QIE268" s="1"/>
      <c r="QIF268" s="1"/>
      <c r="QIG268" s="1"/>
      <c r="QIH268" s="1"/>
      <c r="QII268" s="1"/>
      <c r="QIJ268" s="1"/>
      <c r="QIK268" s="1"/>
      <c r="QIL268" s="1"/>
      <c r="QIM268" s="1"/>
      <c r="QIN268" s="1"/>
      <c r="QIO268" s="1"/>
      <c r="QIP268" s="1"/>
      <c r="QIQ268" s="1"/>
      <c r="QIR268" s="1"/>
      <c r="QIS268" s="1"/>
      <c r="QIT268" s="1"/>
      <c r="QIU268" s="1"/>
      <c r="QIV268" s="1"/>
      <c r="QIW268" s="1"/>
      <c r="QIX268" s="1"/>
      <c r="QIY268" s="1"/>
      <c r="QIZ268" s="1"/>
      <c r="QJA268" s="1"/>
      <c r="QJB268" s="1"/>
      <c r="QJC268" s="1"/>
      <c r="QJD268" s="1"/>
      <c r="QJE268" s="1"/>
      <c r="QJF268" s="1"/>
      <c r="QJG268" s="1"/>
      <c r="QJH268" s="1"/>
      <c r="QJI268" s="1"/>
      <c r="QJJ268" s="1"/>
      <c r="QJK268" s="1"/>
      <c r="QJL268" s="1"/>
      <c r="QJM268" s="1"/>
      <c r="QJN268" s="1"/>
      <c r="QJO268" s="1"/>
      <c r="QJP268" s="1"/>
      <c r="QJQ268" s="1"/>
      <c r="QJR268" s="1"/>
      <c r="QJS268" s="1"/>
      <c r="QJT268" s="1"/>
      <c r="QJU268" s="1"/>
      <c r="QJV268" s="1"/>
      <c r="QJW268" s="1"/>
      <c r="QJX268" s="1"/>
      <c r="QJY268" s="1"/>
      <c r="QJZ268" s="1"/>
      <c r="QKA268" s="1"/>
      <c r="QKB268" s="1"/>
      <c r="QKC268" s="1"/>
      <c r="QKD268" s="1"/>
      <c r="QKE268" s="1"/>
      <c r="QKF268" s="1"/>
      <c r="QKG268" s="1"/>
      <c r="QKH268" s="1"/>
      <c r="QKI268" s="1"/>
      <c r="QKJ268" s="1"/>
      <c r="QKK268" s="1"/>
      <c r="QKL268" s="1"/>
      <c r="QKM268" s="1"/>
      <c r="QKN268" s="1"/>
      <c r="QKO268" s="1"/>
      <c r="QKP268" s="1"/>
      <c r="QKQ268" s="1"/>
      <c r="QKR268" s="1"/>
      <c r="QKS268" s="1"/>
      <c r="QKT268" s="1"/>
      <c r="QKU268" s="1"/>
      <c r="QKV268" s="1"/>
      <c r="QKW268" s="1"/>
      <c r="QKX268" s="1"/>
      <c r="QKY268" s="1"/>
      <c r="QKZ268" s="1"/>
      <c r="QLA268" s="1"/>
      <c r="QLB268" s="1"/>
      <c r="QLC268" s="1"/>
      <c r="QLD268" s="1"/>
      <c r="QLE268" s="1"/>
      <c r="QLF268" s="1"/>
      <c r="QLG268" s="1"/>
      <c r="QLH268" s="1"/>
      <c r="QLI268" s="1"/>
      <c r="QLJ268" s="1"/>
      <c r="QLK268" s="1"/>
      <c r="QLL268" s="1"/>
      <c r="QLM268" s="1"/>
      <c r="QLN268" s="1"/>
      <c r="QLO268" s="1"/>
      <c r="QLP268" s="1"/>
      <c r="QLQ268" s="1"/>
      <c r="QLR268" s="1"/>
      <c r="QLS268" s="1"/>
      <c r="QLT268" s="1"/>
      <c r="QLU268" s="1"/>
      <c r="QLV268" s="1"/>
      <c r="QLW268" s="1"/>
      <c r="QLX268" s="1"/>
      <c r="QLY268" s="1"/>
      <c r="QLZ268" s="1"/>
      <c r="QMA268" s="1"/>
      <c r="QMB268" s="1"/>
      <c r="QMC268" s="1"/>
      <c r="QMD268" s="1"/>
      <c r="QME268" s="1"/>
      <c r="QMF268" s="1"/>
      <c r="QMG268" s="1"/>
      <c r="QMH268" s="1"/>
      <c r="QMI268" s="1"/>
      <c r="QMJ268" s="1"/>
      <c r="QMK268" s="1"/>
      <c r="QML268" s="1"/>
      <c r="QMM268" s="1"/>
      <c r="QMN268" s="1"/>
      <c r="QMO268" s="1"/>
      <c r="QMP268" s="1"/>
      <c r="QMQ268" s="1"/>
      <c r="QMR268" s="1"/>
      <c r="QMS268" s="1"/>
      <c r="QMT268" s="1"/>
      <c r="QMU268" s="1"/>
      <c r="QMV268" s="1"/>
      <c r="QMW268" s="1"/>
      <c r="QMX268" s="1"/>
      <c r="QMY268" s="1"/>
      <c r="QMZ268" s="1"/>
      <c r="QNA268" s="1"/>
      <c r="QNB268" s="1"/>
      <c r="QNC268" s="1"/>
      <c r="QND268" s="1"/>
      <c r="QNE268" s="1"/>
      <c r="QNF268" s="1"/>
      <c r="QNG268" s="1"/>
      <c r="QNH268" s="1"/>
      <c r="QNI268" s="1"/>
      <c r="QNJ268" s="1"/>
      <c r="QNK268" s="1"/>
      <c r="QNL268" s="1"/>
      <c r="QNM268" s="1"/>
      <c r="QNN268" s="1"/>
      <c r="QNO268" s="1"/>
      <c r="QNP268" s="1"/>
      <c r="QNQ268" s="1"/>
      <c r="QNR268" s="1"/>
      <c r="QNS268" s="1"/>
      <c r="QNT268" s="1"/>
      <c r="QNU268" s="1"/>
      <c r="QNV268" s="1"/>
      <c r="QNW268" s="1"/>
      <c r="QNX268" s="1"/>
      <c r="QNY268" s="1"/>
      <c r="QNZ268" s="1"/>
      <c r="QOA268" s="1"/>
      <c r="QOB268" s="1"/>
      <c r="QOC268" s="1"/>
      <c r="QOD268" s="1"/>
      <c r="QOE268" s="1"/>
      <c r="QOF268" s="1"/>
      <c r="QOG268" s="1"/>
      <c r="QOH268" s="1"/>
      <c r="QOI268" s="1"/>
      <c r="QOJ268" s="1"/>
      <c r="QOK268" s="1"/>
      <c r="QOL268" s="1"/>
      <c r="QOM268" s="1"/>
      <c r="QON268" s="1"/>
      <c r="QOO268" s="1"/>
      <c r="QOP268" s="1"/>
      <c r="QOQ268" s="1"/>
      <c r="QOR268" s="1"/>
      <c r="QOS268" s="1"/>
      <c r="QOT268" s="1"/>
      <c r="QOU268" s="1"/>
      <c r="QOV268" s="1"/>
      <c r="QOW268" s="1"/>
      <c r="QOX268" s="1"/>
      <c r="QOY268" s="1"/>
      <c r="QOZ268" s="1"/>
      <c r="QPA268" s="1"/>
      <c r="QPB268" s="1"/>
      <c r="QPC268" s="1"/>
      <c r="QPD268" s="1"/>
      <c r="QPE268" s="1"/>
      <c r="QPF268" s="1"/>
      <c r="QPG268" s="1"/>
      <c r="QPH268" s="1"/>
      <c r="QPI268" s="1"/>
      <c r="QPJ268" s="1"/>
      <c r="QPK268" s="1"/>
      <c r="QPL268" s="1"/>
      <c r="QPM268" s="1"/>
      <c r="QPN268" s="1"/>
      <c r="QPO268" s="1"/>
      <c r="QPP268" s="1"/>
      <c r="QPQ268" s="1"/>
      <c r="QPR268" s="1"/>
      <c r="QPS268" s="1"/>
      <c r="QPT268" s="1"/>
      <c r="QPU268" s="1"/>
      <c r="QPV268" s="1"/>
      <c r="QPW268" s="1"/>
      <c r="QPX268" s="1"/>
      <c r="QPY268" s="1"/>
      <c r="QPZ268" s="1"/>
      <c r="QQA268" s="1"/>
      <c r="QQB268" s="1"/>
      <c r="QQC268" s="1"/>
      <c r="QQD268" s="1"/>
      <c r="QQE268" s="1"/>
      <c r="QQF268" s="1"/>
      <c r="QQG268" s="1"/>
      <c r="QQH268" s="1"/>
      <c r="QQI268" s="1"/>
      <c r="QQJ268" s="1"/>
      <c r="QQK268" s="1"/>
      <c r="QQL268" s="1"/>
      <c r="QQM268" s="1"/>
      <c r="QQN268" s="1"/>
      <c r="QQO268" s="1"/>
      <c r="QQP268" s="1"/>
      <c r="QQQ268" s="1"/>
      <c r="QQR268" s="1"/>
      <c r="QQS268" s="1"/>
      <c r="QQT268" s="1"/>
      <c r="QQU268" s="1"/>
      <c r="QQV268" s="1"/>
      <c r="QQW268" s="1"/>
      <c r="QQX268" s="1"/>
      <c r="QQY268" s="1"/>
      <c r="QQZ268" s="1"/>
      <c r="QRA268" s="1"/>
      <c r="QRB268" s="1"/>
      <c r="QRC268" s="1"/>
      <c r="QRD268" s="1"/>
      <c r="QRE268" s="1"/>
      <c r="QRF268" s="1"/>
      <c r="QRG268" s="1"/>
      <c r="QRH268" s="1"/>
      <c r="QRI268" s="1"/>
      <c r="QRJ268" s="1"/>
      <c r="QRK268" s="1"/>
      <c r="QRL268" s="1"/>
      <c r="QRM268" s="1"/>
      <c r="QRN268" s="1"/>
      <c r="QRO268" s="1"/>
      <c r="QRP268" s="1"/>
      <c r="QRQ268" s="1"/>
      <c r="QRR268" s="1"/>
      <c r="QRS268" s="1"/>
      <c r="QRT268" s="1"/>
      <c r="QRU268" s="1"/>
      <c r="QRV268" s="1"/>
      <c r="QRW268" s="1"/>
      <c r="QRX268" s="1"/>
      <c r="QRY268" s="1"/>
      <c r="QRZ268" s="1"/>
      <c r="QSA268" s="1"/>
      <c r="QSB268" s="1"/>
      <c r="QSC268" s="1"/>
      <c r="QSD268" s="1"/>
      <c r="QSE268" s="1"/>
      <c r="QSF268" s="1"/>
      <c r="QSG268" s="1"/>
      <c r="QSH268" s="1"/>
      <c r="QSI268" s="1"/>
      <c r="QSJ268" s="1"/>
      <c r="QSK268" s="1"/>
      <c r="QSL268" s="1"/>
      <c r="QSM268" s="1"/>
      <c r="QSN268" s="1"/>
      <c r="QSO268" s="1"/>
      <c r="QSP268" s="1"/>
      <c r="QSQ268" s="1"/>
      <c r="QSR268" s="1"/>
      <c r="QSS268" s="1"/>
      <c r="QST268" s="1"/>
      <c r="QSU268" s="1"/>
      <c r="QSV268" s="1"/>
      <c r="QSW268" s="1"/>
      <c r="QSX268" s="1"/>
      <c r="QSY268" s="1"/>
      <c r="QSZ268" s="1"/>
      <c r="QTA268" s="1"/>
      <c r="QTB268" s="1"/>
      <c r="QTC268" s="1"/>
      <c r="QTD268" s="1"/>
      <c r="QTE268" s="1"/>
      <c r="QTF268" s="1"/>
      <c r="QTG268" s="1"/>
      <c r="QTH268" s="1"/>
      <c r="QTI268" s="1"/>
      <c r="QTJ268" s="1"/>
      <c r="QTK268" s="1"/>
      <c r="QTL268" s="1"/>
      <c r="QTM268" s="1"/>
      <c r="QTN268" s="1"/>
      <c r="QTO268" s="1"/>
      <c r="QTP268" s="1"/>
      <c r="QTQ268" s="1"/>
      <c r="QTR268" s="1"/>
      <c r="QTS268" s="1"/>
      <c r="QTT268" s="1"/>
      <c r="QTU268" s="1"/>
      <c r="QTV268" s="1"/>
      <c r="QTW268" s="1"/>
      <c r="QTX268" s="1"/>
      <c r="QTY268" s="1"/>
      <c r="QTZ268" s="1"/>
      <c r="QUA268" s="1"/>
      <c r="QUB268" s="1"/>
      <c r="QUC268" s="1"/>
      <c r="QUD268" s="1"/>
      <c r="QUE268" s="1"/>
      <c r="QUF268" s="1"/>
      <c r="QUG268" s="1"/>
      <c r="QUH268" s="1"/>
      <c r="QUI268" s="1"/>
      <c r="QUJ268" s="1"/>
      <c r="QUK268" s="1"/>
      <c r="QUL268" s="1"/>
      <c r="QUM268" s="1"/>
      <c r="QUN268" s="1"/>
      <c r="QUO268" s="1"/>
      <c r="QUP268" s="1"/>
      <c r="QUQ268" s="1"/>
      <c r="QUR268" s="1"/>
      <c r="QUS268" s="1"/>
      <c r="QUT268" s="1"/>
      <c r="QUU268" s="1"/>
      <c r="QUV268" s="1"/>
      <c r="QUW268" s="1"/>
      <c r="QUX268" s="1"/>
      <c r="QUY268" s="1"/>
      <c r="QUZ268" s="1"/>
      <c r="QVA268" s="1"/>
      <c r="QVB268" s="1"/>
      <c r="QVC268" s="1"/>
      <c r="QVD268" s="1"/>
      <c r="QVE268" s="1"/>
      <c r="QVF268" s="1"/>
      <c r="QVG268" s="1"/>
      <c r="QVH268" s="1"/>
      <c r="QVI268" s="1"/>
      <c r="QVJ268" s="1"/>
      <c r="QVK268" s="1"/>
      <c r="QVL268" s="1"/>
      <c r="QVM268" s="1"/>
      <c r="QVN268" s="1"/>
      <c r="QVO268" s="1"/>
      <c r="QVP268" s="1"/>
      <c r="QVQ268" s="1"/>
      <c r="QVR268" s="1"/>
      <c r="QVS268" s="1"/>
      <c r="QVT268" s="1"/>
      <c r="QVU268" s="1"/>
      <c r="QVV268" s="1"/>
      <c r="QVW268" s="1"/>
      <c r="QVX268" s="1"/>
      <c r="QVY268" s="1"/>
      <c r="QVZ268" s="1"/>
      <c r="QWA268" s="1"/>
      <c r="QWB268" s="1"/>
      <c r="QWC268" s="1"/>
      <c r="QWD268" s="1"/>
      <c r="QWE268" s="1"/>
      <c r="QWF268" s="1"/>
      <c r="QWG268" s="1"/>
      <c r="QWH268" s="1"/>
      <c r="QWI268" s="1"/>
      <c r="QWJ268" s="1"/>
      <c r="QWK268" s="1"/>
      <c r="QWL268" s="1"/>
      <c r="QWM268" s="1"/>
      <c r="QWN268" s="1"/>
      <c r="QWO268" s="1"/>
      <c r="QWP268" s="1"/>
      <c r="QWQ268" s="1"/>
      <c r="QWR268" s="1"/>
      <c r="QWS268" s="1"/>
      <c r="QWT268" s="1"/>
      <c r="QWU268" s="1"/>
      <c r="QWV268" s="1"/>
      <c r="QWW268" s="1"/>
      <c r="QWX268" s="1"/>
      <c r="QWY268" s="1"/>
      <c r="QWZ268" s="1"/>
      <c r="QXA268" s="1"/>
      <c r="QXB268" s="1"/>
      <c r="QXC268" s="1"/>
      <c r="QXD268" s="1"/>
      <c r="QXE268" s="1"/>
      <c r="QXF268" s="1"/>
      <c r="QXG268" s="1"/>
      <c r="QXH268" s="1"/>
      <c r="QXI268" s="1"/>
      <c r="QXJ268" s="1"/>
      <c r="QXK268" s="1"/>
      <c r="QXL268" s="1"/>
      <c r="QXM268" s="1"/>
      <c r="QXN268" s="1"/>
      <c r="QXO268" s="1"/>
      <c r="QXP268" s="1"/>
      <c r="QXQ268" s="1"/>
      <c r="QXR268" s="1"/>
      <c r="QXS268" s="1"/>
      <c r="QXT268" s="1"/>
      <c r="QXU268" s="1"/>
      <c r="QXV268" s="1"/>
      <c r="QXW268" s="1"/>
      <c r="QXX268" s="1"/>
      <c r="QXY268" s="1"/>
      <c r="QXZ268" s="1"/>
      <c r="QYA268" s="1"/>
      <c r="QYB268" s="1"/>
      <c r="QYC268" s="1"/>
      <c r="QYD268" s="1"/>
      <c r="QYE268" s="1"/>
      <c r="QYF268" s="1"/>
      <c r="QYG268" s="1"/>
      <c r="QYH268" s="1"/>
      <c r="QYI268" s="1"/>
      <c r="QYJ268" s="1"/>
      <c r="QYK268" s="1"/>
      <c r="QYL268" s="1"/>
      <c r="QYM268" s="1"/>
      <c r="QYN268" s="1"/>
      <c r="QYO268" s="1"/>
      <c r="QYP268" s="1"/>
      <c r="QYQ268" s="1"/>
      <c r="QYR268" s="1"/>
      <c r="QYS268" s="1"/>
      <c r="QYT268" s="1"/>
      <c r="QYU268" s="1"/>
      <c r="QYV268" s="1"/>
      <c r="QYW268" s="1"/>
      <c r="QYX268" s="1"/>
      <c r="QYY268" s="1"/>
      <c r="QYZ268" s="1"/>
      <c r="QZA268" s="1"/>
      <c r="QZB268" s="1"/>
      <c r="QZC268" s="1"/>
      <c r="QZD268" s="1"/>
      <c r="QZE268" s="1"/>
      <c r="QZF268" s="1"/>
      <c r="QZG268" s="1"/>
      <c r="QZH268" s="1"/>
      <c r="QZI268" s="1"/>
      <c r="QZJ268" s="1"/>
      <c r="QZK268" s="1"/>
      <c r="QZL268" s="1"/>
      <c r="QZM268" s="1"/>
      <c r="QZN268" s="1"/>
      <c r="QZO268" s="1"/>
      <c r="QZP268" s="1"/>
      <c r="QZQ268" s="1"/>
      <c r="QZR268" s="1"/>
      <c r="QZS268" s="1"/>
      <c r="QZT268" s="1"/>
      <c r="QZU268" s="1"/>
      <c r="QZV268" s="1"/>
      <c r="QZW268" s="1"/>
      <c r="QZX268" s="1"/>
      <c r="QZY268" s="1"/>
      <c r="QZZ268" s="1"/>
      <c r="RAA268" s="1"/>
      <c r="RAB268" s="1"/>
      <c r="RAC268" s="1"/>
      <c r="RAD268" s="1"/>
      <c r="RAE268" s="1"/>
      <c r="RAF268" s="1"/>
      <c r="RAG268" s="1"/>
      <c r="RAH268" s="1"/>
      <c r="RAI268" s="1"/>
      <c r="RAJ268" s="1"/>
      <c r="RAK268" s="1"/>
      <c r="RAL268" s="1"/>
      <c r="RAM268" s="1"/>
      <c r="RAN268" s="1"/>
      <c r="RAO268" s="1"/>
      <c r="RAP268" s="1"/>
      <c r="RAQ268" s="1"/>
      <c r="RAR268" s="1"/>
      <c r="RAS268" s="1"/>
      <c r="RAT268" s="1"/>
      <c r="RAU268" s="1"/>
      <c r="RAV268" s="1"/>
      <c r="RAW268" s="1"/>
      <c r="RAX268" s="1"/>
      <c r="RAY268" s="1"/>
      <c r="RAZ268" s="1"/>
      <c r="RBA268" s="1"/>
      <c r="RBB268" s="1"/>
      <c r="RBC268" s="1"/>
      <c r="RBD268" s="1"/>
      <c r="RBE268" s="1"/>
      <c r="RBF268" s="1"/>
      <c r="RBG268" s="1"/>
      <c r="RBH268" s="1"/>
      <c r="RBI268" s="1"/>
      <c r="RBJ268" s="1"/>
      <c r="RBK268" s="1"/>
      <c r="RBL268" s="1"/>
      <c r="RBM268" s="1"/>
      <c r="RBN268" s="1"/>
      <c r="RBO268" s="1"/>
      <c r="RBP268" s="1"/>
      <c r="RBQ268" s="1"/>
      <c r="RBR268" s="1"/>
      <c r="RBS268" s="1"/>
      <c r="RBT268" s="1"/>
      <c r="RBU268" s="1"/>
      <c r="RBV268" s="1"/>
      <c r="RBW268" s="1"/>
      <c r="RBX268" s="1"/>
      <c r="RBY268" s="1"/>
      <c r="RBZ268" s="1"/>
      <c r="RCA268" s="1"/>
      <c r="RCB268" s="1"/>
      <c r="RCC268" s="1"/>
      <c r="RCD268" s="1"/>
      <c r="RCE268" s="1"/>
      <c r="RCF268" s="1"/>
      <c r="RCG268" s="1"/>
      <c r="RCH268" s="1"/>
      <c r="RCI268" s="1"/>
      <c r="RCJ268" s="1"/>
      <c r="RCK268" s="1"/>
      <c r="RCL268" s="1"/>
      <c r="RCM268" s="1"/>
      <c r="RCN268" s="1"/>
      <c r="RCO268" s="1"/>
      <c r="RCP268" s="1"/>
      <c r="RCQ268" s="1"/>
      <c r="RCR268" s="1"/>
      <c r="RCS268" s="1"/>
      <c r="RCT268" s="1"/>
      <c r="RCU268" s="1"/>
      <c r="RCV268" s="1"/>
      <c r="RCW268" s="1"/>
      <c r="RCX268" s="1"/>
      <c r="RCY268" s="1"/>
      <c r="RCZ268" s="1"/>
      <c r="RDA268" s="1"/>
      <c r="RDB268" s="1"/>
      <c r="RDC268" s="1"/>
      <c r="RDD268" s="1"/>
      <c r="RDE268" s="1"/>
      <c r="RDF268" s="1"/>
      <c r="RDG268" s="1"/>
      <c r="RDH268" s="1"/>
      <c r="RDI268" s="1"/>
      <c r="RDJ268" s="1"/>
      <c r="RDK268" s="1"/>
      <c r="RDL268" s="1"/>
      <c r="RDM268" s="1"/>
      <c r="RDN268" s="1"/>
      <c r="RDO268" s="1"/>
      <c r="RDP268" s="1"/>
      <c r="RDQ268" s="1"/>
      <c r="RDR268" s="1"/>
      <c r="RDS268" s="1"/>
      <c r="RDT268" s="1"/>
      <c r="RDU268" s="1"/>
      <c r="RDV268" s="1"/>
      <c r="RDW268" s="1"/>
      <c r="RDX268" s="1"/>
      <c r="RDY268" s="1"/>
      <c r="RDZ268" s="1"/>
      <c r="REA268" s="1"/>
      <c r="REB268" s="1"/>
      <c r="REC268" s="1"/>
      <c r="RED268" s="1"/>
      <c r="REE268" s="1"/>
      <c r="REF268" s="1"/>
      <c r="REG268" s="1"/>
      <c r="REH268" s="1"/>
      <c r="REI268" s="1"/>
      <c r="REJ268" s="1"/>
      <c r="REK268" s="1"/>
      <c r="REL268" s="1"/>
      <c r="REM268" s="1"/>
      <c r="REN268" s="1"/>
      <c r="REO268" s="1"/>
      <c r="REP268" s="1"/>
      <c r="REQ268" s="1"/>
      <c r="RER268" s="1"/>
      <c r="RES268" s="1"/>
      <c r="RET268" s="1"/>
      <c r="REU268" s="1"/>
      <c r="REV268" s="1"/>
      <c r="REW268" s="1"/>
      <c r="REX268" s="1"/>
      <c r="REY268" s="1"/>
      <c r="REZ268" s="1"/>
      <c r="RFA268" s="1"/>
      <c r="RFB268" s="1"/>
      <c r="RFC268" s="1"/>
      <c r="RFD268" s="1"/>
      <c r="RFE268" s="1"/>
      <c r="RFF268" s="1"/>
      <c r="RFG268" s="1"/>
      <c r="RFH268" s="1"/>
      <c r="RFI268" s="1"/>
      <c r="RFJ268" s="1"/>
      <c r="RFK268" s="1"/>
      <c r="RFL268" s="1"/>
      <c r="RFM268" s="1"/>
      <c r="RFN268" s="1"/>
      <c r="RFO268" s="1"/>
      <c r="RFP268" s="1"/>
      <c r="RFQ268" s="1"/>
      <c r="RFR268" s="1"/>
      <c r="RFS268" s="1"/>
      <c r="RFT268" s="1"/>
      <c r="RFU268" s="1"/>
      <c r="RFV268" s="1"/>
      <c r="RFW268" s="1"/>
      <c r="RFX268" s="1"/>
      <c r="RFY268" s="1"/>
      <c r="RFZ268" s="1"/>
      <c r="RGA268" s="1"/>
      <c r="RGB268" s="1"/>
      <c r="RGC268" s="1"/>
      <c r="RGD268" s="1"/>
      <c r="RGE268" s="1"/>
      <c r="RGF268" s="1"/>
      <c r="RGG268" s="1"/>
      <c r="RGH268" s="1"/>
      <c r="RGI268" s="1"/>
      <c r="RGJ268" s="1"/>
      <c r="RGK268" s="1"/>
      <c r="RGL268" s="1"/>
      <c r="RGM268" s="1"/>
      <c r="RGN268" s="1"/>
      <c r="RGO268" s="1"/>
      <c r="RGP268" s="1"/>
      <c r="RGQ268" s="1"/>
      <c r="RGR268" s="1"/>
      <c r="RGS268" s="1"/>
      <c r="RGT268" s="1"/>
      <c r="RGU268" s="1"/>
      <c r="RGV268" s="1"/>
      <c r="RGW268" s="1"/>
      <c r="RGX268" s="1"/>
      <c r="RGY268" s="1"/>
      <c r="RGZ268" s="1"/>
      <c r="RHA268" s="1"/>
      <c r="RHB268" s="1"/>
      <c r="RHC268" s="1"/>
      <c r="RHD268" s="1"/>
      <c r="RHE268" s="1"/>
      <c r="RHF268" s="1"/>
      <c r="RHG268" s="1"/>
      <c r="RHH268" s="1"/>
      <c r="RHI268" s="1"/>
      <c r="RHJ268" s="1"/>
      <c r="RHK268" s="1"/>
      <c r="RHL268" s="1"/>
      <c r="RHM268" s="1"/>
      <c r="RHN268" s="1"/>
      <c r="RHO268" s="1"/>
      <c r="RHP268" s="1"/>
      <c r="RHQ268" s="1"/>
      <c r="RHR268" s="1"/>
      <c r="RHS268" s="1"/>
      <c r="RHT268" s="1"/>
      <c r="RHU268" s="1"/>
      <c r="RHV268" s="1"/>
      <c r="RHW268" s="1"/>
      <c r="RHX268" s="1"/>
      <c r="RHY268" s="1"/>
      <c r="RHZ268" s="1"/>
      <c r="RIA268" s="1"/>
      <c r="RIB268" s="1"/>
      <c r="RIC268" s="1"/>
      <c r="RID268" s="1"/>
      <c r="RIE268" s="1"/>
      <c r="RIF268" s="1"/>
      <c r="RIG268" s="1"/>
      <c r="RIH268" s="1"/>
      <c r="RII268" s="1"/>
      <c r="RIJ268" s="1"/>
      <c r="RIK268" s="1"/>
      <c r="RIL268" s="1"/>
      <c r="RIM268" s="1"/>
      <c r="RIN268" s="1"/>
      <c r="RIO268" s="1"/>
      <c r="RIP268" s="1"/>
      <c r="RIQ268" s="1"/>
      <c r="RIR268" s="1"/>
      <c r="RIS268" s="1"/>
      <c r="RIT268" s="1"/>
      <c r="RIU268" s="1"/>
      <c r="RIV268" s="1"/>
      <c r="RIW268" s="1"/>
      <c r="RIX268" s="1"/>
      <c r="RIY268" s="1"/>
      <c r="RIZ268" s="1"/>
      <c r="RJA268" s="1"/>
      <c r="RJB268" s="1"/>
      <c r="RJC268" s="1"/>
      <c r="RJD268" s="1"/>
      <c r="RJE268" s="1"/>
      <c r="RJF268" s="1"/>
      <c r="RJG268" s="1"/>
      <c r="RJH268" s="1"/>
      <c r="RJI268" s="1"/>
      <c r="RJJ268" s="1"/>
      <c r="RJK268" s="1"/>
      <c r="RJL268" s="1"/>
      <c r="RJM268" s="1"/>
      <c r="RJN268" s="1"/>
      <c r="RJO268" s="1"/>
      <c r="RJP268" s="1"/>
      <c r="RJQ268" s="1"/>
      <c r="RJR268" s="1"/>
      <c r="RJS268" s="1"/>
      <c r="RJT268" s="1"/>
      <c r="RJU268" s="1"/>
      <c r="RJV268" s="1"/>
      <c r="RJW268" s="1"/>
      <c r="RJX268" s="1"/>
      <c r="RJY268" s="1"/>
      <c r="RJZ268" s="1"/>
      <c r="RKA268" s="1"/>
      <c r="RKB268" s="1"/>
      <c r="RKC268" s="1"/>
      <c r="RKD268" s="1"/>
      <c r="RKE268" s="1"/>
      <c r="RKF268" s="1"/>
      <c r="RKG268" s="1"/>
      <c r="RKH268" s="1"/>
      <c r="RKI268" s="1"/>
      <c r="RKJ268" s="1"/>
      <c r="RKK268" s="1"/>
      <c r="RKL268" s="1"/>
      <c r="RKM268" s="1"/>
      <c r="RKN268" s="1"/>
      <c r="RKO268" s="1"/>
      <c r="RKP268" s="1"/>
      <c r="RKQ268" s="1"/>
      <c r="RKR268" s="1"/>
      <c r="RKS268" s="1"/>
      <c r="RKT268" s="1"/>
      <c r="RKU268" s="1"/>
      <c r="RKV268" s="1"/>
      <c r="RKW268" s="1"/>
      <c r="RKX268" s="1"/>
      <c r="RKY268" s="1"/>
      <c r="RKZ268" s="1"/>
      <c r="RLA268" s="1"/>
      <c r="RLB268" s="1"/>
      <c r="RLC268" s="1"/>
      <c r="RLD268" s="1"/>
      <c r="RLE268" s="1"/>
      <c r="RLF268" s="1"/>
      <c r="RLG268" s="1"/>
      <c r="RLH268" s="1"/>
      <c r="RLI268" s="1"/>
      <c r="RLJ268" s="1"/>
      <c r="RLK268" s="1"/>
      <c r="RLL268" s="1"/>
      <c r="RLM268" s="1"/>
      <c r="RLN268" s="1"/>
      <c r="RLO268" s="1"/>
      <c r="RLP268" s="1"/>
      <c r="RLQ268" s="1"/>
      <c r="RLR268" s="1"/>
      <c r="RLS268" s="1"/>
      <c r="RLT268" s="1"/>
      <c r="RLU268" s="1"/>
      <c r="RLV268" s="1"/>
      <c r="RLW268" s="1"/>
      <c r="RLX268" s="1"/>
      <c r="RLY268" s="1"/>
      <c r="RLZ268" s="1"/>
      <c r="RMA268" s="1"/>
      <c r="RMB268" s="1"/>
      <c r="RMC268" s="1"/>
      <c r="RMD268" s="1"/>
      <c r="RME268" s="1"/>
      <c r="RMF268" s="1"/>
      <c r="RMG268" s="1"/>
      <c r="RMH268" s="1"/>
      <c r="RMI268" s="1"/>
      <c r="RMJ268" s="1"/>
      <c r="RMK268" s="1"/>
      <c r="RML268" s="1"/>
      <c r="RMM268" s="1"/>
      <c r="RMN268" s="1"/>
      <c r="RMO268" s="1"/>
      <c r="RMP268" s="1"/>
      <c r="RMQ268" s="1"/>
      <c r="RMR268" s="1"/>
      <c r="RMS268" s="1"/>
      <c r="RMT268" s="1"/>
      <c r="RMU268" s="1"/>
      <c r="RMV268" s="1"/>
      <c r="RMW268" s="1"/>
      <c r="RMX268" s="1"/>
      <c r="RMY268" s="1"/>
      <c r="RMZ268" s="1"/>
      <c r="RNA268" s="1"/>
      <c r="RNB268" s="1"/>
      <c r="RNC268" s="1"/>
      <c r="RND268" s="1"/>
      <c r="RNE268" s="1"/>
      <c r="RNF268" s="1"/>
      <c r="RNG268" s="1"/>
      <c r="RNH268" s="1"/>
      <c r="RNI268" s="1"/>
      <c r="RNJ268" s="1"/>
      <c r="RNK268" s="1"/>
      <c r="RNL268" s="1"/>
      <c r="RNM268" s="1"/>
      <c r="RNN268" s="1"/>
      <c r="RNO268" s="1"/>
      <c r="RNP268" s="1"/>
      <c r="RNQ268" s="1"/>
      <c r="RNR268" s="1"/>
      <c r="RNS268" s="1"/>
      <c r="RNT268" s="1"/>
      <c r="RNU268" s="1"/>
      <c r="RNV268" s="1"/>
      <c r="RNW268" s="1"/>
      <c r="RNX268" s="1"/>
      <c r="RNY268" s="1"/>
      <c r="RNZ268" s="1"/>
      <c r="ROA268" s="1"/>
      <c r="ROB268" s="1"/>
      <c r="ROC268" s="1"/>
      <c r="ROD268" s="1"/>
      <c r="ROE268" s="1"/>
      <c r="ROF268" s="1"/>
      <c r="ROG268" s="1"/>
      <c r="ROH268" s="1"/>
      <c r="ROI268" s="1"/>
      <c r="ROJ268" s="1"/>
      <c r="ROK268" s="1"/>
      <c r="ROL268" s="1"/>
      <c r="ROM268" s="1"/>
      <c r="RON268" s="1"/>
      <c r="ROO268" s="1"/>
      <c r="ROP268" s="1"/>
      <c r="ROQ268" s="1"/>
      <c r="ROR268" s="1"/>
      <c r="ROS268" s="1"/>
      <c r="ROT268" s="1"/>
      <c r="ROU268" s="1"/>
      <c r="ROV268" s="1"/>
      <c r="ROW268" s="1"/>
      <c r="ROX268" s="1"/>
      <c r="ROY268" s="1"/>
      <c r="ROZ268" s="1"/>
      <c r="RPA268" s="1"/>
      <c r="RPB268" s="1"/>
      <c r="RPC268" s="1"/>
      <c r="RPD268" s="1"/>
      <c r="RPE268" s="1"/>
      <c r="RPF268" s="1"/>
      <c r="RPG268" s="1"/>
      <c r="RPH268" s="1"/>
      <c r="RPI268" s="1"/>
      <c r="RPJ268" s="1"/>
      <c r="RPK268" s="1"/>
      <c r="RPL268" s="1"/>
      <c r="RPM268" s="1"/>
      <c r="RPN268" s="1"/>
      <c r="RPO268" s="1"/>
      <c r="RPP268" s="1"/>
      <c r="RPQ268" s="1"/>
      <c r="RPR268" s="1"/>
      <c r="RPS268" s="1"/>
      <c r="RPT268" s="1"/>
      <c r="RPU268" s="1"/>
      <c r="RPV268" s="1"/>
      <c r="RPW268" s="1"/>
      <c r="RPX268" s="1"/>
      <c r="RPY268" s="1"/>
      <c r="RPZ268" s="1"/>
      <c r="RQA268" s="1"/>
      <c r="RQB268" s="1"/>
      <c r="RQC268" s="1"/>
      <c r="RQD268" s="1"/>
      <c r="RQE268" s="1"/>
      <c r="RQF268" s="1"/>
      <c r="RQG268" s="1"/>
      <c r="RQH268" s="1"/>
      <c r="RQI268" s="1"/>
      <c r="RQJ268" s="1"/>
      <c r="RQK268" s="1"/>
      <c r="RQL268" s="1"/>
      <c r="RQM268" s="1"/>
      <c r="RQN268" s="1"/>
      <c r="RQO268" s="1"/>
      <c r="RQP268" s="1"/>
      <c r="RQQ268" s="1"/>
      <c r="RQR268" s="1"/>
      <c r="RQS268" s="1"/>
      <c r="RQT268" s="1"/>
      <c r="RQU268" s="1"/>
      <c r="RQV268" s="1"/>
      <c r="RQW268" s="1"/>
      <c r="RQX268" s="1"/>
      <c r="RQY268" s="1"/>
      <c r="RQZ268" s="1"/>
      <c r="RRA268" s="1"/>
      <c r="RRB268" s="1"/>
      <c r="RRC268" s="1"/>
      <c r="RRD268" s="1"/>
      <c r="RRE268" s="1"/>
      <c r="RRF268" s="1"/>
      <c r="RRG268" s="1"/>
      <c r="RRH268" s="1"/>
      <c r="RRI268" s="1"/>
      <c r="RRJ268" s="1"/>
      <c r="RRK268" s="1"/>
      <c r="RRL268" s="1"/>
      <c r="RRM268" s="1"/>
      <c r="RRN268" s="1"/>
      <c r="RRO268" s="1"/>
      <c r="RRP268" s="1"/>
      <c r="RRQ268" s="1"/>
      <c r="RRR268" s="1"/>
      <c r="RRS268" s="1"/>
      <c r="RRT268" s="1"/>
      <c r="RRU268" s="1"/>
      <c r="RRV268" s="1"/>
      <c r="RRW268" s="1"/>
      <c r="RRX268" s="1"/>
      <c r="RRY268" s="1"/>
      <c r="RRZ268" s="1"/>
      <c r="RSA268" s="1"/>
      <c r="RSB268" s="1"/>
      <c r="RSC268" s="1"/>
      <c r="RSD268" s="1"/>
      <c r="RSE268" s="1"/>
      <c r="RSF268" s="1"/>
      <c r="RSG268" s="1"/>
      <c r="RSH268" s="1"/>
      <c r="RSI268" s="1"/>
      <c r="RSJ268" s="1"/>
      <c r="RSK268" s="1"/>
      <c r="RSL268" s="1"/>
      <c r="RSM268" s="1"/>
      <c r="RSN268" s="1"/>
      <c r="RSO268" s="1"/>
      <c r="RSP268" s="1"/>
      <c r="RSQ268" s="1"/>
      <c r="RSR268" s="1"/>
      <c r="RSS268" s="1"/>
      <c r="RST268" s="1"/>
      <c r="RSU268" s="1"/>
      <c r="RSV268" s="1"/>
      <c r="RSW268" s="1"/>
      <c r="RSX268" s="1"/>
      <c r="RSY268" s="1"/>
      <c r="RSZ268" s="1"/>
      <c r="RTA268" s="1"/>
      <c r="RTB268" s="1"/>
      <c r="RTC268" s="1"/>
      <c r="RTD268" s="1"/>
      <c r="RTE268" s="1"/>
      <c r="RTF268" s="1"/>
      <c r="RTG268" s="1"/>
      <c r="RTH268" s="1"/>
      <c r="RTI268" s="1"/>
      <c r="RTJ268" s="1"/>
      <c r="RTK268" s="1"/>
      <c r="RTL268" s="1"/>
      <c r="RTM268" s="1"/>
      <c r="RTN268" s="1"/>
      <c r="RTO268" s="1"/>
      <c r="RTP268" s="1"/>
      <c r="RTQ268" s="1"/>
      <c r="RTR268" s="1"/>
      <c r="RTS268" s="1"/>
      <c r="RTT268" s="1"/>
      <c r="RTU268" s="1"/>
      <c r="RTV268" s="1"/>
      <c r="RTW268" s="1"/>
      <c r="RTX268" s="1"/>
      <c r="RTY268" s="1"/>
      <c r="RTZ268" s="1"/>
      <c r="RUA268" s="1"/>
      <c r="RUB268" s="1"/>
      <c r="RUC268" s="1"/>
      <c r="RUD268" s="1"/>
      <c r="RUE268" s="1"/>
      <c r="RUF268" s="1"/>
      <c r="RUG268" s="1"/>
      <c r="RUH268" s="1"/>
      <c r="RUI268" s="1"/>
      <c r="RUJ268" s="1"/>
      <c r="RUK268" s="1"/>
      <c r="RUL268" s="1"/>
      <c r="RUM268" s="1"/>
      <c r="RUN268" s="1"/>
      <c r="RUO268" s="1"/>
      <c r="RUP268" s="1"/>
      <c r="RUQ268" s="1"/>
      <c r="RUR268" s="1"/>
      <c r="RUS268" s="1"/>
      <c r="RUT268" s="1"/>
      <c r="RUU268" s="1"/>
      <c r="RUV268" s="1"/>
      <c r="RUW268" s="1"/>
      <c r="RUX268" s="1"/>
      <c r="RUY268" s="1"/>
      <c r="RUZ268" s="1"/>
      <c r="RVA268" s="1"/>
      <c r="RVB268" s="1"/>
      <c r="RVC268" s="1"/>
      <c r="RVD268" s="1"/>
      <c r="RVE268" s="1"/>
      <c r="RVF268" s="1"/>
      <c r="RVG268" s="1"/>
      <c r="RVH268" s="1"/>
      <c r="RVI268" s="1"/>
      <c r="RVJ268" s="1"/>
      <c r="RVK268" s="1"/>
      <c r="RVL268" s="1"/>
      <c r="RVM268" s="1"/>
      <c r="RVN268" s="1"/>
      <c r="RVO268" s="1"/>
      <c r="RVP268" s="1"/>
      <c r="RVQ268" s="1"/>
      <c r="RVR268" s="1"/>
      <c r="RVS268" s="1"/>
      <c r="RVT268" s="1"/>
      <c r="RVU268" s="1"/>
      <c r="RVV268" s="1"/>
      <c r="RVW268" s="1"/>
      <c r="RVX268" s="1"/>
      <c r="RVY268" s="1"/>
      <c r="RVZ268" s="1"/>
      <c r="RWA268" s="1"/>
      <c r="RWB268" s="1"/>
      <c r="RWC268" s="1"/>
      <c r="RWD268" s="1"/>
      <c r="RWE268" s="1"/>
      <c r="RWF268" s="1"/>
      <c r="RWG268" s="1"/>
      <c r="RWH268" s="1"/>
      <c r="RWI268" s="1"/>
      <c r="RWJ268" s="1"/>
      <c r="RWK268" s="1"/>
      <c r="RWL268" s="1"/>
      <c r="RWM268" s="1"/>
      <c r="RWN268" s="1"/>
      <c r="RWO268" s="1"/>
      <c r="RWP268" s="1"/>
      <c r="RWQ268" s="1"/>
      <c r="RWR268" s="1"/>
      <c r="RWS268" s="1"/>
      <c r="RWT268" s="1"/>
      <c r="RWU268" s="1"/>
      <c r="RWV268" s="1"/>
      <c r="RWW268" s="1"/>
      <c r="RWX268" s="1"/>
      <c r="RWY268" s="1"/>
      <c r="RWZ268" s="1"/>
      <c r="RXA268" s="1"/>
      <c r="RXB268" s="1"/>
      <c r="RXC268" s="1"/>
      <c r="RXD268" s="1"/>
      <c r="RXE268" s="1"/>
      <c r="RXF268" s="1"/>
      <c r="RXG268" s="1"/>
      <c r="RXH268" s="1"/>
      <c r="RXI268" s="1"/>
      <c r="RXJ268" s="1"/>
      <c r="RXK268" s="1"/>
      <c r="RXL268" s="1"/>
      <c r="RXM268" s="1"/>
      <c r="RXN268" s="1"/>
      <c r="RXO268" s="1"/>
      <c r="RXP268" s="1"/>
      <c r="RXQ268" s="1"/>
      <c r="RXR268" s="1"/>
      <c r="RXS268" s="1"/>
      <c r="RXT268" s="1"/>
      <c r="RXU268" s="1"/>
      <c r="RXV268" s="1"/>
      <c r="RXW268" s="1"/>
      <c r="RXX268" s="1"/>
      <c r="RXY268" s="1"/>
      <c r="RXZ268" s="1"/>
      <c r="RYA268" s="1"/>
      <c r="RYB268" s="1"/>
      <c r="RYC268" s="1"/>
      <c r="RYD268" s="1"/>
      <c r="RYE268" s="1"/>
      <c r="RYF268" s="1"/>
      <c r="RYG268" s="1"/>
      <c r="RYH268" s="1"/>
      <c r="RYI268" s="1"/>
      <c r="RYJ268" s="1"/>
      <c r="RYK268" s="1"/>
      <c r="RYL268" s="1"/>
      <c r="RYM268" s="1"/>
      <c r="RYN268" s="1"/>
      <c r="RYO268" s="1"/>
      <c r="RYP268" s="1"/>
      <c r="RYQ268" s="1"/>
      <c r="RYR268" s="1"/>
      <c r="RYS268" s="1"/>
      <c r="RYT268" s="1"/>
      <c r="RYU268" s="1"/>
      <c r="RYV268" s="1"/>
      <c r="RYW268" s="1"/>
      <c r="RYX268" s="1"/>
      <c r="RYY268" s="1"/>
      <c r="RYZ268" s="1"/>
      <c r="RZA268" s="1"/>
      <c r="RZB268" s="1"/>
      <c r="RZC268" s="1"/>
      <c r="RZD268" s="1"/>
      <c r="RZE268" s="1"/>
      <c r="RZF268" s="1"/>
      <c r="RZG268" s="1"/>
      <c r="RZH268" s="1"/>
      <c r="RZI268" s="1"/>
      <c r="RZJ268" s="1"/>
      <c r="RZK268" s="1"/>
      <c r="RZL268" s="1"/>
      <c r="RZM268" s="1"/>
      <c r="RZN268" s="1"/>
      <c r="RZO268" s="1"/>
      <c r="RZP268" s="1"/>
      <c r="RZQ268" s="1"/>
      <c r="RZR268" s="1"/>
      <c r="RZS268" s="1"/>
      <c r="RZT268" s="1"/>
      <c r="RZU268" s="1"/>
      <c r="RZV268" s="1"/>
      <c r="RZW268" s="1"/>
      <c r="RZX268" s="1"/>
      <c r="RZY268" s="1"/>
      <c r="RZZ268" s="1"/>
      <c r="SAA268" s="1"/>
      <c r="SAB268" s="1"/>
      <c r="SAC268" s="1"/>
      <c r="SAD268" s="1"/>
      <c r="SAE268" s="1"/>
      <c r="SAF268" s="1"/>
      <c r="SAG268" s="1"/>
      <c r="SAH268" s="1"/>
      <c r="SAI268" s="1"/>
      <c r="SAJ268" s="1"/>
      <c r="SAK268" s="1"/>
      <c r="SAL268" s="1"/>
      <c r="SAM268" s="1"/>
      <c r="SAN268" s="1"/>
      <c r="SAO268" s="1"/>
      <c r="SAP268" s="1"/>
      <c r="SAQ268" s="1"/>
      <c r="SAR268" s="1"/>
      <c r="SAS268" s="1"/>
      <c r="SAT268" s="1"/>
      <c r="SAU268" s="1"/>
      <c r="SAV268" s="1"/>
      <c r="SAW268" s="1"/>
      <c r="SAX268" s="1"/>
      <c r="SAY268" s="1"/>
      <c r="SAZ268" s="1"/>
      <c r="SBA268" s="1"/>
      <c r="SBB268" s="1"/>
      <c r="SBC268" s="1"/>
      <c r="SBD268" s="1"/>
      <c r="SBE268" s="1"/>
      <c r="SBF268" s="1"/>
      <c r="SBG268" s="1"/>
      <c r="SBH268" s="1"/>
      <c r="SBI268" s="1"/>
      <c r="SBJ268" s="1"/>
      <c r="SBK268" s="1"/>
      <c r="SBL268" s="1"/>
      <c r="SBM268" s="1"/>
      <c r="SBN268" s="1"/>
      <c r="SBO268" s="1"/>
      <c r="SBP268" s="1"/>
      <c r="SBQ268" s="1"/>
      <c r="SBR268" s="1"/>
      <c r="SBS268" s="1"/>
      <c r="SBT268" s="1"/>
      <c r="SBU268" s="1"/>
      <c r="SBV268" s="1"/>
      <c r="SBW268" s="1"/>
      <c r="SBX268" s="1"/>
      <c r="SBY268" s="1"/>
      <c r="SBZ268" s="1"/>
      <c r="SCA268" s="1"/>
      <c r="SCB268" s="1"/>
      <c r="SCC268" s="1"/>
      <c r="SCD268" s="1"/>
      <c r="SCE268" s="1"/>
      <c r="SCF268" s="1"/>
      <c r="SCG268" s="1"/>
      <c r="SCH268" s="1"/>
      <c r="SCI268" s="1"/>
      <c r="SCJ268" s="1"/>
      <c r="SCK268" s="1"/>
      <c r="SCL268" s="1"/>
      <c r="SCM268" s="1"/>
      <c r="SCN268" s="1"/>
      <c r="SCO268" s="1"/>
      <c r="SCP268" s="1"/>
      <c r="SCQ268" s="1"/>
      <c r="SCR268" s="1"/>
      <c r="SCS268" s="1"/>
      <c r="SCT268" s="1"/>
      <c r="SCU268" s="1"/>
      <c r="SCV268" s="1"/>
      <c r="SCW268" s="1"/>
      <c r="SCX268" s="1"/>
      <c r="SCY268" s="1"/>
      <c r="SCZ268" s="1"/>
      <c r="SDA268" s="1"/>
      <c r="SDB268" s="1"/>
      <c r="SDC268" s="1"/>
      <c r="SDD268" s="1"/>
      <c r="SDE268" s="1"/>
      <c r="SDF268" s="1"/>
      <c r="SDG268" s="1"/>
      <c r="SDH268" s="1"/>
      <c r="SDI268" s="1"/>
      <c r="SDJ268" s="1"/>
      <c r="SDK268" s="1"/>
      <c r="SDL268" s="1"/>
      <c r="SDM268" s="1"/>
      <c r="SDN268" s="1"/>
      <c r="SDO268" s="1"/>
      <c r="SDP268" s="1"/>
      <c r="SDQ268" s="1"/>
      <c r="SDR268" s="1"/>
      <c r="SDS268" s="1"/>
      <c r="SDT268" s="1"/>
      <c r="SDU268" s="1"/>
      <c r="SDV268" s="1"/>
      <c r="SDW268" s="1"/>
      <c r="SDX268" s="1"/>
      <c r="SDY268" s="1"/>
      <c r="SDZ268" s="1"/>
      <c r="SEA268" s="1"/>
      <c r="SEB268" s="1"/>
      <c r="SEC268" s="1"/>
      <c r="SED268" s="1"/>
      <c r="SEE268" s="1"/>
      <c r="SEF268" s="1"/>
      <c r="SEG268" s="1"/>
      <c r="SEH268" s="1"/>
      <c r="SEI268" s="1"/>
      <c r="SEJ268" s="1"/>
      <c r="SEK268" s="1"/>
      <c r="SEL268" s="1"/>
      <c r="SEM268" s="1"/>
      <c r="SEN268" s="1"/>
      <c r="SEO268" s="1"/>
      <c r="SEP268" s="1"/>
      <c r="SEQ268" s="1"/>
      <c r="SER268" s="1"/>
      <c r="SES268" s="1"/>
      <c r="SET268" s="1"/>
      <c r="SEU268" s="1"/>
      <c r="SEV268" s="1"/>
      <c r="SEW268" s="1"/>
      <c r="SEX268" s="1"/>
      <c r="SEY268" s="1"/>
      <c r="SEZ268" s="1"/>
      <c r="SFA268" s="1"/>
      <c r="SFB268" s="1"/>
      <c r="SFC268" s="1"/>
      <c r="SFD268" s="1"/>
      <c r="SFE268" s="1"/>
      <c r="SFF268" s="1"/>
      <c r="SFG268" s="1"/>
      <c r="SFH268" s="1"/>
      <c r="SFI268" s="1"/>
      <c r="SFJ268" s="1"/>
      <c r="SFK268" s="1"/>
      <c r="SFL268" s="1"/>
      <c r="SFM268" s="1"/>
      <c r="SFN268" s="1"/>
      <c r="SFO268" s="1"/>
      <c r="SFP268" s="1"/>
      <c r="SFQ268" s="1"/>
      <c r="SFR268" s="1"/>
      <c r="SFS268" s="1"/>
      <c r="SFT268" s="1"/>
      <c r="SFU268" s="1"/>
      <c r="SFV268" s="1"/>
      <c r="SFW268" s="1"/>
      <c r="SFX268" s="1"/>
      <c r="SFY268" s="1"/>
      <c r="SFZ268" s="1"/>
      <c r="SGA268" s="1"/>
      <c r="SGB268" s="1"/>
      <c r="SGC268" s="1"/>
      <c r="SGD268" s="1"/>
      <c r="SGE268" s="1"/>
      <c r="SGF268" s="1"/>
      <c r="SGG268" s="1"/>
      <c r="SGH268" s="1"/>
      <c r="SGI268" s="1"/>
      <c r="SGJ268" s="1"/>
      <c r="SGK268" s="1"/>
      <c r="SGL268" s="1"/>
      <c r="SGM268" s="1"/>
      <c r="SGN268" s="1"/>
      <c r="SGO268" s="1"/>
      <c r="SGP268" s="1"/>
      <c r="SGQ268" s="1"/>
      <c r="SGR268" s="1"/>
      <c r="SGS268" s="1"/>
      <c r="SGT268" s="1"/>
      <c r="SGU268" s="1"/>
      <c r="SGV268" s="1"/>
      <c r="SGW268" s="1"/>
      <c r="SGX268" s="1"/>
      <c r="SGY268" s="1"/>
      <c r="SGZ268" s="1"/>
      <c r="SHA268" s="1"/>
      <c r="SHB268" s="1"/>
      <c r="SHC268" s="1"/>
      <c r="SHD268" s="1"/>
      <c r="SHE268" s="1"/>
      <c r="SHF268" s="1"/>
      <c r="SHG268" s="1"/>
      <c r="SHH268" s="1"/>
      <c r="SHI268" s="1"/>
      <c r="SHJ268" s="1"/>
      <c r="SHK268" s="1"/>
      <c r="SHL268" s="1"/>
      <c r="SHM268" s="1"/>
      <c r="SHN268" s="1"/>
      <c r="SHO268" s="1"/>
      <c r="SHP268" s="1"/>
      <c r="SHQ268" s="1"/>
      <c r="SHR268" s="1"/>
      <c r="SHS268" s="1"/>
      <c r="SHT268" s="1"/>
      <c r="SHU268" s="1"/>
      <c r="SHV268" s="1"/>
      <c r="SHW268" s="1"/>
      <c r="SHX268" s="1"/>
      <c r="SHY268" s="1"/>
      <c r="SHZ268" s="1"/>
      <c r="SIA268" s="1"/>
      <c r="SIB268" s="1"/>
      <c r="SIC268" s="1"/>
      <c r="SID268" s="1"/>
      <c r="SIE268" s="1"/>
      <c r="SIF268" s="1"/>
      <c r="SIG268" s="1"/>
      <c r="SIH268" s="1"/>
      <c r="SII268" s="1"/>
      <c r="SIJ268" s="1"/>
      <c r="SIK268" s="1"/>
      <c r="SIL268" s="1"/>
      <c r="SIM268" s="1"/>
      <c r="SIN268" s="1"/>
      <c r="SIO268" s="1"/>
      <c r="SIP268" s="1"/>
      <c r="SIQ268" s="1"/>
      <c r="SIR268" s="1"/>
      <c r="SIS268" s="1"/>
      <c r="SIT268" s="1"/>
      <c r="SIU268" s="1"/>
      <c r="SIV268" s="1"/>
      <c r="SIW268" s="1"/>
      <c r="SIX268" s="1"/>
      <c r="SIY268" s="1"/>
      <c r="SIZ268" s="1"/>
      <c r="SJA268" s="1"/>
      <c r="SJB268" s="1"/>
      <c r="SJC268" s="1"/>
      <c r="SJD268" s="1"/>
      <c r="SJE268" s="1"/>
      <c r="SJF268" s="1"/>
      <c r="SJG268" s="1"/>
      <c r="SJH268" s="1"/>
      <c r="SJI268" s="1"/>
      <c r="SJJ268" s="1"/>
      <c r="SJK268" s="1"/>
      <c r="SJL268" s="1"/>
      <c r="SJM268" s="1"/>
      <c r="SJN268" s="1"/>
      <c r="SJO268" s="1"/>
      <c r="SJP268" s="1"/>
      <c r="SJQ268" s="1"/>
      <c r="SJR268" s="1"/>
      <c r="SJS268" s="1"/>
      <c r="SJT268" s="1"/>
      <c r="SJU268" s="1"/>
      <c r="SJV268" s="1"/>
      <c r="SJW268" s="1"/>
      <c r="SJX268" s="1"/>
      <c r="SJY268" s="1"/>
      <c r="SJZ268" s="1"/>
      <c r="SKA268" s="1"/>
      <c r="SKB268" s="1"/>
      <c r="SKC268" s="1"/>
      <c r="SKD268" s="1"/>
      <c r="SKE268" s="1"/>
      <c r="SKF268" s="1"/>
      <c r="SKG268" s="1"/>
      <c r="SKH268" s="1"/>
      <c r="SKI268" s="1"/>
      <c r="SKJ268" s="1"/>
      <c r="SKK268" s="1"/>
      <c r="SKL268" s="1"/>
      <c r="SKM268" s="1"/>
      <c r="SKN268" s="1"/>
      <c r="SKO268" s="1"/>
      <c r="SKP268" s="1"/>
      <c r="SKQ268" s="1"/>
      <c r="SKR268" s="1"/>
      <c r="SKS268" s="1"/>
      <c r="SKT268" s="1"/>
      <c r="SKU268" s="1"/>
      <c r="SKV268" s="1"/>
      <c r="SKW268" s="1"/>
      <c r="SKX268" s="1"/>
      <c r="SKY268" s="1"/>
      <c r="SKZ268" s="1"/>
      <c r="SLA268" s="1"/>
      <c r="SLB268" s="1"/>
      <c r="SLC268" s="1"/>
      <c r="SLD268" s="1"/>
      <c r="SLE268" s="1"/>
      <c r="SLF268" s="1"/>
      <c r="SLG268" s="1"/>
      <c r="SLH268" s="1"/>
      <c r="SLI268" s="1"/>
      <c r="SLJ268" s="1"/>
      <c r="SLK268" s="1"/>
      <c r="SLL268" s="1"/>
      <c r="SLM268" s="1"/>
      <c r="SLN268" s="1"/>
      <c r="SLO268" s="1"/>
      <c r="SLP268" s="1"/>
      <c r="SLQ268" s="1"/>
      <c r="SLR268" s="1"/>
      <c r="SLS268" s="1"/>
      <c r="SLT268" s="1"/>
      <c r="SLU268" s="1"/>
      <c r="SLV268" s="1"/>
      <c r="SLW268" s="1"/>
      <c r="SLX268" s="1"/>
      <c r="SLY268" s="1"/>
      <c r="SLZ268" s="1"/>
      <c r="SMA268" s="1"/>
      <c r="SMB268" s="1"/>
      <c r="SMC268" s="1"/>
      <c r="SMD268" s="1"/>
      <c r="SME268" s="1"/>
      <c r="SMF268" s="1"/>
      <c r="SMG268" s="1"/>
      <c r="SMH268" s="1"/>
      <c r="SMI268" s="1"/>
      <c r="SMJ268" s="1"/>
      <c r="SMK268" s="1"/>
      <c r="SML268" s="1"/>
      <c r="SMM268" s="1"/>
      <c r="SMN268" s="1"/>
      <c r="SMO268" s="1"/>
      <c r="SMP268" s="1"/>
      <c r="SMQ268" s="1"/>
      <c r="SMR268" s="1"/>
      <c r="SMS268" s="1"/>
      <c r="SMT268" s="1"/>
      <c r="SMU268" s="1"/>
      <c r="SMV268" s="1"/>
      <c r="SMW268" s="1"/>
      <c r="SMX268" s="1"/>
      <c r="SMY268" s="1"/>
      <c r="SMZ268" s="1"/>
      <c r="SNA268" s="1"/>
      <c r="SNB268" s="1"/>
      <c r="SNC268" s="1"/>
      <c r="SND268" s="1"/>
      <c r="SNE268" s="1"/>
      <c r="SNF268" s="1"/>
      <c r="SNG268" s="1"/>
      <c r="SNH268" s="1"/>
      <c r="SNI268" s="1"/>
      <c r="SNJ268" s="1"/>
      <c r="SNK268" s="1"/>
      <c r="SNL268" s="1"/>
      <c r="SNM268" s="1"/>
      <c r="SNN268" s="1"/>
      <c r="SNO268" s="1"/>
      <c r="SNP268" s="1"/>
      <c r="SNQ268" s="1"/>
      <c r="SNR268" s="1"/>
      <c r="SNS268" s="1"/>
      <c r="SNT268" s="1"/>
      <c r="SNU268" s="1"/>
      <c r="SNV268" s="1"/>
      <c r="SNW268" s="1"/>
      <c r="SNX268" s="1"/>
      <c r="SNY268" s="1"/>
      <c r="SNZ268" s="1"/>
      <c r="SOA268" s="1"/>
      <c r="SOB268" s="1"/>
      <c r="SOC268" s="1"/>
      <c r="SOD268" s="1"/>
      <c r="SOE268" s="1"/>
      <c r="SOF268" s="1"/>
      <c r="SOG268" s="1"/>
      <c r="SOH268" s="1"/>
      <c r="SOI268" s="1"/>
      <c r="SOJ268" s="1"/>
      <c r="SOK268" s="1"/>
      <c r="SOL268" s="1"/>
      <c r="SOM268" s="1"/>
      <c r="SON268" s="1"/>
      <c r="SOO268" s="1"/>
      <c r="SOP268" s="1"/>
      <c r="SOQ268" s="1"/>
      <c r="SOR268" s="1"/>
      <c r="SOS268" s="1"/>
      <c r="SOT268" s="1"/>
      <c r="SOU268" s="1"/>
      <c r="SOV268" s="1"/>
      <c r="SOW268" s="1"/>
      <c r="SOX268" s="1"/>
      <c r="SOY268" s="1"/>
      <c r="SOZ268" s="1"/>
      <c r="SPA268" s="1"/>
      <c r="SPB268" s="1"/>
      <c r="SPC268" s="1"/>
      <c r="SPD268" s="1"/>
      <c r="SPE268" s="1"/>
      <c r="SPF268" s="1"/>
      <c r="SPG268" s="1"/>
      <c r="SPH268" s="1"/>
      <c r="SPI268" s="1"/>
      <c r="SPJ268" s="1"/>
      <c r="SPK268" s="1"/>
      <c r="SPL268" s="1"/>
      <c r="SPM268" s="1"/>
      <c r="SPN268" s="1"/>
      <c r="SPO268" s="1"/>
      <c r="SPP268" s="1"/>
      <c r="SPQ268" s="1"/>
      <c r="SPR268" s="1"/>
      <c r="SPS268" s="1"/>
      <c r="SPT268" s="1"/>
      <c r="SPU268" s="1"/>
      <c r="SPV268" s="1"/>
      <c r="SPW268" s="1"/>
      <c r="SPX268" s="1"/>
      <c r="SPY268" s="1"/>
      <c r="SPZ268" s="1"/>
      <c r="SQA268" s="1"/>
      <c r="SQB268" s="1"/>
      <c r="SQC268" s="1"/>
      <c r="SQD268" s="1"/>
      <c r="SQE268" s="1"/>
      <c r="SQF268" s="1"/>
      <c r="SQG268" s="1"/>
      <c r="SQH268" s="1"/>
      <c r="SQI268" s="1"/>
      <c r="SQJ268" s="1"/>
      <c r="SQK268" s="1"/>
      <c r="SQL268" s="1"/>
      <c r="SQM268" s="1"/>
      <c r="SQN268" s="1"/>
      <c r="SQO268" s="1"/>
      <c r="SQP268" s="1"/>
      <c r="SQQ268" s="1"/>
      <c r="SQR268" s="1"/>
      <c r="SQS268" s="1"/>
      <c r="SQT268" s="1"/>
      <c r="SQU268" s="1"/>
      <c r="SQV268" s="1"/>
      <c r="SQW268" s="1"/>
      <c r="SQX268" s="1"/>
      <c r="SQY268" s="1"/>
      <c r="SQZ268" s="1"/>
      <c r="SRA268" s="1"/>
      <c r="SRB268" s="1"/>
      <c r="SRC268" s="1"/>
      <c r="SRD268" s="1"/>
      <c r="SRE268" s="1"/>
      <c r="SRF268" s="1"/>
      <c r="SRG268" s="1"/>
      <c r="SRH268" s="1"/>
      <c r="SRI268" s="1"/>
      <c r="SRJ268" s="1"/>
      <c r="SRK268" s="1"/>
      <c r="SRL268" s="1"/>
      <c r="SRM268" s="1"/>
      <c r="SRN268" s="1"/>
      <c r="SRO268" s="1"/>
      <c r="SRP268" s="1"/>
      <c r="SRQ268" s="1"/>
      <c r="SRR268" s="1"/>
      <c r="SRS268" s="1"/>
      <c r="SRT268" s="1"/>
      <c r="SRU268" s="1"/>
      <c r="SRV268" s="1"/>
      <c r="SRW268" s="1"/>
      <c r="SRX268" s="1"/>
      <c r="SRY268" s="1"/>
      <c r="SRZ268" s="1"/>
      <c r="SSA268" s="1"/>
      <c r="SSB268" s="1"/>
      <c r="SSC268" s="1"/>
      <c r="SSD268" s="1"/>
      <c r="SSE268" s="1"/>
      <c r="SSF268" s="1"/>
      <c r="SSG268" s="1"/>
      <c r="SSH268" s="1"/>
      <c r="SSI268" s="1"/>
      <c r="SSJ268" s="1"/>
      <c r="SSK268" s="1"/>
      <c r="SSL268" s="1"/>
      <c r="SSM268" s="1"/>
      <c r="SSN268" s="1"/>
      <c r="SSO268" s="1"/>
      <c r="SSP268" s="1"/>
      <c r="SSQ268" s="1"/>
      <c r="SSR268" s="1"/>
      <c r="SSS268" s="1"/>
      <c r="SST268" s="1"/>
      <c r="SSU268" s="1"/>
      <c r="SSV268" s="1"/>
      <c r="SSW268" s="1"/>
      <c r="SSX268" s="1"/>
      <c r="SSY268" s="1"/>
      <c r="SSZ268" s="1"/>
      <c r="STA268" s="1"/>
      <c r="STB268" s="1"/>
      <c r="STC268" s="1"/>
      <c r="STD268" s="1"/>
      <c r="STE268" s="1"/>
      <c r="STF268" s="1"/>
      <c r="STG268" s="1"/>
      <c r="STH268" s="1"/>
      <c r="STI268" s="1"/>
      <c r="STJ268" s="1"/>
      <c r="STK268" s="1"/>
      <c r="STL268" s="1"/>
      <c r="STM268" s="1"/>
      <c r="STN268" s="1"/>
      <c r="STO268" s="1"/>
      <c r="STP268" s="1"/>
      <c r="STQ268" s="1"/>
      <c r="STR268" s="1"/>
      <c r="STS268" s="1"/>
      <c r="STT268" s="1"/>
      <c r="STU268" s="1"/>
      <c r="STV268" s="1"/>
      <c r="STW268" s="1"/>
      <c r="STX268" s="1"/>
      <c r="STY268" s="1"/>
      <c r="STZ268" s="1"/>
      <c r="SUA268" s="1"/>
      <c r="SUB268" s="1"/>
      <c r="SUC268" s="1"/>
      <c r="SUD268" s="1"/>
      <c r="SUE268" s="1"/>
      <c r="SUF268" s="1"/>
      <c r="SUG268" s="1"/>
      <c r="SUH268" s="1"/>
      <c r="SUI268" s="1"/>
      <c r="SUJ268" s="1"/>
      <c r="SUK268" s="1"/>
      <c r="SUL268" s="1"/>
      <c r="SUM268" s="1"/>
      <c r="SUN268" s="1"/>
      <c r="SUO268" s="1"/>
      <c r="SUP268" s="1"/>
      <c r="SUQ268" s="1"/>
      <c r="SUR268" s="1"/>
      <c r="SUS268" s="1"/>
      <c r="SUT268" s="1"/>
      <c r="SUU268" s="1"/>
      <c r="SUV268" s="1"/>
      <c r="SUW268" s="1"/>
      <c r="SUX268" s="1"/>
      <c r="SUY268" s="1"/>
      <c r="SUZ268" s="1"/>
      <c r="SVA268" s="1"/>
      <c r="SVB268" s="1"/>
      <c r="SVC268" s="1"/>
      <c r="SVD268" s="1"/>
      <c r="SVE268" s="1"/>
      <c r="SVF268" s="1"/>
      <c r="SVG268" s="1"/>
      <c r="SVH268" s="1"/>
      <c r="SVI268" s="1"/>
      <c r="SVJ268" s="1"/>
      <c r="SVK268" s="1"/>
      <c r="SVL268" s="1"/>
      <c r="SVM268" s="1"/>
      <c r="SVN268" s="1"/>
      <c r="SVO268" s="1"/>
      <c r="SVP268" s="1"/>
      <c r="SVQ268" s="1"/>
      <c r="SVR268" s="1"/>
      <c r="SVS268" s="1"/>
      <c r="SVT268" s="1"/>
      <c r="SVU268" s="1"/>
      <c r="SVV268" s="1"/>
      <c r="SVW268" s="1"/>
      <c r="SVX268" s="1"/>
      <c r="SVY268" s="1"/>
      <c r="SVZ268" s="1"/>
      <c r="SWA268" s="1"/>
      <c r="SWB268" s="1"/>
      <c r="SWC268" s="1"/>
      <c r="SWD268" s="1"/>
      <c r="SWE268" s="1"/>
      <c r="SWF268" s="1"/>
      <c r="SWG268" s="1"/>
      <c r="SWH268" s="1"/>
      <c r="SWI268" s="1"/>
      <c r="SWJ268" s="1"/>
      <c r="SWK268" s="1"/>
      <c r="SWL268" s="1"/>
      <c r="SWM268" s="1"/>
      <c r="SWN268" s="1"/>
      <c r="SWO268" s="1"/>
      <c r="SWP268" s="1"/>
      <c r="SWQ268" s="1"/>
      <c r="SWR268" s="1"/>
      <c r="SWS268" s="1"/>
      <c r="SWT268" s="1"/>
      <c r="SWU268" s="1"/>
      <c r="SWV268" s="1"/>
      <c r="SWW268" s="1"/>
      <c r="SWX268" s="1"/>
      <c r="SWY268" s="1"/>
      <c r="SWZ268" s="1"/>
      <c r="SXA268" s="1"/>
      <c r="SXB268" s="1"/>
      <c r="SXC268" s="1"/>
      <c r="SXD268" s="1"/>
      <c r="SXE268" s="1"/>
      <c r="SXF268" s="1"/>
      <c r="SXG268" s="1"/>
      <c r="SXH268" s="1"/>
      <c r="SXI268" s="1"/>
      <c r="SXJ268" s="1"/>
      <c r="SXK268" s="1"/>
      <c r="SXL268" s="1"/>
      <c r="SXM268" s="1"/>
      <c r="SXN268" s="1"/>
      <c r="SXO268" s="1"/>
      <c r="SXP268" s="1"/>
      <c r="SXQ268" s="1"/>
      <c r="SXR268" s="1"/>
      <c r="SXS268" s="1"/>
      <c r="SXT268" s="1"/>
      <c r="SXU268" s="1"/>
      <c r="SXV268" s="1"/>
      <c r="SXW268" s="1"/>
      <c r="SXX268" s="1"/>
      <c r="SXY268" s="1"/>
      <c r="SXZ268" s="1"/>
      <c r="SYA268" s="1"/>
      <c r="SYB268" s="1"/>
      <c r="SYC268" s="1"/>
      <c r="SYD268" s="1"/>
      <c r="SYE268" s="1"/>
      <c r="SYF268" s="1"/>
      <c r="SYG268" s="1"/>
      <c r="SYH268" s="1"/>
      <c r="SYI268" s="1"/>
      <c r="SYJ268" s="1"/>
      <c r="SYK268" s="1"/>
      <c r="SYL268" s="1"/>
      <c r="SYM268" s="1"/>
      <c r="SYN268" s="1"/>
      <c r="SYO268" s="1"/>
      <c r="SYP268" s="1"/>
      <c r="SYQ268" s="1"/>
      <c r="SYR268" s="1"/>
      <c r="SYS268" s="1"/>
      <c r="SYT268" s="1"/>
      <c r="SYU268" s="1"/>
      <c r="SYV268" s="1"/>
      <c r="SYW268" s="1"/>
      <c r="SYX268" s="1"/>
      <c r="SYY268" s="1"/>
      <c r="SYZ268" s="1"/>
      <c r="SZA268" s="1"/>
      <c r="SZB268" s="1"/>
      <c r="SZC268" s="1"/>
      <c r="SZD268" s="1"/>
      <c r="SZE268" s="1"/>
      <c r="SZF268" s="1"/>
      <c r="SZG268" s="1"/>
      <c r="SZH268" s="1"/>
      <c r="SZI268" s="1"/>
      <c r="SZJ268" s="1"/>
      <c r="SZK268" s="1"/>
      <c r="SZL268" s="1"/>
      <c r="SZM268" s="1"/>
      <c r="SZN268" s="1"/>
      <c r="SZO268" s="1"/>
      <c r="SZP268" s="1"/>
      <c r="SZQ268" s="1"/>
      <c r="SZR268" s="1"/>
      <c r="SZS268" s="1"/>
      <c r="SZT268" s="1"/>
      <c r="SZU268" s="1"/>
      <c r="SZV268" s="1"/>
      <c r="SZW268" s="1"/>
      <c r="SZX268" s="1"/>
      <c r="SZY268" s="1"/>
      <c r="SZZ268" s="1"/>
      <c r="TAA268" s="1"/>
      <c r="TAB268" s="1"/>
      <c r="TAC268" s="1"/>
      <c r="TAD268" s="1"/>
      <c r="TAE268" s="1"/>
      <c r="TAF268" s="1"/>
      <c r="TAG268" s="1"/>
      <c r="TAH268" s="1"/>
      <c r="TAI268" s="1"/>
      <c r="TAJ268" s="1"/>
      <c r="TAK268" s="1"/>
      <c r="TAL268" s="1"/>
      <c r="TAM268" s="1"/>
      <c r="TAN268" s="1"/>
      <c r="TAO268" s="1"/>
      <c r="TAP268" s="1"/>
      <c r="TAQ268" s="1"/>
      <c r="TAR268" s="1"/>
      <c r="TAS268" s="1"/>
      <c r="TAT268" s="1"/>
      <c r="TAU268" s="1"/>
      <c r="TAV268" s="1"/>
      <c r="TAW268" s="1"/>
      <c r="TAX268" s="1"/>
      <c r="TAY268" s="1"/>
      <c r="TAZ268" s="1"/>
      <c r="TBA268" s="1"/>
      <c r="TBB268" s="1"/>
      <c r="TBC268" s="1"/>
      <c r="TBD268" s="1"/>
      <c r="TBE268" s="1"/>
      <c r="TBF268" s="1"/>
      <c r="TBG268" s="1"/>
      <c r="TBH268" s="1"/>
      <c r="TBI268" s="1"/>
      <c r="TBJ268" s="1"/>
      <c r="TBK268" s="1"/>
      <c r="TBL268" s="1"/>
      <c r="TBM268" s="1"/>
      <c r="TBN268" s="1"/>
      <c r="TBO268" s="1"/>
      <c r="TBP268" s="1"/>
      <c r="TBQ268" s="1"/>
      <c r="TBR268" s="1"/>
      <c r="TBS268" s="1"/>
      <c r="TBT268" s="1"/>
      <c r="TBU268" s="1"/>
      <c r="TBV268" s="1"/>
      <c r="TBW268" s="1"/>
      <c r="TBX268" s="1"/>
      <c r="TBY268" s="1"/>
      <c r="TBZ268" s="1"/>
      <c r="TCA268" s="1"/>
      <c r="TCB268" s="1"/>
      <c r="TCC268" s="1"/>
      <c r="TCD268" s="1"/>
      <c r="TCE268" s="1"/>
      <c r="TCF268" s="1"/>
      <c r="TCG268" s="1"/>
      <c r="TCH268" s="1"/>
      <c r="TCI268" s="1"/>
      <c r="TCJ268" s="1"/>
      <c r="TCK268" s="1"/>
      <c r="TCL268" s="1"/>
      <c r="TCM268" s="1"/>
      <c r="TCN268" s="1"/>
      <c r="TCO268" s="1"/>
      <c r="TCP268" s="1"/>
      <c r="TCQ268" s="1"/>
      <c r="TCR268" s="1"/>
      <c r="TCS268" s="1"/>
      <c r="TCT268" s="1"/>
      <c r="TCU268" s="1"/>
      <c r="TCV268" s="1"/>
      <c r="TCW268" s="1"/>
      <c r="TCX268" s="1"/>
      <c r="TCY268" s="1"/>
      <c r="TCZ268" s="1"/>
      <c r="TDA268" s="1"/>
      <c r="TDB268" s="1"/>
      <c r="TDC268" s="1"/>
      <c r="TDD268" s="1"/>
      <c r="TDE268" s="1"/>
      <c r="TDF268" s="1"/>
      <c r="TDG268" s="1"/>
      <c r="TDH268" s="1"/>
      <c r="TDI268" s="1"/>
      <c r="TDJ268" s="1"/>
      <c r="TDK268" s="1"/>
      <c r="TDL268" s="1"/>
      <c r="TDM268" s="1"/>
      <c r="TDN268" s="1"/>
      <c r="TDO268" s="1"/>
      <c r="TDP268" s="1"/>
      <c r="TDQ268" s="1"/>
      <c r="TDR268" s="1"/>
      <c r="TDS268" s="1"/>
      <c r="TDT268" s="1"/>
      <c r="TDU268" s="1"/>
      <c r="TDV268" s="1"/>
      <c r="TDW268" s="1"/>
      <c r="TDX268" s="1"/>
      <c r="TDY268" s="1"/>
      <c r="TDZ268" s="1"/>
      <c r="TEA268" s="1"/>
      <c r="TEB268" s="1"/>
      <c r="TEC268" s="1"/>
      <c r="TED268" s="1"/>
      <c r="TEE268" s="1"/>
      <c r="TEF268" s="1"/>
      <c r="TEG268" s="1"/>
      <c r="TEH268" s="1"/>
      <c r="TEI268" s="1"/>
      <c r="TEJ268" s="1"/>
      <c r="TEK268" s="1"/>
      <c r="TEL268" s="1"/>
      <c r="TEM268" s="1"/>
      <c r="TEN268" s="1"/>
      <c r="TEO268" s="1"/>
      <c r="TEP268" s="1"/>
      <c r="TEQ268" s="1"/>
      <c r="TER268" s="1"/>
      <c r="TES268" s="1"/>
      <c r="TET268" s="1"/>
      <c r="TEU268" s="1"/>
      <c r="TEV268" s="1"/>
      <c r="TEW268" s="1"/>
      <c r="TEX268" s="1"/>
      <c r="TEY268" s="1"/>
      <c r="TEZ268" s="1"/>
      <c r="TFA268" s="1"/>
      <c r="TFB268" s="1"/>
      <c r="TFC268" s="1"/>
      <c r="TFD268" s="1"/>
      <c r="TFE268" s="1"/>
      <c r="TFF268" s="1"/>
      <c r="TFG268" s="1"/>
      <c r="TFH268" s="1"/>
      <c r="TFI268" s="1"/>
      <c r="TFJ268" s="1"/>
      <c r="TFK268" s="1"/>
      <c r="TFL268" s="1"/>
      <c r="TFM268" s="1"/>
      <c r="TFN268" s="1"/>
      <c r="TFO268" s="1"/>
      <c r="TFP268" s="1"/>
      <c r="TFQ268" s="1"/>
      <c r="TFR268" s="1"/>
      <c r="TFS268" s="1"/>
      <c r="TFT268" s="1"/>
      <c r="TFU268" s="1"/>
      <c r="TFV268" s="1"/>
      <c r="TFW268" s="1"/>
      <c r="TFX268" s="1"/>
      <c r="TFY268" s="1"/>
      <c r="TFZ268" s="1"/>
      <c r="TGA268" s="1"/>
      <c r="TGB268" s="1"/>
      <c r="TGC268" s="1"/>
      <c r="TGD268" s="1"/>
      <c r="TGE268" s="1"/>
      <c r="TGF268" s="1"/>
      <c r="TGG268" s="1"/>
      <c r="TGH268" s="1"/>
      <c r="TGI268" s="1"/>
      <c r="TGJ268" s="1"/>
      <c r="TGK268" s="1"/>
      <c r="TGL268" s="1"/>
      <c r="TGM268" s="1"/>
      <c r="TGN268" s="1"/>
      <c r="TGO268" s="1"/>
      <c r="TGP268" s="1"/>
      <c r="TGQ268" s="1"/>
      <c r="TGR268" s="1"/>
      <c r="TGS268" s="1"/>
      <c r="TGT268" s="1"/>
      <c r="TGU268" s="1"/>
      <c r="TGV268" s="1"/>
      <c r="TGW268" s="1"/>
      <c r="TGX268" s="1"/>
      <c r="TGY268" s="1"/>
      <c r="TGZ268" s="1"/>
      <c r="THA268" s="1"/>
      <c r="THB268" s="1"/>
      <c r="THC268" s="1"/>
      <c r="THD268" s="1"/>
      <c r="THE268" s="1"/>
      <c r="THF268" s="1"/>
      <c r="THG268" s="1"/>
      <c r="THH268" s="1"/>
      <c r="THI268" s="1"/>
      <c r="THJ268" s="1"/>
      <c r="THK268" s="1"/>
      <c r="THL268" s="1"/>
      <c r="THM268" s="1"/>
      <c r="THN268" s="1"/>
      <c r="THO268" s="1"/>
      <c r="THP268" s="1"/>
      <c r="THQ268" s="1"/>
      <c r="THR268" s="1"/>
      <c r="THS268" s="1"/>
      <c r="THT268" s="1"/>
      <c r="THU268" s="1"/>
      <c r="THV268" s="1"/>
      <c r="THW268" s="1"/>
      <c r="THX268" s="1"/>
      <c r="THY268" s="1"/>
      <c r="THZ268" s="1"/>
      <c r="TIA268" s="1"/>
      <c r="TIB268" s="1"/>
      <c r="TIC268" s="1"/>
      <c r="TID268" s="1"/>
      <c r="TIE268" s="1"/>
      <c r="TIF268" s="1"/>
      <c r="TIG268" s="1"/>
      <c r="TIH268" s="1"/>
      <c r="TII268" s="1"/>
      <c r="TIJ268" s="1"/>
      <c r="TIK268" s="1"/>
      <c r="TIL268" s="1"/>
      <c r="TIM268" s="1"/>
      <c r="TIN268" s="1"/>
      <c r="TIO268" s="1"/>
      <c r="TIP268" s="1"/>
      <c r="TIQ268" s="1"/>
      <c r="TIR268" s="1"/>
      <c r="TIS268" s="1"/>
      <c r="TIT268" s="1"/>
      <c r="TIU268" s="1"/>
      <c r="TIV268" s="1"/>
      <c r="TIW268" s="1"/>
      <c r="TIX268" s="1"/>
      <c r="TIY268" s="1"/>
      <c r="TIZ268" s="1"/>
      <c r="TJA268" s="1"/>
      <c r="TJB268" s="1"/>
      <c r="TJC268" s="1"/>
      <c r="TJD268" s="1"/>
      <c r="TJE268" s="1"/>
      <c r="TJF268" s="1"/>
      <c r="TJG268" s="1"/>
      <c r="TJH268" s="1"/>
      <c r="TJI268" s="1"/>
      <c r="TJJ268" s="1"/>
      <c r="TJK268" s="1"/>
      <c r="TJL268" s="1"/>
      <c r="TJM268" s="1"/>
      <c r="TJN268" s="1"/>
      <c r="TJO268" s="1"/>
      <c r="TJP268" s="1"/>
      <c r="TJQ268" s="1"/>
      <c r="TJR268" s="1"/>
      <c r="TJS268" s="1"/>
      <c r="TJT268" s="1"/>
      <c r="TJU268" s="1"/>
      <c r="TJV268" s="1"/>
      <c r="TJW268" s="1"/>
      <c r="TJX268" s="1"/>
      <c r="TJY268" s="1"/>
      <c r="TJZ268" s="1"/>
      <c r="TKA268" s="1"/>
      <c r="TKB268" s="1"/>
      <c r="TKC268" s="1"/>
      <c r="TKD268" s="1"/>
      <c r="TKE268" s="1"/>
      <c r="TKF268" s="1"/>
      <c r="TKG268" s="1"/>
      <c r="TKH268" s="1"/>
      <c r="TKI268" s="1"/>
      <c r="TKJ268" s="1"/>
      <c r="TKK268" s="1"/>
      <c r="TKL268" s="1"/>
      <c r="TKM268" s="1"/>
      <c r="TKN268" s="1"/>
      <c r="TKO268" s="1"/>
      <c r="TKP268" s="1"/>
      <c r="TKQ268" s="1"/>
      <c r="TKR268" s="1"/>
      <c r="TKS268" s="1"/>
      <c r="TKT268" s="1"/>
      <c r="TKU268" s="1"/>
      <c r="TKV268" s="1"/>
      <c r="TKW268" s="1"/>
      <c r="TKX268" s="1"/>
      <c r="TKY268" s="1"/>
      <c r="TKZ268" s="1"/>
      <c r="TLA268" s="1"/>
      <c r="TLB268" s="1"/>
      <c r="TLC268" s="1"/>
      <c r="TLD268" s="1"/>
      <c r="TLE268" s="1"/>
      <c r="TLF268" s="1"/>
      <c r="TLG268" s="1"/>
      <c r="TLH268" s="1"/>
      <c r="TLI268" s="1"/>
      <c r="TLJ268" s="1"/>
      <c r="TLK268" s="1"/>
      <c r="TLL268" s="1"/>
      <c r="TLM268" s="1"/>
      <c r="TLN268" s="1"/>
      <c r="TLO268" s="1"/>
      <c r="TLP268" s="1"/>
      <c r="TLQ268" s="1"/>
      <c r="TLR268" s="1"/>
      <c r="TLS268" s="1"/>
      <c r="TLT268" s="1"/>
      <c r="TLU268" s="1"/>
      <c r="TLV268" s="1"/>
      <c r="TLW268" s="1"/>
      <c r="TLX268" s="1"/>
      <c r="TLY268" s="1"/>
      <c r="TLZ268" s="1"/>
      <c r="TMA268" s="1"/>
      <c r="TMB268" s="1"/>
      <c r="TMC268" s="1"/>
      <c r="TMD268" s="1"/>
      <c r="TME268" s="1"/>
      <c r="TMF268" s="1"/>
      <c r="TMG268" s="1"/>
      <c r="TMH268" s="1"/>
      <c r="TMI268" s="1"/>
      <c r="TMJ268" s="1"/>
      <c r="TMK268" s="1"/>
      <c r="TML268" s="1"/>
      <c r="TMM268" s="1"/>
      <c r="TMN268" s="1"/>
      <c r="TMO268" s="1"/>
      <c r="TMP268" s="1"/>
      <c r="TMQ268" s="1"/>
      <c r="TMR268" s="1"/>
      <c r="TMS268" s="1"/>
      <c r="TMT268" s="1"/>
      <c r="TMU268" s="1"/>
      <c r="TMV268" s="1"/>
      <c r="TMW268" s="1"/>
      <c r="TMX268" s="1"/>
      <c r="TMY268" s="1"/>
      <c r="TMZ268" s="1"/>
      <c r="TNA268" s="1"/>
      <c r="TNB268" s="1"/>
      <c r="TNC268" s="1"/>
      <c r="TND268" s="1"/>
      <c r="TNE268" s="1"/>
      <c r="TNF268" s="1"/>
      <c r="TNG268" s="1"/>
      <c r="TNH268" s="1"/>
      <c r="TNI268" s="1"/>
      <c r="TNJ268" s="1"/>
      <c r="TNK268" s="1"/>
      <c r="TNL268" s="1"/>
      <c r="TNM268" s="1"/>
      <c r="TNN268" s="1"/>
      <c r="TNO268" s="1"/>
      <c r="TNP268" s="1"/>
      <c r="TNQ268" s="1"/>
      <c r="TNR268" s="1"/>
      <c r="TNS268" s="1"/>
      <c r="TNT268" s="1"/>
      <c r="TNU268" s="1"/>
      <c r="TNV268" s="1"/>
      <c r="TNW268" s="1"/>
      <c r="TNX268" s="1"/>
      <c r="TNY268" s="1"/>
      <c r="TNZ268" s="1"/>
      <c r="TOA268" s="1"/>
      <c r="TOB268" s="1"/>
      <c r="TOC268" s="1"/>
      <c r="TOD268" s="1"/>
      <c r="TOE268" s="1"/>
      <c r="TOF268" s="1"/>
      <c r="TOG268" s="1"/>
      <c r="TOH268" s="1"/>
      <c r="TOI268" s="1"/>
      <c r="TOJ268" s="1"/>
      <c r="TOK268" s="1"/>
      <c r="TOL268" s="1"/>
      <c r="TOM268" s="1"/>
      <c r="TON268" s="1"/>
      <c r="TOO268" s="1"/>
      <c r="TOP268" s="1"/>
      <c r="TOQ268" s="1"/>
      <c r="TOR268" s="1"/>
      <c r="TOS268" s="1"/>
      <c r="TOT268" s="1"/>
      <c r="TOU268" s="1"/>
      <c r="TOV268" s="1"/>
      <c r="TOW268" s="1"/>
      <c r="TOX268" s="1"/>
      <c r="TOY268" s="1"/>
      <c r="TOZ268" s="1"/>
      <c r="TPA268" s="1"/>
      <c r="TPB268" s="1"/>
      <c r="TPC268" s="1"/>
      <c r="TPD268" s="1"/>
      <c r="TPE268" s="1"/>
      <c r="TPF268" s="1"/>
      <c r="TPG268" s="1"/>
      <c r="TPH268" s="1"/>
      <c r="TPI268" s="1"/>
      <c r="TPJ268" s="1"/>
      <c r="TPK268" s="1"/>
      <c r="TPL268" s="1"/>
      <c r="TPM268" s="1"/>
      <c r="TPN268" s="1"/>
      <c r="TPO268" s="1"/>
      <c r="TPP268" s="1"/>
      <c r="TPQ268" s="1"/>
      <c r="TPR268" s="1"/>
      <c r="TPS268" s="1"/>
      <c r="TPT268" s="1"/>
      <c r="TPU268" s="1"/>
      <c r="TPV268" s="1"/>
      <c r="TPW268" s="1"/>
      <c r="TPX268" s="1"/>
      <c r="TPY268" s="1"/>
      <c r="TPZ268" s="1"/>
      <c r="TQA268" s="1"/>
      <c r="TQB268" s="1"/>
      <c r="TQC268" s="1"/>
      <c r="TQD268" s="1"/>
      <c r="TQE268" s="1"/>
      <c r="TQF268" s="1"/>
      <c r="TQG268" s="1"/>
      <c r="TQH268" s="1"/>
      <c r="TQI268" s="1"/>
      <c r="TQJ268" s="1"/>
      <c r="TQK268" s="1"/>
      <c r="TQL268" s="1"/>
      <c r="TQM268" s="1"/>
      <c r="TQN268" s="1"/>
      <c r="TQO268" s="1"/>
      <c r="TQP268" s="1"/>
      <c r="TQQ268" s="1"/>
      <c r="TQR268" s="1"/>
      <c r="TQS268" s="1"/>
      <c r="TQT268" s="1"/>
      <c r="TQU268" s="1"/>
      <c r="TQV268" s="1"/>
      <c r="TQW268" s="1"/>
      <c r="TQX268" s="1"/>
      <c r="TQY268" s="1"/>
      <c r="TQZ268" s="1"/>
      <c r="TRA268" s="1"/>
      <c r="TRB268" s="1"/>
      <c r="TRC268" s="1"/>
      <c r="TRD268" s="1"/>
      <c r="TRE268" s="1"/>
      <c r="TRF268" s="1"/>
      <c r="TRG268" s="1"/>
      <c r="TRH268" s="1"/>
      <c r="TRI268" s="1"/>
      <c r="TRJ268" s="1"/>
      <c r="TRK268" s="1"/>
      <c r="TRL268" s="1"/>
      <c r="TRM268" s="1"/>
      <c r="TRN268" s="1"/>
      <c r="TRO268" s="1"/>
      <c r="TRP268" s="1"/>
      <c r="TRQ268" s="1"/>
      <c r="TRR268" s="1"/>
      <c r="TRS268" s="1"/>
      <c r="TRT268" s="1"/>
      <c r="TRU268" s="1"/>
      <c r="TRV268" s="1"/>
      <c r="TRW268" s="1"/>
      <c r="TRX268" s="1"/>
      <c r="TRY268" s="1"/>
      <c r="TRZ268" s="1"/>
      <c r="TSA268" s="1"/>
      <c r="TSB268" s="1"/>
      <c r="TSC268" s="1"/>
      <c r="TSD268" s="1"/>
      <c r="TSE268" s="1"/>
      <c r="TSF268" s="1"/>
      <c r="TSG268" s="1"/>
      <c r="TSH268" s="1"/>
      <c r="TSI268" s="1"/>
      <c r="TSJ268" s="1"/>
      <c r="TSK268" s="1"/>
      <c r="TSL268" s="1"/>
      <c r="TSM268" s="1"/>
      <c r="TSN268" s="1"/>
      <c r="TSO268" s="1"/>
      <c r="TSP268" s="1"/>
      <c r="TSQ268" s="1"/>
      <c r="TSR268" s="1"/>
      <c r="TSS268" s="1"/>
      <c r="TST268" s="1"/>
      <c r="TSU268" s="1"/>
      <c r="TSV268" s="1"/>
      <c r="TSW268" s="1"/>
      <c r="TSX268" s="1"/>
      <c r="TSY268" s="1"/>
      <c r="TSZ268" s="1"/>
      <c r="TTA268" s="1"/>
      <c r="TTB268" s="1"/>
      <c r="TTC268" s="1"/>
      <c r="TTD268" s="1"/>
      <c r="TTE268" s="1"/>
      <c r="TTF268" s="1"/>
      <c r="TTG268" s="1"/>
      <c r="TTH268" s="1"/>
      <c r="TTI268" s="1"/>
      <c r="TTJ268" s="1"/>
      <c r="TTK268" s="1"/>
      <c r="TTL268" s="1"/>
      <c r="TTM268" s="1"/>
      <c r="TTN268" s="1"/>
      <c r="TTO268" s="1"/>
      <c r="TTP268" s="1"/>
      <c r="TTQ268" s="1"/>
      <c r="TTR268" s="1"/>
      <c r="TTS268" s="1"/>
      <c r="TTT268" s="1"/>
      <c r="TTU268" s="1"/>
      <c r="TTV268" s="1"/>
      <c r="TTW268" s="1"/>
      <c r="TTX268" s="1"/>
      <c r="TTY268" s="1"/>
      <c r="TTZ268" s="1"/>
      <c r="TUA268" s="1"/>
      <c r="TUB268" s="1"/>
      <c r="TUC268" s="1"/>
      <c r="TUD268" s="1"/>
      <c r="TUE268" s="1"/>
      <c r="TUF268" s="1"/>
      <c r="TUG268" s="1"/>
      <c r="TUH268" s="1"/>
      <c r="TUI268" s="1"/>
      <c r="TUJ268" s="1"/>
      <c r="TUK268" s="1"/>
      <c r="TUL268" s="1"/>
      <c r="TUM268" s="1"/>
      <c r="TUN268" s="1"/>
      <c r="TUO268" s="1"/>
      <c r="TUP268" s="1"/>
      <c r="TUQ268" s="1"/>
      <c r="TUR268" s="1"/>
      <c r="TUS268" s="1"/>
      <c r="TUT268" s="1"/>
      <c r="TUU268" s="1"/>
      <c r="TUV268" s="1"/>
      <c r="TUW268" s="1"/>
      <c r="TUX268" s="1"/>
      <c r="TUY268" s="1"/>
      <c r="TUZ268" s="1"/>
      <c r="TVA268" s="1"/>
      <c r="TVB268" s="1"/>
      <c r="TVC268" s="1"/>
      <c r="TVD268" s="1"/>
      <c r="TVE268" s="1"/>
      <c r="TVF268" s="1"/>
      <c r="TVG268" s="1"/>
      <c r="TVH268" s="1"/>
      <c r="TVI268" s="1"/>
      <c r="TVJ268" s="1"/>
      <c r="TVK268" s="1"/>
      <c r="TVL268" s="1"/>
      <c r="TVM268" s="1"/>
      <c r="TVN268" s="1"/>
      <c r="TVO268" s="1"/>
      <c r="TVP268" s="1"/>
      <c r="TVQ268" s="1"/>
      <c r="TVR268" s="1"/>
      <c r="TVS268" s="1"/>
      <c r="TVT268" s="1"/>
      <c r="TVU268" s="1"/>
      <c r="TVV268" s="1"/>
      <c r="TVW268" s="1"/>
      <c r="TVX268" s="1"/>
      <c r="TVY268" s="1"/>
      <c r="TVZ268" s="1"/>
      <c r="TWA268" s="1"/>
      <c r="TWB268" s="1"/>
      <c r="TWC268" s="1"/>
      <c r="TWD268" s="1"/>
      <c r="TWE268" s="1"/>
      <c r="TWF268" s="1"/>
      <c r="TWG268" s="1"/>
      <c r="TWH268" s="1"/>
      <c r="TWI268" s="1"/>
      <c r="TWJ268" s="1"/>
      <c r="TWK268" s="1"/>
      <c r="TWL268" s="1"/>
      <c r="TWM268" s="1"/>
      <c r="TWN268" s="1"/>
      <c r="TWO268" s="1"/>
      <c r="TWP268" s="1"/>
      <c r="TWQ268" s="1"/>
      <c r="TWR268" s="1"/>
      <c r="TWS268" s="1"/>
      <c r="TWT268" s="1"/>
      <c r="TWU268" s="1"/>
      <c r="TWV268" s="1"/>
      <c r="TWW268" s="1"/>
      <c r="TWX268" s="1"/>
      <c r="TWY268" s="1"/>
      <c r="TWZ268" s="1"/>
      <c r="TXA268" s="1"/>
      <c r="TXB268" s="1"/>
      <c r="TXC268" s="1"/>
      <c r="TXD268" s="1"/>
      <c r="TXE268" s="1"/>
      <c r="TXF268" s="1"/>
      <c r="TXG268" s="1"/>
      <c r="TXH268" s="1"/>
      <c r="TXI268" s="1"/>
      <c r="TXJ268" s="1"/>
      <c r="TXK268" s="1"/>
      <c r="TXL268" s="1"/>
      <c r="TXM268" s="1"/>
      <c r="TXN268" s="1"/>
      <c r="TXO268" s="1"/>
      <c r="TXP268" s="1"/>
      <c r="TXQ268" s="1"/>
      <c r="TXR268" s="1"/>
      <c r="TXS268" s="1"/>
      <c r="TXT268" s="1"/>
      <c r="TXU268" s="1"/>
      <c r="TXV268" s="1"/>
      <c r="TXW268" s="1"/>
      <c r="TXX268" s="1"/>
      <c r="TXY268" s="1"/>
      <c r="TXZ268" s="1"/>
      <c r="TYA268" s="1"/>
      <c r="TYB268" s="1"/>
      <c r="TYC268" s="1"/>
      <c r="TYD268" s="1"/>
      <c r="TYE268" s="1"/>
      <c r="TYF268" s="1"/>
      <c r="TYG268" s="1"/>
      <c r="TYH268" s="1"/>
      <c r="TYI268" s="1"/>
      <c r="TYJ268" s="1"/>
      <c r="TYK268" s="1"/>
      <c r="TYL268" s="1"/>
      <c r="TYM268" s="1"/>
      <c r="TYN268" s="1"/>
      <c r="TYO268" s="1"/>
      <c r="TYP268" s="1"/>
      <c r="TYQ268" s="1"/>
      <c r="TYR268" s="1"/>
      <c r="TYS268" s="1"/>
      <c r="TYT268" s="1"/>
      <c r="TYU268" s="1"/>
      <c r="TYV268" s="1"/>
      <c r="TYW268" s="1"/>
      <c r="TYX268" s="1"/>
      <c r="TYY268" s="1"/>
      <c r="TYZ268" s="1"/>
      <c r="TZA268" s="1"/>
      <c r="TZB268" s="1"/>
      <c r="TZC268" s="1"/>
      <c r="TZD268" s="1"/>
      <c r="TZE268" s="1"/>
      <c r="TZF268" s="1"/>
      <c r="TZG268" s="1"/>
      <c r="TZH268" s="1"/>
      <c r="TZI268" s="1"/>
      <c r="TZJ268" s="1"/>
      <c r="TZK268" s="1"/>
      <c r="TZL268" s="1"/>
      <c r="TZM268" s="1"/>
      <c r="TZN268" s="1"/>
      <c r="TZO268" s="1"/>
      <c r="TZP268" s="1"/>
      <c r="TZQ268" s="1"/>
      <c r="TZR268" s="1"/>
      <c r="TZS268" s="1"/>
      <c r="TZT268" s="1"/>
      <c r="TZU268" s="1"/>
      <c r="TZV268" s="1"/>
      <c r="TZW268" s="1"/>
      <c r="TZX268" s="1"/>
      <c r="TZY268" s="1"/>
      <c r="TZZ268" s="1"/>
      <c r="UAA268" s="1"/>
      <c r="UAB268" s="1"/>
      <c r="UAC268" s="1"/>
      <c r="UAD268" s="1"/>
      <c r="UAE268" s="1"/>
      <c r="UAF268" s="1"/>
      <c r="UAG268" s="1"/>
      <c r="UAH268" s="1"/>
      <c r="UAI268" s="1"/>
      <c r="UAJ268" s="1"/>
      <c r="UAK268" s="1"/>
      <c r="UAL268" s="1"/>
      <c r="UAM268" s="1"/>
      <c r="UAN268" s="1"/>
      <c r="UAO268" s="1"/>
      <c r="UAP268" s="1"/>
      <c r="UAQ268" s="1"/>
      <c r="UAR268" s="1"/>
      <c r="UAS268" s="1"/>
      <c r="UAT268" s="1"/>
      <c r="UAU268" s="1"/>
      <c r="UAV268" s="1"/>
      <c r="UAW268" s="1"/>
      <c r="UAX268" s="1"/>
      <c r="UAY268" s="1"/>
      <c r="UAZ268" s="1"/>
      <c r="UBA268" s="1"/>
      <c r="UBB268" s="1"/>
      <c r="UBC268" s="1"/>
      <c r="UBD268" s="1"/>
      <c r="UBE268" s="1"/>
      <c r="UBF268" s="1"/>
      <c r="UBG268" s="1"/>
      <c r="UBH268" s="1"/>
      <c r="UBI268" s="1"/>
      <c r="UBJ268" s="1"/>
      <c r="UBK268" s="1"/>
      <c r="UBL268" s="1"/>
      <c r="UBM268" s="1"/>
      <c r="UBN268" s="1"/>
      <c r="UBO268" s="1"/>
      <c r="UBP268" s="1"/>
      <c r="UBQ268" s="1"/>
      <c r="UBR268" s="1"/>
      <c r="UBS268" s="1"/>
      <c r="UBT268" s="1"/>
      <c r="UBU268" s="1"/>
      <c r="UBV268" s="1"/>
      <c r="UBW268" s="1"/>
      <c r="UBX268" s="1"/>
      <c r="UBY268" s="1"/>
      <c r="UBZ268" s="1"/>
      <c r="UCA268" s="1"/>
      <c r="UCB268" s="1"/>
      <c r="UCC268" s="1"/>
      <c r="UCD268" s="1"/>
      <c r="UCE268" s="1"/>
      <c r="UCF268" s="1"/>
      <c r="UCG268" s="1"/>
      <c r="UCH268" s="1"/>
      <c r="UCI268" s="1"/>
      <c r="UCJ268" s="1"/>
      <c r="UCK268" s="1"/>
      <c r="UCL268" s="1"/>
      <c r="UCM268" s="1"/>
      <c r="UCN268" s="1"/>
      <c r="UCO268" s="1"/>
      <c r="UCP268" s="1"/>
      <c r="UCQ268" s="1"/>
      <c r="UCR268" s="1"/>
      <c r="UCS268" s="1"/>
      <c r="UCT268" s="1"/>
      <c r="UCU268" s="1"/>
      <c r="UCV268" s="1"/>
      <c r="UCW268" s="1"/>
      <c r="UCX268" s="1"/>
      <c r="UCY268" s="1"/>
      <c r="UCZ268" s="1"/>
      <c r="UDA268" s="1"/>
      <c r="UDB268" s="1"/>
      <c r="UDC268" s="1"/>
      <c r="UDD268" s="1"/>
      <c r="UDE268" s="1"/>
      <c r="UDF268" s="1"/>
      <c r="UDG268" s="1"/>
      <c r="UDH268" s="1"/>
      <c r="UDI268" s="1"/>
      <c r="UDJ268" s="1"/>
      <c r="UDK268" s="1"/>
      <c r="UDL268" s="1"/>
      <c r="UDM268" s="1"/>
      <c r="UDN268" s="1"/>
      <c r="UDO268" s="1"/>
      <c r="UDP268" s="1"/>
      <c r="UDQ268" s="1"/>
      <c r="UDR268" s="1"/>
      <c r="UDS268" s="1"/>
      <c r="UDT268" s="1"/>
      <c r="UDU268" s="1"/>
      <c r="UDV268" s="1"/>
      <c r="UDW268" s="1"/>
      <c r="UDX268" s="1"/>
      <c r="UDY268" s="1"/>
      <c r="UDZ268" s="1"/>
      <c r="UEA268" s="1"/>
      <c r="UEB268" s="1"/>
      <c r="UEC268" s="1"/>
      <c r="UED268" s="1"/>
      <c r="UEE268" s="1"/>
      <c r="UEF268" s="1"/>
      <c r="UEG268" s="1"/>
      <c r="UEH268" s="1"/>
      <c r="UEI268" s="1"/>
      <c r="UEJ268" s="1"/>
      <c r="UEK268" s="1"/>
      <c r="UEL268" s="1"/>
      <c r="UEM268" s="1"/>
      <c r="UEN268" s="1"/>
      <c r="UEO268" s="1"/>
      <c r="UEP268" s="1"/>
      <c r="UEQ268" s="1"/>
      <c r="UER268" s="1"/>
      <c r="UES268" s="1"/>
      <c r="UET268" s="1"/>
      <c r="UEU268" s="1"/>
      <c r="UEV268" s="1"/>
      <c r="UEW268" s="1"/>
      <c r="UEX268" s="1"/>
      <c r="UEY268" s="1"/>
      <c r="UEZ268" s="1"/>
      <c r="UFA268" s="1"/>
      <c r="UFB268" s="1"/>
      <c r="UFC268" s="1"/>
      <c r="UFD268" s="1"/>
      <c r="UFE268" s="1"/>
      <c r="UFF268" s="1"/>
      <c r="UFG268" s="1"/>
      <c r="UFH268" s="1"/>
      <c r="UFI268" s="1"/>
      <c r="UFJ268" s="1"/>
      <c r="UFK268" s="1"/>
      <c r="UFL268" s="1"/>
      <c r="UFM268" s="1"/>
      <c r="UFN268" s="1"/>
      <c r="UFO268" s="1"/>
      <c r="UFP268" s="1"/>
      <c r="UFQ268" s="1"/>
      <c r="UFR268" s="1"/>
      <c r="UFS268" s="1"/>
      <c r="UFT268" s="1"/>
      <c r="UFU268" s="1"/>
      <c r="UFV268" s="1"/>
      <c r="UFW268" s="1"/>
      <c r="UFX268" s="1"/>
      <c r="UFY268" s="1"/>
      <c r="UFZ268" s="1"/>
      <c r="UGA268" s="1"/>
      <c r="UGB268" s="1"/>
      <c r="UGC268" s="1"/>
      <c r="UGD268" s="1"/>
      <c r="UGE268" s="1"/>
      <c r="UGF268" s="1"/>
      <c r="UGG268" s="1"/>
      <c r="UGH268" s="1"/>
      <c r="UGI268" s="1"/>
      <c r="UGJ268" s="1"/>
      <c r="UGK268" s="1"/>
      <c r="UGL268" s="1"/>
      <c r="UGM268" s="1"/>
      <c r="UGN268" s="1"/>
      <c r="UGO268" s="1"/>
      <c r="UGP268" s="1"/>
      <c r="UGQ268" s="1"/>
      <c r="UGR268" s="1"/>
      <c r="UGS268" s="1"/>
      <c r="UGT268" s="1"/>
      <c r="UGU268" s="1"/>
      <c r="UGV268" s="1"/>
      <c r="UGW268" s="1"/>
      <c r="UGX268" s="1"/>
      <c r="UGY268" s="1"/>
      <c r="UGZ268" s="1"/>
      <c r="UHA268" s="1"/>
      <c r="UHB268" s="1"/>
      <c r="UHC268" s="1"/>
      <c r="UHD268" s="1"/>
      <c r="UHE268" s="1"/>
      <c r="UHF268" s="1"/>
      <c r="UHG268" s="1"/>
      <c r="UHH268" s="1"/>
      <c r="UHI268" s="1"/>
      <c r="UHJ268" s="1"/>
      <c r="UHK268" s="1"/>
      <c r="UHL268" s="1"/>
      <c r="UHM268" s="1"/>
      <c r="UHN268" s="1"/>
      <c r="UHO268" s="1"/>
      <c r="UHP268" s="1"/>
      <c r="UHQ268" s="1"/>
      <c r="UHR268" s="1"/>
      <c r="UHS268" s="1"/>
      <c r="UHT268" s="1"/>
      <c r="UHU268" s="1"/>
      <c r="UHV268" s="1"/>
      <c r="UHW268" s="1"/>
      <c r="UHX268" s="1"/>
      <c r="UHY268" s="1"/>
      <c r="UHZ268" s="1"/>
      <c r="UIA268" s="1"/>
      <c r="UIB268" s="1"/>
      <c r="UIC268" s="1"/>
      <c r="UID268" s="1"/>
      <c r="UIE268" s="1"/>
      <c r="UIF268" s="1"/>
      <c r="UIG268" s="1"/>
      <c r="UIH268" s="1"/>
      <c r="UII268" s="1"/>
      <c r="UIJ268" s="1"/>
      <c r="UIK268" s="1"/>
      <c r="UIL268" s="1"/>
      <c r="UIM268" s="1"/>
      <c r="UIN268" s="1"/>
      <c r="UIO268" s="1"/>
      <c r="UIP268" s="1"/>
      <c r="UIQ268" s="1"/>
      <c r="UIR268" s="1"/>
      <c r="UIS268" s="1"/>
      <c r="UIT268" s="1"/>
      <c r="UIU268" s="1"/>
      <c r="UIV268" s="1"/>
      <c r="UIW268" s="1"/>
      <c r="UIX268" s="1"/>
      <c r="UIY268" s="1"/>
      <c r="UIZ268" s="1"/>
      <c r="UJA268" s="1"/>
      <c r="UJB268" s="1"/>
      <c r="UJC268" s="1"/>
      <c r="UJD268" s="1"/>
      <c r="UJE268" s="1"/>
      <c r="UJF268" s="1"/>
      <c r="UJG268" s="1"/>
      <c r="UJH268" s="1"/>
      <c r="UJI268" s="1"/>
      <c r="UJJ268" s="1"/>
      <c r="UJK268" s="1"/>
      <c r="UJL268" s="1"/>
      <c r="UJM268" s="1"/>
      <c r="UJN268" s="1"/>
      <c r="UJO268" s="1"/>
      <c r="UJP268" s="1"/>
      <c r="UJQ268" s="1"/>
      <c r="UJR268" s="1"/>
      <c r="UJS268" s="1"/>
      <c r="UJT268" s="1"/>
      <c r="UJU268" s="1"/>
      <c r="UJV268" s="1"/>
      <c r="UJW268" s="1"/>
      <c r="UJX268" s="1"/>
      <c r="UJY268" s="1"/>
      <c r="UJZ268" s="1"/>
      <c r="UKA268" s="1"/>
      <c r="UKB268" s="1"/>
      <c r="UKC268" s="1"/>
      <c r="UKD268" s="1"/>
      <c r="UKE268" s="1"/>
      <c r="UKF268" s="1"/>
      <c r="UKG268" s="1"/>
      <c r="UKH268" s="1"/>
      <c r="UKI268" s="1"/>
      <c r="UKJ268" s="1"/>
      <c r="UKK268" s="1"/>
      <c r="UKL268" s="1"/>
      <c r="UKM268" s="1"/>
      <c r="UKN268" s="1"/>
      <c r="UKO268" s="1"/>
      <c r="UKP268" s="1"/>
      <c r="UKQ268" s="1"/>
      <c r="UKR268" s="1"/>
      <c r="UKS268" s="1"/>
      <c r="UKT268" s="1"/>
      <c r="UKU268" s="1"/>
      <c r="UKV268" s="1"/>
      <c r="UKW268" s="1"/>
      <c r="UKX268" s="1"/>
      <c r="UKY268" s="1"/>
      <c r="UKZ268" s="1"/>
      <c r="ULA268" s="1"/>
      <c r="ULB268" s="1"/>
      <c r="ULC268" s="1"/>
      <c r="ULD268" s="1"/>
      <c r="ULE268" s="1"/>
      <c r="ULF268" s="1"/>
      <c r="ULG268" s="1"/>
      <c r="ULH268" s="1"/>
      <c r="ULI268" s="1"/>
      <c r="ULJ268" s="1"/>
      <c r="ULK268" s="1"/>
      <c r="ULL268" s="1"/>
      <c r="ULM268" s="1"/>
      <c r="ULN268" s="1"/>
      <c r="ULO268" s="1"/>
      <c r="ULP268" s="1"/>
      <c r="ULQ268" s="1"/>
      <c r="ULR268" s="1"/>
      <c r="ULS268" s="1"/>
      <c r="ULT268" s="1"/>
      <c r="ULU268" s="1"/>
      <c r="ULV268" s="1"/>
      <c r="ULW268" s="1"/>
      <c r="ULX268" s="1"/>
      <c r="ULY268" s="1"/>
      <c r="ULZ268" s="1"/>
      <c r="UMA268" s="1"/>
      <c r="UMB268" s="1"/>
      <c r="UMC268" s="1"/>
      <c r="UMD268" s="1"/>
      <c r="UME268" s="1"/>
      <c r="UMF268" s="1"/>
      <c r="UMG268" s="1"/>
      <c r="UMH268" s="1"/>
      <c r="UMI268" s="1"/>
      <c r="UMJ268" s="1"/>
      <c r="UMK268" s="1"/>
      <c r="UML268" s="1"/>
      <c r="UMM268" s="1"/>
      <c r="UMN268" s="1"/>
      <c r="UMO268" s="1"/>
      <c r="UMP268" s="1"/>
      <c r="UMQ268" s="1"/>
      <c r="UMR268" s="1"/>
      <c r="UMS268" s="1"/>
      <c r="UMT268" s="1"/>
      <c r="UMU268" s="1"/>
      <c r="UMV268" s="1"/>
      <c r="UMW268" s="1"/>
      <c r="UMX268" s="1"/>
      <c r="UMY268" s="1"/>
      <c r="UMZ268" s="1"/>
      <c r="UNA268" s="1"/>
      <c r="UNB268" s="1"/>
      <c r="UNC268" s="1"/>
      <c r="UND268" s="1"/>
      <c r="UNE268" s="1"/>
      <c r="UNF268" s="1"/>
      <c r="UNG268" s="1"/>
      <c r="UNH268" s="1"/>
      <c r="UNI268" s="1"/>
      <c r="UNJ268" s="1"/>
      <c r="UNK268" s="1"/>
      <c r="UNL268" s="1"/>
      <c r="UNM268" s="1"/>
      <c r="UNN268" s="1"/>
      <c r="UNO268" s="1"/>
      <c r="UNP268" s="1"/>
      <c r="UNQ268" s="1"/>
      <c r="UNR268" s="1"/>
      <c r="UNS268" s="1"/>
      <c r="UNT268" s="1"/>
      <c r="UNU268" s="1"/>
      <c r="UNV268" s="1"/>
      <c r="UNW268" s="1"/>
      <c r="UNX268" s="1"/>
      <c r="UNY268" s="1"/>
      <c r="UNZ268" s="1"/>
      <c r="UOA268" s="1"/>
      <c r="UOB268" s="1"/>
      <c r="UOC268" s="1"/>
      <c r="UOD268" s="1"/>
      <c r="UOE268" s="1"/>
      <c r="UOF268" s="1"/>
      <c r="UOG268" s="1"/>
      <c r="UOH268" s="1"/>
      <c r="UOI268" s="1"/>
      <c r="UOJ268" s="1"/>
      <c r="UOK268" s="1"/>
      <c r="UOL268" s="1"/>
      <c r="UOM268" s="1"/>
      <c r="UON268" s="1"/>
      <c r="UOO268" s="1"/>
      <c r="UOP268" s="1"/>
      <c r="UOQ268" s="1"/>
      <c r="UOR268" s="1"/>
      <c r="UOS268" s="1"/>
      <c r="UOT268" s="1"/>
      <c r="UOU268" s="1"/>
      <c r="UOV268" s="1"/>
      <c r="UOW268" s="1"/>
      <c r="UOX268" s="1"/>
      <c r="UOY268" s="1"/>
      <c r="UOZ268" s="1"/>
      <c r="UPA268" s="1"/>
      <c r="UPB268" s="1"/>
      <c r="UPC268" s="1"/>
      <c r="UPD268" s="1"/>
      <c r="UPE268" s="1"/>
      <c r="UPF268" s="1"/>
      <c r="UPG268" s="1"/>
      <c r="UPH268" s="1"/>
      <c r="UPI268" s="1"/>
      <c r="UPJ268" s="1"/>
      <c r="UPK268" s="1"/>
      <c r="UPL268" s="1"/>
      <c r="UPM268" s="1"/>
      <c r="UPN268" s="1"/>
      <c r="UPO268" s="1"/>
      <c r="UPP268" s="1"/>
      <c r="UPQ268" s="1"/>
      <c r="UPR268" s="1"/>
      <c r="UPS268" s="1"/>
      <c r="UPT268" s="1"/>
      <c r="UPU268" s="1"/>
      <c r="UPV268" s="1"/>
      <c r="UPW268" s="1"/>
      <c r="UPX268" s="1"/>
      <c r="UPY268" s="1"/>
      <c r="UPZ268" s="1"/>
      <c r="UQA268" s="1"/>
      <c r="UQB268" s="1"/>
      <c r="UQC268" s="1"/>
      <c r="UQD268" s="1"/>
      <c r="UQE268" s="1"/>
      <c r="UQF268" s="1"/>
      <c r="UQG268" s="1"/>
      <c r="UQH268" s="1"/>
      <c r="UQI268" s="1"/>
      <c r="UQJ268" s="1"/>
      <c r="UQK268" s="1"/>
      <c r="UQL268" s="1"/>
      <c r="UQM268" s="1"/>
      <c r="UQN268" s="1"/>
      <c r="UQO268" s="1"/>
      <c r="UQP268" s="1"/>
      <c r="UQQ268" s="1"/>
      <c r="UQR268" s="1"/>
      <c r="UQS268" s="1"/>
      <c r="UQT268" s="1"/>
      <c r="UQU268" s="1"/>
      <c r="UQV268" s="1"/>
      <c r="UQW268" s="1"/>
      <c r="UQX268" s="1"/>
      <c r="UQY268" s="1"/>
      <c r="UQZ268" s="1"/>
      <c r="URA268" s="1"/>
      <c r="URB268" s="1"/>
      <c r="URC268" s="1"/>
      <c r="URD268" s="1"/>
      <c r="URE268" s="1"/>
      <c r="URF268" s="1"/>
      <c r="URG268" s="1"/>
      <c r="URH268" s="1"/>
      <c r="URI268" s="1"/>
      <c r="URJ268" s="1"/>
      <c r="URK268" s="1"/>
      <c r="URL268" s="1"/>
      <c r="URM268" s="1"/>
      <c r="URN268" s="1"/>
      <c r="URO268" s="1"/>
      <c r="URP268" s="1"/>
      <c r="URQ268" s="1"/>
      <c r="URR268" s="1"/>
      <c r="URS268" s="1"/>
      <c r="URT268" s="1"/>
      <c r="URU268" s="1"/>
      <c r="URV268" s="1"/>
      <c r="URW268" s="1"/>
      <c r="URX268" s="1"/>
      <c r="URY268" s="1"/>
      <c r="URZ268" s="1"/>
      <c r="USA268" s="1"/>
      <c r="USB268" s="1"/>
      <c r="USC268" s="1"/>
      <c r="USD268" s="1"/>
      <c r="USE268" s="1"/>
      <c r="USF268" s="1"/>
      <c r="USG268" s="1"/>
      <c r="USH268" s="1"/>
      <c r="USI268" s="1"/>
      <c r="USJ268" s="1"/>
      <c r="USK268" s="1"/>
      <c r="USL268" s="1"/>
      <c r="USM268" s="1"/>
      <c r="USN268" s="1"/>
      <c r="USO268" s="1"/>
      <c r="USP268" s="1"/>
      <c r="USQ268" s="1"/>
      <c r="USR268" s="1"/>
      <c r="USS268" s="1"/>
      <c r="UST268" s="1"/>
      <c r="USU268" s="1"/>
      <c r="USV268" s="1"/>
      <c r="USW268" s="1"/>
      <c r="USX268" s="1"/>
      <c r="USY268" s="1"/>
      <c r="USZ268" s="1"/>
      <c r="UTA268" s="1"/>
      <c r="UTB268" s="1"/>
      <c r="UTC268" s="1"/>
      <c r="UTD268" s="1"/>
      <c r="UTE268" s="1"/>
      <c r="UTF268" s="1"/>
      <c r="UTG268" s="1"/>
      <c r="UTH268" s="1"/>
      <c r="UTI268" s="1"/>
      <c r="UTJ268" s="1"/>
      <c r="UTK268" s="1"/>
      <c r="UTL268" s="1"/>
      <c r="UTM268" s="1"/>
      <c r="UTN268" s="1"/>
      <c r="UTO268" s="1"/>
      <c r="UTP268" s="1"/>
      <c r="UTQ268" s="1"/>
      <c r="UTR268" s="1"/>
      <c r="UTS268" s="1"/>
      <c r="UTT268" s="1"/>
      <c r="UTU268" s="1"/>
      <c r="UTV268" s="1"/>
      <c r="UTW268" s="1"/>
      <c r="UTX268" s="1"/>
      <c r="UTY268" s="1"/>
      <c r="UTZ268" s="1"/>
      <c r="UUA268" s="1"/>
      <c r="UUB268" s="1"/>
      <c r="UUC268" s="1"/>
      <c r="UUD268" s="1"/>
      <c r="UUE268" s="1"/>
      <c r="UUF268" s="1"/>
      <c r="UUG268" s="1"/>
      <c r="UUH268" s="1"/>
      <c r="UUI268" s="1"/>
      <c r="UUJ268" s="1"/>
      <c r="UUK268" s="1"/>
      <c r="UUL268" s="1"/>
      <c r="UUM268" s="1"/>
      <c r="UUN268" s="1"/>
      <c r="UUO268" s="1"/>
      <c r="UUP268" s="1"/>
      <c r="UUQ268" s="1"/>
      <c r="UUR268" s="1"/>
      <c r="UUS268" s="1"/>
      <c r="UUT268" s="1"/>
      <c r="UUU268" s="1"/>
      <c r="UUV268" s="1"/>
      <c r="UUW268" s="1"/>
      <c r="UUX268" s="1"/>
      <c r="UUY268" s="1"/>
      <c r="UUZ268" s="1"/>
      <c r="UVA268" s="1"/>
      <c r="UVB268" s="1"/>
      <c r="UVC268" s="1"/>
      <c r="UVD268" s="1"/>
      <c r="UVE268" s="1"/>
      <c r="UVF268" s="1"/>
      <c r="UVG268" s="1"/>
      <c r="UVH268" s="1"/>
      <c r="UVI268" s="1"/>
      <c r="UVJ268" s="1"/>
      <c r="UVK268" s="1"/>
      <c r="UVL268" s="1"/>
      <c r="UVM268" s="1"/>
      <c r="UVN268" s="1"/>
      <c r="UVO268" s="1"/>
      <c r="UVP268" s="1"/>
      <c r="UVQ268" s="1"/>
      <c r="UVR268" s="1"/>
      <c r="UVS268" s="1"/>
      <c r="UVT268" s="1"/>
      <c r="UVU268" s="1"/>
      <c r="UVV268" s="1"/>
      <c r="UVW268" s="1"/>
      <c r="UVX268" s="1"/>
      <c r="UVY268" s="1"/>
      <c r="UVZ268" s="1"/>
      <c r="UWA268" s="1"/>
      <c r="UWB268" s="1"/>
      <c r="UWC268" s="1"/>
      <c r="UWD268" s="1"/>
      <c r="UWE268" s="1"/>
      <c r="UWF268" s="1"/>
      <c r="UWG268" s="1"/>
      <c r="UWH268" s="1"/>
      <c r="UWI268" s="1"/>
      <c r="UWJ268" s="1"/>
      <c r="UWK268" s="1"/>
      <c r="UWL268" s="1"/>
      <c r="UWM268" s="1"/>
      <c r="UWN268" s="1"/>
      <c r="UWO268" s="1"/>
      <c r="UWP268" s="1"/>
      <c r="UWQ268" s="1"/>
      <c r="UWR268" s="1"/>
      <c r="UWS268" s="1"/>
      <c r="UWT268" s="1"/>
      <c r="UWU268" s="1"/>
      <c r="UWV268" s="1"/>
      <c r="UWW268" s="1"/>
      <c r="UWX268" s="1"/>
      <c r="UWY268" s="1"/>
      <c r="UWZ268" s="1"/>
      <c r="UXA268" s="1"/>
      <c r="UXB268" s="1"/>
      <c r="UXC268" s="1"/>
      <c r="UXD268" s="1"/>
      <c r="UXE268" s="1"/>
      <c r="UXF268" s="1"/>
      <c r="UXG268" s="1"/>
      <c r="UXH268" s="1"/>
      <c r="UXI268" s="1"/>
      <c r="UXJ268" s="1"/>
      <c r="UXK268" s="1"/>
      <c r="UXL268" s="1"/>
      <c r="UXM268" s="1"/>
      <c r="UXN268" s="1"/>
      <c r="UXO268" s="1"/>
      <c r="UXP268" s="1"/>
      <c r="UXQ268" s="1"/>
      <c r="UXR268" s="1"/>
      <c r="UXS268" s="1"/>
      <c r="UXT268" s="1"/>
      <c r="UXU268" s="1"/>
      <c r="UXV268" s="1"/>
      <c r="UXW268" s="1"/>
      <c r="UXX268" s="1"/>
      <c r="UXY268" s="1"/>
      <c r="UXZ268" s="1"/>
      <c r="UYA268" s="1"/>
      <c r="UYB268" s="1"/>
      <c r="UYC268" s="1"/>
      <c r="UYD268" s="1"/>
      <c r="UYE268" s="1"/>
      <c r="UYF268" s="1"/>
      <c r="UYG268" s="1"/>
      <c r="UYH268" s="1"/>
      <c r="UYI268" s="1"/>
      <c r="UYJ268" s="1"/>
      <c r="UYK268" s="1"/>
      <c r="UYL268" s="1"/>
      <c r="UYM268" s="1"/>
      <c r="UYN268" s="1"/>
      <c r="UYO268" s="1"/>
      <c r="UYP268" s="1"/>
      <c r="UYQ268" s="1"/>
      <c r="UYR268" s="1"/>
      <c r="UYS268" s="1"/>
      <c r="UYT268" s="1"/>
      <c r="UYU268" s="1"/>
      <c r="UYV268" s="1"/>
      <c r="UYW268" s="1"/>
      <c r="UYX268" s="1"/>
      <c r="UYY268" s="1"/>
      <c r="UYZ268" s="1"/>
      <c r="UZA268" s="1"/>
      <c r="UZB268" s="1"/>
      <c r="UZC268" s="1"/>
      <c r="UZD268" s="1"/>
      <c r="UZE268" s="1"/>
      <c r="UZF268" s="1"/>
      <c r="UZG268" s="1"/>
      <c r="UZH268" s="1"/>
      <c r="UZI268" s="1"/>
      <c r="UZJ268" s="1"/>
      <c r="UZK268" s="1"/>
      <c r="UZL268" s="1"/>
      <c r="UZM268" s="1"/>
      <c r="UZN268" s="1"/>
      <c r="UZO268" s="1"/>
      <c r="UZP268" s="1"/>
      <c r="UZQ268" s="1"/>
      <c r="UZR268" s="1"/>
      <c r="UZS268" s="1"/>
      <c r="UZT268" s="1"/>
      <c r="UZU268" s="1"/>
      <c r="UZV268" s="1"/>
      <c r="UZW268" s="1"/>
      <c r="UZX268" s="1"/>
      <c r="UZY268" s="1"/>
      <c r="UZZ268" s="1"/>
      <c r="VAA268" s="1"/>
      <c r="VAB268" s="1"/>
      <c r="VAC268" s="1"/>
      <c r="VAD268" s="1"/>
      <c r="VAE268" s="1"/>
      <c r="VAF268" s="1"/>
      <c r="VAG268" s="1"/>
      <c r="VAH268" s="1"/>
      <c r="VAI268" s="1"/>
      <c r="VAJ268" s="1"/>
      <c r="VAK268" s="1"/>
      <c r="VAL268" s="1"/>
      <c r="VAM268" s="1"/>
      <c r="VAN268" s="1"/>
      <c r="VAO268" s="1"/>
      <c r="VAP268" s="1"/>
      <c r="VAQ268" s="1"/>
      <c r="VAR268" s="1"/>
      <c r="VAS268" s="1"/>
      <c r="VAT268" s="1"/>
      <c r="VAU268" s="1"/>
      <c r="VAV268" s="1"/>
      <c r="VAW268" s="1"/>
      <c r="VAX268" s="1"/>
      <c r="VAY268" s="1"/>
      <c r="VAZ268" s="1"/>
      <c r="VBA268" s="1"/>
      <c r="VBB268" s="1"/>
      <c r="VBC268" s="1"/>
      <c r="VBD268" s="1"/>
      <c r="VBE268" s="1"/>
      <c r="VBF268" s="1"/>
      <c r="VBG268" s="1"/>
      <c r="VBH268" s="1"/>
      <c r="VBI268" s="1"/>
      <c r="VBJ268" s="1"/>
      <c r="VBK268" s="1"/>
      <c r="VBL268" s="1"/>
      <c r="VBM268" s="1"/>
      <c r="VBN268" s="1"/>
      <c r="VBO268" s="1"/>
      <c r="VBP268" s="1"/>
      <c r="VBQ268" s="1"/>
      <c r="VBR268" s="1"/>
      <c r="VBS268" s="1"/>
      <c r="VBT268" s="1"/>
      <c r="VBU268" s="1"/>
      <c r="VBV268" s="1"/>
      <c r="VBW268" s="1"/>
      <c r="VBX268" s="1"/>
      <c r="VBY268" s="1"/>
      <c r="VBZ268" s="1"/>
      <c r="VCA268" s="1"/>
      <c r="VCB268" s="1"/>
      <c r="VCC268" s="1"/>
      <c r="VCD268" s="1"/>
      <c r="VCE268" s="1"/>
      <c r="VCF268" s="1"/>
      <c r="VCG268" s="1"/>
      <c r="VCH268" s="1"/>
      <c r="VCI268" s="1"/>
      <c r="VCJ268" s="1"/>
      <c r="VCK268" s="1"/>
      <c r="VCL268" s="1"/>
      <c r="VCM268" s="1"/>
      <c r="VCN268" s="1"/>
      <c r="VCO268" s="1"/>
      <c r="VCP268" s="1"/>
      <c r="VCQ268" s="1"/>
      <c r="VCR268" s="1"/>
      <c r="VCS268" s="1"/>
      <c r="VCT268" s="1"/>
      <c r="VCU268" s="1"/>
      <c r="VCV268" s="1"/>
      <c r="VCW268" s="1"/>
      <c r="VCX268" s="1"/>
      <c r="VCY268" s="1"/>
      <c r="VCZ268" s="1"/>
      <c r="VDA268" s="1"/>
      <c r="VDB268" s="1"/>
      <c r="VDC268" s="1"/>
      <c r="VDD268" s="1"/>
      <c r="VDE268" s="1"/>
      <c r="VDF268" s="1"/>
      <c r="VDG268" s="1"/>
      <c r="VDH268" s="1"/>
      <c r="VDI268" s="1"/>
      <c r="VDJ268" s="1"/>
      <c r="VDK268" s="1"/>
      <c r="VDL268" s="1"/>
      <c r="VDM268" s="1"/>
      <c r="VDN268" s="1"/>
      <c r="VDO268" s="1"/>
      <c r="VDP268" s="1"/>
      <c r="VDQ268" s="1"/>
      <c r="VDR268" s="1"/>
      <c r="VDS268" s="1"/>
      <c r="VDT268" s="1"/>
      <c r="VDU268" s="1"/>
      <c r="VDV268" s="1"/>
      <c r="VDW268" s="1"/>
      <c r="VDX268" s="1"/>
      <c r="VDY268" s="1"/>
      <c r="VDZ268" s="1"/>
      <c r="VEA268" s="1"/>
      <c r="VEB268" s="1"/>
      <c r="VEC268" s="1"/>
      <c r="VED268" s="1"/>
      <c r="VEE268" s="1"/>
      <c r="VEF268" s="1"/>
      <c r="VEG268" s="1"/>
      <c r="VEH268" s="1"/>
      <c r="VEI268" s="1"/>
      <c r="VEJ268" s="1"/>
      <c r="VEK268" s="1"/>
      <c r="VEL268" s="1"/>
      <c r="VEM268" s="1"/>
      <c r="VEN268" s="1"/>
      <c r="VEO268" s="1"/>
      <c r="VEP268" s="1"/>
      <c r="VEQ268" s="1"/>
      <c r="VER268" s="1"/>
      <c r="VES268" s="1"/>
      <c r="VET268" s="1"/>
      <c r="VEU268" s="1"/>
      <c r="VEV268" s="1"/>
      <c r="VEW268" s="1"/>
      <c r="VEX268" s="1"/>
      <c r="VEY268" s="1"/>
      <c r="VEZ268" s="1"/>
      <c r="VFA268" s="1"/>
      <c r="VFB268" s="1"/>
      <c r="VFC268" s="1"/>
      <c r="VFD268" s="1"/>
      <c r="VFE268" s="1"/>
      <c r="VFF268" s="1"/>
      <c r="VFG268" s="1"/>
      <c r="VFH268" s="1"/>
      <c r="VFI268" s="1"/>
      <c r="VFJ268" s="1"/>
      <c r="VFK268" s="1"/>
      <c r="VFL268" s="1"/>
      <c r="VFM268" s="1"/>
      <c r="VFN268" s="1"/>
      <c r="VFO268" s="1"/>
      <c r="VFP268" s="1"/>
      <c r="VFQ268" s="1"/>
      <c r="VFR268" s="1"/>
      <c r="VFS268" s="1"/>
      <c r="VFT268" s="1"/>
      <c r="VFU268" s="1"/>
      <c r="VFV268" s="1"/>
      <c r="VFW268" s="1"/>
      <c r="VFX268" s="1"/>
      <c r="VFY268" s="1"/>
      <c r="VFZ268" s="1"/>
      <c r="VGA268" s="1"/>
      <c r="VGB268" s="1"/>
      <c r="VGC268" s="1"/>
      <c r="VGD268" s="1"/>
      <c r="VGE268" s="1"/>
      <c r="VGF268" s="1"/>
      <c r="VGG268" s="1"/>
      <c r="VGH268" s="1"/>
      <c r="VGI268" s="1"/>
      <c r="VGJ268" s="1"/>
      <c r="VGK268" s="1"/>
      <c r="VGL268" s="1"/>
      <c r="VGM268" s="1"/>
      <c r="VGN268" s="1"/>
      <c r="VGO268" s="1"/>
      <c r="VGP268" s="1"/>
      <c r="VGQ268" s="1"/>
      <c r="VGR268" s="1"/>
      <c r="VGS268" s="1"/>
      <c r="VGT268" s="1"/>
      <c r="VGU268" s="1"/>
      <c r="VGV268" s="1"/>
      <c r="VGW268" s="1"/>
      <c r="VGX268" s="1"/>
      <c r="VGY268" s="1"/>
      <c r="VGZ268" s="1"/>
      <c r="VHA268" s="1"/>
      <c r="VHB268" s="1"/>
      <c r="VHC268" s="1"/>
      <c r="VHD268" s="1"/>
      <c r="VHE268" s="1"/>
      <c r="VHF268" s="1"/>
      <c r="VHG268" s="1"/>
      <c r="VHH268" s="1"/>
      <c r="VHI268" s="1"/>
      <c r="VHJ268" s="1"/>
      <c r="VHK268" s="1"/>
      <c r="VHL268" s="1"/>
      <c r="VHM268" s="1"/>
      <c r="VHN268" s="1"/>
      <c r="VHO268" s="1"/>
      <c r="VHP268" s="1"/>
      <c r="VHQ268" s="1"/>
      <c r="VHR268" s="1"/>
      <c r="VHS268" s="1"/>
      <c r="VHT268" s="1"/>
      <c r="VHU268" s="1"/>
      <c r="VHV268" s="1"/>
      <c r="VHW268" s="1"/>
      <c r="VHX268" s="1"/>
      <c r="VHY268" s="1"/>
      <c r="VHZ268" s="1"/>
      <c r="VIA268" s="1"/>
      <c r="VIB268" s="1"/>
      <c r="VIC268" s="1"/>
      <c r="VID268" s="1"/>
      <c r="VIE268" s="1"/>
      <c r="VIF268" s="1"/>
      <c r="VIG268" s="1"/>
      <c r="VIH268" s="1"/>
      <c r="VII268" s="1"/>
      <c r="VIJ268" s="1"/>
      <c r="VIK268" s="1"/>
      <c r="VIL268" s="1"/>
      <c r="VIM268" s="1"/>
      <c r="VIN268" s="1"/>
      <c r="VIO268" s="1"/>
      <c r="VIP268" s="1"/>
      <c r="VIQ268" s="1"/>
      <c r="VIR268" s="1"/>
      <c r="VIS268" s="1"/>
      <c r="VIT268" s="1"/>
      <c r="VIU268" s="1"/>
      <c r="VIV268" s="1"/>
      <c r="VIW268" s="1"/>
      <c r="VIX268" s="1"/>
      <c r="VIY268" s="1"/>
      <c r="VIZ268" s="1"/>
      <c r="VJA268" s="1"/>
      <c r="VJB268" s="1"/>
      <c r="VJC268" s="1"/>
      <c r="VJD268" s="1"/>
      <c r="VJE268" s="1"/>
      <c r="VJF268" s="1"/>
      <c r="VJG268" s="1"/>
      <c r="VJH268" s="1"/>
      <c r="VJI268" s="1"/>
      <c r="VJJ268" s="1"/>
      <c r="VJK268" s="1"/>
      <c r="VJL268" s="1"/>
      <c r="VJM268" s="1"/>
      <c r="VJN268" s="1"/>
      <c r="VJO268" s="1"/>
      <c r="VJP268" s="1"/>
      <c r="VJQ268" s="1"/>
      <c r="VJR268" s="1"/>
      <c r="VJS268" s="1"/>
      <c r="VJT268" s="1"/>
      <c r="VJU268" s="1"/>
      <c r="VJV268" s="1"/>
      <c r="VJW268" s="1"/>
      <c r="VJX268" s="1"/>
      <c r="VJY268" s="1"/>
      <c r="VJZ268" s="1"/>
      <c r="VKA268" s="1"/>
      <c r="VKB268" s="1"/>
      <c r="VKC268" s="1"/>
      <c r="VKD268" s="1"/>
      <c r="VKE268" s="1"/>
      <c r="VKF268" s="1"/>
      <c r="VKG268" s="1"/>
      <c r="VKH268" s="1"/>
      <c r="VKI268" s="1"/>
      <c r="VKJ268" s="1"/>
      <c r="VKK268" s="1"/>
      <c r="VKL268" s="1"/>
      <c r="VKM268" s="1"/>
      <c r="VKN268" s="1"/>
      <c r="VKO268" s="1"/>
      <c r="VKP268" s="1"/>
      <c r="VKQ268" s="1"/>
      <c r="VKR268" s="1"/>
      <c r="VKS268" s="1"/>
      <c r="VKT268" s="1"/>
      <c r="VKU268" s="1"/>
      <c r="VKV268" s="1"/>
      <c r="VKW268" s="1"/>
      <c r="VKX268" s="1"/>
      <c r="VKY268" s="1"/>
      <c r="VKZ268" s="1"/>
      <c r="VLA268" s="1"/>
      <c r="VLB268" s="1"/>
      <c r="VLC268" s="1"/>
      <c r="VLD268" s="1"/>
      <c r="VLE268" s="1"/>
      <c r="VLF268" s="1"/>
      <c r="VLG268" s="1"/>
      <c r="VLH268" s="1"/>
      <c r="VLI268" s="1"/>
      <c r="VLJ268" s="1"/>
      <c r="VLK268" s="1"/>
      <c r="VLL268" s="1"/>
      <c r="VLM268" s="1"/>
      <c r="VLN268" s="1"/>
      <c r="VLO268" s="1"/>
      <c r="VLP268" s="1"/>
      <c r="VLQ268" s="1"/>
      <c r="VLR268" s="1"/>
      <c r="VLS268" s="1"/>
      <c r="VLT268" s="1"/>
      <c r="VLU268" s="1"/>
      <c r="VLV268" s="1"/>
      <c r="VLW268" s="1"/>
      <c r="VLX268" s="1"/>
      <c r="VLY268" s="1"/>
      <c r="VLZ268" s="1"/>
      <c r="VMA268" s="1"/>
      <c r="VMB268" s="1"/>
      <c r="VMC268" s="1"/>
      <c r="VMD268" s="1"/>
      <c r="VME268" s="1"/>
      <c r="VMF268" s="1"/>
      <c r="VMG268" s="1"/>
      <c r="VMH268" s="1"/>
      <c r="VMI268" s="1"/>
      <c r="VMJ268" s="1"/>
      <c r="VMK268" s="1"/>
      <c r="VML268" s="1"/>
      <c r="VMM268" s="1"/>
      <c r="VMN268" s="1"/>
      <c r="VMO268" s="1"/>
      <c r="VMP268" s="1"/>
      <c r="VMQ268" s="1"/>
      <c r="VMR268" s="1"/>
      <c r="VMS268" s="1"/>
      <c r="VMT268" s="1"/>
      <c r="VMU268" s="1"/>
      <c r="VMV268" s="1"/>
      <c r="VMW268" s="1"/>
      <c r="VMX268" s="1"/>
      <c r="VMY268" s="1"/>
      <c r="VMZ268" s="1"/>
      <c r="VNA268" s="1"/>
      <c r="VNB268" s="1"/>
      <c r="VNC268" s="1"/>
      <c r="VND268" s="1"/>
      <c r="VNE268" s="1"/>
      <c r="VNF268" s="1"/>
      <c r="VNG268" s="1"/>
      <c r="VNH268" s="1"/>
      <c r="VNI268" s="1"/>
      <c r="VNJ268" s="1"/>
      <c r="VNK268" s="1"/>
      <c r="VNL268" s="1"/>
      <c r="VNM268" s="1"/>
      <c r="VNN268" s="1"/>
      <c r="VNO268" s="1"/>
      <c r="VNP268" s="1"/>
      <c r="VNQ268" s="1"/>
      <c r="VNR268" s="1"/>
      <c r="VNS268" s="1"/>
      <c r="VNT268" s="1"/>
      <c r="VNU268" s="1"/>
      <c r="VNV268" s="1"/>
      <c r="VNW268" s="1"/>
      <c r="VNX268" s="1"/>
      <c r="VNY268" s="1"/>
      <c r="VNZ268" s="1"/>
      <c r="VOA268" s="1"/>
      <c r="VOB268" s="1"/>
      <c r="VOC268" s="1"/>
      <c r="VOD268" s="1"/>
      <c r="VOE268" s="1"/>
      <c r="VOF268" s="1"/>
      <c r="VOG268" s="1"/>
      <c r="VOH268" s="1"/>
      <c r="VOI268" s="1"/>
      <c r="VOJ268" s="1"/>
      <c r="VOK268" s="1"/>
      <c r="VOL268" s="1"/>
      <c r="VOM268" s="1"/>
      <c r="VON268" s="1"/>
      <c r="VOO268" s="1"/>
      <c r="VOP268" s="1"/>
      <c r="VOQ268" s="1"/>
      <c r="VOR268" s="1"/>
      <c r="VOS268" s="1"/>
      <c r="VOT268" s="1"/>
      <c r="VOU268" s="1"/>
      <c r="VOV268" s="1"/>
      <c r="VOW268" s="1"/>
      <c r="VOX268" s="1"/>
      <c r="VOY268" s="1"/>
      <c r="VOZ268" s="1"/>
      <c r="VPA268" s="1"/>
      <c r="VPB268" s="1"/>
      <c r="VPC268" s="1"/>
      <c r="VPD268" s="1"/>
      <c r="VPE268" s="1"/>
      <c r="VPF268" s="1"/>
      <c r="VPG268" s="1"/>
      <c r="VPH268" s="1"/>
      <c r="VPI268" s="1"/>
      <c r="VPJ268" s="1"/>
      <c r="VPK268" s="1"/>
      <c r="VPL268" s="1"/>
      <c r="VPM268" s="1"/>
      <c r="VPN268" s="1"/>
      <c r="VPO268" s="1"/>
      <c r="VPP268" s="1"/>
      <c r="VPQ268" s="1"/>
      <c r="VPR268" s="1"/>
      <c r="VPS268" s="1"/>
      <c r="VPT268" s="1"/>
      <c r="VPU268" s="1"/>
      <c r="VPV268" s="1"/>
      <c r="VPW268" s="1"/>
      <c r="VPX268" s="1"/>
      <c r="VPY268" s="1"/>
      <c r="VPZ268" s="1"/>
      <c r="VQA268" s="1"/>
      <c r="VQB268" s="1"/>
      <c r="VQC268" s="1"/>
      <c r="VQD268" s="1"/>
      <c r="VQE268" s="1"/>
      <c r="VQF268" s="1"/>
      <c r="VQG268" s="1"/>
      <c r="VQH268" s="1"/>
      <c r="VQI268" s="1"/>
      <c r="VQJ268" s="1"/>
      <c r="VQK268" s="1"/>
      <c r="VQL268" s="1"/>
      <c r="VQM268" s="1"/>
      <c r="VQN268" s="1"/>
      <c r="VQO268" s="1"/>
      <c r="VQP268" s="1"/>
      <c r="VQQ268" s="1"/>
      <c r="VQR268" s="1"/>
      <c r="VQS268" s="1"/>
      <c r="VQT268" s="1"/>
      <c r="VQU268" s="1"/>
      <c r="VQV268" s="1"/>
      <c r="VQW268" s="1"/>
      <c r="VQX268" s="1"/>
      <c r="VQY268" s="1"/>
      <c r="VQZ268" s="1"/>
      <c r="VRA268" s="1"/>
      <c r="VRB268" s="1"/>
      <c r="VRC268" s="1"/>
      <c r="VRD268" s="1"/>
      <c r="VRE268" s="1"/>
      <c r="VRF268" s="1"/>
      <c r="VRG268" s="1"/>
      <c r="VRH268" s="1"/>
      <c r="VRI268" s="1"/>
      <c r="VRJ268" s="1"/>
      <c r="VRK268" s="1"/>
      <c r="VRL268" s="1"/>
      <c r="VRM268" s="1"/>
      <c r="VRN268" s="1"/>
      <c r="VRO268" s="1"/>
      <c r="VRP268" s="1"/>
      <c r="VRQ268" s="1"/>
      <c r="VRR268" s="1"/>
      <c r="VRS268" s="1"/>
      <c r="VRT268" s="1"/>
      <c r="VRU268" s="1"/>
      <c r="VRV268" s="1"/>
      <c r="VRW268" s="1"/>
      <c r="VRX268" s="1"/>
      <c r="VRY268" s="1"/>
      <c r="VRZ268" s="1"/>
      <c r="VSA268" s="1"/>
      <c r="VSB268" s="1"/>
      <c r="VSC268" s="1"/>
      <c r="VSD268" s="1"/>
      <c r="VSE268" s="1"/>
      <c r="VSF268" s="1"/>
      <c r="VSG268" s="1"/>
      <c r="VSH268" s="1"/>
      <c r="VSI268" s="1"/>
      <c r="VSJ268" s="1"/>
      <c r="VSK268" s="1"/>
      <c r="VSL268" s="1"/>
      <c r="VSM268" s="1"/>
      <c r="VSN268" s="1"/>
      <c r="VSO268" s="1"/>
      <c r="VSP268" s="1"/>
      <c r="VSQ268" s="1"/>
      <c r="VSR268" s="1"/>
      <c r="VSS268" s="1"/>
      <c r="VST268" s="1"/>
      <c r="VSU268" s="1"/>
      <c r="VSV268" s="1"/>
      <c r="VSW268" s="1"/>
      <c r="VSX268" s="1"/>
      <c r="VSY268" s="1"/>
      <c r="VSZ268" s="1"/>
      <c r="VTA268" s="1"/>
      <c r="VTB268" s="1"/>
      <c r="VTC268" s="1"/>
      <c r="VTD268" s="1"/>
      <c r="VTE268" s="1"/>
      <c r="VTF268" s="1"/>
      <c r="VTG268" s="1"/>
      <c r="VTH268" s="1"/>
      <c r="VTI268" s="1"/>
      <c r="VTJ268" s="1"/>
      <c r="VTK268" s="1"/>
      <c r="VTL268" s="1"/>
      <c r="VTM268" s="1"/>
      <c r="VTN268" s="1"/>
      <c r="VTO268" s="1"/>
      <c r="VTP268" s="1"/>
      <c r="VTQ268" s="1"/>
      <c r="VTR268" s="1"/>
      <c r="VTS268" s="1"/>
      <c r="VTT268" s="1"/>
      <c r="VTU268" s="1"/>
      <c r="VTV268" s="1"/>
      <c r="VTW268" s="1"/>
      <c r="VTX268" s="1"/>
      <c r="VTY268" s="1"/>
      <c r="VTZ268" s="1"/>
      <c r="VUA268" s="1"/>
      <c r="VUB268" s="1"/>
      <c r="VUC268" s="1"/>
      <c r="VUD268" s="1"/>
      <c r="VUE268" s="1"/>
      <c r="VUF268" s="1"/>
      <c r="VUG268" s="1"/>
      <c r="VUH268" s="1"/>
      <c r="VUI268" s="1"/>
      <c r="VUJ268" s="1"/>
      <c r="VUK268" s="1"/>
      <c r="VUL268" s="1"/>
      <c r="VUM268" s="1"/>
      <c r="VUN268" s="1"/>
      <c r="VUO268" s="1"/>
      <c r="VUP268" s="1"/>
      <c r="VUQ268" s="1"/>
      <c r="VUR268" s="1"/>
      <c r="VUS268" s="1"/>
      <c r="VUT268" s="1"/>
      <c r="VUU268" s="1"/>
      <c r="VUV268" s="1"/>
      <c r="VUW268" s="1"/>
      <c r="VUX268" s="1"/>
      <c r="VUY268" s="1"/>
      <c r="VUZ268" s="1"/>
      <c r="VVA268" s="1"/>
      <c r="VVB268" s="1"/>
      <c r="VVC268" s="1"/>
      <c r="VVD268" s="1"/>
      <c r="VVE268" s="1"/>
      <c r="VVF268" s="1"/>
      <c r="VVG268" s="1"/>
      <c r="VVH268" s="1"/>
      <c r="VVI268" s="1"/>
      <c r="VVJ268" s="1"/>
      <c r="VVK268" s="1"/>
      <c r="VVL268" s="1"/>
      <c r="VVM268" s="1"/>
      <c r="VVN268" s="1"/>
      <c r="VVO268" s="1"/>
      <c r="VVP268" s="1"/>
      <c r="VVQ268" s="1"/>
      <c r="VVR268" s="1"/>
      <c r="VVS268" s="1"/>
      <c r="VVT268" s="1"/>
      <c r="VVU268" s="1"/>
      <c r="VVV268" s="1"/>
      <c r="VVW268" s="1"/>
      <c r="VVX268" s="1"/>
      <c r="VVY268" s="1"/>
      <c r="VVZ268" s="1"/>
      <c r="VWA268" s="1"/>
      <c r="VWB268" s="1"/>
      <c r="VWC268" s="1"/>
      <c r="VWD268" s="1"/>
      <c r="VWE268" s="1"/>
      <c r="VWF268" s="1"/>
      <c r="VWG268" s="1"/>
      <c r="VWH268" s="1"/>
      <c r="VWI268" s="1"/>
      <c r="VWJ268" s="1"/>
      <c r="VWK268" s="1"/>
      <c r="VWL268" s="1"/>
      <c r="VWM268" s="1"/>
      <c r="VWN268" s="1"/>
      <c r="VWO268" s="1"/>
      <c r="VWP268" s="1"/>
      <c r="VWQ268" s="1"/>
      <c r="VWR268" s="1"/>
      <c r="VWS268" s="1"/>
      <c r="VWT268" s="1"/>
      <c r="VWU268" s="1"/>
      <c r="VWV268" s="1"/>
      <c r="VWW268" s="1"/>
      <c r="VWX268" s="1"/>
      <c r="VWY268" s="1"/>
      <c r="VWZ268" s="1"/>
      <c r="VXA268" s="1"/>
      <c r="VXB268" s="1"/>
      <c r="VXC268" s="1"/>
      <c r="VXD268" s="1"/>
      <c r="VXE268" s="1"/>
      <c r="VXF268" s="1"/>
      <c r="VXG268" s="1"/>
      <c r="VXH268" s="1"/>
      <c r="VXI268" s="1"/>
      <c r="VXJ268" s="1"/>
      <c r="VXK268" s="1"/>
      <c r="VXL268" s="1"/>
      <c r="VXM268" s="1"/>
      <c r="VXN268" s="1"/>
      <c r="VXO268" s="1"/>
      <c r="VXP268" s="1"/>
      <c r="VXQ268" s="1"/>
      <c r="VXR268" s="1"/>
      <c r="VXS268" s="1"/>
      <c r="VXT268" s="1"/>
      <c r="VXU268" s="1"/>
      <c r="VXV268" s="1"/>
      <c r="VXW268" s="1"/>
      <c r="VXX268" s="1"/>
      <c r="VXY268" s="1"/>
      <c r="VXZ268" s="1"/>
      <c r="VYA268" s="1"/>
      <c r="VYB268" s="1"/>
      <c r="VYC268" s="1"/>
      <c r="VYD268" s="1"/>
      <c r="VYE268" s="1"/>
      <c r="VYF268" s="1"/>
      <c r="VYG268" s="1"/>
      <c r="VYH268" s="1"/>
      <c r="VYI268" s="1"/>
      <c r="VYJ268" s="1"/>
      <c r="VYK268" s="1"/>
      <c r="VYL268" s="1"/>
      <c r="VYM268" s="1"/>
      <c r="VYN268" s="1"/>
      <c r="VYO268" s="1"/>
      <c r="VYP268" s="1"/>
      <c r="VYQ268" s="1"/>
      <c r="VYR268" s="1"/>
      <c r="VYS268" s="1"/>
      <c r="VYT268" s="1"/>
      <c r="VYU268" s="1"/>
      <c r="VYV268" s="1"/>
      <c r="VYW268" s="1"/>
      <c r="VYX268" s="1"/>
      <c r="VYY268" s="1"/>
      <c r="VYZ268" s="1"/>
      <c r="VZA268" s="1"/>
      <c r="VZB268" s="1"/>
      <c r="VZC268" s="1"/>
      <c r="VZD268" s="1"/>
      <c r="VZE268" s="1"/>
      <c r="VZF268" s="1"/>
      <c r="VZG268" s="1"/>
      <c r="VZH268" s="1"/>
      <c r="VZI268" s="1"/>
      <c r="VZJ268" s="1"/>
      <c r="VZK268" s="1"/>
      <c r="VZL268" s="1"/>
      <c r="VZM268" s="1"/>
      <c r="VZN268" s="1"/>
      <c r="VZO268" s="1"/>
      <c r="VZP268" s="1"/>
      <c r="VZQ268" s="1"/>
      <c r="VZR268" s="1"/>
      <c r="VZS268" s="1"/>
      <c r="VZT268" s="1"/>
      <c r="VZU268" s="1"/>
      <c r="VZV268" s="1"/>
      <c r="VZW268" s="1"/>
      <c r="VZX268" s="1"/>
      <c r="VZY268" s="1"/>
      <c r="VZZ268" s="1"/>
      <c r="WAA268" s="1"/>
      <c r="WAB268" s="1"/>
      <c r="WAC268" s="1"/>
      <c r="WAD268" s="1"/>
      <c r="WAE268" s="1"/>
      <c r="WAF268" s="1"/>
      <c r="WAG268" s="1"/>
      <c r="WAH268" s="1"/>
      <c r="WAI268" s="1"/>
      <c r="WAJ268" s="1"/>
      <c r="WAK268" s="1"/>
      <c r="WAL268" s="1"/>
      <c r="WAM268" s="1"/>
      <c r="WAN268" s="1"/>
      <c r="WAO268" s="1"/>
      <c r="WAP268" s="1"/>
      <c r="WAQ268" s="1"/>
      <c r="WAR268" s="1"/>
      <c r="WAS268" s="1"/>
      <c r="WAT268" s="1"/>
      <c r="WAU268" s="1"/>
      <c r="WAV268" s="1"/>
      <c r="WAW268" s="1"/>
      <c r="WAX268" s="1"/>
      <c r="WAY268" s="1"/>
      <c r="WAZ268" s="1"/>
      <c r="WBA268" s="1"/>
      <c r="WBB268" s="1"/>
      <c r="WBC268" s="1"/>
      <c r="WBD268" s="1"/>
      <c r="WBE268" s="1"/>
      <c r="WBF268" s="1"/>
      <c r="WBG268" s="1"/>
      <c r="WBH268" s="1"/>
      <c r="WBI268" s="1"/>
      <c r="WBJ268" s="1"/>
      <c r="WBK268" s="1"/>
      <c r="WBL268" s="1"/>
      <c r="WBM268" s="1"/>
      <c r="WBN268" s="1"/>
      <c r="WBO268" s="1"/>
      <c r="WBP268" s="1"/>
      <c r="WBQ268" s="1"/>
      <c r="WBR268" s="1"/>
      <c r="WBS268" s="1"/>
      <c r="WBT268" s="1"/>
      <c r="WBU268" s="1"/>
      <c r="WBV268" s="1"/>
      <c r="WBW268" s="1"/>
      <c r="WBX268" s="1"/>
      <c r="WBY268" s="1"/>
      <c r="WBZ268" s="1"/>
      <c r="WCA268" s="1"/>
      <c r="WCB268" s="1"/>
      <c r="WCC268" s="1"/>
      <c r="WCD268" s="1"/>
      <c r="WCE268" s="1"/>
      <c r="WCF268" s="1"/>
      <c r="WCG268" s="1"/>
      <c r="WCH268" s="1"/>
      <c r="WCI268" s="1"/>
      <c r="WCJ268" s="1"/>
      <c r="WCK268" s="1"/>
      <c r="WCL268" s="1"/>
      <c r="WCM268" s="1"/>
      <c r="WCN268" s="1"/>
      <c r="WCO268" s="1"/>
      <c r="WCP268" s="1"/>
      <c r="WCQ268" s="1"/>
      <c r="WCR268" s="1"/>
      <c r="WCS268" s="1"/>
      <c r="WCT268" s="1"/>
      <c r="WCU268" s="1"/>
      <c r="WCV268" s="1"/>
      <c r="WCW268" s="1"/>
      <c r="WCX268" s="1"/>
      <c r="WCY268" s="1"/>
      <c r="WCZ268" s="1"/>
      <c r="WDA268" s="1"/>
      <c r="WDB268" s="1"/>
      <c r="WDC268" s="1"/>
      <c r="WDD268" s="1"/>
      <c r="WDE268" s="1"/>
      <c r="WDF268" s="1"/>
      <c r="WDG268" s="1"/>
      <c r="WDH268" s="1"/>
      <c r="WDI268" s="1"/>
      <c r="WDJ268" s="1"/>
      <c r="WDK268" s="1"/>
      <c r="WDL268" s="1"/>
      <c r="WDM268" s="1"/>
      <c r="WDN268" s="1"/>
      <c r="WDO268" s="1"/>
      <c r="WDP268" s="1"/>
      <c r="WDQ268" s="1"/>
      <c r="WDR268" s="1"/>
      <c r="WDS268" s="1"/>
      <c r="WDT268" s="1"/>
      <c r="WDU268" s="1"/>
      <c r="WDV268" s="1"/>
      <c r="WDW268" s="1"/>
      <c r="WDX268" s="1"/>
      <c r="WDY268" s="1"/>
      <c r="WDZ268" s="1"/>
      <c r="WEA268" s="1"/>
      <c r="WEB268" s="1"/>
      <c r="WEC268" s="1"/>
      <c r="WED268" s="1"/>
      <c r="WEE268" s="1"/>
      <c r="WEF268" s="1"/>
      <c r="WEG268" s="1"/>
      <c r="WEH268" s="1"/>
      <c r="WEI268" s="1"/>
      <c r="WEJ268" s="1"/>
      <c r="WEK268" s="1"/>
      <c r="WEL268" s="1"/>
      <c r="WEM268" s="1"/>
      <c r="WEN268" s="1"/>
      <c r="WEO268" s="1"/>
      <c r="WEP268" s="1"/>
      <c r="WEQ268" s="1"/>
      <c r="WER268" s="1"/>
      <c r="WES268" s="1"/>
      <c r="WET268" s="1"/>
      <c r="WEU268" s="1"/>
      <c r="WEV268" s="1"/>
      <c r="WEW268" s="1"/>
      <c r="WEX268" s="1"/>
      <c r="WEY268" s="1"/>
      <c r="WEZ268" s="1"/>
      <c r="WFA268" s="1"/>
      <c r="WFB268" s="1"/>
      <c r="WFC268" s="1"/>
      <c r="WFD268" s="1"/>
      <c r="WFE268" s="1"/>
      <c r="WFF268" s="1"/>
      <c r="WFG268" s="1"/>
      <c r="WFH268" s="1"/>
      <c r="WFI268" s="1"/>
      <c r="WFJ268" s="1"/>
      <c r="WFK268" s="1"/>
      <c r="WFL268" s="1"/>
      <c r="WFM268" s="1"/>
      <c r="WFN268" s="1"/>
      <c r="WFO268" s="1"/>
      <c r="WFP268" s="1"/>
      <c r="WFQ268" s="1"/>
      <c r="WFR268" s="1"/>
      <c r="WFS268" s="1"/>
      <c r="WFT268" s="1"/>
      <c r="WFU268" s="1"/>
      <c r="WFV268" s="1"/>
      <c r="WFW268" s="1"/>
      <c r="WFX268" s="1"/>
      <c r="WFY268" s="1"/>
      <c r="WFZ268" s="1"/>
      <c r="WGA268" s="1"/>
      <c r="WGB268" s="1"/>
      <c r="WGC268" s="1"/>
      <c r="WGD268" s="1"/>
      <c r="WGE268" s="1"/>
      <c r="WGF268" s="1"/>
      <c r="WGG268" s="1"/>
      <c r="WGH268" s="1"/>
      <c r="WGI268" s="1"/>
      <c r="WGJ268" s="1"/>
      <c r="WGK268" s="1"/>
      <c r="WGL268" s="1"/>
      <c r="WGM268" s="1"/>
      <c r="WGN268" s="1"/>
      <c r="WGO268" s="1"/>
      <c r="WGP268" s="1"/>
      <c r="WGQ268" s="1"/>
      <c r="WGR268" s="1"/>
      <c r="WGS268" s="1"/>
      <c r="WGT268" s="1"/>
      <c r="WGU268" s="1"/>
      <c r="WGV268" s="1"/>
      <c r="WGW268" s="1"/>
      <c r="WGX268" s="1"/>
      <c r="WGY268" s="1"/>
      <c r="WGZ268" s="1"/>
      <c r="WHA268" s="1"/>
      <c r="WHB268" s="1"/>
      <c r="WHC268" s="1"/>
      <c r="WHD268" s="1"/>
      <c r="WHE268" s="1"/>
      <c r="WHF268" s="1"/>
      <c r="WHG268" s="1"/>
      <c r="WHH268" s="1"/>
      <c r="WHI268" s="1"/>
      <c r="WHJ268" s="1"/>
      <c r="WHK268" s="1"/>
      <c r="WHL268" s="1"/>
      <c r="WHM268" s="1"/>
      <c r="WHN268" s="1"/>
      <c r="WHO268" s="1"/>
      <c r="WHP268" s="1"/>
      <c r="WHQ268" s="1"/>
      <c r="WHR268" s="1"/>
      <c r="WHS268" s="1"/>
      <c r="WHT268" s="1"/>
      <c r="WHU268" s="1"/>
      <c r="WHV268" s="1"/>
      <c r="WHW268" s="1"/>
      <c r="WHX268" s="1"/>
      <c r="WHY268" s="1"/>
      <c r="WHZ268" s="1"/>
      <c r="WIA268" s="1"/>
      <c r="WIB268" s="1"/>
      <c r="WIC268" s="1"/>
      <c r="WID268" s="1"/>
      <c r="WIE268" s="1"/>
      <c r="WIF268" s="1"/>
      <c r="WIG268" s="1"/>
      <c r="WIH268" s="1"/>
      <c r="WII268" s="1"/>
      <c r="WIJ268" s="1"/>
      <c r="WIK268" s="1"/>
      <c r="WIL268" s="1"/>
      <c r="WIM268" s="1"/>
      <c r="WIN268" s="1"/>
      <c r="WIO268" s="1"/>
      <c r="WIP268" s="1"/>
      <c r="WIQ268" s="1"/>
      <c r="WIR268" s="1"/>
      <c r="WIS268" s="1"/>
      <c r="WIT268" s="1"/>
      <c r="WIU268" s="1"/>
      <c r="WIV268" s="1"/>
      <c r="WIW268" s="1"/>
      <c r="WIX268" s="1"/>
      <c r="WIY268" s="1"/>
      <c r="WIZ268" s="1"/>
      <c r="WJA268" s="1"/>
      <c r="WJB268" s="1"/>
      <c r="WJC268" s="1"/>
      <c r="WJD268" s="1"/>
      <c r="WJE268" s="1"/>
      <c r="WJF268" s="1"/>
      <c r="WJG268" s="1"/>
      <c r="WJH268" s="1"/>
      <c r="WJI268" s="1"/>
      <c r="WJJ268" s="1"/>
      <c r="WJK268" s="1"/>
      <c r="WJL268" s="1"/>
      <c r="WJM268" s="1"/>
      <c r="WJN268" s="1"/>
      <c r="WJO268" s="1"/>
      <c r="WJP268" s="1"/>
      <c r="WJQ268" s="1"/>
      <c r="WJR268" s="1"/>
      <c r="WJS268" s="1"/>
      <c r="WJT268" s="1"/>
      <c r="WJU268" s="1"/>
      <c r="WJV268" s="1"/>
      <c r="WJW268" s="1"/>
      <c r="WJX268" s="1"/>
      <c r="WJY268" s="1"/>
      <c r="WJZ268" s="1"/>
      <c r="WKA268" s="1"/>
      <c r="WKB268" s="1"/>
      <c r="WKC268" s="1"/>
      <c r="WKD268" s="1"/>
      <c r="WKE268" s="1"/>
      <c r="WKF268" s="1"/>
      <c r="WKG268" s="1"/>
      <c r="WKH268" s="1"/>
      <c r="WKI268" s="1"/>
      <c r="WKJ268" s="1"/>
      <c r="WKK268" s="1"/>
      <c r="WKL268" s="1"/>
      <c r="WKM268" s="1"/>
      <c r="WKN268" s="1"/>
      <c r="WKO268" s="1"/>
      <c r="WKP268" s="1"/>
      <c r="WKQ268" s="1"/>
      <c r="WKR268" s="1"/>
      <c r="WKS268" s="1"/>
      <c r="WKT268" s="1"/>
      <c r="WKU268" s="1"/>
      <c r="WKV268" s="1"/>
      <c r="WKW268" s="1"/>
      <c r="WKX268" s="1"/>
      <c r="WKY268" s="1"/>
      <c r="WKZ268" s="1"/>
      <c r="WLA268" s="1"/>
      <c r="WLB268" s="1"/>
      <c r="WLC268" s="1"/>
      <c r="WLD268" s="1"/>
      <c r="WLE268" s="1"/>
      <c r="WLF268" s="1"/>
      <c r="WLG268" s="1"/>
      <c r="WLH268" s="1"/>
      <c r="WLI268" s="1"/>
      <c r="WLJ268" s="1"/>
      <c r="WLK268" s="1"/>
      <c r="WLL268" s="1"/>
      <c r="WLM268" s="1"/>
      <c r="WLN268" s="1"/>
      <c r="WLO268" s="1"/>
      <c r="WLP268" s="1"/>
      <c r="WLQ268" s="1"/>
      <c r="WLR268" s="1"/>
      <c r="WLS268" s="1"/>
      <c r="WLT268" s="1"/>
      <c r="WLU268" s="1"/>
      <c r="WLV268" s="1"/>
      <c r="WLW268" s="1"/>
      <c r="WLX268" s="1"/>
      <c r="WLY268" s="1"/>
      <c r="WLZ268" s="1"/>
      <c r="WMA268" s="1"/>
      <c r="WMB268" s="1"/>
      <c r="WMC268" s="1"/>
      <c r="WMD268" s="1"/>
      <c r="WME268" s="1"/>
      <c r="WMF268" s="1"/>
      <c r="WMG268" s="1"/>
      <c r="WMH268" s="1"/>
      <c r="WMI268" s="1"/>
      <c r="WMJ268" s="1"/>
      <c r="WMK268" s="1"/>
      <c r="WML268" s="1"/>
      <c r="WMM268" s="1"/>
      <c r="WMN268" s="1"/>
      <c r="WMO268" s="1"/>
      <c r="WMP268" s="1"/>
      <c r="WMQ268" s="1"/>
      <c r="WMR268" s="1"/>
      <c r="WMS268" s="1"/>
      <c r="WMT268" s="1"/>
      <c r="WMU268" s="1"/>
      <c r="WMV268" s="1"/>
      <c r="WMW268" s="1"/>
      <c r="WMX268" s="1"/>
      <c r="WMY268" s="1"/>
      <c r="WMZ268" s="1"/>
      <c r="WNA268" s="1"/>
      <c r="WNB268" s="1"/>
      <c r="WNC268" s="1"/>
      <c r="WND268" s="1"/>
      <c r="WNE268" s="1"/>
      <c r="WNF268" s="1"/>
      <c r="WNG268" s="1"/>
      <c r="WNH268" s="1"/>
      <c r="WNI268" s="1"/>
      <c r="WNJ268" s="1"/>
      <c r="WNK268" s="1"/>
      <c r="WNL268" s="1"/>
      <c r="WNM268" s="1"/>
      <c r="WNN268" s="1"/>
      <c r="WNO268" s="1"/>
      <c r="WNP268" s="1"/>
      <c r="WNQ268" s="1"/>
      <c r="WNR268" s="1"/>
      <c r="WNS268" s="1"/>
      <c r="WNT268" s="1"/>
      <c r="WNU268" s="1"/>
      <c r="WNV268" s="1"/>
      <c r="WNW268" s="1"/>
      <c r="WNX268" s="1"/>
      <c r="WNY268" s="1"/>
      <c r="WNZ268" s="1"/>
      <c r="WOA268" s="1"/>
      <c r="WOB268" s="1"/>
      <c r="WOC268" s="1"/>
      <c r="WOD268" s="1"/>
      <c r="WOE268" s="1"/>
      <c r="WOF268" s="1"/>
      <c r="WOG268" s="1"/>
      <c r="WOH268" s="1"/>
      <c r="WOI268" s="1"/>
      <c r="WOJ268" s="1"/>
      <c r="WOK268" s="1"/>
      <c r="WOL268" s="1"/>
      <c r="WOM268" s="1"/>
      <c r="WON268" s="1"/>
      <c r="WOO268" s="1"/>
      <c r="WOP268" s="1"/>
      <c r="WOQ268" s="1"/>
      <c r="WOR268" s="1"/>
      <c r="WOS268" s="1"/>
      <c r="WOT268" s="1"/>
      <c r="WOU268" s="1"/>
      <c r="WOV268" s="1"/>
      <c r="WOW268" s="1"/>
      <c r="WOX268" s="1"/>
      <c r="WOY268" s="1"/>
      <c r="WOZ268" s="1"/>
      <c r="WPA268" s="1"/>
      <c r="WPB268" s="1"/>
      <c r="WPC268" s="1"/>
      <c r="WPD268" s="1"/>
      <c r="WPE268" s="1"/>
      <c r="WPF268" s="1"/>
      <c r="WPG268" s="1"/>
      <c r="WPH268" s="1"/>
      <c r="WPI268" s="1"/>
      <c r="WPJ268" s="1"/>
      <c r="WPK268" s="1"/>
      <c r="WPL268" s="1"/>
      <c r="WPM268" s="1"/>
      <c r="WPN268" s="1"/>
      <c r="WPO268" s="1"/>
      <c r="WPP268" s="1"/>
      <c r="WPQ268" s="1"/>
      <c r="WPR268" s="1"/>
      <c r="WPS268" s="1"/>
      <c r="WPT268" s="1"/>
      <c r="WPU268" s="1"/>
      <c r="WPV268" s="1"/>
      <c r="WPW268" s="1"/>
      <c r="WPX268" s="1"/>
      <c r="WPY268" s="1"/>
      <c r="WPZ268" s="1"/>
      <c r="WQA268" s="1"/>
      <c r="WQB268" s="1"/>
      <c r="WQC268" s="1"/>
      <c r="WQD268" s="1"/>
      <c r="WQE268" s="1"/>
      <c r="WQF268" s="1"/>
      <c r="WQG268" s="1"/>
      <c r="WQH268" s="1"/>
      <c r="WQI268" s="1"/>
      <c r="WQJ268" s="1"/>
      <c r="WQK268" s="1"/>
      <c r="WQL268" s="1"/>
      <c r="WQM268" s="1"/>
      <c r="WQN268" s="1"/>
      <c r="WQO268" s="1"/>
      <c r="WQP268" s="1"/>
      <c r="WQQ268" s="1"/>
      <c r="WQR268" s="1"/>
      <c r="WQS268" s="1"/>
      <c r="WQT268" s="1"/>
      <c r="WQU268" s="1"/>
      <c r="WQV268" s="1"/>
      <c r="WQW268" s="1"/>
      <c r="WQX268" s="1"/>
      <c r="WQY268" s="1"/>
      <c r="WQZ268" s="1"/>
      <c r="WRA268" s="1"/>
      <c r="WRB268" s="1"/>
      <c r="WRC268" s="1"/>
      <c r="WRD268" s="1"/>
      <c r="WRE268" s="1"/>
      <c r="WRF268" s="1"/>
      <c r="WRG268" s="1"/>
      <c r="WRH268" s="1"/>
      <c r="WRI268" s="1"/>
      <c r="WRJ268" s="1"/>
      <c r="WRK268" s="1"/>
      <c r="WRL268" s="1"/>
      <c r="WRM268" s="1"/>
      <c r="WRN268" s="1"/>
      <c r="WRO268" s="1"/>
      <c r="WRP268" s="1"/>
      <c r="WRQ268" s="1"/>
      <c r="WRR268" s="1"/>
      <c r="WRS268" s="1"/>
      <c r="WRT268" s="1"/>
      <c r="WRU268" s="1"/>
      <c r="WRV268" s="1"/>
      <c r="WRW268" s="1"/>
      <c r="WRX268" s="1"/>
      <c r="WRY268" s="1"/>
      <c r="WRZ268" s="1"/>
      <c r="WSA268" s="1"/>
      <c r="WSB268" s="1"/>
      <c r="WSC268" s="1"/>
      <c r="WSD268" s="1"/>
      <c r="WSE268" s="1"/>
      <c r="WSF268" s="1"/>
      <c r="WSG268" s="1"/>
      <c r="WSH268" s="1"/>
      <c r="WSI268" s="1"/>
      <c r="WSJ268" s="1"/>
      <c r="WSK268" s="1"/>
      <c r="WSL268" s="1"/>
      <c r="WSM268" s="1"/>
      <c r="WSN268" s="1"/>
      <c r="WSO268" s="1"/>
      <c r="WSP268" s="1"/>
      <c r="WSQ268" s="1"/>
      <c r="WSR268" s="1"/>
      <c r="WSS268" s="1"/>
      <c r="WST268" s="1"/>
      <c r="WSU268" s="1"/>
      <c r="WSV268" s="1"/>
      <c r="WSW268" s="1"/>
      <c r="WSX268" s="1"/>
      <c r="WSY268" s="1"/>
      <c r="WSZ268" s="1"/>
      <c r="WTA268" s="1"/>
      <c r="WTB268" s="1"/>
      <c r="WTC268" s="1"/>
      <c r="WTD268" s="1"/>
      <c r="WTE268" s="1"/>
      <c r="WTF268" s="1"/>
      <c r="WTG268" s="1"/>
      <c r="WTH268" s="1"/>
      <c r="WTI268" s="1"/>
      <c r="WTJ268" s="1"/>
      <c r="WTK268" s="1"/>
      <c r="WTL268" s="1"/>
      <c r="WTM268" s="1"/>
      <c r="WTN268" s="1"/>
      <c r="WTO268" s="1"/>
      <c r="WTP268" s="1"/>
      <c r="WTQ268" s="1"/>
      <c r="WTR268" s="1"/>
      <c r="WTS268" s="1"/>
      <c r="WTT268" s="1"/>
      <c r="WTU268" s="1"/>
      <c r="WTV268" s="1"/>
      <c r="WTW268" s="1"/>
      <c r="WTX268" s="1"/>
      <c r="WTY268" s="1"/>
      <c r="WTZ268" s="1"/>
      <c r="WUA268" s="1"/>
      <c r="WUB268" s="1"/>
      <c r="WUC268" s="1"/>
      <c r="WUD268" s="1"/>
      <c r="WUE268" s="1"/>
      <c r="WUF268" s="1"/>
      <c r="WUG268" s="1"/>
      <c r="WUH268" s="1"/>
      <c r="WUI268" s="1"/>
      <c r="WUJ268" s="1"/>
      <c r="WUK268" s="1"/>
      <c r="WUL268" s="1"/>
      <c r="WUM268" s="1"/>
      <c r="WUN268" s="1"/>
      <c r="WUO268" s="1"/>
      <c r="WUP268" s="1"/>
      <c r="WUQ268" s="1"/>
      <c r="WUR268" s="1"/>
      <c r="WUS268" s="1"/>
      <c r="WUT268" s="1"/>
      <c r="WUU268" s="1"/>
      <c r="WUV268" s="1"/>
      <c r="WUW268" s="1"/>
      <c r="WUX268" s="1"/>
      <c r="WUY268" s="1"/>
      <c r="WUZ268" s="1"/>
      <c r="WVA268" s="1"/>
      <c r="WVB268" s="1"/>
      <c r="WVC268" s="1"/>
      <c r="WVD268" s="1"/>
      <c r="WVE268" s="1"/>
      <c r="WVF268" s="1"/>
      <c r="WVG268" s="1"/>
      <c r="WVH268" s="1"/>
      <c r="WVI268" s="1"/>
      <c r="WVJ268" s="1"/>
      <c r="WVK268" s="1"/>
      <c r="WVL268" s="1"/>
      <c r="WVM268" s="1"/>
      <c r="WVN268" s="1"/>
      <c r="WVO268" s="1"/>
      <c r="WVP268" s="1"/>
      <c r="WVQ268" s="1"/>
      <c r="WVR268" s="1"/>
      <c r="WVS268" s="1"/>
      <c r="WVT268" s="1"/>
      <c r="WVU268" s="1"/>
      <c r="WVV268" s="1"/>
      <c r="WVW268" s="1"/>
      <c r="WVX268" s="1"/>
      <c r="WVY268" s="1"/>
      <c r="WVZ268" s="1"/>
      <c r="WWA268" s="1"/>
      <c r="WWB268" s="1"/>
      <c r="WWC268" s="1"/>
      <c r="WWD268" s="1"/>
      <c r="WWE268" s="1"/>
      <c r="WWF268" s="1"/>
      <c r="WWG268" s="1"/>
      <c r="WWH268" s="1"/>
      <c r="WWI268" s="1"/>
      <c r="WWJ268" s="1"/>
      <c r="WWK268" s="1"/>
      <c r="WWL268" s="1"/>
      <c r="WWM268" s="1"/>
      <c r="WWN268" s="1"/>
      <c r="WWO268" s="1"/>
      <c r="WWP268" s="1"/>
      <c r="WWQ268" s="1"/>
      <c r="WWR268" s="1"/>
      <c r="WWS268" s="1"/>
      <c r="WWT268" s="1"/>
      <c r="WWU268" s="1"/>
      <c r="WWV268" s="1"/>
      <c r="WWW268" s="1"/>
      <c r="WWX268" s="1"/>
      <c r="WWY268" s="1"/>
      <c r="WWZ268" s="1"/>
      <c r="WXA268" s="1"/>
      <c r="WXB268" s="1"/>
      <c r="WXC268" s="1"/>
      <c r="WXD268" s="1"/>
      <c r="WXE268" s="1"/>
      <c r="WXF268" s="1"/>
      <c r="WXG268" s="1"/>
      <c r="WXH268" s="1"/>
      <c r="WXI268" s="1"/>
      <c r="WXJ268" s="1"/>
      <c r="WXK268" s="1"/>
      <c r="WXL268" s="1"/>
      <c r="WXM268" s="1"/>
      <c r="WXN268" s="1"/>
      <c r="WXO268" s="1"/>
      <c r="WXP268" s="1"/>
      <c r="WXQ268" s="1"/>
      <c r="WXR268" s="1"/>
      <c r="WXS268" s="1"/>
      <c r="WXT268" s="1"/>
      <c r="WXU268" s="1"/>
      <c r="WXV268" s="1"/>
      <c r="WXW268" s="1"/>
      <c r="WXX268" s="1"/>
      <c r="WXY268" s="1"/>
      <c r="WXZ268" s="1"/>
      <c r="WYA268" s="1"/>
      <c r="WYB268" s="1"/>
      <c r="WYC268" s="1"/>
      <c r="WYD268" s="1"/>
      <c r="WYE268" s="1"/>
      <c r="WYF268" s="1"/>
      <c r="WYG268" s="1"/>
      <c r="WYH268" s="1"/>
      <c r="WYI268" s="1"/>
      <c r="WYJ268" s="1"/>
      <c r="WYK268" s="1"/>
      <c r="WYL268" s="1"/>
      <c r="WYM268" s="1"/>
      <c r="WYN268" s="1"/>
      <c r="WYO268" s="1"/>
      <c r="WYP268" s="1"/>
      <c r="WYQ268" s="1"/>
      <c r="WYR268" s="1"/>
      <c r="WYS268" s="1"/>
      <c r="WYT268" s="1"/>
      <c r="WYU268" s="1"/>
      <c r="WYV268" s="1"/>
      <c r="WYW268" s="1"/>
      <c r="WYX268" s="1"/>
      <c r="WYY268" s="1"/>
      <c r="WYZ268" s="1"/>
      <c r="WZA268" s="1"/>
      <c r="WZB268" s="1"/>
      <c r="WZC268" s="1"/>
      <c r="WZD268" s="1"/>
      <c r="WZE268" s="1"/>
      <c r="WZF268" s="1"/>
      <c r="WZG268" s="1"/>
      <c r="WZH268" s="1"/>
      <c r="WZI268" s="1"/>
      <c r="WZJ268" s="1"/>
      <c r="WZK268" s="1"/>
      <c r="WZL268" s="1"/>
      <c r="WZM268" s="1"/>
      <c r="WZN268" s="1"/>
      <c r="WZO268" s="1"/>
      <c r="WZP268" s="1"/>
      <c r="WZQ268" s="1"/>
      <c r="WZR268" s="1"/>
      <c r="WZS268" s="1"/>
      <c r="WZT268" s="1"/>
      <c r="WZU268" s="1"/>
      <c r="WZV268" s="1"/>
      <c r="WZW268" s="1"/>
      <c r="WZX268" s="1"/>
      <c r="WZY268" s="1"/>
      <c r="WZZ268" s="1"/>
      <c r="XAA268" s="1"/>
      <c r="XAB268" s="1"/>
      <c r="XAC268" s="1"/>
      <c r="XAD268" s="1"/>
      <c r="XAE268" s="1"/>
      <c r="XAF268" s="1"/>
      <c r="XAG268" s="1"/>
      <c r="XAH268" s="1"/>
      <c r="XAI268" s="1"/>
      <c r="XAJ268" s="1"/>
      <c r="XAK268" s="1"/>
      <c r="XAL268" s="1"/>
      <c r="XAM268" s="1"/>
      <c r="XAN268" s="1"/>
      <c r="XAO268" s="1"/>
      <c r="XAP268" s="1"/>
      <c r="XAQ268" s="1"/>
      <c r="XAR268" s="1"/>
      <c r="XAS268" s="1"/>
      <c r="XAT268" s="1"/>
      <c r="XAU268" s="1"/>
      <c r="XAV268" s="1"/>
      <c r="XAW268" s="1"/>
      <c r="XAX268" s="1"/>
      <c r="XAY268" s="1"/>
      <c r="XAZ268" s="1"/>
      <c r="XBA268" s="1"/>
      <c r="XBB268" s="1"/>
      <c r="XBC268" s="1"/>
      <c r="XBD268" s="1"/>
      <c r="XBE268" s="1"/>
      <c r="XBF268" s="1"/>
      <c r="XBG268" s="1"/>
      <c r="XBH268" s="1"/>
      <c r="XBI268" s="1"/>
      <c r="XBJ268" s="1"/>
      <c r="XBK268" s="1"/>
      <c r="XBL268" s="1"/>
      <c r="XBM268" s="1"/>
      <c r="XBN268" s="1"/>
      <c r="XBO268" s="1"/>
      <c r="XBP268" s="1"/>
      <c r="XBQ268" s="1"/>
      <c r="XBR268" s="1"/>
      <c r="XBS268" s="1"/>
      <c r="XBT268" s="1"/>
      <c r="XBU268" s="1"/>
      <c r="XBV268" s="1"/>
      <c r="XBW268" s="1"/>
      <c r="XBX268" s="1"/>
      <c r="XBY268" s="1"/>
      <c r="XBZ268" s="1"/>
      <c r="XCA268" s="1"/>
      <c r="XCB268" s="1"/>
      <c r="XCC268" s="1"/>
      <c r="XCD268" s="1"/>
      <c r="XCE268" s="1"/>
      <c r="XCF268" s="1"/>
      <c r="XCG268" s="1"/>
      <c r="XCH268" s="1"/>
      <c r="XCI268" s="1"/>
      <c r="XCJ268" s="1"/>
      <c r="XCK268" s="1"/>
      <c r="XCL268" s="1"/>
      <c r="XCM268" s="1"/>
      <c r="XCN268" s="1"/>
      <c r="XCO268" s="1"/>
      <c r="XCP268" s="1"/>
      <c r="XCQ268" s="1"/>
      <c r="XCR268" s="1"/>
      <c r="XCS268" s="1"/>
      <c r="XCT268" s="1"/>
      <c r="XCU268" s="1"/>
      <c r="XCV268" s="1"/>
      <c r="XCW268" s="1"/>
      <c r="XCX268" s="1"/>
      <c r="XCY268" s="1"/>
      <c r="XCZ268" s="1"/>
      <c r="XDA268" s="1"/>
      <c r="XDB268" s="1"/>
      <c r="XDC268" s="1"/>
      <c r="XDD268" s="1"/>
      <c r="XDE268" s="1"/>
      <c r="XDF268" s="1"/>
      <c r="XDG268" s="1"/>
      <c r="XDH268" s="1"/>
      <c r="XDI268" s="1"/>
      <c r="XDJ268" s="1"/>
      <c r="XDK268" s="1"/>
      <c r="XDL268" s="1"/>
      <c r="XDM268" s="1"/>
      <c r="XDN268" s="1"/>
      <c r="XDO268" s="1"/>
      <c r="XDP268" s="1"/>
      <c r="XDQ268" s="1"/>
      <c r="XDR268" s="1"/>
      <c r="XDS268" s="1"/>
      <c r="XDT268" s="1"/>
      <c r="XDU268" s="1"/>
      <c r="XDV268" s="1"/>
      <c r="XDW268" s="1"/>
      <c r="XDX268" s="1"/>
      <c r="XDY268" s="1"/>
      <c r="XDZ268" s="1"/>
      <c r="XEA268" s="1"/>
      <c r="XEB268" s="1"/>
      <c r="XEC268" s="1"/>
      <c r="XED268" s="1"/>
      <c r="XEE268" s="1"/>
      <c r="XEF268" s="1"/>
      <c r="XEG268" s="1"/>
      <c r="XEH268" s="1"/>
      <c r="XEI268" s="1"/>
      <c r="XEJ268" s="1"/>
      <c r="XEK268" s="1"/>
      <c r="XEL268" s="1"/>
      <c r="XEM268" s="1"/>
      <c r="XEN268" s="1"/>
      <c r="XEO268" s="1"/>
      <c r="XEP268" s="1"/>
      <c r="XEQ268" s="1"/>
      <c r="XER268" s="1"/>
      <c r="XES268" s="1"/>
      <c r="XET268" s="1"/>
      <c r="XEU268" s="1"/>
      <c r="XEV268" s="1"/>
      <c r="XEW268" s="1"/>
      <c r="XEX268" s="1"/>
      <c r="XEY268" s="1"/>
      <c r="XEZ268" s="1"/>
      <c r="XFA268" s="1"/>
      <c r="XFB268" s="1"/>
      <c r="XFC268" s="7"/>
      <c r="XFD268" s="7"/>
    </row>
    <row r="269" s="1" customFormat="1" ht="20.15" customHeight="1" spans="1:1024 1025:16384">
      <c r="A269" s="42">
        <f t="shared" si="23"/>
        <v>265</v>
      </c>
      <c r="B269" s="42" t="s">
        <v>636</v>
      </c>
      <c r="C269" s="42">
        <v>4040</v>
      </c>
      <c r="D269" s="43"/>
      <c r="E269" s="44">
        <v>31.425</v>
      </c>
      <c r="F269" s="42"/>
      <c r="G269" s="42">
        <v>5382</v>
      </c>
      <c r="H269" s="42">
        <v>500</v>
      </c>
      <c r="I269" s="42" t="s">
        <v>740</v>
      </c>
      <c r="J269" s="42"/>
      <c r="K269" s="45" t="s">
        <v>741</v>
      </c>
      <c r="L269" s="42" t="s">
        <v>11</v>
      </c>
      <c r="M269" s="46">
        <v>45804</v>
      </c>
      <c r="N269" s="46">
        <v>45839</v>
      </c>
      <c r="O269" s="46">
        <v>46203</v>
      </c>
      <c r="P269" s="46">
        <v>45839</v>
      </c>
      <c r="Q269" s="47">
        <v>5000</v>
      </c>
      <c r="R269" s="47"/>
      <c r="S269" s="47">
        <f t="shared" si="21"/>
        <v>5000</v>
      </c>
      <c r="T269" s="47">
        <f t="shared" si="22"/>
        <v>11.9671232876712</v>
      </c>
      <c r="U269" s="42">
        <v>10000</v>
      </c>
      <c r="V269" s="42">
        <v>5000</v>
      </c>
      <c r="W269" s="42">
        <v>500</v>
      </c>
      <c r="X269" s="42"/>
      <c r="Y269" s="42"/>
      <c r="Z269" s="62"/>
      <c r="AA269" s="62"/>
      <c r="AB269" s="62"/>
      <c r="AC269" s="62"/>
      <c r="AD269" s="42"/>
      <c r="AE269" s="42" t="s">
        <v>48</v>
      </c>
      <c r="AF269" s="42" t="s">
        <v>48</v>
      </c>
      <c r="AG269" s="42" t="s">
        <v>48</v>
      </c>
      <c r="AH269" s="42" t="s">
        <v>48</v>
      </c>
      <c r="AI269" s="42" t="s">
        <v>48</v>
      </c>
      <c r="AJ269" s="42" t="s">
        <v>48</v>
      </c>
      <c r="AK269" s="42" t="s">
        <v>48</v>
      </c>
      <c r="AL269" s="42" t="s">
        <v>48</v>
      </c>
      <c r="AM269" s="42" t="s">
        <v>48</v>
      </c>
      <c r="AN269" s="42" t="s">
        <v>48</v>
      </c>
      <c r="AO269" s="48" t="s">
        <v>742</v>
      </c>
      <c r="AP269" s="42">
        <v>13249645680</v>
      </c>
      <c r="AQ269" s="42"/>
    </row>
    <row r="270" s="1" customFormat="1" ht="20.15" customHeight="1" spans="1:1024 1025:16384">
      <c r="A270" s="42">
        <f t="shared" si="23"/>
        <v>266</v>
      </c>
      <c r="B270" s="42" t="s">
        <v>636</v>
      </c>
      <c r="C270" s="42">
        <v>4041</v>
      </c>
      <c r="D270" s="43"/>
      <c r="E270" s="44">
        <v>31.425</v>
      </c>
      <c r="F270" s="42"/>
      <c r="G270" s="42">
        <v>5382</v>
      </c>
      <c r="H270" s="42">
        <v>500</v>
      </c>
      <c r="I270" s="42" t="s">
        <v>743</v>
      </c>
      <c r="J270" s="42"/>
      <c r="K270" s="45" t="s">
        <v>744</v>
      </c>
      <c r="L270" s="42" t="s">
        <v>11</v>
      </c>
      <c r="M270" s="46">
        <v>45748</v>
      </c>
      <c r="N270" s="46">
        <v>45748</v>
      </c>
      <c r="O270" s="46">
        <v>46112</v>
      </c>
      <c r="P270" s="46">
        <v>45748</v>
      </c>
      <c r="Q270" s="47">
        <v>5000</v>
      </c>
      <c r="R270" s="47"/>
      <c r="S270" s="47">
        <f t="shared" si="21"/>
        <v>5000</v>
      </c>
      <c r="T270" s="47">
        <f t="shared" si="22"/>
        <v>11.9671232876712</v>
      </c>
      <c r="U270" s="42">
        <v>10000</v>
      </c>
      <c r="V270" s="42">
        <v>5000</v>
      </c>
      <c r="W270" s="42">
        <v>500</v>
      </c>
      <c r="X270" s="42"/>
      <c r="Y270" s="42"/>
      <c r="Z270" s="49"/>
      <c r="AA270" s="42"/>
      <c r="AB270" s="49"/>
      <c r="AC270" s="42"/>
      <c r="AD270" s="42"/>
      <c r="AE270" s="42" t="s">
        <v>48</v>
      </c>
      <c r="AF270" s="42"/>
      <c r="AG270" s="42" t="s">
        <v>48</v>
      </c>
      <c r="AH270" s="42" t="s">
        <v>48</v>
      </c>
      <c r="AI270" s="42"/>
      <c r="AJ270" s="42"/>
      <c r="AK270" s="42"/>
      <c r="AL270" s="42" t="s">
        <v>48</v>
      </c>
      <c r="AM270" s="42"/>
      <c r="AN270" s="42"/>
      <c r="AO270" s="48" t="s">
        <v>745</v>
      </c>
      <c r="AP270" s="42">
        <v>18680282687</v>
      </c>
      <c r="AQ270" s="42"/>
    </row>
    <row r="271" s="1" customFormat="1" ht="20.15" customHeight="1" spans="1:1024 1025:16384">
      <c r="A271" s="42">
        <f t="shared" si="23"/>
        <v>267</v>
      </c>
      <c r="B271" s="42" t="s">
        <v>636</v>
      </c>
      <c r="C271" s="42">
        <v>4042</v>
      </c>
      <c r="D271" s="43"/>
      <c r="E271" s="44">
        <v>32.42</v>
      </c>
      <c r="F271" s="42"/>
      <c r="G271" s="42">
        <v>9364</v>
      </c>
      <c r="H271" s="42">
        <v>1000</v>
      </c>
      <c r="I271" s="42" t="s">
        <v>746</v>
      </c>
      <c r="J271" s="42"/>
      <c r="K271" s="42">
        <v>4042</v>
      </c>
      <c r="L271" s="42" t="s">
        <v>11</v>
      </c>
      <c r="M271" s="46">
        <v>45619</v>
      </c>
      <c r="N271" s="46">
        <v>45732</v>
      </c>
      <c r="O271" s="46">
        <v>46096</v>
      </c>
      <c r="P271" s="46">
        <v>45732</v>
      </c>
      <c r="Q271" s="47">
        <v>5000</v>
      </c>
      <c r="R271" s="47"/>
      <c r="S271" s="47">
        <f t="shared" si="21"/>
        <v>5000</v>
      </c>
      <c r="T271" s="47">
        <f t="shared" si="22"/>
        <v>11.9671232876712</v>
      </c>
      <c r="U271" s="42">
        <v>10000</v>
      </c>
      <c r="V271" s="42">
        <v>5000</v>
      </c>
      <c r="W271" s="42">
        <v>500</v>
      </c>
      <c r="X271" s="42"/>
      <c r="Y271" s="42"/>
      <c r="Z271" s="42"/>
      <c r="AA271" s="42"/>
      <c r="AB271" s="42"/>
      <c r="AC271" s="42"/>
      <c r="AD271" s="42"/>
      <c r="AE271" s="42" t="s">
        <v>48</v>
      </c>
      <c r="AF271" s="42"/>
      <c r="AG271" s="42" t="s">
        <v>48</v>
      </c>
      <c r="AH271" s="42" t="s">
        <v>48</v>
      </c>
      <c r="AI271" s="42"/>
      <c r="AJ271" s="42"/>
      <c r="AK271" s="42"/>
      <c r="AL271" s="42" t="s">
        <v>48</v>
      </c>
      <c r="AM271" s="42"/>
      <c r="AN271" s="42"/>
      <c r="AO271" s="48" t="s">
        <v>747</v>
      </c>
      <c r="AP271" s="42">
        <v>13802937565</v>
      </c>
      <c r="AQ271" s="42"/>
    </row>
    <row r="272" s="1" customFormat="1" ht="20.15" customHeight="1" spans="1:1024 1025:16384">
      <c r="A272" s="42">
        <f t="shared" si="23"/>
        <v>268</v>
      </c>
      <c r="B272" s="42" t="s">
        <v>636</v>
      </c>
      <c r="C272" s="42">
        <v>4043</v>
      </c>
      <c r="D272" s="43"/>
      <c r="E272" s="44">
        <v>32.42</v>
      </c>
      <c r="F272" s="42"/>
      <c r="G272" s="42"/>
      <c r="H272" s="42"/>
      <c r="I272" s="42" t="s">
        <v>748</v>
      </c>
      <c r="J272" s="42"/>
      <c r="K272" s="45" t="s">
        <v>749</v>
      </c>
      <c r="L272" s="42" t="s">
        <v>11</v>
      </c>
      <c r="M272" s="46">
        <v>45634</v>
      </c>
      <c r="N272" s="46">
        <v>45717</v>
      </c>
      <c r="O272" s="46">
        <v>46081</v>
      </c>
      <c r="P272" s="46">
        <v>45717</v>
      </c>
      <c r="Q272" s="47">
        <v>5000</v>
      </c>
      <c r="R272" s="47"/>
      <c r="S272" s="47">
        <f t="shared" si="21"/>
        <v>5000</v>
      </c>
      <c r="T272" s="47">
        <f t="shared" si="22"/>
        <v>11.9671232876712</v>
      </c>
      <c r="U272" s="42">
        <v>10000</v>
      </c>
      <c r="V272" s="42">
        <v>5000</v>
      </c>
      <c r="W272" s="42">
        <v>500</v>
      </c>
      <c r="X272" s="42"/>
      <c r="Y272" s="42"/>
      <c r="Z272" s="42"/>
      <c r="AA272" s="42"/>
      <c r="AB272" s="42"/>
      <c r="AC272" s="42"/>
      <c r="AD272" s="42"/>
      <c r="AE272" s="42" t="s">
        <v>48</v>
      </c>
      <c r="AF272" s="42" t="s">
        <v>48</v>
      </c>
      <c r="AG272" s="42" t="s">
        <v>48</v>
      </c>
      <c r="AH272" s="42" t="s">
        <v>48</v>
      </c>
      <c r="AI272" s="42"/>
      <c r="AJ272" s="42"/>
      <c r="AK272" s="42"/>
      <c r="AL272" s="42" t="s">
        <v>48</v>
      </c>
      <c r="AM272" s="42"/>
      <c r="AN272" s="42"/>
      <c r="AO272" s="48" t="s">
        <v>750</v>
      </c>
      <c r="AP272" s="42">
        <v>18588508800</v>
      </c>
      <c r="AQ272" s="42"/>
    </row>
    <row r="273" s="4" customFormat="1" ht="20.15" customHeight="1" spans="1:43">
      <c r="A273" s="66">
        <f t="shared" si="23"/>
        <v>269</v>
      </c>
      <c r="B273" s="66" t="s">
        <v>636</v>
      </c>
      <c r="C273" s="66">
        <v>4044</v>
      </c>
      <c r="D273" s="44"/>
      <c r="E273" s="44">
        <v>32.42</v>
      </c>
      <c r="F273" s="42"/>
      <c r="G273" s="42">
        <v>4682</v>
      </c>
      <c r="H273" s="42">
        <v>500</v>
      </c>
      <c r="I273" s="66" t="s">
        <v>751</v>
      </c>
      <c r="J273" s="45"/>
      <c r="K273" s="45" t="s">
        <v>752</v>
      </c>
      <c r="L273" s="42" t="s">
        <v>11</v>
      </c>
      <c r="M273" s="67">
        <v>45990</v>
      </c>
      <c r="N273" s="67">
        <v>46023</v>
      </c>
      <c r="O273" s="67">
        <v>46387</v>
      </c>
      <c r="P273" s="67">
        <v>46023</v>
      </c>
      <c r="Q273" s="68">
        <v>5000</v>
      </c>
      <c r="R273" s="68"/>
      <c r="S273" s="68">
        <f t="shared" si="21"/>
        <v>5000</v>
      </c>
      <c r="T273" s="68">
        <v>12</v>
      </c>
      <c r="U273" s="66">
        <v>10000</v>
      </c>
      <c r="V273" s="66">
        <v>5000</v>
      </c>
      <c r="W273" s="66">
        <v>500</v>
      </c>
      <c r="X273" s="66"/>
      <c r="Y273" s="66"/>
      <c r="Z273" s="42"/>
      <c r="AA273" s="42"/>
      <c r="AB273" s="42"/>
      <c r="AC273" s="42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9" t="s">
        <v>753</v>
      </c>
      <c r="AO273" s="81" t="s">
        <v>754</v>
      </c>
      <c r="AP273" s="66">
        <v>15107674389</v>
      </c>
    </row>
    <row r="274" s="4" customFormat="1" ht="20.15" customHeight="1" spans="1:43">
      <c r="A274" s="66">
        <f t="shared" si="23"/>
        <v>270</v>
      </c>
      <c r="B274" s="66" t="s">
        <v>636</v>
      </c>
      <c r="C274" s="66">
        <v>4045</v>
      </c>
      <c r="D274" s="43"/>
      <c r="E274" s="44">
        <v>32.42</v>
      </c>
      <c r="F274" s="42"/>
      <c r="G274" s="42">
        <v>4682</v>
      </c>
      <c r="H274" s="42">
        <v>500</v>
      </c>
      <c r="I274" s="66" t="s">
        <v>755</v>
      </c>
      <c r="J274" s="42"/>
      <c r="K274" s="45" t="s">
        <v>756</v>
      </c>
      <c r="L274" s="42" t="s">
        <v>11</v>
      </c>
      <c r="M274" s="67">
        <v>45894</v>
      </c>
      <c r="N274" s="67">
        <v>45901</v>
      </c>
      <c r="O274" s="67">
        <v>46265</v>
      </c>
      <c r="P274" s="67">
        <v>45901</v>
      </c>
      <c r="Q274" s="68">
        <v>5000</v>
      </c>
      <c r="R274" s="68"/>
      <c r="S274" s="68">
        <f t="shared" si="21"/>
        <v>5000</v>
      </c>
      <c r="T274" s="68">
        <f t="shared" ref="T274:T276" si="24">(O274-N274)/365*12</f>
        <v>11.9671232876712</v>
      </c>
      <c r="U274" s="66">
        <v>10000</v>
      </c>
      <c r="V274" s="66">
        <v>5000</v>
      </c>
      <c r="W274" s="66">
        <v>500</v>
      </c>
      <c r="X274" s="66"/>
      <c r="Y274" s="66"/>
      <c r="Z274" s="42"/>
      <c r="AA274" s="42"/>
      <c r="AB274" s="42"/>
      <c r="AC274" s="42"/>
      <c r="AD274" s="66"/>
      <c r="AE274" s="66" t="s">
        <v>48</v>
      </c>
      <c r="AF274" s="66" t="s">
        <v>48</v>
      </c>
      <c r="AG274" s="66" t="s">
        <v>48</v>
      </c>
      <c r="AH274" s="66" t="s">
        <v>48</v>
      </c>
      <c r="AI274" s="66"/>
      <c r="AJ274" s="66"/>
      <c r="AK274" s="66"/>
      <c r="AL274" s="66" t="s">
        <v>48</v>
      </c>
      <c r="AM274" s="66"/>
      <c r="AN274" s="66"/>
      <c r="AO274" s="69" t="s">
        <v>757</v>
      </c>
      <c r="AP274" s="66">
        <v>13533538561</v>
      </c>
      <c r="AQ274" s="66"/>
    </row>
    <row r="275" s="1" customFormat="1" ht="20.15" customHeight="1" spans="1:43">
      <c r="A275" s="42">
        <f t="shared" si="23"/>
        <v>271</v>
      </c>
      <c r="B275" s="42" t="s">
        <v>636</v>
      </c>
      <c r="C275" s="42">
        <v>4046</v>
      </c>
      <c r="D275" s="43"/>
      <c r="E275" s="44">
        <v>60.49</v>
      </c>
      <c r="F275" s="42"/>
      <c r="G275" s="42">
        <v>5876</v>
      </c>
      <c r="H275" s="42">
        <v>500</v>
      </c>
      <c r="I275" s="42" t="s">
        <v>189</v>
      </c>
      <c r="J275" s="42"/>
      <c r="K275" s="45" t="s">
        <v>758</v>
      </c>
      <c r="L275" s="42" t="s">
        <v>11</v>
      </c>
      <c r="M275" s="46">
        <v>45647</v>
      </c>
      <c r="N275" s="46">
        <v>45748</v>
      </c>
      <c r="O275" s="46">
        <v>46112</v>
      </c>
      <c r="P275" s="46">
        <v>45748</v>
      </c>
      <c r="Q275" s="47">
        <v>5000</v>
      </c>
      <c r="R275" s="47"/>
      <c r="S275" s="47">
        <f t="shared" si="21"/>
        <v>5000</v>
      </c>
      <c r="T275" s="47">
        <f t="shared" si="24"/>
        <v>11.9671232876712</v>
      </c>
      <c r="U275" s="42">
        <v>10000</v>
      </c>
      <c r="V275" s="42">
        <v>5000</v>
      </c>
      <c r="W275" s="42">
        <v>500</v>
      </c>
      <c r="X275" s="42"/>
      <c r="Y275" s="42"/>
      <c r="Z275" s="42"/>
      <c r="AA275" s="42"/>
      <c r="AB275" s="42"/>
      <c r="AC275" s="42"/>
      <c r="AD275" s="42"/>
      <c r="AE275" s="42" t="s">
        <v>48</v>
      </c>
      <c r="AF275" s="42" t="s">
        <v>48</v>
      </c>
      <c r="AG275" s="42" t="s">
        <v>48</v>
      </c>
      <c r="AH275" s="42" t="s">
        <v>48</v>
      </c>
      <c r="AI275" s="42"/>
      <c r="AJ275" s="42"/>
      <c r="AK275" s="42"/>
      <c r="AL275" s="42" t="s">
        <v>48</v>
      </c>
      <c r="AM275" s="42"/>
      <c r="AN275" s="42"/>
      <c r="AO275" s="48" t="s">
        <v>759</v>
      </c>
      <c r="AP275" s="42">
        <v>18813225875</v>
      </c>
      <c r="AQ275" s="42"/>
    </row>
    <row r="276" s="1" customFormat="1" ht="20.15" customHeight="1" spans="1:43">
      <c r="A276" s="42">
        <f t="shared" si="23"/>
        <v>272</v>
      </c>
      <c r="B276" s="42" t="s">
        <v>636</v>
      </c>
      <c r="C276" s="42" t="s">
        <v>760</v>
      </c>
      <c r="D276" s="43"/>
      <c r="E276" s="44">
        <v>32.425</v>
      </c>
      <c r="F276" s="42"/>
      <c r="G276" s="42">
        <v>4766</v>
      </c>
      <c r="H276" s="42">
        <v>500</v>
      </c>
      <c r="I276" s="42" t="s">
        <v>522</v>
      </c>
      <c r="J276" s="42"/>
      <c r="K276" s="45" t="s">
        <v>760</v>
      </c>
      <c r="L276" s="42" t="s">
        <v>11</v>
      </c>
      <c r="M276" s="46">
        <v>45790</v>
      </c>
      <c r="N276" s="46">
        <v>45839</v>
      </c>
      <c r="O276" s="46">
        <v>46203</v>
      </c>
      <c r="P276" s="46">
        <v>45839</v>
      </c>
      <c r="Q276" s="106">
        <v>5000</v>
      </c>
      <c r="R276" s="106"/>
      <c r="S276" s="106">
        <f t="shared" si="21"/>
        <v>5000</v>
      </c>
      <c r="T276" s="106">
        <f t="shared" si="24"/>
        <v>11.9671232876712</v>
      </c>
      <c r="U276" s="53">
        <v>10000</v>
      </c>
      <c r="V276" s="53">
        <v>5000</v>
      </c>
      <c r="W276" s="42">
        <v>500</v>
      </c>
      <c r="X276" s="42"/>
      <c r="Y276" s="42"/>
      <c r="Z276" s="70"/>
      <c r="AA276" s="62"/>
      <c r="AB276" s="62"/>
      <c r="AC276" s="62"/>
      <c r="AD276" s="42"/>
      <c r="AE276" s="42" t="s">
        <v>48</v>
      </c>
      <c r="AF276" s="42" t="s">
        <v>48</v>
      </c>
      <c r="AG276" s="42" t="s">
        <v>48</v>
      </c>
      <c r="AH276" s="42" t="s">
        <v>48</v>
      </c>
      <c r="AI276" s="42"/>
      <c r="AJ276" s="42"/>
      <c r="AK276" s="42"/>
      <c r="AL276" s="42" t="s">
        <v>48</v>
      </c>
      <c r="AM276" s="42"/>
      <c r="AN276" s="42"/>
      <c r="AO276" s="48" t="s">
        <v>524</v>
      </c>
      <c r="AP276" s="42">
        <v>13928921259</v>
      </c>
      <c r="AQ276" s="42"/>
    </row>
    <row r="277" s="1" customFormat="1" ht="20.15" customHeight="1" spans="1:43">
      <c r="A277" s="42">
        <f t="shared" si="23"/>
        <v>273</v>
      </c>
      <c r="B277" s="42" t="s">
        <v>636</v>
      </c>
      <c r="C277" s="84" t="s">
        <v>761</v>
      </c>
      <c r="D277" s="43"/>
      <c r="E277" s="42"/>
      <c r="F277" s="110">
        <v>1.5</v>
      </c>
      <c r="G277" s="115"/>
      <c r="H277" s="124"/>
      <c r="I277" s="42" t="s">
        <v>762</v>
      </c>
      <c r="J277" s="42"/>
      <c r="K277" s="45" t="s">
        <v>761</v>
      </c>
      <c r="L277" s="42" t="s">
        <v>11</v>
      </c>
      <c r="M277" s="46">
        <v>45795</v>
      </c>
      <c r="N277" s="46">
        <v>45793</v>
      </c>
      <c r="O277" s="46">
        <v>46157</v>
      </c>
      <c r="P277" s="46">
        <v>45793</v>
      </c>
      <c r="Q277" s="119">
        <v>2400</v>
      </c>
      <c r="R277" s="119"/>
      <c r="S277" s="106">
        <f t="shared" si="21"/>
        <v>2400</v>
      </c>
      <c r="T277" s="106"/>
      <c r="U277" s="119"/>
      <c r="V277" s="119">
        <v>1500</v>
      </c>
      <c r="W277" s="42">
        <v>0</v>
      </c>
      <c r="X277" s="42"/>
      <c r="Y277" s="42"/>
      <c r="Z277" s="62"/>
      <c r="AA277" s="62"/>
      <c r="AB277" s="62"/>
      <c r="AC277" s="6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113" t="s">
        <v>763</v>
      </c>
      <c r="AP277" s="87">
        <v>13543121355</v>
      </c>
      <c r="AQ277" s="42"/>
    </row>
    <row r="278" s="1" customFormat="1" ht="20.15" customHeight="1" spans="1:43">
      <c r="A278" s="42">
        <f t="shared" si="23"/>
        <v>274</v>
      </c>
      <c r="B278" s="42" t="s">
        <v>764</v>
      </c>
      <c r="C278" s="156">
        <v>5001</v>
      </c>
      <c r="D278" s="43"/>
      <c r="E278" s="157">
        <v>49.48</v>
      </c>
      <c r="F278" s="47"/>
      <c r="G278" s="42">
        <v>6094</v>
      </c>
      <c r="H278" s="42">
        <v>500</v>
      </c>
      <c r="I278" s="42" t="s">
        <v>765</v>
      </c>
      <c r="J278" s="42"/>
      <c r="K278" s="45" t="s">
        <v>766</v>
      </c>
      <c r="L278" s="42" t="s">
        <v>11</v>
      </c>
      <c r="M278" s="46">
        <v>45626</v>
      </c>
      <c r="N278" s="46">
        <v>45717</v>
      </c>
      <c r="O278" s="46">
        <v>46081</v>
      </c>
      <c r="P278" s="46">
        <v>45717</v>
      </c>
      <c r="Q278" s="47">
        <v>4500</v>
      </c>
      <c r="R278" s="47"/>
      <c r="S278" s="47">
        <f t="shared" si="21"/>
        <v>4500</v>
      </c>
      <c r="T278" s="47">
        <f t="shared" ref="T278:T297" si="25">(O278-N278)/365*12</f>
        <v>11.9671232876712</v>
      </c>
      <c r="U278" s="42">
        <v>20000</v>
      </c>
      <c r="V278" s="42">
        <v>4500</v>
      </c>
      <c r="W278" s="42">
        <v>500</v>
      </c>
      <c r="X278" s="42"/>
      <c r="Y278" s="42"/>
      <c r="Z278" s="42"/>
      <c r="AA278" s="42"/>
      <c r="AB278" s="42"/>
      <c r="AC278" s="42"/>
      <c r="AD278" s="42" t="s">
        <v>48</v>
      </c>
      <c r="AE278" s="42" t="s">
        <v>48</v>
      </c>
      <c r="AF278" s="42" t="s">
        <v>48</v>
      </c>
      <c r="AG278" s="42" t="s">
        <v>48</v>
      </c>
      <c r="AH278" s="42" t="s">
        <v>48</v>
      </c>
      <c r="AI278" s="42" t="s">
        <v>48</v>
      </c>
      <c r="AJ278" s="42" t="s">
        <v>48</v>
      </c>
      <c r="AK278" s="42" t="s">
        <v>48</v>
      </c>
      <c r="AL278" s="42" t="s">
        <v>48</v>
      </c>
      <c r="AM278" s="42" t="s">
        <v>48</v>
      </c>
      <c r="AN278" s="42" t="s">
        <v>48</v>
      </c>
      <c r="AO278" s="48" t="s">
        <v>767</v>
      </c>
      <c r="AP278" s="42">
        <v>13724143456</v>
      </c>
      <c r="AQ278" s="42"/>
    </row>
    <row r="279" s="1" customFormat="1" ht="20.15" customHeight="1" spans="1:43">
      <c r="A279" s="42">
        <f t="shared" si="23"/>
        <v>275</v>
      </c>
      <c r="B279" s="42" t="s">
        <v>764</v>
      </c>
      <c r="C279" s="42">
        <v>5002</v>
      </c>
      <c r="D279" s="43"/>
      <c r="E279" s="157">
        <v>32.425</v>
      </c>
      <c r="F279" s="47"/>
      <c r="G279" s="42">
        <v>4356</v>
      </c>
      <c r="H279" s="42">
        <v>500</v>
      </c>
      <c r="I279" s="42" t="s">
        <v>768</v>
      </c>
      <c r="J279" s="42"/>
      <c r="K279" s="42">
        <f>C279</f>
        <v>5002</v>
      </c>
      <c r="L279" s="42" t="s">
        <v>11</v>
      </c>
      <c r="M279" s="46">
        <v>45602</v>
      </c>
      <c r="N279" s="46">
        <v>45732</v>
      </c>
      <c r="O279" s="46">
        <v>46096</v>
      </c>
      <c r="P279" s="46">
        <v>45732</v>
      </c>
      <c r="Q279" s="47">
        <v>4500</v>
      </c>
      <c r="R279" s="47"/>
      <c r="S279" s="47">
        <f t="shared" si="21"/>
        <v>4500</v>
      </c>
      <c r="T279" s="47">
        <f t="shared" si="25"/>
        <v>11.9671232876712</v>
      </c>
      <c r="U279" s="42">
        <v>10000</v>
      </c>
      <c r="V279" s="42">
        <v>4500</v>
      </c>
      <c r="W279" s="42">
        <v>500</v>
      </c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8" t="s">
        <v>769</v>
      </c>
      <c r="AP279" s="42">
        <v>18960693535</v>
      </c>
      <c r="AQ279" s="42"/>
    </row>
    <row r="280" s="1" customFormat="1" ht="20.15" customHeight="1" spans="1:43">
      <c r="A280" s="42">
        <f t="shared" si="23"/>
        <v>276</v>
      </c>
      <c r="B280" s="42" t="s">
        <v>764</v>
      </c>
      <c r="C280" s="156">
        <v>5003</v>
      </c>
      <c r="D280" s="43"/>
      <c r="E280" s="157">
        <v>32.425</v>
      </c>
      <c r="F280" s="47"/>
      <c r="G280" s="42">
        <v>4356</v>
      </c>
      <c r="H280" s="42">
        <v>500</v>
      </c>
      <c r="I280" s="42" t="s">
        <v>770</v>
      </c>
      <c r="J280" s="42"/>
      <c r="K280" s="45" t="s">
        <v>771</v>
      </c>
      <c r="L280" s="42" t="s">
        <v>11</v>
      </c>
      <c r="M280" s="46">
        <v>45615</v>
      </c>
      <c r="N280" s="46">
        <v>45717</v>
      </c>
      <c r="O280" s="46">
        <v>46081</v>
      </c>
      <c r="P280" s="46">
        <v>45717</v>
      </c>
      <c r="Q280" s="47">
        <v>4500</v>
      </c>
      <c r="R280" s="47"/>
      <c r="S280" s="47">
        <f t="shared" si="21"/>
        <v>4500</v>
      </c>
      <c r="T280" s="47">
        <f t="shared" si="25"/>
        <v>11.9671232876712</v>
      </c>
      <c r="U280" s="42">
        <v>20000</v>
      </c>
      <c r="V280" s="42">
        <v>4500</v>
      </c>
      <c r="W280" s="42">
        <v>500</v>
      </c>
      <c r="X280" s="42"/>
      <c r="Y280" s="42"/>
      <c r="Z280" s="42"/>
      <c r="AA280" s="42"/>
      <c r="AB280" s="42"/>
      <c r="AC280" s="42"/>
      <c r="AD280" s="42" t="s">
        <v>48</v>
      </c>
      <c r="AE280" s="42" t="s">
        <v>48</v>
      </c>
      <c r="AF280" s="42" t="s">
        <v>48</v>
      </c>
      <c r="AG280" s="42" t="s">
        <v>48</v>
      </c>
      <c r="AH280" s="42" t="s">
        <v>48</v>
      </c>
      <c r="AI280" s="42" t="s">
        <v>48</v>
      </c>
      <c r="AJ280" s="42" t="s">
        <v>48</v>
      </c>
      <c r="AK280" s="42" t="s">
        <v>48</v>
      </c>
      <c r="AL280" s="42" t="s">
        <v>48</v>
      </c>
      <c r="AM280" s="42" t="s">
        <v>48</v>
      </c>
      <c r="AN280" s="42" t="s">
        <v>48</v>
      </c>
      <c r="AO280" s="48" t="s">
        <v>772</v>
      </c>
      <c r="AP280" s="42" t="s">
        <v>773</v>
      </c>
      <c r="AQ280" s="42"/>
    </row>
    <row r="281" s="5" customFormat="1" ht="20.15" customHeight="1" spans="1:43">
      <c r="A281" s="71">
        <f t="shared" si="23"/>
        <v>277</v>
      </c>
      <c r="B281" s="71" t="s">
        <v>764</v>
      </c>
      <c r="C281" s="71" t="s">
        <v>774</v>
      </c>
      <c r="D281" s="72"/>
      <c r="E281" s="158">
        <v>32.425</v>
      </c>
      <c r="F281" s="76"/>
      <c r="G281" s="71">
        <v>4356</v>
      </c>
      <c r="H281" s="71">
        <v>500</v>
      </c>
      <c r="I281" s="71" t="s">
        <v>775</v>
      </c>
      <c r="J281" s="71"/>
      <c r="K281" s="71" t="str">
        <f>C281</f>
        <v>5005A</v>
      </c>
      <c r="L281" s="71" t="s">
        <v>11</v>
      </c>
      <c r="M281" s="75">
        <v>45961</v>
      </c>
      <c r="N281" s="75">
        <v>46023</v>
      </c>
      <c r="O281" s="75">
        <v>46387</v>
      </c>
      <c r="P281" s="75">
        <v>46023</v>
      </c>
      <c r="Q281" s="76">
        <v>4500</v>
      </c>
      <c r="R281" s="76"/>
      <c r="S281" s="76">
        <f t="shared" si="21"/>
        <v>4500</v>
      </c>
      <c r="T281" s="76">
        <f t="shared" si="25"/>
        <v>11.9671232876712</v>
      </c>
      <c r="U281" s="71">
        <v>10000</v>
      </c>
      <c r="V281" s="71">
        <v>4500</v>
      </c>
      <c r="W281" s="71">
        <v>500</v>
      </c>
      <c r="X281" s="71"/>
      <c r="Y281" s="71"/>
      <c r="Z281" s="42"/>
      <c r="AA281" s="42"/>
      <c r="AB281" s="42"/>
      <c r="AC281" s="42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7" t="s">
        <v>776</v>
      </c>
      <c r="AP281" s="71">
        <v>13027978169</v>
      </c>
      <c r="AQ281" s="71"/>
    </row>
    <row r="282" s="1" customFormat="1" ht="20.15" customHeight="1" spans="1:43">
      <c r="A282" s="42">
        <f t="shared" si="23"/>
        <v>278</v>
      </c>
      <c r="B282" s="42" t="s">
        <v>764</v>
      </c>
      <c r="C282" s="156">
        <v>5005</v>
      </c>
      <c r="D282" s="43"/>
      <c r="E282" s="157">
        <v>32.425</v>
      </c>
      <c r="F282" s="47"/>
      <c r="G282" s="42">
        <v>4356</v>
      </c>
      <c r="H282" s="42">
        <v>500</v>
      </c>
      <c r="I282" s="42" t="s">
        <v>777</v>
      </c>
      <c r="J282" s="42"/>
      <c r="K282" s="45" t="s">
        <v>778</v>
      </c>
      <c r="L282" s="42" t="s">
        <v>11</v>
      </c>
      <c r="M282" s="46">
        <v>45645</v>
      </c>
      <c r="N282" s="46">
        <v>45748</v>
      </c>
      <c r="O282" s="46">
        <v>46112</v>
      </c>
      <c r="P282" s="46">
        <v>45748</v>
      </c>
      <c r="Q282" s="47">
        <v>4500</v>
      </c>
      <c r="R282" s="47"/>
      <c r="S282" s="47">
        <f t="shared" si="21"/>
        <v>4500</v>
      </c>
      <c r="T282" s="47">
        <f t="shared" si="25"/>
        <v>11.9671232876712</v>
      </c>
      <c r="U282" s="42">
        <v>10000</v>
      </c>
      <c r="V282" s="42">
        <v>4500</v>
      </c>
      <c r="W282" s="42">
        <v>500</v>
      </c>
      <c r="X282" s="42"/>
      <c r="Y282" s="42"/>
      <c r="Z282" s="42"/>
      <c r="AA282" s="42"/>
      <c r="AB282" s="42"/>
      <c r="AC282" s="42"/>
      <c r="AD282" s="42"/>
      <c r="AE282" s="42" t="s">
        <v>48</v>
      </c>
      <c r="AF282" s="42"/>
      <c r="AG282" s="42" t="s">
        <v>48</v>
      </c>
      <c r="AH282" s="42" t="s">
        <v>48</v>
      </c>
      <c r="AI282" s="42"/>
      <c r="AJ282" s="42"/>
      <c r="AK282" s="42"/>
      <c r="AL282" s="42" t="s">
        <v>48</v>
      </c>
      <c r="AM282" s="42"/>
      <c r="AN282" s="42"/>
      <c r="AO282" s="48" t="s">
        <v>779</v>
      </c>
      <c r="AP282" s="42">
        <v>13622212348</v>
      </c>
      <c r="AQ282" s="42"/>
    </row>
    <row r="283" s="1" customFormat="1" ht="20.15" customHeight="1" spans="1:43">
      <c r="A283" s="42">
        <f t="shared" si="23"/>
        <v>279</v>
      </c>
      <c r="B283" s="42" t="s">
        <v>764</v>
      </c>
      <c r="C283" s="42">
        <v>5006</v>
      </c>
      <c r="D283" s="43"/>
      <c r="E283" s="157">
        <v>32.425</v>
      </c>
      <c r="F283" s="47"/>
      <c r="G283" s="42">
        <v>4356</v>
      </c>
      <c r="H283" s="42">
        <v>500</v>
      </c>
      <c r="I283" s="42" t="s">
        <v>780</v>
      </c>
      <c r="J283" s="42"/>
      <c r="K283" s="45" t="s">
        <v>781</v>
      </c>
      <c r="L283" s="42" t="s">
        <v>11</v>
      </c>
      <c r="M283" s="46">
        <v>45624</v>
      </c>
      <c r="N283" s="46">
        <v>45717</v>
      </c>
      <c r="O283" s="46">
        <v>46081</v>
      </c>
      <c r="P283" s="46">
        <v>45717</v>
      </c>
      <c r="Q283" s="47">
        <v>4500</v>
      </c>
      <c r="R283" s="47"/>
      <c r="S283" s="47">
        <f t="shared" si="21"/>
        <v>4500</v>
      </c>
      <c r="T283" s="47">
        <f t="shared" si="25"/>
        <v>11.9671232876712</v>
      </c>
      <c r="U283" s="42">
        <v>10000</v>
      </c>
      <c r="V283" s="42">
        <v>4500</v>
      </c>
      <c r="W283" s="42">
        <v>500</v>
      </c>
      <c r="X283" s="42"/>
      <c r="Y283" s="42"/>
      <c r="Z283" s="42"/>
      <c r="AA283" s="42"/>
      <c r="AB283" s="42"/>
      <c r="AC283" s="42"/>
      <c r="AD283" s="42"/>
      <c r="AE283" s="42" t="s">
        <v>48</v>
      </c>
      <c r="AF283" s="42"/>
      <c r="AG283" s="42" t="s">
        <v>48</v>
      </c>
      <c r="AH283" s="42" t="s">
        <v>48</v>
      </c>
      <c r="AI283" s="42"/>
      <c r="AJ283" s="42"/>
      <c r="AK283" s="42"/>
      <c r="AL283" s="42" t="s">
        <v>48</v>
      </c>
      <c r="AM283" s="42"/>
      <c r="AN283" s="42"/>
      <c r="AO283" s="48" t="s">
        <v>782</v>
      </c>
      <c r="AP283" s="42">
        <v>0</v>
      </c>
      <c r="AQ283" s="42"/>
    </row>
    <row r="284" s="1" customFormat="1" ht="20.15" customHeight="1" spans="1:43">
      <c r="A284" s="42">
        <f t="shared" si="23"/>
        <v>280</v>
      </c>
      <c r="B284" s="42" t="s">
        <v>764</v>
      </c>
      <c r="C284" s="156">
        <v>5007</v>
      </c>
      <c r="D284" s="43"/>
      <c r="E284" s="157">
        <v>32.425</v>
      </c>
      <c r="F284" s="47"/>
      <c r="G284" s="42">
        <v>4356</v>
      </c>
      <c r="H284" s="42">
        <v>500</v>
      </c>
      <c r="I284" s="42" t="s">
        <v>646</v>
      </c>
      <c r="J284" s="42"/>
      <c r="K284" s="45" t="s">
        <v>783</v>
      </c>
      <c r="L284" s="42" t="s">
        <v>11</v>
      </c>
      <c r="M284" s="46">
        <v>45599</v>
      </c>
      <c r="N284" s="46">
        <v>45717</v>
      </c>
      <c r="O284" s="46">
        <v>46081</v>
      </c>
      <c r="P284" s="46">
        <v>45717</v>
      </c>
      <c r="Q284" s="47">
        <v>4500</v>
      </c>
      <c r="R284" s="47"/>
      <c r="S284" s="47">
        <f t="shared" si="21"/>
        <v>4500</v>
      </c>
      <c r="T284" s="47">
        <f t="shared" si="25"/>
        <v>11.9671232876712</v>
      </c>
      <c r="U284" s="42">
        <v>10000</v>
      </c>
      <c r="V284" s="47">
        <v>4500</v>
      </c>
      <c r="W284" s="42">
        <v>500</v>
      </c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8" t="s">
        <v>784</v>
      </c>
      <c r="AP284" s="42">
        <v>13393953036</v>
      </c>
      <c r="AQ284" s="42"/>
    </row>
    <row r="285" s="1" customFormat="1" ht="20.15" customHeight="1" spans="1:43">
      <c r="A285" s="42">
        <f t="shared" si="23"/>
        <v>281</v>
      </c>
      <c r="B285" s="42" t="s">
        <v>764</v>
      </c>
      <c r="C285" s="42">
        <v>5008</v>
      </c>
      <c r="D285" s="43"/>
      <c r="E285" s="157">
        <v>32.425</v>
      </c>
      <c r="F285" s="47"/>
      <c r="G285" s="42">
        <v>4356</v>
      </c>
      <c r="H285" s="42">
        <v>500</v>
      </c>
      <c r="I285" s="42" t="s">
        <v>785</v>
      </c>
      <c r="J285" s="42"/>
      <c r="K285" s="45" t="s">
        <v>786</v>
      </c>
      <c r="L285" s="42" t="s">
        <v>11</v>
      </c>
      <c r="M285" s="46">
        <v>45624</v>
      </c>
      <c r="N285" s="46">
        <v>45717</v>
      </c>
      <c r="O285" s="46">
        <v>46081</v>
      </c>
      <c r="P285" s="46">
        <v>45717</v>
      </c>
      <c r="Q285" s="47">
        <v>4500</v>
      </c>
      <c r="R285" s="47"/>
      <c r="S285" s="47">
        <f t="shared" si="21"/>
        <v>4500</v>
      </c>
      <c r="T285" s="47">
        <f t="shared" si="25"/>
        <v>11.9671232876712</v>
      </c>
      <c r="U285" s="42">
        <v>10000</v>
      </c>
      <c r="V285" s="42">
        <v>4500</v>
      </c>
      <c r="W285" s="42">
        <v>500</v>
      </c>
      <c r="X285" s="42"/>
      <c r="Y285" s="42"/>
      <c r="Z285" s="42"/>
      <c r="AA285" s="42"/>
      <c r="AB285" s="42"/>
      <c r="AC285" s="42"/>
      <c r="AD285" s="42"/>
      <c r="AE285" s="42" t="s">
        <v>48</v>
      </c>
      <c r="AF285" s="42"/>
      <c r="AG285" s="42" t="s">
        <v>48</v>
      </c>
      <c r="AH285" s="42" t="s">
        <v>48</v>
      </c>
      <c r="AI285" s="42"/>
      <c r="AJ285" s="42"/>
      <c r="AK285" s="42"/>
      <c r="AL285" s="42" t="s">
        <v>48</v>
      </c>
      <c r="AM285" s="42"/>
      <c r="AN285" s="42"/>
      <c r="AO285" s="48" t="s">
        <v>787</v>
      </c>
      <c r="AP285" s="42">
        <v>13783835583</v>
      </c>
      <c r="AQ285" s="42"/>
    </row>
    <row r="286" s="1" customFormat="1" ht="20.15" customHeight="1" spans="1:43">
      <c r="A286" s="42">
        <f t="shared" si="23"/>
        <v>282</v>
      </c>
      <c r="B286" s="42" t="s">
        <v>764</v>
      </c>
      <c r="C286" s="156">
        <v>5009</v>
      </c>
      <c r="D286" s="43"/>
      <c r="E286" s="157">
        <v>32.425</v>
      </c>
      <c r="F286" s="47"/>
      <c r="G286" s="42">
        <v>4356</v>
      </c>
      <c r="H286" s="42">
        <v>500</v>
      </c>
      <c r="I286" s="42" t="s">
        <v>788</v>
      </c>
      <c r="J286" s="42"/>
      <c r="K286" s="45" t="s">
        <v>789</v>
      </c>
      <c r="L286" s="42" t="s">
        <v>11</v>
      </c>
      <c r="M286" s="46">
        <v>45645</v>
      </c>
      <c r="N286" s="46">
        <v>45732</v>
      </c>
      <c r="O286" s="46">
        <v>46096</v>
      </c>
      <c r="P286" s="46">
        <v>45732</v>
      </c>
      <c r="Q286" s="47">
        <v>4500</v>
      </c>
      <c r="R286" s="47"/>
      <c r="S286" s="47">
        <f t="shared" si="21"/>
        <v>4500</v>
      </c>
      <c r="T286" s="47">
        <f t="shared" si="25"/>
        <v>11.9671232876712</v>
      </c>
      <c r="U286" s="42">
        <v>10000</v>
      </c>
      <c r="V286" s="42">
        <v>4500</v>
      </c>
      <c r="W286" s="42">
        <v>500</v>
      </c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8" t="s">
        <v>790</v>
      </c>
      <c r="AP286" s="42">
        <v>13533538563</v>
      </c>
      <c r="AQ286" s="42"/>
    </row>
    <row r="287" s="1" customFormat="1" ht="20.15" customHeight="1" spans="1:43">
      <c r="A287" s="42">
        <f t="shared" si="23"/>
        <v>283</v>
      </c>
      <c r="B287" s="42" t="s">
        <v>764</v>
      </c>
      <c r="C287" s="42">
        <v>5010</v>
      </c>
      <c r="D287" s="43"/>
      <c r="E287" s="157">
        <v>32.425</v>
      </c>
      <c r="F287" s="47"/>
      <c r="G287" s="42">
        <v>4356</v>
      </c>
      <c r="H287" s="42">
        <v>500</v>
      </c>
      <c r="I287" s="42" t="s">
        <v>791</v>
      </c>
      <c r="J287" s="42"/>
      <c r="K287" s="45" t="s">
        <v>792</v>
      </c>
      <c r="L287" s="42" t="s">
        <v>11</v>
      </c>
      <c r="M287" s="46">
        <v>45647</v>
      </c>
      <c r="N287" s="46">
        <v>45732</v>
      </c>
      <c r="O287" s="46">
        <v>46096</v>
      </c>
      <c r="P287" s="46">
        <v>45732</v>
      </c>
      <c r="Q287" s="47">
        <v>4500</v>
      </c>
      <c r="R287" s="47"/>
      <c r="S287" s="47">
        <f t="shared" si="21"/>
        <v>4500</v>
      </c>
      <c r="T287" s="47">
        <f t="shared" si="25"/>
        <v>11.9671232876712</v>
      </c>
      <c r="U287" s="42">
        <v>10000</v>
      </c>
      <c r="V287" s="42">
        <v>4500</v>
      </c>
      <c r="W287" s="42">
        <v>500</v>
      </c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8" t="s">
        <v>793</v>
      </c>
      <c r="AP287" s="42">
        <v>1566666669</v>
      </c>
      <c r="AQ287" s="42"/>
    </row>
    <row r="288" s="2" customFormat="1" ht="20.15" customHeight="1" spans="1:43">
      <c r="A288" s="52">
        <f t="shared" si="23"/>
        <v>284</v>
      </c>
      <c r="B288" s="52" t="s">
        <v>764</v>
      </c>
      <c r="C288" s="159">
        <v>5011</v>
      </c>
      <c r="D288" s="56"/>
      <c r="E288" s="160">
        <v>32.425</v>
      </c>
      <c r="F288" s="59"/>
      <c r="G288" s="52">
        <v>4500</v>
      </c>
      <c r="H288" s="52">
        <v>500</v>
      </c>
      <c r="I288" s="52" t="s">
        <v>794</v>
      </c>
      <c r="J288" s="52"/>
      <c r="K288" s="61" t="s">
        <v>795</v>
      </c>
      <c r="L288" s="52" t="s">
        <v>11</v>
      </c>
      <c r="M288" s="58">
        <v>45961</v>
      </c>
      <c r="N288" s="58">
        <v>45901</v>
      </c>
      <c r="O288" s="58">
        <v>46265</v>
      </c>
      <c r="P288" s="58">
        <v>45901</v>
      </c>
      <c r="Q288" s="59">
        <v>4500</v>
      </c>
      <c r="R288" s="59"/>
      <c r="S288" s="59">
        <f t="shared" si="21"/>
        <v>4500</v>
      </c>
      <c r="T288" s="59">
        <f t="shared" si="25"/>
        <v>11.9671232876712</v>
      </c>
      <c r="U288" s="52">
        <v>10000</v>
      </c>
      <c r="V288" s="52">
        <v>4500</v>
      </c>
      <c r="W288" s="52">
        <v>500</v>
      </c>
      <c r="X288" s="52"/>
      <c r="Y288" s="52"/>
      <c r="Z288" s="42"/>
      <c r="AA288" s="42"/>
      <c r="AB288" s="42"/>
      <c r="AC288" s="42"/>
      <c r="AD288" s="52" t="s">
        <v>48</v>
      </c>
      <c r="AE288" s="52" t="s">
        <v>48</v>
      </c>
      <c r="AF288" s="52" t="s">
        <v>48</v>
      </c>
      <c r="AG288" s="52" t="s">
        <v>48</v>
      </c>
      <c r="AH288" s="52" t="s">
        <v>48</v>
      </c>
      <c r="AI288" s="52" t="s">
        <v>48</v>
      </c>
      <c r="AJ288" s="52" t="s">
        <v>48</v>
      </c>
      <c r="AK288" s="52" t="s">
        <v>48</v>
      </c>
      <c r="AL288" s="52" t="s">
        <v>48</v>
      </c>
      <c r="AM288" s="52" t="s">
        <v>48</v>
      </c>
      <c r="AN288" s="52" t="s">
        <v>48</v>
      </c>
      <c r="AO288" s="60" t="s">
        <v>796</v>
      </c>
      <c r="AP288" s="52">
        <v>13414108982</v>
      </c>
      <c r="AQ288" s="52"/>
    </row>
    <row r="289" s="1" customFormat="1" ht="20.15" customHeight="1" spans="1:43">
      <c r="A289" s="42">
        <f t="shared" si="23"/>
        <v>285</v>
      </c>
      <c r="B289" s="42" t="s">
        <v>764</v>
      </c>
      <c r="C289" s="42">
        <v>5012</v>
      </c>
      <c r="D289" s="43"/>
      <c r="E289" s="157">
        <v>32.425</v>
      </c>
      <c r="F289" s="47"/>
      <c r="G289" s="42">
        <v>4356</v>
      </c>
      <c r="H289" s="42">
        <v>500</v>
      </c>
      <c r="I289" s="42" t="s">
        <v>797</v>
      </c>
      <c r="J289" s="42"/>
      <c r="K289" s="45" t="s">
        <v>798</v>
      </c>
      <c r="L289" s="42" t="s">
        <v>11</v>
      </c>
      <c r="M289" s="46">
        <v>45955</v>
      </c>
      <c r="N289" s="46">
        <v>45955</v>
      </c>
      <c r="O289" s="46">
        <v>46319</v>
      </c>
      <c r="P289" s="46">
        <v>45955</v>
      </c>
      <c r="Q289" s="47">
        <v>4500</v>
      </c>
      <c r="R289" s="47"/>
      <c r="S289" s="47">
        <f t="shared" si="21"/>
        <v>4500</v>
      </c>
      <c r="T289" s="47">
        <f t="shared" si="25"/>
        <v>11.9671232876712</v>
      </c>
      <c r="U289" s="42">
        <v>10000</v>
      </c>
      <c r="V289" s="42">
        <v>4500</v>
      </c>
      <c r="W289" s="42">
        <v>500</v>
      </c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8" t="s">
        <v>799</v>
      </c>
      <c r="AP289" s="42">
        <v>15010934518</v>
      </c>
      <c r="AQ289" s="42"/>
    </row>
    <row r="290" s="1" customFormat="1" ht="20.15" customHeight="1" spans="1:43">
      <c r="A290" s="42">
        <f t="shared" si="23"/>
        <v>286</v>
      </c>
      <c r="B290" s="42" t="s">
        <v>764</v>
      </c>
      <c r="C290" s="156">
        <v>5013</v>
      </c>
      <c r="D290" s="43"/>
      <c r="E290" s="157">
        <v>32.425</v>
      </c>
      <c r="F290" s="47"/>
      <c r="G290" s="42">
        <v>4500</v>
      </c>
      <c r="H290" s="42">
        <v>500</v>
      </c>
      <c r="I290" s="42" t="s">
        <v>640</v>
      </c>
      <c r="J290" s="42"/>
      <c r="K290" s="42">
        <v>5013</v>
      </c>
      <c r="L290" s="42" t="s">
        <v>11</v>
      </c>
      <c r="M290" s="46">
        <v>45519</v>
      </c>
      <c r="N290" s="46">
        <v>45536</v>
      </c>
      <c r="O290" s="46">
        <v>45900</v>
      </c>
      <c r="P290" s="46">
        <v>45536</v>
      </c>
      <c r="Q290" s="47">
        <v>4500</v>
      </c>
      <c r="R290" s="47"/>
      <c r="S290" s="47">
        <f t="shared" si="21"/>
        <v>4500</v>
      </c>
      <c r="T290" s="47">
        <f t="shared" si="25"/>
        <v>11.9671232876712</v>
      </c>
      <c r="U290" s="42">
        <v>10000</v>
      </c>
      <c r="V290" s="42">
        <v>4500</v>
      </c>
      <c r="W290" s="42">
        <v>500</v>
      </c>
      <c r="X290" s="42"/>
      <c r="Y290" s="42"/>
      <c r="Z290" s="42"/>
      <c r="AA290" s="42"/>
      <c r="AB290" s="42"/>
      <c r="AC290" s="42"/>
      <c r="AD290" s="42" t="s">
        <v>48</v>
      </c>
      <c r="AE290" s="42" t="s">
        <v>48</v>
      </c>
      <c r="AF290" s="42" t="s">
        <v>48</v>
      </c>
      <c r="AG290" s="42" t="s">
        <v>48</v>
      </c>
      <c r="AH290" s="42" t="s">
        <v>48</v>
      </c>
      <c r="AI290" s="42" t="s">
        <v>48</v>
      </c>
      <c r="AJ290" s="42" t="s">
        <v>48</v>
      </c>
      <c r="AK290" s="42" t="s">
        <v>48</v>
      </c>
      <c r="AL290" s="42" t="s">
        <v>48</v>
      </c>
      <c r="AM290" s="42" t="s">
        <v>48</v>
      </c>
      <c r="AN290" s="42" t="s">
        <v>48</v>
      </c>
      <c r="AO290" s="48" t="s">
        <v>642</v>
      </c>
      <c r="AP290" s="42">
        <v>13711565687</v>
      </c>
      <c r="AQ290" s="42"/>
    </row>
    <row r="291" s="1" customFormat="1" ht="20.15" customHeight="1" spans="1:43">
      <c r="A291" s="42">
        <f t="shared" si="23"/>
        <v>287</v>
      </c>
      <c r="B291" s="42" t="s">
        <v>764</v>
      </c>
      <c r="C291" s="42" t="s">
        <v>800</v>
      </c>
      <c r="D291" s="43"/>
      <c r="E291" s="157">
        <v>32.425</v>
      </c>
      <c r="F291" s="47"/>
      <c r="G291" s="42">
        <v>4356</v>
      </c>
      <c r="H291" s="42">
        <v>500</v>
      </c>
      <c r="I291" s="42" t="s">
        <v>801</v>
      </c>
      <c r="J291" s="42"/>
      <c r="K291" s="156" t="s">
        <v>800</v>
      </c>
      <c r="L291" s="42" t="s">
        <v>11</v>
      </c>
      <c r="M291" s="46">
        <v>45619</v>
      </c>
      <c r="N291" s="46">
        <v>45717</v>
      </c>
      <c r="O291" s="46">
        <v>46081</v>
      </c>
      <c r="P291" s="46">
        <v>45717</v>
      </c>
      <c r="Q291" s="47">
        <v>4500</v>
      </c>
      <c r="R291" s="47"/>
      <c r="S291" s="47">
        <f t="shared" si="21"/>
        <v>4500</v>
      </c>
      <c r="T291" s="47">
        <f t="shared" si="25"/>
        <v>11.9671232876712</v>
      </c>
      <c r="U291" s="42">
        <v>10000</v>
      </c>
      <c r="V291" s="42">
        <v>4500</v>
      </c>
      <c r="W291" s="42">
        <v>500</v>
      </c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8" t="s">
        <v>802</v>
      </c>
      <c r="AP291" s="42">
        <v>13143524349</v>
      </c>
      <c r="AQ291" s="42"/>
    </row>
    <row r="292" s="1" customFormat="1" ht="20.15" customHeight="1" spans="1:43">
      <c r="A292" s="42">
        <f t="shared" si="23"/>
        <v>288</v>
      </c>
      <c r="B292" s="42" t="s">
        <v>764</v>
      </c>
      <c r="C292" s="156">
        <v>5015</v>
      </c>
      <c r="D292" s="43"/>
      <c r="E292" s="157">
        <v>32.425</v>
      </c>
      <c r="F292" s="47"/>
      <c r="G292" s="42">
        <v>4356</v>
      </c>
      <c r="H292" s="42">
        <v>500</v>
      </c>
      <c r="I292" s="42" t="s">
        <v>803</v>
      </c>
      <c r="J292" s="42"/>
      <c r="K292" s="45" t="s">
        <v>804</v>
      </c>
      <c r="L292" s="42" t="s">
        <v>11</v>
      </c>
      <c r="M292" s="46">
        <v>45621</v>
      </c>
      <c r="N292" s="46">
        <v>45732</v>
      </c>
      <c r="O292" s="46">
        <v>46096</v>
      </c>
      <c r="P292" s="46">
        <v>45732</v>
      </c>
      <c r="Q292" s="47">
        <v>4500</v>
      </c>
      <c r="R292" s="47"/>
      <c r="S292" s="47">
        <f t="shared" si="21"/>
        <v>4500</v>
      </c>
      <c r="T292" s="47">
        <f t="shared" si="25"/>
        <v>11.9671232876712</v>
      </c>
      <c r="U292" s="42">
        <v>10000</v>
      </c>
      <c r="V292" s="42">
        <v>4500</v>
      </c>
      <c r="W292" s="42">
        <v>500</v>
      </c>
      <c r="X292" s="42"/>
      <c r="Y292" s="42"/>
      <c r="Z292" s="42"/>
      <c r="AA292" s="42"/>
      <c r="AB292" s="42"/>
      <c r="AC292" s="42"/>
      <c r="AD292" s="42"/>
      <c r="AE292" s="42" t="s">
        <v>48</v>
      </c>
      <c r="AF292" s="42"/>
      <c r="AG292" s="42" t="s">
        <v>48</v>
      </c>
      <c r="AH292" s="42" t="s">
        <v>48</v>
      </c>
      <c r="AI292" s="42"/>
      <c r="AJ292" s="42"/>
      <c r="AK292" s="42"/>
      <c r="AL292" s="42" t="s">
        <v>48</v>
      </c>
      <c r="AM292" s="42"/>
      <c r="AN292" s="42"/>
      <c r="AO292" s="48" t="s">
        <v>805</v>
      </c>
      <c r="AP292" s="42">
        <v>18675895390</v>
      </c>
      <c r="AQ292" s="42"/>
    </row>
    <row r="293" s="1" customFormat="1" ht="20.15" customHeight="1" spans="1:43">
      <c r="A293" s="42">
        <f t="shared" si="23"/>
        <v>289</v>
      </c>
      <c r="B293" s="42" t="s">
        <v>764</v>
      </c>
      <c r="C293" s="42">
        <v>5016</v>
      </c>
      <c r="D293" s="43"/>
      <c r="E293" s="157">
        <v>32.425</v>
      </c>
      <c r="F293" s="47"/>
      <c r="G293" s="42">
        <v>4356</v>
      </c>
      <c r="H293" s="42">
        <v>500</v>
      </c>
      <c r="I293" s="42" t="s">
        <v>806</v>
      </c>
      <c r="J293" s="42"/>
      <c r="K293" s="45" t="s">
        <v>807</v>
      </c>
      <c r="L293" s="42" t="s">
        <v>11</v>
      </c>
      <c r="M293" s="46">
        <v>45617</v>
      </c>
      <c r="N293" s="46">
        <v>45717</v>
      </c>
      <c r="O293" s="46">
        <v>46081</v>
      </c>
      <c r="P293" s="46">
        <v>45717</v>
      </c>
      <c r="Q293" s="47">
        <v>4500</v>
      </c>
      <c r="R293" s="47"/>
      <c r="S293" s="47">
        <f t="shared" si="21"/>
        <v>4500</v>
      </c>
      <c r="T293" s="47">
        <f t="shared" si="25"/>
        <v>11.9671232876712</v>
      </c>
      <c r="U293" s="42">
        <v>10000</v>
      </c>
      <c r="V293" s="42">
        <v>4500</v>
      </c>
      <c r="W293" s="42">
        <v>500</v>
      </c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8" t="s">
        <v>808</v>
      </c>
      <c r="AP293" s="42">
        <v>18256837837</v>
      </c>
      <c r="AQ293" s="42"/>
    </row>
    <row r="294" s="1" customFormat="1" ht="20.15" customHeight="1" spans="1:43">
      <c r="A294" s="42">
        <f t="shared" si="23"/>
        <v>290</v>
      </c>
      <c r="B294" s="42" t="s">
        <v>764</v>
      </c>
      <c r="C294" s="156">
        <v>5017</v>
      </c>
      <c r="D294" s="43"/>
      <c r="E294" s="157">
        <v>32.425</v>
      </c>
      <c r="F294" s="47"/>
      <c r="G294" s="42">
        <v>4356</v>
      </c>
      <c r="H294" s="42">
        <v>500</v>
      </c>
      <c r="I294" s="42" t="s">
        <v>809</v>
      </c>
      <c r="J294" s="42"/>
      <c r="K294" s="45" t="s">
        <v>810</v>
      </c>
      <c r="L294" s="42" t="s">
        <v>11</v>
      </c>
      <c r="M294" s="46">
        <v>45616</v>
      </c>
      <c r="N294" s="46">
        <v>45726</v>
      </c>
      <c r="O294" s="46">
        <v>46090</v>
      </c>
      <c r="P294" s="46">
        <v>45726</v>
      </c>
      <c r="Q294" s="47">
        <v>4500</v>
      </c>
      <c r="R294" s="47"/>
      <c r="S294" s="47">
        <f t="shared" ref="S294:S325" si="26">Q294+R294</f>
        <v>4500</v>
      </c>
      <c r="T294" s="47">
        <f t="shared" si="25"/>
        <v>11.9671232876712</v>
      </c>
      <c r="U294" s="42">
        <v>10000</v>
      </c>
      <c r="V294" s="42">
        <v>4500</v>
      </c>
      <c r="W294" s="42">
        <v>500</v>
      </c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8" t="s">
        <v>811</v>
      </c>
      <c r="AP294" s="42">
        <v>18618336058</v>
      </c>
      <c r="AQ294" s="42"/>
    </row>
    <row r="295" s="1" customFormat="1" ht="20.15" customHeight="1" spans="1:43">
      <c r="A295" s="42">
        <f t="shared" si="23"/>
        <v>291</v>
      </c>
      <c r="B295" s="42" t="s">
        <v>764</v>
      </c>
      <c r="C295" s="42">
        <v>5018</v>
      </c>
      <c r="D295" s="43"/>
      <c r="E295" s="157">
        <v>32.425</v>
      </c>
      <c r="F295" s="47"/>
      <c r="G295" s="42">
        <v>4356</v>
      </c>
      <c r="H295" s="42">
        <v>500</v>
      </c>
      <c r="I295" s="42" t="s">
        <v>812</v>
      </c>
      <c r="J295" s="42"/>
      <c r="K295" s="45" t="s">
        <v>813</v>
      </c>
      <c r="L295" s="42" t="s">
        <v>11</v>
      </c>
      <c r="M295" s="46">
        <v>45609</v>
      </c>
      <c r="N295" s="46">
        <v>45726</v>
      </c>
      <c r="O295" s="46">
        <v>46090</v>
      </c>
      <c r="P295" s="46">
        <v>45726</v>
      </c>
      <c r="Q295" s="47">
        <v>4500</v>
      </c>
      <c r="R295" s="47"/>
      <c r="S295" s="47">
        <f t="shared" si="26"/>
        <v>4500</v>
      </c>
      <c r="T295" s="47">
        <f t="shared" si="25"/>
        <v>11.9671232876712</v>
      </c>
      <c r="U295" s="42">
        <v>10000</v>
      </c>
      <c r="V295" s="42">
        <v>4500</v>
      </c>
      <c r="W295" s="42">
        <v>500</v>
      </c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8" t="s">
        <v>814</v>
      </c>
      <c r="AP295" s="42">
        <v>17688849239</v>
      </c>
      <c r="AQ295" s="42"/>
    </row>
    <row r="296" s="1" customFormat="1" ht="20.15" customHeight="1" spans="1:43">
      <c r="A296" s="42">
        <f t="shared" si="23"/>
        <v>292</v>
      </c>
      <c r="B296" s="42" t="s">
        <v>764</v>
      </c>
      <c r="C296" s="156">
        <v>5019</v>
      </c>
      <c r="D296" s="43"/>
      <c r="E296" s="157">
        <v>32.425</v>
      </c>
      <c r="F296" s="47"/>
      <c r="G296" s="42">
        <v>4356</v>
      </c>
      <c r="H296" s="42">
        <v>500</v>
      </c>
      <c r="I296" s="42" t="s">
        <v>815</v>
      </c>
      <c r="J296" s="42"/>
      <c r="K296" s="45" t="s">
        <v>816</v>
      </c>
      <c r="L296" s="42" t="s">
        <v>11</v>
      </c>
      <c r="M296" s="46">
        <v>45741</v>
      </c>
      <c r="N296" s="46">
        <v>45710</v>
      </c>
      <c r="O296" s="46">
        <v>46074</v>
      </c>
      <c r="P296" s="46">
        <v>45710</v>
      </c>
      <c r="Q296" s="47">
        <v>4500</v>
      </c>
      <c r="R296" s="47"/>
      <c r="S296" s="47">
        <f t="shared" si="26"/>
        <v>4500</v>
      </c>
      <c r="T296" s="47">
        <f t="shared" si="25"/>
        <v>11.9671232876712</v>
      </c>
      <c r="U296" s="42">
        <v>10000</v>
      </c>
      <c r="V296" s="42">
        <v>4500</v>
      </c>
      <c r="W296" s="42">
        <v>500</v>
      </c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8" t="s">
        <v>817</v>
      </c>
      <c r="AP296" s="42">
        <v>18620825062</v>
      </c>
      <c r="AQ296" s="42"/>
    </row>
    <row r="297" s="1" customFormat="1" ht="20.15" customHeight="1" spans="1:43">
      <c r="A297" s="42">
        <f t="shared" si="23"/>
        <v>293</v>
      </c>
      <c r="B297" s="42" t="s">
        <v>764</v>
      </c>
      <c r="C297" s="42">
        <v>5020</v>
      </c>
      <c r="D297" s="43"/>
      <c r="E297" s="157">
        <v>32.425</v>
      </c>
      <c r="F297" s="47"/>
      <c r="G297" s="42">
        <v>4356</v>
      </c>
      <c r="H297" s="42">
        <v>500</v>
      </c>
      <c r="I297" s="42" t="s">
        <v>818</v>
      </c>
      <c r="J297" s="42"/>
      <c r="K297" s="45" t="s">
        <v>819</v>
      </c>
      <c r="L297" s="42" t="s">
        <v>11</v>
      </c>
      <c r="M297" s="46">
        <v>45618</v>
      </c>
      <c r="N297" s="46">
        <v>45717</v>
      </c>
      <c r="O297" s="46">
        <v>46081</v>
      </c>
      <c r="P297" s="46">
        <v>45717</v>
      </c>
      <c r="Q297" s="47">
        <v>4500</v>
      </c>
      <c r="R297" s="47"/>
      <c r="S297" s="47">
        <f t="shared" si="26"/>
        <v>4500</v>
      </c>
      <c r="T297" s="47">
        <f t="shared" si="25"/>
        <v>11.9671232876712</v>
      </c>
      <c r="U297" s="42">
        <v>10000</v>
      </c>
      <c r="V297" s="42">
        <v>4500</v>
      </c>
      <c r="W297" s="42">
        <v>500</v>
      </c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8" t="s">
        <v>820</v>
      </c>
      <c r="AP297" s="42">
        <v>13922167505</v>
      </c>
      <c r="AQ297" s="42"/>
    </row>
    <row r="298" s="4" customFormat="1" ht="20.15" customHeight="1" spans="1:43">
      <c r="A298" s="66">
        <f t="shared" si="23"/>
        <v>294</v>
      </c>
      <c r="B298" s="66" t="s">
        <v>764</v>
      </c>
      <c r="C298" s="161">
        <v>5021</v>
      </c>
      <c r="D298" s="157"/>
      <c r="E298" s="44">
        <v>32.425</v>
      </c>
      <c r="F298" s="47"/>
      <c r="G298" s="42">
        <v>4356</v>
      </c>
      <c r="H298" s="139">
        <v>500</v>
      </c>
      <c r="I298" s="66" t="s">
        <v>821</v>
      </c>
      <c r="J298" s="45"/>
      <c r="K298" s="45" t="s">
        <v>822</v>
      </c>
      <c r="L298" s="42" t="s">
        <v>11</v>
      </c>
      <c r="M298" s="67">
        <v>45942</v>
      </c>
      <c r="N298" s="67">
        <v>45962</v>
      </c>
      <c r="O298" s="67">
        <v>46326</v>
      </c>
      <c r="P298" s="67">
        <v>45962</v>
      </c>
      <c r="Q298" s="68">
        <v>4500</v>
      </c>
      <c r="R298" s="68"/>
      <c r="S298" s="68">
        <f t="shared" si="26"/>
        <v>4500</v>
      </c>
      <c r="T298" s="68">
        <v>12</v>
      </c>
      <c r="U298" s="66">
        <v>10000</v>
      </c>
      <c r="V298" s="66">
        <v>4500</v>
      </c>
      <c r="W298" s="66">
        <v>500</v>
      </c>
      <c r="X298" s="66"/>
      <c r="Y298" s="66"/>
      <c r="Z298" s="42"/>
      <c r="AA298" s="42"/>
      <c r="AB298" s="42"/>
      <c r="AC298" s="42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9" t="s">
        <v>823</v>
      </c>
      <c r="AO298" s="81" t="s">
        <v>823</v>
      </c>
      <c r="AP298" s="66">
        <v>13422211179</v>
      </c>
    </row>
    <row r="299" s="5" customFormat="1" ht="20.15" customHeight="1" spans="1:43">
      <c r="A299" s="71">
        <f t="shared" si="23"/>
        <v>295</v>
      </c>
      <c r="B299" s="71" t="s">
        <v>764</v>
      </c>
      <c r="C299" s="71">
        <v>5022</v>
      </c>
      <c r="D299" s="72"/>
      <c r="E299" s="158">
        <v>32.425</v>
      </c>
      <c r="F299" s="76"/>
      <c r="G299" s="71">
        <v>4356</v>
      </c>
      <c r="H299" s="71">
        <v>500</v>
      </c>
      <c r="I299" s="71" t="s">
        <v>331</v>
      </c>
      <c r="J299" s="71"/>
      <c r="K299" s="74" t="s">
        <v>824</v>
      </c>
      <c r="L299" s="71" t="s">
        <v>11</v>
      </c>
      <c r="M299" s="75">
        <v>45961</v>
      </c>
      <c r="N299" s="75">
        <v>45962</v>
      </c>
      <c r="O299" s="75">
        <v>46326</v>
      </c>
      <c r="P299" s="75">
        <v>45962</v>
      </c>
      <c r="Q299" s="76">
        <v>4500</v>
      </c>
      <c r="R299" s="76"/>
      <c r="S299" s="76">
        <f t="shared" si="26"/>
        <v>4500</v>
      </c>
      <c r="T299" s="76">
        <f t="shared" ref="T299:T302" si="27">(O299-N299)/365*12</f>
        <v>11.9671232876712</v>
      </c>
      <c r="U299" s="71">
        <v>10000</v>
      </c>
      <c r="V299" s="71">
        <v>4500</v>
      </c>
      <c r="W299" s="71">
        <v>500</v>
      </c>
      <c r="X299" s="71"/>
      <c r="Y299" s="71"/>
      <c r="Z299" s="42"/>
      <c r="AA299" s="42"/>
      <c r="AB299" s="42"/>
      <c r="AC299" s="42"/>
      <c r="AD299" s="71"/>
      <c r="AE299" s="71" t="s">
        <v>48</v>
      </c>
      <c r="AF299" s="71" t="s">
        <v>48</v>
      </c>
      <c r="AG299" s="71" t="s">
        <v>48</v>
      </c>
      <c r="AH299" s="71" t="s">
        <v>48</v>
      </c>
      <c r="AI299" s="71"/>
      <c r="AJ299" s="71"/>
      <c r="AK299" s="71"/>
      <c r="AL299" s="71" t="s">
        <v>48</v>
      </c>
      <c r="AM299" s="71"/>
      <c r="AN299" s="71"/>
      <c r="AO299" s="77" t="s">
        <v>825</v>
      </c>
      <c r="AP299" s="71">
        <v>17737776729</v>
      </c>
      <c r="AQ299" s="71"/>
    </row>
    <row r="300" s="1" customFormat="1" ht="20.15" customHeight="1" spans="1:43">
      <c r="A300" s="42">
        <f t="shared" si="23"/>
        <v>296</v>
      </c>
      <c r="B300" s="42" t="s">
        <v>764</v>
      </c>
      <c r="C300" s="156">
        <v>5023</v>
      </c>
      <c r="D300" s="43"/>
      <c r="E300" s="157">
        <v>32.425</v>
      </c>
      <c r="F300" s="47"/>
      <c r="G300" s="42">
        <v>4356</v>
      </c>
      <c r="H300" s="42">
        <v>500</v>
      </c>
      <c r="I300" s="42" t="s">
        <v>826</v>
      </c>
      <c r="J300" s="42"/>
      <c r="K300" s="45" t="s">
        <v>827</v>
      </c>
      <c r="L300" s="42" t="s">
        <v>11</v>
      </c>
      <c r="M300" s="46">
        <v>45622</v>
      </c>
      <c r="N300" s="46">
        <v>45717</v>
      </c>
      <c r="O300" s="46">
        <v>46081</v>
      </c>
      <c r="P300" s="46">
        <v>45717</v>
      </c>
      <c r="Q300" s="47">
        <v>4500</v>
      </c>
      <c r="R300" s="47"/>
      <c r="S300" s="47">
        <f t="shared" si="26"/>
        <v>4500</v>
      </c>
      <c r="T300" s="47">
        <f t="shared" si="27"/>
        <v>11.9671232876712</v>
      </c>
      <c r="U300" s="42">
        <v>10000</v>
      </c>
      <c r="V300" s="42">
        <v>4500</v>
      </c>
      <c r="W300" s="42">
        <v>500</v>
      </c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8" t="s">
        <v>828</v>
      </c>
      <c r="AP300" s="42">
        <v>13533117731</v>
      </c>
      <c r="AQ300" s="42"/>
    </row>
    <row r="301" s="1" customFormat="1" ht="20.15" customHeight="1" spans="1:43">
      <c r="A301" s="42">
        <f t="shared" si="23"/>
        <v>297</v>
      </c>
      <c r="B301" s="42" t="s">
        <v>764</v>
      </c>
      <c r="C301" s="42">
        <v>5024</v>
      </c>
      <c r="D301" s="43"/>
      <c r="E301" s="157">
        <v>32.425</v>
      </c>
      <c r="F301" s="47"/>
      <c r="G301" s="42">
        <v>4356</v>
      </c>
      <c r="H301" s="42">
        <v>500</v>
      </c>
      <c r="I301" s="42" t="s">
        <v>826</v>
      </c>
      <c r="J301" s="42"/>
      <c r="K301" s="45" t="s">
        <v>829</v>
      </c>
      <c r="L301" s="42" t="s">
        <v>11</v>
      </c>
      <c r="M301" s="46">
        <v>45622</v>
      </c>
      <c r="N301" s="46">
        <v>45717</v>
      </c>
      <c r="O301" s="46">
        <v>46081</v>
      </c>
      <c r="P301" s="46">
        <v>45717</v>
      </c>
      <c r="Q301" s="47">
        <v>4500</v>
      </c>
      <c r="R301" s="47"/>
      <c r="S301" s="47">
        <f t="shared" si="26"/>
        <v>4500</v>
      </c>
      <c r="T301" s="47">
        <f t="shared" si="27"/>
        <v>11.9671232876712</v>
      </c>
      <c r="U301" s="42">
        <v>10000</v>
      </c>
      <c r="V301" s="42">
        <v>4500</v>
      </c>
      <c r="W301" s="42">
        <v>500</v>
      </c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8" t="s">
        <v>828</v>
      </c>
      <c r="AP301" s="42">
        <v>13533117731</v>
      </c>
      <c r="AQ301" s="42"/>
    </row>
    <row r="302" s="1" customFormat="1" ht="20.15" customHeight="1" spans="1:43">
      <c r="A302" s="42">
        <f t="shared" si="23"/>
        <v>298</v>
      </c>
      <c r="B302" s="42" t="s">
        <v>764</v>
      </c>
      <c r="C302" s="156">
        <v>5025</v>
      </c>
      <c r="D302" s="43"/>
      <c r="E302" s="157">
        <v>32.425</v>
      </c>
      <c r="F302" s="47"/>
      <c r="G302" s="42">
        <v>5210</v>
      </c>
      <c r="H302" s="162">
        <v>500</v>
      </c>
      <c r="I302" s="42" t="s">
        <v>830</v>
      </c>
      <c r="J302" s="42"/>
      <c r="K302" s="45" t="s">
        <v>831</v>
      </c>
      <c r="L302" s="42" t="s">
        <v>11</v>
      </c>
      <c r="M302" s="46">
        <v>45634</v>
      </c>
      <c r="N302" s="46">
        <v>45732</v>
      </c>
      <c r="O302" s="46">
        <v>46096</v>
      </c>
      <c r="P302" s="46">
        <v>45732</v>
      </c>
      <c r="Q302" s="47">
        <v>4500</v>
      </c>
      <c r="R302" s="47"/>
      <c r="S302" s="47">
        <f t="shared" si="26"/>
        <v>4500</v>
      </c>
      <c r="T302" s="47">
        <f t="shared" si="27"/>
        <v>11.9671232876712</v>
      </c>
      <c r="U302" s="42">
        <v>10000</v>
      </c>
      <c r="V302" s="42">
        <v>4500</v>
      </c>
      <c r="W302" s="42">
        <v>500</v>
      </c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8" t="s">
        <v>832</v>
      </c>
      <c r="AP302" s="42">
        <v>13680550529</v>
      </c>
      <c r="AQ302" s="42"/>
    </row>
    <row r="303" s="1" customFormat="1" ht="20.15" customHeight="1" spans="1:43">
      <c r="A303" s="42">
        <f t="shared" si="23"/>
        <v>299</v>
      </c>
      <c r="B303" s="42" t="s">
        <v>764</v>
      </c>
      <c r="C303" s="156">
        <v>5026</v>
      </c>
      <c r="D303" s="43"/>
      <c r="E303" s="157">
        <v>32.425</v>
      </c>
      <c r="F303" s="47"/>
      <c r="G303" s="42">
        <v>4356</v>
      </c>
      <c r="H303" s="162">
        <v>500</v>
      </c>
      <c r="I303" s="42" t="s">
        <v>833</v>
      </c>
      <c r="J303" s="42"/>
      <c r="K303" s="45" t="s">
        <v>834</v>
      </c>
      <c r="L303" s="42" t="s">
        <v>11</v>
      </c>
      <c r="M303" s="46">
        <v>45647</v>
      </c>
      <c r="N303" s="46">
        <v>45748</v>
      </c>
      <c r="O303" s="46">
        <v>46112</v>
      </c>
      <c r="P303" s="46">
        <v>45748</v>
      </c>
      <c r="Q303" s="47">
        <v>4500</v>
      </c>
      <c r="R303" s="47"/>
      <c r="S303" s="47">
        <f t="shared" si="26"/>
        <v>4500</v>
      </c>
      <c r="T303" s="47">
        <v>12</v>
      </c>
      <c r="U303" s="42">
        <v>10000</v>
      </c>
      <c r="V303" s="42">
        <v>4500</v>
      </c>
      <c r="W303" s="42">
        <v>500</v>
      </c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8" t="s">
        <v>835</v>
      </c>
      <c r="AP303" s="42">
        <v>13393957631</v>
      </c>
      <c r="AQ303" s="42"/>
    </row>
    <row r="304" s="1" customFormat="1" ht="20.15" customHeight="1" spans="1:43">
      <c r="A304" s="42">
        <f t="shared" si="23"/>
        <v>300</v>
      </c>
      <c r="B304" s="42" t="s">
        <v>764</v>
      </c>
      <c r="C304" s="42">
        <v>5027</v>
      </c>
      <c r="D304" s="43"/>
      <c r="E304" s="157">
        <v>32.425</v>
      </c>
      <c r="F304" s="47"/>
      <c r="G304" s="42">
        <v>4356</v>
      </c>
      <c r="H304" s="42">
        <v>500</v>
      </c>
      <c r="I304" s="42" t="s">
        <v>836</v>
      </c>
      <c r="J304" s="42"/>
      <c r="K304" s="45" t="s">
        <v>837</v>
      </c>
      <c r="L304" s="42" t="s">
        <v>11</v>
      </c>
      <c r="M304" s="46">
        <v>45650</v>
      </c>
      <c r="N304" s="46">
        <v>45732</v>
      </c>
      <c r="O304" s="46">
        <v>46096</v>
      </c>
      <c r="P304" s="46">
        <v>45732</v>
      </c>
      <c r="Q304" s="47">
        <v>4500</v>
      </c>
      <c r="R304" s="47"/>
      <c r="S304" s="47">
        <f t="shared" si="26"/>
        <v>4500</v>
      </c>
      <c r="T304" s="47">
        <f t="shared" ref="T304:T325" si="28">(O304-N304)/365*12</f>
        <v>11.9671232876712</v>
      </c>
      <c r="U304" s="42">
        <v>10000</v>
      </c>
      <c r="V304" s="42">
        <v>4500</v>
      </c>
      <c r="W304" s="42">
        <v>500</v>
      </c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8" t="s">
        <v>838</v>
      </c>
      <c r="AP304" s="42">
        <v>18813225875</v>
      </c>
      <c r="AQ304" s="42"/>
    </row>
    <row r="305" s="1" customFormat="1" ht="20.15" customHeight="1" spans="1:43">
      <c r="A305" s="42">
        <f t="shared" si="23"/>
        <v>301</v>
      </c>
      <c r="B305" s="42" t="s">
        <v>764</v>
      </c>
      <c r="C305" s="156">
        <v>5028</v>
      </c>
      <c r="D305" s="43"/>
      <c r="E305" s="157">
        <v>32.425</v>
      </c>
      <c r="F305" s="47"/>
      <c r="G305" s="42">
        <v>4356</v>
      </c>
      <c r="H305" s="42">
        <v>500</v>
      </c>
      <c r="I305" s="162" t="s">
        <v>830</v>
      </c>
      <c r="J305" s="42"/>
      <c r="K305" s="45" t="s">
        <v>839</v>
      </c>
      <c r="L305" s="42" t="s">
        <v>11</v>
      </c>
      <c r="M305" s="46">
        <v>45634</v>
      </c>
      <c r="N305" s="46">
        <v>45731</v>
      </c>
      <c r="O305" s="46">
        <v>46095</v>
      </c>
      <c r="P305" s="46">
        <v>45731</v>
      </c>
      <c r="Q305" s="47">
        <v>4500</v>
      </c>
      <c r="R305" s="47"/>
      <c r="S305" s="47">
        <f t="shared" si="26"/>
        <v>4500</v>
      </c>
      <c r="T305" s="47">
        <f t="shared" si="28"/>
        <v>11.9671232876712</v>
      </c>
      <c r="U305" s="42">
        <v>10000</v>
      </c>
      <c r="V305" s="42">
        <v>4500</v>
      </c>
      <c r="W305" s="42">
        <v>500</v>
      </c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8" t="s">
        <v>840</v>
      </c>
      <c r="AP305" s="42">
        <v>13928921279</v>
      </c>
      <c r="AQ305" s="42"/>
    </row>
    <row r="306" s="1" customFormat="1" ht="20.15" customHeight="1" spans="1:43">
      <c r="A306" s="42">
        <f t="shared" si="23"/>
        <v>302</v>
      </c>
      <c r="B306" s="42" t="s">
        <v>764</v>
      </c>
      <c r="C306" s="42">
        <v>5029</v>
      </c>
      <c r="D306" s="43"/>
      <c r="E306" s="157">
        <v>32.425</v>
      </c>
      <c r="F306" s="47"/>
      <c r="G306" s="42">
        <v>4356</v>
      </c>
      <c r="H306" s="42">
        <v>500</v>
      </c>
      <c r="I306" s="162" t="s">
        <v>841</v>
      </c>
      <c r="J306" s="42"/>
      <c r="K306" s="45" t="s">
        <v>842</v>
      </c>
      <c r="L306" s="42" t="s">
        <v>11</v>
      </c>
      <c r="M306" s="46">
        <v>45611</v>
      </c>
      <c r="N306" s="46">
        <v>45717</v>
      </c>
      <c r="O306" s="46">
        <v>46081</v>
      </c>
      <c r="P306" s="46">
        <v>45717</v>
      </c>
      <c r="Q306" s="47">
        <v>4500</v>
      </c>
      <c r="R306" s="47"/>
      <c r="S306" s="47">
        <f t="shared" si="26"/>
        <v>4500</v>
      </c>
      <c r="T306" s="47">
        <f t="shared" si="28"/>
        <v>11.9671232876712</v>
      </c>
      <c r="U306" s="42">
        <v>10000</v>
      </c>
      <c r="V306" s="42">
        <v>4500</v>
      </c>
      <c r="W306" s="42">
        <v>500</v>
      </c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8" t="s">
        <v>843</v>
      </c>
      <c r="AP306" s="42">
        <v>13559810952</v>
      </c>
      <c r="AQ306" s="42"/>
    </row>
    <row r="307" s="1" customFormat="1" ht="20.15" customHeight="1" spans="1:43">
      <c r="A307" s="42">
        <f t="shared" si="23"/>
        <v>303</v>
      </c>
      <c r="B307" s="42" t="s">
        <v>764</v>
      </c>
      <c r="C307" s="42">
        <v>5030</v>
      </c>
      <c r="D307" s="43"/>
      <c r="E307" s="157">
        <v>32.425</v>
      </c>
      <c r="F307" s="47"/>
      <c r="G307" s="42">
        <v>4356</v>
      </c>
      <c r="H307" s="42">
        <v>500</v>
      </c>
      <c r="I307" s="42" t="s">
        <v>629</v>
      </c>
      <c r="J307" s="42"/>
      <c r="K307" s="45" t="s">
        <v>844</v>
      </c>
      <c r="L307" s="42" t="s">
        <v>11</v>
      </c>
      <c r="M307" s="46">
        <v>45650</v>
      </c>
      <c r="N307" s="46">
        <v>45732</v>
      </c>
      <c r="O307" s="46">
        <v>46096</v>
      </c>
      <c r="P307" s="46">
        <v>45732</v>
      </c>
      <c r="Q307" s="47">
        <v>4500</v>
      </c>
      <c r="R307" s="47"/>
      <c r="S307" s="47">
        <f t="shared" si="26"/>
        <v>4500</v>
      </c>
      <c r="T307" s="47">
        <f t="shared" si="28"/>
        <v>11.9671232876712</v>
      </c>
      <c r="U307" s="42">
        <v>10000</v>
      </c>
      <c r="V307" s="42">
        <v>4500</v>
      </c>
      <c r="W307" s="42">
        <v>500</v>
      </c>
      <c r="X307" s="42"/>
      <c r="Y307" s="42"/>
      <c r="Z307" s="42"/>
      <c r="AA307" s="42"/>
      <c r="AB307" s="42"/>
      <c r="AC307" s="42"/>
      <c r="AD307" s="42"/>
      <c r="AE307" s="42" t="s">
        <v>48</v>
      </c>
      <c r="AF307" s="42" t="s">
        <v>48</v>
      </c>
      <c r="AG307" s="42" t="s">
        <v>48</v>
      </c>
      <c r="AH307" s="42" t="s">
        <v>48</v>
      </c>
      <c r="AI307" s="42"/>
      <c r="AJ307" s="42"/>
      <c r="AK307" s="42"/>
      <c r="AL307" s="42" t="s">
        <v>48</v>
      </c>
      <c r="AM307" s="42"/>
      <c r="AN307" s="42"/>
      <c r="AO307" s="48" t="s">
        <v>630</v>
      </c>
      <c r="AP307" s="42">
        <v>13622212348</v>
      </c>
      <c r="AQ307" s="42"/>
    </row>
    <row r="308" s="1" customFormat="1" ht="20.15" customHeight="1" spans="1:43">
      <c r="A308" s="42">
        <f t="shared" si="23"/>
        <v>304</v>
      </c>
      <c r="B308" s="42" t="s">
        <v>764</v>
      </c>
      <c r="C308" s="42">
        <v>5031</v>
      </c>
      <c r="D308" s="43"/>
      <c r="E308" s="157">
        <v>32.425</v>
      </c>
      <c r="F308" s="47"/>
      <c r="G308" s="42">
        <v>4356</v>
      </c>
      <c r="H308" s="42">
        <v>500</v>
      </c>
      <c r="I308" s="42" t="s">
        <v>845</v>
      </c>
      <c r="J308" s="42"/>
      <c r="K308" s="45" t="s">
        <v>846</v>
      </c>
      <c r="L308" s="42" t="s">
        <v>11</v>
      </c>
      <c r="M308" s="46">
        <v>45622</v>
      </c>
      <c r="N308" s="46">
        <v>45732</v>
      </c>
      <c r="O308" s="46">
        <v>46096</v>
      </c>
      <c r="P308" s="46">
        <v>45732</v>
      </c>
      <c r="Q308" s="47">
        <v>4500</v>
      </c>
      <c r="R308" s="47"/>
      <c r="S308" s="47">
        <f t="shared" si="26"/>
        <v>4500</v>
      </c>
      <c r="T308" s="47">
        <f t="shared" si="28"/>
        <v>11.9671232876712</v>
      </c>
      <c r="U308" s="42">
        <v>10000</v>
      </c>
      <c r="V308" s="42">
        <v>4500</v>
      </c>
      <c r="W308" s="42">
        <v>500</v>
      </c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8" t="s">
        <v>847</v>
      </c>
      <c r="AP308" s="42">
        <v>13040272022</v>
      </c>
      <c r="AQ308" s="42"/>
    </row>
    <row r="309" s="1" customFormat="1" ht="20.15" customHeight="1" spans="1:43">
      <c r="A309" s="42">
        <f t="shared" si="23"/>
        <v>305</v>
      </c>
      <c r="B309" s="42" t="s">
        <v>764</v>
      </c>
      <c r="C309" s="42">
        <v>5032</v>
      </c>
      <c r="D309" s="43"/>
      <c r="E309" s="157">
        <v>32.425</v>
      </c>
      <c r="F309" s="47"/>
      <c r="G309" s="42">
        <v>4356</v>
      </c>
      <c r="H309" s="42">
        <v>500</v>
      </c>
      <c r="I309" s="42" t="s">
        <v>848</v>
      </c>
      <c r="J309" s="42"/>
      <c r="K309" s="45" t="s">
        <v>849</v>
      </c>
      <c r="L309" s="42" t="s">
        <v>11</v>
      </c>
      <c r="M309" s="46">
        <v>45625</v>
      </c>
      <c r="N309" s="46">
        <v>45732</v>
      </c>
      <c r="O309" s="46">
        <v>46096</v>
      </c>
      <c r="P309" s="46">
        <v>45732</v>
      </c>
      <c r="Q309" s="47">
        <v>4500</v>
      </c>
      <c r="R309" s="47"/>
      <c r="S309" s="47">
        <f t="shared" si="26"/>
        <v>4500</v>
      </c>
      <c r="T309" s="47">
        <f t="shared" si="28"/>
        <v>11.9671232876712</v>
      </c>
      <c r="U309" s="42">
        <v>10000</v>
      </c>
      <c r="V309" s="53">
        <v>4500</v>
      </c>
      <c r="W309" s="42">
        <v>500</v>
      </c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8" t="s">
        <v>587</v>
      </c>
      <c r="AP309" s="42">
        <v>15603339489</v>
      </c>
      <c r="AQ309" s="42"/>
    </row>
    <row r="310" s="1" customFormat="1" ht="20.15" customHeight="1" spans="1:43">
      <c r="A310" s="42">
        <f t="shared" ref="A310:A326" si="29">ROW()-4</f>
        <v>306</v>
      </c>
      <c r="B310" s="42" t="s">
        <v>764</v>
      </c>
      <c r="C310" s="42">
        <v>5033</v>
      </c>
      <c r="D310" s="43"/>
      <c r="E310" s="157">
        <v>32.425</v>
      </c>
      <c r="F310" s="47"/>
      <c r="G310" s="42">
        <v>4500</v>
      </c>
      <c r="H310" s="42">
        <v>500</v>
      </c>
      <c r="I310" s="42" t="s">
        <v>850</v>
      </c>
      <c r="J310" s="42"/>
      <c r="K310" s="45" t="s">
        <v>851</v>
      </c>
      <c r="L310" s="42" t="s">
        <v>11</v>
      </c>
      <c r="M310" s="46">
        <v>45943</v>
      </c>
      <c r="N310" s="46">
        <v>45901</v>
      </c>
      <c r="O310" s="46">
        <v>46265</v>
      </c>
      <c r="P310" s="46">
        <v>45901</v>
      </c>
      <c r="Q310" s="47">
        <v>4500</v>
      </c>
      <c r="R310" s="47"/>
      <c r="S310" s="47">
        <f t="shared" si="26"/>
        <v>4500</v>
      </c>
      <c r="T310" s="47">
        <f t="shared" si="28"/>
        <v>11.9671232876712</v>
      </c>
      <c r="U310" s="42">
        <v>10000</v>
      </c>
      <c r="V310" s="42">
        <v>4500</v>
      </c>
      <c r="W310" s="42">
        <v>500</v>
      </c>
      <c r="X310" s="42"/>
      <c r="Y310" s="42"/>
      <c r="Z310" s="42"/>
      <c r="AA310" s="42"/>
      <c r="AB310" s="42"/>
      <c r="AC310" s="42"/>
      <c r="AD310" s="42" t="s">
        <v>104</v>
      </c>
      <c r="AE310" s="42" t="s">
        <v>104</v>
      </c>
      <c r="AF310" s="42" t="s">
        <v>104</v>
      </c>
      <c r="AG310" s="42" t="s">
        <v>104</v>
      </c>
      <c r="AH310" s="42" t="s">
        <v>104</v>
      </c>
      <c r="AI310" s="42" t="s">
        <v>104</v>
      </c>
      <c r="AJ310" s="42" t="s">
        <v>104</v>
      </c>
      <c r="AK310" s="42" t="s">
        <v>104</v>
      </c>
      <c r="AL310" s="42" t="s">
        <v>104</v>
      </c>
      <c r="AM310" s="42" t="s">
        <v>104</v>
      </c>
      <c r="AN310" s="42" t="s">
        <v>104</v>
      </c>
      <c r="AO310" s="48" t="s">
        <v>852</v>
      </c>
      <c r="AP310" s="42">
        <v>15774100932</v>
      </c>
      <c r="AQ310" s="42"/>
    </row>
    <row r="311" s="4" customFormat="1" ht="20.15" customHeight="1" spans="1:43">
      <c r="A311" s="66">
        <f t="shared" si="29"/>
        <v>307</v>
      </c>
      <c r="B311" s="66" t="s">
        <v>764</v>
      </c>
      <c r="C311" s="66">
        <v>5034</v>
      </c>
      <c r="D311" s="43"/>
      <c r="E311" s="157">
        <v>32.425</v>
      </c>
      <c r="F311" s="47"/>
      <c r="G311" s="42">
        <v>4500</v>
      </c>
      <c r="H311" s="42">
        <v>500</v>
      </c>
      <c r="I311" s="66" t="s">
        <v>853</v>
      </c>
      <c r="J311" s="42"/>
      <c r="K311" s="45" t="s">
        <v>854</v>
      </c>
      <c r="L311" s="42" t="s">
        <v>11</v>
      </c>
      <c r="M311" s="67">
        <v>45893</v>
      </c>
      <c r="N311" s="67">
        <v>45910</v>
      </c>
      <c r="O311" s="67">
        <v>46274</v>
      </c>
      <c r="P311" s="67">
        <v>45910</v>
      </c>
      <c r="Q311" s="68">
        <v>4500</v>
      </c>
      <c r="R311" s="68"/>
      <c r="S311" s="68">
        <f t="shared" si="26"/>
        <v>4500</v>
      </c>
      <c r="T311" s="68">
        <f t="shared" si="28"/>
        <v>11.9671232876712</v>
      </c>
      <c r="U311" s="66">
        <v>10000</v>
      </c>
      <c r="V311" s="66">
        <v>4500</v>
      </c>
      <c r="W311" s="66">
        <v>500</v>
      </c>
      <c r="X311" s="66"/>
      <c r="Y311" s="66"/>
      <c r="Z311" s="42"/>
      <c r="AA311" s="42"/>
      <c r="AB311" s="42"/>
      <c r="AC311" s="42"/>
      <c r="AD311" s="66"/>
      <c r="AE311" s="66" t="s">
        <v>48</v>
      </c>
      <c r="AF311" s="66" t="s">
        <v>48</v>
      </c>
      <c r="AG311" s="66" t="s">
        <v>48</v>
      </c>
      <c r="AH311" s="66" t="s">
        <v>48</v>
      </c>
      <c r="AI311" s="66" t="s">
        <v>48</v>
      </c>
      <c r="AJ311" s="66" t="s">
        <v>48</v>
      </c>
      <c r="AK311" s="66" t="s">
        <v>48</v>
      </c>
      <c r="AL311" s="66" t="s">
        <v>48</v>
      </c>
      <c r="AM311" s="66" t="s">
        <v>48</v>
      </c>
      <c r="AN311" s="66" t="s">
        <v>48</v>
      </c>
      <c r="AO311" s="69" t="s">
        <v>855</v>
      </c>
      <c r="AP311" s="66">
        <v>13300114567</v>
      </c>
      <c r="AQ311" s="66"/>
    </row>
    <row r="312" s="1" customFormat="1" ht="20.15" customHeight="1" spans="1:43">
      <c r="A312" s="42">
        <f t="shared" si="29"/>
        <v>308</v>
      </c>
      <c r="B312" s="42" t="s">
        <v>764</v>
      </c>
      <c r="C312" s="42">
        <v>5035</v>
      </c>
      <c r="D312" s="43"/>
      <c r="E312" s="157">
        <v>32.425</v>
      </c>
      <c r="F312" s="47"/>
      <c r="G312" s="42">
        <v>4356</v>
      </c>
      <c r="H312" s="42">
        <v>500</v>
      </c>
      <c r="I312" s="42" t="s">
        <v>725</v>
      </c>
      <c r="J312" s="42"/>
      <c r="K312" s="45" t="s">
        <v>856</v>
      </c>
      <c r="L312" s="42" t="s">
        <v>11</v>
      </c>
      <c r="M312" s="46">
        <v>45625</v>
      </c>
      <c r="N312" s="46">
        <v>45732</v>
      </c>
      <c r="O312" s="46">
        <v>46096</v>
      </c>
      <c r="P312" s="46">
        <v>45732</v>
      </c>
      <c r="Q312" s="47">
        <v>4500</v>
      </c>
      <c r="R312" s="47"/>
      <c r="S312" s="47">
        <f t="shared" si="26"/>
        <v>4500</v>
      </c>
      <c r="T312" s="47">
        <f t="shared" si="28"/>
        <v>11.9671232876712</v>
      </c>
      <c r="U312" s="42">
        <v>10000</v>
      </c>
      <c r="V312" s="42">
        <v>4500</v>
      </c>
      <c r="W312" s="42">
        <v>500</v>
      </c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8" t="s">
        <v>727</v>
      </c>
      <c r="AP312" s="42">
        <v>13827115026</v>
      </c>
      <c r="AQ312" s="42"/>
    </row>
    <row r="313" s="1" customFormat="1" ht="20.15" customHeight="1" spans="1:43">
      <c r="A313" s="42">
        <f t="shared" si="29"/>
        <v>309</v>
      </c>
      <c r="B313" s="42" t="s">
        <v>764</v>
      </c>
      <c r="C313" s="42">
        <v>5036</v>
      </c>
      <c r="D313" s="43"/>
      <c r="E313" s="157">
        <v>32.425</v>
      </c>
      <c r="F313" s="47"/>
      <c r="G313" s="162">
        <v>4356</v>
      </c>
      <c r="H313" s="42">
        <v>500</v>
      </c>
      <c r="I313" s="42" t="s">
        <v>857</v>
      </c>
      <c r="J313" s="42"/>
      <c r="K313" s="45" t="s">
        <v>858</v>
      </c>
      <c r="L313" s="42" t="s">
        <v>11</v>
      </c>
      <c r="M313" s="46">
        <v>45650</v>
      </c>
      <c r="N313" s="46">
        <v>45732</v>
      </c>
      <c r="O313" s="46">
        <v>46096</v>
      </c>
      <c r="P313" s="46">
        <v>45732</v>
      </c>
      <c r="Q313" s="47">
        <v>4500</v>
      </c>
      <c r="R313" s="47"/>
      <c r="S313" s="47">
        <f t="shared" si="26"/>
        <v>4500</v>
      </c>
      <c r="T313" s="47">
        <f t="shared" si="28"/>
        <v>11.9671232876712</v>
      </c>
      <c r="U313" s="42">
        <v>10000</v>
      </c>
      <c r="V313" s="42">
        <v>4500</v>
      </c>
      <c r="W313" s="42">
        <v>500</v>
      </c>
      <c r="X313" s="42"/>
      <c r="Y313" s="42"/>
      <c r="Z313" s="42"/>
      <c r="AA313" s="42"/>
      <c r="AB313" s="42"/>
      <c r="AC313" s="42"/>
      <c r="AD313" s="42"/>
      <c r="AE313" s="42" t="s">
        <v>48</v>
      </c>
      <c r="AF313" s="42" t="s">
        <v>48</v>
      </c>
      <c r="AG313" s="42" t="s">
        <v>48</v>
      </c>
      <c r="AH313" s="42" t="s">
        <v>48</v>
      </c>
      <c r="AI313" s="42"/>
      <c r="AJ313" s="42"/>
      <c r="AK313" s="42"/>
      <c r="AL313" s="42" t="s">
        <v>48</v>
      </c>
      <c r="AM313" s="42"/>
      <c r="AN313" s="42"/>
      <c r="AO313" s="48" t="s">
        <v>859</v>
      </c>
      <c r="AP313" s="42">
        <v>15313311267</v>
      </c>
      <c r="AQ313" s="42"/>
    </row>
    <row r="314" s="2" customFormat="1" ht="20.15" customHeight="1" spans="1:43">
      <c r="A314" s="52">
        <f t="shared" si="29"/>
        <v>310</v>
      </c>
      <c r="B314" s="52" t="s">
        <v>764</v>
      </c>
      <c r="C314" s="52">
        <v>5037</v>
      </c>
      <c r="D314" s="56"/>
      <c r="E314" s="160">
        <v>32.425</v>
      </c>
      <c r="F314" s="59"/>
      <c r="G314" s="52">
        <v>4356</v>
      </c>
      <c r="H314" s="52">
        <v>500</v>
      </c>
      <c r="I314" s="52" t="s">
        <v>860</v>
      </c>
      <c r="J314" s="52"/>
      <c r="K314" s="61" t="s">
        <v>861</v>
      </c>
      <c r="L314" s="52" t="s">
        <v>11</v>
      </c>
      <c r="M314" s="58">
        <v>45958</v>
      </c>
      <c r="N314" s="58">
        <v>45935</v>
      </c>
      <c r="O314" s="58">
        <v>46299</v>
      </c>
      <c r="P314" s="58">
        <v>45935</v>
      </c>
      <c r="Q314" s="59">
        <v>4500</v>
      </c>
      <c r="R314" s="59"/>
      <c r="S314" s="59">
        <f t="shared" si="26"/>
        <v>4500</v>
      </c>
      <c r="T314" s="59">
        <f t="shared" si="28"/>
        <v>11.9671232876712</v>
      </c>
      <c r="U314" s="52">
        <v>10000</v>
      </c>
      <c r="V314" s="52">
        <v>4500</v>
      </c>
      <c r="W314" s="52">
        <v>500</v>
      </c>
      <c r="X314" s="52"/>
      <c r="Y314" s="52"/>
      <c r="Z314" s="42"/>
      <c r="AA314" s="42"/>
      <c r="AB314" s="42"/>
      <c r="AC314" s="4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60" t="s">
        <v>862</v>
      </c>
      <c r="AP314" s="52">
        <v>15315685599</v>
      </c>
      <c r="AQ314" s="52"/>
    </row>
    <row r="315" s="1" customFormat="1" ht="20.15" customHeight="1" spans="1:43">
      <c r="A315" s="42">
        <f t="shared" si="29"/>
        <v>311</v>
      </c>
      <c r="B315" s="42" t="s">
        <v>764</v>
      </c>
      <c r="C315" s="42">
        <v>5038</v>
      </c>
      <c r="D315" s="43"/>
      <c r="E315" s="157">
        <v>32.425</v>
      </c>
      <c r="F315" s="47"/>
      <c r="G315" s="42">
        <v>4356</v>
      </c>
      <c r="H315" s="42">
        <v>500</v>
      </c>
      <c r="I315" s="42" t="s">
        <v>863</v>
      </c>
      <c r="J315" s="42"/>
      <c r="K315" s="45" t="s">
        <v>856</v>
      </c>
      <c r="L315" s="42" t="s">
        <v>11</v>
      </c>
      <c r="M315" s="46">
        <v>45624</v>
      </c>
      <c r="N315" s="46">
        <v>45717</v>
      </c>
      <c r="O315" s="46">
        <v>46081</v>
      </c>
      <c r="P315" s="46">
        <v>45717</v>
      </c>
      <c r="Q315" s="47">
        <v>4500</v>
      </c>
      <c r="R315" s="47"/>
      <c r="S315" s="47">
        <f t="shared" si="26"/>
        <v>4500</v>
      </c>
      <c r="T315" s="47">
        <f t="shared" si="28"/>
        <v>11.9671232876712</v>
      </c>
      <c r="U315" s="42">
        <v>10000</v>
      </c>
      <c r="V315" s="42">
        <v>4500</v>
      </c>
      <c r="W315" s="42">
        <v>500</v>
      </c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8" t="s">
        <v>864</v>
      </c>
      <c r="AP315" s="42">
        <v>13798267259</v>
      </c>
      <c r="AQ315" s="42"/>
    </row>
    <row r="316" s="5" customFormat="1" ht="20.15" customHeight="1" spans="1:43">
      <c r="A316" s="71">
        <f t="shared" si="29"/>
        <v>312</v>
      </c>
      <c r="B316" s="71" t="s">
        <v>764</v>
      </c>
      <c r="C316" s="71">
        <v>5039</v>
      </c>
      <c r="D316" s="72"/>
      <c r="E316" s="158">
        <v>32.425</v>
      </c>
      <c r="F316" s="76"/>
      <c r="G316" s="71">
        <v>4500</v>
      </c>
      <c r="H316" s="71">
        <v>500</v>
      </c>
      <c r="I316" s="71" t="s">
        <v>865</v>
      </c>
      <c r="J316" s="71"/>
      <c r="K316" s="74" t="s">
        <v>866</v>
      </c>
      <c r="L316" s="71" t="s">
        <v>11</v>
      </c>
      <c r="M316" s="75">
        <v>45961</v>
      </c>
      <c r="N316" s="75">
        <v>45901</v>
      </c>
      <c r="O316" s="75">
        <v>46265</v>
      </c>
      <c r="P316" s="75">
        <v>45901</v>
      </c>
      <c r="Q316" s="76">
        <v>4500</v>
      </c>
      <c r="R316" s="76"/>
      <c r="S316" s="76">
        <f t="shared" si="26"/>
        <v>4500</v>
      </c>
      <c r="T316" s="76">
        <f t="shared" si="28"/>
        <v>11.9671232876712</v>
      </c>
      <c r="U316" s="71">
        <v>10000</v>
      </c>
      <c r="V316" s="71">
        <v>4500</v>
      </c>
      <c r="W316" s="71">
        <v>500</v>
      </c>
      <c r="X316" s="71"/>
      <c r="Y316" s="71"/>
      <c r="Z316" s="42"/>
      <c r="AA316" s="42"/>
      <c r="AB316" s="42"/>
      <c r="AC316" s="42"/>
      <c r="AD316" s="71" t="s">
        <v>48</v>
      </c>
      <c r="AE316" s="71" t="s">
        <v>48</v>
      </c>
      <c r="AF316" s="71" t="s">
        <v>48</v>
      </c>
      <c r="AG316" s="71" t="s">
        <v>48</v>
      </c>
      <c r="AH316" s="71" t="s">
        <v>48</v>
      </c>
      <c r="AI316" s="71" t="s">
        <v>48</v>
      </c>
      <c r="AJ316" s="71" t="s">
        <v>48</v>
      </c>
      <c r="AK316" s="71" t="s">
        <v>48</v>
      </c>
      <c r="AL316" s="71" t="s">
        <v>48</v>
      </c>
      <c r="AM316" s="71" t="s">
        <v>48</v>
      </c>
      <c r="AN316" s="71" t="s">
        <v>48</v>
      </c>
      <c r="AO316" s="77" t="s">
        <v>867</v>
      </c>
      <c r="AP316" s="71">
        <v>18520121913</v>
      </c>
      <c r="AQ316" s="71"/>
    </row>
    <row r="317" s="1" customFormat="1" ht="20.15" customHeight="1" spans="1:43">
      <c r="A317" s="42">
        <f t="shared" si="29"/>
        <v>313</v>
      </c>
      <c r="B317" s="42" t="s">
        <v>764</v>
      </c>
      <c r="C317" s="42">
        <v>5040</v>
      </c>
      <c r="D317" s="43"/>
      <c r="E317" s="157">
        <v>32.425</v>
      </c>
      <c r="F317" s="47"/>
      <c r="G317" s="42">
        <v>4356</v>
      </c>
      <c r="H317" s="162">
        <v>500</v>
      </c>
      <c r="I317" s="42" t="s">
        <v>868</v>
      </c>
      <c r="J317" s="42"/>
      <c r="K317" s="45" t="s">
        <v>869</v>
      </c>
      <c r="L317" s="42" t="s">
        <v>11</v>
      </c>
      <c r="M317" s="46">
        <v>45626</v>
      </c>
      <c r="N317" s="46">
        <v>45717</v>
      </c>
      <c r="O317" s="46">
        <v>46081</v>
      </c>
      <c r="P317" s="46">
        <v>45717</v>
      </c>
      <c r="Q317" s="47">
        <v>4500</v>
      </c>
      <c r="R317" s="47"/>
      <c r="S317" s="47">
        <f t="shared" si="26"/>
        <v>4500</v>
      </c>
      <c r="T317" s="47">
        <f t="shared" si="28"/>
        <v>11.9671232876712</v>
      </c>
      <c r="U317" s="42">
        <v>10000</v>
      </c>
      <c r="V317" s="42">
        <v>4500</v>
      </c>
      <c r="W317" s="42">
        <v>500</v>
      </c>
      <c r="X317" s="42"/>
      <c r="Y317" s="42"/>
      <c r="Z317" s="42"/>
      <c r="AA317" s="42"/>
      <c r="AB317" s="42"/>
      <c r="AC317" s="42"/>
      <c r="AD317" s="42"/>
      <c r="AE317" s="42" t="s">
        <v>48</v>
      </c>
      <c r="AF317" s="42"/>
      <c r="AG317" s="42" t="s">
        <v>48</v>
      </c>
      <c r="AH317" s="42" t="s">
        <v>48</v>
      </c>
      <c r="AI317" s="42"/>
      <c r="AJ317" s="42"/>
      <c r="AK317" s="42"/>
      <c r="AL317" s="42" t="s">
        <v>48</v>
      </c>
      <c r="AM317" s="42"/>
      <c r="AN317" s="42"/>
      <c r="AO317" s="48" t="s">
        <v>870</v>
      </c>
      <c r="AP317" s="42">
        <v>18827036983</v>
      </c>
      <c r="AQ317" s="42"/>
    </row>
    <row r="318" s="1" customFormat="1" ht="20.15" customHeight="1" spans="1:43">
      <c r="A318" s="42">
        <f t="shared" si="29"/>
        <v>314</v>
      </c>
      <c r="B318" s="42" t="s">
        <v>764</v>
      </c>
      <c r="C318" s="42">
        <v>5041</v>
      </c>
      <c r="D318" s="43"/>
      <c r="E318" s="157">
        <v>32.425</v>
      </c>
      <c r="F318" s="47"/>
      <c r="G318" s="42">
        <v>4356</v>
      </c>
      <c r="H318" s="162">
        <v>300</v>
      </c>
      <c r="I318" s="42" t="s">
        <v>655</v>
      </c>
      <c r="J318" s="42"/>
      <c r="K318" s="45" t="s">
        <v>871</v>
      </c>
      <c r="L318" s="42" t="s">
        <v>11</v>
      </c>
      <c r="M318" s="46">
        <v>45599</v>
      </c>
      <c r="N318" s="46">
        <v>45717</v>
      </c>
      <c r="O318" s="46">
        <v>46081</v>
      </c>
      <c r="P318" s="46">
        <v>45717</v>
      </c>
      <c r="Q318" s="47">
        <v>4500</v>
      </c>
      <c r="R318" s="47"/>
      <c r="S318" s="47">
        <f t="shared" si="26"/>
        <v>4500</v>
      </c>
      <c r="T318" s="47">
        <f t="shared" si="28"/>
        <v>11.9671232876712</v>
      </c>
      <c r="U318" s="42">
        <v>10000</v>
      </c>
      <c r="V318" s="42">
        <v>4500</v>
      </c>
      <c r="W318" s="42">
        <v>500</v>
      </c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8" t="s">
        <v>657</v>
      </c>
      <c r="AP318" s="42">
        <v>13393953036</v>
      </c>
      <c r="AQ318" s="42"/>
    </row>
    <row r="319" s="4" customFormat="1" ht="20.15" customHeight="1" spans="1:43">
      <c r="A319" s="66">
        <f t="shared" si="29"/>
        <v>315</v>
      </c>
      <c r="B319" s="66" t="s">
        <v>764</v>
      </c>
      <c r="C319" s="66">
        <v>5042</v>
      </c>
      <c r="D319" s="43"/>
      <c r="E319" s="157">
        <v>32.425</v>
      </c>
      <c r="F319" s="47"/>
      <c r="G319" s="162">
        <v>4500</v>
      </c>
      <c r="H319" s="162">
        <v>500</v>
      </c>
      <c r="I319" s="66" t="s">
        <v>245</v>
      </c>
      <c r="J319" s="42"/>
      <c r="K319" s="45" t="s">
        <v>872</v>
      </c>
      <c r="L319" s="42" t="s">
        <v>11</v>
      </c>
      <c r="M319" s="67">
        <v>45896</v>
      </c>
      <c r="N319" s="67">
        <v>45901</v>
      </c>
      <c r="O319" s="67">
        <v>46265</v>
      </c>
      <c r="P319" s="67">
        <v>45901</v>
      </c>
      <c r="Q319" s="68">
        <v>4500</v>
      </c>
      <c r="R319" s="68"/>
      <c r="S319" s="68">
        <f t="shared" si="26"/>
        <v>4500</v>
      </c>
      <c r="T319" s="68">
        <f t="shared" si="28"/>
        <v>11.9671232876712</v>
      </c>
      <c r="U319" s="66">
        <v>10000</v>
      </c>
      <c r="V319" s="66">
        <v>4500</v>
      </c>
      <c r="W319" s="66">
        <v>500</v>
      </c>
      <c r="X319" s="66"/>
      <c r="Y319" s="66"/>
      <c r="Z319" s="42"/>
      <c r="AA319" s="42"/>
      <c r="AB319" s="42"/>
      <c r="AC319" s="42"/>
      <c r="AD319" s="66" t="s">
        <v>48</v>
      </c>
      <c r="AE319" s="66" t="s">
        <v>48</v>
      </c>
      <c r="AF319" s="66" t="s">
        <v>48</v>
      </c>
      <c r="AG319" s="66" t="s">
        <v>48</v>
      </c>
      <c r="AH319" s="66" t="s">
        <v>48</v>
      </c>
      <c r="AI319" s="66" t="s">
        <v>48</v>
      </c>
      <c r="AJ319" s="66" t="s">
        <v>48</v>
      </c>
      <c r="AK319" s="66" t="s">
        <v>48</v>
      </c>
      <c r="AL319" s="66" t="s">
        <v>48</v>
      </c>
      <c r="AM319" s="66" t="s">
        <v>48</v>
      </c>
      <c r="AN319" s="66" t="s">
        <v>48</v>
      </c>
      <c r="AO319" s="69" t="s">
        <v>247</v>
      </c>
      <c r="AP319" s="66">
        <v>18813225875</v>
      </c>
      <c r="AQ319" s="66"/>
    </row>
    <row r="320" s="1" customFormat="1" ht="20.15" customHeight="1" spans="1:43">
      <c r="A320" s="42">
        <f t="shared" si="29"/>
        <v>316</v>
      </c>
      <c r="B320" s="42" t="s">
        <v>764</v>
      </c>
      <c r="C320" s="42">
        <v>5043</v>
      </c>
      <c r="D320" s="43"/>
      <c r="E320" s="157">
        <v>32.425</v>
      </c>
      <c r="F320" s="47"/>
      <c r="G320" s="162">
        <v>4356</v>
      </c>
      <c r="H320" s="162">
        <v>500</v>
      </c>
      <c r="I320" s="42" t="s">
        <v>873</v>
      </c>
      <c r="J320" s="42"/>
      <c r="K320" s="45" t="s">
        <v>874</v>
      </c>
      <c r="L320" s="42" t="s">
        <v>11</v>
      </c>
      <c r="M320" s="46">
        <v>45650</v>
      </c>
      <c r="N320" s="46">
        <v>45732</v>
      </c>
      <c r="O320" s="46">
        <v>46096</v>
      </c>
      <c r="P320" s="46">
        <v>45732</v>
      </c>
      <c r="Q320" s="47">
        <v>4500</v>
      </c>
      <c r="R320" s="47"/>
      <c r="S320" s="47">
        <f t="shared" si="26"/>
        <v>4500</v>
      </c>
      <c r="T320" s="47">
        <f t="shared" si="28"/>
        <v>11.9671232876712</v>
      </c>
      <c r="U320" s="42">
        <v>10000</v>
      </c>
      <c r="V320" s="42">
        <v>4500</v>
      </c>
      <c r="W320" s="42">
        <v>500</v>
      </c>
      <c r="X320" s="42"/>
      <c r="Y320" s="42"/>
      <c r="Z320" s="42"/>
      <c r="AA320" s="42"/>
      <c r="AB320" s="42"/>
      <c r="AC320" s="42"/>
      <c r="AD320" s="42"/>
      <c r="AE320" s="42" t="s">
        <v>48</v>
      </c>
      <c r="AF320" s="42" t="s">
        <v>48</v>
      </c>
      <c r="AG320" s="42" t="s">
        <v>48</v>
      </c>
      <c r="AH320" s="42" t="s">
        <v>48</v>
      </c>
      <c r="AI320" s="42" t="s">
        <v>48</v>
      </c>
      <c r="AJ320" s="42" t="s">
        <v>48</v>
      </c>
      <c r="AK320" s="42" t="s">
        <v>48</v>
      </c>
      <c r="AL320" s="42" t="s">
        <v>48</v>
      </c>
      <c r="AM320" s="42" t="s">
        <v>48</v>
      </c>
      <c r="AN320" s="42" t="s">
        <v>48</v>
      </c>
      <c r="AO320" s="48" t="s">
        <v>875</v>
      </c>
      <c r="AP320" s="42">
        <v>13328115734</v>
      </c>
      <c r="AQ320" s="42"/>
    </row>
    <row r="321" s="1" customFormat="1" ht="20.15" customHeight="1" spans="1:43">
      <c r="A321" s="42">
        <f t="shared" si="29"/>
        <v>317</v>
      </c>
      <c r="B321" s="42" t="s">
        <v>764</v>
      </c>
      <c r="C321" s="42" t="s">
        <v>876</v>
      </c>
      <c r="D321" s="43"/>
      <c r="E321" s="157">
        <v>32.425</v>
      </c>
      <c r="F321" s="47"/>
      <c r="G321" s="162">
        <v>4356</v>
      </c>
      <c r="H321" s="162">
        <v>500</v>
      </c>
      <c r="I321" s="42" t="s">
        <v>877</v>
      </c>
      <c r="J321" s="42"/>
      <c r="K321" s="42" t="s">
        <v>876</v>
      </c>
      <c r="L321" s="42" t="s">
        <v>11</v>
      </c>
      <c r="M321" s="46">
        <v>45616</v>
      </c>
      <c r="N321" s="46">
        <v>45717</v>
      </c>
      <c r="O321" s="46">
        <v>46081</v>
      </c>
      <c r="P321" s="46">
        <v>45717</v>
      </c>
      <c r="Q321" s="47">
        <v>4500</v>
      </c>
      <c r="R321" s="47"/>
      <c r="S321" s="47">
        <f t="shared" si="26"/>
        <v>4500</v>
      </c>
      <c r="T321" s="47">
        <f t="shared" si="28"/>
        <v>11.9671232876712</v>
      </c>
      <c r="U321" s="42">
        <v>10000</v>
      </c>
      <c r="V321" s="42">
        <v>4500</v>
      </c>
      <c r="W321" s="42">
        <v>500</v>
      </c>
      <c r="X321" s="42"/>
      <c r="Y321" s="42"/>
      <c r="Z321" s="49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8" t="s">
        <v>878</v>
      </c>
      <c r="AP321" s="42">
        <v>13046277619</v>
      </c>
      <c r="AQ321" s="42"/>
    </row>
    <row r="322" s="1" customFormat="1" ht="20.15" customHeight="1" spans="1:43">
      <c r="A322" s="42">
        <f t="shared" si="29"/>
        <v>318</v>
      </c>
      <c r="B322" s="42" t="s">
        <v>764</v>
      </c>
      <c r="C322" s="42">
        <v>5045</v>
      </c>
      <c r="D322" s="43"/>
      <c r="E322" s="157">
        <v>32.425</v>
      </c>
      <c r="F322" s="47"/>
      <c r="G322" s="162">
        <v>4356</v>
      </c>
      <c r="H322" s="162">
        <v>500</v>
      </c>
      <c r="I322" s="42" t="s">
        <v>879</v>
      </c>
      <c r="J322" s="42"/>
      <c r="K322" s="45" t="s">
        <v>880</v>
      </c>
      <c r="L322" s="42" t="s">
        <v>11</v>
      </c>
      <c r="M322" s="46">
        <v>45621</v>
      </c>
      <c r="N322" s="46">
        <v>45717</v>
      </c>
      <c r="O322" s="46">
        <v>46081</v>
      </c>
      <c r="P322" s="46">
        <v>45717</v>
      </c>
      <c r="Q322" s="47">
        <v>4500</v>
      </c>
      <c r="R322" s="47"/>
      <c r="S322" s="47">
        <f t="shared" si="26"/>
        <v>4500</v>
      </c>
      <c r="T322" s="47">
        <f t="shared" si="28"/>
        <v>11.9671232876712</v>
      </c>
      <c r="U322" s="42">
        <v>20000</v>
      </c>
      <c r="V322" s="42">
        <v>4500</v>
      </c>
      <c r="W322" s="42">
        <v>500</v>
      </c>
      <c r="X322" s="42"/>
      <c r="Y322" s="42"/>
      <c r="Z322" s="42"/>
      <c r="AA322" s="42"/>
      <c r="AB322" s="42"/>
      <c r="AC322" s="42"/>
      <c r="AD322" s="42"/>
      <c r="AE322" s="42" t="s">
        <v>48</v>
      </c>
      <c r="AF322" s="42"/>
      <c r="AG322" s="42" t="s">
        <v>48</v>
      </c>
      <c r="AH322" s="42" t="s">
        <v>48</v>
      </c>
      <c r="AI322" s="42"/>
      <c r="AJ322" s="42"/>
      <c r="AK322" s="42"/>
      <c r="AL322" s="42" t="s">
        <v>48</v>
      </c>
      <c r="AM322" s="42"/>
      <c r="AN322" s="42"/>
      <c r="AO322" s="48" t="s">
        <v>881</v>
      </c>
      <c r="AP322" s="42">
        <v>15622117373</v>
      </c>
      <c r="AQ322" s="42"/>
    </row>
    <row r="323" s="1" customFormat="1" ht="20.15" customHeight="1" spans="1:43">
      <c r="A323" s="42">
        <f t="shared" si="29"/>
        <v>319</v>
      </c>
      <c r="B323" s="42" t="s">
        <v>764</v>
      </c>
      <c r="C323" s="42" t="s">
        <v>882</v>
      </c>
      <c r="D323" s="43"/>
      <c r="E323" s="157">
        <v>32.425</v>
      </c>
      <c r="F323" s="47"/>
      <c r="G323" s="162">
        <v>4500</v>
      </c>
      <c r="H323" s="162">
        <v>500</v>
      </c>
      <c r="I323" s="42" t="s">
        <v>883</v>
      </c>
      <c r="J323" s="42"/>
      <c r="K323" s="42" t="s">
        <v>882</v>
      </c>
      <c r="L323" s="42" t="s">
        <v>11</v>
      </c>
      <c r="M323" s="46">
        <v>45530</v>
      </c>
      <c r="N323" s="46">
        <v>45545</v>
      </c>
      <c r="O323" s="46">
        <v>45909</v>
      </c>
      <c r="P323" s="46">
        <v>45545</v>
      </c>
      <c r="Q323" s="47">
        <v>4500</v>
      </c>
      <c r="R323" s="47"/>
      <c r="S323" s="47">
        <f t="shared" si="26"/>
        <v>4500</v>
      </c>
      <c r="T323" s="47">
        <f t="shared" si="28"/>
        <v>11.9671232876712</v>
      </c>
      <c r="U323" s="42">
        <v>10000</v>
      </c>
      <c r="V323" s="42">
        <v>4500</v>
      </c>
      <c r="W323" s="42">
        <v>500</v>
      </c>
      <c r="X323" s="42"/>
      <c r="Y323" s="42"/>
      <c r="Z323" s="42"/>
      <c r="AA323" s="42"/>
      <c r="AB323" s="42"/>
      <c r="AC323" s="42"/>
      <c r="AD323" s="42" t="s">
        <v>104</v>
      </c>
      <c r="AE323" s="42" t="s">
        <v>104</v>
      </c>
      <c r="AF323" s="42" t="s">
        <v>104</v>
      </c>
      <c r="AG323" s="42" t="s">
        <v>104</v>
      </c>
      <c r="AH323" s="42" t="s">
        <v>104</v>
      </c>
      <c r="AI323" s="42" t="s">
        <v>104</v>
      </c>
      <c r="AJ323" s="42" t="s">
        <v>104</v>
      </c>
      <c r="AK323" s="42" t="s">
        <v>104</v>
      </c>
      <c r="AL323" s="42" t="s">
        <v>104</v>
      </c>
      <c r="AM323" s="42" t="s">
        <v>104</v>
      </c>
      <c r="AN323" s="42" t="s">
        <v>104</v>
      </c>
      <c r="AO323" s="48" t="s">
        <v>884</v>
      </c>
      <c r="AP323" s="42">
        <v>18122711777</v>
      </c>
      <c r="AQ323" s="42"/>
    </row>
    <row r="324" s="1" customFormat="1" ht="20.15" customHeight="1" spans="1:43">
      <c r="A324" s="42">
        <f t="shared" si="29"/>
        <v>320</v>
      </c>
      <c r="B324" s="42" t="s">
        <v>764</v>
      </c>
      <c r="C324" s="42">
        <v>5046</v>
      </c>
      <c r="D324" s="43"/>
      <c r="E324" s="157">
        <v>32.425</v>
      </c>
      <c r="F324" s="47"/>
      <c r="G324" s="162">
        <v>3000</v>
      </c>
      <c r="H324" s="162">
        <v>300</v>
      </c>
      <c r="I324" s="42" t="s">
        <v>885</v>
      </c>
      <c r="J324" s="42"/>
      <c r="K324" s="42" t="s">
        <v>886</v>
      </c>
      <c r="L324" s="42" t="s">
        <v>11</v>
      </c>
      <c r="M324" s="46">
        <v>45634</v>
      </c>
      <c r="N324" s="46">
        <v>45717</v>
      </c>
      <c r="O324" s="46">
        <v>46081</v>
      </c>
      <c r="P324" s="46">
        <v>45717</v>
      </c>
      <c r="Q324" s="47">
        <v>5000</v>
      </c>
      <c r="R324" s="47"/>
      <c r="S324" s="47">
        <f t="shared" si="26"/>
        <v>5000</v>
      </c>
      <c r="T324" s="47">
        <f t="shared" si="28"/>
        <v>11.9671232876712</v>
      </c>
      <c r="U324" s="42">
        <v>10000</v>
      </c>
      <c r="V324" s="42">
        <v>5000</v>
      </c>
      <c r="W324" s="42">
        <v>500</v>
      </c>
      <c r="X324" s="42"/>
      <c r="Y324" s="42"/>
      <c r="Z324" s="49"/>
      <c r="AA324" s="42"/>
      <c r="AB324" s="49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8" t="s">
        <v>887</v>
      </c>
      <c r="AP324" s="42">
        <v>15920218854</v>
      </c>
      <c r="AQ324" s="42"/>
    </row>
    <row r="325" s="1" customFormat="1" ht="20.15" customHeight="1" spans="1:43">
      <c r="A325" s="42">
        <f t="shared" si="29"/>
        <v>321</v>
      </c>
      <c r="B325" s="42" t="s">
        <v>764</v>
      </c>
      <c r="C325" s="42">
        <v>5047</v>
      </c>
      <c r="D325" s="43"/>
      <c r="E325" s="157">
        <v>18</v>
      </c>
      <c r="F325" s="47"/>
      <c r="G325" s="162">
        <v>2405</v>
      </c>
      <c r="H325" s="162">
        <v>100</v>
      </c>
      <c r="I325" s="42" t="s">
        <v>885</v>
      </c>
      <c r="J325" s="42"/>
      <c r="K325" s="42" t="s">
        <v>886</v>
      </c>
      <c r="L325" s="42" t="s">
        <v>11</v>
      </c>
      <c r="M325" s="46"/>
      <c r="N325" s="46"/>
      <c r="O325" s="46"/>
      <c r="P325" s="46"/>
      <c r="Q325" s="47"/>
      <c r="R325" s="47"/>
      <c r="S325" s="47">
        <f t="shared" si="26"/>
        <v>0</v>
      </c>
      <c r="T325" s="47">
        <f t="shared" si="28"/>
        <v>0</v>
      </c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8"/>
      <c r="AP325" s="42"/>
      <c r="AQ325" s="42"/>
    </row>
    <row r="326" s="1" customFormat="1" ht="20.15" customHeight="1" spans="1:43">
      <c r="A326" s="42">
        <f t="shared" si="29"/>
        <v>322</v>
      </c>
      <c r="B326" s="42" t="s">
        <v>764</v>
      </c>
      <c r="C326" s="163" t="s">
        <v>888</v>
      </c>
      <c r="D326" s="43"/>
      <c r="E326" s="42"/>
      <c r="F326" s="157">
        <v>1.5</v>
      </c>
      <c r="G326" s="162"/>
      <c r="H326" s="162"/>
      <c r="I326" s="42"/>
      <c r="J326" s="42"/>
      <c r="K326" s="45"/>
      <c r="L326" s="42"/>
      <c r="M326" s="46"/>
      <c r="N326" s="46"/>
      <c r="O326" s="46"/>
      <c r="P326" s="46"/>
      <c r="Q326" s="47"/>
      <c r="R326" s="47"/>
      <c r="S326" s="47"/>
      <c r="T326" s="47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8"/>
      <c r="AP326" s="42"/>
      <c r="AQ326" s="42"/>
    </row>
    <row r="327" s="1" customFormat="1" ht="20.15" customHeight="1" spans="1:43">
      <c r="A327" s="42"/>
      <c r="B327" s="164"/>
      <c r="C327" s="163"/>
      <c r="D327" s="163"/>
      <c r="E327" s="163">
        <f>SUM(E5:E326)</f>
        <v>8520.84500000001</v>
      </c>
      <c r="F327" s="47"/>
      <c r="G327" s="162"/>
      <c r="H327" s="162" t="s">
        <v>889</v>
      </c>
      <c r="I327" s="42"/>
      <c r="J327" s="42"/>
      <c r="K327" s="42"/>
      <c r="L327" s="42"/>
      <c r="M327" s="46"/>
      <c r="N327" s="88"/>
      <c r="O327" s="88"/>
      <c r="P327" s="88"/>
      <c r="Q327" s="47"/>
      <c r="R327" s="47"/>
      <c r="S327" s="47"/>
      <c r="T327" s="47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8"/>
      <c r="AP327" s="42" t="s">
        <v>434</v>
      </c>
      <c r="AQ327" s="42"/>
    </row>
    <row r="328" s="1" customFormat="1" ht="20.15" customHeight="1" spans="1:43">
      <c r="A328" s="42"/>
      <c r="B328" s="164"/>
      <c r="C328" s="163" t="s">
        <v>890</v>
      </c>
      <c r="D328" s="163">
        <v>67.37</v>
      </c>
      <c r="E328" s="42"/>
      <c r="F328" s="47"/>
      <c r="G328" s="162"/>
      <c r="H328" s="162"/>
      <c r="I328" s="42"/>
      <c r="J328" s="42"/>
      <c r="K328" s="42"/>
      <c r="L328" s="42"/>
      <c r="M328" s="46"/>
      <c r="N328" s="88"/>
      <c r="O328" s="88"/>
      <c r="P328" s="88"/>
      <c r="Q328" s="47"/>
      <c r="R328" s="47"/>
      <c r="S328" s="47"/>
      <c r="T328" s="47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8"/>
      <c r="AP328" s="42"/>
      <c r="AQ328" s="42"/>
    </row>
    <row r="329" s="1" customFormat="1" ht="20.15" customHeight="1" spans="1:43">
      <c r="A329" s="42"/>
      <c r="B329" s="164"/>
      <c r="C329" s="163"/>
      <c r="D329" s="163">
        <f>E327-D328</f>
        <v>8453.47500000001</v>
      </c>
      <c r="E329" s="42"/>
      <c r="F329" s="47"/>
      <c r="G329" s="162"/>
      <c r="H329" s="162"/>
      <c r="I329" s="42"/>
      <c r="J329" s="42"/>
      <c r="K329" s="42"/>
      <c r="L329" s="42"/>
      <c r="M329" s="46"/>
      <c r="N329" s="88"/>
      <c r="O329" s="88"/>
      <c r="P329" s="88"/>
      <c r="Q329" s="47"/>
      <c r="R329" s="47"/>
      <c r="S329" s="47"/>
      <c r="T329" s="47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8"/>
      <c r="AP329" s="42"/>
      <c r="AQ329" s="42"/>
    </row>
    <row r="330" s="1" customFormat="1" ht="20.15" customHeight="1" spans="1:43">
      <c r="B330" s="165" t="s">
        <v>891</v>
      </c>
      <c r="C330" s="165" t="s">
        <v>892</v>
      </c>
      <c r="D330" s="165" t="s">
        <v>893</v>
      </c>
      <c r="E330" s="165" t="s">
        <v>894</v>
      </c>
      <c r="F330" s="165" t="s">
        <v>895</v>
      </c>
      <c r="G330" s="165" t="s">
        <v>896</v>
      </c>
      <c r="H330" s="165" t="s">
        <v>897</v>
      </c>
      <c r="L330" s="15"/>
      <c r="M330" s="166"/>
      <c r="N330" s="166"/>
      <c r="O330" s="166"/>
      <c r="P330" s="12"/>
      <c r="Q330" s="12"/>
      <c r="R330" s="12"/>
      <c r="S330" s="12"/>
      <c r="AN330" s="16"/>
    </row>
    <row r="331" s="1" customFormat="1" ht="20.15" customHeight="1" spans="1:43">
      <c r="B331" s="167" t="s">
        <v>898</v>
      </c>
      <c r="C331" s="168">
        <f>SUMIF($B:$B,"*一楼*",$E:$E)</f>
        <v>1786.86</v>
      </c>
      <c r="D331" s="168">
        <f>SUMIF($B:$B,"*二楼*",$E:$E)</f>
        <v>1716.42</v>
      </c>
      <c r="E331" s="168">
        <f>SUMIF($B:$B,"*三楼*",$E:$E)</f>
        <v>1873.4</v>
      </c>
      <c r="F331" s="168">
        <f>SUMIF($B:$B,"*四楼*",$E:$E)</f>
        <v>1585.135</v>
      </c>
      <c r="G331" s="168">
        <f>SUMIF($B:$B,"*五楼*",$E:$E)</f>
        <v>1559.03</v>
      </c>
      <c r="H331" s="169">
        <f>SUM(C331:G331)</f>
        <v>8520.845</v>
      </c>
      <c r="L331" s="15"/>
      <c r="M331" s="166"/>
      <c r="N331" s="166"/>
      <c r="O331" s="166"/>
      <c r="P331" s="12"/>
      <c r="Q331" s="12"/>
      <c r="R331" s="12"/>
      <c r="S331" s="12"/>
      <c r="AN331" s="16"/>
    </row>
    <row r="332" s="1" customFormat="1" ht="14" customHeight="1" spans="1:43">
      <c r="B332" s="170" t="s">
        <v>899</v>
      </c>
      <c r="C332" s="168">
        <f>SUMIFS($E:$E,$B:$B,"*一楼*",J:J,"*空档*")</f>
        <v>0</v>
      </c>
      <c r="D332" s="168">
        <f>SUMIFS($E:$E,$B:$B,"*二楼*",J:J,"*空档*")</f>
        <v>0</v>
      </c>
      <c r="E332" s="168">
        <f>SUMIFS($E:$E,$B:$B,"*三楼*",J:J,"*空档*")</f>
        <v>0</v>
      </c>
      <c r="F332" s="168">
        <f>SUMIFS($E:$E,$B:$B,"*四楼*",J:J,"*空档*")</f>
        <v>0</v>
      </c>
      <c r="G332" s="168">
        <f>SUMIFS($E:$E,$B:$B,"*五楼*",J:J,"*空档*")</f>
        <v>0</v>
      </c>
      <c r="H332" s="167">
        <f>SUM(C332:G332)</f>
        <v>0</v>
      </c>
      <c r="K332" s="14"/>
      <c r="L332" s="15"/>
      <c r="M332" s="15"/>
      <c r="N332" s="15"/>
      <c r="O332" s="15"/>
      <c r="P332" s="12"/>
      <c r="Q332" s="12"/>
      <c r="R332" s="12"/>
      <c r="S332" s="12"/>
      <c r="AN332" s="16"/>
      <c r="AO332" s="1" t="s">
        <v>434</v>
      </c>
    </row>
    <row r="333" s="1" customFormat="1" ht="14" customHeight="1" spans="1:43">
      <c r="B333" s="170" t="s">
        <v>900</v>
      </c>
      <c r="C333" s="171">
        <f t="shared" ref="C333:H333" si="30">ROUND((C331-C332)/C331,4)</f>
        <v>1</v>
      </c>
      <c r="D333" s="172">
        <f t="shared" si="30"/>
        <v>1</v>
      </c>
      <c r="E333" s="172">
        <f t="shared" si="30"/>
        <v>1</v>
      </c>
      <c r="F333" s="172">
        <f t="shared" si="30"/>
        <v>1</v>
      </c>
      <c r="G333" s="172">
        <f t="shared" si="30"/>
        <v>1</v>
      </c>
      <c r="H333" s="172">
        <f t="shared" si="30"/>
        <v>1</v>
      </c>
      <c r="K333" s="14"/>
      <c r="L333" s="15"/>
      <c r="M333" s="15"/>
      <c r="N333" s="15"/>
      <c r="O333" s="15"/>
      <c r="P333" s="12"/>
      <c r="Q333" s="12"/>
      <c r="R333" s="12"/>
      <c r="S333" s="12"/>
      <c r="AN333" s="16"/>
      <c r="AO333" s="1" t="s">
        <v>901</v>
      </c>
    </row>
    <row r="334" s="1" customFormat="1" ht="14" customHeight="1" spans="1:43">
      <c r="D334" s="10"/>
      <c r="E334" s="11"/>
      <c r="F334" s="12"/>
      <c r="G334" s="13"/>
      <c r="H334" s="13"/>
      <c r="L334" s="14"/>
      <c r="M334" s="15"/>
      <c r="N334" s="15"/>
      <c r="O334" s="15"/>
      <c r="P334" s="15"/>
      <c r="Q334" s="12"/>
      <c r="R334" s="12"/>
      <c r="S334" s="12"/>
      <c r="T334" s="12"/>
      <c r="AO334" s="16"/>
      <c r="AP334" s="1" t="s">
        <v>434</v>
      </c>
    </row>
    <row r="335" s="1" customFormat="1" ht="14" customHeight="1" spans="1:43">
      <c r="D335" s="10"/>
      <c r="E335" s="11"/>
      <c r="F335" s="12"/>
      <c r="G335" s="13"/>
      <c r="H335" s="13"/>
      <c r="L335" s="14"/>
      <c r="M335" s="15"/>
      <c r="N335" s="15"/>
      <c r="O335" s="15"/>
      <c r="P335" s="15"/>
      <c r="Q335" s="12"/>
      <c r="R335" s="12"/>
      <c r="S335" s="12"/>
      <c r="T335" s="12"/>
      <c r="AO335" s="16"/>
    </row>
    <row r="336" s="1" customFormat="1" ht="20.15" customHeight="1" spans="1:43">
      <c r="A336" s="42">
        <f>ROW()-4</f>
        <v>332</v>
      </c>
      <c r="B336" s="42" t="s">
        <v>244</v>
      </c>
      <c r="C336" s="42">
        <v>2028</v>
      </c>
      <c r="D336" s="44">
        <v>43.53</v>
      </c>
      <c r="E336" s="42"/>
      <c r="F336" s="42"/>
      <c r="G336" s="42"/>
      <c r="H336" s="42"/>
      <c r="I336" s="42" t="s">
        <v>890</v>
      </c>
      <c r="J336" s="42"/>
      <c r="K336" s="45"/>
      <c r="L336" s="42" t="s">
        <v>11</v>
      </c>
      <c r="M336" s="46"/>
      <c r="N336" s="46"/>
      <c r="O336" s="46"/>
      <c r="P336" s="88"/>
      <c r="Q336" s="47"/>
      <c r="R336" s="47"/>
      <c r="S336" s="47">
        <f>Q336+R336</f>
        <v>0</v>
      </c>
      <c r="T336" s="47">
        <f>(O336-N336)/365*12</f>
        <v>0</v>
      </c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8"/>
      <c r="AP336" s="42"/>
      <c r="AQ336" s="42"/>
    </row>
    <row r="337" s="1" customFormat="1" ht="20.15" customHeight="1" spans="1:43">
      <c r="A337" s="42">
        <f>ROW()-4</f>
        <v>333</v>
      </c>
      <c r="B337" s="42" t="s">
        <v>244</v>
      </c>
      <c r="C337" s="42">
        <v>2065</v>
      </c>
      <c r="D337" s="44">
        <v>23.84</v>
      </c>
      <c r="E337" s="42"/>
      <c r="F337" s="42"/>
      <c r="G337" s="42"/>
      <c r="H337" s="42"/>
      <c r="I337" s="42" t="s">
        <v>890</v>
      </c>
      <c r="J337" s="42"/>
      <c r="K337" s="45"/>
      <c r="L337" s="42" t="s">
        <v>11</v>
      </c>
      <c r="M337" s="46"/>
      <c r="N337" s="46"/>
      <c r="O337" s="46"/>
      <c r="P337" s="46"/>
      <c r="Q337" s="47"/>
      <c r="R337" s="47"/>
      <c r="S337" s="47">
        <f>Q337+R337</f>
        <v>0</v>
      </c>
      <c r="T337" s="47">
        <f>(O337-N337)/365*12</f>
        <v>0</v>
      </c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8"/>
      <c r="AP337" s="42"/>
      <c r="AQ337" s="42"/>
    </row>
    <row r="338" s="1" customFormat="1" ht="14" customHeight="1" spans="1:43">
      <c r="D338" s="10"/>
      <c r="E338" s="173"/>
      <c r="F338" s="12"/>
      <c r="G338" s="13"/>
      <c r="H338" s="13"/>
      <c r="K338" s="12"/>
      <c r="L338" s="13"/>
      <c r="M338" s="15"/>
      <c r="N338" s="15"/>
      <c r="O338" s="15"/>
      <c r="P338" s="15"/>
      <c r="Q338" s="12"/>
      <c r="R338" s="12"/>
      <c r="S338" s="12"/>
      <c r="T338" s="12"/>
      <c r="AO338" s="16"/>
    </row>
    <row r="339" s="1" customFormat="1" spans="1:43">
      <c r="D339" s="10"/>
      <c r="E339" s="173"/>
      <c r="F339" s="12"/>
      <c r="G339" s="13"/>
      <c r="H339" s="13"/>
      <c r="L339" s="14"/>
      <c r="M339" s="15"/>
      <c r="N339" s="15"/>
      <c r="O339" s="15"/>
      <c r="P339" s="15"/>
      <c r="Q339" s="12"/>
      <c r="R339" s="12"/>
      <c r="S339" s="12"/>
      <c r="T339" s="12"/>
      <c r="AO339" s="16"/>
    </row>
    <row r="340" s="1" customFormat="1" spans="1:43">
      <c r="D340" s="10"/>
      <c r="E340" s="173"/>
      <c r="F340" s="12"/>
      <c r="G340" s="13"/>
      <c r="H340" s="13"/>
      <c r="L340" s="14"/>
      <c r="M340" s="15"/>
      <c r="N340" s="15"/>
      <c r="O340" s="15"/>
      <c r="P340" s="15"/>
      <c r="Q340" s="12"/>
      <c r="R340" s="12"/>
      <c r="S340" s="12"/>
      <c r="T340" s="12"/>
      <c r="AO340" s="16"/>
    </row>
    <row r="341" s="1" customFormat="1" spans="1:43">
      <c r="F341" s="12"/>
      <c r="G341" s="13"/>
      <c r="H341" s="13"/>
      <c r="L341" s="14"/>
      <c r="M341" s="15"/>
      <c r="N341" s="15"/>
      <c r="O341" s="15"/>
      <c r="P341" s="15"/>
      <c r="Q341" s="12"/>
      <c r="R341" s="12"/>
      <c r="S341" s="12"/>
      <c r="T341" s="12"/>
      <c r="AO341" s="16"/>
    </row>
    <row r="342" s="1" customFormat="1" spans="1:43">
      <c r="F342" s="12"/>
      <c r="G342" s="13"/>
      <c r="H342" s="13"/>
      <c r="L342" s="14"/>
      <c r="M342" s="15"/>
      <c r="N342" s="15"/>
      <c r="O342" s="15"/>
      <c r="P342" s="15"/>
      <c r="Q342" s="12"/>
      <c r="R342" s="12"/>
      <c r="S342" s="12"/>
      <c r="T342" s="12"/>
      <c r="AO342" s="16"/>
    </row>
    <row r="343" s="1" customFormat="1" spans="1:43">
      <c r="F343" s="12"/>
      <c r="G343" s="13"/>
      <c r="H343" s="13"/>
      <c r="L343" s="14"/>
      <c r="M343" s="15"/>
      <c r="N343" s="15"/>
      <c r="O343" s="15"/>
      <c r="P343" s="15"/>
      <c r="Q343" s="12"/>
      <c r="R343" s="12"/>
      <c r="S343" s="12"/>
      <c r="T343" s="12"/>
      <c r="AO343" s="16"/>
    </row>
    <row r="344" s="1" customFormat="1" spans="1:43">
      <c r="F344" s="12"/>
      <c r="G344" s="13"/>
      <c r="H344" s="13"/>
      <c r="L344" s="14"/>
      <c r="M344" s="15"/>
      <c r="N344" s="15"/>
      <c r="O344" s="15"/>
      <c r="P344" s="15"/>
      <c r="Q344" s="12"/>
      <c r="R344" s="12"/>
      <c r="S344" s="12"/>
      <c r="T344" s="12"/>
      <c r="AO344" s="16"/>
    </row>
    <row r="345" s="1" customFormat="1" spans="1:43">
      <c r="F345" s="12"/>
      <c r="G345" s="13"/>
      <c r="H345" s="13"/>
      <c r="L345" s="14"/>
      <c r="M345" s="15"/>
      <c r="N345" s="15"/>
      <c r="O345" s="15"/>
      <c r="P345" s="15"/>
      <c r="Q345" s="12"/>
      <c r="R345" s="12"/>
      <c r="S345" s="12"/>
      <c r="T345" s="12"/>
      <c r="AO345" s="16"/>
    </row>
    <row r="346" s="1" customFormat="1" spans="1:43">
      <c r="F346" s="12"/>
      <c r="G346" s="13"/>
      <c r="H346" s="13"/>
      <c r="L346" s="14"/>
      <c r="M346" s="15"/>
      <c r="N346" s="15"/>
      <c r="O346" s="15"/>
      <c r="P346" s="15"/>
      <c r="Q346" s="12"/>
      <c r="R346" s="12"/>
      <c r="S346" s="12"/>
      <c r="T346" s="12"/>
      <c r="AO346" s="16"/>
    </row>
    <row r="347" s="1" customFormat="1" spans="1:43">
      <c r="F347" s="12"/>
      <c r="G347" s="13"/>
      <c r="H347" s="13"/>
      <c r="L347" s="14"/>
      <c r="M347" s="15"/>
      <c r="N347" s="15"/>
      <c r="O347" s="15"/>
      <c r="P347" s="15"/>
      <c r="Q347" s="12"/>
      <c r="R347" s="12"/>
      <c r="S347" s="12"/>
      <c r="T347" s="12"/>
      <c r="AO347" s="16"/>
    </row>
    <row r="348" s="1" customFormat="1" spans="1:43">
      <c r="D348" s="7"/>
      <c r="E348" s="7"/>
      <c r="F348" s="12"/>
      <c r="G348" s="13"/>
      <c r="H348" s="13"/>
      <c r="L348" s="14"/>
      <c r="M348" s="15"/>
      <c r="N348" s="15"/>
      <c r="O348" s="15"/>
      <c r="P348" s="15"/>
      <c r="Q348" s="12"/>
      <c r="R348" s="12"/>
      <c r="S348" s="12"/>
      <c r="T348" s="12"/>
      <c r="AO348" s="16"/>
    </row>
    <row r="349" s="1" customFormat="1" spans="1:43">
      <c r="D349" s="7"/>
      <c r="E349" s="7"/>
      <c r="F349" s="12"/>
      <c r="G349" s="13"/>
      <c r="H349" s="13"/>
      <c r="L349" s="14"/>
      <c r="M349" s="15"/>
      <c r="N349" s="15"/>
      <c r="O349" s="15"/>
      <c r="P349" s="15"/>
      <c r="Q349" s="12"/>
      <c r="R349" s="12"/>
      <c r="S349" s="12"/>
      <c r="T349" s="12"/>
      <c r="AO349" s="16"/>
    </row>
    <row r="350" s="1" customFormat="1" spans="1:43">
      <c r="F350" s="12"/>
      <c r="G350" s="13"/>
      <c r="H350" s="13"/>
      <c r="L350" s="14"/>
      <c r="M350" s="15"/>
      <c r="N350" s="15"/>
      <c r="O350" s="15"/>
      <c r="P350" s="15"/>
      <c r="Q350" s="12"/>
      <c r="R350" s="12"/>
      <c r="S350" s="12"/>
      <c r="T350" s="12"/>
      <c r="AO350" s="16"/>
    </row>
    <row r="351" s="1" customFormat="1" spans="1:43">
      <c r="F351" s="12"/>
      <c r="G351" s="13"/>
      <c r="H351" s="13"/>
      <c r="L351" s="14"/>
      <c r="M351" s="15"/>
      <c r="N351" s="15"/>
      <c r="O351" s="15"/>
      <c r="P351" s="15"/>
      <c r="Q351" s="12"/>
      <c r="R351" s="12"/>
      <c r="S351" s="12"/>
      <c r="T351" s="12"/>
      <c r="AO351" s="16"/>
    </row>
    <row r="352" s="1" customFormat="1" spans="1:43">
      <c r="F352" s="12"/>
      <c r="G352" s="13"/>
      <c r="H352" s="13"/>
      <c r="L352" s="14"/>
      <c r="M352" s="15"/>
      <c r="N352" s="15"/>
      <c r="O352" s="15"/>
      <c r="P352" s="15"/>
      <c r="Q352" s="12"/>
      <c r="R352" s="12"/>
      <c r="S352" s="12"/>
      <c r="T352" s="12"/>
      <c r="AO352" s="16"/>
    </row>
    <row r="353" s="1" customFormat="1" spans="4:41">
      <c r="F353" s="12"/>
      <c r="G353" s="13"/>
      <c r="H353" s="13"/>
      <c r="L353" s="14"/>
      <c r="M353" s="15"/>
      <c r="N353" s="15"/>
      <c r="O353" s="15"/>
      <c r="P353" s="15"/>
      <c r="Q353" s="12"/>
      <c r="R353" s="12"/>
      <c r="S353" s="12"/>
      <c r="T353" s="12"/>
      <c r="AO353" s="16"/>
    </row>
    <row r="354" s="1" customFormat="1" spans="4:41">
      <c r="D354" s="174"/>
      <c r="E354" s="174"/>
      <c r="F354" s="12"/>
      <c r="G354" s="13"/>
      <c r="H354" s="13"/>
      <c r="L354" s="14"/>
      <c r="M354" s="15"/>
      <c r="N354" s="15"/>
      <c r="O354" s="15"/>
      <c r="P354" s="15"/>
      <c r="Q354" s="12"/>
      <c r="R354" s="12"/>
      <c r="S354" s="12"/>
      <c r="T354" s="12"/>
      <c r="AO354" s="16"/>
    </row>
    <row r="355" s="1" customFormat="1" spans="4:41">
      <c r="D355" s="10"/>
      <c r="E355" s="173"/>
      <c r="F355" s="12"/>
      <c r="G355" s="13"/>
      <c r="H355" s="13"/>
      <c r="L355" s="14"/>
      <c r="M355" s="15"/>
      <c r="N355" s="15"/>
      <c r="O355" s="15"/>
      <c r="P355" s="15"/>
      <c r="Q355" s="12"/>
      <c r="R355" s="12"/>
      <c r="S355" s="12"/>
      <c r="T355" s="12"/>
      <c r="AO355" s="16"/>
    </row>
    <row r="356" s="1" customFormat="1" spans="4:41">
      <c r="D356" s="10"/>
      <c r="E356" s="11"/>
      <c r="F356" s="12"/>
      <c r="G356" s="13"/>
      <c r="H356" s="13"/>
      <c r="L356" s="14"/>
      <c r="M356" s="15"/>
      <c r="N356" s="15"/>
      <c r="O356" s="15"/>
      <c r="P356" s="15"/>
      <c r="Q356" s="12"/>
      <c r="R356" s="12"/>
      <c r="S356" s="12"/>
      <c r="T356" s="12"/>
      <c r="AO356" s="16"/>
    </row>
    <row r="357" s="1" customFormat="1" spans="4:41">
      <c r="D357" s="10"/>
      <c r="E357" s="11"/>
      <c r="F357" s="12"/>
      <c r="G357" s="13"/>
      <c r="H357" s="13"/>
      <c r="L357" s="14"/>
      <c r="M357" s="15"/>
      <c r="N357" s="15"/>
      <c r="O357" s="15"/>
      <c r="P357" s="15"/>
      <c r="Q357" s="12"/>
      <c r="R357" s="12"/>
      <c r="S357" s="12"/>
      <c r="T357" s="12"/>
      <c r="AO357" s="16"/>
    </row>
    <row r="358" s="1" customFormat="1" spans="4:41">
      <c r="D358" s="10"/>
      <c r="E358" s="11"/>
      <c r="F358" s="12"/>
      <c r="G358" s="13"/>
      <c r="H358" s="13"/>
      <c r="L358" s="14"/>
      <c r="M358" s="15"/>
      <c r="N358" s="15"/>
      <c r="O358" s="15"/>
      <c r="P358" s="15"/>
      <c r="Q358" s="12"/>
      <c r="R358" s="12"/>
      <c r="S358" s="12"/>
      <c r="T358" s="12"/>
      <c r="AO358" s="16"/>
    </row>
    <row r="359" s="1" customFormat="1" spans="4:41">
      <c r="D359" s="10"/>
      <c r="E359" s="11"/>
      <c r="F359" s="12"/>
      <c r="G359" s="13"/>
      <c r="H359" s="13"/>
      <c r="L359" s="14"/>
      <c r="M359" s="15"/>
      <c r="N359" s="15"/>
      <c r="O359" s="15"/>
      <c r="P359" s="15"/>
      <c r="Q359" s="12"/>
      <c r="R359" s="12"/>
      <c r="S359" s="12"/>
      <c r="T359" s="12"/>
      <c r="AO359" s="16"/>
    </row>
    <row r="360" s="1" customFormat="1" spans="4:41">
      <c r="D360" s="10"/>
      <c r="E360" s="11"/>
      <c r="F360" s="12"/>
      <c r="G360" s="13"/>
      <c r="H360" s="13"/>
      <c r="L360" s="14"/>
      <c r="M360" s="15"/>
      <c r="N360" s="15"/>
      <c r="O360" s="15"/>
      <c r="P360" s="15"/>
      <c r="Q360" s="12"/>
      <c r="R360" s="12"/>
      <c r="S360" s="12"/>
      <c r="T360" s="12"/>
      <c r="AO360" s="16"/>
    </row>
    <row r="361" s="1" customFormat="1" spans="4:41">
      <c r="D361" s="10"/>
      <c r="E361" s="11"/>
      <c r="F361" s="12"/>
      <c r="G361" s="13"/>
      <c r="H361" s="13"/>
      <c r="L361" s="14"/>
      <c r="M361" s="15"/>
      <c r="N361" s="15"/>
      <c r="O361" s="15"/>
      <c r="P361" s="15"/>
      <c r="Q361" s="12"/>
      <c r="R361" s="12"/>
      <c r="S361" s="12"/>
      <c r="T361" s="12"/>
      <c r="AO361" s="16"/>
    </row>
    <row r="362" s="1" customFormat="1" spans="4:41">
      <c r="D362" s="10"/>
      <c r="E362" s="11"/>
      <c r="F362" s="12"/>
      <c r="G362" s="13"/>
      <c r="H362" s="13"/>
      <c r="L362" s="14"/>
      <c r="M362" s="15"/>
      <c r="N362" s="15"/>
      <c r="O362" s="15"/>
      <c r="P362" s="15"/>
      <c r="Q362" s="12"/>
      <c r="R362" s="12"/>
      <c r="S362" s="12"/>
      <c r="T362" s="12"/>
      <c r="AO362" s="16"/>
    </row>
    <row r="363" s="1" customFormat="1" spans="4:41">
      <c r="D363" s="10"/>
      <c r="E363" s="11"/>
      <c r="F363" s="12"/>
      <c r="G363" s="13"/>
      <c r="H363" s="13"/>
      <c r="L363" s="14"/>
      <c r="M363" s="15"/>
      <c r="N363" s="15"/>
      <c r="O363" s="15"/>
      <c r="P363" s="15"/>
      <c r="Q363" s="12"/>
      <c r="R363" s="12"/>
      <c r="S363" s="12"/>
      <c r="T363" s="12"/>
      <c r="AO363" s="16"/>
    </row>
    <row r="364" s="1" customFormat="1" spans="4:41">
      <c r="D364" s="10"/>
      <c r="E364" s="11"/>
      <c r="F364" s="12"/>
      <c r="G364" s="13"/>
      <c r="H364" s="13"/>
      <c r="L364" s="14"/>
      <c r="M364" s="15"/>
      <c r="N364" s="15"/>
      <c r="O364" s="15"/>
      <c r="P364" s="15"/>
      <c r="Q364" s="12"/>
      <c r="R364" s="12"/>
      <c r="S364" s="12"/>
      <c r="T364" s="12"/>
      <c r="AO364" s="16"/>
    </row>
    <row r="365" s="1" customFormat="1" spans="4:41">
      <c r="D365" s="10"/>
      <c r="E365" s="11"/>
      <c r="F365" s="12"/>
      <c r="G365" s="13"/>
      <c r="H365" s="13"/>
      <c r="L365" s="14"/>
      <c r="M365" s="15"/>
      <c r="N365" s="15"/>
      <c r="O365" s="15"/>
      <c r="P365" s="15"/>
      <c r="Q365" s="12"/>
      <c r="R365" s="12"/>
      <c r="S365" s="12"/>
      <c r="T365" s="12"/>
      <c r="AO365" s="16"/>
    </row>
    <row r="366" s="1" customFormat="1" spans="4:41">
      <c r="D366" s="10"/>
      <c r="E366" s="11"/>
      <c r="F366" s="12"/>
      <c r="G366" s="13"/>
      <c r="H366" s="13"/>
      <c r="L366" s="14"/>
      <c r="M366" s="15"/>
      <c r="N366" s="15"/>
      <c r="O366" s="15"/>
      <c r="P366" s="15"/>
      <c r="Q366" s="12"/>
      <c r="R366" s="12"/>
      <c r="S366" s="12"/>
      <c r="T366" s="12"/>
      <c r="AO366" s="16"/>
    </row>
    <row r="367" s="1" customFormat="1" spans="4:41">
      <c r="D367" s="10"/>
      <c r="E367" s="11"/>
      <c r="F367" s="12"/>
      <c r="G367" s="13"/>
      <c r="H367" s="13"/>
      <c r="L367" s="14"/>
      <c r="M367" s="15"/>
      <c r="N367" s="15"/>
      <c r="O367" s="15"/>
      <c r="P367" s="15"/>
      <c r="Q367" s="12"/>
      <c r="R367" s="12"/>
      <c r="S367" s="12"/>
      <c r="T367" s="12"/>
      <c r="AO367" s="16"/>
    </row>
    <row r="368" s="1" customFormat="1" spans="4:41">
      <c r="D368" s="10"/>
      <c r="E368" s="11"/>
      <c r="F368" s="12"/>
      <c r="G368" s="13"/>
      <c r="H368" s="13"/>
      <c r="L368" s="14"/>
      <c r="M368" s="15"/>
      <c r="N368" s="15"/>
      <c r="O368" s="15"/>
      <c r="P368" s="15"/>
      <c r="Q368" s="12"/>
      <c r="R368" s="12"/>
      <c r="S368" s="12"/>
      <c r="T368" s="12"/>
      <c r="AO368" s="16"/>
    </row>
    <row r="369" s="1" customFormat="1" spans="4:41">
      <c r="D369" s="10"/>
      <c r="E369" s="11"/>
      <c r="F369" s="12"/>
      <c r="G369" s="13"/>
      <c r="H369" s="13"/>
      <c r="L369" s="14"/>
      <c r="M369" s="15"/>
      <c r="N369" s="15"/>
      <c r="O369" s="15"/>
      <c r="P369" s="15"/>
      <c r="Q369" s="12"/>
      <c r="R369" s="12"/>
      <c r="S369" s="12"/>
      <c r="T369" s="12"/>
      <c r="AO369" s="16"/>
    </row>
    <row r="370" s="1" customFormat="1" spans="4:41">
      <c r="D370" s="10"/>
      <c r="E370" s="11"/>
      <c r="F370" s="12"/>
      <c r="G370" s="13"/>
      <c r="H370" s="13"/>
      <c r="L370" s="14"/>
      <c r="M370" s="15"/>
      <c r="N370" s="15"/>
      <c r="O370" s="15"/>
      <c r="P370" s="15"/>
      <c r="Q370" s="12"/>
      <c r="R370" s="12"/>
      <c r="S370" s="12"/>
      <c r="T370" s="12"/>
      <c r="AO370" s="16"/>
    </row>
    <row r="371" s="1" customFormat="1" spans="4:41">
      <c r="D371" s="10"/>
      <c r="E371" s="11"/>
      <c r="F371" s="12"/>
      <c r="G371" s="13"/>
      <c r="H371" s="13"/>
      <c r="L371" s="14"/>
      <c r="M371" s="15"/>
      <c r="N371" s="15"/>
      <c r="O371" s="15"/>
      <c r="P371" s="15"/>
      <c r="Q371" s="12"/>
      <c r="R371" s="12"/>
      <c r="S371" s="12"/>
      <c r="T371" s="12"/>
      <c r="AO371" s="16"/>
    </row>
    <row r="372" s="1" customFormat="1" spans="4:41">
      <c r="D372" s="10"/>
      <c r="E372" s="11"/>
      <c r="F372" s="12"/>
      <c r="G372" s="13"/>
      <c r="H372" s="13"/>
      <c r="L372" s="14"/>
      <c r="M372" s="15"/>
      <c r="N372" s="15"/>
      <c r="O372" s="15"/>
      <c r="P372" s="15"/>
      <c r="Q372" s="12"/>
      <c r="R372" s="12"/>
      <c r="S372" s="12"/>
      <c r="T372" s="12"/>
      <c r="AO372" s="16"/>
    </row>
    <row r="373" s="1" customFormat="1" spans="4:41">
      <c r="D373" s="10"/>
      <c r="E373" s="11"/>
      <c r="F373" s="12"/>
      <c r="G373" s="13"/>
      <c r="H373" s="13"/>
      <c r="L373" s="14"/>
      <c r="M373" s="15"/>
      <c r="N373" s="15"/>
      <c r="O373" s="15"/>
      <c r="P373" s="15"/>
      <c r="Q373" s="12"/>
      <c r="R373" s="12"/>
      <c r="S373" s="12"/>
      <c r="T373" s="12"/>
      <c r="AO373" s="16"/>
    </row>
    <row r="374" s="1" customFormat="1" spans="4:41">
      <c r="D374" s="10"/>
      <c r="E374" s="11"/>
      <c r="F374" s="12"/>
      <c r="G374" s="13"/>
      <c r="H374" s="13"/>
      <c r="L374" s="14"/>
      <c r="M374" s="15"/>
      <c r="N374" s="15"/>
      <c r="O374" s="15"/>
      <c r="P374" s="15"/>
      <c r="Q374" s="12"/>
      <c r="R374" s="12"/>
      <c r="S374" s="12"/>
      <c r="T374" s="12"/>
      <c r="AO374" s="16"/>
    </row>
    <row r="375" s="1" customFormat="1" spans="4:41">
      <c r="D375" s="10"/>
      <c r="E375" s="11"/>
      <c r="F375" s="12"/>
      <c r="G375" s="13"/>
      <c r="H375" s="13"/>
      <c r="L375" s="14"/>
      <c r="M375" s="15"/>
      <c r="N375" s="15"/>
      <c r="O375" s="15"/>
      <c r="P375" s="15"/>
      <c r="Q375" s="12"/>
      <c r="R375" s="12"/>
      <c r="S375" s="12"/>
      <c r="T375" s="12"/>
      <c r="AO375" s="16"/>
    </row>
    <row r="376" s="1" customFormat="1" spans="4:41">
      <c r="D376" s="10"/>
      <c r="E376" s="11"/>
      <c r="F376" s="12"/>
      <c r="G376" s="13"/>
      <c r="H376" s="13"/>
      <c r="L376" s="14"/>
      <c r="M376" s="15"/>
      <c r="N376" s="15"/>
      <c r="O376" s="15"/>
      <c r="P376" s="15"/>
      <c r="Q376" s="12"/>
      <c r="R376" s="12"/>
      <c r="S376" s="12"/>
      <c r="T376" s="12"/>
      <c r="AO376" s="16"/>
    </row>
    <row r="377" s="1" customFormat="1" spans="4:41">
      <c r="D377" s="10"/>
      <c r="E377" s="11"/>
      <c r="F377" s="12"/>
      <c r="G377" s="13"/>
      <c r="H377" s="13"/>
      <c r="L377" s="14"/>
      <c r="M377" s="15"/>
      <c r="N377" s="15"/>
      <c r="O377" s="15"/>
      <c r="P377" s="15"/>
      <c r="Q377" s="12"/>
      <c r="R377" s="12"/>
      <c r="S377" s="12"/>
      <c r="T377" s="12"/>
      <c r="AO377" s="16"/>
    </row>
    <row r="378" s="1" customFormat="1" spans="4:41">
      <c r="D378" s="10"/>
      <c r="E378" s="11"/>
      <c r="F378" s="12"/>
      <c r="G378" s="13"/>
      <c r="H378" s="13"/>
      <c r="L378" s="14"/>
      <c r="M378" s="15"/>
      <c r="N378" s="15"/>
      <c r="O378" s="15"/>
      <c r="P378" s="15"/>
      <c r="Q378" s="12"/>
      <c r="R378" s="12"/>
      <c r="S378" s="12"/>
      <c r="T378" s="12"/>
      <c r="AO378" s="16"/>
    </row>
    <row r="379" s="1" customFormat="1" spans="4:41">
      <c r="D379" s="10"/>
      <c r="E379" s="11"/>
      <c r="F379" s="12"/>
      <c r="G379" s="13"/>
      <c r="H379" s="13"/>
      <c r="L379" s="14"/>
      <c r="M379" s="15"/>
      <c r="N379" s="15"/>
      <c r="O379" s="15"/>
      <c r="P379" s="15"/>
      <c r="Q379" s="12"/>
      <c r="R379" s="12"/>
      <c r="S379" s="12"/>
      <c r="T379" s="12"/>
      <c r="AO379" s="16"/>
    </row>
    <row r="380" s="1" customFormat="1" spans="4:41">
      <c r="D380" s="10"/>
      <c r="E380" s="11"/>
      <c r="F380" s="12"/>
      <c r="G380" s="13"/>
      <c r="H380" s="13"/>
      <c r="L380" s="14"/>
      <c r="M380" s="15"/>
      <c r="N380" s="15"/>
      <c r="O380" s="15"/>
      <c r="P380" s="15"/>
      <c r="Q380" s="12"/>
      <c r="R380" s="12"/>
      <c r="S380" s="12"/>
      <c r="T380" s="12"/>
      <c r="AO380" s="16"/>
    </row>
    <row r="381" s="1" customFormat="1" spans="4:41">
      <c r="D381" s="10"/>
      <c r="E381" s="11"/>
      <c r="F381" s="12"/>
      <c r="G381" s="13"/>
      <c r="H381" s="13"/>
      <c r="L381" s="14"/>
      <c r="M381" s="15"/>
      <c r="N381" s="15"/>
      <c r="O381" s="15"/>
      <c r="P381" s="15"/>
      <c r="Q381" s="12"/>
      <c r="R381" s="12"/>
      <c r="S381" s="12"/>
      <c r="T381" s="12"/>
      <c r="AO381" s="16"/>
    </row>
    <row r="382" s="1" customFormat="1" spans="4:41">
      <c r="D382" s="10"/>
      <c r="E382" s="11"/>
      <c r="F382" s="12"/>
      <c r="G382" s="13"/>
      <c r="H382" s="13"/>
      <c r="L382" s="14"/>
      <c r="M382" s="15"/>
      <c r="N382" s="15"/>
      <c r="O382" s="15"/>
      <c r="P382" s="15"/>
      <c r="Q382" s="12"/>
      <c r="R382" s="12"/>
      <c r="S382" s="12"/>
      <c r="T382" s="12"/>
      <c r="AO382" s="16"/>
    </row>
    <row r="383" s="1" customFormat="1" spans="4:41">
      <c r="D383" s="10"/>
      <c r="E383" s="11"/>
      <c r="F383" s="12"/>
      <c r="G383" s="13"/>
      <c r="H383" s="13"/>
      <c r="L383" s="14"/>
      <c r="M383" s="15"/>
      <c r="N383" s="15"/>
      <c r="O383" s="15"/>
      <c r="P383" s="15"/>
      <c r="Q383" s="12"/>
      <c r="R383" s="12"/>
      <c r="S383" s="12"/>
      <c r="T383" s="12"/>
      <c r="AO383" s="16"/>
    </row>
    <row r="384" s="1" customFormat="1" spans="4:41">
      <c r="D384" s="10"/>
      <c r="E384" s="11"/>
      <c r="F384" s="12"/>
      <c r="G384" s="13"/>
      <c r="H384" s="13"/>
      <c r="L384" s="14"/>
      <c r="M384" s="15"/>
      <c r="N384" s="15"/>
      <c r="O384" s="15"/>
      <c r="P384" s="15"/>
      <c r="Q384" s="12"/>
      <c r="R384" s="12"/>
      <c r="S384" s="12"/>
      <c r="T384" s="12"/>
      <c r="AO384" s="16"/>
    </row>
    <row r="385" s="1" customFormat="1" spans="4:41">
      <c r="D385" s="10"/>
      <c r="E385" s="11"/>
      <c r="F385" s="12"/>
      <c r="G385" s="13"/>
      <c r="H385" s="13"/>
      <c r="L385" s="14"/>
      <c r="M385" s="15"/>
      <c r="N385" s="15"/>
      <c r="O385" s="15"/>
      <c r="P385" s="15"/>
      <c r="Q385" s="12"/>
      <c r="R385" s="12"/>
      <c r="S385" s="12"/>
      <c r="T385" s="12"/>
      <c r="AO385" s="16"/>
    </row>
    <row r="386" s="1" customFormat="1" spans="4:41">
      <c r="D386" s="10"/>
      <c r="E386" s="11"/>
      <c r="F386" s="12"/>
      <c r="G386" s="13"/>
      <c r="H386" s="13"/>
      <c r="L386" s="14"/>
      <c r="M386" s="15"/>
      <c r="N386" s="15"/>
      <c r="O386" s="15"/>
      <c r="P386" s="15"/>
      <c r="Q386" s="12"/>
      <c r="R386" s="12"/>
      <c r="S386" s="12"/>
      <c r="T386" s="12"/>
      <c r="AO386" s="16"/>
    </row>
    <row r="387" s="1" customFormat="1" spans="4:41">
      <c r="D387" s="10"/>
      <c r="E387" s="11"/>
      <c r="F387" s="12"/>
      <c r="G387" s="13"/>
      <c r="H387" s="13"/>
      <c r="L387" s="14"/>
      <c r="M387" s="15"/>
      <c r="N387" s="15"/>
      <c r="O387" s="15"/>
      <c r="P387" s="15"/>
      <c r="Q387" s="12"/>
      <c r="R387" s="12"/>
      <c r="S387" s="12"/>
      <c r="T387" s="12"/>
      <c r="AO387" s="16"/>
    </row>
    <row r="388" s="1" customFormat="1" spans="4:41">
      <c r="D388" s="10"/>
      <c r="E388" s="11"/>
      <c r="F388" s="12"/>
      <c r="G388" s="13"/>
      <c r="H388" s="13"/>
      <c r="L388" s="14"/>
      <c r="M388" s="15"/>
      <c r="N388" s="15"/>
      <c r="O388" s="15"/>
      <c r="P388" s="15"/>
      <c r="Q388" s="12"/>
      <c r="R388" s="12"/>
      <c r="S388" s="12"/>
      <c r="T388" s="12"/>
      <c r="AO388" s="16"/>
    </row>
    <row r="389" s="1" customFormat="1" spans="4:41">
      <c r="D389" s="10"/>
      <c r="E389" s="11"/>
      <c r="F389" s="12"/>
      <c r="G389" s="13"/>
      <c r="H389" s="13"/>
      <c r="L389" s="14"/>
      <c r="M389" s="15"/>
      <c r="N389" s="15"/>
      <c r="O389" s="15"/>
      <c r="P389" s="15"/>
      <c r="Q389" s="12"/>
      <c r="R389" s="12"/>
      <c r="S389" s="12"/>
      <c r="T389" s="12"/>
      <c r="AO389" s="16"/>
    </row>
    <row r="390" s="1" customFormat="1" spans="4:41">
      <c r="D390" s="10"/>
      <c r="E390" s="11"/>
      <c r="F390" s="12"/>
      <c r="G390" s="13"/>
      <c r="H390" s="13"/>
      <c r="L390" s="14"/>
      <c r="M390" s="15"/>
      <c r="N390" s="15"/>
      <c r="O390" s="15"/>
      <c r="P390" s="15"/>
      <c r="Q390" s="12"/>
      <c r="R390" s="12"/>
      <c r="S390" s="12"/>
      <c r="T390" s="12"/>
      <c r="AO390" s="16"/>
    </row>
    <row r="391" s="1" customFormat="1" spans="4:41">
      <c r="D391" s="10"/>
      <c r="E391" s="11"/>
      <c r="F391" s="12"/>
      <c r="G391" s="13"/>
      <c r="H391" s="13"/>
      <c r="L391" s="14"/>
      <c r="M391" s="15"/>
      <c r="N391" s="15"/>
      <c r="O391" s="15"/>
      <c r="P391" s="15"/>
      <c r="Q391" s="12"/>
      <c r="R391" s="12"/>
      <c r="S391" s="12"/>
      <c r="T391" s="12"/>
      <c r="AO391" s="16"/>
    </row>
    <row r="392" s="1" customFormat="1" spans="4:41">
      <c r="D392" s="10"/>
      <c r="E392" s="11"/>
      <c r="F392" s="12"/>
      <c r="G392" s="13"/>
      <c r="H392" s="13"/>
      <c r="L392" s="14"/>
      <c r="M392" s="15"/>
      <c r="N392" s="15"/>
      <c r="O392" s="15"/>
      <c r="P392" s="15"/>
      <c r="Q392" s="12"/>
      <c r="R392" s="12"/>
      <c r="S392" s="12"/>
      <c r="T392" s="12"/>
      <c r="AO392" s="16"/>
    </row>
    <row r="393" s="1" customFormat="1" spans="4:41">
      <c r="D393" s="10"/>
      <c r="E393" s="11"/>
      <c r="F393" s="12"/>
      <c r="G393" s="13"/>
      <c r="H393" s="13"/>
      <c r="L393" s="14"/>
      <c r="M393" s="15"/>
      <c r="N393" s="15"/>
      <c r="O393" s="15"/>
      <c r="P393" s="15"/>
      <c r="Q393" s="12"/>
      <c r="R393" s="12"/>
      <c r="S393" s="12"/>
      <c r="T393" s="12"/>
      <c r="AO393" s="16"/>
    </row>
    <row r="394" s="1" customFormat="1" spans="4:41">
      <c r="D394" s="10"/>
      <c r="E394" s="11"/>
      <c r="F394" s="12"/>
      <c r="G394" s="13"/>
      <c r="H394" s="13"/>
      <c r="L394" s="14"/>
      <c r="M394" s="15"/>
      <c r="N394" s="15"/>
      <c r="O394" s="15"/>
      <c r="P394" s="15"/>
      <c r="Q394" s="12"/>
      <c r="R394" s="12"/>
      <c r="S394" s="12"/>
      <c r="T394" s="12"/>
      <c r="AO394" s="16"/>
    </row>
    <row r="395" s="1" customFormat="1" spans="4:41">
      <c r="D395" s="10"/>
      <c r="E395" s="11"/>
      <c r="F395" s="12"/>
      <c r="G395" s="13"/>
      <c r="H395" s="13"/>
      <c r="L395" s="14"/>
      <c r="M395" s="15"/>
      <c r="N395" s="15"/>
      <c r="O395" s="15"/>
      <c r="P395" s="15"/>
      <c r="Q395" s="12"/>
      <c r="R395" s="12"/>
      <c r="S395" s="12"/>
      <c r="T395" s="12"/>
      <c r="AO395" s="16"/>
    </row>
    <row r="396" s="1" customFormat="1" spans="4:41">
      <c r="D396" s="10"/>
      <c r="E396" s="11"/>
      <c r="F396" s="12"/>
      <c r="G396" s="13"/>
      <c r="H396" s="13"/>
      <c r="L396" s="14"/>
      <c r="M396" s="15"/>
      <c r="N396" s="15"/>
      <c r="O396" s="15"/>
      <c r="P396" s="15"/>
      <c r="Q396" s="12"/>
      <c r="R396" s="12"/>
      <c r="S396" s="12"/>
      <c r="T396" s="12"/>
      <c r="AO396" s="16"/>
    </row>
    <row r="397" s="1" customFormat="1" spans="4:41">
      <c r="D397" s="10"/>
      <c r="E397" s="11"/>
      <c r="F397" s="12"/>
      <c r="G397" s="13"/>
      <c r="H397" s="13"/>
      <c r="L397" s="14"/>
      <c r="M397" s="15"/>
      <c r="N397" s="15"/>
      <c r="O397" s="15"/>
      <c r="P397" s="15"/>
      <c r="Q397" s="12"/>
      <c r="R397" s="12"/>
      <c r="S397" s="12"/>
      <c r="T397" s="12"/>
      <c r="AO397" s="16"/>
    </row>
    <row r="398" s="1" customFormat="1" spans="4:41">
      <c r="D398" s="10"/>
      <c r="E398" s="11"/>
      <c r="F398" s="12"/>
      <c r="G398" s="13"/>
      <c r="H398" s="13"/>
      <c r="L398" s="14"/>
      <c r="M398" s="15"/>
      <c r="N398" s="15"/>
      <c r="O398" s="15"/>
      <c r="P398" s="15"/>
      <c r="Q398" s="12"/>
      <c r="R398" s="12"/>
      <c r="S398" s="12"/>
      <c r="T398" s="12"/>
      <c r="AO398" s="16"/>
    </row>
    <row r="399" s="1" customFormat="1" spans="4:41">
      <c r="D399" s="10"/>
      <c r="E399" s="11"/>
      <c r="F399" s="12"/>
      <c r="G399" s="13"/>
      <c r="H399" s="13"/>
      <c r="L399" s="14"/>
      <c r="M399" s="15"/>
      <c r="N399" s="15"/>
      <c r="O399" s="15"/>
      <c r="P399" s="15"/>
      <c r="Q399" s="12"/>
      <c r="R399" s="12"/>
      <c r="S399" s="12"/>
      <c r="T399" s="12"/>
      <c r="AO399" s="16"/>
    </row>
    <row r="400" s="1" customFormat="1" spans="4:41">
      <c r="D400" s="10"/>
      <c r="E400" s="11"/>
      <c r="F400" s="12"/>
      <c r="G400" s="13"/>
      <c r="H400" s="13"/>
      <c r="L400" s="14"/>
      <c r="M400" s="15"/>
      <c r="N400" s="15"/>
      <c r="O400" s="15"/>
      <c r="P400" s="15"/>
      <c r="Q400" s="12"/>
      <c r="R400" s="12"/>
      <c r="S400" s="12"/>
      <c r="T400" s="12"/>
      <c r="AO400" s="16"/>
    </row>
    <row r="401" s="1" customFormat="1" spans="4:41">
      <c r="D401" s="10"/>
      <c r="E401" s="11"/>
      <c r="F401" s="12"/>
      <c r="G401" s="13"/>
      <c r="H401" s="13"/>
      <c r="L401" s="14"/>
      <c r="M401" s="15"/>
      <c r="N401" s="15"/>
      <c r="O401" s="15"/>
      <c r="P401" s="15"/>
      <c r="Q401" s="12"/>
      <c r="R401" s="12"/>
      <c r="S401" s="12"/>
      <c r="T401" s="12"/>
      <c r="AO401" s="16"/>
    </row>
    <row r="402" s="1" customFormat="1" spans="4:41">
      <c r="D402" s="10"/>
      <c r="E402" s="11"/>
      <c r="F402" s="12"/>
      <c r="G402" s="13"/>
      <c r="H402" s="13"/>
      <c r="L402" s="14"/>
      <c r="M402" s="15"/>
      <c r="N402" s="15"/>
      <c r="O402" s="15"/>
      <c r="P402" s="15"/>
      <c r="Q402" s="12"/>
      <c r="R402" s="12"/>
      <c r="S402" s="12"/>
      <c r="T402" s="12"/>
      <c r="AO402" s="16"/>
    </row>
    <row r="403" s="1" customFormat="1" spans="4:41">
      <c r="D403" s="10"/>
      <c r="E403" s="11"/>
      <c r="F403" s="12"/>
      <c r="G403" s="13"/>
      <c r="H403" s="13"/>
      <c r="L403" s="14"/>
      <c r="M403" s="15"/>
      <c r="N403" s="15"/>
      <c r="O403" s="15"/>
      <c r="P403" s="15"/>
      <c r="Q403" s="12"/>
      <c r="R403" s="12"/>
      <c r="S403" s="12"/>
      <c r="T403" s="12"/>
      <c r="AO403" s="16"/>
    </row>
    <row r="404" s="1" customFormat="1" spans="4:41">
      <c r="D404" s="10"/>
      <c r="E404" s="11"/>
      <c r="F404" s="12"/>
      <c r="G404" s="13"/>
      <c r="H404" s="13"/>
      <c r="L404" s="14"/>
      <c r="M404" s="15"/>
      <c r="N404" s="15"/>
      <c r="O404" s="15"/>
      <c r="P404" s="15"/>
      <c r="Q404" s="12"/>
      <c r="R404" s="12"/>
      <c r="S404" s="12"/>
      <c r="T404" s="12"/>
      <c r="AO404" s="16"/>
    </row>
    <row r="405" s="1" customFormat="1" spans="4:41">
      <c r="D405" s="10"/>
      <c r="E405" s="11"/>
      <c r="F405" s="12"/>
      <c r="G405" s="13"/>
      <c r="H405" s="13"/>
      <c r="L405" s="14"/>
      <c r="M405" s="15"/>
      <c r="N405" s="15"/>
      <c r="O405" s="15"/>
      <c r="P405" s="15"/>
      <c r="Q405" s="12"/>
      <c r="R405" s="12"/>
      <c r="S405" s="12"/>
      <c r="T405" s="12"/>
      <c r="AO405" s="16"/>
    </row>
    <row r="406" s="1" customFormat="1" spans="4:41">
      <c r="D406" s="10"/>
      <c r="E406" s="11"/>
      <c r="F406" s="12"/>
      <c r="G406" s="13"/>
      <c r="H406" s="13"/>
      <c r="L406" s="14"/>
      <c r="M406" s="15"/>
      <c r="N406" s="15"/>
      <c r="O406" s="15"/>
      <c r="P406" s="15"/>
      <c r="Q406" s="12"/>
      <c r="R406" s="12"/>
      <c r="S406" s="12"/>
      <c r="T406" s="12"/>
      <c r="AO406" s="16"/>
    </row>
    <row r="407" s="1" customFormat="1" spans="4:41">
      <c r="D407" s="10"/>
      <c r="E407" s="11"/>
      <c r="F407" s="12"/>
      <c r="G407" s="13"/>
      <c r="H407" s="13"/>
      <c r="L407" s="14"/>
      <c r="M407" s="15"/>
      <c r="N407" s="15"/>
      <c r="O407" s="15"/>
      <c r="P407" s="15"/>
      <c r="Q407" s="12"/>
      <c r="R407" s="12"/>
      <c r="S407" s="12"/>
      <c r="T407" s="12"/>
      <c r="AO407" s="16"/>
    </row>
    <row r="408" s="1" customFormat="1" spans="4:41">
      <c r="D408" s="10"/>
      <c r="E408" s="11"/>
      <c r="F408" s="12"/>
      <c r="G408" s="13"/>
      <c r="H408" s="13"/>
      <c r="L408" s="14"/>
      <c r="M408" s="15"/>
      <c r="N408" s="15"/>
      <c r="O408" s="15"/>
      <c r="P408" s="15"/>
      <c r="Q408" s="12"/>
      <c r="R408" s="12"/>
      <c r="S408" s="12"/>
      <c r="T408" s="12"/>
      <c r="AO408" s="16"/>
    </row>
    <row r="409" s="1" customFormat="1" spans="4:41">
      <c r="D409" s="10"/>
      <c r="E409" s="11"/>
      <c r="F409" s="12"/>
      <c r="G409" s="13"/>
      <c r="H409" s="13"/>
      <c r="L409" s="14"/>
      <c r="M409" s="15"/>
      <c r="N409" s="15"/>
      <c r="O409" s="15"/>
      <c r="P409" s="15"/>
      <c r="Q409" s="12"/>
      <c r="R409" s="12"/>
      <c r="S409" s="12"/>
      <c r="T409" s="12"/>
      <c r="AO409" s="16"/>
    </row>
    <row r="410" s="1" customFormat="1" spans="4:41">
      <c r="D410" s="10"/>
      <c r="E410" s="11"/>
      <c r="F410" s="12"/>
      <c r="G410" s="13"/>
      <c r="H410" s="13"/>
      <c r="L410" s="14"/>
      <c r="M410" s="15"/>
      <c r="N410" s="15"/>
      <c r="O410" s="15"/>
      <c r="P410" s="15"/>
      <c r="Q410" s="12"/>
      <c r="R410" s="12"/>
      <c r="S410" s="12"/>
      <c r="T410" s="12"/>
      <c r="AO410" s="16"/>
    </row>
    <row r="411" s="1" customFormat="1" spans="4:41">
      <c r="D411" s="10"/>
      <c r="E411" s="11"/>
      <c r="F411" s="12"/>
      <c r="G411" s="13"/>
      <c r="H411" s="13"/>
      <c r="L411" s="14"/>
      <c r="M411" s="15"/>
      <c r="N411" s="15"/>
      <c r="O411" s="15"/>
      <c r="P411" s="15"/>
      <c r="Q411" s="12"/>
      <c r="R411" s="12"/>
      <c r="S411" s="12"/>
      <c r="T411" s="12"/>
      <c r="AO411" s="16"/>
    </row>
    <row r="412" s="1" customFormat="1" spans="4:41">
      <c r="D412" s="10"/>
      <c r="E412" s="11"/>
      <c r="F412" s="12"/>
      <c r="G412" s="13"/>
      <c r="H412" s="13"/>
      <c r="L412" s="14"/>
      <c r="M412" s="15"/>
      <c r="N412" s="15"/>
      <c r="O412" s="15"/>
      <c r="P412" s="15"/>
      <c r="Q412" s="12"/>
      <c r="R412" s="12"/>
      <c r="S412" s="12"/>
      <c r="T412" s="12"/>
      <c r="AO412" s="16"/>
    </row>
    <row r="413" s="1" customFormat="1" spans="4:41">
      <c r="D413" s="10"/>
      <c r="E413" s="11"/>
      <c r="F413" s="12"/>
      <c r="G413" s="13"/>
      <c r="H413" s="13"/>
      <c r="L413" s="14"/>
      <c r="M413" s="15"/>
      <c r="N413" s="15"/>
      <c r="O413" s="15"/>
      <c r="P413" s="15"/>
      <c r="Q413" s="12"/>
      <c r="R413" s="12"/>
      <c r="S413" s="12"/>
      <c r="T413" s="12"/>
      <c r="AO413" s="16"/>
    </row>
    <row r="414" s="1" customFormat="1" spans="4:41">
      <c r="D414" s="10"/>
      <c r="E414" s="11"/>
      <c r="F414" s="12"/>
      <c r="G414" s="13"/>
      <c r="H414" s="13"/>
      <c r="L414" s="14"/>
      <c r="M414" s="15"/>
      <c r="N414" s="15"/>
      <c r="O414" s="15"/>
      <c r="P414" s="15"/>
      <c r="Q414" s="12"/>
      <c r="R414" s="12"/>
      <c r="S414" s="12"/>
      <c r="T414" s="12"/>
      <c r="AO414" s="16"/>
    </row>
    <row r="415" s="1" customFormat="1" spans="4:41">
      <c r="D415" s="10"/>
      <c r="E415" s="11"/>
      <c r="F415" s="12"/>
      <c r="G415" s="13"/>
      <c r="H415" s="13"/>
      <c r="L415" s="14"/>
      <c r="M415" s="15"/>
      <c r="N415" s="15"/>
      <c r="O415" s="15"/>
      <c r="P415" s="15"/>
      <c r="Q415" s="12"/>
      <c r="R415" s="12"/>
      <c r="S415" s="12"/>
      <c r="T415" s="12"/>
      <c r="AO415" s="16"/>
    </row>
    <row r="416" s="1" customFormat="1" spans="4:41">
      <c r="D416" s="10"/>
      <c r="E416" s="11"/>
      <c r="F416" s="12"/>
      <c r="G416" s="13"/>
      <c r="H416" s="13"/>
      <c r="L416" s="14"/>
      <c r="M416" s="15"/>
      <c r="N416" s="15"/>
      <c r="O416" s="15"/>
      <c r="P416" s="15"/>
      <c r="Q416" s="12"/>
      <c r="R416" s="12"/>
      <c r="S416" s="12"/>
      <c r="T416" s="12"/>
      <c r="AO416" s="16"/>
    </row>
    <row r="417" s="1" customFormat="1" spans="4:41">
      <c r="D417" s="10"/>
      <c r="E417" s="11"/>
      <c r="F417" s="12"/>
      <c r="G417" s="13"/>
      <c r="H417" s="13"/>
      <c r="L417" s="14"/>
      <c r="M417" s="15"/>
      <c r="N417" s="15"/>
      <c r="O417" s="15"/>
      <c r="P417" s="15"/>
      <c r="Q417" s="12"/>
      <c r="R417" s="12"/>
      <c r="S417" s="12"/>
      <c r="T417" s="12"/>
      <c r="AO417" s="16"/>
    </row>
    <row r="418" s="1" customFormat="1" spans="4:41">
      <c r="D418" s="10"/>
      <c r="E418" s="11"/>
      <c r="F418" s="12"/>
      <c r="G418" s="13"/>
      <c r="H418" s="13"/>
      <c r="L418" s="14"/>
      <c r="M418" s="15"/>
      <c r="N418" s="15"/>
      <c r="O418" s="15"/>
      <c r="P418" s="15"/>
      <c r="Q418" s="12"/>
      <c r="R418" s="12"/>
      <c r="S418" s="12"/>
      <c r="T418" s="12"/>
      <c r="AO418" s="16"/>
    </row>
    <row r="419" s="1" customFormat="1" spans="4:41">
      <c r="D419" s="10"/>
      <c r="E419" s="11"/>
      <c r="F419" s="12"/>
      <c r="G419" s="13"/>
      <c r="H419" s="13"/>
      <c r="L419" s="14"/>
      <c r="M419" s="15"/>
      <c r="N419" s="15"/>
      <c r="O419" s="15"/>
      <c r="P419" s="15"/>
      <c r="Q419" s="12"/>
      <c r="R419" s="12"/>
      <c r="S419" s="12"/>
      <c r="T419" s="12"/>
      <c r="AO419" s="16"/>
    </row>
    <row r="420" s="1" customFormat="1" spans="4:41">
      <c r="D420" s="10"/>
      <c r="E420" s="11"/>
      <c r="F420" s="12"/>
      <c r="G420" s="13"/>
      <c r="H420" s="13"/>
      <c r="L420" s="14"/>
      <c r="M420" s="15"/>
      <c r="N420" s="15"/>
      <c r="O420" s="15"/>
      <c r="P420" s="15"/>
      <c r="Q420" s="12"/>
      <c r="R420" s="12"/>
      <c r="S420" s="12"/>
      <c r="T420" s="12"/>
      <c r="AO420" s="16"/>
    </row>
    <row r="421" s="1" customFormat="1" spans="4:41">
      <c r="D421" s="10"/>
      <c r="E421" s="11"/>
      <c r="F421" s="12"/>
      <c r="G421" s="13"/>
      <c r="H421" s="13"/>
      <c r="L421" s="14"/>
      <c r="M421" s="15"/>
      <c r="N421" s="15"/>
      <c r="O421" s="15"/>
      <c r="P421" s="15"/>
      <c r="Q421" s="12"/>
      <c r="R421" s="12"/>
      <c r="S421" s="12"/>
      <c r="T421" s="12"/>
      <c r="AO421" s="16"/>
    </row>
    <row r="422" s="1" customFormat="1" spans="4:41">
      <c r="D422" s="10"/>
      <c r="E422" s="11"/>
      <c r="F422" s="12"/>
      <c r="G422" s="13"/>
      <c r="H422" s="13"/>
      <c r="L422" s="14"/>
      <c r="M422" s="15"/>
      <c r="N422" s="15"/>
      <c r="O422" s="15"/>
      <c r="P422" s="15"/>
      <c r="Q422" s="12"/>
      <c r="R422" s="12"/>
      <c r="S422" s="12"/>
      <c r="T422" s="12"/>
      <c r="AO422" s="16"/>
    </row>
    <row r="423" s="1" customFormat="1" spans="4:41">
      <c r="D423" s="10"/>
      <c r="E423" s="11"/>
      <c r="F423" s="12"/>
      <c r="G423" s="13"/>
      <c r="H423" s="13"/>
      <c r="L423" s="14"/>
      <c r="M423" s="15"/>
      <c r="N423" s="15"/>
      <c r="O423" s="15"/>
      <c r="P423" s="15"/>
      <c r="Q423" s="12"/>
      <c r="R423" s="12"/>
      <c r="S423" s="12"/>
      <c r="T423" s="12"/>
      <c r="AO423" s="16"/>
    </row>
    <row r="424" s="1" customFormat="1" spans="4:41">
      <c r="D424" s="10"/>
      <c r="E424" s="11"/>
      <c r="F424" s="12"/>
      <c r="G424" s="13"/>
      <c r="H424" s="13"/>
      <c r="L424" s="14"/>
      <c r="M424" s="15"/>
      <c r="N424" s="15"/>
      <c r="O424" s="15"/>
      <c r="P424" s="15"/>
      <c r="Q424" s="12"/>
      <c r="R424" s="12"/>
      <c r="S424" s="12"/>
      <c r="T424" s="12"/>
      <c r="AO424" s="16"/>
    </row>
    <row r="425" s="1" customFormat="1" spans="4:41">
      <c r="D425" s="10"/>
      <c r="E425" s="11"/>
      <c r="F425" s="12"/>
      <c r="G425" s="13"/>
      <c r="H425" s="13"/>
      <c r="L425" s="14"/>
      <c r="M425" s="15"/>
      <c r="N425" s="15"/>
      <c r="O425" s="15"/>
      <c r="P425" s="15"/>
      <c r="Q425" s="12"/>
      <c r="R425" s="12"/>
      <c r="S425" s="12"/>
      <c r="T425" s="12"/>
      <c r="AO425" s="16"/>
    </row>
    <row r="426" s="1" customFormat="1" spans="4:41">
      <c r="D426" s="10"/>
      <c r="E426" s="11"/>
      <c r="F426" s="12"/>
      <c r="G426" s="13"/>
      <c r="H426" s="13"/>
      <c r="L426" s="14"/>
      <c r="M426" s="15"/>
      <c r="N426" s="15"/>
      <c r="O426" s="15"/>
      <c r="P426" s="15"/>
      <c r="Q426" s="12"/>
      <c r="R426" s="12"/>
      <c r="S426" s="12"/>
      <c r="T426" s="12"/>
      <c r="AO426" s="16"/>
    </row>
    <row r="427" s="1" customFormat="1" spans="4:41">
      <c r="D427" s="10"/>
      <c r="E427" s="11"/>
      <c r="F427" s="12"/>
      <c r="G427" s="13"/>
      <c r="H427" s="13"/>
      <c r="L427" s="14"/>
      <c r="M427" s="15"/>
      <c r="N427" s="15"/>
      <c r="O427" s="15"/>
      <c r="P427" s="15"/>
      <c r="Q427" s="12"/>
      <c r="R427" s="12"/>
      <c r="S427" s="12"/>
      <c r="T427" s="12"/>
      <c r="AO427" s="16"/>
    </row>
    <row r="428" s="1" customFormat="1" spans="4:41">
      <c r="D428" s="10"/>
      <c r="E428" s="11"/>
      <c r="F428" s="12"/>
      <c r="G428" s="13"/>
      <c r="H428" s="13"/>
      <c r="L428" s="14"/>
      <c r="M428" s="15"/>
      <c r="N428" s="15"/>
      <c r="O428" s="15"/>
      <c r="P428" s="15"/>
      <c r="Q428" s="12"/>
      <c r="R428" s="12"/>
      <c r="S428" s="12"/>
      <c r="T428" s="12"/>
      <c r="AO428" s="16"/>
    </row>
    <row r="429" s="1" customFormat="1" spans="4:41">
      <c r="D429" s="10"/>
      <c r="E429" s="11"/>
      <c r="F429" s="12"/>
      <c r="G429" s="13"/>
      <c r="H429" s="13"/>
      <c r="L429" s="14"/>
      <c r="M429" s="15"/>
      <c r="N429" s="15"/>
      <c r="O429" s="15"/>
      <c r="P429" s="15"/>
      <c r="Q429" s="12"/>
      <c r="R429" s="12"/>
      <c r="S429" s="12"/>
      <c r="T429" s="12"/>
      <c r="AO429" s="16"/>
    </row>
    <row r="430" s="1" customFormat="1" spans="4:41">
      <c r="D430" s="10"/>
      <c r="E430" s="11"/>
      <c r="F430" s="12"/>
      <c r="G430" s="13"/>
      <c r="H430" s="13"/>
      <c r="L430" s="14"/>
      <c r="M430" s="15"/>
      <c r="N430" s="15"/>
      <c r="O430" s="15"/>
      <c r="P430" s="15"/>
      <c r="Q430" s="12"/>
      <c r="R430" s="12"/>
      <c r="S430" s="12"/>
      <c r="T430" s="12"/>
      <c r="AO430" s="16"/>
    </row>
    <row r="431" s="1" customFormat="1" spans="4:41">
      <c r="D431" s="10"/>
      <c r="E431" s="11"/>
      <c r="F431" s="12"/>
      <c r="G431" s="13"/>
      <c r="H431" s="13"/>
      <c r="L431" s="14"/>
      <c r="M431" s="15"/>
      <c r="N431" s="15"/>
      <c r="O431" s="15"/>
      <c r="P431" s="15"/>
      <c r="Q431" s="12"/>
      <c r="R431" s="12"/>
      <c r="S431" s="12"/>
      <c r="T431" s="12"/>
      <c r="AO431" s="16"/>
    </row>
    <row r="432" s="1" customFormat="1" spans="4:41">
      <c r="D432" s="10"/>
      <c r="E432" s="11"/>
      <c r="F432" s="12"/>
      <c r="G432" s="13"/>
      <c r="H432" s="13"/>
      <c r="L432" s="14"/>
      <c r="M432" s="15"/>
      <c r="N432" s="15"/>
      <c r="O432" s="15"/>
      <c r="P432" s="15"/>
      <c r="Q432" s="12"/>
      <c r="R432" s="12"/>
      <c r="S432" s="12"/>
      <c r="T432" s="12"/>
      <c r="AO432" s="16"/>
    </row>
    <row r="433" s="1" customFormat="1" spans="4:41">
      <c r="D433" s="10"/>
      <c r="E433" s="11"/>
      <c r="F433" s="12"/>
      <c r="G433" s="13"/>
      <c r="H433" s="13"/>
      <c r="L433" s="14"/>
      <c r="M433" s="15"/>
      <c r="N433" s="15"/>
      <c r="O433" s="15"/>
      <c r="P433" s="15"/>
      <c r="Q433" s="12"/>
      <c r="R433" s="12"/>
      <c r="S433" s="12"/>
      <c r="T433" s="12"/>
      <c r="AO433" s="16"/>
    </row>
    <row r="434" s="1" customFormat="1" spans="4:41">
      <c r="D434" s="10"/>
      <c r="E434" s="11"/>
      <c r="F434" s="12"/>
      <c r="G434" s="13"/>
      <c r="H434" s="13"/>
      <c r="L434" s="14"/>
      <c r="M434" s="15"/>
      <c r="N434" s="15"/>
      <c r="O434" s="15"/>
      <c r="P434" s="15"/>
      <c r="Q434" s="12"/>
      <c r="R434" s="12"/>
      <c r="S434" s="12"/>
      <c r="T434" s="12"/>
      <c r="AO434" s="16"/>
    </row>
    <row r="435" s="1" customFormat="1" spans="4:41">
      <c r="D435" s="10"/>
      <c r="E435" s="11"/>
      <c r="F435" s="12"/>
      <c r="G435" s="13"/>
      <c r="H435" s="13"/>
      <c r="L435" s="14"/>
      <c r="M435" s="15"/>
      <c r="N435" s="15"/>
      <c r="O435" s="15"/>
      <c r="P435" s="15"/>
      <c r="Q435" s="12"/>
      <c r="R435" s="12"/>
      <c r="S435" s="12"/>
      <c r="T435" s="12"/>
      <c r="AO435" s="16"/>
    </row>
    <row r="436" s="1" customFormat="1" spans="4:41">
      <c r="D436" s="10"/>
      <c r="E436" s="11"/>
      <c r="F436" s="12"/>
      <c r="G436" s="13"/>
      <c r="H436" s="13"/>
      <c r="L436" s="14"/>
      <c r="M436" s="15"/>
      <c r="N436" s="15"/>
      <c r="O436" s="15"/>
      <c r="P436" s="15"/>
      <c r="Q436" s="12"/>
      <c r="R436" s="12"/>
      <c r="S436" s="12"/>
      <c r="T436" s="12"/>
      <c r="AO436" s="16"/>
    </row>
    <row r="437" s="1" customFormat="1" spans="4:41">
      <c r="D437" s="10"/>
      <c r="E437" s="11"/>
      <c r="F437" s="12"/>
      <c r="G437" s="13"/>
      <c r="H437" s="13"/>
      <c r="L437" s="14"/>
      <c r="M437" s="15"/>
      <c r="N437" s="15"/>
      <c r="O437" s="15"/>
      <c r="P437" s="15"/>
      <c r="Q437" s="12"/>
      <c r="R437" s="12"/>
      <c r="S437" s="12"/>
      <c r="T437" s="12"/>
      <c r="AO437" s="16"/>
    </row>
    <row r="438" s="1" customFormat="1" spans="4:41">
      <c r="D438" s="10"/>
      <c r="E438" s="11"/>
      <c r="F438" s="12"/>
      <c r="G438" s="13"/>
      <c r="H438" s="13"/>
      <c r="L438" s="14"/>
      <c r="M438" s="15"/>
      <c r="N438" s="15"/>
      <c r="O438" s="15"/>
      <c r="P438" s="15"/>
      <c r="Q438" s="12"/>
      <c r="R438" s="12"/>
      <c r="S438" s="12"/>
      <c r="T438" s="12"/>
      <c r="AO438" s="16"/>
    </row>
    <row r="439" s="1" customFormat="1" spans="4:41">
      <c r="D439" s="10"/>
      <c r="E439" s="11"/>
      <c r="F439" s="12"/>
      <c r="G439" s="13"/>
      <c r="H439" s="13"/>
      <c r="L439" s="14"/>
      <c r="M439" s="15"/>
      <c r="N439" s="15"/>
      <c r="O439" s="15"/>
      <c r="P439" s="15"/>
      <c r="Q439" s="12"/>
      <c r="R439" s="12"/>
      <c r="S439" s="12"/>
      <c r="T439" s="12"/>
      <c r="AO439" s="16"/>
    </row>
    <row r="440" s="1" customFormat="1" spans="4:41">
      <c r="D440" s="10"/>
      <c r="E440" s="11"/>
      <c r="F440" s="12"/>
      <c r="G440" s="13"/>
      <c r="H440" s="13"/>
      <c r="L440" s="14"/>
      <c r="M440" s="15"/>
      <c r="N440" s="15"/>
      <c r="O440" s="15"/>
      <c r="P440" s="15"/>
      <c r="Q440" s="12"/>
      <c r="R440" s="12"/>
      <c r="S440" s="12"/>
      <c r="T440" s="12"/>
      <c r="AO440" s="16"/>
    </row>
    <row r="441" s="1" customFormat="1" spans="4:41">
      <c r="D441" s="10"/>
      <c r="E441" s="11"/>
      <c r="F441" s="12"/>
      <c r="G441" s="13"/>
      <c r="H441" s="13"/>
      <c r="L441" s="14"/>
      <c r="M441" s="15"/>
      <c r="N441" s="15"/>
      <c r="O441" s="15"/>
      <c r="P441" s="15"/>
      <c r="Q441" s="12"/>
      <c r="R441" s="12"/>
      <c r="S441" s="12"/>
      <c r="T441" s="12"/>
      <c r="AO441" s="16"/>
    </row>
    <row r="442" s="1" customFormat="1" spans="4:41">
      <c r="D442" s="10"/>
      <c r="E442" s="11"/>
      <c r="F442" s="12"/>
      <c r="G442" s="13"/>
      <c r="H442" s="13"/>
      <c r="L442" s="14"/>
      <c r="M442" s="15"/>
      <c r="N442" s="15"/>
      <c r="O442" s="15"/>
      <c r="P442" s="15"/>
      <c r="Q442" s="12"/>
      <c r="R442" s="12"/>
      <c r="S442" s="12"/>
      <c r="T442" s="12"/>
      <c r="AO442" s="16"/>
    </row>
    <row r="443" s="1" customFormat="1" spans="4:41">
      <c r="D443" s="10"/>
      <c r="E443" s="11"/>
      <c r="F443" s="12"/>
      <c r="G443" s="13"/>
      <c r="H443" s="13"/>
      <c r="L443" s="14"/>
      <c r="M443" s="15"/>
      <c r="N443" s="15"/>
      <c r="O443" s="15"/>
      <c r="P443" s="15"/>
      <c r="Q443" s="12"/>
      <c r="R443" s="12"/>
      <c r="S443" s="12"/>
      <c r="T443" s="12"/>
      <c r="AO443" s="16"/>
    </row>
    <row r="444" s="1" customFormat="1" spans="4:41">
      <c r="D444" s="10"/>
      <c r="E444" s="11"/>
      <c r="F444" s="12"/>
      <c r="G444" s="13"/>
      <c r="H444" s="13"/>
      <c r="L444" s="14"/>
      <c r="M444" s="15"/>
      <c r="N444" s="15"/>
      <c r="O444" s="15"/>
      <c r="P444" s="15"/>
      <c r="Q444" s="12"/>
      <c r="R444" s="12"/>
      <c r="S444" s="12"/>
      <c r="T444" s="12"/>
      <c r="AO444" s="16"/>
    </row>
    <row r="445" s="1" customFormat="1" spans="4:41">
      <c r="D445" s="10"/>
      <c r="E445" s="11"/>
      <c r="F445" s="12"/>
      <c r="G445" s="13"/>
      <c r="H445" s="13"/>
      <c r="L445" s="14"/>
      <c r="M445" s="15"/>
      <c r="N445" s="15"/>
      <c r="O445" s="15"/>
      <c r="P445" s="15"/>
      <c r="Q445" s="12"/>
      <c r="R445" s="12"/>
      <c r="S445" s="12"/>
      <c r="T445" s="12"/>
      <c r="AO445" s="16"/>
    </row>
    <row r="446" s="1" customFormat="1" spans="4:41">
      <c r="D446" s="10"/>
      <c r="E446" s="11"/>
      <c r="F446" s="12"/>
      <c r="G446" s="13"/>
      <c r="H446" s="13"/>
      <c r="L446" s="14"/>
      <c r="M446" s="15"/>
      <c r="N446" s="15"/>
      <c r="O446" s="15"/>
      <c r="P446" s="15"/>
      <c r="Q446" s="12"/>
      <c r="R446" s="12"/>
      <c r="S446" s="12"/>
      <c r="T446" s="12"/>
      <c r="AO446" s="16"/>
    </row>
    <row r="447" s="1" customFormat="1" spans="4:41">
      <c r="D447" s="10"/>
      <c r="E447" s="11"/>
      <c r="F447" s="12"/>
      <c r="G447" s="13"/>
      <c r="H447" s="13"/>
      <c r="L447" s="14"/>
      <c r="M447" s="15"/>
      <c r="N447" s="15"/>
      <c r="O447" s="15"/>
      <c r="P447" s="15"/>
      <c r="Q447" s="12"/>
      <c r="R447" s="12"/>
      <c r="S447" s="12"/>
      <c r="T447" s="12"/>
      <c r="AO447" s="16"/>
    </row>
    <row r="448" s="1" customFormat="1" spans="4:41">
      <c r="D448" s="10"/>
      <c r="E448" s="11"/>
      <c r="F448" s="12"/>
      <c r="G448" s="13"/>
      <c r="H448" s="13"/>
      <c r="L448" s="14"/>
      <c r="M448" s="15"/>
      <c r="N448" s="15"/>
      <c r="O448" s="15"/>
      <c r="P448" s="15"/>
      <c r="Q448" s="12"/>
      <c r="R448" s="12"/>
      <c r="S448" s="12"/>
      <c r="T448" s="12"/>
      <c r="AO448" s="16"/>
    </row>
    <row r="449" s="1" customFormat="1" spans="4:41">
      <c r="D449" s="10"/>
      <c r="E449" s="11"/>
      <c r="F449" s="12"/>
      <c r="G449" s="13"/>
      <c r="H449" s="13"/>
      <c r="L449" s="14"/>
      <c r="M449" s="15"/>
      <c r="N449" s="15"/>
      <c r="O449" s="15"/>
      <c r="P449" s="15"/>
      <c r="Q449" s="12"/>
      <c r="R449" s="12"/>
      <c r="S449" s="12"/>
      <c r="T449" s="12"/>
      <c r="AO449" s="16"/>
    </row>
    <row r="450" s="1" customFormat="1" spans="4:41">
      <c r="D450" s="10"/>
      <c r="E450" s="11"/>
      <c r="F450" s="12"/>
      <c r="G450" s="13"/>
      <c r="H450" s="13"/>
      <c r="L450" s="14"/>
      <c r="M450" s="15"/>
      <c r="N450" s="15"/>
      <c r="O450" s="15"/>
      <c r="P450" s="15"/>
      <c r="Q450" s="12"/>
      <c r="R450" s="12"/>
      <c r="S450" s="12"/>
      <c r="T450" s="12"/>
      <c r="AO450" s="16"/>
    </row>
    <row r="451" s="1" customFormat="1" spans="4:41">
      <c r="D451" s="10"/>
      <c r="E451" s="11"/>
      <c r="F451" s="12"/>
      <c r="G451" s="13"/>
      <c r="H451" s="13"/>
      <c r="L451" s="14"/>
      <c r="M451" s="15"/>
      <c r="N451" s="15"/>
      <c r="O451" s="15"/>
      <c r="P451" s="15"/>
      <c r="Q451" s="12"/>
      <c r="R451" s="12"/>
      <c r="S451" s="12"/>
      <c r="T451" s="12"/>
      <c r="AO451" s="16"/>
    </row>
    <row r="452" s="1" customFormat="1" spans="4:41">
      <c r="D452" s="10"/>
      <c r="E452" s="11"/>
      <c r="F452" s="12"/>
      <c r="G452" s="13"/>
      <c r="H452" s="13"/>
      <c r="L452" s="14"/>
      <c r="M452" s="15"/>
      <c r="N452" s="15"/>
      <c r="O452" s="15"/>
      <c r="P452" s="15"/>
      <c r="Q452" s="12"/>
      <c r="R452" s="12"/>
      <c r="S452" s="12"/>
      <c r="T452" s="12"/>
      <c r="AO452" s="16"/>
    </row>
    <row r="453" s="1" customFormat="1" spans="4:41">
      <c r="D453" s="10"/>
      <c r="E453" s="11"/>
      <c r="F453" s="12"/>
      <c r="G453" s="13"/>
      <c r="H453" s="13"/>
      <c r="L453" s="14"/>
      <c r="M453" s="15"/>
      <c r="N453" s="15"/>
      <c r="O453" s="15"/>
      <c r="P453" s="15"/>
      <c r="Q453" s="12"/>
      <c r="R453" s="12"/>
      <c r="S453" s="12"/>
      <c r="T453" s="12"/>
      <c r="AO453" s="16"/>
    </row>
    <row r="454" s="1" customFormat="1" spans="4:41">
      <c r="D454" s="10"/>
      <c r="E454" s="11"/>
      <c r="F454" s="12"/>
      <c r="G454" s="13"/>
      <c r="H454" s="13"/>
      <c r="L454" s="14"/>
      <c r="M454" s="15"/>
      <c r="N454" s="15"/>
      <c r="O454" s="15"/>
      <c r="P454" s="15"/>
      <c r="Q454" s="12"/>
      <c r="R454" s="12"/>
      <c r="S454" s="12"/>
      <c r="T454" s="12"/>
      <c r="AO454" s="16"/>
    </row>
    <row r="455" s="1" customFormat="1" spans="4:41">
      <c r="D455" s="10"/>
      <c r="E455" s="11"/>
      <c r="F455" s="12"/>
      <c r="G455" s="13"/>
      <c r="H455" s="13"/>
      <c r="L455" s="14"/>
      <c r="M455" s="15"/>
      <c r="N455" s="15"/>
      <c r="O455" s="15"/>
      <c r="P455" s="15"/>
      <c r="Q455" s="12"/>
      <c r="R455" s="12"/>
      <c r="S455" s="12"/>
      <c r="T455" s="12"/>
      <c r="AO455" s="16"/>
    </row>
    <row r="456" s="1" customFormat="1" spans="4:41">
      <c r="D456" s="10"/>
      <c r="E456" s="11"/>
      <c r="F456" s="12"/>
      <c r="G456" s="13"/>
      <c r="H456" s="13"/>
      <c r="L456" s="14"/>
      <c r="M456" s="15"/>
      <c r="N456" s="15"/>
      <c r="O456" s="15"/>
      <c r="P456" s="15"/>
      <c r="Q456" s="12"/>
      <c r="R456" s="12"/>
      <c r="S456" s="12"/>
      <c r="T456" s="12"/>
      <c r="AO456" s="16"/>
    </row>
    <row r="457" s="1" customFormat="1" spans="4:41">
      <c r="D457" s="10"/>
      <c r="E457" s="11"/>
      <c r="F457" s="12"/>
      <c r="G457" s="13"/>
      <c r="H457" s="13"/>
      <c r="L457" s="14"/>
      <c r="M457" s="15"/>
      <c r="N457" s="15"/>
      <c r="O457" s="15"/>
      <c r="P457" s="15"/>
      <c r="Q457" s="12"/>
      <c r="R457" s="12"/>
      <c r="S457" s="12"/>
      <c r="T457" s="12"/>
      <c r="AO457" s="16"/>
    </row>
    <row r="458" s="1" customFormat="1" spans="4:41">
      <c r="D458" s="10"/>
      <c r="E458" s="11"/>
      <c r="F458" s="12"/>
      <c r="G458" s="13"/>
      <c r="H458" s="13"/>
      <c r="L458" s="14"/>
      <c r="M458" s="15"/>
      <c r="N458" s="15"/>
      <c r="O458" s="15"/>
      <c r="P458" s="15"/>
      <c r="Q458" s="12"/>
      <c r="R458" s="12"/>
      <c r="S458" s="12"/>
      <c r="T458" s="12"/>
      <c r="AO458" s="16"/>
    </row>
    <row r="459" s="1" customFormat="1" spans="4:41">
      <c r="D459" s="10"/>
      <c r="E459" s="11"/>
      <c r="F459" s="12"/>
      <c r="G459" s="13"/>
      <c r="H459" s="13"/>
      <c r="L459" s="14"/>
      <c r="M459" s="15"/>
      <c r="N459" s="15"/>
      <c r="O459" s="15"/>
      <c r="P459" s="15"/>
      <c r="Q459" s="12"/>
      <c r="R459" s="12"/>
      <c r="S459" s="12"/>
      <c r="T459" s="12"/>
      <c r="AO459" s="16"/>
    </row>
    <row r="460" s="1" customFormat="1" spans="4:41">
      <c r="D460" s="10"/>
      <c r="E460" s="11"/>
      <c r="F460" s="12"/>
      <c r="G460" s="13"/>
      <c r="H460" s="13"/>
      <c r="L460" s="14"/>
      <c r="M460" s="15"/>
      <c r="N460" s="15"/>
      <c r="O460" s="15"/>
      <c r="P460" s="15"/>
      <c r="Q460" s="12"/>
      <c r="R460" s="12"/>
      <c r="S460" s="12"/>
      <c r="T460" s="12"/>
      <c r="AO460" s="16"/>
    </row>
    <row r="461" s="1" customFormat="1" spans="4:41">
      <c r="D461" s="10"/>
      <c r="E461" s="11"/>
      <c r="F461" s="12"/>
      <c r="G461" s="13"/>
      <c r="H461" s="13"/>
      <c r="L461" s="14"/>
      <c r="M461" s="15"/>
      <c r="N461" s="15"/>
      <c r="O461" s="15"/>
      <c r="P461" s="15"/>
      <c r="Q461" s="12"/>
      <c r="R461" s="12"/>
      <c r="S461" s="12"/>
      <c r="T461" s="12"/>
      <c r="AO461" s="16"/>
    </row>
    <row r="462" s="1" customFormat="1" spans="4:41">
      <c r="D462" s="10"/>
      <c r="E462" s="11"/>
      <c r="F462" s="12"/>
      <c r="G462" s="13"/>
      <c r="H462" s="13"/>
      <c r="L462" s="14"/>
      <c r="M462" s="15"/>
      <c r="N462" s="15"/>
      <c r="O462" s="15"/>
      <c r="P462" s="15"/>
      <c r="Q462" s="12"/>
      <c r="R462" s="12"/>
      <c r="S462" s="12"/>
      <c r="T462" s="12"/>
      <c r="AO462" s="16"/>
    </row>
    <row r="463" s="1" customFormat="1" spans="4:41">
      <c r="D463" s="10"/>
      <c r="E463" s="11"/>
      <c r="F463" s="12"/>
      <c r="G463" s="13"/>
      <c r="H463" s="13"/>
      <c r="L463" s="14"/>
      <c r="M463" s="15"/>
      <c r="N463" s="15"/>
      <c r="O463" s="15"/>
      <c r="P463" s="15"/>
      <c r="Q463" s="12"/>
      <c r="R463" s="12"/>
      <c r="S463" s="12"/>
      <c r="T463" s="12"/>
      <c r="AO463" s="16"/>
    </row>
    <row r="464" s="1" customFormat="1" spans="4:41">
      <c r="D464" s="10"/>
      <c r="E464" s="11"/>
      <c r="F464" s="12"/>
      <c r="G464" s="13"/>
      <c r="H464" s="13"/>
      <c r="L464" s="14"/>
      <c r="M464" s="15"/>
      <c r="N464" s="15"/>
      <c r="O464" s="15"/>
      <c r="P464" s="15"/>
      <c r="Q464" s="12"/>
      <c r="R464" s="12"/>
      <c r="S464" s="12"/>
      <c r="T464" s="12"/>
      <c r="AO464" s="16"/>
    </row>
    <row r="465" s="1" customFormat="1" spans="4:41">
      <c r="D465" s="10"/>
      <c r="E465" s="11"/>
      <c r="F465" s="12"/>
      <c r="G465" s="13"/>
      <c r="H465" s="13"/>
      <c r="L465" s="14"/>
      <c r="M465" s="15"/>
      <c r="N465" s="15"/>
      <c r="O465" s="15"/>
      <c r="P465" s="15"/>
      <c r="Q465" s="12"/>
      <c r="R465" s="12"/>
      <c r="S465" s="12"/>
      <c r="T465" s="12"/>
      <c r="AO465" s="16"/>
    </row>
    <row r="466" s="1" customFormat="1" spans="4:41">
      <c r="D466" s="10"/>
      <c r="E466" s="11"/>
      <c r="F466" s="12"/>
      <c r="G466" s="13"/>
      <c r="H466" s="13"/>
      <c r="L466" s="14"/>
      <c r="M466" s="15"/>
      <c r="N466" s="15"/>
      <c r="O466" s="15"/>
      <c r="P466" s="15"/>
      <c r="Q466" s="12"/>
      <c r="R466" s="12"/>
      <c r="S466" s="12"/>
      <c r="T466" s="12"/>
      <c r="AO466" s="16"/>
    </row>
    <row r="467" s="1" customFormat="1" spans="4:41">
      <c r="D467" s="10"/>
      <c r="E467" s="11"/>
      <c r="F467" s="12"/>
      <c r="G467" s="13"/>
      <c r="H467" s="13"/>
      <c r="L467" s="14"/>
      <c r="M467" s="15"/>
      <c r="N467" s="15"/>
      <c r="O467" s="15"/>
      <c r="P467" s="15"/>
      <c r="Q467" s="12"/>
      <c r="R467" s="12"/>
      <c r="S467" s="12"/>
      <c r="T467" s="12"/>
      <c r="AO467" s="16"/>
    </row>
    <row r="468" s="1" customFormat="1" spans="4:41">
      <c r="D468" s="10"/>
      <c r="E468" s="11"/>
      <c r="F468" s="12"/>
      <c r="G468" s="13"/>
      <c r="H468" s="13"/>
      <c r="L468" s="14"/>
      <c r="M468" s="15"/>
      <c r="N468" s="15"/>
      <c r="O468" s="15"/>
      <c r="P468" s="15"/>
      <c r="Q468" s="12"/>
      <c r="R468" s="12"/>
      <c r="S468" s="12"/>
      <c r="T468" s="12"/>
      <c r="AO468" s="16"/>
    </row>
    <row r="469" s="1" customFormat="1" spans="4:41">
      <c r="D469" s="10"/>
      <c r="E469" s="11"/>
      <c r="F469" s="12"/>
      <c r="G469" s="13"/>
      <c r="H469" s="13"/>
      <c r="L469" s="14"/>
      <c r="M469" s="15"/>
      <c r="N469" s="15"/>
      <c r="O469" s="15"/>
      <c r="P469" s="15"/>
      <c r="Q469" s="12"/>
      <c r="R469" s="12"/>
      <c r="S469" s="12"/>
      <c r="T469" s="12"/>
      <c r="AO469" s="16"/>
    </row>
    <row r="470" s="1" customFormat="1" spans="4:41">
      <c r="D470" s="10"/>
      <c r="E470" s="11"/>
      <c r="F470" s="12"/>
      <c r="G470" s="13"/>
      <c r="H470" s="13"/>
      <c r="L470" s="14"/>
      <c r="M470" s="15"/>
      <c r="N470" s="15"/>
      <c r="O470" s="15"/>
      <c r="P470" s="15"/>
      <c r="Q470" s="12"/>
      <c r="R470" s="12"/>
      <c r="S470" s="12"/>
      <c r="T470" s="12"/>
      <c r="AO470" s="16"/>
    </row>
    <row r="471" s="1" customFormat="1" spans="4:41">
      <c r="D471" s="10"/>
      <c r="E471" s="11"/>
      <c r="F471" s="12"/>
      <c r="G471" s="13"/>
      <c r="H471" s="13"/>
      <c r="L471" s="14"/>
      <c r="M471" s="15"/>
      <c r="N471" s="15"/>
      <c r="O471" s="15"/>
      <c r="P471" s="15"/>
      <c r="Q471" s="12"/>
      <c r="R471" s="12"/>
      <c r="S471" s="12"/>
      <c r="T471" s="12"/>
      <c r="AO471" s="16"/>
    </row>
    <row r="472" s="1" customFormat="1" spans="4:41">
      <c r="D472" s="10"/>
      <c r="E472" s="11"/>
      <c r="F472" s="12"/>
      <c r="G472" s="13"/>
      <c r="H472" s="13"/>
      <c r="L472" s="14"/>
      <c r="M472" s="15"/>
      <c r="N472" s="15"/>
      <c r="O472" s="15"/>
      <c r="P472" s="15"/>
      <c r="Q472" s="12"/>
      <c r="R472" s="12"/>
      <c r="S472" s="12"/>
      <c r="T472" s="12"/>
      <c r="AO472" s="16"/>
    </row>
    <row r="473" s="1" customFormat="1" spans="4:41">
      <c r="D473" s="10"/>
      <c r="E473" s="11"/>
      <c r="F473" s="12"/>
      <c r="G473" s="13"/>
      <c r="H473" s="13"/>
      <c r="L473" s="14"/>
      <c r="M473" s="15"/>
      <c r="N473" s="15"/>
      <c r="O473" s="15"/>
      <c r="P473" s="15"/>
      <c r="Q473" s="12"/>
      <c r="R473" s="12"/>
      <c r="S473" s="12"/>
      <c r="T473" s="12"/>
      <c r="AO473" s="16"/>
    </row>
    <row r="474" s="1" customFormat="1" spans="4:41">
      <c r="D474" s="10"/>
      <c r="E474" s="11"/>
      <c r="F474" s="12"/>
      <c r="G474" s="13"/>
      <c r="H474" s="13"/>
      <c r="L474" s="14"/>
      <c r="M474" s="15"/>
      <c r="N474" s="15"/>
      <c r="O474" s="15"/>
      <c r="P474" s="15"/>
      <c r="Q474" s="12"/>
      <c r="R474" s="12"/>
      <c r="S474" s="12"/>
      <c r="T474" s="12"/>
      <c r="AO474" s="16"/>
    </row>
    <row r="475" s="1" customFormat="1" spans="4:41">
      <c r="D475" s="10"/>
      <c r="E475" s="11"/>
      <c r="F475" s="12"/>
      <c r="G475" s="13"/>
      <c r="H475" s="13"/>
      <c r="L475" s="14"/>
      <c r="M475" s="15"/>
      <c r="N475" s="15"/>
      <c r="O475" s="15"/>
      <c r="P475" s="15"/>
      <c r="Q475" s="12"/>
      <c r="R475" s="12"/>
      <c r="S475" s="12"/>
      <c r="T475" s="12"/>
      <c r="AO475" s="16"/>
    </row>
    <row r="476" s="1" customFormat="1" spans="4:41">
      <c r="D476" s="10"/>
      <c r="E476" s="11"/>
      <c r="F476" s="12"/>
      <c r="G476" s="13"/>
      <c r="H476" s="13"/>
      <c r="L476" s="14"/>
      <c r="M476" s="15"/>
      <c r="N476" s="15"/>
      <c r="O476" s="15"/>
      <c r="P476" s="15"/>
      <c r="Q476" s="12"/>
      <c r="R476" s="12"/>
      <c r="S476" s="12"/>
      <c r="T476" s="12"/>
      <c r="AO476" s="16"/>
    </row>
    <row r="477" s="1" customFormat="1" spans="4:41">
      <c r="D477" s="10"/>
      <c r="E477" s="11"/>
      <c r="F477" s="12"/>
      <c r="G477" s="13"/>
      <c r="H477" s="13"/>
      <c r="L477" s="14"/>
      <c r="M477" s="15"/>
      <c r="N477" s="15"/>
      <c r="O477" s="15"/>
      <c r="P477" s="15"/>
      <c r="Q477" s="12"/>
      <c r="R477" s="12"/>
      <c r="S477" s="12"/>
      <c r="T477" s="12"/>
      <c r="AO477" s="16"/>
    </row>
    <row r="478" s="1" customFormat="1" spans="4:41">
      <c r="D478" s="10"/>
      <c r="E478" s="11"/>
      <c r="F478" s="12"/>
      <c r="G478" s="13"/>
      <c r="H478" s="13"/>
      <c r="L478" s="14"/>
      <c r="M478" s="15"/>
      <c r="N478" s="15"/>
      <c r="O478" s="15"/>
      <c r="P478" s="15"/>
      <c r="Q478" s="12"/>
      <c r="R478" s="12"/>
      <c r="S478" s="12"/>
      <c r="T478" s="12"/>
      <c r="AO478" s="16"/>
    </row>
    <row r="479" s="1" customFormat="1" spans="4:41">
      <c r="D479" s="10"/>
      <c r="E479" s="11"/>
      <c r="F479" s="12"/>
      <c r="G479" s="13"/>
      <c r="H479" s="13"/>
      <c r="L479" s="14"/>
      <c r="M479" s="15"/>
      <c r="N479" s="15"/>
      <c r="O479" s="15"/>
      <c r="P479" s="15"/>
      <c r="Q479" s="12"/>
      <c r="R479" s="12"/>
      <c r="S479" s="12"/>
      <c r="T479" s="12"/>
      <c r="AO479" s="16"/>
    </row>
    <row r="480" s="1" customFormat="1" spans="4:41">
      <c r="D480" s="10"/>
      <c r="E480" s="11"/>
      <c r="F480" s="12"/>
      <c r="G480" s="13"/>
      <c r="H480" s="13"/>
      <c r="L480" s="14"/>
      <c r="M480" s="15"/>
      <c r="N480" s="15"/>
      <c r="O480" s="15"/>
      <c r="P480" s="15"/>
      <c r="Q480" s="12"/>
      <c r="R480" s="12"/>
      <c r="S480" s="12"/>
      <c r="T480" s="12"/>
      <c r="AO480" s="16"/>
    </row>
    <row r="481" s="1" customFormat="1" spans="4:41">
      <c r="D481" s="10"/>
      <c r="E481" s="11"/>
      <c r="F481" s="12"/>
      <c r="G481" s="13"/>
      <c r="H481" s="13"/>
      <c r="L481" s="14"/>
      <c r="M481" s="15"/>
      <c r="N481" s="15"/>
      <c r="O481" s="15"/>
      <c r="P481" s="15"/>
      <c r="Q481" s="12"/>
      <c r="R481" s="12"/>
      <c r="S481" s="12"/>
      <c r="T481" s="12"/>
      <c r="AO481" s="16"/>
    </row>
    <row r="482" s="1" customFormat="1" spans="4:41">
      <c r="D482" s="10"/>
      <c r="E482" s="11"/>
      <c r="F482" s="12"/>
      <c r="G482" s="13"/>
      <c r="H482" s="13"/>
      <c r="L482" s="14"/>
      <c r="M482" s="15"/>
      <c r="N482" s="15"/>
      <c r="O482" s="15"/>
      <c r="P482" s="15"/>
      <c r="Q482" s="12"/>
      <c r="R482" s="12"/>
      <c r="S482" s="12"/>
      <c r="T482" s="12"/>
      <c r="AO482" s="16"/>
    </row>
    <row r="483" s="1" customFormat="1" spans="4:41">
      <c r="D483" s="10"/>
      <c r="E483" s="11"/>
      <c r="F483" s="12"/>
      <c r="G483" s="13"/>
      <c r="H483" s="13"/>
      <c r="L483" s="14"/>
      <c r="M483" s="15"/>
      <c r="N483" s="15"/>
      <c r="O483" s="15"/>
      <c r="P483" s="15"/>
      <c r="Q483" s="12"/>
      <c r="R483" s="12"/>
      <c r="S483" s="12"/>
      <c r="T483" s="12"/>
      <c r="AO483" s="16"/>
    </row>
    <row r="484" s="1" customFormat="1" spans="4:41">
      <c r="D484" s="10"/>
      <c r="E484" s="11"/>
      <c r="F484" s="12"/>
      <c r="G484" s="13"/>
      <c r="H484" s="13"/>
      <c r="L484" s="14"/>
      <c r="M484" s="15"/>
      <c r="N484" s="15"/>
      <c r="O484" s="15"/>
      <c r="P484" s="15"/>
      <c r="Q484" s="12"/>
      <c r="R484" s="12"/>
      <c r="S484" s="12"/>
      <c r="T484" s="12"/>
      <c r="AO484" s="16"/>
    </row>
    <row r="485" s="1" customFormat="1" spans="4:41">
      <c r="D485" s="10"/>
      <c r="E485" s="11"/>
      <c r="F485" s="12"/>
      <c r="G485" s="13"/>
      <c r="H485" s="13"/>
      <c r="L485" s="14"/>
      <c r="M485" s="15"/>
      <c r="N485" s="15"/>
      <c r="O485" s="15"/>
      <c r="P485" s="15"/>
      <c r="Q485" s="12"/>
      <c r="R485" s="12"/>
      <c r="S485" s="12"/>
      <c r="T485" s="12"/>
      <c r="AO485" s="16"/>
    </row>
    <row r="486" s="1" customFormat="1" spans="4:41">
      <c r="D486" s="10"/>
      <c r="E486" s="11"/>
      <c r="F486" s="12"/>
      <c r="G486" s="13"/>
      <c r="H486" s="13"/>
      <c r="L486" s="14"/>
      <c r="M486" s="15"/>
      <c r="N486" s="15"/>
      <c r="O486" s="15"/>
      <c r="P486" s="15"/>
      <c r="Q486" s="12"/>
      <c r="R486" s="12"/>
      <c r="S486" s="12"/>
      <c r="T486" s="12"/>
      <c r="AO486" s="16"/>
    </row>
    <row r="487" s="1" customFormat="1" spans="4:41">
      <c r="D487" s="10"/>
      <c r="E487" s="11"/>
      <c r="F487" s="12"/>
      <c r="G487" s="13"/>
      <c r="H487" s="13"/>
      <c r="L487" s="14"/>
      <c r="M487" s="15"/>
      <c r="N487" s="15"/>
      <c r="O487" s="15"/>
      <c r="P487" s="15"/>
      <c r="Q487" s="12"/>
      <c r="R487" s="12"/>
      <c r="S487" s="12"/>
      <c r="T487" s="12"/>
      <c r="AO487" s="16"/>
    </row>
    <row r="488" s="1" customFormat="1" spans="4:41">
      <c r="D488" s="10"/>
      <c r="E488" s="11"/>
      <c r="F488" s="12"/>
      <c r="G488" s="13"/>
      <c r="H488" s="13"/>
      <c r="L488" s="14"/>
      <c r="M488" s="15"/>
      <c r="N488" s="15"/>
      <c r="O488" s="15"/>
      <c r="P488" s="15"/>
      <c r="Q488" s="12"/>
      <c r="R488" s="12"/>
      <c r="S488" s="12"/>
      <c r="T488" s="12"/>
      <c r="AO488" s="16"/>
    </row>
    <row r="489" s="1" customFormat="1" spans="4:41">
      <c r="D489" s="10"/>
      <c r="E489" s="11"/>
      <c r="F489" s="12"/>
      <c r="G489" s="13"/>
      <c r="H489" s="13"/>
      <c r="L489" s="14"/>
      <c r="M489" s="15"/>
      <c r="N489" s="15"/>
      <c r="O489" s="15"/>
      <c r="P489" s="15"/>
      <c r="Q489" s="12"/>
      <c r="R489" s="12"/>
      <c r="S489" s="12"/>
      <c r="T489" s="12"/>
      <c r="AO489" s="16"/>
    </row>
    <row r="490" s="1" customFormat="1" spans="4:41">
      <c r="D490" s="10"/>
      <c r="E490" s="11"/>
      <c r="F490" s="12"/>
      <c r="G490" s="13"/>
      <c r="H490" s="13"/>
      <c r="L490" s="14"/>
      <c r="M490" s="15"/>
      <c r="N490" s="15"/>
      <c r="O490" s="15"/>
      <c r="P490" s="15"/>
      <c r="Q490" s="12"/>
      <c r="R490" s="12"/>
      <c r="S490" s="12"/>
      <c r="T490" s="12"/>
      <c r="AO490" s="16"/>
    </row>
    <row r="491" s="1" customFormat="1" spans="4:41">
      <c r="D491" s="10"/>
      <c r="E491" s="11"/>
      <c r="F491" s="12"/>
      <c r="G491" s="13"/>
      <c r="H491" s="13"/>
      <c r="L491" s="14"/>
      <c r="M491" s="15"/>
      <c r="N491" s="15"/>
      <c r="O491" s="15"/>
      <c r="P491" s="15"/>
      <c r="Q491" s="12"/>
      <c r="R491" s="12"/>
      <c r="S491" s="12"/>
      <c r="T491" s="12"/>
      <c r="AO491" s="16"/>
    </row>
    <row r="492" s="1" customFormat="1" spans="4:41">
      <c r="D492" s="10"/>
      <c r="E492" s="11"/>
      <c r="F492" s="12"/>
      <c r="G492" s="13"/>
      <c r="H492" s="13"/>
      <c r="L492" s="14"/>
      <c r="M492" s="15"/>
      <c r="N492" s="15"/>
      <c r="O492" s="15"/>
      <c r="P492" s="15"/>
      <c r="Q492" s="12"/>
      <c r="R492" s="12"/>
      <c r="S492" s="12"/>
      <c r="T492" s="12"/>
      <c r="AO492" s="16"/>
    </row>
    <row r="493" s="1" customFormat="1" spans="4:41">
      <c r="D493" s="10"/>
      <c r="E493" s="11"/>
      <c r="F493" s="12"/>
      <c r="G493" s="13"/>
      <c r="H493" s="13"/>
      <c r="L493" s="14"/>
      <c r="M493" s="15"/>
      <c r="N493" s="15"/>
      <c r="O493" s="15"/>
      <c r="P493" s="15"/>
      <c r="Q493" s="12"/>
      <c r="R493" s="12"/>
      <c r="S493" s="12"/>
      <c r="T493" s="12"/>
      <c r="AO493" s="16"/>
    </row>
    <row r="494" s="1" customFormat="1" spans="4:41">
      <c r="D494" s="10"/>
      <c r="E494" s="11"/>
      <c r="F494" s="12"/>
      <c r="G494" s="13"/>
      <c r="H494" s="13"/>
      <c r="L494" s="14"/>
      <c r="M494" s="15"/>
      <c r="N494" s="15"/>
      <c r="O494" s="15"/>
      <c r="P494" s="15"/>
      <c r="Q494" s="12"/>
      <c r="R494" s="12"/>
      <c r="S494" s="12"/>
      <c r="T494" s="12"/>
      <c r="AO494" s="16"/>
    </row>
    <row r="495" s="1" customFormat="1" spans="4:41">
      <c r="D495" s="10"/>
      <c r="E495" s="11"/>
      <c r="F495" s="12"/>
      <c r="G495" s="13"/>
      <c r="H495" s="13"/>
      <c r="L495" s="14"/>
      <c r="M495" s="15"/>
      <c r="N495" s="15"/>
      <c r="O495" s="15"/>
      <c r="P495" s="15"/>
      <c r="Q495" s="12"/>
      <c r="R495" s="12"/>
      <c r="S495" s="12"/>
      <c r="T495" s="12"/>
      <c r="AO495" s="16"/>
    </row>
    <row r="496" s="1" customFormat="1" spans="4:41">
      <c r="D496" s="10"/>
      <c r="E496" s="11"/>
      <c r="F496" s="12"/>
      <c r="G496" s="13"/>
      <c r="H496" s="13"/>
      <c r="L496" s="14"/>
      <c r="M496" s="15"/>
      <c r="N496" s="15"/>
      <c r="O496" s="15"/>
      <c r="P496" s="15"/>
      <c r="Q496" s="12"/>
      <c r="R496" s="12"/>
      <c r="S496" s="12"/>
      <c r="T496" s="12"/>
      <c r="AO496" s="16"/>
    </row>
    <row r="497" s="1" customFormat="1" spans="4:41">
      <c r="D497" s="10"/>
      <c r="E497" s="11"/>
      <c r="F497" s="12"/>
      <c r="G497" s="13"/>
      <c r="H497" s="13"/>
      <c r="L497" s="14"/>
      <c r="M497" s="15"/>
      <c r="N497" s="15"/>
      <c r="O497" s="15"/>
      <c r="P497" s="15"/>
      <c r="Q497" s="12"/>
      <c r="R497" s="12"/>
      <c r="S497" s="12"/>
      <c r="T497" s="12"/>
      <c r="AO497" s="16"/>
    </row>
    <row r="498" s="1" customFormat="1" spans="4:41">
      <c r="D498" s="10"/>
      <c r="E498" s="11"/>
      <c r="F498" s="12"/>
      <c r="G498" s="13"/>
      <c r="H498" s="13"/>
      <c r="L498" s="14"/>
      <c r="M498" s="15"/>
      <c r="N498" s="15"/>
      <c r="O498" s="15"/>
      <c r="P498" s="15"/>
      <c r="Q498" s="12"/>
      <c r="R498" s="12"/>
      <c r="S498" s="12"/>
      <c r="T498" s="12"/>
      <c r="AO498" s="16"/>
    </row>
    <row r="499" s="1" customFormat="1" spans="4:41">
      <c r="D499" s="10"/>
      <c r="E499" s="11"/>
      <c r="F499" s="12"/>
      <c r="G499" s="13"/>
      <c r="H499" s="13"/>
      <c r="L499" s="14"/>
      <c r="M499" s="15"/>
      <c r="N499" s="15"/>
      <c r="O499" s="15"/>
      <c r="P499" s="15"/>
      <c r="Q499" s="12"/>
      <c r="R499" s="12"/>
      <c r="S499" s="12"/>
      <c r="T499" s="12"/>
      <c r="AO499" s="16"/>
    </row>
    <row r="500" s="1" customFormat="1" spans="4:41">
      <c r="D500" s="10"/>
      <c r="E500" s="11"/>
      <c r="F500" s="12"/>
      <c r="G500" s="13"/>
      <c r="H500" s="13"/>
      <c r="L500" s="14"/>
      <c r="M500" s="15"/>
      <c r="N500" s="15"/>
      <c r="O500" s="15"/>
      <c r="P500" s="15"/>
      <c r="Q500" s="12"/>
      <c r="R500" s="12"/>
      <c r="S500" s="12"/>
      <c r="T500" s="12"/>
      <c r="AO500" s="16"/>
    </row>
    <row r="501" s="1" customFormat="1" spans="4:41">
      <c r="D501" s="10"/>
      <c r="E501" s="11"/>
      <c r="F501" s="12"/>
      <c r="G501" s="13"/>
      <c r="H501" s="13"/>
      <c r="L501" s="14"/>
      <c r="M501" s="15"/>
      <c r="N501" s="15"/>
      <c r="O501" s="15"/>
      <c r="P501" s="15"/>
      <c r="Q501" s="12"/>
      <c r="R501" s="12"/>
      <c r="S501" s="12"/>
      <c r="T501" s="12"/>
      <c r="AO501" s="16"/>
    </row>
    <row r="502" s="1" customFormat="1" spans="4:41">
      <c r="D502" s="10"/>
      <c r="E502" s="11"/>
      <c r="F502" s="12"/>
      <c r="G502" s="13"/>
      <c r="H502" s="13"/>
      <c r="L502" s="14"/>
      <c r="M502" s="15"/>
      <c r="N502" s="15"/>
      <c r="O502" s="15"/>
      <c r="P502" s="15"/>
      <c r="Q502" s="12"/>
      <c r="R502" s="12"/>
      <c r="S502" s="12"/>
      <c r="T502" s="12"/>
      <c r="AO502" s="16"/>
    </row>
    <row r="503" s="1" customFormat="1" spans="4:41">
      <c r="D503" s="10"/>
      <c r="E503" s="11"/>
      <c r="F503" s="12"/>
      <c r="G503" s="13"/>
      <c r="H503" s="13"/>
      <c r="L503" s="14"/>
      <c r="M503" s="15"/>
      <c r="N503" s="15"/>
      <c r="O503" s="15"/>
      <c r="P503" s="15"/>
      <c r="Q503" s="12"/>
      <c r="R503" s="12"/>
      <c r="S503" s="12"/>
      <c r="T503" s="12"/>
      <c r="AO503" s="16"/>
    </row>
    <row r="504" s="1" customFormat="1" spans="4:41">
      <c r="D504" s="10"/>
      <c r="E504" s="11"/>
      <c r="F504" s="12"/>
      <c r="G504" s="13"/>
      <c r="H504" s="13"/>
      <c r="L504" s="14"/>
      <c r="M504" s="15"/>
      <c r="N504" s="15"/>
      <c r="O504" s="15"/>
      <c r="P504" s="15"/>
      <c r="Q504" s="12"/>
      <c r="R504" s="12"/>
      <c r="S504" s="12"/>
      <c r="T504" s="12"/>
      <c r="AO504" s="16"/>
    </row>
    <row r="505" s="1" customFormat="1" spans="4:41">
      <c r="D505" s="10"/>
      <c r="E505" s="11"/>
      <c r="F505" s="12"/>
      <c r="G505" s="13"/>
      <c r="H505" s="13"/>
      <c r="L505" s="14"/>
      <c r="M505" s="15"/>
      <c r="N505" s="15"/>
      <c r="O505" s="15"/>
      <c r="P505" s="15"/>
      <c r="Q505" s="12"/>
      <c r="R505" s="12"/>
      <c r="S505" s="12"/>
      <c r="T505" s="12"/>
      <c r="AO505" s="16"/>
    </row>
    <row r="506" s="1" customFormat="1" spans="4:41">
      <c r="D506" s="10"/>
      <c r="E506" s="11"/>
      <c r="F506" s="12"/>
      <c r="G506" s="13"/>
      <c r="H506" s="13"/>
      <c r="L506" s="14"/>
      <c r="M506" s="15"/>
      <c r="N506" s="15"/>
      <c r="O506" s="15"/>
      <c r="P506" s="15"/>
      <c r="Q506" s="12"/>
      <c r="R506" s="12"/>
      <c r="S506" s="12"/>
      <c r="T506" s="12"/>
      <c r="AO506" s="16"/>
    </row>
    <row r="507" s="1" customFormat="1" spans="4:41">
      <c r="D507" s="10"/>
      <c r="E507" s="11"/>
      <c r="F507" s="12"/>
      <c r="G507" s="13"/>
      <c r="H507" s="13"/>
      <c r="L507" s="14"/>
      <c r="M507" s="15"/>
      <c r="N507" s="15"/>
      <c r="O507" s="15"/>
      <c r="P507" s="15"/>
      <c r="Q507" s="12"/>
      <c r="R507" s="12"/>
      <c r="S507" s="12"/>
      <c r="T507" s="12"/>
      <c r="AO507" s="16"/>
    </row>
    <row r="508" s="1" customFormat="1" spans="4:41">
      <c r="D508" s="10"/>
      <c r="E508" s="11"/>
      <c r="F508" s="12"/>
      <c r="G508" s="13"/>
      <c r="H508" s="13"/>
      <c r="L508" s="14"/>
      <c r="M508" s="15"/>
      <c r="N508" s="15"/>
      <c r="O508" s="15"/>
      <c r="P508" s="15"/>
      <c r="Q508" s="12"/>
      <c r="R508" s="12"/>
      <c r="S508" s="12"/>
      <c r="T508" s="12"/>
      <c r="AO508" s="16"/>
    </row>
    <row r="509" s="1" customFormat="1" spans="4:41">
      <c r="D509" s="10"/>
      <c r="E509" s="11"/>
      <c r="F509" s="12"/>
      <c r="G509" s="13"/>
      <c r="H509" s="13"/>
      <c r="L509" s="14"/>
      <c r="M509" s="15"/>
      <c r="N509" s="15"/>
      <c r="O509" s="15"/>
      <c r="P509" s="15"/>
      <c r="Q509" s="12"/>
      <c r="R509" s="12"/>
      <c r="S509" s="12"/>
      <c r="T509" s="12"/>
      <c r="AO509" s="16"/>
    </row>
    <row r="510" s="1" customFormat="1" spans="4:41">
      <c r="D510" s="10"/>
      <c r="E510" s="11"/>
      <c r="F510" s="12"/>
      <c r="G510" s="13"/>
      <c r="H510" s="13"/>
      <c r="L510" s="14"/>
      <c r="M510" s="15"/>
      <c r="N510" s="15"/>
      <c r="O510" s="15"/>
      <c r="P510" s="15"/>
      <c r="Q510" s="12"/>
      <c r="R510" s="12"/>
      <c r="S510" s="12"/>
      <c r="T510" s="12"/>
      <c r="AO510" s="16"/>
    </row>
    <row r="511" s="1" customFormat="1" spans="4:41">
      <c r="D511" s="10"/>
      <c r="E511" s="11"/>
      <c r="F511" s="12"/>
      <c r="G511" s="13"/>
      <c r="H511" s="13"/>
      <c r="L511" s="14"/>
      <c r="M511" s="15"/>
      <c r="N511" s="15"/>
      <c r="O511" s="15"/>
      <c r="P511" s="15"/>
      <c r="Q511" s="12"/>
      <c r="R511" s="12"/>
      <c r="S511" s="12"/>
      <c r="T511" s="12"/>
      <c r="AO511" s="16"/>
    </row>
    <row r="512" s="1" customFormat="1" spans="4:41">
      <c r="D512" s="10"/>
      <c r="E512" s="11"/>
      <c r="F512" s="12"/>
      <c r="G512" s="13"/>
      <c r="H512" s="13"/>
      <c r="L512" s="14"/>
      <c r="M512" s="15"/>
      <c r="N512" s="15"/>
      <c r="O512" s="15"/>
      <c r="P512" s="15"/>
      <c r="Q512" s="12"/>
      <c r="R512" s="12"/>
      <c r="S512" s="12"/>
      <c r="T512" s="12"/>
      <c r="AO512" s="16"/>
    </row>
    <row r="513" s="1" customFormat="1" spans="4:41">
      <c r="D513" s="10"/>
      <c r="E513" s="11"/>
      <c r="F513" s="12"/>
      <c r="G513" s="13"/>
      <c r="H513" s="13"/>
      <c r="L513" s="14"/>
      <c r="M513" s="15"/>
      <c r="N513" s="15"/>
      <c r="O513" s="15"/>
      <c r="P513" s="15"/>
      <c r="Q513" s="12"/>
      <c r="R513" s="12"/>
      <c r="S513" s="12"/>
      <c r="T513" s="12"/>
      <c r="AO513" s="16"/>
    </row>
    <row r="514" s="1" customFormat="1" spans="4:41">
      <c r="D514" s="10"/>
      <c r="E514" s="11"/>
      <c r="F514" s="12"/>
      <c r="G514" s="13"/>
      <c r="H514" s="13"/>
      <c r="L514" s="14"/>
      <c r="M514" s="15"/>
      <c r="N514" s="15"/>
      <c r="O514" s="15"/>
      <c r="P514" s="15"/>
      <c r="Q514" s="12"/>
      <c r="R514" s="12"/>
      <c r="S514" s="12"/>
      <c r="T514" s="12"/>
      <c r="AO514" s="16"/>
    </row>
    <row r="515" s="1" customFormat="1" spans="4:41">
      <c r="D515" s="10"/>
      <c r="E515" s="11"/>
      <c r="F515" s="12"/>
      <c r="G515" s="13"/>
      <c r="H515" s="13"/>
      <c r="L515" s="14"/>
      <c r="M515" s="15"/>
      <c r="N515" s="15"/>
      <c r="O515" s="15"/>
      <c r="P515" s="15"/>
      <c r="Q515" s="12"/>
      <c r="R515" s="12"/>
      <c r="S515" s="12"/>
      <c r="T515" s="12"/>
      <c r="AO515" s="16"/>
    </row>
    <row r="516" s="1" customFormat="1" spans="4:41">
      <c r="D516" s="10"/>
      <c r="E516" s="11"/>
      <c r="F516" s="12"/>
      <c r="G516" s="13"/>
      <c r="H516" s="13"/>
      <c r="L516" s="14"/>
      <c r="M516" s="15"/>
      <c r="N516" s="15"/>
      <c r="O516" s="15"/>
      <c r="P516" s="15"/>
      <c r="Q516" s="12"/>
      <c r="R516" s="12"/>
      <c r="S516" s="12"/>
      <c r="T516" s="12"/>
      <c r="AO516" s="16"/>
    </row>
    <row r="517" s="1" customFormat="1" spans="4:41">
      <c r="D517" s="10"/>
      <c r="E517" s="11"/>
      <c r="F517" s="12"/>
      <c r="G517" s="13"/>
      <c r="H517" s="13"/>
      <c r="L517" s="14"/>
      <c r="M517" s="15"/>
      <c r="N517" s="15"/>
      <c r="O517" s="15"/>
      <c r="P517" s="15"/>
      <c r="Q517" s="12"/>
      <c r="R517" s="12"/>
      <c r="S517" s="12"/>
      <c r="T517" s="12"/>
      <c r="AO517" s="16"/>
    </row>
    <row r="518" s="1" customFormat="1" spans="4:41">
      <c r="D518" s="10"/>
      <c r="E518" s="11"/>
      <c r="F518" s="12"/>
      <c r="G518" s="13"/>
      <c r="H518" s="13"/>
      <c r="L518" s="14"/>
      <c r="M518" s="15"/>
      <c r="N518" s="15"/>
      <c r="O518" s="15"/>
      <c r="P518" s="15"/>
      <c r="Q518" s="12"/>
      <c r="R518" s="12"/>
      <c r="S518" s="12"/>
      <c r="T518" s="12"/>
      <c r="AO518" s="16"/>
    </row>
    <row r="519" s="1" customFormat="1" spans="4:41">
      <c r="D519" s="10"/>
      <c r="E519" s="11"/>
      <c r="F519" s="12"/>
      <c r="G519" s="13"/>
      <c r="H519" s="13"/>
      <c r="L519" s="14"/>
      <c r="M519" s="15"/>
      <c r="N519" s="15"/>
      <c r="O519" s="15"/>
      <c r="P519" s="15"/>
      <c r="Q519" s="12"/>
      <c r="R519" s="12"/>
      <c r="S519" s="12"/>
      <c r="T519" s="12"/>
      <c r="AO519" s="16"/>
    </row>
    <row r="520" s="1" customFormat="1" spans="4:41">
      <c r="D520" s="10"/>
      <c r="E520" s="11"/>
      <c r="F520" s="12"/>
      <c r="G520" s="13"/>
      <c r="H520" s="13"/>
      <c r="L520" s="14"/>
      <c r="M520" s="15"/>
      <c r="N520" s="15"/>
      <c r="O520" s="15"/>
      <c r="P520" s="15"/>
      <c r="Q520" s="12"/>
      <c r="R520" s="12"/>
      <c r="S520" s="12"/>
      <c r="T520" s="12"/>
      <c r="AO520" s="16"/>
    </row>
    <row r="521" s="1" customFormat="1" spans="4:41">
      <c r="D521" s="10"/>
      <c r="E521" s="11"/>
      <c r="F521" s="12"/>
      <c r="G521" s="13"/>
      <c r="H521" s="13"/>
      <c r="L521" s="14"/>
      <c r="M521" s="15"/>
      <c r="N521" s="15"/>
      <c r="O521" s="15"/>
      <c r="P521" s="15"/>
      <c r="Q521" s="12"/>
      <c r="R521" s="12"/>
      <c r="S521" s="12"/>
      <c r="T521" s="12"/>
      <c r="AO521" s="16"/>
    </row>
    <row r="522" s="1" customFormat="1" spans="4:41">
      <c r="D522" s="10"/>
      <c r="E522" s="11"/>
      <c r="F522" s="12"/>
      <c r="G522" s="13"/>
      <c r="H522" s="13"/>
      <c r="L522" s="14"/>
      <c r="M522" s="15"/>
      <c r="N522" s="15"/>
      <c r="O522" s="15"/>
      <c r="P522" s="15"/>
      <c r="Q522" s="12"/>
      <c r="R522" s="12"/>
      <c r="S522" s="12"/>
      <c r="T522" s="12"/>
      <c r="AO522" s="16"/>
    </row>
    <row r="523" s="1" customFormat="1" spans="4:41">
      <c r="D523" s="10"/>
      <c r="E523" s="11"/>
      <c r="F523" s="12"/>
      <c r="G523" s="13"/>
      <c r="H523" s="13"/>
      <c r="L523" s="14"/>
      <c r="M523" s="15"/>
      <c r="N523" s="15"/>
      <c r="O523" s="15"/>
      <c r="P523" s="15"/>
      <c r="Q523" s="12"/>
      <c r="R523" s="12"/>
      <c r="S523" s="12"/>
      <c r="T523" s="12"/>
      <c r="AO523" s="16"/>
    </row>
    <row r="524" s="1" customFormat="1" spans="4:41">
      <c r="D524" s="10"/>
      <c r="E524" s="11"/>
      <c r="F524" s="12"/>
      <c r="G524" s="13"/>
      <c r="H524" s="13"/>
      <c r="L524" s="14"/>
      <c r="M524" s="15"/>
      <c r="N524" s="15"/>
      <c r="O524" s="15"/>
      <c r="P524" s="15"/>
      <c r="Q524" s="12"/>
      <c r="R524" s="12"/>
      <c r="S524" s="12"/>
      <c r="T524" s="12"/>
      <c r="AO524" s="16"/>
    </row>
    <row r="525" s="1" customFormat="1" spans="4:41">
      <c r="D525" s="10"/>
      <c r="E525" s="11"/>
      <c r="F525" s="12"/>
      <c r="G525" s="13"/>
      <c r="H525" s="13"/>
      <c r="L525" s="14"/>
      <c r="M525" s="15"/>
      <c r="N525" s="15"/>
      <c r="O525" s="15"/>
      <c r="P525" s="15"/>
      <c r="Q525" s="12"/>
      <c r="R525" s="12"/>
      <c r="S525" s="12"/>
      <c r="T525" s="12"/>
      <c r="AO525" s="16"/>
    </row>
    <row r="526" s="1" customFormat="1" spans="4:41">
      <c r="D526" s="10"/>
      <c r="E526" s="11"/>
      <c r="F526" s="12"/>
      <c r="G526" s="13"/>
      <c r="H526" s="13"/>
      <c r="L526" s="14"/>
      <c r="M526" s="15"/>
      <c r="N526" s="15"/>
      <c r="O526" s="15"/>
      <c r="P526" s="15"/>
      <c r="Q526" s="12"/>
      <c r="R526" s="12"/>
      <c r="S526" s="12"/>
      <c r="T526" s="12"/>
      <c r="AO526" s="16"/>
    </row>
    <row r="527" s="1" customFormat="1" spans="4:41">
      <c r="D527" s="10"/>
      <c r="E527" s="11"/>
      <c r="F527" s="12"/>
      <c r="G527" s="13"/>
      <c r="H527" s="13"/>
      <c r="L527" s="14"/>
      <c r="M527" s="15"/>
      <c r="N527" s="15"/>
      <c r="O527" s="15"/>
      <c r="P527" s="15"/>
      <c r="Q527" s="12"/>
      <c r="R527" s="12"/>
      <c r="S527" s="12"/>
      <c r="T527" s="12"/>
      <c r="AO527" s="16"/>
    </row>
    <row r="528" s="1" customFormat="1" spans="4:41">
      <c r="D528" s="10"/>
      <c r="E528" s="11"/>
      <c r="F528" s="12"/>
      <c r="G528" s="13"/>
      <c r="H528" s="13"/>
      <c r="L528" s="14"/>
      <c r="M528" s="15"/>
      <c r="N528" s="15"/>
      <c r="O528" s="15"/>
      <c r="P528" s="15"/>
      <c r="Q528" s="12"/>
      <c r="R528" s="12"/>
      <c r="S528" s="12"/>
      <c r="T528" s="12"/>
      <c r="AO528" s="16"/>
    </row>
    <row r="529" s="1" customFormat="1" spans="4:41">
      <c r="D529" s="10"/>
      <c r="E529" s="11"/>
      <c r="F529" s="12"/>
      <c r="G529" s="13"/>
      <c r="H529" s="13"/>
      <c r="L529" s="14"/>
      <c r="M529" s="15"/>
      <c r="N529" s="15"/>
      <c r="O529" s="15"/>
      <c r="P529" s="15"/>
      <c r="Q529" s="12"/>
      <c r="R529" s="12"/>
      <c r="S529" s="12"/>
      <c r="T529" s="12"/>
      <c r="AO529" s="16"/>
    </row>
    <row r="530" s="1" customFormat="1" spans="4:41">
      <c r="D530" s="10"/>
      <c r="E530" s="11"/>
      <c r="F530" s="12"/>
      <c r="G530" s="13"/>
      <c r="H530" s="13"/>
      <c r="L530" s="14"/>
      <c r="M530" s="15"/>
      <c r="N530" s="15"/>
      <c r="O530" s="15"/>
      <c r="P530" s="15"/>
      <c r="Q530" s="12"/>
      <c r="R530" s="12"/>
      <c r="S530" s="12"/>
      <c r="T530" s="12"/>
      <c r="AO530" s="16"/>
    </row>
    <row r="531" s="1" customFormat="1" spans="4:41">
      <c r="D531" s="10"/>
      <c r="E531" s="11"/>
      <c r="F531" s="12"/>
      <c r="G531" s="13"/>
      <c r="H531" s="13"/>
      <c r="L531" s="14"/>
      <c r="M531" s="15"/>
      <c r="N531" s="15"/>
      <c r="O531" s="15"/>
      <c r="P531" s="15"/>
      <c r="Q531" s="12"/>
      <c r="R531" s="12"/>
      <c r="S531" s="12"/>
      <c r="T531" s="12"/>
      <c r="AO531" s="16"/>
    </row>
    <row r="532" s="1" customFormat="1" spans="4:41">
      <c r="D532" s="10"/>
      <c r="E532" s="11"/>
      <c r="F532" s="12"/>
      <c r="G532" s="13"/>
      <c r="H532" s="13"/>
      <c r="L532" s="14"/>
      <c r="M532" s="15"/>
      <c r="N532" s="15"/>
      <c r="O532" s="15"/>
      <c r="P532" s="15"/>
      <c r="Q532" s="12"/>
      <c r="R532" s="12"/>
      <c r="S532" s="12"/>
      <c r="T532" s="12"/>
      <c r="AO532" s="16"/>
    </row>
    <row r="533" s="1" customFormat="1" spans="4:41">
      <c r="D533" s="10"/>
      <c r="E533" s="11"/>
      <c r="F533" s="12"/>
      <c r="G533" s="13"/>
      <c r="H533" s="13"/>
      <c r="L533" s="14"/>
      <c r="M533" s="15"/>
      <c r="N533" s="15"/>
      <c r="O533" s="15"/>
      <c r="P533" s="15"/>
      <c r="Q533" s="12"/>
      <c r="R533" s="12"/>
      <c r="S533" s="12"/>
      <c r="T533" s="12"/>
      <c r="AO533" s="16"/>
    </row>
    <row r="534" s="1" customFormat="1" spans="4:41">
      <c r="D534" s="10"/>
      <c r="E534" s="11"/>
      <c r="F534" s="12"/>
      <c r="G534" s="13"/>
      <c r="H534" s="13"/>
      <c r="L534" s="14"/>
      <c r="M534" s="15"/>
      <c r="N534" s="15"/>
      <c r="O534" s="15"/>
      <c r="P534" s="15"/>
      <c r="Q534" s="12"/>
      <c r="R534" s="12"/>
      <c r="S534" s="12"/>
      <c r="T534" s="12"/>
      <c r="AO534" s="16"/>
    </row>
    <row r="535" s="1" customFormat="1" spans="4:41">
      <c r="D535" s="10"/>
      <c r="E535" s="11"/>
      <c r="F535" s="12"/>
      <c r="G535" s="13"/>
      <c r="H535" s="13"/>
      <c r="L535" s="14"/>
      <c r="M535" s="15"/>
      <c r="N535" s="15"/>
      <c r="O535" s="15"/>
      <c r="P535" s="15"/>
      <c r="Q535" s="12"/>
      <c r="R535" s="12"/>
      <c r="S535" s="12"/>
      <c r="T535" s="12"/>
      <c r="AO535" s="16"/>
    </row>
    <row r="536" s="1" customFormat="1" spans="4:41">
      <c r="D536" s="10"/>
      <c r="E536" s="11"/>
      <c r="F536" s="12"/>
      <c r="G536" s="13"/>
      <c r="H536" s="13"/>
      <c r="L536" s="14"/>
      <c r="M536" s="15"/>
      <c r="N536" s="15"/>
      <c r="O536" s="15"/>
      <c r="P536" s="15"/>
      <c r="Q536" s="12"/>
      <c r="R536" s="12"/>
      <c r="S536" s="12"/>
      <c r="T536" s="12"/>
      <c r="AO536" s="16"/>
    </row>
    <row r="537" s="1" customFormat="1" spans="4:41">
      <c r="D537" s="10"/>
      <c r="E537" s="11"/>
      <c r="F537" s="12"/>
      <c r="G537" s="13"/>
      <c r="H537" s="13"/>
      <c r="L537" s="14"/>
      <c r="M537" s="15"/>
      <c r="N537" s="15"/>
      <c r="O537" s="15"/>
      <c r="P537" s="15"/>
      <c r="Q537" s="12"/>
      <c r="R537" s="12"/>
      <c r="S537" s="12"/>
      <c r="T537" s="12"/>
      <c r="AO537" s="16"/>
    </row>
    <row r="538" s="1" customFormat="1" spans="4:41">
      <c r="D538" s="10"/>
      <c r="E538" s="11"/>
      <c r="F538" s="12"/>
      <c r="G538" s="13"/>
      <c r="H538" s="13"/>
      <c r="L538" s="14"/>
      <c r="M538" s="15"/>
      <c r="N538" s="15"/>
      <c r="O538" s="15"/>
      <c r="P538" s="15"/>
      <c r="Q538" s="12"/>
      <c r="R538" s="12"/>
      <c r="S538" s="12"/>
      <c r="T538" s="12"/>
      <c r="AO538" s="16"/>
    </row>
    <row r="539" s="1" customFormat="1" spans="4:41">
      <c r="D539" s="10"/>
      <c r="E539" s="11"/>
      <c r="F539" s="12"/>
      <c r="G539" s="13"/>
      <c r="H539" s="13"/>
      <c r="L539" s="14"/>
      <c r="M539" s="15"/>
      <c r="N539" s="15"/>
      <c r="O539" s="15"/>
      <c r="P539" s="15"/>
      <c r="Q539" s="12"/>
      <c r="R539" s="12"/>
      <c r="S539" s="12"/>
      <c r="T539" s="12"/>
      <c r="AO539" s="16"/>
    </row>
    <row r="540" s="1" customFormat="1" spans="4:41">
      <c r="D540" s="10"/>
      <c r="E540" s="11"/>
      <c r="F540" s="12"/>
      <c r="G540" s="13"/>
      <c r="H540" s="13"/>
      <c r="L540" s="14"/>
      <c r="M540" s="15"/>
      <c r="N540" s="15"/>
      <c r="O540" s="15"/>
      <c r="P540" s="15"/>
      <c r="Q540" s="12"/>
      <c r="R540" s="12"/>
      <c r="S540" s="12"/>
      <c r="T540" s="12"/>
      <c r="AO540" s="16"/>
    </row>
    <row r="541" s="1" customFormat="1" spans="4:41">
      <c r="D541" s="10"/>
      <c r="E541" s="11"/>
      <c r="F541" s="12"/>
      <c r="G541" s="13"/>
      <c r="H541" s="13"/>
      <c r="L541" s="14"/>
      <c r="M541" s="15"/>
      <c r="N541" s="15"/>
      <c r="O541" s="15"/>
      <c r="P541" s="15"/>
      <c r="Q541" s="12"/>
      <c r="R541" s="12"/>
      <c r="S541" s="12"/>
      <c r="T541" s="12"/>
      <c r="AO541" s="16"/>
    </row>
    <row r="542" s="1" customFormat="1" spans="4:41">
      <c r="D542" s="10"/>
      <c r="E542" s="11"/>
      <c r="F542" s="12"/>
      <c r="G542" s="13"/>
      <c r="H542" s="13"/>
      <c r="L542" s="14"/>
      <c r="M542" s="15"/>
      <c r="N542" s="15"/>
      <c r="O542" s="15"/>
      <c r="P542" s="15"/>
      <c r="Q542" s="12"/>
      <c r="R542" s="12"/>
      <c r="S542" s="12"/>
      <c r="T542" s="12"/>
      <c r="AO542" s="16"/>
    </row>
    <row r="543" s="1" customFormat="1" spans="4:41">
      <c r="D543" s="10"/>
      <c r="E543" s="11"/>
      <c r="F543" s="12"/>
      <c r="G543" s="13"/>
      <c r="H543" s="13"/>
      <c r="L543" s="14"/>
      <c r="M543" s="15"/>
      <c r="N543" s="15"/>
      <c r="O543" s="15"/>
      <c r="P543" s="15"/>
      <c r="Q543" s="12"/>
      <c r="R543" s="12"/>
      <c r="S543" s="12"/>
      <c r="T543" s="12"/>
      <c r="AO543" s="16"/>
    </row>
    <row r="544" s="1" customFormat="1" spans="4:41">
      <c r="D544" s="10"/>
      <c r="E544" s="11"/>
      <c r="F544" s="12"/>
      <c r="G544" s="13"/>
      <c r="H544" s="13"/>
      <c r="L544" s="14"/>
      <c r="M544" s="15"/>
      <c r="N544" s="15"/>
      <c r="O544" s="15"/>
      <c r="P544" s="15"/>
      <c r="Q544" s="12"/>
      <c r="R544" s="12"/>
      <c r="S544" s="12"/>
      <c r="T544" s="12"/>
      <c r="AO544" s="16"/>
    </row>
    <row r="545" s="1" customFormat="1" spans="4:41">
      <c r="D545" s="10"/>
      <c r="E545" s="11"/>
      <c r="F545" s="12"/>
      <c r="G545" s="13"/>
      <c r="H545" s="13"/>
      <c r="L545" s="14"/>
      <c r="M545" s="15"/>
      <c r="N545" s="15"/>
      <c r="O545" s="15"/>
      <c r="P545" s="15"/>
      <c r="Q545" s="12"/>
      <c r="R545" s="12"/>
      <c r="S545" s="12"/>
      <c r="T545" s="12"/>
      <c r="AO545" s="16"/>
    </row>
    <row r="546" s="1" customFormat="1" spans="4:41">
      <c r="D546" s="10"/>
      <c r="E546" s="11"/>
      <c r="F546" s="12"/>
      <c r="G546" s="13"/>
      <c r="H546" s="13"/>
      <c r="L546" s="14"/>
      <c r="M546" s="15"/>
      <c r="N546" s="15"/>
      <c r="O546" s="15"/>
      <c r="P546" s="15"/>
      <c r="Q546" s="12"/>
      <c r="R546" s="12"/>
      <c r="S546" s="12"/>
      <c r="T546" s="12"/>
      <c r="AO546" s="16"/>
    </row>
    <row r="547" s="1" customFormat="1" spans="4:41">
      <c r="D547" s="10"/>
      <c r="E547" s="11"/>
      <c r="F547" s="12"/>
      <c r="G547" s="13"/>
      <c r="H547" s="13"/>
      <c r="L547" s="14"/>
      <c r="M547" s="15"/>
      <c r="N547" s="15"/>
      <c r="O547" s="15"/>
      <c r="P547" s="15"/>
      <c r="Q547" s="12"/>
      <c r="R547" s="12"/>
      <c r="S547" s="12"/>
      <c r="T547" s="12"/>
      <c r="AO547" s="16"/>
    </row>
    <row r="548" s="1" customFormat="1" spans="4:41">
      <c r="D548" s="10"/>
      <c r="E548" s="11"/>
      <c r="F548" s="12"/>
      <c r="G548" s="13"/>
      <c r="H548" s="13"/>
      <c r="L548" s="14"/>
      <c r="M548" s="15"/>
      <c r="N548" s="15"/>
      <c r="O548" s="15"/>
      <c r="P548" s="15"/>
      <c r="Q548" s="12"/>
      <c r="R548" s="12"/>
      <c r="S548" s="12"/>
      <c r="T548" s="12"/>
      <c r="AO548" s="16"/>
    </row>
    <row r="549" s="1" customFormat="1" spans="4:41">
      <c r="D549" s="10"/>
      <c r="E549" s="11"/>
      <c r="F549" s="12"/>
      <c r="G549" s="13"/>
      <c r="H549" s="13"/>
      <c r="L549" s="14"/>
      <c r="M549" s="15"/>
      <c r="N549" s="15"/>
      <c r="O549" s="15"/>
      <c r="P549" s="15"/>
      <c r="Q549" s="12"/>
      <c r="R549" s="12"/>
      <c r="S549" s="12"/>
      <c r="T549" s="12"/>
      <c r="AO549" s="16"/>
    </row>
    <row r="550" s="1" customFormat="1" spans="4:41">
      <c r="D550" s="10"/>
      <c r="E550" s="11"/>
      <c r="F550" s="12"/>
      <c r="G550" s="13"/>
      <c r="H550" s="13"/>
      <c r="L550" s="14"/>
      <c r="M550" s="15"/>
      <c r="N550" s="15"/>
      <c r="O550" s="15"/>
      <c r="P550" s="15"/>
      <c r="Q550" s="12"/>
      <c r="R550" s="12"/>
      <c r="S550" s="12"/>
      <c r="T550" s="12"/>
      <c r="AO550" s="16"/>
    </row>
    <row r="551" s="1" customFormat="1" spans="4:41">
      <c r="D551" s="10"/>
      <c r="E551" s="11"/>
      <c r="F551" s="12"/>
      <c r="G551" s="13"/>
      <c r="H551" s="13"/>
      <c r="L551" s="14"/>
      <c r="M551" s="15"/>
      <c r="N551" s="15"/>
      <c r="O551" s="15"/>
      <c r="P551" s="15"/>
      <c r="Q551" s="12"/>
      <c r="R551" s="12"/>
      <c r="S551" s="12"/>
      <c r="T551" s="12"/>
      <c r="AO551" s="16"/>
    </row>
    <row r="552" s="1" customFormat="1" spans="4:41">
      <c r="D552" s="10"/>
      <c r="E552" s="11"/>
      <c r="F552" s="12"/>
      <c r="G552" s="13"/>
      <c r="H552" s="13"/>
      <c r="L552" s="14"/>
      <c r="M552" s="15"/>
      <c r="N552" s="15"/>
      <c r="O552" s="15"/>
      <c r="P552" s="15"/>
      <c r="Q552" s="12"/>
      <c r="R552" s="12"/>
      <c r="S552" s="12"/>
      <c r="T552" s="12"/>
      <c r="AO552" s="16"/>
    </row>
    <row r="553" s="1" customFormat="1" spans="4:41">
      <c r="D553" s="10"/>
      <c r="E553" s="11"/>
      <c r="F553" s="12"/>
      <c r="G553" s="13"/>
      <c r="H553" s="13"/>
      <c r="L553" s="14"/>
      <c r="M553" s="15"/>
      <c r="N553" s="15"/>
      <c r="O553" s="15"/>
      <c r="P553" s="15"/>
      <c r="Q553" s="12"/>
      <c r="R553" s="12"/>
      <c r="S553" s="12"/>
      <c r="T553" s="12"/>
      <c r="AO553" s="16"/>
    </row>
    <row r="554" s="1" customFormat="1" spans="4:41">
      <c r="D554" s="10"/>
      <c r="E554" s="11"/>
      <c r="F554" s="12"/>
      <c r="G554" s="13"/>
      <c r="H554" s="13"/>
      <c r="L554" s="14"/>
      <c r="M554" s="15"/>
      <c r="N554" s="15"/>
      <c r="O554" s="15"/>
      <c r="P554" s="15"/>
      <c r="Q554" s="12"/>
      <c r="R554" s="12"/>
      <c r="S554" s="12"/>
      <c r="T554" s="12"/>
      <c r="AO554" s="16"/>
    </row>
    <row r="555" s="1" customFormat="1" spans="4:41">
      <c r="D555" s="10"/>
      <c r="E555" s="11"/>
      <c r="F555" s="12"/>
      <c r="G555" s="13"/>
      <c r="H555" s="13"/>
      <c r="L555" s="14"/>
      <c r="M555" s="15"/>
      <c r="N555" s="15"/>
      <c r="O555" s="15"/>
      <c r="P555" s="15"/>
      <c r="Q555" s="12"/>
      <c r="R555" s="12"/>
      <c r="S555" s="12"/>
      <c r="T555" s="12"/>
      <c r="AO555" s="16"/>
    </row>
    <row r="556" s="1" customFormat="1" spans="4:41">
      <c r="D556" s="10"/>
      <c r="E556" s="11"/>
      <c r="F556" s="12"/>
      <c r="G556" s="13"/>
      <c r="H556" s="13"/>
      <c r="L556" s="14"/>
      <c r="M556" s="15"/>
      <c r="N556" s="15"/>
      <c r="O556" s="15"/>
      <c r="P556" s="15"/>
      <c r="Q556" s="12"/>
      <c r="R556" s="12"/>
      <c r="S556" s="12"/>
      <c r="T556" s="12"/>
      <c r="AO556" s="16"/>
    </row>
    <row r="557" s="1" customFormat="1" spans="4:41">
      <c r="D557" s="10"/>
      <c r="E557" s="11"/>
      <c r="F557" s="12"/>
      <c r="G557" s="13"/>
      <c r="H557" s="13"/>
      <c r="L557" s="14"/>
      <c r="M557" s="15"/>
      <c r="N557" s="15"/>
      <c r="O557" s="15"/>
      <c r="P557" s="15"/>
      <c r="Q557" s="12"/>
      <c r="R557" s="12"/>
      <c r="S557" s="12"/>
      <c r="T557" s="12"/>
      <c r="AO557" s="16"/>
    </row>
    <row r="558" s="1" customFormat="1" spans="4:41">
      <c r="D558" s="10"/>
      <c r="E558" s="11"/>
      <c r="F558" s="12"/>
      <c r="G558" s="13"/>
      <c r="H558" s="13"/>
      <c r="L558" s="14"/>
      <c r="M558" s="15"/>
      <c r="N558" s="15"/>
      <c r="O558" s="15"/>
      <c r="P558" s="15"/>
      <c r="Q558" s="12"/>
      <c r="R558" s="12"/>
      <c r="S558" s="12"/>
      <c r="T558" s="12"/>
      <c r="AO558" s="16"/>
    </row>
    <row r="559" s="1" customFormat="1" spans="4:41">
      <c r="D559" s="10"/>
      <c r="E559" s="11"/>
      <c r="F559" s="12"/>
      <c r="G559" s="13"/>
      <c r="H559" s="13"/>
      <c r="L559" s="14"/>
      <c r="M559" s="15"/>
      <c r="N559" s="15"/>
      <c r="O559" s="15"/>
      <c r="P559" s="15"/>
      <c r="Q559" s="12"/>
      <c r="R559" s="12"/>
      <c r="S559" s="12"/>
      <c r="T559" s="12"/>
      <c r="AO559" s="16"/>
    </row>
    <row r="560" s="1" customFormat="1" spans="4:41">
      <c r="D560" s="10"/>
      <c r="E560" s="11"/>
      <c r="F560" s="12"/>
      <c r="G560" s="13"/>
      <c r="H560" s="13"/>
      <c r="L560" s="14"/>
      <c r="M560" s="15"/>
      <c r="N560" s="15"/>
      <c r="O560" s="15"/>
      <c r="P560" s="15"/>
      <c r="Q560" s="12"/>
      <c r="R560" s="12"/>
      <c r="S560" s="12"/>
      <c r="T560" s="12"/>
      <c r="AO560" s="16"/>
    </row>
    <row r="561" s="1" customFormat="1" spans="4:41">
      <c r="D561" s="10"/>
      <c r="E561" s="11"/>
      <c r="F561" s="12"/>
      <c r="G561" s="13"/>
      <c r="H561" s="13"/>
      <c r="L561" s="14"/>
      <c r="M561" s="15"/>
      <c r="N561" s="15"/>
      <c r="O561" s="15"/>
      <c r="P561" s="15"/>
      <c r="Q561" s="12"/>
      <c r="R561" s="12"/>
      <c r="S561" s="12"/>
      <c r="T561" s="12"/>
      <c r="AO561" s="16"/>
    </row>
    <row r="562" s="1" customFormat="1" spans="4:41">
      <c r="D562" s="10"/>
      <c r="E562" s="11"/>
      <c r="F562" s="12"/>
      <c r="G562" s="13"/>
      <c r="H562" s="13"/>
      <c r="L562" s="14"/>
      <c r="M562" s="15"/>
      <c r="N562" s="15"/>
      <c r="O562" s="15"/>
      <c r="P562" s="15"/>
      <c r="Q562" s="12"/>
      <c r="R562" s="12"/>
      <c r="S562" s="12"/>
      <c r="T562" s="12"/>
      <c r="AO562" s="16"/>
    </row>
    <row r="563" s="1" customFormat="1" spans="4:41">
      <c r="D563" s="10"/>
      <c r="E563" s="11"/>
      <c r="F563" s="12"/>
      <c r="G563" s="13"/>
      <c r="H563" s="13"/>
      <c r="L563" s="14"/>
      <c r="M563" s="15"/>
      <c r="N563" s="15"/>
      <c r="O563" s="15"/>
      <c r="P563" s="15"/>
      <c r="Q563" s="12"/>
      <c r="R563" s="12"/>
      <c r="S563" s="12"/>
      <c r="T563" s="12"/>
      <c r="AO563" s="16"/>
    </row>
    <row r="564" s="1" customFormat="1" spans="4:41">
      <c r="D564" s="10"/>
      <c r="E564" s="11"/>
      <c r="F564" s="12"/>
      <c r="G564" s="13"/>
      <c r="H564" s="13"/>
      <c r="L564" s="14"/>
      <c r="M564" s="15"/>
      <c r="N564" s="15"/>
      <c r="O564" s="15"/>
      <c r="P564" s="15"/>
      <c r="Q564" s="12"/>
      <c r="R564" s="12"/>
      <c r="S564" s="12"/>
      <c r="T564" s="12"/>
      <c r="AO564" s="16"/>
    </row>
    <row r="565" s="1" customFormat="1" spans="4:41">
      <c r="D565" s="10"/>
      <c r="E565" s="11"/>
      <c r="F565" s="12"/>
      <c r="G565" s="13"/>
      <c r="H565" s="13"/>
      <c r="L565" s="14"/>
      <c r="M565" s="15"/>
      <c r="N565" s="15"/>
      <c r="O565" s="15"/>
      <c r="P565" s="15"/>
      <c r="Q565" s="12"/>
      <c r="R565" s="12"/>
      <c r="S565" s="12"/>
      <c r="T565" s="12"/>
      <c r="AO565" s="16"/>
    </row>
    <row r="566" s="1" customFormat="1" spans="4:41">
      <c r="D566" s="10"/>
      <c r="E566" s="11"/>
      <c r="F566" s="12"/>
      <c r="G566" s="13"/>
      <c r="H566" s="13"/>
      <c r="L566" s="14"/>
      <c r="M566" s="15"/>
      <c r="N566" s="15"/>
      <c r="O566" s="15"/>
      <c r="P566" s="15"/>
      <c r="Q566" s="12"/>
      <c r="R566" s="12"/>
      <c r="S566" s="12"/>
      <c r="T566" s="12"/>
      <c r="AO566" s="16"/>
    </row>
    <row r="567" s="1" customFormat="1" spans="4:41">
      <c r="D567" s="10"/>
      <c r="E567" s="11"/>
      <c r="F567" s="12"/>
      <c r="G567" s="13"/>
      <c r="H567" s="13"/>
      <c r="L567" s="14"/>
      <c r="M567" s="15"/>
      <c r="N567" s="15"/>
      <c r="O567" s="15"/>
      <c r="P567" s="15"/>
      <c r="Q567" s="12"/>
      <c r="R567" s="12"/>
      <c r="S567" s="12"/>
      <c r="T567" s="12"/>
      <c r="AO567" s="16"/>
    </row>
    <row r="568" s="1" customFormat="1" spans="4:41">
      <c r="D568" s="10"/>
      <c r="E568" s="11"/>
      <c r="F568" s="12"/>
      <c r="G568" s="13"/>
      <c r="H568" s="13"/>
      <c r="L568" s="14"/>
      <c r="M568" s="15"/>
      <c r="N568" s="15"/>
      <c r="O568" s="15"/>
      <c r="P568" s="15"/>
      <c r="Q568" s="12"/>
      <c r="R568" s="12"/>
      <c r="S568" s="12"/>
      <c r="T568" s="12"/>
      <c r="AO568" s="16"/>
    </row>
    <row r="569" s="1" customFormat="1" spans="4:41">
      <c r="D569" s="10"/>
      <c r="E569" s="11"/>
      <c r="F569" s="12"/>
      <c r="G569" s="13"/>
      <c r="H569" s="13"/>
      <c r="L569" s="14"/>
      <c r="M569" s="15"/>
      <c r="N569" s="15"/>
      <c r="O569" s="15"/>
      <c r="P569" s="15"/>
      <c r="Q569" s="12"/>
      <c r="R569" s="12"/>
      <c r="S569" s="12"/>
      <c r="T569" s="12"/>
      <c r="AO569" s="16"/>
    </row>
    <row r="570" s="1" customFormat="1" spans="4:41">
      <c r="D570" s="10"/>
      <c r="E570" s="11"/>
      <c r="F570" s="12"/>
      <c r="G570" s="13"/>
      <c r="H570" s="13"/>
      <c r="L570" s="14"/>
      <c r="M570" s="15"/>
      <c r="N570" s="15"/>
      <c r="O570" s="15"/>
      <c r="P570" s="15"/>
      <c r="Q570" s="12"/>
      <c r="R570" s="12"/>
      <c r="S570" s="12"/>
      <c r="T570" s="12"/>
      <c r="AO570" s="16"/>
    </row>
    <row r="571" s="1" customFormat="1" spans="4:41">
      <c r="D571" s="10"/>
      <c r="E571" s="11"/>
      <c r="F571" s="12"/>
      <c r="G571" s="13"/>
      <c r="H571" s="13"/>
      <c r="L571" s="14"/>
      <c r="M571" s="15"/>
      <c r="N571" s="15"/>
      <c r="O571" s="15"/>
      <c r="P571" s="15"/>
      <c r="Q571" s="12"/>
      <c r="R571" s="12"/>
      <c r="S571" s="12"/>
      <c r="T571" s="12"/>
      <c r="AO571" s="16"/>
    </row>
    <row r="572" s="1" customFormat="1" spans="4:41">
      <c r="D572" s="10"/>
      <c r="E572" s="11"/>
      <c r="F572" s="12"/>
      <c r="G572" s="13"/>
      <c r="H572" s="13"/>
      <c r="L572" s="14"/>
      <c r="M572" s="15"/>
      <c r="N572" s="15"/>
      <c r="O572" s="15"/>
      <c r="P572" s="15"/>
      <c r="Q572" s="12"/>
      <c r="R572" s="12"/>
      <c r="S572" s="12"/>
      <c r="T572" s="12"/>
      <c r="AO572" s="16"/>
    </row>
    <row r="573" s="1" customFormat="1" spans="4:41">
      <c r="D573" s="10"/>
      <c r="E573" s="11"/>
      <c r="F573" s="12"/>
      <c r="G573" s="13"/>
      <c r="H573" s="13"/>
      <c r="L573" s="14"/>
      <c r="M573" s="15"/>
      <c r="N573" s="15"/>
      <c r="O573" s="15"/>
      <c r="P573" s="15"/>
      <c r="Q573" s="12"/>
      <c r="R573" s="12"/>
      <c r="S573" s="12"/>
      <c r="T573" s="12"/>
      <c r="AO573" s="16"/>
    </row>
    <row r="574" s="1" customFormat="1" spans="4:41">
      <c r="D574" s="10"/>
      <c r="E574" s="11"/>
      <c r="F574" s="12"/>
      <c r="G574" s="13"/>
      <c r="H574" s="13"/>
      <c r="L574" s="14"/>
      <c r="M574" s="15"/>
      <c r="N574" s="15"/>
      <c r="O574" s="15"/>
      <c r="P574" s="15"/>
      <c r="Q574" s="12"/>
      <c r="R574" s="12"/>
      <c r="S574" s="12"/>
      <c r="T574" s="12"/>
      <c r="AO574" s="16"/>
    </row>
    <row r="575" s="1" customFormat="1" spans="4:41">
      <c r="D575" s="10"/>
      <c r="E575" s="11"/>
      <c r="F575" s="12"/>
      <c r="G575" s="13"/>
      <c r="H575" s="13"/>
      <c r="L575" s="14"/>
      <c r="M575" s="15"/>
      <c r="N575" s="15"/>
      <c r="O575" s="15"/>
      <c r="P575" s="15"/>
      <c r="Q575" s="12"/>
      <c r="R575" s="12"/>
      <c r="S575" s="12"/>
      <c r="T575" s="12"/>
      <c r="AO575" s="16"/>
    </row>
    <row r="576" s="1" customFormat="1" spans="4:41">
      <c r="D576" s="10"/>
      <c r="E576" s="11"/>
      <c r="F576" s="12"/>
      <c r="G576" s="13"/>
      <c r="H576" s="13"/>
      <c r="L576" s="14"/>
      <c r="M576" s="15"/>
      <c r="N576" s="15"/>
      <c r="O576" s="15"/>
      <c r="P576" s="15"/>
      <c r="Q576" s="12"/>
      <c r="R576" s="12"/>
      <c r="S576" s="12"/>
      <c r="T576" s="12"/>
      <c r="AO576" s="16"/>
    </row>
    <row r="577" s="1" customFormat="1" spans="4:41">
      <c r="D577" s="10"/>
      <c r="E577" s="11"/>
      <c r="F577" s="12"/>
      <c r="G577" s="13"/>
      <c r="H577" s="13"/>
      <c r="L577" s="14"/>
      <c r="M577" s="15"/>
      <c r="N577" s="15"/>
      <c r="O577" s="15"/>
      <c r="P577" s="15"/>
      <c r="Q577" s="12"/>
      <c r="R577" s="12"/>
      <c r="S577" s="12"/>
      <c r="T577" s="12"/>
      <c r="AO577" s="16"/>
    </row>
    <row r="578" s="1" customFormat="1" spans="4:41">
      <c r="D578" s="10"/>
      <c r="E578" s="11"/>
      <c r="F578" s="12"/>
      <c r="G578" s="13"/>
      <c r="H578" s="13"/>
      <c r="L578" s="14"/>
      <c r="M578" s="15"/>
      <c r="N578" s="15"/>
      <c r="O578" s="15"/>
      <c r="P578" s="15"/>
      <c r="Q578" s="12"/>
      <c r="R578" s="12"/>
      <c r="S578" s="12"/>
      <c r="T578" s="12"/>
      <c r="AO578" s="16"/>
    </row>
    <row r="579" s="1" customFormat="1" spans="4:41">
      <c r="D579" s="10"/>
      <c r="E579" s="11"/>
      <c r="F579" s="12"/>
      <c r="G579" s="13"/>
      <c r="H579" s="13"/>
      <c r="L579" s="14"/>
      <c r="M579" s="15"/>
      <c r="N579" s="15"/>
      <c r="O579" s="15"/>
      <c r="P579" s="15"/>
      <c r="Q579" s="12"/>
      <c r="R579" s="12"/>
      <c r="S579" s="12"/>
      <c r="T579" s="12"/>
      <c r="AO579" s="16"/>
    </row>
    <row r="580" s="1" customFormat="1" spans="4:41">
      <c r="D580" s="10"/>
      <c r="E580" s="11"/>
      <c r="F580" s="12"/>
      <c r="G580" s="13"/>
      <c r="H580" s="13"/>
      <c r="L580" s="14"/>
      <c r="M580" s="15"/>
      <c r="N580" s="15"/>
      <c r="O580" s="15"/>
      <c r="P580" s="15"/>
      <c r="Q580" s="12"/>
      <c r="R580" s="12"/>
      <c r="S580" s="12"/>
      <c r="T580" s="12"/>
      <c r="AO580" s="16"/>
    </row>
    <row r="581" s="1" customFormat="1" spans="4:41">
      <c r="D581" s="10"/>
      <c r="E581" s="11"/>
      <c r="F581" s="12"/>
      <c r="G581" s="13"/>
      <c r="H581" s="13"/>
      <c r="L581" s="14"/>
      <c r="M581" s="15"/>
      <c r="N581" s="15"/>
      <c r="O581" s="15"/>
      <c r="P581" s="15"/>
      <c r="Q581" s="12"/>
      <c r="R581" s="12"/>
      <c r="S581" s="12"/>
      <c r="T581" s="12"/>
      <c r="AO581" s="16"/>
    </row>
    <row r="582" s="1" customFormat="1" spans="4:41">
      <c r="D582" s="10"/>
      <c r="E582" s="11"/>
      <c r="F582" s="12"/>
      <c r="G582" s="13"/>
      <c r="H582" s="13"/>
      <c r="L582" s="14"/>
      <c r="M582" s="15"/>
      <c r="N582" s="15"/>
      <c r="O582" s="15"/>
      <c r="P582" s="15"/>
      <c r="Q582" s="12"/>
      <c r="R582" s="12"/>
      <c r="S582" s="12"/>
      <c r="T582" s="12"/>
      <c r="AO582" s="16"/>
    </row>
    <row r="583" s="1" customFormat="1" spans="4:41">
      <c r="D583" s="10"/>
      <c r="E583" s="11"/>
      <c r="F583" s="12"/>
      <c r="G583" s="13"/>
      <c r="H583" s="13"/>
      <c r="L583" s="14"/>
      <c r="M583" s="15"/>
      <c r="N583" s="15"/>
      <c r="O583" s="15"/>
      <c r="P583" s="15"/>
      <c r="Q583" s="12"/>
      <c r="R583" s="12"/>
      <c r="S583" s="12"/>
      <c r="T583" s="12"/>
      <c r="AO583" s="16"/>
    </row>
    <row r="584" s="1" customFormat="1" spans="4:41">
      <c r="D584" s="10"/>
      <c r="E584" s="11"/>
      <c r="F584" s="12"/>
      <c r="G584" s="13"/>
      <c r="H584" s="13"/>
      <c r="L584" s="14"/>
      <c r="M584" s="15"/>
      <c r="N584" s="15"/>
      <c r="O584" s="15"/>
      <c r="P584" s="15"/>
      <c r="Q584" s="12"/>
      <c r="R584" s="12"/>
      <c r="S584" s="12"/>
      <c r="T584" s="12"/>
      <c r="AO584" s="16"/>
    </row>
    <row r="585" s="1" customFormat="1" spans="4:41">
      <c r="D585" s="10"/>
      <c r="E585" s="11"/>
      <c r="F585" s="12"/>
      <c r="G585" s="13"/>
      <c r="H585" s="13"/>
      <c r="L585" s="14"/>
      <c r="M585" s="15"/>
      <c r="N585" s="15"/>
      <c r="O585" s="15"/>
      <c r="P585" s="15"/>
      <c r="Q585" s="12"/>
      <c r="R585" s="12"/>
      <c r="S585" s="12"/>
      <c r="T585" s="12"/>
      <c r="AO585" s="16"/>
    </row>
    <row r="586" s="1" customFormat="1" spans="4:41">
      <c r="D586" s="10"/>
      <c r="E586" s="11"/>
      <c r="F586" s="12"/>
      <c r="G586" s="13"/>
      <c r="H586" s="13"/>
      <c r="L586" s="14"/>
      <c r="M586" s="15"/>
      <c r="N586" s="15"/>
      <c r="O586" s="15"/>
      <c r="P586" s="15"/>
      <c r="Q586" s="12"/>
      <c r="R586" s="12"/>
      <c r="S586" s="12"/>
      <c r="T586" s="12"/>
      <c r="AO586" s="16"/>
    </row>
    <row r="587" s="1" customFormat="1" spans="4:41">
      <c r="D587" s="10"/>
      <c r="E587" s="11"/>
      <c r="F587" s="12"/>
      <c r="G587" s="13"/>
      <c r="H587" s="13"/>
      <c r="L587" s="14"/>
      <c r="M587" s="15"/>
      <c r="N587" s="15"/>
      <c r="O587" s="15"/>
      <c r="P587" s="15"/>
      <c r="Q587" s="12"/>
      <c r="R587" s="12"/>
      <c r="S587" s="12"/>
      <c r="T587" s="12"/>
      <c r="AO587" s="16"/>
    </row>
    <row r="588" s="1" customFormat="1" spans="4:41">
      <c r="D588" s="10"/>
      <c r="E588" s="11"/>
      <c r="F588" s="12"/>
      <c r="G588" s="13"/>
      <c r="H588" s="13"/>
      <c r="L588" s="14"/>
      <c r="M588" s="15"/>
      <c r="N588" s="15"/>
      <c r="O588" s="15"/>
      <c r="P588" s="15"/>
      <c r="Q588" s="12"/>
      <c r="R588" s="12"/>
      <c r="S588" s="12"/>
      <c r="T588" s="12"/>
      <c r="AO588" s="16"/>
    </row>
    <row r="589" s="1" customFormat="1" spans="4:41">
      <c r="D589" s="10"/>
      <c r="E589" s="11"/>
      <c r="F589" s="12"/>
      <c r="G589" s="13"/>
      <c r="H589" s="13"/>
      <c r="L589" s="14"/>
      <c r="M589" s="15"/>
      <c r="N589" s="15"/>
      <c r="O589" s="15"/>
      <c r="P589" s="15"/>
      <c r="Q589" s="12"/>
      <c r="R589" s="12"/>
      <c r="S589" s="12"/>
      <c r="T589" s="12"/>
      <c r="AO589" s="16"/>
    </row>
    <row r="590" s="1" customFormat="1" spans="4:41">
      <c r="D590" s="10"/>
      <c r="E590" s="11"/>
      <c r="F590" s="12"/>
      <c r="G590" s="13"/>
      <c r="H590" s="13"/>
      <c r="L590" s="14"/>
      <c r="M590" s="15"/>
      <c r="N590" s="15"/>
      <c r="O590" s="15"/>
      <c r="P590" s="15"/>
      <c r="Q590" s="12"/>
      <c r="R590" s="12"/>
      <c r="S590" s="12"/>
      <c r="T590" s="12"/>
      <c r="AO590" s="16"/>
    </row>
    <row r="591" s="1" customFormat="1" spans="4:41">
      <c r="D591" s="10"/>
      <c r="E591" s="11"/>
      <c r="F591" s="12"/>
      <c r="G591" s="13"/>
      <c r="H591" s="13"/>
      <c r="L591" s="14"/>
      <c r="M591" s="15"/>
      <c r="N591" s="15"/>
      <c r="O591" s="15"/>
      <c r="P591" s="15"/>
      <c r="Q591" s="12"/>
      <c r="R591" s="12"/>
      <c r="S591" s="12"/>
      <c r="T591" s="12"/>
      <c r="AO591" s="16"/>
    </row>
    <row r="592" s="1" customFormat="1" spans="4:41">
      <c r="D592" s="10"/>
      <c r="E592" s="11"/>
      <c r="F592" s="12"/>
      <c r="G592" s="13"/>
      <c r="H592" s="13"/>
      <c r="L592" s="14"/>
      <c r="M592" s="15"/>
      <c r="N592" s="15"/>
      <c r="O592" s="15"/>
      <c r="P592" s="15"/>
      <c r="Q592" s="12"/>
      <c r="R592" s="12"/>
      <c r="S592" s="12"/>
      <c r="T592" s="12"/>
      <c r="AO592" s="16"/>
    </row>
    <row r="593" s="1" customFormat="1" spans="4:41">
      <c r="D593" s="10"/>
      <c r="E593" s="11"/>
      <c r="F593" s="12"/>
      <c r="G593" s="13"/>
      <c r="H593" s="13"/>
      <c r="L593" s="14"/>
      <c r="M593" s="15"/>
      <c r="N593" s="15"/>
      <c r="O593" s="15"/>
      <c r="P593" s="15"/>
      <c r="Q593" s="12"/>
      <c r="R593" s="12"/>
      <c r="S593" s="12"/>
      <c r="T593" s="12"/>
      <c r="AO593" s="16"/>
    </row>
    <row r="594" s="1" customFormat="1" spans="4:41">
      <c r="D594" s="10"/>
      <c r="E594" s="11"/>
      <c r="F594" s="12"/>
      <c r="G594" s="13"/>
      <c r="H594" s="13"/>
      <c r="L594" s="14"/>
      <c r="M594" s="15"/>
      <c r="N594" s="15"/>
      <c r="O594" s="15"/>
      <c r="P594" s="15"/>
      <c r="Q594" s="12"/>
      <c r="R594" s="12"/>
      <c r="S594" s="12"/>
      <c r="T594" s="12"/>
      <c r="AO594" s="16"/>
    </row>
    <row r="595" s="1" customFormat="1" spans="4:41">
      <c r="D595" s="10"/>
      <c r="E595" s="11"/>
      <c r="F595" s="12"/>
      <c r="G595" s="13"/>
      <c r="H595" s="13"/>
      <c r="L595" s="14"/>
      <c r="M595" s="15"/>
      <c r="N595" s="15"/>
      <c r="O595" s="15"/>
      <c r="P595" s="15"/>
      <c r="Q595" s="12"/>
      <c r="R595" s="12"/>
      <c r="S595" s="12"/>
      <c r="T595" s="12"/>
      <c r="AO595" s="16"/>
    </row>
    <row r="596" s="1" customFormat="1" spans="4:41">
      <c r="D596" s="10"/>
      <c r="E596" s="11"/>
      <c r="F596" s="12"/>
      <c r="G596" s="13"/>
      <c r="H596" s="13"/>
      <c r="L596" s="14"/>
      <c r="M596" s="15"/>
      <c r="N596" s="15"/>
      <c r="O596" s="15"/>
      <c r="P596" s="15"/>
      <c r="Q596" s="12"/>
      <c r="R596" s="12"/>
      <c r="S596" s="12"/>
      <c r="T596" s="12"/>
      <c r="AO596" s="16"/>
    </row>
    <row r="597" s="1" customFormat="1" spans="4:41">
      <c r="D597" s="10"/>
      <c r="E597" s="11"/>
      <c r="F597" s="12"/>
      <c r="G597" s="13"/>
      <c r="H597" s="13"/>
      <c r="L597" s="14"/>
      <c r="M597" s="15"/>
      <c r="N597" s="15"/>
      <c r="O597" s="15"/>
      <c r="P597" s="15"/>
      <c r="Q597" s="12"/>
      <c r="R597" s="12"/>
      <c r="S597" s="12"/>
      <c r="T597" s="12"/>
      <c r="AO597" s="16"/>
    </row>
    <row r="598" s="1" customFormat="1" spans="4:41">
      <c r="D598" s="10"/>
      <c r="E598" s="11"/>
      <c r="F598" s="12"/>
      <c r="G598" s="13"/>
      <c r="H598" s="13"/>
      <c r="L598" s="14"/>
      <c r="M598" s="15"/>
      <c r="N598" s="15"/>
      <c r="O598" s="15"/>
      <c r="P598" s="15"/>
      <c r="Q598" s="12"/>
      <c r="R598" s="12"/>
      <c r="S598" s="12"/>
      <c r="T598" s="12"/>
      <c r="AO598" s="16"/>
    </row>
    <row r="599" s="1" customFormat="1" spans="4:41">
      <c r="D599" s="10"/>
      <c r="E599" s="11"/>
      <c r="F599" s="12"/>
      <c r="G599" s="13"/>
      <c r="H599" s="13"/>
      <c r="L599" s="14"/>
      <c r="M599" s="15"/>
      <c r="N599" s="15"/>
      <c r="O599" s="15"/>
      <c r="P599" s="15"/>
      <c r="Q599" s="12"/>
      <c r="R599" s="12"/>
      <c r="S599" s="12"/>
      <c r="T599" s="12"/>
      <c r="AO599" s="16"/>
    </row>
    <row r="600" s="1" customFormat="1" spans="4:41">
      <c r="D600" s="10"/>
      <c r="E600" s="11"/>
      <c r="F600" s="12"/>
      <c r="G600" s="13"/>
      <c r="H600" s="13"/>
      <c r="L600" s="14"/>
      <c r="M600" s="15"/>
      <c r="N600" s="15"/>
      <c r="O600" s="15"/>
      <c r="P600" s="15"/>
      <c r="Q600" s="12"/>
      <c r="R600" s="12"/>
      <c r="S600" s="12"/>
      <c r="T600" s="12"/>
      <c r="AO600" s="16"/>
    </row>
    <row r="601" s="1" customFormat="1" spans="4:41">
      <c r="D601" s="10"/>
      <c r="E601" s="11"/>
      <c r="F601" s="12"/>
      <c r="G601" s="13"/>
      <c r="H601" s="13"/>
      <c r="L601" s="14"/>
      <c r="M601" s="15"/>
      <c r="N601" s="15"/>
      <c r="O601" s="15"/>
      <c r="P601" s="15"/>
      <c r="Q601" s="12"/>
      <c r="R601" s="12"/>
      <c r="S601" s="12"/>
      <c r="T601" s="12"/>
      <c r="AO601" s="16"/>
    </row>
    <row r="602" s="1" customFormat="1" spans="4:41">
      <c r="D602" s="10"/>
      <c r="E602" s="11"/>
      <c r="F602" s="12"/>
      <c r="G602" s="13"/>
      <c r="H602" s="13"/>
      <c r="L602" s="14"/>
      <c r="M602" s="15"/>
      <c r="N602" s="15"/>
      <c r="O602" s="15"/>
      <c r="P602" s="15"/>
      <c r="Q602" s="12"/>
      <c r="R602" s="12"/>
      <c r="S602" s="12"/>
      <c r="T602" s="12"/>
      <c r="AO602" s="16"/>
    </row>
    <row r="603" s="1" customFormat="1" spans="4:41">
      <c r="D603" s="10"/>
      <c r="E603" s="11"/>
      <c r="F603" s="12"/>
      <c r="G603" s="13"/>
      <c r="H603" s="13"/>
      <c r="L603" s="14"/>
      <c r="M603" s="15"/>
      <c r="N603" s="15"/>
      <c r="O603" s="15"/>
      <c r="P603" s="15"/>
      <c r="Q603" s="12"/>
      <c r="R603" s="12"/>
      <c r="S603" s="12"/>
      <c r="T603" s="12"/>
      <c r="AO603" s="16"/>
    </row>
    <row r="604" s="1" customFormat="1" spans="4:41">
      <c r="D604" s="10"/>
      <c r="E604" s="11"/>
      <c r="F604" s="12"/>
      <c r="G604" s="13"/>
      <c r="H604" s="13"/>
      <c r="L604" s="14"/>
      <c r="M604" s="15"/>
      <c r="N604" s="15"/>
      <c r="O604" s="15"/>
      <c r="P604" s="15"/>
      <c r="Q604" s="12"/>
      <c r="R604" s="12"/>
      <c r="S604" s="12"/>
      <c r="T604" s="12"/>
      <c r="AO604" s="16"/>
    </row>
    <row r="605" s="1" customFormat="1" spans="4:41">
      <c r="D605" s="10"/>
      <c r="E605" s="11"/>
      <c r="F605" s="12"/>
      <c r="G605" s="13"/>
      <c r="H605" s="13"/>
      <c r="L605" s="14"/>
      <c r="M605" s="15"/>
      <c r="N605" s="15"/>
      <c r="O605" s="15"/>
      <c r="P605" s="15"/>
      <c r="Q605" s="12"/>
      <c r="R605" s="12"/>
      <c r="S605" s="12"/>
      <c r="T605" s="12"/>
      <c r="AO605" s="16"/>
    </row>
    <row r="606" s="1" customFormat="1" spans="4:41">
      <c r="D606" s="10"/>
      <c r="E606" s="11"/>
      <c r="F606" s="12"/>
      <c r="G606" s="13"/>
      <c r="H606" s="13"/>
      <c r="L606" s="14"/>
      <c r="M606" s="15"/>
      <c r="N606" s="15"/>
      <c r="O606" s="15"/>
      <c r="P606" s="15"/>
      <c r="Q606" s="12"/>
      <c r="R606" s="12"/>
      <c r="S606" s="12"/>
      <c r="T606" s="12"/>
      <c r="AO606" s="16"/>
    </row>
    <row r="607" s="1" customFormat="1" spans="4:41">
      <c r="D607" s="10"/>
      <c r="E607" s="11"/>
      <c r="F607" s="12"/>
      <c r="G607" s="13"/>
      <c r="H607" s="13"/>
      <c r="L607" s="14"/>
      <c r="M607" s="15"/>
      <c r="N607" s="15"/>
      <c r="O607" s="15"/>
      <c r="P607" s="15"/>
      <c r="Q607" s="12"/>
      <c r="R607" s="12"/>
      <c r="S607" s="12"/>
      <c r="T607" s="12"/>
      <c r="AO607" s="16"/>
    </row>
    <row r="608" s="1" customFormat="1" spans="4:41">
      <c r="D608" s="10"/>
      <c r="E608" s="11"/>
      <c r="F608" s="12"/>
      <c r="G608" s="13"/>
      <c r="H608" s="13"/>
      <c r="L608" s="14"/>
      <c r="M608" s="15"/>
      <c r="N608" s="15"/>
      <c r="O608" s="15"/>
      <c r="P608" s="15"/>
      <c r="Q608" s="12"/>
      <c r="R608" s="12"/>
      <c r="S608" s="12"/>
      <c r="T608" s="12"/>
      <c r="AO608" s="16"/>
    </row>
    <row r="609" s="1" customFormat="1" spans="4:41">
      <c r="D609" s="10"/>
      <c r="E609" s="11"/>
      <c r="F609" s="12"/>
      <c r="G609" s="13"/>
      <c r="H609" s="13"/>
      <c r="L609" s="14"/>
      <c r="M609" s="15"/>
      <c r="N609" s="15"/>
      <c r="O609" s="15"/>
      <c r="P609" s="15"/>
      <c r="Q609" s="12"/>
      <c r="R609" s="12"/>
      <c r="S609" s="12"/>
      <c r="T609" s="12"/>
      <c r="AO609" s="16"/>
    </row>
    <row r="610" s="1" customFormat="1" spans="4:41">
      <c r="D610" s="10"/>
      <c r="E610" s="11"/>
      <c r="F610" s="12"/>
      <c r="G610" s="13"/>
      <c r="H610" s="13"/>
      <c r="L610" s="14"/>
      <c r="M610" s="15"/>
      <c r="N610" s="15"/>
      <c r="O610" s="15"/>
      <c r="P610" s="15"/>
      <c r="Q610" s="12"/>
      <c r="R610" s="12"/>
      <c r="S610" s="12"/>
      <c r="T610" s="12"/>
      <c r="AO610" s="16"/>
    </row>
    <row r="611" s="1" customFormat="1" spans="4:41">
      <c r="D611" s="10"/>
      <c r="E611" s="11"/>
      <c r="F611" s="12"/>
      <c r="G611" s="13"/>
      <c r="H611" s="13"/>
      <c r="L611" s="14"/>
      <c r="M611" s="15"/>
      <c r="N611" s="15"/>
      <c r="O611" s="15"/>
      <c r="P611" s="15"/>
      <c r="Q611" s="12"/>
      <c r="R611" s="12"/>
      <c r="S611" s="12"/>
      <c r="T611" s="12"/>
      <c r="AO611" s="16"/>
    </row>
    <row r="612" s="1" customFormat="1" spans="4:41">
      <c r="D612" s="10"/>
      <c r="E612" s="11"/>
      <c r="F612" s="12"/>
      <c r="G612" s="13"/>
      <c r="H612" s="13"/>
      <c r="L612" s="14"/>
      <c r="M612" s="15"/>
      <c r="N612" s="15"/>
      <c r="O612" s="15"/>
      <c r="P612" s="15"/>
      <c r="Q612" s="12"/>
      <c r="R612" s="12"/>
      <c r="S612" s="12"/>
      <c r="T612" s="12"/>
      <c r="AO612" s="16"/>
    </row>
    <row r="613" s="1" customFormat="1" spans="4:41">
      <c r="D613" s="10"/>
      <c r="E613" s="11"/>
      <c r="F613" s="12"/>
      <c r="G613" s="13"/>
      <c r="H613" s="13"/>
      <c r="L613" s="14"/>
      <c r="M613" s="15"/>
      <c r="N613" s="15"/>
      <c r="O613" s="15"/>
      <c r="P613" s="15"/>
      <c r="Q613" s="12"/>
      <c r="R613" s="12"/>
      <c r="S613" s="12"/>
      <c r="T613" s="12"/>
      <c r="AO613" s="16"/>
    </row>
    <row r="614" s="1" customFormat="1" spans="4:41">
      <c r="D614" s="10"/>
      <c r="E614" s="11"/>
      <c r="F614" s="12"/>
      <c r="G614" s="13"/>
      <c r="H614" s="13"/>
      <c r="L614" s="14"/>
      <c r="M614" s="15"/>
      <c r="N614" s="15"/>
      <c r="O614" s="15"/>
      <c r="P614" s="15"/>
      <c r="Q614" s="12"/>
      <c r="R614" s="12"/>
      <c r="S614" s="12"/>
      <c r="T614" s="12"/>
      <c r="AO614" s="16"/>
    </row>
    <row r="615" s="1" customFormat="1" spans="4:41">
      <c r="D615" s="10"/>
      <c r="E615" s="11"/>
      <c r="F615" s="12"/>
      <c r="G615" s="13"/>
      <c r="H615" s="13"/>
      <c r="L615" s="14"/>
      <c r="M615" s="15"/>
      <c r="N615" s="15"/>
      <c r="O615" s="15"/>
      <c r="P615" s="15"/>
      <c r="Q615" s="12"/>
      <c r="R615" s="12"/>
      <c r="S615" s="12"/>
      <c r="T615" s="12"/>
      <c r="AO615" s="16"/>
    </row>
    <row r="616" s="1" customFormat="1" spans="4:41">
      <c r="D616" s="10"/>
      <c r="E616" s="11"/>
      <c r="F616" s="12"/>
      <c r="G616" s="13"/>
      <c r="H616" s="13"/>
      <c r="L616" s="14"/>
      <c r="M616" s="15"/>
      <c r="N616" s="15"/>
      <c r="O616" s="15"/>
      <c r="P616" s="15"/>
      <c r="Q616" s="12"/>
      <c r="R616" s="12"/>
      <c r="S616" s="12"/>
      <c r="T616" s="12"/>
      <c r="AO616" s="16"/>
    </row>
    <row r="617" s="1" customFormat="1" spans="4:41">
      <c r="D617" s="10"/>
      <c r="E617" s="11"/>
      <c r="F617" s="12"/>
      <c r="G617" s="13"/>
      <c r="H617" s="13"/>
      <c r="L617" s="14"/>
      <c r="M617" s="15"/>
      <c r="N617" s="15"/>
      <c r="O617" s="15"/>
      <c r="P617" s="15"/>
      <c r="Q617" s="12"/>
      <c r="R617" s="12"/>
      <c r="S617" s="12"/>
      <c r="T617" s="12"/>
      <c r="AO617" s="16"/>
    </row>
    <row r="618" s="1" customFormat="1" spans="4:41">
      <c r="D618" s="10"/>
      <c r="E618" s="11"/>
      <c r="F618" s="12"/>
      <c r="G618" s="13"/>
      <c r="H618" s="13"/>
      <c r="L618" s="14"/>
      <c r="M618" s="15"/>
      <c r="N618" s="15"/>
      <c r="O618" s="15"/>
      <c r="P618" s="15"/>
      <c r="Q618" s="12"/>
      <c r="R618" s="12"/>
      <c r="S618" s="12"/>
      <c r="T618" s="12"/>
      <c r="AO618" s="16"/>
    </row>
    <row r="619" s="1" customFormat="1" spans="4:41">
      <c r="D619" s="10"/>
      <c r="E619" s="11"/>
      <c r="F619" s="12"/>
      <c r="G619" s="13"/>
      <c r="H619" s="13"/>
      <c r="L619" s="14"/>
      <c r="M619" s="15"/>
      <c r="N619" s="15"/>
      <c r="O619" s="15"/>
      <c r="P619" s="15"/>
      <c r="Q619" s="12"/>
      <c r="R619" s="12"/>
      <c r="S619" s="12"/>
      <c r="T619" s="12"/>
      <c r="AO619" s="16"/>
    </row>
    <row r="620" s="1" customFormat="1" spans="4:41">
      <c r="D620" s="10"/>
      <c r="E620" s="11"/>
      <c r="F620" s="12"/>
      <c r="G620" s="13"/>
      <c r="H620" s="13"/>
      <c r="L620" s="14"/>
      <c r="M620" s="15"/>
      <c r="N620" s="15"/>
      <c r="O620" s="15"/>
      <c r="P620" s="15"/>
      <c r="Q620" s="12"/>
      <c r="R620" s="12"/>
      <c r="S620" s="12"/>
      <c r="T620" s="12"/>
      <c r="AO620" s="16"/>
    </row>
    <row r="621" s="1" customFormat="1" spans="4:41">
      <c r="D621" s="10"/>
      <c r="E621" s="11"/>
      <c r="F621" s="12"/>
      <c r="G621" s="13"/>
      <c r="H621" s="13"/>
      <c r="L621" s="14"/>
      <c r="M621" s="15"/>
      <c r="N621" s="15"/>
      <c r="O621" s="15"/>
      <c r="P621" s="15"/>
      <c r="Q621" s="12"/>
      <c r="R621" s="12"/>
      <c r="S621" s="12"/>
      <c r="T621" s="12"/>
      <c r="AO621" s="16"/>
    </row>
    <row r="622" s="1" customFormat="1" spans="4:41">
      <c r="D622" s="10"/>
      <c r="E622" s="11"/>
      <c r="F622" s="12"/>
      <c r="G622" s="13"/>
      <c r="H622" s="13"/>
      <c r="L622" s="14"/>
      <c r="M622" s="15"/>
      <c r="N622" s="15"/>
      <c r="O622" s="15"/>
      <c r="P622" s="15"/>
      <c r="Q622" s="12"/>
      <c r="R622" s="12"/>
      <c r="S622" s="12"/>
      <c r="T622" s="12"/>
      <c r="AO622" s="16"/>
    </row>
    <row r="623" s="1" customFormat="1" spans="4:41">
      <c r="D623" s="10"/>
      <c r="E623" s="11"/>
      <c r="F623" s="12"/>
      <c r="G623" s="13"/>
      <c r="H623" s="13"/>
      <c r="L623" s="14"/>
      <c r="M623" s="15"/>
      <c r="N623" s="15"/>
      <c r="O623" s="15"/>
      <c r="P623" s="15"/>
      <c r="Q623" s="12"/>
      <c r="R623" s="12"/>
      <c r="S623" s="12"/>
      <c r="T623" s="12"/>
      <c r="AO623" s="16"/>
    </row>
    <row r="624" s="1" customFormat="1" spans="4:41">
      <c r="D624" s="10"/>
      <c r="E624" s="11"/>
      <c r="F624" s="12"/>
      <c r="G624" s="13"/>
      <c r="H624" s="13"/>
      <c r="L624" s="14"/>
      <c r="M624" s="15"/>
      <c r="N624" s="15"/>
      <c r="O624" s="15"/>
      <c r="P624" s="15"/>
      <c r="Q624" s="12"/>
      <c r="R624" s="12"/>
      <c r="S624" s="12"/>
      <c r="T624" s="12"/>
      <c r="AO624" s="16"/>
    </row>
    <row r="625" s="1" customFormat="1" spans="4:41">
      <c r="D625" s="10"/>
      <c r="E625" s="11"/>
      <c r="F625" s="12"/>
      <c r="G625" s="13"/>
      <c r="H625" s="13"/>
      <c r="L625" s="14"/>
      <c r="M625" s="15"/>
      <c r="N625" s="15"/>
      <c r="O625" s="15"/>
      <c r="P625" s="15"/>
      <c r="Q625" s="12"/>
      <c r="R625" s="12"/>
      <c r="S625" s="12"/>
      <c r="T625" s="12"/>
      <c r="AO625" s="16"/>
    </row>
    <row r="626" s="1" customFormat="1" spans="4:41">
      <c r="D626" s="10"/>
      <c r="E626" s="11"/>
      <c r="F626" s="12"/>
      <c r="G626" s="13"/>
      <c r="H626" s="13"/>
      <c r="L626" s="14"/>
      <c r="M626" s="15"/>
      <c r="N626" s="15"/>
      <c r="O626" s="15"/>
      <c r="P626" s="15"/>
      <c r="Q626" s="12"/>
      <c r="R626" s="12"/>
      <c r="S626" s="12"/>
      <c r="T626" s="12"/>
      <c r="AO626" s="16"/>
    </row>
    <row r="627" s="1" customFormat="1" spans="4:41">
      <c r="D627" s="10"/>
      <c r="E627" s="11"/>
      <c r="F627" s="12"/>
      <c r="G627" s="13"/>
      <c r="H627" s="13"/>
      <c r="L627" s="14"/>
      <c r="M627" s="15"/>
      <c r="N627" s="15"/>
      <c r="O627" s="15"/>
      <c r="P627" s="15"/>
      <c r="Q627" s="12"/>
      <c r="R627" s="12"/>
      <c r="S627" s="12"/>
      <c r="T627" s="12"/>
      <c r="AO627" s="16"/>
    </row>
    <row r="628" s="1" customFormat="1" spans="4:41">
      <c r="D628" s="10"/>
      <c r="E628" s="11"/>
      <c r="F628" s="12"/>
      <c r="G628" s="13"/>
      <c r="H628" s="13"/>
      <c r="L628" s="14"/>
      <c r="M628" s="15"/>
      <c r="N628" s="15"/>
      <c r="O628" s="15"/>
      <c r="P628" s="15"/>
      <c r="Q628" s="12"/>
      <c r="R628" s="12"/>
      <c r="S628" s="12"/>
      <c r="T628" s="12"/>
      <c r="AO628" s="16"/>
    </row>
    <row r="629" s="1" customFormat="1" spans="4:41">
      <c r="D629" s="10"/>
      <c r="E629" s="11"/>
      <c r="F629" s="12"/>
      <c r="G629" s="13"/>
      <c r="H629" s="13"/>
      <c r="L629" s="14"/>
      <c r="M629" s="15"/>
      <c r="N629" s="15"/>
      <c r="O629" s="15"/>
      <c r="P629" s="15"/>
      <c r="Q629" s="12"/>
      <c r="R629" s="12"/>
      <c r="S629" s="12"/>
      <c r="T629" s="12"/>
      <c r="AO629" s="16"/>
    </row>
    <row r="630" s="1" customFormat="1" spans="4:41">
      <c r="D630" s="10"/>
      <c r="E630" s="11"/>
      <c r="F630" s="12"/>
      <c r="G630" s="13"/>
      <c r="H630" s="13"/>
      <c r="L630" s="14"/>
      <c r="M630" s="15"/>
      <c r="N630" s="15"/>
      <c r="O630" s="15"/>
      <c r="P630" s="15"/>
      <c r="Q630" s="12"/>
      <c r="R630" s="12"/>
      <c r="S630" s="12"/>
      <c r="T630" s="12"/>
      <c r="AO630" s="16"/>
    </row>
    <row r="631" s="1" customFormat="1" spans="4:41">
      <c r="D631" s="10"/>
      <c r="E631" s="11"/>
      <c r="F631" s="12"/>
      <c r="G631" s="13"/>
      <c r="H631" s="13"/>
      <c r="L631" s="14"/>
      <c r="M631" s="15"/>
      <c r="N631" s="15"/>
      <c r="O631" s="15"/>
      <c r="P631" s="15"/>
      <c r="Q631" s="12"/>
      <c r="R631" s="12"/>
      <c r="S631" s="12"/>
      <c r="T631" s="12"/>
      <c r="AO631" s="16"/>
    </row>
    <row r="632" s="1" customFormat="1" spans="4:41">
      <c r="D632" s="10"/>
      <c r="E632" s="11"/>
      <c r="F632" s="12"/>
      <c r="G632" s="13"/>
      <c r="H632" s="13"/>
      <c r="L632" s="14"/>
      <c r="M632" s="15"/>
      <c r="N632" s="15"/>
      <c r="O632" s="15"/>
      <c r="P632" s="15"/>
      <c r="Q632" s="12"/>
      <c r="R632" s="12"/>
      <c r="S632" s="12"/>
      <c r="T632" s="12"/>
      <c r="AO632" s="16"/>
    </row>
    <row r="633" s="1" customFormat="1" spans="4:41">
      <c r="D633" s="10"/>
      <c r="E633" s="11"/>
      <c r="F633" s="12"/>
      <c r="G633" s="13"/>
      <c r="H633" s="13"/>
      <c r="L633" s="14"/>
      <c r="M633" s="15"/>
      <c r="N633" s="15"/>
      <c r="O633" s="15"/>
      <c r="P633" s="15"/>
      <c r="Q633" s="12"/>
      <c r="R633" s="12"/>
      <c r="S633" s="12"/>
      <c r="T633" s="12"/>
      <c r="AO633" s="16"/>
    </row>
    <row r="634" s="1" customFormat="1" spans="4:41">
      <c r="D634" s="10"/>
      <c r="E634" s="11"/>
      <c r="F634" s="12"/>
      <c r="G634" s="13"/>
      <c r="H634" s="13"/>
      <c r="L634" s="14"/>
      <c r="M634" s="15"/>
      <c r="N634" s="15"/>
      <c r="O634" s="15"/>
      <c r="P634" s="15"/>
      <c r="Q634" s="12"/>
      <c r="R634" s="12"/>
      <c r="S634" s="12"/>
      <c r="T634" s="12"/>
      <c r="AO634" s="16"/>
    </row>
    <row r="635" s="1" customFormat="1" spans="4:41">
      <c r="D635" s="10"/>
      <c r="E635" s="11"/>
      <c r="F635" s="12"/>
      <c r="G635" s="13"/>
      <c r="H635" s="13"/>
      <c r="L635" s="14"/>
      <c r="M635" s="15"/>
      <c r="N635" s="15"/>
      <c r="O635" s="15"/>
      <c r="P635" s="15"/>
      <c r="Q635" s="12"/>
      <c r="R635" s="12"/>
      <c r="S635" s="12"/>
      <c r="T635" s="12"/>
      <c r="AO635" s="16"/>
    </row>
    <row r="636" s="1" customFormat="1" spans="4:41">
      <c r="D636" s="10"/>
      <c r="E636" s="11"/>
      <c r="F636" s="12"/>
      <c r="G636" s="13"/>
      <c r="H636" s="13"/>
      <c r="L636" s="14"/>
      <c r="M636" s="15"/>
      <c r="N636" s="15"/>
      <c r="O636" s="15"/>
      <c r="P636" s="15"/>
      <c r="Q636" s="12"/>
      <c r="R636" s="12"/>
      <c r="S636" s="12"/>
      <c r="T636" s="12"/>
      <c r="AO636" s="16"/>
    </row>
    <row r="637" s="1" customFormat="1" spans="4:41">
      <c r="D637" s="10"/>
      <c r="E637" s="11"/>
      <c r="F637" s="12"/>
      <c r="G637" s="13"/>
      <c r="H637" s="13"/>
      <c r="L637" s="14"/>
      <c r="M637" s="15"/>
      <c r="N637" s="15"/>
      <c r="O637" s="15"/>
      <c r="P637" s="15"/>
      <c r="Q637" s="12"/>
      <c r="R637" s="12"/>
      <c r="S637" s="12"/>
      <c r="T637" s="12"/>
      <c r="AO637" s="16"/>
    </row>
    <row r="638" s="1" customFormat="1" spans="4:41">
      <c r="D638" s="10"/>
      <c r="E638" s="11"/>
      <c r="F638" s="12"/>
      <c r="G638" s="13"/>
      <c r="H638" s="13"/>
      <c r="L638" s="14"/>
      <c r="M638" s="15"/>
      <c r="N638" s="15"/>
      <c r="O638" s="15"/>
      <c r="P638" s="15"/>
      <c r="Q638" s="12"/>
      <c r="R638" s="12"/>
      <c r="S638" s="12"/>
      <c r="T638" s="12"/>
      <c r="AO638" s="16"/>
    </row>
    <row r="639" s="1" customFormat="1" spans="4:41">
      <c r="D639" s="10"/>
      <c r="E639" s="11"/>
      <c r="F639" s="12"/>
      <c r="G639" s="13"/>
      <c r="H639" s="13"/>
      <c r="L639" s="14"/>
      <c r="M639" s="15"/>
      <c r="N639" s="15"/>
      <c r="O639" s="15"/>
      <c r="P639" s="15"/>
      <c r="Q639" s="12"/>
      <c r="R639" s="12"/>
      <c r="S639" s="12"/>
      <c r="T639" s="12"/>
      <c r="AO639" s="16"/>
    </row>
    <row r="640" s="1" customFormat="1" spans="4:41">
      <c r="D640" s="10"/>
      <c r="E640" s="11"/>
      <c r="F640" s="12"/>
      <c r="G640" s="13"/>
      <c r="H640" s="13"/>
      <c r="L640" s="14"/>
      <c r="M640" s="15"/>
      <c r="N640" s="15"/>
      <c r="O640" s="15"/>
      <c r="P640" s="15"/>
      <c r="Q640" s="12"/>
      <c r="R640" s="12"/>
      <c r="S640" s="12"/>
      <c r="T640" s="12"/>
      <c r="AO640" s="16"/>
    </row>
    <row r="641" s="1" customFormat="1" spans="4:41">
      <c r="D641" s="10"/>
      <c r="E641" s="11"/>
      <c r="F641" s="12"/>
      <c r="G641" s="13"/>
      <c r="H641" s="13"/>
      <c r="L641" s="14"/>
      <c r="M641" s="15"/>
      <c r="N641" s="15"/>
      <c r="O641" s="15"/>
      <c r="P641" s="15"/>
      <c r="Q641" s="12"/>
      <c r="R641" s="12"/>
      <c r="S641" s="12"/>
      <c r="T641" s="12"/>
      <c r="AO641" s="16"/>
    </row>
    <row r="642" s="1" customFormat="1" spans="4:41">
      <c r="D642" s="10"/>
      <c r="E642" s="11"/>
      <c r="F642" s="12"/>
      <c r="G642" s="13"/>
      <c r="H642" s="13"/>
      <c r="L642" s="14"/>
      <c r="M642" s="15"/>
      <c r="N642" s="15"/>
      <c r="O642" s="15"/>
      <c r="P642" s="15"/>
      <c r="Q642" s="12"/>
      <c r="R642" s="12"/>
      <c r="S642" s="12"/>
      <c r="T642" s="12"/>
      <c r="AO642" s="16"/>
    </row>
    <row r="643" s="1" customFormat="1" spans="4:41">
      <c r="D643" s="10"/>
      <c r="E643" s="11"/>
      <c r="F643" s="12"/>
      <c r="G643" s="13"/>
      <c r="H643" s="13"/>
      <c r="L643" s="14"/>
      <c r="M643" s="15"/>
      <c r="N643" s="15"/>
      <c r="O643" s="15"/>
      <c r="P643" s="15"/>
      <c r="Q643" s="12"/>
      <c r="R643" s="12"/>
      <c r="S643" s="12"/>
      <c r="T643" s="12"/>
      <c r="AO643" s="16"/>
    </row>
    <row r="644" s="1" customFormat="1" spans="4:41">
      <c r="D644" s="10"/>
      <c r="E644" s="11"/>
      <c r="F644" s="12"/>
      <c r="G644" s="13"/>
      <c r="H644" s="13"/>
      <c r="L644" s="14"/>
      <c r="M644" s="15"/>
      <c r="N644" s="15"/>
      <c r="O644" s="15"/>
      <c r="P644" s="15"/>
      <c r="Q644" s="12"/>
      <c r="R644" s="12"/>
      <c r="S644" s="12"/>
      <c r="T644" s="12"/>
      <c r="AO644" s="16"/>
    </row>
    <row r="645" s="1" customFormat="1" spans="4:41">
      <c r="D645" s="10"/>
      <c r="E645" s="11"/>
      <c r="F645" s="12"/>
      <c r="G645" s="13"/>
      <c r="H645" s="13"/>
      <c r="L645" s="14"/>
      <c r="M645" s="15"/>
      <c r="N645" s="15"/>
      <c r="O645" s="15"/>
      <c r="P645" s="15"/>
      <c r="Q645" s="12"/>
      <c r="R645" s="12"/>
      <c r="S645" s="12"/>
      <c r="T645" s="12"/>
      <c r="AO645" s="16"/>
    </row>
    <row r="646" s="1" customFormat="1" spans="4:41">
      <c r="D646" s="10"/>
      <c r="E646" s="11"/>
      <c r="F646" s="12"/>
      <c r="G646" s="13"/>
      <c r="H646" s="13"/>
      <c r="L646" s="14"/>
      <c r="M646" s="15"/>
      <c r="N646" s="15"/>
      <c r="O646" s="15"/>
      <c r="P646" s="15"/>
      <c r="Q646" s="12"/>
      <c r="R646" s="12"/>
      <c r="S646" s="12"/>
      <c r="T646" s="12"/>
      <c r="AO646" s="16"/>
    </row>
    <row r="647" s="1" customFormat="1" spans="4:41">
      <c r="D647" s="10"/>
      <c r="E647" s="11"/>
      <c r="F647" s="12"/>
      <c r="G647" s="13"/>
      <c r="H647" s="13"/>
      <c r="L647" s="14"/>
      <c r="M647" s="15"/>
      <c r="N647" s="15"/>
      <c r="O647" s="15"/>
      <c r="P647" s="15"/>
      <c r="Q647" s="12"/>
      <c r="R647" s="12"/>
      <c r="S647" s="12"/>
      <c r="T647" s="12"/>
      <c r="AO647" s="16"/>
    </row>
    <row r="648" s="1" customFormat="1" spans="4:41">
      <c r="D648" s="10"/>
      <c r="E648" s="11"/>
      <c r="F648" s="12"/>
      <c r="G648" s="13"/>
      <c r="H648" s="13"/>
      <c r="L648" s="14"/>
      <c r="M648" s="15"/>
      <c r="N648" s="15"/>
      <c r="O648" s="15"/>
      <c r="P648" s="15"/>
      <c r="Q648" s="12"/>
      <c r="R648" s="12"/>
      <c r="S648" s="12"/>
      <c r="T648" s="12"/>
      <c r="AO648" s="16"/>
    </row>
    <row r="649" s="1" customFormat="1" spans="4:41">
      <c r="D649" s="10"/>
      <c r="E649" s="11"/>
      <c r="F649" s="12"/>
      <c r="G649" s="13"/>
      <c r="H649" s="13"/>
      <c r="L649" s="14"/>
      <c r="M649" s="15"/>
      <c r="N649" s="15"/>
      <c r="O649" s="15"/>
      <c r="P649" s="15"/>
      <c r="Q649" s="12"/>
      <c r="R649" s="12"/>
      <c r="S649" s="12"/>
      <c r="T649" s="12"/>
      <c r="AO649" s="16"/>
    </row>
    <row r="650" s="1" customFormat="1" spans="4:41">
      <c r="D650" s="10"/>
      <c r="E650" s="11"/>
      <c r="F650" s="12"/>
      <c r="G650" s="13"/>
      <c r="H650" s="13"/>
      <c r="L650" s="14"/>
      <c r="M650" s="15"/>
      <c r="N650" s="15"/>
      <c r="O650" s="15"/>
      <c r="P650" s="15"/>
      <c r="Q650" s="12"/>
      <c r="R650" s="12"/>
      <c r="S650" s="12"/>
      <c r="T650" s="12"/>
      <c r="AO650" s="16"/>
    </row>
    <row r="651" s="1" customFormat="1" spans="4:41">
      <c r="D651" s="10"/>
      <c r="E651" s="11"/>
      <c r="F651" s="12"/>
      <c r="G651" s="13"/>
      <c r="H651" s="13"/>
      <c r="L651" s="14"/>
      <c r="M651" s="15"/>
      <c r="N651" s="15"/>
      <c r="O651" s="15"/>
      <c r="P651" s="15"/>
      <c r="Q651" s="12"/>
      <c r="R651" s="12"/>
      <c r="S651" s="12"/>
      <c r="T651" s="12"/>
      <c r="AO651" s="16"/>
    </row>
    <row r="652" s="1" customFormat="1" spans="4:41">
      <c r="D652" s="10"/>
      <c r="E652" s="11"/>
      <c r="F652" s="12"/>
      <c r="G652" s="13"/>
      <c r="H652" s="13"/>
      <c r="L652" s="14"/>
      <c r="M652" s="15"/>
      <c r="N652" s="15"/>
      <c r="O652" s="15"/>
      <c r="P652" s="15"/>
      <c r="Q652" s="12"/>
      <c r="R652" s="12"/>
      <c r="S652" s="12"/>
      <c r="T652" s="12"/>
      <c r="AO652" s="16"/>
    </row>
    <row r="653" s="1" customFormat="1" spans="4:41">
      <c r="D653" s="10"/>
      <c r="E653" s="11"/>
      <c r="F653" s="12"/>
      <c r="G653" s="13"/>
      <c r="H653" s="13"/>
      <c r="L653" s="14"/>
      <c r="M653" s="15"/>
      <c r="N653" s="15"/>
      <c r="O653" s="15"/>
      <c r="P653" s="15"/>
      <c r="Q653" s="12"/>
      <c r="R653" s="12"/>
      <c r="S653" s="12"/>
      <c r="T653" s="12"/>
      <c r="AO653" s="16"/>
    </row>
    <row r="654" s="1" customFormat="1" spans="4:41">
      <c r="D654" s="10"/>
      <c r="E654" s="11"/>
      <c r="F654" s="12"/>
      <c r="G654" s="13"/>
      <c r="H654" s="13"/>
      <c r="L654" s="14"/>
      <c r="M654" s="15"/>
      <c r="N654" s="15"/>
      <c r="O654" s="15"/>
      <c r="P654" s="15"/>
      <c r="Q654" s="12"/>
      <c r="R654" s="12"/>
      <c r="S654" s="12"/>
      <c r="T654" s="12"/>
      <c r="AO654" s="16"/>
    </row>
    <row r="655" s="1" customFormat="1" spans="4:41">
      <c r="D655" s="10"/>
      <c r="E655" s="11"/>
      <c r="F655" s="12"/>
      <c r="G655" s="13"/>
      <c r="H655" s="13"/>
      <c r="L655" s="14"/>
      <c r="M655" s="15"/>
      <c r="N655" s="15"/>
      <c r="O655" s="15"/>
      <c r="P655" s="15"/>
      <c r="Q655" s="12"/>
      <c r="R655" s="12"/>
      <c r="S655" s="12"/>
      <c r="T655" s="12"/>
      <c r="AO655" s="16"/>
    </row>
    <row r="656" s="1" customFormat="1" spans="4:41">
      <c r="D656" s="10"/>
      <c r="E656" s="11"/>
      <c r="F656" s="12"/>
      <c r="G656" s="13"/>
      <c r="H656" s="13"/>
      <c r="L656" s="14"/>
      <c r="M656" s="15"/>
      <c r="N656" s="15"/>
      <c r="O656" s="15"/>
      <c r="P656" s="15"/>
      <c r="Q656" s="12"/>
      <c r="R656" s="12"/>
      <c r="S656" s="12"/>
      <c r="T656" s="12"/>
      <c r="AO656" s="16"/>
    </row>
    <row r="657" s="1" customFormat="1" spans="4:41">
      <c r="D657" s="10"/>
      <c r="E657" s="11"/>
      <c r="F657" s="12"/>
      <c r="G657" s="13"/>
      <c r="H657" s="13"/>
      <c r="L657" s="14"/>
      <c r="M657" s="15"/>
      <c r="N657" s="15"/>
      <c r="O657" s="15"/>
      <c r="P657" s="15"/>
      <c r="Q657" s="12"/>
      <c r="R657" s="12"/>
      <c r="S657" s="12"/>
      <c r="T657" s="12"/>
      <c r="AO657" s="16"/>
    </row>
    <row r="658" s="1" customFormat="1" spans="4:41">
      <c r="D658" s="10"/>
      <c r="E658" s="11"/>
      <c r="F658" s="12"/>
      <c r="G658" s="13"/>
      <c r="H658" s="13"/>
      <c r="L658" s="14"/>
      <c r="M658" s="15"/>
      <c r="N658" s="15"/>
      <c r="O658" s="15"/>
      <c r="P658" s="15"/>
      <c r="Q658" s="12"/>
      <c r="R658" s="12"/>
      <c r="S658" s="12"/>
      <c r="T658" s="12"/>
      <c r="AO658" s="16"/>
    </row>
    <row r="659" s="1" customFormat="1" spans="4:41">
      <c r="D659" s="10"/>
      <c r="E659" s="11"/>
      <c r="F659" s="12"/>
      <c r="G659" s="13"/>
      <c r="H659" s="13"/>
      <c r="L659" s="14"/>
      <c r="M659" s="15"/>
      <c r="N659" s="15"/>
      <c r="O659" s="15"/>
      <c r="P659" s="15"/>
      <c r="Q659" s="12"/>
      <c r="R659" s="12"/>
      <c r="S659" s="12"/>
      <c r="T659" s="12"/>
      <c r="AO659" s="16"/>
    </row>
    <row r="660" s="1" customFormat="1" spans="4:41">
      <c r="D660" s="10"/>
      <c r="E660" s="11"/>
      <c r="F660" s="12"/>
      <c r="G660" s="13"/>
      <c r="H660" s="13"/>
      <c r="L660" s="14"/>
      <c r="M660" s="15"/>
      <c r="N660" s="15"/>
      <c r="O660" s="15"/>
      <c r="P660" s="15"/>
      <c r="Q660" s="12"/>
      <c r="R660" s="12"/>
      <c r="S660" s="12"/>
      <c r="T660" s="12"/>
      <c r="AO660" s="16"/>
    </row>
    <row r="661" s="1" customFormat="1" spans="4:41">
      <c r="D661" s="10"/>
      <c r="E661" s="11"/>
      <c r="F661" s="12"/>
      <c r="G661" s="13"/>
      <c r="H661" s="13"/>
      <c r="L661" s="14"/>
      <c r="M661" s="15"/>
      <c r="N661" s="15"/>
      <c r="O661" s="15"/>
      <c r="P661" s="15"/>
      <c r="Q661" s="12"/>
      <c r="R661" s="12"/>
      <c r="S661" s="12"/>
      <c r="T661" s="12"/>
      <c r="AO661" s="16"/>
    </row>
    <row r="662" s="1" customFormat="1" spans="4:41">
      <c r="D662" s="10"/>
      <c r="E662" s="11"/>
      <c r="F662" s="12"/>
      <c r="G662" s="13"/>
      <c r="H662" s="13"/>
      <c r="L662" s="14"/>
      <c r="M662" s="15"/>
      <c r="N662" s="15"/>
      <c r="O662" s="15"/>
      <c r="P662" s="15"/>
      <c r="Q662" s="12"/>
      <c r="R662" s="12"/>
      <c r="S662" s="12"/>
      <c r="T662" s="12"/>
      <c r="AO662" s="16"/>
    </row>
    <row r="663" s="1" customFormat="1" spans="4:41">
      <c r="D663" s="10"/>
      <c r="E663" s="11"/>
      <c r="F663" s="12"/>
      <c r="G663" s="13"/>
      <c r="H663" s="13"/>
      <c r="L663" s="14"/>
      <c r="M663" s="15"/>
      <c r="N663" s="15"/>
      <c r="O663" s="15"/>
      <c r="P663" s="15"/>
      <c r="Q663" s="12"/>
      <c r="R663" s="12"/>
      <c r="S663" s="12"/>
      <c r="T663" s="12"/>
      <c r="AO663" s="16"/>
    </row>
    <row r="664" s="1" customFormat="1" spans="4:41">
      <c r="D664" s="10"/>
      <c r="E664" s="11"/>
      <c r="F664" s="12"/>
      <c r="G664" s="13"/>
      <c r="H664" s="13"/>
      <c r="L664" s="14"/>
      <c r="M664" s="15"/>
      <c r="N664" s="15"/>
      <c r="O664" s="15"/>
      <c r="P664" s="15"/>
      <c r="Q664" s="12"/>
      <c r="R664" s="12"/>
      <c r="S664" s="12"/>
      <c r="T664" s="12"/>
      <c r="AO664" s="16"/>
    </row>
    <row r="665" s="1" customFormat="1" spans="4:41">
      <c r="D665" s="10"/>
      <c r="E665" s="11"/>
      <c r="F665" s="12"/>
      <c r="G665" s="13"/>
      <c r="H665" s="13"/>
      <c r="L665" s="14"/>
      <c r="M665" s="15"/>
      <c r="N665" s="15"/>
      <c r="O665" s="15"/>
      <c r="P665" s="15"/>
      <c r="Q665" s="12"/>
      <c r="R665" s="12"/>
      <c r="S665" s="12"/>
      <c r="T665" s="12"/>
      <c r="AO665" s="16"/>
    </row>
    <row r="666" s="1" customFormat="1" spans="4:41">
      <c r="D666" s="10"/>
      <c r="E666" s="11"/>
      <c r="F666" s="12"/>
      <c r="G666" s="13"/>
      <c r="H666" s="13"/>
      <c r="L666" s="14"/>
      <c r="M666" s="15"/>
      <c r="N666" s="15"/>
      <c r="O666" s="15"/>
      <c r="P666" s="15"/>
      <c r="Q666" s="12"/>
      <c r="R666" s="12"/>
      <c r="S666" s="12"/>
      <c r="T666" s="12"/>
      <c r="AO666" s="16"/>
    </row>
    <row r="667" s="1" customFormat="1" spans="4:41">
      <c r="D667" s="10"/>
      <c r="E667" s="11"/>
      <c r="F667" s="12"/>
      <c r="G667" s="13"/>
      <c r="H667" s="13"/>
      <c r="L667" s="14"/>
      <c r="M667" s="15"/>
      <c r="N667" s="15"/>
      <c r="O667" s="15"/>
      <c r="P667" s="15"/>
      <c r="Q667" s="12"/>
      <c r="R667" s="12"/>
      <c r="S667" s="12"/>
      <c r="T667" s="12"/>
      <c r="AO667" s="16"/>
    </row>
    <row r="668" s="1" customFormat="1" spans="4:41">
      <c r="D668" s="10"/>
      <c r="E668" s="11"/>
      <c r="F668" s="12"/>
      <c r="G668" s="13"/>
      <c r="H668" s="13"/>
      <c r="L668" s="14"/>
      <c r="M668" s="15"/>
      <c r="N668" s="15"/>
      <c r="O668" s="15"/>
      <c r="P668" s="15"/>
      <c r="Q668" s="12"/>
      <c r="R668" s="12"/>
      <c r="S668" s="12"/>
      <c r="T668" s="12"/>
      <c r="AO668" s="16"/>
    </row>
    <row r="669" s="1" customFormat="1" spans="4:41">
      <c r="D669" s="10"/>
      <c r="E669" s="11"/>
      <c r="F669" s="12"/>
      <c r="G669" s="13"/>
      <c r="H669" s="13"/>
      <c r="L669" s="14"/>
      <c r="M669" s="15"/>
      <c r="N669" s="15"/>
      <c r="O669" s="15"/>
      <c r="P669" s="15"/>
      <c r="Q669" s="12"/>
      <c r="R669" s="12"/>
      <c r="S669" s="12"/>
      <c r="T669" s="12"/>
      <c r="AO669" s="16"/>
    </row>
    <row r="670" s="1" customFormat="1" spans="4:41">
      <c r="D670" s="10"/>
      <c r="E670" s="11"/>
      <c r="F670" s="12"/>
      <c r="G670" s="13"/>
      <c r="H670" s="13"/>
      <c r="L670" s="14"/>
      <c r="M670" s="15"/>
      <c r="N670" s="15"/>
      <c r="O670" s="15"/>
      <c r="P670" s="15"/>
      <c r="Q670" s="12"/>
      <c r="R670" s="12"/>
      <c r="S670" s="12"/>
      <c r="T670" s="12"/>
      <c r="AO670" s="16"/>
    </row>
    <row r="671" s="1" customFormat="1" spans="4:41">
      <c r="D671" s="10"/>
      <c r="E671" s="11"/>
      <c r="F671" s="12"/>
      <c r="G671" s="13"/>
      <c r="H671" s="13"/>
      <c r="L671" s="14"/>
      <c r="M671" s="15"/>
      <c r="N671" s="15"/>
      <c r="O671" s="15"/>
      <c r="P671" s="15"/>
      <c r="Q671" s="12"/>
      <c r="R671" s="12"/>
      <c r="S671" s="12"/>
      <c r="T671" s="12"/>
      <c r="AO671" s="16"/>
    </row>
    <row r="672" s="1" customFormat="1" spans="4:41">
      <c r="D672" s="10"/>
      <c r="E672" s="11"/>
      <c r="F672" s="12"/>
      <c r="G672" s="13"/>
      <c r="H672" s="13"/>
      <c r="L672" s="14"/>
      <c r="M672" s="15"/>
      <c r="N672" s="15"/>
      <c r="O672" s="15"/>
      <c r="P672" s="15"/>
      <c r="Q672" s="12"/>
      <c r="R672" s="12"/>
      <c r="S672" s="12"/>
      <c r="T672" s="12"/>
      <c r="AO672" s="16"/>
    </row>
    <row r="673" s="1" customFormat="1" spans="4:41">
      <c r="D673" s="10"/>
      <c r="E673" s="11"/>
      <c r="F673" s="12"/>
      <c r="G673" s="13"/>
      <c r="H673" s="13"/>
      <c r="L673" s="14"/>
      <c r="M673" s="15"/>
      <c r="N673" s="15"/>
      <c r="O673" s="15"/>
      <c r="P673" s="15"/>
      <c r="Q673" s="12"/>
      <c r="R673" s="12"/>
      <c r="S673" s="12"/>
      <c r="T673" s="12"/>
      <c r="AO673" s="16"/>
    </row>
    <row r="674" s="1" customFormat="1" spans="4:41">
      <c r="D674" s="10"/>
      <c r="E674" s="11"/>
      <c r="F674" s="12"/>
      <c r="G674" s="13"/>
      <c r="H674" s="13"/>
      <c r="L674" s="14"/>
      <c r="M674" s="15"/>
      <c r="N674" s="15"/>
      <c r="O674" s="15"/>
      <c r="P674" s="15"/>
      <c r="Q674" s="12"/>
      <c r="R674" s="12"/>
      <c r="S674" s="12"/>
      <c r="T674" s="12"/>
      <c r="AO674" s="16"/>
    </row>
    <row r="675" s="1" customFormat="1" spans="4:41">
      <c r="D675" s="10"/>
      <c r="E675" s="11"/>
      <c r="F675" s="12"/>
      <c r="G675" s="13"/>
      <c r="H675" s="13"/>
      <c r="L675" s="14"/>
      <c r="M675" s="15"/>
      <c r="N675" s="15"/>
      <c r="O675" s="15"/>
      <c r="P675" s="15"/>
      <c r="Q675" s="12"/>
      <c r="R675" s="12"/>
      <c r="S675" s="12"/>
      <c r="T675" s="12"/>
      <c r="AO675" s="16"/>
    </row>
    <row r="676" s="1" customFormat="1" spans="4:41">
      <c r="D676" s="10"/>
      <c r="E676" s="11"/>
      <c r="F676" s="12"/>
      <c r="G676" s="13"/>
      <c r="H676" s="13"/>
      <c r="L676" s="14"/>
      <c r="M676" s="15"/>
      <c r="N676" s="15"/>
      <c r="O676" s="15"/>
      <c r="P676" s="15"/>
      <c r="Q676" s="12"/>
      <c r="R676" s="12"/>
      <c r="S676" s="12"/>
      <c r="T676" s="12"/>
      <c r="AO676" s="16"/>
    </row>
    <row r="677" s="1" customFormat="1" spans="4:41">
      <c r="D677" s="10"/>
      <c r="E677" s="11"/>
      <c r="F677" s="12"/>
      <c r="G677" s="13"/>
      <c r="H677" s="13"/>
      <c r="L677" s="14"/>
      <c r="M677" s="15"/>
      <c r="N677" s="15"/>
      <c r="O677" s="15"/>
      <c r="P677" s="15"/>
      <c r="Q677" s="12"/>
      <c r="R677" s="12"/>
      <c r="S677" s="12"/>
      <c r="T677" s="12"/>
      <c r="AO677" s="16"/>
    </row>
    <row r="678" s="1" customFormat="1" spans="4:41">
      <c r="D678" s="10"/>
      <c r="E678" s="11"/>
      <c r="F678" s="12"/>
      <c r="G678" s="13"/>
      <c r="H678" s="13"/>
      <c r="L678" s="14"/>
      <c r="M678" s="15"/>
      <c r="N678" s="15"/>
      <c r="O678" s="15"/>
      <c r="P678" s="15"/>
      <c r="Q678" s="12"/>
      <c r="R678" s="12"/>
      <c r="S678" s="12"/>
      <c r="T678" s="12"/>
      <c r="AO678" s="16"/>
    </row>
    <row r="679" s="1" customFormat="1" spans="4:41">
      <c r="D679" s="10"/>
      <c r="E679" s="11"/>
      <c r="F679" s="12"/>
      <c r="G679" s="13"/>
      <c r="H679" s="13"/>
      <c r="L679" s="14"/>
      <c r="M679" s="15"/>
      <c r="N679" s="15"/>
      <c r="O679" s="15"/>
      <c r="P679" s="15"/>
      <c r="Q679" s="12"/>
      <c r="R679" s="12"/>
      <c r="S679" s="12"/>
      <c r="T679" s="12"/>
      <c r="AO679" s="16"/>
    </row>
    <row r="680" s="1" customFormat="1" spans="4:41">
      <c r="D680" s="10"/>
      <c r="E680" s="11"/>
      <c r="F680" s="12"/>
      <c r="G680" s="13"/>
      <c r="H680" s="13"/>
      <c r="L680" s="14"/>
      <c r="M680" s="15"/>
      <c r="N680" s="15"/>
      <c r="O680" s="15"/>
      <c r="P680" s="15"/>
      <c r="Q680" s="12"/>
      <c r="R680" s="12"/>
      <c r="S680" s="12"/>
      <c r="T680" s="12"/>
      <c r="AO680" s="16"/>
    </row>
    <row r="681" s="1" customFormat="1" spans="4:41">
      <c r="D681" s="10"/>
      <c r="E681" s="11"/>
      <c r="F681" s="12"/>
      <c r="G681" s="13"/>
      <c r="H681" s="13"/>
      <c r="L681" s="14"/>
      <c r="M681" s="15"/>
      <c r="N681" s="15"/>
      <c r="O681" s="15"/>
      <c r="P681" s="15"/>
      <c r="Q681" s="12"/>
      <c r="R681" s="12"/>
      <c r="S681" s="12"/>
      <c r="T681" s="12"/>
      <c r="AO681" s="16"/>
    </row>
    <row r="682" s="1" customFormat="1" spans="4:41">
      <c r="D682" s="10"/>
      <c r="E682" s="11"/>
      <c r="F682" s="12"/>
      <c r="G682" s="13"/>
      <c r="H682" s="13"/>
      <c r="L682" s="14"/>
      <c r="M682" s="15"/>
      <c r="N682" s="15"/>
      <c r="O682" s="15"/>
      <c r="P682" s="15"/>
      <c r="Q682" s="12"/>
      <c r="R682" s="12"/>
      <c r="S682" s="12"/>
      <c r="T682" s="12"/>
      <c r="AO682" s="16"/>
    </row>
    <row r="683" s="1" customFormat="1" spans="4:41">
      <c r="D683" s="10"/>
      <c r="E683" s="11"/>
      <c r="F683" s="12"/>
      <c r="G683" s="13"/>
      <c r="H683" s="13"/>
      <c r="L683" s="14"/>
      <c r="M683" s="15"/>
      <c r="N683" s="15"/>
      <c r="O683" s="15"/>
      <c r="P683" s="15"/>
      <c r="Q683" s="12"/>
      <c r="R683" s="12"/>
      <c r="S683" s="12"/>
      <c r="T683" s="12"/>
      <c r="AO683" s="16"/>
    </row>
    <row r="684" s="1" customFormat="1" spans="4:41">
      <c r="D684" s="10"/>
      <c r="E684" s="11"/>
      <c r="F684" s="12"/>
      <c r="G684" s="13"/>
      <c r="H684" s="13"/>
      <c r="L684" s="14"/>
      <c r="M684" s="15"/>
      <c r="N684" s="15"/>
      <c r="O684" s="15"/>
      <c r="P684" s="15"/>
      <c r="Q684" s="12"/>
      <c r="R684" s="12"/>
      <c r="S684" s="12"/>
      <c r="T684" s="12"/>
      <c r="AO684" s="16"/>
    </row>
    <row r="685" s="1" customFormat="1" spans="4:41">
      <c r="D685" s="10"/>
      <c r="E685" s="11"/>
      <c r="F685" s="12"/>
      <c r="G685" s="13"/>
      <c r="H685" s="13"/>
      <c r="L685" s="14"/>
      <c r="M685" s="15"/>
      <c r="N685" s="15"/>
      <c r="O685" s="15"/>
      <c r="P685" s="15"/>
      <c r="Q685" s="12"/>
      <c r="R685" s="12"/>
      <c r="S685" s="12"/>
      <c r="T685" s="12"/>
      <c r="AO685" s="16"/>
    </row>
    <row r="686" s="1" customFormat="1" spans="4:41">
      <c r="D686" s="10"/>
      <c r="E686" s="11"/>
      <c r="F686" s="12"/>
      <c r="G686" s="13"/>
      <c r="H686" s="13"/>
      <c r="L686" s="14"/>
      <c r="M686" s="15"/>
      <c r="N686" s="15"/>
      <c r="O686" s="15"/>
      <c r="P686" s="15"/>
      <c r="Q686" s="12"/>
      <c r="R686" s="12"/>
      <c r="S686" s="12"/>
      <c r="T686" s="12"/>
      <c r="AO686" s="16"/>
    </row>
    <row r="687" s="1" customFormat="1" spans="4:41">
      <c r="D687" s="10"/>
      <c r="E687" s="11"/>
      <c r="F687" s="12"/>
      <c r="G687" s="13"/>
      <c r="H687" s="13"/>
      <c r="L687" s="14"/>
      <c r="M687" s="15"/>
      <c r="N687" s="15"/>
      <c r="O687" s="15"/>
      <c r="P687" s="15"/>
      <c r="Q687" s="12"/>
      <c r="R687" s="12"/>
      <c r="S687" s="12"/>
      <c r="T687" s="12"/>
      <c r="AO687" s="16"/>
    </row>
    <row r="688" s="1" customFormat="1" spans="4:41">
      <c r="D688" s="10"/>
      <c r="E688" s="11"/>
      <c r="F688" s="12"/>
      <c r="G688" s="13"/>
      <c r="H688" s="13"/>
      <c r="L688" s="14"/>
      <c r="M688" s="15"/>
      <c r="N688" s="15"/>
      <c r="O688" s="15"/>
      <c r="P688" s="15"/>
      <c r="Q688" s="12"/>
      <c r="R688" s="12"/>
      <c r="S688" s="12"/>
      <c r="T688" s="12"/>
      <c r="AO688" s="16"/>
    </row>
    <row r="689" s="1" customFormat="1" spans="4:41">
      <c r="D689" s="10"/>
      <c r="E689" s="11"/>
      <c r="F689" s="12"/>
      <c r="G689" s="13"/>
      <c r="H689" s="13"/>
      <c r="L689" s="14"/>
      <c r="M689" s="15"/>
      <c r="N689" s="15"/>
      <c r="O689" s="15"/>
      <c r="P689" s="15"/>
      <c r="Q689" s="12"/>
      <c r="R689" s="12"/>
      <c r="S689" s="12"/>
      <c r="T689" s="12"/>
      <c r="AO689" s="16"/>
    </row>
    <row r="690" s="1" customFormat="1" spans="4:41">
      <c r="D690" s="10"/>
      <c r="E690" s="11"/>
      <c r="F690" s="12"/>
      <c r="G690" s="13"/>
      <c r="H690" s="13"/>
      <c r="L690" s="14"/>
      <c r="M690" s="15"/>
      <c r="N690" s="15"/>
      <c r="O690" s="15"/>
      <c r="P690" s="15"/>
      <c r="Q690" s="12"/>
      <c r="R690" s="12"/>
      <c r="S690" s="12"/>
      <c r="T690" s="12"/>
      <c r="AO690" s="16"/>
    </row>
    <row r="691" s="1" customFormat="1" spans="4:41">
      <c r="D691" s="10"/>
      <c r="E691" s="11"/>
      <c r="F691" s="12"/>
      <c r="G691" s="13"/>
      <c r="H691" s="13"/>
      <c r="L691" s="14"/>
      <c r="M691" s="15"/>
      <c r="N691" s="15"/>
      <c r="O691" s="15"/>
      <c r="P691" s="15"/>
      <c r="Q691" s="12"/>
      <c r="R691" s="12"/>
      <c r="S691" s="12"/>
      <c r="T691" s="12"/>
      <c r="AO691" s="16"/>
    </row>
    <row r="692" s="1" customFormat="1" spans="4:41">
      <c r="D692" s="10"/>
      <c r="E692" s="11"/>
      <c r="F692" s="12"/>
      <c r="G692" s="13"/>
      <c r="H692" s="13"/>
      <c r="L692" s="14"/>
      <c r="M692" s="15"/>
      <c r="N692" s="15"/>
      <c r="O692" s="15"/>
      <c r="P692" s="15"/>
      <c r="Q692" s="12"/>
      <c r="R692" s="12"/>
      <c r="S692" s="12"/>
      <c r="T692" s="12"/>
      <c r="AO692" s="16"/>
    </row>
    <row r="693" s="1" customFormat="1" spans="4:41">
      <c r="D693" s="10"/>
      <c r="E693" s="11"/>
      <c r="F693" s="12"/>
      <c r="G693" s="13"/>
      <c r="H693" s="13"/>
      <c r="L693" s="14"/>
      <c r="M693" s="15"/>
      <c r="N693" s="15"/>
      <c r="O693" s="15"/>
      <c r="P693" s="15"/>
      <c r="Q693" s="12"/>
      <c r="R693" s="12"/>
      <c r="S693" s="12"/>
      <c r="T693" s="12"/>
      <c r="AO693" s="16"/>
    </row>
    <row r="694" s="1" customFormat="1" spans="4:41">
      <c r="D694" s="10"/>
      <c r="E694" s="11"/>
      <c r="F694" s="12"/>
      <c r="G694" s="13"/>
      <c r="H694" s="13"/>
      <c r="L694" s="14"/>
      <c r="M694" s="15"/>
      <c r="N694" s="15"/>
      <c r="O694" s="15"/>
      <c r="P694" s="15"/>
      <c r="Q694" s="12"/>
      <c r="R694" s="12"/>
      <c r="S694" s="12"/>
      <c r="T694" s="12"/>
      <c r="AO694" s="16"/>
    </row>
    <row r="695" s="1" customFormat="1" spans="4:41">
      <c r="D695" s="10"/>
      <c r="E695" s="11"/>
      <c r="F695" s="12"/>
      <c r="G695" s="13"/>
      <c r="H695" s="13"/>
      <c r="L695" s="14"/>
      <c r="M695" s="15"/>
      <c r="N695" s="15"/>
      <c r="O695" s="15"/>
      <c r="P695" s="15"/>
      <c r="Q695" s="12"/>
      <c r="R695" s="12"/>
      <c r="S695" s="12"/>
      <c r="T695" s="12"/>
      <c r="AO695" s="16"/>
    </row>
    <row r="696" s="1" customFormat="1" spans="4:41">
      <c r="D696" s="10"/>
      <c r="E696" s="11"/>
      <c r="F696" s="12"/>
      <c r="G696" s="13"/>
      <c r="H696" s="13"/>
      <c r="L696" s="14"/>
      <c r="M696" s="15"/>
      <c r="N696" s="15"/>
      <c r="O696" s="15"/>
      <c r="P696" s="15"/>
      <c r="Q696" s="12"/>
      <c r="R696" s="12"/>
      <c r="S696" s="12"/>
      <c r="T696" s="12"/>
      <c r="AO696" s="16"/>
    </row>
    <row r="697" s="1" customFormat="1" spans="4:41">
      <c r="D697" s="10"/>
      <c r="E697" s="11"/>
      <c r="F697" s="12"/>
      <c r="G697" s="13"/>
      <c r="H697" s="13"/>
      <c r="L697" s="14"/>
      <c r="M697" s="15"/>
      <c r="N697" s="15"/>
      <c r="O697" s="15"/>
      <c r="P697" s="15"/>
      <c r="Q697" s="12"/>
      <c r="R697" s="12"/>
      <c r="S697" s="12"/>
      <c r="T697" s="12"/>
      <c r="AO697" s="16"/>
    </row>
    <row r="698" s="1" customFormat="1" spans="4:41">
      <c r="D698" s="10"/>
      <c r="E698" s="11"/>
      <c r="F698" s="12"/>
      <c r="G698" s="13"/>
      <c r="H698" s="13"/>
      <c r="L698" s="14"/>
      <c r="M698" s="15"/>
      <c r="N698" s="15"/>
      <c r="O698" s="15"/>
      <c r="P698" s="15"/>
      <c r="Q698" s="12"/>
      <c r="R698" s="12"/>
      <c r="S698" s="12"/>
      <c r="T698" s="12"/>
      <c r="AO698" s="16"/>
    </row>
    <row r="699" s="1" customFormat="1" spans="4:41">
      <c r="D699" s="10"/>
      <c r="E699" s="11"/>
      <c r="F699" s="12"/>
      <c r="G699" s="13"/>
      <c r="H699" s="13"/>
      <c r="L699" s="14"/>
      <c r="M699" s="15"/>
      <c r="N699" s="15"/>
      <c r="O699" s="15"/>
      <c r="P699" s="15"/>
      <c r="Q699" s="12"/>
      <c r="R699" s="12"/>
      <c r="S699" s="12"/>
      <c r="T699" s="12"/>
      <c r="AO699" s="16"/>
    </row>
    <row r="700" s="1" customFormat="1" spans="4:41">
      <c r="D700" s="10"/>
      <c r="E700" s="11"/>
      <c r="F700" s="12"/>
      <c r="G700" s="13"/>
      <c r="H700" s="13"/>
      <c r="L700" s="14"/>
      <c r="M700" s="15"/>
      <c r="N700" s="15"/>
      <c r="O700" s="15"/>
      <c r="P700" s="15"/>
      <c r="Q700" s="12"/>
      <c r="R700" s="12"/>
      <c r="S700" s="12"/>
      <c r="T700" s="12"/>
      <c r="AO700" s="16"/>
    </row>
    <row r="701" s="1" customFormat="1" spans="4:41">
      <c r="D701" s="10"/>
      <c r="E701" s="11"/>
      <c r="F701" s="12"/>
      <c r="G701" s="13"/>
      <c r="H701" s="13"/>
      <c r="L701" s="14"/>
      <c r="M701" s="15"/>
      <c r="N701" s="15"/>
      <c r="O701" s="15"/>
      <c r="P701" s="15"/>
      <c r="Q701" s="12"/>
      <c r="R701" s="12"/>
      <c r="S701" s="12"/>
      <c r="T701" s="12"/>
      <c r="AO701" s="16"/>
    </row>
    <row r="702" s="1" customFormat="1" spans="4:41">
      <c r="D702" s="10"/>
      <c r="E702" s="11"/>
      <c r="F702" s="12"/>
      <c r="G702" s="13"/>
      <c r="H702" s="13"/>
      <c r="L702" s="14"/>
      <c r="M702" s="15"/>
      <c r="N702" s="15"/>
      <c r="O702" s="15"/>
      <c r="P702" s="15"/>
      <c r="Q702" s="12"/>
      <c r="R702" s="12"/>
      <c r="S702" s="12"/>
      <c r="T702" s="12"/>
      <c r="AO702" s="16"/>
    </row>
    <row r="703" s="1" customFormat="1" spans="4:41">
      <c r="D703" s="10"/>
      <c r="E703" s="11"/>
      <c r="F703" s="12"/>
      <c r="G703" s="13"/>
      <c r="H703" s="13"/>
      <c r="L703" s="14"/>
      <c r="M703" s="15"/>
      <c r="N703" s="15"/>
      <c r="O703" s="15"/>
      <c r="P703" s="15"/>
      <c r="Q703" s="12"/>
      <c r="R703" s="12"/>
      <c r="S703" s="12"/>
      <c r="T703" s="12"/>
      <c r="AO703" s="16"/>
    </row>
    <row r="704" s="1" customFormat="1" spans="4:41">
      <c r="D704" s="10"/>
      <c r="E704" s="11"/>
      <c r="F704" s="12"/>
      <c r="G704" s="13"/>
      <c r="H704" s="13"/>
      <c r="L704" s="14"/>
      <c r="M704" s="15"/>
      <c r="N704" s="15"/>
      <c r="O704" s="15"/>
      <c r="P704" s="15"/>
      <c r="Q704" s="12"/>
      <c r="R704" s="12"/>
      <c r="S704" s="12"/>
      <c r="T704" s="12"/>
      <c r="AO704" s="16"/>
    </row>
    <row r="705" s="1" customFormat="1" spans="4:41">
      <c r="D705" s="10"/>
      <c r="E705" s="11"/>
      <c r="F705" s="12"/>
      <c r="G705" s="13"/>
      <c r="H705" s="13"/>
      <c r="L705" s="14"/>
      <c r="M705" s="15"/>
      <c r="N705" s="15"/>
      <c r="O705" s="15"/>
      <c r="P705" s="15"/>
      <c r="Q705" s="12"/>
      <c r="R705" s="12"/>
      <c r="S705" s="12"/>
      <c r="T705" s="12"/>
      <c r="AO705" s="16"/>
    </row>
    <row r="706" s="1" customFormat="1" spans="4:41">
      <c r="D706" s="10"/>
      <c r="E706" s="11"/>
      <c r="F706" s="12"/>
      <c r="G706" s="13"/>
      <c r="H706" s="13"/>
      <c r="L706" s="14"/>
      <c r="M706" s="15"/>
      <c r="N706" s="15"/>
      <c r="O706" s="15"/>
      <c r="P706" s="15"/>
      <c r="Q706" s="12"/>
      <c r="R706" s="12"/>
      <c r="S706" s="12"/>
      <c r="T706" s="12"/>
      <c r="AO706" s="16"/>
    </row>
    <row r="707" s="1" customFormat="1" spans="4:41">
      <c r="D707" s="10"/>
      <c r="E707" s="11"/>
      <c r="F707" s="12"/>
      <c r="G707" s="13"/>
      <c r="H707" s="13"/>
      <c r="L707" s="14"/>
      <c r="M707" s="15"/>
      <c r="N707" s="15"/>
      <c r="O707" s="15"/>
      <c r="P707" s="15"/>
      <c r="Q707" s="12"/>
      <c r="R707" s="12"/>
      <c r="S707" s="12"/>
      <c r="T707" s="12"/>
      <c r="AO707" s="16"/>
    </row>
    <row r="708" s="1" customFormat="1" spans="4:41">
      <c r="D708" s="10"/>
      <c r="E708" s="11"/>
      <c r="F708" s="12"/>
      <c r="G708" s="13"/>
      <c r="H708" s="13"/>
      <c r="L708" s="14"/>
      <c r="M708" s="15"/>
      <c r="N708" s="15"/>
      <c r="O708" s="15"/>
      <c r="P708" s="15"/>
      <c r="Q708" s="12"/>
      <c r="R708" s="12"/>
      <c r="S708" s="12"/>
      <c r="T708" s="12"/>
      <c r="AO708" s="16"/>
    </row>
    <row r="709" s="1" customFormat="1" spans="4:41">
      <c r="D709" s="10"/>
      <c r="E709" s="11"/>
      <c r="F709" s="12"/>
      <c r="G709" s="13"/>
      <c r="H709" s="13"/>
      <c r="L709" s="14"/>
      <c r="M709" s="15"/>
      <c r="N709" s="15"/>
      <c r="O709" s="15"/>
      <c r="P709" s="15"/>
      <c r="Q709" s="12"/>
      <c r="R709" s="12"/>
      <c r="S709" s="12"/>
      <c r="T709" s="12"/>
      <c r="AO709" s="16"/>
    </row>
    <row r="710" s="1" customFormat="1" spans="4:41">
      <c r="D710" s="10"/>
      <c r="E710" s="11"/>
      <c r="F710" s="12"/>
      <c r="G710" s="13"/>
      <c r="H710" s="13"/>
      <c r="L710" s="14"/>
      <c r="M710" s="15"/>
      <c r="N710" s="15"/>
      <c r="O710" s="15"/>
      <c r="P710" s="15"/>
      <c r="Q710" s="12"/>
      <c r="R710" s="12"/>
      <c r="S710" s="12"/>
      <c r="T710" s="12"/>
      <c r="AO710" s="16"/>
    </row>
    <row r="711" s="1" customFormat="1" spans="4:41">
      <c r="D711" s="10"/>
      <c r="E711" s="11"/>
      <c r="F711" s="12"/>
      <c r="G711" s="13"/>
      <c r="H711" s="13"/>
      <c r="L711" s="14"/>
      <c r="M711" s="15"/>
      <c r="N711" s="15"/>
      <c r="O711" s="15"/>
      <c r="P711" s="15"/>
      <c r="Q711" s="12"/>
      <c r="R711" s="12"/>
      <c r="S711" s="12"/>
      <c r="T711" s="12"/>
      <c r="AO711" s="16"/>
    </row>
    <row r="712" s="1" customFormat="1" spans="4:41">
      <c r="D712" s="10"/>
      <c r="E712" s="11"/>
      <c r="F712" s="12"/>
      <c r="G712" s="13"/>
      <c r="H712" s="13"/>
      <c r="L712" s="14"/>
      <c r="M712" s="15"/>
      <c r="N712" s="15"/>
      <c r="O712" s="15"/>
      <c r="P712" s="15"/>
      <c r="Q712" s="12"/>
      <c r="R712" s="12"/>
      <c r="S712" s="12"/>
      <c r="T712" s="12"/>
      <c r="AO712" s="16"/>
    </row>
    <row r="713" s="1" customFormat="1" spans="4:41">
      <c r="D713" s="10"/>
      <c r="E713" s="11"/>
      <c r="F713" s="12"/>
      <c r="G713" s="13"/>
      <c r="H713" s="13"/>
      <c r="L713" s="14"/>
      <c r="M713" s="15"/>
      <c r="N713" s="15"/>
      <c r="O713" s="15"/>
      <c r="P713" s="15"/>
      <c r="Q713" s="12"/>
      <c r="R713" s="12"/>
      <c r="S713" s="12"/>
      <c r="T713" s="12"/>
      <c r="AO713" s="16"/>
    </row>
    <row r="714" s="1" customFormat="1" spans="4:41">
      <c r="D714" s="10"/>
      <c r="E714" s="11"/>
      <c r="F714" s="12"/>
      <c r="G714" s="13"/>
      <c r="H714" s="13"/>
      <c r="L714" s="14"/>
      <c r="M714" s="15"/>
      <c r="N714" s="15"/>
      <c r="O714" s="15"/>
      <c r="P714" s="15"/>
      <c r="Q714" s="12"/>
      <c r="R714" s="12"/>
      <c r="S714" s="12"/>
      <c r="T714" s="12"/>
      <c r="AO714" s="16"/>
    </row>
    <row r="715" s="1" customFormat="1" spans="4:41">
      <c r="D715" s="10"/>
      <c r="E715" s="11"/>
      <c r="F715" s="12"/>
      <c r="G715" s="13"/>
      <c r="H715" s="13"/>
      <c r="L715" s="14"/>
      <c r="M715" s="15"/>
      <c r="N715" s="15"/>
      <c r="O715" s="15"/>
      <c r="P715" s="15"/>
      <c r="Q715" s="12"/>
      <c r="R715" s="12"/>
      <c r="S715" s="12"/>
      <c r="T715" s="12"/>
      <c r="AO715" s="16"/>
    </row>
    <row r="716" s="1" customFormat="1" spans="4:41">
      <c r="D716" s="10"/>
      <c r="E716" s="11"/>
      <c r="F716" s="12"/>
      <c r="G716" s="13"/>
      <c r="H716" s="13"/>
      <c r="L716" s="14"/>
      <c r="M716" s="15"/>
      <c r="N716" s="15"/>
      <c r="O716" s="15"/>
      <c r="P716" s="15"/>
      <c r="Q716" s="12"/>
      <c r="R716" s="12"/>
      <c r="S716" s="12"/>
      <c r="T716" s="12"/>
      <c r="AO716" s="16"/>
    </row>
    <row r="717" s="1" customFormat="1" spans="4:41">
      <c r="D717" s="10"/>
      <c r="E717" s="11"/>
      <c r="F717" s="12"/>
      <c r="G717" s="13"/>
      <c r="H717" s="13"/>
      <c r="L717" s="14"/>
      <c r="M717" s="15"/>
      <c r="N717" s="15"/>
      <c r="O717" s="15"/>
      <c r="P717" s="15"/>
      <c r="Q717" s="12"/>
      <c r="R717" s="12"/>
      <c r="S717" s="12"/>
      <c r="T717" s="12"/>
      <c r="AO717" s="16"/>
    </row>
    <row r="718" s="1" customFormat="1" spans="4:41">
      <c r="D718" s="10"/>
      <c r="E718" s="11"/>
      <c r="F718" s="12"/>
      <c r="G718" s="13"/>
      <c r="H718" s="13"/>
      <c r="L718" s="14"/>
      <c r="M718" s="15"/>
      <c r="N718" s="15"/>
      <c r="O718" s="15"/>
      <c r="P718" s="15"/>
      <c r="Q718" s="12"/>
      <c r="R718" s="12"/>
      <c r="S718" s="12"/>
      <c r="T718" s="12"/>
      <c r="AO718" s="16"/>
    </row>
    <row r="719" s="1" customFormat="1" spans="4:41">
      <c r="D719" s="10"/>
      <c r="E719" s="11"/>
      <c r="F719" s="12"/>
      <c r="G719" s="13"/>
      <c r="H719" s="13"/>
      <c r="L719" s="14"/>
      <c r="M719" s="15"/>
      <c r="N719" s="15"/>
      <c r="O719" s="15"/>
      <c r="P719" s="15"/>
      <c r="Q719" s="12"/>
      <c r="R719" s="12"/>
      <c r="S719" s="12"/>
      <c r="T719" s="12"/>
      <c r="AO719" s="16"/>
    </row>
    <row r="720" s="1" customFormat="1" spans="4:41">
      <c r="D720" s="10"/>
      <c r="E720" s="11"/>
      <c r="F720" s="12"/>
      <c r="G720" s="13"/>
      <c r="H720" s="13"/>
      <c r="L720" s="14"/>
      <c r="M720" s="15"/>
      <c r="N720" s="15"/>
      <c r="O720" s="15"/>
      <c r="P720" s="15"/>
      <c r="Q720" s="12"/>
      <c r="R720" s="12"/>
      <c r="S720" s="12"/>
      <c r="T720" s="12"/>
      <c r="AO720" s="16"/>
    </row>
    <row r="721" s="1" customFormat="1" spans="4:41">
      <c r="D721" s="10"/>
      <c r="E721" s="11"/>
      <c r="F721" s="12"/>
      <c r="G721" s="13"/>
      <c r="H721" s="13"/>
      <c r="L721" s="14"/>
      <c r="M721" s="15"/>
      <c r="N721" s="15"/>
      <c r="O721" s="15"/>
      <c r="P721" s="15"/>
      <c r="Q721" s="12"/>
      <c r="R721" s="12"/>
      <c r="S721" s="12"/>
      <c r="T721" s="12"/>
      <c r="AO721" s="16"/>
    </row>
    <row r="722" s="1" customFormat="1" spans="4:41">
      <c r="D722" s="10"/>
      <c r="E722" s="11"/>
      <c r="F722" s="12"/>
      <c r="G722" s="13"/>
      <c r="H722" s="13"/>
      <c r="L722" s="14"/>
      <c r="M722" s="15"/>
      <c r="N722" s="15"/>
      <c r="O722" s="15"/>
      <c r="P722" s="15"/>
      <c r="Q722" s="12"/>
      <c r="R722" s="12"/>
      <c r="S722" s="12"/>
      <c r="T722" s="12"/>
      <c r="AO722" s="16"/>
    </row>
    <row r="723" s="1" customFormat="1" spans="4:41">
      <c r="D723" s="10"/>
      <c r="E723" s="11"/>
      <c r="F723" s="12"/>
      <c r="G723" s="13"/>
      <c r="H723" s="13"/>
      <c r="L723" s="14"/>
      <c r="M723" s="15"/>
      <c r="N723" s="15"/>
      <c r="O723" s="15"/>
      <c r="P723" s="15"/>
      <c r="Q723" s="12"/>
      <c r="R723" s="12"/>
      <c r="S723" s="12"/>
      <c r="T723" s="12"/>
      <c r="AO723" s="16"/>
    </row>
    <row r="724" s="1" customFormat="1" spans="4:41">
      <c r="D724" s="10"/>
      <c r="E724" s="11"/>
      <c r="F724" s="12"/>
      <c r="G724" s="13"/>
      <c r="H724" s="13"/>
      <c r="L724" s="14"/>
      <c r="M724" s="15"/>
      <c r="N724" s="15"/>
      <c r="O724" s="15"/>
      <c r="P724" s="15"/>
      <c r="Q724" s="12"/>
      <c r="R724" s="12"/>
      <c r="S724" s="12"/>
      <c r="T724" s="12"/>
      <c r="AO724" s="16"/>
    </row>
    <row r="725" s="1" customFormat="1" spans="4:41">
      <c r="D725" s="10"/>
      <c r="E725" s="11"/>
      <c r="F725" s="12"/>
      <c r="G725" s="13"/>
      <c r="H725" s="13"/>
      <c r="L725" s="14"/>
      <c r="M725" s="15"/>
      <c r="N725" s="15"/>
      <c r="O725" s="15"/>
      <c r="P725" s="15"/>
      <c r="Q725" s="12"/>
      <c r="R725" s="12"/>
      <c r="S725" s="12"/>
      <c r="T725" s="12"/>
      <c r="AO725" s="16"/>
    </row>
    <row r="726" s="1" customFormat="1" spans="4:41">
      <c r="D726" s="10"/>
      <c r="E726" s="11"/>
      <c r="F726" s="12"/>
      <c r="G726" s="13"/>
      <c r="H726" s="13"/>
      <c r="L726" s="14"/>
      <c r="M726" s="15"/>
      <c r="N726" s="15"/>
      <c r="O726" s="15"/>
      <c r="P726" s="15"/>
      <c r="Q726" s="12"/>
      <c r="R726" s="12"/>
      <c r="S726" s="12"/>
      <c r="T726" s="12"/>
      <c r="AO726" s="16"/>
    </row>
    <row r="727" s="1" customFormat="1" spans="4:41">
      <c r="D727" s="10"/>
      <c r="E727" s="11"/>
      <c r="F727" s="12"/>
      <c r="G727" s="13"/>
      <c r="H727" s="13"/>
      <c r="L727" s="14"/>
      <c r="M727" s="15"/>
      <c r="N727" s="15"/>
      <c r="O727" s="15"/>
      <c r="P727" s="15"/>
      <c r="Q727" s="12"/>
      <c r="R727" s="12"/>
      <c r="S727" s="12"/>
      <c r="T727" s="12"/>
      <c r="AO727" s="16"/>
    </row>
    <row r="728" s="1" customFormat="1" spans="4:41">
      <c r="D728" s="10"/>
      <c r="E728" s="11"/>
      <c r="F728" s="12"/>
      <c r="G728" s="13"/>
      <c r="H728" s="13"/>
      <c r="L728" s="14"/>
      <c r="M728" s="15"/>
      <c r="N728" s="15"/>
      <c r="O728" s="15"/>
      <c r="P728" s="15"/>
      <c r="Q728" s="12"/>
      <c r="R728" s="12"/>
      <c r="S728" s="12"/>
      <c r="T728" s="12"/>
      <c r="AO728" s="16"/>
    </row>
    <row r="729" s="1" customFormat="1" spans="4:41">
      <c r="D729" s="10"/>
      <c r="E729" s="11"/>
      <c r="F729" s="12"/>
      <c r="G729" s="13"/>
      <c r="H729" s="13"/>
      <c r="L729" s="14"/>
      <c r="M729" s="15"/>
      <c r="N729" s="15"/>
      <c r="O729" s="15"/>
      <c r="P729" s="15"/>
      <c r="Q729" s="12"/>
      <c r="R729" s="12"/>
      <c r="S729" s="12"/>
      <c r="T729" s="12"/>
      <c r="AO729" s="16"/>
    </row>
    <row r="730" s="1" customFormat="1" spans="4:41">
      <c r="D730" s="10"/>
      <c r="E730" s="11"/>
      <c r="F730" s="12"/>
      <c r="G730" s="13"/>
      <c r="H730" s="13"/>
      <c r="L730" s="14"/>
      <c r="M730" s="15"/>
      <c r="N730" s="15"/>
      <c r="O730" s="15"/>
      <c r="P730" s="15"/>
      <c r="Q730" s="12"/>
      <c r="R730" s="12"/>
      <c r="S730" s="12"/>
      <c r="T730" s="12"/>
      <c r="AO730" s="16"/>
    </row>
    <row r="731" s="1" customFormat="1" spans="4:41">
      <c r="D731" s="10"/>
      <c r="E731" s="11"/>
      <c r="F731" s="12"/>
      <c r="G731" s="13"/>
      <c r="H731" s="13"/>
      <c r="L731" s="14"/>
      <c r="M731" s="15"/>
      <c r="N731" s="15"/>
      <c r="O731" s="15"/>
      <c r="P731" s="15"/>
      <c r="Q731" s="12"/>
      <c r="R731" s="12"/>
      <c r="S731" s="12"/>
      <c r="T731" s="12"/>
      <c r="AO731" s="16"/>
    </row>
    <row r="732" s="1" customFormat="1" spans="4:41">
      <c r="D732" s="10"/>
      <c r="E732" s="11"/>
      <c r="F732" s="12"/>
      <c r="G732" s="13"/>
      <c r="H732" s="13"/>
      <c r="L732" s="14"/>
      <c r="M732" s="15"/>
      <c r="N732" s="15"/>
      <c r="O732" s="15"/>
      <c r="P732" s="15"/>
      <c r="Q732" s="12"/>
      <c r="R732" s="12"/>
      <c r="S732" s="12"/>
      <c r="T732" s="12"/>
      <c r="AO732" s="16"/>
    </row>
    <row r="733" s="1" customFormat="1" spans="4:41">
      <c r="D733" s="10"/>
      <c r="E733" s="11"/>
      <c r="F733" s="12"/>
      <c r="G733" s="13"/>
      <c r="H733" s="13"/>
      <c r="L733" s="14"/>
      <c r="M733" s="15"/>
      <c r="N733" s="15"/>
      <c r="O733" s="15"/>
      <c r="P733" s="15"/>
      <c r="Q733" s="12"/>
      <c r="R733" s="12"/>
      <c r="S733" s="12"/>
      <c r="T733" s="12"/>
      <c r="AO733" s="16"/>
    </row>
    <row r="734" s="1" customFormat="1" spans="4:41">
      <c r="D734" s="10"/>
      <c r="E734" s="11"/>
      <c r="F734" s="12"/>
      <c r="G734" s="13"/>
      <c r="H734" s="13"/>
      <c r="L734" s="14"/>
      <c r="M734" s="15"/>
      <c r="N734" s="15"/>
      <c r="O734" s="15"/>
      <c r="P734" s="15"/>
      <c r="Q734" s="12"/>
      <c r="R734" s="12"/>
      <c r="S734" s="12"/>
      <c r="T734" s="12"/>
      <c r="AO734" s="16"/>
    </row>
    <row r="735" s="1" customFormat="1" spans="4:41">
      <c r="D735" s="10"/>
      <c r="E735" s="11"/>
      <c r="F735" s="12"/>
      <c r="G735" s="13"/>
      <c r="H735" s="13"/>
      <c r="L735" s="14"/>
      <c r="M735" s="15"/>
      <c r="N735" s="15"/>
      <c r="O735" s="15"/>
      <c r="P735" s="15"/>
      <c r="Q735" s="12"/>
      <c r="R735" s="12"/>
      <c r="S735" s="12"/>
      <c r="T735" s="12"/>
      <c r="AO735" s="16"/>
    </row>
    <row r="736" s="1" customFormat="1" spans="4:41">
      <c r="D736" s="10"/>
      <c r="E736" s="11"/>
      <c r="F736" s="12"/>
      <c r="G736" s="13"/>
      <c r="H736" s="13"/>
      <c r="L736" s="14"/>
      <c r="M736" s="15"/>
      <c r="N736" s="15"/>
      <c r="O736" s="15"/>
      <c r="P736" s="15"/>
      <c r="Q736" s="12"/>
      <c r="R736" s="12"/>
      <c r="S736" s="12"/>
      <c r="T736" s="12"/>
      <c r="AO736" s="16"/>
    </row>
    <row r="737" s="1" customFormat="1" spans="4:41">
      <c r="D737" s="10"/>
      <c r="E737" s="11"/>
      <c r="F737" s="12"/>
      <c r="G737" s="13"/>
      <c r="H737" s="13"/>
      <c r="L737" s="14"/>
      <c r="M737" s="15"/>
      <c r="N737" s="15"/>
      <c r="O737" s="15"/>
      <c r="P737" s="15"/>
      <c r="Q737" s="12"/>
      <c r="R737" s="12"/>
      <c r="S737" s="12"/>
      <c r="T737" s="12"/>
      <c r="AO737" s="16"/>
    </row>
    <row r="738" s="1" customFormat="1" spans="4:41">
      <c r="D738" s="10"/>
      <c r="E738" s="11"/>
      <c r="F738" s="12"/>
      <c r="G738" s="13"/>
      <c r="H738" s="13"/>
      <c r="L738" s="14"/>
      <c r="M738" s="15"/>
      <c r="N738" s="15"/>
      <c r="O738" s="15"/>
      <c r="P738" s="15"/>
      <c r="Q738" s="12"/>
      <c r="R738" s="12"/>
      <c r="S738" s="12"/>
      <c r="T738" s="12"/>
      <c r="AO738" s="16"/>
    </row>
    <row r="739" s="1" customFormat="1" spans="4:41">
      <c r="D739" s="10"/>
      <c r="E739" s="11"/>
      <c r="F739" s="12"/>
      <c r="G739" s="13"/>
      <c r="H739" s="13"/>
      <c r="L739" s="14"/>
      <c r="M739" s="15"/>
      <c r="N739" s="15"/>
      <c r="O739" s="15"/>
      <c r="P739" s="15"/>
      <c r="Q739" s="12"/>
      <c r="R739" s="12"/>
      <c r="S739" s="12"/>
      <c r="T739" s="12"/>
      <c r="AO739" s="16"/>
    </row>
    <row r="740" s="1" customFormat="1" spans="4:41">
      <c r="D740" s="10"/>
      <c r="E740" s="11"/>
      <c r="F740" s="12"/>
      <c r="G740" s="13"/>
      <c r="H740" s="13"/>
      <c r="L740" s="14"/>
      <c r="M740" s="15"/>
      <c r="N740" s="15"/>
      <c r="O740" s="15"/>
      <c r="P740" s="15"/>
      <c r="Q740" s="12"/>
      <c r="R740" s="12"/>
      <c r="S740" s="12"/>
      <c r="T740" s="12"/>
      <c r="AO740" s="16"/>
    </row>
    <row r="741" s="1" customFormat="1" spans="4:41">
      <c r="D741" s="10"/>
      <c r="E741" s="11"/>
      <c r="F741" s="12"/>
      <c r="G741" s="13"/>
      <c r="H741" s="13"/>
      <c r="L741" s="14"/>
      <c r="M741" s="15"/>
      <c r="N741" s="15"/>
      <c r="O741" s="15"/>
      <c r="P741" s="15"/>
      <c r="Q741" s="12"/>
      <c r="R741" s="12"/>
      <c r="S741" s="12"/>
      <c r="T741" s="12"/>
      <c r="AO741" s="16"/>
    </row>
    <row r="742" s="1" customFormat="1" spans="4:41">
      <c r="D742" s="10"/>
      <c r="E742" s="11"/>
      <c r="F742" s="12"/>
      <c r="G742" s="13"/>
      <c r="H742" s="13"/>
      <c r="L742" s="14"/>
      <c r="M742" s="15"/>
      <c r="N742" s="15"/>
      <c r="O742" s="15"/>
      <c r="P742" s="15"/>
      <c r="Q742" s="12"/>
      <c r="R742" s="12"/>
      <c r="S742" s="12"/>
      <c r="T742" s="12"/>
      <c r="AO742" s="16"/>
    </row>
    <row r="743" s="1" customFormat="1" spans="4:41">
      <c r="D743" s="10"/>
      <c r="E743" s="11"/>
      <c r="F743" s="12"/>
      <c r="G743" s="13"/>
      <c r="H743" s="13"/>
      <c r="L743" s="14"/>
      <c r="M743" s="15"/>
      <c r="N743" s="15"/>
      <c r="O743" s="15"/>
      <c r="P743" s="15"/>
      <c r="Q743" s="12"/>
      <c r="R743" s="12"/>
      <c r="S743" s="12"/>
      <c r="T743" s="12"/>
      <c r="AO743" s="16"/>
    </row>
    <row r="744" s="1" customFormat="1" spans="4:41">
      <c r="D744" s="10"/>
      <c r="E744" s="11"/>
      <c r="F744" s="12"/>
      <c r="G744" s="13"/>
      <c r="H744" s="13"/>
      <c r="L744" s="14"/>
      <c r="M744" s="15"/>
      <c r="N744" s="15"/>
      <c r="O744" s="15"/>
      <c r="P744" s="15"/>
      <c r="Q744" s="12"/>
      <c r="R744" s="12"/>
      <c r="S744" s="12"/>
      <c r="T744" s="12"/>
      <c r="AO744" s="16"/>
    </row>
    <row r="745" s="1" customFormat="1" spans="4:41">
      <c r="D745" s="10"/>
      <c r="E745" s="11"/>
      <c r="F745" s="12"/>
      <c r="G745" s="13"/>
      <c r="H745" s="13"/>
      <c r="L745" s="14"/>
      <c r="M745" s="15"/>
      <c r="N745" s="15"/>
      <c r="O745" s="15"/>
      <c r="P745" s="15"/>
      <c r="Q745" s="12"/>
      <c r="R745" s="12"/>
      <c r="S745" s="12"/>
      <c r="T745" s="12"/>
      <c r="AO745" s="16"/>
    </row>
    <row r="746" s="1" customFormat="1" spans="4:41">
      <c r="D746" s="10"/>
      <c r="E746" s="11"/>
      <c r="F746" s="12"/>
      <c r="G746" s="13"/>
      <c r="H746" s="13"/>
      <c r="L746" s="14"/>
      <c r="M746" s="15"/>
      <c r="N746" s="15"/>
      <c r="O746" s="15"/>
      <c r="P746" s="15"/>
      <c r="Q746" s="12"/>
      <c r="R746" s="12"/>
      <c r="S746" s="12"/>
      <c r="T746" s="12"/>
      <c r="AO746" s="16"/>
    </row>
    <row r="747" s="1" customFormat="1" spans="4:41">
      <c r="D747" s="10"/>
      <c r="E747" s="11"/>
      <c r="F747" s="12"/>
      <c r="G747" s="13"/>
      <c r="H747" s="13"/>
      <c r="L747" s="14"/>
      <c r="M747" s="15"/>
      <c r="N747" s="15"/>
      <c r="O747" s="15"/>
      <c r="P747" s="15"/>
      <c r="Q747" s="12"/>
      <c r="R747" s="12"/>
      <c r="S747" s="12"/>
      <c r="T747" s="12"/>
      <c r="AO747" s="16"/>
    </row>
    <row r="748" s="1" customFormat="1" spans="4:41">
      <c r="D748" s="10"/>
      <c r="E748" s="11"/>
      <c r="F748" s="12"/>
      <c r="G748" s="13"/>
      <c r="H748" s="13"/>
      <c r="L748" s="14"/>
      <c r="M748" s="15"/>
      <c r="N748" s="15"/>
      <c r="O748" s="15"/>
      <c r="P748" s="15"/>
      <c r="Q748" s="12"/>
      <c r="R748" s="12"/>
      <c r="S748" s="12"/>
      <c r="T748" s="12"/>
      <c r="AO748" s="16"/>
    </row>
    <row r="749" s="1" customFormat="1" spans="4:41">
      <c r="D749" s="10"/>
      <c r="E749" s="11"/>
      <c r="F749" s="12"/>
      <c r="G749" s="13"/>
      <c r="H749" s="13"/>
      <c r="L749" s="14"/>
      <c r="M749" s="15"/>
      <c r="N749" s="15"/>
      <c r="O749" s="15"/>
      <c r="P749" s="15"/>
      <c r="Q749" s="12"/>
      <c r="R749" s="12"/>
      <c r="S749" s="12"/>
      <c r="T749" s="12"/>
      <c r="AO749" s="16"/>
    </row>
    <row r="750" s="1" customFormat="1" spans="4:41">
      <c r="D750" s="10"/>
      <c r="E750" s="11"/>
      <c r="F750" s="12"/>
      <c r="G750" s="13"/>
      <c r="H750" s="13"/>
      <c r="L750" s="14"/>
      <c r="M750" s="15"/>
      <c r="N750" s="15"/>
      <c r="O750" s="15"/>
      <c r="P750" s="15"/>
      <c r="Q750" s="12"/>
      <c r="R750" s="12"/>
      <c r="S750" s="12"/>
      <c r="T750" s="12"/>
      <c r="AO750" s="16"/>
    </row>
    <row r="751" s="1" customFormat="1" spans="4:41">
      <c r="D751" s="10"/>
      <c r="E751" s="11"/>
      <c r="F751" s="12"/>
      <c r="G751" s="13"/>
      <c r="H751" s="13"/>
      <c r="L751" s="14"/>
      <c r="M751" s="15"/>
      <c r="N751" s="15"/>
      <c r="O751" s="15"/>
      <c r="P751" s="15"/>
      <c r="Q751" s="12"/>
      <c r="R751" s="12"/>
      <c r="S751" s="12"/>
      <c r="T751" s="12"/>
      <c r="AO751" s="16"/>
    </row>
    <row r="752" s="1" customFormat="1" spans="4:41">
      <c r="D752" s="10"/>
      <c r="E752" s="11"/>
      <c r="F752" s="12"/>
      <c r="G752" s="13"/>
      <c r="H752" s="13"/>
      <c r="L752" s="14"/>
      <c r="M752" s="15"/>
      <c r="N752" s="15"/>
      <c r="O752" s="15"/>
      <c r="P752" s="15"/>
      <c r="Q752" s="12"/>
      <c r="R752" s="12"/>
      <c r="S752" s="12"/>
      <c r="T752" s="12"/>
      <c r="AO752" s="16"/>
    </row>
    <row r="753" s="1" customFormat="1" spans="4:41">
      <c r="D753" s="10"/>
      <c r="E753" s="11"/>
      <c r="F753" s="12"/>
      <c r="G753" s="13"/>
      <c r="H753" s="13"/>
      <c r="L753" s="14"/>
      <c r="M753" s="15"/>
      <c r="N753" s="15"/>
      <c r="O753" s="15"/>
      <c r="P753" s="15"/>
      <c r="Q753" s="12"/>
      <c r="R753" s="12"/>
      <c r="S753" s="12"/>
      <c r="T753" s="12"/>
      <c r="AO753" s="16"/>
    </row>
    <row r="754" s="1" customFormat="1" spans="4:41">
      <c r="D754" s="10"/>
      <c r="E754" s="11"/>
      <c r="F754" s="12"/>
      <c r="G754" s="13"/>
      <c r="H754" s="13"/>
      <c r="L754" s="14"/>
      <c r="M754" s="15"/>
      <c r="N754" s="15"/>
      <c r="O754" s="15"/>
      <c r="P754" s="15"/>
      <c r="Q754" s="12"/>
      <c r="R754" s="12"/>
      <c r="S754" s="12"/>
      <c r="T754" s="12"/>
      <c r="AO754" s="16"/>
    </row>
    <row r="755" s="1" customFormat="1" spans="4:41">
      <c r="D755" s="10"/>
      <c r="E755" s="11"/>
      <c r="F755" s="12"/>
      <c r="G755" s="13"/>
      <c r="H755" s="13"/>
      <c r="L755" s="14"/>
      <c r="M755" s="15"/>
      <c r="N755" s="15"/>
      <c r="O755" s="15"/>
      <c r="P755" s="15"/>
      <c r="Q755" s="12"/>
      <c r="R755" s="12"/>
      <c r="S755" s="12"/>
      <c r="T755" s="12"/>
      <c r="AO755" s="16"/>
    </row>
    <row r="756" s="1" customFormat="1" spans="4:41">
      <c r="D756" s="10"/>
      <c r="E756" s="11"/>
      <c r="F756" s="12"/>
      <c r="G756" s="13"/>
      <c r="H756" s="13"/>
      <c r="L756" s="14"/>
      <c r="M756" s="15"/>
      <c r="N756" s="15"/>
      <c r="O756" s="15"/>
      <c r="P756" s="15"/>
      <c r="Q756" s="12"/>
      <c r="R756" s="12"/>
      <c r="S756" s="12"/>
      <c r="T756" s="12"/>
      <c r="AO756" s="16"/>
    </row>
    <row r="757" s="1" customFormat="1" spans="4:41">
      <c r="D757" s="10"/>
      <c r="E757" s="11"/>
      <c r="F757" s="12"/>
      <c r="G757" s="13"/>
      <c r="H757" s="13"/>
      <c r="L757" s="14"/>
      <c r="M757" s="15"/>
      <c r="N757" s="15"/>
      <c r="O757" s="15"/>
      <c r="P757" s="15"/>
      <c r="Q757" s="12"/>
      <c r="R757" s="12"/>
      <c r="S757" s="12"/>
      <c r="T757" s="12"/>
      <c r="AO757" s="16"/>
    </row>
    <row r="758" s="1" customFormat="1" spans="4:41">
      <c r="D758" s="10"/>
      <c r="E758" s="11"/>
      <c r="F758" s="12"/>
      <c r="G758" s="13"/>
      <c r="H758" s="13"/>
      <c r="L758" s="14"/>
      <c r="M758" s="15"/>
      <c r="N758" s="15"/>
      <c r="O758" s="15"/>
      <c r="P758" s="15"/>
      <c r="Q758" s="12"/>
      <c r="R758" s="12"/>
      <c r="S758" s="12"/>
      <c r="T758" s="12"/>
      <c r="AO758" s="16"/>
    </row>
    <row r="759" s="1" customFormat="1" spans="4:41">
      <c r="D759" s="10"/>
      <c r="E759" s="11"/>
      <c r="F759" s="12"/>
      <c r="G759" s="13"/>
      <c r="H759" s="13"/>
      <c r="L759" s="14"/>
      <c r="M759" s="15"/>
      <c r="N759" s="15"/>
      <c r="O759" s="15"/>
      <c r="P759" s="15"/>
      <c r="Q759" s="12"/>
      <c r="R759" s="12"/>
      <c r="S759" s="12"/>
      <c r="T759" s="12"/>
      <c r="AO759" s="16"/>
    </row>
    <row r="760" s="1" customFormat="1" spans="4:41">
      <c r="D760" s="10"/>
      <c r="E760" s="11"/>
      <c r="F760" s="12"/>
      <c r="G760" s="13"/>
      <c r="H760" s="13"/>
      <c r="L760" s="14"/>
      <c r="M760" s="15"/>
      <c r="N760" s="15"/>
      <c r="O760" s="15"/>
      <c r="P760" s="15"/>
      <c r="Q760" s="12"/>
      <c r="R760" s="12"/>
      <c r="S760" s="12"/>
      <c r="T760" s="12"/>
      <c r="AO760" s="16"/>
    </row>
    <row r="761" s="1" customFormat="1" spans="4:41">
      <c r="D761" s="10"/>
      <c r="E761" s="11"/>
      <c r="F761" s="12"/>
      <c r="G761" s="13"/>
      <c r="H761" s="13"/>
      <c r="L761" s="14"/>
      <c r="M761" s="15"/>
      <c r="N761" s="15"/>
      <c r="O761" s="15"/>
      <c r="P761" s="15"/>
      <c r="Q761" s="12"/>
      <c r="R761" s="12"/>
      <c r="S761" s="12"/>
      <c r="T761" s="12"/>
      <c r="AO761" s="16"/>
    </row>
    <row r="762" s="1" customFormat="1" spans="4:41">
      <c r="D762" s="10"/>
      <c r="E762" s="11"/>
      <c r="F762" s="12"/>
      <c r="G762" s="13"/>
      <c r="H762" s="13"/>
      <c r="L762" s="14"/>
      <c r="M762" s="15"/>
      <c r="N762" s="15"/>
      <c r="O762" s="15"/>
      <c r="P762" s="15"/>
      <c r="Q762" s="12"/>
      <c r="R762" s="12"/>
      <c r="S762" s="12"/>
      <c r="T762" s="12"/>
      <c r="AO762" s="16"/>
    </row>
    <row r="763" s="1" customFormat="1" spans="4:41">
      <c r="D763" s="10"/>
      <c r="E763" s="11"/>
      <c r="F763" s="12"/>
      <c r="G763" s="13"/>
      <c r="H763" s="13"/>
      <c r="L763" s="14"/>
      <c r="M763" s="15"/>
      <c r="N763" s="15"/>
      <c r="O763" s="15"/>
      <c r="P763" s="15"/>
      <c r="Q763" s="12"/>
      <c r="R763" s="12"/>
      <c r="S763" s="12"/>
      <c r="T763" s="12"/>
      <c r="AO763" s="16"/>
    </row>
    <row r="764" s="1" customFormat="1" spans="4:41">
      <c r="D764" s="10"/>
      <c r="E764" s="11"/>
      <c r="F764" s="12"/>
      <c r="G764" s="13"/>
      <c r="H764" s="13"/>
      <c r="L764" s="14"/>
      <c r="M764" s="15"/>
      <c r="N764" s="15"/>
      <c r="O764" s="15"/>
      <c r="P764" s="15"/>
      <c r="Q764" s="12"/>
      <c r="R764" s="12"/>
      <c r="S764" s="12"/>
      <c r="T764" s="12"/>
      <c r="AO764" s="16"/>
    </row>
    <row r="765" s="1" customFormat="1" spans="4:41">
      <c r="D765" s="10"/>
      <c r="E765" s="11"/>
      <c r="F765" s="12"/>
      <c r="G765" s="13"/>
      <c r="H765" s="13"/>
      <c r="L765" s="14"/>
      <c r="M765" s="15"/>
      <c r="N765" s="15"/>
      <c r="O765" s="15"/>
      <c r="P765" s="15"/>
      <c r="Q765" s="12"/>
      <c r="R765" s="12"/>
      <c r="S765" s="12"/>
      <c r="T765" s="12"/>
      <c r="AO765" s="16"/>
    </row>
    <row r="766" s="1" customFormat="1" spans="4:41">
      <c r="D766" s="10"/>
      <c r="E766" s="11"/>
      <c r="F766" s="12"/>
      <c r="G766" s="13"/>
      <c r="H766" s="13"/>
      <c r="L766" s="14"/>
      <c r="M766" s="15"/>
      <c r="N766" s="15"/>
      <c r="O766" s="15"/>
      <c r="P766" s="15"/>
      <c r="Q766" s="12"/>
      <c r="R766" s="12"/>
      <c r="S766" s="12"/>
      <c r="T766" s="12"/>
      <c r="AO766" s="16"/>
    </row>
    <row r="767" s="1" customFormat="1" spans="4:41">
      <c r="D767" s="10"/>
      <c r="E767" s="11"/>
      <c r="F767" s="12"/>
      <c r="G767" s="13"/>
      <c r="H767" s="13"/>
      <c r="L767" s="14"/>
      <c r="M767" s="15"/>
      <c r="N767" s="15"/>
      <c r="O767" s="15"/>
      <c r="P767" s="15"/>
      <c r="Q767" s="12"/>
      <c r="R767" s="12"/>
      <c r="S767" s="12"/>
      <c r="T767" s="12"/>
      <c r="AO767" s="16"/>
    </row>
    <row r="768" s="1" customFormat="1" spans="4:41">
      <c r="D768" s="10"/>
      <c r="E768" s="11"/>
      <c r="F768" s="12"/>
      <c r="G768" s="13"/>
      <c r="H768" s="13"/>
      <c r="L768" s="14"/>
      <c r="M768" s="15"/>
      <c r="N768" s="15"/>
      <c r="O768" s="15"/>
      <c r="P768" s="15"/>
      <c r="Q768" s="12"/>
      <c r="R768" s="12"/>
      <c r="S768" s="12"/>
      <c r="T768" s="12"/>
      <c r="AO768" s="16"/>
    </row>
    <row r="769" s="1" customFormat="1" spans="4:41">
      <c r="D769" s="10"/>
      <c r="E769" s="11"/>
      <c r="F769" s="12"/>
      <c r="G769" s="13"/>
      <c r="H769" s="13"/>
      <c r="L769" s="14"/>
      <c r="M769" s="15"/>
      <c r="N769" s="15"/>
      <c r="O769" s="15"/>
      <c r="P769" s="15"/>
      <c r="Q769" s="12"/>
      <c r="R769" s="12"/>
      <c r="S769" s="12"/>
      <c r="T769" s="12"/>
      <c r="AO769" s="16"/>
    </row>
    <row r="770" s="1" customFormat="1" spans="4:41">
      <c r="D770" s="10"/>
      <c r="E770" s="11"/>
      <c r="F770" s="12"/>
      <c r="G770" s="13"/>
      <c r="H770" s="13"/>
      <c r="L770" s="14"/>
      <c r="M770" s="15"/>
      <c r="N770" s="15"/>
      <c r="O770" s="15"/>
      <c r="P770" s="15"/>
      <c r="Q770" s="12"/>
      <c r="R770" s="12"/>
      <c r="S770" s="12"/>
      <c r="T770" s="12"/>
      <c r="AO770" s="16"/>
    </row>
    <row r="771" s="1" customFormat="1" spans="4:41">
      <c r="D771" s="10"/>
      <c r="E771" s="11"/>
      <c r="F771" s="12"/>
      <c r="G771" s="13"/>
      <c r="H771" s="13"/>
      <c r="L771" s="14"/>
      <c r="M771" s="15"/>
      <c r="N771" s="15"/>
      <c r="O771" s="15"/>
      <c r="P771" s="15"/>
      <c r="Q771" s="12"/>
      <c r="R771" s="12"/>
      <c r="S771" s="12"/>
      <c r="T771" s="12"/>
      <c r="AO771" s="16"/>
    </row>
    <row r="772" s="1" customFormat="1" spans="4:41">
      <c r="D772" s="10"/>
      <c r="E772" s="11"/>
      <c r="F772" s="12"/>
      <c r="G772" s="13"/>
      <c r="H772" s="13"/>
      <c r="L772" s="14"/>
      <c r="M772" s="15"/>
      <c r="N772" s="15"/>
      <c r="O772" s="15"/>
      <c r="P772" s="15"/>
      <c r="Q772" s="12"/>
      <c r="R772" s="12"/>
      <c r="S772" s="12"/>
      <c r="T772" s="12"/>
      <c r="AO772" s="16"/>
    </row>
    <row r="773" s="1" customFormat="1" spans="4:41">
      <c r="D773" s="10"/>
      <c r="E773" s="11"/>
      <c r="F773" s="12"/>
      <c r="G773" s="13"/>
      <c r="H773" s="13"/>
      <c r="L773" s="14"/>
      <c r="M773" s="15"/>
      <c r="N773" s="15"/>
      <c r="O773" s="15"/>
      <c r="P773" s="15"/>
      <c r="Q773" s="12"/>
      <c r="R773" s="12"/>
      <c r="S773" s="12"/>
      <c r="T773" s="12"/>
      <c r="AO773" s="16"/>
    </row>
    <row r="774" s="1" customFormat="1" spans="4:41">
      <c r="D774" s="10"/>
      <c r="E774" s="11"/>
      <c r="F774" s="12"/>
      <c r="G774" s="13"/>
      <c r="H774" s="13"/>
      <c r="L774" s="14"/>
      <c r="M774" s="15"/>
      <c r="N774" s="15"/>
      <c r="O774" s="15"/>
      <c r="P774" s="15"/>
      <c r="Q774" s="12"/>
      <c r="R774" s="12"/>
      <c r="S774" s="12"/>
      <c r="T774" s="12"/>
      <c r="AO774" s="16"/>
    </row>
    <row r="775" s="1" customFormat="1" spans="4:41">
      <c r="D775" s="10"/>
      <c r="E775" s="11"/>
      <c r="F775" s="12"/>
      <c r="G775" s="13"/>
      <c r="H775" s="13"/>
      <c r="L775" s="14"/>
      <c r="M775" s="15"/>
      <c r="N775" s="15"/>
      <c r="O775" s="15"/>
      <c r="P775" s="15"/>
      <c r="Q775" s="12"/>
      <c r="R775" s="12"/>
      <c r="S775" s="12"/>
      <c r="T775" s="12"/>
      <c r="AO775" s="16"/>
    </row>
    <row r="776" s="1" customFormat="1" spans="4:41">
      <c r="D776" s="10"/>
      <c r="E776" s="11"/>
      <c r="F776" s="12"/>
      <c r="G776" s="13"/>
      <c r="H776" s="13"/>
      <c r="L776" s="14"/>
      <c r="M776" s="15"/>
      <c r="N776" s="15"/>
      <c r="O776" s="15"/>
      <c r="P776" s="15"/>
      <c r="Q776" s="12"/>
      <c r="R776" s="12"/>
      <c r="S776" s="12"/>
      <c r="T776" s="12"/>
      <c r="AO776" s="16"/>
    </row>
    <row r="777" s="1" customFormat="1" spans="4:41">
      <c r="D777" s="10"/>
      <c r="E777" s="11"/>
      <c r="F777" s="12"/>
      <c r="G777" s="13"/>
      <c r="H777" s="13"/>
      <c r="L777" s="14"/>
      <c r="M777" s="15"/>
      <c r="N777" s="15"/>
      <c r="O777" s="15"/>
      <c r="P777" s="15"/>
      <c r="Q777" s="12"/>
      <c r="R777" s="12"/>
      <c r="S777" s="12"/>
      <c r="T777" s="12"/>
      <c r="AO777" s="16"/>
    </row>
    <row r="778" s="1" customFormat="1" spans="4:41">
      <c r="D778" s="10"/>
      <c r="E778" s="11"/>
      <c r="F778" s="12"/>
      <c r="G778" s="13"/>
      <c r="H778" s="13"/>
      <c r="L778" s="14"/>
      <c r="M778" s="15"/>
      <c r="N778" s="15"/>
      <c r="O778" s="15"/>
      <c r="P778" s="15"/>
      <c r="Q778" s="12"/>
      <c r="R778" s="12"/>
      <c r="S778" s="12"/>
      <c r="T778" s="12"/>
      <c r="AO778" s="16"/>
    </row>
    <row r="779" s="1" customFormat="1" spans="4:41">
      <c r="D779" s="10"/>
      <c r="E779" s="11"/>
      <c r="F779" s="12"/>
      <c r="G779" s="13"/>
      <c r="H779" s="13"/>
      <c r="L779" s="14"/>
      <c r="M779" s="15"/>
      <c r="N779" s="15"/>
      <c r="O779" s="15"/>
      <c r="P779" s="15"/>
      <c r="Q779" s="12"/>
      <c r="R779" s="12"/>
      <c r="S779" s="12"/>
      <c r="T779" s="12"/>
      <c r="AO779" s="16"/>
    </row>
    <row r="780" s="1" customFormat="1" spans="4:41">
      <c r="D780" s="10"/>
      <c r="E780" s="11"/>
      <c r="F780" s="12"/>
      <c r="G780" s="13"/>
      <c r="H780" s="13"/>
      <c r="L780" s="14"/>
      <c r="M780" s="15"/>
      <c r="N780" s="15"/>
      <c r="O780" s="15"/>
      <c r="P780" s="15"/>
      <c r="Q780" s="12"/>
      <c r="R780" s="12"/>
      <c r="S780" s="12"/>
      <c r="T780" s="12"/>
      <c r="AO780" s="16"/>
    </row>
    <row r="781" s="1" customFormat="1" spans="4:41">
      <c r="D781" s="10"/>
      <c r="E781" s="11"/>
      <c r="F781" s="12"/>
      <c r="G781" s="13"/>
      <c r="H781" s="13"/>
      <c r="L781" s="14"/>
      <c r="M781" s="15"/>
      <c r="N781" s="15"/>
      <c r="O781" s="15"/>
      <c r="P781" s="15"/>
      <c r="Q781" s="12"/>
      <c r="R781" s="12"/>
      <c r="S781" s="12"/>
      <c r="T781" s="12"/>
      <c r="AO781" s="16"/>
    </row>
    <row r="782" s="1" customFormat="1" spans="4:41">
      <c r="D782" s="10"/>
      <c r="E782" s="11"/>
      <c r="F782" s="12"/>
      <c r="G782" s="13"/>
      <c r="H782" s="13"/>
      <c r="L782" s="14"/>
      <c r="M782" s="15"/>
      <c r="N782" s="15"/>
      <c r="O782" s="15"/>
      <c r="P782" s="15"/>
      <c r="Q782" s="12"/>
      <c r="R782" s="12"/>
      <c r="S782" s="12"/>
      <c r="T782" s="12"/>
      <c r="AO782" s="16"/>
    </row>
    <row r="783" s="1" customFormat="1" spans="4:41">
      <c r="D783" s="10"/>
      <c r="E783" s="11"/>
      <c r="F783" s="12"/>
      <c r="G783" s="13"/>
      <c r="H783" s="13"/>
      <c r="L783" s="14"/>
      <c r="M783" s="15"/>
      <c r="N783" s="15"/>
      <c r="O783" s="15"/>
      <c r="P783" s="15"/>
      <c r="Q783" s="12"/>
      <c r="R783" s="12"/>
      <c r="S783" s="12"/>
      <c r="T783" s="12"/>
      <c r="AO783" s="16"/>
    </row>
    <row r="784" s="1" customFormat="1" spans="4:41">
      <c r="D784" s="10"/>
      <c r="E784" s="11"/>
      <c r="F784" s="12"/>
      <c r="G784" s="13"/>
      <c r="H784" s="13"/>
      <c r="L784" s="14"/>
      <c r="M784" s="15"/>
      <c r="N784" s="15"/>
      <c r="O784" s="15"/>
      <c r="P784" s="15"/>
      <c r="Q784" s="12"/>
      <c r="R784" s="12"/>
      <c r="S784" s="12"/>
      <c r="T784" s="12"/>
      <c r="AO784" s="16"/>
    </row>
    <row r="785" s="1" customFormat="1" spans="4:41">
      <c r="D785" s="10"/>
      <c r="E785" s="11"/>
      <c r="F785" s="12"/>
      <c r="G785" s="13"/>
      <c r="H785" s="13"/>
      <c r="L785" s="14"/>
      <c r="M785" s="15"/>
      <c r="N785" s="15"/>
      <c r="O785" s="15"/>
      <c r="P785" s="15"/>
      <c r="Q785" s="12"/>
      <c r="R785" s="12"/>
      <c r="S785" s="12"/>
      <c r="T785" s="12"/>
      <c r="AO785" s="16"/>
    </row>
    <row r="786" s="1" customFormat="1" spans="4:41">
      <c r="D786" s="10"/>
      <c r="E786" s="11"/>
      <c r="F786" s="12"/>
      <c r="G786" s="13"/>
      <c r="H786" s="13"/>
      <c r="L786" s="14"/>
      <c r="M786" s="15"/>
      <c r="N786" s="15"/>
      <c r="O786" s="15"/>
      <c r="P786" s="15"/>
      <c r="Q786" s="12"/>
      <c r="R786" s="12"/>
      <c r="S786" s="12"/>
      <c r="T786" s="12"/>
      <c r="AO786" s="16"/>
    </row>
    <row r="787" s="1" customFormat="1" spans="4:41">
      <c r="D787" s="10"/>
      <c r="E787" s="11"/>
      <c r="F787" s="12"/>
      <c r="G787" s="13"/>
      <c r="H787" s="13"/>
      <c r="L787" s="14"/>
      <c r="M787" s="15"/>
      <c r="N787" s="15"/>
      <c r="O787" s="15"/>
      <c r="P787" s="15"/>
      <c r="Q787" s="12"/>
      <c r="R787" s="12"/>
      <c r="S787" s="12"/>
      <c r="T787" s="12"/>
      <c r="AO787" s="16"/>
    </row>
    <row r="788" s="1" customFormat="1" spans="4:41">
      <c r="D788" s="10"/>
      <c r="E788" s="11"/>
      <c r="F788" s="12"/>
      <c r="G788" s="13"/>
      <c r="H788" s="13"/>
      <c r="L788" s="14"/>
      <c r="M788" s="15"/>
      <c r="N788" s="15"/>
      <c r="O788" s="15"/>
      <c r="P788" s="15"/>
      <c r="Q788" s="12"/>
      <c r="R788" s="12"/>
      <c r="S788" s="12"/>
      <c r="T788" s="12"/>
      <c r="AO788" s="16"/>
    </row>
    <row r="789" s="1" customFormat="1" spans="4:41">
      <c r="D789" s="10"/>
      <c r="E789" s="11"/>
      <c r="F789" s="12"/>
      <c r="G789" s="13"/>
      <c r="H789" s="13"/>
      <c r="L789" s="14"/>
      <c r="M789" s="15"/>
      <c r="N789" s="15"/>
      <c r="O789" s="15"/>
      <c r="P789" s="15"/>
      <c r="Q789" s="12"/>
      <c r="R789" s="12"/>
      <c r="S789" s="12"/>
      <c r="T789" s="12"/>
      <c r="AO789" s="16"/>
    </row>
    <row r="790" s="1" customFormat="1" spans="4:41">
      <c r="D790" s="10"/>
      <c r="E790" s="11"/>
      <c r="F790" s="12"/>
      <c r="G790" s="13"/>
      <c r="H790" s="13"/>
      <c r="L790" s="14"/>
      <c r="M790" s="15"/>
      <c r="N790" s="15"/>
      <c r="O790" s="15"/>
      <c r="P790" s="15"/>
      <c r="Q790" s="12"/>
      <c r="R790" s="12"/>
      <c r="S790" s="12"/>
      <c r="T790" s="12"/>
      <c r="AO790" s="16"/>
    </row>
    <row r="791" s="1" customFormat="1" spans="4:41">
      <c r="D791" s="10"/>
      <c r="E791" s="11"/>
      <c r="F791" s="12"/>
      <c r="G791" s="13"/>
      <c r="H791" s="13"/>
      <c r="L791" s="14"/>
      <c r="M791" s="15"/>
      <c r="N791" s="15"/>
      <c r="O791" s="15"/>
      <c r="P791" s="15"/>
      <c r="Q791" s="12"/>
      <c r="R791" s="12"/>
      <c r="S791" s="12"/>
      <c r="T791" s="12"/>
      <c r="AO791" s="16"/>
    </row>
    <row r="792" s="1" customFormat="1" spans="4:41">
      <c r="D792" s="10"/>
      <c r="E792" s="11"/>
      <c r="F792" s="12"/>
      <c r="G792" s="13"/>
      <c r="H792" s="13"/>
      <c r="L792" s="14"/>
      <c r="M792" s="15"/>
      <c r="N792" s="15"/>
      <c r="O792" s="15"/>
      <c r="P792" s="15"/>
      <c r="Q792" s="12"/>
      <c r="R792" s="12"/>
      <c r="S792" s="12"/>
      <c r="T792" s="12"/>
      <c r="AO792" s="16"/>
    </row>
    <row r="793" s="1" customFormat="1" spans="4:41">
      <c r="D793" s="10"/>
      <c r="E793" s="11"/>
      <c r="F793" s="12"/>
      <c r="G793" s="13"/>
      <c r="H793" s="13"/>
      <c r="L793" s="14"/>
      <c r="M793" s="15"/>
      <c r="N793" s="15"/>
      <c r="O793" s="15"/>
      <c r="P793" s="15"/>
      <c r="Q793" s="12"/>
      <c r="R793" s="12"/>
      <c r="S793" s="12"/>
      <c r="T793" s="12"/>
      <c r="AO793" s="16"/>
    </row>
    <row r="794" s="1" customFormat="1" spans="4:41">
      <c r="D794" s="10"/>
      <c r="E794" s="11"/>
      <c r="F794" s="12"/>
      <c r="G794" s="13"/>
      <c r="H794" s="13"/>
      <c r="L794" s="14"/>
      <c r="M794" s="15"/>
      <c r="N794" s="15"/>
      <c r="O794" s="15"/>
      <c r="P794" s="15"/>
      <c r="Q794" s="12"/>
      <c r="R794" s="12"/>
      <c r="S794" s="12"/>
      <c r="T794" s="12"/>
      <c r="AO794" s="16"/>
    </row>
    <row r="795" s="1" customFormat="1" spans="4:41">
      <c r="D795" s="10"/>
      <c r="E795" s="11"/>
      <c r="F795" s="12"/>
      <c r="G795" s="13"/>
      <c r="H795" s="13"/>
      <c r="L795" s="14"/>
      <c r="M795" s="15"/>
      <c r="N795" s="15"/>
      <c r="O795" s="15"/>
      <c r="P795" s="15"/>
      <c r="Q795" s="12"/>
      <c r="R795" s="12"/>
      <c r="S795" s="12"/>
      <c r="T795" s="12"/>
      <c r="AO795" s="16"/>
    </row>
    <row r="796" s="1" customFormat="1" spans="4:41">
      <c r="D796" s="10"/>
      <c r="E796" s="11"/>
      <c r="F796" s="12"/>
      <c r="G796" s="13"/>
      <c r="H796" s="13"/>
      <c r="L796" s="14"/>
      <c r="M796" s="15"/>
      <c r="N796" s="15"/>
      <c r="O796" s="15"/>
      <c r="P796" s="15"/>
      <c r="Q796" s="12"/>
      <c r="R796" s="12"/>
      <c r="S796" s="12"/>
      <c r="T796" s="12"/>
      <c r="AO796" s="16"/>
    </row>
    <row r="797" s="1" customFormat="1" spans="4:41">
      <c r="D797" s="10"/>
      <c r="E797" s="11"/>
      <c r="F797" s="12"/>
      <c r="G797" s="13"/>
      <c r="H797" s="13"/>
      <c r="L797" s="14"/>
      <c r="M797" s="15"/>
      <c r="N797" s="15"/>
      <c r="O797" s="15"/>
      <c r="P797" s="15"/>
      <c r="Q797" s="12"/>
      <c r="R797" s="12"/>
      <c r="S797" s="12"/>
      <c r="T797" s="12"/>
      <c r="AO797" s="16"/>
    </row>
    <row r="798" s="1" customFormat="1" spans="4:41">
      <c r="D798" s="10"/>
      <c r="E798" s="11"/>
      <c r="F798" s="12"/>
      <c r="G798" s="13"/>
      <c r="H798" s="13"/>
      <c r="L798" s="14"/>
      <c r="M798" s="15"/>
      <c r="N798" s="15"/>
      <c r="O798" s="15"/>
      <c r="P798" s="15"/>
      <c r="Q798" s="12"/>
      <c r="R798" s="12"/>
      <c r="S798" s="12"/>
      <c r="T798" s="12"/>
      <c r="AO798" s="16"/>
    </row>
    <row r="799" s="1" customFormat="1" spans="4:41">
      <c r="D799" s="10"/>
      <c r="E799" s="11"/>
      <c r="F799" s="12"/>
      <c r="G799" s="13"/>
      <c r="H799" s="13"/>
      <c r="L799" s="14"/>
      <c r="M799" s="15"/>
      <c r="N799" s="15"/>
      <c r="O799" s="15"/>
      <c r="P799" s="15"/>
      <c r="Q799" s="12"/>
      <c r="R799" s="12"/>
      <c r="S799" s="12"/>
      <c r="T799" s="12"/>
      <c r="AO799" s="16"/>
    </row>
    <row r="800" s="1" customFormat="1" spans="4:41">
      <c r="D800" s="10"/>
      <c r="E800" s="11"/>
      <c r="F800" s="12"/>
      <c r="G800" s="13"/>
      <c r="H800" s="13"/>
      <c r="L800" s="14"/>
      <c r="M800" s="15"/>
      <c r="N800" s="15"/>
      <c r="O800" s="15"/>
      <c r="P800" s="15"/>
      <c r="Q800" s="12"/>
      <c r="R800" s="12"/>
      <c r="S800" s="12"/>
      <c r="T800" s="12"/>
      <c r="AO800" s="16"/>
    </row>
    <row r="801" s="1" customFormat="1" spans="4:41">
      <c r="D801" s="10"/>
      <c r="E801" s="11"/>
      <c r="F801" s="12"/>
      <c r="G801" s="13"/>
      <c r="H801" s="13"/>
      <c r="L801" s="14"/>
      <c r="M801" s="15"/>
      <c r="N801" s="15"/>
      <c r="O801" s="15"/>
      <c r="P801" s="15"/>
      <c r="Q801" s="12"/>
      <c r="R801" s="12"/>
      <c r="S801" s="12"/>
      <c r="T801" s="12"/>
      <c r="AO801" s="16"/>
    </row>
    <row r="802" s="1" customFormat="1" spans="4:41">
      <c r="D802" s="10"/>
      <c r="E802" s="11"/>
      <c r="F802" s="12"/>
      <c r="G802" s="13"/>
      <c r="H802" s="13"/>
      <c r="L802" s="14"/>
      <c r="M802" s="15"/>
      <c r="N802" s="15"/>
      <c r="O802" s="15"/>
      <c r="P802" s="15"/>
      <c r="Q802" s="12"/>
      <c r="R802" s="12"/>
      <c r="S802" s="12"/>
      <c r="T802" s="12"/>
      <c r="AO802" s="16"/>
    </row>
    <row r="803" s="1" customFormat="1" spans="4:41">
      <c r="D803" s="10"/>
      <c r="E803" s="11"/>
      <c r="F803" s="12"/>
      <c r="G803" s="13"/>
      <c r="H803" s="13"/>
      <c r="L803" s="14"/>
      <c r="M803" s="15"/>
      <c r="N803" s="15"/>
      <c r="O803" s="15"/>
      <c r="P803" s="15"/>
      <c r="Q803" s="12"/>
      <c r="R803" s="12"/>
      <c r="S803" s="12"/>
      <c r="T803" s="12"/>
      <c r="AO803" s="16"/>
    </row>
    <row r="804" s="1" customFormat="1" spans="4:41">
      <c r="D804" s="10"/>
      <c r="E804" s="11"/>
      <c r="F804" s="12"/>
      <c r="G804" s="13"/>
      <c r="H804" s="13"/>
      <c r="L804" s="14"/>
      <c r="M804" s="15"/>
      <c r="N804" s="15"/>
      <c r="O804" s="15"/>
      <c r="P804" s="15"/>
      <c r="Q804" s="12"/>
      <c r="R804" s="12"/>
      <c r="S804" s="12"/>
      <c r="T804" s="12"/>
      <c r="AO804" s="16"/>
    </row>
    <row r="805" s="1" customFormat="1" spans="4:41">
      <c r="D805" s="10"/>
      <c r="E805" s="11"/>
      <c r="F805" s="12"/>
      <c r="G805" s="13"/>
      <c r="H805" s="13"/>
      <c r="L805" s="14"/>
      <c r="M805" s="15"/>
      <c r="N805" s="15"/>
      <c r="O805" s="15"/>
      <c r="P805" s="15"/>
      <c r="Q805" s="12"/>
      <c r="R805" s="12"/>
      <c r="S805" s="12"/>
      <c r="T805" s="12"/>
      <c r="AO805" s="16"/>
    </row>
    <row r="806" s="1" customFormat="1" spans="4:41">
      <c r="D806" s="10"/>
      <c r="E806" s="11"/>
      <c r="F806" s="12"/>
      <c r="G806" s="13"/>
      <c r="H806" s="13"/>
      <c r="L806" s="14"/>
      <c r="M806" s="15"/>
      <c r="N806" s="15"/>
      <c r="O806" s="15"/>
      <c r="P806" s="15"/>
      <c r="Q806" s="12"/>
      <c r="R806" s="12"/>
      <c r="S806" s="12"/>
      <c r="T806" s="12"/>
      <c r="AO806" s="16"/>
    </row>
    <row r="807" s="1" customFormat="1" spans="4:41">
      <c r="D807" s="10"/>
      <c r="E807" s="11"/>
      <c r="F807" s="12"/>
      <c r="G807" s="13"/>
      <c r="H807" s="13"/>
      <c r="L807" s="14"/>
      <c r="M807" s="15"/>
      <c r="N807" s="15"/>
      <c r="O807" s="15"/>
      <c r="P807" s="15"/>
      <c r="Q807" s="12"/>
      <c r="R807" s="12"/>
      <c r="S807" s="12"/>
      <c r="T807" s="12"/>
      <c r="AO807" s="16"/>
    </row>
    <row r="808" s="1" customFormat="1" spans="4:41">
      <c r="D808" s="10"/>
      <c r="E808" s="11"/>
      <c r="F808" s="12"/>
      <c r="G808" s="13"/>
      <c r="H808" s="13"/>
      <c r="L808" s="14"/>
      <c r="M808" s="15"/>
      <c r="N808" s="15"/>
      <c r="O808" s="15"/>
      <c r="P808" s="15"/>
      <c r="Q808" s="12"/>
      <c r="R808" s="12"/>
      <c r="S808" s="12"/>
      <c r="T808" s="12"/>
      <c r="AO808" s="16"/>
    </row>
    <row r="809" s="1" customFormat="1" spans="4:41">
      <c r="D809" s="10"/>
      <c r="E809" s="11"/>
      <c r="F809" s="12"/>
      <c r="G809" s="13"/>
      <c r="H809" s="13"/>
      <c r="L809" s="14"/>
      <c r="M809" s="15"/>
      <c r="N809" s="15"/>
      <c r="O809" s="15"/>
      <c r="P809" s="15"/>
      <c r="Q809" s="12"/>
      <c r="R809" s="12"/>
      <c r="S809" s="12"/>
      <c r="T809" s="12"/>
      <c r="AO809" s="16"/>
    </row>
    <row r="810" s="1" customFormat="1" spans="4:41">
      <c r="D810" s="10"/>
      <c r="E810" s="11"/>
      <c r="F810" s="12"/>
      <c r="G810" s="13"/>
      <c r="H810" s="13"/>
      <c r="L810" s="14"/>
      <c r="M810" s="15"/>
      <c r="N810" s="15"/>
      <c r="O810" s="15"/>
      <c r="P810" s="15"/>
      <c r="Q810" s="12"/>
      <c r="R810" s="12"/>
      <c r="S810" s="12"/>
      <c r="T810" s="12"/>
      <c r="AO810" s="16"/>
    </row>
    <row r="811" s="1" customFormat="1" spans="4:41">
      <c r="D811" s="10"/>
      <c r="E811" s="11"/>
      <c r="F811" s="12"/>
      <c r="G811" s="13"/>
      <c r="H811" s="13"/>
      <c r="L811" s="14"/>
      <c r="M811" s="15"/>
      <c r="N811" s="15"/>
      <c r="O811" s="15"/>
      <c r="P811" s="15"/>
      <c r="Q811" s="12"/>
      <c r="R811" s="12"/>
      <c r="S811" s="12"/>
      <c r="T811" s="12"/>
      <c r="AO811" s="16"/>
    </row>
    <row r="812" s="1" customFormat="1" spans="4:41">
      <c r="D812" s="10"/>
      <c r="E812" s="11"/>
      <c r="F812" s="12"/>
      <c r="G812" s="13"/>
      <c r="H812" s="13"/>
      <c r="L812" s="14"/>
      <c r="M812" s="15"/>
      <c r="N812" s="15"/>
      <c r="O812" s="15"/>
      <c r="P812" s="15"/>
      <c r="Q812" s="12"/>
      <c r="R812" s="12"/>
      <c r="S812" s="12"/>
      <c r="T812" s="12"/>
      <c r="AO812" s="16"/>
    </row>
    <row r="813" s="1" customFormat="1" spans="4:41">
      <c r="D813" s="10"/>
      <c r="E813" s="11"/>
      <c r="F813" s="12"/>
      <c r="G813" s="13"/>
      <c r="H813" s="13"/>
      <c r="L813" s="14"/>
      <c r="M813" s="15"/>
      <c r="N813" s="15"/>
      <c r="O813" s="15"/>
      <c r="P813" s="15"/>
      <c r="Q813" s="12"/>
      <c r="R813" s="12"/>
      <c r="S813" s="12"/>
      <c r="T813" s="12"/>
      <c r="AO813" s="16"/>
    </row>
    <row r="814" s="1" customFormat="1" spans="4:41">
      <c r="D814" s="10"/>
      <c r="E814" s="11"/>
      <c r="F814" s="12"/>
      <c r="G814" s="13"/>
      <c r="H814" s="13"/>
      <c r="L814" s="14"/>
      <c r="M814" s="15"/>
      <c r="N814" s="15"/>
      <c r="O814" s="15"/>
      <c r="P814" s="15"/>
      <c r="Q814" s="12"/>
      <c r="R814" s="12"/>
      <c r="S814" s="12"/>
      <c r="T814" s="12"/>
      <c r="AO814" s="16"/>
    </row>
    <row r="815" s="1" customFormat="1" spans="4:41">
      <c r="D815" s="10"/>
      <c r="E815" s="11"/>
      <c r="F815" s="12"/>
      <c r="G815" s="13"/>
      <c r="H815" s="13"/>
      <c r="L815" s="14"/>
      <c r="M815" s="15"/>
      <c r="N815" s="15"/>
      <c r="O815" s="15"/>
      <c r="P815" s="15"/>
      <c r="Q815" s="12"/>
      <c r="R815" s="12"/>
      <c r="S815" s="12"/>
      <c r="T815" s="12"/>
      <c r="AO815" s="16"/>
    </row>
    <row r="816" s="1" customFormat="1" spans="4:41">
      <c r="D816" s="10"/>
      <c r="E816" s="11"/>
      <c r="F816" s="12"/>
      <c r="G816" s="13"/>
      <c r="H816" s="13"/>
      <c r="L816" s="14"/>
      <c r="M816" s="15"/>
      <c r="N816" s="15"/>
      <c r="O816" s="15"/>
      <c r="P816" s="15"/>
      <c r="Q816" s="12"/>
      <c r="R816" s="12"/>
      <c r="S816" s="12"/>
      <c r="T816" s="12"/>
      <c r="AO816" s="16"/>
    </row>
    <row r="817" s="1" customFormat="1" spans="4:41">
      <c r="D817" s="10"/>
      <c r="E817" s="11"/>
      <c r="F817" s="12"/>
      <c r="G817" s="13"/>
      <c r="H817" s="13"/>
      <c r="L817" s="14"/>
      <c r="M817" s="15"/>
      <c r="N817" s="15"/>
      <c r="O817" s="15"/>
      <c r="P817" s="15"/>
      <c r="Q817" s="12"/>
      <c r="R817" s="12"/>
      <c r="S817" s="12"/>
      <c r="T817" s="12"/>
      <c r="AO817" s="16"/>
    </row>
    <row r="818" s="1" customFormat="1" spans="4:41">
      <c r="D818" s="10"/>
      <c r="E818" s="11"/>
      <c r="F818" s="12"/>
      <c r="G818" s="13"/>
      <c r="H818" s="13"/>
      <c r="L818" s="14"/>
      <c r="M818" s="15"/>
      <c r="N818" s="15"/>
      <c r="O818" s="15"/>
      <c r="P818" s="15"/>
      <c r="Q818" s="12"/>
      <c r="R818" s="12"/>
      <c r="S818" s="12"/>
      <c r="T818" s="12"/>
      <c r="AO818" s="16"/>
    </row>
    <row r="819" s="1" customFormat="1" spans="4:41">
      <c r="D819" s="10"/>
      <c r="E819" s="11"/>
      <c r="F819" s="12"/>
      <c r="G819" s="13"/>
      <c r="H819" s="13"/>
      <c r="L819" s="14"/>
      <c r="M819" s="15"/>
      <c r="N819" s="15"/>
      <c r="O819" s="15"/>
      <c r="P819" s="15"/>
      <c r="Q819" s="12"/>
      <c r="R819" s="12"/>
      <c r="S819" s="12"/>
      <c r="T819" s="12"/>
      <c r="AO819" s="16"/>
    </row>
    <row r="820" s="1" customFormat="1" spans="4:41">
      <c r="D820" s="10"/>
      <c r="E820" s="11"/>
      <c r="F820" s="12"/>
      <c r="G820" s="13"/>
      <c r="H820" s="13"/>
      <c r="L820" s="14"/>
      <c r="M820" s="15"/>
      <c r="N820" s="15"/>
      <c r="O820" s="15"/>
      <c r="P820" s="15"/>
      <c r="Q820" s="12"/>
      <c r="R820" s="12"/>
      <c r="S820" s="12"/>
      <c r="T820" s="12"/>
      <c r="AO820" s="16"/>
    </row>
    <row r="821" s="1" customFormat="1" spans="4:41">
      <c r="D821" s="10"/>
      <c r="E821" s="11"/>
      <c r="F821" s="12"/>
      <c r="G821" s="13"/>
      <c r="H821" s="13"/>
      <c r="L821" s="14"/>
      <c r="M821" s="15"/>
      <c r="N821" s="15"/>
      <c r="O821" s="15"/>
      <c r="P821" s="15"/>
      <c r="Q821" s="12"/>
      <c r="R821" s="12"/>
      <c r="S821" s="12"/>
      <c r="T821" s="12"/>
      <c r="AO821" s="16"/>
    </row>
    <row r="822" s="1" customFormat="1" spans="4:41">
      <c r="D822" s="10"/>
      <c r="E822" s="11"/>
      <c r="F822" s="12"/>
      <c r="G822" s="13"/>
      <c r="H822" s="13"/>
      <c r="L822" s="14"/>
      <c r="M822" s="15"/>
      <c r="N822" s="15"/>
      <c r="O822" s="15"/>
      <c r="P822" s="15"/>
      <c r="Q822" s="12"/>
      <c r="R822" s="12"/>
      <c r="S822" s="12"/>
      <c r="T822" s="12"/>
      <c r="AO822" s="16"/>
    </row>
    <row r="823" s="1" customFormat="1" spans="4:41">
      <c r="D823" s="10"/>
      <c r="E823" s="11"/>
      <c r="F823" s="12"/>
      <c r="G823" s="13"/>
      <c r="H823" s="13"/>
      <c r="L823" s="14"/>
      <c r="M823" s="15"/>
      <c r="N823" s="15"/>
      <c r="O823" s="15"/>
      <c r="P823" s="15"/>
      <c r="Q823" s="12"/>
      <c r="R823" s="12"/>
      <c r="S823" s="12"/>
      <c r="T823" s="12"/>
      <c r="AO823" s="16"/>
    </row>
    <row r="824" s="1" customFormat="1" spans="4:41">
      <c r="D824" s="10"/>
      <c r="E824" s="11"/>
      <c r="F824" s="12"/>
      <c r="G824" s="13"/>
      <c r="H824" s="13"/>
      <c r="L824" s="14"/>
      <c r="M824" s="15"/>
      <c r="N824" s="15"/>
      <c r="O824" s="15"/>
      <c r="P824" s="15"/>
      <c r="Q824" s="12"/>
      <c r="R824" s="12"/>
      <c r="S824" s="12"/>
      <c r="T824" s="12"/>
      <c r="AO824" s="16"/>
    </row>
    <row r="825" s="1" customFormat="1" spans="4:41">
      <c r="D825" s="10"/>
      <c r="E825" s="11"/>
      <c r="F825" s="12"/>
      <c r="G825" s="13"/>
      <c r="H825" s="13"/>
      <c r="L825" s="14"/>
      <c r="M825" s="15"/>
      <c r="N825" s="15"/>
      <c r="O825" s="15"/>
      <c r="P825" s="15"/>
      <c r="Q825" s="12"/>
      <c r="R825" s="12"/>
      <c r="S825" s="12"/>
      <c r="T825" s="12"/>
      <c r="AO825" s="16"/>
    </row>
    <row r="826" s="1" customFormat="1" spans="4:41">
      <c r="D826" s="10"/>
      <c r="E826" s="11"/>
      <c r="F826" s="12"/>
      <c r="G826" s="13"/>
      <c r="H826" s="13"/>
      <c r="L826" s="14"/>
      <c r="M826" s="15"/>
      <c r="N826" s="15"/>
      <c r="O826" s="15"/>
      <c r="P826" s="15"/>
      <c r="Q826" s="12"/>
      <c r="R826" s="12"/>
      <c r="S826" s="12"/>
      <c r="T826" s="12"/>
      <c r="AO826" s="16"/>
    </row>
    <row r="827" s="1" customFormat="1" spans="4:41">
      <c r="D827" s="10"/>
      <c r="E827" s="11"/>
      <c r="F827" s="12"/>
      <c r="G827" s="13"/>
      <c r="H827" s="13"/>
      <c r="L827" s="14"/>
      <c r="M827" s="15"/>
      <c r="N827" s="15"/>
      <c r="O827" s="15"/>
      <c r="P827" s="15"/>
      <c r="Q827" s="12"/>
      <c r="R827" s="12"/>
      <c r="S827" s="12"/>
      <c r="T827" s="12"/>
      <c r="AO827" s="16"/>
    </row>
    <row r="828" s="1" customFormat="1" spans="4:41">
      <c r="D828" s="10"/>
      <c r="E828" s="11"/>
      <c r="F828" s="12"/>
      <c r="G828" s="13"/>
      <c r="H828" s="13"/>
      <c r="L828" s="14"/>
      <c r="M828" s="15"/>
      <c r="N828" s="15"/>
      <c r="O828" s="15"/>
      <c r="P828" s="15"/>
      <c r="Q828" s="12"/>
      <c r="R828" s="12"/>
      <c r="S828" s="12"/>
      <c r="T828" s="12"/>
      <c r="AO828" s="16"/>
    </row>
    <row r="829" s="1" customFormat="1" spans="4:41">
      <c r="D829" s="10"/>
      <c r="E829" s="11"/>
      <c r="F829" s="12"/>
      <c r="G829" s="13"/>
      <c r="H829" s="13"/>
      <c r="L829" s="14"/>
      <c r="M829" s="15"/>
      <c r="N829" s="15"/>
      <c r="O829" s="15"/>
      <c r="P829" s="15"/>
      <c r="Q829" s="12"/>
      <c r="R829" s="12"/>
      <c r="S829" s="12"/>
      <c r="T829" s="12"/>
      <c r="AO829" s="16"/>
    </row>
    <row r="830" s="1" customFormat="1" spans="4:41">
      <c r="D830" s="10"/>
      <c r="E830" s="11"/>
      <c r="F830" s="12"/>
      <c r="G830" s="13"/>
      <c r="H830" s="13"/>
      <c r="L830" s="14"/>
      <c r="M830" s="15"/>
      <c r="N830" s="15"/>
      <c r="O830" s="15"/>
      <c r="P830" s="15"/>
      <c r="Q830" s="12"/>
      <c r="R830" s="12"/>
      <c r="S830" s="12"/>
      <c r="T830" s="12"/>
      <c r="AO830" s="16"/>
    </row>
    <row r="831" s="1" customFormat="1" spans="4:41">
      <c r="D831" s="10"/>
      <c r="E831" s="11"/>
      <c r="F831" s="12"/>
      <c r="G831" s="13"/>
      <c r="H831" s="13"/>
      <c r="L831" s="14"/>
      <c r="M831" s="15"/>
      <c r="N831" s="15"/>
      <c r="O831" s="15"/>
      <c r="P831" s="15"/>
      <c r="Q831" s="12"/>
      <c r="R831" s="12"/>
      <c r="S831" s="12"/>
      <c r="T831" s="12"/>
      <c r="AO831" s="16"/>
    </row>
    <row r="832" s="1" customFormat="1" spans="4:41">
      <c r="D832" s="10"/>
      <c r="E832" s="11"/>
      <c r="F832" s="12"/>
      <c r="G832" s="13"/>
      <c r="H832" s="13"/>
      <c r="L832" s="14"/>
      <c r="M832" s="15"/>
      <c r="N832" s="15"/>
      <c r="O832" s="15"/>
      <c r="P832" s="15"/>
      <c r="Q832" s="12"/>
      <c r="R832" s="12"/>
      <c r="S832" s="12"/>
      <c r="T832" s="12"/>
      <c r="AO832" s="16"/>
    </row>
    <row r="833" s="1" customFormat="1" spans="4:41">
      <c r="D833" s="10"/>
      <c r="E833" s="11"/>
      <c r="F833" s="12"/>
      <c r="G833" s="13"/>
      <c r="H833" s="13"/>
      <c r="L833" s="14"/>
      <c r="M833" s="15"/>
      <c r="N833" s="15"/>
      <c r="O833" s="15"/>
      <c r="P833" s="15"/>
      <c r="Q833" s="12"/>
      <c r="R833" s="12"/>
      <c r="S833" s="12"/>
      <c r="T833" s="12"/>
      <c r="AO833" s="16"/>
    </row>
    <row r="834" s="1" customFormat="1" spans="4:41">
      <c r="D834" s="10"/>
      <c r="E834" s="11"/>
      <c r="F834" s="12"/>
      <c r="G834" s="13"/>
      <c r="H834" s="13"/>
      <c r="L834" s="14"/>
      <c r="M834" s="15"/>
      <c r="N834" s="15"/>
      <c r="O834" s="15"/>
      <c r="P834" s="15"/>
      <c r="Q834" s="12"/>
      <c r="R834" s="12"/>
      <c r="S834" s="12"/>
      <c r="T834" s="12"/>
      <c r="AO834" s="16"/>
    </row>
    <row r="835" s="1" customFormat="1" spans="4:41">
      <c r="D835" s="10"/>
      <c r="E835" s="11"/>
      <c r="F835" s="12"/>
      <c r="G835" s="13"/>
      <c r="H835" s="13"/>
      <c r="L835" s="14"/>
      <c r="M835" s="15"/>
      <c r="N835" s="15"/>
      <c r="O835" s="15"/>
      <c r="P835" s="15"/>
      <c r="Q835" s="12"/>
      <c r="R835" s="12"/>
      <c r="S835" s="12"/>
      <c r="T835" s="12"/>
      <c r="AO835" s="16"/>
    </row>
    <row r="836" s="1" customFormat="1" spans="4:41">
      <c r="D836" s="10"/>
      <c r="E836" s="11"/>
      <c r="F836" s="12"/>
      <c r="G836" s="13"/>
      <c r="H836" s="13"/>
      <c r="L836" s="14"/>
      <c r="M836" s="15"/>
      <c r="N836" s="15"/>
      <c r="O836" s="15"/>
      <c r="P836" s="15"/>
      <c r="Q836" s="12"/>
      <c r="R836" s="12"/>
      <c r="S836" s="12"/>
      <c r="T836" s="12"/>
      <c r="AO836" s="16"/>
    </row>
    <row r="837" s="1" customFormat="1" spans="4:41">
      <c r="D837" s="10"/>
      <c r="E837" s="11"/>
      <c r="F837" s="12"/>
      <c r="G837" s="13"/>
      <c r="H837" s="13"/>
      <c r="L837" s="14"/>
      <c r="M837" s="15"/>
      <c r="N837" s="15"/>
      <c r="O837" s="15"/>
      <c r="P837" s="15"/>
      <c r="Q837" s="12"/>
      <c r="R837" s="12"/>
      <c r="S837" s="12"/>
      <c r="T837" s="12"/>
      <c r="AO837" s="16"/>
    </row>
    <row r="838" s="1" customFormat="1" spans="4:41">
      <c r="D838" s="10"/>
      <c r="E838" s="11"/>
      <c r="F838" s="12"/>
      <c r="G838" s="13"/>
      <c r="H838" s="13"/>
      <c r="L838" s="14"/>
      <c r="M838" s="15"/>
      <c r="N838" s="15"/>
      <c r="O838" s="15"/>
      <c r="P838" s="15"/>
      <c r="Q838" s="12"/>
      <c r="R838" s="12"/>
      <c r="S838" s="12"/>
      <c r="T838" s="12"/>
      <c r="AO838" s="16"/>
    </row>
    <row r="839" s="1" customFormat="1" spans="4:41">
      <c r="D839" s="10"/>
      <c r="E839" s="11"/>
      <c r="F839" s="12"/>
      <c r="G839" s="13"/>
      <c r="H839" s="13"/>
      <c r="L839" s="14"/>
      <c r="M839" s="15"/>
      <c r="N839" s="15"/>
      <c r="O839" s="15"/>
      <c r="P839" s="15"/>
      <c r="Q839" s="12"/>
      <c r="R839" s="12"/>
      <c r="S839" s="12"/>
      <c r="T839" s="12"/>
      <c r="AO839" s="16"/>
    </row>
    <row r="840" s="1" customFormat="1" spans="4:41">
      <c r="D840" s="10"/>
      <c r="E840" s="11"/>
      <c r="F840" s="12"/>
      <c r="G840" s="13"/>
      <c r="H840" s="13"/>
      <c r="L840" s="14"/>
      <c r="M840" s="15"/>
      <c r="N840" s="15"/>
      <c r="O840" s="15"/>
      <c r="P840" s="15"/>
      <c r="Q840" s="12"/>
      <c r="R840" s="12"/>
      <c r="S840" s="12"/>
      <c r="T840" s="12"/>
      <c r="AO840" s="16"/>
    </row>
    <row r="841" s="1" customFormat="1" spans="4:41">
      <c r="D841" s="10"/>
      <c r="E841" s="11"/>
      <c r="F841" s="12"/>
      <c r="G841" s="13"/>
      <c r="H841" s="13"/>
      <c r="L841" s="14"/>
      <c r="M841" s="15"/>
      <c r="N841" s="15"/>
      <c r="O841" s="15"/>
      <c r="P841" s="15"/>
      <c r="Q841" s="12"/>
      <c r="R841" s="12"/>
      <c r="S841" s="12"/>
      <c r="T841" s="12"/>
      <c r="AO841" s="16"/>
    </row>
    <row r="842" s="1" customFormat="1" spans="4:41">
      <c r="D842" s="10"/>
      <c r="E842" s="11"/>
      <c r="F842" s="12"/>
      <c r="G842" s="13"/>
      <c r="H842" s="13"/>
      <c r="L842" s="14"/>
      <c r="M842" s="15"/>
      <c r="N842" s="15"/>
      <c r="O842" s="15"/>
      <c r="P842" s="15"/>
      <c r="Q842" s="12"/>
      <c r="R842" s="12"/>
      <c r="S842" s="12"/>
      <c r="T842" s="12"/>
      <c r="AO842" s="16"/>
    </row>
    <row r="843" s="1" customFormat="1" spans="4:41">
      <c r="D843" s="10"/>
      <c r="E843" s="11"/>
      <c r="F843" s="12"/>
      <c r="G843" s="13"/>
      <c r="H843" s="13"/>
      <c r="L843" s="14"/>
      <c r="M843" s="15"/>
      <c r="N843" s="15"/>
      <c r="O843" s="15"/>
      <c r="P843" s="15"/>
      <c r="Q843" s="12"/>
      <c r="R843" s="12"/>
      <c r="S843" s="12"/>
      <c r="T843" s="12"/>
      <c r="AO843" s="16"/>
    </row>
    <row r="844" s="1" customFormat="1" spans="4:41">
      <c r="D844" s="10"/>
      <c r="E844" s="11"/>
      <c r="F844" s="12"/>
      <c r="G844" s="13"/>
      <c r="H844" s="13"/>
      <c r="L844" s="14"/>
      <c r="M844" s="15"/>
      <c r="N844" s="15"/>
      <c r="O844" s="15"/>
      <c r="P844" s="15"/>
      <c r="Q844" s="12"/>
      <c r="R844" s="12"/>
      <c r="S844" s="12"/>
      <c r="T844" s="12"/>
      <c r="AO844" s="16"/>
    </row>
    <row r="845" s="1" customFormat="1" spans="4:41">
      <c r="D845" s="10"/>
      <c r="E845" s="11"/>
      <c r="F845" s="12"/>
      <c r="G845" s="13"/>
      <c r="H845" s="13"/>
      <c r="L845" s="14"/>
      <c r="M845" s="15"/>
      <c r="N845" s="15"/>
      <c r="O845" s="15"/>
      <c r="P845" s="15"/>
      <c r="Q845" s="12"/>
      <c r="R845" s="12"/>
      <c r="S845" s="12"/>
      <c r="T845" s="12"/>
      <c r="AO845" s="16"/>
    </row>
    <row r="846" s="1" customFormat="1" spans="4:41">
      <c r="D846" s="10"/>
      <c r="E846" s="11"/>
      <c r="F846" s="12"/>
      <c r="G846" s="13"/>
      <c r="H846" s="13"/>
      <c r="L846" s="14"/>
      <c r="M846" s="15"/>
      <c r="N846" s="15"/>
      <c r="O846" s="15"/>
      <c r="P846" s="15"/>
      <c r="Q846" s="12"/>
      <c r="R846" s="12"/>
      <c r="S846" s="12"/>
      <c r="T846" s="12"/>
      <c r="AO846" s="16"/>
    </row>
    <row r="847" s="1" customFormat="1" spans="4:41">
      <c r="D847" s="10"/>
      <c r="E847" s="11"/>
      <c r="F847" s="12"/>
      <c r="G847" s="13"/>
      <c r="H847" s="13"/>
      <c r="L847" s="14"/>
      <c r="M847" s="15"/>
      <c r="N847" s="15"/>
      <c r="O847" s="15"/>
      <c r="P847" s="15"/>
      <c r="Q847" s="12"/>
      <c r="R847" s="12"/>
      <c r="S847" s="12"/>
      <c r="T847" s="12"/>
      <c r="AO847" s="16"/>
    </row>
    <row r="848" s="1" customFormat="1" spans="4:41">
      <c r="D848" s="10"/>
      <c r="E848" s="11"/>
      <c r="F848" s="12"/>
      <c r="G848" s="13"/>
      <c r="H848" s="13"/>
      <c r="L848" s="14"/>
      <c r="M848" s="15"/>
      <c r="N848" s="15"/>
      <c r="O848" s="15"/>
      <c r="P848" s="15"/>
      <c r="Q848" s="12"/>
      <c r="R848" s="12"/>
      <c r="S848" s="12"/>
      <c r="T848" s="12"/>
      <c r="AO848" s="16"/>
    </row>
    <row r="849" s="1" customFormat="1" spans="4:41">
      <c r="D849" s="10"/>
      <c r="E849" s="11"/>
      <c r="F849" s="12"/>
      <c r="G849" s="13"/>
      <c r="H849" s="13"/>
      <c r="L849" s="14"/>
      <c r="M849" s="15"/>
      <c r="N849" s="15"/>
      <c r="O849" s="15"/>
      <c r="P849" s="15"/>
      <c r="Q849" s="12"/>
      <c r="R849" s="12"/>
      <c r="S849" s="12"/>
      <c r="T849" s="12"/>
      <c r="AO849" s="16"/>
    </row>
    <row r="850" s="1" customFormat="1" spans="4:41">
      <c r="D850" s="10"/>
      <c r="E850" s="11"/>
      <c r="F850" s="12"/>
      <c r="G850" s="13"/>
      <c r="H850" s="13"/>
      <c r="L850" s="14"/>
      <c r="M850" s="15"/>
      <c r="N850" s="15"/>
      <c r="O850" s="15"/>
      <c r="P850" s="15"/>
      <c r="Q850" s="12"/>
      <c r="R850" s="12"/>
      <c r="S850" s="12"/>
      <c r="T850" s="12"/>
      <c r="AO850" s="16"/>
    </row>
    <row r="851" s="1" customFormat="1" spans="4:41">
      <c r="D851" s="10"/>
      <c r="E851" s="11"/>
      <c r="F851" s="12"/>
      <c r="G851" s="13"/>
      <c r="H851" s="13"/>
      <c r="L851" s="14"/>
      <c r="M851" s="15"/>
      <c r="N851" s="15"/>
      <c r="O851" s="15"/>
      <c r="P851" s="15"/>
      <c r="Q851" s="12"/>
      <c r="R851" s="12"/>
      <c r="S851" s="12"/>
      <c r="T851" s="12"/>
      <c r="AO851" s="16"/>
    </row>
    <row r="852" s="1" customFormat="1" spans="4:41">
      <c r="D852" s="10"/>
      <c r="E852" s="11"/>
      <c r="F852" s="12"/>
      <c r="G852" s="13"/>
      <c r="H852" s="13"/>
      <c r="L852" s="14"/>
      <c r="M852" s="15"/>
      <c r="N852" s="15"/>
      <c r="O852" s="15"/>
      <c r="P852" s="15"/>
      <c r="Q852" s="12"/>
      <c r="R852" s="12"/>
      <c r="S852" s="12"/>
      <c r="T852" s="12"/>
      <c r="AO852" s="16"/>
    </row>
    <row r="853" s="1" customFormat="1" spans="4:41">
      <c r="D853" s="10"/>
      <c r="E853" s="11"/>
      <c r="F853" s="12"/>
      <c r="G853" s="13"/>
      <c r="H853" s="13"/>
      <c r="L853" s="14"/>
      <c r="M853" s="15"/>
      <c r="N853" s="15"/>
      <c r="O853" s="15"/>
      <c r="P853" s="15"/>
      <c r="Q853" s="12"/>
      <c r="R853" s="12"/>
      <c r="S853" s="12"/>
      <c r="T853" s="12"/>
      <c r="AO853" s="16"/>
    </row>
    <row r="854" s="1" customFormat="1" spans="4:41">
      <c r="D854" s="10"/>
      <c r="E854" s="11"/>
      <c r="F854" s="12"/>
      <c r="G854" s="13"/>
      <c r="H854" s="13"/>
      <c r="L854" s="14"/>
      <c r="M854" s="15"/>
      <c r="N854" s="15"/>
      <c r="O854" s="15"/>
      <c r="P854" s="15"/>
      <c r="Q854" s="12"/>
      <c r="R854" s="12"/>
      <c r="S854" s="12"/>
      <c r="T854" s="12"/>
      <c r="AO854" s="16"/>
    </row>
    <row r="855" s="1" customFormat="1" spans="4:41">
      <c r="D855" s="10"/>
      <c r="E855" s="11"/>
      <c r="F855" s="12"/>
      <c r="G855" s="13"/>
      <c r="H855" s="13"/>
      <c r="L855" s="14"/>
      <c r="M855" s="15"/>
      <c r="N855" s="15"/>
      <c r="O855" s="15"/>
      <c r="P855" s="15"/>
      <c r="Q855" s="12"/>
      <c r="R855" s="12"/>
      <c r="S855" s="12"/>
      <c r="T855" s="12"/>
      <c r="AO855" s="16"/>
    </row>
    <row r="856" s="1" customFormat="1" spans="4:41">
      <c r="D856" s="10"/>
      <c r="E856" s="11"/>
      <c r="F856" s="12"/>
      <c r="G856" s="13"/>
      <c r="H856" s="13"/>
      <c r="L856" s="14"/>
      <c r="M856" s="15"/>
      <c r="N856" s="15"/>
      <c r="O856" s="15"/>
      <c r="P856" s="15"/>
      <c r="Q856" s="12"/>
      <c r="R856" s="12"/>
      <c r="S856" s="12"/>
      <c r="T856" s="12"/>
      <c r="AO856" s="16"/>
    </row>
    <row r="857" s="1" customFormat="1" spans="4:41">
      <c r="D857" s="10"/>
      <c r="E857" s="11"/>
      <c r="F857" s="12"/>
      <c r="G857" s="13"/>
      <c r="H857" s="13"/>
      <c r="L857" s="14"/>
      <c r="M857" s="15"/>
      <c r="N857" s="15"/>
      <c r="O857" s="15"/>
      <c r="P857" s="15"/>
      <c r="Q857" s="12"/>
      <c r="R857" s="12"/>
      <c r="S857" s="12"/>
      <c r="T857" s="12"/>
      <c r="AO857" s="16"/>
    </row>
    <row r="858" s="1" customFormat="1" spans="4:41">
      <c r="D858" s="10"/>
      <c r="E858" s="11"/>
      <c r="F858" s="12"/>
      <c r="G858" s="13"/>
      <c r="H858" s="13"/>
      <c r="L858" s="14"/>
      <c r="M858" s="15"/>
      <c r="N858" s="15"/>
      <c r="O858" s="15"/>
      <c r="P858" s="15"/>
      <c r="Q858" s="12"/>
      <c r="R858" s="12"/>
      <c r="S858" s="12"/>
      <c r="T858" s="12"/>
      <c r="AO858" s="16"/>
    </row>
    <row r="859" s="1" customFormat="1" spans="4:41">
      <c r="D859" s="10"/>
      <c r="E859" s="11"/>
      <c r="F859" s="12"/>
      <c r="G859" s="13"/>
      <c r="H859" s="13"/>
      <c r="L859" s="14"/>
      <c r="M859" s="15"/>
      <c r="N859" s="15"/>
      <c r="O859" s="15"/>
      <c r="P859" s="15"/>
      <c r="Q859" s="12"/>
      <c r="R859" s="12"/>
      <c r="S859" s="12"/>
      <c r="T859" s="12"/>
      <c r="AO859" s="16"/>
    </row>
    <row r="860" s="1" customFormat="1" spans="4:41">
      <c r="D860" s="10"/>
      <c r="E860" s="11"/>
      <c r="F860" s="12"/>
      <c r="G860" s="13"/>
      <c r="H860" s="13"/>
      <c r="L860" s="14"/>
      <c r="M860" s="15"/>
      <c r="N860" s="15"/>
      <c r="O860" s="15"/>
      <c r="P860" s="15"/>
      <c r="Q860" s="12"/>
      <c r="R860" s="12"/>
      <c r="S860" s="12"/>
      <c r="T860" s="12"/>
      <c r="AO860" s="16"/>
    </row>
    <row r="861" s="1" customFormat="1" spans="4:41">
      <c r="D861" s="10"/>
      <c r="E861" s="11"/>
      <c r="F861" s="12"/>
      <c r="G861" s="13"/>
      <c r="H861" s="13"/>
      <c r="L861" s="14"/>
      <c r="M861" s="15"/>
      <c r="N861" s="15"/>
      <c r="O861" s="15"/>
      <c r="P861" s="15"/>
      <c r="Q861" s="12"/>
      <c r="R861" s="12"/>
      <c r="S861" s="12"/>
      <c r="T861" s="12"/>
      <c r="AO861" s="16"/>
    </row>
    <row r="862" s="1" customFormat="1" spans="4:41">
      <c r="D862" s="10"/>
      <c r="E862" s="11"/>
      <c r="F862" s="12"/>
      <c r="G862" s="13"/>
      <c r="H862" s="13"/>
      <c r="L862" s="14"/>
      <c r="M862" s="15"/>
      <c r="N862" s="15"/>
      <c r="O862" s="15"/>
      <c r="P862" s="15"/>
      <c r="Q862" s="12"/>
      <c r="R862" s="12"/>
      <c r="S862" s="12"/>
      <c r="T862" s="12"/>
      <c r="AO862" s="16"/>
    </row>
    <row r="863" s="1" customFormat="1" spans="4:41">
      <c r="D863" s="10"/>
      <c r="E863" s="11"/>
      <c r="F863" s="12"/>
      <c r="G863" s="13"/>
      <c r="H863" s="13"/>
      <c r="L863" s="14"/>
      <c r="M863" s="15"/>
      <c r="N863" s="15"/>
      <c r="O863" s="15"/>
      <c r="P863" s="15"/>
      <c r="Q863" s="12"/>
      <c r="R863" s="12"/>
      <c r="S863" s="12"/>
      <c r="T863" s="12"/>
      <c r="AO863" s="16"/>
    </row>
    <row r="864" s="1" customFormat="1" spans="4:41">
      <c r="D864" s="10"/>
      <c r="E864" s="11"/>
      <c r="F864" s="12"/>
      <c r="G864" s="13"/>
      <c r="H864" s="13"/>
      <c r="L864" s="14"/>
      <c r="M864" s="15"/>
      <c r="N864" s="15"/>
      <c r="O864" s="15"/>
      <c r="P864" s="15"/>
      <c r="Q864" s="12"/>
      <c r="R864" s="12"/>
      <c r="S864" s="12"/>
      <c r="T864" s="12"/>
      <c r="AO864" s="16"/>
    </row>
    <row r="865" s="1" customFormat="1" spans="4:41">
      <c r="D865" s="10"/>
      <c r="E865" s="11"/>
      <c r="F865" s="12"/>
      <c r="G865" s="13"/>
      <c r="H865" s="13"/>
      <c r="L865" s="14"/>
      <c r="M865" s="15"/>
      <c r="N865" s="15"/>
      <c r="O865" s="15"/>
      <c r="P865" s="15"/>
      <c r="Q865" s="12"/>
      <c r="R865" s="12"/>
      <c r="S865" s="12"/>
      <c r="T865" s="12"/>
      <c r="AO865" s="16"/>
    </row>
    <row r="866" s="1" customFormat="1" spans="4:41">
      <c r="D866" s="10"/>
      <c r="E866" s="11"/>
      <c r="F866" s="12"/>
      <c r="G866" s="13"/>
      <c r="H866" s="13"/>
      <c r="L866" s="14"/>
      <c r="M866" s="15"/>
      <c r="N866" s="15"/>
      <c r="O866" s="15"/>
      <c r="P866" s="15"/>
      <c r="Q866" s="12"/>
      <c r="R866" s="12"/>
      <c r="S866" s="12"/>
      <c r="T866" s="12"/>
      <c r="AO866" s="16"/>
    </row>
    <row r="867" s="1" customFormat="1" spans="4:41">
      <c r="D867" s="10"/>
      <c r="E867" s="11"/>
      <c r="F867" s="12"/>
      <c r="G867" s="13"/>
      <c r="H867" s="13"/>
      <c r="L867" s="14"/>
      <c r="M867" s="15"/>
      <c r="N867" s="15"/>
      <c r="O867" s="15"/>
      <c r="P867" s="15"/>
      <c r="Q867" s="12"/>
      <c r="R867" s="12"/>
      <c r="S867" s="12"/>
      <c r="T867" s="12"/>
      <c r="AO867" s="16"/>
    </row>
    <row r="868" s="1" customFormat="1" spans="4:41">
      <c r="D868" s="10"/>
      <c r="E868" s="11"/>
      <c r="F868" s="12"/>
      <c r="G868" s="13"/>
      <c r="H868" s="13"/>
      <c r="L868" s="14"/>
      <c r="M868" s="15"/>
      <c r="N868" s="15"/>
      <c r="O868" s="15"/>
      <c r="P868" s="15"/>
      <c r="Q868" s="12"/>
      <c r="R868" s="12"/>
      <c r="S868" s="12"/>
      <c r="T868" s="12"/>
      <c r="AO868" s="16"/>
    </row>
    <row r="869" s="1" customFormat="1" spans="4:41">
      <c r="D869" s="10"/>
      <c r="E869" s="11"/>
      <c r="F869" s="12"/>
      <c r="G869" s="13"/>
      <c r="H869" s="13"/>
      <c r="L869" s="14"/>
      <c r="M869" s="15"/>
      <c r="N869" s="15"/>
      <c r="O869" s="15"/>
      <c r="P869" s="15"/>
      <c r="Q869" s="12"/>
      <c r="R869" s="12"/>
      <c r="S869" s="12"/>
      <c r="T869" s="12"/>
      <c r="AO869" s="16"/>
    </row>
    <row r="870" s="1" customFormat="1" spans="4:41">
      <c r="D870" s="10"/>
      <c r="E870" s="11"/>
      <c r="F870" s="12"/>
      <c r="G870" s="13"/>
      <c r="H870" s="13"/>
      <c r="L870" s="14"/>
      <c r="M870" s="15"/>
      <c r="N870" s="15"/>
      <c r="O870" s="15"/>
      <c r="P870" s="15"/>
      <c r="Q870" s="12"/>
      <c r="R870" s="12"/>
      <c r="S870" s="12"/>
      <c r="T870" s="12"/>
      <c r="AO870" s="16"/>
    </row>
    <row r="871" s="1" customFormat="1" spans="4:41">
      <c r="D871" s="10"/>
      <c r="E871" s="11"/>
      <c r="F871" s="12"/>
      <c r="G871" s="13"/>
      <c r="H871" s="13"/>
      <c r="L871" s="14"/>
      <c r="M871" s="15"/>
      <c r="N871" s="15"/>
      <c r="O871" s="15"/>
      <c r="P871" s="15"/>
      <c r="Q871" s="12"/>
      <c r="R871" s="12"/>
      <c r="S871" s="12"/>
      <c r="T871" s="12"/>
      <c r="AO871" s="16"/>
    </row>
    <row r="872" s="1" customFormat="1" spans="4:41">
      <c r="D872" s="10"/>
      <c r="E872" s="11"/>
      <c r="F872" s="12"/>
      <c r="G872" s="13"/>
      <c r="H872" s="13"/>
      <c r="L872" s="14"/>
      <c r="M872" s="15"/>
      <c r="N872" s="15"/>
      <c r="O872" s="15"/>
      <c r="P872" s="15"/>
      <c r="Q872" s="12"/>
      <c r="R872" s="12"/>
      <c r="S872" s="12"/>
      <c r="T872" s="12"/>
      <c r="AO872" s="16"/>
    </row>
    <row r="873" s="1" customFormat="1" spans="4:41">
      <c r="D873" s="10"/>
      <c r="E873" s="11"/>
      <c r="F873" s="12"/>
      <c r="G873" s="13"/>
      <c r="H873" s="13"/>
      <c r="L873" s="14"/>
      <c r="M873" s="15"/>
      <c r="N873" s="15"/>
      <c r="O873" s="15"/>
      <c r="P873" s="15"/>
      <c r="Q873" s="12"/>
      <c r="R873" s="12"/>
      <c r="S873" s="12"/>
      <c r="T873" s="12"/>
      <c r="AO873" s="16"/>
    </row>
    <row r="874" s="1" customFormat="1" spans="4:41">
      <c r="D874" s="10"/>
      <c r="E874" s="11"/>
      <c r="F874" s="12"/>
      <c r="G874" s="13"/>
      <c r="H874" s="13"/>
      <c r="L874" s="14"/>
      <c r="M874" s="15"/>
      <c r="N874" s="15"/>
      <c r="O874" s="15"/>
      <c r="P874" s="15"/>
      <c r="Q874" s="12"/>
      <c r="R874" s="12"/>
      <c r="S874" s="12"/>
      <c r="T874" s="12"/>
      <c r="AO874" s="16"/>
    </row>
    <row r="875" s="1" customFormat="1" spans="4:41">
      <c r="D875" s="10"/>
      <c r="E875" s="11"/>
      <c r="F875" s="12"/>
      <c r="G875" s="13"/>
      <c r="H875" s="13"/>
      <c r="L875" s="14"/>
      <c r="M875" s="15"/>
      <c r="N875" s="15"/>
      <c r="O875" s="15"/>
      <c r="P875" s="15"/>
      <c r="Q875" s="12"/>
      <c r="R875" s="12"/>
      <c r="S875" s="12"/>
      <c r="T875" s="12"/>
      <c r="AO875" s="16"/>
    </row>
    <row r="876" s="1" customFormat="1" spans="4:41">
      <c r="D876" s="10"/>
      <c r="E876" s="11"/>
      <c r="F876" s="12"/>
      <c r="G876" s="13"/>
      <c r="H876" s="13"/>
      <c r="L876" s="14"/>
      <c r="M876" s="15"/>
      <c r="N876" s="15"/>
      <c r="O876" s="15"/>
      <c r="P876" s="15"/>
      <c r="Q876" s="12"/>
      <c r="R876" s="12"/>
      <c r="S876" s="12"/>
      <c r="T876" s="12"/>
      <c r="AO876" s="16"/>
    </row>
    <row r="877" s="1" customFormat="1" spans="4:41">
      <c r="D877" s="10"/>
      <c r="E877" s="11"/>
      <c r="F877" s="12"/>
      <c r="G877" s="13"/>
      <c r="H877" s="13"/>
      <c r="L877" s="14"/>
      <c r="M877" s="15"/>
      <c r="N877" s="15"/>
      <c r="O877" s="15"/>
      <c r="P877" s="15"/>
      <c r="Q877" s="12"/>
      <c r="R877" s="12"/>
      <c r="S877" s="12"/>
      <c r="T877" s="12"/>
      <c r="AO877" s="16"/>
    </row>
    <row r="878" s="1" customFormat="1" spans="4:41">
      <c r="D878" s="10"/>
      <c r="E878" s="11"/>
      <c r="F878" s="12"/>
      <c r="G878" s="13"/>
      <c r="H878" s="13"/>
      <c r="L878" s="14"/>
      <c r="M878" s="15"/>
      <c r="N878" s="15"/>
      <c r="O878" s="15"/>
      <c r="P878" s="15"/>
      <c r="Q878" s="12"/>
      <c r="R878" s="12"/>
      <c r="S878" s="12"/>
      <c r="T878" s="12"/>
      <c r="AO878" s="16"/>
    </row>
    <row r="879" s="1" customFormat="1" spans="4:41">
      <c r="D879" s="10"/>
      <c r="E879" s="11"/>
      <c r="F879" s="12"/>
      <c r="G879" s="13"/>
      <c r="H879" s="13"/>
      <c r="L879" s="14"/>
      <c r="M879" s="15"/>
      <c r="N879" s="15"/>
      <c r="O879" s="15"/>
      <c r="P879" s="15"/>
      <c r="Q879" s="12"/>
      <c r="R879" s="12"/>
      <c r="S879" s="12"/>
      <c r="T879" s="12"/>
      <c r="AO879" s="16"/>
    </row>
    <row r="880" s="1" customFormat="1" spans="4:41">
      <c r="D880" s="10"/>
      <c r="E880" s="11"/>
      <c r="F880" s="12"/>
      <c r="G880" s="13"/>
      <c r="H880" s="13"/>
      <c r="L880" s="14"/>
      <c r="M880" s="15"/>
      <c r="N880" s="15"/>
      <c r="O880" s="15"/>
      <c r="P880" s="15"/>
      <c r="Q880" s="12"/>
      <c r="R880" s="12"/>
      <c r="S880" s="12"/>
      <c r="T880" s="12"/>
      <c r="AO880" s="16"/>
    </row>
    <row r="881" s="1" customFormat="1" spans="4:41">
      <c r="D881" s="10"/>
      <c r="E881" s="11"/>
      <c r="F881" s="12"/>
      <c r="G881" s="13"/>
      <c r="H881" s="13"/>
      <c r="L881" s="14"/>
      <c r="M881" s="15"/>
      <c r="N881" s="15"/>
      <c r="O881" s="15"/>
      <c r="P881" s="15"/>
      <c r="Q881" s="12"/>
      <c r="R881" s="12"/>
      <c r="S881" s="12"/>
      <c r="T881" s="12"/>
      <c r="AO881" s="16"/>
    </row>
    <row r="882" s="1" customFormat="1" spans="4:41">
      <c r="D882" s="10"/>
      <c r="E882" s="11"/>
      <c r="F882" s="12"/>
      <c r="G882" s="13"/>
      <c r="H882" s="13"/>
      <c r="L882" s="14"/>
      <c r="M882" s="15"/>
      <c r="N882" s="15"/>
      <c r="O882" s="15"/>
      <c r="P882" s="15"/>
      <c r="Q882" s="12"/>
      <c r="R882" s="12"/>
      <c r="S882" s="12"/>
      <c r="T882" s="12"/>
      <c r="AO882" s="16"/>
    </row>
    <row r="883" s="1" customFormat="1" spans="4:41">
      <c r="D883" s="10"/>
      <c r="E883" s="11"/>
      <c r="F883" s="12"/>
      <c r="G883" s="13"/>
      <c r="H883" s="13"/>
      <c r="L883" s="14"/>
      <c r="M883" s="15"/>
      <c r="N883" s="15"/>
      <c r="O883" s="15"/>
      <c r="P883" s="15"/>
      <c r="Q883" s="12"/>
      <c r="R883" s="12"/>
      <c r="S883" s="12"/>
      <c r="T883" s="12"/>
      <c r="AO883" s="16"/>
    </row>
    <row r="884" s="1" customFormat="1" spans="4:41">
      <c r="D884" s="10"/>
      <c r="E884" s="11"/>
      <c r="F884" s="12"/>
      <c r="G884" s="13"/>
      <c r="H884" s="13"/>
      <c r="L884" s="14"/>
      <c r="M884" s="15"/>
      <c r="N884" s="15"/>
      <c r="O884" s="15"/>
      <c r="P884" s="15"/>
      <c r="Q884" s="12"/>
      <c r="R884" s="12"/>
      <c r="S884" s="12"/>
      <c r="T884" s="12"/>
      <c r="AO884" s="16"/>
    </row>
    <row r="885" s="1" customFormat="1" spans="4:41">
      <c r="D885" s="10"/>
      <c r="E885" s="11"/>
      <c r="F885" s="12"/>
      <c r="G885" s="13"/>
      <c r="H885" s="13"/>
      <c r="L885" s="14"/>
      <c r="M885" s="15"/>
      <c r="N885" s="15"/>
      <c r="O885" s="15"/>
      <c r="P885" s="15"/>
      <c r="Q885" s="12"/>
      <c r="R885" s="12"/>
      <c r="S885" s="12"/>
      <c r="T885" s="12"/>
      <c r="AO885" s="16"/>
    </row>
    <row r="886" s="1" customFormat="1" spans="4:41">
      <c r="D886" s="10"/>
      <c r="E886" s="11"/>
      <c r="F886" s="12"/>
      <c r="G886" s="13"/>
      <c r="H886" s="13"/>
      <c r="L886" s="14"/>
      <c r="M886" s="15"/>
      <c r="N886" s="15"/>
      <c r="O886" s="15"/>
      <c r="P886" s="15"/>
      <c r="Q886" s="12"/>
      <c r="R886" s="12"/>
      <c r="S886" s="12"/>
      <c r="T886" s="12"/>
      <c r="AO886" s="16"/>
    </row>
    <row r="887" s="1" customFormat="1" spans="4:41">
      <c r="D887" s="10"/>
      <c r="E887" s="11"/>
      <c r="F887" s="12"/>
      <c r="G887" s="13"/>
      <c r="H887" s="13"/>
      <c r="L887" s="14"/>
      <c r="M887" s="15"/>
      <c r="N887" s="15"/>
      <c r="O887" s="15"/>
      <c r="P887" s="15"/>
      <c r="Q887" s="12"/>
      <c r="R887" s="12"/>
      <c r="S887" s="12"/>
      <c r="T887" s="12"/>
      <c r="AO887" s="16"/>
    </row>
    <row r="888" s="1" customFormat="1" spans="4:41">
      <c r="D888" s="10"/>
      <c r="E888" s="11"/>
      <c r="F888" s="12"/>
      <c r="G888" s="13"/>
      <c r="H888" s="13"/>
      <c r="L888" s="14"/>
      <c r="M888" s="15"/>
      <c r="N888" s="15"/>
      <c r="O888" s="15"/>
      <c r="P888" s="15"/>
      <c r="Q888" s="12"/>
      <c r="R888" s="12"/>
      <c r="S888" s="12"/>
      <c r="T888" s="12"/>
      <c r="AO888" s="16"/>
    </row>
    <row r="889" s="1" customFormat="1" spans="4:41">
      <c r="D889" s="10"/>
      <c r="E889" s="11"/>
      <c r="F889" s="12"/>
      <c r="G889" s="13"/>
      <c r="H889" s="13"/>
      <c r="L889" s="14"/>
      <c r="M889" s="15"/>
      <c r="N889" s="15"/>
      <c r="O889" s="15"/>
      <c r="P889" s="15"/>
      <c r="Q889" s="12"/>
      <c r="R889" s="12"/>
      <c r="S889" s="12"/>
      <c r="T889" s="12"/>
      <c r="AO889" s="16"/>
    </row>
    <row r="890" s="1" customFormat="1" spans="4:41">
      <c r="D890" s="10"/>
      <c r="E890" s="11"/>
      <c r="F890" s="12"/>
      <c r="G890" s="13"/>
      <c r="H890" s="13"/>
      <c r="L890" s="14"/>
      <c r="M890" s="15"/>
      <c r="N890" s="15"/>
      <c r="O890" s="15"/>
      <c r="P890" s="15"/>
      <c r="Q890" s="12"/>
      <c r="R890" s="12"/>
      <c r="S890" s="12"/>
      <c r="T890" s="12"/>
      <c r="AO890" s="16"/>
    </row>
    <row r="891" s="1" customFormat="1" spans="4:41">
      <c r="D891" s="10"/>
      <c r="E891" s="11"/>
      <c r="F891" s="12"/>
      <c r="G891" s="13"/>
      <c r="H891" s="13"/>
      <c r="L891" s="14"/>
      <c r="M891" s="15"/>
      <c r="N891" s="15"/>
      <c r="O891" s="15"/>
      <c r="P891" s="15"/>
      <c r="Q891" s="12"/>
      <c r="R891" s="12"/>
      <c r="S891" s="12"/>
      <c r="T891" s="12"/>
      <c r="AO891" s="16"/>
    </row>
    <row r="892" s="1" customFormat="1" spans="4:41">
      <c r="D892" s="10"/>
      <c r="E892" s="11"/>
      <c r="F892" s="12"/>
      <c r="G892" s="13"/>
      <c r="H892" s="13"/>
      <c r="L892" s="14"/>
      <c r="M892" s="15"/>
      <c r="N892" s="15"/>
      <c r="O892" s="15"/>
      <c r="P892" s="15"/>
      <c r="Q892" s="12"/>
      <c r="R892" s="12"/>
      <c r="S892" s="12"/>
      <c r="T892" s="12"/>
      <c r="AO892" s="16"/>
    </row>
    <row r="893" s="1" customFormat="1" spans="4:41">
      <c r="D893" s="10"/>
      <c r="E893" s="11"/>
      <c r="F893" s="12"/>
      <c r="G893" s="13"/>
      <c r="H893" s="13"/>
      <c r="L893" s="14"/>
      <c r="M893" s="15"/>
      <c r="N893" s="15"/>
      <c r="O893" s="15"/>
      <c r="P893" s="15"/>
      <c r="Q893" s="12"/>
      <c r="R893" s="12"/>
      <c r="S893" s="12"/>
      <c r="T893" s="12"/>
      <c r="AO893" s="16"/>
    </row>
    <row r="894" s="1" customFormat="1" spans="4:41">
      <c r="D894" s="10"/>
      <c r="E894" s="11"/>
      <c r="F894" s="12"/>
      <c r="G894" s="13"/>
      <c r="H894" s="13"/>
      <c r="L894" s="14"/>
      <c r="M894" s="15"/>
      <c r="N894" s="15"/>
      <c r="O894" s="15"/>
      <c r="P894" s="15"/>
      <c r="Q894" s="12"/>
      <c r="R894" s="12"/>
      <c r="S894" s="12"/>
      <c r="T894" s="12"/>
      <c r="AO894" s="16"/>
    </row>
    <row r="895" s="1" customFormat="1" spans="4:41">
      <c r="D895" s="10"/>
      <c r="E895" s="11"/>
      <c r="F895" s="12"/>
      <c r="G895" s="13"/>
      <c r="H895" s="13"/>
      <c r="L895" s="14"/>
      <c r="M895" s="15"/>
      <c r="N895" s="15"/>
      <c r="O895" s="15"/>
      <c r="P895" s="15"/>
      <c r="Q895" s="12"/>
      <c r="R895" s="12"/>
      <c r="S895" s="12"/>
      <c r="T895" s="12"/>
      <c r="AO895" s="16"/>
    </row>
    <row r="896" s="1" customFormat="1" spans="4:41">
      <c r="D896" s="10"/>
      <c r="E896" s="11"/>
      <c r="F896" s="12"/>
      <c r="G896" s="13"/>
      <c r="H896" s="13"/>
      <c r="L896" s="14"/>
      <c r="M896" s="15"/>
      <c r="N896" s="15"/>
      <c r="O896" s="15"/>
      <c r="P896" s="15"/>
      <c r="Q896" s="12"/>
      <c r="R896" s="12"/>
      <c r="S896" s="12"/>
      <c r="T896" s="12"/>
      <c r="AO896" s="16"/>
    </row>
    <row r="897" s="1" customFormat="1" spans="4:41">
      <c r="D897" s="10"/>
      <c r="E897" s="11"/>
      <c r="F897" s="12"/>
      <c r="G897" s="13"/>
      <c r="H897" s="13"/>
      <c r="L897" s="14"/>
      <c r="M897" s="15"/>
      <c r="N897" s="15"/>
      <c r="O897" s="15"/>
      <c r="P897" s="15"/>
      <c r="Q897" s="12"/>
      <c r="R897" s="12"/>
      <c r="S897" s="12"/>
      <c r="T897" s="12"/>
      <c r="AO897" s="16"/>
    </row>
    <row r="898" s="1" customFormat="1" spans="4:41">
      <c r="D898" s="10"/>
      <c r="E898" s="11"/>
      <c r="F898" s="12"/>
      <c r="G898" s="13"/>
      <c r="H898" s="13"/>
      <c r="L898" s="14"/>
      <c r="M898" s="15"/>
      <c r="N898" s="15"/>
      <c r="O898" s="15"/>
      <c r="P898" s="15"/>
      <c r="Q898" s="12"/>
      <c r="R898" s="12"/>
      <c r="S898" s="12"/>
      <c r="T898" s="12"/>
      <c r="AO898" s="16"/>
    </row>
    <row r="899" s="1" customFormat="1" spans="4:41">
      <c r="D899" s="10"/>
      <c r="E899" s="11"/>
      <c r="F899" s="12"/>
      <c r="G899" s="13"/>
      <c r="H899" s="13"/>
      <c r="L899" s="14"/>
      <c r="M899" s="15"/>
      <c r="N899" s="15"/>
      <c r="O899" s="15"/>
      <c r="P899" s="15"/>
      <c r="Q899" s="12"/>
      <c r="R899" s="12"/>
      <c r="S899" s="12"/>
      <c r="T899" s="12"/>
      <c r="AO899" s="16"/>
    </row>
    <row r="900" s="1" customFormat="1" spans="4:41">
      <c r="D900" s="10"/>
      <c r="E900" s="11"/>
      <c r="F900" s="12"/>
      <c r="G900" s="13"/>
      <c r="H900" s="13"/>
      <c r="L900" s="14"/>
      <c r="M900" s="15"/>
      <c r="N900" s="15"/>
      <c r="O900" s="15"/>
      <c r="P900" s="15"/>
      <c r="Q900" s="12"/>
      <c r="R900" s="12"/>
      <c r="S900" s="12"/>
      <c r="T900" s="12"/>
      <c r="AO900" s="16"/>
    </row>
    <row r="901" s="1" customFormat="1" spans="4:41">
      <c r="D901" s="10"/>
      <c r="E901" s="11"/>
      <c r="F901" s="12"/>
      <c r="G901" s="13"/>
      <c r="H901" s="13"/>
      <c r="L901" s="14"/>
      <c r="M901" s="15"/>
      <c r="N901" s="15"/>
      <c r="O901" s="15"/>
      <c r="P901" s="15"/>
      <c r="Q901" s="12"/>
      <c r="R901" s="12"/>
      <c r="S901" s="12"/>
      <c r="T901" s="12"/>
      <c r="AO901" s="16"/>
    </row>
    <row r="902" s="1" customFormat="1" spans="4:41">
      <c r="D902" s="10"/>
      <c r="E902" s="11"/>
      <c r="F902" s="12"/>
      <c r="G902" s="13"/>
      <c r="H902" s="13"/>
      <c r="L902" s="14"/>
      <c r="M902" s="15"/>
      <c r="N902" s="15"/>
      <c r="O902" s="15"/>
      <c r="P902" s="15"/>
      <c r="Q902" s="12"/>
      <c r="R902" s="12"/>
      <c r="S902" s="12"/>
      <c r="T902" s="12"/>
      <c r="AO902" s="16"/>
    </row>
    <row r="903" s="1" customFormat="1" spans="4:41">
      <c r="D903" s="10"/>
      <c r="E903" s="11"/>
      <c r="F903" s="12"/>
      <c r="G903" s="13"/>
      <c r="H903" s="13"/>
      <c r="L903" s="14"/>
      <c r="M903" s="15"/>
      <c r="N903" s="15"/>
      <c r="O903" s="15"/>
      <c r="P903" s="15"/>
      <c r="Q903" s="12"/>
      <c r="R903" s="12"/>
      <c r="S903" s="12"/>
      <c r="T903" s="12"/>
      <c r="AO903" s="16"/>
    </row>
    <row r="904" s="1" customFormat="1" spans="4:41">
      <c r="D904" s="10"/>
      <c r="E904" s="11"/>
      <c r="F904" s="12"/>
      <c r="G904" s="13"/>
      <c r="H904" s="13"/>
      <c r="L904" s="14"/>
      <c r="M904" s="15"/>
      <c r="N904" s="15"/>
      <c r="O904" s="15"/>
      <c r="P904" s="15"/>
      <c r="Q904" s="12"/>
      <c r="R904" s="12"/>
      <c r="S904" s="12"/>
      <c r="T904" s="12"/>
      <c r="AO904" s="16"/>
    </row>
    <row r="905" s="1" customFormat="1" spans="4:41">
      <c r="D905" s="10"/>
      <c r="E905" s="11"/>
      <c r="F905" s="12"/>
      <c r="G905" s="13"/>
      <c r="H905" s="13"/>
      <c r="L905" s="14"/>
      <c r="M905" s="15"/>
      <c r="N905" s="15"/>
      <c r="O905" s="15"/>
      <c r="P905" s="15"/>
      <c r="Q905" s="12"/>
      <c r="R905" s="12"/>
      <c r="S905" s="12"/>
      <c r="T905" s="12"/>
      <c r="AO905" s="16"/>
    </row>
    <row r="906" s="1" customFormat="1" spans="4:41">
      <c r="D906" s="10"/>
      <c r="E906" s="11"/>
      <c r="F906" s="12"/>
      <c r="G906" s="13"/>
      <c r="H906" s="13"/>
      <c r="L906" s="14"/>
      <c r="M906" s="15"/>
      <c r="N906" s="15"/>
      <c r="O906" s="15"/>
      <c r="P906" s="15"/>
      <c r="Q906" s="12"/>
      <c r="R906" s="12"/>
      <c r="S906" s="12"/>
      <c r="T906" s="12"/>
      <c r="AO906" s="16"/>
    </row>
    <row r="907" s="1" customFormat="1" spans="4:41">
      <c r="D907" s="10"/>
      <c r="E907" s="11"/>
      <c r="F907" s="12"/>
      <c r="G907" s="13"/>
      <c r="H907" s="13"/>
      <c r="L907" s="14"/>
      <c r="M907" s="15"/>
      <c r="N907" s="15"/>
      <c r="O907" s="15"/>
      <c r="P907" s="15"/>
      <c r="Q907" s="12"/>
      <c r="R907" s="12"/>
      <c r="S907" s="12"/>
      <c r="T907" s="12"/>
      <c r="AO907" s="16"/>
    </row>
    <row r="908" s="1" customFormat="1" spans="4:41">
      <c r="D908" s="10"/>
      <c r="E908" s="11"/>
      <c r="F908" s="12"/>
      <c r="G908" s="13"/>
      <c r="H908" s="13"/>
      <c r="L908" s="14"/>
      <c r="M908" s="15"/>
      <c r="N908" s="15"/>
      <c r="O908" s="15"/>
      <c r="P908" s="15"/>
      <c r="Q908" s="12"/>
      <c r="R908" s="12"/>
      <c r="S908" s="12"/>
      <c r="T908" s="12"/>
      <c r="AO908" s="16"/>
    </row>
    <row r="909" s="1" customFormat="1" spans="4:41">
      <c r="D909" s="10"/>
      <c r="E909" s="11"/>
      <c r="F909" s="12"/>
      <c r="G909" s="13"/>
      <c r="H909" s="13"/>
      <c r="L909" s="14"/>
      <c r="M909" s="15"/>
      <c r="N909" s="15"/>
      <c r="O909" s="15"/>
      <c r="P909" s="15"/>
      <c r="Q909" s="12"/>
      <c r="R909" s="12"/>
      <c r="S909" s="12"/>
      <c r="T909" s="12"/>
      <c r="AO909" s="16"/>
    </row>
    <row r="910" s="1" customFormat="1" spans="4:41">
      <c r="D910" s="10"/>
      <c r="E910" s="11"/>
      <c r="F910" s="12"/>
      <c r="G910" s="13"/>
      <c r="H910" s="13"/>
      <c r="L910" s="14"/>
      <c r="M910" s="15"/>
      <c r="N910" s="15"/>
      <c r="O910" s="15"/>
      <c r="P910" s="15"/>
      <c r="Q910" s="12"/>
      <c r="R910" s="12"/>
      <c r="S910" s="12"/>
      <c r="T910" s="12"/>
      <c r="AO910" s="16"/>
    </row>
    <row r="911" s="1" customFormat="1" spans="4:41">
      <c r="D911" s="10"/>
      <c r="E911" s="11"/>
      <c r="F911" s="12"/>
      <c r="G911" s="13"/>
      <c r="H911" s="13"/>
      <c r="L911" s="14"/>
      <c r="M911" s="15"/>
      <c r="N911" s="15"/>
      <c r="O911" s="15"/>
      <c r="P911" s="15"/>
      <c r="Q911" s="12"/>
      <c r="R911" s="12"/>
      <c r="S911" s="12"/>
      <c r="T911" s="12"/>
      <c r="AO911" s="16"/>
    </row>
    <row r="912" s="1" customFormat="1" spans="4:41">
      <c r="D912" s="10"/>
      <c r="E912" s="11"/>
      <c r="F912" s="12"/>
      <c r="G912" s="13"/>
      <c r="H912" s="13"/>
      <c r="L912" s="14"/>
      <c r="M912" s="15"/>
      <c r="N912" s="15"/>
      <c r="O912" s="15"/>
      <c r="P912" s="15"/>
      <c r="Q912" s="12"/>
      <c r="R912" s="12"/>
      <c r="S912" s="12"/>
      <c r="T912" s="12"/>
      <c r="AO912" s="16"/>
    </row>
    <row r="913" s="1" customFormat="1" spans="4:41">
      <c r="D913" s="10"/>
      <c r="E913" s="11"/>
      <c r="F913" s="12"/>
      <c r="G913" s="13"/>
      <c r="H913" s="13"/>
      <c r="L913" s="14"/>
      <c r="M913" s="15"/>
      <c r="N913" s="15"/>
      <c r="O913" s="15"/>
      <c r="P913" s="15"/>
      <c r="Q913" s="12"/>
      <c r="R913" s="12"/>
      <c r="S913" s="12"/>
      <c r="T913" s="12"/>
      <c r="AO913" s="16"/>
    </row>
    <row r="914" s="1" customFormat="1" spans="4:41">
      <c r="D914" s="10"/>
      <c r="E914" s="11"/>
      <c r="F914" s="12"/>
      <c r="G914" s="13"/>
      <c r="H914" s="13"/>
      <c r="L914" s="14"/>
      <c r="M914" s="15"/>
      <c r="N914" s="15"/>
      <c r="O914" s="15"/>
      <c r="P914" s="15"/>
      <c r="Q914" s="12"/>
      <c r="R914" s="12"/>
      <c r="S914" s="12"/>
      <c r="T914" s="12"/>
      <c r="AO914" s="16"/>
    </row>
    <row r="915" s="1" customFormat="1" spans="4:41">
      <c r="D915" s="10"/>
      <c r="E915" s="11"/>
      <c r="F915" s="12"/>
      <c r="G915" s="13"/>
      <c r="H915" s="13"/>
      <c r="L915" s="14"/>
      <c r="M915" s="15"/>
      <c r="N915" s="15"/>
      <c r="O915" s="15"/>
      <c r="P915" s="15"/>
      <c r="Q915" s="12"/>
      <c r="R915" s="12"/>
      <c r="S915" s="12"/>
      <c r="T915" s="12"/>
      <c r="AO915" s="16"/>
    </row>
    <row r="916" s="1" customFormat="1" spans="4:41">
      <c r="D916" s="10"/>
      <c r="E916" s="11"/>
      <c r="F916" s="12"/>
      <c r="G916" s="13"/>
      <c r="H916" s="13"/>
      <c r="L916" s="14"/>
      <c r="M916" s="15"/>
      <c r="N916" s="15"/>
      <c r="O916" s="15"/>
      <c r="P916" s="15"/>
      <c r="Q916" s="12"/>
      <c r="R916" s="12"/>
      <c r="S916" s="12"/>
      <c r="T916" s="12"/>
      <c r="AO916" s="16"/>
    </row>
    <row r="917" s="1" customFormat="1" spans="4:41">
      <c r="D917" s="10"/>
      <c r="E917" s="11"/>
      <c r="F917" s="12"/>
      <c r="G917" s="13"/>
      <c r="H917" s="13"/>
      <c r="L917" s="14"/>
      <c r="M917" s="15"/>
      <c r="N917" s="15"/>
      <c r="O917" s="15"/>
      <c r="P917" s="15"/>
      <c r="Q917" s="12"/>
      <c r="R917" s="12"/>
      <c r="S917" s="12"/>
      <c r="T917" s="12"/>
      <c r="AO917" s="16"/>
    </row>
    <row r="918" s="1" customFormat="1" spans="4:41">
      <c r="D918" s="10"/>
      <c r="E918" s="11"/>
      <c r="F918" s="12"/>
      <c r="G918" s="13"/>
      <c r="H918" s="13"/>
      <c r="L918" s="14"/>
      <c r="M918" s="15"/>
      <c r="N918" s="15"/>
      <c r="O918" s="15"/>
      <c r="P918" s="15"/>
      <c r="Q918" s="12"/>
      <c r="R918" s="12"/>
      <c r="S918" s="12"/>
      <c r="T918" s="12"/>
      <c r="AO918" s="16"/>
    </row>
    <row r="919" s="1" customFormat="1" spans="4:41">
      <c r="D919" s="10"/>
      <c r="E919" s="11"/>
      <c r="F919" s="12"/>
      <c r="G919" s="13"/>
      <c r="H919" s="13"/>
      <c r="L919" s="14"/>
      <c r="M919" s="15"/>
      <c r="N919" s="15"/>
      <c r="O919" s="15"/>
      <c r="P919" s="15"/>
      <c r="Q919" s="12"/>
      <c r="R919" s="12"/>
      <c r="S919" s="12"/>
      <c r="T919" s="12"/>
      <c r="AO919" s="16"/>
    </row>
    <row r="920" s="1" customFormat="1" spans="4:41">
      <c r="D920" s="10"/>
      <c r="E920" s="11"/>
      <c r="F920" s="12"/>
      <c r="G920" s="13"/>
      <c r="H920" s="13"/>
      <c r="L920" s="14"/>
      <c r="M920" s="15"/>
      <c r="N920" s="15"/>
      <c r="O920" s="15"/>
      <c r="P920" s="15"/>
      <c r="Q920" s="12"/>
      <c r="R920" s="12"/>
      <c r="S920" s="12"/>
      <c r="T920" s="12"/>
      <c r="AO920" s="16"/>
    </row>
    <row r="921" s="1" customFormat="1" spans="4:41">
      <c r="D921" s="10"/>
      <c r="E921" s="11"/>
      <c r="F921" s="12"/>
      <c r="G921" s="13"/>
      <c r="H921" s="13"/>
      <c r="L921" s="14"/>
      <c r="M921" s="15"/>
      <c r="N921" s="15"/>
      <c r="O921" s="15"/>
      <c r="P921" s="15"/>
      <c r="Q921" s="12"/>
      <c r="R921" s="12"/>
      <c r="S921" s="12"/>
      <c r="T921" s="12"/>
      <c r="AO921" s="16"/>
    </row>
    <row r="922" s="1" customFormat="1" spans="4:41">
      <c r="D922" s="10"/>
      <c r="E922" s="11"/>
      <c r="F922" s="12"/>
      <c r="G922" s="13"/>
      <c r="H922" s="13"/>
      <c r="L922" s="14"/>
      <c r="M922" s="15"/>
      <c r="N922" s="15"/>
      <c r="O922" s="15"/>
      <c r="P922" s="15"/>
      <c r="Q922" s="12"/>
      <c r="R922" s="12"/>
      <c r="S922" s="12"/>
      <c r="T922" s="12"/>
      <c r="AO922" s="16"/>
    </row>
    <row r="923" s="1" customFormat="1" spans="4:41">
      <c r="D923" s="10"/>
      <c r="E923" s="11"/>
      <c r="F923" s="12"/>
      <c r="G923" s="13"/>
      <c r="H923" s="13"/>
      <c r="L923" s="14"/>
      <c r="M923" s="15"/>
      <c r="N923" s="15"/>
      <c r="O923" s="15"/>
      <c r="P923" s="15"/>
      <c r="Q923" s="12"/>
      <c r="R923" s="12"/>
      <c r="S923" s="12"/>
      <c r="T923" s="12"/>
      <c r="AO923" s="16"/>
    </row>
    <row r="924" s="1" customFormat="1" spans="4:41">
      <c r="D924" s="10"/>
      <c r="E924" s="11"/>
      <c r="F924" s="12"/>
      <c r="G924" s="13"/>
      <c r="H924" s="13"/>
      <c r="L924" s="14"/>
      <c r="M924" s="15"/>
      <c r="N924" s="15"/>
      <c r="O924" s="15"/>
      <c r="P924" s="15"/>
      <c r="Q924" s="12"/>
      <c r="R924" s="12"/>
      <c r="S924" s="12"/>
      <c r="T924" s="12"/>
      <c r="AO924" s="16"/>
    </row>
    <row r="925" s="1" customFormat="1" spans="4:41">
      <c r="D925" s="10"/>
      <c r="E925" s="11"/>
      <c r="F925" s="12"/>
      <c r="G925" s="13"/>
      <c r="H925" s="13"/>
      <c r="L925" s="14"/>
      <c r="M925" s="15"/>
      <c r="N925" s="15"/>
      <c r="O925" s="15"/>
      <c r="P925" s="15"/>
      <c r="Q925" s="12"/>
      <c r="R925" s="12"/>
      <c r="S925" s="12"/>
      <c r="T925" s="12"/>
      <c r="AO925" s="16"/>
    </row>
    <row r="926" s="1" customFormat="1" spans="4:41">
      <c r="D926" s="10"/>
      <c r="E926" s="11"/>
      <c r="F926" s="12"/>
      <c r="G926" s="13"/>
      <c r="H926" s="13"/>
      <c r="L926" s="14"/>
      <c r="M926" s="15"/>
      <c r="N926" s="15"/>
      <c r="O926" s="15"/>
      <c r="P926" s="15"/>
      <c r="Q926" s="12"/>
      <c r="R926" s="12"/>
      <c r="S926" s="12"/>
      <c r="T926" s="12"/>
      <c r="AO926" s="16"/>
    </row>
    <row r="927" s="1" customFormat="1" spans="4:41">
      <c r="D927" s="10"/>
      <c r="E927" s="11"/>
      <c r="F927" s="12"/>
      <c r="G927" s="13"/>
      <c r="H927" s="13"/>
      <c r="L927" s="14"/>
      <c r="M927" s="15"/>
      <c r="N927" s="15"/>
      <c r="O927" s="15"/>
      <c r="P927" s="15"/>
      <c r="Q927" s="12"/>
      <c r="R927" s="12"/>
      <c r="S927" s="12"/>
      <c r="T927" s="12"/>
      <c r="AO927" s="16"/>
    </row>
    <row r="928" s="1" customFormat="1" spans="4:41">
      <c r="D928" s="10"/>
      <c r="E928" s="11"/>
      <c r="F928" s="12"/>
      <c r="G928" s="13"/>
      <c r="H928" s="13"/>
      <c r="L928" s="14"/>
      <c r="M928" s="15"/>
      <c r="N928" s="15"/>
      <c r="O928" s="15"/>
      <c r="P928" s="15"/>
      <c r="Q928" s="12"/>
      <c r="R928" s="12"/>
      <c r="S928" s="12"/>
      <c r="T928" s="12"/>
      <c r="AO928" s="16"/>
    </row>
    <row r="929" s="1" customFormat="1" spans="4:41">
      <c r="D929" s="10"/>
      <c r="E929" s="11"/>
      <c r="F929" s="12"/>
      <c r="G929" s="13"/>
      <c r="H929" s="13"/>
      <c r="L929" s="14"/>
      <c r="M929" s="15"/>
      <c r="N929" s="15"/>
      <c r="O929" s="15"/>
      <c r="P929" s="15"/>
      <c r="Q929" s="12"/>
      <c r="R929" s="12"/>
      <c r="S929" s="12"/>
      <c r="T929" s="12"/>
      <c r="AO929" s="16"/>
    </row>
    <row r="930" s="1" customFormat="1" spans="4:41">
      <c r="D930" s="10"/>
      <c r="E930" s="11"/>
      <c r="F930" s="12"/>
      <c r="G930" s="13"/>
      <c r="H930" s="13"/>
      <c r="L930" s="14"/>
      <c r="M930" s="15"/>
      <c r="N930" s="15"/>
      <c r="O930" s="15"/>
      <c r="P930" s="15"/>
      <c r="Q930" s="12"/>
      <c r="R930" s="12"/>
      <c r="S930" s="12"/>
      <c r="T930" s="12"/>
      <c r="AO930" s="16"/>
    </row>
    <row r="931" s="1" customFormat="1" spans="4:41">
      <c r="D931" s="10"/>
      <c r="E931" s="11"/>
      <c r="F931" s="12"/>
      <c r="G931" s="13"/>
      <c r="H931" s="13"/>
      <c r="L931" s="14"/>
      <c r="M931" s="15"/>
      <c r="N931" s="15"/>
      <c r="O931" s="15"/>
      <c r="P931" s="15"/>
      <c r="Q931" s="12"/>
      <c r="R931" s="12"/>
      <c r="S931" s="12"/>
      <c r="T931" s="12"/>
      <c r="AO931" s="16"/>
    </row>
    <row r="932" s="1" customFormat="1" spans="4:41">
      <c r="D932" s="10"/>
      <c r="E932" s="11"/>
      <c r="F932" s="12"/>
      <c r="G932" s="13"/>
      <c r="H932" s="13"/>
      <c r="L932" s="14"/>
      <c r="M932" s="15"/>
      <c r="N932" s="15"/>
      <c r="O932" s="15"/>
      <c r="P932" s="15"/>
      <c r="Q932" s="12"/>
      <c r="R932" s="12"/>
      <c r="S932" s="12"/>
      <c r="T932" s="12"/>
      <c r="AO932" s="16"/>
    </row>
    <row r="933" s="1" customFormat="1" spans="4:41">
      <c r="D933" s="10"/>
      <c r="E933" s="11"/>
      <c r="F933" s="12"/>
      <c r="G933" s="13"/>
      <c r="H933" s="13"/>
      <c r="L933" s="14"/>
      <c r="M933" s="15"/>
      <c r="N933" s="15"/>
      <c r="O933" s="15"/>
      <c r="P933" s="15"/>
      <c r="Q933" s="12"/>
      <c r="R933" s="12"/>
      <c r="S933" s="12"/>
      <c r="T933" s="12"/>
      <c r="AO933" s="16"/>
    </row>
    <row r="934" s="1" customFormat="1" spans="4:41">
      <c r="D934" s="10"/>
      <c r="E934" s="11"/>
      <c r="F934" s="12"/>
      <c r="G934" s="13"/>
      <c r="H934" s="13"/>
      <c r="L934" s="14"/>
      <c r="M934" s="15"/>
      <c r="N934" s="15"/>
      <c r="O934" s="15"/>
      <c r="P934" s="15"/>
      <c r="Q934" s="12"/>
      <c r="R934" s="12"/>
      <c r="S934" s="12"/>
      <c r="T934" s="12"/>
      <c r="AO934" s="16"/>
    </row>
    <row r="935" s="1" customFormat="1" spans="4:41">
      <c r="D935" s="10"/>
      <c r="E935" s="11"/>
      <c r="F935" s="12"/>
      <c r="G935" s="13"/>
      <c r="H935" s="13"/>
      <c r="L935" s="14"/>
      <c r="M935" s="15"/>
      <c r="N935" s="15"/>
      <c r="O935" s="15"/>
      <c r="P935" s="15"/>
      <c r="Q935" s="12"/>
      <c r="R935" s="12"/>
      <c r="S935" s="12"/>
      <c r="T935" s="12"/>
      <c r="AO935" s="16"/>
    </row>
    <row r="936" s="1" customFormat="1" spans="4:41">
      <c r="D936" s="10"/>
      <c r="E936" s="11"/>
      <c r="F936" s="12"/>
      <c r="G936" s="13"/>
      <c r="H936" s="13"/>
      <c r="L936" s="14"/>
      <c r="M936" s="15"/>
      <c r="N936" s="15"/>
      <c r="O936" s="15"/>
      <c r="P936" s="15"/>
      <c r="Q936" s="12"/>
      <c r="R936" s="12"/>
      <c r="S936" s="12"/>
      <c r="T936" s="12"/>
      <c r="AO936" s="16"/>
    </row>
    <row r="937" s="1" customFormat="1" spans="4:41">
      <c r="D937" s="10"/>
      <c r="E937" s="11"/>
      <c r="F937" s="12"/>
      <c r="G937" s="13"/>
      <c r="H937" s="13"/>
      <c r="L937" s="14"/>
      <c r="M937" s="15"/>
      <c r="N937" s="15"/>
      <c r="O937" s="15"/>
      <c r="P937" s="15"/>
      <c r="Q937" s="12"/>
      <c r="R937" s="12"/>
      <c r="S937" s="12"/>
      <c r="T937" s="12"/>
      <c r="AO937" s="16"/>
    </row>
    <row r="938" s="1" customFormat="1" spans="4:41">
      <c r="D938" s="10"/>
      <c r="E938" s="11"/>
      <c r="F938" s="12"/>
      <c r="G938" s="13"/>
      <c r="H938" s="13"/>
      <c r="L938" s="14"/>
      <c r="M938" s="15"/>
      <c r="N938" s="15"/>
      <c r="O938" s="15"/>
      <c r="P938" s="15"/>
      <c r="Q938" s="12"/>
      <c r="R938" s="12"/>
      <c r="S938" s="12"/>
      <c r="T938" s="12"/>
      <c r="AO938" s="16"/>
    </row>
    <row r="939" s="1" customFormat="1" spans="4:41">
      <c r="D939" s="10"/>
      <c r="E939" s="11"/>
      <c r="F939" s="12"/>
      <c r="G939" s="13"/>
      <c r="H939" s="13"/>
      <c r="L939" s="14"/>
      <c r="M939" s="15"/>
      <c r="N939" s="15"/>
      <c r="O939" s="15"/>
      <c r="P939" s="15"/>
      <c r="Q939" s="12"/>
      <c r="R939" s="12"/>
      <c r="S939" s="12"/>
      <c r="T939" s="12"/>
      <c r="AO939" s="16"/>
    </row>
    <row r="940" s="1" customFormat="1" spans="4:41">
      <c r="D940" s="10"/>
      <c r="E940" s="11"/>
      <c r="F940" s="12"/>
      <c r="G940" s="13"/>
      <c r="H940" s="13"/>
      <c r="L940" s="14"/>
      <c r="M940" s="15"/>
      <c r="N940" s="15"/>
      <c r="O940" s="15"/>
      <c r="P940" s="15"/>
      <c r="Q940" s="12"/>
      <c r="R940" s="12"/>
      <c r="S940" s="12"/>
      <c r="T940" s="12"/>
      <c r="AO940" s="16"/>
    </row>
    <row r="941" s="1" customFormat="1" spans="4:41">
      <c r="D941" s="10"/>
      <c r="E941" s="11"/>
      <c r="F941" s="12"/>
      <c r="G941" s="13"/>
      <c r="H941" s="13"/>
      <c r="L941" s="14"/>
      <c r="M941" s="15"/>
      <c r="N941" s="15"/>
      <c r="O941" s="15"/>
      <c r="P941" s="15"/>
      <c r="Q941" s="12"/>
      <c r="R941" s="12"/>
      <c r="S941" s="12"/>
      <c r="T941" s="12"/>
      <c r="AO941" s="16"/>
    </row>
    <row r="942" s="1" customFormat="1" spans="4:41">
      <c r="D942" s="10"/>
      <c r="E942" s="11"/>
      <c r="F942" s="12"/>
      <c r="G942" s="13"/>
      <c r="H942" s="13"/>
      <c r="L942" s="14"/>
      <c r="M942" s="15"/>
      <c r="N942" s="15"/>
      <c r="O942" s="15"/>
      <c r="P942" s="15"/>
      <c r="Q942" s="12"/>
      <c r="R942" s="12"/>
      <c r="S942" s="12"/>
      <c r="T942" s="12"/>
      <c r="AO942" s="16"/>
    </row>
    <row r="943" s="1" customFormat="1" spans="4:41">
      <c r="D943" s="10"/>
      <c r="E943" s="11"/>
      <c r="F943" s="12"/>
      <c r="G943" s="13"/>
      <c r="H943" s="13"/>
      <c r="L943" s="14"/>
      <c r="M943" s="15"/>
      <c r="N943" s="15"/>
      <c r="O943" s="15"/>
      <c r="P943" s="15"/>
      <c r="Q943" s="12"/>
      <c r="R943" s="12"/>
      <c r="S943" s="12"/>
      <c r="T943" s="12"/>
      <c r="AO943" s="16"/>
    </row>
    <row r="944" s="1" customFormat="1" spans="4:41">
      <c r="D944" s="10"/>
      <c r="E944" s="11"/>
      <c r="F944" s="12"/>
      <c r="G944" s="13"/>
      <c r="H944" s="13"/>
      <c r="L944" s="14"/>
      <c r="M944" s="15"/>
      <c r="N944" s="15"/>
      <c r="O944" s="15"/>
      <c r="P944" s="15"/>
      <c r="Q944" s="12"/>
      <c r="R944" s="12"/>
      <c r="S944" s="12"/>
      <c r="T944" s="12"/>
      <c r="AO944" s="16"/>
    </row>
    <row r="945" s="1" customFormat="1" spans="4:41">
      <c r="D945" s="10"/>
      <c r="E945" s="11"/>
      <c r="F945" s="12"/>
      <c r="G945" s="13"/>
      <c r="H945" s="13"/>
      <c r="L945" s="14"/>
      <c r="M945" s="15"/>
      <c r="N945" s="15"/>
      <c r="O945" s="15"/>
      <c r="P945" s="15"/>
      <c r="Q945" s="12"/>
      <c r="R945" s="12"/>
      <c r="S945" s="12"/>
      <c r="T945" s="12"/>
      <c r="AO945" s="16"/>
    </row>
    <row r="946" s="1" customFormat="1" spans="4:41">
      <c r="D946" s="10"/>
      <c r="E946" s="11"/>
      <c r="F946" s="12"/>
      <c r="G946" s="13"/>
      <c r="H946" s="13"/>
      <c r="L946" s="14"/>
      <c r="M946" s="15"/>
      <c r="N946" s="15"/>
      <c r="O946" s="15"/>
      <c r="P946" s="15"/>
      <c r="Q946" s="12"/>
      <c r="R946" s="12"/>
      <c r="S946" s="12"/>
      <c r="T946" s="12"/>
      <c r="AO946" s="16"/>
    </row>
    <row r="947" s="1" customFormat="1" spans="4:41">
      <c r="D947" s="10"/>
      <c r="E947" s="11"/>
      <c r="F947" s="12"/>
      <c r="G947" s="13"/>
      <c r="H947" s="13"/>
      <c r="L947" s="14"/>
      <c r="M947" s="15"/>
      <c r="N947" s="15"/>
      <c r="O947" s="15"/>
      <c r="P947" s="15"/>
      <c r="Q947" s="12"/>
      <c r="R947" s="12"/>
      <c r="S947" s="12"/>
      <c r="T947" s="12"/>
      <c r="AO947" s="16"/>
    </row>
    <row r="948" s="1" customFormat="1" spans="4:41">
      <c r="D948" s="10"/>
      <c r="E948" s="11"/>
      <c r="F948" s="12"/>
      <c r="G948" s="13"/>
      <c r="H948" s="13"/>
      <c r="L948" s="14"/>
      <c r="M948" s="15"/>
      <c r="N948" s="15"/>
      <c r="O948" s="15"/>
      <c r="P948" s="15"/>
      <c r="Q948" s="12"/>
      <c r="R948" s="12"/>
      <c r="S948" s="12"/>
      <c r="T948" s="12"/>
      <c r="AO948" s="16"/>
    </row>
    <row r="949" s="1" customFormat="1" spans="4:41">
      <c r="D949" s="10"/>
      <c r="E949" s="11"/>
      <c r="F949" s="12"/>
      <c r="G949" s="13"/>
      <c r="H949" s="13"/>
      <c r="L949" s="14"/>
      <c r="M949" s="15"/>
      <c r="N949" s="15"/>
      <c r="O949" s="15"/>
      <c r="P949" s="15"/>
      <c r="Q949" s="12"/>
      <c r="R949" s="12"/>
      <c r="S949" s="12"/>
      <c r="T949" s="12"/>
      <c r="AO949" s="16"/>
    </row>
    <row r="950" s="1" customFormat="1" spans="4:41">
      <c r="D950" s="10"/>
      <c r="E950" s="11"/>
      <c r="F950" s="12"/>
      <c r="G950" s="13"/>
      <c r="H950" s="13"/>
      <c r="L950" s="14"/>
      <c r="M950" s="15"/>
      <c r="N950" s="15"/>
      <c r="O950" s="15"/>
      <c r="P950" s="15"/>
      <c r="Q950" s="12"/>
      <c r="R950" s="12"/>
      <c r="S950" s="12"/>
      <c r="T950" s="12"/>
      <c r="AO950" s="16"/>
    </row>
    <row r="951" s="1" customFormat="1" spans="4:41">
      <c r="D951" s="10"/>
      <c r="E951" s="11"/>
      <c r="F951" s="12"/>
      <c r="G951" s="13"/>
      <c r="H951" s="13"/>
      <c r="L951" s="14"/>
      <c r="M951" s="15"/>
      <c r="N951" s="15"/>
      <c r="O951" s="15"/>
      <c r="P951" s="15"/>
      <c r="Q951" s="12"/>
      <c r="R951" s="12"/>
      <c r="S951" s="12"/>
      <c r="T951" s="12"/>
      <c r="AO951" s="16"/>
    </row>
    <row r="952" s="1" customFormat="1" spans="4:41">
      <c r="D952" s="10"/>
      <c r="E952" s="11"/>
      <c r="F952" s="12"/>
      <c r="G952" s="13"/>
      <c r="H952" s="13"/>
      <c r="L952" s="14"/>
      <c r="M952" s="15"/>
      <c r="N952" s="15"/>
      <c r="O952" s="15"/>
      <c r="P952" s="15"/>
      <c r="Q952" s="12"/>
      <c r="R952" s="12"/>
      <c r="S952" s="12"/>
      <c r="T952" s="12"/>
      <c r="AO952" s="16"/>
    </row>
    <row r="953" s="1" customFormat="1" spans="4:41">
      <c r="D953" s="10"/>
      <c r="E953" s="11"/>
      <c r="F953" s="12"/>
      <c r="G953" s="13"/>
      <c r="H953" s="13"/>
      <c r="L953" s="14"/>
      <c r="M953" s="15"/>
      <c r="N953" s="15"/>
      <c r="O953" s="15"/>
      <c r="P953" s="15"/>
      <c r="Q953" s="12"/>
      <c r="R953" s="12"/>
      <c r="S953" s="12"/>
      <c r="T953" s="12"/>
      <c r="AO953" s="16"/>
    </row>
    <row r="954" s="1" customFormat="1" spans="4:41">
      <c r="D954" s="10"/>
      <c r="E954" s="11"/>
      <c r="F954" s="12"/>
      <c r="G954" s="13"/>
      <c r="H954" s="13"/>
      <c r="L954" s="14"/>
      <c r="M954" s="15"/>
      <c r="N954" s="15"/>
      <c r="O954" s="15"/>
      <c r="P954" s="15"/>
      <c r="Q954" s="12"/>
      <c r="R954" s="12"/>
      <c r="S954" s="12"/>
      <c r="T954" s="12"/>
      <c r="AO954" s="16"/>
    </row>
    <row r="955" s="1" customFormat="1" spans="4:41">
      <c r="D955" s="10"/>
      <c r="E955" s="11"/>
      <c r="F955" s="12"/>
      <c r="G955" s="13"/>
      <c r="H955" s="13"/>
      <c r="L955" s="14"/>
      <c r="M955" s="15"/>
      <c r="N955" s="15"/>
      <c r="O955" s="15"/>
      <c r="P955" s="15"/>
      <c r="Q955" s="12"/>
      <c r="R955" s="12"/>
      <c r="S955" s="12"/>
      <c r="T955" s="12"/>
      <c r="AO955" s="16"/>
    </row>
    <row r="956" s="1" customFormat="1" spans="4:41">
      <c r="D956" s="10"/>
      <c r="E956" s="11"/>
      <c r="F956" s="12"/>
      <c r="G956" s="13"/>
      <c r="H956" s="13"/>
      <c r="L956" s="14"/>
      <c r="M956" s="15"/>
      <c r="N956" s="15"/>
      <c r="O956" s="15"/>
      <c r="P956" s="15"/>
      <c r="Q956" s="12"/>
      <c r="R956" s="12"/>
      <c r="S956" s="12"/>
      <c r="T956" s="12"/>
      <c r="AO956" s="16"/>
    </row>
    <row r="957" s="1" customFormat="1" spans="4:41">
      <c r="D957" s="10"/>
      <c r="E957" s="11"/>
      <c r="F957" s="12"/>
      <c r="G957" s="13"/>
      <c r="H957" s="13"/>
      <c r="L957" s="14"/>
      <c r="M957" s="15"/>
      <c r="N957" s="15"/>
      <c r="O957" s="15"/>
      <c r="P957" s="15"/>
      <c r="Q957" s="12"/>
      <c r="R957" s="12"/>
      <c r="S957" s="12"/>
      <c r="T957" s="12"/>
      <c r="AO957" s="16"/>
    </row>
    <row r="958" s="1" customFormat="1" spans="4:41">
      <c r="D958" s="10"/>
      <c r="E958" s="11"/>
      <c r="F958" s="12"/>
      <c r="G958" s="13"/>
      <c r="H958" s="13"/>
      <c r="L958" s="14"/>
      <c r="M958" s="15"/>
      <c r="N958" s="15"/>
      <c r="O958" s="15"/>
      <c r="P958" s="15"/>
      <c r="Q958" s="12"/>
      <c r="R958" s="12"/>
      <c r="S958" s="12"/>
      <c r="T958" s="12"/>
      <c r="AO958" s="16"/>
    </row>
    <row r="959" s="1" customFormat="1" spans="4:41">
      <c r="D959" s="10"/>
      <c r="E959" s="11"/>
      <c r="F959" s="12"/>
      <c r="G959" s="13"/>
      <c r="H959" s="13"/>
      <c r="L959" s="14"/>
      <c r="M959" s="15"/>
      <c r="N959" s="15"/>
      <c r="O959" s="15"/>
      <c r="P959" s="15"/>
      <c r="Q959" s="12"/>
      <c r="R959" s="12"/>
      <c r="S959" s="12"/>
      <c r="T959" s="12"/>
      <c r="AO959" s="16"/>
    </row>
    <row r="960" s="1" customFormat="1" spans="4:41">
      <c r="D960" s="10"/>
      <c r="E960" s="11"/>
      <c r="F960" s="12"/>
      <c r="G960" s="13"/>
      <c r="H960" s="13"/>
      <c r="L960" s="14"/>
      <c r="M960" s="15"/>
      <c r="N960" s="15"/>
      <c r="O960" s="15"/>
      <c r="P960" s="15"/>
      <c r="Q960" s="12"/>
      <c r="R960" s="12"/>
      <c r="S960" s="12"/>
      <c r="T960" s="12"/>
      <c r="AO960" s="16"/>
    </row>
    <row r="961" s="1" customFormat="1" spans="4:41">
      <c r="D961" s="10"/>
      <c r="E961" s="11"/>
      <c r="F961" s="12"/>
      <c r="G961" s="13"/>
      <c r="H961" s="13"/>
      <c r="L961" s="14"/>
      <c r="M961" s="15"/>
      <c r="N961" s="15"/>
      <c r="O961" s="15"/>
      <c r="P961" s="15"/>
      <c r="Q961" s="12"/>
      <c r="R961" s="12"/>
      <c r="S961" s="12"/>
      <c r="T961" s="12"/>
      <c r="AO961" s="16"/>
    </row>
    <row r="962" s="1" customFormat="1" spans="4:41">
      <c r="D962" s="10"/>
      <c r="E962" s="11"/>
      <c r="F962" s="12"/>
      <c r="G962" s="13"/>
      <c r="H962" s="13"/>
      <c r="L962" s="14"/>
      <c r="M962" s="15"/>
      <c r="N962" s="15"/>
      <c r="O962" s="15"/>
      <c r="P962" s="15"/>
      <c r="Q962" s="12"/>
      <c r="R962" s="12"/>
      <c r="S962" s="12"/>
      <c r="T962" s="12"/>
      <c r="AO962" s="16"/>
    </row>
    <row r="963" s="1" customFormat="1" spans="4:41">
      <c r="D963" s="10"/>
      <c r="E963" s="11"/>
      <c r="F963" s="12"/>
      <c r="G963" s="13"/>
      <c r="H963" s="13"/>
      <c r="L963" s="14"/>
      <c r="M963" s="15"/>
      <c r="N963" s="15"/>
      <c r="O963" s="15"/>
      <c r="P963" s="15"/>
      <c r="Q963" s="12"/>
      <c r="R963" s="12"/>
      <c r="S963" s="12"/>
      <c r="T963" s="12"/>
      <c r="AO963" s="16"/>
    </row>
    <row r="964" s="1" customFormat="1" spans="4:41">
      <c r="D964" s="10"/>
      <c r="E964" s="11"/>
      <c r="F964" s="12"/>
      <c r="G964" s="13"/>
      <c r="H964" s="13"/>
      <c r="L964" s="14"/>
      <c r="M964" s="15"/>
      <c r="N964" s="15"/>
      <c r="O964" s="15"/>
      <c r="P964" s="15"/>
      <c r="Q964" s="12"/>
      <c r="R964" s="12"/>
      <c r="S964" s="12"/>
      <c r="T964" s="12"/>
      <c r="AO964" s="16"/>
    </row>
    <row r="965" s="1" customFormat="1" spans="4:41">
      <c r="D965" s="10"/>
      <c r="E965" s="11"/>
      <c r="F965" s="12"/>
      <c r="G965" s="13"/>
      <c r="H965" s="13"/>
      <c r="L965" s="14"/>
      <c r="M965" s="15"/>
      <c r="N965" s="15"/>
      <c r="O965" s="15"/>
      <c r="P965" s="15"/>
      <c r="Q965" s="12"/>
      <c r="R965" s="12"/>
      <c r="S965" s="12"/>
      <c r="T965" s="12"/>
      <c r="AO965" s="16"/>
    </row>
    <row r="966" s="1" customFormat="1" spans="4:41">
      <c r="D966" s="10"/>
      <c r="E966" s="11"/>
      <c r="F966" s="12"/>
      <c r="G966" s="13"/>
      <c r="H966" s="13"/>
      <c r="L966" s="14"/>
      <c r="M966" s="15"/>
      <c r="N966" s="15"/>
      <c r="O966" s="15"/>
      <c r="P966" s="15"/>
      <c r="Q966" s="12"/>
      <c r="R966" s="12"/>
      <c r="S966" s="12"/>
      <c r="T966" s="12"/>
      <c r="AO966" s="16"/>
    </row>
    <row r="967" s="1" customFormat="1" spans="4:41">
      <c r="D967" s="10"/>
      <c r="E967" s="11"/>
      <c r="F967" s="12"/>
      <c r="G967" s="13"/>
      <c r="H967" s="13"/>
      <c r="L967" s="14"/>
      <c r="M967" s="15"/>
      <c r="N967" s="15"/>
      <c r="O967" s="15"/>
      <c r="P967" s="15"/>
      <c r="Q967" s="12"/>
      <c r="R967" s="12"/>
      <c r="S967" s="12"/>
      <c r="T967" s="12"/>
      <c r="AO967" s="16"/>
    </row>
    <row r="968" s="1" customFormat="1" spans="4:41">
      <c r="D968" s="10"/>
      <c r="E968" s="11"/>
      <c r="F968" s="12"/>
      <c r="G968" s="13"/>
      <c r="H968" s="13"/>
      <c r="L968" s="14"/>
      <c r="M968" s="15"/>
      <c r="N968" s="15"/>
      <c r="O968" s="15"/>
      <c r="P968" s="15"/>
      <c r="Q968" s="12"/>
      <c r="R968" s="12"/>
      <c r="S968" s="12"/>
      <c r="T968" s="12"/>
      <c r="AO968" s="16"/>
    </row>
    <row r="969" s="1" customFormat="1" spans="4:41">
      <c r="D969" s="10"/>
      <c r="E969" s="11"/>
      <c r="F969" s="12"/>
      <c r="G969" s="13"/>
      <c r="H969" s="13"/>
      <c r="L969" s="14"/>
      <c r="M969" s="15"/>
      <c r="N969" s="15"/>
      <c r="O969" s="15"/>
      <c r="P969" s="15"/>
      <c r="Q969" s="12"/>
      <c r="R969" s="12"/>
      <c r="S969" s="12"/>
      <c r="T969" s="12"/>
      <c r="AO969" s="16"/>
    </row>
    <row r="970" s="1" customFormat="1" spans="4:41">
      <c r="D970" s="10"/>
      <c r="E970" s="11"/>
      <c r="F970" s="12"/>
      <c r="G970" s="13"/>
      <c r="H970" s="13"/>
      <c r="L970" s="14"/>
      <c r="M970" s="15"/>
      <c r="N970" s="15"/>
      <c r="O970" s="15"/>
      <c r="P970" s="15"/>
      <c r="Q970" s="12"/>
      <c r="R970" s="12"/>
      <c r="S970" s="12"/>
      <c r="T970" s="12"/>
      <c r="AO970" s="16"/>
    </row>
    <row r="971" s="1" customFormat="1" spans="4:41">
      <c r="D971" s="10"/>
      <c r="E971" s="11"/>
      <c r="F971" s="12"/>
      <c r="G971" s="13"/>
      <c r="H971" s="13"/>
      <c r="L971" s="14"/>
      <c r="M971" s="15"/>
      <c r="N971" s="15"/>
      <c r="O971" s="15"/>
      <c r="P971" s="15"/>
      <c r="Q971" s="12"/>
      <c r="R971" s="12"/>
      <c r="S971" s="12"/>
      <c r="T971" s="12"/>
      <c r="AO971" s="16"/>
    </row>
    <row r="972" s="1" customFormat="1" spans="4:41">
      <c r="D972" s="10"/>
      <c r="E972" s="11"/>
      <c r="F972" s="12"/>
      <c r="G972" s="13"/>
      <c r="H972" s="13"/>
      <c r="L972" s="14"/>
      <c r="M972" s="15"/>
      <c r="N972" s="15"/>
      <c r="O972" s="15"/>
      <c r="P972" s="15"/>
      <c r="Q972" s="12"/>
      <c r="R972" s="12"/>
      <c r="S972" s="12"/>
      <c r="T972" s="12"/>
      <c r="AO972" s="16"/>
    </row>
    <row r="973" s="1" customFormat="1" spans="4:41">
      <c r="D973" s="10"/>
      <c r="E973" s="11"/>
      <c r="F973" s="12"/>
      <c r="G973" s="13"/>
      <c r="H973" s="13"/>
      <c r="L973" s="14"/>
      <c r="M973" s="15"/>
      <c r="N973" s="15"/>
      <c r="O973" s="15"/>
      <c r="P973" s="15"/>
      <c r="Q973" s="12"/>
      <c r="R973" s="12"/>
      <c r="S973" s="12"/>
      <c r="T973" s="12"/>
      <c r="AO973" s="16"/>
    </row>
    <row r="974" s="1" customFormat="1" spans="4:41">
      <c r="D974" s="10"/>
      <c r="E974" s="11"/>
      <c r="F974" s="12"/>
      <c r="G974" s="13"/>
      <c r="H974" s="13"/>
      <c r="L974" s="14"/>
      <c r="M974" s="15"/>
      <c r="N974" s="15"/>
      <c r="O974" s="15"/>
      <c r="P974" s="15"/>
      <c r="Q974" s="12"/>
      <c r="R974" s="12"/>
      <c r="S974" s="12"/>
      <c r="T974" s="12"/>
      <c r="AO974" s="16"/>
    </row>
    <row r="975" s="1" customFormat="1" spans="4:41">
      <c r="D975" s="10"/>
      <c r="E975" s="11"/>
      <c r="F975" s="12"/>
      <c r="G975" s="13"/>
      <c r="H975" s="13"/>
      <c r="L975" s="14"/>
      <c r="M975" s="15"/>
      <c r="N975" s="15"/>
      <c r="O975" s="15"/>
      <c r="P975" s="15"/>
      <c r="Q975" s="12"/>
      <c r="R975" s="12"/>
      <c r="S975" s="12"/>
      <c r="T975" s="12"/>
      <c r="AO975" s="16"/>
    </row>
    <row r="976" s="1" customFormat="1" spans="4:41">
      <c r="D976" s="10"/>
      <c r="E976" s="11"/>
      <c r="F976" s="12"/>
      <c r="G976" s="13"/>
      <c r="H976" s="13"/>
      <c r="L976" s="14"/>
      <c r="M976" s="15"/>
      <c r="N976" s="15"/>
      <c r="O976" s="15"/>
      <c r="P976" s="15"/>
      <c r="Q976" s="12"/>
      <c r="R976" s="12"/>
      <c r="S976" s="12"/>
      <c r="T976" s="12"/>
      <c r="AO976" s="16"/>
    </row>
    <row r="977" s="1" customFormat="1" spans="4:41">
      <c r="D977" s="10"/>
      <c r="E977" s="11"/>
      <c r="F977" s="12"/>
      <c r="G977" s="13"/>
      <c r="H977" s="13"/>
      <c r="L977" s="14"/>
      <c r="M977" s="15"/>
      <c r="N977" s="15"/>
      <c r="O977" s="15"/>
      <c r="P977" s="15"/>
      <c r="Q977" s="12"/>
      <c r="R977" s="12"/>
      <c r="S977" s="12"/>
      <c r="T977" s="12"/>
      <c r="AO977" s="16"/>
    </row>
    <row r="978" s="1" customFormat="1" spans="4:41">
      <c r="D978" s="10"/>
      <c r="E978" s="11"/>
      <c r="F978" s="12"/>
      <c r="G978" s="13"/>
      <c r="H978" s="13"/>
      <c r="L978" s="14"/>
      <c r="M978" s="15"/>
      <c r="N978" s="15"/>
      <c r="O978" s="15"/>
      <c r="P978" s="15"/>
      <c r="Q978" s="12"/>
      <c r="R978" s="12"/>
      <c r="S978" s="12"/>
      <c r="T978" s="12"/>
      <c r="AO978" s="16"/>
    </row>
    <row r="979" s="1" customFormat="1" spans="4:41">
      <c r="D979" s="10"/>
      <c r="E979" s="11"/>
      <c r="F979" s="12"/>
      <c r="G979" s="13"/>
      <c r="H979" s="13"/>
      <c r="L979" s="14"/>
      <c r="M979" s="15"/>
      <c r="N979" s="15"/>
      <c r="O979" s="15"/>
      <c r="P979" s="15"/>
      <c r="Q979" s="12"/>
      <c r="R979" s="12"/>
      <c r="S979" s="12"/>
      <c r="T979" s="12"/>
      <c r="AO979" s="16"/>
    </row>
    <row r="980" s="1" customFormat="1" spans="4:41">
      <c r="D980" s="10"/>
      <c r="E980" s="11"/>
      <c r="F980" s="12"/>
      <c r="G980" s="13"/>
      <c r="H980" s="13"/>
      <c r="L980" s="14"/>
      <c r="M980" s="15"/>
      <c r="N980" s="15"/>
      <c r="O980" s="15"/>
      <c r="P980" s="15"/>
      <c r="Q980" s="12"/>
      <c r="R980" s="12"/>
      <c r="S980" s="12"/>
      <c r="T980" s="12"/>
      <c r="AO980" s="16"/>
    </row>
    <row r="981" s="1" customFormat="1" spans="4:41">
      <c r="D981" s="10"/>
      <c r="E981" s="11"/>
      <c r="F981" s="12"/>
      <c r="G981" s="13"/>
      <c r="H981" s="13"/>
      <c r="L981" s="14"/>
      <c r="M981" s="15"/>
      <c r="N981" s="15"/>
      <c r="O981" s="15"/>
      <c r="P981" s="15"/>
      <c r="Q981" s="12"/>
      <c r="R981" s="12"/>
      <c r="S981" s="12"/>
      <c r="T981" s="12"/>
      <c r="AO981" s="16"/>
    </row>
    <row r="982" s="1" customFormat="1" spans="4:41">
      <c r="D982" s="10"/>
      <c r="E982" s="11"/>
      <c r="F982" s="12"/>
      <c r="G982" s="13"/>
      <c r="H982" s="13"/>
      <c r="L982" s="14"/>
      <c r="M982" s="15"/>
      <c r="N982" s="15"/>
      <c r="O982" s="15"/>
      <c r="P982" s="15"/>
      <c r="Q982" s="12"/>
      <c r="R982" s="12"/>
      <c r="S982" s="12"/>
      <c r="T982" s="12"/>
      <c r="AO982" s="16"/>
    </row>
    <row r="983" s="1" customFormat="1" spans="4:41">
      <c r="D983" s="10"/>
      <c r="E983" s="11"/>
      <c r="F983" s="12"/>
      <c r="G983" s="13"/>
      <c r="H983" s="13"/>
      <c r="L983" s="14"/>
      <c r="M983" s="15"/>
      <c r="N983" s="15"/>
      <c r="O983" s="15"/>
      <c r="P983" s="15"/>
      <c r="Q983" s="12"/>
      <c r="R983" s="12"/>
      <c r="S983" s="12"/>
      <c r="T983" s="12"/>
      <c r="AO983" s="16"/>
    </row>
    <row r="984" s="1" customFormat="1" spans="4:41">
      <c r="D984" s="10"/>
      <c r="E984" s="11"/>
      <c r="F984" s="12"/>
      <c r="G984" s="13"/>
      <c r="H984" s="13"/>
      <c r="L984" s="14"/>
      <c r="M984" s="15"/>
      <c r="N984" s="15"/>
      <c r="O984" s="15"/>
      <c r="P984" s="15"/>
      <c r="Q984" s="12"/>
      <c r="R984" s="12"/>
      <c r="S984" s="12"/>
      <c r="T984" s="12"/>
      <c r="AO984" s="16"/>
    </row>
    <row r="985" s="1" customFormat="1" spans="4:41">
      <c r="D985" s="10"/>
      <c r="E985" s="11"/>
      <c r="F985" s="12"/>
      <c r="G985" s="13"/>
      <c r="H985" s="13"/>
      <c r="L985" s="14"/>
      <c r="M985" s="15"/>
      <c r="N985" s="15"/>
      <c r="O985" s="15"/>
      <c r="P985" s="15"/>
      <c r="Q985" s="12"/>
      <c r="R985" s="12"/>
      <c r="S985" s="12"/>
      <c r="T985" s="12"/>
      <c r="AO985" s="16"/>
    </row>
    <row r="986" s="1" customFormat="1" spans="4:41">
      <c r="D986" s="10"/>
      <c r="E986" s="11"/>
      <c r="F986" s="12"/>
      <c r="G986" s="13"/>
      <c r="H986" s="13"/>
      <c r="L986" s="14"/>
      <c r="M986" s="15"/>
      <c r="N986" s="15"/>
      <c r="O986" s="15"/>
      <c r="P986" s="15"/>
      <c r="Q986" s="12"/>
      <c r="R986" s="12"/>
      <c r="S986" s="12"/>
      <c r="T986" s="12"/>
      <c r="AO986" s="16"/>
    </row>
    <row r="987" s="1" customFormat="1" spans="4:41">
      <c r="D987" s="10"/>
      <c r="E987" s="11"/>
      <c r="F987" s="12"/>
      <c r="G987" s="13"/>
      <c r="H987" s="13"/>
      <c r="L987" s="14"/>
      <c r="M987" s="15"/>
      <c r="N987" s="15"/>
      <c r="O987" s="15"/>
      <c r="P987" s="15"/>
      <c r="Q987" s="12"/>
      <c r="R987" s="12"/>
      <c r="S987" s="12"/>
      <c r="T987" s="12"/>
      <c r="AO987" s="16"/>
    </row>
    <row r="988" s="1" customFormat="1" spans="4:41">
      <c r="D988" s="10"/>
      <c r="E988" s="11"/>
      <c r="F988" s="12"/>
      <c r="G988" s="13"/>
      <c r="H988" s="13"/>
      <c r="L988" s="14"/>
      <c r="M988" s="15"/>
      <c r="N988" s="15"/>
      <c r="O988" s="15"/>
      <c r="P988" s="15"/>
      <c r="Q988" s="12"/>
      <c r="R988" s="12"/>
      <c r="S988" s="12"/>
      <c r="T988" s="12"/>
      <c r="AO988" s="16"/>
    </row>
    <row r="989" s="1" customFormat="1" spans="4:41">
      <c r="D989" s="10"/>
      <c r="E989" s="11"/>
      <c r="F989" s="12"/>
      <c r="G989" s="13"/>
      <c r="H989" s="13"/>
      <c r="L989" s="14"/>
      <c r="M989" s="15"/>
      <c r="N989" s="15"/>
      <c r="O989" s="15"/>
      <c r="P989" s="15"/>
      <c r="Q989" s="12"/>
      <c r="R989" s="12"/>
      <c r="S989" s="12"/>
      <c r="T989" s="12"/>
      <c r="AO989" s="16"/>
    </row>
    <row r="990" s="1" customFormat="1" spans="4:41">
      <c r="D990" s="10"/>
      <c r="E990" s="11"/>
      <c r="F990" s="12"/>
      <c r="G990" s="13"/>
      <c r="H990" s="13"/>
      <c r="L990" s="14"/>
      <c r="M990" s="15"/>
      <c r="N990" s="15"/>
      <c r="O990" s="15"/>
      <c r="P990" s="15"/>
      <c r="Q990" s="12"/>
      <c r="R990" s="12"/>
      <c r="S990" s="12"/>
      <c r="T990" s="12"/>
      <c r="AO990" s="16"/>
    </row>
    <row r="991" s="1" customFormat="1" spans="4:41">
      <c r="D991" s="10"/>
      <c r="E991" s="11"/>
      <c r="F991" s="12"/>
      <c r="G991" s="13"/>
      <c r="H991" s="13"/>
      <c r="L991" s="14"/>
      <c r="M991" s="15"/>
      <c r="N991" s="15"/>
      <c r="O991" s="15"/>
      <c r="P991" s="15"/>
      <c r="Q991" s="12"/>
      <c r="R991" s="12"/>
      <c r="S991" s="12"/>
      <c r="T991" s="12"/>
      <c r="AO991" s="16"/>
    </row>
    <row r="992" s="1" customFormat="1" spans="4:41">
      <c r="D992" s="10"/>
      <c r="E992" s="11"/>
      <c r="F992" s="12"/>
      <c r="G992" s="13"/>
      <c r="H992" s="13"/>
      <c r="L992" s="14"/>
      <c r="M992" s="15"/>
      <c r="N992" s="15"/>
      <c r="O992" s="15"/>
      <c r="P992" s="15"/>
      <c r="Q992" s="12"/>
      <c r="R992" s="12"/>
      <c r="S992" s="12"/>
      <c r="T992" s="12"/>
      <c r="AO992" s="16"/>
    </row>
    <row r="993" s="1" customFormat="1" spans="4:41">
      <c r="D993" s="10"/>
      <c r="E993" s="11"/>
      <c r="F993" s="12"/>
      <c r="G993" s="13"/>
      <c r="H993" s="13"/>
      <c r="L993" s="14"/>
      <c r="M993" s="15"/>
      <c r="N993" s="15"/>
      <c r="O993" s="15"/>
      <c r="P993" s="15"/>
      <c r="Q993" s="12"/>
      <c r="R993" s="12"/>
      <c r="S993" s="12"/>
      <c r="T993" s="12"/>
      <c r="AO993" s="16"/>
    </row>
    <row r="994" s="1" customFormat="1" spans="4:41">
      <c r="D994" s="10"/>
      <c r="E994" s="11"/>
      <c r="F994" s="12"/>
      <c r="G994" s="13"/>
      <c r="H994" s="13"/>
      <c r="L994" s="14"/>
      <c r="M994" s="15"/>
      <c r="N994" s="15"/>
      <c r="O994" s="15"/>
      <c r="P994" s="15"/>
      <c r="Q994" s="12"/>
      <c r="R994" s="12"/>
      <c r="S994" s="12"/>
      <c r="T994" s="12"/>
      <c r="AO994" s="16"/>
    </row>
    <row r="995" s="1" customFormat="1" spans="4:41">
      <c r="D995" s="10"/>
      <c r="E995" s="11"/>
      <c r="F995" s="12"/>
      <c r="G995" s="13"/>
      <c r="H995" s="13"/>
      <c r="L995" s="14"/>
      <c r="M995" s="15"/>
      <c r="N995" s="15"/>
      <c r="O995" s="15"/>
      <c r="P995" s="15"/>
      <c r="Q995" s="12"/>
      <c r="R995" s="12"/>
      <c r="S995" s="12"/>
      <c r="T995" s="12"/>
      <c r="AO995" s="16"/>
    </row>
    <row r="996" s="1" customFormat="1" spans="4:41">
      <c r="D996" s="10"/>
      <c r="E996" s="11"/>
      <c r="F996" s="12"/>
      <c r="G996" s="13"/>
      <c r="H996" s="13"/>
      <c r="L996" s="14"/>
      <c r="M996" s="15"/>
      <c r="N996" s="15"/>
      <c r="O996" s="15"/>
      <c r="P996" s="15"/>
      <c r="Q996" s="12"/>
      <c r="R996" s="12"/>
      <c r="S996" s="12"/>
      <c r="T996" s="12"/>
      <c r="AO996" s="16"/>
    </row>
    <row r="997" s="1" customFormat="1" spans="4:41">
      <c r="D997" s="10"/>
      <c r="E997" s="11"/>
      <c r="F997" s="12"/>
      <c r="G997" s="13"/>
      <c r="H997" s="13"/>
      <c r="L997" s="14"/>
      <c r="M997" s="15"/>
      <c r="N997" s="15"/>
      <c r="O997" s="15"/>
      <c r="P997" s="15"/>
      <c r="Q997" s="12"/>
      <c r="R997" s="12"/>
      <c r="S997" s="12"/>
      <c r="T997" s="12"/>
      <c r="AO997" s="16"/>
    </row>
    <row r="998" s="1" customFormat="1" spans="4:41">
      <c r="D998" s="10"/>
      <c r="E998" s="11"/>
      <c r="F998" s="12"/>
      <c r="G998" s="13"/>
      <c r="H998" s="13"/>
      <c r="L998" s="14"/>
      <c r="M998" s="15"/>
      <c r="N998" s="15"/>
      <c r="O998" s="15"/>
      <c r="P998" s="15"/>
      <c r="Q998" s="12"/>
      <c r="R998" s="12"/>
      <c r="S998" s="12"/>
      <c r="T998" s="12"/>
      <c r="AO998" s="16"/>
    </row>
    <row r="999" s="1" customFormat="1" spans="4:41">
      <c r="D999" s="10"/>
      <c r="E999" s="11"/>
      <c r="F999" s="12"/>
      <c r="G999" s="13"/>
      <c r="H999" s="13"/>
      <c r="L999" s="14"/>
      <c r="M999" s="15"/>
      <c r="N999" s="15"/>
      <c r="O999" s="15"/>
      <c r="P999" s="15"/>
      <c r="Q999" s="12"/>
      <c r="R999" s="12"/>
      <c r="S999" s="12"/>
      <c r="T999" s="12"/>
      <c r="AO999" s="16"/>
    </row>
    <row r="1000" s="1" customFormat="1" spans="4:41">
      <c r="D1000" s="10"/>
      <c r="E1000" s="11"/>
      <c r="F1000" s="12"/>
      <c r="G1000" s="13"/>
      <c r="H1000" s="13"/>
      <c r="L1000" s="14"/>
      <c r="M1000" s="15"/>
      <c r="N1000" s="15"/>
      <c r="O1000" s="15"/>
      <c r="P1000" s="15"/>
      <c r="Q1000" s="12"/>
      <c r="R1000" s="12"/>
      <c r="S1000" s="12"/>
      <c r="T1000" s="12"/>
      <c r="AO1000" s="16"/>
    </row>
    <row r="1001" s="1" customFormat="1" spans="4:41">
      <c r="D1001" s="10"/>
      <c r="E1001" s="11"/>
      <c r="F1001" s="12"/>
      <c r="G1001" s="13"/>
      <c r="H1001" s="13"/>
      <c r="L1001" s="14"/>
      <c r="M1001" s="15"/>
      <c r="N1001" s="15"/>
      <c r="O1001" s="15"/>
      <c r="P1001" s="15"/>
      <c r="Q1001" s="12"/>
      <c r="R1001" s="12"/>
      <c r="S1001" s="12"/>
      <c r="T1001" s="12"/>
      <c r="AO1001" s="16"/>
    </row>
    <row r="1002" s="1" customFormat="1" spans="4:41">
      <c r="D1002" s="10"/>
      <c r="E1002" s="11"/>
      <c r="F1002" s="12"/>
      <c r="G1002" s="13"/>
      <c r="H1002" s="13"/>
      <c r="L1002" s="14"/>
      <c r="M1002" s="15"/>
      <c r="N1002" s="15"/>
      <c r="O1002" s="15"/>
      <c r="P1002" s="15"/>
      <c r="Q1002" s="12"/>
      <c r="R1002" s="12"/>
      <c r="S1002" s="12"/>
      <c r="T1002" s="12"/>
      <c r="AO1002" s="16"/>
    </row>
    <row r="1003" s="1" customFormat="1" spans="4:41">
      <c r="D1003" s="10"/>
      <c r="E1003" s="11"/>
      <c r="F1003" s="12"/>
      <c r="G1003" s="13"/>
      <c r="H1003" s="13"/>
      <c r="L1003" s="14"/>
      <c r="M1003" s="15"/>
      <c r="N1003" s="15"/>
      <c r="O1003" s="15"/>
      <c r="P1003" s="15"/>
      <c r="Q1003" s="12"/>
      <c r="R1003" s="12"/>
      <c r="S1003" s="12"/>
      <c r="T1003" s="12"/>
      <c r="AO1003" s="16"/>
    </row>
    <row r="1004" s="1" customFormat="1" spans="4:41">
      <c r="D1004" s="10"/>
      <c r="E1004" s="11"/>
      <c r="F1004" s="12"/>
      <c r="G1004" s="13"/>
      <c r="H1004" s="13"/>
      <c r="L1004" s="14"/>
      <c r="M1004" s="15"/>
      <c r="N1004" s="15"/>
      <c r="O1004" s="15"/>
      <c r="P1004" s="15"/>
      <c r="Q1004" s="12"/>
      <c r="R1004" s="12"/>
      <c r="S1004" s="12"/>
      <c r="T1004" s="12"/>
      <c r="AO1004" s="16"/>
    </row>
    <row r="1005" s="1" customFormat="1" spans="4:41">
      <c r="D1005" s="10"/>
      <c r="E1005" s="11"/>
      <c r="F1005" s="12"/>
      <c r="G1005" s="13"/>
      <c r="H1005" s="13"/>
      <c r="L1005" s="14"/>
      <c r="M1005" s="15"/>
      <c r="N1005" s="15"/>
      <c r="O1005" s="15"/>
      <c r="P1005" s="15"/>
      <c r="Q1005" s="12"/>
      <c r="R1005" s="12"/>
      <c r="S1005" s="12"/>
      <c r="T1005" s="12"/>
      <c r="AO1005" s="16"/>
    </row>
    <row r="1006" s="1" customFormat="1" spans="4:41">
      <c r="D1006" s="10"/>
      <c r="E1006" s="11"/>
      <c r="F1006" s="12"/>
      <c r="G1006" s="13"/>
      <c r="H1006" s="13"/>
      <c r="L1006" s="14"/>
      <c r="M1006" s="15"/>
      <c r="N1006" s="15"/>
      <c r="O1006" s="15"/>
      <c r="P1006" s="15"/>
      <c r="Q1006" s="12"/>
      <c r="R1006" s="12"/>
      <c r="S1006" s="12"/>
      <c r="T1006" s="12"/>
      <c r="AO1006" s="16"/>
    </row>
    <row r="1007" s="1" customFormat="1" spans="4:41">
      <c r="D1007" s="10"/>
      <c r="E1007" s="11"/>
      <c r="F1007" s="12"/>
      <c r="G1007" s="13"/>
      <c r="H1007" s="13"/>
      <c r="L1007" s="14"/>
      <c r="M1007" s="15"/>
      <c r="N1007" s="15"/>
      <c r="O1007" s="15"/>
      <c r="P1007" s="15"/>
      <c r="Q1007" s="12"/>
      <c r="R1007" s="12"/>
      <c r="S1007" s="12"/>
      <c r="T1007" s="12"/>
      <c r="AO1007" s="16"/>
    </row>
    <row r="1008" s="1" customFormat="1" spans="4:41">
      <c r="D1008" s="10"/>
      <c r="E1008" s="11"/>
      <c r="F1008" s="12"/>
      <c r="G1008" s="13"/>
      <c r="H1008" s="13"/>
      <c r="L1008" s="14"/>
      <c r="M1008" s="15"/>
      <c r="N1008" s="15"/>
      <c r="O1008" s="15"/>
      <c r="P1008" s="15"/>
      <c r="Q1008" s="12"/>
      <c r="R1008" s="12"/>
      <c r="S1008" s="12"/>
      <c r="T1008" s="12"/>
      <c r="AO1008" s="16"/>
    </row>
    <row r="1009" s="1" customFormat="1" spans="4:41">
      <c r="D1009" s="10"/>
      <c r="E1009" s="11"/>
      <c r="F1009" s="12"/>
      <c r="G1009" s="13"/>
      <c r="H1009" s="13"/>
      <c r="L1009" s="14"/>
      <c r="M1009" s="15"/>
      <c r="N1009" s="15"/>
      <c r="O1009" s="15"/>
      <c r="P1009" s="15"/>
      <c r="Q1009" s="12"/>
      <c r="R1009" s="12"/>
      <c r="S1009" s="12"/>
      <c r="T1009" s="12"/>
      <c r="AO1009" s="16"/>
    </row>
    <row r="1010" s="1" customFormat="1" spans="4:41">
      <c r="D1010" s="10"/>
      <c r="E1010" s="11"/>
      <c r="F1010" s="12"/>
      <c r="G1010" s="13"/>
      <c r="H1010" s="13"/>
      <c r="L1010" s="14"/>
      <c r="M1010" s="15"/>
      <c r="N1010" s="15"/>
      <c r="O1010" s="15"/>
      <c r="P1010" s="15"/>
      <c r="Q1010" s="12"/>
      <c r="R1010" s="12"/>
      <c r="S1010" s="12"/>
      <c r="T1010" s="12"/>
      <c r="AO1010" s="16"/>
    </row>
    <row r="1011" s="1" customFormat="1" spans="4:41">
      <c r="D1011" s="10"/>
      <c r="E1011" s="11"/>
      <c r="F1011" s="12"/>
      <c r="G1011" s="13"/>
      <c r="H1011" s="13"/>
      <c r="L1011" s="14"/>
      <c r="M1011" s="15"/>
      <c r="N1011" s="15"/>
      <c r="O1011" s="15"/>
      <c r="P1011" s="15"/>
      <c r="Q1011" s="12"/>
      <c r="R1011" s="12"/>
      <c r="S1011" s="12"/>
      <c r="T1011" s="12"/>
      <c r="AO1011" s="16"/>
    </row>
    <row r="1012" s="1" customFormat="1" spans="4:41">
      <c r="D1012" s="10"/>
      <c r="E1012" s="11"/>
      <c r="F1012" s="12"/>
      <c r="G1012" s="13"/>
      <c r="H1012" s="13"/>
      <c r="L1012" s="14"/>
      <c r="M1012" s="15"/>
      <c r="N1012" s="15"/>
      <c r="O1012" s="15"/>
      <c r="P1012" s="15"/>
      <c r="Q1012" s="12"/>
      <c r="R1012" s="12"/>
      <c r="S1012" s="12"/>
      <c r="T1012" s="12"/>
      <c r="AO1012" s="16"/>
    </row>
    <row r="1013" s="1" customFormat="1" spans="4:41">
      <c r="D1013" s="10"/>
      <c r="E1013" s="11"/>
      <c r="F1013" s="12"/>
      <c r="G1013" s="13"/>
      <c r="H1013" s="13"/>
      <c r="L1013" s="14"/>
      <c r="M1013" s="15"/>
      <c r="N1013" s="15"/>
      <c r="O1013" s="15"/>
      <c r="P1013" s="15"/>
      <c r="Q1013" s="12"/>
      <c r="R1013" s="12"/>
      <c r="S1013" s="12"/>
      <c r="T1013" s="12"/>
      <c r="AO1013" s="16"/>
    </row>
    <row r="1014" s="1" customFormat="1" spans="4:41">
      <c r="D1014" s="10"/>
      <c r="E1014" s="11"/>
      <c r="F1014" s="12"/>
      <c r="G1014" s="13"/>
      <c r="H1014" s="13"/>
      <c r="L1014" s="14"/>
      <c r="M1014" s="15"/>
      <c r="N1014" s="15"/>
      <c r="O1014" s="15"/>
      <c r="P1014" s="15"/>
      <c r="Q1014" s="12"/>
      <c r="R1014" s="12"/>
      <c r="S1014" s="12"/>
      <c r="T1014" s="12"/>
      <c r="AO1014" s="16"/>
    </row>
    <row r="1015" s="1" customFormat="1" spans="4:41">
      <c r="D1015" s="10"/>
      <c r="E1015" s="11"/>
      <c r="F1015" s="12"/>
      <c r="G1015" s="13"/>
      <c r="H1015" s="13"/>
      <c r="L1015" s="14"/>
      <c r="M1015" s="15"/>
      <c r="N1015" s="15"/>
      <c r="O1015" s="15"/>
      <c r="P1015" s="15"/>
      <c r="Q1015" s="12"/>
      <c r="R1015" s="12"/>
      <c r="S1015" s="12"/>
      <c r="T1015" s="12"/>
      <c r="AO1015" s="16"/>
    </row>
    <row r="1016" s="1" customFormat="1" spans="4:41">
      <c r="D1016" s="10"/>
      <c r="E1016" s="11"/>
      <c r="F1016" s="12"/>
      <c r="G1016" s="13"/>
      <c r="H1016" s="13"/>
      <c r="L1016" s="14"/>
      <c r="M1016" s="15"/>
      <c r="N1016" s="15"/>
      <c r="O1016" s="15"/>
      <c r="P1016" s="15"/>
      <c r="Q1016" s="12"/>
      <c r="R1016" s="12"/>
      <c r="S1016" s="12"/>
      <c r="T1016" s="12"/>
      <c r="AO1016" s="16"/>
    </row>
    <row r="1017" s="1" customFormat="1" spans="4:41">
      <c r="D1017" s="10"/>
      <c r="E1017" s="11"/>
      <c r="F1017" s="12"/>
      <c r="G1017" s="13"/>
      <c r="H1017" s="13"/>
      <c r="L1017" s="14"/>
      <c r="M1017" s="15"/>
      <c r="N1017" s="15"/>
      <c r="O1017" s="15"/>
      <c r="P1017" s="15"/>
      <c r="Q1017" s="12"/>
      <c r="R1017" s="12"/>
      <c r="S1017" s="12"/>
      <c r="T1017" s="12"/>
      <c r="AO1017" s="16"/>
    </row>
    <row r="1018" s="1" customFormat="1" spans="4:41">
      <c r="D1018" s="10"/>
      <c r="E1018" s="11"/>
      <c r="F1018" s="12"/>
      <c r="G1018" s="13"/>
      <c r="H1018" s="13"/>
      <c r="L1018" s="14"/>
      <c r="M1018" s="15"/>
      <c r="N1018" s="15"/>
      <c r="O1018" s="15"/>
      <c r="P1018" s="15"/>
      <c r="Q1018" s="12"/>
      <c r="R1018" s="12"/>
      <c r="S1018" s="12"/>
      <c r="T1018" s="12"/>
      <c r="AO1018" s="16"/>
    </row>
    <row r="1019" s="1" customFormat="1" spans="4:41">
      <c r="D1019" s="10"/>
      <c r="E1019" s="11"/>
      <c r="F1019" s="12"/>
      <c r="G1019" s="13"/>
      <c r="H1019" s="13"/>
      <c r="L1019" s="14"/>
      <c r="M1019" s="15"/>
      <c r="N1019" s="15"/>
      <c r="O1019" s="15"/>
      <c r="P1019" s="15"/>
      <c r="Q1019" s="12"/>
      <c r="R1019" s="12"/>
      <c r="S1019" s="12"/>
      <c r="T1019" s="12"/>
      <c r="AO1019" s="16"/>
    </row>
    <row r="1020" s="1" customFormat="1" spans="4:41">
      <c r="D1020" s="10"/>
      <c r="E1020" s="11"/>
      <c r="F1020" s="12"/>
      <c r="G1020" s="13"/>
      <c r="H1020" s="13"/>
      <c r="L1020" s="14"/>
      <c r="M1020" s="15"/>
      <c r="N1020" s="15"/>
      <c r="O1020" s="15"/>
      <c r="P1020" s="15"/>
      <c r="Q1020" s="12"/>
      <c r="R1020" s="12"/>
      <c r="S1020" s="12"/>
      <c r="T1020" s="12"/>
      <c r="AO1020" s="16"/>
    </row>
    <row r="1021" s="1" customFormat="1" spans="4:41">
      <c r="D1021" s="10"/>
      <c r="E1021" s="11"/>
      <c r="F1021" s="12"/>
      <c r="G1021" s="13"/>
      <c r="H1021" s="13"/>
      <c r="L1021" s="14"/>
      <c r="M1021" s="15"/>
      <c r="N1021" s="15"/>
      <c r="O1021" s="15"/>
      <c r="P1021" s="15"/>
      <c r="Q1021" s="12"/>
      <c r="R1021" s="12"/>
      <c r="S1021" s="12"/>
      <c r="T1021" s="12"/>
      <c r="AO1021" s="16"/>
    </row>
    <row r="1022" s="1" customFormat="1" spans="4:41">
      <c r="D1022" s="10"/>
      <c r="E1022" s="11"/>
      <c r="F1022" s="12"/>
      <c r="G1022" s="13"/>
      <c r="H1022" s="13"/>
      <c r="L1022" s="14"/>
      <c r="M1022" s="15"/>
      <c r="N1022" s="15"/>
      <c r="O1022" s="15"/>
      <c r="P1022" s="15"/>
      <c r="Q1022" s="12"/>
      <c r="R1022" s="12"/>
      <c r="S1022" s="12"/>
      <c r="T1022" s="12"/>
      <c r="AO1022" s="16"/>
    </row>
    <row r="1023" s="1" customFormat="1" spans="4:41">
      <c r="D1023" s="10"/>
      <c r="E1023" s="11"/>
      <c r="F1023" s="12"/>
      <c r="G1023" s="13"/>
      <c r="H1023" s="13"/>
      <c r="L1023" s="14"/>
      <c r="M1023" s="15"/>
      <c r="N1023" s="15"/>
      <c r="O1023" s="15"/>
      <c r="P1023" s="15"/>
      <c r="Q1023" s="12"/>
      <c r="R1023" s="12"/>
      <c r="S1023" s="12"/>
      <c r="T1023" s="12"/>
      <c r="AO1023" s="16"/>
    </row>
    <row r="1024" s="1" customFormat="1" spans="4:41">
      <c r="D1024" s="10"/>
      <c r="E1024" s="11"/>
      <c r="F1024" s="12"/>
      <c r="G1024" s="13"/>
      <c r="H1024" s="13"/>
      <c r="L1024" s="14"/>
      <c r="M1024" s="15"/>
      <c r="N1024" s="15"/>
      <c r="O1024" s="15"/>
      <c r="P1024" s="15"/>
      <c r="Q1024" s="12"/>
      <c r="R1024" s="12"/>
      <c r="S1024" s="12"/>
      <c r="T1024" s="12"/>
      <c r="AO1024" s="16"/>
    </row>
    <row r="1025" s="1" customFormat="1" spans="4:41">
      <c r="D1025" s="10"/>
      <c r="E1025" s="11"/>
      <c r="F1025" s="12"/>
      <c r="G1025" s="13"/>
      <c r="H1025" s="13"/>
      <c r="L1025" s="14"/>
      <c r="M1025" s="15"/>
      <c r="N1025" s="15"/>
      <c r="O1025" s="15"/>
      <c r="P1025" s="15"/>
      <c r="Q1025" s="12"/>
      <c r="R1025" s="12"/>
      <c r="S1025" s="12"/>
      <c r="T1025" s="12"/>
      <c r="AO1025" s="16"/>
    </row>
    <row r="1026" s="1" customFormat="1" spans="4:41">
      <c r="D1026" s="10"/>
      <c r="E1026" s="11"/>
      <c r="F1026" s="12"/>
      <c r="G1026" s="13"/>
      <c r="H1026" s="13"/>
      <c r="L1026" s="14"/>
      <c r="M1026" s="15"/>
      <c r="N1026" s="15"/>
      <c r="O1026" s="15"/>
      <c r="P1026" s="15"/>
      <c r="Q1026" s="12"/>
      <c r="R1026" s="12"/>
      <c r="S1026" s="12"/>
      <c r="T1026" s="12"/>
      <c r="AO1026" s="16"/>
    </row>
    <row r="1027" s="1" customFormat="1" spans="4:41">
      <c r="D1027" s="10"/>
      <c r="E1027" s="11"/>
      <c r="F1027" s="12"/>
      <c r="G1027" s="13"/>
      <c r="H1027" s="13"/>
      <c r="L1027" s="14"/>
      <c r="M1027" s="15"/>
      <c r="N1027" s="15"/>
      <c r="O1027" s="15"/>
      <c r="P1027" s="15"/>
      <c r="Q1027" s="12"/>
      <c r="R1027" s="12"/>
      <c r="S1027" s="12"/>
      <c r="T1027" s="12"/>
      <c r="AO1027" s="16"/>
    </row>
    <row r="1028" s="1" customFormat="1" spans="4:41">
      <c r="D1028" s="10"/>
      <c r="E1028" s="11"/>
      <c r="F1028" s="12"/>
      <c r="G1028" s="13"/>
      <c r="H1028" s="13"/>
      <c r="L1028" s="14"/>
      <c r="M1028" s="15"/>
      <c r="N1028" s="15"/>
      <c r="O1028" s="15"/>
      <c r="P1028" s="15"/>
      <c r="Q1028" s="12"/>
      <c r="R1028" s="12"/>
      <c r="S1028" s="12"/>
      <c r="T1028" s="12"/>
      <c r="AO1028" s="16"/>
    </row>
    <row r="1029" s="1" customFormat="1" spans="4:41">
      <c r="D1029" s="10"/>
      <c r="E1029" s="11"/>
      <c r="F1029" s="12"/>
      <c r="G1029" s="13"/>
      <c r="H1029" s="13"/>
      <c r="L1029" s="14"/>
      <c r="M1029" s="15"/>
      <c r="N1029" s="15"/>
      <c r="O1029" s="15"/>
      <c r="P1029" s="15"/>
      <c r="Q1029" s="12"/>
      <c r="R1029" s="12"/>
      <c r="S1029" s="12"/>
      <c r="T1029" s="12"/>
      <c r="AO1029" s="16"/>
    </row>
    <row r="1030" s="1" customFormat="1" spans="4:41">
      <c r="D1030" s="10"/>
      <c r="E1030" s="11"/>
      <c r="F1030" s="12"/>
      <c r="G1030" s="13"/>
      <c r="H1030" s="13"/>
      <c r="L1030" s="14"/>
      <c r="M1030" s="15"/>
      <c r="N1030" s="15"/>
      <c r="O1030" s="15"/>
      <c r="P1030" s="15"/>
      <c r="Q1030" s="12"/>
      <c r="R1030" s="12"/>
      <c r="S1030" s="12"/>
      <c r="T1030" s="12"/>
      <c r="AO1030" s="16"/>
    </row>
    <row r="1031" s="1" customFormat="1" spans="4:41">
      <c r="D1031" s="10"/>
      <c r="E1031" s="11"/>
      <c r="F1031" s="12"/>
      <c r="G1031" s="13"/>
      <c r="H1031" s="13"/>
      <c r="L1031" s="14"/>
      <c r="M1031" s="15"/>
      <c r="N1031" s="15"/>
      <c r="O1031" s="15"/>
      <c r="P1031" s="15"/>
      <c r="Q1031" s="12"/>
      <c r="R1031" s="12"/>
      <c r="S1031" s="12"/>
      <c r="T1031" s="12"/>
      <c r="AO1031" s="16"/>
    </row>
    <row r="1032" s="1" customFormat="1" spans="4:41">
      <c r="D1032" s="10"/>
      <c r="E1032" s="11"/>
      <c r="F1032" s="12"/>
      <c r="G1032" s="13"/>
      <c r="H1032" s="13"/>
      <c r="L1032" s="14"/>
      <c r="M1032" s="15"/>
      <c r="N1032" s="15"/>
      <c r="O1032" s="15"/>
      <c r="P1032" s="15"/>
      <c r="Q1032" s="12"/>
      <c r="R1032" s="12"/>
      <c r="S1032" s="12"/>
      <c r="T1032" s="12"/>
      <c r="AO1032" s="16"/>
    </row>
    <row r="1033" s="1" customFormat="1" spans="4:41">
      <c r="D1033" s="10"/>
      <c r="E1033" s="11"/>
      <c r="F1033" s="12"/>
      <c r="G1033" s="13"/>
      <c r="H1033" s="13"/>
      <c r="L1033" s="14"/>
      <c r="M1033" s="15"/>
      <c r="N1033" s="15"/>
      <c r="O1033" s="15"/>
      <c r="P1033" s="15"/>
      <c r="Q1033" s="12"/>
      <c r="R1033" s="12"/>
      <c r="S1033" s="12"/>
      <c r="T1033" s="12"/>
      <c r="AO1033" s="16"/>
    </row>
    <row r="1034" s="1" customFormat="1" spans="4:41">
      <c r="D1034" s="10"/>
      <c r="E1034" s="11"/>
      <c r="F1034" s="12"/>
      <c r="G1034" s="13"/>
      <c r="H1034" s="13"/>
      <c r="L1034" s="14"/>
      <c r="M1034" s="15"/>
      <c r="N1034" s="15"/>
      <c r="O1034" s="15"/>
      <c r="P1034" s="15"/>
      <c r="Q1034" s="12"/>
      <c r="R1034" s="12"/>
      <c r="S1034" s="12"/>
      <c r="T1034" s="12"/>
      <c r="AO1034" s="16"/>
    </row>
    <row r="1035" s="1" customFormat="1" spans="4:41">
      <c r="D1035" s="10"/>
      <c r="E1035" s="11"/>
      <c r="F1035" s="12"/>
      <c r="G1035" s="13"/>
      <c r="H1035" s="13"/>
      <c r="L1035" s="14"/>
      <c r="M1035" s="15"/>
      <c r="N1035" s="15"/>
      <c r="O1035" s="15"/>
      <c r="P1035" s="15"/>
      <c r="Q1035" s="12"/>
      <c r="R1035" s="12"/>
      <c r="S1035" s="12"/>
      <c r="T1035" s="12"/>
      <c r="AO1035" s="16"/>
    </row>
    <row r="1036" s="1" customFormat="1" spans="4:41">
      <c r="D1036" s="10"/>
      <c r="E1036" s="11"/>
      <c r="F1036" s="12"/>
      <c r="G1036" s="13"/>
      <c r="H1036" s="13"/>
      <c r="L1036" s="14"/>
      <c r="M1036" s="15"/>
      <c r="N1036" s="15"/>
      <c r="O1036" s="15"/>
      <c r="P1036" s="15"/>
      <c r="Q1036" s="12"/>
      <c r="R1036" s="12"/>
      <c r="S1036" s="12"/>
      <c r="T1036" s="12"/>
      <c r="AO1036" s="16"/>
    </row>
    <row r="1037" s="1" customFormat="1" spans="4:41">
      <c r="D1037" s="10"/>
      <c r="E1037" s="11"/>
      <c r="F1037" s="12"/>
      <c r="G1037" s="13"/>
      <c r="H1037" s="13"/>
      <c r="L1037" s="14"/>
      <c r="M1037" s="15"/>
      <c r="N1037" s="15"/>
      <c r="O1037" s="15"/>
      <c r="P1037" s="15"/>
      <c r="Q1037" s="12"/>
      <c r="R1037" s="12"/>
      <c r="S1037" s="12"/>
      <c r="T1037" s="12"/>
      <c r="AO1037" s="16"/>
    </row>
    <row r="1038" s="1" customFormat="1" spans="4:41">
      <c r="D1038" s="10"/>
      <c r="E1038" s="11"/>
      <c r="F1038" s="12"/>
      <c r="G1038" s="13"/>
      <c r="H1038" s="13"/>
      <c r="L1038" s="14"/>
      <c r="M1038" s="15"/>
      <c r="N1038" s="15"/>
      <c r="O1038" s="15"/>
      <c r="P1038" s="15"/>
      <c r="Q1038" s="12"/>
      <c r="R1038" s="12"/>
      <c r="S1038" s="12"/>
      <c r="T1038" s="12"/>
      <c r="AO1038" s="16"/>
    </row>
    <row r="1039" s="1" customFormat="1" spans="4:41">
      <c r="D1039" s="10"/>
      <c r="E1039" s="11"/>
      <c r="F1039" s="12"/>
      <c r="G1039" s="13"/>
      <c r="H1039" s="13"/>
      <c r="L1039" s="14"/>
      <c r="M1039" s="15"/>
      <c r="N1039" s="15"/>
      <c r="O1039" s="15"/>
      <c r="P1039" s="15"/>
      <c r="Q1039" s="12"/>
      <c r="R1039" s="12"/>
      <c r="S1039" s="12"/>
      <c r="T1039" s="12"/>
      <c r="AO1039" s="16"/>
    </row>
    <row r="1040" s="1" customFormat="1" spans="4:41">
      <c r="D1040" s="10"/>
      <c r="E1040" s="11"/>
      <c r="F1040" s="12"/>
      <c r="G1040" s="13"/>
      <c r="H1040" s="13"/>
      <c r="L1040" s="14"/>
      <c r="M1040" s="15"/>
      <c r="N1040" s="15"/>
      <c r="O1040" s="15"/>
      <c r="P1040" s="15"/>
      <c r="Q1040" s="12"/>
      <c r="R1040" s="12"/>
      <c r="S1040" s="12"/>
      <c r="T1040" s="12"/>
      <c r="AO1040" s="16"/>
    </row>
    <row r="1041" s="1" customFormat="1" spans="4:41">
      <c r="D1041" s="10"/>
      <c r="E1041" s="11"/>
      <c r="F1041" s="12"/>
      <c r="G1041" s="13"/>
      <c r="H1041" s="13"/>
      <c r="L1041" s="14"/>
      <c r="M1041" s="15"/>
      <c r="N1041" s="15"/>
      <c r="O1041" s="15"/>
      <c r="P1041" s="15"/>
      <c r="Q1041" s="12"/>
      <c r="R1041" s="12"/>
      <c r="S1041" s="12"/>
      <c r="T1041" s="12"/>
      <c r="AO1041" s="16"/>
    </row>
    <row r="1042" s="1" customFormat="1" spans="4:41">
      <c r="D1042" s="10"/>
      <c r="E1042" s="11"/>
      <c r="F1042" s="12"/>
      <c r="G1042" s="13"/>
      <c r="H1042" s="13"/>
      <c r="L1042" s="14"/>
      <c r="M1042" s="15"/>
      <c r="N1042" s="15"/>
      <c r="O1042" s="15"/>
      <c r="P1042" s="15"/>
      <c r="Q1042" s="12"/>
      <c r="R1042" s="12"/>
      <c r="S1042" s="12"/>
      <c r="T1042" s="12"/>
      <c r="AO1042" s="16"/>
    </row>
    <row r="1043" s="1" customFormat="1" spans="4:41">
      <c r="D1043" s="10"/>
      <c r="E1043" s="11"/>
      <c r="F1043" s="12"/>
      <c r="G1043" s="13"/>
      <c r="H1043" s="13"/>
      <c r="L1043" s="14"/>
      <c r="M1043" s="15"/>
      <c r="N1043" s="15"/>
      <c r="O1043" s="15"/>
      <c r="P1043" s="15"/>
      <c r="Q1043" s="12"/>
      <c r="R1043" s="12"/>
      <c r="S1043" s="12"/>
      <c r="T1043" s="12"/>
      <c r="AO1043" s="16"/>
    </row>
    <row r="1044" s="1" customFormat="1" spans="4:41">
      <c r="D1044" s="10"/>
      <c r="E1044" s="11"/>
      <c r="F1044" s="12"/>
      <c r="G1044" s="13"/>
      <c r="H1044" s="13"/>
      <c r="L1044" s="14"/>
      <c r="M1044" s="15"/>
      <c r="N1044" s="15"/>
      <c r="O1044" s="15"/>
      <c r="P1044" s="15"/>
      <c r="Q1044" s="12"/>
      <c r="R1044" s="12"/>
      <c r="S1044" s="12"/>
      <c r="T1044" s="12"/>
      <c r="AO1044" s="16"/>
    </row>
    <row r="1045" s="1" customFormat="1" spans="4:41">
      <c r="D1045" s="10"/>
      <c r="E1045" s="11"/>
      <c r="F1045" s="12"/>
      <c r="G1045" s="13"/>
      <c r="H1045" s="13"/>
      <c r="L1045" s="14"/>
      <c r="M1045" s="15"/>
      <c r="N1045" s="15"/>
      <c r="O1045" s="15"/>
      <c r="P1045" s="15"/>
      <c r="Q1045" s="12"/>
      <c r="R1045" s="12"/>
      <c r="S1045" s="12"/>
      <c r="T1045" s="12"/>
      <c r="AO1045" s="16"/>
    </row>
    <row r="1046" s="1" customFormat="1" spans="4:41">
      <c r="D1046" s="10"/>
      <c r="E1046" s="11"/>
      <c r="F1046" s="12"/>
      <c r="G1046" s="13"/>
      <c r="H1046" s="13"/>
      <c r="L1046" s="14"/>
      <c r="M1046" s="15"/>
      <c r="N1046" s="15"/>
      <c r="O1046" s="15"/>
      <c r="P1046" s="15"/>
      <c r="Q1046" s="12"/>
      <c r="R1046" s="12"/>
      <c r="S1046" s="12"/>
      <c r="T1046" s="12"/>
      <c r="AO1046" s="16"/>
    </row>
    <row r="1047" s="1" customFormat="1" spans="4:41">
      <c r="D1047" s="10"/>
      <c r="E1047" s="11"/>
      <c r="F1047" s="12"/>
      <c r="G1047" s="13"/>
      <c r="H1047" s="13"/>
      <c r="L1047" s="14"/>
      <c r="M1047" s="15"/>
      <c r="N1047" s="15"/>
      <c r="O1047" s="15"/>
      <c r="P1047" s="15"/>
      <c r="Q1047" s="12"/>
      <c r="R1047" s="12"/>
      <c r="S1047" s="12"/>
      <c r="T1047" s="12"/>
      <c r="AO1047" s="16"/>
    </row>
    <row r="1048" s="1" customFormat="1" spans="4:41">
      <c r="D1048" s="10"/>
      <c r="E1048" s="11"/>
      <c r="F1048" s="12"/>
      <c r="G1048" s="13"/>
      <c r="H1048" s="13"/>
      <c r="L1048" s="14"/>
      <c r="M1048" s="15"/>
      <c r="N1048" s="15"/>
      <c r="O1048" s="15"/>
      <c r="P1048" s="15"/>
      <c r="Q1048" s="12"/>
      <c r="R1048" s="12"/>
      <c r="S1048" s="12"/>
      <c r="T1048" s="12"/>
      <c r="AO1048" s="16"/>
    </row>
    <row r="1049" s="1" customFormat="1" spans="4:41">
      <c r="D1049" s="10"/>
      <c r="E1049" s="11"/>
      <c r="F1049" s="12"/>
      <c r="G1049" s="13"/>
      <c r="H1049" s="13"/>
      <c r="L1049" s="14"/>
      <c r="M1049" s="15"/>
      <c r="N1049" s="15"/>
      <c r="O1049" s="15"/>
      <c r="P1049" s="15"/>
      <c r="Q1049" s="12"/>
      <c r="R1049" s="12"/>
      <c r="S1049" s="12"/>
      <c r="T1049" s="12"/>
      <c r="AO1049" s="16"/>
    </row>
    <row r="1050" s="1" customFormat="1" spans="4:41">
      <c r="D1050" s="10"/>
      <c r="E1050" s="11"/>
      <c r="F1050" s="12"/>
      <c r="G1050" s="13"/>
      <c r="H1050" s="13"/>
      <c r="L1050" s="14"/>
      <c r="M1050" s="15"/>
      <c r="N1050" s="15"/>
      <c r="O1050" s="15"/>
      <c r="P1050" s="15"/>
      <c r="Q1050" s="12"/>
      <c r="R1050" s="12"/>
      <c r="S1050" s="12"/>
      <c r="T1050" s="12"/>
      <c r="AO1050" s="16"/>
    </row>
    <row r="1051" s="1" customFormat="1" spans="4:41">
      <c r="D1051" s="10"/>
      <c r="E1051" s="11"/>
      <c r="F1051" s="12"/>
      <c r="G1051" s="13"/>
      <c r="H1051" s="13"/>
      <c r="L1051" s="14"/>
      <c r="M1051" s="15"/>
      <c r="N1051" s="15"/>
      <c r="O1051" s="15"/>
      <c r="P1051" s="15"/>
      <c r="Q1051" s="12"/>
      <c r="R1051" s="12"/>
      <c r="S1051" s="12"/>
      <c r="T1051" s="12"/>
      <c r="AO1051" s="16"/>
    </row>
    <row r="1052" s="1" customFormat="1" spans="4:41">
      <c r="D1052" s="10"/>
      <c r="E1052" s="11"/>
      <c r="F1052" s="12"/>
      <c r="G1052" s="13"/>
      <c r="H1052" s="13"/>
      <c r="L1052" s="14"/>
      <c r="M1052" s="15"/>
      <c r="N1052" s="15"/>
      <c r="O1052" s="15"/>
      <c r="P1052" s="15"/>
      <c r="Q1052" s="12"/>
      <c r="R1052" s="12"/>
      <c r="S1052" s="12"/>
      <c r="T1052" s="12"/>
      <c r="AO1052" s="16"/>
    </row>
    <row r="1053" s="1" customFormat="1" spans="4:41">
      <c r="D1053" s="10"/>
      <c r="E1053" s="11"/>
      <c r="F1053" s="12"/>
      <c r="G1053" s="13"/>
      <c r="H1053" s="13"/>
      <c r="L1053" s="14"/>
      <c r="M1053" s="15"/>
      <c r="N1053" s="15"/>
      <c r="O1053" s="15"/>
      <c r="P1053" s="15"/>
      <c r="Q1053" s="12"/>
      <c r="R1053" s="12"/>
      <c r="S1053" s="12"/>
      <c r="T1053" s="12"/>
      <c r="AO1053" s="16"/>
    </row>
    <row r="1054" s="1" customFormat="1" spans="4:41">
      <c r="D1054" s="10"/>
      <c r="E1054" s="11"/>
      <c r="F1054" s="12"/>
      <c r="G1054" s="13"/>
      <c r="H1054" s="13"/>
      <c r="L1054" s="14"/>
      <c r="M1054" s="15"/>
      <c r="N1054" s="15"/>
      <c r="O1054" s="15"/>
      <c r="P1054" s="15"/>
      <c r="Q1054" s="12"/>
      <c r="R1054" s="12"/>
      <c r="S1054" s="12"/>
      <c r="T1054" s="12"/>
      <c r="AO1054" s="16"/>
    </row>
    <row r="1055" s="1" customFormat="1" spans="4:41">
      <c r="D1055" s="10"/>
      <c r="E1055" s="11"/>
      <c r="F1055" s="12"/>
      <c r="G1055" s="13"/>
      <c r="H1055" s="13"/>
      <c r="L1055" s="14"/>
      <c r="M1055" s="15"/>
      <c r="N1055" s="15"/>
      <c r="O1055" s="15"/>
      <c r="P1055" s="15"/>
      <c r="Q1055" s="12"/>
      <c r="R1055" s="12"/>
      <c r="S1055" s="12"/>
      <c r="T1055" s="12"/>
      <c r="AO1055" s="16"/>
    </row>
    <row r="1056" s="1" customFormat="1" spans="4:41">
      <c r="D1056" s="10"/>
      <c r="E1056" s="11"/>
      <c r="F1056" s="12"/>
      <c r="G1056" s="13"/>
      <c r="H1056" s="13"/>
      <c r="L1056" s="14"/>
      <c r="M1056" s="15"/>
      <c r="N1056" s="15"/>
      <c r="O1056" s="15"/>
      <c r="P1056" s="15"/>
      <c r="Q1056" s="12"/>
      <c r="R1056" s="12"/>
      <c r="S1056" s="12"/>
      <c r="T1056" s="12"/>
      <c r="AO1056" s="16"/>
    </row>
    <row r="1057" s="1" customFormat="1" spans="4:41">
      <c r="D1057" s="10"/>
      <c r="E1057" s="11"/>
      <c r="F1057" s="12"/>
      <c r="G1057" s="13"/>
      <c r="H1057" s="13"/>
      <c r="L1057" s="14"/>
      <c r="M1057" s="15"/>
      <c r="N1057" s="15"/>
      <c r="O1057" s="15"/>
      <c r="P1057" s="15"/>
      <c r="Q1057" s="12"/>
      <c r="R1057" s="12"/>
      <c r="S1057" s="12"/>
      <c r="T1057" s="12"/>
      <c r="AO1057" s="16"/>
    </row>
    <row r="1058" s="1" customFormat="1" spans="4:41">
      <c r="D1058" s="10"/>
      <c r="E1058" s="11"/>
      <c r="F1058" s="12"/>
      <c r="G1058" s="13"/>
      <c r="H1058" s="13"/>
      <c r="L1058" s="14"/>
      <c r="M1058" s="15"/>
      <c r="N1058" s="15"/>
      <c r="O1058" s="15"/>
      <c r="P1058" s="15"/>
      <c r="Q1058" s="12"/>
      <c r="R1058" s="12"/>
      <c r="S1058" s="12"/>
      <c r="T1058" s="12"/>
      <c r="AO1058" s="16"/>
    </row>
    <row r="1059" s="1" customFormat="1" spans="4:41">
      <c r="D1059" s="10"/>
      <c r="E1059" s="11"/>
      <c r="F1059" s="12"/>
      <c r="G1059" s="13"/>
      <c r="H1059" s="13"/>
      <c r="L1059" s="14"/>
      <c r="M1059" s="15"/>
      <c r="N1059" s="15"/>
      <c r="O1059" s="15"/>
      <c r="P1059" s="15"/>
      <c r="Q1059" s="12"/>
      <c r="R1059" s="12"/>
      <c r="S1059" s="12"/>
      <c r="T1059" s="12"/>
      <c r="AO1059" s="16"/>
    </row>
    <row r="1060" s="1" customFormat="1" spans="4:41">
      <c r="D1060" s="10"/>
      <c r="E1060" s="11"/>
      <c r="F1060" s="12"/>
      <c r="G1060" s="13"/>
      <c r="H1060" s="13"/>
      <c r="L1060" s="14"/>
      <c r="M1060" s="15"/>
      <c r="N1060" s="15"/>
      <c r="O1060" s="15"/>
      <c r="P1060" s="15"/>
      <c r="Q1060" s="12"/>
      <c r="R1060" s="12"/>
      <c r="S1060" s="12"/>
      <c r="T1060" s="12"/>
      <c r="AO1060" s="16"/>
    </row>
    <row r="1061" s="1" customFormat="1" spans="4:41">
      <c r="D1061" s="10"/>
      <c r="E1061" s="11"/>
      <c r="F1061" s="12"/>
      <c r="G1061" s="13"/>
      <c r="H1061" s="13"/>
      <c r="L1061" s="14"/>
      <c r="M1061" s="15"/>
      <c r="N1061" s="15"/>
      <c r="O1061" s="15"/>
      <c r="P1061" s="15"/>
      <c r="Q1061" s="12"/>
      <c r="R1061" s="12"/>
      <c r="S1061" s="12"/>
      <c r="T1061" s="12"/>
      <c r="AO1061" s="16"/>
    </row>
    <row r="1062" s="1" customFormat="1" spans="4:41">
      <c r="D1062" s="10"/>
      <c r="E1062" s="11"/>
      <c r="F1062" s="12"/>
      <c r="G1062" s="13"/>
      <c r="H1062" s="13"/>
      <c r="L1062" s="14"/>
      <c r="M1062" s="15"/>
      <c r="N1062" s="15"/>
      <c r="O1062" s="15"/>
      <c r="P1062" s="15"/>
      <c r="Q1062" s="12"/>
      <c r="R1062" s="12"/>
      <c r="S1062" s="12"/>
      <c r="T1062" s="12"/>
      <c r="AO1062" s="16"/>
    </row>
    <row r="1063" s="1" customFormat="1" spans="4:41">
      <c r="D1063" s="10"/>
      <c r="E1063" s="11"/>
      <c r="F1063" s="12"/>
      <c r="G1063" s="13"/>
      <c r="H1063" s="13"/>
      <c r="L1063" s="14"/>
      <c r="M1063" s="15"/>
      <c r="N1063" s="15"/>
      <c r="O1063" s="15"/>
      <c r="P1063" s="15"/>
      <c r="Q1063" s="12"/>
      <c r="R1063" s="12"/>
      <c r="S1063" s="12"/>
      <c r="T1063" s="12"/>
      <c r="AO1063" s="16"/>
    </row>
    <row r="1064" s="1" customFormat="1" spans="4:41">
      <c r="D1064" s="10"/>
      <c r="E1064" s="11"/>
      <c r="F1064" s="12"/>
      <c r="G1064" s="13"/>
      <c r="H1064" s="13"/>
      <c r="L1064" s="14"/>
      <c r="M1064" s="15"/>
      <c r="N1064" s="15"/>
      <c r="O1064" s="15"/>
      <c r="P1064" s="15"/>
      <c r="Q1064" s="12"/>
      <c r="R1064" s="12"/>
      <c r="S1064" s="12"/>
      <c r="T1064" s="12"/>
      <c r="AO1064" s="16"/>
    </row>
    <row r="1065" s="1" customFormat="1" spans="4:41">
      <c r="D1065" s="10"/>
      <c r="E1065" s="11"/>
      <c r="F1065" s="12"/>
      <c r="G1065" s="13"/>
      <c r="H1065" s="13"/>
      <c r="L1065" s="14"/>
      <c r="M1065" s="15"/>
      <c r="N1065" s="15"/>
      <c r="O1065" s="15"/>
      <c r="P1065" s="15"/>
      <c r="Q1065" s="12"/>
      <c r="R1065" s="12"/>
      <c r="S1065" s="12"/>
      <c r="T1065" s="12"/>
      <c r="AO1065" s="16"/>
    </row>
    <row r="1066" s="1" customFormat="1" spans="4:41">
      <c r="D1066" s="10"/>
      <c r="E1066" s="11"/>
      <c r="F1066" s="12"/>
      <c r="G1066" s="13"/>
      <c r="H1066" s="13"/>
      <c r="L1066" s="14"/>
      <c r="M1066" s="15"/>
      <c r="N1066" s="15"/>
      <c r="O1066" s="15"/>
      <c r="P1066" s="15"/>
      <c r="Q1066" s="12"/>
      <c r="R1066" s="12"/>
      <c r="S1066" s="12"/>
      <c r="T1066" s="12"/>
      <c r="AO1066" s="16"/>
    </row>
    <row r="1067" s="1" customFormat="1" spans="4:41">
      <c r="D1067" s="10"/>
      <c r="E1067" s="11"/>
      <c r="F1067" s="12"/>
      <c r="G1067" s="13"/>
      <c r="H1067" s="13"/>
      <c r="L1067" s="14"/>
      <c r="M1067" s="15"/>
      <c r="N1067" s="15"/>
      <c r="O1067" s="15"/>
      <c r="P1067" s="15"/>
      <c r="Q1067" s="12"/>
      <c r="R1067" s="12"/>
      <c r="S1067" s="12"/>
      <c r="T1067" s="12"/>
      <c r="AO1067" s="16"/>
    </row>
    <row r="1068" s="1" customFormat="1" spans="4:41">
      <c r="D1068" s="10"/>
      <c r="E1068" s="11"/>
      <c r="F1068" s="12"/>
      <c r="G1068" s="13"/>
      <c r="H1068" s="13"/>
      <c r="L1068" s="14"/>
      <c r="M1068" s="15"/>
      <c r="N1068" s="15"/>
      <c r="O1068" s="15"/>
      <c r="P1068" s="15"/>
      <c r="Q1068" s="12"/>
      <c r="R1068" s="12"/>
      <c r="S1068" s="12"/>
      <c r="T1068" s="12"/>
      <c r="AO1068" s="16"/>
    </row>
    <row r="1069" s="1" customFormat="1" spans="4:41">
      <c r="D1069" s="10"/>
      <c r="E1069" s="11"/>
      <c r="F1069" s="12"/>
      <c r="G1069" s="13"/>
      <c r="H1069" s="13"/>
      <c r="L1069" s="14"/>
      <c r="M1069" s="15"/>
      <c r="N1069" s="15"/>
      <c r="O1069" s="15"/>
      <c r="P1069" s="15"/>
      <c r="Q1069" s="12"/>
      <c r="R1069" s="12"/>
      <c r="S1069" s="12"/>
      <c r="T1069" s="12"/>
      <c r="AO1069" s="16"/>
    </row>
    <row r="1070" s="1" customFormat="1" spans="4:41">
      <c r="D1070" s="10"/>
      <c r="E1070" s="11"/>
      <c r="F1070" s="12"/>
      <c r="G1070" s="13"/>
      <c r="H1070" s="13"/>
      <c r="L1070" s="14"/>
      <c r="M1070" s="15"/>
      <c r="N1070" s="15"/>
      <c r="O1070" s="15"/>
      <c r="P1070" s="15"/>
      <c r="Q1070" s="12"/>
      <c r="R1070" s="12"/>
      <c r="S1070" s="12"/>
      <c r="T1070" s="12"/>
      <c r="AO1070" s="16"/>
    </row>
    <row r="1071" s="1" customFormat="1" spans="4:41">
      <c r="D1071" s="10"/>
      <c r="E1071" s="11"/>
      <c r="F1071" s="12"/>
      <c r="G1071" s="13"/>
      <c r="H1071" s="13"/>
      <c r="L1071" s="14"/>
      <c r="M1071" s="15"/>
      <c r="N1071" s="15"/>
      <c r="O1071" s="15"/>
      <c r="P1071" s="15"/>
      <c r="Q1071" s="12"/>
      <c r="R1071" s="12"/>
      <c r="S1071" s="12"/>
      <c r="T1071" s="12"/>
      <c r="AO1071" s="16"/>
    </row>
    <row r="1072" s="1" customFormat="1" spans="4:41">
      <c r="D1072" s="10"/>
      <c r="E1072" s="11"/>
      <c r="F1072" s="12"/>
      <c r="G1072" s="13"/>
      <c r="H1072" s="13"/>
      <c r="L1072" s="14"/>
      <c r="M1072" s="15"/>
      <c r="N1072" s="15"/>
      <c r="O1072" s="15"/>
      <c r="P1072" s="15"/>
      <c r="Q1072" s="12"/>
      <c r="R1072" s="12"/>
      <c r="S1072" s="12"/>
      <c r="T1072" s="12"/>
      <c r="AO1072" s="16"/>
    </row>
    <row r="1073" s="1" customFormat="1" spans="4:41">
      <c r="D1073" s="10"/>
      <c r="E1073" s="11"/>
      <c r="F1073" s="12"/>
      <c r="G1073" s="13"/>
      <c r="H1073" s="13"/>
      <c r="L1073" s="14"/>
      <c r="M1073" s="15"/>
      <c r="N1073" s="15"/>
      <c r="O1073" s="15"/>
      <c r="P1073" s="15"/>
      <c r="Q1073" s="12"/>
      <c r="R1073" s="12"/>
      <c r="S1073" s="12"/>
      <c r="T1073" s="12"/>
      <c r="AO1073" s="16"/>
    </row>
    <row r="1074" s="1" customFormat="1" spans="4:41">
      <c r="D1074" s="10"/>
      <c r="E1074" s="11"/>
      <c r="F1074" s="12"/>
      <c r="G1074" s="13"/>
      <c r="H1074" s="13"/>
      <c r="L1074" s="14"/>
      <c r="M1074" s="15"/>
      <c r="N1074" s="15"/>
      <c r="O1074" s="15"/>
      <c r="P1074" s="15"/>
      <c r="Q1074" s="12"/>
      <c r="R1074" s="12"/>
      <c r="S1074" s="12"/>
      <c r="T1074" s="12"/>
      <c r="AO1074" s="16"/>
    </row>
    <row r="1075" s="1" customFormat="1" spans="4:41">
      <c r="D1075" s="10"/>
      <c r="E1075" s="11"/>
      <c r="F1075" s="12"/>
      <c r="G1075" s="13"/>
      <c r="H1075" s="13"/>
      <c r="L1075" s="14"/>
      <c r="M1075" s="15"/>
      <c r="N1075" s="15"/>
      <c r="O1075" s="15"/>
      <c r="P1075" s="15"/>
      <c r="Q1075" s="12"/>
      <c r="R1075" s="12"/>
      <c r="S1075" s="12"/>
      <c r="T1075" s="12"/>
      <c r="AO1075" s="16"/>
    </row>
    <row r="1076" s="1" customFormat="1" spans="4:41">
      <c r="D1076" s="10"/>
      <c r="E1076" s="11"/>
      <c r="F1076" s="12"/>
      <c r="G1076" s="13"/>
      <c r="H1076" s="13"/>
      <c r="L1076" s="14"/>
      <c r="M1076" s="15"/>
      <c r="N1076" s="15"/>
      <c r="O1076" s="15"/>
      <c r="P1076" s="15"/>
      <c r="Q1076" s="12"/>
      <c r="R1076" s="12"/>
      <c r="S1076" s="12"/>
      <c r="T1076" s="12"/>
      <c r="AO1076" s="16"/>
    </row>
    <row r="1077" s="1" customFormat="1" spans="4:41">
      <c r="D1077" s="10"/>
      <c r="E1077" s="11"/>
      <c r="F1077" s="12"/>
      <c r="G1077" s="13"/>
      <c r="H1077" s="13"/>
      <c r="L1077" s="14"/>
      <c r="M1077" s="15"/>
      <c r="N1077" s="15"/>
      <c r="O1077" s="15"/>
      <c r="P1077" s="15"/>
      <c r="Q1077" s="12"/>
      <c r="R1077" s="12"/>
      <c r="S1077" s="12"/>
      <c r="T1077" s="12"/>
      <c r="AO1077" s="16"/>
    </row>
    <row r="1078" s="1" customFormat="1" spans="4:41">
      <c r="D1078" s="10"/>
      <c r="E1078" s="11"/>
      <c r="F1078" s="12"/>
      <c r="G1078" s="13"/>
      <c r="H1078" s="13"/>
      <c r="L1078" s="14"/>
      <c r="M1078" s="15"/>
      <c r="N1078" s="15"/>
      <c r="O1078" s="15"/>
      <c r="P1078" s="15"/>
      <c r="Q1078" s="12"/>
      <c r="R1078" s="12"/>
      <c r="S1078" s="12"/>
      <c r="T1078" s="12"/>
      <c r="AO1078" s="16"/>
    </row>
    <row r="1079" s="1" customFormat="1" spans="4:41">
      <c r="D1079" s="10"/>
      <c r="E1079" s="11"/>
      <c r="F1079" s="12"/>
      <c r="G1079" s="13"/>
      <c r="H1079" s="13"/>
      <c r="L1079" s="14"/>
      <c r="M1079" s="15"/>
      <c r="N1079" s="15"/>
      <c r="O1079" s="15"/>
      <c r="P1079" s="15"/>
      <c r="Q1079" s="12"/>
      <c r="R1079" s="12"/>
      <c r="S1079" s="12"/>
      <c r="T1079" s="12"/>
      <c r="AO1079" s="16"/>
    </row>
    <row r="1080" s="1" customFormat="1" spans="4:41">
      <c r="D1080" s="10"/>
      <c r="E1080" s="11"/>
      <c r="F1080" s="12"/>
      <c r="G1080" s="13"/>
      <c r="H1080" s="13"/>
      <c r="L1080" s="14"/>
      <c r="M1080" s="15"/>
      <c r="N1080" s="15"/>
      <c r="O1080" s="15"/>
      <c r="P1080" s="15"/>
      <c r="Q1080" s="12"/>
      <c r="R1080" s="12"/>
      <c r="S1080" s="12"/>
      <c r="T1080" s="12"/>
      <c r="AO1080" s="16"/>
    </row>
    <row r="1081" s="1" customFormat="1" spans="4:41">
      <c r="D1081" s="10"/>
      <c r="E1081" s="11"/>
      <c r="F1081" s="12"/>
      <c r="G1081" s="13"/>
      <c r="H1081" s="13"/>
      <c r="L1081" s="14"/>
      <c r="M1081" s="15"/>
      <c r="N1081" s="15"/>
      <c r="O1081" s="15"/>
      <c r="P1081" s="15"/>
      <c r="Q1081" s="12"/>
      <c r="R1081" s="12"/>
      <c r="S1081" s="12"/>
      <c r="T1081" s="12"/>
      <c r="AO1081" s="16"/>
    </row>
    <row r="1082" s="1" customFormat="1" spans="4:41">
      <c r="D1082" s="10"/>
      <c r="E1082" s="11"/>
      <c r="F1082" s="12"/>
      <c r="G1082" s="13"/>
      <c r="H1082" s="13"/>
      <c r="L1082" s="14"/>
      <c r="M1082" s="15"/>
      <c r="N1082" s="15"/>
      <c r="O1082" s="15"/>
      <c r="P1082" s="15"/>
      <c r="Q1082" s="12"/>
      <c r="R1082" s="12"/>
      <c r="S1082" s="12"/>
      <c r="T1082" s="12"/>
      <c r="AO1082" s="16"/>
    </row>
    <row r="1083" s="1" customFormat="1" spans="4:41">
      <c r="D1083" s="10"/>
      <c r="E1083" s="11"/>
      <c r="F1083" s="12"/>
      <c r="G1083" s="13"/>
      <c r="H1083" s="13"/>
      <c r="L1083" s="14"/>
      <c r="M1083" s="15"/>
      <c r="N1083" s="15"/>
      <c r="O1083" s="15"/>
      <c r="P1083" s="15"/>
      <c r="Q1083" s="12"/>
      <c r="R1083" s="12"/>
      <c r="S1083" s="12"/>
      <c r="T1083" s="12"/>
      <c r="AO1083" s="16"/>
    </row>
    <row r="1084" s="1" customFormat="1" spans="4:41">
      <c r="D1084" s="10"/>
      <c r="E1084" s="11"/>
      <c r="F1084" s="12"/>
      <c r="G1084" s="13"/>
      <c r="H1084" s="13"/>
      <c r="L1084" s="14"/>
      <c r="M1084" s="15"/>
      <c r="N1084" s="15"/>
      <c r="O1084" s="15"/>
      <c r="P1084" s="15"/>
      <c r="Q1084" s="12"/>
      <c r="R1084" s="12"/>
      <c r="S1084" s="12"/>
      <c r="T1084" s="12"/>
      <c r="AO1084" s="16"/>
    </row>
    <row r="1085" s="1" customFormat="1" spans="4:41">
      <c r="D1085" s="10"/>
      <c r="E1085" s="11"/>
      <c r="F1085" s="12"/>
      <c r="G1085" s="13"/>
      <c r="H1085" s="13"/>
      <c r="L1085" s="14"/>
      <c r="M1085" s="15"/>
      <c r="N1085" s="15"/>
      <c r="O1085" s="15"/>
      <c r="P1085" s="15"/>
      <c r="Q1085" s="12"/>
      <c r="R1085" s="12"/>
      <c r="S1085" s="12"/>
      <c r="T1085" s="12"/>
      <c r="AO1085" s="16"/>
    </row>
    <row r="1086" s="1" customFormat="1" spans="4:41">
      <c r="D1086" s="10"/>
      <c r="E1086" s="11"/>
      <c r="F1086" s="12"/>
      <c r="G1086" s="13"/>
      <c r="H1086" s="13"/>
      <c r="L1086" s="14"/>
      <c r="M1086" s="15"/>
      <c r="N1086" s="15"/>
      <c r="O1086" s="15"/>
      <c r="P1086" s="15"/>
      <c r="Q1086" s="12"/>
      <c r="R1086" s="12"/>
      <c r="S1086" s="12"/>
      <c r="T1086" s="12"/>
      <c r="AO1086" s="16"/>
    </row>
    <row r="1087" s="1" customFormat="1" spans="4:41">
      <c r="D1087" s="10"/>
      <c r="E1087" s="11"/>
      <c r="F1087" s="12"/>
      <c r="G1087" s="13"/>
      <c r="H1087" s="13"/>
      <c r="L1087" s="14"/>
      <c r="M1087" s="15"/>
      <c r="N1087" s="15"/>
      <c r="O1087" s="15"/>
      <c r="P1087" s="15"/>
      <c r="Q1087" s="12"/>
      <c r="R1087" s="12"/>
      <c r="S1087" s="12"/>
      <c r="T1087" s="12"/>
      <c r="AO1087" s="16"/>
    </row>
    <row r="1088" s="1" customFormat="1" spans="4:41">
      <c r="D1088" s="10"/>
      <c r="E1088" s="11"/>
      <c r="F1088" s="12"/>
      <c r="G1088" s="13"/>
      <c r="H1088" s="13"/>
      <c r="L1088" s="14"/>
      <c r="M1088" s="15"/>
      <c r="N1088" s="15"/>
      <c r="O1088" s="15"/>
      <c r="P1088" s="15"/>
      <c r="Q1088" s="12"/>
      <c r="R1088" s="12"/>
      <c r="S1088" s="12"/>
      <c r="T1088" s="12"/>
      <c r="AO1088" s="16"/>
    </row>
    <row r="1089" s="1" customFormat="1" spans="4:41">
      <c r="D1089" s="10"/>
      <c r="E1089" s="11"/>
      <c r="F1089" s="12"/>
      <c r="G1089" s="13"/>
      <c r="H1089" s="13"/>
      <c r="L1089" s="14"/>
      <c r="M1089" s="15"/>
      <c r="N1089" s="15"/>
      <c r="O1089" s="15"/>
      <c r="P1089" s="15"/>
      <c r="Q1089" s="12"/>
      <c r="R1089" s="12"/>
      <c r="S1089" s="12"/>
      <c r="T1089" s="12"/>
      <c r="AO1089" s="16"/>
    </row>
    <row r="1090" s="1" customFormat="1" spans="4:41">
      <c r="D1090" s="10"/>
      <c r="E1090" s="11"/>
      <c r="F1090" s="12"/>
      <c r="G1090" s="13"/>
      <c r="H1090" s="13"/>
      <c r="L1090" s="14"/>
      <c r="M1090" s="15"/>
      <c r="N1090" s="15"/>
      <c r="O1090" s="15"/>
      <c r="P1090" s="15"/>
      <c r="Q1090" s="12"/>
      <c r="R1090" s="12"/>
      <c r="S1090" s="12"/>
      <c r="T1090" s="12"/>
      <c r="AO1090" s="16"/>
    </row>
    <row r="1091" s="1" customFormat="1" spans="4:41">
      <c r="D1091" s="10"/>
      <c r="E1091" s="11"/>
      <c r="F1091" s="12"/>
      <c r="G1091" s="13"/>
      <c r="H1091" s="13"/>
      <c r="L1091" s="14"/>
      <c r="M1091" s="15"/>
      <c r="N1091" s="15"/>
      <c r="O1091" s="15"/>
      <c r="P1091" s="15"/>
      <c r="Q1091" s="12"/>
      <c r="R1091" s="12"/>
      <c r="S1091" s="12"/>
      <c r="T1091" s="12"/>
      <c r="AO1091" s="16"/>
    </row>
    <row r="1092" s="1" customFormat="1" spans="4:41">
      <c r="D1092" s="10"/>
      <c r="E1092" s="11"/>
      <c r="F1092" s="12"/>
      <c r="G1092" s="13"/>
      <c r="H1092" s="13"/>
      <c r="L1092" s="14"/>
      <c r="M1092" s="15"/>
      <c r="N1092" s="15"/>
      <c r="O1092" s="15"/>
      <c r="P1092" s="15"/>
      <c r="Q1092" s="12"/>
      <c r="R1092" s="12"/>
      <c r="S1092" s="12"/>
      <c r="T1092" s="12"/>
      <c r="AO1092" s="16"/>
    </row>
    <row r="1093" s="1" customFormat="1" spans="4:41">
      <c r="D1093" s="10"/>
      <c r="E1093" s="11"/>
      <c r="F1093" s="12"/>
      <c r="G1093" s="13"/>
      <c r="H1093" s="13"/>
      <c r="L1093" s="14"/>
      <c r="M1093" s="15"/>
      <c r="N1093" s="15"/>
      <c r="O1093" s="15"/>
      <c r="P1093" s="15"/>
      <c r="Q1093" s="12"/>
      <c r="R1093" s="12"/>
      <c r="S1093" s="12"/>
      <c r="T1093" s="12"/>
      <c r="AO1093" s="16"/>
    </row>
    <row r="1094" s="1" customFormat="1" spans="4:41">
      <c r="D1094" s="10"/>
      <c r="E1094" s="11"/>
      <c r="F1094" s="12"/>
      <c r="G1094" s="13"/>
      <c r="H1094" s="13"/>
      <c r="L1094" s="14"/>
      <c r="M1094" s="15"/>
      <c r="N1094" s="15"/>
      <c r="O1094" s="15"/>
      <c r="P1094" s="15"/>
      <c r="Q1094" s="12"/>
      <c r="R1094" s="12"/>
      <c r="S1094" s="12"/>
      <c r="T1094" s="12"/>
      <c r="AO1094" s="16"/>
    </row>
    <row r="1095" s="1" customFormat="1" spans="4:41">
      <c r="D1095" s="10"/>
      <c r="E1095" s="11"/>
      <c r="F1095" s="12"/>
      <c r="G1095" s="13"/>
      <c r="H1095" s="13"/>
      <c r="L1095" s="14"/>
      <c r="M1095" s="15"/>
      <c r="N1095" s="15"/>
      <c r="O1095" s="15"/>
      <c r="P1095" s="15"/>
      <c r="Q1095" s="12"/>
      <c r="R1095" s="12"/>
      <c r="S1095" s="12"/>
      <c r="T1095" s="12"/>
      <c r="AO1095" s="16"/>
    </row>
    <row r="1096" s="1" customFormat="1" spans="4:41">
      <c r="D1096" s="10"/>
      <c r="E1096" s="11"/>
      <c r="F1096" s="12"/>
      <c r="G1096" s="13"/>
      <c r="H1096" s="13"/>
      <c r="L1096" s="14"/>
      <c r="M1096" s="15"/>
      <c r="N1096" s="15"/>
      <c r="O1096" s="15"/>
      <c r="P1096" s="15"/>
      <c r="Q1096" s="12"/>
      <c r="R1096" s="12"/>
      <c r="S1096" s="12"/>
      <c r="T1096" s="12"/>
      <c r="AO1096" s="16"/>
    </row>
    <row r="1097" s="1" customFormat="1" spans="4:41">
      <c r="D1097" s="10"/>
      <c r="E1097" s="11"/>
      <c r="F1097" s="12"/>
      <c r="G1097" s="13"/>
      <c r="H1097" s="13"/>
      <c r="L1097" s="14"/>
      <c r="M1097" s="15"/>
      <c r="N1097" s="15"/>
      <c r="O1097" s="15"/>
      <c r="P1097" s="15"/>
      <c r="Q1097" s="12"/>
      <c r="R1097" s="12"/>
      <c r="S1097" s="12"/>
      <c r="T1097" s="12"/>
      <c r="AO1097" s="16"/>
    </row>
    <row r="1098" s="1" customFormat="1" spans="4:41">
      <c r="D1098" s="10"/>
      <c r="E1098" s="11"/>
      <c r="F1098" s="12"/>
      <c r="G1098" s="13"/>
      <c r="H1098" s="13"/>
      <c r="L1098" s="14"/>
      <c r="M1098" s="15"/>
      <c r="N1098" s="15"/>
      <c r="O1098" s="15"/>
      <c r="P1098" s="15"/>
      <c r="Q1098" s="12"/>
      <c r="R1098" s="12"/>
      <c r="S1098" s="12"/>
      <c r="T1098" s="12"/>
      <c r="AO1098" s="16"/>
    </row>
    <row r="1099" s="1" customFormat="1" spans="4:41">
      <c r="D1099" s="10"/>
      <c r="E1099" s="11"/>
      <c r="F1099" s="12"/>
      <c r="G1099" s="13"/>
      <c r="H1099" s="13"/>
      <c r="L1099" s="14"/>
      <c r="M1099" s="15"/>
      <c r="N1099" s="15"/>
      <c r="O1099" s="15"/>
      <c r="P1099" s="15"/>
      <c r="Q1099" s="12"/>
      <c r="R1099" s="12"/>
      <c r="S1099" s="12"/>
      <c r="T1099" s="12"/>
      <c r="AO1099" s="16"/>
    </row>
    <row r="1100" s="1" customFormat="1" spans="4:41">
      <c r="D1100" s="10"/>
      <c r="E1100" s="11"/>
      <c r="F1100" s="12"/>
      <c r="G1100" s="13"/>
      <c r="H1100" s="13"/>
      <c r="L1100" s="14"/>
      <c r="M1100" s="15"/>
      <c r="N1100" s="15"/>
      <c r="O1100" s="15"/>
      <c r="P1100" s="15"/>
      <c r="Q1100" s="12"/>
      <c r="R1100" s="12"/>
      <c r="S1100" s="12"/>
      <c r="T1100" s="12"/>
      <c r="AO1100" s="16"/>
    </row>
    <row r="1101" s="1" customFormat="1" spans="4:41">
      <c r="D1101" s="10"/>
      <c r="E1101" s="11"/>
      <c r="F1101" s="12"/>
      <c r="G1101" s="13"/>
      <c r="H1101" s="13"/>
      <c r="L1101" s="14"/>
      <c r="M1101" s="15"/>
      <c r="N1101" s="15"/>
      <c r="O1101" s="15"/>
      <c r="P1101" s="15"/>
      <c r="Q1101" s="12"/>
      <c r="R1101" s="12"/>
      <c r="S1101" s="12"/>
      <c r="T1101" s="12"/>
      <c r="AO1101" s="16"/>
    </row>
    <row r="1102" s="1" customFormat="1" spans="4:41">
      <c r="D1102" s="10"/>
      <c r="E1102" s="11"/>
      <c r="F1102" s="12"/>
      <c r="G1102" s="13"/>
      <c r="H1102" s="13"/>
      <c r="L1102" s="14"/>
      <c r="M1102" s="15"/>
      <c r="N1102" s="15"/>
      <c r="O1102" s="15"/>
      <c r="P1102" s="15"/>
      <c r="Q1102" s="12"/>
      <c r="R1102" s="12"/>
      <c r="S1102" s="12"/>
      <c r="T1102" s="12"/>
      <c r="AO1102" s="16"/>
    </row>
    <row r="1103" s="1" customFormat="1" spans="4:41">
      <c r="D1103" s="10"/>
      <c r="E1103" s="11"/>
      <c r="F1103" s="12"/>
      <c r="G1103" s="13"/>
      <c r="H1103" s="13"/>
      <c r="L1103" s="14"/>
      <c r="M1103" s="15"/>
      <c r="N1103" s="15"/>
      <c r="O1103" s="15"/>
      <c r="P1103" s="15"/>
      <c r="Q1103" s="12"/>
      <c r="R1103" s="12"/>
      <c r="S1103" s="12"/>
      <c r="T1103" s="12"/>
      <c r="AO1103" s="16"/>
    </row>
    <row r="1104" s="1" customFormat="1" spans="4:41">
      <c r="D1104" s="10"/>
      <c r="E1104" s="11"/>
      <c r="F1104" s="12"/>
      <c r="G1104" s="13"/>
      <c r="H1104" s="13"/>
      <c r="L1104" s="14"/>
      <c r="M1104" s="15"/>
      <c r="N1104" s="15"/>
      <c r="O1104" s="15"/>
      <c r="P1104" s="15"/>
      <c r="Q1104" s="12"/>
      <c r="R1104" s="12"/>
      <c r="S1104" s="12"/>
      <c r="T1104" s="12"/>
      <c r="AO1104" s="16"/>
    </row>
    <row r="1105" s="1" customFormat="1" spans="4:41">
      <c r="D1105" s="10"/>
      <c r="E1105" s="11"/>
      <c r="F1105" s="12"/>
      <c r="G1105" s="13"/>
      <c r="H1105" s="13"/>
      <c r="L1105" s="14"/>
      <c r="M1105" s="15"/>
      <c r="N1105" s="15"/>
      <c r="O1105" s="15"/>
      <c r="P1105" s="15"/>
      <c r="Q1105" s="12"/>
      <c r="R1105" s="12"/>
      <c r="S1105" s="12"/>
      <c r="T1105" s="12"/>
      <c r="AO1105" s="16"/>
    </row>
    <row r="1106" s="1" customFormat="1" spans="4:41">
      <c r="D1106" s="10"/>
      <c r="E1106" s="11"/>
      <c r="F1106" s="12"/>
      <c r="G1106" s="13"/>
      <c r="H1106" s="13"/>
      <c r="L1106" s="14"/>
      <c r="M1106" s="15"/>
      <c r="N1106" s="15"/>
      <c r="O1106" s="15"/>
      <c r="P1106" s="15"/>
      <c r="Q1106" s="12"/>
      <c r="R1106" s="12"/>
      <c r="S1106" s="12"/>
      <c r="T1106" s="12"/>
      <c r="AO1106" s="16"/>
    </row>
    <row r="1107" s="1" customFormat="1" spans="4:41">
      <c r="D1107" s="10"/>
      <c r="E1107" s="11"/>
      <c r="F1107" s="12"/>
      <c r="G1107" s="13"/>
      <c r="H1107" s="13"/>
      <c r="L1107" s="14"/>
      <c r="M1107" s="15"/>
      <c r="N1107" s="15"/>
      <c r="O1107" s="15"/>
      <c r="P1107" s="15"/>
      <c r="Q1107" s="12"/>
      <c r="R1107" s="12"/>
      <c r="S1107" s="12"/>
      <c r="T1107" s="12"/>
      <c r="AO1107" s="16"/>
    </row>
    <row r="1108" s="1" customFormat="1" spans="4:41">
      <c r="D1108" s="10"/>
      <c r="E1108" s="11"/>
      <c r="F1108" s="12"/>
      <c r="G1108" s="13"/>
      <c r="H1108" s="13"/>
      <c r="L1108" s="14"/>
      <c r="M1108" s="15"/>
      <c r="N1108" s="15"/>
      <c r="O1108" s="15"/>
      <c r="P1108" s="15"/>
      <c r="Q1108" s="12"/>
      <c r="R1108" s="12"/>
      <c r="S1108" s="12"/>
      <c r="T1108" s="12"/>
      <c r="AO1108" s="16"/>
    </row>
    <row r="1109" s="1" customFormat="1" spans="4:41">
      <c r="D1109" s="10"/>
      <c r="E1109" s="11"/>
      <c r="F1109" s="12"/>
      <c r="G1109" s="13"/>
      <c r="H1109" s="13"/>
      <c r="L1109" s="14"/>
      <c r="M1109" s="15"/>
      <c r="N1109" s="15"/>
      <c r="O1109" s="15"/>
      <c r="P1109" s="15"/>
      <c r="Q1109" s="12"/>
      <c r="R1109" s="12"/>
      <c r="S1109" s="12"/>
      <c r="T1109" s="12"/>
      <c r="AO1109" s="16"/>
    </row>
    <row r="1110" s="1" customFormat="1" spans="4:41">
      <c r="D1110" s="10"/>
      <c r="E1110" s="11"/>
      <c r="F1110" s="12"/>
      <c r="G1110" s="13"/>
      <c r="H1110" s="13"/>
      <c r="L1110" s="14"/>
      <c r="M1110" s="15"/>
      <c r="N1110" s="15"/>
      <c r="O1110" s="15"/>
      <c r="P1110" s="15"/>
      <c r="Q1110" s="12"/>
      <c r="R1110" s="12"/>
      <c r="S1110" s="12"/>
      <c r="T1110" s="12"/>
      <c r="AO1110" s="16"/>
    </row>
    <row r="1111" s="1" customFormat="1" spans="4:41">
      <c r="D1111" s="10"/>
      <c r="E1111" s="11"/>
      <c r="F1111" s="12"/>
      <c r="G1111" s="13"/>
      <c r="H1111" s="13"/>
      <c r="L1111" s="14"/>
      <c r="M1111" s="15"/>
      <c r="N1111" s="15"/>
      <c r="O1111" s="15"/>
      <c r="P1111" s="15"/>
      <c r="Q1111" s="12"/>
      <c r="R1111" s="12"/>
      <c r="S1111" s="12"/>
      <c r="T1111" s="12"/>
      <c r="AO1111" s="16"/>
    </row>
    <row r="1112" s="1" customFormat="1" spans="4:41">
      <c r="D1112" s="10"/>
      <c r="E1112" s="11"/>
      <c r="F1112" s="12"/>
      <c r="G1112" s="13"/>
      <c r="H1112" s="13"/>
      <c r="L1112" s="14"/>
      <c r="M1112" s="15"/>
      <c r="N1112" s="15"/>
      <c r="O1112" s="15"/>
      <c r="P1112" s="15"/>
      <c r="Q1112" s="12"/>
      <c r="R1112" s="12"/>
      <c r="S1112" s="12"/>
      <c r="T1112" s="12"/>
      <c r="AO1112" s="16"/>
    </row>
    <row r="1113" s="1" customFormat="1" spans="4:41">
      <c r="D1113" s="10"/>
      <c r="E1113" s="11"/>
      <c r="F1113" s="12"/>
      <c r="G1113" s="13"/>
      <c r="H1113" s="13"/>
      <c r="L1113" s="14"/>
      <c r="M1113" s="15"/>
      <c r="N1113" s="15"/>
      <c r="O1113" s="15"/>
      <c r="P1113" s="15"/>
      <c r="Q1113" s="12"/>
      <c r="R1113" s="12"/>
      <c r="S1113" s="12"/>
      <c r="T1113" s="12"/>
      <c r="AO1113" s="16"/>
    </row>
    <row r="1114" s="1" customFormat="1" spans="4:41">
      <c r="D1114" s="10"/>
      <c r="E1114" s="11"/>
      <c r="F1114" s="12"/>
      <c r="G1114" s="13"/>
      <c r="H1114" s="13"/>
      <c r="L1114" s="14"/>
      <c r="M1114" s="15"/>
      <c r="N1114" s="15"/>
      <c r="O1114" s="15"/>
      <c r="P1114" s="15"/>
      <c r="Q1114" s="12"/>
      <c r="R1114" s="12"/>
      <c r="S1114" s="12"/>
      <c r="T1114" s="12"/>
      <c r="AO1114" s="16"/>
    </row>
    <row r="1115" s="1" customFormat="1" spans="4:41">
      <c r="D1115" s="10"/>
      <c r="E1115" s="11"/>
      <c r="F1115" s="12"/>
      <c r="G1115" s="13"/>
      <c r="H1115" s="13"/>
      <c r="L1115" s="14"/>
      <c r="M1115" s="15"/>
      <c r="N1115" s="15"/>
      <c r="O1115" s="15"/>
      <c r="P1115" s="15"/>
      <c r="Q1115" s="12"/>
      <c r="R1115" s="12"/>
      <c r="S1115" s="12"/>
      <c r="T1115" s="12"/>
      <c r="AO1115" s="16"/>
    </row>
    <row r="1116" s="1" customFormat="1" spans="4:41">
      <c r="D1116" s="10"/>
      <c r="E1116" s="11"/>
      <c r="F1116" s="12"/>
      <c r="G1116" s="13"/>
      <c r="H1116" s="13"/>
      <c r="L1116" s="14"/>
      <c r="M1116" s="15"/>
      <c r="N1116" s="15"/>
      <c r="O1116" s="15"/>
      <c r="P1116" s="15"/>
      <c r="Q1116" s="12"/>
      <c r="R1116" s="12"/>
      <c r="S1116" s="12"/>
      <c r="T1116" s="12"/>
      <c r="AO1116" s="16"/>
    </row>
    <row r="1117" s="1" customFormat="1" spans="4:41">
      <c r="D1117" s="10"/>
      <c r="E1117" s="11"/>
      <c r="F1117" s="12"/>
      <c r="G1117" s="13"/>
      <c r="H1117" s="13"/>
      <c r="L1117" s="14"/>
      <c r="M1117" s="15"/>
      <c r="N1117" s="15"/>
      <c r="O1117" s="15"/>
      <c r="P1117" s="15"/>
      <c r="Q1117" s="12"/>
      <c r="R1117" s="12"/>
      <c r="S1117" s="12"/>
      <c r="T1117" s="12"/>
      <c r="AO1117" s="16"/>
    </row>
    <row r="1118" s="1" customFormat="1" spans="4:41">
      <c r="D1118" s="10"/>
      <c r="E1118" s="11"/>
      <c r="F1118" s="12"/>
      <c r="G1118" s="13"/>
      <c r="H1118" s="13"/>
      <c r="L1118" s="14"/>
      <c r="M1118" s="15"/>
      <c r="N1118" s="15"/>
      <c r="O1118" s="15"/>
      <c r="P1118" s="15"/>
      <c r="Q1118" s="12"/>
      <c r="R1118" s="12"/>
      <c r="S1118" s="12"/>
      <c r="T1118" s="12"/>
      <c r="AO1118" s="16"/>
    </row>
    <row r="1119" s="1" customFormat="1" spans="4:41">
      <c r="D1119" s="10"/>
      <c r="E1119" s="11"/>
      <c r="F1119" s="12"/>
      <c r="G1119" s="13"/>
      <c r="H1119" s="13"/>
      <c r="L1119" s="14"/>
      <c r="M1119" s="15"/>
      <c r="N1119" s="15"/>
      <c r="O1119" s="15"/>
      <c r="P1119" s="15"/>
      <c r="Q1119" s="12"/>
      <c r="R1119" s="12"/>
      <c r="S1119" s="12"/>
      <c r="T1119" s="12"/>
      <c r="AO1119" s="16"/>
    </row>
    <row r="1120" s="1" customFormat="1" spans="4:41">
      <c r="D1120" s="10"/>
      <c r="E1120" s="11"/>
      <c r="F1120" s="12"/>
      <c r="G1120" s="13"/>
      <c r="H1120" s="13"/>
      <c r="L1120" s="14"/>
      <c r="M1120" s="15"/>
      <c r="N1120" s="15"/>
      <c r="O1120" s="15"/>
      <c r="P1120" s="15"/>
      <c r="Q1120" s="12"/>
      <c r="R1120" s="12"/>
      <c r="S1120" s="12"/>
      <c r="T1120" s="12"/>
      <c r="AO1120" s="16"/>
    </row>
    <row r="1121" s="1" customFormat="1" spans="4:41">
      <c r="D1121" s="10"/>
      <c r="E1121" s="11"/>
      <c r="F1121" s="12"/>
      <c r="G1121" s="13"/>
      <c r="H1121" s="13"/>
      <c r="L1121" s="14"/>
      <c r="M1121" s="15"/>
      <c r="N1121" s="15"/>
      <c r="O1121" s="15"/>
      <c r="P1121" s="15"/>
      <c r="Q1121" s="12"/>
      <c r="R1121" s="12"/>
      <c r="S1121" s="12"/>
      <c r="T1121" s="12"/>
      <c r="AO1121" s="16"/>
    </row>
    <row r="1122" s="1" customFormat="1" spans="4:41">
      <c r="D1122" s="10"/>
      <c r="E1122" s="11"/>
      <c r="F1122" s="12"/>
      <c r="G1122" s="13"/>
      <c r="H1122" s="13"/>
      <c r="L1122" s="14"/>
      <c r="M1122" s="15"/>
      <c r="N1122" s="15"/>
      <c r="O1122" s="15"/>
      <c r="P1122" s="15"/>
      <c r="Q1122" s="12"/>
      <c r="R1122" s="12"/>
      <c r="S1122" s="12"/>
      <c r="T1122" s="12"/>
      <c r="AO1122" s="16"/>
    </row>
    <row r="1123" s="1" customFormat="1" spans="4:41">
      <c r="D1123" s="10"/>
      <c r="E1123" s="11"/>
      <c r="F1123" s="12"/>
      <c r="G1123" s="13"/>
      <c r="H1123" s="13"/>
      <c r="L1123" s="14"/>
      <c r="M1123" s="15"/>
      <c r="N1123" s="15"/>
      <c r="O1123" s="15"/>
      <c r="P1123" s="15"/>
      <c r="Q1123" s="12"/>
      <c r="R1123" s="12"/>
      <c r="S1123" s="12"/>
      <c r="T1123" s="12"/>
      <c r="AO1123" s="16"/>
    </row>
    <row r="1124" s="1" customFormat="1" spans="4:41">
      <c r="D1124" s="10"/>
      <c r="E1124" s="11"/>
      <c r="F1124" s="12"/>
      <c r="G1124" s="13"/>
      <c r="H1124" s="13"/>
      <c r="L1124" s="14"/>
      <c r="M1124" s="15"/>
      <c r="N1124" s="15"/>
      <c r="O1124" s="15"/>
      <c r="P1124" s="15"/>
      <c r="Q1124" s="12"/>
      <c r="R1124" s="12"/>
      <c r="S1124" s="12"/>
      <c r="T1124" s="12"/>
      <c r="AO1124" s="16"/>
    </row>
    <row r="1125" s="1" customFormat="1" spans="4:41">
      <c r="D1125" s="10"/>
      <c r="E1125" s="11"/>
      <c r="F1125" s="12"/>
      <c r="G1125" s="13"/>
      <c r="H1125" s="13"/>
      <c r="L1125" s="14"/>
      <c r="M1125" s="15"/>
      <c r="N1125" s="15"/>
      <c r="O1125" s="15"/>
      <c r="P1125" s="15"/>
      <c r="Q1125" s="12"/>
      <c r="R1125" s="12"/>
      <c r="S1125" s="12"/>
      <c r="T1125" s="12"/>
      <c r="AO1125" s="16"/>
    </row>
    <row r="1126" s="1" customFormat="1" spans="4:41">
      <c r="D1126" s="10"/>
      <c r="E1126" s="11"/>
      <c r="F1126" s="12"/>
      <c r="G1126" s="13"/>
      <c r="H1126" s="13"/>
      <c r="L1126" s="14"/>
      <c r="M1126" s="15"/>
      <c r="N1126" s="15"/>
      <c r="O1126" s="15"/>
      <c r="P1126" s="15"/>
      <c r="Q1126" s="12"/>
      <c r="R1126" s="12"/>
      <c r="S1126" s="12"/>
      <c r="T1126" s="12"/>
      <c r="AO1126" s="16"/>
    </row>
    <row r="1127" s="1" customFormat="1" spans="4:41">
      <c r="D1127" s="10"/>
      <c r="E1127" s="11"/>
      <c r="F1127" s="12"/>
      <c r="G1127" s="13"/>
      <c r="H1127" s="13"/>
      <c r="L1127" s="14"/>
      <c r="M1127" s="15"/>
      <c r="N1127" s="15"/>
      <c r="O1127" s="15"/>
      <c r="P1127" s="15"/>
      <c r="Q1127" s="12"/>
      <c r="R1127" s="12"/>
      <c r="S1127" s="12"/>
      <c r="T1127" s="12"/>
      <c r="AO1127" s="16"/>
    </row>
    <row r="1128" s="1" customFormat="1" spans="4:41">
      <c r="D1128" s="10"/>
      <c r="E1128" s="11"/>
      <c r="F1128" s="12"/>
      <c r="G1128" s="13"/>
      <c r="H1128" s="13"/>
      <c r="L1128" s="14"/>
      <c r="M1128" s="15"/>
      <c r="N1128" s="15"/>
      <c r="O1128" s="15"/>
      <c r="P1128" s="15"/>
      <c r="Q1128" s="12"/>
      <c r="R1128" s="12"/>
      <c r="S1128" s="12"/>
      <c r="T1128" s="12"/>
      <c r="AO1128" s="16"/>
    </row>
    <row r="1129" s="1" customFormat="1" spans="4:41">
      <c r="D1129" s="10"/>
      <c r="E1129" s="11"/>
      <c r="F1129" s="12"/>
      <c r="G1129" s="13"/>
      <c r="H1129" s="13"/>
      <c r="L1129" s="14"/>
      <c r="M1129" s="15"/>
      <c r="N1129" s="15"/>
      <c r="O1129" s="15"/>
      <c r="P1129" s="15"/>
      <c r="Q1129" s="12"/>
      <c r="R1129" s="12"/>
      <c r="S1129" s="12"/>
      <c r="T1129" s="12"/>
      <c r="AO1129" s="16"/>
    </row>
    <row r="1130" s="1" customFormat="1" spans="4:41">
      <c r="D1130" s="10"/>
      <c r="E1130" s="11"/>
      <c r="F1130" s="12"/>
      <c r="G1130" s="13"/>
      <c r="H1130" s="13"/>
      <c r="L1130" s="14"/>
      <c r="M1130" s="15"/>
      <c r="N1130" s="15"/>
      <c r="O1130" s="15"/>
      <c r="P1130" s="15"/>
      <c r="Q1130" s="12"/>
      <c r="R1130" s="12"/>
      <c r="S1130" s="12"/>
      <c r="T1130" s="12"/>
      <c r="AO1130" s="16"/>
    </row>
    <row r="1131" s="1" customFormat="1" spans="4:41">
      <c r="D1131" s="10"/>
      <c r="E1131" s="11"/>
      <c r="F1131" s="12"/>
      <c r="G1131" s="13"/>
      <c r="H1131" s="13"/>
      <c r="L1131" s="14"/>
      <c r="M1131" s="15"/>
      <c r="N1131" s="15"/>
      <c r="O1131" s="15"/>
      <c r="P1131" s="15"/>
      <c r="Q1131" s="12"/>
      <c r="R1131" s="12"/>
      <c r="S1131" s="12"/>
      <c r="T1131" s="12"/>
      <c r="AO1131" s="16"/>
    </row>
    <row r="1132" s="1" customFormat="1" spans="4:41">
      <c r="D1132" s="10"/>
      <c r="E1132" s="11"/>
      <c r="F1132" s="12"/>
      <c r="G1132" s="13"/>
      <c r="H1132" s="13"/>
      <c r="L1132" s="14"/>
      <c r="M1132" s="15"/>
      <c r="N1132" s="15"/>
      <c r="O1132" s="15"/>
      <c r="P1132" s="15"/>
      <c r="Q1132" s="12"/>
      <c r="R1132" s="12"/>
      <c r="S1132" s="12"/>
      <c r="T1132" s="12"/>
      <c r="AO1132" s="16"/>
    </row>
    <row r="1133" s="1" customFormat="1" spans="4:41">
      <c r="D1133" s="10"/>
      <c r="E1133" s="11"/>
      <c r="F1133" s="12"/>
      <c r="G1133" s="13"/>
      <c r="H1133" s="13"/>
      <c r="L1133" s="14"/>
      <c r="M1133" s="15"/>
      <c r="N1133" s="15"/>
      <c r="O1133" s="15"/>
      <c r="P1133" s="15"/>
      <c r="Q1133" s="12"/>
      <c r="R1133" s="12"/>
      <c r="S1133" s="12"/>
      <c r="T1133" s="12"/>
      <c r="AO1133" s="16"/>
    </row>
    <row r="1134" s="1" customFormat="1" spans="4:41">
      <c r="D1134" s="10"/>
      <c r="E1134" s="11"/>
      <c r="F1134" s="12"/>
      <c r="G1134" s="13"/>
      <c r="H1134" s="13"/>
      <c r="L1134" s="14"/>
      <c r="M1134" s="15"/>
      <c r="N1134" s="15"/>
      <c r="O1134" s="15"/>
      <c r="P1134" s="15"/>
      <c r="Q1134" s="12"/>
      <c r="R1134" s="12"/>
      <c r="S1134" s="12"/>
      <c r="T1134" s="12"/>
      <c r="AO1134" s="16"/>
    </row>
    <row r="1135" s="1" customFormat="1" spans="4:41">
      <c r="D1135" s="10"/>
      <c r="E1135" s="11"/>
      <c r="F1135" s="12"/>
      <c r="G1135" s="13"/>
      <c r="H1135" s="13"/>
      <c r="L1135" s="14"/>
      <c r="M1135" s="15"/>
      <c r="N1135" s="15"/>
      <c r="O1135" s="15"/>
      <c r="P1135" s="15"/>
      <c r="Q1135" s="12"/>
      <c r="R1135" s="12"/>
      <c r="S1135" s="12"/>
      <c r="T1135" s="12"/>
      <c r="AO1135" s="16"/>
    </row>
    <row r="1136" s="1" customFormat="1" spans="4:41">
      <c r="D1136" s="10"/>
      <c r="E1136" s="11"/>
      <c r="F1136" s="12"/>
      <c r="G1136" s="13"/>
      <c r="H1136" s="13"/>
      <c r="L1136" s="14"/>
      <c r="M1136" s="15"/>
      <c r="N1136" s="15"/>
      <c r="O1136" s="15"/>
      <c r="P1136" s="15"/>
      <c r="Q1136" s="12"/>
      <c r="R1136" s="12"/>
      <c r="S1136" s="12"/>
      <c r="T1136" s="12"/>
      <c r="AO1136" s="16"/>
    </row>
    <row r="1137" s="1" customFormat="1" spans="4:41">
      <c r="D1137" s="10"/>
      <c r="E1137" s="11"/>
      <c r="F1137" s="12"/>
      <c r="G1137" s="13"/>
      <c r="H1137" s="13"/>
      <c r="L1137" s="14"/>
      <c r="M1137" s="15"/>
      <c r="N1137" s="15"/>
      <c r="O1137" s="15"/>
      <c r="P1137" s="15"/>
      <c r="Q1137" s="12"/>
      <c r="R1137" s="12"/>
      <c r="S1137" s="12"/>
      <c r="T1137" s="12"/>
      <c r="AO1137" s="16"/>
    </row>
    <row r="1138" s="1" customFormat="1" spans="4:41">
      <c r="D1138" s="10"/>
      <c r="E1138" s="11"/>
      <c r="F1138" s="12"/>
      <c r="G1138" s="13"/>
      <c r="H1138" s="13"/>
      <c r="L1138" s="14"/>
      <c r="M1138" s="15"/>
      <c r="N1138" s="15"/>
      <c r="O1138" s="15"/>
      <c r="P1138" s="15"/>
      <c r="Q1138" s="12"/>
      <c r="R1138" s="12"/>
      <c r="S1138" s="12"/>
      <c r="T1138" s="12"/>
      <c r="AO1138" s="16"/>
    </row>
    <row r="1139" s="1" customFormat="1" spans="4:41">
      <c r="D1139" s="10"/>
      <c r="E1139" s="11"/>
      <c r="F1139" s="12"/>
      <c r="G1139" s="13"/>
      <c r="H1139" s="13"/>
      <c r="L1139" s="14"/>
      <c r="M1139" s="15"/>
      <c r="N1139" s="15"/>
      <c r="O1139" s="15"/>
      <c r="P1139" s="15"/>
      <c r="Q1139" s="12"/>
      <c r="R1139" s="12"/>
      <c r="S1139" s="12"/>
      <c r="T1139" s="12"/>
      <c r="AO1139" s="16"/>
    </row>
    <row r="1140" s="1" customFormat="1" spans="4:41">
      <c r="D1140" s="10"/>
      <c r="E1140" s="11"/>
      <c r="F1140" s="12"/>
      <c r="G1140" s="13"/>
      <c r="H1140" s="13"/>
      <c r="L1140" s="14"/>
      <c r="M1140" s="15"/>
      <c r="N1140" s="15"/>
      <c r="O1140" s="15"/>
      <c r="P1140" s="15"/>
      <c r="Q1140" s="12"/>
      <c r="R1140" s="12"/>
      <c r="S1140" s="12"/>
      <c r="T1140" s="12"/>
      <c r="AO1140" s="16"/>
    </row>
    <row r="1141" s="1" customFormat="1" spans="4:41">
      <c r="D1141" s="10"/>
      <c r="E1141" s="11"/>
      <c r="F1141" s="12"/>
      <c r="G1141" s="13"/>
      <c r="H1141" s="13"/>
      <c r="L1141" s="14"/>
      <c r="M1141" s="15"/>
      <c r="N1141" s="15"/>
      <c r="O1141" s="15"/>
      <c r="P1141" s="15"/>
      <c r="Q1141" s="12"/>
      <c r="R1141" s="12"/>
      <c r="S1141" s="12"/>
      <c r="T1141" s="12"/>
      <c r="AO1141" s="16"/>
    </row>
    <row r="1142" s="1" customFormat="1" spans="4:41">
      <c r="D1142" s="10"/>
      <c r="E1142" s="11"/>
      <c r="F1142" s="12"/>
      <c r="G1142" s="13"/>
      <c r="H1142" s="13"/>
      <c r="L1142" s="14"/>
      <c r="M1142" s="15"/>
      <c r="N1142" s="15"/>
      <c r="O1142" s="15"/>
      <c r="P1142" s="15"/>
      <c r="Q1142" s="12"/>
      <c r="R1142" s="12"/>
      <c r="S1142" s="12"/>
      <c r="T1142" s="12"/>
      <c r="AO1142" s="16"/>
    </row>
    <row r="1143" s="1" customFormat="1" spans="4:41">
      <c r="D1143" s="10"/>
      <c r="E1143" s="11"/>
      <c r="F1143" s="12"/>
      <c r="G1143" s="13"/>
      <c r="H1143" s="13"/>
      <c r="L1143" s="14"/>
      <c r="M1143" s="15"/>
      <c r="N1143" s="15"/>
      <c r="O1143" s="15"/>
      <c r="P1143" s="15"/>
      <c r="Q1143" s="12"/>
      <c r="R1143" s="12"/>
      <c r="S1143" s="12"/>
      <c r="T1143" s="12"/>
      <c r="AO1143" s="16"/>
    </row>
    <row r="1144" s="1" customFormat="1" spans="4:41">
      <c r="D1144" s="10"/>
      <c r="E1144" s="11"/>
      <c r="F1144" s="12"/>
      <c r="G1144" s="13"/>
      <c r="H1144" s="13"/>
      <c r="L1144" s="14"/>
      <c r="M1144" s="15"/>
      <c r="N1144" s="15"/>
      <c r="O1144" s="15"/>
      <c r="P1144" s="15"/>
      <c r="Q1144" s="12"/>
      <c r="R1144" s="12"/>
      <c r="S1144" s="12"/>
      <c r="T1144" s="12"/>
      <c r="AO1144" s="16"/>
    </row>
    <row r="1145" s="1" customFormat="1" spans="4:41">
      <c r="D1145" s="10"/>
      <c r="E1145" s="11"/>
      <c r="F1145" s="12"/>
      <c r="G1145" s="13"/>
      <c r="H1145" s="13"/>
      <c r="L1145" s="14"/>
      <c r="M1145" s="15"/>
      <c r="N1145" s="15"/>
      <c r="O1145" s="15"/>
      <c r="P1145" s="15"/>
      <c r="Q1145" s="12"/>
      <c r="R1145" s="12"/>
      <c r="S1145" s="12"/>
      <c r="T1145" s="12"/>
      <c r="AO1145" s="16"/>
    </row>
    <row r="1146" s="1" customFormat="1" spans="4:41">
      <c r="D1146" s="10"/>
      <c r="E1146" s="11"/>
      <c r="F1146" s="12"/>
      <c r="G1146" s="13"/>
      <c r="H1146" s="13"/>
      <c r="L1146" s="14"/>
      <c r="M1146" s="15"/>
      <c r="N1146" s="15"/>
      <c r="O1146" s="15"/>
      <c r="P1146" s="15"/>
      <c r="Q1146" s="12"/>
      <c r="R1146" s="12"/>
      <c r="S1146" s="12"/>
      <c r="T1146" s="12"/>
      <c r="AO1146" s="16"/>
    </row>
    <row r="1147" s="1" customFormat="1" spans="4:41">
      <c r="D1147" s="10"/>
      <c r="E1147" s="11"/>
      <c r="F1147" s="12"/>
      <c r="G1147" s="13"/>
      <c r="H1147" s="13"/>
      <c r="L1147" s="14"/>
      <c r="M1147" s="15"/>
      <c r="N1147" s="15"/>
      <c r="O1147" s="15"/>
      <c r="P1147" s="15"/>
      <c r="Q1147" s="12"/>
      <c r="R1147" s="12"/>
      <c r="S1147" s="12"/>
      <c r="T1147" s="12"/>
      <c r="AO1147" s="16"/>
    </row>
    <row r="1148" s="1" customFormat="1" spans="4:41">
      <c r="D1148" s="10"/>
      <c r="E1148" s="11"/>
      <c r="F1148" s="12"/>
      <c r="G1148" s="13"/>
      <c r="H1148" s="13"/>
      <c r="L1148" s="14"/>
      <c r="M1148" s="15"/>
      <c r="N1148" s="15"/>
      <c r="O1148" s="15"/>
      <c r="P1148" s="15"/>
      <c r="Q1148" s="12"/>
      <c r="R1148" s="12"/>
      <c r="S1148" s="12"/>
      <c r="T1148" s="12"/>
      <c r="AO1148" s="16"/>
    </row>
    <row r="1149" s="1" customFormat="1" spans="4:41">
      <c r="D1149" s="10"/>
      <c r="E1149" s="11"/>
      <c r="F1149" s="12"/>
      <c r="G1149" s="13"/>
      <c r="H1149" s="13"/>
      <c r="L1149" s="14"/>
      <c r="M1149" s="15"/>
      <c r="N1149" s="15"/>
      <c r="O1149" s="15"/>
      <c r="P1149" s="15"/>
      <c r="Q1149" s="12"/>
      <c r="R1149" s="12"/>
      <c r="S1149" s="12"/>
      <c r="T1149" s="12"/>
      <c r="AO1149" s="16"/>
    </row>
    <row r="1150" s="1" customFormat="1" spans="4:41">
      <c r="D1150" s="10"/>
      <c r="E1150" s="11"/>
      <c r="F1150" s="12"/>
      <c r="G1150" s="13"/>
      <c r="H1150" s="13"/>
      <c r="L1150" s="14"/>
      <c r="M1150" s="15"/>
      <c r="N1150" s="15"/>
      <c r="O1150" s="15"/>
      <c r="P1150" s="15"/>
      <c r="Q1150" s="12"/>
      <c r="R1150" s="12"/>
      <c r="S1150" s="12"/>
      <c r="T1150" s="12"/>
      <c r="AO1150" s="16"/>
    </row>
    <row r="1151" s="1" customFormat="1" spans="4:41">
      <c r="D1151" s="10"/>
      <c r="E1151" s="11"/>
      <c r="F1151" s="12"/>
      <c r="G1151" s="13"/>
      <c r="H1151" s="13"/>
      <c r="L1151" s="14"/>
      <c r="M1151" s="15"/>
      <c r="N1151" s="15"/>
      <c r="O1151" s="15"/>
      <c r="P1151" s="15"/>
      <c r="Q1151" s="12"/>
      <c r="R1151" s="12"/>
      <c r="S1151" s="12"/>
      <c r="T1151" s="12"/>
      <c r="AO1151" s="16"/>
    </row>
    <row r="1152" s="1" customFormat="1" spans="4:41">
      <c r="D1152" s="10"/>
      <c r="E1152" s="11"/>
      <c r="F1152" s="12"/>
      <c r="G1152" s="13"/>
      <c r="H1152" s="13"/>
      <c r="L1152" s="14"/>
      <c r="M1152" s="15"/>
      <c r="N1152" s="15"/>
      <c r="O1152" s="15"/>
      <c r="P1152" s="15"/>
      <c r="Q1152" s="12"/>
      <c r="R1152" s="12"/>
      <c r="S1152" s="12"/>
      <c r="T1152" s="12"/>
      <c r="AO1152" s="16"/>
    </row>
    <row r="1153" s="1" customFormat="1" spans="4:41">
      <c r="D1153" s="10"/>
      <c r="E1153" s="11"/>
      <c r="F1153" s="12"/>
      <c r="G1153" s="13"/>
      <c r="H1153" s="13"/>
      <c r="L1153" s="14"/>
      <c r="M1153" s="15"/>
      <c r="N1153" s="15"/>
      <c r="O1153" s="15"/>
      <c r="P1153" s="15"/>
      <c r="Q1153" s="12"/>
      <c r="R1153" s="12"/>
      <c r="S1153" s="12"/>
      <c r="T1153" s="12"/>
      <c r="AO1153" s="16"/>
    </row>
    <row r="1154" s="1" customFormat="1" spans="4:41">
      <c r="D1154" s="10"/>
      <c r="E1154" s="11"/>
      <c r="F1154" s="12"/>
      <c r="G1154" s="13"/>
      <c r="H1154" s="13"/>
      <c r="L1154" s="14"/>
      <c r="M1154" s="15"/>
      <c r="N1154" s="15"/>
      <c r="O1154" s="15"/>
      <c r="P1154" s="15"/>
      <c r="Q1154" s="12"/>
      <c r="R1154" s="12"/>
      <c r="S1154" s="12"/>
      <c r="T1154" s="12"/>
      <c r="AO1154" s="16"/>
    </row>
    <row r="1155" s="1" customFormat="1" spans="4:41">
      <c r="D1155" s="10"/>
      <c r="E1155" s="11"/>
      <c r="F1155" s="12"/>
      <c r="G1155" s="13"/>
      <c r="H1155" s="13"/>
      <c r="L1155" s="14"/>
      <c r="M1155" s="15"/>
      <c r="N1155" s="15"/>
      <c r="O1155" s="15"/>
      <c r="P1155" s="15"/>
      <c r="Q1155" s="12"/>
      <c r="R1155" s="12"/>
      <c r="S1155" s="12"/>
      <c r="T1155" s="12"/>
      <c r="AO1155" s="16"/>
    </row>
    <row r="1156" s="1" customFormat="1" spans="4:41">
      <c r="D1156" s="10"/>
      <c r="E1156" s="11"/>
      <c r="F1156" s="12"/>
      <c r="G1156" s="13"/>
      <c r="H1156" s="13"/>
      <c r="L1156" s="14"/>
      <c r="M1156" s="15"/>
      <c r="N1156" s="15"/>
      <c r="O1156" s="15"/>
      <c r="P1156" s="15"/>
      <c r="Q1156" s="12"/>
      <c r="R1156" s="12"/>
      <c r="S1156" s="12"/>
      <c r="T1156" s="12"/>
      <c r="AO1156" s="16"/>
    </row>
    <row r="1157" s="1" customFormat="1" spans="4:41">
      <c r="D1157" s="10"/>
      <c r="E1157" s="11"/>
      <c r="F1157" s="12"/>
      <c r="G1157" s="13"/>
      <c r="H1157" s="13"/>
      <c r="L1157" s="14"/>
      <c r="M1157" s="15"/>
      <c r="N1157" s="15"/>
      <c r="O1157" s="15"/>
      <c r="P1157" s="15"/>
      <c r="Q1157" s="12"/>
      <c r="R1157" s="12"/>
      <c r="S1157" s="12"/>
      <c r="T1157" s="12"/>
      <c r="AO1157" s="16"/>
    </row>
    <row r="1158" s="1" customFormat="1" spans="4:41">
      <c r="D1158" s="10"/>
      <c r="E1158" s="11"/>
      <c r="F1158" s="12"/>
      <c r="G1158" s="13"/>
      <c r="H1158" s="13"/>
      <c r="L1158" s="14"/>
      <c r="M1158" s="15"/>
      <c r="N1158" s="15"/>
      <c r="O1158" s="15"/>
      <c r="P1158" s="15"/>
      <c r="Q1158" s="12"/>
      <c r="R1158" s="12"/>
      <c r="S1158" s="12"/>
      <c r="T1158" s="12"/>
      <c r="AO1158" s="16"/>
    </row>
    <row r="1159" s="1" customFormat="1" spans="4:41">
      <c r="D1159" s="10"/>
      <c r="E1159" s="11"/>
      <c r="F1159" s="12"/>
      <c r="G1159" s="13"/>
      <c r="H1159" s="13"/>
      <c r="L1159" s="14"/>
      <c r="M1159" s="15"/>
      <c r="N1159" s="15"/>
      <c r="O1159" s="15"/>
      <c r="P1159" s="15"/>
      <c r="Q1159" s="12"/>
      <c r="R1159" s="12"/>
      <c r="S1159" s="12"/>
      <c r="T1159" s="12"/>
      <c r="AO1159" s="16"/>
    </row>
    <row r="1160" s="1" customFormat="1" spans="4:41">
      <c r="D1160" s="10"/>
      <c r="E1160" s="11"/>
      <c r="F1160" s="12"/>
      <c r="G1160" s="13"/>
      <c r="H1160" s="13"/>
      <c r="L1160" s="14"/>
      <c r="M1160" s="15"/>
      <c r="N1160" s="15"/>
      <c r="O1160" s="15"/>
      <c r="P1160" s="15"/>
      <c r="Q1160" s="12"/>
      <c r="R1160" s="12"/>
      <c r="S1160" s="12"/>
      <c r="T1160" s="12"/>
      <c r="AO1160" s="16"/>
    </row>
    <row r="1161" s="1" customFormat="1" spans="4:41">
      <c r="D1161" s="10"/>
      <c r="E1161" s="11"/>
      <c r="F1161" s="12"/>
      <c r="G1161" s="13"/>
      <c r="H1161" s="13"/>
      <c r="L1161" s="14"/>
      <c r="M1161" s="15"/>
      <c r="N1161" s="15"/>
      <c r="O1161" s="15"/>
      <c r="P1161" s="15"/>
      <c r="Q1161" s="12"/>
      <c r="R1161" s="12"/>
      <c r="S1161" s="12"/>
      <c r="T1161" s="12"/>
      <c r="AO1161" s="16"/>
    </row>
    <row r="1162" s="1" customFormat="1" spans="4:41">
      <c r="D1162" s="10"/>
      <c r="E1162" s="11"/>
      <c r="F1162" s="12"/>
      <c r="G1162" s="13"/>
      <c r="H1162" s="13"/>
      <c r="L1162" s="14"/>
      <c r="M1162" s="15"/>
      <c r="N1162" s="15"/>
      <c r="O1162" s="15"/>
      <c r="P1162" s="15"/>
      <c r="Q1162" s="12"/>
      <c r="R1162" s="12"/>
      <c r="S1162" s="12"/>
      <c r="T1162" s="12"/>
      <c r="AO1162" s="16"/>
    </row>
    <row r="1163" s="1" customFormat="1" spans="4:41">
      <c r="D1163" s="10"/>
      <c r="E1163" s="11"/>
      <c r="F1163" s="12"/>
      <c r="G1163" s="13"/>
      <c r="H1163" s="13"/>
      <c r="L1163" s="14"/>
      <c r="M1163" s="15"/>
      <c r="N1163" s="15"/>
      <c r="O1163" s="15"/>
      <c r="P1163" s="15"/>
      <c r="Q1163" s="12"/>
      <c r="R1163" s="12"/>
      <c r="S1163" s="12"/>
      <c r="T1163" s="12"/>
      <c r="AO1163" s="16"/>
    </row>
    <row r="1164" s="1" customFormat="1" spans="4:41">
      <c r="D1164" s="10"/>
      <c r="E1164" s="11"/>
      <c r="F1164" s="12"/>
      <c r="G1164" s="13"/>
      <c r="H1164" s="13"/>
      <c r="L1164" s="14"/>
      <c r="M1164" s="15"/>
      <c r="N1164" s="15"/>
      <c r="O1164" s="15"/>
      <c r="P1164" s="15"/>
      <c r="Q1164" s="12"/>
      <c r="R1164" s="12"/>
      <c r="S1164" s="12"/>
      <c r="T1164" s="12"/>
      <c r="AO1164" s="16"/>
    </row>
    <row r="1165" s="1" customFormat="1" spans="4:41">
      <c r="D1165" s="10"/>
      <c r="E1165" s="11"/>
      <c r="F1165" s="12"/>
      <c r="G1165" s="13"/>
      <c r="H1165" s="13"/>
      <c r="L1165" s="14"/>
      <c r="M1165" s="15"/>
      <c r="N1165" s="15"/>
      <c r="O1165" s="15"/>
      <c r="P1165" s="15"/>
      <c r="Q1165" s="12"/>
      <c r="R1165" s="12"/>
      <c r="S1165" s="12"/>
      <c r="T1165" s="12"/>
      <c r="AO1165" s="16"/>
    </row>
    <row r="1166" s="1" customFormat="1" spans="4:41">
      <c r="D1166" s="10"/>
      <c r="E1166" s="11"/>
      <c r="F1166" s="12"/>
      <c r="G1166" s="13"/>
      <c r="H1166" s="13"/>
      <c r="L1166" s="14"/>
      <c r="M1166" s="15"/>
      <c r="N1166" s="15"/>
      <c r="O1166" s="15"/>
      <c r="P1166" s="15"/>
      <c r="Q1166" s="12"/>
      <c r="R1166" s="12"/>
      <c r="S1166" s="12"/>
      <c r="T1166" s="12"/>
      <c r="AO1166" s="16"/>
    </row>
    <row r="1167" s="1" customFormat="1" spans="4:41">
      <c r="D1167" s="10"/>
      <c r="E1167" s="11"/>
      <c r="F1167" s="12"/>
      <c r="G1167" s="13"/>
      <c r="H1167" s="13"/>
      <c r="L1167" s="14"/>
      <c r="M1167" s="15"/>
      <c r="N1167" s="15"/>
      <c r="O1167" s="15"/>
      <c r="P1167" s="15"/>
      <c r="Q1167" s="12"/>
      <c r="R1167" s="12"/>
      <c r="S1167" s="12"/>
      <c r="T1167" s="12"/>
      <c r="AO1167" s="16"/>
    </row>
    <row r="1168" s="1" customFormat="1" spans="4:41">
      <c r="D1168" s="10"/>
      <c r="E1168" s="11"/>
      <c r="F1168" s="12"/>
      <c r="G1168" s="13"/>
      <c r="H1168" s="13"/>
      <c r="L1168" s="14"/>
      <c r="M1168" s="15"/>
      <c r="N1168" s="15"/>
      <c r="O1168" s="15"/>
      <c r="P1168" s="15"/>
      <c r="Q1168" s="12"/>
      <c r="R1168" s="12"/>
      <c r="S1168" s="12"/>
      <c r="T1168" s="12"/>
      <c r="AO1168" s="16"/>
    </row>
    <row r="1169" s="1" customFormat="1" spans="4:41">
      <c r="D1169" s="10"/>
      <c r="E1169" s="11"/>
      <c r="F1169" s="12"/>
      <c r="G1169" s="13"/>
      <c r="H1169" s="13"/>
      <c r="L1169" s="14"/>
      <c r="M1169" s="15"/>
      <c r="N1169" s="15"/>
      <c r="O1169" s="15"/>
      <c r="P1169" s="15"/>
      <c r="Q1169" s="12"/>
      <c r="R1169" s="12"/>
      <c r="S1169" s="12"/>
      <c r="T1169" s="12"/>
      <c r="AO1169" s="16"/>
    </row>
    <row r="1170" s="1" customFormat="1" spans="4:41">
      <c r="D1170" s="10"/>
      <c r="E1170" s="11"/>
      <c r="F1170" s="12"/>
      <c r="G1170" s="13"/>
      <c r="H1170" s="13"/>
      <c r="L1170" s="14"/>
      <c r="M1170" s="15"/>
      <c r="N1170" s="15"/>
      <c r="O1170" s="15"/>
      <c r="P1170" s="15"/>
      <c r="Q1170" s="12"/>
      <c r="R1170" s="12"/>
      <c r="S1170" s="12"/>
      <c r="T1170" s="12"/>
      <c r="AO1170" s="16"/>
    </row>
    <row r="1171" s="1" customFormat="1" spans="4:41">
      <c r="D1171" s="10"/>
      <c r="E1171" s="11"/>
      <c r="F1171" s="12"/>
      <c r="G1171" s="13"/>
      <c r="H1171" s="13"/>
      <c r="L1171" s="14"/>
      <c r="M1171" s="15"/>
      <c r="N1171" s="15"/>
      <c r="O1171" s="15"/>
      <c r="P1171" s="15"/>
      <c r="Q1171" s="12"/>
      <c r="R1171" s="12"/>
      <c r="S1171" s="12"/>
      <c r="T1171" s="12"/>
      <c r="AO1171" s="16"/>
    </row>
    <row r="1172" s="1" customFormat="1" spans="4:41">
      <c r="D1172" s="10"/>
      <c r="E1172" s="11"/>
      <c r="F1172" s="12"/>
      <c r="G1172" s="13"/>
      <c r="H1172" s="13"/>
      <c r="L1172" s="14"/>
      <c r="M1172" s="15"/>
      <c r="N1172" s="15"/>
      <c r="O1172" s="15"/>
      <c r="P1172" s="15"/>
      <c r="Q1172" s="12"/>
      <c r="R1172" s="12"/>
      <c r="S1172" s="12"/>
      <c r="T1172" s="12"/>
      <c r="AO1172" s="16"/>
    </row>
    <row r="1173" s="1" customFormat="1" spans="4:41">
      <c r="D1173" s="10"/>
      <c r="E1173" s="11"/>
      <c r="F1173" s="12"/>
      <c r="G1173" s="13"/>
      <c r="H1173" s="13"/>
      <c r="L1173" s="14"/>
      <c r="M1173" s="15"/>
      <c r="N1173" s="15"/>
      <c r="O1173" s="15"/>
      <c r="P1173" s="15"/>
      <c r="Q1173" s="12"/>
      <c r="R1173" s="12"/>
      <c r="S1173" s="12"/>
      <c r="T1173" s="12"/>
      <c r="AO1173" s="16"/>
    </row>
    <row r="1174" s="1" customFormat="1" spans="4:41">
      <c r="D1174" s="10"/>
      <c r="E1174" s="11"/>
      <c r="F1174" s="12"/>
      <c r="G1174" s="13"/>
      <c r="H1174" s="13"/>
      <c r="L1174" s="14"/>
      <c r="M1174" s="15"/>
      <c r="N1174" s="15"/>
      <c r="O1174" s="15"/>
      <c r="P1174" s="15"/>
      <c r="Q1174" s="12"/>
      <c r="R1174" s="12"/>
      <c r="S1174" s="12"/>
      <c r="T1174" s="12"/>
      <c r="AO1174" s="16"/>
    </row>
    <row r="1175" s="1" customFormat="1" spans="4:41">
      <c r="D1175" s="10"/>
      <c r="E1175" s="11"/>
      <c r="F1175" s="12"/>
      <c r="G1175" s="13"/>
      <c r="H1175" s="13"/>
      <c r="L1175" s="14"/>
      <c r="M1175" s="15"/>
      <c r="N1175" s="15"/>
      <c r="O1175" s="15"/>
      <c r="P1175" s="15"/>
      <c r="Q1175" s="12"/>
      <c r="R1175" s="12"/>
      <c r="S1175" s="12"/>
      <c r="T1175" s="12"/>
      <c r="AO1175" s="16"/>
    </row>
    <row r="1176" s="1" customFormat="1" spans="4:41">
      <c r="D1176" s="10"/>
      <c r="E1176" s="11"/>
      <c r="F1176" s="12"/>
      <c r="G1176" s="13"/>
      <c r="H1176" s="13"/>
      <c r="L1176" s="14"/>
      <c r="M1176" s="15"/>
      <c r="N1176" s="15"/>
      <c r="O1176" s="15"/>
      <c r="P1176" s="15"/>
      <c r="Q1176" s="12"/>
      <c r="R1176" s="12"/>
      <c r="S1176" s="12"/>
      <c r="T1176" s="12"/>
      <c r="AO1176" s="16"/>
    </row>
    <row r="1177" s="1" customFormat="1" spans="4:41">
      <c r="D1177" s="10"/>
      <c r="E1177" s="11"/>
      <c r="F1177" s="12"/>
      <c r="G1177" s="13"/>
      <c r="H1177" s="13"/>
      <c r="L1177" s="14"/>
      <c r="M1177" s="15"/>
      <c r="N1177" s="15"/>
      <c r="O1177" s="15"/>
      <c r="P1177" s="15"/>
      <c r="Q1177" s="12"/>
      <c r="R1177" s="12"/>
      <c r="S1177" s="12"/>
      <c r="T1177" s="12"/>
      <c r="AO1177" s="16"/>
    </row>
    <row r="1178" s="1" customFormat="1" spans="4:41">
      <c r="D1178" s="10"/>
      <c r="E1178" s="11"/>
      <c r="F1178" s="12"/>
      <c r="G1178" s="13"/>
      <c r="H1178" s="13"/>
      <c r="L1178" s="14"/>
      <c r="M1178" s="15"/>
      <c r="N1178" s="15"/>
      <c r="O1178" s="15"/>
      <c r="P1178" s="15"/>
      <c r="Q1178" s="12"/>
      <c r="R1178" s="12"/>
      <c r="S1178" s="12"/>
      <c r="T1178" s="12"/>
      <c r="AO1178" s="16"/>
    </row>
    <row r="1179" s="1" customFormat="1" spans="4:41">
      <c r="D1179" s="10"/>
      <c r="E1179" s="11"/>
      <c r="F1179" s="12"/>
      <c r="G1179" s="13"/>
      <c r="H1179" s="13"/>
      <c r="L1179" s="14"/>
      <c r="M1179" s="15"/>
      <c r="N1179" s="15"/>
      <c r="O1179" s="15"/>
      <c r="P1179" s="15"/>
      <c r="Q1179" s="12"/>
      <c r="R1179" s="12"/>
      <c r="S1179" s="12"/>
      <c r="T1179" s="12"/>
      <c r="AO1179" s="16"/>
    </row>
    <row r="1180" s="1" customFormat="1" spans="4:41">
      <c r="D1180" s="10"/>
      <c r="E1180" s="11"/>
      <c r="F1180" s="12"/>
      <c r="G1180" s="13"/>
      <c r="H1180" s="13"/>
      <c r="L1180" s="14"/>
      <c r="M1180" s="15"/>
      <c r="N1180" s="15"/>
      <c r="O1180" s="15"/>
      <c r="P1180" s="15"/>
      <c r="Q1180" s="12"/>
      <c r="R1180" s="12"/>
      <c r="S1180" s="12"/>
      <c r="T1180" s="12"/>
      <c r="AO1180" s="16"/>
    </row>
    <row r="1181" s="1" customFormat="1" spans="4:41">
      <c r="D1181" s="10"/>
      <c r="E1181" s="11"/>
      <c r="F1181" s="12"/>
      <c r="G1181" s="13"/>
      <c r="H1181" s="13"/>
      <c r="L1181" s="14"/>
      <c r="M1181" s="15"/>
      <c r="N1181" s="15"/>
      <c r="O1181" s="15"/>
      <c r="P1181" s="15"/>
      <c r="Q1181" s="12"/>
      <c r="R1181" s="12"/>
      <c r="S1181" s="12"/>
      <c r="T1181" s="12"/>
      <c r="AO1181" s="16"/>
    </row>
    <row r="1182" s="1" customFormat="1" spans="4:41">
      <c r="D1182" s="10"/>
      <c r="E1182" s="11"/>
      <c r="F1182" s="12"/>
      <c r="G1182" s="13"/>
      <c r="H1182" s="13"/>
      <c r="L1182" s="14"/>
      <c r="M1182" s="15"/>
      <c r="N1182" s="15"/>
      <c r="O1182" s="15"/>
      <c r="P1182" s="15"/>
      <c r="Q1182" s="12"/>
      <c r="R1182" s="12"/>
      <c r="S1182" s="12"/>
      <c r="T1182" s="12"/>
      <c r="AO1182" s="16"/>
    </row>
    <row r="1183" s="1" customFormat="1" spans="4:41">
      <c r="D1183" s="10"/>
      <c r="E1183" s="11"/>
      <c r="F1183" s="12"/>
      <c r="G1183" s="13"/>
      <c r="H1183" s="13"/>
      <c r="L1183" s="14"/>
      <c r="M1183" s="15"/>
      <c r="N1183" s="15"/>
      <c r="O1183" s="15"/>
      <c r="P1183" s="15"/>
      <c r="Q1183" s="12"/>
      <c r="R1183" s="12"/>
      <c r="S1183" s="12"/>
      <c r="T1183" s="12"/>
      <c r="AO1183" s="16"/>
    </row>
    <row r="1184" s="1" customFormat="1" spans="4:41">
      <c r="D1184" s="10"/>
      <c r="E1184" s="11"/>
      <c r="F1184" s="12"/>
      <c r="G1184" s="13"/>
      <c r="H1184" s="13"/>
      <c r="L1184" s="14"/>
      <c r="M1184" s="15"/>
      <c r="N1184" s="15"/>
      <c r="O1184" s="15"/>
      <c r="P1184" s="15"/>
      <c r="Q1184" s="12"/>
      <c r="R1184" s="12"/>
      <c r="S1184" s="12"/>
      <c r="T1184" s="12"/>
      <c r="AO1184" s="16"/>
    </row>
    <row r="1185" s="1" customFormat="1" spans="4:41">
      <c r="D1185" s="10"/>
      <c r="E1185" s="11"/>
      <c r="F1185" s="12"/>
      <c r="G1185" s="13"/>
      <c r="H1185" s="13"/>
      <c r="L1185" s="14"/>
      <c r="M1185" s="15"/>
      <c r="N1185" s="15"/>
      <c r="O1185" s="15"/>
      <c r="P1185" s="15"/>
      <c r="Q1185" s="12"/>
      <c r="R1185" s="12"/>
      <c r="S1185" s="12"/>
      <c r="T1185" s="12"/>
      <c r="AO1185" s="16"/>
    </row>
    <row r="1186" s="1" customFormat="1" spans="4:41">
      <c r="D1186" s="10"/>
      <c r="E1186" s="11"/>
      <c r="F1186" s="12"/>
      <c r="G1186" s="13"/>
      <c r="H1186" s="13"/>
      <c r="L1186" s="14"/>
      <c r="M1186" s="15"/>
      <c r="N1186" s="15"/>
      <c r="O1186" s="15"/>
      <c r="P1186" s="15"/>
      <c r="Q1186" s="12"/>
      <c r="R1186" s="12"/>
      <c r="S1186" s="12"/>
      <c r="T1186" s="12"/>
      <c r="AO1186" s="16"/>
    </row>
    <row r="1187" s="1" customFormat="1" spans="4:41">
      <c r="D1187" s="10"/>
      <c r="E1187" s="11"/>
      <c r="F1187" s="12"/>
      <c r="G1187" s="13"/>
      <c r="H1187" s="13"/>
      <c r="L1187" s="14"/>
      <c r="M1187" s="15"/>
      <c r="N1187" s="15"/>
      <c r="O1187" s="15"/>
      <c r="P1187" s="15"/>
      <c r="Q1187" s="12"/>
      <c r="R1187" s="12"/>
      <c r="S1187" s="12"/>
      <c r="T1187" s="12"/>
      <c r="AO1187" s="16"/>
    </row>
    <row r="1188" s="1" customFormat="1" spans="4:41">
      <c r="D1188" s="10"/>
      <c r="E1188" s="11"/>
      <c r="F1188" s="12"/>
      <c r="G1188" s="13"/>
      <c r="H1188" s="13"/>
      <c r="L1188" s="14"/>
      <c r="M1188" s="15"/>
      <c r="N1188" s="15"/>
      <c r="O1188" s="15"/>
      <c r="P1188" s="15"/>
      <c r="Q1188" s="12"/>
      <c r="R1188" s="12"/>
      <c r="S1188" s="12"/>
      <c r="T1188" s="12"/>
      <c r="AO1188" s="16"/>
    </row>
    <row r="1189" s="1" customFormat="1" spans="4:41">
      <c r="D1189" s="10"/>
      <c r="E1189" s="11"/>
      <c r="F1189" s="12"/>
      <c r="G1189" s="13"/>
      <c r="H1189" s="13"/>
      <c r="L1189" s="14"/>
      <c r="M1189" s="15"/>
      <c r="N1189" s="15"/>
      <c r="O1189" s="15"/>
      <c r="P1189" s="15"/>
      <c r="Q1189" s="12"/>
      <c r="R1189" s="12"/>
      <c r="S1189" s="12"/>
      <c r="T1189" s="12"/>
      <c r="AO1189" s="16"/>
    </row>
    <row r="1190" s="1" customFormat="1" spans="4:41">
      <c r="D1190" s="10"/>
      <c r="E1190" s="11"/>
      <c r="F1190" s="12"/>
      <c r="G1190" s="13"/>
      <c r="H1190" s="13"/>
      <c r="L1190" s="14"/>
      <c r="M1190" s="15"/>
      <c r="N1190" s="15"/>
      <c r="O1190" s="15"/>
      <c r="P1190" s="15"/>
      <c r="Q1190" s="12"/>
      <c r="R1190" s="12"/>
      <c r="S1190" s="12"/>
      <c r="T1190" s="12"/>
      <c r="AO1190" s="16"/>
    </row>
    <row r="1191" s="1" customFormat="1" spans="4:41">
      <c r="D1191" s="10"/>
      <c r="E1191" s="11"/>
      <c r="F1191" s="12"/>
      <c r="G1191" s="13"/>
      <c r="H1191" s="13"/>
      <c r="L1191" s="14"/>
      <c r="M1191" s="15"/>
      <c r="N1191" s="15"/>
      <c r="O1191" s="15"/>
      <c r="P1191" s="15"/>
      <c r="Q1191" s="12"/>
      <c r="R1191" s="12"/>
      <c r="S1191" s="12"/>
      <c r="T1191" s="12"/>
      <c r="AO1191" s="16"/>
    </row>
    <row r="1192" s="1" customFormat="1" spans="4:41">
      <c r="D1192" s="10"/>
      <c r="E1192" s="11"/>
      <c r="F1192" s="12"/>
      <c r="G1192" s="13"/>
      <c r="H1192" s="13"/>
      <c r="L1192" s="14"/>
      <c r="M1192" s="15"/>
      <c r="N1192" s="15"/>
      <c r="O1192" s="15"/>
      <c r="P1192" s="15"/>
      <c r="Q1192" s="12"/>
      <c r="R1192" s="12"/>
      <c r="S1192" s="12"/>
      <c r="T1192" s="12"/>
      <c r="AO1192" s="16"/>
    </row>
    <row r="1193" s="1" customFormat="1" spans="4:41">
      <c r="D1193" s="10"/>
      <c r="E1193" s="11"/>
      <c r="F1193" s="12"/>
      <c r="G1193" s="13"/>
      <c r="H1193" s="13"/>
      <c r="L1193" s="14"/>
      <c r="M1193" s="15"/>
      <c r="N1193" s="15"/>
      <c r="O1193" s="15"/>
      <c r="P1193" s="15"/>
      <c r="Q1193" s="12"/>
      <c r="R1193" s="12"/>
      <c r="S1193" s="12"/>
      <c r="T1193" s="12"/>
      <c r="AO1193" s="16"/>
    </row>
    <row r="1194" s="1" customFormat="1" spans="4:41">
      <c r="D1194" s="10"/>
      <c r="E1194" s="11"/>
      <c r="F1194" s="12"/>
      <c r="G1194" s="13"/>
      <c r="H1194" s="13"/>
      <c r="L1194" s="14"/>
      <c r="M1194" s="15"/>
      <c r="N1194" s="15"/>
      <c r="O1194" s="15"/>
      <c r="P1194" s="15"/>
      <c r="Q1194" s="12"/>
      <c r="R1194" s="12"/>
      <c r="S1194" s="12"/>
      <c r="T1194" s="12"/>
      <c r="AO1194" s="16"/>
    </row>
    <row r="1195" s="1" customFormat="1" spans="4:41">
      <c r="D1195" s="10"/>
      <c r="E1195" s="11"/>
      <c r="F1195" s="12"/>
      <c r="G1195" s="13"/>
      <c r="H1195" s="13"/>
      <c r="L1195" s="14"/>
      <c r="M1195" s="15"/>
      <c r="N1195" s="15"/>
      <c r="O1195" s="15"/>
      <c r="P1195" s="15"/>
      <c r="Q1195" s="12"/>
      <c r="R1195" s="12"/>
      <c r="S1195" s="12"/>
      <c r="T1195" s="12"/>
      <c r="AO1195" s="16"/>
    </row>
    <row r="1196" s="1" customFormat="1" spans="4:41">
      <c r="D1196" s="10"/>
      <c r="E1196" s="11"/>
      <c r="F1196" s="12"/>
      <c r="G1196" s="13"/>
      <c r="H1196" s="13"/>
      <c r="L1196" s="14"/>
      <c r="M1196" s="15"/>
      <c r="N1196" s="15"/>
      <c r="O1196" s="15"/>
      <c r="P1196" s="15"/>
      <c r="Q1196" s="12"/>
      <c r="R1196" s="12"/>
      <c r="S1196" s="12"/>
      <c r="T1196" s="12"/>
      <c r="AO1196" s="16"/>
    </row>
    <row r="1197" s="1" customFormat="1" spans="4:41">
      <c r="D1197" s="10"/>
      <c r="E1197" s="11"/>
      <c r="F1197" s="12"/>
      <c r="G1197" s="13"/>
      <c r="H1197" s="13"/>
      <c r="L1197" s="14"/>
      <c r="M1197" s="15"/>
      <c r="N1197" s="15"/>
      <c r="O1197" s="15"/>
      <c r="P1197" s="15"/>
      <c r="Q1197" s="12"/>
      <c r="R1197" s="12"/>
      <c r="S1197" s="12"/>
      <c r="T1197" s="12"/>
      <c r="AO1197" s="16"/>
    </row>
    <row r="1198" s="1" customFormat="1" spans="4:41">
      <c r="D1198" s="10"/>
      <c r="E1198" s="11"/>
      <c r="F1198" s="12"/>
      <c r="G1198" s="13"/>
      <c r="H1198" s="13"/>
      <c r="L1198" s="14"/>
      <c r="M1198" s="15"/>
      <c r="N1198" s="15"/>
      <c r="O1198" s="15"/>
      <c r="P1198" s="15"/>
      <c r="Q1198" s="12"/>
      <c r="R1198" s="12"/>
      <c r="S1198" s="12"/>
      <c r="T1198" s="12"/>
      <c r="AO1198" s="16"/>
    </row>
    <row r="1199" s="1" customFormat="1" spans="4:41">
      <c r="D1199" s="10"/>
      <c r="E1199" s="11"/>
      <c r="F1199" s="12"/>
      <c r="G1199" s="13"/>
      <c r="H1199" s="13"/>
      <c r="L1199" s="14"/>
      <c r="M1199" s="15"/>
      <c r="N1199" s="15"/>
      <c r="O1199" s="15"/>
      <c r="P1199" s="15"/>
      <c r="Q1199" s="12"/>
      <c r="R1199" s="12"/>
      <c r="S1199" s="12"/>
      <c r="T1199" s="12"/>
      <c r="AO1199" s="16"/>
    </row>
    <row r="1200" s="1" customFormat="1" spans="4:41">
      <c r="D1200" s="10"/>
      <c r="E1200" s="11"/>
      <c r="F1200" s="12"/>
      <c r="G1200" s="13"/>
      <c r="H1200" s="13"/>
      <c r="L1200" s="14"/>
      <c r="M1200" s="15"/>
      <c r="N1200" s="15"/>
      <c r="O1200" s="15"/>
      <c r="P1200" s="15"/>
      <c r="Q1200" s="12"/>
      <c r="R1200" s="12"/>
      <c r="S1200" s="12"/>
      <c r="T1200" s="12"/>
      <c r="AO1200" s="16"/>
    </row>
    <row r="1201" s="1" customFormat="1" spans="4:41">
      <c r="D1201" s="10"/>
      <c r="E1201" s="11"/>
      <c r="F1201" s="12"/>
      <c r="G1201" s="13"/>
      <c r="H1201" s="13"/>
      <c r="L1201" s="14"/>
      <c r="M1201" s="15"/>
      <c r="N1201" s="15"/>
      <c r="O1201" s="15"/>
      <c r="P1201" s="15"/>
      <c r="Q1201" s="12"/>
      <c r="R1201" s="12"/>
      <c r="S1201" s="12"/>
      <c r="T1201" s="12"/>
      <c r="AO1201" s="16"/>
    </row>
    <row r="1202" s="1" customFormat="1" spans="4:41">
      <c r="D1202" s="10"/>
      <c r="E1202" s="11"/>
      <c r="F1202" s="12"/>
      <c r="G1202" s="13"/>
      <c r="H1202" s="13"/>
      <c r="L1202" s="14"/>
      <c r="M1202" s="15"/>
      <c r="N1202" s="15"/>
      <c r="O1202" s="15"/>
      <c r="P1202" s="15"/>
      <c r="Q1202" s="12"/>
      <c r="R1202" s="12"/>
      <c r="S1202" s="12"/>
      <c r="T1202" s="12"/>
      <c r="AO1202" s="16"/>
    </row>
    <row r="1203" s="1" customFormat="1" spans="4:41">
      <c r="D1203" s="10"/>
      <c r="E1203" s="11"/>
      <c r="F1203" s="12"/>
      <c r="G1203" s="13"/>
      <c r="H1203" s="13"/>
      <c r="L1203" s="14"/>
      <c r="M1203" s="15"/>
      <c r="N1203" s="15"/>
      <c r="O1203" s="15"/>
      <c r="P1203" s="15"/>
      <c r="Q1203" s="12"/>
      <c r="R1203" s="12"/>
      <c r="S1203" s="12"/>
      <c r="T1203" s="12"/>
      <c r="AO1203" s="16"/>
    </row>
    <row r="1204" s="1" customFormat="1" spans="4:41">
      <c r="D1204" s="10"/>
      <c r="E1204" s="11"/>
      <c r="F1204" s="12"/>
      <c r="G1204" s="13"/>
      <c r="H1204" s="13"/>
      <c r="L1204" s="14"/>
      <c r="M1204" s="15"/>
      <c r="N1204" s="15"/>
      <c r="O1204" s="15"/>
      <c r="P1204" s="15"/>
      <c r="Q1204" s="12"/>
      <c r="R1204" s="12"/>
      <c r="S1204" s="12"/>
      <c r="T1204" s="12"/>
      <c r="AO1204" s="16"/>
    </row>
    <row r="1205" s="1" customFormat="1" spans="4:41">
      <c r="D1205" s="10"/>
      <c r="E1205" s="11"/>
      <c r="F1205" s="12"/>
      <c r="G1205" s="13"/>
      <c r="H1205" s="13"/>
      <c r="L1205" s="14"/>
      <c r="M1205" s="15"/>
      <c r="N1205" s="15"/>
      <c r="O1205" s="15"/>
      <c r="P1205" s="15"/>
      <c r="Q1205" s="12"/>
      <c r="R1205" s="12"/>
      <c r="S1205" s="12"/>
      <c r="T1205" s="12"/>
      <c r="AO1205" s="16"/>
    </row>
    <row r="1206" s="1" customFormat="1" spans="4:41">
      <c r="D1206" s="10"/>
      <c r="E1206" s="11"/>
      <c r="F1206" s="12"/>
      <c r="G1206" s="13"/>
      <c r="H1206" s="13"/>
      <c r="L1206" s="14"/>
      <c r="M1206" s="15"/>
      <c r="N1206" s="15"/>
      <c r="O1206" s="15"/>
      <c r="P1206" s="15"/>
      <c r="Q1206" s="12"/>
      <c r="R1206" s="12"/>
      <c r="S1206" s="12"/>
      <c r="T1206" s="12"/>
      <c r="AO1206" s="16"/>
    </row>
    <row r="1207" s="1" customFormat="1" spans="4:41">
      <c r="D1207" s="10"/>
      <c r="E1207" s="11"/>
      <c r="F1207" s="12"/>
      <c r="G1207" s="13"/>
      <c r="H1207" s="13"/>
      <c r="L1207" s="14"/>
      <c r="M1207" s="15"/>
      <c r="N1207" s="15"/>
      <c r="O1207" s="15"/>
      <c r="P1207" s="15"/>
      <c r="Q1207" s="12"/>
      <c r="R1207" s="12"/>
      <c r="S1207" s="12"/>
      <c r="T1207" s="12"/>
      <c r="AO1207" s="16"/>
    </row>
    <row r="1208" s="1" customFormat="1" spans="4:41">
      <c r="D1208" s="10"/>
      <c r="E1208" s="11"/>
      <c r="F1208" s="12"/>
      <c r="G1208" s="13"/>
      <c r="H1208" s="13"/>
      <c r="L1208" s="14"/>
      <c r="M1208" s="15"/>
      <c r="N1208" s="15"/>
      <c r="O1208" s="15"/>
      <c r="P1208" s="15"/>
      <c r="Q1208" s="12"/>
      <c r="R1208" s="12"/>
      <c r="S1208" s="12"/>
      <c r="T1208" s="12"/>
      <c r="AO1208" s="16"/>
    </row>
    <row r="1209" s="1" customFormat="1" spans="4:41">
      <c r="D1209" s="10"/>
      <c r="E1209" s="11"/>
      <c r="F1209" s="12"/>
      <c r="G1209" s="13"/>
      <c r="H1209" s="13"/>
      <c r="L1209" s="14"/>
      <c r="M1209" s="15"/>
      <c r="N1209" s="15"/>
      <c r="O1209" s="15"/>
      <c r="P1209" s="15"/>
      <c r="Q1209" s="12"/>
      <c r="R1209" s="12"/>
      <c r="S1209" s="12"/>
      <c r="T1209" s="12"/>
      <c r="AO1209" s="16"/>
    </row>
    <row r="1210" s="1" customFormat="1" spans="4:41">
      <c r="D1210" s="10"/>
      <c r="E1210" s="11"/>
      <c r="F1210" s="12"/>
      <c r="G1210" s="13"/>
      <c r="H1210" s="13"/>
      <c r="L1210" s="14"/>
      <c r="M1210" s="15"/>
      <c r="N1210" s="15"/>
      <c r="O1210" s="15"/>
      <c r="P1210" s="15"/>
      <c r="Q1210" s="12"/>
      <c r="R1210" s="12"/>
      <c r="S1210" s="12"/>
      <c r="T1210" s="12"/>
      <c r="AO1210" s="16"/>
    </row>
    <row r="1211" s="1" customFormat="1" spans="4:41">
      <c r="D1211" s="10"/>
      <c r="E1211" s="11"/>
      <c r="F1211" s="12"/>
      <c r="G1211" s="13"/>
      <c r="H1211" s="13"/>
      <c r="L1211" s="14"/>
      <c r="M1211" s="15"/>
      <c r="N1211" s="15"/>
      <c r="O1211" s="15"/>
      <c r="P1211" s="15"/>
      <c r="Q1211" s="12"/>
      <c r="R1211" s="12"/>
      <c r="S1211" s="12"/>
      <c r="T1211" s="12"/>
      <c r="AO1211" s="16"/>
    </row>
    <row r="1212" s="1" customFormat="1" spans="4:41">
      <c r="D1212" s="10"/>
      <c r="E1212" s="11"/>
      <c r="F1212" s="12"/>
      <c r="G1212" s="13"/>
      <c r="H1212" s="13"/>
      <c r="L1212" s="14"/>
      <c r="M1212" s="15"/>
      <c r="N1212" s="15"/>
      <c r="O1212" s="15"/>
      <c r="P1212" s="15"/>
      <c r="Q1212" s="12"/>
      <c r="R1212" s="12"/>
      <c r="S1212" s="12"/>
      <c r="T1212" s="12"/>
      <c r="AO1212" s="16"/>
    </row>
    <row r="1213" s="1" customFormat="1" spans="4:41">
      <c r="D1213" s="10"/>
      <c r="E1213" s="11"/>
      <c r="F1213" s="12"/>
      <c r="G1213" s="13"/>
      <c r="H1213" s="13"/>
      <c r="L1213" s="14"/>
      <c r="M1213" s="15"/>
      <c r="N1213" s="15"/>
      <c r="O1213" s="15"/>
      <c r="P1213" s="15"/>
      <c r="Q1213" s="12"/>
      <c r="R1213" s="12"/>
      <c r="S1213" s="12"/>
      <c r="T1213" s="12"/>
      <c r="AO1213" s="16"/>
    </row>
    <row r="1214" s="1" customFormat="1" spans="4:41">
      <c r="D1214" s="10"/>
      <c r="E1214" s="11"/>
      <c r="F1214" s="12"/>
      <c r="G1214" s="13"/>
      <c r="H1214" s="13"/>
      <c r="L1214" s="14"/>
      <c r="M1214" s="15"/>
      <c r="N1214" s="15"/>
      <c r="O1214" s="15"/>
      <c r="P1214" s="15"/>
      <c r="Q1214" s="12"/>
      <c r="R1214" s="12"/>
      <c r="S1214" s="12"/>
      <c r="T1214" s="12"/>
      <c r="AO1214" s="16"/>
    </row>
    <row r="1215" s="1" customFormat="1" spans="4:41">
      <c r="D1215" s="10"/>
      <c r="E1215" s="11"/>
      <c r="F1215" s="12"/>
      <c r="G1215" s="13"/>
      <c r="H1215" s="13"/>
      <c r="L1215" s="14"/>
      <c r="M1215" s="15"/>
      <c r="N1215" s="15"/>
      <c r="O1215" s="15"/>
      <c r="P1215" s="15"/>
      <c r="Q1215" s="12"/>
      <c r="R1215" s="12"/>
      <c r="S1215" s="12"/>
      <c r="T1215" s="12"/>
      <c r="AO1215" s="16"/>
    </row>
    <row r="1216" s="1" customFormat="1" spans="4:41">
      <c r="D1216" s="10"/>
      <c r="E1216" s="11"/>
      <c r="F1216" s="12"/>
      <c r="G1216" s="13"/>
      <c r="H1216" s="13"/>
      <c r="L1216" s="14"/>
      <c r="M1216" s="15"/>
      <c r="N1216" s="15"/>
      <c r="O1216" s="15"/>
      <c r="P1216" s="15"/>
      <c r="Q1216" s="12"/>
      <c r="R1216" s="12"/>
      <c r="S1216" s="12"/>
      <c r="T1216" s="12"/>
      <c r="AO1216" s="16"/>
    </row>
    <row r="1217" s="1" customFormat="1" spans="4:41">
      <c r="D1217" s="10"/>
      <c r="E1217" s="11"/>
      <c r="F1217" s="12"/>
      <c r="G1217" s="13"/>
      <c r="H1217" s="13"/>
      <c r="L1217" s="14"/>
      <c r="M1217" s="15"/>
      <c r="N1217" s="15"/>
      <c r="O1217" s="15"/>
      <c r="P1217" s="15"/>
      <c r="Q1217" s="12"/>
      <c r="R1217" s="12"/>
      <c r="S1217" s="12"/>
      <c r="T1217" s="12"/>
      <c r="AO1217" s="16"/>
    </row>
    <row r="1218" s="1" customFormat="1" spans="4:41">
      <c r="D1218" s="10"/>
      <c r="E1218" s="11"/>
      <c r="F1218" s="12"/>
      <c r="G1218" s="13"/>
      <c r="H1218" s="13"/>
      <c r="L1218" s="14"/>
      <c r="M1218" s="15"/>
      <c r="N1218" s="15"/>
      <c r="O1218" s="15"/>
      <c r="P1218" s="15"/>
      <c r="Q1218" s="12"/>
      <c r="R1218" s="12"/>
      <c r="S1218" s="12"/>
      <c r="T1218" s="12"/>
      <c r="AO1218" s="16"/>
    </row>
    <row r="1219" s="1" customFormat="1" spans="4:41">
      <c r="D1219" s="10"/>
      <c r="E1219" s="11"/>
      <c r="F1219" s="12"/>
      <c r="G1219" s="13"/>
      <c r="H1219" s="13"/>
      <c r="L1219" s="14"/>
      <c r="M1219" s="15"/>
      <c r="N1219" s="15"/>
      <c r="O1219" s="15"/>
      <c r="P1219" s="15"/>
      <c r="Q1219" s="12"/>
      <c r="R1219" s="12"/>
      <c r="S1219" s="12"/>
      <c r="T1219" s="12"/>
      <c r="AO1219" s="16"/>
    </row>
    <row r="1220" s="1" customFormat="1" spans="4:41">
      <c r="D1220" s="10"/>
      <c r="E1220" s="11"/>
      <c r="F1220" s="12"/>
      <c r="G1220" s="13"/>
      <c r="H1220" s="13"/>
      <c r="L1220" s="14"/>
      <c r="M1220" s="15"/>
      <c r="N1220" s="15"/>
      <c r="O1220" s="15"/>
      <c r="P1220" s="15"/>
      <c r="Q1220" s="12"/>
      <c r="R1220" s="12"/>
      <c r="S1220" s="12"/>
      <c r="T1220" s="12"/>
      <c r="AO1220" s="16"/>
    </row>
    <row r="1221" s="1" customFormat="1" spans="4:41">
      <c r="D1221" s="10"/>
      <c r="E1221" s="11"/>
      <c r="F1221" s="12"/>
      <c r="G1221" s="13"/>
      <c r="H1221" s="13"/>
      <c r="L1221" s="14"/>
      <c r="M1221" s="15"/>
      <c r="N1221" s="15"/>
      <c r="O1221" s="15"/>
      <c r="P1221" s="15"/>
      <c r="Q1221" s="12"/>
      <c r="R1221" s="12"/>
      <c r="S1221" s="12"/>
      <c r="T1221" s="12"/>
      <c r="AO1221" s="16"/>
    </row>
    <row r="1222" s="1" customFormat="1" spans="4:41">
      <c r="D1222" s="10"/>
      <c r="E1222" s="11"/>
      <c r="F1222" s="12"/>
      <c r="G1222" s="13"/>
      <c r="H1222" s="13"/>
      <c r="L1222" s="14"/>
      <c r="M1222" s="15"/>
      <c r="N1222" s="15"/>
      <c r="O1222" s="15"/>
      <c r="P1222" s="15"/>
      <c r="Q1222" s="12"/>
      <c r="R1222" s="12"/>
      <c r="S1222" s="12"/>
      <c r="T1222" s="12"/>
      <c r="AO1222" s="16"/>
    </row>
    <row r="1223" s="1" customFormat="1" spans="4:41">
      <c r="D1223" s="10"/>
      <c r="E1223" s="11"/>
      <c r="F1223" s="12"/>
      <c r="G1223" s="13"/>
      <c r="H1223" s="13"/>
      <c r="L1223" s="14"/>
      <c r="M1223" s="15"/>
      <c r="N1223" s="15"/>
      <c r="O1223" s="15"/>
      <c r="P1223" s="15"/>
      <c r="Q1223" s="12"/>
      <c r="R1223" s="12"/>
      <c r="S1223" s="12"/>
      <c r="T1223" s="12"/>
      <c r="AO1223" s="16"/>
    </row>
    <row r="1224" s="1" customFormat="1" spans="4:41">
      <c r="D1224" s="10"/>
      <c r="E1224" s="11"/>
      <c r="F1224" s="12"/>
      <c r="G1224" s="13"/>
      <c r="H1224" s="13"/>
      <c r="L1224" s="14"/>
      <c r="M1224" s="15"/>
      <c r="N1224" s="15"/>
      <c r="O1224" s="15"/>
      <c r="P1224" s="15"/>
      <c r="Q1224" s="12"/>
      <c r="R1224" s="12"/>
      <c r="S1224" s="12"/>
      <c r="T1224" s="12"/>
      <c r="AO1224" s="16"/>
    </row>
    <row r="1225" s="1" customFormat="1" spans="4:41">
      <c r="D1225" s="10"/>
      <c r="E1225" s="11"/>
      <c r="F1225" s="12"/>
      <c r="G1225" s="13"/>
      <c r="H1225" s="13"/>
      <c r="L1225" s="14"/>
      <c r="M1225" s="15"/>
      <c r="N1225" s="15"/>
      <c r="O1225" s="15"/>
      <c r="P1225" s="15"/>
      <c r="Q1225" s="12"/>
      <c r="R1225" s="12"/>
      <c r="S1225" s="12"/>
      <c r="T1225" s="12"/>
      <c r="AO1225" s="16"/>
    </row>
    <row r="1226" s="1" customFormat="1" spans="4:41">
      <c r="D1226" s="10"/>
      <c r="E1226" s="11"/>
      <c r="F1226" s="12"/>
      <c r="G1226" s="13"/>
      <c r="H1226" s="13"/>
      <c r="L1226" s="14"/>
      <c r="M1226" s="15"/>
      <c r="N1226" s="15"/>
      <c r="O1226" s="15"/>
      <c r="P1226" s="15"/>
      <c r="Q1226" s="12"/>
      <c r="R1226" s="12"/>
      <c r="S1226" s="12"/>
      <c r="T1226" s="12"/>
      <c r="AO1226" s="16"/>
    </row>
    <row r="1227" s="1" customFormat="1" spans="4:41">
      <c r="D1227" s="10"/>
      <c r="E1227" s="11"/>
      <c r="F1227" s="12"/>
      <c r="G1227" s="13"/>
      <c r="H1227" s="13"/>
      <c r="L1227" s="14"/>
      <c r="M1227" s="15"/>
      <c r="N1227" s="15"/>
      <c r="O1227" s="15"/>
      <c r="P1227" s="15"/>
      <c r="Q1227" s="12"/>
      <c r="R1227" s="12"/>
      <c r="S1227" s="12"/>
      <c r="T1227" s="12"/>
      <c r="AO1227" s="16"/>
    </row>
    <row r="1228" s="1" customFormat="1" spans="4:41">
      <c r="D1228" s="10"/>
      <c r="E1228" s="11"/>
      <c r="F1228" s="12"/>
      <c r="G1228" s="13"/>
      <c r="H1228" s="13"/>
      <c r="L1228" s="14"/>
      <c r="M1228" s="15"/>
      <c r="N1228" s="15"/>
      <c r="O1228" s="15"/>
      <c r="P1228" s="15"/>
      <c r="Q1228" s="12"/>
      <c r="R1228" s="12"/>
      <c r="S1228" s="12"/>
      <c r="T1228" s="12"/>
      <c r="AO1228" s="16"/>
    </row>
    <row r="1229" s="1" customFormat="1" spans="4:41">
      <c r="D1229" s="10"/>
      <c r="E1229" s="11"/>
      <c r="F1229" s="12"/>
      <c r="G1229" s="13"/>
      <c r="H1229" s="13"/>
      <c r="L1229" s="14"/>
      <c r="M1229" s="15"/>
      <c r="N1229" s="15"/>
      <c r="O1229" s="15"/>
      <c r="P1229" s="15"/>
      <c r="Q1229" s="12"/>
      <c r="R1229" s="12"/>
      <c r="S1229" s="12"/>
      <c r="T1229" s="12"/>
      <c r="AO1229" s="16"/>
    </row>
    <row r="1230" s="1" customFormat="1" spans="4:41">
      <c r="D1230" s="10"/>
      <c r="E1230" s="11"/>
      <c r="F1230" s="12"/>
      <c r="G1230" s="13"/>
      <c r="H1230" s="13"/>
      <c r="L1230" s="14"/>
      <c r="M1230" s="15"/>
      <c r="N1230" s="15"/>
      <c r="O1230" s="15"/>
      <c r="P1230" s="15"/>
      <c r="Q1230" s="12"/>
      <c r="R1230" s="12"/>
      <c r="S1230" s="12"/>
      <c r="T1230" s="12"/>
      <c r="AO1230" s="16"/>
    </row>
    <row r="1231" s="1" customFormat="1" spans="4:41">
      <c r="D1231" s="10"/>
      <c r="E1231" s="11"/>
      <c r="F1231" s="12"/>
      <c r="G1231" s="13"/>
      <c r="H1231" s="13"/>
      <c r="L1231" s="14"/>
      <c r="M1231" s="15"/>
      <c r="N1231" s="15"/>
      <c r="O1231" s="15"/>
      <c r="P1231" s="15"/>
      <c r="Q1231" s="12"/>
      <c r="R1231" s="12"/>
      <c r="S1231" s="12"/>
      <c r="T1231" s="12"/>
      <c r="AO1231" s="16"/>
    </row>
    <row r="1232" s="1" customFormat="1" spans="4:41">
      <c r="D1232" s="10"/>
      <c r="E1232" s="11"/>
      <c r="F1232" s="12"/>
      <c r="G1232" s="13"/>
      <c r="H1232" s="13"/>
      <c r="L1232" s="14"/>
      <c r="M1232" s="15"/>
      <c r="N1232" s="15"/>
      <c r="O1232" s="15"/>
      <c r="P1232" s="15"/>
      <c r="Q1232" s="12"/>
      <c r="R1232" s="12"/>
      <c r="S1232" s="12"/>
      <c r="T1232" s="12"/>
      <c r="AO1232" s="16"/>
    </row>
    <row r="1233" s="1" customFormat="1" spans="4:41">
      <c r="D1233" s="10"/>
      <c r="E1233" s="11"/>
      <c r="F1233" s="12"/>
      <c r="G1233" s="13"/>
      <c r="H1233" s="13"/>
      <c r="L1233" s="14"/>
      <c r="M1233" s="15"/>
      <c r="N1233" s="15"/>
      <c r="O1233" s="15"/>
      <c r="P1233" s="15"/>
      <c r="Q1233" s="12"/>
      <c r="R1233" s="12"/>
      <c r="S1233" s="12"/>
      <c r="T1233" s="12"/>
      <c r="AO1233" s="16"/>
    </row>
    <row r="1234" s="1" customFormat="1" spans="4:41">
      <c r="D1234" s="10"/>
      <c r="E1234" s="11"/>
      <c r="F1234" s="12"/>
      <c r="G1234" s="13"/>
      <c r="H1234" s="13"/>
      <c r="L1234" s="14"/>
      <c r="M1234" s="15"/>
      <c r="N1234" s="15"/>
      <c r="O1234" s="15"/>
      <c r="P1234" s="15"/>
      <c r="Q1234" s="12"/>
      <c r="R1234" s="12"/>
      <c r="S1234" s="12"/>
      <c r="T1234" s="12"/>
      <c r="AO1234" s="16"/>
    </row>
    <row r="1235" s="1" customFormat="1" spans="4:41">
      <c r="D1235" s="10"/>
      <c r="E1235" s="11"/>
      <c r="F1235" s="12"/>
      <c r="G1235" s="13"/>
      <c r="H1235" s="13"/>
      <c r="L1235" s="14"/>
      <c r="M1235" s="15"/>
      <c r="N1235" s="15"/>
      <c r="O1235" s="15"/>
      <c r="P1235" s="15"/>
      <c r="Q1235" s="12"/>
      <c r="R1235" s="12"/>
      <c r="S1235" s="12"/>
      <c r="T1235" s="12"/>
      <c r="AO1235" s="16"/>
    </row>
    <row r="1236" s="1" customFormat="1" spans="4:41">
      <c r="D1236" s="10"/>
      <c r="E1236" s="11"/>
      <c r="F1236" s="12"/>
      <c r="G1236" s="13"/>
      <c r="H1236" s="13"/>
      <c r="L1236" s="14"/>
      <c r="M1236" s="15"/>
      <c r="N1236" s="15"/>
      <c r="O1236" s="15"/>
      <c r="P1236" s="15"/>
      <c r="Q1236" s="12"/>
      <c r="R1236" s="12"/>
      <c r="S1236" s="12"/>
      <c r="T1236" s="12"/>
      <c r="AO1236" s="16"/>
    </row>
    <row r="1237" s="1" customFormat="1" spans="4:41">
      <c r="D1237" s="10"/>
      <c r="E1237" s="11"/>
      <c r="F1237" s="12"/>
      <c r="G1237" s="13"/>
      <c r="H1237" s="13"/>
      <c r="L1237" s="14"/>
      <c r="M1237" s="15"/>
      <c r="N1237" s="15"/>
      <c r="O1237" s="15"/>
      <c r="P1237" s="15"/>
      <c r="Q1237" s="12"/>
      <c r="R1237" s="12"/>
      <c r="S1237" s="12"/>
      <c r="T1237" s="12"/>
      <c r="AO1237" s="16"/>
    </row>
    <row r="1238" s="1" customFormat="1" spans="4:41">
      <c r="D1238" s="10"/>
      <c r="E1238" s="11"/>
      <c r="F1238" s="12"/>
      <c r="G1238" s="13"/>
      <c r="H1238" s="13"/>
      <c r="L1238" s="14"/>
      <c r="M1238" s="15"/>
      <c r="N1238" s="15"/>
      <c r="O1238" s="15"/>
      <c r="P1238" s="15"/>
      <c r="Q1238" s="12"/>
      <c r="R1238" s="12"/>
      <c r="S1238" s="12"/>
      <c r="T1238" s="12"/>
      <c r="AO1238" s="16"/>
    </row>
    <row r="1239" s="1" customFormat="1" spans="4:41">
      <c r="D1239" s="10"/>
      <c r="E1239" s="11"/>
      <c r="F1239" s="12"/>
      <c r="G1239" s="13"/>
      <c r="H1239" s="13"/>
      <c r="L1239" s="14"/>
      <c r="M1239" s="15"/>
      <c r="N1239" s="15"/>
      <c r="O1239" s="15"/>
      <c r="P1239" s="15"/>
      <c r="Q1239" s="12"/>
      <c r="R1239" s="12"/>
      <c r="S1239" s="12"/>
      <c r="T1239" s="12"/>
      <c r="AO1239" s="16"/>
    </row>
    <row r="1240" s="1" customFormat="1" spans="4:41">
      <c r="D1240" s="10"/>
      <c r="E1240" s="11"/>
      <c r="F1240" s="12"/>
      <c r="G1240" s="13"/>
      <c r="H1240" s="13"/>
      <c r="L1240" s="14"/>
      <c r="M1240" s="15"/>
      <c r="N1240" s="15"/>
      <c r="O1240" s="15"/>
      <c r="P1240" s="15"/>
      <c r="Q1240" s="12"/>
      <c r="R1240" s="12"/>
      <c r="S1240" s="12"/>
      <c r="T1240" s="12"/>
      <c r="AO1240" s="16"/>
    </row>
    <row r="1241" s="1" customFormat="1" spans="4:41">
      <c r="D1241" s="10"/>
      <c r="E1241" s="11"/>
      <c r="F1241" s="12"/>
      <c r="G1241" s="13"/>
      <c r="H1241" s="13"/>
      <c r="L1241" s="14"/>
      <c r="M1241" s="15"/>
      <c r="N1241" s="15"/>
      <c r="O1241" s="15"/>
      <c r="P1241" s="15"/>
      <c r="Q1241" s="12"/>
      <c r="R1241" s="12"/>
      <c r="S1241" s="12"/>
      <c r="T1241" s="12"/>
      <c r="AO1241" s="16"/>
    </row>
    <row r="1242" s="1" customFormat="1" spans="4:41">
      <c r="D1242" s="10"/>
      <c r="E1242" s="11"/>
      <c r="F1242" s="12"/>
      <c r="G1242" s="13"/>
      <c r="H1242" s="13"/>
      <c r="L1242" s="14"/>
      <c r="M1242" s="15"/>
      <c r="N1242" s="15"/>
      <c r="O1242" s="15"/>
      <c r="P1242" s="15"/>
      <c r="Q1242" s="12"/>
      <c r="R1242" s="12"/>
      <c r="S1242" s="12"/>
      <c r="T1242" s="12"/>
      <c r="AO1242" s="16"/>
    </row>
    <row r="1243" s="1" customFormat="1" spans="4:41">
      <c r="D1243" s="10"/>
      <c r="E1243" s="11"/>
      <c r="F1243" s="12"/>
      <c r="G1243" s="13"/>
      <c r="H1243" s="13"/>
      <c r="L1243" s="14"/>
      <c r="M1243" s="15"/>
      <c r="N1243" s="15"/>
      <c r="O1243" s="15"/>
      <c r="P1243" s="15"/>
      <c r="Q1243" s="12"/>
      <c r="R1243" s="12"/>
      <c r="S1243" s="12"/>
      <c r="T1243" s="12"/>
      <c r="AO1243" s="16"/>
    </row>
    <row r="1244" s="1" customFormat="1" spans="4:41">
      <c r="D1244" s="10"/>
      <c r="E1244" s="11"/>
      <c r="F1244" s="12"/>
      <c r="G1244" s="13"/>
      <c r="H1244" s="13"/>
      <c r="L1244" s="14"/>
      <c r="M1244" s="15"/>
      <c r="N1244" s="15"/>
      <c r="O1244" s="15"/>
      <c r="P1244" s="15"/>
      <c r="Q1244" s="12"/>
      <c r="R1244" s="12"/>
      <c r="S1244" s="12"/>
      <c r="T1244" s="12"/>
      <c r="AO1244" s="16"/>
    </row>
    <row r="1245" s="1" customFormat="1" spans="4:41">
      <c r="D1245" s="10"/>
      <c r="E1245" s="11"/>
      <c r="F1245" s="12"/>
      <c r="G1245" s="13"/>
      <c r="H1245" s="13"/>
      <c r="L1245" s="14"/>
      <c r="M1245" s="15"/>
      <c r="N1245" s="15"/>
      <c r="O1245" s="15"/>
      <c r="P1245" s="15"/>
      <c r="Q1245" s="12"/>
      <c r="R1245" s="12"/>
      <c r="S1245" s="12"/>
      <c r="T1245" s="12"/>
      <c r="AO1245" s="16"/>
    </row>
    <row r="1246" s="1" customFormat="1" spans="4:41">
      <c r="D1246" s="10"/>
      <c r="E1246" s="11"/>
      <c r="F1246" s="12"/>
      <c r="G1246" s="13"/>
      <c r="H1246" s="13"/>
      <c r="L1246" s="14"/>
      <c r="M1246" s="15"/>
      <c r="N1246" s="15"/>
      <c r="O1246" s="15"/>
      <c r="P1246" s="15"/>
      <c r="Q1246" s="12"/>
      <c r="R1246" s="12"/>
      <c r="S1246" s="12"/>
      <c r="T1246" s="12"/>
      <c r="AO1246" s="16"/>
    </row>
    <row r="1247" s="1" customFormat="1" spans="4:41">
      <c r="D1247" s="10"/>
      <c r="E1247" s="11"/>
      <c r="F1247" s="12"/>
      <c r="G1247" s="13"/>
      <c r="H1247" s="13"/>
      <c r="L1247" s="14"/>
      <c r="M1247" s="15"/>
      <c r="N1247" s="15"/>
      <c r="O1247" s="15"/>
      <c r="P1247" s="15"/>
      <c r="Q1247" s="12"/>
      <c r="R1247" s="12"/>
      <c r="S1247" s="12"/>
      <c r="T1247" s="12"/>
      <c r="AO1247" s="16"/>
    </row>
    <row r="1248" s="1" customFormat="1" spans="4:41">
      <c r="D1248" s="10"/>
      <c r="E1248" s="11"/>
      <c r="F1248" s="12"/>
      <c r="G1248" s="13"/>
      <c r="H1248" s="13"/>
      <c r="L1248" s="14"/>
      <c r="M1248" s="15"/>
      <c r="N1248" s="15"/>
      <c r="O1248" s="15"/>
      <c r="P1248" s="15"/>
      <c r="Q1248" s="12"/>
      <c r="R1248" s="12"/>
      <c r="S1248" s="12"/>
      <c r="T1248" s="12"/>
      <c r="AO1248" s="16"/>
    </row>
    <row r="1249" s="1" customFormat="1" spans="4:41">
      <c r="D1249" s="10"/>
      <c r="E1249" s="11"/>
      <c r="F1249" s="12"/>
      <c r="G1249" s="13"/>
      <c r="H1249" s="13"/>
      <c r="L1249" s="14"/>
      <c r="M1249" s="15"/>
      <c r="N1249" s="15"/>
      <c r="O1249" s="15"/>
      <c r="P1249" s="15"/>
      <c r="Q1249" s="12"/>
      <c r="R1249" s="12"/>
      <c r="S1249" s="12"/>
      <c r="T1249" s="12"/>
      <c r="AO1249" s="16"/>
    </row>
    <row r="1250" s="1" customFormat="1" spans="4:41">
      <c r="D1250" s="10"/>
      <c r="E1250" s="11"/>
      <c r="F1250" s="12"/>
      <c r="G1250" s="13"/>
      <c r="H1250" s="13"/>
      <c r="L1250" s="14"/>
      <c r="M1250" s="15"/>
      <c r="N1250" s="15"/>
      <c r="O1250" s="15"/>
      <c r="P1250" s="15"/>
      <c r="Q1250" s="12"/>
      <c r="R1250" s="12"/>
      <c r="S1250" s="12"/>
      <c r="T1250" s="12"/>
      <c r="AO1250" s="16"/>
    </row>
    <row r="1251" s="1" customFormat="1" spans="4:41">
      <c r="D1251" s="10"/>
      <c r="E1251" s="11"/>
      <c r="F1251" s="12"/>
      <c r="G1251" s="13"/>
      <c r="H1251" s="13"/>
      <c r="L1251" s="14"/>
      <c r="M1251" s="15"/>
      <c r="N1251" s="15"/>
      <c r="O1251" s="15"/>
      <c r="P1251" s="15"/>
      <c r="Q1251" s="12"/>
      <c r="R1251" s="12"/>
      <c r="S1251" s="12"/>
      <c r="T1251" s="12"/>
      <c r="AO1251" s="16"/>
    </row>
    <row r="1252" s="1" customFormat="1" spans="4:41">
      <c r="D1252" s="10"/>
      <c r="E1252" s="11"/>
      <c r="F1252" s="12"/>
      <c r="G1252" s="13"/>
      <c r="H1252" s="13"/>
      <c r="L1252" s="14"/>
      <c r="M1252" s="15"/>
      <c r="N1252" s="15"/>
      <c r="O1252" s="15"/>
      <c r="P1252" s="15"/>
      <c r="Q1252" s="12"/>
      <c r="R1252" s="12"/>
      <c r="S1252" s="12"/>
      <c r="T1252" s="12"/>
      <c r="AO1252" s="16"/>
    </row>
    <row r="1253" s="1" customFormat="1" spans="4:41">
      <c r="D1253" s="10"/>
      <c r="E1253" s="11"/>
      <c r="F1253" s="12"/>
      <c r="G1253" s="13"/>
      <c r="H1253" s="13"/>
      <c r="L1253" s="14"/>
      <c r="M1253" s="15"/>
      <c r="N1253" s="15"/>
      <c r="O1253" s="15"/>
      <c r="P1253" s="15"/>
      <c r="Q1253" s="12"/>
      <c r="R1253" s="12"/>
      <c r="S1253" s="12"/>
      <c r="T1253" s="12"/>
      <c r="AO1253" s="16"/>
    </row>
    <row r="1254" s="1" customFormat="1" spans="4:41">
      <c r="D1254" s="10"/>
      <c r="E1254" s="11"/>
      <c r="F1254" s="12"/>
      <c r="G1254" s="13"/>
      <c r="H1254" s="13"/>
      <c r="L1254" s="14"/>
      <c r="M1254" s="15"/>
      <c r="N1254" s="15"/>
      <c r="O1254" s="15"/>
      <c r="P1254" s="15"/>
      <c r="Q1254" s="12"/>
      <c r="R1254" s="12"/>
      <c r="S1254" s="12"/>
      <c r="T1254" s="12"/>
      <c r="AO1254" s="16"/>
    </row>
    <row r="1255" s="1" customFormat="1" spans="4:41">
      <c r="D1255" s="10"/>
      <c r="E1255" s="11"/>
      <c r="F1255" s="12"/>
      <c r="G1255" s="13"/>
      <c r="H1255" s="13"/>
      <c r="L1255" s="14"/>
      <c r="M1255" s="15"/>
      <c r="N1255" s="15"/>
      <c r="O1255" s="15"/>
      <c r="P1255" s="15"/>
      <c r="Q1255" s="12"/>
      <c r="R1255" s="12"/>
      <c r="S1255" s="12"/>
      <c r="T1255" s="12"/>
      <c r="AO1255" s="16"/>
    </row>
    <row r="1256" s="1" customFormat="1" spans="4:41">
      <c r="D1256" s="10"/>
      <c r="E1256" s="11"/>
      <c r="F1256" s="12"/>
      <c r="G1256" s="13"/>
      <c r="H1256" s="13"/>
      <c r="L1256" s="14"/>
      <c r="M1256" s="15"/>
      <c r="N1256" s="15"/>
      <c r="O1256" s="15"/>
      <c r="P1256" s="15"/>
      <c r="Q1256" s="12"/>
      <c r="R1256" s="12"/>
      <c r="S1256" s="12"/>
      <c r="T1256" s="12"/>
      <c r="AO1256" s="16"/>
    </row>
    <row r="1257" s="1" customFormat="1" spans="4:41">
      <c r="D1257" s="10"/>
      <c r="E1257" s="11"/>
      <c r="F1257" s="12"/>
      <c r="G1257" s="13"/>
      <c r="H1257" s="13"/>
      <c r="L1257" s="14"/>
      <c r="M1257" s="15"/>
      <c r="N1257" s="15"/>
      <c r="O1257" s="15"/>
      <c r="P1257" s="15"/>
      <c r="Q1257" s="12"/>
      <c r="R1257" s="12"/>
      <c r="S1257" s="12"/>
      <c r="T1257" s="12"/>
      <c r="AO1257" s="16"/>
    </row>
    <row r="1258" s="1" customFormat="1" spans="4:41">
      <c r="D1258" s="10"/>
      <c r="E1258" s="11"/>
      <c r="F1258" s="12"/>
      <c r="G1258" s="13"/>
      <c r="H1258" s="13"/>
      <c r="L1258" s="14"/>
      <c r="M1258" s="15"/>
      <c r="N1258" s="15"/>
      <c r="O1258" s="15"/>
      <c r="P1258" s="15"/>
      <c r="Q1258" s="12"/>
      <c r="R1258" s="12"/>
      <c r="S1258" s="12"/>
      <c r="T1258" s="12"/>
      <c r="AO1258" s="16"/>
    </row>
    <row r="1259" s="1" customFormat="1" spans="4:41">
      <c r="D1259" s="10"/>
      <c r="E1259" s="11"/>
      <c r="F1259" s="12"/>
      <c r="G1259" s="13"/>
      <c r="H1259" s="13"/>
      <c r="L1259" s="14"/>
      <c r="M1259" s="15"/>
      <c r="N1259" s="15"/>
      <c r="O1259" s="15"/>
      <c r="P1259" s="15"/>
      <c r="Q1259" s="12"/>
      <c r="R1259" s="12"/>
      <c r="S1259" s="12"/>
      <c r="T1259" s="12"/>
      <c r="AO1259" s="16"/>
    </row>
    <row r="1260" s="1" customFormat="1" spans="4:41">
      <c r="D1260" s="10"/>
      <c r="E1260" s="11"/>
      <c r="F1260" s="12"/>
      <c r="G1260" s="13"/>
      <c r="H1260" s="13"/>
      <c r="L1260" s="14"/>
      <c r="M1260" s="15"/>
      <c r="N1260" s="15"/>
      <c r="O1260" s="15"/>
      <c r="P1260" s="15"/>
      <c r="Q1260" s="12"/>
      <c r="R1260" s="12"/>
      <c r="S1260" s="12"/>
      <c r="T1260" s="12"/>
      <c r="AO1260" s="16"/>
    </row>
    <row r="1261" s="1" customFormat="1" spans="4:41">
      <c r="D1261" s="10"/>
      <c r="E1261" s="11"/>
      <c r="F1261" s="12"/>
      <c r="G1261" s="13"/>
      <c r="H1261" s="13"/>
      <c r="L1261" s="14"/>
      <c r="M1261" s="15"/>
      <c r="N1261" s="15"/>
      <c r="O1261" s="15"/>
      <c r="P1261" s="15"/>
      <c r="Q1261" s="12"/>
      <c r="R1261" s="12"/>
      <c r="S1261" s="12"/>
      <c r="T1261" s="12"/>
      <c r="AO1261" s="16"/>
    </row>
    <row r="1262" s="1" customFormat="1" spans="4:41">
      <c r="D1262" s="10"/>
      <c r="E1262" s="11"/>
      <c r="F1262" s="12"/>
      <c r="G1262" s="13"/>
      <c r="H1262" s="13"/>
      <c r="L1262" s="14"/>
      <c r="M1262" s="15"/>
      <c r="N1262" s="15"/>
      <c r="O1262" s="15"/>
      <c r="P1262" s="15"/>
      <c r="Q1262" s="12"/>
      <c r="R1262" s="12"/>
      <c r="S1262" s="12"/>
      <c r="T1262" s="12"/>
      <c r="AO1262" s="16"/>
    </row>
    <row r="1263" s="1" customFormat="1" spans="4:41">
      <c r="D1263" s="10"/>
      <c r="E1263" s="11"/>
      <c r="F1263" s="12"/>
      <c r="G1263" s="13"/>
      <c r="H1263" s="13"/>
      <c r="L1263" s="14"/>
      <c r="M1263" s="15"/>
      <c r="N1263" s="15"/>
      <c r="O1263" s="15"/>
      <c r="P1263" s="15"/>
      <c r="Q1263" s="12"/>
      <c r="R1263" s="12"/>
      <c r="S1263" s="12"/>
      <c r="T1263" s="12"/>
      <c r="AO1263" s="16"/>
    </row>
    <row r="1264" s="1" customFormat="1" spans="4:41">
      <c r="D1264" s="10"/>
      <c r="E1264" s="11"/>
      <c r="F1264" s="12"/>
      <c r="G1264" s="13"/>
      <c r="H1264" s="13"/>
      <c r="L1264" s="14"/>
      <c r="M1264" s="15"/>
      <c r="N1264" s="15"/>
      <c r="O1264" s="15"/>
      <c r="P1264" s="15"/>
      <c r="Q1264" s="12"/>
      <c r="R1264" s="12"/>
      <c r="S1264" s="12"/>
      <c r="T1264" s="12"/>
      <c r="AO1264" s="16"/>
    </row>
    <row r="1265" s="1" customFormat="1" spans="4:41">
      <c r="D1265" s="10"/>
      <c r="E1265" s="11"/>
      <c r="F1265" s="12"/>
      <c r="G1265" s="13"/>
      <c r="H1265" s="13"/>
      <c r="L1265" s="14"/>
      <c r="M1265" s="15"/>
      <c r="N1265" s="15"/>
      <c r="O1265" s="15"/>
      <c r="P1265" s="15"/>
      <c r="Q1265" s="12"/>
      <c r="R1265" s="12"/>
      <c r="S1265" s="12"/>
      <c r="T1265" s="12"/>
      <c r="AO1265" s="16"/>
    </row>
    <row r="1266" s="1" customFormat="1" spans="4:41">
      <c r="D1266" s="10"/>
      <c r="E1266" s="11"/>
      <c r="F1266" s="12"/>
      <c r="G1266" s="13"/>
      <c r="H1266" s="13"/>
      <c r="L1266" s="14"/>
      <c r="M1266" s="15"/>
      <c r="N1266" s="15"/>
      <c r="O1266" s="15"/>
      <c r="P1266" s="15"/>
      <c r="Q1266" s="12"/>
      <c r="R1266" s="12"/>
      <c r="S1266" s="12"/>
      <c r="T1266" s="12"/>
      <c r="AO1266" s="16"/>
    </row>
    <row r="1267" s="1" customFormat="1" spans="4:41">
      <c r="D1267" s="10"/>
      <c r="E1267" s="11"/>
      <c r="F1267" s="12"/>
      <c r="G1267" s="13"/>
      <c r="H1267" s="13"/>
      <c r="L1267" s="14"/>
      <c r="M1267" s="15"/>
      <c r="N1267" s="15"/>
      <c r="O1267" s="15"/>
      <c r="P1267" s="15"/>
      <c r="Q1267" s="12"/>
      <c r="R1267" s="12"/>
      <c r="S1267" s="12"/>
      <c r="T1267" s="12"/>
      <c r="AO1267" s="16"/>
    </row>
    <row r="1268" s="1" customFormat="1" spans="4:41">
      <c r="D1268" s="10"/>
      <c r="E1268" s="11"/>
      <c r="F1268" s="12"/>
      <c r="G1268" s="13"/>
      <c r="H1268" s="13"/>
      <c r="L1268" s="14"/>
      <c r="M1268" s="15"/>
      <c r="N1268" s="15"/>
      <c r="O1268" s="15"/>
      <c r="P1268" s="15"/>
      <c r="Q1268" s="12"/>
      <c r="R1268" s="12"/>
      <c r="S1268" s="12"/>
      <c r="T1268" s="12"/>
      <c r="AO1268" s="16"/>
    </row>
    <row r="1269" s="1" customFormat="1" spans="4:41">
      <c r="D1269" s="10"/>
      <c r="E1269" s="11"/>
      <c r="F1269" s="12"/>
      <c r="G1269" s="13"/>
      <c r="H1269" s="13"/>
      <c r="L1269" s="14"/>
      <c r="M1269" s="15"/>
      <c r="N1269" s="15"/>
      <c r="O1269" s="15"/>
      <c r="P1269" s="15"/>
      <c r="Q1269" s="12"/>
      <c r="R1269" s="12"/>
      <c r="S1269" s="12"/>
      <c r="T1269" s="12"/>
      <c r="AO1269" s="16"/>
    </row>
    <row r="1270" s="1" customFormat="1" spans="4:41">
      <c r="D1270" s="10"/>
      <c r="E1270" s="11"/>
      <c r="F1270" s="12"/>
      <c r="G1270" s="13"/>
      <c r="H1270" s="13"/>
      <c r="L1270" s="14"/>
      <c r="M1270" s="15"/>
      <c r="N1270" s="15"/>
      <c r="O1270" s="15"/>
      <c r="P1270" s="15"/>
      <c r="Q1270" s="12"/>
      <c r="R1270" s="12"/>
      <c r="S1270" s="12"/>
      <c r="T1270" s="12"/>
      <c r="AO1270" s="16"/>
    </row>
    <row r="1271" s="1" customFormat="1" spans="4:41">
      <c r="D1271" s="10"/>
      <c r="E1271" s="11"/>
      <c r="F1271" s="12"/>
      <c r="G1271" s="13"/>
      <c r="H1271" s="13"/>
      <c r="L1271" s="14"/>
      <c r="M1271" s="15"/>
      <c r="N1271" s="15"/>
      <c r="O1271" s="15"/>
      <c r="P1271" s="15"/>
      <c r="Q1271" s="12"/>
      <c r="R1271" s="12"/>
      <c r="S1271" s="12"/>
      <c r="T1271" s="12"/>
      <c r="AO1271" s="16"/>
    </row>
    <row r="1272" s="1" customFormat="1" spans="4:41">
      <c r="D1272" s="10"/>
      <c r="E1272" s="11"/>
      <c r="F1272" s="12"/>
      <c r="G1272" s="13"/>
      <c r="H1272" s="13"/>
      <c r="L1272" s="14"/>
      <c r="M1272" s="15"/>
      <c r="N1272" s="15"/>
      <c r="O1272" s="15"/>
      <c r="P1272" s="15"/>
      <c r="Q1272" s="12"/>
      <c r="R1272" s="12"/>
      <c r="S1272" s="12"/>
      <c r="T1272" s="12"/>
      <c r="AO1272" s="16"/>
    </row>
    <row r="1273" s="1" customFormat="1" spans="4:41">
      <c r="D1273" s="10"/>
      <c r="E1273" s="11"/>
      <c r="F1273" s="12"/>
      <c r="G1273" s="13"/>
      <c r="H1273" s="13"/>
      <c r="L1273" s="14"/>
      <c r="M1273" s="15"/>
      <c r="N1273" s="15"/>
      <c r="O1273" s="15"/>
      <c r="P1273" s="15"/>
      <c r="Q1273" s="12"/>
      <c r="R1273" s="12"/>
      <c r="S1273" s="12"/>
      <c r="T1273" s="12"/>
      <c r="AO1273" s="16"/>
    </row>
    <row r="1274" s="1" customFormat="1" spans="4:41">
      <c r="D1274" s="10"/>
      <c r="E1274" s="11"/>
      <c r="F1274" s="12"/>
      <c r="G1274" s="13"/>
      <c r="H1274" s="13"/>
      <c r="L1274" s="14"/>
      <c r="M1274" s="15"/>
      <c r="N1274" s="15"/>
      <c r="O1274" s="15"/>
      <c r="P1274" s="15"/>
      <c r="Q1274" s="12"/>
      <c r="R1274" s="12"/>
      <c r="S1274" s="12"/>
      <c r="T1274" s="12"/>
      <c r="AO1274" s="16"/>
    </row>
    <row r="1275" s="1" customFormat="1" spans="4:41">
      <c r="D1275" s="10"/>
      <c r="E1275" s="11"/>
      <c r="F1275" s="12"/>
      <c r="G1275" s="13"/>
      <c r="H1275" s="13"/>
      <c r="L1275" s="14"/>
      <c r="M1275" s="15"/>
      <c r="N1275" s="15"/>
      <c r="O1275" s="15"/>
      <c r="P1275" s="15"/>
      <c r="Q1275" s="12"/>
      <c r="R1275" s="12"/>
      <c r="S1275" s="12"/>
      <c r="T1275" s="12"/>
      <c r="AO1275" s="16"/>
    </row>
    <row r="1276" s="1" customFormat="1" spans="4:41">
      <c r="D1276" s="10"/>
      <c r="E1276" s="11"/>
      <c r="F1276" s="12"/>
      <c r="G1276" s="13"/>
      <c r="H1276" s="13"/>
      <c r="L1276" s="14"/>
      <c r="M1276" s="15"/>
      <c r="N1276" s="15"/>
      <c r="O1276" s="15"/>
      <c r="P1276" s="15"/>
      <c r="Q1276" s="12"/>
      <c r="R1276" s="12"/>
      <c r="S1276" s="12"/>
      <c r="T1276" s="12"/>
      <c r="AO1276" s="16"/>
    </row>
    <row r="1277" s="1" customFormat="1" spans="4:41">
      <c r="D1277" s="10"/>
      <c r="E1277" s="11"/>
      <c r="F1277" s="12"/>
      <c r="G1277" s="13"/>
      <c r="H1277" s="13"/>
      <c r="L1277" s="14"/>
      <c r="M1277" s="15"/>
      <c r="N1277" s="15"/>
      <c r="O1277" s="15"/>
      <c r="P1277" s="15"/>
      <c r="Q1277" s="12"/>
      <c r="R1277" s="12"/>
      <c r="S1277" s="12"/>
      <c r="T1277" s="12"/>
      <c r="AO1277" s="16"/>
    </row>
    <row r="1278" s="1" customFormat="1" spans="4:41">
      <c r="D1278" s="10"/>
      <c r="E1278" s="11"/>
      <c r="F1278" s="12"/>
      <c r="G1278" s="13"/>
      <c r="H1278" s="13"/>
      <c r="L1278" s="14"/>
      <c r="M1278" s="15"/>
      <c r="N1278" s="15"/>
      <c r="O1278" s="15"/>
      <c r="P1278" s="15"/>
      <c r="Q1278" s="12"/>
      <c r="R1278" s="12"/>
      <c r="S1278" s="12"/>
      <c r="T1278" s="12"/>
      <c r="AO1278" s="16"/>
    </row>
    <row r="1279" s="1" customFormat="1" spans="4:41">
      <c r="D1279" s="10"/>
      <c r="E1279" s="11"/>
      <c r="F1279" s="12"/>
      <c r="G1279" s="13"/>
      <c r="H1279" s="13"/>
      <c r="L1279" s="14"/>
      <c r="M1279" s="15"/>
      <c r="N1279" s="15"/>
      <c r="O1279" s="15"/>
      <c r="P1279" s="15"/>
      <c r="Q1279" s="12"/>
      <c r="R1279" s="12"/>
      <c r="S1279" s="12"/>
      <c r="T1279" s="12"/>
      <c r="AO1279" s="16"/>
    </row>
    <row r="1280" s="1" customFormat="1" spans="4:41">
      <c r="D1280" s="10"/>
      <c r="E1280" s="11"/>
      <c r="F1280" s="12"/>
      <c r="G1280" s="13"/>
      <c r="H1280" s="13"/>
      <c r="L1280" s="14"/>
      <c r="M1280" s="15"/>
      <c r="N1280" s="15"/>
      <c r="O1280" s="15"/>
      <c r="P1280" s="15"/>
      <c r="Q1280" s="12"/>
      <c r="R1280" s="12"/>
      <c r="S1280" s="12"/>
      <c r="T1280" s="12"/>
      <c r="AO1280" s="16"/>
    </row>
    <row r="1281" s="1" customFormat="1" spans="4:41">
      <c r="D1281" s="10"/>
      <c r="E1281" s="11"/>
      <c r="F1281" s="12"/>
      <c r="G1281" s="13"/>
      <c r="H1281" s="13"/>
      <c r="L1281" s="14"/>
      <c r="M1281" s="15"/>
      <c r="N1281" s="15"/>
      <c r="O1281" s="15"/>
      <c r="P1281" s="15"/>
      <c r="Q1281" s="12"/>
      <c r="R1281" s="12"/>
      <c r="S1281" s="12"/>
      <c r="T1281" s="12"/>
      <c r="AO1281" s="16"/>
    </row>
    <row r="1282" s="1" customFormat="1" spans="4:41">
      <c r="D1282" s="10"/>
      <c r="E1282" s="11"/>
      <c r="F1282" s="12"/>
      <c r="G1282" s="13"/>
      <c r="H1282" s="13"/>
      <c r="L1282" s="14"/>
      <c r="M1282" s="15"/>
      <c r="N1282" s="15"/>
      <c r="O1282" s="15"/>
      <c r="P1282" s="15"/>
      <c r="Q1282" s="12"/>
      <c r="R1282" s="12"/>
      <c r="S1282" s="12"/>
      <c r="T1282" s="12"/>
      <c r="AO1282" s="16"/>
    </row>
    <row r="1283" s="1" customFormat="1" spans="4:41">
      <c r="D1283" s="10"/>
      <c r="E1283" s="11"/>
      <c r="F1283" s="12"/>
      <c r="G1283" s="13"/>
      <c r="H1283" s="13"/>
      <c r="L1283" s="14"/>
      <c r="M1283" s="15"/>
      <c r="N1283" s="15"/>
      <c r="O1283" s="15"/>
      <c r="P1283" s="15"/>
      <c r="Q1283" s="12"/>
      <c r="R1283" s="12"/>
      <c r="S1283" s="12"/>
      <c r="T1283" s="12"/>
      <c r="AO1283" s="16"/>
    </row>
    <row r="1284" s="1" customFormat="1" spans="4:41">
      <c r="D1284" s="10"/>
      <c r="E1284" s="11"/>
      <c r="F1284" s="12"/>
      <c r="G1284" s="13"/>
      <c r="H1284" s="13"/>
      <c r="L1284" s="14"/>
      <c r="M1284" s="15"/>
      <c r="N1284" s="15"/>
      <c r="O1284" s="15"/>
      <c r="P1284" s="15"/>
      <c r="Q1284" s="12"/>
      <c r="R1284" s="12"/>
      <c r="S1284" s="12"/>
      <c r="T1284" s="12"/>
      <c r="AO1284" s="16"/>
    </row>
    <row r="1285" s="1" customFormat="1" spans="4:41">
      <c r="D1285" s="10"/>
      <c r="E1285" s="11"/>
      <c r="F1285" s="12"/>
      <c r="G1285" s="13"/>
      <c r="H1285" s="13"/>
      <c r="L1285" s="14"/>
      <c r="M1285" s="15"/>
      <c r="N1285" s="15"/>
      <c r="O1285" s="15"/>
      <c r="P1285" s="15"/>
      <c r="Q1285" s="12"/>
      <c r="R1285" s="12"/>
      <c r="S1285" s="12"/>
      <c r="T1285" s="12"/>
      <c r="AO1285" s="16"/>
    </row>
    <row r="1286" s="1" customFormat="1" spans="4:41">
      <c r="D1286" s="10"/>
      <c r="E1286" s="11"/>
      <c r="F1286" s="12"/>
      <c r="G1286" s="13"/>
      <c r="H1286" s="13"/>
      <c r="L1286" s="14"/>
      <c r="M1286" s="15"/>
      <c r="N1286" s="15"/>
      <c r="O1286" s="15"/>
      <c r="P1286" s="15"/>
      <c r="Q1286" s="12"/>
      <c r="R1286" s="12"/>
      <c r="S1286" s="12"/>
      <c r="T1286" s="12"/>
      <c r="AO1286" s="16"/>
    </row>
    <row r="1287" s="1" customFormat="1" spans="4:41">
      <c r="D1287" s="10"/>
      <c r="E1287" s="11"/>
      <c r="F1287" s="12"/>
      <c r="G1287" s="13"/>
      <c r="H1287" s="13"/>
      <c r="L1287" s="14"/>
      <c r="M1287" s="15"/>
      <c r="N1287" s="15"/>
      <c r="O1287" s="15"/>
      <c r="P1287" s="15"/>
      <c r="Q1287" s="12"/>
      <c r="R1287" s="12"/>
      <c r="S1287" s="12"/>
      <c r="T1287" s="12"/>
      <c r="AO1287" s="16"/>
    </row>
    <row r="1288" s="1" customFormat="1" spans="4:41">
      <c r="D1288" s="10"/>
      <c r="E1288" s="11"/>
      <c r="F1288" s="12"/>
      <c r="G1288" s="13"/>
      <c r="H1288" s="13"/>
      <c r="L1288" s="14"/>
      <c r="M1288" s="15"/>
      <c r="N1288" s="15"/>
      <c r="O1288" s="15"/>
      <c r="P1288" s="15"/>
      <c r="Q1288" s="12"/>
      <c r="R1288" s="12"/>
      <c r="S1288" s="12"/>
      <c r="T1288" s="12"/>
      <c r="AO1288" s="16"/>
    </row>
    <row r="1289" s="1" customFormat="1" spans="4:41">
      <c r="D1289" s="10"/>
      <c r="E1289" s="11"/>
      <c r="F1289" s="12"/>
      <c r="G1289" s="13"/>
      <c r="H1289" s="13"/>
      <c r="L1289" s="14"/>
      <c r="M1289" s="15"/>
      <c r="N1289" s="15"/>
      <c r="O1289" s="15"/>
      <c r="P1289" s="15"/>
      <c r="Q1289" s="12"/>
      <c r="R1289" s="12"/>
      <c r="S1289" s="12"/>
      <c r="T1289" s="12"/>
      <c r="AO1289" s="16"/>
    </row>
    <row r="1290" s="1" customFormat="1" spans="4:41">
      <c r="D1290" s="10"/>
      <c r="E1290" s="11"/>
      <c r="F1290" s="12"/>
      <c r="G1290" s="13"/>
      <c r="H1290" s="13"/>
      <c r="L1290" s="14"/>
      <c r="M1290" s="15"/>
      <c r="N1290" s="15"/>
      <c r="O1290" s="15"/>
      <c r="P1290" s="15"/>
      <c r="Q1290" s="12"/>
      <c r="R1290" s="12"/>
      <c r="S1290" s="12"/>
      <c r="T1290" s="12"/>
      <c r="AO1290" s="16"/>
    </row>
    <row r="1291" s="1" customFormat="1" spans="4:41">
      <c r="D1291" s="10"/>
      <c r="E1291" s="11"/>
      <c r="F1291" s="12"/>
      <c r="G1291" s="13"/>
      <c r="H1291" s="13"/>
      <c r="L1291" s="14"/>
      <c r="M1291" s="15"/>
      <c r="N1291" s="15"/>
      <c r="O1291" s="15"/>
      <c r="P1291" s="15"/>
      <c r="Q1291" s="12"/>
      <c r="R1291" s="12"/>
      <c r="S1291" s="12"/>
      <c r="T1291" s="12"/>
      <c r="AO1291" s="16"/>
    </row>
    <row r="1292" s="1" customFormat="1" spans="4:41">
      <c r="D1292" s="10"/>
      <c r="E1292" s="11"/>
      <c r="F1292" s="12"/>
      <c r="G1292" s="13"/>
      <c r="H1292" s="13"/>
      <c r="L1292" s="14"/>
      <c r="M1292" s="15"/>
      <c r="N1292" s="15"/>
      <c r="O1292" s="15"/>
      <c r="P1292" s="15"/>
      <c r="Q1292" s="12"/>
      <c r="R1292" s="12"/>
      <c r="S1292" s="12"/>
      <c r="T1292" s="12"/>
      <c r="AO1292" s="16"/>
    </row>
    <row r="1293" s="1" customFormat="1" spans="4:41">
      <c r="D1293" s="10"/>
      <c r="E1293" s="11"/>
      <c r="F1293" s="12"/>
      <c r="G1293" s="13"/>
      <c r="H1293" s="13"/>
      <c r="L1293" s="14"/>
      <c r="M1293" s="15"/>
      <c r="N1293" s="15"/>
      <c r="O1293" s="15"/>
      <c r="P1293" s="15"/>
      <c r="Q1293" s="12"/>
      <c r="R1293" s="12"/>
      <c r="S1293" s="12"/>
      <c r="T1293" s="12"/>
      <c r="AO1293" s="16"/>
    </row>
    <row r="1294" s="1" customFormat="1" spans="4:41">
      <c r="D1294" s="10"/>
      <c r="E1294" s="11"/>
      <c r="F1294" s="12"/>
      <c r="G1294" s="13"/>
      <c r="H1294" s="13"/>
      <c r="L1294" s="14"/>
      <c r="M1294" s="15"/>
      <c r="N1294" s="15"/>
      <c r="O1294" s="15"/>
      <c r="P1294" s="15"/>
      <c r="Q1294" s="12"/>
      <c r="R1294" s="12"/>
      <c r="S1294" s="12"/>
      <c r="T1294" s="12"/>
      <c r="AO1294" s="16"/>
    </row>
    <row r="1295" s="1" customFormat="1" spans="4:41">
      <c r="D1295" s="10"/>
      <c r="E1295" s="11"/>
      <c r="F1295" s="12"/>
      <c r="G1295" s="13"/>
      <c r="H1295" s="13"/>
      <c r="L1295" s="14"/>
      <c r="M1295" s="15"/>
      <c r="N1295" s="15"/>
      <c r="O1295" s="15"/>
      <c r="P1295" s="15"/>
      <c r="Q1295" s="12"/>
      <c r="R1295" s="12"/>
      <c r="S1295" s="12"/>
      <c r="T1295" s="12"/>
      <c r="AO1295" s="16"/>
    </row>
    <row r="1296" s="1" customFormat="1" spans="4:41">
      <c r="D1296" s="10"/>
      <c r="E1296" s="11"/>
      <c r="F1296" s="12"/>
      <c r="G1296" s="13"/>
      <c r="H1296" s="13"/>
      <c r="L1296" s="14"/>
      <c r="M1296" s="15"/>
      <c r="N1296" s="15"/>
      <c r="O1296" s="15"/>
      <c r="P1296" s="15"/>
      <c r="Q1296" s="12"/>
      <c r="R1296" s="12"/>
      <c r="S1296" s="12"/>
      <c r="T1296" s="12"/>
      <c r="AO1296" s="16"/>
    </row>
    <row r="1297" s="1" customFormat="1" spans="4:41">
      <c r="D1297" s="10"/>
      <c r="E1297" s="11"/>
      <c r="F1297" s="12"/>
      <c r="G1297" s="13"/>
      <c r="H1297" s="13"/>
      <c r="L1297" s="14"/>
      <c r="M1297" s="15"/>
      <c r="N1297" s="15"/>
      <c r="O1297" s="15"/>
      <c r="P1297" s="15"/>
      <c r="Q1297" s="12"/>
      <c r="R1297" s="12"/>
      <c r="S1297" s="12"/>
      <c r="T1297" s="12"/>
      <c r="AO1297" s="16"/>
    </row>
    <row r="1298" s="1" customFormat="1" spans="4:41">
      <c r="D1298" s="10"/>
      <c r="E1298" s="11"/>
      <c r="F1298" s="12"/>
      <c r="G1298" s="13"/>
      <c r="H1298" s="13"/>
      <c r="L1298" s="14"/>
      <c r="M1298" s="15"/>
      <c r="N1298" s="15"/>
      <c r="O1298" s="15"/>
      <c r="P1298" s="15"/>
      <c r="Q1298" s="12"/>
      <c r="R1298" s="12"/>
      <c r="S1298" s="12"/>
      <c r="T1298" s="12"/>
      <c r="AO1298" s="16"/>
    </row>
    <row r="1299" s="1" customFormat="1" spans="4:41">
      <c r="D1299" s="10"/>
      <c r="E1299" s="11"/>
      <c r="F1299" s="12"/>
      <c r="G1299" s="13"/>
      <c r="H1299" s="13"/>
      <c r="L1299" s="14"/>
      <c r="M1299" s="15"/>
      <c r="N1299" s="15"/>
      <c r="O1299" s="15"/>
      <c r="P1299" s="15"/>
      <c r="Q1299" s="12"/>
      <c r="R1299" s="12"/>
      <c r="S1299" s="12"/>
      <c r="T1299" s="12"/>
      <c r="AO1299" s="16"/>
    </row>
    <row r="1300" s="1" customFormat="1" spans="4:41">
      <c r="D1300" s="10"/>
      <c r="E1300" s="11"/>
      <c r="F1300" s="12"/>
      <c r="G1300" s="13"/>
      <c r="H1300" s="13"/>
      <c r="L1300" s="14"/>
      <c r="M1300" s="15"/>
      <c r="N1300" s="15"/>
      <c r="O1300" s="15"/>
      <c r="P1300" s="15"/>
      <c r="Q1300" s="12"/>
      <c r="R1300" s="12"/>
      <c r="S1300" s="12"/>
      <c r="T1300" s="12"/>
      <c r="AO1300" s="16"/>
    </row>
    <row r="1301" s="1" customFormat="1" spans="4:41">
      <c r="D1301" s="10"/>
      <c r="E1301" s="11"/>
      <c r="F1301" s="12"/>
      <c r="G1301" s="13"/>
      <c r="H1301" s="13"/>
      <c r="L1301" s="14"/>
      <c r="M1301" s="15"/>
      <c r="N1301" s="15"/>
      <c r="O1301" s="15"/>
      <c r="P1301" s="15"/>
      <c r="Q1301" s="12"/>
      <c r="R1301" s="12"/>
      <c r="S1301" s="12"/>
      <c r="T1301" s="12"/>
      <c r="AO1301" s="16"/>
    </row>
    <row r="1302" s="1" customFormat="1" spans="4:41">
      <c r="D1302" s="10"/>
      <c r="E1302" s="11"/>
      <c r="F1302" s="12"/>
      <c r="G1302" s="13"/>
      <c r="H1302" s="13"/>
      <c r="L1302" s="14"/>
      <c r="M1302" s="15"/>
      <c r="N1302" s="15"/>
      <c r="O1302" s="15"/>
      <c r="P1302" s="15"/>
      <c r="Q1302" s="12"/>
      <c r="R1302" s="12"/>
      <c r="S1302" s="12"/>
      <c r="T1302" s="12"/>
      <c r="AO1302" s="16"/>
    </row>
    <row r="1303" s="1" customFormat="1" spans="4:41">
      <c r="D1303" s="10"/>
      <c r="E1303" s="11"/>
      <c r="F1303" s="12"/>
      <c r="G1303" s="13"/>
      <c r="H1303" s="13"/>
      <c r="L1303" s="14"/>
      <c r="M1303" s="15"/>
      <c r="N1303" s="15"/>
      <c r="O1303" s="15"/>
      <c r="P1303" s="15"/>
      <c r="Q1303" s="12"/>
      <c r="R1303" s="12"/>
      <c r="S1303" s="12"/>
      <c r="T1303" s="12"/>
      <c r="AO1303" s="16"/>
    </row>
    <row r="1304" s="1" customFormat="1" spans="4:41">
      <c r="D1304" s="10"/>
      <c r="E1304" s="11"/>
      <c r="F1304" s="12"/>
      <c r="G1304" s="13"/>
      <c r="H1304" s="13"/>
      <c r="L1304" s="14"/>
      <c r="M1304" s="15"/>
      <c r="N1304" s="15"/>
      <c r="O1304" s="15"/>
      <c r="P1304" s="15"/>
      <c r="Q1304" s="12"/>
      <c r="R1304" s="12"/>
      <c r="S1304" s="12"/>
      <c r="T1304" s="12"/>
      <c r="AO1304" s="16"/>
    </row>
    <row r="1305" s="1" customFormat="1" spans="4:41">
      <c r="D1305" s="10"/>
      <c r="E1305" s="11"/>
      <c r="F1305" s="12"/>
      <c r="G1305" s="13"/>
      <c r="H1305" s="13"/>
      <c r="L1305" s="14"/>
      <c r="M1305" s="15"/>
      <c r="N1305" s="15"/>
      <c r="O1305" s="15"/>
      <c r="P1305" s="15"/>
      <c r="Q1305" s="12"/>
      <c r="R1305" s="12"/>
      <c r="S1305" s="12"/>
      <c r="T1305" s="12"/>
      <c r="AO1305" s="16"/>
    </row>
    <row r="1306" s="1" customFormat="1" spans="4:41">
      <c r="D1306" s="10"/>
      <c r="E1306" s="11"/>
      <c r="F1306" s="12"/>
      <c r="G1306" s="13"/>
      <c r="H1306" s="13"/>
      <c r="L1306" s="14"/>
      <c r="M1306" s="15"/>
      <c r="N1306" s="15"/>
      <c r="O1306" s="15"/>
      <c r="P1306" s="15"/>
      <c r="Q1306" s="12"/>
      <c r="R1306" s="12"/>
      <c r="S1306" s="12"/>
      <c r="T1306" s="12"/>
      <c r="AO1306" s="16"/>
    </row>
    <row r="1307" s="1" customFormat="1" spans="4:41">
      <c r="D1307" s="10"/>
      <c r="E1307" s="11"/>
      <c r="F1307" s="12"/>
      <c r="G1307" s="13"/>
      <c r="H1307" s="13"/>
      <c r="L1307" s="14"/>
      <c r="M1307" s="15"/>
      <c r="N1307" s="15"/>
      <c r="O1307" s="15"/>
      <c r="P1307" s="15"/>
      <c r="Q1307" s="12"/>
      <c r="R1307" s="12"/>
      <c r="S1307" s="12"/>
      <c r="T1307" s="12"/>
      <c r="AO1307" s="16"/>
    </row>
    <row r="1308" s="1" customFormat="1" spans="4:41">
      <c r="D1308" s="10"/>
      <c r="E1308" s="11"/>
      <c r="F1308" s="12"/>
      <c r="G1308" s="13"/>
      <c r="H1308" s="13"/>
      <c r="L1308" s="14"/>
      <c r="M1308" s="15"/>
      <c r="N1308" s="15"/>
      <c r="O1308" s="15"/>
      <c r="P1308" s="15"/>
      <c r="Q1308" s="12"/>
      <c r="R1308" s="12"/>
      <c r="S1308" s="12"/>
      <c r="T1308" s="12"/>
      <c r="AO1308" s="16"/>
    </row>
    <row r="1309" s="1" customFormat="1" spans="4:41">
      <c r="D1309" s="10"/>
      <c r="E1309" s="11"/>
      <c r="F1309" s="12"/>
      <c r="G1309" s="13"/>
      <c r="H1309" s="13"/>
      <c r="L1309" s="14"/>
      <c r="M1309" s="15"/>
      <c r="N1309" s="15"/>
      <c r="O1309" s="15"/>
      <c r="P1309" s="15"/>
      <c r="Q1309" s="12"/>
      <c r="R1309" s="12"/>
      <c r="S1309" s="12"/>
      <c r="T1309" s="12"/>
      <c r="AO1309" s="16"/>
    </row>
    <row r="1310" s="1" customFormat="1" spans="4:41">
      <c r="D1310" s="10"/>
      <c r="E1310" s="11"/>
      <c r="F1310" s="12"/>
      <c r="G1310" s="13"/>
      <c r="H1310" s="13"/>
      <c r="L1310" s="14"/>
      <c r="M1310" s="15"/>
      <c r="N1310" s="15"/>
      <c r="O1310" s="15"/>
      <c r="P1310" s="15"/>
      <c r="Q1310" s="12"/>
      <c r="R1310" s="12"/>
      <c r="S1310" s="12"/>
      <c r="T1310" s="12"/>
      <c r="AO1310" s="16"/>
    </row>
    <row r="1311" s="1" customFormat="1" spans="4:41">
      <c r="D1311" s="10"/>
      <c r="E1311" s="11"/>
      <c r="F1311" s="12"/>
      <c r="G1311" s="13"/>
      <c r="H1311" s="13"/>
      <c r="L1311" s="14"/>
      <c r="M1311" s="15"/>
      <c r="N1311" s="15"/>
      <c r="O1311" s="15"/>
      <c r="P1311" s="15"/>
      <c r="Q1311" s="12"/>
      <c r="R1311" s="12"/>
      <c r="S1311" s="12"/>
      <c r="T1311" s="12"/>
      <c r="AO1311" s="16"/>
    </row>
    <row r="1312" s="1" customFormat="1" spans="4:41">
      <c r="D1312" s="10"/>
      <c r="E1312" s="11"/>
      <c r="F1312" s="12"/>
      <c r="G1312" s="13"/>
      <c r="H1312" s="13"/>
      <c r="L1312" s="14"/>
      <c r="M1312" s="15"/>
      <c r="N1312" s="15"/>
      <c r="O1312" s="15"/>
      <c r="P1312" s="15"/>
      <c r="Q1312" s="12"/>
      <c r="R1312" s="12"/>
      <c r="S1312" s="12"/>
      <c r="T1312" s="12"/>
      <c r="AO1312" s="16"/>
    </row>
    <row r="1313" s="1" customFormat="1" spans="4:41">
      <c r="D1313" s="10"/>
      <c r="E1313" s="11"/>
      <c r="F1313" s="12"/>
      <c r="G1313" s="13"/>
      <c r="H1313" s="13"/>
      <c r="L1313" s="14"/>
      <c r="M1313" s="15"/>
      <c r="N1313" s="15"/>
      <c r="O1313" s="15"/>
      <c r="P1313" s="15"/>
      <c r="Q1313" s="12"/>
      <c r="R1313" s="12"/>
      <c r="S1313" s="12"/>
      <c r="T1313" s="12"/>
      <c r="AO1313" s="16"/>
    </row>
    <row r="1314" s="1" customFormat="1" spans="4:41">
      <c r="D1314" s="10"/>
      <c r="E1314" s="11"/>
      <c r="F1314" s="12"/>
      <c r="G1314" s="13"/>
      <c r="H1314" s="13"/>
      <c r="L1314" s="14"/>
      <c r="M1314" s="15"/>
      <c r="N1314" s="15"/>
      <c r="O1314" s="15"/>
      <c r="P1314" s="15"/>
      <c r="Q1314" s="12"/>
      <c r="R1314" s="12"/>
      <c r="S1314" s="12"/>
      <c r="T1314" s="12"/>
      <c r="AO1314" s="16"/>
    </row>
    <row r="1315" s="1" customFormat="1" spans="4:41">
      <c r="D1315" s="10"/>
      <c r="E1315" s="11"/>
      <c r="F1315" s="12"/>
      <c r="G1315" s="13"/>
      <c r="H1315" s="13"/>
      <c r="L1315" s="14"/>
      <c r="M1315" s="15"/>
      <c r="N1315" s="15"/>
      <c r="O1315" s="15"/>
      <c r="P1315" s="15"/>
      <c r="Q1315" s="12"/>
      <c r="R1315" s="12"/>
      <c r="S1315" s="12"/>
      <c r="T1315" s="12"/>
      <c r="AO1315" s="16"/>
    </row>
    <row r="1316" s="1" customFormat="1" spans="4:41">
      <c r="D1316" s="10"/>
      <c r="E1316" s="11"/>
      <c r="F1316" s="12"/>
      <c r="G1316" s="13"/>
      <c r="H1316" s="13"/>
      <c r="L1316" s="14"/>
      <c r="M1316" s="15"/>
      <c r="N1316" s="15"/>
      <c r="O1316" s="15"/>
      <c r="P1316" s="15"/>
      <c r="Q1316" s="12"/>
      <c r="R1316" s="12"/>
      <c r="S1316" s="12"/>
      <c r="T1316" s="12"/>
      <c r="AO1316" s="16"/>
    </row>
    <row r="1317" s="1" customFormat="1" spans="4:41">
      <c r="D1317" s="10"/>
      <c r="E1317" s="11"/>
      <c r="F1317" s="12"/>
      <c r="G1317" s="13"/>
      <c r="H1317" s="13"/>
      <c r="L1317" s="14"/>
      <c r="M1317" s="15"/>
      <c r="N1317" s="15"/>
      <c r="O1317" s="15"/>
      <c r="P1317" s="15"/>
      <c r="Q1317" s="12"/>
      <c r="R1317" s="12"/>
      <c r="S1317" s="12"/>
      <c r="T1317" s="12"/>
      <c r="AO1317" s="16"/>
    </row>
    <row r="1318" s="1" customFormat="1" spans="4:41">
      <c r="D1318" s="10"/>
      <c r="E1318" s="11"/>
      <c r="F1318" s="12"/>
      <c r="G1318" s="13"/>
      <c r="H1318" s="13"/>
      <c r="L1318" s="14"/>
      <c r="M1318" s="15"/>
      <c r="N1318" s="15"/>
      <c r="O1318" s="15"/>
      <c r="P1318" s="15"/>
      <c r="Q1318" s="12"/>
      <c r="R1318" s="12"/>
      <c r="S1318" s="12"/>
      <c r="T1318" s="12"/>
      <c r="AO1318" s="16"/>
    </row>
    <row r="1319" s="1" customFormat="1" spans="4:41">
      <c r="D1319" s="10"/>
      <c r="E1319" s="11"/>
      <c r="F1319" s="12"/>
      <c r="G1319" s="13"/>
      <c r="H1319" s="13"/>
      <c r="L1319" s="14"/>
      <c r="M1319" s="15"/>
      <c r="N1319" s="15"/>
      <c r="O1319" s="15"/>
      <c r="P1319" s="15"/>
      <c r="Q1319" s="12"/>
      <c r="R1319" s="12"/>
      <c r="S1319" s="12"/>
      <c r="T1319" s="12"/>
      <c r="AO1319" s="16"/>
    </row>
    <row r="1320" s="1" customFormat="1" spans="4:41">
      <c r="D1320" s="10"/>
      <c r="E1320" s="11"/>
      <c r="F1320" s="12"/>
      <c r="G1320" s="13"/>
      <c r="H1320" s="13"/>
      <c r="L1320" s="14"/>
      <c r="M1320" s="15"/>
      <c r="N1320" s="15"/>
      <c r="O1320" s="15"/>
      <c r="P1320" s="15"/>
      <c r="Q1320" s="12"/>
      <c r="R1320" s="12"/>
      <c r="S1320" s="12"/>
      <c r="T1320" s="12"/>
      <c r="AO1320" s="16"/>
    </row>
    <row r="1321" s="1" customFormat="1" spans="4:41">
      <c r="D1321" s="10"/>
      <c r="E1321" s="11"/>
      <c r="F1321" s="12"/>
      <c r="G1321" s="13"/>
      <c r="H1321" s="13"/>
      <c r="L1321" s="14"/>
      <c r="M1321" s="15"/>
      <c r="N1321" s="15"/>
      <c r="O1321" s="15"/>
      <c r="P1321" s="15"/>
      <c r="Q1321" s="12"/>
      <c r="R1321" s="12"/>
      <c r="S1321" s="12"/>
      <c r="T1321" s="12"/>
      <c r="AO1321" s="16"/>
    </row>
    <row r="1322" s="1" customFormat="1" spans="4:41">
      <c r="D1322" s="10"/>
      <c r="E1322" s="11"/>
      <c r="F1322" s="12"/>
      <c r="G1322" s="13"/>
      <c r="H1322" s="13"/>
      <c r="L1322" s="14"/>
      <c r="M1322" s="15"/>
      <c r="N1322" s="15"/>
      <c r="O1322" s="15"/>
      <c r="P1322" s="15"/>
      <c r="Q1322" s="12"/>
      <c r="R1322" s="12"/>
      <c r="S1322" s="12"/>
      <c r="T1322" s="12"/>
      <c r="AO1322" s="16"/>
    </row>
    <row r="1323" s="1" customFormat="1" spans="4:41">
      <c r="D1323" s="10"/>
      <c r="E1323" s="11"/>
      <c r="F1323" s="12"/>
      <c r="G1323" s="13"/>
      <c r="H1323" s="13"/>
      <c r="L1323" s="14"/>
      <c r="M1323" s="15"/>
      <c r="N1323" s="15"/>
      <c r="O1323" s="15"/>
      <c r="P1323" s="15"/>
      <c r="Q1323" s="12"/>
      <c r="R1323" s="12"/>
      <c r="S1323" s="12"/>
      <c r="T1323" s="12"/>
      <c r="AO1323" s="16"/>
    </row>
    <row r="1324" s="1" customFormat="1" spans="4:41">
      <c r="D1324" s="10"/>
      <c r="E1324" s="11"/>
      <c r="F1324" s="12"/>
      <c r="G1324" s="13"/>
      <c r="H1324" s="13"/>
      <c r="L1324" s="14"/>
      <c r="M1324" s="15"/>
      <c r="N1324" s="15"/>
      <c r="O1324" s="15"/>
      <c r="P1324" s="15"/>
      <c r="Q1324" s="12"/>
      <c r="R1324" s="12"/>
      <c r="S1324" s="12"/>
      <c r="T1324" s="12"/>
      <c r="AO1324" s="16"/>
    </row>
    <row r="1325" s="1" customFormat="1" spans="4:41">
      <c r="D1325" s="10"/>
      <c r="E1325" s="11"/>
      <c r="F1325" s="12"/>
      <c r="G1325" s="13"/>
      <c r="H1325" s="13"/>
      <c r="L1325" s="14"/>
      <c r="M1325" s="15"/>
      <c r="N1325" s="15"/>
      <c r="O1325" s="15"/>
      <c r="P1325" s="15"/>
      <c r="Q1325" s="12"/>
      <c r="R1325" s="12"/>
      <c r="S1325" s="12"/>
      <c r="T1325" s="12"/>
      <c r="AO1325" s="16"/>
    </row>
    <row r="1326" s="1" customFormat="1" spans="4:41">
      <c r="D1326" s="10"/>
      <c r="E1326" s="11"/>
      <c r="F1326" s="12"/>
      <c r="G1326" s="13"/>
      <c r="H1326" s="13"/>
      <c r="L1326" s="14"/>
      <c r="M1326" s="15"/>
      <c r="N1326" s="15"/>
      <c r="O1326" s="15"/>
      <c r="P1326" s="15"/>
      <c r="Q1326" s="12"/>
      <c r="R1326" s="12"/>
      <c r="S1326" s="12"/>
      <c r="T1326" s="12"/>
      <c r="AO1326" s="16"/>
    </row>
    <row r="1327" s="1" customFormat="1" spans="4:41">
      <c r="D1327" s="10"/>
      <c r="E1327" s="11"/>
      <c r="F1327" s="12"/>
      <c r="G1327" s="13"/>
      <c r="H1327" s="13"/>
      <c r="L1327" s="14"/>
      <c r="M1327" s="15"/>
      <c r="N1327" s="15"/>
      <c r="O1327" s="15"/>
      <c r="P1327" s="15"/>
      <c r="Q1327" s="12"/>
      <c r="R1327" s="12"/>
      <c r="S1327" s="12"/>
      <c r="T1327" s="12"/>
      <c r="AO1327" s="16"/>
    </row>
    <row r="1328" s="1" customFormat="1" spans="4:41">
      <c r="D1328" s="10"/>
      <c r="E1328" s="11"/>
      <c r="F1328" s="12"/>
      <c r="G1328" s="13"/>
      <c r="H1328" s="13"/>
      <c r="L1328" s="14"/>
      <c r="M1328" s="15"/>
      <c r="N1328" s="15"/>
      <c r="O1328" s="15"/>
      <c r="P1328" s="15"/>
      <c r="Q1328" s="12"/>
      <c r="R1328" s="12"/>
      <c r="S1328" s="12"/>
      <c r="T1328" s="12"/>
      <c r="AO1328" s="16"/>
    </row>
    <row r="1329" s="1" customFormat="1" spans="4:41">
      <c r="D1329" s="10"/>
      <c r="E1329" s="11"/>
      <c r="F1329" s="12"/>
      <c r="G1329" s="13"/>
      <c r="H1329" s="13"/>
      <c r="L1329" s="14"/>
      <c r="M1329" s="15"/>
      <c r="N1329" s="15"/>
      <c r="O1329" s="15"/>
      <c r="P1329" s="15"/>
      <c r="Q1329" s="12"/>
      <c r="R1329" s="12"/>
      <c r="S1329" s="12"/>
      <c r="T1329" s="12"/>
      <c r="AO1329" s="16"/>
    </row>
    <row r="1330" s="1" customFormat="1" spans="4:41">
      <c r="D1330" s="10"/>
      <c r="E1330" s="11"/>
      <c r="F1330" s="12"/>
      <c r="G1330" s="13"/>
      <c r="H1330" s="13"/>
      <c r="L1330" s="14"/>
      <c r="M1330" s="15"/>
      <c r="N1330" s="15"/>
      <c r="O1330" s="15"/>
      <c r="P1330" s="15"/>
      <c r="Q1330" s="12"/>
      <c r="R1330" s="12"/>
      <c r="S1330" s="12"/>
      <c r="T1330" s="12"/>
      <c r="AO1330" s="16"/>
    </row>
    <row r="1331" s="1" customFormat="1" spans="4:41">
      <c r="D1331" s="10"/>
      <c r="E1331" s="11"/>
      <c r="F1331" s="12"/>
      <c r="G1331" s="13"/>
      <c r="H1331" s="13"/>
      <c r="L1331" s="14"/>
      <c r="M1331" s="15"/>
      <c r="N1331" s="15"/>
      <c r="O1331" s="15"/>
      <c r="P1331" s="15"/>
      <c r="Q1331" s="12"/>
      <c r="R1331" s="12"/>
      <c r="S1331" s="12"/>
      <c r="T1331" s="12"/>
      <c r="AO1331" s="16"/>
    </row>
    <row r="1332" s="1" customFormat="1" spans="4:41">
      <c r="D1332" s="10"/>
      <c r="E1332" s="11"/>
      <c r="F1332" s="12"/>
      <c r="G1332" s="13"/>
      <c r="H1332" s="13"/>
      <c r="L1332" s="14"/>
      <c r="M1332" s="15"/>
      <c r="N1332" s="15"/>
      <c r="O1332" s="15"/>
      <c r="P1332" s="15"/>
      <c r="Q1332" s="12"/>
      <c r="R1332" s="12"/>
      <c r="S1332" s="12"/>
      <c r="T1332" s="12"/>
      <c r="AO1332" s="16"/>
    </row>
    <row r="1333" s="1" customFormat="1" spans="4:41">
      <c r="D1333" s="10"/>
      <c r="E1333" s="11"/>
      <c r="F1333" s="12"/>
      <c r="G1333" s="13"/>
      <c r="H1333" s="13"/>
      <c r="L1333" s="14"/>
      <c r="M1333" s="15"/>
      <c r="N1333" s="15"/>
      <c r="O1333" s="15"/>
      <c r="P1333" s="15"/>
      <c r="Q1333" s="12"/>
      <c r="R1333" s="12"/>
      <c r="S1333" s="12"/>
      <c r="T1333" s="12"/>
      <c r="AO1333" s="16"/>
    </row>
    <row r="1334" s="1" customFormat="1" spans="4:41">
      <c r="D1334" s="10"/>
      <c r="E1334" s="11"/>
      <c r="F1334" s="12"/>
      <c r="G1334" s="13"/>
      <c r="H1334" s="13"/>
      <c r="L1334" s="14"/>
      <c r="M1334" s="15"/>
      <c r="N1334" s="15"/>
      <c r="O1334" s="15"/>
      <c r="P1334" s="15"/>
      <c r="Q1334" s="12"/>
      <c r="R1334" s="12"/>
      <c r="S1334" s="12"/>
      <c r="T1334" s="12"/>
      <c r="AO1334" s="16"/>
    </row>
    <row r="1335" s="1" customFormat="1" spans="4:41">
      <c r="D1335" s="10"/>
      <c r="E1335" s="11"/>
      <c r="F1335" s="12"/>
      <c r="G1335" s="13"/>
      <c r="H1335" s="13"/>
      <c r="L1335" s="14"/>
      <c r="M1335" s="15"/>
      <c r="N1335" s="15"/>
      <c r="O1335" s="15"/>
      <c r="P1335" s="15"/>
      <c r="Q1335" s="12"/>
      <c r="R1335" s="12"/>
      <c r="S1335" s="12"/>
      <c r="T1335" s="12"/>
      <c r="AO1335" s="16"/>
    </row>
    <row r="1336" s="1" customFormat="1" spans="4:41">
      <c r="D1336" s="10"/>
      <c r="E1336" s="11"/>
      <c r="F1336" s="12"/>
      <c r="G1336" s="13"/>
      <c r="H1336" s="13"/>
      <c r="L1336" s="14"/>
      <c r="M1336" s="15"/>
      <c r="N1336" s="15"/>
      <c r="O1336" s="15"/>
      <c r="P1336" s="15"/>
      <c r="Q1336" s="12"/>
      <c r="R1336" s="12"/>
      <c r="S1336" s="12"/>
      <c r="T1336" s="12"/>
      <c r="AO1336" s="16"/>
    </row>
  </sheetData>
  <autoFilter xmlns:etc="http://www.wps.cn/officeDocument/2017/etCustomData" ref="A4:HZ337" etc:filterBottomFollowUsedRange="0">
    <extLst/>
  </autoFilter>
  <mergeCells count="40">
    <mergeCell ref="A1:R1"/>
    <mergeCell ref="B2:E2"/>
    <mergeCell ref="F2:H2"/>
    <mergeCell ref="I2:T2"/>
    <mergeCell ref="Z2:AN2"/>
    <mergeCell ref="Q3:R3"/>
    <mergeCell ref="A2:A4"/>
    <mergeCell ref="B3:B4"/>
    <mergeCell ref="C3:C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Q2:AQ4"/>
    <mergeCell ref="AR263:AR264"/>
  </mergeCells>
  <conditionalFormatting sqref="B331">
    <cfRule type="duplicateValues" dxfId="0" priority="3"/>
    <cfRule type="duplicateValues" dxfId="1" priority="4"/>
  </conditionalFormatting>
  <conditionalFormatting sqref="H333">
    <cfRule type="duplicateValues" dxfId="0" priority="1"/>
    <cfRule type="duplicateValues" dxfId="1" priority="2"/>
  </conditionalFormatting>
  <conditionalFormatting sqref="C332:G333">
    <cfRule type="duplicateValues" dxfId="0" priority="5"/>
    <cfRule type="duplicateValues" dxfId="1" priority="6"/>
  </conditionalFormatting>
  <dataValidations count="1">
    <dataValidation type="list" allowBlank="1" showInputMessage="1" showErrorMessage="1" sqref="K19 K24 K95 K138 K162 K176 K273 K298 K15:K16 K116:K117 K128:K129 K330:K331 L5:L14 L17:L18 L20:L23 L25:L94 L96:L115 L118:L127 L130:L137 L139:L161 L163:L175 L177:L272 L274:L297 L299:L329 L336:L337">
      <formula1>"月租,半年租,年租,一次性"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prepare</cp:lastModifiedBy>
  <dcterms:created xsi:type="dcterms:W3CDTF">2026-01-11T13:58:00Z</dcterms:created>
  <dcterms:modified xsi:type="dcterms:W3CDTF">2026-01-15T08:14:21Z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5EE74A3B1E324B5CAA4679BE73747105_12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