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267" windowHeight="7632" tabRatio="644" activeTab="2"/>
  </bookViews>
  <sheets>
    <sheet name="成绩" sheetId="3" r:id="rId1"/>
    <sheet name="成绩分析1" sheetId="4" r:id="rId2"/>
    <sheet name="成绩分析2" sheetId="7" r:id="rId3"/>
    <sheet name="透视分析" sheetId="10" r:id="rId4"/>
    <sheet name="专业代码" sheetId="2" r:id="rId5"/>
    <sheet name="成绩(原始备份)" sheetId="9" r:id="rId6"/>
  </sheets>
  <definedNames>
    <definedName name="_xlnm._FilterDatabase" localSheetId="0" hidden="1">成绩!$A$1:$N$1995</definedName>
    <definedName name="_xlnm.Print_Titles" localSheetId="0">成绩!$1:$1</definedName>
  </definedNames>
  <calcPr calcId="144525"/>
  <pivotCaches>
    <pivotCache cacheId="0" r:id="rId7"/>
  </pivotCaches>
</workbook>
</file>

<file path=xl/sharedStrings.xml><?xml version="1.0" encoding="utf-8"?>
<sst xmlns="http://schemas.openxmlformats.org/spreadsheetml/2006/main" count="4078" uniqueCount="2044">
  <si>
    <t>学号</t>
  </si>
  <si>
    <t>专业(英)</t>
  </si>
  <si>
    <t>专业</t>
  </si>
  <si>
    <t>题目1</t>
  </si>
  <si>
    <t>题目2</t>
  </si>
  <si>
    <t>题目3</t>
  </si>
  <si>
    <t>题目4</t>
  </si>
  <si>
    <t>题目5</t>
  </si>
  <si>
    <t>题目6</t>
  </si>
  <si>
    <t>题目7</t>
  </si>
  <si>
    <t>题目8</t>
  </si>
  <si>
    <t>题目9</t>
  </si>
  <si>
    <t>题目10</t>
  </si>
  <si>
    <t>总成绩</t>
  </si>
  <si>
    <t>ACC</t>
  </si>
  <si>
    <t>INS</t>
  </si>
  <si>
    <t>FIN</t>
  </si>
  <si>
    <t>FENG</t>
  </si>
  <si>
    <t>MIS</t>
  </si>
  <si>
    <t>MRK</t>
  </si>
  <si>
    <t>分段成绩统计分析</t>
  </si>
  <si>
    <t>分段说明</t>
  </si>
  <si>
    <t>人数统计</t>
  </si>
  <si>
    <t>60分以下</t>
  </si>
  <si>
    <t>60-70分（含 60分）</t>
  </si>
  <si>
    <t>70-80分（含 70分）</t>
  </si>
  <si>
    <t>80-90分（含 80分）</t>
  </si>
  <si>
    <t>90分以上（含 90分）</t>
  </si>
  <si>
    <t>成绩分析</t>
  </si>
  <si>
    <t>平均分</t>
  </si>
  <si>
    <t>最高分</t>
  </si>
  <si>
    <t>最低分</t>
  </si>
  <si>
    <t>高于9分的人数（含9分）</t>
  </si>
  <si>
    <t>低于5分的人数（不含5分）</t>
  </si>
  <si>
    <t>按学生总成绩排名（前20名）</t>
  </si>
  <si>
    <t>总成绩前20名学生的分布</t>
  </si>
  <si>
    <t>名次</t>
  </si>
  <si>
    <t>人数</t>
  </si>
  <si>
    <t>会计学</t>
  </si>
  <si>
    <t>金融工程</t>
  </si>
  <si>
    <t>金融学</t>
  </si>
  <si>
    <t>保险学</t>
  </si>
  <si>
    <t>管理信息系统</t>
  </si>
  <si>
    <t>市场营销</t>
  </si>
  <si>
    <t>学科分类</t>
  </si>
  <si>
    <t>平均成绩</t>
  </si>
  <si>
    <t>经济学</t>
  </si>
  <si>
    <t>管理学</t>
  </si>
  <si>
    <t>总计</t>
  </si>
  <si>
    <t>代码</t>
  </si>
  <si>
    <t>20171115ACC</t>
  </si>
  <si>
    <t>20175371ACC</t>
  </si>
  <si>
    <t>20178649ACC</t>
  </si>
  <si>
    <t>20172824ACC</t>
  </si>
  <si>
    <t>20176246ACC</t>
  </si>
  <si>
    <t>20176476ACC</t>
  </si>
  <si>
    <t>20176729ACC</t>
  </si>
  <si>
    <t>20177508ACC</t>
  </si>
  <si>
    <t>20171322ACC</t>
  </si>
  <si>
    <t>20172196ACC</t>
  </si>
  <si>
    <t>20173652ACC</t>
  </si>
  <si>
    <t>20178073ACC</t>
  </si>
  <si>
    <t>20171095ACC</t>
  </si>
  <si>
    <t>20179198ACC</t>
  </si>
  <si>
    <t>20173127ACC</t>
  </si>
  <si>
    <t>20173373ACC</t>
  </si>
  <si>
    <t>20174013ACC</t>
  </si>
  <si>
    <t>20176979ACC</t>
  </si>
  <si>
    <t>20172419ACC</t>
  </si>
  <si>
    <t>20175490ACC</t>
  </si>
  <si>
    <t>20177249ACC</t>
  </si>
  <si>
    <t>20171151ACC</t>
  </si>
  <si>
    <t>20173237ACC</t>
  </si>
  <si>
    <t>20175046ACC</t>
  </si>
  <si>
    <t>20177617ACC</t>
  </si>
  <si>
    <t>20177900ACC</t>
  </si>
  <si>
    <t>20179012ACC</t>
  </si>
  <si>
    <t>20175915ACC</t>
  </si>
  <si>
    <t>20176253ACC</t>
  </si>
  <si>
    <t>20177690ACC</t>
  </si>
  <si>
    <t>20179925ACC</t>
  </si>
  <si>
    <t>20171362ACC</t>
  </si>
  <si>
    <t>20171809ACC</t>
  </si>
  <si>
    <t>20176116ACC</t>
  </si>
  <si>
    <t>20176924ACC</t>
  </si>
  <si>
    <t>20172560ACC</t>
  </si>
  <si>
    <t>20179609ACC</t>
  </si>
  <si>
    <t>20172920ACC</t>
  </si>
  <si>
    <t>20175691ACC</t>
  </si>
  <si>
    <t>20178556ACC</t>
  </si>
  <si>
    <t>20175938ACC</t>
  </si>
  <si>
    <t>20176957ACC</t>
  </si>
  <si>
    <t>20179569ACC</t>
  </si>
  <si>
    <t>20172032ACC</t>
  </si>
  <si>
    <t>20174146ACC</t>
  </si>
  <si>
    <t>20176967ACC</t>
  </si>
  <si>
    <t>20171520ACC</t>
  </si>
  <si>
    <t>20173684ACC</t>
  </si>
  <si>
    <t>20176220ACC</t>
  </si>
  <si>
    <t>20177777ACC</t>
  </si>
  <si>
    <t>20177984ACC</t>
  </si>
  <si>
    <t>20171847ACC</t>
  </si>
  <si>
    <t>20172246ACC</t>
  </si>
  <si>
    <t>20174956ACC</t>
  </si>
  <si>
    <t>20175870ACC</t>
  </si>
  <si>
    <t>20176685ACC</t>
  </si>
  <si>
    <t>20179336ACC</t>
  </si>
  <si>
    <t>20177262ACC</t>
  </si>
  <si>
    <t>20177427ACC</t>
  </si>
  <si>
    <t>20171241ACC</t>
  </si>
  <si>
    <t>20172202ACC</t>
  </si>
  <si>
    <t>20177213ACC</t>
  </si>
  <si>
    <t>20176231ACC</t>
  </si>
  <si>
    <t>20171778ACC</t>
  </si>
  <si>
    <t>20172074ACC</t>
  </si>
  <si>
    <t>20172965ACC</t>
  </si>
  <si>
    <t>20176652ACC</t>
  </si>
  <si>
    <t>20177363ACC</t>
  </si>
  <si>
    <t>20178880ACC</t>
  </si>
  <si>
    <t>20172516INS</t>
  </si>
  <si>
    <t>20172852INS</t>
  </si>
  <si>
    <t>20179178INS</t>
  </si>
  <si>
    <t>20175784INS</t>
  </si>
  <si>
    <t>20175619INS</t>
  </si>
  <si>
    <t>20172045INS</t>
  </si>
  <si>
    <t>20174850INS</t>
  </si>
  <si>
    <t>20179347INS</t>
  </si>
  <si>
    <t>20171249INS</t>
  </si>
  <si>
    <t>20177960INS</t>
  </si>
  <si>
    <t>20176883INS</t>
  </si>
  <si>
    <t>20171242INS</t>
  </si>
  <si>
    <t>20174583INS</t>
  </si>
  <si>
    <t>20179877INS</t>
  </si>
  <si>
    <t>20172314INS</t>
  </si>
  <si>
    <t>20176439INS</t>
  </si>
  <si>
    <t>20174894INS</t>
  </si>
  <si>
    <t>20178028INS</t>
  </si>
  <si>
    <t>20179981INS</t>
  </si>
  <si>
    <t>20171828INS</t>
  </si>
  <si>
    <t>20177185INS</t>
  </si>
  <si>
    <t>20179580FIN</t>
  </si>
  <si>
    <t>20174944FIN</t>
  </si>
  <si>
    <t>20178691FIN</t>
  </si>
  <si>
    <t>20173385FIN</t>
  </si>
  <si>
    <t>20173456FIN</t>
  </si>
  <si>
    <t>20178910FIN</t>
  </si>
  <si>
    <t>20179622FIN</t>
  </si>
  <si>
    <t>20177508FIN</t>
  </si>
  <si>
    <t>20178547FIN</t>
  </si>
  <si>
    <t>20176174FIN</t>
  </si>
  <si>
    <t>20179222FIN</t>
  </si>
  <si>
    <t>20179274FIN</t>
  </si>
  <si>
    <t>20173213FIN</t>
  </si>
  <si>
    <t>20172884FIN</t>
  </si>
  <si>
    <t>20173071FIN</t>
  </si>
  <si>
    <t>20177239FIN</t>
  </si>
  <si>
    <t>20172923FIN</t>
  </si>
  <si>
    <t>20175626FIN</t>
  </si>
  <si>
    <t>20176782FIN</t>
  </si>
  <si>
    <t>20177866FIN</t>
  </si>
  <si>
    <t>20177914FIN</t>
  </si>
  <si>
    <t>20173614FIN</t>
  </si>
  <si>
    <t>20179825FIN</t>
  </si>
  <si>
    <t>20174098FIN</t>
  </si>
  <si>
    <t>20174862FIN</t>
  </si>
  <si>
    <t>20175445FIN</t>
  </si>
  <si>
    <t>20175632FIN</t>
  </si>
  <si>
    <t>20176388FIN</t>
  </si>
  <si>
    <t>20179338FIN</t>
  </si>
  <si>
    <t>20172501FENG</t>
  </si>
  <si>
    <t>20173798FENG</t>
  </si>
  <si>
    <t>20177721FENG</t>
  </si>
  <si>
    <t>20174589FENG</t>
  </si>
  <si>
    <t>20176307FENG</t>
  </si>
  <si>
    <t>20171322FENG</t>
  </si>
  <si>
    <t>20171642FENG</t>
  </si>
  <si>
    <t>20178875FENG</t>
  </si>
  <si>
    <t>20171763FENG</t>
  </si>
  <si>
    <t>20172392FENG</t>
  </si>
  <si>
    <t>20175118FENG</t>
  </si>
  <si>
    <t>20175313FENG</t>
  </si>
  <si>
    <t>20179786FENG</t>
  </si>
  <si>
    <t>20179819FENG</t>
  </si>
  <si>
    <t>20171027FENG</t>
  </si>
  <si>
    <t>20174461FENG</t>
  </si>
  <si>
    <t>20175201FENG</t>
  </si>
  <si>
    <t>20171008FENG</t>
  </si>
  <si>
    <t>20174634FENG</t>
  </si>
  <si>
    <t>20174908FENG</t>
  </si>
  <si>
    <t>20176736FENG</t>
  </si>
  <si>
    <t>20176426FENG</t>
  </si>
  <si>
    <t>20176504FENG</t>
  </si>
  <si>
    <t>20178196FENG</t>
  </si>
  <si>
    <t>20171765FENG</t>
  </si>
  <si>
    <t>20173794FENG</t>
  </si>
  <si>
    <t>20179511FENG</t>
  </si>
  <si>
    <t>20175023FENG</t>
  </si>
  <si>
    <t>20172355FENG</t>
  </si>
  <si>
    <t>20172440FENG</t>
  </si>
  <si>
    <t>20173420FENG</t>
  </si>
  <si>
    <t>20173425FENG</t>
  </si>
  <si>
    <t>20174430FENG</t>
  </si>
  <si>
    <t>20172245FENG</t>
  </si>
  <si>
    <t>20178334FENG</t>
  </si>
  <si>
    <t>20175046FENG</t>
  </si>
  <si>
    <t>20173040FENG</t>
  </si>
  <si>
    <t>20171603FENG</t>
  </si>
  <si>
    <t>20174569FENG</t>
  </si>
  <si>
    <t>20174997FENG</t>
  </si>
  <si>
    <t>20173049FENG</t>
  </si>
  <si>
    <t>20176798MIS</t>
  </si>
  <si>
    <t>20177221MIS</t>
  </si>
  <si>
    <t>20174279MIS</t>
  </si>
  <si>
    <t>20175992MIS</t>
  </si>
  <si>
    <t>20179772MIS</t>
  </si>
  <si>
    <t>20176947MIS</t>
  </si>
  <si>
    <t>20175454MIS</t>
  </si>
  <si>
    <t>20178950MIS</t>
  </si>
  <si>
    <t>20176386MIS</t>
  </si>
  <si>
    <t>20175597MIS</t>
  </si>
  <si>
    <t>20171653MIS</t>
  </si>
  <si>
    <t>20173814MIS</t>
  </si>
  <si>
    <t>20177395MIS</t>
  </si>
  <si>
    <t>20178545MIS</t>
  </si>
  <si>
    <t>20177076MIS</t>
  </si>
  <si>
    <t>20173725MIS</t>
  </si>
  <si>
    <t>20179509MIS</t>
  </si>
  <si>
    <t>20172107MIS</t>
  </si>
  <si>
    <t>20172374MIS</t>
  </si>
  <si>
    <t>20173234MIS</t>
  </si>
  <si>
    <t>20173588MIS</t>
  </si>
  <si>
    <t>20175881MIS</t>
  </si>
  <si>
    <t>20176076MIS</t>
  </si>
  <si>
    <t>20177537MIS</t>
  </si>
  <si>
    <t>20171370MIS</t>
  </si>
  <si>
    <t>20171892MIS</t>
  </si>
  <si>
    <t>20175689MIS</t>
  </si>
  <si>
    <t>20175839MIS</t>
  </si>
  <si>
    <t>20177846MIS</t>
  </si>
  <si>
    <t>20171216MIS</t>
  </si>
  <si>
    <t>20173409MIS</t>
  </si>
  <si>
    <t>20178696MIS</t>
  </si>
  <si>
    <t>20179469MIS</t>
  </si>
  <si>
    <t>20171512MRK</t>
  </si>
  <si>
    <t>20172285MRK</t>
  </si>
  <si>
    <t>20171269MRK</t>
  </si>
  <si>
    <t>20173159MRK</t>
  </si>
  <si>
    <t>20176290MRK</t>
  </si>
  <si>
    <t>20176716MRK</t>
  </si>
  <si>
    <t>20179526MRK</t>
  </si>
  <si>
    <t>20174431MRK</t>
  </si>
  <si>
    <t>20171829MRK</t>
  </si>
  <si>
    <t>20176314MRK</t>
  </si>
  <si>
    <t>20179488MRK</t>
  </si>
  <si>
    <t>20174081MRK</t>
  </si>
  <si>
    <t>20174171MRK</t>
  </si>
  <si>
    <t>20174612MRK</t>
  </si>
  <si>
    <t>20176675MRK</t>
  </si>
  <si>
    <t>20178284MRK</t>
  </si>
  <si>
    <t>20178820MRK</t>
  </si>
  <si>
    <t>20178908MRK</t>
  </si>
  <si>
    <t>20176823MRK</t>
  </si>
  <si>
    <t>20179016MRK</t>
  </si>
  <si>
    <t>20173908MRK</t>
  </si>
  <si>
    <t>20173014MRK</t>
  </si>
  <si>
    <t>20177505MRK</t>
  </si>
  <si>
    <t>20178762MRK</t>
  </si>
  <si>
    <t>20174583MRK</t>
  </si>
  <si>
    <t>20178770MRK</t>
  </si>
  <si>
    <t>20171541MRK</t>
  </si>
  <si>
    <t>20173545MRK</t>
  </si>
  <si>
    <t>20176243MRK</t>
  </si>
  <si>
    <t>20175599MRK</t>
  </si>
  <si>
    <t>20172917MRK</t>
  </si>
  <si>
    <t>20172948MRK</t>
  </si>
  <si>
    <t>20173115MRK</t>
  </si>
  <si>
    <t>20173437MRK</t>
  </si>
  <si>
    <t>20176236MRK</t>
  </si>
  <si>
    <t>20172896MRK</t>
  </si>
  <si>
    <t>20171224MRK</t>
  </si>
  <si>
    <t>20173302MRK</t>
  </si>
  <si>
    <t>20178582MRK</t>
  </si>
  <si>
    <t>20178106MRK</t>
  </si>
  <si>
    <t>20171207MRK</t>
  </si>
  <si>
    <t>20171324MRK</t>
  </si>
  <si>
    <t>20171920MRK</t>
  </si>
  <si>
    <t>20172550MRK</t>
  </si>
  <si>
    <t>20179834MRK</t>
  </si>
  <si>
    <t>20177790MRK</t>
  </si>
  <si>
    <t>20184817ACC</t>
  </si>
  <si>
    <t>20185485ACC</t>
  </si>
  <si>
    <t>20185534ACC</t>
  </si>
  <si>
    <t>20185649ACC</t>
  </si>
  <si>
    <t>20186549ACC</t>
  </si>
  <si>
    <t>20186854ACC</t>
  </si>
  <si>
    <t>20189308ACC</t>
  </si>
  <si>
    <t>20189813ACC</t>
  </si>
  <si>
    <t>20181690ACC</t>
  </si>
  <si>
    <t>20181810ACC</t>
  </si>
  <si>
    <t>20182396ACC</t>
  </si>
  <si>
    <t>20182534ACC</t>
  </si>
  <si>
    <t>20186042ACC</t>
  </si>
  <si>
    <t>20186595ACC</t>
  </si>
  <si>
    <t>20187050ACC</t>
  </si>
  <si>
    <t>20187982ACC</t>
  </si>
  <si>
    <t>20189640ACC</t>
  </si>
  <si>
    <t>20182064ACC</t>
  </si>
  <si>
    <t>20183008ACC</t>
  </si>
  <si>
    <t>20183099ACC</t>
  </si>
  <si>
    <t>20185851ACC</t>
  </si>
  <si>
    <t>20185987ACC</t>
  </si>
  <si>
    <t>20186396ACC</t>
  </si>
  <si>
    <t>20186419ACC</t>
  </si>
  <si>
    <t>20189943ACC</t>
  </si>
  <si>
    <t>20181773ACC</t>
  </si>
  <si>
    <t>20181825ACC</t>
  </si>
  <si>
    <t>20182090ACC</t>
  </si>
  <si>
    <t>20183599ACC</t>
  </si>
  <si>
    <t>20184383ACC</t>
  </si>
  <si>
    <t>20189743ACC</t>
  </si>
  <si>
    <t>20181211ACC</t>
  </si>
  <si>
    <t>20181374ACC</t>
  </si>
  <si>
    <t>20181815ACC</t>
  </si>
  <si>
    <t>20182211ACC</t>
  </si>
  <si>
    <t>20183459ACC</t>
  </si>
  <si>
    <t>20183693ACC</t>
  </si>
  <si>
    <t>20183733ACC</t>
  </si>
  <si>
    <t>20183904ACC</t>
  </si>
  <si>
    <t>20186660ACC</t>
  </si>
  <si>
    <t>20187080ACC</t>
  </si>
  <si>
    <t>20187425ACC</t>
  </si>
  <si>
    <t>20188308ACC</t>
  </si>
  <si>
    <t>20188737ACC</t>
  </si>
  <si>
    <t>20189280ACC</t>
  </si>
  <si>
    <t>20189809ACC</t>
  </si>
  <si>
    <t>20182062ACC</t>
  </si>
  <si>
    <t>20183323ACC</t>
  </si>
  <si>
    <t>20183335ACC</t>
  </si>
  <si>
    <t>20183487ACC</t>
  </si>
  <si>
    <t>20184918ACC</t>
  </si>
  <si>
    <t>20184961ACC</t>
  </si>
  <si>
    <t>20185403ACC</t>
  </si>
  <si>
    <t>20185692ACC</t>
  </si>
  <si>
    <t>20186696ACC</t>
  </si>
  <si>
    <t>20187202ACC</t>
  </si>
  <si>
    <t>20187465ACC</t>
  </si>
  <si>
    <t>20187541ACC</t>
  </si>
  <si>
    <t>20187796ACC</t>
  </si>
  <si>
    <t>20188087ACC</t>
  </si>
  <si>
    <t>20182014ACC</t>
  </si>
  <si>
    <t>20182609ACC</t>
  </si>
  <si>
    <t>20185030ACC</t>
  </si>
  <si>
    <t>20183122ACC</t>
  </si>
  <si>
    <t>20184091ACC</t>
  </si>
  <si>
    <t>20184133ACC</t>
  </si>
  <si>
    <t>20187802ACC</t>
  </si>
  <si>
    <t>20188252ACC</t>
  </si>
  <si>
    <t>20188593ACC</t>
  </si>
  <si>
    <t>20183586ACC</t>
  </si>
  <si>
    <t>20183944ACC</t>
  </si>
  <si>
    <t>20184332ACC</t>
  </si>
  <si>
    <t>20186104ACC</t>
  </si>
  <si>
    <t>20186566ACC</t>
  </si>
  <si>
    <t>20186767ACC</t>
  </si>
  <si>
    <t>20188297ACC</t>
  </si>
  <si>
    <t>20181411ACC</t>
  </si>
  <si>
    <t>20183287ACC</t>
  </si>
  <si>
    <t>20183862ACC</t>
  </si>
  <si>
    <t>20185491ACC</t>
  </si>
  <si>
    <t>20186718ACC</t>
  </si>
  <si>
    <t>20188243ACC</t>
  </si>
  <si>
    <t>20189010ACC</t>
  </si>
  <si>
    <t>20189962ACC</t>
  </si>
  <si>
    <t>20181399ACC</t>
  </si>
  <si>
    <t>20181615ACC</t>
  </si>
  <si>
    <t>20181844ACC</t>
  </si>
  <si>
    <t>20182548ACC</t>
  </si>
  <si>
    <t>20185159ACC</t>
  </si>
  <si>
    <t>20185215ACC</t>
  </si>
  <si>
    <t>20181152ACC</t>
  </si>
  <si>
    <t>20181669ACC</t>
  </si>
  <si>
    <t>20182113ACC</t>
  </si>
  <si>
    <t>20184950ACC</t>
  </si>
  <si>
    <t>20185926ACC</t>
  </si>
  <si>
    <t>20186885ACC</t>
  </si>
  <si>
    <t>20187901ACC</t>
  </si>
  <si>
    <t>20181454ACC</t>
  </si>
  <si>
    <t>20182303ACC</t>
  </si>
  <si>
    <t>20183720ACC</t>
  </si>
  <si>
    <t>20186967ACC</t>
  </si>
  <si>
    <t>20188671ACC</t>
  </si>
  <si>
    <t>20181488ACC</t>
  </si>
  <si>
    <t>20183501ACC</t>
  </si>
  <si>
    <t>20186750ACC</t>
  </si>
  <si>
    <t>20187887ACC</t>
  </si>
  <si>
    <t>20181033ACC</t>
  </si>
  <si>
    <t>20182295ACC</t>
  </si>
  <si>
    <t>20184044ACC</t>
  </si>
  <si>
    <t>20186928ACC</t>
  </si>
  <si>
    <t>20188163ACC</t>
  </si>
  <si>
    <t>20182719ACC</t>
  </si>
  <si>
    <t>20183406ACC</t>
  </si>
  <si>
    <t>20183626ACC</t>
  </si>
  <si>
    <t>20185264ACC</t>
  </si>
  <si>
    <t>20187963ACC</t>
  </si>
  <si>
    <t>20181202ACC</t>
  </si>
  <si>
    <t>20181204ACC</t>
  </si>
  <si>
    <t>20181344ACC</t>
  </si>
  <si>
    <t>20182627ACC</t>
  </si>
  <si>
    <t>20182930ACC</t>
  </si>
  <si>
    <t>20184655ACC</t>
  </si>
  <si>
    <t>20184765ACC</t>
  </si>
  <si>
    <t>20184973ACC</t>
  </si>
  <si>
    <t>20185214ACC</t>
  </si>
  <si>
    <t>20185316ACC</t>
  </si>
  <si>
    <t>20186494ACC</t>
  </si>
  <si>
    <t>20189875ACC</t>
  </si>
  <si>
    <t>20181155ACC</t>
  </si>
  <si>
    <t>20182219ACC</t>
  </si>
  <si>
    <t>20182920ACC</t>
  </si>
  <si>
    <t>20186601ACC</t>
  </si>
  <si>
    <t>20187071ACC</t>
  </si>
  <si>
    <t>20187107ACC</t>
  </si>
  <si>
    <t>20187311ACC</t>
  </si>
  <si>
    <t>20181483ACC</t>
  </si>
  <si>
    <t>20182811ACC</t>
  </si>
  <si>
    <t>20184219ACC</t>
  </si>
  <si>
    <t>20184407ACC</t>
  </si>
  <si>
    <t>20184540ACC</t>
  </si>
  <si>
    <t>20185005ACC</t>
  </si>
  <si>
    <t>20186752ACC</t>
  </si>
  <si>
    <t>20188031ACC</t>
  </si>
  <si>
    <t>20188968ACC</t>
  </si>
  <si>
    <t>20189254ACC</t>
  </si>
  <si>
    <t>20183828ACC</t>
  </si>
  <si>
    <t>20183855ACC</t>
  </si>
  <si>
    <t>20185157ACC</t>
  </si>
  <si>
    <t>20185818ACC</t>
  </si>
  <si>
    <t>20185841ACC</t>
  </si>
  <si>
    <t>20187192ACC</t>
  </si>
  <si>
    <t>20189157ACC</t>
  </si>
  <si>
    <t>20181928INS</t>
  </si>
  <si>
    <t>20182968INS</t>
  </si>
  <si>
    <t>20184097INS</t>
  </si>
  <si>
    <t>20187069INS</t>
  </si>
  <si>
    <t>20189677INS</t>
  </si>
  <si>
    <t>20182787INS</t>
  </si>
  <si>
    <t>20186480INS</t>
  </si>
  <si>
    <t>20187437INS</t>
  </si>
  <si>
    <t>20186516INS</t>
  </si>
  <si>
    <t>20186725INS</t>
  </si>
  <si>
    <t>20181011INS</t>
  </si>
  <si>
    <t>20186888INS</t>
  </si>
  <si>
    <t>20186967INS</t>
  </si>
  <si>
    <t>20187826INS</t>
  </si>
  <si>
    <t>20188246INS</t>
  </si>
  <si>
    <t>20181843INS</t>
  </si>
  <si>
    <t>20183520INS</t>
  </si>
  <si>
    <t>20183734INS</t>
  </si>
  <si>
    <t>20188453INS</t>
  </si>
  <si>
    <t>20188577INS</t>
  </si>
  <si>
    <t>20187880INS</t>
  </si>
  <si>
    <t>20188089INS</t>
  </si>
  <si>
    <t>20182724INS</t>
  </si>
  <si>
    <t>20184606INS</t>
  </si>
  <si>
    <t>20185184INS</t>
  </si>
  <si>
    <t>20188464INS</t>
  </si>
  <si>
    <t>20185144INS</t>
  </si>
  <si>
    <t>20186542INS</t>
  </si>
  <si>
    <t>20186705INS</t>
  </si>
  <si>
    <t>20184275INS</t>
  </si>
  <si>
    <t>20184386INS</t>
  </si>
  <si>
    <t>20181186INS</t>
  </si>
  <si>
    <t>20186506INS</t>
  </si>
  <si>
    <t>20188298INS</t>
  </si>
  <si>
    <t>20188662INS</t>
  </si>
  <si>
    <t>20183078INS</t>
  </si>
  <si>
    <t>20189199INS</t>
  </si>
  <si>
    <t>20182224INS</t>
  </si>
  <si>
    <t>20182824INS</t>
  </si>
  <si>
    <t>20183250INS</t>
  </si>
  <si>
    <t>20188677INS</t>
  </si>
  <si>
    <t>20181793INS</t>
  </si>
  <si>
    <t>20181802INS</t>
  </si>
  <si>
    <t>20183267INS</t>
  </si>
  <si>
    <t>20183535INS</t>
  </si>
  <si>
    <t>20184372INS</t>
  </si>
  <si>
    <t>20185418INS</t>
  </si>
  <si>
    <t>20189345INS</t>
  </si>
  <si>
    <t>20182956INS</t>
  </si>
  <si>
    <t>20184176INS</t>
  </si>
  <si>
    <t>20184266INS</t>
  </si>
  <si>
    <t>20184617INS</t>
  </si>
  <si>
    <t>20186547INS</t>
  </si>
  <si>
    <t>20187533INS</t>
  </si>
  <si>
    <t>20184874INS</t>
  </si>
  <si>
    <t>20188215INS</t>
  </si>
  <si>
    <t>20184508INS</t>
  </si>
  <si>
    <t>20181221INS</t>
  </si>
  <si>
    <t>20184424INS</t>
  </si>
  <si>
    <t>20185051FIN</t>
  </si>
  <si>
    <t>20185849FIN</t>
  </si>
  <si>
    <t>20187696FIN</t>
  </si>
  <si>
    <t>20181060FIN</t>
  </si>
  <si>
    <t>20186189FIN</t>
  </si>
  <si>
    <t>20189064FIN</t>
  </si>
  <si>
    <t>20185657FIN</t>
  </si>
  <si>
    <t>20186422FIN</t>
  </si>
  <si>
    <t>20186164FIN</t>
  </si>
  <si>
    <t>20181663FIN</t>
  </si>
  <si>
    <t>20184614FIN</t>
  </si>
  <si>
    <t>20181536FIN</t>
  </si>
  <si>
    <t>20182033FIN</t>
  </si>
  <si>
    <t>20186501FIN</t>
  </si>
  <si>
    <t>20184709FIN</t>
  </si>
  <si>
    <t>20186793FIN</t>
  </si>
  <si>
    <t>20181320FIN</t>
  </si>
  <si>
    <t>20181819FIN</t>
  </si>
  <si>
    <t>20182083FIN</t>
  </si>
  <si>
    <t>20186621FIN</t>
  </si>
  <si>
    <t>20183040FIN</t>
  </si>
  <si>
    <t>20186580FIN</t>
  </si>
  <si>
    <t>20188051FIN</t>
  </si>
  <si>
    <t>20189946FIN</t>
  </si>
  <si>
    <t>20181330FIN</t>
  </si>
  <si>
    <t>20183496FIN</t>
  </si>
  <si>
    <t>20186492FIN</t>
  </si>
  <si>
    <t>20186968FIN</t>
  </si>
  <si>
    <t>20181509FIN</t>
  </si>
  <si>
    <t>20186725FIN</t>
  </si>
  <si>
    <t>20185200FIN</t>
  </si>
  <si>
    <t>20186049FIN</t>
  </si>
  <si>
    <t>20189662FIN</t>
  </si>
  <si>
    <t>20183410FIN</t>
  </si>
  <si>
    <t>20187707FIN</t>
  </si>
  <si>
    <t>20185699FIN</t>
  </si>
  <si>
    <t>20186179FIN</t>
  </si>
  <si>
    <t>20183659FIN</t>
  </si>
  <si>
    <t>20185441FIN</t>
  </si>
  <si>
    <t>20188673FIN</t>
  </si>
  <si>
    <t>20184679FIN</t>
  </si>
  <si>
    <t>20185352FIN</t>
  </si>
  <si>
    <t>20181165FIN</t>
  </si>
  <si>
    <t>20182185FIN</t>
  </si>
  <si>
    <t>20183375FIN</t>
  </si>
  <si>
    <t>20184115FIN</t>
  </si>
  <si>
    <t>20187925FIN</t>
  </si>
  <si>
    <t>20188715FIN</t>
  </si>
  <si>
    <t>20189281FIN</t>
  </si>
  <si>
    <t>20182806FENG</t>
  </si>
  <si>
    <t>20183880FENG</t>
  </si>
  <si>
    <t>20185638FENG</t>
  </si>
  <si>
    <t>20186498FENG</t>
  </si>
  <si>
    <t>20187952FENG</t>
  </si>
  <si>
    <t>20188437FENG</t>
  </si>
  <si>
    <t>20182424FENG</t>
  </si>
  <si>
    <t>20189104FENG</t>
  </si>
  <si>
    <t>20189139FENG</t>
  </si>
  <si>
    <t>20181503FENG</t>
  </si>
  <si>
    <t>20184190FENG</t>
  </si>
  <si>
    <t>20188182FENG</t>
  </si>
  <si>
    <t>20189161FENG</t>
  </si>
  <si>
    <t>20189736FENG</t>
  </si>
  <si>
    <t>20184885FENG</t>
  </si>
  <si>
    <t>20185200FENG</t>
  </si>
  <si>
    <t>20182753FENG</t>
  </si>
  <si>
    <t>20183069FENG</t>
  </si>
  <si>
    <t>20183112FENG</t>
  </si>
  <si>
    <t>20182268FENG</t>
  </si>
  <si>
    <t>20183028FENG</t>
  </si>
  <si>
    <t>20181793FENG</t>
  </si>
  <si>
    <t>20183017FENG</t>
  </si>
  <si>
    <t>20186183FENG</t>
  </si>
  <si>
    <t>20186559FENG</t>
  </si>
  <si>
    <t>20181364FENG</t>
  </si>
  <si>
    <t>20181889FENG</t>
  </si>
  <si>
    <t>20184350FENG</t>
  </si>
  <si>
    <t>20185041FENG</t>
  </si>
  <si>
    <t>20186305FENG</t>
  </si>
  <si>
    <t>20187177FENG</t>
  </si>
  <si>
    <t>20187390FENG</t>
  </si>
  <si>
    <t>20189165FENG</t>
  </si>
  <si>
    <t>20186063FENG</t>
  </si>
  <si>
    <t>20186251FENG</t>
  </si>
  <si>
    <t>20187642FENG</t>
  </si>
  <si>
    <t>20188035FENG</t>
  </si>
  <si>
    <t>20188968FENG</t>
  </si>
  <si>
    <t>20181657FENG</t>
  </si>
  <si>
    <t>20184562FENG</t>
  </si>
  <si>
    <t>20185734FENG</t>
  </si>
  <si>
    <t>20181710FENG</t>
  </si>
  <si>
    <t>20184591FENG</t>
  </si>
  <si>
    <t>20185028FENG</t>
  </si>
  <si>
    <t>20185122FENG</t>
  </si>
  <si>
    <t>20187957FENG</t>
  </si>
  <si>
    <t>20181171FENG</t>
  </si>
  <si>
    <t>20183755FENG</t>
  </si>
  <si>
    <t>20188239FENG</t>
  </si>
  <si>
    <t>20188994FENG</t>
  </si>
  <si>
    <t>20189082FENG</t>
  </si>
  <si>
    <t>20181735FENG</t>
  </si>
  <si>
    <t>20183006FENG</t>
  </si>
  <si>
    <t>20183599FENG</t>
  </si>
  <si>
    <t>20184215FENG</t>
  </si>
  <si>
    <t>20185207FENG</t>
  </si>
  <si>
    <t>20185752FENG</t>
  </si>
  <si>
    <t>20186403FENG</t>
  </si>
  <si>
    <t>20188620FENG</t>
  </si>
  <si>
    <t>20189868FENG</t>
  </si>
  <si>
    <t>20182032FENG</t>
  </si>
  <si>
    <t>20182825FENG</t>
  </si>
  <si>
    <t>20185269FENG</t>
  </si>
  <si>
    <t>20188716FENG</t>
  </si>
  <si>
    <t>20183292FENG</t>
  </si>
  <si>
    <t>20184016FENG</t>
  </si>
  <si>
    <t>20185204FENG</t>
  </si>
  <si>
    <t>20185530FENG</t>
  </si>
  <si>
    <t>20187270FENG</t>
  </si>
  <si>
    <t>20188624FENG</t>
  </si>
  <si>
    <t>20188838FENG</t>
  </si>
  <si>
    <t>20182875FENG</t>
  </si>
  <si>
    <t>20185190FENG</t>
  </si>
  <si>
    <t>20187748FENG</t>
  </si>
  <si>
    <t>20188695FENG</t>
  </si>
  <si>
    <t>20189876FENG</t>
  </si>
  <si>
    <t>20184390FENG</t>
  </si>
  <si>
    <t>20185415FENG</t>
  </si>
  <si>
    <t>20186104FENG</t>
  </si>
  <si>
    <t>20186915FENG</t>
  </si>
  <si>
    <t>20189136FENG</t>
  </si>
  <si>
    <t>20181385FENG</t>
  </si>
  <si>
    <t>20181414FENG</t>
  </si>
  <si>
    <t>20182820FENG</t>
  </si>
  <si>
    <t>20182899FENG</t>
  </si>
  <si>
    <t>20187899FENG</t>
  </si>
  <si>
    <t>20182730FENG</t>
  </si>
  <si>
    <t>20186786FENG</t>
  </si>
  <si>
    <t>20187181FENG</t>
  </si>
  <si>
    <t>20188362FENG</t>
  </si>
  <si>
    <t>20189494FENG</t>
  </si>
  <si>
    <t>20185910MIS</t>
  </si>
  <si>
    <t>20181442MIS</t>
  </si>
  <si>
    <t>20181549MIS</t>
  </si>
  <si>
    <t>20183735MIS</t>
  </si>
  <si>
    <t>20188250MIS</t>
  </si>
  <si>
    <t>20183174MIS</t>
  </si>
  <si>
    <t>20184123MIS</t>
  </si>
  <si>
    <t>20189519MIS</t>
  </si>
  <si>
    <t>20183832MIS</t>
  </si>
  <si>
    <t>20186616MIS</t>
  </si>
  <si>
    <t>20188251MIS</t>
  </si>
  <si>
    <t>20182163MIS</t>
  </si>
  <si>
    <t>20182325MIS</t>
  </si>
  <si>
    <t>20184001MIS</t>
  </si>
  <si>
    <t>20185071MIS</t>
  </si>
  <si>
    <t>20182064MIS</t>
  </si>
  <si>
    <t>20182386MIS</t>
  </si>
  <si>
    <t>20181859MIS</t>
  </si>
  <si>
    <t>20185885MIS</t>
  </si>
  <si>
    <t>20188216MIS</t>
  </si>
  <si>
    <t>20189782MIS</t>
  </si>
  <si>
    <t>20184218MIS</t>
  </si>
  <si>
    <t>20188340MIS</t>
  </si>
  <si>
    <t>20188408MIS</t>
  </si>
  <si>
    <t>20182692MIS</t>
  </si>
  <si>
    <t>20184755MIS</t>
  </si>
  <si>
    <t>20185749MIS</t>
  </si>
  <si>
    <t>20186426MIS</t>
  </si>
  <si>
    <t>20188639MIS</t>
  </si>
  <si>
    <t>20188920MIS</t>
  </si>
  <si>
    <t>20189924MIS</t>
  </si>
  <si>
    <t>20184337MIS</t>
  </si>
  <si>
    <t>20187485MIS</t>
  </si>
  <si>
    <t>20187908MIS</t>
  </si>
  <si>
    <t>20189483MIS</t>
  </si>
  <si>
    <t>20187604MIS</t>
  </si>
  <si>
    <t>20188259MIS</t>
  </si>
  <si>
    <t>20184268MIS</t>
  </si>
  <si>
    <t>20185284MIS</t>
  </si>
  <si>
    <t>20189957MIS</t>
  </si>
  <si>
    <t>20184519MIS</t>
  </si>
  <si>
    <t>20182498MIS</t>
  </si>
  <si>
    <t>20185587MIS</t>
  </si>
  <si>
    <t>20186282MIS</t>
  </si>
  <si>
    <t>20181078MRK</t>
  </si>
  <si>
    <t>20182088MRK</t>
  </si>
  <si>
    <t>20186497MRK</t>
  </si>
  <si>
    <t>20188577MRK</t>
  </si>
  <si>
    <t>20182651MRK</t>
  </si>
  <si>
    <t>20183243MRK</t>
  </si>
  <si>
    <t>20184492MRK</t>
  </si>
  <si>
    <t>20185038MRK</t>
  </si>
  <si>
    <t>20186159MRK</t>
  </si>
  <si>
    <t>20181501MRK</t>
  </si>
  <si>
    <t>20181987MRK</t>
  </si>
  <si>
    <t>20183392MRK</t>
  </si>
  <si>
    <t>20184933MRK</t>
  </si>
  <si>
    <t>20188641MRK</t>
  </si>
  <si>
    <t>20189090MRK</t>
  </si>
  <si>
    <t>20181747MRK</t>
  </si>
  <si>
    <t>20182039MRK</t>
  </si>
  <si>
    <t>20183180MRK</t>
  </si>
  <si>
    <t>20185253MRK</t>
  </si>
  <si>
    <t>20185354MRK</t>
  </si>
  <si>
    <t>20181143MRK</t>
  </si>
  <si>
    <t>20182230MRK</t>
  </si>
  <si>
    <t>20184567MRK</t>
  </si>
  <si>
    <t>20184619MRK</t>
  </si>
  <si>
    <t>20184759MRK</t>
  </si>
  <si>
    <t>20187537MRK</t>
  </si>
  <si>
    <t>20187861MRK</t>
  </si>
  <si>
    <t>20188796MRK</t>
  </si>
  <si>
    <t>20189873MRK</t>
  </si>
  <si>
    <t>20182576MRK</t>
  </si>
  <si>
    <t>20182689MRK</t>
  </si>
  <si>
    <t>20183195MRK</t>
  </si>
  <si>
    <t>20184015MRK</t>
  </si>
  <si>
    <t>20186224MRK</t>
  </si>
  <si>
    <t>20187063MRK</t>
  </si>
  <si>
    <t>20187550MRK</t>
  </si>
  <si>
    <t>20189901MRK</t>
  </si>
  <si>
    <t>20183529MRK</t>
  </si>
  <si>
    <t>20185682MRK</t>
  </si>
  <si>
    <t>20186876MRK</t>
  </si>
  <si>
    <t>20185282MRK</t>
  </si>
  <si>
    <t>20185606MRK</t>
  </si>
  <si>
    <t>20185636MRK</t>
  </si>
  <si>
    <t>20186354MRK</t>
  </si>
  <si>
    <t>20187985MRK</t>
  </si>
  <si>
    <t>20188110MRK</t>
  </si>
  <si>
    <t>20183513MRK</t>
  </si>
  <si>
    <t>20184878MRK</t>
  </si>
  <si>
    <t>20187128MRK</t>
  </si>
  <si>
    <t>20189518MRK</t>
  </si>
  <si>
    <t>20181317MRK</t>
  </si>
  <si>
    <t>20181489MRK</t>
  </si>
  <si>
    <t>20182940MRK</t>
  </si>
  <si>
    <t>20183199MRK</t>
  </si>
  <si>
    <t>20183668MRK</t>
  </si>
  <si>
    <t>20184167MRK</t>
  </si>
  <si>
    <t>20184404MRK</t>
  </si>
  <si>
    <t>20184533MRK</t>
  </si>
  <si>
    <t>20184862MRK</t>
  </si>
  <si>
    <t>20186461MRK</t>
  </si>
  <si>
    <t>20181185MRK</t>
  </si>
  <si>
    <t>20182394MRK</t>
  </si>
  <si>
    <t>20182540MRK</t>
  </si>
  <si>
    <t>20182953MRK</t>
  </si>
  <si>
    <t>20187113MRK</t>
  </si>
  <si>
    <t>20189425MRK</t>
  </si>
  <si>
    <t>20189840MRK</t>
  </si>
  <si>
    <t>20183355MRK</t>
  </si>
  <si>
    <t>20184314MRK</t>
  </si>
  <si>
    <t>20185263MRK</t>
  </si>
  <si>
    <t>20188192MRK</t>
  </si>
  <si>
    <t>20189530MRK</t>
  </si>
  <si>
    <t>20181611MRK</t>
  </si>
  <si>
    <t>20183477MRK</t>
  </si>
  <si>
    <t>20184538MRK</t>
  </si>
  <si>
    <t>20185923MRK</t>
  </si>
  <si>
    <t>20188655MRK</t>
  </si>
  <si>
    <t>20186438MRK</t>
  </si>
  <si>
    <t>20187022MRK</t>
  </si>
  <si>
    <t>20189084MRK</t>
  </si>
  <si>
    <t>20184448MRK</t>
  </si>
  <si>
    <t>20185395MRK</t>
  </si>
  <si>
    <t>20187437MRK</t>
  </si>
  <si>
    <t>20188902MRK</t>
  </si>
  <si>
    <t>20181403MRK</t>
  </si>
  <si>
    <t>20184871MRK</t>
  </si>
  <si>
    <t>20186151MRK</t>
  </si>
  <si>
    <t>20186872MRK</t>
  </si>
  <si>
    <t>20188719MRK</t>
  </si>
  <si>
    <t>20189607MRK</t>
  </si>
  <si>
    <t>20182401MRK</t>
  </si>
  <si>
    <t>20183246MRK</t>
  </si>
  <si>
    <t>20185705MRK</t>
  </si>
  <si>
    <t>20186706MRK</t>
  </si>
  <si>
    <t>20188699MRK</t>
  </si>
  <si>
    <t>20181074MRK</t>
  </si>
  <si>
    <t>20183065MRK</t>
  </si>
  <si>
    <t>20184295MRK</t>
  </si>
  <si>
    <t>20184750MRK</t>
  </si>
  <si>
    <t>20185875MRK</t>
  </si>
  <si>
    <t>20188291MRK</t>
  </si>
  <si>
    <t>20189297MRK</t>
  </si>
  <si>
    <t>20182964MRK</t>
  </si>
  <si>
    <t>20184476MRK</t>
  </si>
  <si>
    <t>20187507MRK</t>
  </si>
  <si>
    <t>20189348MRK</t>
  </si>
  <si>
    <t>20183433MRK</t>
  </si>
  <si>
    <t>20186822MRK</t>
  </si>
  <si>
    <t>20187327MRK</t>
  </si>
  <si>
    <t>20191580ACC</t>
  </si>
  <si>
    <t>20192417ACC</t>
  </si>
  <si>
    <t>20192467ACC</t>
  </si>
  <si>
    <t>20192511ACC</t>
  </si>
  <si>
    <t>20193821ACC</t>
  </si>
  <si>
    <t>20194466ACC</t>
  </si>
  <si>
    <t>20194496ACC</t>
  </si>
  <si>
    <t>20194655ACC</t>
  </si>
  <si>
    <t>20195589ACC</t>
  </si>
  <si>
    <t>20196016ACC</t>
  </si>
  <si>
    <t>20196776ACC</t>
  </si>
  <si>
    <t>20198408ACC</t>
  </si>
  <si>
    <t>20199420ACC</t>
  </si>
  <si>
    <t>20191122ACC</t>
  </si>
  <si>
    <t>20191852ACC</t>
  </si>
  <si>
    <t>20192262ACC</t>
  </si>
  <si>
    <t>20192830ACC</t>
  </si>
  <si>
    <t>20193036ACC</t>
  </si>
  <si>
    <t>20193742ACC</t>
  </si>
  <si>
    <t>20193899ACC</t>
  </si>
  <si>
    <t>20194049ACC</t>
  </si>
  <si>
    <t>20194202ACC</t>
  </si>
  <si>
    <t>20195248ACC</t>
  </si>
  <si>
    <t>20195628ACC</t>
  </si>
  <si>
    <t>20195664ACC</t>
  </si>
  <si>
    <t>20196696ACC</t>
  </si>
  <si>
    <t>20197091ACC</t>
  </si>
  <si>
    <t>20198069ACC</t>
  </si>
  <si>
    <t>20198262ACC</t>
  </si>
  <si>
    <t>20198321ACC</t>
  </si>
  <si>
    <t>20198768ACC</t>
  </si>
  <si>
    <t>20198998ACC</t>
  </si>
  <si>
    <t>20199641ACC</t>
  </si>
  <si>
    <t>20193215ACC</t>
  </si>
  <si>
    <t>20193258ACC</t>
  </si>
  <si>
    <t>20193870ACC</t>
  </si>
  <si>
    <t>20195197ACC</t>
  </si>
  <si>
    <t>20198392ACC</t>
  </si>
  <si>
    <t>20198561ACC</t>
  </si>
  <si>
    <t>20199108ACC</t>
  </si>
  <si>
    <t>20199152ACC</t>
  </si>
  <si>
    <t>20199249ACC</t>
  </si>
  <si>
    <t>20199360ACC</t>
  </si>
  <si>
    <t>20193898ACC</t>
  </si>
  <si>
    <t>20194620ACC</t>
  </si>
  <si>
    <t>20194976ACC</t>
  </si>
  <si>
    <t>20195524ACC</t>
  </si>
  <si>
    <t>20196898ACC</t>
  </si>
  <si>
    <t>20197521ACC</t>
  </si>
  <si>
    <t>20198518ACC</t>
  </si>
  <si>
    <t>20191137ACC</t>
  </si>
  <si>
    <t>20191705ACC</t>
  </si>
  <si>
    <t>20192187ACC</t>
  </si>
  <si>
    <t>20192507ACC</t>
  </si>
  <si>
    <t>20195864ACC</t>
  </si>
  <si>
    <t>20195873ACC</t>
  </si>
  <si>
    <t>20196399ACC</t>
  </si>
  <si>
    <t>20196440ACC</t>
  </si>
  <si>
    <t>20197492ACC</t>
  </si>
  <si>
    <t>20198343ACC</t>
  </si>
  <si>
    <t>20199687ACC</t>
  </si>
  <si>
    <t>20191977ACC</t>
  </si>
  <si>
    <t>20192603ACC</t>
  </si>
  <si>
    <t>20192998ACC</t>
  </si>
  <si>
    <t>20193582ACC</t>
  </si>
  <si>
    <t>20196351ACC</t>
  </si>
  <si>
    <t>20196680ACC</t>
  </si>
  <si>
    <t>20197442ACC</t>
  </si>
  <si>
    <t>20197728ACC</t>
  </si>
  <si>
    <t>20197843ACC</t>
  </si>
  <si>
    <t>20198825ACC</t>
  </si>
  <si>
    <t>20191143ACC</t>
  </si>
  <si>
    <t>20191349ACC</t>
  </si>
  <si>
    <t>20192049ACC</t>
  </si>
  <si>
    <t>20194441ACC</t>
  </si>
  <si>
    <t>20195312ACC</t>
  </si>
  <si>
    <t>20196284ACC</t>
  </si>
  <si>
    <t>20196416ACC</t>
  </si>
  <si>
    <t>20197786ACC</t>
  </si>
  <si>
    <t>20197942ACC</t>
  </si>
  <si>
    <t>20198102ACC</t>
  </si>
  <si>
    <t>20198981ACC</t>
  </si>
  <si>
    <t>20199206ACC</t>
  </si>
  <si>
    <t>20191346ACC</t>
  </si>
  <si>
    <t>20191378ACC</t>
  </si>
  <si>
    <t>20191778ACC</t>
  </si>
  <si>
    <t>20192987ACC</t>
  </si>
  <si>
    <t>20193733ACC</t>
  </si>
  <si>
    <t>20194403ACC</t>
  </si>
  <si>
    <t>20194752ACC</t>
  </si>
  <si>
    <t>20194783ACC</t>
  </si>
  <si>
    <t>20195077ACC</t>
  </si>
  <si>
    <t>20195681ACC</t>
  </si>
  <si>
    <t>20196954ACC</t>
  </si>
  <si>
    <t>20197280ACC</t>
  </si>
  <si>
    <t>20199421ACC</t>
  </si>
  <si>
    <t>20192296ACC</t>
  </si>
  <si>
    <t>20193288ACC</t>
  </si>
  <si>
    <t>20193641ACC</t>
  </si>
  <si>
    <t>20194588ACC</t>
  </si>
  <si>
    <t>20195118ACC</t>
  </si>
  <si>
    <t>20195342ACC</t>
  </si>
  <si>
    <t>20196008ACC</t>
  </si>
  <si>
    <t>20196161ACC</t>
  </si>
  <si>
    <t>20196918ACC</t>
  </si>
  <si>
    <t>20197778ACC</t>
  </si>
  <si>
    <t>20198053ACC</t>
  </si>
  <si>
    <t>20198460ACC</t>
  </si>
  <si>
    <t>20198664ACC</t>
  </si>
  <si>
    <t>20199500ACC</t>
  </si>
  <si>
    <t>20199879ACC</t>
  </si>
  <si>
    <t>20192034ACC</t>
  </si>
  <si>
    <t>20192347ACC</t>
  </si>
  <si>
    <t>20192694ACC</t>
  </si>
  <si>
    <t>20192809ACC</t>
  </si>
  <si>
    <t>20194233ACC</t>
  </si>
  <si>
    <t>20197910ACC</t>
  </si>
  <si>
    <t>20198417ACC</t>
  </si>
  <si>
    <t>20198868ACC</t>
  </si>
  <si>
    <t>20191266ACC</t>
  </si>
  <si>
    <t>20192199ACC</t>
  </si>
  <si>
    <t>20192632ACC</t>
  </si>
  <si>
    <t>20192646ACC</t>
  </si>
  <si>
    <t>20193205ACC</t>
  </si>
  <si>
    <t>20195205ACC</t>
  </si>
  <si>
    <t>20195352ACC</t>
  </si>
  <si>
    <t>20196157ACC</t>
  </si>
  <si>
    <t>20197199ACC</t>
  </si>
  <si>
    <t>20198465ACC</t>
  </si>
  <si>
    <t>20191120ACC</t>
  </si>
  <si>
    <t>20191768ACC</t>
  </si>
  <si>
    <t>20192110ACC</t>
  </si>
  <si>
    <t>20192982ACC</t>
  </si>
  <si>
    <t>20193228ACC</t>
  </si>
  <si>
    <t>20193662ACC</t>
  </si>
  <si>
    <t>20199964ACC</t>
  </si>
  <si>
    <t>20191067ACC</t>
  </si>
  <si>
    <t>20191234ACC</t>
  </si>
  <si>
    <t>20191568ACC</t>
  </si>
  <si>
    <t>20192473ACC</t>
  </si>
  <si>
    <t>20193678ACC</t>
  </si>
  <si>
    <t>20195010ACC</t>
  </si>
  <si>
    <t>20196099ACC</t>
  </si>
  <si>
    <t>20196251ACC</t>
  </si>
  <si>
    <t>20196465ACC</t>
  </si>
  <si>
    <t>20196610ACC</t>
  </si>
  <si>
    <t>20197426ACC</t>
  </si>
  <si>
    <t>20197983ACC</t>
  </si>
  <si>
    <t>20199636ACC</t>
  </si>
  <si>
    <t>20191369ACC</t>
  </si>
  <si>
    <t>20191935ACC</t>
  </si>
  <si>
    <t>20192527ACC</t>
  </si>
  <si>
    <t>20193835ACC</t>
  </si>
  <si>
    <t>20194860ACC</t>
  </si>
  <si>
    <t>20195264ACC</t>
  </si>
  <si>
    <t>20195357ACC</t>
  </si>
  <si>
    <t>20196254ACC</t>
  </si>
  <si>
    <t>20196707ACC</t>
  </si>
  <si>
    <t>20197020ACC</t>
  </si>
  <si>
    <t>20198235ACC</t>
  </si>
  <si>
    <t>20198305ACC</t>
  </si>
  <si>
    <t>20199119ACC</t>
  </si>
  <si>
    <t>20191395ACC</t>
  </si>
  <si>
    <t>20191591ACC</t>
  </si>
  <si>
    <t>20191953ACC</t>
  </si>
  <si>
    <t>20192348ACC</t>
  </si>
  <si>
    <t>20192439ACC</t>
  </si>
  <si>
    <t>20192641ACC</t>
  </si>
  <si>
    <t>20193760ACC</t>
  </si>
  <si>
    <t>20196380ACC</t>
  </si>
  <si>
    <t>20196546ACC</t>
  </si>
  <si>
    <t>20196630ACC</t>
  </si>
  <si>
    <t>20197564ACC</t>
  </si>
  <si>
    <t>20197708ACC</t>
  </si>
  <si>
    <t>20198288ACC</t>
  </si>
  <si>
    <t>20198361ACC</t>
  </si>
  <si>
    <t>20198569ACC</t>
  </si>
  <si>
    <t>20198824ACC</t>
  </si>
  <si>
    <t>20199151ACC</t>
  </si>
  <si>
    <t>20192418ACC</t>
  </si>
  <si>
    <t>20193234ACC</t>
  </si>
  <si>
    <t>20193401ACC</t>
  </si>
  <si>
    <t>20194032ACC</t>
  </si>
  <si>
    <t>20195316ACC</t>
  </si>
  <si>
    <t>20195330ACC</t>
  </si>
  <si>
    <t>20195508ACC</t>
  </si>
  <si>
    <t>20195784ACC</t>
  </si>
  <si>
    <t>20198791ACC</t>
  </si>
  <si>
    <t>20198864ACC</t>
  </si>
  <si>
    <t>20199155ACC</t>
  </si>
  <si>
    <t>20199663ACC</t>
  </si>
  <si>
    <t>20192586ACC</t>
  </si>
  <si>
    <t>20192600ACC</t>
  </si>
  <si>
    <t>20193049ACC</t>
  </si>
  <si>
    <t>20193263ACC</t>
  </si>
  <si>
    <t>20193434ACC</t>
  </si>
  <si>
    <t>20193539ACC</t>
  </si>
  <si>
    <t>20195173ACC</t>
  </si>
  <si>
    <t>20196600ACC</t>
  </si>
  <si>
    <t>20196886ACC</t>
  </si>
  <si>
    <t>20197685ACC</t>
  </si>
  <si>
    <t>20198410ACC</t>
  </si>
  <si>
    <t>20199279ACC</t>
  </si>
  <si>
    <t>20192847ACC</t>
  </si>
  <si>
    <t>20193429ACC</t>
  </si>
  <si>
    <t>20194002ACC</t>
  </si>
  <si>
    <t>20196230ACC</t>
  </si>
  <si>
    <t>20197306ACC</t>
  </si>
  <si>
    <t>20198626ACC</t>
  </si>
  <si>
    <t>20199143ACC</t>
  </si>
  <si>
    <t>20199865ACC</t>
  </si>
  <si>
    <t>20191071ACC</t>
  </si>
  <si>
    <t>20191379ACC</t>
  </si>
  <si>
    <t>20191646ACC</t>
  </si>
  <si>
    <t>20192045ACC</t>
  </si>
  <si>
    <t>20192261ACC</t>
  </si>
  <si>
    <t>20193250ACC</t>
  </si>
  <si>
    <t>20194004ACC</t>
  </si>
  <si>
    <t>20194465ACC</t>
  </si>
  <si>
    <t>20195080ACC</t>
  </si>
  <si>
    <t>20195482ACC</t>
  </si>
  <si>
    <t>20197859ACC</t>
  </si>
  <si>
    <t>20198578ACC</t>
  </si>
  <si>
    <t>20192250ACC</t>
  </si>
  <si>
    <t>20193724ACC</t>
  </si>
  <si>
    <t>20193745ACC</t>
  </si>
  <si>
    <t>20195971ACC</t>
  </si>
  <si>
    <t>20198075ACC</t>
  </si>
  <si>
    <t>20198351ACC</t>
  </si>
  <si>
    <t>20198373ACC</t>
  </si>
  <si>
    <t>20199020ACC</t>
  </si>
  <si>
    <t>20193528INS</t>
  </si>
  <si>
    <t>20193920INS</t>
  </si>
  <si>
    <t>20196300INS</t>
  </si>
  <si>
    <t>20196987INS</t>
  </si>
  <si>
    <t>20197741INS</t>
  </si>
  <si>
    <t>20199366INS</t>
  </si>
  <si>
    <t>20199596INS</t>
  </si>
  <si>
    <t>20199670INS</t>
  </si>
  <si>
    <t>20192260INS</t>
  </si>
  <si>
    <t>20194445INS</t>
  </si>
  <si>
    <t>20196370INS</t>
  </si>
  <si>
    <t>20196634INS</t>
  </si>
  <si>
    <t>20196680INS</t>
  </si>
  <si>
    <t>20196825INS</t>
  </si>
  <si>
    <t>20191944INS</t>
  </si>
  <si>
    <t>20194568INS</t>
  </si>
  <si>
    <t>20195166INS</t>
  </si>
  <si>
    <t>20195475INS</t>
  </si>
  <si>
    <t>20197497INS</t>
  </si>
  <si>
    <t>20198168INS</t>
  </si>
  <si>
    <t>20193261INS</t>
  </si>
  <si>
    <t>20195767INS</t>
  </si>
  <si>
    <t>20199013INS</t>
  </si>
  <si>
    <t>20195290INS</t>
  </si>
  <si>
    <t>20195874INS</t>
  </si>
  <si>
    <t>20197514INS</t>
  </si>
  <si>
    <t>20199903INS</t>
  </si>
  <si>
    <t>20192787INS</t>
  </si>
  <si>
    <t>20193066INS</t>
  </si>
  <si>
    <t>20196532INS</t>
  </si>
  <si>
    <t>20197279INS</t>
  </si>
  <si>
    <t>20197501INS</t>
  </si>
  <si>
    <t>20197720INS</t>
  </si>
  <si>
    <t>20199240INS</t>
  </si>
  <si>
    <t>20199552INS</t>
  </si>
  <si>
    <t>20191132INS</t>
  </si>
  <si>
    <t>20193332INS</t>
  </si>
  <si>
    <t>20194772INS</t>
  </si>
  <si>
    <t>20196887INS</t>
  </si>
  <si>
    <t>20197064INS</t>
  </si>
  <si>
    <t>20197099INS</t>
  </si>
  <si>
    <t>20198903INS</t>
  </si>
  <si>
    <t>20198988INS</t>
  </si>
  <si>
    <t>20191013INS</t>
  </si>
  <si>
    <t>20191496INS</t>
  </si>
  <si>
    <t>20193042INS</t>
  </si>
  <si>
    <t>20195294INS</t>
  </si>
  <si>
    <t>20197299INS</t>
  </si>
  <si>
    <t>20199258INS</t>
  </si>
  <si>
    <t>20194261INS</t>
  </si>
  <si>
    <t>20196697INS</t>
  </si>
  <si>
    <t>20197878INS</t>
  </si>
  <si>
    <t>20198141INS</t>
  </si>
  <si>
    <t>20195216INS</t>
  </si>
  <si>
    <t>20197786INS</t>
  </si>
  <si>
    <t>20198337INS</t>
  </si>
  <si>
    <t>20199817INS</t>
  </si>
  <si>
    <t>20196761INS</t>
  </si>
  <si>
    <t>20191476INS</t>
  </si>
  <si>
    <t>20191635INS</t>
  </si>
  <si>
    <t>20192322INS</t>
  </si>
  <si>
    <t>20193239INS</t>
  </si>
  <si>
    <t>20195418INS</t>
  </si>
  <si>
    <t>20195809INS</t>
  </si>
  <si>
    <t>20199511INS</t>
  </si>
  <si>
    <t>20199524INS</t>
  </si>
  <si>
    <t>20191426INS</t>
  </si>
  <si>
    <t>20194557INS</t>
  </si>
  <si>
    <t>20196357INS</t>
  </si>
  <si>
    <t>20191693INS</t>
  </si>
  <si>
    <t>20192051INS</t>
  </si>
  <si>
    <t>20192369INS</t>
  </si>
  <si>
    <t>20196212INS</t>
  </si>
  <si>
    <t>20197793INS</t>
  </si>
  <si>
    <t>20199833INS</t>
  </si>
  <si>
    <t>20191454INS</t>
  </si>
  <si>
    <t>20191531INS</t>
  </si>
  <si>
    <t>20192027INS</t>
  </si>
  <si>
    <t>20194885INS</t>
  </si>
  <si>
    <t>20197711INS</t>
  </si>
  <si>
    <t>20195027INS</t>
  </si>
  <si>
    <t>20195162INS</t>
  </si>
  <si>
    <t>20195165INS</t>
  </si>
  <si>
    <t>20198476INS</t>
  </si>
  <si>
    <t>20194169INS</t>
  </si>
  <si>
    <t>20195581INS</t>
  </si>
  <si>
    <t>20195926INS</t>
  </si>
  <si>
    <t>20196001INS</t>
  </si>
  <si>
    <t>20192036FIN</t>
  </si>
  <si>
    <t>20195749FIN</t>
  </si>
  <si>
    <t>20198004FIN</t>
  </si>
  <si>
    <t>20192224FIN</t>
  </si>
  <si>
    <t>20194566FIN</t>
  </si>
  <si>
    <t>20198739FIN</t>
  </si>
  <si>
    <t>20191343FIN</t>
  </si>
  <si>
    <t>20192886FIN</t>
  </si>
  <si>
    <t>20197162FIN</t>
  </si>
  <si>
    <t>20198823FIN</t>
  </si>
  <si>
    <t>20191330FIN</t>
  </si>
  <si>
    <t>20194215FIN</t>
  </si>
  <si>
    <t>20199493FIN</t>
  </si>
  <si>
    <t>20199907FIN</t>
  </si>
  <si>
    <t>20193988FIN</t>
  </si>
  <si>
    <t>20194386FIN</t>
  </si>
  <si>
    <t>20194599FIN</t>
  </si>
  <si>
    <t>20194679FIN</t>
  </si>
  <si>
    <t>20197004FIN</t>
  </si>
  <si>
    <t>20199006FIN</t>
  </si>
  <si>
    <t>20192564FIN</t>
  </si>
  <si>
    <t>20197966FIN</t>
  </si>
  <si>
    <t>20198923FIN</t>
  </si>
  <si>
    <t>20199634FIN</t>
  </si>
  <si>
    <t>20195028FIN</t>
  </si>
  <si>
    <t>20195783FIN</t>
  </si>
  <si>
    <t>20198734FIN</t>
  </si>
  <si>
    <t>20191176FIN</t>
  </si>
  <si>
    <t>20191508FIN</t>
  </si>
  <si>
    <t>20194363FIN</t>
  </si>
  <si>
    <t>20195587FIN</t>
  </si>
  <si>
    <t>20197377FIN</t>
  </si>
  <si>
    <t>20197936FIN</t>
  </si>
  <si>
    <t>20191856FIN</t>
  </si>
  <si>
    <t>20192503FIN</t>
  </si>
  <si>
    <t>20194827FIN</t>
  </si>
  <si>
    <t>20196650FIN</t>
  </si>
  <si>
    <t>20197306FIN</t>
  </si>
  <si>
    <t>20192178FIN</t>
  </si>
  <si>
    <t>20194321FIN</t>
  </si>
  <si>
    <t>20194902FIN</t>
  </si>
  <si>
    <t>20195913FIN</t>
  </si>
  <si>
    <t>20198897FIN</t>
  </si>
  <si>
    <t>20193315FIN</t>
  </si>
  <si>
    <t>20193643FIN</t>
  </si>
  <si>
    <t>20195492FIN</t>
  </si>
  <si>
    <t>20197303FIN</t>
  </si>
  <si>
    <t>20199447FIN</t>
  </si>
  <si>
    <t>20191700FIN</t>
  </si>
  <si>
    <t>20195970FIN</t>
  </si>
  <si>
    <t>20198596FIN</t>
  </si>
  <si>
    <t>20192839FIN</t>
  </si>
  <si>
    <t>20193158FIN</t>
  </si>
  <si>
    <t>20194714FIN</t>
  </si>
  <si>
    <t>20198190FIN</t>
  </si>
  <si>
    <t>20191566FIN</t>
  </si>
  <si>
    <t>20193613FIN</t>
  </si>
  <si>
    <t>20194135FIN</t>
  </si>
  <si>
    <t>20196286FIN</t>
  </si>
  <si>
    <t>20199567FIN</t>
  </si>
  <si>
    <t>20192025FIN</t>
  </si>
  <si>
    <t>20193468FIN</t>
  </si>
  <si>
    <t>20194493FIN</t>
  </si>
  <si>
    <t>20191281FIN</t>
  </si>
  <si>
    <t>20192505FIN</t>
  </si>
  <si>
    <t>20192699FIN</t>
  </si>
  <si>
    <t>20194236FIN</t>
  </si>
  <si>
    <t>20194983FIN</t>
  </si>
  <si>
    <t>20195738FIN</t>
  </si>
  <si>
    <t>20196000FIN</t>
  </si>
  <si>
    <t>20196615FIN</t>
  </si>
  <si>
    <t>20192582FIN</t>
  </si>
  <si>
    <t>20198146FIN</t>
  </si>
  <si>
    <t>20199357FIN</t>
  </si>
  <si>
    <t>20191088FIN</t>
  </si>
  <si>
    <t>20192590FIN</t>
  </si>
  <si>
    <t>20192885FIN</t>
  </si>
  <si>
    <t>20195724FIN</t>
  </si>
  <si>
    <t>20196531FIN</t>
  </si>
  <si>
    <t>20198229FIN</t>
  </si>
  <si>
    <t>20199581FIN</t>
  </si>
  <si>
    <t>20191651FENG</t>
  </si>
  <si>
    <t>20193199FENG</t>
  </si>
  <si>
    <t>20194250FENG</t>
  </si>
  <si>
    <t>20195063FENG</t>
  </si>
  <si>
    <t>20195291FENG</t>
  </si>
  <si>
    <t>20196261FENG</t>
  </si>
  <si>
    <t>20197957FENG</t>
  </si>
  <si>
    <t>20198146FENG</t>
  </si>
  <si>
    <t>20198968FENG</t>
  </si>
  <si>
    <t>20191608FENG</t>
  </si>
  <si>
    <t>20191730FENG</t>
  </si>
  <si>
    <t>20193642FENG</t>
  </si>
  <si>
    <t>20195606FENG</t>
  </si>
  <si>
    <t>20195640FENG</t>
  </si>
  <si>
    <t>20195895FENG</t>
  </si>
  <si>
    <t>20196864FENG</t>
  </si>
  <si>
    <t>20197146FENG</t>
  </si>
  <si>
    <t>20197949FENG</t>
  </si>
  <si>
    <t>20198203FENG</t>
  </si>
  <si>
    <t>20199045FENG</t>
  </si>
  <si>
    <t>20191767FENG</t>
  </si>
  <si>
    <t>20192518FENG</t>
  </si>
  <si>
    <t>20193431FENG</t>
  </si>
  <si>
    <t>20194656FENG</t>
  </si>
  <si>
    <t>20199032FENG</t>
  </si>
  <si>
    <t>20199823FENG</t>
  </si>
  <si>
    <t>20191735FENG</t>
  </si>
  <si>
    <t>20192991FENG</t>
  </si>
  <si>
    <t>20194571FENG</t>
  </si>
  <si>
    <t>20196102FENG</t>
  </si>
  <si>
    <t>20196213FENG</t>
  </si>
  <si>
    <t>20196435FENG</t>
  </si>
  <si>
    <t>20198463FENG</t>
  </si>
  <si>
    <t>20199159FENG</t>
  </si>
  <si>
    <t>20199218FENG</t>
  </si>
  <si>
    <t>20199955FENG</t>
  </si>
  <si>
    <t>20191258FENG</t>
  </si>
  <si>
    <t>20191892FENG</t>
  </si>
  <si>
    <t>20192563FENG</t>
  </si>
  <si>
    <t>20192979FENG</t>
  </si>
  <si>
    <t>20194441FENG</t>
  </si>
  <si>
    <t>20198829FENG</t>
  </si>
  <si>
    <t>20199563FENG</t>
  </si>
  <si>
    <t>20199704FENG</t>
  </si>
  <si>
    <t>20192418FENG</t>
  </si>
  <si>
    <t>20192806FENG</t>
  </si>
  <si>
    <t>20192921FENG</t>
  </si>
  <si>
    <t>20195010FENG</t>
  </si>
  <si>
    <t>20196229FENG</t>
  </si>
  <si>
    <t>20196556FENG</t>
  </si>
  <si>
    <t>20196670FENG</t>
  </si>
  <si>
    <t>20198348FENG</t>
  </si>
  <si>
    <t>20198621FENG</t>
  </si>
  <si>
    <t>20199197FENG</t>
  </si>
  <si>
    <t>20199208FENG</t>
  </si>
  <si>
    <t>20199338FENG</t>
  </si>
  <si>
    <t>20199812FENG</t>
  </si>
  <si>
    <t>20191809FENG</t>
  </si>
  <si>
    <t>20193110FENG</t>
  </si>
  <si>
    <t>20193156FENG</t>
  </si>
  <si>
    <t>20193743FENG</t>
  </si>
  <si>
    <t>20196822FENG</t>
  </si>
  <si>
    <t>20197207FENG</t>
  </si>
  <si>
    <t>20198482FENG</t>
  </si>
  <si>
    <t>20199814FENG</t>
  </si>
  <si>
    <t>20199889FENG</t>
  </si>
  <si>
    <t>20193174FENG</t>
  </si>
  <si>
    <t>20194118FENG</t>
  </si>
  <si>
    <t>20194422FENG</t>
  </si>
  <si>
    <t>20196239FENG</t>
  </si>
  <si>
    <t>20196555FENG</t>
  </si>
  <si>
    <t>20197016FENG</t>
  </si>
  <si>
    <t>20197183FENG</t>
  </si>
  <si>
    <t>20197570FENG</t>
  </si>
  <si>
    <t>20197695FENG</t>
  </si>
  <si>
    <t>20198095FENG</t>
  </si>
  <si>
    <t>20198361FENG</t>
  </si>
  <si>
    <t>20191310FENG</t>
  </si>
  <si>
    <t>20191652FENG</t>
  </si>
  <si>
    <t>20192361FENG</t>
  </si>
  <si>
    <t>20194613FENG</t>
  </si>
  <si>
    <t>20195319FENG</t>
  </si>
  <si>
    <t>20198944FENG</t>
  </si>
  <si>
    <t>20193739FENG</t>
  </si>
  <si>
    <t>20194570FENG</t>
  </si>
  <si>
    <t>20198358FENG</t>
  </si>
  <si>
    <t>20194024FENG</t>
  </si>
  <si>
    <t>20194815FENG</t>
  </si>
  <si>
    <t>20195731FENG</t>
  </si>
  <si>
    <t>20196467FENG</t>
  </si>
  <si>
    <t>20197223FENG</t>
  </si>
  <si>
    <t>20197339FENG</t>
  </si>
  <si>
    <t>20197879FENG</t>
  </si>
  <si>
    <t>20198366FENG</t>
  </si>
  <si>
    <t>20199212FENG</t>
  </si>
  <si>
    <t>20199492FENG</t>
  </si>
  <si>
    <t>20191044FENG</t>
  </si>
  <si>
    <t>20191055FENG</t>
  </si>
  <si>
    <t>20191942FENG</t>
  </si>
  <si>
    <t>20192059FENG</t>
  </si>
  <si>
    <t>20193433FENG</t>
  </si>
  <si>
    <t>20195099FENG</t>
  </si>
  <si>
    <t>20195123FENG</t>
  </si>
  <si>
    <t>20196567FENG</t>
  </si>
  <si>
    <t>20196667FENG</t>
  </si>
  <si>
    <t>20198643FENG</t>
  </si>
  <si>
    <t>20191301FENG</t>
  </si>
  <si>
    <t>20196828FENG</t>
  </si>
  <si>
    <t>20192451FENG</t>
  </si>
  <si>
    <t>20192476FENG</t>
  </si>
  <si>
    <t>20192892FENG</t>
  </si>
  <si>
    <t>20194808FENG</t>
  </si>
  <si>
    <t>20195414FENG</t>
  </si>
  <si>
    <t>20196634FENG</t>
  </si>
  <si>
    <t>20197452FENG</t>
  </si>
  <si>
    <t>20197500FENG</t>
  </si>
  <si>
    <t>20193249FENG</t>
  </si>
  <si>
    <t>20193381FENG</t>
  </si>
  <si>
    <t>20193996FENG</t>
  </si>
  <si>
    <t>20194374FENG</t>
  </si>
  <si>
    <t>20194857FENG</t>
  </si>
  <si>
    <t>20191876FENG</t>
  </si>
  <si>
    <t>20194387FENG</t>
  </si>
  <si>
    <t>20195808FENG</t>
  </si>
  <si>
    <t>20197135FENG</t>
  </si>
  <si>
    <t>20198116FENG</t>
  </si>
  <si>
    <t>20199034FENG</t>
  </si>
  <si>
    <t>20192043FENG</t>
  </si>
  <si>
    <t>20192729FENG</t>
  </si>
  <si>
    <t>20192758FENG</t>
  </si>
  <si>
    <t>20193294FENG</t>
  </si>
  <si>
    <t>20193594FENG</t>
  </si>
  <si>
    <t>20193880FENG</t>
  </si>
  <si>
    <t>20194586FENG</t>
  </si>
  <si>
    <t>20194731FENG</t>
  </si>
  <si>
    <t>20195673FENG</t>
  </si>
  <si>
    <t>20196042FENG</t>
  </si>
  <si>
    <t>20196176FENG</t>
  </si>
  <si>
    <t>20196514FENG</t>
  </si>
  <si>
    <t>20197647FENG</t>
  </si>
  <si>
    <t>20198373FENG</t>
  </si>
  <si>
    <t>20198860FENG</t>
  </si>
  <si>
    <t>20193151FENG</t>
  </si>
  <si>
    <t>20194918FENG</t>
  </si>
  <si>
    <t>20194960FENG</t>
  </si>
  <si>
    <t>20196565FENG</t>
  </si>
  <si>
    <t>20197096FENG</t>
  </si>
  <si>
    <t>20199747FENG</t>
  </si>
  <si>
    <t>20192984FENG</t>
  </si>
  <si>
    <t>20195069FENG</t>
  </si>
  <si>
    <t>20199592FENG</t>
  </si>
  <si>
    <t>20192740FENG</t>
  </si>
  <si>
    <t>20193073FENG</t>
  </si>
  <si>
    <t>20196482FENG</t>
  </si>
  <si>
    <t>20196825FENG</t>
  </si>
  <si>
    <t>20196918FENG</t>
  </si>
  <si>
    <t>20197023FENG</t>
  </si>
  <si>
    <t>20197323FENG</t>
  </si>
  <si>
    <t>20191308MIS</t>
  </si>
  <si>
    <t>20193781MIS</t>
  </si>
  <si>
    <t>20196018MIS</t>
  </si>
  <si>
    <t>20195616MIS</t>
  </si>
  <si>
    <t>20191240MIS</t>
  </si>
  <si>
    <t>20193597MIS</t>
  </si>
  <si>
    <t>20194230MIS</t>
  </si>
  <si>
    <t>20194394MIS</t>
  </si>
  <si>
    <t>20194902MIS</t>
  </si>
  <si>
    <t>20195542MIS</t>
  </si>
  <si>
    <t>20196937MIS</t>
  </si>
  <si>
    <t>20197868MIS</t>
  </si>
  <si>
    <t>20191629MIS</t>
  </si>
  <si>
    <t>20196585MIS</t>
  </si>
  <si>
    <t>20196870MIS</t>
  </si>
  <si>
    <t>20198946MIS</t>
  </si>
  <si>
    <t>20192632MIS</t>
  </si>
  <si>
    <t>20193377MIS</t>
  </si>
  <si>
    <t>20196652MIS</t>
  </si>
  <si>
    <t>20198113MIS</t>
  </si>
  <si>
    <t>20191838MIS</t>
  </si>
  <si>
    <t>20193477MIS</t>
  </si>
  <si>
    <t>20197593MIS</t>
  </si>
  <si>
    <t>20199429MIS</t>
  </si>
  <si>
    <t>20195846MIS</t>
  </si>
  <si>
    <t>20196268MIS</t>
  </si>
  <si>
    <t>20196835MIS</t>
  </si>
  <si>
    <t>20194462MIS</t>
  </si>
  <si>
    <t>20198902MIS</t>
  </si>
  <si>
    <t>20199382MIS</t>
  </si>
  <si>
    <t>20199852MIS</t>
  </si>
  <si>
    <t>20191127MIS</t>
  </si>
  <si>
    <t>20191182MIS</t>
  </si>
  <si>
    <t>20191324MIS</t>
  </si>
  <si>
    <t>20191766MIS</t>
  </si>
  <si>
    <t>20191811MIS</t>
  </si>
  <si>
    <t>20193508MIS</t>
  </si>
  <si>
    <t>20195929MIS</t>
  </si>
  <si>
    <t>20196156MIS</t>
  </si>
  <si>
    <t>20196901MIS</t>
  </si>
  <si>
    <t>20196970MIS</t>
  </si>
  <si>
    <t>20199903MIS</t>
  </si>
  <si>
    <t>20194500MIS</t>
  </si>
  <si>
    <t>20198318MIS</t>
  </si>
  <si>
    <t>20198530MIS</t>
  </si>
  <si>
    <t>20195689MIS</t>
  </si>
  <si>
    <t>20196266MIS</t>
  </si>
  <si>
    <t>20199098MIS</t>
  </si>
  <si>
    <t>20191365MIS</t>
  </si>
  <si>
    <t>20197141MIS</t>
  </si>
  <si>
    <t>20194212MIS</t>
  </si>
  <si>
    <t>20194280MIS</t>
  </si>
  <si>
    <t>20195201MIS</t>
  </si>
  <si>
    <t>20195571MIS</t>
  </si>
  <si>
    <t>20197285MIS</t>
  </si>
  <si>
    <t>20191866MIS</t>
  </si>
  <si>
    <t>20194838MIS</t>
  </si>
  <si>
    <t>20196723MIS</t>
  </si>
  <si>
    <t>20198154MIS</t>
  </si>
  <si>
    <t>20198171MIS</t>
  </si>
  <si>
    <t>20194004MIS</t>
  </si>
  <si>
    <t>20197047MIS</t>
  </si>
  <si>
    <t>20194503MIS</t>
  </si>
  <si>
    <t>20196597MIS</t>
  </si>
  <si>
    <t>20197109MIS</t>
  </si>
  <si>
    <t>20197556MIS</t>
  </si>
  <si>
    <t>20197948MIS</t>
  </si>
  <si>
    <t>20195696MIS</t>
  </si>
  <si>
    <t>20196859MIS</t>
  </si>
  <si>
    <t>20197798MIS</t>
  </si>
  <si>
    <t>20199857MIS</t>
  </si>
  <si>
    <t>20191305MIS</t>
  </si>
  <si>
    <t>20192715MIS</t>
  </si>
  <si>
    <t>20198381MIS</t>
  </si>
  <si>
    <t>20199357MIS</t>
  </si>
  <si>
    <t>20199980MIS</t>
  </si>
  <si>
    <t>20191591MRK</t>
  </si>
  <si>
    <t>20198129MRK</t>
  </si>
  <si>
    <t>20199796MRK</t>
  </si>
  <si>
    <t>20192097MRK</t>
  </si>
  <si>
    <t>20192736MRK</t>
  </si>
  <si>
    <t>20193772MRK</t>
  </si>
  <si>
    <t>20195033MRK</t>
  </si>
  <si>
    <t>20196842MRK</t>
  </si>
  <si>
    <t>20191452MRK</t>
  </si>
  <si>
    <t>20191835MRK</t>
  </si>
  <si>
    <t>20196913MRK</t>
  </si>
  <si>
    <t>20198571MRK</t>
  </si>
  <si>
    <t>20191471MRK</t>
  </si>
  <si>
    <t>20192265MRK</t>
  </si>
  <si>
    <t>20194406MRK</t>
  </si>
  <si>
    <t>20195092MRK</t>
  </si>
  <si>
    <t>20197190MRK</t>
  </si>
  <si>
    <t>20197480MRK</t>
  </si>
  <si>
    <t>20197797MRK</t>
  </si>
  <si>
    <t>20191156MRK</t>
  </si>
  <si>
    <t>20192917MRK</t>
  </si>
  <si>
    <t>20193071MRK</t>
  </si>
  <si>
    <t>20194928MRK</t>
  </si>
  <si>
    <t>20195730MRK</t>
  </si>
  <si>
    <t>20196414MRK</t>
  </si>
  <si>
    <t>20196428MRK</t>
  </si>
  <si>
    <t>20196696MRK</t>
  </si>
  <si>
    <t>20198512MRK</t>
  </si>
  <si>
    <t>20199064MRK</t>
  </si>
  <si>
    <t>20199515MRK</t>
  </si>
  <si>
    <t>20191344MRK</t>
  </si>
  <si>
    <t>20191403MRK</t>
  </si>
  <si>
    <t>20192991MRK</t>
  </si>
  <si>
    <t>20194141MRK</t>
  </si>
  <si>
    <t>20195265MRK</t>
  </si>
  <si>
    <t>20198696MRK</t>
  </si>
  <si>
    <t>20198911MRK</t>
  </si>
  <si>
    <t>20191801MRK</t>
  </si>
  <si>
    <t>20191967MRK</t>
  </si>
  <si>
    <t>20192259MRK</t>
  </si>
  <si>
    <t>20192980MRK</t>
  </si>
  <si>
    <t>20194785MRK</t>
  </si>
  <si>
    <t>20194902MRK</t>
  </si>
  <si>
    <t>20196194MRK</t>
  </si>
  <si>
    <t>20196550MRK</t>
  </si>
  <si>
    <t>20197811MRK</t>
  </si>
  <si>
    <t>20197821MRK</t>
  </si>
  <si>
    <t>20199038MRK</t>
  </si>
  <si>
    <t>20191649MRK</t>
  </si>
  <si>
    <t>20192076MRK</t>
  </si>
  <si>
    <t>20192906MRK</t>
  </si>
  <si>
    <t>20193023MRK</t>
  </si>
  <si>
    <t>20194218MRK</t>
  </si>
  <si>
    <t>20195893MRK</t>
  </si>
  <si>
    <t>20196847MRK</t>
  </si>
  <si>
    <t>20196998MRK</t>
  </si>
  <si>
    <t>20197771MRK</t>
  </si>
  <si>
    <t>20199184MRK</t>
  </si>
  <si>
    <t>20191249MRK</t>
  </si>
  <si>
    <t>20192417MRK</t>
  </si>
  <si>
    <t>20193871MRK</t>
  </si>
  <si>
    <t>20195128MRK</t>
  </si>
  <si>
    <t>20196932MRK</t>
  </si>
  <si>
    <t>20198543MRK</t>
  </si>
  <si>
    <t>20191996MRK</t>
  </si>
  <si>
    <t>20193985MRK</t>
  </si>
  <si>
    <t>20196063MRK</t>
  </si>
  <si>
    <t>20197964MRK</t>
  </si>
  <si>
    <t>20197969MRK</t>
  </si>
  <si>
    <t>20198459MRK</t>
  </si>
  <si>
    <t>20198525MRK</t>
  </si>
  <si>
    <t>20199117MRK</t>
  </si>
  <si>
    <t>20191391MRK</t>
  </si>
  <si>
    <t>20192803MRK</t>
  </si>
  <si>
    <t>20195091MRK</t>
  </si>
  <si>
    <t>20195732MRK</t>
  </si>
  <si>
    <t>20196447MRK</t>
  </si>
  <si>
    <t>20196579MRK</t>
  </si>
  <si>
    <t>20198098MRK</t>
  </si>
  <si>
    <t>20193025MRK</t>
  </si>
  <si>
    <t>20199075MRK</t>
  </si>
  <si>
    <t>20199256MRK</t>
  </si>
  <si>
    <t>20199953MRK</t>
  </si>
  <si>
    <t>20192261MRK</t>
  </si>
  <si>
    <t>20192283MRK</t>
  </si>
  <si>
    <t>20194615MRK</t>
  </si>
  <si>
    <t>20197149MRK</t>
  </si>
  <si>
    <t>20197819MRK</t>
  </si>
  <si>
    <t>20199947MRK</t>
  </si>
  <si>
    <t>20194199MRK</t>
  </si>
  <si>
    <t>20195182MRK</t>
  </si>
  <si>
    <t>20197008MRK</t>
  </si>
  <si>
    <t>20197119MRK</t>
  </si>
  <si>
    <t>20197961MRK</t>
  </si>
  <si>
    <t>20198218MRK</t>
  </si>
  <si>
    <t>20199229MRK</t>
  </si>
  <si>
    <t>20192075MRK</t>
  </si>
  <si>
    <t>20192170MRK</t>
  </si>
  <si>
    <t>20193187MRK</t>
  </si>
  <si>
    <t>20196441MRK</t>
  </si>
  <si>
    <t>20197311MRK</t>
  </si>
  <si>
    <t>20197562MRK</t>
  </si>
  <si>
    <t>20192206MRK</t>
  </si>
  <si>
    <t>20193975MRK</t>
  </si>
  <si>
    <t>20194083MRK</t>
  </si>
  <si>
    <t>20194196MRK</t>
  </si>
  <si>
    <t>20194922MRK</t>
  </si>
  <si>
    <t>20197539MRK</t>
  </si>
  <si>
    <t>20199058MRK</t>
  </si>
  <si>
    <t>20193155MRK</t>
  </si>
  <si>
    <t>20194290MRK</t>
  </si>
  <si>
    <t>20195026MRK</t>
  </si>
  <si>
    <t>20196344MRK</t>
  </si>
  <si>
    <t>20196604MRK</t>
  </si>
  <si>
    <t>20196833MRK</t>
  </si>
  <si>
    <t>20198427MRK</t>
  </si>
  <si>
    <t>20198467MRK</t>
  </si>
  <si>
    <t>20191814MRK</t>
  </si>
  <si>
    <t>20192730MRK</t>
  </si>
  <si>
    <t>20194358MRK</t>
  </si>
  <si>
    <t>20196379MRK</t>
  </si>
  <si>
    <t>20196920MRK</t>
  </si>
  <si>
    <t>20197003MRK</t>
  </si>
  <si>
    <t>20197315MRK</t>
  </si>
  <si>
    <t>20197437MRK</t>
  </si>
  <si>
    <t>20197489MRK</t>
  </si>
  <si>
    <t>20198781MRK</t>
  </si>
  <si>
    <t>20191035MRK</t>
  </si>
  <si>
    <t>20192999MRK</t>
  </si>
  <si>
    <t>20193479MRK</t>
  </si>
  <si>
    <t>20194094MRK</t>
  </si>
  <si>
    <t>20198371MRK</t>
  </si>
  <si>
    <t>20191029MRK</t>
  </si>
  <si>
    <t>20191546MRK</t>
  </si>
  <si>
    <t>20192816MRK</t>
  </si>
  <si>
    <t>20194672MRK</t>
  </si>
  <si>
    <t>20197786MRK</t>
  </si>
  <si>
    <t>20198224MRK</t>
  </si>
  <si>
    <t>20201360ACC</t>
  </si>
  <si>
    <t>20202197ACC</t>
  </si>
  <si>
    <t>20202458ACC</t>
  </si>
  <si>
    <t>20204603ACC</t>
  </si>
  <si>
    <t>20204759ACC</t>
  </si>
  <si>
    <t>20205393ACC</t>
  </si>
  <si>
    <t>20207044ACC</t>
  </si>
  <si>
    <t>20207496ACC</t>
  </si>
  <si>
    <t>20208210ACC</t>
  </si>
  <si>
    <t>20208995ACC</t>
  </si>
  <si>
    <t>20209957ACC</t>
  </si>
  <si>
    <t>20201703ACC</t>
  </si>
  <si>
    <t>20201853ACC</t>
  </si>
  <si>
    <t>20202190ACC</t>
  </si>
  <si>
    <t>20206743ACC</t>
  </si>
  <si>
    <t>20209653ACC</t>
  </si>
  <si>
    <t>20202325ACC</t>
  </si>
  <si>
    <t>20203114ACC</t>
  </si>
  <si>
    <t>20204356ACC</t>
  </si>
  <si>
    <t>20208653ACC</t>
  </si>
  <si>
    <t>20209799ACC</t>
  </si>
  <si>
    <t>20202996ACC</t>
  </si>
  <si>
    <t>20205288ACC</t>
  </si>
  <si>
    <t>20205825ACC</t>
  </si>
  <si>
    <t>20206153ACC</t>
  </si>
  <si>
    <t>20207766ACC</t>
  </si>
  <si>
    <t>20208020ACC</t>
  </si>
  <si>
    <t>20202686ACC</t>
  </si>
  <si>
    <t>20203122ACC</t>
  </si>
  <si>
    <t>20203208ACC</t>
  </si>
  <si>
    <t>20203598ACC</t>
  </si>
  <si>
    <t>20203735ACC</t>
  </si>
  <si>
    <t>20204563ACC</t>
  </si>
  <si>
    <t>20206053ACC</t>
  </si>
  <si>
    <t>20206235ACC</t>
  </si>
  <si>
    <t>20206568ACC</t>
  </si>
  <si>
    <t>20209200ACC</t>
  </si>
  <si>
    <t>20201700ACC</t>
  </si>
  <si>
    <t>20201762ACC</t>
  </si>
  <si>
    <t>20202702ACC</t>
  </si>
  <si>
    <t>20203285ACC</t>
  </si>
  <si>
    <t>20203592ACC</t>
  </si>
  <si>
    <t>20203874ACC</t>
  </si>
  <si>
    <t>20208651ACC</t>
  </si>
  <si>
    <t>20209253ACC</t>
  </si>
  <si>
    <t>20209683ACC</t>
  </si>
  <si>
    <t>20209902ACC</t>
  </si>
  <si>
    <t>20201380ACC</t>
  </si>
  <si>
    <t>20206270ACC</t>
  </si>
  <si>
    <t>20207519ACC</t>
  </si>
  <si>
    <t>20201489ACC</t>
  </si>
  <si>
    <t>20202452ACC</t>
  </si>
  <si>
    <t>20203186ACC</t>
  </si>
  <si>
    <t>20204646ACC</t>
  </si>
  <si>
    <t>20204923ACC</t>
  </si>
  <si>
    <t>20208088ACC</t>
  </si>
  <si>
    <t>20201581ACC</t>
  </si>
  <si>
    <t>20203618ACC</t>
  </si>
  <si>
    <t>20204177ACC</t>
  </si>
  <si>
    <t>20204279ACC</t>
  </si>
  <si>
    <t>20205872ACC</t>
  </si>
  <si>
    <t>20207150ACC</t>
  </si>
  <si>
    <t>20208577ACC</t>
  </si>
  <si>
    <t>20209442ACC</t>
  </si>
  <si>
    <t>20204735ACC</t>
  </si>
  <si>
    <t>20204811ACC</t>
  </si>
  <si>
    <t>20204938ACC</t>
  </si>
  <si>
    <t>20204961ACC</t>
  </si>
  <si>
    <t>20207264ACC</t>
  </si>
  <si>
    <t>20208382ACC</t>
  </si>
  <si>
    <t>20204610ACC</t>
  </si>
  <si>
    <t>20204940ACC</t>
  </si>
  <si>
    <t>20205423ACC</t>
  </si>
  <si>
    <t>20207036ACC</t>
  </si>
  <si>
    <t>20208805ACC</t>
  </si>
  <si>
    <t>20209187ACC</t>
  </si>
  <si>
    <t>20201024ACC</t>
  </si>
  <si>
    <t>20203110ACC</t>
  </si>
  <si>
    <t>20205301ACC</t>
  </si>
  <si>
    <t>20205943ACC</t>
  </si>
  <si>
    <t>20207624ACC</t>
  </si>
  <si>
    <t>20207932ACC</t>
  </si>
  <si>
    <t>20209278ACC</t>
  </si>
  <si>
    <t>20201585ACC</t>
  </si>
  <si>
    <t>20202085ACC</t>
  </si>
  <si>
    <t>20202418ACC</t>
  </si>
  <si>
    <t>20203375ACC</t>
  </si>
  <si>
    <t>20208750ACC</t>
  </si>
  <si>
    <t>20209114ACC</t>
  </si>
  <si>
    <t>20209577ACC</t>
  </si>
  <si>
    <t>20202959ACC</t>
  </si>
  <si>
    <t>20204552ACC</t>
  </si>
  <si>
    <t>20204732ACC</t>
  </si>
  <si>
    <t>20204825ACC</t>
  </si>
  <si>
    <t>20205149ACC</t>
  </si>
  <si>
    <t>20209561ACC</t>
  </si>
  <si>
    <t>20201222ACC</t>
  </si>
  <si>
    <t>20202375ACC</t>
  </si>
  <si>
    <t>20202575ACC</t>
  </si>
  <si>
    <t>20202592ACC</t>
  </si>
  <si>
    <t>20203192ACC</t>
  </si>
  <si>
    <t>20204044ACC</t>
  </si>
  <si>
    <t>20204063ACC</t>
  </si>
  <si>
    <t>20204973ACC</t>
  </si>
  <si>
    <t>20205349ACC</t>
  </si>
  <si>
    <t>20206375ACC</t>
  </si>
  <si>
    <t>20206864ACC</t>
  </si>
  <si>
    <t>20208160ACC</t>
  </si>
  <si>
    <t>20202467ACC</t>
  </si>
  <si>
    <t>20202989ACC</t>
  </si>
  <si>
    <t>20204446ACC</t>
  </si>
  <si>
    <t>20208298ACC</t>
  </si>
  <si>
    <t>20208823ACC</t>
  </si>
  <si>
    <t>20201092ACC</t>
  </si>
  <si>
    <t>20201479ACC</t>
  </si>
  <si>
    <t>20201690ACC</t>
  </si>
  <si>
    <t>20204276ACC</t>
  </si>
  <si>
    <t>20206648ACC</t>
  </si>
  <si>
    <t>20206982ACC</t>
  </si>
  <si>
    <t>20207417ACC</t>
  </si>
  <si>
    <t>20208419ACC</t>
  </si>
  <si>
    <t>20202611ACC</t>
  </si>
  <si>
    <t>20203716ACC</t>
  </si>
  <si>
    <t>20204997ACC</t>
  </si>
  <si>
    <t>20206386ACC</t>
  </si>
  <si>
    <t>20207272ACC</t>
  </si>
  <si>
    <t>20207587ACC</t>
  </si>
  <si>
    <t>20207962ACC</t>
  </si>
  <si>
    <t>20202485ACC</t>
  </si>
  <si>
    <t>20202559ACC</t>
  </si>
  <si>
    <t>20203421ACC</t>
  </si>
  <si>
    <t>20203986ACC</t>
  </si>
  <si>
    <t>20204612ACC</t>
  </si>
  <si>
    <t>20209151ACC</t>
  </si>
  <si>
    <t>20201327ACC</t>
  </si>
  <si>
    <t>20201805ACC</t>
  </si>
  <si>
    <t>20202119ACC</t>
  </si>
  <si>
    <t>20202177ACC</t>
  </si>
  <si>
    <t>20202667ACC</t>
  </si>
  <si>
    <t>20203841ACC</t>
  </si>
  <si>
    <t>20206816ACC</t>
  </si>
  <si>
    <t>20206920ACC</t>
  </si>
  <si>
    <t>20209177ACC</t>
  </si>
  <si>
    <t>20209351ACC</t>
  </si>
  <si>
    <t>20203440INS</t>
  </si>
  <si>
    <t>20206694INS</t>
  </si>
  <si>
    <t>20206491INS</t>
  </si>
  <si>
    <t>20208501INS</t>
  </si>
  <si>
    <t>20201822INS</t>
  </si>
  <si>
    <t>20202667INS</t>
  </si>
  <si>
    <t>20205593INS</t>
  </si>
  <si>
    <t>20207571INS</t>
  </si>
  <si>
    <t>20208467INS</t>
  </si>
  <si>
    <t>20209551INS</t>
  </si>
  <si>
    <t>20201332INS</t>
  </si>
  <si>
    <t>20202281INS</t>
  </si>
  <si>
    <t>20204262INS</t>
  </si>
  <si>
    <t>20203575INS</t>
  </si>
  <si>
    <t>20205855INS</t>
  </si>
  <si>
    <t>20206057INS</t>
  </si>
  <si>
    <t>20208226INS</t>
  </si>
  <si>
    <t>20205767INS</t>
  </si>
  <si>
    <t>20207078INS</t>
  </si>
  <si>
    <t>20207947INS</t>
  </si>
  <si>
    <t>20202722INS</t>
  </si>
  <si>
    <t>20207960INS</t>
  </si>
  <si>
    <t>20202258INS</t>
  </si>
  <si>
    <t>20204446INS</t>
  </si>
  <si>
    <t>20201524INS</t>
  </si>
  <si>
    <t>20203023INS</t>
  </si>
  <si>
    <t>20206373INS</t>
  </si>
  <si>
    <t>20207372INS</t>
  </si>
  <si>
    <t>20208949INS</t>
  </si>
  <si>
    <t>20203132INS</t>
  </si>
  <si>
    <t>20209147INS</t>
  </si>
  <si>
    <t>20201992INS</t>
  </si>
  <si>
    <t>20205375INS</t>
  </si>
  <si>
    <t>20206113INS</t>
  </si>
  <si>
    <t>20202521INS</t>
  </si>
  <si>
    <t>20205223INS</t>
  </si>
  <si>
    <t>20205618INS</t>
  </si>
  <si>
    <t>20207426INS</t>
  </si>
  <si>
    <t>20207811INS</t>
  </si>
  <si>
    <t>20204114INS</t>
  </si>
  <si>
    <t>20204921INS</t>
  </si>
  <si>
    <t>20203241FIN</t>
  </si>
  <si>
    <t>20209299FIN</t>
  </si>
  <si>
    <t>20202313FIN</t>
  </si>
  <si>
    <t>20205387FIN</t>
  </si>
  <si>
    <t>20207725FIN</t>
  </si>
  <si>
    <t>20209491FIN</t>
  </si>
  <si>
    <t>20205952FIN</t>
  </si>
  <si>
    <t>20206239FIN</t>
  </si>
  <si>
    <t>20207824FIN</t>
  </si>
  <si>
    <t>20202245FIN</t>
  </si>
  <si>
    <t>20206864FIN</t>
  </si>
  <si>
    <t>20205350FIN</t>
  </si>
  <si>
    <t>20208916FIN</t>
  </si>
  <si>
    <t>20203762FIN</t>
  </si>
  <si>
    <t>20206965FIN</t>
  </si>
  <si>
    <t>20202246FIN</t>
  </si>
  <si>
    <t>20205560FIN</t>
  </si>
  <si>
    <t>20206690FIN</t>
  </si>
  <si>
    <t>20201485FIN</t>
  </si>
  <si>
    <t>20202187FIN</t>
  </si>
  <si>
    <t>20206320FIN</t>
  </si>
  <si>
    <t>20207636FIN</t>
  </si>
  <si>
    <t>20208934FIN</t>
  </si>
  <si>
    <t>20202943FIN</t>
  </si>
  <si>
    <t>20207980FIN</t>
  </si>
  <si>
    <t>20208853FIN</t>
  </si>
  <si>
    <t>20207800FIN</t>
  </si>
  <si>
    <t>20208053FIN</t>
  </si>
  <si>
    <t>20208098FIN</t>
  </si>
  <si>
    <t>20203476FIN</t>
  </si>
  <si>
    <t>20206329FIN</t>
  </si>
  <si>
    <t>20206678FIN</t>
  </si>
  <si>
    <t>20209967FIN</t>
  </si>
  <si>
    <t>20202848FIN</t>
  </si>
  <si>
    <t>20208980FIN</t>
  </si>
  <si>
    <t>20205305FIN</t>
  </si>
  <si>
    <t>20207887FIN</t>
  </si>
  <si>
    <t>20208263FIN</t>
  </si>
  <si>
    <t>20203568FIN</t>
  </si>
  <si>
    <t>20206607FIN</t>
  </si>
  <si>
    <t>20202175FIN</t>
  </si>
  <si>
    <t>20203618FENG</t>
  </si>
  <si>
    <t>20204974FENG</t>
  </si>
  <si>
    <t>20207771FENG</t>
  </si>
  <si>
    <t>20208396FENG</t>
  </si>
  <si>
    <t>20209833FENG</t>
  </si>
  <si>
    <t>20203836FENG</t>
  </si>
  <si>
    <t>20208056FENG</t>
  </si>
  <si>
    <t>20208359FENG</t>
  </si>
  <si>
    <t>20209106FENG</t>
  </si>
  <si>
    <t>20209339FENG</t>
  </si>
  <si>
    <t>20202142FENG</t>
  </si>
  <si>
    <t>20205173FENG</t>
  </si>
  <si>
    <t>20206873FENG</t>
  </si>
  <si>
    <t>20209166FENG</t>
  </si>
  <si>
    <t>20209684FENG</t>
  </si>
  <si>
    <t>20203885FENG</t>
  </si>
  <si>
    <t>20204556FENG</t>
  </si>
  <si>
    <t>20207904FENG</t>
  </si>
  <si>
    <t>20202977FENG</t>
  </si>
  <si>
    <t>20204318FENG</t>
  </si>
  <si>
    <t>20205013FENG</t>
  </si>
  <si>
    <t>20205906FENG</t>
  </si>
  <si>
    <t>20207459FENG</t>
  </si>
  <si>
    <t>20209257FENG</t>
  </si>
  <si>
    <t>20203852FENG</t>
  </si>
  <si>
    <t>20204994FENG</t>
  </si>
  <si>
    <t>20207677FENG</t>
  </si>
  <si>
    <t>20207993FENG</t>
  </si>
  <si>
    <t>20208510FENG</t>
  </si>
  <si>
    <t>20205843FENG</t>
  </si>
  <si>
    <t>20206548FENG</t>
  </si>
  <si>
    <t>20207542FENG</t>
  </si>
  <si>
    <t>20209529FENG</t>
  </si>
  <si>
    <t>20209809FENG</t>
  </si>
  <si>
    <t>20201604FENG</t>
  </si>
  <si>
    <t>20205060FENG</t>
  </si>
  <si>
    <t>20209175FENG</t>
  </si>
  <si>
    <t>20201407FENG</t>
  </si>
  <si>
    <t>20202286FENG</t>
  </si>
  <si>
    <t>20206940FENG</t>
  </si>
  <si>
    <t>20208336FENG</t>
  </si>
  <si>
    <t>20208935FENG</t>
  </si>
  <si>
    <t>20208944FENG</t>
  </si>
  <si>
    <t>20202351FENG</t>
  </si>
  <si>
    <t>20206072FENG</t>
  </si>
  <si>
    <t>20207598FENG</t>
  </si>
  <si>
    <t>20207646FENG</t>
  </si>
  <si>
    <t>20208008FENG</t>
  </si>
  <si>
    <t>20209132FENG</t>
  </si>
  <si>
    <t>20209453FENG</t>
  </si>
  <si>
    <t>20203233FENG</t>
  </si>
  <si>
    <t>20204524FENG</t>
  </si>
  <si>
    <t>20205212FENG</t>
  </si>
  <si>
    <t>20205533FENG</t>
  </si>
  <si>
    <t>20206168FENG</t>
  </si>
  <si>
    <t>20207787FENG</t>
  </si>
  <si>
    <t>20208276FENG</t>
  </si>
  <si>
    <t>20209548FENG</t>
  </si>
  <si>
    <t>20203211FENG</t>
  </si>
  <si>
    <t>20203950FENG</t>
  </si>
  <si>
    <t>20209524FENG</t>
  </si>
  <si>
    <t>20202329FENG</t>
  </si>
  <si>
    <t>20206947FENG</t>
  </si>
  <si>
    <t>20207248FENG</t>
  </si>
  <si>
    <t>20203515FENG</t>
  </si>
  <si>
    <t>20203543FENG</t>
  </si>
  <si>
    <t>20202035FENG</t>
  </si>
  <si>
    <t>20205227FENG</t>
  </si>
  <si>
    <t>20206442FENG</t>
  </si>
  <si>
    <t>20208432FENG</t>
  </si>
  <si>
    <t>20208817FENG</t>
  </si>
  <si>
    <t>20202510FENG</t>
  </si>
  <si>
    <t>20203773FENG</t>
  </si>
  <si>
    <t>20206301FENG</t>
  </si>
  <si>
    <t>20207996FENG</t>
  </si>
  <si>
    <t>20201349FENG</t>
  </si>
  <si>
    <t>20204245FENG</t>
  </si>
  <si>
    <t>20207593FENG</t>
  </si>
  <si>
    <t>20202736FENG</t>
  </si>
  <si>
    <t>20205952FENG</t>
  </si>
  <si>
    <t>20209072FENG</t>
  </si>
  <si>
    <t>20202488FENG</t>
  </si>
  <si>
    <t>20204287FENG</t>
  </si>
  <si>
    <t>20207058FENG</t>
  </si>
  <si>
    <t>20207140FENG</t>
  </si>
  <si>
    <t>20209193FENG</t>
  </si>
  <si>
    <t>20209562FENG</t>
  </si>
  <si>
    <t>20209839FENG</t>
  </si>
  <si>
    <t>20209923FENG</t>
  </si>
  <si>
    <t>20203204FENG</t>
  </si>
  <si>
    <t>20203531FENG</t>
  </si>
  <si>
    <t>20205710FENG</t>
  </si>
  <si>
    <t>20208072FENG</t>
  </si>
  <si>
    <t>20209637FENG</t>
  </si>
  <si>
    <t>20209908FENG</t>
  </si>
  <si>
    <t>20206849MIS</t>
  </si>
  <si>
    <t>20208953MIS</t>
  </si>
  <si>
    <t>20203085MIS</t>
  </si>
  <si>
    <t>20208562MIS</t>
  </si>
  <si>
    <t>20201283MIS</t>
  </si>
  <si>
    <t>20207568MIS</t>
  </si>
  <si>
    <t>20203738MIS</t>
  </si>
  <si>
    <t>20207710MIS</t>
  </si>
  <si>
    <t>20208866MIS</t>
  </si>
  <si>
    <t>20203150MIS</t>
  </si>
  <si>
    <t>20203367MIS</t>
  </si>
  <si>
    <t>20205464MIS</t>
  </si>
  <si>
    <t>20206532MIS</t>
  </si>
  <si>
    <t>20208749MIS</t>
  </si>
  <si>
    <t>20205513MIS</t>
  </si>
  <si>
    <t>20207437MIS</t>
  </si>
  <si>
    <t>20203475MIS</t>
  </si>
  <si>
    <t>20206222MIS</t>
  </si>
  <si>
    <t>20206446MIS</t>
  </si>
  <si>
    <t>20209874MIS</t>
  </si>
  <si>
    <t>20203223MIS</t>
  </si>
  <si>
    <t>20209609MIS</t>
  </si>
  <si>
    <t>20201384MIS</t>
  </si>
  <si>
    <t>20206877MIS</t>
  </si>
  <si>
    <t>20208305MIS</t>
  </si>
  <si>
    <t>20201500MIS</t>
  </si>
  <si>
    <t>20202286MIS</t>
  </si>
  <si>
    <t>20208962MIS</t>
  </si>
  <si>
    <t>20208412MIS</t>
  </si>
  <si>
    <t>20209306MIS</t>
  </si>
  <si>
    <t>20209769MIS</t>
  </si>
  <si>
    <t>20202215MIS</t>
  </si>
  <si>
    <t>20205880MIS</t>
  </si>
  <si>
    <t>20201305MIS</t>
  </si>
  <si>
    <t>20204360MIS</t>
  </si>
  <si>
    <t>20205047MIS</t>
  </si>
  <si>
    <t>20205629MIS</t>
  </si>
  <si>
    <t>20206236MIS</t>
  </si>
  <si>
    <t>20207459MIS</t>
  </si>
  <si>
    <t>20207648MIS</t>
  </si>
  <si>
    <t>20207873MIS</t>
  </si>
  <si>
    <t>20209644MIS</t>
  </si>
  <si>
    <t>20209612MIS</t>
  </si>
  <si>
    <t>20205494MIS</t>
  </si>
  <si>
    <t>20208724MIS</t>
  </si>
  <si>
    <t>20209599MIS</t>
  </si>
  <si>
    <t>20202673MIS</t>
  </si>
  <si>
    <t>20204555MIS</t>
  </si>
  <si>
    <t>20205952MIS</t>
  </si>
  <si>
    <t>20209803MIS</t>
  </si>
  <si>
    <t>20209838MIS</t>
  </si>
  <si>
    <t>20202669MRK</t>
  </si>
  <si>
    <t>20202705MRK</t>
  </si>
  <si>
    <t>20203361MRK</t>
  </si>
  <si>
    <t>20204022MRK</t>
  </si>
  <si>
    <t>20205517MRK</t>
  </si>
  <si>
    <t>20206991MRK</t>
  </si>
  <si>
    <t>20207467MRK</t>
  </si>
  <si>
    <t>20209183MRK</t>
  </si>
  <si>
    <t>20201024MRK</t>
  </si>
  <si>
    <t>20201345MRK</t>
  </si>
  <si>
    <t>20203155MRK</t>
  </si>
  <si>
    <t>20203761MRK</t>
  </si>
  <si>
    <t>20205399MRK</t>
  </si>
  <si>
    <t>20206625MRK</t>
  </si>
  <si>
    <t>20206944MRK</t>
  </si>
  <si>
    <t>20208851MRK</t>
  </si>
  <si>
    <t>20202080MRK</t>
  </si>
  <si>
    <t>20203924MRK</t>
  </si>
  <si>
    <t>20205440MRK</t>
  </si>
  <si>
    <t>20205682MRK</t>
  </si>
  <si>
    <t>20205699MRK</t>
  </si>
  <si>
    <t>20201876MRK</t>
  </si>
  <si>
    <t>20202934MRK</t>
  </si>
  <si>
    <t>20206608MRK</t>
  </si>
  <si>
    <t>20201115MRK</t>
  </si>
  <si>
    <t>20203995MRK</t>
  </si>
  <si>
    <t>20204214MRK</t>
  </si>
  <si>
    <t>20204880MRK</t>
  </si>
  <si>
    <t>20205822MRK</t>
  </si>
  <si>
    <t>20203263MRK</t>
  </si>
  <si>
    <t>20203324MRK</t>
  </si>
  <si>
    <t>20203359MRK</t>
  </si>
  <si>
    <t>20205377MRK</t>
  </si>
  <si>
    <t>20206843MRK</t>
  </si>
  <si>
    <t>20207071MRK</t>
  </si>
  <si>
    <t>20207334MRK</t>
  </si>
  <si>
    <t>20207567MRK</t>
  </si>
  <si>
    <t>20201557MRK</t>
  </si>
  <si>
    <t>20203197MRK</t>
  </si>
  <si>
    <t>20204279MRK</t>
  </si>
  <si>
    <t>20205694MRK</t>
  </si>
  <si>
    <t>20207980MRK</t>
  </si>
  <si>
    <t>20201866MRK</t>
  </si>
  <si>
    <t>20202568MRK</t>
  </si>
  <si>
    <t>20203633MRK</t>
  </si>
  <si>
    <t>20203906MRK</t>
  </si>
  <si>
    <t>20206690MRK</t>
  </si>
  <si>
    <t>20207231MRK</t>
  </si>
  <si>
    <t>20208831MRK</t>
  </si>
  <si>
    <t>20209485MRK</t>
  </si>
  <si>
    <t>20209918MRK</t>
  </si>
  <si>
    <t>20202073MRK</t>
  </si>
  <si>
    <t>20203095MRK</t>
  </si>
  <si>
    <t>20204668MRK</t>
  </si>
  <si>
    <t>20205961MRK</t>
  </si>
  <si>
    <t>20208301MRK</t>
  </si>
  <si>
    <t>20208330MRK</t>
  </si>
  <si>
    <t>20208338MRK</t>
  </si>
  <si>
    <t>20209809MRK</t>
  </si>
  <si>
    <t>20202059MRK</t>
  </si>
  <si>
    <t>20203568MRK</t>
  </si>
  <si>
    <t>20204150MRK</t>
  </si>
  <si>
    <t>20206986MRK</t>
  </si>
  <si>
    <t>20207559MRK</t>
  </si>
  <si>
    <t>20209084MRK</t>
  </si>
  <si>
    <t>20207123MRK</t>
  </si>
  <si>
    <t>20209022MRK</t>
  </si>
  <si>
    <t>20209238MRK</t>
  </si>
  <si>
    <t>20201797MRK</t>
  </si>
  <si>
    <t>20202262MRK</t>
  </si>
  <si>
    <t>20203676MRK</t>
  </si>
  <si>
    <t>20204004MRK</t>
  </si>
  <si>
    <t>20203299MRK</t>
  </si>
  <si>
    <t>20204269MRK</t>
  </si>
  <si>
    <t>20206900MRK</t>
  </si>
  <si>
    <t>20207412MRK</t>
  </si>
  <si>
    <t>20203238MRK</t>
  </si>
  <si>
    <t>20204303MRK</t>
  </si>
  <si>
    <t>20206369MRK</t>
  </si>
  <si>
    <t>20207163MRK</t>
  </si>
  <si>
    <t>20207406MRK</t>
  </si>
  <si>
    <t>20208366MRK</t>
  </si>
  <si>
    <t>20203154MRK</t>
  </si>
  <si>
    <t>20204307MRK</t>
  </si>
  <si>
    <t>20206603MRK</t>
  </si>
  <si>
    <t>20209960MRK</t>
  </si>
  <si>
    <t>20201805MRK</t>
  </si>
  <si>
    <t>20205727MRK</t>
  </si>
  <si>
    <t>20205838MRK</t>
  </si>
  <si>
    <t>20206643MRK</t>
  </si>
  <si>
    <t>20208518MRK</t>
  </si>
  <si>
    <t>20201579MRK</t>
  </si>
  <si>
    <t>20202449MRK</t>
  </si>
  <si>
    <t>20203555MRK</t>
  </si>
  <si>
    <t>20204533MRK</t>
  </si>
  <si>
    <t>20205613MRK</t>
  </si>
  <si>
    <t>20208227MRK</t>
  </si>
  <si>
    <t>20201199MRK</t>
  </si>
  <si>
    <t>20201378MRK</t>
  </si>
  <si>
    <t>20202263MRK</t>
  </si>
  <si>
    <t>20202482MRK</t>
  </si>
  <si>
    <t>20207493MRK</t>
  </si>
  <si>
    <t>20209153MRK</t>
  </si>
  <si>
    <t>20205502MRK</t>
  </si>
  <si>
    <t>20207377MRK</t>
  </si>
  <si>
    <t>20205024MRK</t>
  </si>
  <si>
    <t>20208911MRK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</si>
</sst>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.00_ "/>
    <numFmt numFmtId="177" formatCode="0.000_ "/>
  </numFmts>
  <fonts count="27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333333"/>
      <name val="宋体"/>
      <charset val="134"/>
    </font>
    <font>
      <sz val="18"/>
      <color theme="1"/>
      <name val="隶书"/>
      <charset val="134"/>
    </font>
    <font>
      <sz val="16"/>
      <color theme="1"/>
      <name val="隶书"/>
      <charset val="134"/>
    </font>
    <font>
      <b/>
      <sz val="11"/>
      <color theme="1"/>
      <name val="宋体"/>
      <charset val="134"/>
      <scheme val="minor"/>
    </font>
    <font>
      <sz val="20"/>
      <color theme="1"/>
      <name val="隶书"/>
      <charset val="134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8" fillId="3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4" borderId="13" applyNumberFormat="0" applyFont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9" fillId="7" borderId="16" applyNumberFormat="0" applyAlignment="0" applyProtection="0">
      <alignment vertical="center"/>
    </xf>
    <xf numFmtId="0" fontId="13" fillId="7" borderId="11" applyNumberFormat="0" applyAlignment="0" applyProtection="0">
      <alignment vertical="center"/>
    </xf>
    <xf numFmtId="0" fontId="15" fillId="9" borderId="15" applyNumberFormat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vertical="center"/>
    </xf>
    <xf numFmtId="0" fontId="2" fillId="0" borderId="4" xfId="0" applyFont="1" applyFill="1" applyBorder="1" applyAlignment="1">
      <alignment vertical="center"/>
    </xf>
    <xf numFmtId="0" fontId="0" fillId="0" borderId="3" xfId="0" applyBorder="1">
      <alignment vertical="center"/>
    </xf>
    <xf numFmtId="0" fontId="3" fillId="0" borderId="4" xfId="0" applyFont="1" applyBorder="1">
      <alignment vertical="center"/>
    </xf>
    <xf numFmtId="0" fontId="0" fillId="0" borderId="4" xfId="0" applyBorder="1">
      <alignment vertical="center"/>
    </xf>
    <xf numFmtId="0" fontId="2" fillId="0" borderId="5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177" fontId="0" fillId="0" borderId="0" xfId="0" applyNumberFormat="1">
      <alignment vertical="center"/>
    </xf>
    <xf numFmtId="0" fontId="4" fillId="0" borderId="0" xfId="0" applyFont="1" applyAlignment="1">
      <alignment horizontal="center" vertical="center"/>
    </xf>
    <xf numFmtId="0" fontId="0" fillId="2" borderId="1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3" xfId="0" applyFill="1" applyBorder="1">
      <alignment vertical="center"/>
    </xf>
    <xf numFmtId="176" fontId="0" fillId="0" borderId="8" xfId="0" applyNumberFormat="1" applyBorder="1">
      <alignment vertical="center"/>
    </xf>
    <xf numFmtId="0" fontId="0" fillId="0" borderId="8" xfId="0" applyNumberFormat="1" applyBorder="1">
      <alignment vertical="center"/>
    </xf>
    <xf numFmtId="0" fontId="0" fillId="2" borderId="5" xfId="0" applyFill="1" applyBorder="1">
      <alignment vertical="center"/>
    </xf>
    <xf numFmtId="0" fontId="0" fillId="0" borderId="9" xfId="0" applyNumberFormat="1" applyBorder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5" xfId="0" applyBorder="1">
      <alignment vertical="center"/>
    </xf>
    <xf numFmtId="0" fontId="0" fillId="2" borderId="2" xfId="0" applyFill="1" applyBorder="1">
      <alignment vertical="center"/>
    </xf>
    <xf numFmtId="0" fontId="7" fillId="0" borderId="0" xfId="0" applyFont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2" fillId="2" borderId="3" xfId="0" applyFont="1" applyFill="1" applyBorder="1">
      <alignment vertical="center"/>
    </xf>
    <xf numFmtId="0" fontId="2" fillId="0" borderId="4" xfId="0" applyFont="1" applyBorder="1">
      <alignment vertical="center"/>
    </xf>
    <xf numFmtId="0" fontId="2" fillId="2" borderId="5" xfId="0" applyFont="1" applyFill="1" applyBorder="1">
      <alignment vertical="center"/>
    </xf>
    <xf numFmtId="0" fontId="2" fillId="0" borderId="6" xfId="0" applyFont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numFmt numFmtId="177" formatCode="0.000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pivotCacheDefinition" Target="pivotCache/pivotCacheDefinition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/>
              <a:t>分段成绩人数统计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成绩分析1!$C$5:$C$9</c:f>
              <c:strCache>
                <c:ptCount val="5"/>
                <c:pt idx="0">
                  <c:v>60分以下</c:v>
                </c:pt>
                <c:pt idx="1">
                  <c:v>60-70分（含 60分）</c:v>
                </c:pt>
                <c:pt idx="2">
                  <c:v>70-80分（含 70分）</c:v>
                </c:pt>
                <c:pt idx="3">
                  <c:v>80-90分（含 80分）</c:v>
                </c:pt>
                <c:pt idx="4">
                  <c:v>90分以上（含 90分）</c:v>
                </c:pt>
              </c:strCache>
            </c:strRef>
          </c:cat>
          <c:val>
            <c:numRef>
              <c:f>成绩分析1!$D$5:$D$9</c:f>
              <c:numCache>
                <c:formatCode>General</c:formatCode>
                <c:ptCount val="5"/>
                <c:pt idx="0">
                  <c:v>26</c:v>
                </c:pt>
                <c:pt idx="1">
                  <c:v>521</c:v>
                </c:pt>
                <c:pt idx="2">
                  <c:v>1121</c:v>
                </c:pt>
                <c:pt idx="3">
                  <c:v>310</c:v>
                </c:pt>
                <c:pt idx="4">
                  <c:v>16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2160360"/>
        <c:axId val="96390026"/>
      </c:lineChart>
      <c:catAx>
        <c:axId val="3216036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分段标准</a:t>
                </a:r>
              </a:p>
            </c:rich>
          </c:tx>
          <c:layout>
            <c:manualLayout>
              <c:xMode val="edge"/>
              <c:yMode val="edge"/>
              <c:x val="0.480080678814856"/>
              <c:y val="0.877156177156177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390026"/>
        <c:crosses val="autoZero"/>
        <c:auto val="1"/>
        <c:lblAlgn val="ctr"/>
        <c:lblOffset val="100"/>
        <c:noMultiLvlLbl val="0"/>
      </c:catAx>
      <c:valAx>
        <c:axId val="9639002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人数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160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109855</xdr:colOff>
      <xdr:row>3</xdr:row>
      <xdr:rowOff>15875</xdr:rowOff>
    </xdr:from>
    <xdr:to>
      <xdr:col>11</xdr:col>
      <xdr:colOff>46990</xdr:colOff>
      <xdr:row>14</xdr:row>
      <xdr:rowOff>123825</xdr:rowOff>
    </xdr:to>
    <xdr:graphicFrame>
      <xdr:nvGraphicFramePr>
        <xdr:cNvPr id="3" name="图表 2"/>
        <xdr:cNvGraphicFramePr/>
      </xdr:nvGraphicFramePr>
      <xdr:xfrm>
        <a:off x="4216400" y="82550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219.5000115741" refreshedBy="小黑老师" recordCount="1994">
  <cacheSource type="worksheet">
    <worksheetSource ref="A1:N1995" sheet="成绩"/>
  </cacheSource>
  <cacheFields count="15">
    <cacheField name="学号" numFmtId="0">
      <sharedItems containsSemiMixedTypes="0" containsString="0" containsNumber="1" containsInteger="1" minValue="20171008" maxValue="20209967" count="1940">
        <n v="20171115"/>
        <n v="20175371"/>
        <n v="20178649"/>
        <n v="20172824"/>
        <n v="20176246"/>
        <n v="20176476"/>
        <n v="20176729"/>
        <n v="20177508"/>
        <n v="20171322"/>
        <n v="20172196"/>
        <n v="20173652"/>
        <n v="20178073"/>
        <n v="20171095"/>
        <n v="20179198"/>
        <n v="20173127"/>
        <n v="20173373"/>
        <n v="20174013"/>
        <n v="20176979"/>
        <n v="20172419"/>
        <n v="20175490"/>
        <n v="20177249"/>
        <n v="20171151"/>
        <n v="20173237"/>
        <n v="20175046"/>
        <n v="20177617"/>
        <n v="20177900"/>
        <n v="20179012"/>
        <n v="20175915"/>
        <n v="20176253"/>
        <n v="20177690"/>
        <n v="20179925"/>
        <n v="20171362"/>
        <n v="20171809"/>
        <n v="20176116"/>
        <n v="20176924"/>
        <n v="20172560"/>
        <n v="20179609"/>
        <n v="20172920"/>
        <n v="20175691"/>
        <n v="20178556"/>
        <n v="20175938"/>
        <n v="20176957"/>
        <n v="20179569"/>
        <n v="20172032"/>
        <n v="20174146"/>
        <n v="20176967"/>
        <n v="20171520"/>
        <n v="20173684"/>
        <n v="20176220"/>
        <n v="20177777"/>
        <n v="20177984"/>
        <n v="20171847"/>
        <n v="20172246"/>
        <n v="20174956"/>
        <n v="20175870"/>
        <n v="20176685"/>
        <n v="20179336"/>
        <n v="20177262"/>
        <n v="20177427"/>
        <n v="20171241"/>
        <n v="20172202"/>
        <n v="20177213"/>
        <n v="20176231"/>
        <n v="20171778"/>
        <n v="20172074"/>
        <n v="20172965"/>
        <n v="20176652"/>
        <n v="20177363"/>
        <n v="20178880"/>
        <n v="20172516"/>
        <n v="20172852"/>
        <n v="20179178"/>
        <n v="20175784"/>
        <n v="20175619"/>
        <n v="20172045"/>
        <n v="20174850"/>
        <n v="20179347"/>
        <n v="20171249"/>
        <n v="20177960"/>
        <n v="20176883"/>
        <n v="20171242"/>
        <n v="20174583"/>
        <n v="20179877"/>
        <n v="20172314"/>
        <n v="20176439"/>
        <n v="20174894"/>
        <n v="20178028"/>
        <n v="20179981"/>
        <n v="20171828"/>
        <n v="20177185"/>
        <n v="20179580"/>
        <n v="20174944"/>
        <n v="20178691"/>
        <n v="20173385"/>
        <n v="20173456"/>
        <n v="20178910"/>
        <n v="20179622"/>
        <n v="20178547"/>
        <n v="20176174"/>
        <n v="20179222"/>
        <n v="20179274"/>
        <n v="20173213"/>
        <n v="20172884"/>
        <n v="20173071"/>
        <n v="20177239"/>
        <n v="20172923"/>
        <n v="20175626"/>
        <n v="20176782"/>
        <n v="20177866"/>
        <n v="20177914"/>
        <n v="20173614"/>
        <n v="20179825"/>
        <n v="20174098"/>
        <n v="20174862"/>
        <n v="20175445"/>
        <n v="20175632"/>
        <n v="20176388"/>
        <n v="20179338"/>
        <n v="20172501"/>
        <n v="20173798"/>
        <n v="20177721"/>
        <n v="20174589"/>
        <n v="20176307"/>
        <n v="20171642"/>
        <n v="20178875"/>
        <n v="20171763"/>
        <n v="20172392"/>
        <n v="20175118"/>
        <n v="20175313"/>
        <n v="20179786"/>
        <n v="20179819"/>
        <n v="20171027"/>
        <n v="20174461"/>
        <n v="20175201"/>
        <n v="20171008"/>
        <n v="20174634"/>
        <n v="20174908"/>
        <n v="20176736"/>
        <n v="20176426"/>
        <n v="20176504"/>
        <n v="20178196"/>
        <n v="20171765"/>
        <n v="20173794"/>
        <n v="20179511"/>
        <n v="20175023"/>
        <n v="20172355"/>
        <n v="20172440"/>
        <n v="20173420"/>
        <n v="20173425"/>
        <n v="20174430"/>
        <n v="20172245"/>
        <n v="20178334"/>
        <n v="20173040"/>
        <n v="20171603"/>
        <n v="20174569"/>
        <n v="20174997"/>
        <n v="20173049"/>
        <n v="20176798"/>
        <n v="20177221"/>
        <n v="20174279"/>
        <n v="20175992"/>
        <n v="20179772"/>
        <n v="20176947"/>
        <n v="20175454"/>
        <n v="20178950"/>
        <n v="20176386"/>
        <n v="20175597"/>
        <n v="20171653"/>
        <n v="20173814"/>
        <n v="20177395"/>
        <n v="20178545"/>
        <n v="20177076"/>
        <n v="20173725"/>
        <n v="20179509"/>
        <n v="20172107"/>
        <n v="20172374"/>
        <n v="20173234"/>
        <n v="20173588"/>
        <n v="20175881"/>
        <n v="20176076"/>
        <n v="20177537"/>
        <n v="20171370"/>
        <n v="20171892"/>
        <n v="20175689"/>
        <n v="20175839"/>
        <n v="20177846"/>
        <n v="20171216"/>
        <n v="20173409"/>
        <n v="20178696"/>
        <n v="20179469"/>
        <n v="20171512"/>
        <n v="20172285"/>
        <n v="20171269"/>
        <n v="20173159"/>
        <n v="20176290"/>
        <n v="20176716"/>
        <n v="20179526"/>
        <n v="20174431"/>
        <n v="20171829"/>
        <n v="20176314"/>
        <n v="20179488"/>
        <n v="20174081"/>
        <n v="20174171"/>
        <n v="20174612"/>
        <n v="20176675"/>
        <n v="20178284"/>
        <n v="20178820"/>
        <n v="20178908"/>
        <n v="20176823"/>
        <n v="20179016"/>
        <n v="20173908"/>
        <n v="20173014"/>
        <n v="20177505"/>
        <n v="20178762"/>
        <n v="20178770"/>
        <n v="20171541"/>
        <n v="20173545"/>
        <n v="20176243"/>
        <n v="20175599"/>
        <n v="20172917"/>
        <n v="20172948"/>
        <n v="20173115"/>
        <n v="20173437"/>
        <n v="20176236"/>
        <n v="20172896"/>
        <n v="20171224"/>
        <n v="20173302"/>
        <n v="20178582"/>
        <n v="20178106"/>
        <n v="20171207"/>
        <n v="20171324"/>
        <n v="20171920"/>
        <n v="20172550"/>
        <n v="20179834"/>
        <n v="20177790"/>
        <n v="20184817"/>
        <n v="20185485"/>
        <n v="20185534"/>
        <n v="20185649"/>
        <n v="20186549"/>
        <n v="20186854"/>
        <n v="20189308"/>
        <n v="20189813"/>
        <n v="20181690"/>
        <n v="20181810"/>
        <n v="20182396"/>
        <n v="20182534"/>
        <n v="20186042"/>
        <n v="20186595"/>
        <n v="20187050"/>
        <n v="20187982"/>
        <n v="20189640"/>
        <n v="20182064"/>
        <n v="20183008"/>
        <n v="20183099"/>
        <n v="20185851"/>
        <n v="20185987"/>
        <n v="20186396"/>
        <n v="20186419"/>
        <n v="20189943"/>
        <n v="20181773"/>
        <n v="20181825"/>
        <n v="20182090"/>
        <n v="20183599"/>
        <n v="20184383"/>
        <n v="20189743"/>
        <n v="20181211"/>
        <n v="20181374"/>
        <n v="20181815"/>
        <n v="20182211"/>
        <n v="20183459"/>
        <n v="20183693"/>
        <n v="20183733"/>
        <n v="20183904"/>
        <n v="20186660"/>
        <n v="20187080"/>
        <n v="20187425"/>
        <n v="20188308"/>
        <n v="20188737"/>
        <n v="20189280"/>
        <n v="20189809"/>
        <n v="20182062"/>
        <n v="20183323"/>
        <n v="20183335"/>
        <n v="20183487"/>
        <n v="20184918"/>
        <n v="20184961"/>
        <n v="20185403"/>
        <n v="20185692"/>
        <n v="20186696"/>
        <n v="20187202"/>
        <n v="20187465"/>
        <n v="20187541"/>
        <n v="20187796"/>
        <n v="20188087"/>
        <n v="20182014"/>
        <n v="20182609"/>
        <n v="20185030"/>
        <n v="20183122"/>
        <n v="20184091"/>
        <n v="20184133"/>
        <n v="20187802"/>
        <n v="20188252"/>
        <n v="20188593"/>
        <n v="20183586"/>
        <n v="20183944"/>
        <n v="20184332"/>
        <n v="20186104"/>
        <n v="20186566"/>
        <n v="20186767"/>
        <n v="20188297"/>
        <n v="20181411"/>
        <n v="20183287"/>
        <n v="20183862"/>
        <n v="20185491"/>
        <n v="20186718"/>
        <n v="20188243"/>
        <n v="20189010"/>
        <n v="20189962"/>
        <n v="20181399"/>
        <n v="20181615"/>
        <n v="20181844"/>
        <n v="20182548"/>
        <n v="20185159"/>
        <n v="20185215"/>
        <n v="20181152"/>
        <n v="20181669"/>
        <n v="20182113"/>
        <n v="20184950"/>
        <n v="20185926"/>
        <n v="20186885"/>
        <n v="20187901"/>
        <n v="20181454"/>
        <n v="20182303"/>
        <n v="20183720"/>
        <n v="20186967"/>
        <n v="20188671"/>
        <n v="20181488"/>
        <n v="20183501"/>
        <n v="20186750"/>
        <n v="20187887"/>
        <n v="20181033"/>
        <n v="20182295"/>
        <n v="20184044"/>
        <n v="20186928"/>
        <n v="20188163"/>
        <n v="20182719"/>
        <n v="20183406"/>
        <n v="20183626"/>
        <n v="20185264"/>
        <n v="20187963"/>
        <n v="20181202"/>
        <n v="20181204"/>
        <n v="20181344"/>
        <n v="20182627"/>
        <n v="20182930"/>
        <n v="20184655"/>
        <n v="20184765"/>
        <n v="20184973"/>
        <n v="20185214"/>
        <n v="20185316"/>
        <n v="20186494"/>
        <n v="20189875"/>
        <n v="20181155"/>
        <n v="20182219"/>
        <n v="20182920"/>
        <n v="20186601"/>
        <n v="20187071"/>
        <n v="20187107"/>
        <n v="20187311"/>
        <n v="20181483"/>
        <n v="20182811"/>
        <n v="20184219"/>
        <n v="20184407"/>
        <n v="20184540"/>
        <n v="20185005"/>
        <n v="20186752"/>
        <n v="20188031"/>
        <n v="20188968"/>
        <n v="20189254"/>
        <n v="20183828"/>
        <n v="20183855"/>
        <n v="20185157"/>
        <n v="20185818"/>
        <n v="20185841"/>
        <n v="20187192"/>
        <n v="20189157"/>
        <n v="20181928"/>
        <n v="20182968"/>
        <n v="20184097"/>
        <n v="20187069"/>
        <n v="20189677"/>
        <n v="20182787"/>
        <n v="20186480"/>
        <n v="20187437"/>
        <n v="20186516"/>
        <n v="20186725"/>
        <n v="20181011"/>
        <n v="20186888"/>
        <n v="20187826"/>
        <n v="20188246"/>
        <n v="20181843"/>
        <n v="20183520"/>
        <n v="20183734"/>
        <n v="20188453"/>
        <n v="20188577"/>
        <n v="20187880"/>
        <n v="20188089"/>
        <n v="20182724"/>
        <n v="20184606"/>
        <n v="20185184"/>
        <n v="20188464"/>
        <n v="20185144"/>
        <n v="20186542"/>
        <n v="20186705"/>
        <n v="20184275"/>
        <n v="20184386"/>
        <n v="20181186"/>
        <n v="20186506"/>
        <n v="20188298"/>
        <n v="20188662"/>
        <n v="20183078"/>
        <n v="20189199"/>
        <n v="20182224"/>
        <n v="20182824"/>
        <n v="20183250"/>
        <n v="20188677"/>
        <n v="20181793"/>
        <n v="20181802"/>
        <n v="20183267"/>
        <n v="20183535"/>
        <n v="20184372"/>
        <n v="20185418"/>
        <n v="20189345"/>
        <n v="20182956"/>
        <n v="20184176"/>
        <n v="20184266"/>
        <n v="20184617"/>
        <n v="20186547"/>
        <n v="20187533"/>
        <n v="20184874"/>
        <n v="20188215"/>
        <n v="20184508"/>
        <n v="20181221"/>
        <n v="20184424"/>
        <n v="20185051"/>
        <n v="20185849"/>
        <n v="20187696"/>
        <n v="20181060"/>
        <n v="20186189"/>
        <n v="20189064"/>
        <n v="20185657"/>
        <n v="20186422"/>
        <n v="20186164"/>
        <n v="20181663"/>
        <n v="20184614"/>
        <n v="20181536"/>
        <n v="20182033"/>
        <n v="20186501"/>
        <n v="20184709"/>
        <n v="20186793"/>
        <n v="20181320"/>
        <n v="20181819"/>
        <n v="20182083"/>
        <n v="20186621"/>
        <n v="20183040"/>
        <n v="20186580"/>
        <n v="20188051"/>
        <n v="20189946"/>
        <n v="20181330"/>
        <n v="20183496"/>
        <n v="20186492"/>
        <n v="20186968"/>
        <n v="20181509"/>
        <n v="20185200"/>
        <n v="20186049"/>
        <n v="20189662"/>
        <n v="20183410"/>
        <n v="20187707"/>
        <n v="20185699"/>
        <n v="20186179"/>
        <n v="20183659"/>
        <n v="20185441"/>
        <n v="20188673"/>
        <n v="20184679"/>
        <n v="20185352"/>
        <n v="20181165"/>
        <n v="20182185"/>
        <n v="20183375"/>
        <n v="20184115"/>
        <n v="20187925"/>
        <n v="20188715"/>
        <n v="20189281"/>
        <n v="20182806"/>
        <n v="20183880"/>
        <n v="20185638"/>
        <n v="20186498"/>
        <n v="20187952"/>
        <n v="20188437"/>
        <n v="20182424"/>
        <n v="20189104"/>
        <n v="20189139"/>
        <n v="20181503"/>
        <n v="20184190"/>
        <n v="20188182"/>
        <n v="20189161"/>
        <n v="20189736"/>
        <n v="20184885"/>
        <n v="20182753"/>
        <n v="20183069"/>
        <n v="20183112"/>
        <n v="20182268"/>
        <n v="20183028"/>
        <n v="20183017"/>
        <n v="20186183"/>
        <n v="20186559"/>
        <n v="20181364"/>
        <n v="20181889"/>
        <n v="20184350"/>
        <n v="20185041"/>
        <n v="20186305"/>
        <n v="20187177"/>
        <n v="20187390"/>
        <n v="20189165"/>
        <n v="20186063"/>
        <n v="20186251"/>
        <n v="20187642"/>
        <n v="20188035"/>
        <n v="20181657"/>
        <n v="20184562"/>
        <n v="20185734"/>
        <n v="20181710"/>
        <n v="20184591"/>
        <n v="20185028"/>
        <n v="20185122"/>
        <n v="20187957"/>
        <n v="20181171"/>
        <n v="20183755"/>
        <n v="20188239"/>
        <n v="20188994"/>
        <n v="20189082"/>
        <n v="20181735"/>
        <n v="20183006"/>
        <n v="20184215"/>
        <n v="20185207"/>
        <n v="20185752"/>
        <n v="20186403"/>
        <n v="20188620"/>
        <n v="20189868"/>
        <n v="20182032"/>
        <n v="20182825"/>
        <n v="20185269"/>
        <n v="20188716"/>
        <n v="20183292"/>
        <n v="20184016"/>
        <n v="20185204"/>
        <n v="20185530"/>
        <n v="20187270"/>
        <n v="20188624"/>
        <n v="20188838"/>
        <n v="20182875"/>
        <n v="20185190"/>
        <n v="20187748"/>
        <n v="20188695"/>
        <n v="20189876"/>
        <n v="20184390"/>
        <n v="20185415"/>
        <n v="20186915"/>
        <n v="20189136"/>
        <n v="20181385"/>
        <n v="20181414"/>
        <n v="20182820"/>
        <n v="20182899"/>
        <n v="20187899"/>
        <n v="20182730"/>
        <n v="20186786"/>
        <n v="20187181"/>
        <n v="20188362"/>
        <n v="20189494"/>
        <n v="20185910"/>
        <n v="20181442"/>
        <n v="20181549"/>
        <n v="20183735"/>
        <n v="20188250"/>
        <n v="20183174"/>
        <n v="20184123"/>
        <n v="20189519"/>
        <n v="20183832"/>
        <n v="20186616"/>
        <n v="20188251"/>
        <n v="20182163"/>
        <n v="20182325"/>
        <n v="20184001"/>
        <n v="20185071"/>
        <n v="20182386"/>
        <n v="20181859"/>
        <n v="20185885"/>
        <n v="20188216"/>
        <n v="20189782"/>
        <n v="20184218"/>
        <n v="20188340"/>
        <n v="20188408"/>
        <n v="20182692"/>
        <n v="20184755"/>
        <n v="20185749"/>
        <n v="20186426"/>
        <n v="20188639"/>
        <n v="20188920"/>
        <n v="20189924"/>
        <n v="20184337"/>
        <n v="20187485"/>
        <n v="20187908"/>
        <n v="20189483"/>
        <n v="20187604"/>
        <n v="20188259"/>
        <n v="20184268"/>
        <n v="20185284"/>
        <n v="20189957"/>
        <n v="20184519"/>
        <n v="20182498"/>
        <n v="20185587"/>
        <n v="20186282"/>
        <n v="20181078"/>
        <n v="20182088"/>
        <n v="20186497"/>
        <n v="20182651"/>
        <n v="20183243"/>
        <n v="20184492"/>
        <n v="20185038"/>
        <n v="20186159"/>
        <n v="20181501"/>
        <n v="20181987"/>
        <n v="20183392"/>
        <n v="20184933"/>
        <n v="20188641"/>
        <n v="20189090"/>
        <n v="20181747"/>
        <n v="20182039"/>
        <n v="20183180"/>
        <n v="20185253"/>
        <n v="20185354"/>
        <n v="20181143"/>
        <n v="20182230"/>
        <n v="20184567"/>
        <n v="20184619"/>
        <n v="20184759"/>
        <n v="20187537"/>
        <n v="20187861"/>
        <n v="20188796"/>
        <n v="20189873"/>
        <n v="20182576"/>
        <n v="20182689"/>
        <n v="20183195"/>
        <n v="20184015"/>
        <n v="20186224"/>
        <n v="20187063"/>
        <n v="20187550"/>
        <n v="20189901"/>
        <n v="20183529"/>
        <n v="20185682"/>
        <n v="20186876"/>
        <n v="20185282"/>
        <n v="20185606"/>
        <n v="20185636"/>
        <n v="20186354"/>
        <n v="20187985"/>
        <n v="20188110"/>
        <n v="20183513"/>
        <n v="20184878"/>
        <n v="20187128"/>
        <n v="20189518"/>
        <n v="20181317"/>
        <n v="20181489"/>
        <n v="20182940"/>
        <n v="20183199"/>
        <n v="20183668"/>
        <n v="20184167"/>
        <n v="20184404"/>
        <n v="20184533"/>
        <n v="20184862"/>
        <n v="20186461"/>
        <n v="20181185"/>
        <n v="20182394"/>
        <n v="20182540"/>
        <n v="20182953"/>
        <n v="20187113"/>
        <n v="20189425"/>
        <n v="20189840"/>
        <n v="20183355"/>
        <n v="20184314"/>
        <n v="20185263"/>
        <n v="20188192"/>
        <n v="20189530"/>
        <n v="20181611"/>
        <n v="20183477"/>
        <n v="20184538"/>
        <n v="20185923"/>
        <n v="20188655"/>
        <n v="20186438"/>
        <n v="20187022"/>
        <n v="20189084"/>
        <n v="20184448"/>
        <n v="20185395"/>
        <n v="20188902"/>
        <n v="20181403"/>
        <n v="20184871"/>
        <n v="20186151"/>
        <n v="20186872"/>
        <n v="20188719"/>
        <n v="20189607"/>
        <n v="20182401"/>
        <n v="20183246"/>
        <n v="20185705"/>
        <n v="20186706"/>
        <n v="20188699"/>
        <n v="20181074"/>
        <n v="20183065"/>
        <n v="20184295"/>
        <n v="20184750"/>
        <n v="20185875"/>
        <n v="20188291"/>
        <n v="20189297"/>
        <n v="20182964"/>
        <n v="20184476"/>
        <n v="20187507"/>
        <n v="20189348"/>
        <n v="20183433"/>
        <n v="20186822"/>
        <n v="20187327"/>
        <n v="20191580"/>
        <n v="20192417"/>
        <n v="20192467"/>
        <n v="20192511"/>
        <n v="20193821"/>
        <n v="20194466"/>
        <n v="20194496"/>
        <n v="20194655"/>
        <n v="20195589"/>
        <n v="20196016"/>
        <n v="20196776"/>
        <n v="20198408"/>
        <n v="20199420"/>
        <n v="20191122"/>
        <n v="20191852"/>
        <n v="20192262"/>
        <n v="20192830"/>
        <n v="20193036"/>
        <n v="20193742"/>
        <n v="20193899"/>
        <n v="20194049"/>
        <n v="20194202"/>
        <n v="20195248"/>
        <n v="20195628"/>
        <n v="20195664"/>
        <n v="20196696"/>
        <n v="20197091"/>
        <n v="20198069"/>
        <n v="20198262"/>
        <n v="20198321"/>
        <n v="20198768"/>
        <n v="20198998"/>
        <n v="20199641"/>
        <n v="20193215"/>
        <n v="20193258"/>
        <n v="20193870"/>
        <n v="20195197"/>
        <n v="20198392"/>
        <n v="20198561"/>
        <n v="20199108"/>
        <n v="20199152"/>
        <n v="20199249"/>
        <n v="20199360"/>
        <n v="20193898"/>
        <n v="20194620"/>
        <n v="20194976"/>
        <n v="20195524"/>
        <n v="20196898"/>
        <n v="20197521"/>
        <n v="20198518"/>
        <n v="20191137"/>
        <n v="20191705"/>
        <n v="20192187"/>
        <n v="20192507"/>
        <n v="20195864"/>
        <n v="20195873"/>
        <n v="20196399"/>
        <n v="20196440"/>
        <n v="20197492"/>
        <n v="20198343"/>
        <n v="20199687"/>
        <n v="20191977"/>
        <n v="20192603"/>
        <n v="20192998"/>
        <n v="20193582"/>
        <n v="20196351"/>
        <n v="20196680"/>
        <n v="20197442"/>
        <n v="20197728"/>
        <n v="20197843"/>
        <n v="20198825"/>
        <n v="20191143"/>
        <n v="20191349"/>
        <n v="20192049"/>
        <n v="20194441"/>
        <n v="20195312"/>
        <n v="20196284"/>
        <n v="20196416"/>
        <n v="20197786"/>
        <n v="20197942"/>
        <n v="20198102"/>
        <n v="20198981"/>
        <n v="20199206"/>
        <n v="20191346"/>
        <n v="20191378"/>
        <n v="20191778"/>
        <n v="20192987"/>
        <n v="20193733"/>
        <n v="20194403"/>
        <n v="20194752"/>
        <n v="20194783"/>
        <n v="20195077"/>
        <n v="20195681"/>
        <n v="20196954"/>
        <n v="20197280"/>
        <n v="20199421"/>
        <n v="20192296"/>
        <n v="20193288"/>
        <n v="20193641"/>
        <n v="20194588"/>
        <n v="20195342"/>
        <n v="20196008"/>
        <n v="20196161"/>
        <n v="20196918"/>
        <n v="20197778"/>
        <n v="20198053"/>
        <n v="20198460"/>
        <n v="20178664"/>
        <n v="20179500"/>
        <n v="20199879"/>
        <n v="20192034"/>
        <n v="20192347"/>
        <n v="20192694"/>
        <n v="20192809"/>
        <n v="20194233"/>
        <n v="20197910"/>
        <n v="20198417"/>
        <n v="20198868"/>
        <n v="20191266"/>
        <n v="20192199"/>
        <n v="20192632"/>
        <n v="20192646"/>
        <n v="20193205"/>
        <n v="20195205"/>
        <n v="20195352"/>
        <n v="20196157"/>
        <n v="20197199"/>
        <n v="20198465"/>
        <n v="20191120"/>
        <n v="20191768"/>
        <n v="20192110"/>
        <n v="20192982"/>
        <n v="20193228"/>
        <n v="20193662"/>
        <n v="20199964"/>
        <n v="20191067"/>
        <n v="20191234"/>
        <n v="20191568"/>
        <n v="20192473"/>
        <n v="20193678"/>
        <n v="20195010"/>
        <n v="20196099"/>
        <n v="20196251"/>
        <n v="20196465"/>
        <n v="20196610"/>
        <n v="20197426"/>
        <n v="20197983"/>
        <n v="20199636"/>
        <n v="20191369"/>
        <n v="20191935"/>
        <n v="20192527"/>
        <n v="20193835"/>
        <n v="20194860"/>
        <n v="20195264"/>
        <n v="20195357"/>
        <n v="20196254"/>
        <n v="20196707"/>
        <n v="20197020"/>
        <n v="20198235"/>
        <n v="20198305"/>
        <n v="20199119"/>
        <n v="20191395"/>
        <n v="20191591"/>
        <n v="20191953"/>
        <n v="20192348"/>
        <n v="20192439"/>
        <n v="20192641"/>
        <n v="20193760"/>
        <n v="20196380"/>
        <n v="20196546"/>
        <n v="20196630"/>
        <n v="20197564"/>
        <n v="20197708"/>
        <n v="20198288"/>
        <n v="20198361"/>
        <n v="20198569"/>
        <n v="20198824"/>
        <n v="20199151"/>
        <n v="20192418"/>
        <n v="20193234"/>
        <n v="20193401"/>
        <n v="20194032"/>
        <n v="20195316"/>
        <n v="20195330"/>
        <n v="20195508"/>
        <n v="20195784"/>
        <n v="20198791"/>
        <n v="20198864"/>
        <n v="20199155"/>
        <n v="20199663"/>
        <n v="20192586"/>
        <n v="20192600"/>
        <n v="20193049"/>
        <n v="20193263"/>
        <n v="20193434"/>
        <n v="20193539"/>
        <n v="20195173"/>
        <n v="20196600"/>
        <n v="20196886"/>
        <n v="20197685"/>
        <n v="20198410"/>
        <n v="20199279"/>
        <n v="20192847"/>
        <n v="20193429"/>
        <n v="20194002"/>
        <n v="20196230"/>
        <n v="20197306"/>
        <n v="20198626"/>
        <n v="20199143"/>
        <n v="20199865"/>
        <n v="20191071"/>
        <n v="20191379"/>
        <n v="20191646"/>
        <n v="20192045"/>
        <n v="20192261"/>
        <n v="20193250"/>
        <n v="20194004"/>
        <n v="20194465"/>
        <n v="20195080"/>
        <n v="20195482"/>
        <n v="20197859"/>
        <n v="20198578"/>
        <n v="20192250"/>
        <n v="20193724"/>
        <n v="20193745"/>
        <n v="20195971"/>
        <n v="20198075"/>
        <n v="20198351"/>
        <n v="20198373"/>
        <n v="20199020"/>
        <n v="20193528"/>
        <n v="20193920"/>
        <n v="20196300"/>
        <n v="20196987"/>
        <n v="20197741"/>
        <n v="20199366"/>
        <n v="20199596"/>
        <n v="20199670"/>
        <n v="20192260"/>
        <n v="20194445"/>
        <n v="20196370"/>
        <n v="20196634"/>
        <n v="20196825"/>
        <n v="20191944"/>
        <n v="20194568"/>
        <n v="20195166"/>
        <n v="20195475"/>
        <n v="20197497"/>
        <n v="20198168"/>
        <n v="20193261"/>
        <n v="20195767"/>
        <n v="20199013"/>
        <n v="20195290"/>
        <n v="20195874"/>
        <n v="20197514"/>
        <n v="20199903"/>
        <n v="20192787"/>
        <n v="20193066"/>
        <n v="20196532"/>
        <n v="20197279"/>
        <n v="20197501"/>
        <n v="20197720"/>
        <n v="20199240"/>
        <n v="20199552"/>
        <n v="20191132"/>
        <n v="20193332"/>
        <n v="20194772"/>
        <n v="20196887"/>
        <n v="20197064"/>
        <n v="20197099"/>
        <n v="20198903"/>
        <n v="20198988"/>
        <n v="20191013"/>
        <n v="20191496"/>
        <n v="20193042"/>
        <n v="20195294"/>
        <n v="20197299"/>
        <n v="20199258"/>
        <n v="20194261"/>
        <n v="20196697"/>
        <n v="20197878"/>
        <n v="20198141"/>
        <n v="20195216"/>
        <n v="20198337"/>
        <n v="20199817"/>
        <n v="20196761"/>
        <n v="20191476"/>
        <n v="20191635"/>
        <n v="20192322"/>
        <n v="20193239"/>
        <n v="20195418"/>
        <n v="20195809"/>
        <n v="20199511"/>
        <n v="20199524"/>
        <n v="20191426"/>
        <n v="20194557"/>
        <n v="20196357"/>
        <n v="20191693"/>
        <n v="20192051"/>
        <n v="20192369"/>
        <n v="20196212"/>
        <n v="20197793"/>
        <n v="20199833"/>
        <n v="20191454"/>
        <n v="20191531"/>
        <n v="20192027"/>
        <n v="20194885"/>
        <n v="20197711"/>
        <n v="20195027"/>
        <n v="20195162"/>
        <n v="20195165"/>
        <n v="20198476"/>
        <n v="20194169"/>
        <n v="20195581"/>
        <n v="20195926"/>
        <n v="20196001"/>
        <n v="20192036"/>
        <n v="20195749"/>
        <n v="20198004"/>
        <n v="20192224"/>
        <n v="20194566"/>
        <n v="20198739"/>
        <n v="20191343"/>
        <n v="20192886"/>
        <n v="20197162"/>
        <n v="20198823"/>
        <n v="20191330"/>
        <n v="20194215"/>
        <n v="20199493"/>
        <n v="20199907"/>
        <n v="20193988"/>
        <n v="20194386"/>
        <n v="20194599"/>
        <n v="20194679"/>
        <n v="20197004"/>
        <n v="20199006"/>
        <n v="20192564"/>
        <n v="20197966"/>
        <n v="20198923"/>
        <n v="20199634"/>
        <n v="20195028"/>
        <n v="20195783"/>
        <n v="20198734"/>
        <n v="20191176"/>
        <n v="20191508"/>
        <n v="20194363"/>
        <n v="20195587"/>
        <n v="20197377"/>
        <n v="20197936"/>
        <n v="20191856"/>
        <n v="20192503"/>
        <n v="20194827"/>
        <n v="20196650"/>
        <n v="20192178"/>
        <n v="20194321"/>
        <n v="20194902"/>
        <n v="20195913"/>
        <n v="20198897"/>
        <n v="20193315"/>
        <n v="20193643"/>
        <n v="20195492"/>
        <n v="20197303"/>
        <n v="20199447"/>
        <n v="20191700"/>
        <n v="20195970"/>
        <n v="20198596"/>
        <n v="20192839"/>
        <n v="20193158"/>
        <n v="20194714"/>
        <n v="20198190"/>
        <n v="20191566"/>
        <n v="20193613"/>
        <n v="20194135"/>
        <n v="20196286"/>
        <n v="20199567"/>
        <n v="20192025"/>
        <n v="20193468"/>
        <n v="20194493"/>
        <n v="20191281"/>
        <n v="20192505"/>
        <n v="20192699"/>
        <n v="20194236"/>
        <n v="20194983"/>
        <n v="20195738"/>
        <n v="20196000"/>
        <n v="20196615"/>
        <n v="20192582"/>
        <n v="20198146"/>
        <n v="20199357"/>
        <n v="20191088"/>
        <n v="20192590"/>
        <n v="20192885"/>
        <n v="20195724"/>
        <n v="20196531"/>
        <n v="20198229"/>
        <n v="20199581"/>
        <n v="20191651"/>
        <n v="20193199"/>
        <n v="20194250"/>
        <n v="20195063"/>
        <n v="20195291"/>
        <n v="20196261"/>
        <n v="20197957"/>
        <n v="20198968"/>
        <n v="20191608"/>
        <n v="20191730"/>
        <n v="20193642"/>
        <n v="20195606"/>
        <n v="20195640"/>
        <n v="20195895"/>
        <n v="20196864"/>
        <n v="20197146"/>
        <n v="20197949"/>
        <n v="20198203"/>
        <n v="20199045"/>
        <n v="20191767"/>
        <n v="20192518"/>
        <n v="20193431"/>
        <n v="20194656"/>
        <n v="20199032"/>
        <n v="20199823"/>
        <n v="20191735"/>
        <n v="20192991"/>
        <n v="20194571"/>
        <n v="20196102"/>
        <n v="20196213"/>
        <n v="20196435"/>
        <n v="20198463"/>
        <n v="20199159"/>
        <n v="20199218"/>
        <n v="20199955"/>
        <n v="20191258"/>
        <n v="20191892"/>
        <n v="20192563"/>
        <n v="20192979"/>
        <n v="20198829"/>
        <n v="20199563"/>
        <n v="20199704"/>
        <n v="20192806"/>
        <n v="20192921"/>
        <n v="20196229"/>
        <n v="20196556"/>
        <n v="20196670"/>
        <n v="20198348"/>
        <n v="20198621"/>
        <n v="20199197"/>
        <n v="20199208"/>
        <n v="20199338"/>
        <n v="20199812"/>
        <n v="20191809"/>
        <n v="20193110"/>
        <n v="20193156"/>
        <n v="20193743"/>
        <n v="20196822"/>
        <n v="20197207"/>
        <n v="20198482"/>
        <n v="20199814"/>
        <n v="20199889"/>
        <n v="20193174"/>
        <n v="20194118"/>
        <n v="20194422"/>
        <n v="20196239"/>
        <n v="20196555"/>
        <n v="20197016"/>
        <n v="20197183"/>
        <n v="20197570"/>
        <n v="20197695"/>
        <n v="20198095"/>
        <n v="20191310"/>
        <n v="20191652"/>
        <n v="20192361"/>
        <n v="20194613"/>
        <n v="20195319"/>
        <n v="20198944"/>
        <n v="20193739"/>
        <n v="20194570"/>
        <n v="20198358"/>
        <n v="20194024"/>
        <n v="20194815"/>
        <n v="20195731"/>
        <n v="20196467"/>
        <n v="20197223"/>
        <n v="20197339"/>
        <n v="20197879"/>
        <n v="20198366"/>
        <n v="20199212"/>
        <n v="20199492"/>
        <n v="20191044"/>
        <n v="20191055"/>
        <n v="20191942"/>
        <n v="20192059"/>
        <n v="20193433"/>
        <n v="20195099"/>
        <n v="20195123"/>
        <n v="20196567"/>
        <n v="20196667"/>
        <n v="20198643"/>
        <n v="20191301"/>
        <n v="20196828"/>
        <n v="20192451"/>
        <n v="20192476"/>
        <n v="20192892"/>
        <n v="20194808"/>
        <n v="20195414"/>
        <n v="20197452"/>
        <n v="20197500"/>
        <n v="20193249"/>
        <n v="20193381"/>
        <n v="20193996"/>
        <n v="20194374"/>
        <n v="20194857"/>
        <n v="20191876"/>
        <n v="20194387"/>
        <n v="20195808"/>
        <n v="20197135"/>
        <n v="20198116"/>
        <n v="20199034"/>
        <n v="20192043"/>
        <n v="20192729"/>
        <n v="20192758"/>
        <n v="20193294"/>
        <n v="20193594"/>
        <n v="20193880"/>
        <n v="20194586"/>
        <n v="20194731"/>
        <n v="20195673"/>
        <n v="20196042"/>
        <n v="20196176"/>
        <n v="20196514"/>
        <n v="20197647"/>
        <n v="20198860"/>
        <n v="20193151"/>
        <n v="20194918"/>
        <n v="20194960"/>
        <n v="20196565"/>
        <n v="20197096"/>
        <n v="20199747"/>
        <n v="20192984"/>
        <n v="20195069"/>
        <n v="20199592"/>
        <n v="20192740"/>
        <n v="20193073"/>
        <n v="20196482"/>
        <n v="20197023"/>
        <n v="20197323"/>
        <n v="20191308"/>
        <n v="20193781"/>
        <n v="20196018"/>
        <n v="20195616"/>
        <n v="20191240"/>
        <n v="20193597"/>
        <n v="20194230"/>
        <n v="20194394"/>
        <n v="20195542"/>
        <n v="20196937"/>
        <n v="20197868"/>
        <n v="20191629"/>
        <n v="20196585"/>
        <n v="20196870"/>
        <n v="20198946"/>
        <n v="20193377"/>
        <n v="20196652"/>
        <n v="20198113"/>
        <n v="20191838"/>
        <n v="20193477"/>
        <n v="20197593"/>
        <n v="20199429"/>
        <n v="20195846"/>
        <n v="20196268"/>
        <n v="20196835"/>
        <n v="20194462"/>
        <n v="20198902"/>
        <n v="20199382"/>
        <n v="20199852"/>
        <n v="20191127"/>
        <n v="20191182"/>
        <n v="20191324"/>
        <n v="20191766"/>
        <n v="20191811"/>
        <n v="20193508"/>
        <n v="20195929"/>
        <n v="20196156"/>
        <n v="20196901"/>
        <n v="20196970"/>
        <n v="20194500"/>
        <n v="20198318"/>
        <n v="20198530"/>
        <n v="20195689"/>
        <n v="20196266"/>
        <n v="20199098"/>
        <n v="20191365"/>
        <n v="20197141"/>
        <n v="20194212"/>
        <n v="20194280"/>
        <n v="20195201"/>
        <n v="20195571"/>
        <n v="20197285"/>
        <n v="20191866"/>
        <n v="20194838"/>
        <n v="20196723"/>
        <n v="20198154"/>
        <n v="20198171"/>
        <n v="20197047"/>
        <n v="20194503"/>
        <n v="20196597"/>
        <n v="20197109"/>
        <n v="20197556"/>
        <n v="20197948"/>
        <n v="20195696"/>
        <n v="20196859"/>
        <n v="20197798"/>
        <n v="20199857"/>
        <n v="20191305"/>
        <n v="20192715"/>
        <n v="20198381"/>
        <n v="20199980"/>
        <n v="20198129"/>
        <n v="20199796"/>
        <n v="20192097"/>
        <n v="20192736"/>
        <n v="20193772"/>
        <n v="20195033"/>
        <n v="20196842"/>
        <n v="20191452"/>
        <n v="20191835"/>
        <n v="20196913"/>
        <n v="20198571"/>
        <n v="20191471"/>
        <n v="20192265"/>
        <n v="20194406"/>
        <n v="20195092"/>
        <n v="20197190"/>
        <n v="20197480"/>
        <n v="20197797"/>
        <n v="20191156"/>
        <n v="20192917"/>
        <n v="20193071"/>
        <n v="20194928"/>
        <n v="20195730"/>
        <n v="20196414"/>
        <n v="20196428"/>
        <n v="20198512"/>
        <n v="20199064"/>
        <n v="20199515"/>
        <n v="20191344"/>
        <n v="20191403"/>
        <n v="20194141"/>
        <n v="20195265"/>
        <n v="20198696"/>
        <n v="20198911"/>
        <n v="20191801"/>
        <n v="20191967"/>
        <n v="20192259"/>
        <n v="20192980"/>
        <n v="20194785"/>
        <n v="20196194"/>
        <n v="20196550"/>
        <n v="20197811"/>
        <n v="20197821"/>
        <n v="20199038"/>
        <n v="20191649"/>
        <n v="20192076"/>
        <n v="20192906"/>
        <n v="20193023"/>
        <n v="20194218"/>
        <n v="20195893"/>
        <n v="20196847"/>
        <n v="20196998"/>
        <n v="20197771"/>
        <n v="20199184"/>
        <n v="20191249"/>
        <n v="20193871"/>
        <n v="20195128"/>
        <n v="20196932"/>
        <n v="20198543"/>
        <n v="20191996"/>
        <n v="20193985"/>
        <n v="20196063"/>
        <n v="20197964"/>
        <n v="20197969"/>
        <n v="20198459"/>
        <n v="20198525"/>
        <n v="20199117"/>
        <n v="20191391"/>
        <n v="20192803"/>
        <n v="20195091"/>
        <n v="20195732"/>
        <n v="20196447"/>
        <n v="20196579"/>
        <n v="20198098"/>
        <n v="20193025"/>
        <n v="20199075"/>
        <n v="20199256"/>
        <n v="20199953"/>
        <n v="20192283"/>
        <n v="20194615"/>
        <n v="20197149"/>
        <n v="20197819"/>
        <n v="20199947"/>
        <n v="20194199"/>
        <n v="20195182"/>
        <n v="20197008"/>
        <n v="20197119"/>
        <n v="20197961"/>
        <n v="20198218"/>
        <n v="20199229"/>
        <n v="20192075"/>
        <n v="20192170"/>
        <n v="20193187"/>
        <n v="20196441"/>
        <n v="20197311"/>
        <n v="20197562"/>
        <n v="20192206"/>
        <n v="20193975"/>
        <n v="20194083"/>
        <n v="20194196"/>
        <n v="20194922"/>
        <n v="20197539"/>
        <n v="20199058"/>
        <n v="20193155"/>
        <n v="20194290"/>
        <n v="20195026"/>
        <n v="20196344"/>
        <n v="20196604"/>
        <n v="20196833"/>
        <n v="20198427"/>
        <n v="20198467"/>
        <n v="20191814"/>
        <n v="20192730"/>
        <n v="20194358"/>
        <n v="20196379"/>
        <n v="20196920"/>
        <n v="20197003"/>
        <n v="20197315"/>
        <n v="20197437"/>
        <n v="20197489"/>
        <n v="20198781"/>
        <n v="20191035"/>
        <n v="20192999"/>
        <n v="20193479"/>
        <n v="20194094"/>
        <n v="20198371"/>
        <n v="20191029"/>
        <n v="20191546"/>
        <n v="20192816"/>
        <n v="20194672"/>
        <n v="20198224"/>
        <n v="20201360"/>
        <n v="20202197"/>
        <n v="20202458"/>
        <n v="20204603"/>
        <n v="20204759"/>
        <n v="20205393"/>
        <n v="20207044"/>
        <n v="20207496"/>
        <n v="20208210"/>
        <n v="20208995"/>
        <n v="20209957"/>
        <n v="20201703"/>
        <n v="20201853"/>
        <n v="20202190"/>
        <n v="20206743"/>
        <n v="20209653"/>
        <n v="20202325"/>
        <n v="20203114"/>
        <n v="20204356"/>
        <n v="20208653"/>
        <n v="20209799"/>
        <n v="20202996"/>
        <n v="20205288"/>
        <n v="20205825"/>
        <n v="20206153"/>
        <n v="20207766"/>
        <n v="20208020"/>
        <n v="20202686"/>
        <n v="20203122"/>
        <n v="20203208"/>
        <n v="20203598"/>
        <n v="20203735"/>
        <n v="20204563"/>
        <n v="20206053"/>
        <n v="20206235"/>
        <n v="20206568"/>
        <n v="20209200"/>
        <n v="20201700"/>
        <n v="20201762"/>
        <n v="20202702"/>
        <n v="20203285"/>
        <n v="20203592"/>
        <n v="20203874"/>
        <n v="20208651"/>
        <n v="20209253"/>
        <n v="20209683"/>
        <n v="20209902"/>
        <n v="20201380"/>
        <n v="20206270"/>
        <n v="20207519"/>
        <n v="20201489"/>
        <n v="20202452"/>
        <n v="20203186"/>
        <n v="20204646"/>
        <n v="20204923"/>
        <n v="20208088"/>
        <n v="20201581"/>
        <n v="20203618"/>
        <n v="20204177"/>
        <n v="20204279"/>
        <n v="20205872"/>
        <n v="20207150"/>
        <n v="20208577"/>
        <n v="20209442"/>
        <n v="20204735"/>
        <n v="20204811"/>
        <n v="20204938"/>
        <n v="20204961"/>
        <n v="20207264"/>
        <n v="20208382"/>
        <n v="20204610"/>
        <n v="20204940"/>
        <n v="20205423"/>
        <n v="20207036"/>
        <n v="20208805"/>
        <n v="20209187"/>
        <n v="20201024"/>
        <n v="20203110"/>
        <n v="20205301"/>
        <n v="20205943"/>
        <n v="20207624"/>
        <n v="20207932"/>
        <n v="20209278"/>
        <n v="20201585"/>
        <n v="20202085"/>
        <n v="20202418"/>
        <n v="20203375"/>
        <n v="20208750"/>
        <n v="20209114"/>
        <n v="20209577"/>
        <n v="20202959"/>
        <n v="20204552"/>
        <n v="20204732"/>
        <n v="20204825"/>
        <n v="20205149"/>
        <n v="20209561"/>
        <n v="20201222"/>
        <n v="20202375"/>
        <n v="20202575"/>
        <n v="20202592"/>
        <n v="20203192"/>
        <n v="20204044"/>
        <n v="20204063"/>
        <n v="20204973"/>
        <n v="20205349"/>
        <n v="20206375"/>
        <n v="20206864"/>
        <n v="20208160"/>
        <n v="20202467"/>
        <n v="20202989"/>
        <n v="20204446"/>
        <n v="20208298"/>
        <n v="20208823"/>
        <n v="20201092"/>
        <n v="20201479"/>
        <n v="20201690"/>
        <n v="20204276"/>
        <n v="20206648"/>
        <n v="20206982"/>
        <n v="20207417"/>
        <n v="20208419"/>
        <n v="20202611"/>
        <n v="20203716"/>
        <n v="20204997"/>
        <n v="20206386"/>
        <n v="20207272"/>
        <n v="20207587"/>
        <n v="20207962"/>
        <n v="20202485"/>
        <n v="20202559"/>
        <n v="20203421"/>
        <n v="20203986"/>
        <n v="20204612"/>
        <n v="20209151"/>
        <n v="20201327"/>
        <n v="20201805"/>
        <n v="20202119"/>
        <n v="20202177"/>
        <n v="20202667"/>
        <n v="20203841"/>
        <n v="20206816"/>
        <n v="20206920"/>
        <n v="20209177"/>
        <n v="20209351"/>
        <n v="20203440"/>
        <n v="20206694"/>
        <n v="20206491"/>
        <n v="20208501"/>
        <n v="20201822"/>
        <n v="20205593"/>
        <n v="20207571"/>
        <n v="20208467"/>
        <n v="20209551"/>
        <n v="20201332"/>
        <n v="20202281"/>
        <n v="20204262"/>
        <n v="20203575"/>
        <n v="20205855"/>
        <n v="20206057"/>
        <n v="20208226"/>
        <n v="20205767"/>
        <n v="20207078"/>
        <n v="20207947"/>
        <n v="20202722"/>
        <n v="20207960"/>
        <n v="20202258"/>
        <n v="20201524"/>
        <n v="20203023"/>
        <n v="20206373"/>
        <n v="20207372"/>
        <n v="20208949"/>
        <n v="20203132"/>
        <n v="20209147"/>
        <n v="20201992"/>
        <n v="20205375"/>
        <n v="20206113"/>
        <n v="20202521"/>
        <n v="20205223"/>
        <n v="20205618"/>
        <n v="20207426"/>
        <n v="20207811"/>
        <n v="20204114"/>
        <n v="20204921"/>
        <n v="20203241"/>
        <n v="20209299"/>
        <n v="20202313"/>
        <n v="20205387"/>
        <n v="20207725"/>
        <n v="20209491"/>
        <n v="20205952"/>
        <n v="20206239"/>
        <n v="20207824"/>
        <n v="20202245"/>
        <n v="20205350"/>
        <n v="20208916"/>
        <n v="20203762"/>
        <n v="20206965"/>
        <n v="20202246"/>
        <n v="20205560"/>
        <n v="20206690"/>
        <n v="20201485"/>
        <n v="20202187"/>
        <n v="20206320"/>
        <n v="20207636"/>
        <n v="20208934"/>
        <n v="20202943"/>
        <n v="20207980"/>
        <n v="20208853"/>
        <n v="20207800"/>
        <n v="20208053"/>
        <n v="20208098"/>
        <n v="20203476"/>
        <n v="20206329"/>
        <n v="20206678"/>
        <n v="20209967"/>
        <n v="20202848"/>
        <n v="20208980"/>
        <n v="20205305"/>
        <n v="20207887"/>
        <n v="20208263"/>
        <n v="20203568"/>
        <n v="20206607"/>
        <n v="20202175"/>
        <n v="20204974"/>
        <n v="20207771"/>
        <n v="20208396"/>
        <n v="20209833"/>
        <n v="20203836"/>
        <n v="20208056"/>
        <n v="20208359"/>
        <n v="20209106"/>
        <n v="20209339"/>
        <n v="20202142"/>
        <n v="20205173"/>
        <n v="20206873"/>
        <n v="20209166"/>
        <n v="20209684"/>
        <n v="20203885"/>
        <n v="20204556"/>
        <n v="20207904"/>
        <n v="20202977"/>
        <n v="20204318"/>
        <n v="20205013"/>
        <n v="20205906"/>
        <n v="20207459"/>
        <n v="20209257"/>
        <n v="20203852"/>
        <n v="20204994"/>
        <n v="20207677"/>
        <n v="20207993"/>
        <n v="20208510"/>
        <n v="20205843"/>
        <n v="20206548"/>
        <n v="20207542"/>
        <n v="20209529"/>
        <n v="20209809"/>
        <n v="20201604"/>
        <n v="20205060"/>
        <n v="20209175"/>
        <n v="20201407"/>
        <n v="20202286"/>
        <n v="20206940"/>
        <n v="20208336"/>
        <n v="20208935"/>
        <n v="20208944"/>
        <n v="20202351"/>
        <n v="20206072"/>
        <n v="20207598"/>
        <n v="20207646"/>
        <n v="20208008"/>
        <n v="20209132"/>
        <n v="20209453"/>
        <n v="20203233"/>
        <n v="20204524"/>
        <n v="20205212"/>
        <n v="20205533"/>
        <n v="20206168"/>
        <n v="20207787"/>
        <n v="20208276"/>
        <n v="20209548"/>
        <n v="20203211"/>
        <n v="20203950"/>
        <n v="20209524"/>
        <n v="20202329"/>
        <n v="20206947"/>
        <n v="20207248"/>
        <n v="20203515"/>
        <n v="20203543"/>
        <n v="20202035"/>
        <n v="20205227"/>
        <n v="20206442"/>
        <n v="20208432"/>
        <n v="20208817"/>
        <n v="20202510"/>
        <n v="20203773"/>
        <n v="20206301"/>
        <n v="20207996"/>
        <n v="20201349"/>
        <n v="20204245"/>
        <n v="20207593"/>
        <n v="20202736"/>
        <n v="20209072"/>
        <n v="20202488"/>
        <n v="20204287"/>
        <n v="20207058"/>
        <n v="20207140"/>
        <n v="20209193"/>
        <n v="20209562"/>
        <n v="20209839"/>
        <n v="20209923"/>
        <n v="20203204"/>
        <n v="20203531"/>
        <n v="20205710"/>
        <n v="20208072"/>
        <n v="20209637"/>
        <n v="20209908"/>
        <n v="20206849"/>
        <n v="20208953"/>
        <n v="20203085"/>
        <n v="20208562"/>
        <n v="20201283"/>
        <n v="20207568"/>
        <n v="20203738"/>
        <n v="20207710"/>
        <n v="20208866"/>
        <n v="20203150"/>
        <n v="20203367"/>
        <n v="20205464"/>
        <n v="20206532"/>
        <n v="20208749"/>
        <n v="20205513"/>
        <n v="20207437"/>
        <n v="20203475"/>
        <n v="20206222"/>
        <n v="20206446"/>
        <n v="20209874"/>
        <n v="20203223"/>
        <n v="20209609"/>
        <n v="20201384"/>
        <n v="20206877"/>
        <n v="20208305"/>
        <n v="20201500"/>
        <n v="20208962"/>
        <n v="20208412"/>
        <n v="20209306"/>
        <n v="20209769"/>
        <n v="20202215"/>
        <n v="20205880"/>
        <n v="20201305"/>
        <n v="20204360"/>
        <n v="20205047"/>
        <n v="20205629"/>
        <n v="20206236"/>
        <n v="20207648"/>
        <n v="20207873"/>
        <n v="20209644"/>
        <n v="20209612"/>
        <n v="20205494"/>
        <n v="20208724"/>
        <n v="20209599"/>
        <n v="20202673"/>
        <n v="20204555"/>
        <n v="20209803"/>
        <n v="20209838"/>
        <n v="20202669"/>
        <n v="20202705"/>
        <n v="20203361"/>
        <n v="20204022"/>
        <n v="20205517"/>
        <n v="20206991"/>
        <n v="20207467"/>
        <n v="20209183"/>
        <n v="20201345"/>
        <n v="20203155"/>
        <n v="20203761"/>
        <n v="20205399"/>
        <n v="20206625"/>
        <n v="20206944"/>
        <n v="20208851"/>
        <n v="20202080"/>
        <n v="20203924"/>
        <n v="20205440"/>
        <n v="20205682"/>
        <n v="20205699"/>
        <n v="20201876"/>
        <n v="20202934"/>
        <n v="20206608"/>
        <n v="20201115"/>
        <n v="20203995"/>
        <n v="20204214"/>
        <n v="20204880"/>
        <n v="20205822"/>
        <n v="20203263"/>
        <n v="20203324"/>
        <n v="20203359"/>
        <n v="20205377"/>
        <n v="20206843"/>
        <n v="20207071"/>
        <n v="20207334"/>
        <n v="20207567"/>
        <n v="20201557"/>
        <n v="20203197"/>
        <n v="20205694"/>
        <n v="20201866"/>
        <n v="20202568"/>
        <n v="20203633"/>
        <n v="20203906"/>
        <n v="20207231"/>
        <n v="20208831"/>
        <n v="20209485"/>
        <n v="20209918"/>
        <n v="20202073"/>
        <n v="20203095"/>
        <n v="20204668"/>
        <n v="20205961"/>
        <n v="20208301"/>
        <n v="20208330"/>
        <n v="20208338"/>
        <n v="20202059"/>
        <n v="20204150"/>
        <n v="20206986"/>
        <n v="20207559"/>
        <n v="20209084"/>
        <n v="20207123"/>
        <n v="20209022"/>
        <n v="20209238"/>
        <n v="20201797"/>
        <n v="20202262"/>
        <n v="20203676"/>
        <n v="20204004"/>
        <n v="20203299"/>
        <n v="20204269"/>
        <n v="20206900"/>
        <n v="20207412"/>
        <n v="20203238"/>
        <n v="20204303"/>
        <n v="20206369"/>
        <n v="20207163"/>
        <n v="20207406"/>
        <n v="20208366"/>
        <n v="20203154"/>
        <n v="20204307"/>
        <n v="20206603"/>
        <n v="20209960"/>
        <n v="20205727"/>
        <n v="20205838"/>
        <n v="20206643"/>
        <n v="20208518"/>
        <n v="20201579"/>
        <n v="20202449"/>
        <n v="20203555"/>
        <n v="20204533"/>
        <n v="20205613"/>
        <n v="20208227"/>
        <n v="20201199"/>
        <n v="20201378"/>
        <n v="20202263"/>
        <n v="20202482"/>
        <n v="20207493"/>
        <n v="20209153"/>
        <n v="20205502"/>
        <n v="20207377"/>
        <n v="20205024"/>
        <n v="20208911"/>
      </sharedItems>
    </cacheField>
    <cacheField name="专业(英)" numFmtId="0">
      <sharedItems count="6">
        <s v="ACC"/>
        <s v="INS"/>
        <s v="FIN"/>
        <s v="FENG"/>
        <s v="MIS"/>
        <s v="MRK"/>
      </sharedItems>
    </cacheField>
    <cacheField name="专业" numFmtId="0">
      <sharedItems count="6">
        <s v="会计学"/>
        <s v="保险学"/>
        <s v="金融学"/>
        <s v="金融工程"/>
        <s v="管理信息系统"/>
        <s v="市场营销"/>
      </sharedItems>
      <fieldGroup par="14"/>
    </cacheField>
    <cacheField name="题目1" numFmtId="0">
      <sharedItems containsSemiMixedTypes="0" containsString="0" containsNumber="1" minValue="5.8" maxValue="10" count="42">
        <n v="8.8"/>
        <n v="7.3"/>
        <n v="8.6"/>
        <n v="8.2"/>
        <n v="8.4"/>
        <n v="7.5"/>
        <n v="8"/>
        <n v="8.5"/>
        <n v="8.7"/>
        <n v="8.3"/>
        <n v="8.1"/>
        <n v="9"/>
        <n v="7.7"/>
        <n v="7.6"/>
        <n v="9.4"/>
        <n v="7.4"/>
        <n v="7.8"/>
        <n v="8.9"/>
        <n v="7.2"/>
        <n v="7.9"/>
        <n v="6.9"/>
        <n v="9.1"/>
        <n v="9.3"/>
        <n v="9.2"/>
        <n v="7.1"/>
        <n v="6.8"/>
        <n v="6.7"/>
        <n v="6.6"/>
        <n v="7"/>
        <n v="9.5"/>
        <n v="9.6"/>
        <n v="9.7"/>
        <n v="9.8"/>
        <n v="9.9"/>
        <n v="10"/>
        <n v="6.4"/>
        <n v="6.1"/>
        <n v="6.3"/>
        <n v="6.2"/>
        <n v="6.5"/>
        <n v="5.8"/>
        <n v="6"/>
      </sharedItems>
    </cacheField>
    <cacheField name="题目2" numFmtId="0">
      <sharedItems containsSemiMixedTypes="0" containsString="0" containsNumber="1" minValue="5.6" maxValue="10" count="44">
        <n v="8"/>
        <n v="8.3"/>
        <n v="7.2"/>
        <n v="8.5"/>
        <n v="7.5"/>
        <n v="8.6"/>
        <n v="7.8"/>
        <n v="8.2"/>
        <n v="7.9"/>
        <n v="8.1"/>
        <n v="7.3"/>
        <n v="7.1"/>
        <n v="9.2"/>
        <n v="6.6"/>
        <n v="9"/>
        <n v="9.4"/>
        <n v="8.7"/>
        <n v="7.7"/>
        <n v="6.7"/>
        <n v="6.4"/>
        <n v="7.6"/>
        <n v="7.4"/>
        <n v="8.4"/>
        <n v="7"/>
        <n v="8.9"/>
        <n v="9.1"/>
        <n v="8.8"/>
        <n v="6.8"/>
        <n v="6.9"/>
        <n v="9.5"/>
        <n v="6.5"/>
        <n v="9.6"/>
        <n v="5.8"/>
        <n v="6.1"/>
        <n v="5.9"/>
        <n v="6.3"/>
        <n v="9.9"/>
        <n v="9.7"/>
        <n v="9.8"/>
        <n v="9.3"/>
        <n v="6"/>
        <n v="10"/>
        <n v="5.6"/>
        <n v="6.2"/>
      </sharedItems>
    </cacheField>
    <cacheField name="题目3" numFmtId="0">
      <sharedItems containsSemiMixedTypes="0" containsString="0" containsNumber="1" minValue="3" maxValue="10" count="47">
        <n v="6.6"/>
        <n v="7"/>
        <n v="8.3"/>
        <n v="8.2"/>
        <n v="7.1"/>
        <n v="8.1"/>
        <n v="8.6"/>
        <n v="6.9"/>
        <n v="7.2"/>
        <n v="7.4"/>
        <n v="8"/>
        <n v="8.5"/>
        <n v="8.9"/>
        <n v="7.9"/>
        <n v="7.7"/>
        <n v="7.8"/>
        <n v="7.5"/>
        <n v="8.4"/>
        <n v="9.4"/>
        <n v="7.6"/>
        <n v="7.3"/>
        <n v="9.2"/>
        <n v="9"/>
        <n v="8.8"/>
        <n v="6.7"/>
        <n v="8.7"/>
        <n v="6.8"/>
        <n v="6.5"/>
        <n v="5.8"/>
        <n v="5.6"/>
        <n v="6.4"/>
        <n v="9.8"/>
        <n v="9.7"/>
        <n v="9.1"/>
        <n v="9.9"/>
        <n v="9.3"/>
        <n v="9.5"/>
        <n v="9.6"/>
        <n v="10"/>
        <n v="3"/>
        <n v="6.3"/>
        <n v="6.1"/>
        <n v="6"/>
        <n v="6.2"/>
        <n v="5.9"/>
        <n v="5.4"/>
        <n v="5.7"/>
      </sharedItems>
    </cacheField>
    <cacheField name="题目4" numFmtId="0">
      <sharedItems containsSemiMixedTypes="0" containsString="0" containsNumber="1" minValue="5" maxValue="10" count="49">
        <n v="7.6"/>
        <n v="8.5"/>
        <n v="8.2"/>
        <n v="7.8"/>
        <n v="7.7"/>
        <n v="8.4"/>
        <n v="7.3"/>
        <n v="6.7"/>
        <n v="9"/>
        <n v="6.8"/>
        <n v="7.5"/>
        <n v="7"/>
        <n v="7.9"/>
        <n v="8"/>
        <n v="7.2"/>
        <n v="8.1"/>
        <n v="8.6"/>
        <n v="9.4"/>
        <n v="8.3"/>
        <n v="7.1"/>
        <n v="8.9"/>
        <n v="7.4"/>
        <n v="6.9"/>
        <n v="8.7"/>
        <n v="9.1"/>
        <n v="8.8"/>
        <n v="6.4"/>
        <n v="6.3"/>
        <n v="6.5"/>
        <n v="6.6"/>
        <n v="5.8"/>
        <n v="5.7"/>
        <n v="6.2"/>
        <n v="5.4"/>
        <n v="9.3"/>
        <n v="9.2"/>
        <n v="9.7"/>
        <n v="9.9"/>
        <n v="9.5"/>
        <n v="9.6"/>
        <n v="9.8"/>
        <n v="5"/>
        <n v="6.1"/>
        <n v="10"/>
        <n v="5.9"/>
        <n v="5.5"/>
        <n v="6"/>
        <n v="5.6"/>
        <n v="5.2"/>
      </sharedItems>
    </cacheField>
    <cacheField name="题目5" numFmtId="0">
      <sharedItems containsSemiMixedTypes="0" containsString="0" containsNumber="1" minValue="4.4" maxValue="10" count="54">
        <n v="6.6"/>
        <n v="8.4"/>
        <n v="7"/>
        <n v="7.3"/>
        <n v="9.2"/>
        <n v="7.6"/>
        <n v="7.5"/>
        <n v="8.8"/>
        <n v="7.4"/>
        <n v="6.4"/>
        <n v="7.7"/>
        <n v="7.9"/>
        <n v="8.3"/>
        <n v="6.7"/>
        <n v="6.8"/>
        <n v="9.1"/>
        <n v="7.8"/>
        <n v="6"/>
        <n v="6.9"/>
        <n v="8.6"/>
        <n v="8.5"/>
        <n v="9.4"/>
        <n v="8.9"/>
        <n v="9"/>
        <n v="7.2"/>
        <n v="8.7"/>
        <n v="8"/>
        <n v="8.1"/>
        <n v="6.5"/>
        <n v="7.1"/>
        <n v="8.2"/>
        <n v="9.3"/>
        <n v="5"/>
        <n v="6.1"/>
        <n v="6.2"/>
        <n v="5.7"/>
        <n v="6.3"/>
        <n v="9.5"/>
        <n v="5.8"/>
        <n v="9.7"/>
        <n v="5.4"/>
        <n v="9.6"/>
        <n v="9.9"/>
        <n v="9.8"/>
        <n v="5.5"/>
        <n v="5.9"/>
        <n v="5.6"/>
        <n v="10"/>
        <n v="5.2"/>
        <n v="5.3"/>
        <n v="4.9"/>
        <n v="4.8"/>
        <n v="5.1"/>
        <n v="4.4"/>
      </sharedItems>
    </cacheField>
    <cacheField name="题目6" numFmtId="0">
      <sharedItems containsSemiMixedTypes="0" containsString="0" containsNumber="1" minValue="4" maxValue="10" count="57">
        <n v="7.5"/>
        <n v="7.7"/>
        <n v="8.7"/>
        <n v="8.5"/>
        <n v="8.3"/>
        <n v="6.9"/>
        <n v="6"/>
        <n v="7.1"/>
        <n v="7.2"/>
        <n v="8.1"/>
        <n v="7.4"/>
        <n v="6.7"/>
        <n v="7.6"/>
        <n v="7.8"/>
        <n v="6.5"/>
        <n v="7.3"/>
        <n v="9.1"/>
        <n v="8.6"/>
        <n v="8.2"/>
        <n v="8.4"/>
        <n v="5.9"/>
        <n v="5.8"/>
        <n v="7.9"/>
        <n v="9.4"/>
        <n v="6.3"/>
        <n v="6.1"/>
        <n v="6.8"/>
        <n v="8"/>
        <n v="6.4"/>
        <n v="8.8"/>
        <n v="6.6"/>
        <n v="5.5"/>
        <n v="4.9"/>
        <n v="7"/>
        <n v="5.1"/>
        <n v="5.6"/>
        <n v="5.4"/>
        <n v="8.9"/>
        <n v="9"/>
        <n v="6.2"/>
        <n v="5.2"/>
        <n v="5.7"/>
        <n v="4.5"/>
        <n v="9.6"/>
        <n v="9.3"/>
        <n v="9.9"/>
        <n v="9.5"/>
        <n v="5.3"/>
        <n v="9.2"/>
        <n v="9.7"/>
        <n v="4"/>
        <n v="10"/>
        <n v="4.4"/>
        <n v="4.8"/>
        <n v="9.8"/>
        <n v="5"/>
        <n v="4.7"/>
      </sharedItems>
    </cacheField>
    <cacheField name="题目7" numFmtId="0">
      <sharedItems containsSemiMixedTypes="0" containsString="0" containsNumber="1" minValue="2" maxValue="10" count="63">
        <n v="7.4"/>
        <n v="7.7"/>
        <n v="7.8"/>
        <n v="8"/>
        <n v="6"/>
        <n v="7.2"/>
        <n v="6.7"/>
        <n v="6.8"/>
        <n v="7.9"/>
        <n v="7.1"/>
        <n v="7.3"/>
        <n v="8.3"/>
        <n v="5.9"/>
        <n v="5.4"/>
        <n v="8.2"/>
        <n v="6.2"/>
        <n v="7.6"/>
        <n v="6.9"/>
        <n v="6.6"/>
        <n v="6.5"/>
        <n v="6.1"/>
        <n v="9.2"/>
        <n v="9.4"/>
        <n v="8.7"/>
        <n v="5.7"/>
        <n v="8.6"/>
        <n v="5"/>
        <n v="6.4"/>
        <n v="8.1"/>
        <n v="7"/>
        <n v="5.6"/>
        <n v="8.9"/>
        <n v="5.5"/>
        <n v="5.2"/>
        <n v="8.4"/>
        <n v="6.3"/>
        <n v="4.9"/>
        <n v="5.8"/>
        <n v="9.1"/>
        <n v="8.5"/>
        <n v="7.5"/>
        <n v="4.8"/>
        <n v="8.8"/>
        <n v="9"/>
        <n v="5.3"/>
        <n v="4.5"/>
        <n v="5.1"/>
        <n v="9.3"/>
        <n v="9.8"/>
        <n v="4.2"/>
        <n v="9.7"/>
        <n v="9.9"/>
        <n v="9.6"/>
        <n v="9.5"/>
        <n v="2"/>
        <n v="4.3"/>
        <n v="4.6"/>
        <n v="10"/>
        <n v="4.1"/>
        <n v="3.9"/>
        <n v="4.7"/>
        <n v="4"/>
        <n v="4.4"/>
      </sharedItems>
    </cacheField>
    <cacheField name="题目8" numFmtId="0">
      <sharedItems containsSemiMixedTypes="0" containsString="0" containsNumber="1" minValue="3.6" maxValue="9.9" count="59">
        <n v="6.7"/>
        <n v="5.8"/>
        <n v="6.2"/>
        <n v="6.9"/>
        <n v="5.4"/>
        <n v="7.9"/>
        <n v="7.5"/>
        <n v="5.7"/>
        <n v="7.6"/>
        <n v="6.4"/>
        <n v="7.2"/>
        <n v="5.3"/>
        <n v="8.1"/>
        <n v="4.9"/>
        <n v="6.5"/>
        <n v="7.3"/>
        <n v="6.8"/>
        <n v="4.6"/>
        <n v="7.7"/>
        <n v="6.3"/>
        <n v="6.6"/>
        <n v="6.1"/>
        <n v="8.3"/>
        <n v="6"/>
        <n v="7"/>
        <n v="5.2"/>
        <n v="5.9"/>
        <n v="8.7"/>
        <n v="7.1"/>
        <n v="7.8"/>
        <n v="8.6"/>
        <n v="4.8"/>
        <n v="8.5"/>
        <n v="5"/>
        <n v="5.5"/>
        <n v="9.2"/>
        <n v="8.4"/>
        <n v="7.4"/>
        <n v="8"/>
        <n v="9.1"/>
        <n v="9.4"/>
        <n v="8.2"/>
        <n v="5.6"/>
        <n v="8.8"/>
        <n v="5.1"/>
        <n v="8.9"/>
        <n v="9.9"/>
        <n v="9.3"/>
        <n v="9.6"/>
        <n v="9"/>
        <n v="4.7"/>
        <n v="4"/>
        <n v="9.5"/>
        <n v="4.2"/>
        <n v="9.7"/>
        <n v="4.4"/>
        <n v="4.5"/>
        <n v="4.3"/>
        <n v="3.6"/>
      </sharedItems>
    </cacheField>
    <cacheField name="题目9" numFmtId="0">
      <sharedItems containsSemiMixedTypes="0" containsString="0" containsNumber="1" minValue="2.9" maxValue="10" count="67">
        <n v="6.7"/>
        <n v="6.2"/>
        <n v="6.8"/>
        <n v="6.5"/>
        <n v="7.1"/>
        <n v="6.6"/>
        <n v="8.6"/>
        <n v="7.5"/>
        <n v="6.9"/>
        <n v="5.6"/>
        <n v="5.3"/>
        <n v="6.4"/>
        <n v="6.3"/>
        <n v="5.8"/>
        <n v="8.4"/>
        <n v="4.8"/>
        <n v="8.7"/>
        <n v="6.1"/>
        <n v="8"/>
        <n v="7.8"/>
        <n v="5.9"/>
        <n v="4.7"/>
        <n v="8.1"/>
        <n v="7.2"/>
        <n v="7.6"/>
        <n v="7.9"/>
        <n v="7.3"/>
        <n v="7"/>
        <n v="5"/>
        <n v="5.1"/>
        <n v="8.3"/>
        <n v="7.7"/>
        <n v="7.4"/>
        <n v="5.4"/>
        <n v="8.5"/>
        <n v="4.9"/>
        <n v="8.2"/>
        <n v="9"/>
        <n v="8.8"/>
        <n v="6"/>
        <n v="5.7"/>
        <n v="5.5"/>
        <n v="4.6"/>
        <n v="9.4"/>
        <n v="4"/>
        <n v="5.2"/>
        <n v="9.3"/>
        <n v="9.5"/>
        <n v="4.5"/>
        <n v="8.9"/>
        <n v="4.2"/>
        <n v="9.2"/>
        <n v="3.3"/>
        <n v="9.1"/>
        <n v="3.9"/>
        <n v="9.9"/>
        <n v="9.6"/>
        <n v="4.4"/>
        <n v="9.8"/>
        <n v="9.7"/>
        <n v="4.3"/>
        <n v="10"/>
        <n v="4.1"/>
        <n v="3.8"/>
        <n v="3.7"/>
        <n v="3.4"/>
        <n v="2.9"/>
      </sharedItems>
    </cacheField>
    <cacheField name="题目10" numFmtId="0">
      <sharedItems containsSemiMixedTypes="0" containsString="0" containsNumber="1" minValue="1.9" maxValue="9.9" count="77">
        <n v="5.8"/>
        <n v="5.7"/>
        <n v="6.2"/>
        <n v="5"/>
        <n v="8.6"/>
        <n v="7.7"/>
        <n v="6.1"/>
        <n v="6.4"/>
        <n v="6.7"/>
        <n v="8.5"/>
        <n v="6.6"/>
        <n v="3.7"/>
        <n v="4.8"/>
        <n v="7.5"/>
        <n v="6.9"/>
        <n v="5.1"/>
        <n v="5.2"/>
        <n v="5.3"/>
        <n v="6.8"/>
        <n v="8"/>
        <n v="4.2"/>
        <n v="4.7"/>
        <n v="7.2"/>
        <n v="8.3"/>
        <n v="9.1"/>
        <n v="5.5"/>
        <n v="6.5"/>
        <n v="4.3"/>
        <n v="5.9"/>
        <n v="4.6"/>
        <n v="5.4"/>
        <n v="8.1"/>
        <n v="4.9"/>
        <n v="7"/>
        <n v="3.9"/>
        <n v="4.4"/>
        <n v="4.5"/>
        <n v="5.6"/>
        <n v="6.3"/>
        <n v="6"/>
        <n v="7.8"/>
        <n v="3.3"/>
        <n v="7.3"/>
        <n v="9.4"/>
        <n v="7.6"/>
        <n v="3.5"/>
        <n v="4"/>
        <n v="7.4"/>
        <n v="7.1"/>
        <n v="3.1"/>
        <n v="4.1"/>
        <n v="3"/>
        <n v="2.5"/>
        <n v="3.8"/>
        <n v="9.8"/>
        <n v="8.9"/>
        <n v="8.2"/>
        <n v="8.4"/>
        <n v="9.6"/>
        <n v="8.8"/>
        <n v="7.9"/>
        <n v="8.7"/>
        <n v="2.3"/>
        <n v="9.2"/>
        <n v="3.4"/>
        <n v="9.3"/>
        <n v="9"/>
        <n v="2"/>
        <n v="3.6"/>
        <n v="9.7"/>
        <n v="3.2"/>
        <n v="1.9"/>
        <n v="9.9"/>
        <n v="9.5"/>
        <n v="2.7"/>
        <n v="2.2"/>
        <n v="2.9"/>
      </sharedItems>
    </cacheField>
    <cacheField name="总成绩" numFmtId="0">
      <sharedItems containsSemiMixedTypes="0" containsString="0" containsNumber="1" minValue="50" maxValue="95" count="312">
        <n v="71.7"/>
        <n v="72.7"/>
        <n v="74.5"/>
        <n v="75.6"/>
        <n v="77.1"/>
        <n v="73.7"/>
        <n v="74"/>
        <n v="73"/>
        <n v="73.1"/>
        <n v="74.7"/>
        <n v="75.3"/>
        <n v="75.4"/>
        <n v="70.9"/>
        <n v="66.8"/>
        <n v="73.9"/>
        <n v="70.2"/>
        <n v="72.2"/>
        <n v="75.9"/>
        <n v="70.3"/>
        <n v="71.6"/>
        <n v="74.8"/>
        <n v="72.3"/>
        <n v="73.2"/>
        <n v="71.4"/>
        <n v="76.5"/>
        <n v="76.4"/>
        <n v="68.5"/>
        <n v="82"/>
        <n v="86.1"/>
        <n v="84.7"/>
        <n v="81.7"/>
        <n v="76.2"/>
        <n v="73.4"/>
        <n v="73.3"/>
        <n v="72.5"/>
        <n v="73.6"/>
        <n v="75.7"/>
        <n v="75.1"/>
        <n v="69.6"/>
        <n v="74.6"/>
        <n v="74.1"/>
        <n v="70.6"/>
        <n v="74.2"/>
        <n v="68.2"/>
        <n v="76.6"/>
        <n v="71"/>
        <n v="76"/>
        <n v="69.3"/>
        <n v="67"/>
        <n v="78.9"/>
        <n v="79.7"/>
        <n v="69.2"/>
        <n v="68.3"/>
        <n v="68.4"/>
        <n v="68"/>
        <n v="71.1"/>
        <n v="80.3"/>
        <n v="76.3"/>
        <n v="80.1"/>
        <n v="83.1"/>
        <n v="85.7"/>
        <n v="78.5"/>
        <n v="77.7"/>
        <n v="72.9"/>
        <n v="79.3"/>
        <n v="78.8"/>
        <n v="77.4"/>
        <n v="77.6"/>
        <n v="78.2"/>
        <n v="81.5"/>
        <n v="81.9"/>
        <n v="76.9"/>
        <n v="72.8"/>
        <n v="69.8"/>
        <n v="70.7"/>
        <n v="72.6"/>
        <n v="69"/>
        <n v="71.5"/>
        <n v="72.4"/>
        <n v="80.6"/>
        <n v="80.7"/>
        <n v="67.9"/>
        <n v="70.5"/>
        <n v="69.7"/>
        <n v="71.3"/>
        <n v="66.9"/>
        <n v="68.1"/>
        <n v="66.5"/>
        <n v="65.1"/>
        <n v="70"/>
        <n v="67.1"/>
        <n v="77.9"/>
        <n v="74.4"/>
        <n v="75.5"/>
        <n v="68.6"/>
        <n v="70.4"/>
        <n v="76.1"/>
        <n v="77.3"/>
        <n v="73.5"/>
        <n v="78.1"/>
        <n v="65.4"/>
        <n v="64.1"/>
        <n v="66.7"/>
        <n v="67.2"/>
        <n v="65"/>
        <n v="69.5"/>
        <n v="65.5"/>
        <n v="68.9"/>
        <n v="66.6"/>
        <n v="67.7"/>
        <n v="66.4"/>
        <n v="63.5"/>
        <n v="65.7"/>
        <n v="64.3"/>
        <n v="86.5"/>
        <n v="65.2"/>
        <n v="64.7"/>
        <n v="65.9"/>
        <n v="61.4"/>
        <n v="64.8"/>
        <n v="64"/>
        <n v="63.1"/>
        <n v="63"/>
        <n v="65.6"/>
        <n v="67.8"/>
        <n v="64.2"/>
        <n v="81.4"/>
        <n v="75"/>
        <n v="77.8"/>
        <n v="81.8"/>
        <n v="79"/>
        <n v="84.9"/>
        <n v="78.7"/>
        <n v="77.5"/>
        <n v="79.1"/>
        <n v="79.2"/>
        <n v="81.3"/>
        <n v="79.5"/>
        <n v="75.8"/>
        <n v="78.6"/>
        <n v="81.6"/>
        <n v="74.3"/>
        <n v="79.6"/>
        <n v="81"/>
        <n v="74.9"/>
        <n v="77.2"/>
        <n v="82.2"/>
        <n v="80.2"/>
        <n v="81.1"/>
        <n v="80.8"/>
        <n v="78"/>
        <n v="84.4"/>
        <n v="86"/>
        <n v="90.7"/>
        <n v="85.9"/>
        <n v="89.3"/>
        <n v="86.7"/>
        <n v="76.7"/>
        <n v="76.8"/>
        <n v="80.4"/>
        <n v="82.4"/>
        <n v="78.4"/>
        <n v="78.3"/>
        <n v="72"/>
        <n v="79.9"/>
        <n v="84.1"/>
        <n v="72.1"/>
        <n v="87.2"/>
        <n v="84.5"/>
        <n v="86.3"/>
        <n v="75.2"/>
        <n v="73.8"/>
        <n v="81.2"/>
        <n v="80"/>
        <n v="86.4"/>
        <n v="83.9"/>
        <n v="85.4"/>
        <n v="82.8"/>
        <n v="88.7"/>
        <n v="82.9"/>
        <n v="84"/>
        <n v="85.8"/>
        <n v="92.2"/>
        <n v="91.3"/>
        <n v="93"/>
        <n v="85.3"/>
        <n v="83.2"/>
        <n v="84.8"/>
        <n v="83.7"/>
        <n v="82.3"/>
        <n v="87.3"/>
        <n v="77"/>
        <n v="86.2"/>
        <n v="87.7"/>
        <n v="82.7"/>
        <n v="85.2"/>
        <n v="50"/>
        <n v="84.2"/>
        <n v="79.8"/>
        <n v="94.7"/>
        <n v="95"/>
        <n v="82.1"/>
        <n v="83.5"/>
        <n v="80.9"/>
        <n v="82.6"/>
        <n v="91.1"/>
        <n v="64.4"/>
        <n v="69.1"/>
        <n v="70.1"/>
        <n v="66.3"/>
        <n v="71.9"/>
        <n v="69.4"/>
        <n v="68.7"/>
        <n v="71.2"/>
        <n v="85.1"/>
        <n v="68.8"/>
        <n v="67.3"/>
        <n v="63.7"/>
        <n v="71.8"/>
        <n v="63.6"/>
        <n v="67.4"/>
        <n v="79.4"/>
        <n v="84.3"/>
        <n v="90.5"/>
        <n v="91.5"/>
        <n v="91"/>
        <n v="85.5"/>
        <n v="84.6"/>
        <n v="89"/>
        <n v="90"/>
        <n v="90.8"/>
        <n v="89.9"/>
        <n v="80.5"/>
        <n v="82.5"/>
        <n v="83.8"/>
        <n v="83"/>
        <n v="89.7"/>
        <n v="85.6"/>
        <n v="86.9"/>
        <n v="90.1"/>
        <n v="86.6"/>
        <n v="83.6"/>
        <n v="91.6"/>
        <n v="88.8"/>
        <n v="90.3"/>
        <n v="70.8"/>
        <n v="69.9"/>
        <n v="89.2"/>
        <n v="91.7"/>
        <n v="87"/>
        <n v="88.2"/>
        <n v="83.3"/>
        <n v="67.5"/>
        <n v="66.1"/>
        <n v="66.2"/>
        <n v="67.6"/>
        <n v="66"/>
        <n v="64.5"/>
        <n v="63.9"/>
        <n v="65.8"/>
        <n v="63.3"/>
        <n v="64.6"/>
        <n v="64.9"/>
        <n v="62.6"/>
        <n v="65.3"/>
        <n v="63.8"/>
        <n v="61.6"/>
        <n v="60.9"/>
        <n v="62.5"/>
        <n v="62.2"/>
        <n v="62.3"/>
        <n v="61.7"/>
        <n v="62.7"/>
        <n v="60.1"/>
        <n v="62.4"/>
        <n v="62.9"/>
        <n v="62"/>
        <n v="59.7"/>
        <n v="60.4"/>
        <n v="61.3"/>
        <n v="61.8"/>
        <n v="58.4"/>
        <n v="58.1"/>
        <n v="57.9"/>
        <n v="57.1"/>
        <n v="62.1"/>
        <n v="55.8"/>
        <n v="59.9"/>
        <n v="59.6"/>
        <n v="58.5"/>
        <n v="58.3"/>
        <n v="60.3"/>
        <n v="57.8"/>
        <n v="55.9"/>
        <n v="60.5"/>
        <n v="58.8"/>
        <n v="59.1"/>
        <n v="63.2"/>
        <n v="59.4"/>
        <n v="61.1"/>
        <n v="61.5"/>
        <n v="59.3"/>
        <n v="57.6"/>
        <n v="59.8"/>
        <n v="56.6"/>
        <n v="58.7"/>
        <n v="60"/>
        <n v="60.2"/>
        <n v="61"/>
        <n v="58.9"/>
        <n v="63.4"/>
        <n v="61.2"/>
      </sharedItems>
    </cacheField>
    <cacheField name="专业2" numFmtId="0" databaseField="0">
      <fieldGroup base="2">
        <discretePr count="6">
          <x v="0"/>
          <x v="1"/>
          <x v="1"/>
          <x v="1"/>
          <x v="0"/>
          <x v="0"/>
        </discretePr>
        <groupItems count="2">
          <s v="数据组2"/>
          <s v="数据组1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94">
  <r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1"/>
    <x v="1"/>
    <x v="1"/>
    <x v="1"/>
    <x v="1"/>
    <x v="1"/>
    <x v="1"/>
    <x v="1"/>
    <x v="1"/>
    <x v="0"/>
    <x v="1"/>
  </r>
  <r>
    <x v="2"/>
    <x v="0"/>
    <x v="0"/>
    <x v="2"/>
    <x v="2"/>
    <x v="2"/>
    <x v="2"/>
    <x v="2"/>
    <x v="2"/>
    <x v="2"/>
    <x v="2"/>
    <x v="2"/>
    <x v="1"/>
    <x v="2"/>
  </r>
  <r>
    <x v="3"/>
    <x v="0"/>
    <x v="0"/>
    <x v="3"/>
    <x v="0"/>
    <x v="3"/>
    <x v="3"/>
    <x v="3"/>
    <x v="3"/>
    <x v="3"/>
    <x v="3"/>
    <x v="3"/>
    <x v="2"/>
    <x v="3"/>
  </r>
  <r>
    <x v="4"/>
    <x v="0"/>
    <x v="0"/>
    <x v="4"/>
    <x v="3"/>
    <x v="4"/>
    <x v="4"/>
    <x v="4"/>
    <x v="4"/>
    <x v="4"/>
    <x v="4"/>
    <x v="4"/>
    <x v="3"/>
    <x v="1"/>
  </r>
  <r>
    <x v="5"/>
    <x v="0"/>
    <x v="0"/>
    <x v="5"/>
    <x v="1"/>
    <x v="5"/>
    <x v="5"/>
    <x v="5"/>
    <x v="5"/>
    <x v="5"/>
    <x v="5"/>
    <x v="5"/>
    <x v="4"/>
    <x v="4"/>
  </r>
  <r>
    <x v="6"/>
    <x v="0"/>
    <x v="0"/>
    <x v="6"/>
    <x v="4"/>
    <x v="6"/>
    <x v="4"/>
    <x v="6"/>
    <x v="6"/>
    <x v="6"/>
    <x v="4"/>
    <x v="6"/>
    <x v="5"/>
    <x v="5"/>
  </r>
  <r>
    <x v="7"/>
    <x v="0"/>
    <x v="0"/>
    <x v="7"/>
    <x v="0"/>
    <x v="7"/>
    <x v="0"/>
    <x v="7"/>
    <x v="7"/>
    <x v="7"/>
    <x v="6"/>
    <x v="0"/>
    <x v="6"/>
    <x v="6"/>
  </r>
  <r>
    <x v="8"/>
    <x v="0"/>
    <x v="0"/>
    <x v="8"/>
    <x v="0"/>
    <x v="8"/>
    <x v="6"/>
    <x v="8"/>
    <x v="5"/>
    <x v="8"/>
    <x v="7"/>
    <x v="7"/>
    <x v="7"/>
    <x v="7"/>
  </r>
  <r>
    <x v="9"/>
    <x v="0"/>
    <x v="0"/>
    <x v="6"/>
    <x v="5"/>
    <x v="9"/>
    <x v="2"/>
    <x v="9"/>
    <x v="8"/>
    <x v="9"/>
    <x v="3"/>
    <x v="8"/>
    <x v="7"/>
    <x v="8"/>
  </r>
  <r>
    <x v="10"/>
    <x v="0"/>
    <x v="0"/>
    <x v="9"/>
    <x v="6"/>
    <x v="10"/>
    <x v="4"/>
    <x v="10"/>
    <x v="0"/>
    <x v="2"/>
    <x v="8"/>
    <x v="9"/>
    <x v="8"/>
    <x v="9"/>
  </r>
  <r>
    <x v="11"/>
    <x v="0"/>
    <x v="0"/>
    <x v="8"/>
    <x v="6"/>
    <x v="2"/>
    <x v="7"/>
    <x v="11"/>
    <x v="9"/>
    <x v="10"/>
    <x v="0"/>
    <x v="10"/>
    <x v="9"/>
    <x v="10"/>
  </r>
  <r>
    <x v="12"/>
    <x v="0"/>
    <x v="0"/>
    <x v="4"/>
    <x v="7"/>
    <x v="9"/>
    <x v="8"/>
    <x v="3"/>
    <x v="10"/>
    <x v="11"/>
    <x v="9"/>
    <x v="11"/>
    <x v="10"/>
    <x v="11"/>
  </r>
  <r>
    <x v="13"/>
    <x v="0"/>
    <x v="0"/>
    <x v="1"/>
    <x v="8"/>
    <x v="3"/>
    <x v="3"/>
    <x v="6"/>
    <x v="11"/>
    <x v="12"/>
    <x v="10"/>
    <x v="12"/>
    <x v="6"/>
    <x v="12"/>
  </r>
  <r>
    <x v="14"/>
    <x v="0"/>
    <x v="0"/>
    <x v="10"/>
    <x v="9"/>
    <x v="9"/>
    <x v="4"/>
    <x v="2"/>
    <x v="12"/>
    <x v="13"/>
    <x v="11"/>
    <x v="3"/>
    <x v="11"/>
    <x v="13"/>
  </r>
  <r>
    <x v="15"/>
    <x v="0"/>
    <x v="0"/>
    <x v="5"/>
    <x v="8"/>
    <x v="11"/>
    <x v="9"/>
    <x v="12"/>
    <x v="8"/>
    <x v="14"/>
    <x v="12"/>
    <x v="5"/>
    <x v="12"/>
    <x v="14"/>
  </r>
  <r>
    <x v="16"/>
    <x v="0"/>
    <x v="0"/>
    <x v="8"/>
    <x v="0"/>
    <x v="12"/>
    <x v="10"/>
    <x v="13"/>
    <x v="13"/>
    <x v="15"/>
    <x v="13"/>
    <x v="13"/>
    <x v="1"/>
    <x v="15"/>
  </r>
  <r>
    <x v="17"/>
    <x v="0"/>
    <x v="0"/>
    <x v="2"/>
    <x v="10"/>
    <x v="2"/>
    <x v="11"/>
    <x v="5"/>
    <x v="14"/>
    <x v="16"/>
    <x v="14"/>
    <x v="10"/>
    <x v="13"/>
    <x v="16"/>
  </r>
  <r>
    <x v="18"/>
    <x v="0"/>
    <x v="0"/>
    <x v="2"/>
    <x v="5"/>
    <x v="13"/>
    <x v="12"/>
    <x v="14"/>
    <x v="3"/>
    <x v="17"/>
    <x v="4"/>
    <x v="14"/>
    <x v="14"/>
    <x v="17"/>
  </r>
  <r>
    <x v="19"/>
    <x v="0"/>
    <x v="0"/>
    <x v="1"/>
    <x v="8"/>
    <x v="2"/>
    <x v="3"/>
    <x v="9"/>
    <x v="4"/>
    <x v="9"/>
    <x v="15"/>
    <x v="15"/>
    <x v="15"/>
    <x v="18"/>
  </r>
  <r>
    <x v="20"/>
    <x v="0"/>
    <x v="0"/>
    <x v="1"/>
    <x v="9"/>
    <x v="11"/>
    <x v="13"/>
    <x v="13"/>
    <x v="8"/>
    <x v="1"/>
    <x v="0"/>
    <x v="1"/>
    <x v="16"/>
    <x v="19"/>
  </r>
  <r>
    <x v="21"/>
    <x v="0"/>
    <x v="0"/>
    <x v="11"/>
    <x v="5"/>
    <x v="14"/>
    <x v="6"/>
    <x v="1"/>
    <x v="0"/>
    <x v="0"/>
    <x v="6"/>
    <x v="9"/>
    <x v="0"/>
    <x v="20"/>
  </r>
  <r>
    <x v="22"/>
    <x v="0"/>
    <x v="0"/>
    <x v="1"/>
    <x v="7"/>
    <x v="15"/>
    <x v="9"/>
    <x v="15"/>
    <x v="15"/>
    <x v="8"/>
    <x v="16"/>
    <x v="13"/>
    <x v="17"/>
    <x v="21"/>
  </r>
  <r>
    <x v="23"/>
    <x v="0"/>
    <x v="0"/>
    <x v="8"/>
    <x v="7"/>
    <x v="8"/>
    <x v="14"/>
    <x v="16"/>
    <x v="7"/>
    <x v="18"/>
    <x v="3"/>
    <x v="0"/>
    <x v="18"/>
    <x v="22"/>
  </r>
  <r>
    <x v="24"/>
    <x v="0"/>
    <x v="0"/>
    <x v="3"/>
    <x v="11"/>
    <x v="16"/>
    <x v="13"/>
    <x v="6"/>
    <x v="3"/>
    <x v="10"/>
    <x v="9"/>
    <x v="16"/>
    <x v="2"/>
    <x v="11"/>
  </r>
  <r>
    <x v="25"/>
    <x v="0"/>
    <x v="0"/>
    <x v="12"/>
    <x v="1"/>
    <x v="11"/>
    <x v="15"/>
    <x v="8"/>
    <x v="0"/>
    <x v="11"/>
    <x v="15"/>
    <x v="9"/>
    <x v="14"/>
    <x v="3"/>
  </r>
  <r>
    <x v="26"/>
    <x v="0"/>
    <x v="0"/>
    <x v="13"/>
    <x v="7"/>
    <x v="2"/>
    <x v="11"/>
    <x v="17"/>
    <x v="0"/>
    <x v="16"/>
    <x v="17"/>
    <x v="5"/>
    <x v="19"/>
    <x v="23"/>
  </r>
  <r>
    <x v="27"/>
    <x v="0"/>
    <x v="0"/>
    <x v="7"/>
    <x v="7"/>
    <x v="15"/>
    <x v="2"/>
    <x v="18"/>
    <x v="12"/>
    <x v="7"/>
    <x v="12"/>
    <x v="8"/>
    <x v="13"/>
    <x v="24"/>
  </r>
  <r>
    <x v="28"/>
    <x v="0"/>
    <x v="0"/>
    <x v="2"/>
    <x v="12"/>
    <x v="10"/>
    <x v="4"/>
    <x v="3"/>
    <x v="13"/>
    <x v="10"/>
    <x v="8"/>
    <x v="4"/>
    <x v="0"/>
    <x v="25"/>
  </r>
  <r>
    <x v="29"/>
    <x v="0"/>
    <x v="0"/>
    <x v="6"/>
    <x v="13"/>
    <x v="17"/>
    <x v="3"/>
    <x v="16"/>
    <x v="12"/>
    <x v="19"/>
    <x v="13"/>
    <x v="0"/>
    <x v="20"/>
    <x v="26"/>
  </r>
  <r>
    <x v="30"/>
    <x v="0"/>
    <x v="0"/>
    <x v="6"/>
    <x v="10"/>
    <x v="3"/>
    <x v="0"/>
    <x v="19"/>
    <x v="7"/>
    <x v="20"/>
    <x v="18"/>
    <x v="17"/>
    <x v="21"/>
    <x v="23"/>
  </r>
  <r>
    <x v="31"/>
    <x v="0"/>
    <x v="0"/>
    <x v="0"/>
    <x v="14"/>
    <x v="18"/>
    <x v="3"/>
    <x v="20"/>
    <x v="13"/>
    <x v="21"/>
    <x v="19"/>
    <x v="18"/>
    <x v="22"/>
    <x v="27"/>
  </r>
  <r>
    <x v="32"/>
    <x v="0"/>
    <x v="0"/>
    <x v="14"/>
    <x v="15"/>
    <x v="18"/>
    <x v="16"/>
    <x v="21"/>
    <x v="16"/>
    <x v="22"/>
    <x v="20"/>
    <x v="3"/>
    <x v="23"/>
    <x v="28"/>
  </r>
  <r>
    <x v="33"/>
    <x v="0"/>
    <x v="0"/>
    <x v="14"/>
    <x v="1"/>
    <x v="18"/>
    <x v="17"/>
    <x v="22"/>
    <x v="17"/>
    <x v="23"/>
    <x v="1"/>
    <x v="4"/>
    <x v="24"/>
    <x v="29"/>
  </r>
  <r>
    <x v="34"/>
    <x v="0"/>
    <x v="0"/>
    <x v="14"/>
    <x v="16"/>
    <x v="17"/>
    <x v="17"/>
    <x v="23"/>
    <x v="18"/>
    <x v="6"/>
    <x v="18"/>
    <x v="19"/>
    <x v="7"/>
    <x v="30"/>
  </r>
  <r>
    <x v="35"/>
    <x v="0"/>
    <x v="0"/>
    <x v="4"/>
    <x v="7"/>
    <x v="10"/>
    <x v="18"/>
    <x v="16"/>
    <x v="11"/>
    <x v="15"/>
    <x v="21"/>
    <x v="17"/>
    <x v="0"/>
    <x v="19"/>
  </r>
  <r>
    <x v="36"/>
    <x v="0"/>
    <x v="0"/>
    <x v="6"/>
    <x v="7"/>
    <x v="5"/>
    <x v="4"/>
    <x v="0"/>
    <x v="4"/>
    <x v="24"/>
    <x v="20"/>
    <x v="4"/>
    <x v="8"/>
    <x v="7"/>
  </r>
  <r>
    <x v="37"/>
    <x v="0"/>
    <x v="0"/>
    <x v="15"/>
    <x v="4"/>
    <x v="19"/>
    <x v="0"/>
    <x v="8"/>
    <x v="19"/>
    <x v="14"/>
    <x v="10"/>
    <x v="20"/>
    <x v="13"/>
    <x v="9"/>
  </r>
  <r>
    <x v="38"/>
    <x v="0"/>
    <x v="0"/>
    <x v="7"/>
    <x v="5"/>
    <x v="19"/>
    <x v="19"/>
    <x v="19"/>
    <x v="20"/>
    <x v="25"/>
    <x v="16"/>
    <x v="19"/>
    <x v="8"/>
    <x v="31"/>
  </r>
  <r>
    <x v="39"/>
    <x v="0"/>
    <x v="0"/>
    <x v="8"/>
    <x v="17"/>
    <x v="10"/>
    <x v="16"/>
    <x v="20"/>
    <x v="15"/>
    <x v="3"/>
    <x v="16"/>
    <x v="21"/>
    <x v="15"/>
    <x v="32"/>
  </r>
  <r>
    <x v="40"/>
    <x v="0"/>
    <x v="0"/>
    <x v="16"/>
    <x v="3"/>
    <x v="6"/>
    <x v="12"/>
    <x v="20"/>
    <x v="9"/>
    <x v="26"/>
    <x v="19"/>
    <x v="5"/>
    <x v="1"/>
    <x v="7"/>
  </r>
  <r>
    <x v="41"/>
    <x v="0"/>
    <x v="0"/>
    <x v="2"/>
    <x v="17"/>
    <x v="15"/>
    <x v="12"/>
    <x v="24"/>
    <x v="11"/>
    <x v="0"/>
    <x v="9"/>
    <x v="22"/>
    <x v="25"/>
    <x v="33"/>
  </r>
  <r>
    <x v="42"/>
    <x v="0"/>
    <x v="0"/>
    <x v="10"/>
    <x v="16"/>
    <x v="9"/>
    <x v="14"/>
    <x v="14"/>
    <x v="21"/>
    <x v="3"/>
    <x v="20"/>
    <x v="23"/>
    <x v="8"/>
    <x v="34"/>
  </r>
  <r>
    <x v="43"/>
    <x v="0"/>
    <x v="0"/>
    <x v="7"/>
    <x v="17"/>
    <x v="4"/>
    <x v="12"/>
    <x v="24"/>
    <x v="11"/>
    <x v="2"/>
    <x v="3"/>
    <x v="6"/>
    <x v="16"/>
    <x v="35"/>
  </r>
  <r>
    <x v="44"/>
    <x v="0"/>
    <x v="0"/>
    <x v="10"/>
    <x v="1"/>
    <x v="20"/>
    <x v="9"/>
    <x v="19"/>
    <x v="22"/>
    <x v="16"/>
    <x v="5"/>
    <x v="0"/>
    <x v="26"/>
    <x v="36"/>
  </r>
  <r>
    <x v="45"/>
    <x v="0"/>
    <x v="0"/>
    <x v="2"/>
    <x v="8"/>
    <x v="4"/>
    <x v="20"/>
    <x v="3"/>
    <x v="13"/>
    <x v="1"/>
    <x v="7"/>
    <x v="24"/>
    <x v="8"/>
    <x v="10"/>
  </r>
  <r>
    <x v="46"/>
    <x v="0"/>
    <x v="0"/>
    <x v="17"/>
    <x v="18"/>
    <x v="10"/>
    <x v="1"/>
    <x v="11"/>
    <x v="12"/>
    <x v="9"/>
    <x v="0"/>
    <x v="7"/>
    <x v="2"/>
    <x v="37"/>
  </r>
  <r>
    <x v="47"/>
    <x v="0"/>
    <x v="0"/>
    <x v="2"/>
    <x v="13"/>
    <x v="21"/>
    <x v="10"/>
    <x v="10"/>
    <x v="23"/>
    <x v="6"/>
    <x v="0"/>
    <x v="18"/>
    <x v="27"/>
    <x v="9"/>
  </r>
  <r>
    <x v="48"/>
    <x v="0"/>
    <x v="0"/>
    <x v="3"/>
    <x v="7"/>
    <x v="15"/>
    <x v="10"/>
    <x v="13"/>
    <x v="11"/>
    <x v="1"/>
    <x v="22"/>
    <x v="7"/>
    <x v="28"/>
    <x v="2"/>
  </r>
  <r>
    <x v="49"/>
    <x v="0"/>
    <x v="0"/>
    <x v="9"/>
    <x v="5"/>
    <x v="2"/>
    <x v="21"/>
    <x v="21"/>
    <x v="24"/>
    <x v="7"/>
    <x v="23"/>
    <x v="0"/>
    <x v="8"/>
    <x v="2"/>
  </r>
  <r>
    <x v="50"/>
    <x v="0"/>
    <x v="0"/>
    <x v="7"/>
    <x v="6"/>
    <x v="4"/>
    <x v="22"/>
    <x v="18"/>
    <x v="0"/>
    <x v="27"/>
    <x v="0"/>
    <x v="25"/>
    <x v="29"/>
    <x v="18"/>
  </r>
  <r>
    <x v="51"/>
    <x v="0"/>
    <x v="0"/>
    <x v="16"/>
    <x v="19"/>
    <x v="2"/>
    <x v="3"/>
    <x v="17"/>
    <x v="5"/>
    <x v="28"/>
    <x v="8"/>
    <x v="20"/>
    <x v="12"/>
    <x v="38"/>
  </r>
  <r>
    <x v="52"/>
    <x v="0"/>
    <x v="0"/>
    <x v="16"/>
    <x v="5"/>
    <x v="14"/>
    <x v="22"/>
    <x v="11"/>
    <x v="25"/>
    <x v="8"/>
    <x v="3"/>
    <x v="26"/>
    <x v="13"/>
    <x v="39"/>
  </r>
  <r>
    <x v="53"/>
    <x v="0"/>
    <x v="0"/>
    <x v="8"/>
    <x v="3"/>
    <x v="6"/>
    <x v="14"/>
    <x v="6"/>
    <x v="26"/>
    <x v="6"/>
    <x v="9"/>
    <x v="5"/>
    <x v="29"/>
    <x v="19"/>
  </r>
  <r>
    <x v="54"/>
    <x v="0"/>
    <x v="0"/>
    <x v="1"/>
    <x v="20"/>
    <x v="16"/>
    <x v="15"/>
    <x v="10"/>
    <x v="8"/>
    <x v="29"/>
    <x v="9"/>
    <x v="5"/>
    <x v="12"/>
    <x v="15"/>
  </r>
  <r>
    <x v="55"/>
    <x v="0"/>
    <x v="0"/>
    <x v="4"/>
    <x v="20"/>
    <x v="16"/>
    <x v="15"/>
    <x v="11"/>
    <x v="8"/>
    <x v="17"/>
    <x v="19"/>
    <x v="27"/>
    <x v="22"/>
    <x v="40"/>
  </r>
  <r>
    <x v="56"/>
    <x v="0"/>
    <x v="0"/>
    <x v="2"/>
    <x v="21"/>
    <x v="3"/>
    <x v="10"/>
    <x v="8"/>
    <x v="26"/>
    <x v="15"/>
    <x v="24"/>
    <x v="28"/>
    <x v="26"/>
    <x v="41"/>
  </r>
  <r>
    <x v="57"/>
    <x v="0"/>
    <x v="0"/>
    <x v="6"/>
    <x v="8"/>
    <x v="6"/>
    <x v="6"/>
    <x v="5"/>
    <x v="11"/>
    <x v="7"/>
    <x v="15"/>
    <x v="26"/>
    <x v="8"/>
    <x v="42"/>
  </r>
  <r>
    <x v="58"/>
    <x v="0"/>
    <x v="0"/>
    <x v="18"/>
    <x v="3"/>
    <x v="22"/>
    <x v="15"/>
    <x v="25"/>
    <x v="2"/>
    <x v="8"/>
    <x v="4"/>
    <x v="29"/>
    <x v="18"/>
    <x v="11"/>
  </r>
  <r>
    <x v="59"/>
    <x v="0"/>
    <x v="0"/>
    <x v="4"/>
    <x v="3"/>
    <x v="7"/>
    <x v="6"/>
    <x v="11"/>
    <x v="11"/>
    <x v="24"/>
    <x v="25"/>
    <x v="1"/>
    <x v="30"/>
    <x v="43"/>
  </r>
  <r>
    <x v="60"/>
    <x v="0"/>
    <x v="0"/>
    <x v="2"/>
    <x v="7"/>
    <x v="7"/>
    <x v="0"/>
    <x v="14"/>
    <x v="18"/>
    <x v="22"/>
    <x v="26"/>
    <x v="28"/>
    <x v="18"/>
    <x v="32"/>
  </r>
  <r>
    <x v="61"/>
    <x v="0"/>
    <x v="0"/>
    <x v="6"/>
    <x v="21"/>
    <x v="23"/>
    <x v="18"/>
    <x v="18"/>
    <x v="27"/>
    <x v="0"/>
    <x v="10"/>
    <x v="3"/>
    <x v="30"/>
    <x v="14"/>
  </r>
  <r>
    <x v="62"/>
    <x v="0"/>
    <x v="0"/>
    <x v="13"/>
    <x v="7"/>
    <x v="15"/>
    <x v="13"/>
    <x v="11"/>
    <x v="11"/>
    <x v="24"/>
    <x v="16"/>
    <x v="30"/>
    <x v="31"/>
    <x v="37"/>
  </r>
  <r>
    <x v="63"/>
    <x v="0"/>
    <x v="0"/>
    <x v="10"/>
    <x v="4"/>
    <x v="13"/>
    <x v="12"/>
    <x v="26"/>
    <x v="22"/>
    <x v="30"/>
    <x v="27"/>
    <x v="19"/>
    <x v="22"/>
    <x v="44"/>
  </r>
  <r>
    <x v="64"/>
    <x v="0"/>
    <x v="0"/>
    <x v="15"/>
    <x v="22"/>
    <x v="12"/>
    <x v="1"/>
    <x v="11"/>
    <x v="14"/>
    <x v="20"/>
    <x v="3"/>
    <x v="30"/>
    <x v="3"/>
    <x v="14"/>
  </r>
  <r>
    <x v="65"/>
    <x v="0"/>
    <x v="0"/>
    <x v="10"/>
    <x v="16"/>
    <x v="10"/>
    <x v="22"/>
    <x v="10"/>
    <x v="17"/>
    <x v="28"/>
    <x v="28"/>
    <x v="31"/>
    <x v="25"/>
    <x v="25"/>
  </r>
  <r>
    <x v="66"/>
    <x v="0"/>
    <x v="0"/>
    <x v="17"/>
    <x v="22"/>
    <x v="4"/>
    <x v="23"/>
    <x v="22"/>
    <x v="11"/>
    <x v="31"/>
    <x v="14"/>
    <x v="1"/>
    <x v="12"/>
    <x v="37"/>
  </r>
  <r>
    <x v="67"/>
    <x v="0"/>
    <x v="0"/>
    <x v="17"/>
    <x v="3"/>
    <x v="14"/>
    <x v="23"/>
    <x v="8"/>
    <x v="15"/>
    <x v="18"/>
    <x v="0"/>
    <x v="32"/>
    <x v="12"/>
    <x v="6"/>
  </r>
  <r>
    <x v="68"/>
    <x v="0"/>
    <x v="0"/>
    <x v="3"/>
    <x v="10"/>
    <x v="5"/>
    <x v="2"/>
    <x v="24"/>
    <x v="11"/>
    <x v="32"/>
    <x v="29"/>
    <x v="4"/>
    <x v="32"/>
    <x v="45"/>
  </r>
  <r>
    <x v="69"/>
    <x v="1"/>
    <x v="1"/>
    <x v="19"/>
    <x v="2"/>
    <x v="5"/>
    <x v="2"/>
    <x v="11"/>
    <x v="22"/>
    <x v="29"/>
    <x v="19"/>
    <x v="33"/>
    <x v="7"/>
    <x v="21"/>
  </r>
  <r>
    <x v="70"/>
    <x v="1"/>
    <x v="1"/>
    <x v="3"/>
    <x v="3"/>
    <x v="24"/>
    <x v="10"/>
    <x v="27"/>
    <x v="28"/>
    <x v="16"/>
    <x v="30"/>
    <x v="32"/>
    <x v="33"/>
    <x v="46"/>
  </r>
  <r>
    <x v="71"/>
    <x v="1"/>
    <x v="1"/>
    <x v="1"/>
    <x v="22"/>
    <x v="15"/>
    <x v="14"/>
    <x v="5"/>
    <x v="7"/>
    <x v="7"/>
    <x v="23"/>
    <x v="34"/>
    <x v="13"/>
    <x v="42"/>
  </r>
  <r>
    <x v="72"/>
    <x v="1"/>
    <x v="1"/>
    <x v="13"/>
    <x v="10"/>
    <x v="13"/>
    <x v="12"/>
    <x v="28"/>
    <x v="24"/>
    <x v="33"/>
    <x v="15"/>
    <x v="3"/>
    <x v="18"/>
    <x v="47"/>
  </r>
  <r>
    <x v="73"/>
    <x v="1"/>
    <x v="1"/>
    <x v="16"/>
    <x v="10"/>
    <x v="19"/>
    <x v="11"/>
    <x v="0"/>
    <x v="7"/>
    <x v="34"/>
    <x v="9"/>
    <x v="0"/>
    <x v="8"/>
    <x v="19"/>
  </r>
  <r>
    <x v="74"/>
    <x v="1"/>
    <x v="1"/>
    <x v="10"/>
    <x v="18"/>
    <x v="9"/>
    <x v="21"/>
    <x v="16"/>
    <x v="24"/>
    <x v="20"/>
    <x v="31"/>
    <x v="32"/>
    <x v="3"/>
    <x v="48"/>
  </r>
  <r>
    <x v="75"/>
    <x v="1"/>
    <x v="1"/>
    <x v="14"/>
    <x v="15"/>
    <x v="12"/>
    <x v="18"/>
    <x v="3"/>
    <x v="29"/>
    <x v="35"/>
    <x v="32"/>
    <x v="32"/>
    <x v="29"/>
    <x v="49"/>
  </r>
  <r>
    <x v="76"/>
    <x v="1"/>
    <x v="1"/>
    <x v="7"/>
    <x v="14"/>
    <x v="6"/>
    <x v="8"/>
    <x v="26"/>
    <x v="27"/>
    <x v="34"/>
    <x v="9"/>
    <x v="4"/>
    <x v="8"/>
    <x v="50"/>
  </r>
  <r>
    <x v="77"/>
    <x v="1"/>
    <x v="1"/>
    <x v="4"/>
    <x v="1"/>
    <x v="11"/>
    <x v="0"/>
    <x v="26"/>
    <x v="14"/>
    <x v="28"/>
    <x v="28"/>
    <x v="17"/>
    <x v="17"/>
    <x v="14"/>
  </r>
  <r>
    <x v="78"/>
    <x v="1"/>
    <x v="1"/>
    <x v="6"/>
    <x v="6"/>
    <x v="15"/>
    <x v="22"/>
    <x v="29"/>
    <x v="15"/>
    <x v="36"/>
    <x v="24"/>
    <x v="34"/>
    <x v="34"/>
    <x v="51"/>
  </r>
  <r>
    <x v="79"/>
    <x v="1"/>
    <x v="1"/>
    <x v="6"/>
    <x v="8"/>
    <x v="4"/>
    <x v="12"/>
    <x v="14"/>
    <x v="0"/>
    <x v="12"/>
    <x v="0"/>
    <x v="27"/>
    <x v="35"/>
    <x v="51"/>
  </r>
  <r>
    <x v="80"/>
    <x v="1"/>
    <x v="1"/>
    <x v="8"/>
    <x v="2"/>
    <x v="16"/>
    <x v="3"/>
    <x v="6"/>
    <x v="0"/>
    <x v="3"/>
    <x v="1"/>
    <x v="10"/>
    <x v="19"/>
    <x v="33"/>
  </r>
  <r>
    <x v="81"/>
    <x v="1"/>
    <x v="1"/>
    <x v="10"/>
    <x v="21"/>
    <x v="24"/>
    <x v="0"/>
    <x v="10"/>
    <x v="30"/>
    <x v="19"/>
    <x v="16"/>
    <x v="11"/>
    <x v="36"/>
    <x v="52"/>
  </r>
  <r>
    <x v="82"/>
    <x v="1"/>
    <x v="1"/>
    <x v="20"/>
    <x v="7"/>
    <x v="3"/>
    <x v="15"/>
    <x v="8"/>
    <x v="28"/>
    <x v="6"/>
    <x v="21"/>
    <x v="13"/>
    <x v="25"/>
    <x v="47"/>
  </r>
  <r>
    <x v="83"/>
    <x v="1"/>
    <x v="1"/>
    <x v="19"/>
    <x v="0"/>
    <x v="15"/>
    <x v="15"/>
    <x v="20"/>
    <x v="24"/>
    <x v="26"/>
    <x v="0"/>
    <x v="35"/>
    <x v="7"/>
    <x v="38"/>
  </r>
  <r>
    <x v="84"/>
    <x v="1"/>
    <x v="1"/>
    <x v="12"/>
    <x v="17"/>
    <x v="13"/>
    <x v="0"/>
    <x v="6"/>
    <x v="11"/>
    <x v="6"/>
    <x v="26"/>
    <x v="17"/>
    <x v="29"/>
    <x v="53"/>
  </r>
  <r>
    <x v="85"/>
    <x v="1"/>
    <x v="1"/>
    <x v="1"/>
    <x v="11"/>
    <x v="9"/>
    <x v="15"/>
    <x v="8"/>
    <x v="5"/>
    <x v="5"/>
    <x v="33"/>
    <x v="11"/>
    <x v="37"/>
    <x v="53"/>
  </r>
  <r>
    <x v="86"/>
    <x v="1"/>
    <x v="1"/>
    <x v="11"/>
    <x v="23"/>
    <x v="24"/>
    <x v="6"/>
    <x v="6"/>
    <x v="20"/>
    <x v="16"/>
    <x v="34"/>
    <x v="20"/>
    <x v="37"/>
    <x v="54"/>
  </r>
  <r>
    <x v="87"/>
    <x v="1"/>
    <x v="1"/>
    <x v="7"/>
    <x v="20"/>
    <x v="3"/>
    <x v="15"/>
    <x v="8"/>
    <x v="15"/>
    <x v="37"/>
    <x v="8"/>
    <x v="25"/>
    <x v="16"/>
    <x v="35"/>
  </r>
  <r>
    <x v="88"/>
    <x v="1"/>
    <x v="1"/>
    <x v="10"/>
    <x v="7"/>
    <x v="2"/>
    <x v="0"/>
    <x v="5"/>
    <x v="15"/>
    <x v="5"/>
    <x v="26"/>
    <x v="18"/>
    <x v="32"/>
    <x v="8"/>
  </r>
  <r>
    <x v="89"/>
    <x v="1"/>
    <x v="1"/>
    <x v="3"/>
    <x v="7"/>
    <x v="19"/>
    <x v="13"/>
    <x v="18"/>
    <x v="13"/>
    <x v="29"/>
    <x v="10"/>
    <x v="8"/>
    <x v="8"/>
    <x v="2"/>
  </r>
  <r>
    <x v="90"/>
    <x v="2"/>
    <x v="2"/>
    <x v="8"/>
    <x v="20"/>
    <x v="9"/>
    <x v="11"/>
    <x v="30"/>
    <x v="13"/>
    <x v="24"/>
    <x v="16"/>
    <x v="2"/>
    <x v="15"/>
    <x v="55"/>
  </r>
  <r>
    <x v="91"/>
    <x v="2"/>
    <x v="2"/>
    <x v="9"/>
    <x v="8"/>
    <x v="25"/>
    <x v="2"/>
    <x v="27"/>
    <x v="13"/>
    <x v="9"/>
    <x v="35"/>
    <x v="16"/>
    <x v="38"/>
    <x v="56"/>
  </r>
  <r>
    <x v="92"/>
    <x v="2"/>
    <x v="2"/>
    <x v="0"/>
    <x v="6"/>
    <x v="6"/>
    <x v="10"/>
    <x v="23"/>
    <x v="15"/>
    <x v="25"/>
    <x v="16"/>
    <x v="0"/>
    <x v="16"/>
    <x v="57"/>
  </r>
  <r>
    <x v="93"/>
    <x v="2"/>
    <x v="2"/>
    <x v="2"/>
    <x v="5"/>
    <x v="6"/>
    <x v="13"/>
    <x v="19"/>
    <x v="8"/>
    <x v="29"/>
    <x v="30"/>
    <x v="8"/>
    <x v="19"/>
    <x v="58"/>
  </r>
  <r>
    <x v="94"/>
    <x v="2"/>
    <x v="2"/>
    <x v="7"/>
    <x v="24"/>
    <x v="18"/>
    <x v="18"/>
    <x v="8"/>
    <x v="22"/>
    <x v="13"/>
    <x v="36"/>
    <x v="3"/>
    <x v="32"/>
    <x v="3"/>
  </r>
  <r>
    <x v="95"/>
    <x v="2"/>
    <x v="2"/>
    <x v="7"/>
    <x v="1"/>
    <x v="18"/>
    <x v="8"/>
    <x v="0"/>
    <x v="11"/>
    <x v="20"/>
    <x v="37"/>
    <x v="10"/>
    <x v="35"/>
    <x v="0"/>
  </r>
  <r>
    <x v="96"/>
    <x v="2"/>
    <x v="2"/>
    <x v="6"/>
    <x v="15"/>
    <x v="23"/>
    <x v="5"/>
    <x v="13"/>
    <x v="0"/>
    <x v="12"/>
    <x v="5"/>
    <x v="10"/>
    <x v="39"/>
    <x v="14"/>
  </r>
  <r>
    <x v="7"/>
    <x v="2"/>
    <x v="2"/>
    <x v="21"/>
    <x v="25"/>
    <x v="22"/>
    <x v="3"/>
    <x v="7"/>
    <x v="9"/>
    <x v="5"/>
    <x v="8"/>
    <x v="6"/>
    <x v="40"/>
    <x v="59"/>
  </r>
  <r>
    <x v="97"/>
    <x v="2"/>
    <x v="2"/>
    <x v="14"/>
    <x v="15"/>
    <x v="18"/>
    <x v="24"/>
    <x v="16"/>
    <x v="29"/>
    <x v="38"/>
    <x v="16"/>
    <x v="16"/>
    <x v="22"/>
    <x v="60"/>
  </r>
  <r>
    <x v="98"/>
    <x v="2"/>
    <x v="2"/>
    <x v="17"/>
    <x v="0"/>
    <x v="18"/>
    <x v="21"/>
    <x v="16"/>
    <x v="18"/>
    <x v="28"/>
    <x v="28"/>
    <x v="14"/>
    <x v="16"/>
    <x v="61"/>
  </r>
  <r>
    <x v="99"/>
    <x v="2"/>
    <x v="2"/>
    <x v="4"/>
    <x v="16"/>
    <x v="6"/>
    <x v="5"/>
    <x v="8"/>
    <x v="10"/>
    <x v="16"/>
    <x v="2"/>
    <x v="9"/>
    <x v="21"/>
    <x v="7"/>
  </r>
  <r>
    <x v="100"/>
    <x v="2"/>
    <x v="2"/>
    <x v="10"/>
    <x v="14"/>
    <x v="5"/>
    <x v="1"/>
    <x v="16"/>
    <x v="19"/>
    <x v="39"/>
    <x v="28"/>
    <x v="3"/>
    <x v="1"/>
    <x v="62"/>
  </r>
  <r>
    <x v="101"/>
    <x v="2"/>
    <x v="2"/>
    <x v="14"/>
    <x v="25"/>
    <x v="10"/>
    <x v="0"/>
    <x v="13"/>
    <x v="5"/>
    <x v="0"/>
    <x v="19"/>
    <x v="36"/>
    <x v="41"/>
    <x v="63"/>
  </r>
  <r>
    <x v="102"/>
    <x v="2"/>
    <x v="2"/>
    <x v="2"/>
    <x v="24"/>
    <x v="19"/>
    <x v="13"/>
    <x v="16"/>
    <x v="17"/>
    <x v="29"/>
    <x v="10"/>
    <x v="26"/>
    <x v="23"/>
    <x v="64"/>
  </r>
  <r>
    <x v="103"/>
    <x v="2"/>
    <x v="2"/>
    <x v="21"/>
    <x v="26"/>
    <x v="2"/>
    <x v="24"/>
    <x v="13"/>
    <x v="0"/>
    <x v="6"/>
    <x v="38"/>
    <x v="25"/>
    <x v="8"/>
    <x v="65"/>
  </r>
  <r>
    <x v="104"/>
    <x v="2"/>
    <x v="2"/>
    <x v="2"/>
    <x v="1"/>
    <x v="6"/>
    <x v="5"/>
    <x v="6"/>
    <x v="25"/>
    <x v="8"/>
    <x v="12"/>
    <x v="35"/>
    <x v="7"/>
    <x v="20"/>
  </r>
  <r>
    <x v="105"/>
    <x v="2"/>
    <x v="2"/>
    <x v="22"/>
    <x v="3"/>
    <x v="3"/>
    <x v="2"/>
    <x v="26"/>
    <x v="8"/>
    <x v="37"/>
    <x v="14"/>
    <x v="37"/>
    <x v="8"/>
    <x v="66"/>
  </r>
  <r>
    <x v="106"/>
    <x v="2"/>
    <x v="2"/>
    <x v="10"/>
    <x v="26"/>
    <x v="18"/>
    <x v="18"/>
    <x v="19"/>
    <x v="7"/>
    <x v="39"/>
    <x v="9"/>
    <x v="5"/>
    <x v="0"/>
    <x v="67"/>
  </r>
  <r>
    <x v="107"/>
    <x v="2"/>
    <x v="2"/>
    <x v="22"/>
    <x v="1"/>
    <x v="17"/>
    <x v="24"/>
    <x v="15"/>
    <x v="7"/>
    <x v="1"/>
    <x v="0"/>
    <x v="11"/>
    <x v="20"/>
    <x v="57"/>
  </r>
  <r>
    <x v="108"/>
    <x v="2"/>
    <x v="2"/>
    <x v="22"/>
    <x v="16"/>
    <x v="19"/>
    <x v="5"/>
    <x v="19"/>
    <x v="12"/>
    <x v="27"/>
    <x v="39"/>
    <x v="3"/>
    <x v="39"/>
    <x v="68"/>
  </r>
  <r>
    <x v="109"/>
    <x v="2"/>
    <x v="2"/>
    <x v="2"/>
    <x v="4"/>
    <x v="15"/>
    <x v="13"/>
    <x v="26"/>
    <x v="5"/>
    <x v="18"/>
    <x v="23"/>
    <x v="27"/>
    <x v="42"/>
    <x v="5"/>
  </r>
  <r>
    <x v="110"/>
    <x v="2"/>
    <x v="2"/>
    <x v="4"/>
    <x v="8"/>
    <x v="25"/>
    <x v="10"/>
    <x v="13"/>
    <x v="22"/>
    <x v="1"/>
    <x v="31"/>
    <x v="12"/>
    <x v="18"/>
    <x v="1"/>
  </r>
  <r>
    <x v="111"/>
    <x v="2"/>
    <x v="2"/>
    <x v="17"/>
    <x v="27"/>
    <x v="12"/>
    <x v="16"/>
    <x v="27"/>
    <x v="3"/>
    <x v="27"/>
    <x v="20"/>
    <x v="3"/>
    <x v="39"/>
    <x v="10"/>
  </r>
  <r>
    <x v="112"/>
    <x v="2"/>
    <x v="2"/>
    <x v="0"/>
    <x v="16"/>
    <x v="6"/>
    <x v="3"/>
    <x v="10"/>
    <x v="27"/>
    <x v="3"/>
    <x v="40"/>
    <x v="26"/>
    <x v="39"/>
    <x v="56"/>
  </r>
  <r>
    <x v="113"/>
    <x v="2"/>
    <x v="2"/>
    <x v="7"/>
    <x v="9"/>
    <x v="6"/>
    <x v="25"/>
    <x v="25"/>
    <x v="1"/>
    <x v="2"/>
    <x v="39"/>
    <x v="17"/>
    <x v="31"/>
    <x v="69"/>
  </r>
  <r>
    <x v="114"/>
    <x v="2"/>
    <x v="2"/>
    <x v="0"/>
    <x v="5"/>
    <x v="23"/>
    <x v="17"/>
    <x v="1"/>
    <x v="9"/>
    <x v="7"/>
    <x v="6"/>
    <x v="38"/>
    <x v="8"/>
    <x v="70"/>
  </r>
  <r>
    <x v="115"/>
    <x v="2"/>
    <x v="2"/>
    <x v="21"/>
    <x v="22"/>
    <x v="19"/>
    <x v="6"/>
    <x v="25"/>
    <x v="26"/>
    <x v="31"/>
    <x v="10"/>
    <x v="32"/>
    <x v="3"/>
    <x v="25"/>
  </r>
  <r>
    <x v="116"/>
    <x v="2"/>
    <x v="2"/>
    <x v="14"/>
    <x v="3"/>
    <x v="3"/>
    <x v="2"/>
    <x v="25"/>
    <x v="9"/>
    <x v="6"/>
    <x v="41"/>
    <x v="31"/>
    <x v="43"/>
    <x v="59"/>
  </r>
  <r>
    <x v="117"/>
    <x v="2"/>
    <x v="2"/>
    <x v="23"/>
    <x v="24"/>
    <x v="3"/>
    <x v="2"/>
    <x v="6"/>
    <x v="26"/>
    <x v="17"/>
    <x v="30"/>
    <x v="17"/>
    <x v="26"/>
    <x v="71"/>
  </r>
  <r>
    <x v="118"/>
    <x v="3"/>
    <x v="3"/>
    <x v="2"/>
    <x v="9"/>
    <x v="5"/>
    <x v="26"/>
    <x v="31"/>
    <x v="5"/>
    <x v="7"/>
    <x v="10"/>
    <x v="32"/>
    <x v="11"/>
    <x v="34"/>
  </r>
  <r>
    <x v="119"/>
    <x v="3"/>
    <x v="3"/>
    <x v="7"/>
    <x v="8"/>
    <x v="8"/>
    <x v="7"/>
    <x v="12"/>
    <x v="8"/>
    <x v="7"/>
    <x v="33"/>
    <x v="8"/>
    <x v="23"/>
    <x v="72"/>
  </r>
  <r>
    <x v="120"/>
    <x v="3"/>
    <x v="3"/>
    <x v="8"/>
    <x v="9"/>
    <x v="26"/>
    <x v="19"/>
    <x v="32"/>
    <x v="5"/>
    <x v="15"/>
    <x v="28"/>
    <x v="17"/>
    <x v="39"/>
    <x v="54"/>
  </r>
  <r>
    <x v="121"/>
    <x v="3"/>
    <x v="3"/>
    <x v="3"/>
    <x v="19"/>
    <x v="4"/>
    <x v="19"/>
    <x v="29"/>
    <x v="14"/>
    <x v="29"/>
    <x v="37"/>
    <x v="36"/>
    <x v="39"/>
    <x v="45"/>
  </r>
  <r>
    <x v="122"/>
    <x v="3"/>
    <x v="3"/>
    <x v="13"/>
    <x v="8"/>
    <x v="26"/>
    <x v="21"/>
    <x v="11"/>
    <x v="13"/>
    <x v="10"/>
    <x v="42"/>
    <x v="26"/>
    <x v="20"/>
    <x v="73"/>
  </r>
  <r>
    <x v="8"/>
    <x v="3"/>
    <x v="3"/>
    <x v="1"/>
    <x v="4"/>
    <x v="16"/>
    <x v="14"/>
    <x v="30"/>
    <x v="28"/>
    <x v="32"/>
    <x v="3"/>
    <x v="0"/>
    <x v="13"/>
    <x v="74"/>
  </r>
  <r>
    <x v="123"/>
    <x v="3"/>
    <x v="3"/>
    <x v="16"/>
    <x v="21"/>
    <x v="8"/>
    <x v="21"/>
    <x v="2"/>
    <x v="4"/>
    <x v="20"/>
    <x v="34"/>
    <x v="9"/>
    <x v="4"/>
    <x v="12"/>
  </r>
  <r>
    <x v="124"/>
    <x v="3"/>
    <x v="3"/>
    <x v="12"/>
    <x v="4"/>
    <x v="4"/>
    <x v="22"/>
    <x v="24"/>
    <x v="26"/>
    <x v="29"/>
    <x v="38"/>
    <x v="10"/>
    <x v="6"/>
    <x v="38"/>
  </r>
  <r>
    <x v="125"/>
    <x v="3"/>
    <x v="3"/>
    <x v="12"/>
    <x v="10"/>
    <x v="3"/>
    <x v="11"/>
    <x v="14"/>
    <x v="26"/>
    <x v="2"/>
    <x v="0"/>
    <x v="23"/>
    <x v="16"/>
    <x v="74"/>
  </r>
  <r>
    <x v="126"/>
    <x v="3"/>
    <x v="3"/>
    <x v="5"/>
    <x v="6"/>
    <x v="14"/>
    <x v="19"/>
    <x v="29"/>
    <x v="30"/>
    <x v="40"/>
    <x v="16"/>
    <x v="31"/>
    <x v="18"/>
    <x v="75"/>
  </r>
  <r>
    <x v="127"/>
    <x v="3"/>
    <x v="3"/>
    <x v="10"/>
    <x v="8"/>
    <x v="10"/>
    <x v="27"/>
    <x v="0"/>
    <x v="31"/>
    <x v="5"/>
    <x v="6"/>
    <x v="0"/>
    <x v="16"/>
    <x v="76"/>
  </r>
  <r>
    <x v="128"/>
    <x v="3"/>
    <x v="3"/>
    <x v="10"/>
    <x v="4"/>
    <x v="2"/>
    <x v="16"/>
    <x v="33"/>
    <x v="20"/>
    <x v="0"/>
    <x v="16"/>
    <x v="7"/>
    <x v="17"/>
    <x v="77"/>
  </r>
  <r>
    <x v="129"/>
    <x v="3"/>
    <x v="3"/>
    <x v="19"/>
    <x v="10"/>
    <x v="8"/>
    <x v="4"/>
    <x v="13"/>
    <x v="1"/>
    <x v="41"/>
    <x v="29"/>
    <x v="27"/>
    <x v="1"/>
    <x v="73"/>
  </r>
  <r>
    <x v="130"/>
    <x v="3"/>
    <x v="3"/>
    <x v="9"/>
    <x v="5"/>
    <x v="3"/>
    <x v="22"/>
    <x v="5"/>
    <x v="25"/>
    <x v="12"/>
    <x v="14"/>
    <x v="2"/>
    <x v="18"/>
    <x v="0"/>
  </r>
  <r>
    <x v="131"/>
    <x v="3"/>
    <x v="3"/>
    <x v="12"/>
    <x v="23"/>
    <x v="10"/>
    <x v="15"/>
    <x v="10"/>
    <x v="13"/>
    <x v="32"/>
    <x v="37"/>
    <x v="13"/>
    <x v="27"/>
    <x v="47"/>
  </r>
  <r>
    <x v="132"/>
    <x v="3"/>
    <x v="3"/>
    <x v="5"/>
    <x v="9"/>
    <x v="26"/>
    <x v="12"/>
    <x v="24"/>
    <x v="9"/>
    <x v="18"/>
    <x v="16"/>
    <x v="23"/>
    <x v="26"/>
    <x v="1"/>
  </r>
  <r>
    <x v="133"/>
    <x v="3"/>
    <x v="3"/>
    <x v="19"/>
    <x v="6"/>
    <x v="25"/>
    <x v="21"/>
    <x v="19"/>
    <x v="0"/>
    <x v="7"/>
    <x v="7"/>
    <x v="13"/>
    <x v="2"/>
    <x v="78"/>
  </r>
  <r>
    <x v="134"/>
    <x v="3"/>
    <x v="3"/>
    <x v="0"/>
    <x v="24"/>
    <x v="18"/>
    <x v="1"/>
    <x v="19"/>
    <x v="26"/>
    <x v="0"/>
    <x v="0"/>
    <x v="31"/>
    <x v="40"/>
    <x v="79"/>
  </r>
  <r>
    <x v="135"/>
    <x v="3"/>
    <x v="3"/>
    <x v="21"/>
    <x v="6"/>
    <x v="17"/>
    <x v="16"/>
    <x v="12"/>
    <x v="27"/>
    <x v="42"/>
    <x v="43"/>
    <x v="3"/>
    <x v="44"/>
    <x v="70"/>
  </r>
  <r>
    <x v="136"/>
    <x v="3"/>
    <x v="3"/>
    <x v="22"/>
    <x v="14"/>
    <x v="21"/>
    <x v="24"/>
    <x v="20"/>
    <x v="11"/>
    <x v="14"/>
    <x v="8"/>
    <x v="12"/>
    <x v="18"/>
    <x v="80"/>
  </r>
  <r>
    <x v="137"/>
    <x v="3"/>
    <x v="3"/>
    <x v="2"/>
    <x v="4"/>
    <x v="16"/>
    <x v="4"/>
    <x v="0"/>
    <x v="29"/>
    <x v="43"/>
    <x v="12"/>
    <x v="3"/>
    <x v="38"/>
    <x v="44"/>
  </r>
  <r>
    <x v="138"/>
    <x v="3"/>
    <x v="3"/>
    <x v="4"/>
    <x v="7"/>
    <x v="8"/>
    <x v="13"/>
    <x v="12"/>
    <x v="26"/>
    <x v="11"/>
    <x v="10"/>
    <x v="9"/>
    <x v="15"/>
    <x v="8"/>
  </r>
  <r>
    <x v="139"/>
    <x v="3"/>
    <x v="3"/>
    <x v="24"/>
    <x v="20"/>
    <x v="19"/>
    <x v="9"/>
    <x v="29"/>
    <x v="5"/>
    <x v="19"/>
    <x v="3"/>
    <x v="0"/>
    <x v="21"/>
    <x v="81"/>
  </r>
  <r>
    <x v="140"/>
    <x v="3"/>
    <x v="3"/>
    <x v="16"/>
    <x v="5"/>
    <x v="7"/>
    <x v="15"/>
    <x v="1"/>
    <x v="28"/>
    <x v="29"/>
    <x v="31"/>
    <x v="9"/>
    <x v="14"/>
    <x v="82"/>
  </r>
  <r>
    <x v="141"/>
    <x v="3"/>
    <x v="3"/>
    <x v="4"/>
    <x v="18"/>
    <x v="17"/>
    <x v="19"/>
    <x v="34"/>
    <x v="10"/>
    <x v="5"/>
    <x v="41"/>
    <x v="0"/>
    <x v="30"/>
    <x v="0"/>
  </r>
  <r>
    <x v="142"/>
    <x v="3"/>
    <x v="3"/>
    <x v="3"/>
    <x v="10"/>
    <x v="9"/>
    <x v="10"/>
    <x v="5"/>
    <x v="20"/>
    <x v="9"/>
    <x v="9"/>
    <x v="2"/>
    <x v="8"/>
    <x v="12"/>
  </r>
  <r>
    <x v="143"/>
    <x v="3"/>
    <x v="3"/>
    <x v="5"/>
    <x v="6"/>
    <x v="16"/>
    <x v="22"/>
    <x v="35"/>
    <x v="30"/>
    <x v="12"/>
    <x v="18"/>
    <x v="32"/>
    <x v="8"/>
    <x v="83"/>
  </r>
  <r>
    <x v="144"/>
    <x v="3"/>
    <x v="3"/>
    <x v="16"/>
    <x v="10"/>
    <x v="12"/>
    <x v="6"/>
    <x v="10"/>
    <x v="26"/>
    <x v="7"/>
    <x v="10"/>
    <x v="9"/>
    <x v="28"/>
    <x v="84"/>
  </r>
  <r>
    <x v="145"/>
    <x v="3"/>
    <x v="3"/>
    <x v="12"/>
    <x v="17"/>
    <x v="9"/>
    <x v="19"/>
    <x v="36"/>
    <x v="11"/>
    <x v="7"/>
    <x v="20"/>
    <x v="9"/>
    <x v="3"/>
    <x v="85"/>
  </r>
  <r>
    <x v="146"/>
    <x v="3"/>
    <x v="3"/>
    <x v="9"/>
    <x v="0"/>
    <x v="9"/>
    <x v="9"/>
    <x v="9"/>
    <x v="30"/>
    <x v="9"/>
    <x v="1"/>
    <x v="2"/>
    <x v="32"/>
    <x v="86"/>
  </r>
  <r>
    <x v="147"/>
    <x v="3"/>
    <x v="3"/>
    <x v="3"/>
    <x v="21"/>
    <x v="5"/>
    <x v="3"/>
    <x v="24"/>
    <x v="32"/>
    <x v="20"/>
    <x v="15"/>
    <x v="39"/>
    <x v="45"/>
    <x v="87"/>
  </r>
  <r>
    <x v="148"/>
    <x v="3"/>
    <x v="3"/>
    <x v="2"/>
    <x v="0"/>
    <x v="22"/>
    <x v="16"/>
    <x v="36"/>
    <x v="5"/>
    <x v="7"/>
    <x v="0"/>
    <x v="40"/>
    <x v="8"/>
    <x v="33"/>
  </r>
  <r>
    <x v="149"/>
    <x v="3"/>
    <x v="3"/>
    <x v="10"/>
    <x v="28"/>
    <x v="3"/>
    <x v="28"/>
    <x v="30"/>
    <x v="14"/>
    <x v="5"/>
    <x v="42"/>
    <x v="12"/>
    <x v="36"/>
    <x v="54"/>
  </r>
  <r>
    <x v="150"/>
    <x v="3"/>
    <x v="3"/>
    <x v="7"/>
    <x v="6"/>
    <x v="6"/>
    <x v="6"/>
    <x v="33"/>
    <x v="33"/>
    <x v="11"/>
    <x v="7"/>
    <x v="12"/>
    <x v="6"/>
    <x v="0"/>
  </r>
  <r>
    <x v="151"/>
    <x v="3"/>
    <x v="3"/>
    <x v="13"/>
    <x v="8"/>
    <x v="2"/>
    <x v="29"/>
    <x v="33"/>
    <x v="30"/>
    <x v="15"/>
    <x v="19"/>
    <x v="41"/>
    <x v="46"/>
    <x v="88"/>
  </r>
  <r>
    <x v="23"/>
    <x v="3"/>
    <x v="3"/>
    <x v="12"/>
    <x v="8"/>
    <x v="14"/>
    <x v="0"/>
    <x v="16"/>
    <x v="5"/>
    <x v="35"/>
    <x v="23"/>
    <x v="20"/>
    <x v="42"/>
    <x v="55"/>
  </r>
  <r>
    <x v="152"/>
    <x v="3"/>
    <x v="3"/>
    <x v="25"/>
    <x v="5"/>
    <x v="19"/>
    <x v="4"/>
    <x v="22"/>
    <x v="11"/>
    <x v="7"/>
    <x v="0"/>
    <x v="19"/>
    <x v="40"/>
    <x v="11"/>
  </r>
  <r>
    <x v="153"/>
    <x v="3"/>
    <x v="3"/>
    <x v="4"/>
    <x v="10"/>
    <x v="3"/>
    <x v="11"/>
    <x v="24"/>
    <x v="22"/>
    <x v="7"/>
    <x v="25"/>
    <x v="8"/>
    <x v="15"/>
    <x v="89"/>
  </r>
  <r>
    <x v="154"/>
    <x v="3"/>
    <x v="3"/>
    <x v="13"/>
    <x v="11"/>
    <x v="3"/>
    <x v="26"/>
    <x v="28"/>
    <x v="31"/>
    <x v="17"/>
    <x v="20"/>
    <x v="35"/>
    <x v="9"/>
    <x v="43"/>
  </r>
  <r>
    <x v="155"/>
    <x v="3"/>
    <x v="3"/>
    <x v="16"/>
    <x v="27"/>
    <x v="7"/>
    <x v="14"/>
    <x v="3"/>
    <x v="11"/>
    <x v="18"/>
    <x v="24"/>
    <x v="41"/>
    <x v="17"/>
    <x v="90"/>
  </r>
  <r>
    <x v="156"/>
    <x v="3"/>
    <x v="3"/>
    <x v="7"/>
    <x v="7"/>
    <x v="15"/>
    <x v="8"/>
    <x v="20"/>
    <x v="10"/>
    <x v="5"/>
    <x v="32"/>
    <x v="0"/>
    <x v="37"/>
    <x v="66"/>
  </r>
  <r>
    <x v="157"/>
    <x v="4"/>
    <x v="4"/>
    <x v="7"/>
    <x v="29"/>
    <x v="0"/>
    <x v="19"/>
    <x v="33"/>
    <x v="2"/>
    <x v="15"/>
    <x v="16"/>
    <x v="31"/>
    <x v="8"/>
    <x v="14"/>
  </r>
  <r>
    <x v="158"/>
    <x v="4"/>
    <x v="4"/>
    <x v="4"/>
    <x v="6"/>
    <x v="16"/>
    <x v="13"/>
    <x v="26"/>
    <x v="30"/>
    <x v="29"/>
    <x v="28"/>
    <x v="31"/>
    <x v="39"/>
    <x v="40"/>
  </r>
  <r>
    <x v="159"/>
    <x v="4"/>
    <x v="4"/>
    <x v="10"/>
    <x v="0"/>
    <x v="3"/>
    <x v="14"/>
    <x v="27"/>
    <x v="22"/>
    <x v="20"/>
    <x v="37"/>
    <x v="17"/>
    <x v="15"/>
    <x v="16"/>
  </r>
  <r>
    <x v="160"/>
    <x v="4"/>
    <x v="4"/>
    <x v="2"/>
    <x v="25"/>
    <x v="17"/>
    <x v="15"/>
    <x v="7"/>
    <x v="15"/>
    <x v="8"/>
    <x v="7"/>
    <x v="26"/>
    <x v="12"/>
    <x v="46"/>
  </r>
  <r>
    <x v="161"/>
    <x v="4"/>
    <x v="4"/>
    <x v="3"/>
    <x v="8"/>
    <x v="15"/>
    <x v="3"/>
    <x v="34"/>
    <x v="34"/>
    <x v="16"/>
    <x v="2"/>
    <x v="5"/>
    <x v="38"/>
    <x v="83"/>
  </r>
  <r>
    <x v="162"/>
    <x v="4"/>
    <x v="4"/>
    <x v="5"/>
    <x v="12"/>
    <x v="12"/>
    <x v="12"/>
    <x v="37"/>
    <x v="9"/>
    <x v="25"/>
    <x v="28"/>
    <x v="42"/>
    <x v="1"/>
    <x v="4"/>
  </r>
  <r>
    <x v="163"/>
    <x v="4"/>
    <x v="4"/>
    <x v="7"/>
    <x v="8"/>
    <x v="15"/>
    <x v="25"/>
    <x v="12"/>
    <x v="23"/>
    <x v="35"/>
    <x v="3"/>
    <x v="23"/>
    <x v="18"/>
    <x v="91"/>
  </r>
  <r>
    <x v="164"/>
    <x v="4"/>
    <x v="4"/>
    <x v="9"/>
    <x v="0"/>
    <x v="12"/>
    <x v="2"/>
    <x v="14"/>
    <x v="35"/>
    <x v="6"/>
    <x v="0"/>
    <x v="40"/>
    <x v="47"/>
    <x v="21"/>
  </r>
  <r>
    <x v="165"/>
    <x v="4"/>
    <x v="4"/>
    <x v="17"/>
    <x v="24"/>
    <x v="17"/>
    <x v="11"/>
    <x v="3"/>
    <x v="11"/>
    <x v="9"/>
    <x v="10"/>
    <x v="20"/>
    <x v="10"/>
    <x v="6"/>
  </r>
  <r>
    <x v="166"/>
    <x v="4"/>
    <x v="4"/>
    <x v="2"/>
    <x v="5"/>
    <x v="19"/>
    <x v="7"/>
    <x v="6"/>
    <x v="25"/>
    <x v="40"/>
    <x v="40"/>
    <x v="11"/>
    <x v="39"/>
    <x v="92"/>
  </r>
  <r>
    <x v="167"/>
    <x v="4"/>
    <x v="4"/>
    <x v="16"/>
    <x v="9"/>
    <x v="23"/>
    <x v="11"/>
    <x v="19"/>
    <x v="36"/>
    <x v="29"/>
    <x v="6"/>
    <x v="30"/>
    <x v="4"/>
    <x v="4"/>
  </r>
  <r>
    <x v="168"/>
    <x v="4"/>
    <x v="4"/>
    <x v="8"/>
    <x v="8"/>
    <x v="17"/>
    <x v="6"/>
    <x v="13"/>
    <x v="9"/>
    <x v="9"/>
    <x v="6"/>
    <x v="18"/>
    <x v="28"/>
    <x v="3"/>
  </r>
  <r>
    <x v="169"/>
    <x v="4"/>
    <x v="4"/>
    <x v="11"/>
    <x v="10"/>
    <x v="10"/>
    <x v="6"/>
    <x v="2"/>
    <x v="22"/>
    <x v="29"/>
    <x v="16"/>
    <x v="0"/>
    <x v="34"/>
    <x v="12"/>
  </r>
  <r>
    <x v="170"/>
    <x v="4"/>
    <x v="4"/>
    <x v="7"/>
    <x v="23"/>
    <x v="20"/>
    <x v="6"/>
    <x v="30"/>
    <x v="29"/>
    <x v="8"/>
    <x v="19"/>
    <x v="8"/>
    <x v="42"/>
    <x v="93"/>
  </r>
  <r>
    <x v="171"/>
    <x v="4"/>
    <x v="4"/>
    <x v="12"/>
    <x v="0"/>
    <x v="5"/>
    <x v="15"/>
    <x v="38"/>
    <x v="0"/>
    <x v="13"/>
    <x v="24"/>
    <x v="11"/>
    <x v="29"/>
    <x v="94"/>
  </r>
  <r>
    <x v="172"/>
    <x v="4"/>
    <x v="4"/>
    <x v="9"/>
    <x v="16"/>
    <x v="10"/>
    <x v="10"/>
    <x v="38"/>
    <x v="22"/>
    <x v="7"/>
    <x v="33"/>
    <x v="13"/>
    <x v="10"/>
    <x v="95"/>
  </r>
  <r>
    <x v="173"/>
    <x v="4"/>
    <x v="4"/>
    <x v="6"/>
    <x v="26"/>
    <x v="16"/>
    <x v="14"/>
    <x v="2"/>
    <x v="1"/>
    <x v="28"/>
    <x v="32"/>
    <x v="13"/>
    <x v="13"/>
    <x v="96"/>
  </r>
  <r>
    <x v="174"/>
    <x v="4"/>
    <x v="4"/>
    <x v="9"/>
    <x v="1"/>
    <x v="23"/>
    <x v="1"/>
    <x v="18"/>
    <x v="30"/>
    <x v="17"/>
    <x v="3"/>
    <x v="33"/>
    <x v="37"/>
    <x v="16"/>
  </r>
  <r>
    <x v="175"/>
    <x v="4"/>
    <x v="4"/>
    <x v="19"/>
    <x v="1"/>
    <x v="11"/>
    <x v="6"/>
    <x v="27"/>
    <x v="7"/>
    <x v="39"/>
    <x v="0"/>
    <x v="3"/>
    <x v="1"/>
    <x v="39"/>
  </r>
  <r>
    <x v="176"/>
    <x v="4"/>
    <x v="4"/>
    <x v="9"/>
    <x v="16"/>
    <x v="19"/>
    <x v="4"/>
    <x v="8"/>
    <x v="5"/>
    <x v="43"/>
    <x v="20"/>
    <x v="30"/>
    <x v="18"/>
    <x v="97"/>
  </r>
  <r>
    <x v="177"/>
    <x v="4"/>
    <x v="4"/>
    <x v="11"/>
    <x v="9"/>
    <x v="5"/>
    <x v="15"/>
    <x v="7"/>
    <x v="0"/>
    <x v="7"/>
    <x v="28"/>
    <x v="27"/>
    <x v="28"/>
    <x v="25"/>
  </r>
  <r>
    <x v="178"/>
    <x v="4"/>
    <x v="4"/>
    <x v="2"/>
    <x v="22"/>
    <x v="26"/>
    <x v="10"/>
    <x v="8"/>
    <x v="37"/>
    <x v="28"/>
    <x v="41"/>
    <x v="24"/>
    <x v="12"/>
    <x v="57"/>
  </r>
  <r>
    <x v="179"/>
    <x v="4"/>
    <x v="4"/>
    <x v="3"/>
    <x v="24"/>
    <x v="19"/>
    <x v="5"/>
    <x v="3"/>
    <x v="7"/>
    <x v="15"/>
    <x v="11"/>
    <x v="23"/>
    <x v="14"/>
    <x v="8"/>
  </r>
  <r>
    <x v="180"/>
    <x v="4"/>
    <x v="4"/>
    <x v="2"/>
    <x v="7"/>
    <x v="19"/>
    <x v="1"/>
    <x v="11"/>
    <x v="0"/>
    <x v="7"/>
    <x v="28"/>
    <x v="39"/>
    <x v="48"/>
    <x v="10"/>
  </r>
  <r>
    <x v="181"/>
    <x v="4"/>
    <x v="4"/>
    <x v="6"/>
    <x v="17"/>
    <x v="12"/>
    <x v="1"/>
    <x v="19"/>
    <x v="7"/>
    <x v="5"/>
    <x v="31"/>
    <x v="1"/>
    <x v="38"/>
    <x v="33"/>
  </r>
  <r>
    <x v="182"/>
    <x v="4"/>
    <x v="4"/>
    <x v="8"/>
    <x v="4"/>
    <x v="14"/>
    <x v="10"/>
    <x v="5"/>
    <x v="11"/>
    <x v="11"/>
    <x v="8"/>
    <x v="26"/>
    <x v="29"/>
    <x v="98"/>
  </r>
  <r>
    <x v="183"/>
    <x v="4"/>
    <x v="4"/>
    <x v="2"/>
    <x v="24"/>
    <x v="9"/>
    <x v="19"/>
    <x v="9"/>
    <x v="20"/>
    <x v="42"/>
    <x v="1"/>
    <x v="23"/>
    <x v="6"/>
    <x v="16"/>
  </r>
  <r>
    <x v="184"/>
    <x v="4"/>
    <x v="4"/>
    <x v="3"/>
    <x v="7"/>
    <x v="4"/>
    <x v="19"/>
    <x v="1"/>
    <x v="38"/>
    <x v="6"/>
    <x v="14"/>
    <x v="5"/>
    <x v="49"/>
    <x v="12"/>
  </r>
  <r>
    <x v="185"/>
    <x v="4"/>
    <x v="4"/>
    <x v="26"/>
    <x v="24"/>
    <x v="16"/>
    <x v="18"/>
    <x v="27"/>
    <x v="13"/>
    <x v="14"/>
    <x v="16"/>
    <x v="18"/>
    <x v="27"/>
    <x v="39"/>
  </r>
  <r>
    <x v="186"/>
    <x v="4"/>
    <x v="4"/>
    <x v="2"/>
    <x v="5"/>
    <x v="15"/>
    <x v="13"/>
    <x v="18"/>
    <x v="30"/>
    <x v="7"/>
    <x v="6"/>
    <x v="36"/>
    <x v="33"/>
    <x v="46"/>
  </r>
  <r>
    <x v="187"/>
    <x v="4"/>
    <x v="4"/>
    <x v="9"/>
    <x v="4"/>
    <x v="12"/>
    <x v="4"/>
    <x v="2"/>
    <x v="33"/>
    <x v="37"/>
    <x v="26"/>
    <x v="39"/>
    <x v="20"/>
    <x v="52"/>
  </r>
  <r>
    <x v="188"/>
    <x v="4"/>
    <x v="4"/>
    <x v="2"/>
    <x v="22"/>
    <x v="3"/>
    <x v="15"/>
    <x v="24"/>
    <x v="22"/>
    <x v="7"/>
    <x v="8"/>
    <x v="6"/>
    <x v="18"/>
    <x v="68"/>
  </r>
  <r>
    <x v="189"/>
    <x v="4"/>
    <x v="4"/>
    <x v="4"/>
    <x v="5"/>
    <x v="13"/>
    <x v="11"/>
    <x v="20"/>
    <x v="39"/>
    <x v="8"/>
    <x v="20"/>
    <x v="43"/>
    <x v="44"/>
    <x v="99"/>
  </r>
  <r>
    <x v="190"/>
    <x v="5"/>
    <x v="5"/>
    <x v="16"/>
    <x v="10"/>
    <x v="24"/>
    <x v="0"/>
    <x v="16"/>
    <x v="6"/>
    <x v="44"/>
    <x v="14"/>
    <x v="33"/>
    <x v="8"/>
    <x v="90"/>
  </r>
  <r>
    <x v="191"/>
    <x v="5"/>
    <x v="5"/>
    <x v="19"/>
    <x v="28"/>
    <x v="27"/>
    <x v="13"/>
    <x v="18"/>
    <x v="24"/>
    <x v="5"/>
    <x v="0"/>
    <x v="35"/>
    <x v="50"/>
    <x v="100"/>
  </r>
  <r>
    <x v="192"/>
    <x v="5"/>
    <x v="5"/>
    <x v="5"/>
    <x v="21"/>
    <x v="19"/>
    <x v="30"/>
    <x v="8"/>
    <x v="40"/>
    <x v="13"/>
    <x v="11"/>
    <x v="12"/>
    <x v="2"/>
    <x v="101"/>
  </r>
  <r>
    <x v="193"/>
    <x v="5"/>
    <x v="5"/>
    <x v="27"/>
    <x v="10"/>
    <x v="26"/>
    <x v="22"/>
    <x v="28"/>
    <x v="30"/>
    <x v="16"/>
    <x v="1"/>
    <x v="9"/>
    <x v="35"/>
    <x v="101"/>
  </r>
  <r>
    <x v="194"/>
    <x v="5"/>
    <x v="5"/>
    <x v="24"/>
    <x v="10"/>
    <x v="10"/>
    <x v="7"/>
    <x v="13"/>
    <x v="14"/>
    <x v="37"/>
    <x v="10"/>
    <x v="39"/>
    <x v="30"/>
    <x v="102"/>
  </r>
  <r>
    <x v="195"/>
    <x v="5"/>
    <x v="5"/>
    <x v="15"/>
    <x v="21"/>
    <x v="15"/>
    <x v="9"/>
    <x v="35"/>
    <x v="5"/>
    <x v="5"/>
    <x v="0"/>
    <x v="10"/>
    <x v="39"/>
    <x v="103"/>
  </r>
  <r>
    <x v="196"/>
    <x v="5"/>
    <x v="5"/>
    <x v="24"/>
    <x v="23"/>
    <x v="1"/>
    <x v="26"/>
    <x v="28"/>
    <x v="0"/>
    <x v="29"/>
    <x v="34"/>
    <x v="11"/>
    <x v="29"/>
    <x v="104"/>
  </r>
  <r>
    <x v="197"/>
    <x v="5"/>
    <x v="5"/>
    <x v="6"/>
    <x v="1"/>
    <x v="26"/>
    <x v="10"/>
    <x v="29"/>
    <x v="21"/>
    <x v="1"/>
    <x v="28"/>
    <x v="21"/>
    <x v="26"/>
    <x v="105"/>
  </r>
  <r>
    <x v="198"/>
    <x v="5"/>
    <x v="5"/>
    <x v="6"/>
    <x v="11"/>
    <x v="1"/>
    <x v="28"/>
    <x v="3"/>
    <x v="7"/>
    <x v="19"/>
    <x v="42"/>
    <x v="35"/>
    <x v="25"/>
    <x v="106"/>
  </r>
  <r>
    <x v="199"/>
    <x v="5"/>
    <x v="5"/>
    <x v="15"/>
    <x v="28"/>
    <x v="11"/>
    <x v="31"/>
    <x v="33"/>
    <x v="8"/>
    <x v="12"/>
    <x v="10"/>
    <x v="10"/>
    <x v="16"/>
    <x v="100"/>
  </r>
  <r>
    <x v="200"/>
    <x v="5"/>
    <x v="5"/>
    <x v="15"/>
    <x v="27"/>
    <x v="14"/>
    <x v="7"/>
    <x v="10"/>
    <x v="15"/>
    <x v="45"/>
    <x v="0"/>
    <x v="17"/>
    <x v="19"/>
    <x v="107"/>
  </r>
  <r>
    <x v="201"/>
    <x v="5"/>
    <x v="5"/>
    <x v="26"/>
    <x v="20"/>
    <x v="28"/>
    <x v="21"/>
    <x v="2"/>
    <x v="30"/>
    <x v="6"/>
    <x v="16"/>
    <x v="0"/>
    <x v="17"/>
    <x v="108"/>
  </r>
  <r>
    <x v="202"/>
    <x v="5"/>
    <x v="5"/>
    <x v="12"/>
    <x v="10"/>
    <x v="24"/>
    <x v="2"/>
    <x v="0"/>
    <x v="21"/>
    <x v="18"/>
    <x v="3"/>
    <x v="5"/>
    <x v="17"/>
    <x v="109"/>
  </r>
  <r>
    <x v="203"/>
    <x v="5"/>
    <x v="5"/>
    <x v="1"/>
    <x v="4"/>
    <x v="28"/>
    <x v="22"/>
    <x v="2"/>
    <x v="14"/>
    <x v="29"/>
    <x v="11"/>
    <x v="9"/>
    <x v="13"/>
    <x v="110"/>
  </r>
  <r>
    <x v="204"/>
    <x v="5"/>
    <x v="5"/>
    <x v="8"/>
    <x v="18"/>
    <x v="8"/>
    <x v="26"/>
    <x v="24"/>
    <x v="24"/>
    <x v="7"/>
    <x v="21"/>
    <x v="5"/>
    <x v="51"/>
    <x v="104"/>
  </r>
  <r>
    <x v="205"/>
    <x v="5"/>
    <x v="5"/>
    <x v="19"/>
    <x v="30"/>
    <x v="16"/>
    <x v="9"/>
    <x v="0"/>
    <x v="7"/>
    <x v="12"/>
    <x v="17"/>
    <x v="41"/>
    <x v="15"/>
    <x v="111"/>
  </r>
  <r>
    <x v="206"/>
    <x v="5"/>
    <x v="5"/>
    <x v="5"/>
    <x v="28"/>
    <x v="4"/>
    <x v="10"/>
    <x v="35"/>
    <x v="30"/>
    <x v="18"/>
    <x v="14"/>
    <x v="32"/>
    <x v="2"/>
    <x v="54"/>
  </r>
  <r>
    <x v="207"/>
    <x v="5"/>
    <x v="5"/>
    <x v="24"/>
    <x v="0"/>
    <x v="9"/>
    <x v="26"/>
    <x v="33"/>
    <x v="7"/>
    <x v="6"/>
    <x v="12"/>
    <x v="15"/>
    <x v="14"/>
    <x v="94"/>
  </r>
  <r>
    <x v="208"/>
    <x v="5"/>
    <x v="5"/>
    <x v="1"/>
    <x v="1"/>
    <x v="29"/>
    <x v="29"/>
    <x v="29"/>
    <x v="24"/>
    <x v="30"/>
    <x v="18"/>
    <x v="27"/>
    <x v="10"/>
    <x v="86"/>
  </r>
  <r>
    <x v="209"/>
    <x v="5"/>
    <x v="5"/>
    <x v="28"/>
    <x v="11"/>
    <x v="16"/>
    <x v="9"/>
    <x v="13"/>
    <x v="21"/>
    <x v="30"/>
    <x v="0"/>
    <x v="10"/>
    <x v="22"/>
    <x v="112"/>
  </r>
  <r>
    <x v="210"/>
    <x v="5"/>
    <x v="5"/>
    <x v="18"/>
    <x v="28"/>
    <x v="27"/>
    <x v="0"/>
    <x v="18"/>
    <x v="11"/>
    <x v="18"/>
    <x v="18"/>
    <x v="44"/>
    <x v="20"/>
    <x v="113"/>
  </r>
  <r>
    <x v="211"/>
    <x v="5"/>
    <x v="5"/>
    <x v="2"/>
    <x v="3"/>
    <x v="10"/>
    <x v="23"/>
    <x v="24"/>
    <x v="30"/>
    <x v="10"/>
    <x v="21"/>
    <x v="4"/>
    <x v="17"/>
    <x v="32"/>
  </r>
  <r>
    <x v="212"/>
    <x v="5"/>
    <x v="5"/>
    <x v="12"/>
    <x v="26"/>
    <x v="9"/>
    <x v="6"/>
    <x v="3"/>
    <x v="14"/>
    <x v="10"/>
    <x v="15"/>
    <x v="14"/>
    <x v="18"/>
    <x v="20"/>
  </r>
  <r>
    <x v="213"/>
    <x v="5"/>
    <x v="5"/>
    <x v="11"/>
    <x v="31"/>
    <x v="12"/>
    <x v="17"/>
    <x v="39"/>
    <x v="3"/>
    <x v="3"/>
    <x v="5"/>
    <x v="34"/>
    <x v="33"/>
    <x v="114"/>
  </r>
  <r>
    <x v="81"/>
    <x v="5"/>
    <x v="5"/>
    <x v="1"/>
    <x v="6"/>
    <x v="4"/>
    <x v="14"/>
    <x v="13"/>
    <x v="24"/>
    <x v="6"/>
    <x v="21"/>
    <x v="15"/>
    <x v="16"/>
    <x v="115"/>
  </r>
  <r>
    <x v="214"/>
    <x v="5"/>
    <x v="5"/>
    <x v="13"/>
    <x v="9"/>
    <x v="26"/>
    <x v="4"/>
    <x v="29"/>
    <x v="12"/>
    <x v="35"/>
    <x v="25"/>
    <x v="45"/>
    <x v="12"/>
    <x v="110"/>
  </r>
  <r>
    <x v="215"/>
    <x v="5"/>
    <x v="5"/>
    <x v="9"/>
    <x v="18"/>
    <x v="19"/>
    <x v="14"/>
    <x v="38"/>
    <x v="41"/>
    <x v="7"/>
    <x v="25"/>
    <x v="20"/>
    <x v="25"/>
    <x v="116"/>
  </r>
  <r>
    <x v="216"/>
    <x v="5"/>
    <x v="5"/>
    <x v="18"/>
    <x v="32"/>
    <x v="4"/>
    <x v="6"/>
    <x v="8"/>
    <x v="13"/>
    <x v="5"/>
    <x v="42"/>
    <x v="13"/>
    <x v="8"/>
    <x v="81"/>
  </r>
  <r>
    <x v="217"/>
    <x v="5"/>
    <x v="5"/>
    <x v="15"/>
    <x v="33"/>
    <x v="4"/>
    <x v="6"/>
    <x v="17"/>
    <x v="25"/>
    <x v="19"/>
    <x v="0"/>
    <x v="5"/>
    <x v="6"/>
    <x v="117"/>
  </r>
  <r>
    <x v="218"/>
    <x v="5"/>
    <x v="5"/>
    <x v="28"/>
    <x v="11"/>
    <x v="7"/>
    <x v="11"/>
    <x v="0"/>
    <x v="30"/>
    <x v="24"/>
    <x v="26"/>
    <x v="17"/>
    <x v="52"/>
    <x v="118"/>
  </r>
  <r>
    <x v="219"/>
    <x v="5"/>
    <x v="5"/>
    <x v="12"/>
    <x v="18"/>
    <x v="1"/>
    <x v="21"/>
    <x v="40"/>
    <x v="9"/>
    <x v="14"/>
    <x v="0"/>
    <x v="11"/>
    <x v="36"/>
    <x v="86"/>
  </r>
  <r>
    <x v="220"/>
    <x v="5"/>
    <x v="5"/>
    <x v="26"/>
    <x v="18"/>
    <x v="19"/>
    <x v="29"/>
    <x v="13"/>
    <x v="33"/>
    <x v="7"/>
    <x v="26"/>
    <x v="45"/>
    <x v="37"/>
    <x v="119"/>
  </r>
  <r>
    <x v="221"/>
    <x v="5"/>
    <x v="5"/>
    <x v="16"/>
    <x v="30"/>
    <x v="4"/>
    <x v="4"/>
    <x v="9"/>
    <x v="24"/>
    <x v="26"/>
    <x v="21"/>
    <x v="9"/>
    <x v="25"/>
    <x v="120"/>
  </r>
  <r>
    <x v="222"/>
    <x v="5"/>
    <x v="5"/>
    <x v="15"/>
    <x v="8"/>
    <x v="20"/>
    <x v="26"/>
    <x v="38"/>
    <x v="42"/>
    <x v="13"/>
    <x v="21"/>
    <x v="9"/>
    <x v="8"/>
    <x v="121"/>
  </r>
  <r>
    <x v="223"/>
    <x v="5"/>
    <x v="5"/>
    <x v="5"/>
    <x v="0"/>
    <x v="9"/>
    <x v="32"/>
    <x v="35"/>
    <x v="5"/>
    <x v="40"/>
    <x v="0"/>
    <x v="41"/>
    <x v="3"/>
    <x v="110"/>
  </r>
  <r>
    <x v="224"/>
    <x v="5"/>
    <x v="5"/>
    <x v="5"/>
    <x v="34"/>
    <x v="14"/>
    <x v="6"/>
    <x v="5"/>
    <x v="14"/>
    <x v="0"/>
    <x v="23"/>
    <x v="5"/>
    <x v="30"/>
    <x v="81"/>
  </r>
  <r>
    <x v="225"/>
    <x v="5"/>
    <x v="5"/>
    <x v="25"/>
    <x v="28"/>
    <x v="20"/>
    <x v="33"/>
    <x v="12"/>
    <x v="35"/>
    <x v="20"/>
    <x v="20"/>
    <x v="9"/>
    <x v="35"/>
    <x v="122"/>
  </r>
  <r>
    <x v="226"/>
    <x v="5"/>
    <x v="5"/>
    <x v="5"/>
    <x v="35"/>
    <x v="8"/>
    <x v="0"/>
    <x v="29"/>
    <x v="10"/>
    <x v="35"/>
    <x v="29"/>
    <x v="42"/>
    <x v="53"/>
    <x v="123"/>
  </r>
  <r>
    <x v="227"/>
    <x v="5"/>
    <x v="5"/>
    <x v="26"/>
    <x v="28"/>
    <x v="14"/>
    <x v="29"/>
    <x v="29"/>
    <x v="28"/>
    <x v="27"/>
    <x v="44"/>
    <x v="21"/>
    <x v="8"/>
    <x v="113"/>
  </r>
  <r>
    <x v="228"/>
    <x v="5"/>
    <x v="5"/>
    <x v="3"/>
    <x v="30"/>
    <x v="4"/>
    <x v="11"/>
    <x v="14"/>
    <x v="0"/>
    <x v="27"/>
    <x v="11"/>
    <x v="4"/>
    <x v="28"/>
    <x v="124"/>
  </r>
  <r>
    <x v="229"/>
    <x v="5"/>
    <x v="5"/>
    <x v="3"/>
    <x v="13"/>
    <x v="20"/>
    <x v="10"/>
    <x v="28"/>
    <x v="30"/>
    <x v="28"/>
    <x v="28"/>
    <x v="21"/>
    <x v="35"/>
    <x v="48"/>
  </r>
  <r>
    <x v="230"/>
    <x v="5"/>
    <x v="5"/>
    <x v="4"/>
    <x v="21"/>
    <x v="26"/>
    <x v="7"/>
    <x v="29"/>
    <x v="24"/>
    <x v="9"/>
    <x v="19"/>
    <x v="0"/>
    <x v="14"/>
    <x v="83"/>
  </r>
  <r>
    <x v="231"/>
    <x v="5"/>
    <x v="5"/>
    <x v="28"/>
    <x v="28"/>
    <x v="30"/>
    <x v="7"/>
    <x v="24"/>
    <x v="11"/>
    <x v="36"/>
    <x v="16"/>
    <x v="20"/>
    <x v="10"/>
    <x v="88"/>
  </r>
  <r>
    <x v="232"/>
    <x v="5"/>
    <x v="5"/>
    <x v="1"/>
    <x v="21"/>
    <x v="24"/>
    <x v="0"/>
    <x v="0"/>
    <x v="21"/>
    <x v="27"/>
    <x v="11"/>
    <x v="17"/>
    <x v="3"/>
    <x v="125"/>
  </r>
  <r>
    <x v="233"/>
    <x v="5"/>
    <x v="5"/>
    <x v="13"/>
    <x v="4"/>
    <x v="3"/>
    <x v="9"/>
    <x v="34"/>
    <x v="15"/>
    <x v="46"/>
    <x v="21"/>
    <x v="3"/>
    <x v="33"/>
    <x v="52"/>
  </r>
  <r>
    <x v="234"/>
    <x v="5"/>
    <x v="5"/>
    <x v="5"/>
    <x v="11"/>
    <x v="3"/>
    <x v="11"/>
    <x v="17"/>
    <x v="6"/>
    <x v="7"/>
    <x v="7"/>
    <x v="13"/>
    <x v="14"/>
    <x v="48"/>
  </r>
  <r>
    <x v="235"/>
    <x v="0"/>
    <x v="0"/>
    <x v="11"/>
    <x v="9"/>
    <x v="14"/>
    <x v="23"/>
    <x v="16"/>
    <x v="18"/>
    <x v="29"/>
    <x v="45"/>
    <x v="1"/>
    <x v="54"/>
    <x v="126"/>
  </r>
  <r>
    <x v="236"/>
    <x v="0"/>
    <x v="0"/>
    <x v="12"/>
    <x v="1"/>
    <x v="16"/>
    <x v="13"/>
    <x v="29"/>
    <x v="10"/>
    <x v="23"/>
    <x v="8"/>
    <x v="33"/>
    <x v="42"/>
    <x v="127"/>
  </r>
  <r>
    <x v="237"/>
    <x v="0"/>
    <x v="0"/>
    <x v="11"/>
    <x v="20"/>
    <x v="16"/>
    <x v="0"/>
    <x v="7"/>
    <x v="7"/>
    <x v="0"/>
    <x v="8"/>
    <x v="31"/>
    <x v="13"/>
    <x v="128"/>
  </r>
  <r>
    <x v="238"/>
    <x v="0"/>
    <x v="0"/>
    <x v="19"/>
    <x v="8"/>
    <x v="23"/>
    <x v="3"/>
    <x v="24"/>
    <x v="38"/>
    <x v="47"/>
    <x v="43"/>
    <x v="1"/>
    <x v="55"/>
    <x v="129"/>
  </r>
  <r>
    <x v="239"/>
    <x v="0"/>
    <x v="0"/>
    <x v="23"/>
    <x v="8"/>
    <x v="13"/>
    <x v="14"/>
    <x v="3"/>
    <x v="3"/>
    <x v="31"/>
    <x v="38"/>
    <x v="7"/>
    <x v="32"/>
    <x v="97"/>
  </r>
  <r>
    <x v="240"/>
    <x v="0"/>
    <x v="0"/>
    <x v="4"/>
    <x v="14"/>
    <x v="5"/>
    <x v="23"/>
    <x v="1"/>
    <x v="15"/>
    <x v="19"/>
    <x v="16"/>
    <x v="33"/>
    <x v="39"/>
    <x v="39"/>
  </r>
  <r>
    <x v="241"/>
    <x v="0"/>
    <x v="0"/>
    <x v="14"/>
    <x v="5"/>
    <x v="31"/>
    <x v="5"/>
    <x v="18"/>
    <x v="0"/>
    <x v="1"/>
    <x v="8"/>
    <x v="27"/>
    <x v="6"/>
    <x v="130"/>
  </r>
  <r>
    <x v="242"/>
    <x v="0"/>
    <x v="0"/>
    <x v="10"/>
    <x v="36"/>
    <x v="14"/>
    <x v="12"/>
    <x v="3"/>
    <x v="12"/>
    <x v="1"/>
    <x v="0"/>
    <x v="32"/>
    <x v="50"/>
    <x v="92"/>
  </r>
  <r>
    <x v="243"/>
    <x v="0"/>
    <x v="0"/>
    <x v="23"/>
    <x v="15"/>
    <x v="25"/>
    <x v="5"/>
    <x v="20"/>
    <x v="22"/>
    <x v="14"/>
    <x v="41"/>
    <x v="16"/>
    <x v="5"/>
    <x v="131"/>
  </r>
  <r>
    <x v="244"/>
    <x v="0"/>
    <x v="0"/>
    <x v="7"/>
    <x v="16"/>
    <x v="17"/>
    <x v="20"/>
    <x v="12"/>
    <x v="8"/>
    <x v="17"/>
    <x v="43"/>
    <x v="22"/>
    <x v="16"/>
    <x v="130"/>
  </r>
  <r>
    <x v="245"/>
    <x v="0"/>
    <x v="0"/>
    <x v="17"/>
    <x v="16"/>
    <x v="25"/>
    <x v="18"/>
    <x v="12"/>
    <x v="5"/>
    <x v="2"/>
    <x v="12"/>
    <x v="13"/>
    <x v="22"/>
    <x v="132"/>
  </r>
  <r>
    <x v="246"/>
    <x v="0"/>
    <x v="0"/>
    <x v="29"/>
    <x v="7"/>
    <x v="3"/>
    <x v="1"/>
    <x v="23"/>
    <x v="13"/>
    <x v="39"/>
    <x v="6"/>
    <x v="20"/>
    <x v="23"/>
    <x v="126"/>
  </r>
  <r>
    <x v="247"/>
    <x v="0"/>
    <x v="0"/>
    <x v="8"/>
    <x v="4"/>
    <x v="2"/>
    <x v="5"/>
    <x v="18"/>
    <x v="1"/>
    <x v="18"/>
    <x v="43"/>
    <x v="4"/>
    <x v="13"/>
    <x v="133"/>
  </r>
  <r>
    <x v="248"/>
    <x v="0"/>
    <x v="0"/>
    <x v="23"/>
    <x v="25"/>
    <x v="12"/>
    <x v="23"/>
    <x v="5"/>
    <x v="19"/>
    <x v="4"/>
    <x v="18"/>
    <x v="23"/>
    <x v="42"/>
    <x v="58"/>
  </r>
  <r>
    <x v="249"/>
    <x v="0"/>
    <x v="0"/>
    <x v="14"/>
    <x v="37"/>
    <x v="22"/>
    <x v="3"/>
    <x v="8"/>
    <x v="16"/>
    <x v="25"/>
    <x v="12"/>
    <x v="12"/>
    <x v="26"/>
    <x v="70"/>
  </r>
  <r>
    <x v="250"/>
    <x v="0"/>
    <x v="0"/>
    <x v="22"/>
    <x v="25"/>
    <x v="32"/>
    <x v="34"/>
    <x v="18"/>
    <x v="29"/>
    <x v="9"/>
    <x v="37"/>
    <x v="5"/>
    <x v="32"/>
    <x v="134"/>
  </r>
  <r>
    <x v="251"/>
    <x v="0"/>
    <x v="0"/>
    <x v="7"/>
    <x v="1"/>
    <x v="21"/>
    <x v="5"/>
    <x v="41"/>
    <x v="8"/>
    <x v="23"/>
    <x v="43"/>
    <x v="10"/>
    <x v="38"/>
    <x v="56"/>
  </r>
  <r>
    <x v="252"/>
    <x v="0"/>
    <x v="0"/>
    <x v="2"/>
    <x v="3"/>
    <x v="9"/>
    <x v="20"/>
    <x v="15"/>
    <x v="10"/>
    <x v="17"/>
    <x v="36"/>
    <x v="8"/>
    <x v="48"/>
    <x v="135"/>
  </r>
  <r>
    <x v="253"/>
    <x v="0"/>
    <x v="0"/>
    <x v="30"/>
    <x v="38"/>
    <x v="19"/>
    <x v="18"/>
    <x v="6"/>
    <x v="43"/>
    <x v="47"/>
    <x v="2"/>
    <x v="24"/>
    <x v="0"/>
    <x v="136"/>
  </r>
  <r>
    <x v="254"/>
    <x v="0"/>
    <x v="0"/>
    <x v="21"/>
    <x v="8"/>
    <x v="23"/>
    <x v="2"/>
    <x v="11"/>
    <x v="1"/>
    <x v="5"/>
    <x v="29"/>
    <x v="0"/>
    <x v="37"/>
    <x v="71"/>
  </r>
  <r>
    <x v="255"/>
    <x v="0"/>
    <x v="0"/>
    <x v="9"/>
    <x v="5"/>
    <x v="23"/>
    <x v="1"/>
    <x v="1"/>
    <x v="9"/>
    <x v="3"/>
    <x v="1"/>
    <x v="27"/>
    <x v="37"/>
    <x v="4"/>
  </r>
  <r>
    <x v="256"/>
    <x v="0"/>
    <x v="0"/>
    <x v="7"/>
    <x v="5"/>
    <x v="6"/>
    <x v="15"/>
    <x v="26"/>
    <x v="10"/>
    <x v="0"/>
    <x v="10"/>
    <x v="34"/>
    <x v="22"/>
    <x v="137"/>
  </r>
  <r>
    <x v="257"/>
    <x v="0"/>
    <x v="0"/>
    <x v="17"/>
    <x v="14"/>
    <x v="15"/>
    <x v="13"/>
    <x v="26"/>
    <x v="13"/>
    <x v="16"/>
    <x v="15"/>
    <x v="24"/>
    <x v="53"/>
    <x v="138"/>
  </r>
  <r>
    <x v="258"/>
    <x v="0"/>
    <x v="0"/>
    <x v="14"/>
    <x v="24"/>
    <x v="25"/>
    <x v="3"/>
    <x v="16"/>
    <x v="18"/>
    <x v="19"/>
    <x v="37"/>
    <x v="46"/>
    <x v="32"/>
    <x v="49"/>
  </r>
  <r>
    <x v="259"/>
    <x v="0"/>
    <x v="0"/>
    <x v="31"/>
    <x v="22"/>
    <x v="11"/>
    <x v="13"/>
    <x v="26"/>
    <x v="4"/>
    <x v="17"/>
    <x v="18"/>
    <x v="17"/>
    <x v="33"/>
    <x v="139"/>
  </r>
  <r>
    <x v="260"/>
    <x v="0"/>
    <x v="0"/>
    <x v="4"/>
    <x v="12"/>
    <x v="19"/>
    <x v="10"/>
    <x v="8"/>
    <x v="0"/>
    <x v="40"/>
    <x v="36"/>
    <x v="2"/>
    <x v="39"/>
    <x v="57"/>
  </r>
  <r>
    <x v="261"/>
    <x v="0"/>
    <x v="0"/>
    <x v="3"/>
    <x v="11"/>
    <x v="12"/>
    <x v="8"/>
    <x v="26"/>
    <x v="27"/>
    <x v="7"/>
    <x v="28"/>
    <x v="4"/>
    <x v="28"/>
    <x v="96"/>
  </r>
  <r>
    <x v="262"/>
    <x v="0"/>
    <x v="0"/>
    <x v="9"/>
    <x v="0"/>
    <x v="2"/>
    <x v="21"/>
    <x v="12"/>
    <x v="7"/>
    <x v="10"/>
    <x v="19"/>
    <x v="36"/>
    <x v="27"/>
    <x v="98"/>
  </r>
  <r>
    <x v="263"/>
    <x v="0"/>
    <x v="0"/>
    <x v="30"/>
    <x v="16"/>
    <x v="10"/>
    <x v="2"/>
    <x v="17"/>
    <x v="8"/>
    <x v="42"/>
    <x v="24"/>
    <x v="30"/>
    <x v="17"/>
    <x v="4"/>
  </r>
  <r>
    <x v="264"/>
    <x v="0"/>
    <x v="0"/>
    <x v="14"/>
    <x v="24"/>
    <x v="15"/>
    <x v="1"/>
    <x v="18"/>
    <x v="9"/>
    <x v="47"/>
    <x v="9"/>
    <x v="0"/>
    <x v="32"/>
    <x v="71"/>
  </r>
  <r>
    <x v="265"/>
    <x v="0"/>
    <x v="0"/>
    <x v="4"/>
    <x v="22"/>
    <x v="19"/>
    <x v="8"/>
    <x v="6"/>
    <x v="19"/>
    <x v="22"/>
    <x v="38"/>
    <x v="32"/>
    <x v="13"/>
    <x v="140"/>
  </r>
  <r>
    <x v="266"/>
    <x v="0"/>
    <x v="0"/>
    <x v="6"/>
    <x v="9"/>
    <x v="13"/>
    <x v="4"/>
    <x v="19"/>
    <x v="25"/>
    <x v="15"/>
    <x v="38"/>
    <x v="0"/>
    <x v="33"/>
    <x v="141"/>
  </r>
  <r>
    <x v="267"/>
    <x v="0"/>
    <x v="0"/>
    <x v="2"/>
    <x v="5"/>
    <x v="6"/>
    <x v="18"/>
    <x v="30"/>
    <x v="11"/>
    <x v="40"/>
    <x v="6"/>
    <x v="14"/>
    <x v="25"/>
    <x v="91"/>
  </r>
  <r>
    <x v="268"/>
    <x v="0"/>
    <x v="0"/>
    <x v="30"/>
    <x v="15"/>
    <x v="14"/>
    <x v="12"/>
    <x v="29"/>
    <x v="1"/>
    <x v="15"/>
    <x v="46"/>
    <x v="23"/>
    <x v="32"/>
    <x v="67"/>
  </r>
  <r>
    <x v="269"/>
    <x v="0"/>
    <x v="0"/>
    <x v="0"/>
    <x v="16"/>
    <x v="2"/>
    <x v="20"/>
    <x v="29"/>
    <x v="9"/>
    <x v="4"/>
    <x v="41"/>
    <x v="2"/>
    <x v="42"/>
    <x v="68"/>
  </r>
  <r>
    <x v="270"/>
    <x v="0"/>
    <x v="0"/>
    <x v="2"/>
    <x v="5"/>
    <x v="12"/>
    <x v="18"/>
    <x v="30"/>
    <x v="17"/>
    <x v="6"/>
    <x v="0"/>
    <x v="4"/>
    <x v="7"/>
    <x v="99"/>
  </r>
  <r>
    <x v="271"/>
    <x v="0"/>
    <x v="0"/>
    <x v="21"/>
    <x v="22"/>
    <x v="22"/>
    <x v="20"/>
    <x v="30"/>
    <x v="18"/>
    <x v="2"/>
    <x v="29"/>
    <x v="1"/>
    <x v="39"/>
    <x v="142"/>
  </r>
  <r>
    <x v="272"/>
    <x v="0"/>
    <x v="0"/>
    <x v="2"/>
    <x v="14"/>
    <x v="31"/>
    <x v="17"/>
    <x v="11"/>
    <x v="13"/>
    <x v="5"/>
    <x v="28"/>
    <x v="30"/>
    <x v="28"/>
    <x v="143"/>
  </r>
  <r>
    <x v="273"/>
    <x v="0"/>
    <x v="0"/>
    <x v="0"/>
    <x v="3"/>
    <x v="10"/>
    <x v="12"/>
    <x v="27"/>
    <x v="5"/>
    <x v="16"/>
    <x v="25"/>
    <x v="17"/>
    <x v="40"/>
    <x v="144"/>
  </r>
  <r>
    <x v="274"/>
    <x v="0"/>
    <x v="0"/>
    <x v="23"/>
    <x v="0"/>
    <x v="14"/>
    <x v="35"/>
    <x v="16"/>
    <x v="4"/>
    <x v="17"/>
    <x v="12"/>
    <x v="25"/>
    <x v="50"/>
    <x v="145"/>
  </r>
  <r>
    <x v="275"/>
    <x v="0"/>
    <x v="0"/>
    <x v="10"/>
    <x v="3"/>
    <x v="6"/>
    <x v="17"/>
    <x v="34"/>
    <x v="39"/>
    <x v="14"/>
    <x v="28"/>
    <x v="40"/>
    <x v="39"/>
    <x v="6"/>
  </r>
  <r>
    <x v="276"/>
    <x v="0"/>
    <x v="0"/>
    <x v="29"/>
    <x v="1"/>
    <x v="2"/>
    <x v="21"/>
    <x v="26"/>
    <x v="11"/>
    <x v="3"/>
    <x v="39"/>
    <x v="38"/>
    <x v="31"/>
    <x v="146"/>
  </r>
  <r>
    <x v="277"/>
    <x v="0"/>
    <x v="0"/>
    <x v="3"/>
    <x v="8"/>
    <x v="18"/>
    <x v="36"/>
    <x v="29"/>
    <x v="4"/>
    <x v="48"/>
    <x v="24"/>
    <x v="2"/>
    <x v="39"/>
    <x v="147"/>
  </r>
  <r>
    <x v="278"/>
    <x v="0"/>
    <x v="0"/>
    <x v="4"/>
    <x v="7"/>
    <x v="6"/>
    <x v="2"/>
    <x v="21"/>
    <x v="9"/>
    <x v="10"/>
    <x v="12"/>
    <x v="37"/>
    <x v="0"/>
    <x v="148"/>
  </r>
  <r>
    <x v="279"/>
    <x v="0"/>
    <x v="0"/>
    <x v="0"/>
    <x v="25"/>
    <x v="6"/>
    <x v="23"/>
    <x v="24"/>
    <x v="7"/>
    <x v="7"/>
    <x v="0"/>
    <x v="2"/>
    <x v="10"/>
    <x v="25"/>
  </r>
  <r>
    <x v="280"/>
    <x v="0"/>
    <x v="0"/>
    <x v="9"/>
    <x v="3"/>
    <x v="11"/>
    <x v="7"/>
    <x v="14"/>
    <x v="27"/>
    <x v="9"/>
    <x v="2"/>
    <x v="2"/>
    <x v="30"/>
    <x v="21"/>
  </r>
  <r>
    <x v="281"/>
    <x v="0"/>
    <x v="0"/>
    <x v="14"/>
    <x v="0"/>
    <x v="33"/>
    <x v="15"/>
    <x v="18"/>
    <x v="2"/>
    <x v="11"/>
    <x v="8"/>
    <x v="0"/>
    <x v="29"/>
    <x v="66"/>
  </r>
  <r>
    <x v="282"/>
    <x v="0"/>
    <x v="0"/>
    <x v="17"/>
    <x v="9"/>
    <x v="6"/>
    <x v="4"/>
    <x v="5"/>
    <x v="10"/>
    <x v="2"/>
    <x v="34"/>
    <x v="27"/>
    <x v="14"/>
    <x v="93"/>
  </r>
  <r>
    <x v="283"/>
    <x v="0"/>
    <x v="0"/>
    <x v="12"/>
    <x v="24"/>
    <x v="6"/>
    <x v="18"/>
    <x v="13"/>
    <x v="12"/>
    <x v="24"/>
    <x v="11"/>
    <x v="20"/>
    <x v="53"/>
    <x v="26"/>
  </r>
  <r>
    <x v="284"/>
    <x v="0"/>
    <x v="0"/>
    <x v="2"/>
    <x v="22"/>
    <x v="3"/>
    <x v="2"/>
    <x v="25"/>
    <x v="8"/>
    <x v="33"/>
    <x v="8"/>
    <x v="30"/>
    <x v="56"/>
    <x v="139"/>
  </r>
  <r>
    <x v="285"/>
    <x v="0"/>
    <x v="0"/>
    <x v="23"/>
    <x v="16"/>
    <x v="3"/>
    <x v="20"/>
    <x v="0"/>
    <x v="5"/>
    <x v="10"/>
    <x v="24"/>
    <x v="2"/>
    <x v="13"/>
    <x v="4"/>
  </r>
  <r>
    <x v="286"/>
    <x v="0"/>
    <x v="0"/>
    <x v="11"/>
    <x v="24"/>
    <x v="5"/>
    <x v="4"/>
    <x v="15"/>
    <x v="0"/>
    <x v="7"/>
    <x v="25"/>
    <x v="11"/>
    <x v="22"/>
    <x v="17"/>
  </r>
  <r>
    <x v="287"/>
    <x v="0"/>
    <x v="0"/>
    <x v="21"/>
    <x v="39"/>
    <x v="22"/>
    <x v="17"/>
    <x v="16"/>
    <x v="8"/>
    <x v="20"/>
    <x v="12"/>
    <x v="39"/>
    <x v="1"/>
    <x v="62"/>
  </r>
  <r>
    <x v="288"/>
    <x v="0"/>
    <x v="0"/>
    <x v="13"/>
    <x v="3"/>
    <x v="16"/>
    <x v="0"/>
    <x v="27"/>
    <x v="7"/>
    <x v="14"/>
    <x v="12"/>
    <x v="10"/>
    <x v="6"/>
    <x v="40"/>
  </r>
  <r>
    <x v="289"/>
    <x v="0"/>
    <x v="0"/>
    <x v="4"/>
    <x v="8"/>
    <x v="11"/>
    <x v="0"/>
    <x v="26"/>
    <x v="6"/>
    <x v="0"/>
    <x v="15"/>
    <x v="31"/>
    <x v="8"/>
    <x v="93"/>
  </r>
  <r>
    <x v="290"/>
    <x v="0"/>
    <x v="0"/>
    <x v="2"/>
    <x v="39"/>
    <x v="6"/>
    <x v="23"/>
    <x v="0"/>
    <x v="17"/>
    <x v="18"/>
    <x v="37"/>
    <x v="16"/>
    <x v="26"/>
    <x v="142"/>
  </r>
  <r>
    <x v="291"/>
    <x v="0"/>
    <x v="0"/>
    <x v="16"/>
    <x v="0"/>
    <x v="17"/>
    <x v="5"/>
    <x v="10"/>
    <x v="11"/>
    <x v="42"/>
    <x v="18"/>
    <x v="14"/>
    <x v="20"/>
    <x v="96"/>
  </r>
  <r>
    <x v="292"/>
    <x v="0"/>
    <x v="0"/>
    <x v="0"/>
    <x v="25"/>
    <x v="18"/>
    <x v="1"/>
    <x v="27"/>
    <x v="9"/>
    <x v="6"/>
    <x v="28"/>
    <x v="26"/>
    <x v="44"/>
    <x v="80"/>
  </r>
  <r>
    <x v="293"/>
    <x v="0"/>
    <x v="0"/>
    <x v="0"/>
    <x v="8"/>
    <x v="21"/>
    <x v="13"/>
    <x v="5"/>
    <x v="28"/>
    <x v="5"/>
    <x v="5"/>
    <x v="5"/>
    <x v="2"/>
    <x v="138"/>
  </r>
  <r>
    <x v="294"/>
    <x v="0"/>
    <x v="0"/>
    <x v="21"/>
    <x v="16"/>
    <x v="2"/>
    <x v="4"/>
    <x v="8"/>
    <x v="15"/>
    <x v="43"/>
    <x v="22"/>
    <x v="36"/>
    <x v="18"/>
    <x v="149"/>
  </r>
  <r>
    <x v="295"/>
    <x v="0"/>
    <x v="0"/>
    <x v="13"/>
    <x v="5"/>
    <x v="22"/>
    <x v="3"/>
    <x v="16"/>
    <x v="44"/>
    <x v="10"/>
    <x v="16"/>
    <x v="34"/>
    <x v="57"/>
    <x v="148"/>
  </r>
  <r>
    <x v="296"/>
    <x v="0"/>
    <x v="0"/>
    <x v="0"/>
    <x v="24"/>
    <x v="9"/>
    <x v="2"/>
    <x v="30"/>
    <x v="12"/>
    <x v="8"/>
    <x v="9"/>
    <x v="27"/>
    <x v="44"/>
    <x v="150"/>
  </r>
  <r>
    <x v="297"/>
    <x v="0"/>
    <x v="0"/>
    <x v="0"/>
    <x v="1"/>
    <x v="17"/>
    <x v="15"/>
    <x v="21"/>
    <x v="18"/>
    <x v="29"/>
    <x v="10"/>
    <x v="4"/>
    <x v="6"/>
    <x v="139"/>
  </r>
  <r>
    <x v="298"/>
    <x v="0"/>
    <x v="0"/>
    <x v="21"/>
    <x v="0"/>
    <x v="23"/>
    <x v="20"/>
    <x v="17"/>
    <x v="2"/>
    <x v="9"/>
    <x v="30"/>
    <x v="18"/>
    <x v="38"/>
    <x v="137"/>
  </r>
  <r>
    <x v="299"/>
    <x v="0"/>
    <x v="0"/>
    <x v="9"/>
    <x v="1"/>
    <x v="22"/>
    <x v="1"/>
    <x v="15"/>
    <x v="13"/>
    <x v="2"/>
    <x v="24"/>
    <x v="5"/>
    <x v="2"/>
    <x v="139"/>
  </r>
  <r>
    <x v="300"/>
    <x v="0"/>
    <x v="0"/>
    <x v="8"/>
    <x v="26"/>
    <x v="2"/>
    <x v="25"/>
    <x v="8"/>
    <x v="12"/>
    <x v="35"/>
    <x v="10"/>
    <x v="0"/>
    <x v="8"/>
    <x v="24"/>
  </r>
  <r>
    <x v="301"/>
    <x v="0"/>
    <x v="0"/>
    <x v="2"/>
    <x v="3"/>
    <x v="3"/>
    <x v="24"/>
    <x v="2"/>
    <x v="19"/>
    <x v="23"/>
    <x v="16"/>
    <x v="16"/>
    <x v="42"/>
    <x v="136"/>
  </r>
  <r>
    <x v="302"/>
    <x v="0"/>
    <x v="0"/>
    <x v="11"/>
    <x v="5"/>
    <x v="2"/>
    <x v="13"/>
    <x v="3"/>
    <x v="29"/>
    <x v="43"/>
    <x v="41"/>
    <x v="24"/>
    <x v="58"/>
    <x v="151"/>
  </r>
  <r>
    <x v="303"/>
    <x v="0"/>
    <x v="0"/>
    <x v="21"/>
    <x v="7"/>
    <x v="3"/>
    <x v="16"/>
    <x v="3"/>
    <x v="18"/>
    <x v="44"/>
    <x v="10"/>
    <x v="23"/>
    <x v="2"/>
    <x v="93"/>
  </r>
  <r>
    <x v="304"/>
    <x v="0"/>
    <x v="0"/>
    <x v="23"/>
    <x v="36"/>
    <x v="25"/>
    <x v="37"/>
    <x v="7"/>
    <x v="2"/>
    <x v="17"/>
    <x v="46"/>
    <x v="7"/>
    <x v="2"/>
    <x v="60"/>
  </r>
  <r>
    <x v="305"/>
    <x v="0"/>
    <x v="0"/>
    <x v="32"/>
    <x v="36"/>
    <x v="34"/>
    <x v="37"/>
    <x v="1"/>
    <x v="38"/>
    <x v="18"/>
    <x v="29"/>
    <x v="20"/>
    <x v="59"/>
    <x v="152"/>
  </r>
  <r>
    <x v="306"/>
    <x v="0"/>
    <x v="0"/>
    <x v="33"/>
    <x v="26"/>
    <x v="34"/>
    <x v="34"/>
    <x v="42"/>
    <x v="38"/>
    <x v="38"/>
    <x v="39"/>
    <x v="6"/>
    <x v="48"/>
    <x v="153"/>
  </r>
  <r>
    <x v="307"/>
    <x v="0"/>
    <x v="0"/>
    <x v="33"/>
    <x v="36"/>
    <x v="33"/>
    <x v="37"/>
    <x v="36"/>
    <x v="3"/>
    <x v="7"/>
    <x v="40"/>
    <x v="14"/>
    <x v="5"/>
    <x v="154"/>
  </r>
  <r>
    <x v="308"/>
    <x v="0"/>
    <x v="0"/>
    <x v="33"/>
    <x v="36"/>
    <x v="31"/>
    <x v="37"/>
    <x v="12"/>
    <x v="45"/>
    <x v="7"/>
    <x v="39"/>
    <x v="25"/>
    <x v="40"/>
    <x v="155"/>
  </r>
  <r>
    <x v="309"/>
    <x v="0"/>
    <x v="0"/>
    <x v="14"/>
    <x v="36"/>
    <x v="21"/>
    <x v="37"/>
    <x v="42"/>
    <x v="45"/>
    <x v="28"/>
    <x v="37"/>
    <x v="36"/>
    <x v="50"/>
    <x v="152"/>
  </r>
  <r>
    <x v="310"/>
    <x v="0"/>
    <x v="0"/>
    <x v="33"/>
    <x v="31"/>
    <x v="6"/>
    <x v="1"/>
    <x v="42"/>
    <x v="43"/>
    <x v="31"/>
    <x v="28"/>
    <x v="6"/>
    <x v="39"/>
    <x v="156"/>
  </r>
  <r>
    <x v="311"/>
    <x v="0"/>
    <x v="0"/>
    <x v="17"/>
    <x v="7"/>
    <x v="16"/>
    <x v="10"/>
    <x v="29"/>
    <x v="12"/>
    <x v="0"/>
    <x v="47"/>
    <x v="19"/>
    <x v="30"/>
    <x v="157"/>
  </r>
  <r>
    <x v="312"/>
    <x v="0"/>
    <x v="0"/>
    <x v="12"/>
    <x v="15"/>
    <x v="3"/>
    <x v="21"/>
    <x v="11"/>
    <x v="22"/>
    <x v="3"/>
    <x v="28"/>
    <x v="0"/>
    <x v="44"/>
    <x v="91"/>
  </r>
  <r>
    <x v="313"/>
    <x v="0"/>
    <x v="0"/>
    <x v="23"/>
    <x v="9"/>
    <x v="5"/>
    <x v="0"/>
    <x v="6"/>
    <x v="29"/>
    <x v="39"/>
    <x v="41"/>
    <x v="47"/>
    <x v="16"/>
    <x v="80"/>
  </r>
  <r>
    <x v="314"/>
    <x v="0"/>
    <x v="0"/>
    <x v="31"/>
    <x v="20"/>
    <x v="19"/>
    <x v="3"/>
    <x v="5"/>
    <x v="20"/>
    <x v="37"/>
    <x v="0"/>
    <x v="11"/>
    <x v="29"/>
    <x v="83"/>
  </r>
  <r>
    <x v="315"/>
    <x v="0"/>
    <x v="0"/>
    <x v="9"/>
    <x v="0"/>
    <x v="2"/>
    <x v="12"/>
    <x v="24"/>
    <x v="38"/>
    <x v="9"/>
    <x v="38"/>
    <x v="5"/>
    <x v="56"/>
    <x v="139"/>
  </r>
  <r>
    <x v="316"/>
    <x v="0"/>
    <x v="0"/>
    <x v="23"/>
    <x v="5"/>
    <x v="3"/>
    <x v="12"/>
    <x v="22"/>
    <x v="0"/>
    <x v="17"/>
    <x v="16"/>
    <x v="5"/>
    <x v="28"/>
    <x v="24"/>
  </r>
  <r>
    <x v="317"/>
    <x v="0"/>
    <x v="0"/>
    <x v="17"/>
    <x v="5"/>
    <x v="13"/>
    <x v="16"/>
    <x v="1"/>
    <x v="15"/>
    <x v="14"/>
    <x v="38"/>
    <x v="5"/>
    <x v="21"/>
    <x v="145"/>
  </r>
  <r>
    <x v="318"/>
    <x v="0"/>
    <x v="0"/>
    <x v="4"/>
    <x v="1"/>
    <x v="10"/>
    <x v="38"/>
    <x v="9"/>
    <x v="24"/>
    <x v="18"/>
    <x v="36"/>
    <x v="40"/>
    <x v="7"/>
    <x v="6"/>
  </r>
  <r>
    <x v="319"/>
    <x v="0"/>
    <x v="0"/>
    <x v="4"/>
    <x v="22"/>
    <x v="10"/>
    <x v="9"/>
    <x v="26"/>
    <x v="12"/>
    <x v="25"/>
    <x v="6"/>
    <x v="2"/>
    <x v="28"/>
    <x v="46"/>
  </r>
  <r>
    <x v="320"/>
    <x v="0"/>
    <x v="0"/>
    <x v="9"/>
    <x v="1"/>
    <x v="14"/>
    <x v="4"/>
    <x v="3"/>
    <x v="12"/>
    <x v="11"/>
    <x v="0"/>
    <x v="48"/>
    <x v="42"/>
    <x v="5"/>
  </r>
  <r>
    <x v="321"/>
    <x v="0"/>
    <x v="0"/>
    <x v="17"/>
    <x v="22"/>
    <x v="11"/>
    <x v="0"/>
    <x v="1"/>
    <x v="2"/>
    <x v="7"/>
    <x v="16"/>
    <x v="25"/>
    <x v="2"/>
    <x v="68"/>
  </r>
  <r>
    <x v="322"/>
    <x v="0"/>
    <x v="0"/>
    <x v="4"/>
    <x v="22"/>
    <x v="15"/>
    <x v="18"/>
    <x v="42"/>
    <x v="0"/>
    <x v="1"/>
    <x v="36"/>
    <x v="11"/>
    <x v="36"/>
    <x v="97"/>
  </r>
  <r>
    <x v="323"/>
    <x v="0"/>
    <x v="0"/>
    <x v="31"/>
    <x v="5"/>
    <x v="25"/>
    <x v="3"/>
    <x v="1"/>
    <x v="29"/>
    <x v="5"/>
    <x v="44"/>
    <x v="6"/>
    <x v="29"/>
    <x v="133"/>
  </r>
  <r>
    <x v="324"/>
    <x v="0"/>
    <x v="0"/>
    <x v="7"/>
    <x v="6"/>
    <x v="6"/>
    <x v="0"/>
    <x v="27"/>
    <x v="15"/>
    <x v="8"/>
    <x v="16"/>
    <x v="27"/>
    <x v="33"/>
    <x v="44"/>
  </r>
  <r>
    <x v="325"/>
    <x v="0"/>
    <x v="0"/>
    <x v="9"/>
    <x v="0"/>
    <x v="13"/>
    <x v="17"/>
    <x v="11"/>
    <x v="14"/>
    <x v="0"/>
    <x v="2"/>
    <x v="49"/>
    <x v="39"/>
    <x v="24"/>
  </r>
  <r>
    <x v="326"/>
    <x v="0"/>
    <x v="0"/>
    <x v="7"/>
    <x v="7"/>
    <x v="2"/>
    <x v="18"/>
    <x v="26"/>
    <x v="27"/>
    <x v="38"/>
    <x v="0"/>
    <x v="26"/>
    <x v="60"/>
    <x v="56"/>
  </r>
  <r>
    <x v="327"/>
    <x v="0"/>
    <x v="0"/>
    <x v="22"/>
    <x v="9"/>
    <x v="10"/>
    <x v="16"/>
    <x v="6"/>
    <x v="38"/>
    <x v="2"/>
    <x v="15"/>
    <x v="5"/>
    <x v="3"/>
    <x v="145"/>
  </r>
  <r>
    <x v="328"/>
    <x v="0"/>
    <x v="0"/>
    <x v="8"/>
    <x v="7"/>
    <x v="5"/>
    <x v="39"/>
    <x v="0"/>
    <x v="0"/>
    <x v="1"/>
    <x v="29"/>
    <x v="8"/>
    <x v="26"/>
    <x v="67"/>
  </r>
  <r>
    <x v="329"/>
    <x v="0"/>
    <x v="0"/>
    <x v="17"/>
    <x v="16"/>
    <x v="21"/>
    <x v="10"/>
    <x v="10"/>
    <x v="9"/>
    <x v="11"/>
    <x v="29"/>
    <x v="42"/>
    <x v="6"/>
    <x v="71"/>
  </r>
  <r>
    <x v="330"/>
    <x v="0"/>
    <x v="0"/>
    <x v="16"/>
    <x v="3"/>
    <x v="9"/>
    <x v="15"/>
    <x v="6"/>
    <x v="38"/>
    <x v="16"/>
    <x v="6"/>
    <x v="9"/>
    <x v="18"/>
    <x v="138"/>
  </r>
  <r>
    <x v="331"/>
    <x v="0"/>
    <x v="0"/>
    <x v="29"/>
    <x v="26"/>
    <x v="3"/>
    <x v="1"/>
    <x v="16"/>
    <x v="2"/>
    <x v="35"/>
    <x v="30"/>
    <x v="31"/>
    <x v="2"/>
    <x v="56"/>
  </r>
  <r>
    <x v="332"/>
    <x v="0"/>
    <x v="0"/>
    <x v="2"/>
    <x v="22"/>
    <x v="25"/>
    <x v="3"/>
    <x v="3"/>
    <x v="7"/>
    <x v="18"/>
    <x v="3"/>
    <x v="50"/>
    <x v="28"/>
    <x v="77"/>
  </r>
  <r>
    <x v="333"/>
    <x v="0"/>
    <x v="0"/>
    <x v="9"/>
    <x v="1"/>
    <x v="11"/>
    <x v="0"/>
    <x v="18"/>
    <x v="19"/>
    <x v="2"/>
    <x v="38"/>
    <x v="18"/>
    <x v="3"/>
    <x v="158"/>
  </r>
  <r>
    <x v="334"/>
    <x v="0"/>
    <x v="0"/>
    <x v="13"/>
    <x v="3"/>
    <x v="10"/>
    <x v="13"/>
    <x v="15"/>
    <x v="7"/>
    <x v="1"/>
    <x v="28"/>
    <x v="8"/>
    <x v="11"/>
    <x v="5"/>
  </r>
  <r>
    <x v="335"/>
    <x v="0"/>
    <x v="0"/>
    <x v="7"/>
    <x v="1"/>
    <x v="12"/>
    <x v="12"/>
    <x v="22"/>
    <x v="9"/>
    <x v="5"/>
    <x v="19"/>
    <x v="36"/>
    <x v="8"/>
    <x v="130"/>
  </r>
  <r>
    <x v="336"/>
    <x v="0"/>
    <x v="0"/>
    <x v="8"/>
    <x v="37"/>
    <x v="17"/>
    <x v="12"/>
    <x v="6"/>
    <x v="10"/>
    <x v="6"/>
    <x v="37"/>
    <x v="27"/>
    <x v="28"/>
    <x v="44"/>
  </r>
  <r>
    <x v="337"/>
    <x v="0"/>
    <x v="0"/>
    <x v="10"/>
    <x v="5"/>
    <x v="22"/>
    <x v="16"/>
    <x v="28"/>
    <x v="1"/>
    <x v="18"/>
    <x v="1"/>
    <x v="7"/>
    <x v="48"/>
    <x v="93"/>
  </r>
  <r>
    <x v="338"/>
    <x v="0"/>
    <x v="0"/>
    <x v="23"/>
    <x v="16"/>
    <x v="3"/>
    <x v="10"/>
    <x v="27"/>
    <x v="22"/>
    <x v="10"/>
    <x v="6"/>
    <x v="18"/>
    <x v="26"/>
    <x v="49"/>
  </r>
  <r>
    <x v="339"/>
    <x v="0"/>
    <x v="0"/>
    <x v="10"/>
    <x v="26"/>
    <x v="15"/>
    <x v="8"/>
    <x v="20"/>
    <x v="7"/>
    <x v="2"/>
    <x v="19"/>
    <x v="39"/>
    <x v="19"/>
    <x v="66"/>
  </r>
  <r>
    <x v="340"/>
    <x v="0"/>
    <x v="0"/>
    <x v="2"/>
    <x v="20"/>
    <x v="10"/>
    <x v="18"/>
    <x v="43"/>
    <x v="28"/>
    <x v="0"/>
    <x v="20"/>
    <x v="31"/>
    <x v="22"/>
    <x v="67"/>
  </r>
  <r>
    <x v="341"/>
    <x v="0"/>
    <x v="0"/>
    <x v="3"/>
    <x v="15"/>
    <x v="19"/>
    <x v="3"/>
    <x v="26"/>
    <x v="0"/>
    <x v="27"/>
    <x v="39"/>
    <x v="45"/>
    <x v="42"/>
    <x v="24"/>
  </r>
  <r>
    <x v="342"/>
    <x v="0"/>
    <x v="0"/>
    <x v="0"/>
    <x v="16"/>
    <x v="3"/>
    <x v="13"/>
    <x v="7"/>
    <x v="4"/>
    <x v="28"/>
    <x v="18"/>
    <x v="4"/>
    <x v="33"/>
    <x v="80"/>
  </r>
  <r>
    <x v="343"/>
    <x v="0"/>
    <x v="0"/>
    <x v="16"/>
    <x v="3"/>
    <x v="35"/>
    <x v="4"/>
    <x v="11"/>
    <x v="1"/>
    <x v="28"/>
    <x v="26"/>
    <x v="25"/>
    <x v="47"/>
    <x v="68"/>
  </r>
  <r>
    <x v="344"/>
    <x v="0"/>
    <x v="0"/>
    <x v="7"/>
    <x v="26"/>
    <x v="21"/>
    <x v="1"/>
    <x v="13"/>
    <x v="1"/>
    <x v="6"/>
    <x v="28"/>
    <x v="7"/>
    <x v="26"/>
    <x v="145"/>
  </r>
  <r>
    <x v="345"/>
    <x v="0"/>
    <x v="0"/>
    <x v="8"/>
    <x v="25"/>
    <x v="6"/>
    <x v="15"/>
    <x v="8"/>
    <x v="14"/>
    <x v="16"/>
    <x v="8"/>
    <x v="51"/>
    <x v="61"/>
    <x v="69"/>
  </r>
  <r>
    <x v="346"/>
    <x v="0"/>
    <x v="0"/>
    <x v="9"/>
    <x v="5"/>
    <x v="15"/>
    <x v="2"/>
    <x v="16"/>
    <x v="1"/>
    <x v="25"/>
    <x v="38"/>
    <x v="18"/>
    <x v="48"/>
    <x v="58"/>
  </r>
  <r>
    <x v="347"/>
    <x v="0"/>
    <x v="0"/>
    <x v="3"/>
    <x v="15"/>
    <x v="19"/>
    <x v="40"/>
    <x v="11"/>
    <x v="8"/>
    <x v="21"/>
    <x v="8"/>
    <x v="8"/>
    <x v="14"/>
    <x v="80"/>
  </r>
  <r>
    <x v="348"/>
    <x v="0"/>
    <x v="0"/>
    <x v="2"/>
    <x v="8"/>
    <x v="3"/>
    <x v="24"/>
    <x v="12"/>
    <x v="27"/>
    <x v="15"/>
    <x v="9"/>
    <x v="24"/>
    <x v="7"/>
    <x v="157"/>
  </r>
  <r>
    <x v="349"/>
    <x v="0"/>
    <x v="0"/>
    <x v="4"/>
    <x v="5"/>
    <x v="2"/>
    <x v="18"/>
    <x v="29"/>
    <x v="10"/>
    <x v="38"/>
    <x v="47"/>
    <x v="4"/>
    <x v="18"/>
    <x v="159"/>
  </r>
  <r>
    <x v="350"/>
    <x v="0"/>
    <x v="0"/>
    <x v="4"/>
    <x v="22"/>
    <x v="18"/>
    <x v="4"/>
    <x v="26"/>
    <x v="14"/>
    <x v="1"/>
    <x v="15"/>
    <x v="1"/>
    <x v="18"/>
    <x v="25"/>
  </r>
  <r>
    <x v="351"/>
    <x v="0"/>
    <x v="0"/>
    <x v="8"/>
    <x v="22"/>
    <x v="17"/>
    <x v="18"/>
    <x v="5"/>
    <x v="12"/>
    <x v="29"/>
    <x v="37"/>
    <x v="27"/>
    <x v="33"/>
    <x v="66"/>
  </r>
  <r>
    <x v="352"/>
    <x v="0"/>
    <x v="0"/>
    <x v="17"/>
    <x v="15"/>
    <x v="22"/>
    <x v="1"/>
    <x v="29"/>
    <x v="37"/>
    <x v="32"/>
    <x v="48"/>
    <x v="18"/>
    <x v="13"/>
    <x v="160"/>
  </r>
  <r>
    <x v="353"/>
    <x v="0"/>
    <x v="0"/>
    <x v="3"/>
    <x v="3"/>
    <x v="10"/>
    <x v="34"/>
    <x v="10"/>
    <x v="0"/>
    <x v="1"/>
    <x v="6"/>
    <x v="19"/>
    <x v="19"/>
    <x v="147"/>
  </r>
  <r>
    <x v="354"/>
    <x v="0"/>
    <x v="0"/>
    <x v="29"/>
    <x v="7"/>
    <x v="22"/>
    <x v="12"/>
    <x v="18"/>
    <x v="27"/>
    <x v="4"/>
    <x v="16"/>
    <x v="52"/>
    <x v="0"/>
    <x v="23"/>
  </r>
  <r>
    <x v="355"/>
    <x v="0"/>
    <x v="0"/>
    <x v="11"/>
    <x v="3"/>
    <x v="20"/>
    <x v="3"/>
    <x v="5"/>
    <x v="10"/>
    <x v="1"/>
    <x v="49"/>
    <x v="42"/>
    <x v="6"/>
    <x v="127"/>
  </r>
  <r>
    <x v="356"/>
    <x v="0"/>
    <x v="0"/>
    <x v="22"/>
    <x v="16"/>
    <x v="2"/>
    <x v="3"/>
    <x v="26"/>
    <x v="7"/>
    <x v="46"/>
    <x v="1"/>
    <x v="8"/>
    <x v="14"/>
    <x v="14"/>
  </r>
  <r>
    <x v="357"/>
    <x v="0"/>
    <x v="0"/>
    <x v="21"/>
    <x v="25"/>
    <x v="17"/>
    <x v="3"/>
    <x v="8"/>
    <x v="15"/>
    <x v="39"/>
    <x v="28"/>
    <x v="25"/>
    <x v="0"/>
    <x v="161"/>
  </r>
  <r>
    <x v="358"/>
    <x v="0"/>
    <x v="0"/>
    <x v="8"/>
    <x v="9"/>
    <x v="36"/>
    <x v="15"/>
    <x v="25"/>
    <x v="0"/>
    <x v="32"/>
    <x v="10"/>
    <x v="24"/>
    <x v="17"/>
    <x v="31"/>
  </r>
  <r>
    <x v="359"/>
    <x v="0"/>
    <x v="0"/>
    <x v="0"/>
    <x v="14"/>
    <x v="10"/>
    <x v="0"/>
    <x v="2"/>
    <x v="39"/>
    <x v="19"/>
    <x v="6"/>
    <x v="0"/>
    <x v="42"/>
    <x v="39"/>
  </r>
  <r>
    <x v="360"/>
    <x v="0"/>
    <x v="0"/>
    <x v="22"/>
    <x v="9"/>
    <x v="2"/>
    <x v="16"/>
    <x v="25"/>
    <x v="30"/>
    <x v="27"/>
    <x v="14"/>
    <x v="25"/>
    <x v="3"/>
    <x v="11"/>
  </r>
  <r>
    <x v="361"/>
    <x v="0"/>
    <x v="0"/>
    <x v="0"/>
    <x v="5"/>
    <x v="22"/>
    <x v="4"/>
    <x v="7"/>
    <x v="15"/>
    <x v="17"/>
    <x v="6"/>
    <x v="4"/>
    <x v="40"/>
    <x v="137"/>
  </r>
  <r>
    <x v="362"/>
    <x v="0"/>
    <x v="0"/>
    <x v="0"/>
    <x v="1"/>
    <x v="2"/>
    <x v="12"/>
    <x v="10"/>
    <x v="27"/>
    <x v="17"/>
    <x v="26"/>
    <x v="22"/>
    <x v="6"/>
    <x v="46"/>
  </r>
  <r>
    <x v="363"/>
    <x v="0"/>
    <x v="0"/>
    <x v="0"/>
    <x v="26"/>
    <x v="11"/>
    <x v="0"/>
    <x v="10"/>
    <x v="12"/>
    <x v="5"/>
    <x v="22"/>
    <x v="1"/>
    <x v="44"/>
    <x v="162"/>
  </r>
  <r>
    <x v="364"/>
    <x v="0"/>
    <x v="0"/>
    <x v="4"/>
    <x v="22"/>
    <x v="25"/>
    <x v="12"/>
    <x v="25"/>
    <x v="3"/>
    <x v="6"/>
    <x v="3"/>
    <x v="23"/>
    <x v="17"/>
    <x v="157"/>
  </r>
  <r>
    <x v="365"/>
    <x v="0"/>
    <x v="0"/>
    <x v="10"/>
    <x v="7"/>
    <x v="18"/>
    <x v="15"/>
    <x v="24"/>
    <x v="22"/>
    <x v="29"/>
    <x v="37"/>
    <x v="30"/>
    <x v="16"/>
    <x v="158"/>
  </r>
  <r>
    <x v="366"/>
    <x v="0"/>
    <x v="0"/>
    <x v="17"/>
    <x v="1"/>
    <x v="13"/>
    <x v="2"/>
    <x v="3"/>
    <x v="5"/>
    <x v="49"/>
    <x v="22"/>
    <x v="24"/>
    <x v="35"/>
    <x v="163"/>
  </r>
  <r>
    <x v="367"/>
    <x v="0"/>
    <x v="0"/>
    <x v="3"/>
    <x v="22"/>
    <x v="17"/>
    <x v="6"/>
    <x v="6"/>
    <x v="7"/>
    <x v="7"/>
    <x v="14"/>
    <x v="5"/>
    <x v="13"/>
    <x v="141"/>
  </r>
  <r>
    <x v="368"/>
    <x v="0"/>
    <x v="0"/>
    <x v="3"/>
    <x v="38"/>
    <x v="3"/>
    <x v="4"/>
    <x v="43"/>
    <x v="27"/>
    <x v="1"/>
    <x v="9"/>
    <x v="3"/>
    <x v="18"/>
    <x v="134"/>
  </r>
  <r>
    <x v="369"/>
    <x v="0"/>
    <x v="0"/>
    <x v="29"/>
    <x v="15"/>
    <x v="22"/>
    <x v="11"/>
    <x v="27"/>
    <x v="17"/>
    <x v="14"/>
    <x v="2"/>
    <x v="26"/>
    <x v="61"/>
    <x v="27"/>
  </r>
  <r>
    <x v="370"/>
    <x v="0"/>
    <x v="0"/>
    <x v="17"/>
    <x v="0"/>
    <x v="17"/>
    <x v="19"/>
    <x v="14"/>
    <x v="33"/>
    <x v="4"/>
    <x v="41"/>
    <x v="14"/>
    <x v="6"/>
    <x v="144"/>
  </r>
  <r>
    <x v="371"/>
    <x v="0"/>
    <x v="0"/>
    <x v="11"/>
    <x v="5"/>
    <x v="10"/>
    <x v="15"/>
    <x v="26"/>
    <x v="45"/>
    <x v="10"/>
    <x v="18"/>
    <x v="0"/>
    <x v="19"/>
    <x v="136"/>
  </r>
  <r>
    <x v="372"/>
    <x v="0"/>
    <x v="0"/>
    <x v="4"/>
    <x v="31"/>
    <x v="2"/>
    <x v="19"/>
    <x v="18"/>
    <x v="39"/>
    <x v="14"/>
    <x v="19"/>
    <x v="0"/>
    <x v="8"/>
    <x v="92"/>
  </r>
  <r>
    <x v="373"/>
    <x v="0"/>
    <x v="0"/>
    <x v="10"/>
    <x v="14"/>
    <x v="17"/>
    <x v="2"/>
    <x v="10"/>
    <x v="3"/>
    <x v="9"/>
    <x v="6"/>
    <x v="3"/>
    <x v="16"/>
    <x v="31"/>
  </r>
  <r>
    <x v="374"/>
    <x v="0"/>
    <x v="0"/>
    <x v="17"/>
    <x v="14"/>
    <x v="11"/>
    <x v="16"/>
    <x v="8"/>
    <x v="5"/>
    <x v="8"/>
    <x v="29"/>
    <x v="47"/>
    <x v="30"/>
    <x v="164"/>
  </r>
  <r>
    <x v="375"/>
    <x v="0"/>
    <x v="0"/>
    <x v="0"/>
    <x v="8"/>
    <x v="37"/>
    <x v="10"/>
    <x v="10"/>
    <x v="39"/>
    <x v="28"/>
    <x v="4"/>
    <x v="19"/>
    <x v="22"/>
    <x v="31"/>
  </r>
  <r>
    <x v="376"/>
    <x v="0"/>
    <x v="0"/>
    <x v="11"/>
    <x v="24"/>
    <x v="18"/>
    <x v="14"/>
    <x v="25"/>
    <x v="12"/>
    <x v="28"/>
    <x v="31"/>
    <x v="30"/>
    <x v="6"/>
    <x v="99"/>
  </r>
  <r>
    <x v="377"/>
    <x v="0"/>
    <x v="0"/>
    <x v="21"/>
    <x v="3"/>
    <x v="10"/>
    <x v="18"/>
    <x v="11"/>
    <x v="13"/>
    <x v="6"/>
    <x v="37"/>
    <x v="35"/>
    <x v="30"/>
    <x v="6"/>
  </r>
  <r>
    <x v="378"/>
    <x v="0"/>
    <x v="0"/>
    <x v="9"/>
    <x v="22"/>
    <x v="5"/>
    <x v="15"/>
    <x v="22"/>
    <x v="8"/>
    <x v="10"/>
    <x v="9"/>
    <x v="26"/>
    <x v="61"/>
    <x v="132"/>
  </r>
  <r>
    <x v="379"/>
    <x v="0"/>
    <x v="0"/>
    <x v="10"/>
    <x v="22"/>
    <x v="25"/>
    <x v="2"/>
    <x v="12"/>
    <x v="13"/>
    <x v="40"/>
    <x v="28"/>
    <x v="45"/>
    <x v="2"/>
    <x v="93"/>
  </r>
  <r>
    <x v="380"/>
    <x v="0"/>
    <x v="0"/>
    <x v="2"/>
    <x v="6"/>
    <x v="37"/>
    <x v="12"/>
    <x v="6"/>
    <x v="46"/>
    <x v="39"/>
    <x v="29"/>
    <x v="19"/>
    <x v="62"/>
    <x v="97"/>
  </r>
  <r>
    <x v="381"/>
    <x v="0"/>
    <x v="0"/>
    <x v="21"/>
    <x v="0"/>
    <x v="12"/>
    <x v="5"/>
    <x v="2"/>
    <x v="7"/>
    <x v="2"/>
    <x v="2"/>
    <x v="51"/>
    <x v="19"/>
    <x v="50"/>
  </r>
  <r>
    <x v="382"/>
    <x v="0"/>
    <x v="0"/>
    <x v="33"/>
    <x v="29"/>
    <x v="23"/>
    <x v="16"/>
    <x v="15"/>
    <x v="15"/>
    <x v="3"/>
    <x v="5"/>
    <x v="53"/>
    <x v="28"/>
    <x v="165"/>
  </r>
  <r>
    <x v="383"/>
    <x v="0"/>
    <x v="0"/>
    <x v="17"/>
    <x v="7"/>
    <x v="12"/>
    <x v="5"/>
    <x v="4"/>
    <x v="8"/>
    <x v="14"/>
    <x v="22"/>
    <x v="20"/>
    <x v="33"/>
    <x v="147"/>
  </r>
  <r>
    <x v="384"/>
    <x v="0"/>
    <x v="0"/>
    <x v="8"/>
    <x v="26"/>
    <x v="23"/>
    <x v="25"/>
    <x v="26"/>
    <x v="33"/>
    <x v="11"/>
    <x v="8"/>
    <x v="4"/>
    <x v="44"/>
    <x v="80"/>
  </r>
  <r>
    <x v="385"/>
    <x v="0"/>
    <x v="0"/>
    <x v="10"/>
    <x v="29"/>
    <x v="23"/>
    <x v="35"/>
    <x v="4"/>
    <x v="14"/>
    <x v="16"/>
    <x v="12"/>
    <x v="27"/>
    <x v="37"/>
    <x v="142"/>
  </r>
  <r>
    <x v="386"/>
    <x v="0"/>
    <x v="0"/>
    <x v="2"/>
    <x v="7"/>
    <x v="17"/>
    <x v="35"/>
    <x v="12"/>
    <x v="26"/>
    <x v="39"/>
    <x v="45"/>
    <x v="24"/>
    <x v="33"/>
    <x v="69"/>
  </r>
  <r>
    <x v="387"/>
    <x v="1"/>
    <x v="1"/>
    <x v="4"/>
    <x v="39"/>
    <x v="26"/>
    <x v="21"/>
    <x v="5"/>
    <x v="14"/>
    <x v="32"/>
    <x v="16"/>
    <x v="30"/>
    <x v="18"/>
    <x v="32"/>
  </r>
  <r>
    <x v="388"/>
    <x v="1"/>
    <x v="1"/>
    <x v="7"/>
    <x v="22"/>
    <x v="19"/>
    <x v="15"/>
    <x v="5"/>
    <x v="7"/>
    <x v="3"/>
    <x v="2"/>
    <x v="40"/>
    <x v="7"/>
    <x v="35"/>
  </r>
  <r>
    <x v="389"/>
    <x v="1"/>
    <x v="1"/>
    <x v="19"/>
    <x v="14"/>
    <x v="3"/>
    <x v="5"/>
    <x v="3"/>
    <x v="33"/>
    <x v="19"/>
    <x v="18"/>
    <x v="12"/>
    <x v="42"/>
    <x v="3"/>
  </r>
  <r>
    <x v="390"/>
    <x v="1"/>
    <x v="1"/>
    <x v="7"/>
    <x v="8"/>
    <x v="19"/>
    <x v="13"/>
    <x v="12"/>
    <x v="33"/>
    <x v="11"/>
    <x v="12"/>
    <x v="3"/>
    <x v="27"/>
    <x v="2"/>
  </r>
  <r>
    <x v="391"/>
    <x v="1"/>
    <x v="1"/>
    <x v="4"/>
    <x v="3"/>
    <x v="8"/>
    <x v="19"/>
    <x v="31"/>
    <x v="1"/>
    <x v="31"/>
    <x v="24"/>
    <x v="24"/>
    <x v="19"/>
    <x v="50"/>
  </r>
  <r>
    <x v="392"/>
    <x v="1"/>
    <x v="1"/>
    <x v="4"/>
    <x v="12"/>
    <x v="21"/>
    <x v="6"/>
    <x v="8"/>
    <x v="5"/>
    <x v="10"/>
    <x v="19"/>
    <x v="3"/>
    <x v="39"/>
    <x v="2"/>
  </r>
  <r>
    <x v="393"/>
    <x v="1"/>
    <x v="1"/>
    <x v="0"/>
    <x v="6"/>
    <x v="13"/>
    <x v="14"/>
    <x v="18"/>
    <x v="27"/>
    <x v="5"/>
    <x v="30"/>
    <x v="23"/>
    <x v="50"/>
    <x v="5"/>
  </r>
  <r>
    <x v="394"/>
    <x v="1"/>
    <x v="1"/>
    <x v="22"/>
    <x v="24"/>
    <x v="2"/>
    <x v="4"/>
    <x v="17"/>
    <x v="11"/>
    <x v="39"/>
    <x v="1"/>
    <x v="22"/>
    <x v="2"/>
    <x v="93"/>
  </r>
  <r>
    <x v="395"/>
    <x v="1"/>
    <x v="1"/>
    <x v="9"/>
    <x v="0"/>
    <x v="10"/>
    <x v="18"/>
    <x v="2"/>
    <x v="9"/>
    <x v="0"/>
    <x v="36"/>
    <x v="23"/>
    <x v="2"/>
    <x v="71"/>
  </r>
  <r>
    <x v="396"/>
    <x v="1"/>
    <x v="1"/>
    <x v="12"/>
    <x v="17"/>
    <x v="14"/>
    <x v="18"/>
    <x v="21"/>
    <x v="47"/>
    <x v="15"/>
    <x v="16"/>
    <x v="33"/>
    <x v="31"/>
    <x v="75"/>
  </r>
  <r>
    <x v="397"/>
    <x v="1"/>
    <x v="1"/>
    <x v="3"/>
    <x v="39"/>
    <x v="3"/>
    <x v="25"/>
    <x v="18"/>
    <x v="28"/>
    <x v="1"/>
    <x v="10"/>
    <x v="25"/>
    <x v="3"/>
    <x v="3"/>
  </r>
  <r>
    <x v="398"/>
    <x v="1"/>
    <x v="1"/>
    <x v="8"/>
    <x v="7"/>
    <x v="22"/>
    <x v="13"/>
    <x v="20"/>
    <x v="33"/>
    <x v="18"/>
    <x v="10"/>
    <x v="8"/>
    <x v="62"/>
    <x v="78"/>
  </r>
  <r>
    <x v="335"/>
    <x v="1"/>
    <x v="1"/>
    <x v="7"/>
    <x v="17"/>
    <x v="5"/>
    <x v="10"/>
    <x v="6"/>
    <x v="19"/>
    <x v="16"/>
    <x v="9"/>
    <x v="54"/>
    <x v="12"/>
    <x v="95"/>
  </r>
  <r>
    <x v="399"/>
    <x v="1"/>
    <x v="1"/>
    <x v="9"/>
    <x v="9"/>
    <x v="11"/>
    <x v="12"/>
    <x v="23"/>
    <x v="5"/>
    <x v="6"/>
    <x v="25"/>
    <x v="40"/>
    <x v="0"/>
    <x v="166"/>
  </r>
  <r>
    <x v="400"/>
    <x v="1"/>
    <x v="1"/>
    <x v="14"/>
    <x v="11"/>
    <x v="2"/>
    <x v="20"/>
    <x v="16"/>
    <x v="12"/>
    <x v="17"/>
    <x v="26"/>
    <x v="15"/>
    <x v="17"/>
    <x v="163"/>
  </r>
  <r>
    <x v="401"/>
    <x v="1"/>
    <x v="1"/>
    <x v="3"/>
    <x v="9"/>
    <x v="15"/>
    <x v="12"/>
    <x v="25"/>
    <x v="3"/>
    <x v="40"/>
    <x v="42"/>
    <x v="12"/>
    <x v="63"/>
    <x v="128"/>
  </r>
  <r>
    <x v="402"/>
    <x v="1"/>
    <x v="1"/>
    <x v="4"/>
    <x v="3"/>
    <x v="23"/>
    <x v="3"/>
    <x v="2"/>
    <x v="13"/>
    <x v="31"/>
    <x v="9"/>
    <x v="26"/>
    <x v="14"/>
    <x v="128"/>
  </r>
  <r>
    <x v="403"/>
    <x v="1"/>
    <x v="1"/>
    <x v="4"/>
    <x v="22"/>
    <x v="10"/>
    <x v="3"/>
    <x v="24"/>
    <x v="5"/>
    <x v="6"/>
    <x v="28"/>
    <x v="5"/>
    <x v="6"/>
    <x v="22"/>
  </r>
  <r>
    <x v="404"/>
    <x v="1"/>
    <x v="1"/>
    <x v="4"/>
    <x v="8"/>
    <x v="15"/>
    <x v="23"/>
    <x v="3"/>
    <x v="1"/>
    <x v="21"/>
    <x v="11"/>
    <x v="36"/>
    <x v="38"/>
    <x v="158"/>
  </r>
  <r>
    <x v="405"/>
    <x v="1"/>
    <x v="1"/>
    <x v="17"/>
    <x v="1"/>
    <x v="13"/>
    <x v="15"/>
    <x v="18"/>
    <x v="1"/>
    <x v="3"/>
    <x v="37"/>
    <x v="27"/>
    <x v="7"/>
    <x v="44"/>
  </r>
  <r>
    <x v="406"/>
    <x v="1"/>
    <x v="1"/>
    <x v="8"/>
    <x v="22"/>
    <x v="15"/>
    <x v="13"/>
    <x v="12"/>
    <x v="46"/>
    <x v="16"/>
    <x v="1"/>
    <x v="47"/>
    <x v="40"/>
    <x v="126"/>
  </r>
  <r>
    <x v="407"/>
    <x v="1"/>
    <x v="1"/>
    <x v="7"/>
    <x v="10"/>
    <x v="23"/>
    <x v="35"/>
    <x v="5"/>
    <x v="0"/>
    <x v="28"/>
    <x v="24"/>
    <x v="17"/>
    <x v="64"/>
    <x v="98"/>
  </r>
  <r>
    <x v="408"/>
    <x v="1"/>
    <x v="1"/>
    <x v="32"/>
    <x v="15"/>
    <x v="17"/>
    <x v="36"/>
    <x v="22"/>
    <x v="2"/>
    <x v="50"/>
    <x v="38"/>
    <x v="25"/>
    <x v="25"/>
    <x v="152"/>
  </r>
  <r>
    <x v="409"/>
    <x v="1"/>
    <x v="1"/>
    <x v="33"/>
    <x v="36"/>
    <x v="37"/>
    <x v="25"/>
    <x v="42"/>
    <x v="22"/>
    <x v="11"/>
    <x v="46"/>
    <x v="32"/>
    <x v="37"/>
    <x v="167"/>
  </r>
  <r>
    <x v="410"/>
    <x v="1"/>
    <x v="1"/>
    <x v="33"/>
    <x v="39"/>
    <x v="21"/>
    <x v="23"/>
    <x v="30"/>
    <x v="29"/>
    <x v="5"/>
    <x v="12"/>
    <x v="14"/>
    <x v="8"/>
    <x v="168"/>
  </r>
  <r>
    <x v="411"/>
    <x v="1"/>
    <x v="1"/>
    <x v="33"/>
    <x v="37"/>
    <x v="12"/>
    <x v="37"/>
    <x v="16"/>
    <x v="4"/>
    <x v="38"/>
    <x v="45"/>
    <x v="5"/>
    <x v="22"/>
    <x v="169"/>
  </r>
  <r>
    <x v="412"/>
    <x v="1"/>
    <x v="1"/>
    <x v="12"/>
    <x v="26"/>
    <x v="5"/>
    <x v="3"/>
    <x v="16"/>
    <x v="1"/>
    <x v="19"/>
    <x v="8"/>
    <x v="23"/>
    <x v="15"/>
    <x v="141"/>
  </r>
  <r>
    <x v="413"/>
    <x v="1"/>
    <x v="1"/>
    <x v="2"/>
    <x v="26"/>
    <x v="10"/>
    <x v="2"/>
    <x v="16"/>
    <x v="12"/>
    <x v="27"/>
    <x v="8"/>
    <x v="7"/>
    <x v="35"/>
    <x v="144"/>
  </r>
  <r>
    <x v="414"/>
    <x v="1"/>
    <x v="1"/>
    <x v="17"/>
    <x v="10"/>
    <x v="23"/>
    <x v="5"/>
    <x v="12"/>
    <x v="18"/>
    <x v="40"/>
    <x v="0"/>
    <x v="1"/>
    <x v="48"/>
    <x v="66"/>
  </r>
  <r>
    <x v="415"/>
    <x v="1"/>
    <x v="1"/>
    <x v="3"/>
    <x v="5"/>
    <x v="13"/>
    <x v="1"/>
    <x v="27"/>
    <x v="27"/>
    <x v="10"/>
    <x v="30"/>
    <x v="7"/>
    <x v="37"/>
    <x v="162"/>
  </r>
  <r>
    <x v="416"/>
    <x v="1"/>
    <x v="1"/>
    <x v="19"/>
    <x v="7"/>
    <x v="7"/>
    <x v="4"/>
    <x v="27"/>
    <x v="19"/>
    <x v="18"/>
    <x v="29"/>
    <x v="33"/>
    <x v="37"/>
    <x v="75"/>
  </r>
  <r>
    <x v="417"/>
    <x v="1"/>
    <x v="1"/>
    <x v="21"/>
    <x v="2"/>
    <x v="12"/>
    <x v="16"/>
    <x v="10"/>
    <x v="11"/>
    <x v="2"/>
    <x v="8"/>
    <x v="2"/>
    <x v="38"/>
    <x v="157"/>
  </r>
  <r>
    <x v="418"/>
    <x v="1"/>
    <x v="1"/>
    <x v="8"/>
    <x v="17"/>
    <x v="16"/>
    <x v="13"/>
    <x v="6"/>
    <x v="12"/>
    <x v="25"/>
    <x v="37"/>
    <x v="13"/>
    <x v="38"/>
    <x v="37"/>
  </r>
  <r>
    <x v="419"/>
    <x v="1"/>
    <x v="1"/>
    <x v="22"/>
    <x v="22"/>
    <x v="14"/>
    <x v="14"/>
    <x v="30"/>
    <x v="5"/>
    <x v="29"/>
    <x v="12"/>
    <x v="8"/>
    <x v="38"/>
    <x v="46"/>
  </r>
  <r>
    <x v="420"/>
    <x v="1"/>
    <x v="1"/>
    <x v="16"/>
    <x v="22"/>
    <x v="17"/>
    <x v="3"/>
    <x v="25"/>
    <x v="17"/>
    <x v="2"/>
    <x v="38"/>
    <x v="29"/>
    <x v="6"/>
    <x v="157"/>
  </r>
  <r>
    <x v="421"/>
    <x v="1"/>
    <x v="1"/>
    <x v="7"/>
    <x v="7"/>
    <x v="14"/>
    <x v="21"/>
    <x v="22"/>
    <x v="8"/>
    <x v="5"/>
    <x v="41"/>
    <x v="16"/>
    <x v="17"/>
    <x v="97"/>
  </r>
  <r>
    <x v="422"/>
    <x v="1"/>
    <x v="1"/>
    <x v="17"/>
    <x v="24"/>
    <x v="3"/>
    <x v="13"/>
    <x v="18"/>
    <x v="11"/>
    <x v="35"/>
    <x v="41"/>
    <x v="41"/>
    <x v="38"/>
    <x v="14"/>
  </r>
  <r>
    <x v="423"/>
    <x v="1"/>
    <x v="1"/>
    <x v="10"/>
    <x v="0"/>
    <x v="3"/>
    <x v="3"/>
    <x v="20"/>
    <x v="12"/>
    <x v="40"/>
    <x v="6"/>
    <x v="2"/>
    <x v="27"/>
    <x v="141"/>
  </r>
  <r>
    <x v="424"/>
    <x v="1"/>
    <x v="1"/>
    <x v="6"/>
    <x v="1"/>
    <x v="6"/>
    <x v="12"/>
    <x v="10"/>
    <x v="17"/>
    <x v="16"/>
    <x v="37"/>
    <x v="5"/>
    <x v="59"/>
    <x v="137"/>
  </r>
  <r>
    <x v="425"/>
    <x v="1"/>
    <x v="1"/>
    <x v="17"/>
    <x v="12"/>
    <x v="15"/>
    <x v="7"/>
    <x v="29"/>
    <x v="24"/>
    <x v="2"/>
    <x v="14"/>
    <x v="24"/>
    <x v="39"/>
    <x v="14"/>
  </r>
  <r>
    <x v="426"/>
    <x v="1"/>
    <x v="1"/>
    <x v="8"/>
    <x v="16"/>
    <x v="25"/>
    <x v="5"/>
    <x v="6"/>
    <x v="33"/>
    <x v="2"/>
    <x v="29"/>
    <x v="26"/>
    <x v="2"/>
    <x v="99"/>
  </r>
  <r>
    <x v="427"/>
    <x v="1"/>
    <x v="1"/>
    <x v="19"/>
    <x v="22"/>
    <x v="16"/>
    <x v="35"/>
    <x v="5"/>
    <x v="2"/>
    <x v="40"/>
    <x v="37"/>
    <x v="1"/>
    <x v="36"/>
    <x v="144"/>
  </r>
  <r>
    <x v="428"/>
    <x v="1"/>
    <x v="1"/>
    <x v="17"/>
    <x v="8"/>
    <x v="10"/>
    <x v="16"/>
    <x v="6"/>
    <x v="0"/>
    <x v="9"/>
    <x v="24"/>
    <x v="5"/>
    <x v="34"/>
    <x v="7"/>
  </r>
  <r>
    <x v="429"/>
    <x v="1"/>
    <x v="1"/>
    <x v="9"/>
    <x v="15"/>
    <x v="5"/>
    <x v="1"/>
    <x v="22"/>
    <x v="4"/>
    <x v="26"/>
    <x v="15"/>
    <x v="28"/>
    <x v="7"/>
    <x v="170"/>
  </r>
  <r>
    <x v="430"/>
    <x v="1"/>
    <x v="1"/>
    <x v="7"/>
    <x v="3"/>
    <x v="17"/>
    <x v="10"/>
    <x v="28"/>
    <x v="12"/>
    <x v="5"/>
    <x v="0"/>
    <x v="4"/>
    <x v="6"/>
    <x v="40"/>
  </r>
  <r>
    <x v="431"/>
    <x v="1"/>
    <x v="1"/>
    <x v="6"/>
    <x v="3"/>
    <x v="3"/>
    <x v="1"/>
    <x v="13"/>
    <x v="10"/>
    <x v="29"/>
    <x v="27"/>
    <x v="8"/>
    <x v="31"/>
    <x v="150"/>
  </r>
  <r>
    <x v="432"/>
    <x v="1"/>
    <x v="1"/>
    <x v="5"/>
    <x v="26"/>
    <x v="17"/>
    <x v="3"/>
    <x v="10"/>
    <x v="14"/>
    <x v="46"/>
    <x v="33"/>
    <x v="27"/>
    <x v="2"/>
    <x v="89"/>
  </r>
  <r>
    <x v="433"/>
    <x v="1"/>
    <x v="1"/>
    <x v="9"/>
    <x v="25"/>
    <x v="13"/>
    <x v="8"/>
    <x v="25"/>
    <x v="11"/>
    <x v="0"/>
    <x v="5"/>
    <x v="21"/>
    <x v="25"/>
    <x v="170"/>
  </r>
  <r>
    <x v="434"/>
    <x v="1"/>
    <x v="1"/>
    <x v="3"/>
    <x v="5"/>
    <x v="2"/>
    <x v="14"/>
    <x v="20"/>
    <x v="9"/>
    <x v="25"/>
    <x v="12"/>
    <x v="27"/>
    <x v="39"/>
    <x v="139"/>
  </r>
  <r>
    <x v="435"/>
    <x v="1"/>
    <x v="1"/>
    <x v="16"/>
    <x v="1"/>
    <x v="10"/>
    <x v="5"/>
    <x v="3"/>
    <x v="19"/>
    <x v="8"/>
    <x v="5"/>
    <x v="32"/>
    <x v="2"/>
    <x v="67"/>
  </r>
  <r>
    <x v="436"/>
    <x v="1"/>
    <x v="1"/>
    <x v="2"/>
    <x v="16"/>
    <x v="13"/>
    <x v="3"/>
    <x v="8"/>
    <x v="13"/>
    <x v="29"/>
    <x v="1"/>
    <x v="25"/>
    <x v="32"/>
    <x v="171"/>
  </r>
  <r>
    <x v="437"/>
    <x v="1"/>
    <x v="1"/>
    <x v="6"/>
    <x v="5"/>
    <x v="20"/>
    <x v="4"/>
    <x v="8"/>
    <x v="20"/>
    <x v="18"/>
    <x v="22"/>
    <x v="27"/>
    <x v="26"/>
    <x v="33"/>
  </r>
  <r>
    <x v="438"/>
    <x v="1"/>
    <x v="1"/>
    <x v="10"/>
    <x v="11"/>
    <x v="19"/>
    <x v="20"/>
    <x v="1"/>
    <x v="27"/>
    <x v="14"/>
    <x v="6"/>
    <x v="4"/>
    <x v="17"/>
    <x v="31"/>
  </r>
  <r>
    <x v="439"/>
    <x v="1"/>
    <x v="1"/>
    <x v="3"/>
    <x v="1"/>
    <x v="10"/>
    <x v="40"/>
    <x v="14"/>
    <x v="33"/>
    <x v="27"/>
    <x v="6"/>
    <x v="26"/>
    <x v="48"/>
    <x v="25"/>
  </r>
  <r>
    <x v="440"/>
    <x v="1"/>
    <x v="1"/>
    <x v="29"/>
    <x v="22"/>
    <x v="23"/>
    <x v="10"/>
    <x v="11"/>
    <x v="13"/>
    <x v="28"/>
    <x v="38"/>
    <x v="4"/>
    <x v="13"/>
    <x v="79"/>
  </r>
  <r>
    <x v="441"/>
    <x v="1"/>
    <x v="1"/>
    <x v="7"/>
    <x v="7"/>
    <x v="14"/>
    <x v="11"/>
    <x v="16"/>
    <x v="12"/>
    <x v="15"/>
    <x v="50"/>
    <x v="24"/>
    <x v="32"/>
    <x v="15"/>
  </r>
  <r>
    <x v="442"/>
    <x v="1"/>
    <x v="1"/>
    <x v="11"/>
    <x v="21"/>
    <x v="15"/>
    <x v="25"/>
    <x v="12"/>
    <x v="17"/>
    <x v="19"/>
    <x v="32"/>
    <x v="3"/>
    <x v="42"/>
    <x v="132"/>
  </r>
  <r>
    <x v="443"/>
    <x v="1"/>
    <x v="1"/>
    <x v="8"/>
    <x v="1"/>
    <x v="23"/>
    <x v="18"/>
    <x v="11"/>
    <x v="17"/>
    <x v="43"/>
    <x v="3"/>
    <x v="3"/>
    <x v="1"/>
    <x v="132"/>
  </r>
  <r>
    <x v="444"/>
    <x v="1"/>
    <x v="1"/>
    <x v="23"/>
    <x v="17"/>
    <x v="12"/>
    <x v="5"/>
    <x v="3"/>
    <x v="8"/>
    <x v="16"/>
    <x v="32"/>
    <x v="5"/>
    <x v="8"/>
    <x v="99"/>
  </r>
  <r>
    <x v="445"/>
    <x v="2"/>
    <x v="2"/>
    <x v="10"/>
    <x v="25"/>
    <x v="6"/>
    <x v="25"/>
    <x v="20"/>
    <x v="11"/>
    <x v="20"/>
    <x v="12"/>
    <x v="8"/>
    <x v="38"/>
    <x v="145"/>
  </r>
  <r>
    <x v="446"/>
    <x v="2"/>
    <x v="2"/>
    <x v="0"/>
    <x v="12"/>
    <x v="13"/>
    <x v="35"/>
    <x v="20"/>
    <x v="7"/>
    <x v="8"/>
    <x v="32"/>
    <x v="39"/>
    <x v="31"/>
    <x v="172"/>
  </r>
  <r>
    <x v="447"/>
    <x v="2"/>
    <x v="2"/>
    <x v="8"/>
    <x v="39"/>
    <x v="23"/>
    <x v="36"/>
    <x v="3"/>
    <x v="29"/>
    <x v="14"/>
    <x v="44"/>
    <x v="31"/>
    <x v="7"/>
    <x v="173"/>
  </r>
  <r>
    <x v="448"/>
    <x v="2"/>
    <x v="2"/>
    <x v="7"/>
    <x v="15"/>
    <x v="11"/>
    <x v="5"/>
    <x v="11"/>
    <x v="39"/>
    <x v="17"/>
    <x v="0"/>
    <x v="7"/>
    <x v="12"/>
    <x v="20"/>
  </r>
  <r>
    <x v="449"/>
    <x v="2"/>
    <x v="2"/>
    <x v="29"/>
    <x v="31"/>
    <x v="38"/>
    <x v="23"/>
    <x v="1"/>
    <x v="33"/>
    <x v="48"/>
    <x v="32"/>
    <x v="0"/>
    <x v="56"/>
    <x v="174"/>
  </r>
  <r>
    <x v="450"/>
    <x v="2"/>
    <x v="2"/>
    <x v="32"/>
    <x v="1"/>
    <x v="6"/>
    <x v="20"/>
    <x v="20"/>
    <x v="12"/>
    <x v="17"/>
    <x v="36"/>
    <x v="26"/>
    <x v="7"/>
    <x v="80"/>
  </r>
  <r>
    <x v="451"/>
    <x v="2"/>
    <x v="2"/>
    <x v="6"/>
    <x v="7"/>
    <x v="11"/>
    <x v="20"/>
    <x v="15"/>
    <x v="19"/>
    <x v="9"/>
    <x v="28"/>
    <x v="19"/>
    <x v="10"/>
    <x v="50"/>
  </r>
  <r>
    <x v="452"/>
    <x v="2"/>
    <x v="2"/>
    <x v="21"/>
    <x v="31"/>
    <x v="23"/>
    <x v="23"/>
    <x v="3"/>
    <x v="4"/>
    <x v="16"/>
    <x v="5"/>
    <x v="6"/>
    <x v="19"/>
    <x v="175"/>
  </r>
  <r>
    <x v="453"/>
    <x v="2"/>
    <x v="2"/>
    <x v="2"/>
    <x v="24"/>
    <x v="17"/>
    <x v="1"/>
    <x v="15"/>
    <x v="18"/>
    <x v="8"/>
    <x v="29"/>
    <x v="5"/>
    <x v="57"/>
    <x v="160"/>
  </r>
  <r>
    <x v="454"/>
    <x v="2"/>
    <x v="2"/>
    <x v="19"/>
    <x v="12"/>
    <x v="6"/>
    <x v="15"/>
    <x v="20"/>
    <x v="1"/>
    <x v="47"/>
    <x v="2"/>
    <x v="27"/>
    <x v="9"/>
    <x v="143"/>
  </r>
  <r>
    <x v="455"/>
    <x v="2"/>
    <x v="2"/>
    <x v="14"/>
    <x v="36"/>
    <x v="38"/>
    <x v="18"/>
    <x v="1"/>
    <x v="12"/>
    <x v="40"/>
    <x v="16"/>
    <x v="37"/>
    <x v="9"/>
    <x v="176"/>
  </r>
  <r>
    <x v="456"/>
    <x v="2"/>
    <x v="2"/>
    <x v="14"/>
    <x v="29"/>
    <x v="14"/>
    <x v="5"/>
    <x v="20"/>
    <x v="2"/>
    <x v="42"/>
    <x v="0"/>
    <x v="7"/>
    <x v="44"/>
    <x v="177"/>
  </r>
  <r>
    <x v="457"/>
    <x v="2"/>
    <x v="2"/>
    <x v="14"/>
    <x v="22"/>
    <x v="17"/>
    <x v="17"/>
    <x v="43"/>
    <x v="13"/>
    <x v="51"/>
    <x v="35"/>
    <x v="55"/>
    <x v="26"/>
    <x v="178"/>
  </r>
  <r>
    <x v="458"/>
    <x v="2"/>
    <x v="2"/>
    <x v="4"/>
    <x v="9"/>
    <x v="32"/>
    <x v="20"/>
    <x v="19"/>
    <x v="19"/>
    <x v="23"/>
    <x v="43"/>
    <x v="36"/>
    <x v="15"/>
    <x v="179"/>
  </r>
  <r>
    <x v="459"/>
    <x v="2"/>
    <x v="2"/>
    <x v="30"/>
    <x v="1"/>
    <x v="33"/>
    <x v="8"/>
    <x v="22"/>
    <x v="38"/>
    <x v="5"/>
    <x v="8"/>
    <x v="31"/>
    <x v="44"/>
    <x v="180"/>
  </r>
  <r>
    <x v="460"/>
    <x v="2"/>
    <x v="2"/>
    <x v="23"/>
    <x v="37"/>
    <x v="22"/>
    <x v="23"/>
    <x v="26"/>
    <x v="0"/>
    <x v="10"/>
    <x v="3"/>
    <x v="14"/>
    <x v="18"/>
    <x v="69"/>
  </r>
  <r>
    <x v="461"/>
    <x v="2"/>
    <x v="2"/>
    <x v="33"/>
    <x v="5"/>
    <x v="6"/>
    <x v="24"/>
    <x v="43"/>
    <x v="9"/>
    <x v="29"/>
    <x v="27"/>
    <x v="18"/>
    <x v="19"/>
    <x v="181"/>
  </r>
  <r>
    <x v="462"/>
    <x v="2"/>
    <x v="2"/>
    <x v="33"/>
    <x v="37"/>
    <x v="31"/>
    <x v="36"/>
    <x v="30"/>
    <x v="43"/>
    <x v="23"/>
    <x v="22"/>
    <x v="47"/>
    <x v="59"/>
    <x v="182"/>
  </r>
  <r>
    <x v="463"/>
    <x v="2"/>
    <x v="2"/>
    <x v="33"/>
    <x v="39"/>
    <x v="34"/>
    <x v="37"/>
    <x v="25"/>
    <x v="45"/>
    <x v="23"/>
    <x v="30"/>
    <x v="49"/>
    <x v="13"/>
    <x v="183"/>
  </r>
  <r>
    <x v="464"/>
    <x v="2"/>
    <x v="2"/>
    <x v="33"/>
    <x v="36"/>
    <x v="34"/>
    <x v="37"/>
    <x v="12"/>
    <x v="3"/>
    <x v="31"/>
    <x v="46"/>
    <x v="55"/>
    <x v="60"/>
    <x v="184"/>
  </r>
  <r>
    <x v="465"/>
    <x v="2"/>
    <x v="2"/>
    <x v="11"/>
    <x v="3"/>
    <x v="18"/>
    <x v="34"/>
    <x v="31"/>
    <x v="5"/>
    <x v="10"/>
    <x v="23"/>
    <x v="8"/>
    <x v="30"/>
    <x v="150"/>
  </r>
  <r>
    <x v="466"/>
    <x v="2"/>
    <x v="2"/>
    <x v="17"/>
    <x v="39"/>
    <x v="20"/>
    <x v="13"/>
    <x v="22"/>
    <x v="45"/>
    <x v="29"/>
    <x v="16"/>
    <x v="22"/>
    <x v="47"/>
    <x v="140"/>
  </r>
  <r>
    <x v="467"/>
    <x v="2"/>
    <x v="2"/>
    <x v="14"/>
    <x v="25"/>
    <x v="18"/>
    <x v="18"/>
    <x v="25"/>
    <x v="3"/>
    <x v="39"/>
    <x v="36"/>
    <x v="2"/>
    <x v="56"/>
    <x v="185"/>
  </r>
  <r>
    <x v="468"/>
    <x v="2"/>
    <x v="2"/>
    <x v="29"/>
    <x v="29"/>
    <x v="33"/>
    <x v="23"/>
    <x v="22"/>
    <x v="33"/>
    <x v="18"/>
    <x v="20"/>
    <x v="17"/>
    <x v="2"/>
    <x v="68"/>
  </r>
  <r>
    <x v="469"/>
    <x v="2"/>
    <x v="2"/>
    <x v="7"/>
    <x v="22"/>
    <x v="33"/>
    <x v="17"/>
    <x v="37"/>
    <x v="4"/>
    <x v="30"/>
    <x v="18"/>
    <x v="4"/>
    <x v="23"/>
    <x v="70"/>
  </r>
  <r>
    <x v="470"/>
    <x v="2"/>
    <x v="2"/>
    <x v="0"/>
    <x v="26"/>
    <x v="2"/>
    <x v="0"/>
    <x v="11"/>
    <x v="18"/>
    <x v="8"/>
    <x v="28"/>
    <x v="56"/>
    <x v="0"/>
    <x v="173"/>
  </r>
  <r>
    <x v="471"/>
    <x v="2"/>
    <x v="2"/>
    <x v="33"/>
    <x v="20"/>
    <x v="11"/>
    <x v="16"/>
    <x v="27"/>
    <x v="19"/>
    <x v="9"/>
    <x v="32"/>
    <x v="18"/>
    <x v="65"/>
    <x v="180"/>
  </r>
  <r>
    <x v="472"/>
    <x v="2"/>
    <x v="2"/>
    <x v="31"/>
    <x v="22"/>
    <x v="17"/>
    <x v="38"/>
    <x v="16"/>
    <x v="22"/>
    <x v="52"/>
    <x v="38"/>
    <x v="32"/>
    <x v="26"/>
    <x v="186"/>
  </r>
  <r>
    <x v="473"/>
    <x v="2"/>
    <x v="2"/>
    <x v="32"/>
    <x v="15"/>
    <x v="3"/>
    <x v="24"/>
    <x v="9"/>
    <x v="22"/>
    <x v="11"/>
    <x v="32"/>
    <x v="0"/>
    <x v="7"/>
    <x v="80"/>
  </r>
  <r>
    <x v="396"/>
    <x v="2"/>
    <x v="2"/>
    <x v="33"/>
    <x v="3"/>
    <x v="15"/>
    <x v="34"/>
    <x v="29"/>
    <x v="33"/>
    <x v="31"/>
    <x v="2"/>
    <x v="24"/>
    <x v="14"/>
    <x v="135"/>
  </r>
  <r>
    <x v="474"/>
    <x v="2"/>
    <x v="2"/>
    <x v="33"/>
    <x v="6"/>
    <x v="19"/>
    <x v="16"/>
    <x v="11"/>
    <x v="23"/>
    <x v="19"/>
    <x v="28"/>
    <x v="40"/>
    <x v="37"/>
    <x v="96"/>
  </r>
  <r>
    <x v="475"/>
    <x v="2"/>
    <x v="2"/>
    <x v="29"/>
    <x v="26"/>
    <x v="25"/>
    <x v="15"/>
    <x v="1"/>
    <x v="38"/>
    <x v="25"/>
    <x v="45"/>
    <x v="0"/>
    <x v="31"/>
    <x v="187"/>
  </r>
  <r>
    <x v="476"/>
    <x v="2"/>
    <x v="2"/>
    <x v="14"/>
    <x v="39"/>
    <x v="3"/>
    <x v="8"/>
    <x v="3"/>
    <x v="13"/>
    <x v="5"/>
    <x v="2"/>
    <x v="35"/>
    <x v="12"/>
    <x v="40"/>
  </r>
  <r>
    <x v="477"/>
    <x v="2"/>
    <x v="2"/>
    <x v="33"/>
    <x v="38"/>
    <x v="23"/>
    <x v="17"/>
    <x v="37"/>
    <x v="18"/>
    <x v="19"/>
    <x v="10"/>
    <x v="35"/>
    <x v="10"/>
    <x v="149"/>
  </r>
  <r>
    <x v="478"/>
    <x v="2"/>
    <x v="2"/>
    <x v="11"/>
    <x v="26"/>
    <x v="2"/>
    <x v="17"/>
    <x v="31"/>
    <x v="17"/>
    <x v="51"/>
    <x v="47"/>
    <x v="12"/>
    <x v="15"/>
    <x v="180"/>
  </r>
  <r>
    <x v="479"/>
    <x v="2"/>
    <x v="2"/>
    <x v="23"/>
    <x v="14"/>
    <x v="12"/>
    <x v="35"/>
    <x v="14"/>
    <x v="48"/>
    <x v="34"/>
    <x v="46"/>
    <x v="2"/>
    <x v="50"/>
    <x v="69"/>
  </r>
  <r>
    <x v="480"/>
    <x v="2"/>
    <x v="2"/>
    <x v="23"/>
    <x v="38"/>
    <x v="3"/>
    <x v="1"/>
    <x v="7"/>
    <x v="6"/>
    <x v="15"/>
    <x v="22"/>
    <x v="31"/>
    <x v="19"/>
    <x v="80"/>
  </r>
  <r>
    <x v="481"/>
    <x v="2"/>
    <x v="2"/>
    <x v="3"/>
    <x v="3"/>
    <x v="16"/>
    <x v="23"/>
    <x v="8"/>
    <x v="5"/>
    <x v="7"/>
    <x v="49"/>
    <x v="34"/>
    <x v="47"/>
    <x v="49"/>
  </r>
  <r>
    <x v="482"/>
    <x v="2"/>
    <x v="2"/>
    <x v="17"/>
    <x v="36"/>
    <x v="17"/>
    <x v="16"/>
    <x v="30"/>
    <x v="45"/>
    <x v="52"/>
    <x v="3"/>
    <x v="23"/>
    <x v="18"/>
    <x v="151"/>
  </r>
  <r>
    <x v="483"/>
    <x v="2"/>
    <x v="2"/>
    <x v="33"/>
    <x v="29"/>
    <x v="21"/>
    <x v="20"/>
    <x v="7"/>
    <x v="22"/>
    <x v="53"/>
    <x v="43"/>
    <x v="9"/>
    <x v="37"/>
    <x v="188"/>
  </r>
  <r>
    <x v="484"/>
    <x v="2"/>
    <x v="2"/>
    <x v="21"/>
    <x v="29"/>
    <x v="6"/>
    <x v="36"/>
    <x v="25"/>
    <x v="8"/>
    <x v="31"/>
    <x v="38"/>
    <x v="7"/>
    <x v="15"/>
    <x v="189"/>
  </r>
  <r>
    <x v="485"/>
    <x v="2"/>
    <x v="2"/>
    <x v="3"/>
    <x v="37"/>
    <x v="23"/>
    <x v="18"/>
    <x v="10"/>
    <x v="1"/>
    <x v="12"/>
    <x v="6"/>
    <x v="11"/>
    <x v="39"/>
    <x v="31"/>
  </r>
  <r>
    <x v="486"/>
    <x v="2"/>
    <x v="2"/>
    <x v="33"/>
    <x v="24"/>
    <x v="20"/>
    <x v="2"/>
    <x v="27"/>
    <x v="4"/>
    <x v="5"/>
    <x v="43"/>
    <x v="23"/>
    <x v="48"/>
    <x v="143"/>
  </r>
  <r>
    <x v="487"/>
    <x v="2"/>
    <x v="2"/>
    <x v="22"/>
    <x v="31"/>
    <x v="10"/>
    <x v="5"/>
    <x v="29"/>
    <x v="11"/>
    <x v="25"/>
    <x v="16"/>
    <x v="0"/>
    <x v="12"/>
    <x v="46"/>
  </r>
  <r>
    <x v="488"/>
    <x v="2"/>
    <x v="2"/>
    <x v="19"/>
    <x v="5"/>
    <x v="22"/>
    <x v="37"/>
    <x v="24"/>
    <x v="13"/>
    <x v="0"/>
    <x v="3"/>
    <x v="24"/>
    <x v="6"/>
    <x v="161"/>
  </r>
  <r>
    <x v="489"/>
    <x v="2"/>
    <x v="2"/>
    <x v="33"/>
    <x v="36"/>
    <x v="2"/>
    <x v="25"/>
    <x v="11"/>
    <x v="17"/>
    <x v="51"/>
    <x v="39"/>
    <x v="22"/>
    <x v="28"/>
    <x v="174"/>
  </r>
  <r>
    <x v="490"/>
    <x v="2"/>
    <x v="2"/>
    <x v="22"/>
    <x v="12"/>
    <x v="34"/>
    <x v="37"/>
    <x v="1"/>
    <x v="48"/>
    <x v="34"/>
    <x v="40"/>
    <x v="36"/>
    <x v="30"/>
    <x v="190"/>
  </r>
  <r>
    <x v="491"/>
    <x v="2"/>
    <x v="2"/>
    <x v="32"/>
    <x v="36"/>
    <x v="3"/>
    <x v="17"/>
    <x v="12"/>
    <x v="9"/>
    <x v="8"/>
    <x v="10"/>
    <x v="5"/>
    <x v="2"/>
    <x v="140"/>
  </r>
  <r>
    <x v="492"/>
    <x v="2"/>
    <x v="2"/>
    <x v="29"/>
    <x v="36"/>
    <x v="18"/>
    <x v="38"/>
    <x v="24"/>
    <x v="18"/>
    <x v="0"/>
    <x v="36"/>
    <x v="26"/>
    <x v="37"/>
    <x v="160"/>
  </r>
  <r>
    <x v="493"/>
    <x v="3"/>
    <x v="3"/>
    <x v="7"/>
    <x v="25"/>
    <x v="3"/>
    <x v="13"/>
    <x v="2"/>
    <x v="38"/>
    <x v="34"/>
    <x v="21"/>
    <x v="39"/>
    <x v="21"/>
    <x v="127"/>
  </r>
  <r>
    <x v="494"/>
    <x v="3"/>
    <x v="3"/>
    <x v="9"/>
    <x v="1"/>
    <x v="11"/>
    <x v="21"/>
    <x v="2"/>
    <x v="30"/>
    <x v="47"/>
    <x v="21"/>
    <x v="32"/>
    <x v="3"/>
    <x v="14"/>
  </r>
  <r>
    <x v="495"/>
    <x v="3"/>
    <x v="3"/>
    <x v="3"/>
    <x v="2"/>
    <x v="20"/>
    <x v="4"/>
    <x v="28"/>
    <x v="26"/>
    <x v="31"/>
    <x v="3"/>
    <x v="2"/>
    <x v="18"/>
    <x v="8"/>
  </r>
  <r>
    <x v="496"/>
    <x v="3"/>
    <x v="3"/>
    <x v="17"/>
    <x v="22"/>
    <x v="10"/>
    <x v="2"/>
    <x v="26"/>
    <x v="6"/>
    <x v="16"/>
    <x v="21"/>
    <x v="45"/>
    <x v="29"/>
    <x v="45"/>
  </r>
  <r>
    <x v="497"/>
    <x v="3"/>
    <x v="3"/>
    <x v="21"/>
    <x v="1"/>
    <x v="13"/>
    <x v="0"/>
    <x v="18"/>
    <x v="7"/>
    <x v="0"/>
    <x v="3"/>
    <x v="19"/>
    <x v="6"/>
    <x v="37"/>
  </r>
  <r>
    <x v="498"/>
    <x v="3"/>
    <x v="3"/>
    <x v="4"/>
    <x v="12"/>
    <x v="11"/>
    <x v="3"/>
    <x v="43"/>
    <x v="10"/>
    <x v="15"/>
    <x v="9"/>
    <x v="4"/>
    <x v="14"/>
    <x v="62"/>
  </r>
  <r>
    <x v="499"/>
    <x v="3"/>
    <x v="3"/>
    <x v="2"/>
    <x v="10"/>
    <x v="3"/>
    <x v="10"/>
    <x v="27"/>
    <x v="9"/>
    <x v="16"/>
    <x v="10"/>
    <x v="11"/>
    <x v="39"/>
    <x v="127"/>
  </r>
  <r>
    <x v="500"/>
    <x v="3"/>
    <x v="3"/>
    <x v="22"/>
    <x v="8"/>
    <x v="8"/>
    <x v="21"/>
    <x v="5"/>
    <x v="28"/>
    <x v="16"/>
    <x v="0"/>
    <x v="24"/>
    <x v="0"/>
    <x v="98"/>
  </r>
  <r>
    <x v="501"/>
    <x v="3"/>
    <x v="3"/>
    <x v="4"/>
    <x v="0"/>
    <x v="2"/>
    <x v="13"/>
    <x v="24"/>
    <x v="33"/>
    <x v="8"/>
    <x v="28"/>
    <x v="7"/>
    <x v="38"/>
    <x v="36"/>
  </r>
  <r>
    <x v="502"/>
    <x v="3"/>
    <x v="3"/>
    <x v="7"/>
    <x v="17"/>
    <x v="11"/>
    <x v="3"/>
    <x v="29"/>
    <x v="27"/>
    <x v="9"/>
    <x v="51"/>
    <x v="2"/>
    <x v="22"/>
    <x v="1"/>
  </r>
  <r>
    <x v="503"/>
    <x v="3"/>
    <x v="3"/>
    <x v="11"/>
    <x v="0"/>
    <x v="15"/>
    <x v="14"/>
    <x v="2"/>
    <x v="18"/>
    <x v="35"/>
    <x v="2"/>
    <x v="31"/>
    <x v="27"/>
    <x v="0"/>
  </r>
  <r>
    <x v="504"/>
    <x v="3"/>
    <x v="3"/>
    <x v="4"/>
    <x v="8"/>
    <x v="13"/>
    <x v="0"/>
    <x v="38"/>
    <x v="39"/>
    <x v="40"/>
    <x v="2"/>
    <x v="17"/>
    <x v="47"/>
    <x v="45"/>
  </r>
  <r>
    <x v="505"/>
    <x v="3"/>
    <x v="3"/>
    <x v="29"/>
    <x v="14"/>
    <x v="21"/>
    <x v="21"/>
    <x v="29"/>
    <x v="7"/>
    <x v="1"/>
    <x v="36"/>
    <x v="39"/>
    <x v="33"/>
    <x v="161"/>
  </r>
  <r>
    <x v="506"/>
    <x v="3"/>
    <x v="3"/>
    <x v="2"/>
    <x v="9"/>
    <x v="13"/>
    <x v="15"/>
    <x v="22"/>
    <x v="15"/>
    <x v="3"/>
    <x v="25"/>
    <x v="4"/>
    <x v="6"/>
    <x v="10"/>
  </r>
  <r>
    <x v="507"/>
    <x v="3"/>
    <x v="3"/>
    <x v="17"/>
    <x v="14"/>
    <x v="2"/>
    <x v="5"/>
    <x v="14"/>
    <x v="9"/>
    <x v="0"/>
    <x v="28"/>
    <x v="26"/>
    <x v="37"/>
    <x v="71"/>
  </r>
  <r>
    <x v="474"/>
    <x v="3"/>
    <x v="3"/>
    <x v="0"/>
    <x v="0"/>
    <x v="5"/>
    <x v="10"/>
    <x v="1"/>
    <x v="24"/>
    <x v="1"/>
    <x v="8"/>
    <x v="0"/>
    <x v="29"/>
    <x v="5"/>
  </r>
  <r>
    <x v="508"/>
    <x v="3"/>
    <x v="3"/>
    <x v="2"/>
    <x v="6"/>
    <x v="17"/>
    <x v="23"/>
    <x v="27"/>
    <x v="27"/>
    <x v="14"/>
    <x v="16"/>
    <x v="7"/>
    <x v="26"/>
    <x v="139"/>
  </r>
  <r>
    <x v="509"/>
    <x v="3"/>
    <x v="3"/>
    <x v="0"/>
    <x v="1"/>
    <x v="10"/>
    <x v="4"/>
    <x v="10"/>
    <x v="11"/>
    <x v="17"/>
    <x v="20"/>
    <x v="1"/>
    <x v="5"/>
    <x v="39"/>
  </r>
  <r>
    <x v="510"/>
    <x v="3"/>
    <x v="3"/>
    <x v="16"/>
    <x v="6"/>
    <x v="25"/>
    <x v="15"/>
    <x v="16"/>
    <x v="8"/>
    <x v="11"/>
    <x v="3"/>
    <x v="31"/>
    <x v="8"/>
    <x v="191"/>
  </r>
  <r>
    <x v="511"/>
    <x v="3"/>
    <x v="3"/>
    <x v="2"/>
    <x v="25"/>
    <x v="14"/>
    <x v="29"/>
    <x v="19"/>
    <x v="4"/>
    <x v="34"/>
    <x v="37"/>
    <x v="11"/>
    <x v="2"/>
    <x v="97"/>
  </r>
  <r>
    <x v="512"/>
    <x v="3"/>
    <x v="3"/>
    <x v="4"/>
    <x v="3"/>
    <x v="12"/>
    <x v="12"/>
    <x v="6"/>
    <x v="13"/>
    <x v="27"/>
    <x v="33"/>
    <x v="37"/>
    <x v="48"/>
    <x v="24"/>
  </r>
  <r>
    <x v="427"/>
    <x v="3"/>
    <x v="3"/>
    <x v="29"/>
    <x v="22"/>
    <x v="10"/>
    <x v="13"/>
    <x v="3"/>
    <x v="12"/>
    <x v="39"/>
    <x v="18"/>
    <x v="22"/>
    <x v="1"/>
    <x v="65"/>
  </r>
  <r>
    <x v="513"/>
    <x v="3"/>
    <x v="3"/>
    <x v="17"/>
    <x v="2"/>
    <x v="17"/>
    <x v="20"/>
    <x v="40"/>
    <x v="12"/>
    <x v="14"/>
    <x v="22"/>
    <x v="51"/>
    <x v="13"/>
    <x v="142"/>
  </r>
  <r>
    <x v="514"/>
    <x v="3"/>
    <x v="3"/>
    <x v="2"/>
    <x v="0"/>
    <x v="2"/>
    <x v="10"/>
    <x v="44"/>
    <x v="30"/>
    <x v="11"/>
    <x v="21"/>
    <x v="20"/>
    <x v="8"/>
    <x v="77"/>
  </r>
  <r>
    <x v="515"/>
    <x v="3"/>
    <x v="3"/>
    <x v="8"/>
    <x v="1"/>
    <x v="2"/>
    <x v="13"/>
    <x v="29"/>
    <x v="11"/>
    <x v="5"/>
    <x v="38"/>
    <x v="4"/>
    <x v="22"/>
    <x v="44"/>
  </r>
  <r>
    <x v="516"/>
    <x v="3"/>
    <x v="3"/>
    <x v="33"/>
    <x v="36"/>
    <x v="31"/>
    <x v="39"/>
    <x v="26"/>
    <x v="9"/>
    <x v="8"/>
    <x v="38"/>
    <x v="43"/>
    <x v="37"/>
    <x v="192"/>
  </r>
  <r>
    <x v="517"/>
    <x v="3"/>
    <x v="3"/>
    <x v="14"/>
    <x v="36"/>
    <x v="22"/>
    <x v="37"/>
    <x v="24"/>
    <x v="49"/>
    <x v="43"/>
    <x v="52"/>
    <x v="4"/>
    <x v="33"/>
    <x v="193"/>
  </r>
  <r>
    <x v="518"/>
    <x v="3"/>
    <x v="3"/>
    <x v="29"/>
    <x v="25"/>
    <x v="23"/>
    <x v="35"/>
    <x v="9"/>
    <x v="18"/>
    <x v="42"/>
    <x v="22"/>
    <x v="4"/>
    <x v="42"/>
    <x v="194"/>
  </r>
  <r>
    <x v="519"/>
    <x v="3"/>
    <x v="3"/>
    <x v="31"/>
    <x v="12"/>
    <x v="12"/>
    <x v="34"/>
    <x v="3"/>
    <x v="18"/>
    <x v="28"/>
    <x v="5"/>
    <x v="55"/>
    <x v="60"/>
    <x v="174"/>
  </r>
  <r>
    <x v="520"/>
    <x v="3"/>
    <x v="3"/>
    <x v="0"/>
    <x v="39"/>
    <x v="12"/>
    <x v="8"/>
    <x v="5"/>
    <x v="46"/>
    <x v="42"/>
    <x v="8"/>
    <x v="4"/>
    <x v="4"/>
    <x v="195"/>
  </r>
  <r>
    <x v="521"/>
    <x v="3"/>
    <x v="3"/>
    <x v="33"/>
    <x v="22"/>
    <x v="33"/>
    <x v="38"/>
    <x v="31"/>
    <x v="29"/>
    <x v="0"/>
    <x v="29"/>
    <x v="14"/>
    <x v="13"/>
    <x v="28"/>
  </r>
  <r>
    <x v="522"/>
    <x v="3"/>
    <x v="3"/>
    <x v="33"/>
    <x v="36"/>
    <x v="33"/>
    <x v="38"/>
    <x v="16"/>
    <x v="46"/>
    <x v="51"/>
    <x v="38"/>
    <x v="9"/>
    <x v="22"/>
    <x v="174"/>
  </r>
  <r>
    <x v="523"/>
    <x v="3"/>
    <x v="3"/>
    <x v="11"/>
    <x v="36"/>
    <x v="6"/>
    <x v="34"/>
    <x v="30"/>
    <x v="48"/>
    <x v="51"/>
    <x v="38"/>
    <x v="22"/>
    <x v="2"/>
    <x v="174"/>
  </r>
  <r>
    <x v="524"/>
    <x v="3"/>
    <x v="3"/>
    <x v="16"/>
    <x v="24"/>
    <x v="3"/>
    <x v="13"/>
    <x v="2"/>
    <x v="8"/>
    <x v="17"/>
    <x v="3"/>
    <x v="4"/>
    <x v="28"/>
    <x v="14"/>
  </r>
  <r>
    <x v="525"/>
    <x v="3"/>
    <x v="3"/>
    <x v="7"/>
    <x v="7"/>
    <x v="5"/>
    <x v="16"/>
    <x v="19"/>
    <x v="7"/>
    <x v="27"/>
    <x v="42"/>
    <x v="22"/>
    <x v="1"/>
    <x v="144"/>
  </r>
  <r>
    <x v="526"/>
    <x v="3"/>
    <x v="3"/>
    <x v="7"/>
    <x v="8"/>
    <x v="3"/>
    <x v="23"/>
    <x v="8"/>
    <x v="38"/>
    <x v="3"/>
    <x v="10"/>
    <x v="10"/>
    <x v="36"/>
    <x v="9"/>
  </r>
  <r>
    <x v="527"/>
    <x v="3"/>
    <x v="3"/>
    <x v="7"/>
    <x v="2"/>
    <x v="12"/>
    <x v="25"/>
    <x v="11"/>
    <x v="10"/>
    <x v="16"/>
    <x v="22"/>
    <x v="0"/>
    <x v="12"/>
    <x v="96"/>
  </r>
  <r>
    <x v="378"/>
    <x v="3"/>
    <x v="3"/>
    <x v="9"/>
    <x v="8"/>
    <x v="2"/>
    <x v="7"/>
    <x v="20"/>
    <x v="27"/>
    <x v="1"/>
    <x v="32"/>
    <x v="1"/>
    <x v="61"/>
    <x v="65"/>
  </r>
  <r>
    <x v="528"/>
    <x v="3"/>
    <x v="3"/>
    <x v="8"/>
    <x v="9"/>
    <x v="14"/>
    <x v="38"/>
    <x v="16"/>
    <x v="18"/>
    <x v="27"/>
    <x v="8"/>
    <x v="0"/>
    <x v="55"/>
    <x v="142"/>
  </r>
  <r>
    <x v="529"/>
    <x v="3"/>
    <x v="3"/>
    <x v="4"/>
    <x v="8"/>
    <x v="8"/>
    <x v="16"/>
    <x v="27"/>
    <x v="13"/>
    <x v="6"/>
    <x v="21"/>
    <x v="39"/>
    <x v="14"/>
    <x v="5"/>
  </r>
  <r>
    <x v="530"/>
    <x v="3"/>
    <x v="3"/>
    <x v="4"/>
    <x v="5"/>
    <x v="11"/>
    <x v="21"/>
    <x v="22"/>
    <x v="13"/>
    <x v="43"/>
    <x v="16"/>
    <x v="35"/>
    <x v="35"/>
    <x v="9"/>
  </r>
  <r>
    <x v="531"/>
    <x v="3"/>
    <x v="3"/>
    <x v="29"/>
    <x v="22"/>
    <x v="6"/>
    <x v="12"/>
    <x v="27"/>
    <x v="13"/>
    <x v="9"/>
    <x v="28"/>
    <x v="34"/>
    <x v="0"/>
    <x v="65"/>
  </r>
  <r>
    <x v="532"/>
    <x v="3"/>
    <x v="3"/>
    <x v="0"/>
    <x v="16"/>
    <x v="2"/>
    <x v="25"/>
    <x v="16"/>
    <x v="22"/>
    <x v="8"/>
    <x v="8"/>
    <x v="11"/>
    <x v="18"/>
    <x v="130"/>
  </r>
  <r>
    <x v="533"/>
    <x v="3"/>
    <x v="3"/>
    <x v="9"/>
    <x v="22"/>
    <x v="19"/>
    <x v="2"/>
    <x v="26"/>
    <x v="11"/>
    <x v="16"/>
    <x v="9"/>
    <x v="3"/>
    <x v="10"/>
    <x v="141"/>
  </r>
  <r>
    <x v="534"/>
    <x v="3"/>
    <x v="3"/>
    <x v="22"/>
    <x v="6"/>
    <x v="9"/>
    <x v="10"/>
    <x v="1"/>
    <x v="3"/>
    <x v="5"/>
    <x v="4"/>
    <x v="23"/>
    <x v="37"/>
    <x v="141"/>
  </r>
  <r>
    <x v="535"/>
    <x v="3"/>
    <x v="3"/>
    <x v="19"/>
    <x v="1"/>
    <x v="33"/>
    <x v="12"/>
    <x v="27"/>
    <x v="10"/>
    <x v="25"/>
    <x v="15"/>
    <x v="25"/>
    <x v="6"/>
    <x v="139"/>
  </r>
  <r>
    <x v="536"/>
    <x v="3"/>
    <x v="3"/>
    <x v="2"/>
    <x v="20"/>
    <x v="1"/>
    <x v="1"/>
    <x v="26"/>
    <x v="26"/>
    <x v="0"/>
    <x v="29"/>
    <x v="57"/>
    <x v="32"/>
    <x v="45"/>
  </r>
  <r>
    <x v="537"/>
    <x v="3"/>
    <x v="3"/>
    <x v="21"/>
    <x v="1"/>
    <x v="13"/>
    <x v="14"/>
    <x v="19"/>
    <x v="0"/>
    <x v="0"/>
    <x v="42"/>
    <x v="34"/>
    <x v="28"/>
    <x v="46"/>
  </r>
  <r>
    <x v="538"/>
    <x v="3"/>
    <x v="3"/>
    <x v="2"/>
    <x v="22"/>
    <x v="14"/>
    <x v="18"/>
    <x v="11"/>
    <x v="7"/>
    <x v="12"/>
    <x v="14"/>
    <x v="32"/>
    <x v="66"/>
    <x v="158"/>
  </r>
  <r>
    <x v="539"/>
    <x v="3"/>
    <x v="3"/>
    <x v="0"/>
    <x v="3"/>
    <x v="17"/>
    <x v="14"/>
    <x v="30"/>
    <x v="7"/>
    <x v="25"/>
    <x v="12"/>
    <x v="19"/>
    <x v="2"/>
    <x v="49"/>
  </r>
  <r>
    <x v="540"/>
    <x v="3"/>
    <x v="3"/>
    <x v="2"/>
    <x v="20"/>
    <x v="13"/>
    <x v="16"/>
    <x v="30"/>
    <x v="18"/>
    <x v="33"/>
    <x v="20"/>
    <x v="13"/>
    <x v="22"/>
    <x v="14"/>
  </r>
  <r>
    <x v="541"/>
    <x v="3"/>
    <x v="3"/>
    <x v="2"/>
    <x v="8"/>
    <x v="22"/>
    <x v="26"/>
    <x v="38"/>
    <x v="24"/>
    <x v="11"/>
    <x v="5"/>
    <x v="34"/>
    <x v="40"/>
    <x v="24"/>
  </r>
  <r>
    <x v="542"/>
    <x v="3"/>
    <x v="3"/>
    <x v="11"/>
    <x v="1"/>
    <x v="19"/>
    <x v="16"/>
    <x v="16"/>
    <x v="0"/>
    <x v="7"/>
    <x v="12"/>
    <x v="17"/>
    <x v="6"/>
    <x v="17"/>
  </r>
  <r>
    <x v="263"/>
    <x v="3"/>
    <x v="3"/>
    <x v="21"/>
    <x v="17"/>
    <x v="20"/>
    <x v="0"/>
    <x v="7"/>
    <x v="22"/>
    <x v="29"/>
    <x v="16"/>
    <x v="18"/>
    <x v="6"/>
    <x v="57"/>
  </r>
  <r>
    <x v="543"/>
    <x v="3"/>
    <x v="3"/>
    <x v="7"/>
    <x v="24"/>
    <x v="23"/>
    <x v="25"/>
    <x v="15"/>
    <x v="8"/>
    <x v="2"/>
    <x v="16"/>
    <x v="11"/>
    <x v="2"/>
    <x v="61"/>
  </r>
  <r>
    <x v="544"/>
    <x v="3"/>
    <x v="3"/>
    <x v="29"/>
    <x v="7"/>
    <x v="10"/>
    <x v="15"/>
    <x v="6"/>
    <x v="1"/>
    <x v="20"/>
    <x v="32"/>
    <x v="37"/>
    <x v="15"/>
    <x v="62"/>
  </r>
  <r>
    <x v="545"/>
    <x v="3"/>
    <x v="3"/>
    <x v="22"/>
    <x v="22"/>
    <x v="25"/>
    <x v="5"/>
    <x v="6"/>
    <x v="15"/>
    <x v="6"/>
    <x v="15"/>
    <x v="27"/>
    <x v="44"/>
    <x v="68"/>
  </r>
  <r>
    <x v="546"/>
    <x v="3"/>
    <x v="3"/>
    <x v="11"/>
    <x v="26"/>
    <x v="2"/>
    <x v="14"/>
    <x v="36"/>
    <x v="7"/>
    <x v="29"/>
    <x v="16"/>
    <x v="32"/>
    <x v="15"/>
    <x v="7"/>
  </r>
  <r>
    <x v="547"/>
    <x v="3"/>
    <x v="3"/>
    <x v="9"/>
    <x v="8"/>
    <x v="17"/>
    <x v="5"/>
    <x v="11"/>
    <x v="7"/>
    <x v="16"/>
    <x v="24"/>
    <x v="17"/>
    <x v="10"/>
    <x v="10"/>
  </r>
  <r>
    <x v="548"/>
    <x v="3"/>
    <x v="3"/>
    <x v="9"/>
    <x v="9"/>
    <x v="16"/>
    <x v="21"/>
    <x v="2"/>
    <x v="12"/>
    <x v="50"/>
    <x v="20"/>
    <x v="32"/>
    <x v="60"/>
    <x v="133"/>
  </r>
  <r>
    <x v="549"/>
    <x v="3"/>
    <x v="3"/>
    <x v="0"/>
    <x v="0"/>
    <x v="3"/>
    <x v="5"/>
    <x v="8"/>
    <x v="27"/>
    <x v="43"/>
    <x v="1"/>
    <x v="45"/>
    <x v="28"/>
    <x v="9"/>
  </r>
  <r>
    <x v="550"/>
    <x v="3"/>
    <x v="3"/>
    <x v="23"/>
    <x v="14"/>
    <x v="22"/>
    <x v="3"/>
    <x v="22"/>
    <x v="13"/>
    <x v="29"/>
    <x v="9"/>
    <x v="24"/>
    <x v="42"/>
    <x v="173"/>
  </r>
  <r>
    <x v="551"/>
    <x v="3"/>
    <x v="3"/>
    <x v="22"/>
    <x v="14"/>
    <x v="11"/>
    <x v="6"/>
    <x v="45"/>
    <x v="7"/>
    <x v="7"/>
    <x v="8"/>
    <x v="4"/>
    <x v="22"/>
    <x v="138"/>
  </r>
  <r>
    <x v="552"/>
    <x v="3"/>
    <x v="3"/>
    <x v="31"/>
    <x v="31"/>
    <x v="3"/>
    <x v="15"/>
    <x v="29"/>
    <x v="33"/>
    <x v="34"/>
    <x v="3"/>
    <x v="4"/>
    <x v="25"/>
    <x v="67"/>
  </r>
  <r>
    <x v="553"/>
    <x v="3"/>
    <x v="3"/>
    <x v="12"/>
    <x v="7"/>
    <x v="25"/>
    <x v="1"/>
    <x v="10"/>
    <x v="25"/>
    <x v="47"/>
    <x v="34"/>
    <x v="3"/>
    <x v="32"/>
    <x v="8"/>
  </r>
  <r>
    <x v="554"/>
    <x v="3"/>
    <x v="3"/>
    <x v="2"/>
    <x v="9"/>
    <x v="17"/>
    <x v="4"/>
    <x v="1"/>
    <x v="12"/>
    <x v="6"/>
    <x v="28"/>
    <x v="39"/>
    <x v="57"/>
    <x v="191"/>
  </r>
  <r>
    <x v="555"/>
    <x v="3"/>
    <x v="3"/>
    <x v="9"/>
    <x v="26"/>
    <x v="16"/>
    <x v="13"/>
    <x v="34"/>
    <x v="5"/>
    <x v="29"/>
    <x v="28"/>
    <x v="8"/>
    <x v="17"/>
    <x v="163"/>
  </r>
  <r>
    <x v="556"/>
    <x v="3"/>
    <x v="3"/>
    <x v="8"/>
    <x v="1"/>
    <x v="16"/>
    <x v="25"/>
    <x v="6"/>
    <x v="18"/>
    <x v="11"/>
    <x v="15"/>
    <x v="3"/>
    <x v="13"/>
    <x v="139"/>
  </r>
  <r>
    <x v="557"/>
    <x v="3"/>
    <x v="3"/>
    <x v="3"/>
    <x v="17"/>
    <x v="10"/>
    <x v="10"/>
    <x v="13"/>
    <x v="28"/>
    <x v="11"/>
    <x v="6"/>
    <x v="13"/>
    <x v="32"/>
    <x v="45"/>
  </r>
  <r>
    <x v="558"/>
    <x v="3"/>
    <x v="3"/>
    <x v="3"/>
    <x v="20"/>
    <x v="5"/>
    <x v="1"/>
    <x v="13"/>
    <x v="39"/>
    <x v="29"/>
    <x v="12"/>
    <x v="36"/>
    <x v="0"/>
    <x v="92"/>
  </r>
  <r>
    <x v="559"/>
    <x v="3"/>
    <x v="3"/>
    <x v="10"/>
    <x v="8"/>
    <x v="13"/>
    <x v="18"/>
    <x v="22"/>
    <x v="8"/>
    <x v="12"/>
    <x v="3"/>
    <x v="8"/>
    <x v="57"/>
    <x v="25"/>
  </r>
  <r>
    <x v="560"/>
    <x v="3"/>
    <x v="3"/>
    <x v="23"/>
    <x v="7"/>
    <x v="3"/>
    <x v="16"/>
    <x v="24"/>
    <x v="7"/>
    <x v="14"/>
    <x v="21"/>
    <x v="17"/>
    <x v="25"/>
    <x v="92"/>
  </r>
  <r>
    <x v="561"/>
    <x v="3"/>
    <x v="3"/>
    <x v="4"/>
    <x v="20"/>
    <x v="3"/>
    <x v="1"/>
    <x v="11"/>
    <x v="9"/>
    <x v="20"/>
    <x v="14"/>
    <x v="53"/>
    <x v="26"/>
    <x v="71"/>
  </r>
  <r>
    <x v="562"/>
    <x v="3"/>
    <x v="3"/>
    <x v="13"/>
    <x v="0"/>
    <x v="19"/>
    <x v="22"/>
    <x v="2"/>
    <x v="13"/>
    <x v="20"/>
    <x v="2"/>
    <x v="36"/>
    <x v="39"/>
    <x v="23"/>
  </r>
  <r>
    <x v="563"/>
    <x v="3"/>
    <x v="3"/>
    <x v="17"/>
    <x v="22"/>
    <x v="10"/>
    <x v="13"/>
    <x v="25"/>
    <x v="12"/>
    <x v="2"/>
    <x v="3"/>
    <x v="8"/>
    <x v="64"/>
    <x v="39"/>
  </r>
  <r>
    <x v="564"/>
    <x v="3"/>
    <x v="3"/>
    <x v="2"/>
    <x v="22"/>
    <x v="23"/>
    <x v="16"/>
    <x v="27"/>
    <x v="2"/>
    <x v="5"/>
    <x v="16"/>
    <x v="5"/>
    <x v="38"/>
    <x v="99"/>
  </r>
  <r>
    <x v="565"/>
    <x v="3"/>
    <x v="3"/>
    <x v="2"/>
    <x v="22"/>
    <x v="13"/>
    <x v="12"/>
    <x v="5"/>
    <x v="15"/>
    <x v="14"/>
    <x v="10"/>
    <x v="7"/>
    <x v="2"/>
    <x v="158"/>
  </r>
  <r>
    <x v="566"/>
    <x v="3"/>
    <x v="3"/>
    <x v="6"/>
    <x v="21"/>
    <x v="5"/>
    <x v="1"/>
    <x v="16"/>
    <x v="15"/>
    <x v="29"/>
    <x v="23"/>
    <x v="3"/>
    <x v="39"/>
    <x v="75"/>
  </r>
  <r>
    <x v="307"/>
    <x v="3"/>
    <x v="3"/>
    <x v="29"/>
    <x v="26"/>
    <x v="4"/>
    <x v="14"/>
    <x v="8"/>
    <x v="19"/>
    <x v="9"/>
    <x v="15"/>
    <x v="45"/>
    <x v="16"/>
    <x v="22"/>
  </r>
  <r>
    <x v="567"/>
    <x v="3"/>
    <x v="3"/>
    <x v="3"/>
    <x v="2"/>
    <x v="4"/>
    <x v="35"/>
    <x v="41"/>
    <x v="14"/>
    <x v="37"/>
    <x v="38"/>
    <x v="19"/>
    <x v="60"/>
    <x v="97"/>
  </r>
  <r>
    <x v="568"/>
    <x v="3"/>
    <x v="3"/>
    <x v="19"/>
    <x v="39"/>
    <x v="16"/>
    <x v="13"/>
    <x v="3"/>
    <x v="11"/>
    <x v="27"/>
    <x v="19"/>
    <x v="4"/>
    <x v="36"/>
    <x v="45"/>
  </r>
  <r>
    <x v="569"/>
    <x v="3"/>
    <x v="3"/>
    <x v="19"/>
    <x v="4"/>
    <x v="23"/>
    <x v="10"/>
    <x v="19"/>
    <x v="7"/>
    <x v="30"/>
    <x v="16"/>
    <x v="12"/>
    <x v="60"/>
    <x v="6"/>
  </r>
  <r>
    <x v="570"/>
    <x v="3"/>
    <x v="3"/>
    <x v="8"/>
    <x v="26"/>
    <x v="33"/>
    <x v="3"/>
    <x v="46"/>
    <x v="0"/>
    <x v="35"/>
    <x v="19"/>
    <x v="3"/>
    <x v="14"/>
    <x v="98"/>
  </r>
  <r>
    <x v="571"/>
    <x v="3"/>
    <x v="3"/>
    <x v="17"/>
    <x v="0"/>
    <x v="14"/>
    <x v="5"/>
    <x v="27"/>
    <x v="22"/>
    <x v="29"/>
    <x v="28"/>
    <x v="3"/>
    <x v="33"/>
    <x v="44"/>
  </r>
  <r>
    <x v="572"/>
    <x v="3"/>
    <x v="3"/>
    <x v="6"/>
    <x v="9"/>
    <x v="3"/>
    <x v="2"/>
    <x v="29"/>
    <x v="26"/>
    <x v="2"/>
    <x v="19"/>
    <x v="45"/>
    <x v="8"/>
    <x v="78"/>
  </r>
  <r>
    <x v="573"/>
    <x v="3"/>
    <x v="3"/>
    <x v="15"/>
    <x v="9"/>
    <x v="12"/>
    <x v="23"/>
    <x v="3"/>
    <x v="7"/>
    <x v="14"/>
    <x v="7"/>
    <x v="18"/>
    <x v="6"/>
    <x v="93"/>
  </r>
  <r>
    <x v="574"/>
    <x v="3"/>
    <x v="3"/>
    <x v="6"/>
    <x v="40"/>
    <x v="39"/>
    <x v="41"/>
    <x v="17"/>
    <x v="50"/>
    <x v="54"/>
    <x v="23"/>
    <x v="18"/>
    <x v="67"/>
    <x v="196"/>
  </r>
  <r>
    <x v="575"/>
    <x v="3"/>
    <x v="3"/>
    <x v="7"/>
    <x v="16"/>
    <x v="13"/>
    <x v="2"/>
    <x v="31"/>
    <x v="10"/>
    <x v="23"/>
    <x v="16"/>
    <x v="32"/>
    <x v="18"/>
    <x v="50"/>
  </r>
  <r>
    <x v="576"/>
    <x v="3"/>
    <x v="3"/>
    <x v="33"/>
    <x v="5"/>
    <x v="3"/>
    <x v="25"/>
    <x v="24"/>
    <x v="15"/>
    <x v="9"/>
    <x v="38"/>
    <x v="7"/>
    <x v="14"/>
    <x v="137"/>
  </r>
  <r>
    <x v="577"/>
    <x v="3"/>
    <x v="3"/>
    <x v="8"/>
    <x v="28"/>
    <x v="21"/>
    <x v="23"/>
    <x v="33"/>
    <x v="20"/>
    <x v="10"/>
    <x v="8"/>
    <x v="7"/>
    <x v="60"/>
    <x v="138"/>
  </r>
  <r>
    <x v="578"/>
    <x v="3"/>
    <x v="3"/>
    <x v="14"/>
    <x v="16"/>
    <x v="22"/>
    <x v="21"/>
    <x v="14"/>
    <x v="26"/>
    <x v="25"/>
    <x v="8"/>
    <x v="1"/>
    <x v="28"/>
    <x v="25"/>
  </r>
  <r>
    <x v="579"/>
    <x v="4"/>
    <x v="4"/>
    <x v="32"/>
    <x v="9"/>
    <x v="17"/>
    <x v="19"/>
    <x v="0"/>
    <x v="37"/>
    <x v="37"/>
    <x v="37"/>
    <x v="26"/>
    <x v="47"/>
    <x v="158"/>
  </r>
  <r>
    <x v="580"/>
    <x v="4"/>
    <x v="4"/>
    <x v="22"/>
    <x v="14"/>
    <x v="35"/>
    <x v="35"/>
    <x v="21"/>
    <x v="12"/>
    <x v="17"/>
    <x v="10"/>
    <x v="4"/>
    <x v="8"/>
    <x v="30"/>
  </r>
  <r>
    <x v="581"/>
    <x v="4"/>
    <x v="4"/>
    <x v="34"/>
    <x v="29"/>
    <x v="6"/>
    <x v="24"/>
    <x v="27"/>
    <x v="4"/>
    <x v="18"/>
    <x v="5"/>
    <x v="25"/>
    <x v="56"/>
    <x v="197"/>
  </r>
  <r>
    <x v="582"/>
    <x v="4"/>
    <x v="4"/>
    <x v="33"/>
    <x v="7"/>
    <x v="3"/>
    <x v="3"/>
    <x v="47"/>
    <x v="2"/>
    <x v="14"/>
    <x v="29"/>
    <x v="3"/>
    <x v="28"/>
    <x v="172"/>
  </r>
  <r>
    <x v="583"/>
    <x v="4"/>
    <x v="4"/>
    <x v="19"/>
    <x v="41"/>
    <x v="11"/>
    <x v="8"/>
    <x v="31"/>
    <x v="16"/>
    <x v="9"/>
    <x v="41"/>
    <x v="28"/>
    <x v="6"/>
    <x v="147"/>
  </r>
  <r>
    <x v="584"/>
    <x v="4"/>
    <x v="4"/>
    <x v="21"/>
    <x v="24"/>
    <x v="18"/>
    <x v="1"/>
    <x v="27"/>
    <x v="3"/>
    <x v="11"/>
    <x v="10"/>
    <x v="38"/>
    <x v="7"/>
    <x v="186"/>
  </r>
  <r>
    <x v="585"/>
    <x v="4"/>
    <x v="4"/>
    <x v="21"/>
    <x v="6"/>
    <x v="18"/>
    <x v="4"/>
    <x v="47"/>
    <x v="48"/>
    <x v="10"/>
    <x v="38"/>
    <x v="17"/>
    <x v="37"/>
    <x v="147"/>
  </r>
  <r>
    <x v="586"/>
    <x v="4"/>
    <x v="4"/>
    <x v="29"/>
    <x v="24"/>
    <x v="13"/>
    <x v="3"/>
    <x v="42"/>
    <x v="28"/>
    <x v="9"/>
    <x v="29"/>
    <x v="28"/>
    <x v="42"/>
    <x v="67"/>
  </r>
  <r>
    <x v="587"/>
    <x v="4"/>
    <x v="4"/>
    <x v="8"/>
    <x v="20"/>
    <x v="22"/>
    <x v="16"/>
    <x v="11"/>
    <x v="19"/>
    <x v="43"/>
    <x v="41"/>
    <x v="2"/>
    <x v="42"/>
    <x v="69"/>
  </r>
  <r>
    <x v="588"/>
    <x v="4"/>
    <x v="4"/>
    <x v="23"/>
    <x v="16"/>
    <x v="11"/>
    <x v="10"/>
    <x v="10"/>
    <x v="17"/>
    <x v="46"/>
    <x v="22"/>
    <x v="41"/>
    <x v="25"/>
    <x v="39"/>
  </r>
  <r>
    <x v="589"/>
    <x v="4"/>
    <x v="4"/>
    <x v="2"/>
    <x v="3"/>
    <x v="9"/>
    <x v="2"/>
    <x v="25"/>
    <x v="2"/>
    <x v="35"/>
    <x v="10"/>
    <x v="19"/>
    <x v="18"/>
    <x v="68"/>
  </r>
  <r>
    <x v="590"/>
    <x v="4"/>
    <x v="4"/>
    <x v="8"/>
    <x v="9"/>
    <x v="36"/>
    <x v="17"/>
    <x v="23"/>
    <x v="11"/>
    <x v="5"/>
    <x v="20"/>
    <x v="9"/>
    <x v="3"/>
    <x v="138"/>
  </r>
  <r>
    <x v="591"/>
    <x v="4"/>
    <x v="4"/>
    <x v="29"/>
    <x v="39"/>
    <x v="6"/>
    <x v="8"/>
    <x v="2"/>
    <x v="18"/>
    <x v="16"/>
    <x v="18"/>
    <x v="40"/>
    <x v="22"/>
    <x v="198"/>
  </r>
  <r>
    <x v="592"/>
    <x v="4"/>
    <x v="4"/>
    <x v="9"/>
    <x v="14"/>
    <x v="5"/>
    <x v="35"/>
    <x v="11"/>
    <x v="44"/>
    <x v="17"/>
    <x v="13"/>
    <x v="26"/>
    <x v="38"/>
    <x v="145"/>
  </r>
  <r>
    <x v="593"/>
    <x v="4"/>
    <x v="4"/>
    <x v="6"/>
    <x v="3"/>
    <x v="27"/>
    <x v="16"/>
    <x v="10"/>
    <x v="38"/>
    <x v="29"/>
    <x v="35"/>
    <x v="56"/>
    <x v="23"/>
    <x v="160"/>
  </r>
  <r>
    <x v="252"/>
    <x v="4"/>
    <x v="4"/>
    <x v="33"/>
    <x v="36"/>
    <x v="34"/>
    <x v="37"/>
    <x v="43"/>
    <x v="49"/>
    <x v="47"/>
    <x v="48"/>
    <x v="51"/>
    <x v="13"/>
    <x v="199"/>
  </r>
  <r>
    <x v="594"/>
    <x v="4"/>
    <x v="4"/>
    <x v="23"/>
    <x v="37"/>
    <x v="37"/>
    <x v="37"/>
    <x v="42"/>
    <x v="45"/>
    <x v="22"/>
    <x v="46"/>
    <x v="56"/>
    <x v="60"/>
    <x v="200"/>
  </r>
  <r>
    <x v="595"/>
    <x v="4"/>
    <x v="4"/>
    <x v="17"/>
    <x v="6"/>
    <x v="15"/>
    <x v="38"/>
    <x v="4"/>
    <x v="17"/>
    <x v="16"/>
    <x v="19"/>
    <x v="14"/>
    <x v="19"/>
    <x v="201"/>
  </r>
  <r>
    <x v="596"/>
    <x v="4"/>
    <x v="4"/>
    <x v="8"/>
    <x v="24"/>
    <x v="17"/>
    <x v="23"/>
    <x v="37"/>
    <x v="27"/>
    <x v="38"/>
    <x v="16"/>
    <x v="36"/>
    <x v="22"/>
    <x v="202"/>
  </r>
  <r>
    <x v="597"/>
    <x v="4"/>
    <x v="4"/>
    <x v="14"/>
    <x v="26"/>
    <x v="12"/>
    <x v="20"/>
    <x v="37"/>
    <x v="19"/>
    <x v="11"/>
    <x v="38"/>
    <x v="49"/>
    <x v="1"/>
    <x v="187"/>
  </r>
  <r>
    <x v="598"/>
    <x v="4"/>
    <x v="4"/>
    <x v="7"/>
    <x v="37"/>
    <x v="11"/>
    <x v="20"/>
    <x v="18"/>
    <x v="13"/>
    <x v="6"/>
    <x v="37"/>
    <x v="23"/>
    <x v="5"/>
    <x v="64"/>
  </r>
  <r>
    <x v="599"/>
    <x v="4"/>
    <x v="4"/>
    <x v="17"/>
    <x v="25"/>
    <x v="3"/>
    <x v="1"/>
    <x v="10"/>
    <x v="0"/>
    <x v="11"/>
    <x v="38"/>
    <x v="12"/>
    <x v="48"/>
    <x v="142"/>
  </r>
  <r>
    <x v="600"/>
    <x v="4"/>
    <x v="4"/>
    <x v="6"/>
    <x v="31"/>
    <x v="15"/>
    <x v="16"/>
    <x v="36"/>
    <x v="8"/>
    <x v="43"/>
    <x v="28"/>
    <x v="27"/>
    <x v="19"/>
    <x v="139"/>
  </r>
  <r>
    <x v="601"/>
    <x v="4"/>
    <x v="4"/>
    <x v="11"/>
    <x v="8"/>
    <x v="15"/>
    <x v="17"/>
    <x v="16"/>
    <x v="49"/>
    <x v="43"/>
    <x v="3"/>
    <x v="7"/>
    <x v="17"/>
    <x v="56"/>
  </r>
  <r>
    <x v="602"/>
    <x v="4"/>
    <x v="4"/>
    <x v="9"/>
    <x v="39"/>
    <x v="13"/>
    <x v="12"/>
    <x v="20"/>
    <x v="4"/>
    <x v="7"/>
    <x v="48"/>
    <x v="0"/>
    <x v="47"/>
    <x v="80"/>
  </r>
  <r>
    <x v="603"/>
    <x v="4"/>
    <x v="4"/>
    <x v="7"/>
    <x v="24"/>
    <x v="15"/>
    <x v="12"/>
    <x v="19"/>
    <x v="23"/>
    <x v="28"/>
    <x v="10"/>
    <x v="22"/>
    <x v="48"/>
    <x v="140"/>
  </r>
  <r>
    <x v="604"/>
    <x v="4"/>
    <x v="4"/>
    <x v="0"/>
    <x v="5"/>
    <x v="22"/>
    <x v="25"/>
    <x v="10"/>
    <x v="29"/>
    <x v="1"/>
    <x v="6"/>
    <x v="2"/>
    <x v="5"/>
    <x v="126"/>
  </r>
  <r>
    <x v="605"/>
    <x v="4"/>
    <x v="4"/>
    <x v="30"/>
    <x v="36"/>
    <x v="25"/>
    <x v="15"/>
    <x v="19"/>
    <x v="7"/>
    <x v="1"/>
    <x v="20"/>
    <x v="51"/>
    <x v="42"/>
    <x v="177"/>
  </r>
  <r>
    <x v="606"/>
    <x v="4"/>
    <x v="4"/>
    <x v="0"/>
    <x v="5"/>
    <x v="35"/>
    <x v="20"/>
    <x v="25"/>
    <x v="16"/>
    <x v="28"/>
    <x v="37"/>
    <x v="10"/>
    <x v="3"/>
    <x v="135"/>
  </r>
  <r>
    <x v="607"/>
    <x v="4"/>
    <x v="4"/>
    <x v="21"/>
    <x v="22"/>
    <x v="11"/>
    <x v="16"/>
    <x v="22"/>
    <x v="0"/>
    <x v="44"/>
    <x v="29"/>
    <x v="26"/>
    <x v="13"/>
    <x v="49"/>
  </r>
  <r>
    <x v="608"/>
    <x v="4"/>
    <x v="4"/>
    <x v="3"/>
    <x v="26"/>
    <x v="13"/>
    <x v="16"/>
    <x v="27"/>
    <x v="15"/>
    <x v="10"/>
    <x v="38"/>
    <x v="12"/>
    <x v="33"/>
    <x v="133"/>
  </r>
  <r>
    <x v="609"/>
    <x v="4"/>
    <x v="4"/>
    <x v="3"/>
    <x v="29"/>
    <x v="4"/>
    <x v="37"/>
    <x v="25"/>
    <x v="5"/>
    <x v="27"/>
    <x v="15"/>
    <x v="24"/>
    <x v="27"/>
    <x v="17"/>
  </r>
  <r>
    <x v="610"/>
    <x v="4"/>
    <x v="4"/>
    <x v="23"/>
    <x v="12"/>
    <x v="35"/>
    <x v="15"/>
    <x v="22"/>
    <x v="4"/>
    <x v="18"/>
    <x v="10"/>
    <x v="31"/>
    <x v="5"/>
    <x v="146"/>
  </r>
  <r>
    <x v="611"/>
    <x v="4"/>
    <x v="4"/>
    <x v="8"/>
    <x v="1"/>
    <x v="6"/>
    <x v="4"/>
    <x v="20"/>
    <x v="10"/>
    <x v="12"/>
    <x v="32"/>
    <x v="6"/>
    <x v="61"/>
    <x v="203"/>
  </r>
  <r>
    <x v="612"/>
    <x v="4"/>
    <x v="4"/>
    <x v="4"/>
    <x v="12"/>
    <x v="36"/>
    <x v="16"/>
    <x v="22"/>
    <x v="37"/>
    <x v="11"/>
    <x v="29"/>
    <x v="7"/>
    <x v="27"/>
    <x v="126"/>
  </r>
  <r>
    <x v="613"/>
    <x v="4"/>
    <x v="4"/>
    <x v="30"/>
    <x v="22"/>
    <x v="33"/>
    <x v="18"/>
    <x v="14"/>
    <x v="10"/>
    <x v="16"/>
    <x v="26"/>
    <x v="36"/>
    <x v="48"/>
    <x v="161"/>
  </r>
  <r>
    <x v="614"/>
    <x v="4"/>
    <x v="4"/>
    <x v="11"/>
    <x v="0"/>
    <x v="25"/>
    <x v="1"/>
    <x v="18"/>
    <x v="12"/>
    <x v="21"/>
    <x v="1"/>
    <x v="42"/>
    <x v="3"/>
    <x v="33"/>
  </r>
  <r>
    <x v="615"/>
    <x v="4"/>
    <x v="4"/>
    <x v="31"/>
    <x v="0"/>
    <x v="17"/>
    <x v="2"/>
    <x v="37"/>
    <x v="13"/>
    <x v="18"/>
    <x v="15"/>
    <x v="35"/>
    <x v="34"/>
    <x v="141"/>
  </r>
  <r>
    <x v="616"/>
    <x v="4"/>
    <x v="4"/>
    <x v="29"/>
    <x v="20"/>
    <x v="2"/>
    <x v="16"/>
    <x v="28"/>
    <x v="12"/>
    <x v="31"/>
    <x v="35"/>
    <x v="32"/>
    <x v="39"/>
    <x v="142"/>
  </r>
  <r>
    <x v="617"/>
    <x v="4"/>
    <x v="4"/>
    <x v="14"/>
    <x v="31"/>
    <x v="17"/>
    <x v="25"/>
    <x v="3"/>
    <x v="26"/>
    <x v="0"/>
    <x v="41"/>
    <x v="14"/>
    <x v="9"/>
    <x v="177"/>
  </r>
  <r>
    <x v="618"/>
    <x v="4"/>
    <x v="4"/>
    <x v="22"/>
    <x v="3"/>
    <x v="33"/>
    <x v="25"/>
    <x v="6"/>
    <x v="19"/>
    <x v="7"/>
    <x v="46"/>
    <x v="18"/>
    <x v="7"/>
    <x v="194"/>
  </r>
  <r>
    <x v="619"/>
    <x v="4"/>
    <x v="4"/>
    <x v="22"/>
    <x v="26"/>
    <x v="37"/>
    <x v="25"/>
    <x v="19"/>
    <x v="1"/>
    <x v="0"/>
    <x v="41"/>
    <x v="0"/>
    <x v="13"/>
    <x v="204"/>
  </r>
  <r>
    <x v="620"/>
    <x v="4"/>
    <x v="4"/>
    <x v="14"/>
    <x v="3"/>
    <x v="18"/>
    <x v="5"/>
    <x v="5"/>
    <x v="38"/>
    <x v="30"/>
    <x v="37"/>
    <x v="53"/>
    <x v="26"/>
    <x v="203"/>
  </r>
  <r>
    <x v="621"/>
    <x v="4"/>
    <x v="4"/>
    <x v="33"/>
    <x v="39"/>
    <x v="35"/>
    <x v="24"/>
    <x v="43"/>
    <x v="48"/>
    <x v="39"/>
    <x v="27"/>
    <x v="34"/>
    <x v="59"/>
    <x v="205"/>
  </r>
  <r>
    <x v="622"/>
    <x v="5"/>
    <x v="5"/>
    <x v="28"/>
    <x v="7"/>
    <x v="9"/>
    <x v="22"/>
    <x v="2"/>
    <x v="11"/>
    <x v="16"/>
    <x v="0"/>
    <x v="32"/>
    <x v="1"/>
    <x v="41"/>
  </r>
  <r>
    <x v="623"/>
    <x v="5"/>
    <x v="5"/>
    <x v="25"/>
    <x v="6"/>
    <x v="20"/>
    <x v="14"/>
    <x v="18"/>
    <x v="33"/>
    <x v="15"/>
    <x v="2"/>
    <x v="1"/>
    <x v="12"/>
    <x v="110"/>
  </r>
  <r>
    <x v="624"/>
    <x v="5"/>
    <x v="5"/>
    <x v="13"/>
    <x v="20"/>
    <x v="16"/>
    <x v="14"/>
    <x v="1"/>
    <x v="9"/>
    <x v="0"/>
    <x v="3"/>
    <x v="31"/>
    <x v="48"/>
    <x v="93"/>
  </r>
  <r>
    <x v="405"/>
    <x v="5"/>
    <x v="5"/>
    <x v="9"/>
    <x v="4"/>
    <x v="19"/>
    <x v="22"/>
    <x v="33"/>
    <x v="28"/>
    <x v="32"/>
    <x v="2"/>
    <x v="39"/>
    <x v="34"/>
    <x v="206"/>
  </r>
  <r>
    <x v="625"/>
    <x v="5"/>
    <x v="5"/>
    <x v="10"/>
    <x v="27"/>
    <x v="20"/>
    <x v="7"/>
    <x v="6"/>
    <x v="13"/>
    <x v="28"/>
    <x v="20"/>
    <x v="31"/>
    <x v="6"/>
    <x v="1"/>
  </r>
  <r>
    <x v="626"/>
    <x v="5"/>
    <x v="5"/>
    <x v="4"/>
    <x v="9"/>
    <x v="2"/>
    <x v="16"/>
    <x v="13"/>
    <x v="27"/>
    <x v="37"/>
    <x v="7"/>
    <x v="4"/>
    <x v="25"/>
    <x v="16"/>
  </r>
  <r>
    <x v="627"/>
    <x v="5"/>
    <x v="5"/>
    <x v="3"/>
    <x v="20"/>
    <x v="15"/>
    <x v="3"/>
    <x v="27"/>
    <x v="8"/>
    <x v="10"/>
    <x v="20"/>
    <x v="17"/>
    <x v="8"/>
    <x v="32"/>
  </r>
  <r>
    <x v="628"/>
    <x v="5"/>
    <x v="5"/>
    <x v="10"/>
    <x v="17"/>
    <x v="13"/>
    <x v="10"/>
    <x v="29"/>
    <x v="1"/>
    <x v="7"/>
    <x v="34"/>
    <x v="15"/>
    <x v="0"/>
    <x v="107"/>
  </r>
  <r>
    <x v="629"/>
    <x v="5"/>
    <x v="5"/>
    <x v="16"/>
    <x v="17"/>
    <x v="11"/>
    <x v="26"/>
    <x v="10"/>
    <x v="26"/>
    <x v="5"/>
    <x v="53"/>
    <x v="40"/>
    <x v="48"/>
    <x v="207"/>
  </r>
  <r>
    <x v="630"/>
    <x v="5"/>
    <x v="5"/>
    <x v="3"/>
    <x v="21"/>
    <x v="2"/>
    <x v="11"/>
    <x v="24"/>
    <x v="12"/>
    <x v="19"/>
    <x v="37"/>
    <x v="17"/>
    <x v="17"/>
    <x v="45"/>
  </r>
  <r>
    <x v="631"/>
    <x v="5"/>
    <x v="5"/>
    <x v="3"/>
    <x v="23"/>
    <x v="7"/>
    <x v="13"/>
    <x v="13"/>
    <x v="6"/>
    <x v="17"/>
    <x v="4"/>
    <x v="20"/>
    <x v="25"/>
    <x v="87"/>
  </r>
  <r>
    <x v="632"/>
    <x v="5"/>
    <x v="5"/>
    <x v="13"/>
    <x v="11"/>
    <x v="1"/>
    <x v="3"/>
    <x v="0"/>
    <x v="21"/>
    <x v="10"/>
    <x v="14"/>
    <x v="57"/>
    <x v="0"/>
    <x v="117"/>
  </r>
  <r>
    <x v="633"/>
    <x v="5"/>
    <x v="5"/>
    <x v="10"/>
    <x v="21"/>
    <x v="9"/>
    <x v="11"/>
    <x v="2"/>
    <x v="12"/>
    <x v="36"/>
    <x v="14"/>
    <x v="9"/>
    <x v="2"/>
    <x v="109"/>
  </r>
  <r>
    <x v="634"/>
    <x v="5"/>
    <x v="5"/>
    <x v="23"/>
    <x v="1"/>
    <x v="8"/>
    <x v="11"/>
    <x v="29"/>
    <x v="26"/>
    <x v="44"/>
    <x v="1"/>
    <x v="11"/>
    <x v="15"/>
    <x v="43"/>
  </r>
  <r>
    <x v="635"/>
    <x v="5"/>
    <x v="5"/>
    <x v="16"/>
    <x v="20"/>
    <x v="4"/>
    <x v="0"/>
    <x v="24"/>
    <x v="47"/>
    <x v="37"/>
    <x v="44"/>
    <x v="0"/>
    <x v="7"/>
    <x v="108"/>
  </r>
  <r>
    <x v="636"/>
    <x v="5"/>
    <x v="5"/>
    <x v="15"/>
    <x v="11"/>
    <x v="17"/>
    <x v="5"/>
    <x v="24"/>
    <x v="30"/>
    <x v="19"/>
    <x v="24"/>
    <x v="2"/>
    <x v="19"/>
    <x v="32"/>
  </r>
  <r>
    <x v="637"/>
    <x v="5"/>
    <x v="5"/>
    <x v="4"/>
    <x v="17"/>
    <x v="20"/>
    <x v="25"/>
    <x v="8"/>
    <x v="26"/>
    <x v="19"/>
    <x v="19"/>
    <x v="39"/>
    <x v="12"/>
    <x v="89"/>
  </r>
  <r>
    <x v="638"/>
    <x v="5"/>
    <x v="5"/>
    <x v="13"/>
    <x v="9"/>
    <x v="3"/>
    <x v="29"/>
    <x v="18"/>
    <x v="15"/>
    <x v="19"/>
    <x v="38"/>
    <x v="45"/>
    <x v="1"/>
    <x v="208"/>
  </r>
  <r>
    <x v="639"/>
    <x v="5"/>
    <x v="5"/>
    <x v="10"/>
    <x v="7"/>
    <x v="2"/>
    <x v="15"/>
    <x v="3"/>
    <x v="40"/>
    <x v="32"/>
    <x v="26"/>
    <x v="22"/>
    <x v="30"/>
    <x v="208"/>
  </r>
  <r>
    <x v="640"/>
    <x v="5"/>
    <x v="5"/>
    <x v="12"/>
    <x v="0"/>
    <x v="16"/>
    <x v="11"/>
    <x v="13"/>
    <x v="0"/>
    <x v="36"/>
    <x v="25"/>
    <x v="5"/>
    <x v="35"/>
    <x v="106"/>
  </r>
  <r>
    <x v="641"/>
    <x v="5"/>
    <x v="5"/>
    <x v="3"/>
    <x v="21"/>
    <x v="13"/>
    <x v="22"/>
    <x v="18"/>
    <x v="26"/>
    <x v="34"/>
    <x v="24"/>
    <x v="45"/>
    <x v="25"/>
    <x v="15"/>
  </r>
  <r>
    <x v="642"/>
    <x v="5"/>
    <x v="5"/>
    <x v="16"/>
    <x v="9"/>
    <x v="9"/>
    <x v="3"/>
    <x v="2"/>
    <x v="11"/>
    <x v="35"/>
    <x v="23"/>
    <x v="20"/>
    <x v="21"/>
    <x v="109"/>
  </r>
  <r>
    <x v="643"/>
    <x v="5"/>
    <x v="5"/>
    <x v="1"/>
    <x v="11"/>
    <x v="1"/>
    <x v="23"/>
    <x v="20"/>
    <x v="21"/>
    <x v="40"/>
    <x v="19"/>
    <x v="40"/>
    <x v="5"/>
    <x v="19"/>
  </r>
  <r>
    <x v="644"/>
    <x v="5"/>
    <x v="5"/>
    <x v="28"/>
    <x v="0"/>
    <x v="16"/>
    <x v="14"/>
    <x v="28"/>
    <x v="20"/>
    <x v="11"/>
    <x v="20"/>
    <x v="39"/>
    <x v="32"/>
    <x v="81"/>
  </r>
  <r>
    <x v="645"/>
    <x v="5"/>
    <x v="5"/>
    <x v="10"/>
    <x v="1"/>
    <x v="15"/>
    <x v="22"/>
    <x v="3"/>
    <x v="31"/>
    <x v="7"/>
    <x v="23"/>
    <x v="39"/>
    <x v="68"/>
    <x v="209"/>
  </r>
  <r>
    <x v="646"/>
    <x v="5"/>
    <x v="5"/>
    <x v="7"/>
    <x v="23"/>
    <x v="14"/>
    <x v="14"/>
    <x v="5"/>
    <x v="26"/>
    <x v="18"/>
    <x v="7"/>
    <x v="20"/>
    <x v="6"/>
    <x v="207"/>
  </r>
  <r>
    <x v="647"/>
    <x v="5"/>
    <x v="5"/>
    <x v="3"/>
    <x v="17"/>
    <x v="0"/>
    <x v="18"/>
    <x v="28"/>
    <x v="11"/>
    <x v="6"/>
    <x v="26"/>
    <x v="1"/>
    <x v="1"/>
    <x v="26"/>
  </r>
  <r>
    <x v="648"/>
    <x v="5"/>
    <x v="5"/>
    <x v="12"/>
    <x v="9"/>
    <x v="14"/>
    <x v="6"/>
    <x v="6"/>
    <x v="11"/>
    <x v="15"/>
    <x v="6"/>
    <x v="11"/>
    <x v="18"/>
    <x v="210"/>
  </r>
  <r>
    <x v="649"/>
    <x v="5"/>
    <x v="5"/>
    <x v="19"/>
    <x v="23"/>
    <x v="24"/>
    <x v="0"/>
    <x v="48"/>
    <x v="10"/>
    <x v="17"/>
    <x v="29"/>
    <x v="39"/>
    <x v="39"/>
    <x v="26"/>
  </r>
  <r>
    <x v="650"/>
    <x v="5"/>
    <x v="5"/>
    <x v="13"/>
    <x v="8"/>
    <x v="8"/>
    <x v="10"/>
    <x v="36"/>
    <x v="26"/>
    <x v="27"/>
    <x v="1"/>
    <x v="41"/>
    <x v="6"/>
    <x v="90"/>
  </r>
  <r>
    <x v="651"/>
    <x v="5"/>
    <x v="5"/>
    <x v="12"/>
    <x v="22"/>
    <x v="13"/>
    <x v="6"/>
    <x v="27"/>
    <x v="39"/>
    <x v="44"/>
    <x v="24"/>
    <x v="9"/>
    <x v="48"/>
    <x v="41"/>
  </r>
  <r>
    <x v="652"/>
    <x v="5"/>
    <x v="5"/>
    <x v="6"/>
    <x v="21"/>
    <x v="2"/>
    <x v="12"/>
    <x v="2"/>
    <x v="15"/>
    <x v="0"/>
    <x v="14"/>
    <x v="32"/>
    <x v="20"/>
    <x v="23"/>
  </r>
  <r>
    <x v="653"/>
    <x v="5"/>
    <x v="5"/>
    <x v="1"/>
    <x v="21"/>
    <x v="19"/>
    <x v="4"/>
    <x v="33"/>
    <x v="27"/>
    <x v="23"/>
    <x v="23"/>
    <x v="17"/>
    <x v="15"/>
    <x v="89"/>
  </r>
  <r>
    <x v="654"/>
    <x v="5"/>
    <x v="5"/>
    <x v="19"/>
    <x v="20"/>
    <x v="40"/>
    <x v="9"/>
    <x v="29"/>
    <x v="33"/>
    <x v="3"/>
    <x v="28"/>
    <x v="1"/>
    <x v="30"/>
    <x v="211"/>
  </r>
  <r>
    <x v="655"/>
    <x v="5"/>
    <x v="5"/>
    <x v="1"/>
    <x v="2"/>
    <x v="14"/>
    <x v="15"/>
    <x v="18"/>
    <x v="33"/>
    <x v="3"/>
    <x v="19"/>
    <x v="14"/>
    <x v="37"/>
    <x v="34"/>
  </r>
  <r>
    <x v="656"/>
    <x v="5"/>
    <x v="5"/>
    <x v="7"/>
    <x v="18"/>
    <x v="24"/>
    <x v="6"/>
    <x v="17"/>
    <x v="24"/>
    <x v="12"/>
    <x v="15"/>
    <x v="15"/>
    <x v="32"/>
    <x v="206"/>
  </r>
  <r>
    <x v="657"/>
    <x v="5"/>
    <x v="5"/>
    <x v="18"/>
    <x v="0"/>
    <x v="10"/>
    <x v="25"/>
    <x v="13"/>
    <x v="1"/>
    <x v="9"/>
    <x v="44"/>
    <x v="9"/>
    <x v="36"/>
    <x v="212"/>
  </r>
  <r>
    <x v="658"/>
    <x v="5"/>
    <x v="5"/>
    <x v="9"/>
    <x v="3"/>
    <x v="10"/>
    <x v="22"/>
    <x v="24"/>
    <x v="39"/>
    <x v="38"/>
    <x v="3"/>
    <x v="31"/>
    <x v="18"/>
    <x v="3"/>
  </r>
  <r>
    <x v="659"/>
    <x v="5"/>
    <x v="5"/>
    <x v="13"/>
    <x v="22"/>
    <x v="3"/>
    <x v="10"/>
    <x v="24"/>
    <x v="26"/>
    <x v="12"/>
    <x v="28"/>
    <x v="20"/>
    <x v="34"/>
    <x v="26"/>
  </r>
  <r>
    <x v="660"/>
    <x v="5"/>
    <x v="5"/>
    <x v="5"/>
    <x v="7"/>
    <x v="3"/>
    <x v="1"/>
    <x v="44"/>
    <x v="32"/>
    <x v="0"/>
    <x v="1"/>
    <x v="8"/>
    <x v="34"/>
    <x v="13"/>
  </r>
  <r>
    <x v="661"/>
    <x v="5"/>
    <x v="5"/>
    <x v="24"/>
    <x v="17"/>
    <x v="20"/>
    <x v="21"/>
    <x v="3"/>
    <x v="13"/>
    <x v="17"/>
    <x v="37"/>
    <x v="0"/>
    <x v="32"/>
    <x v="82"/>
  </r>
  <r>
    <x v="662"/>
    <x v="5"/>
    <x v="5"/>
    <x v="10"/>
    <x v="27"/>
    <x v="27"/>
    <x v="7"/>
    <x v="27"/>
    <x v="28"/>
    <x v="28"/>
    <x v="10"/>
    <x v="31"/>
    <x v="37"/>
    <x v="213"/>
  </r>
  <r>
    <x v="663"/>
    <x v="5"/>
    <x v="5"/>
    <x v="25"/>
    <x v="20"/>
    <x v="4"/>
    <x v="7"/>
    <x v="27"/>
    <x v="9"/>
    <x v="30"/>
    <x v="16"/>
    <x v="1"/>
    <x v="23"/>
    <x v="84"/>
  </r>
  <r>
    <x v="664"/>
    <x v="5"/>
    <x v="5"/>
    <x v="19"/>
    <x v="8"/>
    <x v="14"/>
    <x v="10"/>
    <x v="11"/>
    <x v="13"/>
    <x v="45"/>
    <x v="14"/>
    <x v="41"/>
    <x v="48"/>
    <x v="18"/>
  </r>
  <r>
    <x v="665"/>
    <x v="5"/>
    <x v="5"/>
    <x v="6"/>
    <x v="3"/>
    <x v="19"/>
    <x v="3"/>
    <x v="6"/>
    <x v="0"/>
    <x v="7"/>
    <x v="37"/>
    <x v="26"/>
    <x v="30"/>
    <x v="171"/>
  </r>
  <r>
    <x v="666"/>
    <x v="5"/>
    <x v="5"/>
    <x v="10"/>
    <x v="20"/>
    <x v="2"/>
    <x v="22"/>
    <x v="29"/>
    <x v="26"/>
    <x v="13"/>
    <x v="5"/>
    <x v="10"/>
    <x v="28"/>
    <x v="47"/>
  </r>
  <r>
    <x v="667"/>
    <x v="5"/>
    <x v="5"/>
    <x v="10"/>
    <x v="25"/>
    <x v="25"/>
    <x v="20"/>
    <x v="19"/>
    <x v="10"/>
    <x v="10"/>
    <x v="1"/>
    <x v="23"/>
    <x v="10"/>
    <x v="62"/>
  </r>
  <r>
    <x v="668"/>
    <x v="5"/>
    <x v="5"/>
    <x v="2"/>
    <x v="8"/>
    <x v="6"/>
    <x v="8"/>
    <x v="27"/>
    <x v="18"/>
    <x v="16"/>
    <x v="23"/>
    <x v="17"/>
    <x v="6"/>
    <x v="31"/>
  </r>
  <r>
    <x v="669"/>
    <x v="5"/>
    <x v="5"/>
    <x v="11"/>
    <x v="22"/>
    <x v="34"/>
    <x v="37"/>
    <x v="6"/>
    <x v="45"/>
    <x v="22"/>
    <x v="26"/>
    <x v="41"/>
    <x v="69"/>
    <x v="214"/>
  </r>
  <r>
    <x v="670"/>
    <x v="5"/>
    <x v="5"/>
    <x v="11"/>
    <x v="17"/>
    <x v="34"/>
    <x v="13"/>
    <x v="17"/>
    <x v="17"/>
    <x v="1"/>
    <x v="28"/>
    <x v="0"/>
    <x v="18"/>
    <x v="133"/>
  </r>
  <r>
    <x v="671"/>
    <x v="5"/>
    <x v="5"/>
    <x v="5"/>
    <x v="8"/>
    <x v="10"/>
    <x v="29"/>
    <x v="36"/>
    <x v="7"/>
    <x v="6"/>
    <x v="1"/>
    <x v="1"/>
    <x v="38"/>
    <x v="53"/>
  </r>
  <r>
    <x v="672"/>
    <x v="5"/>
    <x v="5"/>
    <x v="19"/>
    <x v="17"/>
    <x v="3"/>
    <x v="13"/>
    <x v="16"/>
    <x v="15"/>
    <x v="12"/>
    <x v="10"/>
    <x v="10"/>
    <x v="0"/>
    <x v="55"/>
  </r>
  <r>
    <x v="673"/>
    <x v="5"/>
    <x v="5"/>
    <x v="5"/>
    <x v="10"/>
    <x v="8"/>
    <x v="10"/>
    <x v="13"/>
    <x v="5"/>
    <x v="7"/>
    <x v="28"/>
    <x v="19"/>
    <x v="21"/>
    <x v="105"/>
  </r>
  <r>
    <x v="674"/>
    <x v="5"/>
    <x v="5"/>
    <x v="2"/>
    <x v="8"/>
    <x v="0"/>
    <x v="21"/>
    <x v="49"/>
    <x v="1"/>
    <x v="37"/>
    <x v="28"/>
    <x v="1"/>
    <x v="36"/>
    <x v="90"/>
  </r>
  <r>
    <x v="675"/>
    <x v="5"/>
    <x v="5"/>
    <x v="12"/>
    <x v="8"/>
    <x v="1"/>
    <x v="10"/>
    <x v="24"/>
    <x v="33"/>
    <x v="12"/>
    <x v="3"/>
    <x v="5"/>
    <x v="17"/>
    <x v="76"/>
  </r>
  <r>
    <x v="676"/>
    <x v="5"/>
    <x v="5"/>
    <x v="16"/>
    <x v="4"/>
    <x v="5"/>
    <x v="12"/>
    <x v="29"/>
    <x v="11"/>
    <x v="4"/>
    <x v="2"/>
    <x v="13"/>
    <x v="1"/>
    <x v="215"/>
  </r>
  <r>
    <x v="677"/>
    <x v="5"/>
    <x v="5"/>
    <x v="7"/>
    <x v="0"/>
    <x v="15"/>
    <x v="11"/>
    <x v="16"/>
    <x v="36"/>
    <x v="0"/>
    <x v="42"/>
    <x v="33"/>
    <x v="30"/>
    <x v="52"/>
  </r>
  <r>
    <x v="678"/>
    <x v="5"/>
    <x v="5"/>
    <x v="16"/>
    <x v="20"/>
    <x v="14"/>
    <x v="42"/>
    <x v="18"/>
    <x v="33"/>
    <x v="30"/>
    <x v="10"/>
    <x v="4"/>
    <x v="47"/>
    <x v="95"/>
  </r>
  <r>
    <x v="679"/>
    <x v="5"/>
    <x v="5"/>
    <x v="10"/>
    <x v="4"/>
    <x v="5"/>
    <x v="7"/>
    <x v="10"/>
    <x v="11"/>
    <x v="10"/>
    <x v="8"/>
    <x v="36"/>
    <x v="10"/>
    <x v="2"/>
  </r>
  <r>
    <x v="680"/>
    <x v="5"/>
    <x v="5"/>
    <x v="12"/>
    <x v="21"/>
    <x v="15"/>
    <x v="4"/>
    <x v="27"/>
    <x v="20"/>
    <x v="37"/>
    <x v="0"/>
    <x v="45"/>
    <x v="30"/>
    <x v="109"/>
  </r>
  <r>
    <x v="681"/>
    <x v="5"/>
    <x v="5"/>
    <x v="9"/>
    <x v="0"/>
    <x v="25"/>
    <x v="7"/>
    <x v="24"/>
    <x v="26"/>
    <x v="10"/>
    <x v="8"/>
    <x v="40"/>
    <x v="66"/>
    <x v="10"/>
  </r>
  <r>
    <x v="682"/>
    <x v="5"/>
    <x v="5"/>
    <x v="19"/>
    <x v="20"/>
    <x v="2"/>
    <x v="21"/>
    <x v="0"/>
    <x v="33"/>
    <x v="55"/>
    <x v="23"/>
    <x v="13"/>
    <x v="7"/>
    <x v="216"/>
  </r>
  <r>
    <x v="683"/>
    <x v="5"/>
    <x v="5"/>
    <x v="24"/>
    <x v="6"/>
    <x v="25"/>
    <x v="7"/>
    <x v="46"/>
    <x v="5"/>
    <x v="33"/>
    <x v="11"/>
    <x v="1"/>
    <x v="20"/>
    <x v="217"/>
  </r>
  <r>
    <x v="684"/>
    <x v="5"/>
    <x v="5"/>
    <x v="1"/>
    <x v="11"/>
    <x v="9"/>
    <x v="22"/>
    <x v="35"/>
    <x v="7"/>
    <x v="27"/>
    <x v="15"/>
    <x v="1"/>
    <x v="38"/>
    <x v="109"/>
  </r>
  <r>
    <x v="685"/>
    <x v="5"/>
    <x v="5"/>
    <x v="9"/>
    <x v="26"/>
    <x v="14"/>
    <x v="3"/>
    <x v="24"/>
    <x v="7"/>
    <x v="29"/>
    <x v="18"/>
    <x v="7"/>
    <x v="35"/>
    <x v="98"/>
  </r>
  <r>
    <x v="686"/>
    <x v="5"/>
    <x v="5"/>
    <x v="4"/>
    <x v="10"/>
    <x v="4"/>
    <x v="21"/>
    <x v="46"/>
    <x v="26"/>
    <x v="18"/>
    <x v="23"/>
    <x v="8"/>
    <x v="31"/>
    <x v="15"/>
  </r>
  <r>
    <x v="687"/>
    <x v="5"/>
    <x v="5"/>
    <x v="10"/>
    <x v="1"/>
    <x v="16"/>
    <x v="12"/>
    <x v="16"/>
    <x v="10"/>
    <x v="12"/>
    <x v="24"/>
    <x v="39"/>
    <x v="48"/>
    <x v="7"/>
  </r>
  <r>
    <x v="688"/>
    <x v="5"/>
    <x v="5"/>
    <x v="16"/>
    <x v="0"/>
    <x v="14"/>
    <x v="19"/>
    <x v="10"/>
    <x v="12"/>
    <x v="15"/>
    <x v="24"/>
    <x v="2"/>
    <x v="28"/>
    <x v="218"/>
  </r>
  <r>
    <x v="689"/>
    <x v="5"/>
    <x v="5"/>
    <x v="13"/>
    <x v="23"/>
    <x v="26"/>
    <x v="21"/>
    <x v="12"/>
    <x v="5"/>
    <x v="17"/>
    <x v="18"/>
    <x v="13"/>
    <x v="1"/>
    <x v="208"/>
  </r>
  <r>
    <x v="690"/>
    <x v="5"/>
    <x v="5"/>
    <x v="12"/>
    <x v="8"/>
    <x v="10"/>
    <x v="2"/>
    <x v="9"/>
    <x v="7"/>
    <x v="16"/>
    <x v="16"/>
    <x v="13"/>
    <x v="60"/>
    <x v="32"/>
  </r>
  <r>
    <x v="691"/>
    <x v="5"/>
    <x v="5"/>
    <x v="5"/>
    <x v="3"/>
    <x v="26"/>
    <x v="2"/>
    <x v="28"/>
    <x v="8"/>
    <x v="15"/>
    <x v="14"/>
    <x v="3"/>
    <x v="70"/>
    <x v="90"/>
  </r>
  <r>
    <x v="692"/>
    <x v="5"/>
    <x v="5"/>
    <x v="18"/>
    <x v="4"/>
    <x v="16"/>
    <x v="4"/>
    <x v="29"/>
    <x v="8"/>
    <x v="8"/>
    <x v="16"/>
    <x v="10"/>
    <x v="42"/>
    <x v="77"/>
  </r>
  <r>
    <x v="693"/>
    <x v="5"/>
    <x v="5"/>
    <x v="10"/>
    <x v="23"/>
    <x v="3"/>
    <x v="10"/>
    <x v="29"/>
    <x v="40"/>
    <x v="34"/>
    <x v="25"/>
    <x v="0"/>
    <x v="60"/>
    <x v="84"/>
  </r>
  <r>
    <x v="694"/>
    <x v="5"/>
    <x v="5"/>
    <x v="18"/>
    <x v="4"/>
    <x v="20"/>
    <x v="22"/>
    <x v="40"/>
    <x v="39"/>
    <x v="13"/>
    <x v="8"/>
    <x v="28"/>
    <x v="15"/>
    <x v="219"/>
  </r>
  <r>
    <x v="695"/>
    <x v="5"/>
    <x v="5"/>
    <x v="7"/>
    <x v="6"/>
    <x v="7"/>
    <x v="0"/>
    <x v="34"/>
    <x v="20"/>
    <x v="37"/>
    <x v="19"/>
    <x v="8"/>
    <x v="42"/>
    <x v="51"/>
  </r>
  <r>
    <x v="696"/>
    <x v="5"/>
    <x v="5"/>
    <x v="5"/>
    <x v="8"/>
    <x v="2"/>
    <x v="23"/>
    <x v="18"/>
    <x v="10"/>
    <x v="18"/>
    <x v="37"/>
    <x v="0"/>
    <x v="47"/>
    <x v="20"/>
  </r>
  <r>
    <x v="697"/>
    <x v="5"/>
    <x v="5"/>
    <x v="10"/>
    <x v="0"/>
    <x v="25"/>
    <x v="11"/>
    <x v="6"/>
    <x v="26"/>
    <x v="18"/>
    <x v="9"/>
    <x v="13"/>
    <x v="60"/>
    <x v="72"/>
  </r>
  <r>
    <x v="698"/>
    <x v="5"/>
    <x v="5"/>
    <x v="16"/>
    <x v="4"/>
    <x v="17"/>
    <x v="21"/>
    <x v="45"/>
    <x v="33"/>
    <x v="18"/>
    <x v="7"/>
    <x v="39"/>
    <x v="14"/>
    <x v="51"/>
  </r>
  <r>
    <x v="699"/>
    <x v="5"/>
    <x v="5"/>
    <x v="5"/>
    <x v="27"/>
    <x v="4"/>
    <x v="21"/>
    <x v="28"/>
    <x v="10"/>
    <x v="17"/>
    <x v="20"/>
    <x v="0"/>
    <x v="3"/>
    <x v="81"/>
  </r>
  <r>
    <x v="700"/>
    <x v="5"/>
    <x v="5"/>
    <x v="5"/>
    <x v="6"/>
    <x v="5"/>
    <x v="13"/>
    <x v="6"/>
    <x v="26"/>
    <x v="12"/>
    <x v="15"/>
    <x v="7"/>
    <x v="37"/>
    <x v="163"/>
  </r>
  <r>
    <x v="701"/>
    <x v="5"/>
    <x v="5"/>
    <x v="24"/>
    <x v="2"/>
    <x v="13"/>
    <x v="5"/>
    <x v="3"/>
    <x v="14"/>
    <x v="29"/>
    <x v="24"/>
    <x v="11"/>
    <x v="37"/>
    <x v="95"/>
  </r>
  <r>
    <x v="702"/>
    <x v="5"/>
    <x v="5"/>
    <x v="3"/>
    <x v="22"/>
    <x v="24"/>
    <x v="28"/>
    <x v="29"/>
    <x v="5"/>
    <x v="40"/>
    <x v="28"/>
    <x v="4"/>
    <x v="2"/>
    <x v="0"/>
  </r>
  <r>
    <x v="394"/>
    <x v="5"/>
    <x v="5"/>
    <x v="10"/>
    <x v="17"/>
    <x v="15"/>
    <x v="3"/>
    <x v="5"/>
    <x v="33"/>
    <x v="19"/>
    <x v="0"/>
    <x v="18"/>
    <x v="8"/>
    <x v="14"/>
  </r>
  <r>
    <x v="703"/>
    <x v="5"/>
    <x v="5"/>
    <x v="18"/>
    <x v="8"/>
    <x v="13"/>
    <x v="15"/>
    <x v="8"/>
    <x v="25"/>
    <x v="18"/>
    <x v="20"/>
    <x v="40"/>
    <x v="37"/>
    <x v="207"/>
  </r>
  <r>
    <x v="704"/>
    <x v="5"/>
    <x v="5"/>
    <x v="15"/>
    <x v="6"/>
    <x v="3"/>
    <x v="27"/>
    <x v="11"/>
    <x v="0"/>
    <x v="28"/>
    <x v="15"/>
    <x v="2"/>
    <x v="14"/>
    <x v="42"/>
  </r>
  <r>
    <x v="705"/>
    <x v="5"/>
    <x v="5"/>
    <x v="19"/>
    <x v="10"/>
    <x v="17"/>
    <x v="4"/>
    <x v="24"/>
    <x v="28"/>
    <x v="35"/>
    <x v="3"/>
    <x v="5"/>
    <x v="10"/>
    <x v="84"/>
  </r>
  <r>
    <x v="706"/>
    <x v="5"/>
    <x v="5"/>
    <x v="28"/>
    <x v="17"/>
    <x v="10"/>
    <x v="12"/>
    <x v="38"/>
    <x v="11"/>
    <x v="0"/>
    <x v="16"/>
    <x v="0"/>
    <x v="53"/>
    <x v="124"/>
  </r>
  <r>
    <x v="707"/>
    <x v="5"/>
    <x v="5"/>
    <x v="10"/>
    <x v="4"/>
    <x v="1"/>
    <x v="22"/>
    <x v="5"/>
    <x v="26"/>
    <x v="30"/>
    <x v="10"/>
    <x v="35"/>
    <x v="0"/>
    <x v="220"/>
  </r>
  <r>
    <x v="708"/>
    <x v="5"/>
    <x v="5"/>
    <x v="26"/>
    <x v="17"/>
    <x v="16"/>
    <x v="13"/>
    <x v="0"/>
    <x v="26"/>
    <x v="29"/>
    <x v="31"/>
    <x v="25"/>
    <x v="37"/>
    <x v="94"/>
  </r>
  <r>
    <x v="709"/>
    <x v="5"/>
    <x v="5"/>
    <x v="7"/>
    <x v="27"/>
    <x v="10"/>
    <x v="0"/>
    <x v="15"/>
    <x v="0"/>
    <x v="36"/>
    <x v="16"/>
    <x v="1"/>
    <x v="27"/>
    <x v="83"/>
  </r>
  <r>
    <x v="710"/>
    <x v="5"/>
    <x v="5"/>
    <x v="2"/>
    <x v="10"/>
    <x v="1"/>
    <x v="7"/>
    <x v="6"/>
    <x v="39"/>
    <x v="2"/>
    <x v="1"/>
    <x v="2"/>
    <x v="38"/>
    <x v="89"/>
  </r>
  <r>
    <x v="711"/>
    <x v="5"/>
    <x v="5"/>
    <x v="2"/>
    <x v="20"/>
    <x v="9"/>
    <x v="22"/>
    <x v="17"/>
    <x v="30"/>
    <x v="29"/>
    <x v="15"/>
    <x v="18"/>
    <x v="12"/>
    <x v="15"/>
  </r>
  <r>
    <x v="712"/>
    <x v="5"/>
    <x v="5"/>
    <x v="5"/>
    <x v="6"/>
    <x v="17"/>
    <x v="6"/>
    <x v="13"/>
    <x v="22"/>
    <x v="40"/>
    <x v="16"/>
    <x v="32"/>
    <x v="34"/>
    <x v="213"/>
  </r>
  <r>
    <x v="713"/>
    <x v="5"/>
    <x v="5"/>
    <x v="6"/>
    <x v="0"/>
    <x v="2"/>
    <x v="10"/>
    <x v="24"/>
    <x v="24"/>
    <x v="5"/>
    <x v="0"/>
    <x v="41"/>
    <x v="18"/>
    <x v="77"/>
  </r>
  <r>
    <x v="714"/>
    <x v="5"/>
    <x v="5"/>
    <x v="19"/>
    <x v="24"/>
    <x v="20"/>
    <x v="19"/>
    <x v="25"/>
    <x v="8"/>
    <x v="4"/>
    <x v="1"/>
    <x v="27"/>
    <x v="36"/>
    <x v="95"/>
  </r>
  <r>
    <x v="715"/>
    <x v="5"/>
    <x v="5"/>
    <x v="9"/>
    <x v="3"/>
    <x v="14"/>
    <x v="6"/>
    <x v="29"/>
    <x v="33"/>
    <x v="25"/>
    <x v="3"/>
    <x v="2"/>
    <x v="49"/>
    <x v="84"/>
  </r>
  <r>
    <x v="716"/>
    <x v="5"/>
    <x v="5"/>
    <x v="10"/>
    <x v="9"/>
    <x v="20"/>
    <x v="7"/>
    <x v="28"/>
    <x v="13"/>
    <x v="12"/>
    <x v="3"/>
    <x v="0"/>
    <x v="8"/>
    <x v="74"/>
  </r>
  <r>
    <x v="717"/>
    <x v="5"/>
    <x v="5"/>
    <x v="6"/>
    <x v="17"/>
    <x v="24"/>
    <x v="0"/>
    <x v="29"/>
    <x v="0"/>
    <x v="30"/>
    <x v="1"/>
    <x v="24"/>
    <x v="25"/>
    <x v="207"/>
  </r>
  <r>
    <x v="718"/>
    <x v="5"/>
    <x v="5"/>
    <x v="7"/>
    <x v="8"/>
    <x v="2"/>
    <x v="12"/>
    <x v="26"/>
    <x v="28"/>
    <x v="56"/>
    <x v="37"/>
    <x v="31"/>
    <x v="2"/>
    <x v="63"/>
  </r>
  <r>
    <x v="719"/>
    <x v="5"/>
    <x v="5"/>
    <x v="18"/>
    <x v="20"/>
    <x v="11"/>
    <x v="22"/>
    <x v="18"/>
    <x v="28"/>
    <x v="17"/>
    <x v="14"/>
    <x v="32"/>
    <x v="38"/>
    <x v="41"/>
  </r>
  <r>
    <x v="720"/>
    <x v="5"/>
    <x v="5"/>
    <x v="2"/>
    <x v="2"/>
    <x v="13"/>
    <x v="0"/>
    <x v="13"/>
    <x v="35"/>
    <x v="27"/>
    <x v="3"/>
    <x v="5"/>
    <x v="25"/>
    <x v="76"/>
  </r>
  <r>
    <x v="721"/>
    <x v="5"/>
    <x v="5"/>
    <x v="5"/>
    <x v="8"/>
    <x v="23"/>
    <x v="14"/>
    <x v="28"/>
    <x v="26"/>
    <x v="10"/>
    <x v="24"/>
    <x v="45"/>
    <x v="27"/>
    <x v="26"/>
  </r>
  <r>
    <x v="722"/>
    <x v="5"/>
    <x v="5"/>
    <x v="13"/>
    <x v="9"/>
    <x v="15"/>
    <x v="22"/>
    <x v="38"/>
    <x v="28"/>
    <x v="27"/>
    <x v="24"/>
    <x v="20"/>
    <x v="2"/>
    <x v="86"/>
  </r>
  <r>
    <x v="723"/>
    <x v="5"/>
    <x v="5"/>
    <x v="19"/>
    <x v="17"/>
    <x v="16"/>
    <x v="22"/>
    <x v="24"/>
    <x v="8"/>
    <x v="5"/>
    <x v="24"/>
    <x v="26"/>
    <x v="30"/>
    <x v="84"/>
  </r>
  <r>
    <x v="724"/>
    <x v="5"/>
    <x v="5"/>
    <x v="12"/>
    <x v="5"/>
    <x v="13"/>
    <x v="19"/>
    <x v="24"/>
    <x v="14"/>
    <x v="12"/>
    <x v="2"/>
    <x v="48"/>
    <x v="37"/>
    <x v="103"/>
  </r>
  <r>
    <x v="725"/>
    <x v="5"/>
    <x v="5"/>
    <x v="27"/>
    <x v="3"/>
    <x v="26"/>
    <x v="0"/>
    <x v="29"/>
    <x v="24"/>
    <x v="19"/>
    <x v="19"/>
    <x v="27"/>
    <x v="27"/>
    <x v="48"/>
  </r>
  <r>
    <x v="726"/>
    <x v="5"/>
    <x v="5"/>
    <x v="3"/>
    <x v="7"/>
    <x v="14"/>
    <x v="22"/>
    <x v="29"/>
    <x v="3"/>
    <x v="27"/>
    <x v="10"/>
    <x v="39"/>
    <x v="18"/>
    <x v="7"/>
  </r>
  <r>
    <x v="727"/>
    <x v="5"/>
    <x v="5"/>
    <x v="16"/>
    <x v="9"/>
    <x v="15"/>
    <x v="16"/>
    <x v="20"/>
    <x v="28"/>
    <x v="35"/>
    <x v="23"/>
    <x v="20"/>
    <x v="8"/>
    <x v="166"/>
  </r>
  <r>
    <x v="728"/>
    <x v="5"/>
    <x v="5"/>
    <x v="12"/>
    <x v="3"/>
    <x v="19"/>
    <x v="2"/>
    <x v="3"/>
    <x v="30"/>
    <x v="6"/>
    <x v="14"/>
    <x v="40"/>
    <x v="38"/>
    <x v="55"/>
  </r>
  <r>
    <x v="729"/>
    <x v="0"/>
    <x v="0"/>
    <x v="8"/>
    <x v="22"/>
    <x v="13"/>
    <x v="1"/>
    <x v="15"/>
    <x v="28"/>
    <x v="3"/>
    <x v="9"/>
    <x v="35"/>
    <x v="50"/>
    <x v="78"/>
  </r>
  <r>
    <x v="730"/>
    <x v="0"/>
    <x v="0"/>
    <x v="8"/>
    <x v="1"/>
    <x v="11"/>
    <x v="24"/>
    <x v="31"/>
    <x v="3"/>
    <x v="2"/>
    <x v="9"/>
    <x v="27"/>
    <x v="42"/>
    <x v="203"/>
  </r>
  <r>
    <x v="731"/>
    <x v="0"/>
    <x v="0"/>
    <x v="22"/>
    <x v="24"/>
    <x v="2"/>
    <x v="6"/>
    <x v="35"/>
    <x v="7"/>
    <x v="0"/>
    <x v="12"/>
    <x v="41"/>
    <x v="26"/>
    <x v="40"/>
  </r>
  <r>
    <x v="732"/>
    <x v="0"/>
    <x v="0"/>
    <x v="11"/>
    <x v="9"/>
    <x v="6"/>
    <x v="16"/>
    <x v="30"/>
    <x v="26"/>
    <x v="43"/>
    <x v="16"/>
    <x v="5"/>
    <x v="33"/>
    <x v="132"/>
  </r>
  <r>
    <x v="733"/>
    <x v="0"/>
    <x v="0"/>
    <x v="17"/>
    <x v="14"/>
    <x v="17"/>
    <x v="18"/>
    <x v="1"/>
    <x v="17"/>
    <x v="11"/>
    <x v="40"/>
    <x v="53"/>
    <x v="25"/>
    <x v="175"/>
  </r>
  <r>
    <x v="734"/>
    <x v="0"/>
    <x v="0"/>
    <x v="0"/>
    <x v="39"/>
    <x v="33"/>
    <x v="3"/>
    <x v="22"/>
    <x v="48"/>
    <x v="29"/>
    <x v="21"/>
    <x v="9"/>
    <x v="3"/>
    <x v="158"/>
  </r>
  <r>
    <x v="735"/>
    <x v="0"/>
    <x v="0"/>
    <x v="17"/>
    <x v="5"/>
    <x v="19"/>
    <x v="8"/>
    <x v="16"/>
    <x v="8"/>
    <x v="2"/>
    <x v="10"/>
    <x v="28"/>
    <x v="25"/>
    <x v="39"/>
  </r>
  <r>
    <x v="736"/>
    <x v="0"/>
    <x v="0"/>
    <x v="22"/>
    <x v="16"/>
    <x v="6"/>
    <x v="15"/>
    <x v="11"/>
    <x v="12"/>
    <x v="5"/>
    <x v="29"/>
    <x v="2"/>
    <x v="0"/>
    <x v="128"/>
  </r>
  <r>
    <x v="737"/>
    <x v="0"/>
    <x v="0"/>
    <x v="6"/>
    <x v="26"/>
    <x v="35"/>
    <x v="25"/>
    <x v="10"/>
    <x v="16"/>
    <x v="9"/>
    <x v="18"/>
    <x v="30"/>
    <x v="16"/>
    <x v="173"/>
  </r>
  <r>
    <x v="738"/>
    <x v="0"/>
    <x v="0"/>
    <x v="21"/>
    <x v="24"/>
    <x v="33"/>
    <x v="12"/>
    <x v="19"/>
    <x v="5"/>
    <x v="31"/>
    <x v="15"/>
    <x v="45"/>
    <x v="1"/>
    <x v="67"/>
  </r>
  <r>
    <x v="739"/>
    <x v="0"/>
    <x v="0"/>
    <x v="22"/>
    <x v="22"/>
    <x v="11"/>
    <x v="12"/>
    <x v="30"/>
    <x v="15"/>
    <x v="19"/>
    <x v="3"/>
    <x v="26"/>
    <x v="38"/>
    <x v="44"/>
  </r>
  <r>
    <x v="740"/>
    <x v="0"/>
    <x v="0"/>
    <x v="17"/>
    <x v="9"/>
    <x v="12"/>
    <x v="5"/>
    <x v="10"/>
    <x v="4"/>
    <x v="40"/>
    <x v="37"/>
    <x v="17"/>
    <x v="5"/>
    <x v="130"/>
  </r>
  <r>
    <x v="741"/>
    <x v="0"/>
    <x v="0"/>
    <x v="11"/>
    <x v="26"/>
    <x v="23"/>
    <x v="19"/>
    <x v="8"/>
    <x v="21"/>
    <x v="0"/>
    <x v="29"/>
    <x v="23"/>
    <x v="7"/>
    <x v="36"/>
  </r>
  <r>
    <x v="742"/>
    <x v="0"/>
    <x v="0"/>
    <x v="3"/>
    <x v="24"/>
    <x v="8"/>
    <x v="2"/>
    <x v="10"/>
    <x v="31"/>
    <x v="10"/>
    <x v="0"/>
    <x v="30"/>
    <x v="42"/>
    <x v="10"/>
  </r>
  <r>
    <x v="743"/>
    <x v="0"/>
    <x v="0"/>
    <x v="29"/>
    <x v="5"/>
    <x v="21"/>
    <x v="2"/>
    <x v="5"/>
    <x v="10"/>
    <x v="8"/>
    <x v="37"/>
    <x v="25"/>
    <x v="22"/>
    <x v="203"/>
  </r>
  <r>
    <x v="744"/>
    <x v="0"/>
    <x v="0"/>
    <x v="2"/>
    <x v="22"/>
    <x v="25"/>
    <x v="19"/>
    <x v="1"/>
    <x v="10"/>
    <x v="27"/>
    <x v="15"/>
    <x v="24"/>
    <x v="29"/>
    <x v="2"/>
  </r>
  <r>
    <x v="745"/>
    <x v="0"/>
    <x v="0"/>
    <x v="21"/>
    <x v="38"/>
    <x v="25"/>
    <x v="11"/>
    <x v="5"/>
    <x v="1"/>
    <x v="1"/>
    <x v="52"/>
    <x v="22"/>
    <x v="44"/>
    <x v="177"/>
  </r>
  <r>
    <x v="746"/>
    <x v="0"/>
    <x v="0"/>
    <x v="5"/>
    <x v="15"/>
    <x v="22"/>
    <x v="16"/>
    <x v="30"/>
    <x v="1"/>
    <x v="53"/>
    <x v="5"/>
    <x v="32"/>
    <x v="18"/>
    <x v="27"/>
  </r>
  <r>
    <x v="747"/>
    <x v="0"/>
    <x v="0"/>
    <x v="22"/>
    <x v="5"/>
    <x v="23"/>
    <x v="12"/>
    <x v="1"/>
    <x v="8"/>
    <x v="0"/>
    <x v="23"/>
    <x v="26"/>
    <x v="14"/>
    <x v="128"/>
  </r>
  <r>
    <x v="748"/>
    <x v="0"/>
    <x v="0"/>
    <x v="11"/>
    <x v="25"/>
    <x v="35"/>
    <x v="24"/>
    <x v="29"/>
    <x v="0"/>
    <x v="57"/>
    <x v="0"/>
    <x v="3"/>
    <x v="5"/>
    <x v="27"/>
  </r>
  <r>
    <x v="749"/>
    <x v="0"/>
    <x v="0"/>
    <x v="2"/>
    <x v="39"/>
    <x v="23"/>
    <x v="35"/>
    <x v="33"/>
    <x v="8"/>
    <x v="34"/>
    <x v="10"/>
    <x v="37"/>
    <x v="57"/>
    <x v="146"/>
  </r>
  <r>
    <x v="750"/>
    <x v="0"/>
    <x v="0"/>
    <x v="3"/>
    <x v="17"/>
    <x v="22"/>
    <x v="18"/>
    <x v="18"/>
    <x v="14"/>
    <x v="1"/>
    <x v="0"/>
    <x v="16"/>
    <x v="35"/>
    <x v="40"/>
  </r>
  <r>
    <x v="751"/>
    <x v="0"/>
    <x v="0"/>
    <x v="2"/>
    <x v="16"/>
    <x v="2"/>
    <x v="2"/>
    <x v="16"/>
    <x v="2"/>
    <x v="9"/>
    <x v="20"/>
    <x v="49"/>
    <x v="20"/>
    <x v="4"/>
  </r>
  <r>
    <x v="752"/>
    <x v="0"/>
    <x v="0"/>
    <x v="17"/>
    <x v="3"/>
    <x v="33"/>
    <x v="15"/>
    <x v="10"/>
    <x v="7"/>
    <x v="2"/>
    <x v="37"/>
    <x v="16"/>
    <x v="25"/>
    <x v="65"/>
  </r>
  <r>
    <x v="753"/>
    <x v="0"/>
    <x v="0"/>
    <x v="2"/>
    <x v="8"/>
    <x v="18"/>
    <x v="23"/>
    <x v="27"/>
    <x v="9"/>
    <x v="34"/>
    <x v="10"/>
    <x v="18"/>
    <x v="5"/>
    <x v="201"/>
  </r>
  <r>
    <x v="754"/>
    <x v="0"/>
    <x v="0"/>
    <x v="23"/>
    <x v="1"/>
    <x v="6"/>
    <x v="15"/>
    <x v="11"/>
    <x v="26"/>
    <x v="43"/>
    <x v="0"/>
    <x v="16"/>
    <x v="0"/>
    <x v="134"/>
  </r>
  <r>
    <x v="755"/>
    <x v="0"/>
    <x v="0"/>
    <x v="2"/>
    <x v="8"/>
    <x v="22"/>
    <x v="0"/>
    <x v="15"/>
    <x v="30"/>
    <x v="32"/>
    <x v="29"/>
    <x v="34"/>
    <x v="10"/>
    <x v="145"/>
  </r>
  <r>
    <x v="756"/>
    <x v="0"/>
    <x v="0"/>
    <x v="2"/>
    <x v="26"/>
    <x v="21"/>
    <x v="34"/>
    <x v="5"/>
    <x v="19"/>
    <x v="1"/>
    <x v="28"/>
    <x v="34"/>
    <x v="71"/>
    <x v="4"/>
  </r>
  <r>
    <x v="757"/>
    <x v="0"/>
    <x v="0"/>
    <x v="17"/>
    <x v="39"/>
    <x v="2"/>
    <x v="21"/>
    <x v="1"/>
    <x v="4"/>
    <x v="50"/>
    <x v="5"/>
    <x v="27"/>
    <x v="6"/>
    <x v="136"/>
  </r>
  <r>
    <x v="758"/>
    <x v="0"/>
    <x v="0"/>
    <x v="4"/>
    <x v="7"/>
    <x v="11"/>
    <x v="8"/>
    <x v="19"/>
    <x v="15"/>
    <x v="11"/>
    <x v="32"/>
    <x v="31"/>
    <x v="29"/>
    <x v="134"/>
  </r>
  <r>
    <x v="759"/>
    <x v="0"/>
    <x v="0"/>
    <x v="21"/>
    <x v="24"/>
    <x v="10"/>
    <x v="25"/>
    <x v="12"/>
    <x v="44"/>
    <x v="2"/>
    <x v="19"/>
    <x v="19"/>
    <x v="48"/>
    <x v="126"/>
  </r>
  <r>
    <x v="760"/>
    <x v="0"/>
    <x v="0"/>
    <x v="3"/>
    <x v="15"/>
    <x v="23"/>
    <x v="13"/>
    <x v="1"/>
    <x v="25"/>
    <x v="1"/>
    <x v="3"/>
    <x v="25"/>
    <x v="42"/>
    <x v="132"/>
  </r>
  <r>
    <x v="761"/>
    <x v="0"/>
    <x v="0"/>
    <x v="13"/>
    <x v="9"/>
    <x v="6"/>
    <x v="16"/>
    <x v="15"/>
    <x v="2"/>
    <x v="14"/>
    <x v="21"/>
    <x v="24"/>
    <x v="14"/>
    <x v="137"/>
  </r>
  <r>
    <x v="762"/>
    <x v="0"/>
    <x v="0"/>
    <x v="11"/>
    <x v="6"/>
    <x v="17"/>
    <x v="16"/>
    <x v="8"/>
    <x v="0"/>
    <x v="28"/>
    <x v="8"/>
    <x v="23"/>
    <x v="25"/>
    <x v="4"/>
  </r>
  <r>
    <x v="763"/>
    <x v="0"/>
    <x v="0"/>
    <x v="29"/>
    <x v="1"/>
    <x v="13"/>
    <x v="38"/>
    <x v="25"/>
    <x v="33"/>
    <x v="10"/>
    <x v="20"/>
    <x v="46"/>
    <x v="32"/>
    <x v="130"/>
  </r>
  <r>
    <x v="764"/>
    <x v="0"/>
    <x v="0"/>
    <x v="3"/>
    <x v="39"/>
    <x v="16"/>
    <x v="35"/>
    <x v="27"/>
    <x v="33"/>
    <x v="19"/>
    <x v="36"/>
    <x v="5"/>
    <x v="6"/>
    <x v="71"/>
  </r>
  <r>
    <x v="765"/>
    <x v="0"/>
    <x v="0"/>
    <x v="30"/>
    <x v="3"/>
    <x v="6"/>
    <x v="35"/>
    <x v="1"/>
    <x v="12"/>
    <x v="0"/>
    <x v="3"/>
    <x v="24"/>
    <x v="59"/>
    <x v="204"/>
  </r>
  <r>
    <x v="766"/>
    <x v="0"/>
    <x v="0"/>
    <x v="4"/>
    <x v="16"/>
    <x v="14"/>
    <x v="16"/>
    <x v="1"/>
    <x v="8"/>
    <x v="40"/>
    <x v="38"/>
    <x v="20"/>
    <x v="39"/>
    <x v="25"/>
  </r>
  <r>
    <x v="767"/>
    <x v="0"/>
    <x v="0"/>
    <x v="4"/>
    <x v="22"/>
    <x v="23"/>
    <x v="2"/>
    <x v="6"/>
    <x v="0"/>
    <x v="22"/>
    <x v="12"/>
    <x v="13"/>
    <x v="14"/>
    <x v="130"/>
  </r>
  <r>
    <x v="768"/>
    <x v="0"/>
    <x v="0"/>
    <x v="9"/>
    <x v="22"/>
    <x v="15"/>
    <x v="1"/>
    <x v="16"/>
    <x v="7"/>
    <x v="29"/>
    <x v="24"/>
    <x v="33"/>
    <x v="21"/>
    <x v="163"/>
  </r>
  <r>
    <x v="769"/>
    <x v="0"/>
    <x v="0"/>
    <x v="23"/>
    <x v="14"/>
    <x v="2"/>
    <x v="3"/>
    <x v="26"/>
    <x v="10"/>
    <x v="42"/>
    <x v="37"/>
    <x v="29"/>
    <x v="22"/>
    <x v="68"/>
  </r>
  <r>
    <x v="770"/>
    <x v="0"/>
    <x v="0"/>
    <x v="22"/>
    <x v="39"/>
    <x v="22"/>
    <x v="13"/>
    <x v="5"/>
    <x v="8"/>
    <x v="8"/>
    <x v="29"/>
    <x v="26"/>
    <x v="44"/>
    <x v="143"/>
  </r>
  <r>
    <x v="771"/>
    <x v="0"/>
    <x v="0"/>
    <x v="30"/>
    <x v="6"/>
    <x v="35"/>
    <x v="5"/>
    <x v="16"/>
    <x v="29"/>
    <x v="1"/>
    <x v="24"/>
    <x v="11"/>
    <x v="25"/>
    <x v="162"/>
  </r>
  <r>
    <x v="772"/>
    <x v="0"/>
    <x v="0"/>
    <x v="17"/>
    <x v="16"/>
    <x v="11"/>
    <x v="18"/>
    <x v="37"/>
    <x v="17"/>
    <x v="32"/>
    <x v="41"/>
    <x v="11"/>
    <x v="9"/>
    <x v="148"/>
  </r>
  <r>
    <x v="773"/>
    <x v="0"/>
    <x v="0"/>
    <x v="9"/>
    <x v="7"/>
    <x v="5"/>
    <x v="4"/>
    <x v="10"/>
    <x v="17"/>
    <x v="34"/>
    <x v="13"/>
    <x v="4"/>
    <x v="25"/>
    <x v="2"/>
  </r>
  <r>
    <x v="774"/>
    <x v="0"/>
    <x v="0"/>
    <x v="12"/>
    <x v="15"/>
    <x v="21"/>
    <x v="10"/>
    <x v="7"/>
    <x v="4"/>
    <x v="28"/>
    <x v="7"/>
    <x v="23"/>
    <x v="30"/>
    <x v="97"/>
  </r>
  <r>
    <x v="775"/>
    <x v="0"/>
    <x v="0"/>
    <x v="7"/>
    <x v="15"/>
    <x v="7"/>
    <x v="12"/>
    <x v="5"/>
    <x v="9"/>
    <x v="8"/>
    <x v="19"/>
    <x v="1"/>
    <x v="8"/>
    <x v="93"/>
  </r>
  <r>
    <x v="776"/>
    <x v="0"/>
    <x v="0"/>
    <x v="17"/>
    <x v="24"/>
    <x v="11"/>
    <x v="1"/>
    <x v="37"/>
    <x v="18"/>
    <x v="7"/>
    <x v="30"/>
    <x v="1"/>
    <x v="15"/>
    <x v="135"/>
  </r>
  <r>
    <x v="777"/>
    <x v="0"/>
    <x v="0"/>
    <x v="23"/>
    <x v="31"/>
    <x v="13"/>
    <x v="0"/>
    <x v="24"/>
    <x v="27"/>
    <x v="29"/>
    <x v="14"/>
    <x v="7"/>
    <x v="0"/>
    <x v="57"/>
  </r>
  <r>
    <x v="778"/>
    <x v="0"/>
    <x v="0"/>
    <x v="32"/>
    <x v="20"/>
    <x v="32"/>
    <x v="13"/>
    <x v="28"/>
    <x v="33"/>
    <x v="17"/>
    <x v="5"/>
    <x v="26"/>
    <x v="42"/>
    <x v="150"/>
  </r>
  <r>
    <x v="779"/>
    <x v="0"/>
    <x v="0"/>
    <x v="17"/>
    <x v="7"/>
    <x v="26"/>
    <x v="2"/>
    <x v="4"/>
    <x v="15"/>
    <x v="34"/>
    <x v="49"/>
    <x v="23"/>
    <x v="60"/>
    <x v="148"/>
  </r>
  <r>
    <x v="780"/>
    <x v="0"/>
    <x v="0"/>
    <x v="23"/>
    <x v="24"/>
    <x v="11"/>
    <x v="5"/>
    <x v="22"/>
    <x v="14"/>
    <x v="5"/>
    <x v="28"/>
    <x v="24"/>
    <x v="32"/>
    <x v="145"/>
  </r>
  <r>
    <x v="781"/>
    <x v="0"/>
    <x v="0"/>
    <x v="23"/>
    <x v="24"/>
    <x v="12"/>
    <x v="24"/>
    <x v="27"/>
    <x v="14"/>
    <x v="0"/>
    <x v="18"/>
    <x v="27"/>
    <x v="6"/>
    <x v="49"/>
  </r>
  <r>
    <x v="782"/>
    <x v="0"/>
    <x v="0"/>
    <x v="10"/>
    <x v="21"/>
    <x v="11"/>
    <x v="2"/>
    <x v="1"/>
    <x v="13"/>
    <x v="29"/>
    <x v="26"/>
    <x v="5"/>
    <x v="21"/>
    <x v="75"/>
  </r>
  <r>
    <x v="783"/>
    <x v="0"/>
    <x v="0"/>
    <x v="0"/>
    <x v="5"/>
    <x v="16"/>
    <x v="2"/>
    <x v="20"/>
    <x v="11"/>
    <x v="17"/>
    <x v="32"/>
    <x v="30"/>
    <x v="47"/>
    <x v="221"/>
  </r>
  <r>
    <x v="784"/>
    <x v="0"/>
    <x v="0"/>
    <x v="23"/>
    <x v="24"/>
    <x v="21"/>
    <x v="13"/>
    <x v="5"/>
    <x v="15"/>
    <x v="22"/>
    <x v="8"/>
    <x v="41"/>
    <x v="28"/>
    <x v="139"/>
  </r>
  <r>
    <x v="785"/>
    <x v="0"/>
    <x v="0"/>
    <x v="22"/>
    <x v="24"/>
    <x v="22"/>
    <x v="23"/>
    <x v="47"/>
    <x v="3"/>
    <x v="8"/>
    <x v="8"/>
    <x v="11"/>
    <x v="37"/>
    <x v="70"/>
  </r>
  <r>
    <x v="786"/>
    <x v="0"/>
    <x v="0"/>
    <x v="9"/>
    <x v="10"/>
    <x v="2"/>
    <x v="4"/>
    <x v="5"/>
    <x v="10"/>
    <x v="2"/>
    <x v="43"/>
    <x v="9"/>
    <x v="26"/>
    <x v="10"/>
  </r>
  <r>
    <x v="787"/>
    <x v="0"/>
    <x v="0"/>
    <x v="0"/>
    <x v="17"/>
    <x v="18"/>
    <x v="20"/>
    <x v="10"/>
    <x v="23"/>
    <x v="0"/>
    <x v="38"/>
    <x v="27"/>
    <x v="15"/>
    <x v="221"/>
  </r>
  <r>
    <x v="788"/>
    <x v="0"/>
    <x v="0"/>
    <x v="19"/>
    <x v="15"/>
    <x v="12"/>
    <x v="4"/>
    <x v="16"/>
    <x v="33"/>
    <x v="8"/>
    <x v="9"/>
    <x v="19"/>
    <x v="2"/>
    <x v="191"/>
  </r>
  <r>
    <x v="789"/>
    <x v="0"/>
    <x v="0"/>
    <x v="11"/>
    <x v="6"/>
    <x v="5"/>
    <x v="15"/>
    <x v="19"/>
    <x v="9"/>
    <x v="20"/>
    <x v="28"/>
    <x v="23"/>
    <x v="32"/>
    <x v="127"/>
  </r>
  <r>
    <x v="790"/>
    <x v="0"/>
    <x v="0"/>
    <x v="17"/>
    <x v="25"/>
    <x v="18"/>
    <x v="18"/>
    <x v="19"/>
    <x v="38"/>
    <x v="6"/>
    <x v="23"/>
    <x v="46"/>
    <x v="10"/>
    <x v="70"/>
  </r>
  <r>
    <x v="791"/>
    <x v="0"/>
    <x v="0"/>
    <x v="9"/>
    <x v="15"/>
    <x v="15"/>
    <x v="10"/>
    <x v="3"/>
    <x v="15"/>
    <x v="39"/>
    <x v="24"/>
    <x v="32"/>
    <x v="14"/>
    <x v="66"/>
  </r>
  <r>
    <x v="792"/>
    <x v="0"/>
    <x v="0"/>
    <x v="8"/>
    <x v="36"/>
    <x v="33"/>
    <x v="34"/>
    <x v="22"/>
    <x v="30"/>
    <x v="20"/>
    <x v="18"/>
    <x v="31"/>
    <x v="37"/>
    <x v="142"/>
  </r>
  <r>
    <x v="793"/>
    <x v="0"/>
    <x v="0"/>
    <x v="11"/>
    <x v="16"/>
    <x v="17"/>
    <x v="2"/>
    <x v="13"/>
    <x v="10"/>
    <x v="17"/>
    <x v="4"/>
    <x v="4"/>
    <x v="60"/>
    <x v="36"/>
  </r>
  <r>
    <x v="794"/>
    <x v="0"/>
    <x v="0"/>
    <x v="8"/>
    <x v="12"/>
    <x v="5"/>
    <x v="4"/>
    <x v="15"/>
    <x v="9"/>
    <x v="9"/>
    <x v="24"/>
    <x v="7"/>
    <x v="47"/>
    <x v="164"/>
  </r>
  <r>
    <x v="795"/>
    <x v="0"/>
    <x v="0"/>
    <x v="19"/>
    <x v="22"/>
    <x v="10"/>
    <x v="23"/>
    <x v="25"/>
    <x v="0"/>
    <x v="11"/>
    <x v="27"/>
    <x v="20"/>
    <x v="18"/>
    <x v="49"/>
  </r>
  <r>
    <x v="796"/>
    <x v="0"/>
    <x v="0"/>
    <x v="3"/>
    <x v="14"/>
    <x v="10"/>
    <x v="3"/>
    <x v="12"/>
    <x v="7"/>
    <x v="10"/>
    <x v="24"/>
    <x v="40"/>
    <x v="2"/>
    <x v="39"/>
  </r>
  <r>
    <x v="797"/>
    <x v="0"/>
    <x v="0"/>
    <x v="8"/>
    <x v="14"/>
    <x v="2"/>
    <x v="5"/>
    <x v="10"/>
    <x v="30"/>
    <x v="17"/>
    <x v="15"/>
    <x v="25"/>
    <x v="44"/>
    <x v="161"/>
  </r>
  <r>
    <x v="798"/>
    <x v="0"/>
    <x v="0"/>
    <x v="22"/>
    <x v="1"/>
    <x v="3"/>
    <x v="5"/>
    <x v="50"/>
    <x v="35"/>
    <x v="11"/>
    <x v="45"/>
    <x v="39"/>
    <x v="38"/>
    <x v="42"/>
  </r>
  <r>
    <x v="799"/>
    <x v="0"/>
    <x v="0"/>
    <x v="30"/>
    <x v="9"/>
    <x v="5"/>
    <x v="2"/>
    <x v="30"/>
    <x v="7"/>
    <x v="42"/>
    <x v="6"/>
    <x v="50"/>
    <x v="7"/>
    <x v="31"/>
  </r>
  <r>
    <x v="800"/>
    <x v="0"/>
    <x v="0"/>
    <x v="3"/>
    <x v="1"/>
    <x v="6"/>
    <x v="8"/>
    <x v="1"/>
    <x v="12"/>
    <x v="16"/>
    <x v="7"/>
    <x v="17"/>
    <x v="17"/>
    <x v="20"/>
  </r>
  <r>
    <x v="801"/>
    <x v="0"/>
    <x v="0"/>
    <x v="21"/>
    <x v="16"/>
    <x v="6"/>
    <x v="20"/>
    <x v="11"/>
    <x v="10"/>
    <x v="34"/>
    <x v="37"/>
    <x v="22"/>
    <x v="25"/>
    <x v="173"/>
  </r>
  <r>
    <x v="802"/>
    <x v="0"/>
    <x v="0"/>
    <x v="17"/>
    <x v="24"/>
    <x v="25"/>
    <x v="3"/>
    <x v="26"/>
    <x v="7"/>
    <x v="2"/>
    <x v="41"/>
    <x v="17"/>
    <x v="4"/>
    <x v="58"/>
  </r>
  <r>
    <x v="803"/>
    <x v="0"/>
    <x v="0"/>
    <x v="9"/>
    <x v="6"/>
    <x v="33"/>
    <x v="4"/>
    <x v="6"/>
    <x v="0"/>
    <x v="5"/>
    <x v="21"/>
    <x v="13"/>
    <x v="7"/>
    <x v="32"/>
  </r>
  <r>
    <x v="804"/>
    <x v="0"/>
    <x v="0"/>
    <x v="11"/>
    <x v="4"/>
    <x v="25"/>
    <x v="5"/>
    <x v="30"/>
    <x v="7"/>
    <x v="17"/>
    <x v="19"/>
    <x v="11"/>
    <x v="50"/>
    <x v="75"/>
  </r>
  <r>
    <x v="805"/>
    <x v="0"/>
    <x v="0"/>
    <x v="6"/>
    <x v="16"/>
    <x v="33"/>
    <x v="3"/>
    <x v="10"/>
    <x v="5"/>
    <x v="25"/>
    <x v="37"/>
    <x v="32"/>
    <x v="8"/>
    <x v="162"/>
  </r>
  <r>
    <x v="806"/>
    <x v="0"/>
    <x v="0"/>
    <x v="6"/>
    <x v="1"/>
    <x v="11"/>
    <x v="13"/>
    <x v="12"/>
    <x v="8"/>
    <x v="34"/>
    <x v="3"/>
    <x v="40"/>
    <x v="18"/>
    <x v="96"/>
  </r>
  <r>
    <x v="807"/>
    <x v="0"/>
    <x v="0"/>
    <x v="3"/>
    <x v="29"/>
    <x v="10"/>
    <x v="19"/>
    <x v="10"/>
    <x v="8"/>
    <x v="40"/>
    <x v="18"/>
    <x v="27"/>
    <x v="72"/>
    <x v="198"/>
  </r>
  <r>
    <x v="808"/>
    <x v="0"/>
    <x v="0"/>
    <x v="11"/>
    <x v="7"/>
    <x v="10"/>
    <x v="14"/>
    <x v="23"/>
    <x v="12"/>
    <x v="11"/>
    <x v="15"/>
    <x v="33"/>
    <x v="59"/>
    <x v="65"/>
  </r>
  <r>
    <x v="809"/>
    <x v="0"/>
    <x v="0"/>
    <x v="12"/>
    <x v="5"/>
    <x v="12"/>
    <x v="15"/>
    <x v="8"/>
    <x v="1"/>
    <x v="10"/>
    <x v="28"/>
    <x v="4"/>
    <x v="38"/>
    <x v="31"/>
  </r>
  <r>
    <x v="810"/>
    <x v="0"/>
    <x v="0"/>
    <x v="30"/>
    <x v="25"/>
    <x v="13"/>
    <x v="0"/>
    <x v="12"/>
    <x v="8"/>
    <x v="5"/>
    <x v="8"/>
    <x v="26"/>
    <x v="5"/>
    <x v="137"/>
  </r>
  <r>
    <x v="811"/>
    <x v="0"/>
    <x v="0"/>
    <x v="17"/>
    <x v="24"/>
    <x v="19"/>
    <x v="12"/>
    <x v="0"/>
    <x v="4"/>
    <x v="25"/>
    <x v="14"/>
    <x v="7"/>
    <x v="18"/>
    <x v="67"/>
  </r>
  <r>
    <x v="812"/>
    <x v="0"/>
    <x v="0"/>
    <x v="2"/>
    <x v="39"/>
    <x v="15"/>
    <x v="1"/>
    <x v="15"/>
    <x v="39"/>
    <x v="8"/>
    <x v="10"/>
    <x v="23"/>
    <x v="18"/>
    <x v="139"/>
  </r>
  <r>
    <x v="813"/>
    <x v="0"/>
    <x v="0"/>
    <x v="21"/>
    <x v="22"/>
    <x v="12"/>
    <x v="23"/>
    <x v="1"/>
    <x v="33"/>
    <x v="19"/>
    <x v="28"/>
    <x v="49"/>
    <x v="32"/>
    <x v="91"/>
  </r>
  <r>
    <x v="814"/>
    <x v="0"/>
    <x v="0"/>
    <x v="11"/>
    <x v="22"/>
    <x v="10"/>
    <x v="23"/>
    <x v="21"/>
    <x v="3"/>
    <x v="39"/>
    <x v="5"/>
    <x v="2"/>
    <x v="10"/>
    <x v="129"/>
  </r>
  <r>
    <x v="815"/>
    <x v="0"/>
    <x v="0"/>
    <x v="2"/>
    <x v="7"/>
    <x v="18"/>
    <x v="23"/>
    <x v="3"/>
    <x v="0"/>
    <x v="9"/>
    <x v="16"/>
    <x v="27"/>
    <x v="36"/>
    <x v="37"/>
  </r>
  <r>
    <x v="816"/>
    <x v="0"/>
    <x v="0"/>
    <x v="6"/>
    <x v="22"/>
    <x v="10"/>
    <x v="3"/>
    <x v="5"/>
    <x v="22"/>
    <x v="3"/>
    <x v="9"/>
    <x v="11"/>
    <x v="6"/>
    <x v="39"/>
  </r>
  <r>
    <x v="817"/>
    <x v="0"/>
    <x v="0"/>
    <x v="10"/>
    <x v="3"/>
    <x v="5"/>
    <x v="3"/>
    <x v="12"/>
    <x v="1"/>
    <x v="0"/>
    <x v="0"/>
    <x v="21"/>
    <x v="10"/>
    <x v="14"/>
  </r>
  <r>
    <x v="818"/>
    <x v="0"/>
    <x v="0"/>
    <x v="9"/>
    <x v="26"/>
    <x v="23"/>
    <x v="25"/>
    <x v="6"/>
    <x v="12"/>
    <x v="6"/>
    <x v="20"/>
    <x v="4"/>
    <x v="15"/>
    <x v="10"/>
  </r>
  <r>
    <x v="819"/>
    <x v="0"/>
    <x v="0"/>
    <x v="11"/>
    <x v="8"/>
    <x v="12"/>
    <x v="24"/>
    <x v="24"/>
    <x v="0"/>
    <x v="28"/>
    <x v="14"/>
    <x v="8"/>
    <x v="2"/>
    <x v="97"/>
  </r>
  <r>
    <x v="820"/>
    <x v="0"/>
    <x v="0"/>
    <x v="3"/>
    <x v="0"/>
    <x v="17"/>
    <x v="5"/>
    <x v="8"/>
    <x v="4"/>
    <x v="5"/>
    <x v="0"/>
    <x v="23"/>
    <x v="1"/>
    <x v="93"/>
  </r>
  <r>
    <x v="821"/>
    <x v="0"/>
    <x v="0"/>
    <x v="17"/>
    <x v="22"/>
    <x v="6"/>
    <x v="8"/>
    <x v="30"/>
    <x v="1"/>
    <x v="17"/>
    <x v="11"/>
    <x v="11"/>
    <x v="28"/>
    <x v="10"/>
  </r>
  <r>
    <x v="822"/>
    <x v="0"/>
    <x v="0"/>
    <x v="8"/>
    <x v="15"/>
    <x v="3"/>
    <x v="0"/>
    <x v="13"/>
    <x v="25"/>
    <x v="15"/>
    <x v="37"/>
    <x v="24"/>
    <x v="47"/>
    <x v="10"/>
  </r>
  <r>
    <x v="823"/>
    <x v="0"/>
    <x v="0"/>
    <x v="27"/>
    <x v="9"/>
    <x v="17"/>
    <x v="5"/>
    <x v="30"/>
    <x v="30"/>
    <x v="40"/>
    <x v="14"/>
    <x v="39"/>
    <x v="12"/>
    <x v="55"/>
  </r>
  <r>
    <x v="824"/>
    <x v="0"/>
    <x v="0"/>
    <x v="8"/>
    <x v="26"/>
    <x v="14"/>
    <x v="15"/>
    <x v="26"/>
    <x v="19"/>
    <x v="10"/>
    <x v="5"/>
    <x v="32"/>
    <x v="17"/>
    <x v="67"/>
  </r>
  <r>
    <x v="825"/>
    <x v="0"/>
    <x v="0"/>
    <x v="14"/>
    <x v="36"/>
    <x v="31"/>
    <x v="37"/>
    <x v="42"/>
    <x v="3"/>
    <x v="8"/>
    <x v="24"/>
    <x v="31"/>
    <x v="0"/>
    <x v="181"/>
  </r>
  <r>
    <x v="826"/>
    <x v="0"/>
    <x v="0"/>
    <x v="30"/>
    <x v="39"/>
    <x v="15"/>
    <x v="34"/>
    <x v="43"/>
    <x v="2"/>
    <x v="20"/>
    <x v="38"/>
    <x v="7"/>
    <x v="56"/>
    <x v="222"/>
  </r>
  <r>
    <x v="827"/>
    <x v="0"/>
    <x v="0"/>
    <x v="32"/>
    <x v="38"/>
    <x v="34"/>
    <x v="8"/>
    <x v="11"/>
    <x v="18"/>
    <x v="25"/>
    <x v="48"/>
    <x v="40"/>
    <x v="8"/>
    <x v="195"/>
  </r>
  <r>
    <x v="828"/>
    <x v="0"/>
    <x v="0"/>
    <x v="33"/>
    <x v="15"/>
    <x v="34"/>
    <x v="35"/>
    <x v="21"/>
    <x v="9"/>
    <x v="25"/>
    <x v="43"/>
    <x v="38"/>
    <x v="57"/>
    <x v="223"/>
  </r>
  <r>
    <x v="127"/>
    <x v="0"/>
    <x v="0"/>
    <x v="33"/>
    <x v="36"/>
    <x v="37"/>
    <x v="8"/>
    <x v="5"/>
    <x v="45"/>
    <x v="34"/>
    <x v="6"/>
    <x v="50"/>
    <x v="72"/>
    <x v="154"/>
  </r>
  <r>
    <x v="829"/>
    <x v="0"/>
    <x v="0"/>
    <x v="30"/>
    <x v="36"/>
    <x v="34"/>
    <x v="17"/>
    <x v="22"/>
    <x v="10"/>
    <x v="51"/>
    <x v="49"/>
    <x v="46"/>
    <x v="56"/>
    <x v="224"/>
  </r>
  <r>
    <x v="830"/>
    <x v="0"/>
    <x v="0"/>
    <x v="33"/>
    <x v="29"/>
    <x v="33"/>
    <x v="40"/>
    <x v="22"/>
    <x v="38"/>
    <x v="8"/>
    <x v="46"/>
    <x v="34"/>
    <x v="9"/>
    <x v="225"/>
  </r>
  <r>
    <x v="831"/>
    <x v="0"/>
    <x v="0"/>
    <x v="33"/>
    <x v="15"/>
    <x v="32"/>
    <x v="5"/>
    <x v="39"/>
    <x v="37"/>
    <x v="3"/>
    <x v="24"/>
    <x v="25"/>
    <x v="10"/>
    <x v="226"/>
  </r>
  <r>
    <x v="832"/>
    <x v="0"/>
    <x v="0"/>
    <x v="33"/>
    <x v="36"/>
    <x v="6"/>
    <x v="37"/>
    <x v="42"/>
    <x v="12"/>
    <x v="13"/>
    <x v="46"/>
    <x v="26"/>
    <x v="2"/>
    <x v="227"/>
  </r>
  <r>
    <x v="833"/>
    <x v="5"/>
    <x v="5"/>
    <x v="33"/>
    <x v="24"/>
    <x v="34"/>
    <x v="16"/>
    <x v="42"/>
    <x v="2"/>
    <x v="3"/>
    <x v="54"/>
    <x v="36"/>
    <x v="22"/>
    <x v="228"/>
  </r>
  <r>
    <x v="834"/>
    <x v="0"/>
    <x v="0"/>
    <x v="33"/>
    <x v="36"/>
    <x v="23"/>
    <x v="37"/>
    <x v="30"/>
    <x v="45"/>
    <x v="42"/>
    <x v="45"/>
    <x v="23"/>
    <x v="9"/>
    <x v="229"/>
  </r>
  <r>
    <x v="835"/>
    <x v="0"/>
    <x v="0"/>
    <x v="33"/>
    <x v="12"/>
    <x v="34"/>
    <x v="35"/>
    <x v="22"/>
    <x v="2"/>
    <x v="38"/>
    <x v="16"/>
    <x v="14"/>
    <x v="7"/>
    <x v="114"/>
  </r>
  <r>
    <x v="836"/>
    <x v="1"/>
    <x v="1"/>
    <x v="21"/>
    <x v="38"/>
    <x v="34"/>
    <x v="20"/>
    <x v="30"/>
    <x v="17"/>
    <x v="51"/>
    <x v="46"/>
    <x v="25"/>
    <x v="4"/>
    <x v="230"/>
  </r>
  <r>
    <x v="837"/>
    <x v="5"/>
    <x v="5"/>
    <x v="33"/>
    <x v="36"/>
    <x v="34"/>
    <x v="38"/>
    <x v="41"/>
    <x v="16"/>
    <x v="47"/>
    <x v="22"/>
    <x v="27"/>
    <x v="47"/>
    <x v="231"/>
  </r>
  <r>
    <x v="838"/>
    <x v="0"/>
    <x v="0"/>
    <x v="33"/>
    <x v="15"/>
    <x v="34"/>
    <x v="25"/>
    <x v="21"/>
    <x v="11"/>
    <x v="31"/>
    <x v="20"/>
    <x v="41"/>
    <x v="6"/>
    <x v="172"/>
  </r>
  <r>
    <x v="839"/>
    <x v="0"/>
    <x v="0"/>
    <x v="0"/>
    <x v="1"/>
    <x v="12"/>
    <x v="15"/>
    <x v="8"/>
    <x v="19"/>
    <x v="3"/>
    <x v="38"/>
    <x v="2"/>
    <x v="40"/>
    <x v="232"/>
  </r>
  <r>
    <x v="840"/>
    <x v="0"/>
    <x v="0"/>
    <x v="7"/>
    <x v="12"/>
    <x v="3"/>
    <x v="25"/>
    <x v="0"/>
    <x v="17"/>
    <x v="6"/>
    <x v="22"/>
    <x v="24"/>
    <x v="2"/>
    <x v="132"/>
  </r>
  <r>
    <x v="841"/>
    <x v="0"/>
    <x v="0"/>
    <x v="21"/>
    <x v="24"/>
    <x v="23"/>
    <x v="12"/>
    <x v="15"/>
    <x v="25"/>
    <x v="40"/>
    <x v="14"/>
    <x v="26"/>
    <x v="10"/>
    <x v="128"/>
  </r>
  <r>
    <x v="842"/>
    <x v="0"/>
    <x v="0"/>
    <x v="23"/>
    <x v="22"/>
    <x v="17"/>
    <x v="18"/>
    <x v="6"/>
    <x v="12"/>
    <x v="2"/>
    <x v="10"/>
    <x v="11"/>
    <x v="33"/>
    <x v="128"/>
  </r>
  <r>
    <x v="843"/>
    <x v="0"/>
    <x v="0"/>
    <x v="8"/>
    <x v="7"/>
    <x v="3"/>
    <x v="4"/>
    <x v="28"/>
    <x v="3"/>
    <x v="29"/>
    <x v="6"/>
    <x v="13"/>
    <x v="10"/>
    <x v="9"/>
  </r>
  <r>
    <x v="844"/>
    <x v="0"/>
    <x v="0"/>
    <x v="17"/>
    <x v="1"/>
    <x v="5"/>
    <x v="23"/>
    <x v="19"/>
    <x v="15"/>
    <x v="27"/>
    <x v="17"/>
    <x v="17"/>
    <x v="14"/>
    <x v="14"/>
  </r>
  <r>
    <x v="845"/>
    <x v="0"/>
    <x v="0"/>
    <x v="6"/>
    <x v="7"/>
    <x v="25"/>
    <x v="13"/>
    <x v="45"/>
    <x v="26"/>
    <x v="22"/>
    <x v="16"/>
    <x v="27"/>
    <x v="14"/>
    <x v="36"/>
  </r>
  <r>
    <x v="846"/>
    <x v="0"/>
    <x v="0"/>
    <x v="2"/>
    <x v="3"/>
    <x v="11"/>
    <x v="21"/>
    <x v="7"/>
    <x v="10"/>
    <x v="22"/>
    <x v="43"/>
    <x v="4"/>
    <x v="22"/>
    <x v="30"/>
  </r>
  <r>
    <x v="847"/>
    <x v="0"/>
    <x v="0"/>
    <x v="8"/>
    <x v="39"/>
    <x v="17"/>
    <x v="3"/>
    <x v="27"/>
    <x v="17"/>
    <x v="23"/>
    <x v="20"/>
    <x v="45"/>
    <x v="39"/>
    <x v="66"/>
  </r>
  <r>
    <x v="848"/>
    <x v="0"/>
    <x v="0"/>
    <x v="2"/>
    <x v="15"/>
    <x v="23"/>
    <x v="22"/>
    <x v="28"/>
    <x v="18"/>
    <x v="11"/>
    <x v="31"/>
    <x v="5"/>
    <x v="39"/>
    <x v="40"/>
  </r>
  <r>
    <x v="849"/>
    <x v="0"/>
    <x v="0"/>
    <x v="30"/>
    <x v="9"/>
    <x v="12"/>
    <x v="8"/>
    <x v="30"/>
    <x v="22"/>
    <x v="12"/>
    <x v="52"/>
    <x v="23"/>
    <x v="33"/>
    <x v="136"/>
  </r>
  <r>
    <x v="850"/>
    <x v="0"/>
    <x v="0"/>
    <x v="8"/>
    <x v="9"/>
    <x v="22"/>
    <x v="13"/>
    <x v="23"/>
    <x v="30"/>
    <x v="25"/>
    <x v="15"/>
    <x v="1"/>
    <x v="61"/>
    <x v="147"/>
  </r>
  <r>
    <x v="851"/>
    <x v="0"/>
    <x v="0"/>
    <x v="2"/>
    <x v="16"/>
    <x v="23"/>
    <x v="12"/>
    <x v="30"/>
    <x v="1"/>
    <x v="42"/>
    <x v="21"/>
    <x v="24"/>
    <x v="48"/>
    <x v="137"/>
  </r>
  <r>
    <x v="852"/>
    <x v="0"/>
    <x v="0"/>
    <x v="21"/>
    <x v="25"/>
    <x v="20"/>
    <x v="10"/>
    <x v="31"/>
    <x v="2"/>
    <x v="52"/>
    <x v="22"/>
    <x v="26"/>
    <x v="26"/>
    <x v="194"/>
  </r>
  <r>
    <x v="853"/>
    <x v="0"/>
    <x v="0"/>
    <x v="17"/>
    <x v="1"/>
    <x v="3"/>
    <x v="5"/>
    <x v="18"/>
    <x v="19"/>
    <x v="27"/>
    <x v="15"/>
    <x v="2"/>
    <x v="7"/>
    <x v="46"/>
  </r>
  <r>
    <x v="854"/>
    <x v="0"/>
    <x v="0"/>
    <x v="33"/>
    <x v="0"/>
    <x v="18"/>
    <x v="13"/>
    <x v="29"/>
    <x v="4"/>
    <x v="28"/>
    <x v="3"/>
    <x v="27"/>
    <x v="38"/>
    <x v="130"/>
  </r>
  <r>
    <x v="855"/>
    <x v="0"/>
    <x v="0"/>
    <x v="11"/>
    <x v="22"/>
    <x v="34"/>
    <x v="12"/>
    <x v="19"/>
    <x v="22"/>
    <x v="40"/>
    <x v="36"/>
    <x v="0"/>
    <x v="35"/>
    <x v="132"/>
  </r>
  <r>
    <x v="856"/>
    <x v="0"/>
    <x v="0"/>
    <x v="4"/>
    <x v="5"/>
    <x v="2"/>
    <x v="18"/>
    <x v="25"/>
    <x v="17"/>
    <x v="22"/>
    <x v="14"/>
    <x v="31"/>
    <x v="22"/>
    <x v="30"/>
  </r>
  <r>
    <x v="857"/>
    <x v="0"/>
    <x v="0"/>
    <x v="2"/>
    <x v="5"/>
    <x v="19"/>
    <x v="2"/>
    <x v="20"/>
    <x v="18"/>
    <x v="0"/>
    <x v="32"/>
    <x v="28"/>
    <x v="25"/>
    <x v="96"/>
  </r>
  <r>
    <x v="858"/>
    <x v="0"/>
    <x v="0"/>
    <x v="21"/>
    <x v="26"/>
    <x v="12"/>
    <x v="13"/>
    <x v="11"/>
    <x v="22"/>
    <x v="29"/>
    <x v="8"/>
    <x v="19"/>
    <x v="37"/>
    <x v="139"/>
  </r>
  <r>
    <x v="859"/>
    <x v="0"/>
    <x v="0"/>
    <x v="11"/>
    <x v="6"/>
    <x v="16"/>
    <x v="18"/>
    <x v="22"/>
    <x v="17"/>
    <x v="9"/>
    <x v="15"/>
    <x v="12"/>
    <x v="3"/>
    <x v="138"/>
  </r>
  <r>
    <x v="860"/>
    <x v="0"/>
    <x v="0"/>
    <x v="21"/>
    <x v="16"/>
    <x v="12"/>
    <x v="11"/>
    <x v="10"/>
    <x v="22"/>
    <x v="39"/>
    <x v="7"/>
    <x v="47"/>
    <x v="0"/>
    <x v="65"/>
  </r>
  <r>
    <x v="861"/>
    <x v="0"/>
    <x v="0"/>
    <x v="7"/>
    <x v="22"/>
    <x v="13"/>
    <x v="5"/>
    <x v="6"/>
    <x v="3"/>
    <x v="14"/>
    <x v="23"/>
    <x v="13"/>
    <x v="10"/>
    <x v="138"/>
  </r>
  <r>
    <x v="862"/>
    <x v="0"/>
    <x v="0"/>
    <x v="8"/>
    <x v="7"/>
    <x v="5"/>
    <x v="15"/>
    <x v="10"/>
    <x v="12"/>
    <x v="35"/>
    <x v="18"/>
    <x v="5"/>
    <x v="18"/>
    <x v="138"/>
  </r>
  <r>
    <x v="863"/>
    <x v="0"/>
    <x v="0"/>
    <x v="23"/>
    <x v="36"/>
    <x v="2"/>
    <x v="13"/>
    <x v="27"/>
    <x v="22"/>
    <x v="2"/>
    <x v="23"/>
    <x v="30"/>
    <x v="29"/>
    <x v="99"/>
  </r>
  <r>
    <x v="864"/>
    <x v="0"/>
    <x v="0"/>
    <x v="3"/>
    <x v="5"/>
    <x v="22"/>
    <x v="13"/>
    <x v="23"/>
    <x v="17"/>
    <x v="24"/>
    <x v="37"/>
    <x v="0"/>
    <x v="18"/>
    <x v="150"/>
  </r>
  <r>
    <x v="865"/>
    <x v="0"/>
    <x v="0"/>
    <x v="11"/>
    <x v="26"/>
    <x v="5"/>
    <x v="23"/>
    <x v="2"/>
    <x v="30"/>
    <x v="25"/>
    <x v="26"/>
    <x v="7"/>
    <x v="2"/>
    <x v="25"/>
  </r>
  <r>
    <x v="866"/>
    <x v="0"/>
    <x v="0"/>
    <x v="4"/>
    <x v="39"/>
    <x v="35"/>
    <x v="13"/>
    <x v="0"/>
    <x v="11"/>
    <x v="8"/>
    <x v="0"/>
    <x v="5"/>
    <x v="5"/>
    <x v="145"/>
  </r>
  <r>
    <x v="867"/>
    <x v="0"/>
    <x v="0"/>
    <x v="11"/>
    <x v="26"/>
    <x v="2"/>
    <x v="5"/>
    <x v="22"/>
    <x v="5"/>
    <x v="18"/>
    <x v="14"/>
    <x v="26"/>
    <x v="32"/>
    <x v="3"/>
  </r>
  <r>
    <x v="868"/>
    <x v="0"/>
    <x v="0"/>
    <x v="7"/>
    <x v="14"/>
    <x v="20"/>
    <x v="4"/>
    <x v="1"/>
    <x v="17"/>
    <x v="3"/>
    <x v="36"/>
    <x v="13"/>
    <x v="37"/>
    <x v="97"/>
  </r>
  <r>
    <x v="869"/>
    <x v="0"/>
    <x v="0"/>
    <x v="11"/>
    <x v="7"/>
    <x v="17"/>
    <x v="19"/>
    <x v="2"/>
    <x v="14"/>
    <x v="4"/>
    <x v="44"/>
    <x v="23"/>
    <x v="42"/>
    <x v="218"/>
  </r>
  <r>
    <x v="870"/>
    <x v="0"/>
    <x v="0"/>
    <x v="0"/>
    <x v="7"/>
    <x v="2"/>
    <x v="13"/>
    <x v="26"/>
    <x v="4"/>
    <x v="40"/>
    <x v="37"/>
    <x v="7"/>
    <x v="6"/>
    <x v="99"/>
  </r>
  <r>
    <x v="871"/>
    <x v="0"/>
    <x v="0"/>
    <x v="21"/>
    <x v="9"/>
    <x v="5"/>
    <x v="20"/>
    <x v="5"/>
    <x v="5"/>
    <x v="5"/>
    <x v="8"/>
    <x v="7"/>
    <x v="32"/>
    <x v="17"/>
  </r>
  <r>
    <x v="872"/>
    <x v="0"/>
    <x v="0"/>
    <x v="4"/>
    <x v="12"/>
    <x v="12"/>
    <x v="8"/>
    <x v="33"/>
    <x v="26"/>
    <x v="35"/>
    <x v="6"/>
    <x v="5"/>
    <x v="1"/>
    <x v="2"/>
  </r>
  <r>
    <x v="873"/>
    <x v="0"/>
    <x v="0"/>
    <x v="9"/>
    <x v="16"/>
    <x v="2"/>
    <x v="13"/>
    <x v="27"/>
    <x v="26"/>
    <x v="6"/>
    <x v="10"/>
    <x v="26"/>
    <x v="5"/>
    <x v="4"/>
  </r>
  <r>
    <x v="874"/>
    <x v="0"/>
    <x v="0"/>
    <x v="12"/>
    <x v="22"/>
    <x v="3"/>
    <x v="13"/>
    <x v="19"/>
    <x v="8"/>
    <x v="10"/>
    <x v="36"/>
    <x v="40"/>
    <x v="42"/>
    <x v="158"/>
  </r>
  <r>
    <x v="875"/>
    <x v="0"/>
    <x v="0"/>
    <x v="2"/>
    <x v="9"/>
    <x v="5"/>
    <x v="13"/>
    <x v="8"/>
    <x v="14"/>
    <x v="42"/>
    <x v="16"/>
    <x v="11"/>
    <x v="39"/>
    <x v="9"/>
  </r>
  <r>
    <x v="876"/>
    <x v="0"/>
    <x v="0"/>
    <x v="29"/>
    <x v="12"/>
    <x v="6"/>
    <x v="15"/>
    <x v="19"/>
    <x v="2"/>
    <x v="38"/>
    <x v="41"/>
    <x v="49"/>
    <x v="0"/>
    <x v="29"/>
  </r>
  <r>
    <x v="877"/>
    <x v="0"/>
    <x v="0"/>
    <x v="17"/>
    <x v="1"/>
    <x v="16"/>
    <x v="23"/>
    <x v="2"/>
    <x v="15"/>
    <x v="16"/>
    <x v="10"/>
    <x v="23"/>
    <x v="37"/>
    <x v="10"/>
  </r>
  <r>
    <x v="878"/>
    <x v="0"/>
    <x v="0"/>
    <x v="17"/>
    <x v="3"/>
    <x v="2"/>
    <x v="4"/>
    <x v="13"/>
    <x v="29"/>
    <x v="7"/>
    <x v="24"/>
    <x v="18"/>
    <x v="34"/>
    <x v="39"/>
  </r>
  <r>
    <x v="879"/>
    <x v="0"/>
    <x v="0"/>
    <x v="3"/>
    <x v="22"/>
    <x v="9"/>
    <x v="17"/>
    <x v="17"/>
    <x v="39"/>
    <x v="42"/>
    <x v="8"/>
    <x v="32"/>
    <x v="25"/>
    <x v="144"/>
  </r>
  <r>
    <x v="880"/>
    <x v="0"/>
    <x v="0"/>
    <x v="14"/>
    <x v="1"/>
    <x v="13"/>
    <x v="39"/>
    <x v="29"/>
    <x v="18"/>
    <x v="27"/>
    <x v="22"/>
    <x v="8"/>
    <x v="10"/>
    <x v="132"/>
  </r>
  <r>
    <x v="881"/>
    <x v="0"/>
    <x v="0"/>
    <x v="1"/>
    <x v="22"/>
    <x v="25"/>
    <x v="18"/>
    <x v="21"/>
    <x v="2"/>
    <x v="21"/>
    <x v="5"/>
    <x v="23"/>
    <x v="47"/>
    <x v="233"/>
  </r>
  <r>
    <x v="882"/>
    <x v="0"/>
    <x v="0"/>
    <x v="3"/>
    <x v="26"/>
    <x v="12"/>
    <x v="12"/>
    <x v="30"/>
    <x v="8"/>
    <x v="1"/>
    <x v="22"/>
    <x v="1"/>
    <x v="45"/>
    <x v="144"/>
  </r>
  <r>
    <x v="883"/>
    <x v="0"/>
    <x v="0"/>
    <x v="9"/>
    <x v="7"/>
    <x v="31"/>
    <x v="13"/>
    <x v="11"/>
    <x v="18"/>
    <x v="29"/>
    <x v="37"/>
    <x v="22"/>
    <x v="15"/>
    <x v="150"/>
  </r>
  <r>
    <x v="884"/>
    <x v="0"/>
    <x v="0"/>
    <x v="8"/>
    <x v="6"/>
    <x v="23"/>
    <x v="13"/>
    <x v="30"/>
    <x v="7"/>
    <x v="39"/>
    <x v="52"/>
    <x v="47"/>
    <x v="10"/>
    <x v="194"/>
  </r>
  <r>
    <x v="885"/>
    <x v="0"/>
    <x v="0"/>
    <x v="3"/>
    <x v="8"/>
    <x v="14"/>
    <x v="6"/>
    <x v="11"/>
    <x v="27"/>
    <x v="42"/>
    <x v="22"/>
    <x v="32"/>
    <x v="40"/>
    <x v="64"/>
  </r>
  <r>
    <x v="886"/>
    <x v="0"/>
    <x v="0"/>
    <x v="30"/>
    <x v="25"/>
    <x v="6"/>
    <x v="23"/>
    <x v="18"/>
    <x v="22"/>
    <x v="28"/>
    <x v="26"/>
    <x v="0"/>
    <x v="65"/>
    <x v="149"/>
  </r>
  <r>
    <x v="887"/>
    <x v="0"/>
    <x v="0"/>
    <x v="32"/>
    <x v="25"/>
    <x v="14"/>
    <x v="2"/>
    <x v="12"/>
    <x v="13"/>
    <x v="16"/>
    <x v="19"/>
    <x v="24"/>
    <x v="8"/>
    <x v="134"/>
  </r>
  <r>
    <x v="888"/>
    <x v="0"/>
    <x v="0"/>
    <x v="10"/>
    <x v="9"/>
    <x v="17"/>
    <x v="12"/>
    <x v="24"/>
    <x v="4"/>
    <x v="17"/>
    <x v="29"/>
    <x v="26"/>
    <x v="18"/>
    <x v="158"/>
  </r>
  <r>
    <x v="889"/>
    <x v="0"/>
    <x v="0"/>
    <x v="2"/>
    <x v="16"/>
    <x v="14"/>
    <x v="34"/>
    <x v="27"/>
    <x v="26"/>
    <x v="21"/>
    <x v="27"/>
    <x v="23"/>
    <x v="56"/>
    <x v="233"/>
  </r>
  <r>
    <x v="890"/>
    <x v="0"/>
    <x v="0"/>
    <x v="17"/>
    <x v="22"/>
    <x v="23"/>
    <x v="0"/>
    <x v="5"/>
    <x v="39"/>
    <x v="1"/>
    <x v="32"/>
    <x v="23"/>
    <x v="65"/>
    <x v="147"/>
  </r>
  <r>
    <x v="891"/>
    <x v="0"/>
    <x v="0"/>
    <x v="17"/>
    <x v="5"/>
    <x v="25"/>
    <x v="23"/>
    <x v="8"/>
    <x v="9"/>
    <x v="6"/>
    <x v="29"/>
    <x v="0"/>
    <x v="33"/>
    <x v="139"/>
  </r>
  <r>
    <x v="892"/>
    <x v="0"/>
    <x v="0"/>
    <x v="3"/>
    <x v="16"/>
    <x v="5"/>
    <x v="8"/>
    <x v="24"/>
    <x v="22"/>
    <x v="23"/>
    <x v="15"/>
    <x v="30"/>
    <x v="11"/>
    <x v="4"/>
  </r>
  <r>
    <x v="893"/>
    <x v="0"/>
    <x v="0"/>
    <x v="19"/>
    <x v="39"/>
    <x v="22"/>
    <x v="7"/>
    <x v="19"/>
    <x v="38"/>
    <x v="27"/>
    <x v="45"/>
    <x v="24"/>
    <x v="39"/>
    <x v="221"/>
  </r>
  <r>
    <x v="894"/>
    <x v="0"/>
    <x v="0"/>
    <x v="22"/>
    <x v="2"/>
    <x v="19"/>
    <x v="16"/>
    <x v="10"/>
    <x v="4"/>
    <x v="29"/>
    <x v="45"/>
    <x v="32"/>
    <x v="2"/>
    <x v="68"/>
  </r>
  <r>
    <x v="895"/>
    <x v="0"/>
    <x v="0"/>
    <x v="29"/>
    <x v="22"/>
    <x v="2"/>
    <x v="24"/>
    <x v="8"/>
    <x v="1"/>
    <x v="3"/>
    <x v="21"/>
    <x v="22"/>
    <x v="39"/>
    <x v="139"/>
  </r>
  <r>
    <x v="896"/>
    <x v="0"/>
    <x v="0"/>
    <x v="10"/>
    <x v="9"/>
    <x v="21"/>
    <x v="16"/>
    <x v="1"/>
    <x v="29"/>
    <x v="16"/>
    <x v="10"/>
    <x v="0"/>
    <x v="63"/>
    <x v="70"/>
  </r>
  <r>
    <x v="897"/>
    <x v="0"/>
    <x v="0"/>
    <x v="21"/>
    <x v="7"/>
    <x v="17"/>
    <x v="23"/>
    <x v="9"/>
    <x v="1"/>
    <x v="34"/>
    <x v="28"/>
    <x v="13"/>
    <x v="7"/>
    <x v="31"/>
  </r>
  <r>
    <x v="898"/>
    <x v="0"/>
    <x v="0"/>
    <x v="11"/>
    <x v="24"/>
    <x v="17"/>
    <x v="1"/>
    <x v="27"/>
    <x v="13"/>
    <x v="16"/>
    <x v="23"/>
    <x v="4"/>
    <x v="2"/>
    <x v="67"/>
  </r>
  <r>
    <x v="899"/>
    <x v="0"/>
    <x v="0"/>
    <x v="8"/>
    <x v="12"/>
    <x v="33"/>
    <x v="13"/>
    <x v="16"/>
    <x v="30"/>
    <x v="43"/>
    <x v="15"/>
    <x v="31"/>
    <x v="12"/>
    <x v="68"/>
  </r>
  <r>
    <x v="900"/>
    <x v="0"/>
    <x v="0"/>
    <x v="17"/>
    <x v="3"/>
    <x v="2"/>
    <x v="23"/>
    <x v="4"/>
    <x v="18"/>
    <x v="34"/>
    <x v="0"/>
    <x v="41"/>
    <x v="1"/>
    <x v="99"/>
  </r>
  <r>
    <x v="901"/>
    <x v="0"/>
    <x v="0"/>
    <x v="23"/>
    <x v="14"/>
    <x v="2"/>
    <x v="0"/>
    <x v="29"/>
    <x v="1"/>
    <x v="23"/>
    <x v="14"/>
    <x v="29"/>
    <x v="32"/>
    <x v="40"/>
  </r>
  <r>
    <x v="902"/>
    <x v="0"/>
    <x v="0"/>
    <x v="3"/>
    <x v="6"/>
    <x v="7"/>
    <x v="15"/>
    <x v="20"/>
    <x v="19"/>
    <x v="16"/>
    <x v="27"/>
    <x v="16"/>
    <x v="39"/>
    <x v="49"/>
  </r>
  <r>
    <x v="903"/>
    <x v="0"/>
    <x v="0"/>
    <x v="9"/>
    <x v="31"/>
    <x v="25"/>
    <x v="16"/>
    <x v="6"/>
    <x v="21"/>
    <x v="8"/>
    <x v="29"/>
    <x v="17"/>
    <x v="7"/>
    <x v="157"/>
  </r>
  <r>
    <x v="904"/>
    <x v="0"/>
    <x v="0"/>
    <x v="19"/>
    <x v="25"/>
    <x v="3"/>
    <x v="2"/>
    <x v="19"/>
    <x v="12"/>
    <x v="18"/>
    <x v="15"/>
    <x v="22"/>
    <x v="13"/>
    <x v="134"/>
  </r>
  <r>
    <x v="905"/>
    <x v="0"/>
    <x v="0"/>
    <x v="2"/>
    <x v="5"/>
    <x v="25"/>
    <x v="4"/>
    <x v="21"/>
    <x v="28"/>
    <x v="11"/>
    <x v="37"/>
    <x v="25"/>
    <x v="30"/>
    <x v="161"/>
  </r>
  <r>
    <x v="906"/>
    <x v="0"/>
    <x v="0"/>
    <x v="29"/>
    <x v="7"/>
    <x v="35"/>
    <x v="6"/>
    <x v="12"/>
    <x v="1"/>
    <x v="19"/>
    <x v="6"/>
    <x v="32"/>
    <x v="3"/>
    <x v="157"/>
  </r>
  <r>
    <x v="907"/>
    <x v="0"/>
    <x v="0"/>
    <x v="7"/>
    <x v="6"/>
    <x v="2"/>
    <x v="13"/>
    <x v="8"/>
    <x v="4"/>
    <x v="5"/>
    <x v="5"/>
    <x v="17"/>
    <x v="18"/>
    <x v="57"/>
  </r>
  <r>
    <x v="908"/>
    <x v="0"/>
    <x v="0"/>
    <x v="30"/>
    <x v="22"/>
    <x v="2"/>
    <x v="19"/>
    <x v="23"/>
    <x v="16"/>
    <x v="27"/>
    <x v="18"/>
    <x v="26"/>
    <x v="38"/>
    <x v="135"/>
  </r>
  <r>
    <x v="909"/>
    <x v="0"/>
    <x v="0"/>
    <x v="2"/>
    <x v="37"/>
    <x v="2"/>
    <x v="15"/>
    <x v="29"/>
    <x v="9"/>
    <x v="38"/>
    <x v="28"/>
    <x v="18"/>
    <x v="6"/>
    <x v="147"/>
  </r>
  <r>
    <x v="910"/>
    <x v="0"/>
    <x v="0"/>
    <x v="0"/>
    <x v="24"/>
    <x v="36"/>
    <x v="16"/>
    <x v="5"/>
    <x v="4"/>
    <x v="1"/>
    <x v="28"/>
    <x v="9"/>
    <x v="33"/>
    <x v="134"/>
  </r>
  <r>
    <x v="911"/>
    <x v="0"/>
    <x v="0"/>
    <x v="23"/>
    <x v="26"/>
    <x v="31"/>
    <x v="9"/>
    <x v="1"/>
    <x v="37"/>
    <x v="32"/>
    <x v="43"/>
    <x v="23"/>
    <x v="38"/>
    <x v="50"/>
  </r>
  <r>
    <x v="912"/>
    <x v="0"/>
    <x v="0"/>
    <x v="4"/>
    <x v="16"/>
    <x v="13"/>
    <x v="10"/>
    <x v="12"/>
    <x v="22"/>
    <x v="9"/>
    <x v="18"/>
    <x v="19"/>
    <x v="25"/>
    <x v="158"/>
  </r>
  <r>
    <x v="913"/>
    <x v="0"/>
    <x v="0"/>
    <x v="11"/>
    <x v="7"/>
    <x v="22"/>
    <x v="13"/>
    <x v="8"/>
    <x v="15"/>
    <x v="28"/>
    <x v="24"/>
    <x v="30"/>
    <x v="26"/>
    <x v="65"/>
  </r>
  <r>
    <x v="914"/>
    <x v="0"/>
    <x v="0"/>
    <x v="8"/>
    <x v="29"/>
    <x v="11"/>
    <x v="10"/>
    <x v="12"/>
    <x v="18"/>
    <x v="35"/>
    <x v="19"/>
    <x v="3"/>
    <x v="1"/>
    <x v="93"/>
  </r>
  <r>
    <x v="915"/>
    <x v="0"/>
    <x v="0"/>
    <x v="23"/>
    <x v="9"/>
    <x v="15"/>
    <x v="5"/>
    <x v="10"/>
    <x v="26"/>
    <x v="16"/>
    <x v="28"/>
    <x v="49"/>
    <x v="29"/>
    <x v="31"/>
  </r>
  <r>
    <x v="916"/>
    <x v="0"/>
    <x v="0"/>
    <x v="23"/>
    <x v="22"/>
    <x v="6"/>
    <x v="1"/>
    <x v="3"/>
    <x v="10"/>
    <x v="16"/>
    <x v="27"/>
    <x v="22"/>
    <x v="37"/>
    <x v="221"/>
  </r>
  <r>
    <x v="917"/>
    <x v="0"/>
    <x v="0"/>
    <x v="11"/>
    <x v="12"/>
    <x v="16"/>
    <x v="24"/>
    <x v="11"/>
    <x v="3"/>
    <x v="40"/>
    <x v="29"/>
    <x v="18"/>
    <x v="7"/>
    <x v="203"/>
  </r>
  <r>
    <x v="918"/>
    <x v="0"/>
    <x v="0"/>
    <x v="19"/>
    <x v="9"/>
    <x v="21"/>
    <x v="23"/>
    <x v="2"/>
    <x v="12"/>
    <x v="8"/>
    <x v="18"/>
    <x v="9"/>
    <x v="40"/>
    <x v="133"/>
  </r>
  <r>
    <x v="919"/>
    <x v="0"/>
    <x v="0"/>
    <x v="14"/>
    <x v="5"/>
    <x v="14"/>
    <x v="1"/>
    <x v="1"/>
    <x v="18"/>
    <x v="12"/>
    <x v="14"/>
    <x v="10"/>
    <x v="15"/>
    <x v="35"/>
  </r>
  <r>
    <x v="920"/>
    <x v="0"/>
    <x v="0"/>
    <x v="17"/>
    <x v="16"/>
    <x v="6"/>
    <x v="18"/>
    <x v="18"/>
    <x v="1"/>
    <x v="15"/>
    <x v="3"/>
    <x v="20"/>
    <x v="7"/>
    <x v="2"/>
  </r>
  <r>
    <x v="921"/>
    <x v="0"/>
    <x v="0"/>
    <x v="7"/>
    <x v="5"/>
    <x v="17"/>
    <x v="6"/>
    <x v="12"/>
    <x v="26"/>
    <x v="44"/>
    <x v="9"/>
    <x v="19"/>
    <x v="7"/>
    <x v="171"/>
  </r>
  <r>
    <x v="922"/>
    <x v="0"/>
    <x v="0"/>
    <x v="2"/>
    <x v="14"/>
    <x v="22"/>
    <x v="8"/>
    <x v="16"/>
    <x v="8"/>
    <x v="42"/>
    <x v="2"/>
    <x v="8"/>
    <x v="34"/>
    <x v="25"/>
  </r>
  <r>
    <x v="923"/>
    <x v="0"/>
    <x v="0"/>
    <x v="13"/>
    <x v="26"/>
    <x v="17"/>
    <x v="10"/>
    <x v="26"/>
    <x v="17"/>
    <x v="17"/>
    <x v="41"/>
    <x v="26"/>
    <x v="31"/>
    <x v="221"/>
  </r>
  <r>
    <x v="924"/>
    <x v="0"/>
    <x v="0"/>
    <x v="7"/>
    <x v="24"/>
    <x v="13"/>
    <x v="35"/>
    <x v="12"/>
    <x v="9"/>
    <x v="19"/>
    <x v="16"/>
    <x v="17"/>
    <x v="1"/>
    <x v="46"/>
  </r>
  <r>
    <x v="925"/>
    <x v="0"/>
    <x v="0"/>
    <x v="9"/>
    <x v="7"/>
    <x v="3"/>
    <x v="5"/>
    <x v="4"/>
    <x v="9"/>
    <x v="10"/>
    <x v="6"/>
    <x v="30"/>
    <x v="10"/>
    <x v="58"/>
  </r>
  <r>
    <x v="926"/>
    <x v="0"/>
    <x v="0"/>
    <x v="3"/>
    <x v="14"/>
    <x v="13"/>
    <x v="15"/>
    <x v="9"/>
    <x v="33"/>
    <x v="0"/>
    <x v="15"/>
    <x v="40"/>
    <x v="36"/>
    <x v="77"/>
  </r>
  <r>
    <x v="927"/>
    <x v="0"/>
    <x v="0"/>
    <x v="0"/>
    <x v="12"/>
    <x v="32"/>
    <x v="1"/>
    <x v="34"/>
    <x v="12"/>
    <x v="39"/>
    <x v="15"/>
    <x v="1"/>
    <x v="6"/>
    <x v="99"/>
  </r>
  <r>
    <x v="928"/>
    <x v="0"/>
    <x v="0"/>
    <x v="23"/>
    <x v="1"/>
    <x v="25"/>
    <x v="15"/>
    <x v="26"/>
    <x v="1"/>
    <x v="28"/>
    <x v="6"/>
    <x v="12"/>
    <x v="39"/>
    <x v="91"/>
  </r>
  <r>
    <x v="929"/>
    <x v="0"/>
    <x v="0"/>
    <x v="3"/>
    <x v="39"/>
    <x v="22"/>
    <x v="25"/>
    <x v="24"/>
    <x v="15"/>
    <x v="34"/>
    <x v="28"/>
    <x v="1"/>
    <x v="64"/>
    <x v="144"/>
  </r>
  <r>
    <x v="930"/>
    <x v="0"/>
    <x v="0"/>
    <x v="0"/>
    <x v="24"/>
    <x v="6"/>
    <x v="15"/>
    <x v="19"/>
    <x v="13"/>
    <x v="32"/>
    <x v="8"/>
    <x v="24"/>
    <x v="48"/>
    <x v="139"/>
  </r>
  <r>
    <x v="931"/>
    <x v="0"/>
    <x v="0"/>
    <x v="22"/>
    <x v="20"/>
    <x v="25"/>
    <x v="2"/>
    <x v="2"/>
    <x v="37"/>
    <x v="7"/>
    <x v="20"/>
    <x v="13"/>
    <x v="25"/>
    <x v="92"/>
  </r>
  <r>
    <x v="932"/>
    <x v="0"/>
    <x v="0"/>
    <x v="30"/>
    <x v="12"/>
    <x v="15"/>
    <x v="2"/>
    <x v="8"/>
    <x v="37"/>
    <x v="34"/>
    <x v="22"/>
    <x v="3"/>
    <x v="18"/>
    <x v="148"/>
  </r>
  <r>
    <x v="933"/>
    <x v="0"/>
    <x v="0"/>
    <x v="10"/>
    <x v="8"/>
    <x v="3"/>
    <x v="1"/>
    <x v="25"/>
    <x v="2"/>
    <x v="19"/>
    <x v="15"/>
    <x v="2"/>
    <x v="8"/>
    <x v="66"/>
  </r>
  <r>
    <x v="934"/>
    <x v="0"/>
    <x v="0"/>
    <x v="0"/>
    <x v="1"/>
    <x v="14"/>
    <x v="38"/>
    <x v="0"/>
    <x v="8"/>
    <x v="0"/>
    <x v="6"/>
    <x v="2"/>
    <x v="17"/>
    <x v="37"/>
  </r>
  <r>
    <x v="935"/>
    <x v="0"/>
    <x v="0"/>
    <x v="23"/>
    <x v="15"/>
    <x v="25"/>
    <x v="6"/>
    <x v="1"/>
    <x v="15"/>
    <x v="27"/>
    <x v="48"/>
    <x v="8"/>
    <x v="8"/>
    <x v="164"/>
  </r>
  <r>
    <x v="936"/>
    <x v="0"/>
    <x v="0"/>
    <x v="21"/>
    <x v="5"/>
    <x v="13"/>
    <x v="20"/>
    <x v="30"/>
    <x v="27"/>
    <x v="0"/>
    <x v="9"/>
    <x v="57"/>
    <x v="44"/>
    <x v="24"/>
  </r>
  <r>
    <x v="937"/>
    <x v="0"/>
    <x v="0"/>
    <x v="21"/>
    <x v="16"/>
    <x v="5"/>
    <x v="15"/>
    <x v="26"/>
    <x v="22"/>
    <x v="47"/>
    <x v="12"/>
    <x v="10"/>
    <x v="16"/>
    <x v="128"/>
  </r>
  <r>
    <x v="938"/>
    <x v="0"/>
    <x v="0"/>
    <x v="11"/>
    <x v="15"/>
    <x v="11"/>
    <x v="18"/>
    <x v="7"/>
    <x v="15"/>
    <x v="35"/>
    <x v="36"/>
    <x v="27"/>
    <x v="2"/>
    <x v="135"/>
  </r>
  <r>
    <x v="939"/>
    <x v="0"/>
    <x v="0"/>
    <x v="8"/>
    <x v="14"/>
    <x v="23"/>
    <x v="3"/>
    <x v="8"/>
    <x v="9"/>
    <x v="40"/>
    <x v="20"/>
    <x v="31"/>
    <x v="9"/>
    <x v="58"/>
  </r>
  <r>
    <x v="940"/>
    <x v="0"/>
    <x v="0"/>
    <x v="9"/>
    <x v="6"/>
    <x v="25"/>
    <x v="1"/>
    <x v="10"/>
    <x v="33"/>
    <x v="9"/>
    <x v="16"/>
    <x v="45"/>
    <x v="31"/>
    <x v="170"/>
  </r>
  <r>
    <x v="941"/>
    <x v="0"/>
    <x v="0"/>
    <x v="3"/>
    <x v="16"/>
    <x v="25"/>
    <x v="16"/>
    <x v="11"/>
    <x v="2"/>
    <x v="2"/>
    <x v="44"/>
    <x v="45"/>
    <x v="6"/>
    <x v="127"/>
  </r>
  <r>
    <x v="942"/>
    <x v="0"/>
    <x v="0"/>
    <x v="9"/>
    <x v="14"/>
    <x v="17"/>
    <x v="25"/>
    <x v="15"/>
    <x v="13"/>
    <x v="18"/>
    <x v="15"/>
    <x v="29"/>
    <x v="0"/>
    <x v="31"/>
  </r>
  <r>
    <x v="943"/>
    <x v="0"/>
    <x v="0"/>
    <x v="33"/>
    <x v="26"/>
    <x v="15"/>
    <x v="13"/>
    <x v="6"/>
    <x v="27"/>
    <x v="3"/>
    <x v="27"/>
    <x v="51"/>
    <x v="57"/>
    <x v="222"/>
  </r>
  <r>
    <x v="944"/>
    <x v="0"/>
    <x v="0"/>
    <x v="11"/>
    <x v="9"/>
    <x v="2"/>
    <x v="13"/>
    <x v="18"/>
    <x v="8"/>
    <x v="9"/>
    <x v="19"/>
    <x v="26"/>
    <x v="3"/>
    <x v="22"/>
  </r>
  <r>
    <x v="945"/>
    <x v="0"/>
    <x v="0"/>
    <x v="4"/>
    <x v="16"/>
    <x v="25"/>
    <x v="24"/>
    <x v="0"/>
    <x v="1"/>
    <x v="10"/>
    <x v="18"/>
    <x v="27"/>
    <x v="40"/>
    <x v="130"/>
  </r>
  <r>
    <x v="946"/>
    <x v="0"/>
    <x v="0"/>
    <x v="17"/>
    <x v="22"/>
    <x v="6"/>
    <x v="2"/>
    <x v="7"/>
    <x v="13"/>
    <x v="39"/>
    <x v="28"/>
    <x v="5"/>
    <x v="19"/>
    <x v="203"/>
  </r>
  <r>
    <x v="947"/>
    <x v="0"/>
    <x v="0"/>
    <x v="17"/>
    <x v="26"/>
    <x v="13"/>
    <x v="18"/>
    <x v="19"/>
    <x v="5"/>
    <x v="7"/>
    <x v="16"/>
    <x v="2"/>
    <x v="5"/>
    <x v="133"/>
  </r>
  <r>
    <x v="948"/>
    <x v="0"/>
    <x v="0"/>
    <x v="8"/>
    <x v="7"/>
    <x v="11"/>
    <x v="2"/>
    <x v="16"/>
    <x v="3"/>
    <x v="27"/>
    <x v="10"/>
    <x v="21"/>
    <x v="8"/>
    <x v="144"/>
  </r>
  <r>
    <x v="949"/>
    <x v="0"/>
    <x v="0"/>
    <x v="23"/>
    <x v="0"/>
    <x v="10"/>
    <x v="10"/>
    <x v="22"/>
    <x v="26"/>
    <x v="17"/>
    <x v="8"/>
    <x v="31"/>
    <x v="37"/>
    <x v="31"/>
  </r>
  <r>
    <x v="950"/>
    <x v="0"/>
    <x v="0"/>
    <x v="19"/>
    <x v="16"/>
    <x v="13"/>
    <x v="13"/>
    <x v="14"/>
    <x v="1"/>
    <x v="38"/>
    <x v="27"/>
    <x v="17"/>
    <x v="3"/>
    <x v="17"/>
  </r>
  <r>
    <x v="951"/>
    <x v="0"/>
    <x v="0"/>
    <x v="30"/>
    <x v="37"/>
    <x v="14"/>
    <x v="1"/>
    <x v="16"/>
    <x v="17"/>
    <x v="35"/>
    <x v="24"/>
    <x v="58"/>
    <x v="28"/>
    <x v="203"/>
  </r>
  <r>
    <x v="952"/>
    <x v="0"/>
    <x v="0"/>
    <x v="32"/>
    <x v="0"/>
    <x v="6"/>
    <x v="5"/>
    <x v="18"/>
    <x v="3"/>
    <x v="0"/>
    <x v="46"/>
    <x v="59"/>
    <x v="37"/>
    <x v="177"/>
  </r>
  <r>
    <x v="953"/>
    <x v="0"/>
    <x v="0"/>
    <x v="31"/>
    <x v="12"/>
    <x v="11"/>
    <x v="38"/>
    <x v="12"/>
    <x v="14"/>
    <x v="10"/>
    <x v="36"/>
    <x v="5"/>
    <x v="8"/>
    <x v="80"/>
  </r>
  <r>
    <x v="954"/>
    <x v="0"/>
    <x v="0"/>
    <x v="14"/>
    <x v="12"/>
    <x v="23"/>
    <x v="25"/>
    <x v="8"/>
    <x v="19"/>
    <x v="17"/>
    <x v="28"/>
    <x v="32"/>
    <x v="23"/>
    <x v="30"/>
  </r>
  <r>
    <x v="955"/>
    <x v="0"/>
    <x v="0"/>
    <x v="22"/>
    <x v="26"/>
    <x v="8"/>
    <x v="13"/>
    <x v="19"/>
    <x v="22"/>
    <x v="16"/>
    <x v="38"/>
    <x v="17"/>
    <x v="42"/>
    <x v="65"/>
  </r>
  <r>
    <x v="956"/>
    <x v="0"/>
    <x v="0"/>
    <x v="31"/>
    <x v="16"/>
    <x v="12"/>
    <x v="37"/>
    <x v="10"/>
    <x v="24"/>
    <x v="14"/>
    <x v="8"/>
    <x v="36"/>
    <x v="4"/>
    <x v="234"/>
  </r>
  <r>
    <x v="957"/>
    <x v="0"/>
    <x v="0"/>
    <x v="11"/>
    <x v="5"/>
    <x v="23"/>
    <x v="37"/>
    <x v="25"/>
    <x v="17"/>
    <x v="7"/>
    <x v="15"/>
    <x v="22"/>
    <x v="33"/>
    <x v="177"/>
  </r>
  <r>
    <x v="958"/>
    <x v="0"/>
    <x v="0"/>
    <x v="3"/>
    <x v="20"/>
    <x v="11"/>
    <x v="18"/>
    <x v="16"/>
    <x v="4"/>
    <x v="34"/>
    <x v="32"/>
    <x v="47"/>
    <x v="73"/>
    <x v="227"/>
  </r>
  <r>
    <x v="959"/>
    <x v="1"/>
    <x v="1"/>
    <x v="23"/>
    <x v="26"/>
    <x v="2"/>
    <x v="8"/>
    <x v="6"/>
    <x v="13"/>
    <x v="9"/>
    <x v="26"/>
    <x v="28"/>
    <x v="26"/>
    <x v="37"/>
  </r>
  <r>
    <x v="960"/>
    <x v="1"/>
    <x v="1"/>
    <x v="18"/>
    <x v="26"/>
    <x v="6"/>
    <x v="15"/>
    <x v="10"/>
    <x v="22"/>
    <x v="35"/>
    <x v="28"/>
    <x v="24"/>
    <x v="32"/>
    <x v="42"/>
  </r>
  <r>
    <x v="961"/>
    <x v="1"/>
    <x v="1"/>
    <x v="3"/>
    <x v="14"/>
    <x v="21"/>
    <x v="16"/>
    <x v="16"/>
    <x v="8"/>
    <x v="20"/>
    <x v="15"/>
    <x v="26"/>
    <x v="13"/>
    <x v="68"/>
  </r>
  <r>
    <x v="962"/>
    <x v="1"/>
    <x v="1"/>
    <x v="0"/>
    <x v="17"/>
    <x v="3"/>
    <x v="4"/>
    <x v="27"/>
    <x v="27"/>
    <x v="34"/>
    <x v="24"/>
    <x v="12"/>
    <x v="33"/>
    <x v="145"/>
  </r>
  <r>
    <x v="963"/>
    <x v="1"/>
    <x v="1"/>
    <x v="16"/>
    <x v="5"/>
    <x v="16"/>
    <x v="4"/>
    <x v="5"/>
    <x v="3"/>
    <x v="4"/>
    <x v="28"/>
    <x v="24"/>
    <x v="60"/>
    <x v="57"/>
  </r>
  <r>
    <x v="964"/>
    <x v="1"/>
    <x v="1"/>
    <x v="10"/>
    <x v="24"/>
    <x v="15"/>
    <x v="35"/>
    <x v="0"/>
    <x v="28"/>
    <x v="28"/>
    <x v="23"/>
    <x v="7"/>
    <x v="38"/>
    <x v="144"/>
  </r>
  <r>
    <x v="965"/>
    <x v="1"/>
    <x v="1"/>
    <x v="2"/>
    <x v="0"/>
    <x v="25"/>
    <x v="10"/>
    <x v="27"/>
    <x v="5"/>
    <x v="17"/>
    <x v="15"/>
    <x v="5"/>
    <x v="6"/>
    <x v="9"/>
  </r>
  <r>
    <x v="966"/>
    <x v="1"/>
    <x v="1"/>
    <x v="16"/>
    <x v="29"/>
    <x v="16"/>
    <x v="6"/>
    <x v="18"/>
    <x v="14"/>
    <x v="14"/>
    <x v="2"/>
    <x v="32"/>
    <x v="21"/>
    <x v="163"/>
  </r>
  <r>
    <x v="967"/>
    <x v="1"/>
    <x v="1"/>
    <x v="22"/>
    <x v="5"/>
    <x v="0"/>
    <x v="10"/>
    <x v="30"/>
    <x v="12"/>
    <x v="33"/>
    <x v="10"/>
    <x v="23"/>
    <x v="12"/>
    <x v="16"/>
  </r>
  <r>
    <x v="968"/>
    <x v="1"/>
    <x v="1"/>
    <x v="29"/>
    <x v="26"/>
    <x v="3"/>
    <x v="16"/>
    <x v="45"/>
    <x v="1"/>
    <x v="5"/>
    <x v="10"/>
    <x v="10"/>
    <x v="27"/>
    <x v="1"/>
  </r>
  <r>
    <x v="969"/>
    <x v="1"/>
    <x v="1"/>
    <x v="14"/>
    <x v="17"/>
    <x v="10"/>
    <x v="3"/>
    <x v="24"/>
    <x v="15"/>
    <x v="9"/>
    <x v="1"/>
    <x v="24"/>
    <x v="22"/>
    <x v="37"/>
  </r>
  <r>
    <x v="970"/>
    <x v="1"/>
    <x v="1"/>
    <x v="2"/>
    <x v="22"/>
    <x v="11"/>
    <x v="15"/>
    <x v="23"/>
    <x v="34"/>
    <x v="39"/>
    <x v="0"/>
    <x v="27"/>
    <x v="18"/>
    <x v="157"/>
  </r>
  <r>
    <x v="795"/>
    <x v="1"/>
    <x v="1"/>
    <x v="4"/>
    <x v="22"/>
    <x v="16"/>
    <x v="1"/>
    <x v="23"/>
    <x v="14"/>
    <x v="15"/>
    <x v="9"/>
    <x v="8"/>
    <x v="18"/>
    <x v="39"/>
  </r>
  <r>
    <x v="971"/>
    <x v="1"/>
    <x v="1"/>
    <x v="9"/>
    <x v="0"/>
    <x v="10"/>
    <x v="23"/>
    <x v="9"/>
    <x v="19"/>
    <x v="18"/>
    <x v="3"/>
    <x v="33"/>
    <x v="16"/>
    <x v="210"/>
  </r>
  <r>
    <x v="972"/>
    <x v="1"/>
    <x v="1"/>
    <x v="2"/>
    <x v="5"/>
    <x v="0"/>
    <x v="25"/>
    <x v="13"/>
    <x v="18"/>
    <x v="19"/>
    <x v="26"/>
    <x v="18"/>
    <x v="3"/>
    <x v="63"/>
  </r>
  <r>
    <x v="973"/>
    <x v="1"/>
    <x v="1"/>
    <x v="7"/>
    <x v="7"/>
    <x v="22"/>
    <x v="19"/>
    <x v="18"/>
    <x v="12"/>
    <x v="7"/>
    <x v="24"/>
    <x v="27"/>
    <x v="2"/>
    <x v="141"/>
  </r>
  <r>
    <x v="974"/>
    <x v="1"/>
    <x v="1"/>
    <x v="9"/>
    <x v="4"/>
    <x v="5"/>
    <x v="12"/>
    <x v="0"/>
    <x v="29"/>
    <x v="23"/>
    <x v="2"/>
    <x v="4"/>
    <x v="14"/>
    <x v="96"/>
  </r>
  <r>
    <x v="975"/>
    <x v="1"/>
    <x v="1"/>
    <x v="4"/>
    <x v="26"/>
    <x v="15"/>
    <x v="2"/>
    <x v="40"/>
    <x v="18"/>
    <x v="9"/>
    <x v="14"/>
    <x v="12"/>
    <x v="12"/>
    <x v="77"/>
  </r>
  <r>
    <x v="976"/>
    <x v="1"/>
    <x v="1"/>
    <x v="3"/>
    <x v="9"/>
    <x v="6"/>
    <x v="0"/>
    <x v="27"/>
    <x v="22"/>
    <x v="40"/>
    <x v="2"/>
    <x v="23"/>
    <x v="3"/>
    <x v="92"/>
  </r>
  <r>
    <x v="977"/>
    <x v="1"/>
    <x v="1"/>
    <x v="0"/>
    <x v="6"/>
    <x v="11"/>
    <x v="25"/>
    <x v="27"/>
    <x v="28"/>
    <x v="15"/>
    <x v="37"/>
    <x v="4"/>
    <x v="33"/>
    <x v="96"/>
  </r>
  <r>
    <x v="978"/>
    <x v="1"/>
    <x v="1"/>
    <x v="18"/>
    <x v="17"/>
    <x v="11"/>
    <x v="16"/>
    <x v="10"/>
    <x v="30"/>
    <x v="10"/>
    <x v="5"/>
    <x v="11"/>
    <x v="1"/>
    <x v="35"/>
  </r>
  <r>
    <x v="979"/>
    <x v="1"/>
    <x v="1"/>
    <x v="0"/>
    <x v="7"/>
    <x v="5"/>
    <x v="2"/>
    <x v="28"/>
    <x v="15"/>
    <x v="34"/>
    <x v="14"/>
    <x v="14"/>
    <x v="56"/>
    <x v="139"/>
  </r>
  <r>
    <x v="980"/>
    <x v="1"/>
    <x v="1"/>
    <x v="2"/>
    <x v="25"/>
    <x v="17"/>
    <x v="13"/>
    <x v="3"/>
    <x v="8"/>
    <x v="29"/>
    <x v="41"/>
    <x v="23"/>
    <x v="20"/>
    <x v="170"/>
  </r>
  <r>
    <x v="981"/>
    <x v="1"/>
    <x v="1"/>
    <x v="7"/>
    <x v="8"/>
    <x v="6"/>
    <x v="21"/>
    <x v="26"/>
    <x v="15"/>
    <x v="9"/>
    <x v="19"/>
    <x v="17"/>
    <x v="22"/>
    <x v="92"/>
  </r>
  <r>
    <x v="982"/>
    <x v="1"/>
    <x v="1"/>
    <x v="7"/>
    <x v="0"/>
    <x v="3"/>
    <x v="13"/>
    <x v="10"/>
    <x v="33"/>
    <x v="40"/>
    <x v="30"/>
    <x v="5"/>
    <x v="42"/>
    <x v="66"/>
  </r>
  <r>
    <x v="983"/>
    <x v="1"/>
    <x v="1"/>
    <x v="9"/>
    <x v="15"/>
    <x v="15"/>
    <x v="12"/>
    <x v="12"/>
    <x v="8"/>
    <x v="2"/>
    <x v="20"/>
    <x v="13"/>
    <x v="22"/>
    <x v="57"/>
  </r>
  <r>
    <x v="984"/>
    <x v="1"/>
    <x v="1"/>
    <x v="10"/>
    <x v="17"/>
    <x v="5"/>
    <x v="19"/>
    <x v="30"/>
    <x v="8"/>
    <x v="28"/>
    <x v="3"/>
    <x v="7"/>
    <x v="30"/>
    <x v="141"/>
  </r>
  <r>
    <x v="985"/>
    <x v="1"/>
    <x v="1"/>
    <x v="0"/>
    <x v="1"/>
    <x v="14"/>
    <x v="21"/>
    <x v="11"/>
    <x v="14"/>
    <x v="5"/>
    <x v="27"/>
    <x v="27"/>
    <x v="30"/>
    <x v="144"/>
  </r>
  <r>
    <x v="986"/>
    <x v="1"/>
    <x v="1"/>
    <x v="22"/>
    <x v="26"/>
    <x v="23"/>
    <x v="13"/>
    <x v="18"/>
    <x v="25"/>
    <x v="39"/>
    <x v="0"/>
    <x v="18"/>
    <x v="31"/>
    <x v="135"/>
  </r>
  <r>
    <x v="987"/>
    <x v="1"/>
    <x v="1"/>
    <x v="2"/>
    <x v="39"/>
    <x v="12"/>
    <x v="25"/>
    <x v="7"/>
    <x v="26"/>
    <x v="0"/>
    <x v="38"/>
    <x v="51"/>
    <x v="16"/>
    <x v="143"/>
  </r>
  <r>
    <x v="988"/>
    <x v="1"/>
    <x v="1"/>
    <x v="8"/>
    <x v="8"/>
    <x v="2"/>
    <x v="25"/>
    <x v="20"/>
    <x v="29"/>
    <x v="5"/>
    <x v="0"/>
    <x v="25"/>
    <x v="60"/>
    <x v="80"/>
  </r>
  <r>
    <x v="989"/>
    <x v="1"/>
    <x v="1"/>
    <x v="14"/>
    <x v="17"/>
    <x v="14"/>
    <x v="15"/>
    <x v="9"/>
    <x v="9"/>
    <x v="19"/>
    <x v="19"/>
    <x v="41"/>
    <x v="7"/>
    <x v="166"/>
  </r>
  <r>
    <x v="990"/>
    <x v="1"/>
    <x v="1"/>
    <x v="4"/>
    <x v="16"/>
    <x v="24"/>
    <x v="1"/>
    <x v="10"/>
    <x v="18"/>
    <x v="27"/>
    <x v="8"/>
    <x v="32"/>
    <x v="0"/>
    <x v="11"/>
  </r>
  <r>
    <x v="991"/>
    <x v="1"/>
    <x v="1"/>
    <x v="4"/>
    <x v="0"/>
    <x v="11"/>
    <x v="12"/>
    <x v="3"/>
    <x v="1"/>
    <x v="28"/>
    <x v="24"/>
    <x v="5"/>
    <x v="25"/>
    <x v="127"/>
  </r>
  <r>
    <x v="992"/>
    <x v="1"/>
    <x v="1"/>
    <x v="16"/>
    <x v="5"/>
    <x v="19"/>
    <x v="4"/>
    <x v="23"/>
    <x v="39"/>
    <x v="1"/>
    <x v="8"/>
    <x v="27"/>
    <x v="42"/>
    <x v="24"/>
  </r>
  <r>
    <x v="993"/>
    <x v="1"/>
    <x v="1"/>
    <x v="6"/>
    <x v="2"/>
    <x v="3"/>
    <x v="10"/>
    <x v="20"/>
    <x v="1"/>
    <x v="29"/>
    <x v="28"/>
    <x v="27"/>
    <x v="39"/>
    <x v="42"/>
  </r>
  <r>
    <x v="994"/>
    <x v="1"/>
    <x v="1"/>
    <x v="1"/>
    <x v="12"/>
    <x v="11"/>
    <x v="14"/>
    <x v="3"/>
    <x v="27"/>
    <x v="18"/>
    <x v="10"/>
    <x v="12"/>
    <x v="48"/>
    <x v="9"/>
  </r>
  <r>
    <x v="995"/>
    <x v="1"/>
    <x v="1"/>
    <x v="10"/>
    <x v="2"/>
    <x v="41"/>
    <x v="16"/>
    <x v="18"/>
    <x v="7"/>
    <x v="9"/>
    <x v="29"/>
    <x v="34"/>
    <x v="39"/>
    <x v="32"/>
  </r>
  <r>
    <x v="996"/>
    <x v="1"/>
    <x v="1"/>
    <x v="10"/>
    <x v="8"/>
    <x v="14"/>
    <x v="13"/>
    <x v="16"/>
    <x v="26"/>
    <x v="28"/>
    <x v="22"/>
    <x v="19"/>
    <x v="2"/>
    <x v="157"/>
  </r>
  <r>
    <x v="997"/>
    <x v="1"/>
    <x v="1"/>
    <x v="4"/>
    <x v="9"/>
    <x v="5"/>
    <x v="0"/>
    <x v="9"/>
    <x v="22"/>
    <x v="8"/>
    <x v="19"/>
    <x v="32"/>
    <x v="34"/>
    <x v="163"/>
  </r>
  <r>
    <x v="998"/>
    <x v="1"/>
    <x v="1"/>
    <x v="11"/>
    <x v="0"/>
    <x v="16"/>
    <x v="6"/>
    <x v="25"/>
    <x v="9"/>
    <x v="13"/>
    <x v="14"/>
    <x v="16"/>
    <x v="28"/>
    <x v="37"/>
  </r>
  <r>
    <x v="999"/>
    <x v="1"/>
    <x v="1"/>
    <x v="22"/>
    <x v="3"/>
    <x v="20"/>
    <x v="18"/>
    <x v="6"/>
    <x v="0"/>
    <x v="19"/>
    <x v="37"/>
    <x v="5"/>
    <x v="26"/>
    <x v="11"/>
  </r>
  <r>
    <x v="1000"/>
    <x v="1"/>
    <x v="1"/>
    <x v="4"/>
    <x v="0"/>
    <x v="3"/>
    <x v="21"/>
    <x v="29"/>
    <x v="37"/>
    <x v="7"/>
    <x v="23"/>
    <x v="12"/>
    <x v="39"/>
    <x v="8"/>
  </r>
  <r>
    <x v="1001"/>
    <x v="1"/>
    <x v="1"/>
    <x v="4"/>
    <x v="17"/>
    <x v="34"/>
    <x v="0"/>
    <x v="19"/>
    <x v="2"/>
    <x v="0"/>
    <x v="21"/>
    <x v="12"/>
    <x v="10"/>
    <x v="97"/>
  </r>
  <r>
    <x v="1002"/>
    <x v="1"/>
    <x v="1"/>
    <x v="17"/>
    <x v="3"/>
    <x v="5"/>
    <x v="4"/>
    <x v="31"/>
    <x v="5"/>
    <x v="2"/>
    <x v="23"/>
    <x v="10"/>
    <x v="45"/>
    <x v="163"/>
  </r>
  <r>
    <x v="1003"/>
    <x v="1"/>
    <x v="1"/>
    <x v="17"/>
    <x v="6"/>
    <x v="25"/>
    <x v="20"/>
    <x v="37"/>
    <x v="11"/>
    <x v="40"/>
    <x v="16"/>
    <x v="10"/>
    <x v="8"/>
    <x v="158"/>
  </r>
  <r>
    <x v="1004"/>
    <x v="1"/>
    <x v="1"/>
    <x v="17"/>
    <x v="7"/>
    <x v="13"/>
    <x v="12"/>
    <x v="23"/>
    <x v="8"/>
    <x v="27"/>
    <x v="39"/>
    <x v="29"/>
    <x v="3"/>
    <x v="9"/>
  </r>
  <r>
    <x v="1005"/>
    <x v="1"/>
    <x v="1"/>
    <x v="17"/>
    <x v="1"/>
    <x v="9"/>
    <x v="25"/>
    <x v="28"/>
    <x v="12"/>
    <x v="7"/>
    <x v="1"/>
    <x v="8"/>
    <x v="1"/>
    <x v="1"/>
  </r>
  <r>
    <x v="1006"/>
    <x v="1"/>
    <x v="1"/>
    <x v="17"/>
    <x v="14"/>
    <x v="3"/>
    <x v="12"/>
    <x v="5"/>
    <x v="39"/>
    <x v="19"/>
    <x v="29"/>
    <x v="20"/>
    <x v="36"/>
    <x v="34"/>
  </r>
  <r>
    <x v="1007"/>
    <x v="1"/>
    <x v="1"/>
    <x v="33"/>
    <x v="36"/>
    <x v="11"/>
    <x v="37"/>
    <x v="6"/>
    <x v="27"/>
    <x v="42"/>
    <x v="29"/>
    <x v="18"/>
    <x v="31"/>
    <x v="174"/>
  </r>
  <r>
    <x v="1008"/>
    <x v="1"/>
    <x v="1"/>
    <x v="33"/>
    <x v="38"/>
    <x v="5"/>
    <x v="16"/>
    <x v="11"/>
    <x v="8"/>
    <x v="29"/>
    <x v="29"/>
    <x v="26"/>
    <x v="6"/>
    <x v="50"/>
  </r>
  <r>
    <x v="1009"/>
    <x v="1"/>
    <x v="1"/>
    <x v="33"/>
    <x v="38"/>
    <x v="32"/>
    <x v="25"/>
    <x v="4"/>
    <x v="22"/>
    <x v="1"/>
    <x v="5"/>
    <x v="5"/>
    <x v="50"/>
    <x v="140"/>
  </r>
  <r>
    <x v="1010"/>
    <x v="1"/>
    <x v="1"/>
    <x v="33"/>
    <x v="39"/>
    <x v="23"/>
    <x v="1"/>
    <x v="4"/>
    <x v="13"/>
    <x v="34"/>
    <x v="37"/>
    <x v="18"/>
    <x v="56"/>
    <x v="226"/>
  </r>
  <r>
    <x v="1011"/>
    <x v="1"/>
    <x v="1"/>
    <x v="8"/>
    <x v="1"/>
    <x v="8"/>
    <x v="12"/>
    <x v="16"/>
    <x v="13"/>
    <x v="52"/>
    <x v="24"/>
    <x v="11"/>
    <x v="1"/>
    <x v="25"/>
  </r>
  <r>
    <x v="807"/>
    <x v="1"/>
    <x v="1"/>
    <x v="6"/>
    <x v="10"/>
    <x v="15"/>
    <x v="9"/>
    <x v="19"/>
    <x v="41"/>
    <x v="1"/>
    <x v="24"/>
    <x v="8"/>
    <x v="21"/>
    <x v="82"/>
  </r>
  <r>
    <x v="1012"/>
    <x v="1"/>
    <x v="1"/>
    <x v="8"/>
    <x v="1"/>
    <x v="20"/>
    <x v="3"/>
    <x v="7"/>
    <x v="15"/>
    <x v="14"/>
    <x v="3"/>
    <x v="30"/>
    <x v="14"/>
    <x v="61"/>
  </r>
  <r>
    <x v="1013"/>
    <x v="1"/>
    <x v="1"/>
    <x v="2"/>
    <x v="16"/>
    <x v="14"/>
    <x v="25"/>
    <x v="19"/>
    <x v="15"/>
    <x v="40"/>
    <x v="28"/>
    <x v="4"/>
    <x v="46"/>
    <x v="11"/>
  </r>
  <r>
    <x v="1014"/>
    <x v="1"/>
    <x v="1"/>
    <x v="2"/>
    <x v="9"/>
    <x v="2"/>
    <x v="4"/>
    <x v="3"/>
    <x v="15"/>
    <x v="7"/>
    <x v="18"/>
    <x v="26"/>
    <x v="2"/>
    <x v="10"/>
  </r>
  <r>
    <x v="1015"/>
    <x v="1"/>
    <x v="1"/>
    <x v="10"/>
    <x v="22"/>
    <x v="22"/>
    <x v="14"/>
    <x v="8"/>
    <x v="9"/>
    <x v="31"/>
    <x v="37"/>
    <x v="12"/>
    <x v="7"/>
    <x v="145"/>
  </r>
  <r>
    <x v="1016"/>
    <x v="1"/>
    <x v="1"/>
    <x v="3"/>
    <x v="17"/>
    <x v="4"/>
    <x v="34"/>
    <x v="20"/>
    <x v="9"/>
    <x v="29"/>
    <x v="28"/>
    <x v="9"/>
    <x v="32"/>
    <x v="98"/>
  </r>
  <r>
    <x v="1017"/>
    <x v="1"/>
    <x v="1"/>
    <x v="10"/>
    <x v="2"/>
    <x v="17"/>
    <x v="8"/>
    <x v="4"/>
    <x v="12"/>
    <x v="6"/>
    <x v="15"/>
    <x v="31"/>
    <x v="5"/>
    <x v="49"/>
  </r>
  <r>
    <x v="1018"/>
    <x v="1"/>
    <x v="1"/>
    <x v="9"/>
    <x v="0"/>
    <x v="10"/>
    <x v="1"/>
    <x v="6"/>
    <x v="10"/>
    <x v="53"/>
    <x v="2"/>
    <x v="33"/>
    <x v="9"/>
    <x v="97"/>
  </r>
  <r>
    <x v="1019"/>
    <x v="1"/>
    <x v="1"/>
    <x v="23"/>
    <x v="7"/>
    <x v="10"/>
    <x v="20"/>
    <x v="16"/>
    <x v="24"/>
    <x v="5"/>
    <x v="41"/>
    <x v="27"/>
    <x v="12"/>
    <x v="3"/>
  </r>
  <r>
    <x v="1020"/>
    <x v="1"/>
    <x v="1"/>
    <x v="0"/>
    <x v="6"/>
    <x v="11"/>
    <x v="25"/>
    <x v="20"/>
    <x v="8"/>
    <x v="29"/>
    <x v="15"/>
    <x v="8"/>
    <x v="17"/>
    <x v="96"/>
  </r>
  <r>
    <x v="1021"/>
    <x v="1"/>
    <x v="1"/>
    <x v="17"/>
    <x v="17"/>
    <x v="21"/>
    <x v="25"/>
    <x v="5"/>
    <x v="9"/>
    <x v="23"/>
    <x v="37"/>
    <x v="2"/>
    <x v="32"/>
    <x v="99"/>
  </r>
  <r>
    <x v="1022"/>
    <x v="1"/>
    <x v="1"/>
    <x v="18"/>
    <x v="1"/>
    <x v="9"/>
    <x v="5"/>
    <x v="6"/>
    <x v="3"/>
    <x v="0"/>
    <x v="9"/>
    <x v="29"/>
    <x v="25"/>
    <x v="0"/>
  </r>
  <r>
    <x v="1023"/>
    <x v="1"/>
    <x v="1"/>
    <x v="9"/>
    <x v="20"/>
    <x v="12"/>
    <x v="0"/>
    <x v="26"/>
    <x v="22"/>
    <x v="0"/>
    <x v="7"/>
    <x v="33"/>
    <x v="29"/>
    <x v="23"/>
  </r>
  <r>
    <x v="1024"/>
    <x v="1"/>
    <x v="1"/>
    <x v="16"/>
    <x v="12"/>
    <x v="22"/>
    <x v="21"/>
    <x v="6"/>
    <x v="8"/>
    <x v="3"/>
    <x v="24"/>
    <x v="11"/>
    <x v="26"/>
    <x v="46"/>
  </r>
  <r>
    <x v="1025"/>
    <x v="1"/>
    <x v="1"/>
    <x v="17"/>
    <x v="7"/>
    <x v="23"/>
    <x v="13"/>
    <x v="27"/>
    <x v="33"/>
    <x v="34"/>
    <x v="6"/>
    <x v="5"/>
    <x v="26"/>
    <x v="150"/>
  </r>
  <r>
    <x v="1026"/>
    <x v="1"/>
    <x v="1"/>
    <x v="8"/>
    <x v="3"/>
    <x v="25"/>
    <x v="10"/>
    <x v="1"/>
    <x v="4"/>
    <x v="7"/>
    <x v="8"/>
    <x v="1"/>
    <x v="40"/>
    <x v="61"/>
  </r>
  <r>
    <x v="1027"/>
    <x v="1"/>
    <x v="1"/>
    <x v="3"/>
    <x v="20"/>
    <x v="3"/>
    <x v="4"/>
    <x v="29"/>
    <x v="6"/>
    <x v="42"/>
    <x v="19"/>
    <x v="11"/>
    <x v="15"/>
    <x v="23"/>
  </r>
  <r>
    <x v="1028"/>
    <x v="1"/>
    <x v="1"/>
    <x v="4"/>
    <x v="6"/>
    <x v="23"/>
    <x v="14"/>
    <x v="2"/>
    <x v="9"/>
    <x v="18"/>
    <x v="29"/>
    <x v="4"/>
    <x v="21"/>
    <x v="98"/>
  </r>
  <r>
    <x v="1029"/>
    <x v="1"/>
    <x v="1"/>
    <x v="7"/>
    <x v="3"/>
    <x v="19"/>
    <x v="19"/>
    <x v="18"/>
    <x v="15"/>
    <x v="35"/>
    <x v="16"/>
    <x v="4"/>
    <x v="25"/>
    <x v="19"/>
  </r>
  <r>
    <x v="1030"/>
    <x v="1"/>
    <x v="1"/>
    <x v="9"/>
    <x v="5"/>
    <x v="25"/>
    <x v="6"/>
    <x v="2"/>
    <x v="10"/>
    <x v="27"/>
    <x v="25"/>
    <x v="60"/>
    <x v="39"/>
    <x v="51"/>
  </r>
  <r>
    <x v="1031"/>
    <x v="1"/>
    <x v="1"/>
    <x v="14"/>
    <x v="4"/>
    <x v="5"/>
    <x v="12"/>
    <x v="13"/>
    <x v="18"/>
    <x v="40"/>
    <x v="21"/>
    <x v="27"/>
    <x v="0"/>
    <x v="42"/>
  </r>
  <r>
    <x v="1032"/>
    <x v="1"/>
    <x v="1"/>
    <x v="2"/>
    <x v="26"/>
    <x v="16"/>
    <x v="0"/>
    <x v="16"/>
    <x v="11"/>
    <x v="34"/>
    <x v="5"/>
    <x v="2"/>
    <x v="28"/>
    <x v="46"/>
  </r>
  <r>
    <x v="1033"/>
    <x v="1"/>
    <x v="1"/>
    <x v="3"/>
    <x v="22"/>
    <x v="21"/>
    <x v="6"/>
    <x v="14"/>
    <x v="3"/>
    <x v="2"/>
    <x v="15"/>
    <x v="7"/>
    <x v="26"/>
    <x v="133"/>
  </r>
  <r>
    <x v="1034"/>
    <x v="1"/>
    <x v="1"/>
    <x v="2"/>
    <x v="0"/>
    <x v="2"/>
    <x v="5"/>
    <x v="6"/>
    <x v="16"/>
    <x v="14"/>
    <x v="9"/>
    <x v="31"/>
    <x v="60"/>
    <x v="58"/>
  </r>
  <r>
    <x v="1035"/>
    <x v="1"/>
    <x v="1"/>
    <x v="17"/>
    <x v="16"/>
    <x v="11"/>
    <x v="20"/>
    <x v="6"/>
    <x v="19"/>
    <x v="24"/>
    <x v="54"/>
    <x v="3"/>
    <x v="13"/>
    <x v="56"/>
  </r>
  <r>
    <x v="1036"/>
    <x v="1"/>
    <x v="1"/>
    <x v="10"/>
    <x v="16"/>
    <x v="22"/>
    <x v="15"/>
    <x v="0"/>
    <x v="2"/>
    <x v="1"/>
    <x v="3"/>
    <x v="36"/>
    <x v="50"/>
    <x v="96"/>
  </r>
  <r>
    <x v="1037"/>
    <x v="1"/>
    <x v="1"/>
    <x v="8"/>
    <x v="22"/>
    <x v="9"/>
    <x v="4"/>
    <x v="30"/>
    <x v="18"/>
    <x v="15"/>
    <x v="38"/>
    <x v="16"/>
    <x v="42"/>
    <x v="65"/>
  </r>
  <r>
    <x v="1038"/>
    <x v="1"/>
    <x v="1"/>
    <x v="16"/>
    <x v="5"/>
    <x v="4"/>
    <x v="21"/>
    <x v="20"/>
    <x v="28"/>
    <x v="8"/>
    <x v="37"/>
    <x v="26"/>
    <x v="18"/>
    <x v="170"/>
  </r>
  <r>
    <x v="1039"/>
    <x v="1"/>
    <x v="1"/>
    <x v="21"/>
    <x v="22"/>
    <x v="14"/>
    <x v="6"/>
    <x v="26"/>
    <x v="24"/>
    <x v="18"/>
    <x v="6"/>
    <x v="3"/>
    <x v="37"/>
    <x v="7"/>
  </r>
  <r>
    <x v="1040"/>
    <x v="1"/>
    <x v="1"/>
    <x v="7"/>
    <x v="16"/>
    <x v="16"/>
    <x v="15"/>
    <x v="2"/>
    <x v="28"/>
    <x v="39"/>
    <x v="38"/>
    <x v="23"/>
    <x v="14"/>
    <x v="158"/>
  </r>
  <r>
    <x v="1041"/>
    <x v="1"/>
    <x v="1"/>
    <x v="32"/>
    <x v="28"/>
    <x v="35"/>
    <x v="1"/>
    <x v="6"/>
    <x v="27"/>
    <x v="23"/>
    <x v="3"/>
    <x v="2"/>
    <x v="47"/>
    <x v="198"/>
  </r>
  <r>
    <x v="1042"/>
    <x v="1"/>
    <x v="1"/>
    <x v="2"/>
    <x v="26"/>
    <x v="11"/>
    <x v="14"/>
    <x v="9"/>
    <x v="3"/>
    <x v="8"/>
    <x v="28"/>
    <x v="17"/>
    <x v="23"/>
    <x v="66"/>
  </r>
  <r>
    <x v="1043"/>
    <x v="1"/>
    <x v="1"/>
    <x v="8"/>
    <x v="5"/>
    <x v="3"/>
    <x v="13"/>
    <x v="22"/>
    <x v="27"/>
    <x v="27"/>
    <x v="24"/>
    <x v="5"/>
    <x v="6"/>
    <x v="24"/>
  </r>
  <r>
    <x v="1044"/>
    <x v="1"/>
    <x v="1"/>
    <x v="3"/>
    <x v="5"/>
    <x v="2"/>
    <x v="3"/>
    <x v="24"/>
    <x v="0"/>
    <x v="12"/>
    <x v="38"/>
    <x v="24"/>
    <x v="10"/>
    <x v="36"/>
  </r>
  <r>
    <x v="1045"/>
    <x v="2"/>
    <x v="2"/>
    <x v="29"/>
    <x v="41"/>
    <x v="21"/>
    <x v="18"/>
    <x v="12"/>
    <x v="8"/>
    <x v="18"/>
    <x v="24"/>
    <x v="40"/>
    <x v="60"/>
    <x v="50"/>
  </r>
  <r>
    <x v="1046"/>
    <x v="2"/>
    <x v="2"/>
    <x v="22"/>
    <x v="25"/>
    <x v="33"/>
    <x v="23"/>
    <x v="31"/>
    <x v="23"/>
    <x v="34"/>
    <x v="18"/>
    <x v="8"/>
    <x v="42"/>
    <x v="195"/>
  </r>
  <r>
    <x v="1047"/>
    <x v="2"/>
    <x v="2"/>
    <x v="16"/>
    <x v="7"/>
    <x v="18"/>
    <x v="3"/>
    <x v="16"/>
    <x v="38"/>
    <x v="0"/>
    <x v="6"/>
    <x v="26"/>
    <x v="25"/>
    <x v="62"/>
  </r>
  <r>
    <x v="1048"/>
    <x v="2"/>
    <x v="2"/>
    <x v="34"/>
    <x v="29"/>
    <x v="25"/>
    <x v="23"/>
    <x v="15"/>
    <x v="23"/>
    <x v="14"/>
    <x v="28"/>
    <x v="27"/>
    <x v="56"/>
    <x v="154"/>
  </r>
  <r>
    <x v="1049"/>
    <x v="2"/>
    <x v="2"/>
    <x v="23"/>
    <x v="12"/>
    <x v="10"/>
    <x v="20"/>
    <x v="22"/>
    <x v="4"/>
    <x v="2"/>
    <x v="30"/>
    <x v="61"/>
    <x v="40"/>
    <x v="156"/>
  </r>
  <r>
    <x v="1050"/>
    <x v="2"/>
    <x v="2"/>
    <x v="10"/>
    <x v="39"/>
    <x v="36"/>
    <x v="16"/>
    <x v="19"/>
    <x v="17"/>
    <x v="8"/>
    <x v="43"/>
    <x v="30"/>
    <x v="0"/>
    <x v="202"/>
  </r>
  <r>
    <x v="1051"/>
    <x v="2"/>
    <x v="2"/>
    <x v="33"/>
    <x v="22"/>
    <x v="35"/>
    <x v="39"/>
    <x v="3"/>
    <x v="9"/>
    <x v="8"/>
    <x v="49"/>
    <x v="3"/>
    <x v="14"/>
    <x v="179"/>
  </r>
  <r>
    <x v="1052"/>
    <x v="2"/>
    <x v="2"/>
    <x v="23"/>
    <x v="26"/>
    <x v="18"/>
    <x v="17"/>
    <x v="17"/>
    <x v="33"/>
    <x v="22"/>
    <x v="15"/>
    <x v="30"/>
    <x v="26"/>
    <x v="136"/>
  </r>
  <r>
    <x v="1053"/>
    <x v="2"/>
    <x v="2"/>
    <x v="29"/>
    <x v="41"/>
    <x v="25"/>
    <x v="15"/>
    <x v="19"/>
    <x v="10"/>
    <x v="0"/>
    <x v="41"/>
    <x v="36"/>
    <x v="65"/>
    <x v="176"/>
  </r>
  <r>
    <x v="1054"/>
    <x v="2"/>
    <x v="2"/>
    <x v="11"/>
    <x v="14"/>
    <x v="37"/>
    <x v="23"/>
    <x v="8"/>
    <x v="10"/>
    <x v="3"/>
    <x v="5"/>
    <x v="25"/>
    <x v="39"/>
    <x v="203"/>
  </r>
  <r>
    <x v="1055"/>
    <x v="2"/>
    <x v="2"/>
    <x v="2"/>
    <x v="24"/>
    <x v="32"/>
    <x v="5"/>
    <x v="15"/>
    <x v="19"/>
    <x v="1"/>
    <x v="0"/>
    <x v="30"/>
    <x v="27"/>
    <x v="58"/>
  </r>
  <r>
    <x v="1056"/>
    <x v="2"/>
    <x v="2"/>
    <x v="14"/>
    <x v="31"/>
    <x v="11"/>
    <x v="1"/>
    <x v="8"/>
    <x v="26"/>
    <x v="5"/>
    <x v="30"/>
    <x v="2"/>
    <x v="13"/>
    <x v="56"/>
  </r>
  <r>
    <x v="1057"/>
    <x v="2"/>
    <x v="2"/>
    <x v="11"/>
    <x v="39"/>
    <x v="6"/>
    <x v="25"/>
    <x v="47"/>
    <x v="12"/>
    <x v="18"/>
    <x v="12"/>
    <x v="25"/>
    <x v="48"/>
    <x v="235"/>
  </r>
  <r>
    <x v="1058"/>
    <x v="2"/>
    <x v="2"/>
    <x v="7"/>
    <x v="39"/>
    <x v="6"/>
    <x v="34"/>
    <x v="37"/>
    <x v="8"/>
    <x v="10"/>
    <x v="3"/>
    <x v="2"/>
    <x v="4"/>
    <x v="27"/>
  </r>
  <r>
    <x v="1059"/>
    <x v="2"/>
    <x v="2"/>
    <x v="14"/>
    <x v="12"/>
    <x v="9"/>
    <x v="43"/>
    <x v="8"/>
    <x v="37"/>
    <x v="1"/>
    <x v="30"/>
    <x v="24"/>
    <x v="33"/>
    <x v="186"/>
  </r>
  <r>
    <x v="1060"/>
    <x v="2"/>
    <x v="2"/>
    <x v="0"/>
    <x v="38"/>
    <x v="22"/>
    <x v="43"/>
    <x v="1"/>
    <x v="22"/>
    <x v="3"/>
    <x v="35"/>
    <x v="3"/>
    <x v="57"/>
    <x v="152"/>
  </r>
  <r>
    <x v="1061"/>
    <x v="2"/>
    <x v="2"/>
    <x v="34"/>
    <x v="31"/>
    <x v="33"/>
    <x v="18"/>
    <x v="30"/>
    <x v="9"/>
    <x v="10"/>
    <x v="32"/>
    <x v="1"/>
    <x v="18"/>
    <x v="201"/>
  </r>
  <r>
    <x v="1062"/>
    <x v="2"/>
    <x v="2"/>
    <x v="33"/>
    <x v="17"/>
    <x v="25"/>
    <x v="18"/>
    <x v="16"/>
    <x v="44"/>
    <x v="25"/>
    <x v="10"/>
    <x v="24"/>
    <x v="21"/>
    <x v="198"/>
  </r>
  <r>
    <x v="1063"/>
    <x v="2"/>
    <x v="2"/>
    <x v="32"/>
    <x v="41"/>
    <x v="25"/>
    <x v="37"/>
    <x v="47"/>
    <x v="51"/>
    <x v="8"/>
    <x v="40"/>
    <x v="51"/>
    <x v="12"/>
    <x v="236"/>
  </r>
  <r>
    <x v="1064"/>
    <x v="2"/>
    <x v="2"/>
    <x v="23"/>
    <x v="25"/>
    <x v="21"/>
    <x v="23"/>
    <x v="24"/>
    <x v="27"/>
    <x v="14"/>
    <x v="45"/>
    <x v="31"/>
    <x v="18"/>
    <x v="235"/>
  </r>
  <r>
    <x v="1065"/>
    <x v="2"/>
    <x v="2"/>
    <x v="14"/>
    <x v="7"/>
    <x v="35"/>
    <x v="23"/>
    <x v="20"/>
    <x v="19"/>
    <x v="6"/>
    <x v="35"/>
    <x v="7"/>
    <x v="28"/>
    <x v="129"/>
  </r>
  <r>
    <x v="1066"/>
    <x v="2"/>
    <x v="2"/>
    <x v="17"/>
    <x v="9"/>
    <x v="36"/>
    <x v="17"/>
    <x v="3"/>
    <x v="6"/>
    <x v="38"/>
    <x v="0"/>
    <x v="4"/>
    <x v="16"/>
    <x v="97"/>
  </r>
  <r>
    <x v="1067"/>
    <x v="2"/>
    <x v="2"/>
    <x v="0"/>
    <x v="24"/>
    <x v="6"/>
    <x v="5"/>
    <x v="7"/>
    <x v="17"/>
    <x v="8"/>
    <x v="32"/>
    <x v="9"/>
    <x v="8"/>
    <x v="149"/>
  </r>
  <r>
    <x v="1068"/>
    <x v="2"/>
    <x v="2"/>
    <x v="2"/>
    <x v="36"/>
    <x v="32"/>
    <x v="18"/>
    <x v="1"/>
    <x v="37"/>
    <x v="8"/>
    <x v="21"/>
    <x v="30"/>
    <x v="47"/>
    <x v="202"/>
  </r>
  <r>
    <x v="1069"/>
    <x v="2"/>
    <x v="2"/>
    <x v="30"/>
    <x v="12"/>
    <x v="35"/>
    <x v="20"/>
    <x v="23"/>
    <x v="8"/>
    <x v="8"/>
    <x v="28"/>
    <x v="30"/>
    <x v="47"/>
    <x v="175"/>
  </r>
  <r>
    <x v="1070"/>
    <x v="2"/>
    <x v="2"/>
    <x v="21"/>
    <x v="26"/>
    <x v="31"/>
    <x v="17"/>
    <x v="39"/>
    <x v="45"/>
    <x v="40"/>
    <x v="26"/>
    <x v="0"/>
    <x v="31"/>
    <x v="131"/>
  </r>
  <r>
    <x v="1071"/>
    <x v="2"/>
    <x v="2"/>
    <x v="33"/>
    <x v="36"/>
    <x v="34"/>
    <x v="25"/>
    <x v="7"/>
    <x v="12"/>
    <x v="2"/>
    <x v="3"/>
    <x v="30"/>
    <x v="5"/>
    <x v="237"/>
  </r>
  <r>
    <x v="1072"/>
    <x v="2"/>
    <x v="2"/>
    <x v="11"/>
    <x v="36"/>
    <x v="5"/>
    <x v="15"/>
    <x v="5"/>
    <x v="22"/>
    <x v="40"/>
    <x v="29"/>
    <x v="49"/>
    <x v="31"/>
    <x v="179"/>
  </r>
  <r>
    <x v="1073"/>
    <x v="2"/>
    <x v="2"/>
    <x v="22"/>
    <x v="16"/>
    <x v="33"/>
    <x v="12"/>
    <x v="2"/>
    <x v="3"/>
    <x v="39"/>
    <x v="22"/>
    <x v="14"/>
    <x v="47"/>
    <x v="59"/>
  </r>
  <r>
    <x v="1074"/>
    <x v="2"/>
    <x v="2"/>
    <x v="8"/>
    <x v="25"/>
    <x v="18"/>
    <x v="1"/>
    <x v="30"/>
    <x v="29"/>
    <x v="39"/>
    <x v="38"/>
    <x v="38"/>
    <x v="48"/>
    <x v="214"/>
  </r>
  <r>
    <x v="1075"/>
    <x v="2"/>
    <x v="2"/>
    <x v="30"/>
    <x v="36"/>
    <x v="5"/>
    <x v="19"/>
    <x v="23"/>
    <x v="17"/>
    <x v="0"/>
    <x v="7"/>
    <x v="8"/>
    <x v="60"/>
    <x v="147"/>
  </r>
  <r>
    <x v="1076"/>
    <x v="2"/>
    <x v="2"/>
    <x v="29"/>
    <x v="15"/>
    <x v="34"/>
    <x v="8"/>
    <x v="4"/>
    <x v="9"/>
    <x v="39"/>
    <x v="24"/>
    <x v="14"/>
    <x v="60"/>
    <x v="238"/>
  </r>
  <r>
    <x v="1077"/>
    <x v="2"/>
    <x v="2"/>
    <x v="19"/>
    <x v="22"/>
    <x v="37"/>
    <x v="0"/>
    <x v="1"/>
    <x v="23"/>
    <x v="1"/>
    <x v="37"/>
    <x v="23"/>
    <x v="25"/>
    <x v="134"/>
  </r>
  <r>
    <x v="1078"/>
    <x v="2"/>
    <x v="2"/>
    <x v="33"/>
    <x v="36"/>
    <x v="32"/>
    <x v="16"/>
    <x v="42"/>
    <x v="29"/>
    <x v="50"/>
    <x v="40"/>
    <x v="22"/>
    <x v="6"/>
    <x v="239"/>
  </r>
  <r>
    <x v="1079"/>
    <x v="2"/>
    <x v="2"/>
    <x v="22"/>
    <x v="39"/>
    <x v="36"/>
    <x v="16"/>
    <x v="19"/>
    <x v="4"/>
    <x v="25"/>
    <x v="8"/>
    <x v="18"/>
    <x v="14"/>
    <x v="29"/>
  </r>
  <r>
    <x v="1080"/>
    <x v="2"/>
    <x v="2"/>
    <x v="33"/>
    <x v="16"/>
    <x v="20"/>
    <x v="5"/>
    <x v="19"/>
    <x v="14"/>
    <x v="29"/>
    <x v="21"/>
    <x v="25"/>
    <x v="33"/>
    <x v="66"/>
  </r>
  <r>
    <x v="1081"/>
    <x v="2"/>
    <x v="2"/>
    <x v="11"/>
    <x v="37"/>
    <x v="3"/>
    <x v="38"/>
    <x v="21"/>
    <x v="15"/>
    <x v="11"/>
    <x v="6"/>
    <x v="4"/>
    <x v="18"/>
    <x v="177"/>
  </r>
  <r>
    <x v="935"/>
    <x v="2"/>
    <x v="2"/>
    <x v="11"/>
    <x v="29"/>
    <x v="35"/>
    <x v="34"/>
    <x v="19"/>
    <x v="17"/>
    <x v="34"/>
    <x v="38"/>
    <x v="1"/>
    <x v="60"/>
    <x v="187"/>
  </r>
  <r>
    <x v="1082"/>
    <x v="2"/>
    <x v="2"/>
    <x v="17"/>
    <x v="37"/>
    <x v="17"/>
    <x v="35"/>
    <x v="12"/>
    <x v="28"/>
    <x v="29"/>
    <x v="45"/>
    <x v="18"/>
    <x v="33"/>
    <x v="129"/>
  </r>
  <r>
    <x v="1083"/>
    <x v="2"/>
    <x v="2"/>
    <x v="11"/>
    <x v="14"/>
    <x v="35"/>
    <x v="3"/>
    <x v="23"/>
    <x v="13"/>
    <x v="20"/>
    <x v="28"/>
    <x v="23"/>
    <x v="8"/>
    <x v="130"/>
  </r>
  <r>
    <x v="1084"/>
    <x v="2"/>
    <x v="2"/>
    <x v="11"/>
    <x v="39"/>
    <x v="6"/>
    <x v="1"/>
    <x v="4"/>
    <x v="29"/>
    <x v="35"/>
    <x v="14"/>
    <x v="36"/>
    <x v="28"/>
    <x v="56"/>
  </r>
  <r>
    <x v="1085"/>
    <x v="2"/>
    <x v="2"/>
    <x v="23"/>
    <x v="14"/>
    <x v="34"/>
    <x v="23"/>
    <x v="26"/>
    <x v="13"/>
    <x v="10"/>
    <x v="15"/>
    <x v="37"/>
    <x v="5"/>
    <x v="175"/>
  </r>
  <r>
    <x v="1086"/>
    <x v="2"/>
    <x v="2"/>
    <x v="22"/>
    <x v="5"/>
    <x v="31"/>
    <x v="37"/>
    <x v="5"/>
    <x v="0"/>
    <x v="0"/>
    <x v="23"/>
    <x v="7"/>
    <x v="30"/>
    <x v="130"/>
  </r>
  <r>
    <x v="1087"/>
    <x v="2"/>
    <x v="2"/>
    <x v="29"/>
    <x v="39"/>
    <x v="23"/>
    <x v="18"/>
    <x v="27"/>
    <x v="33"/>
    <x v="2"/>
    <x v="3"/>
    <x v="19"/>
    <x v="46"/>
    <x v="133"/>
  </r>
  <r>
    <x v="1088"/>
    <x v="2"/>
    <x v="2"/>
    <x v="21"/>
    <x v="36"/>
    <x v="35"/>
    <x v="15"/>
    <x v="6"/>
    <x v="13"/>
    <x v="39"/>
    <x v="15"/>
    <x v="38"/>
    <x v="6"/>
    <x v="160"/>
  </r>
  <r>
    <x v="1089"/>
    <x v="2"/>
    <x v="2"/>
    <x v="23"/>
    <x v="37"/>
    <x v="5"/>
    <x v="8"/>
    <x v="23"/>
    <x v="18"/>
    <x v="14"/>
    <x v="36"/>
    <x v="40"/>
    <x v="8"/>
    <x v="146"/>
  </r>
  <r>
    <x v="1090"/>
    <x v="2"/>
    <x v="2"/>
    <x v="33"/>
    <x v="9"/>
    <x v="25"/>
    <x v="17"/>
    <x v="30"/>
    <x v="3"/>
    <x v="11"/>
    <x v="29"/>
    <x v="1"/>
    <x v="33"/>
    <x v="201"/>
  </r>
  <r>
    <x v="1091"/>
    <x v="2"/>
    <x v="2"/>
    <x v="23"/>
    <x v="31"/>
    <x v="35"/>
    <x v="15"/>
    <x v="11"/>
    <x v="9"/>
    <x v="50"/>
    <x v="37"/>
    <x v="14"/>
    <x v="25"/>
    <x v="186"/>
  </r>
  <r>
    <x v="1092"/>
    <x v="2"/>
    <x v="2"/>
    <x v="22"/>
    <x v="14"/>
    <x v="18"/>
    <x v="16"/>
    <x v="10"/>
    <x v="12"/>
    <x v="16"/>
    <x v="41"/>
    <x v="24"/>
    <x v="53"/>
    <x v="65"/>
  </r>
  <r>
    <x v="1093"/>
    <x v="2"/>
    <x v="2"/>
    <x v="0"/>
    <x v="4"/>
    <x v="21"/>
    <x v="13"/>
    <x v="22"/>
    <x v="33"/>
    <x v="43"/>
    <x v="38"/>
    <x v="51"/>
    <x v="8"/>
    <x v="189"/>
  </r>
  <r>
    <x v="1094"/>
    <x v="2"/>
    <x v="2"/>
    <x v="3"/>
    <x v="26"/>
    <x v="25"/>
    <x v="13"/>
    <x v="26"/>
    <x v="9"/>
    <x v="47"/>
    <x v="16"/>
    <x v="1"/>
    <x v="43"/>
    <x v="69"/>
  </r>
  <r>
    <x v="1095"/>
    <x v="2"/>
    <x v="2"/>
    <x v="22"/>
    <x v="3"/>
    <x v="25"/>
    <x v="12"/>
    <x v="27"/>
    <x v="4"/>
    <x v="39"/>
    <x v="37"/>
    <x v="7"/>
    <x v="39"/>
    <x v="147"/>
  </r>
  <r>
    <x v="1096"/>
    <x v="2"/>
    <x v="2"/>
    <x v="11"/>
    <x v="8"/>
    <x v="11"/>
    <x v="15"/>
    <x v="30"/>
    <x v="5"/>
    <x v="38"/>
    <x v="0"/>
    <x v="24"/>
    <x v="14"/>
    <x v="49"/>
  </r>
  <r>
    <x v="1097"/>
    <x v="2"/>
    <x v="2"/>
    <x v="33"/>
    <x v="39"/>
    <x v="22"/>
    <x v="25"/>
    <x v="30"/>
    <x v="17"/>
    <x v="23"/>
    <x v="12"/>
    <x v="58"/>
    <x v="38"/>
    <x v="156"/>
  </r>
  <r>
    <x v="1098"/>
    <x v="2"/>
    <x v="2"/>
    <x v="14"/>
    <x v="36"/>
    <x v="37"/>
    <x v="13"/>
    <x v="6"/>
    <x v="39"/>
    <x v="3"/>
    <x v="18"/>
    <x v="30"/>
    <x v="6"/>
    <x v="80"/>
  </r>
  <r>
    <x v="1099"/>
    <x v="2"/>
    <x v="2"/>
    <x v="9"/>
    <x v="14"/>
    <x v="36"/>
    <x v="17"/>
    <x v="25"/>
    <x v="27"/>
    <x v="40"/>
    <x v="37"/>
    <x v="41"/>
    <x v="22"/>
    <x v="232"/>
  </r>
  <r>
    <x v="1100"/>
    <x v="2"/>
    <x v="2"/>
    <x v="8"/>
    <x v="38"/>
    <x v="25"/>
    <x v="39"/>
    <x v="5"/>
    <x v="12"/>
    <x v="31"/>
    <x v="15"/>
    <x v="31"/>
    <x v="64"/>
    <x v="64"/>
  </r>
  <r>
    <x v="1101"/>
    <x v="2"/>
    <x v="2"/>
    <x v="30"/>
    <x v="26"/>
    <x v="17"/>
    <x v="1"/>
    <x v="22"/>
    <x v="38"/>
    <x v="10"/>
    <x v="27"/>
    <x v="18"/>
    <x v="38"/>
    <x v="202"/>
  </r>
  <r>
    <x v="1102"/>
    <x v="2"/>
    <x v="2"/>
    <x v="23"/>
    <x v="37"/>
    <x v="17"/>
    <x v="25"/>
    <x v="20"/>
    <x v="24"/>
    <x v="42"/>
    <x v="46"/>
    <x v="24"/>
    <x v="48"/>
    <x v="222"/>
  </r>
  <r>
    <x v="1103"/>
    <x v="2"/>
    <x v="2"/>
    <x v="33"/>
    <x v="12"/>
    <x v="18"/>
    <x v="1"/>
    <x v="20"/>
    <x v="23"/>
    <x v="2"/>
    <x v="22"/>
    <x v="4"/>
    <x v="9"/>
    <x v="240"/>
  </r>
  <r>
    <x v="1104"/>
    <x v="2"/>
    <x v="2"/>
    <x v="8"/>
    <x v="24"/>
    <x v="15"/>
    <x v="25"/>
    <x v="6"/>
    <x v="26"/>
    <x v="6"/>
    <x v="5"/>
    <x v="41"/>
    <x v="40"/>
    <x v="25"/>
  </r>
  <r>
    <x v="1105"/>
    <x v="2"/>
    <x v="2"/>
    <x v="33"/>
    <x v="36"/>
    <x v="31"/>
    <x v="17"/>
    <x v="43"/>
    <x v="15"/>
    <x v="35"/>
    <x v="12"/>
    <x v="24"/>
    <x v="6"/>
    <x v="197"/>
  </r>
  <r>
    <x v="1106"/>
    <x v="2"/>
    <x v="2"/>
    <x v="23"/>
    <x v="1"/>
    <x v="35"/>
    <x v="8"/>
    <x v="6"/>
    <x v="19"/>
    <x v="17"/>
    <x v="38"/>
    <x v="3"/>
    <x v="43"/>
    <x v="233"/>
  </r>
  <r>
    <x v="1107"/>
    <x v="2"/>
    <x v="2"/>
    <x v="31"/>
    <x v="7"/>
    <x v="12"/>
    <x v="20"/>
    <x v="31"/>
    <x v="15"/>
    <x v="40"/>
    <x v="40"/>
    <x v="39"/>
    <x v="8"/>
    <x v="70"/>
  </r>
  <r>
    <x v="1108"/>
    <x v="2"/>
    <x v="2"/>
    <x v="23"/>
    <x v="22"/>
    <x v="6"/>
    <x v="12"/>
    <x v="26"/>
    <x v="2"/>
    <x v="40"/>
    <x v="6"/>
    <x v="38"/>
    <x v="26"/>
    <x v="148"/>
  </r>
  <r>
    <x v="1109"/>
    <x v="2"/>
    <x v="2"/>
    <x v="31"/>
    <x v="5"/>
    <x v="6"/>
    <x v="2"/>
    <x v="15"/>
    <x v="12"/>
    <x v="0"/>
    <x v="26"/>
    <x v="53"/>
    <x v="43"/>
    <x v="241"/>
  </r>
  <r>
    <x v="1110"/>
    <x v="2"/>
    <x v="2"/>
    <x v="9"/>
    <x v="3"/>
    <x v="6"/>
    <x v="25"/>
    <x v="4"/>
    <x v="17"/>
    <x v="32"/>
    <x v="41"/>
    <x v="37"/>
    <x v="22"/>
    <x v="70"/>
  </r>
  <r>
    <x v="1111"/>
    <x v="2"/>
    <x v="2"/>
    <x v="29"/>
    <x v="15"/>
    <x v="25"/>
    <x v="21"/>
    <x v="29"/>
    <x v="10"/>
    <x v="11"/>
    <x v="46"/>
    <x v="32"/>
    <x v="25"/>
    <x v="79"/>
  </r>
  <r>
    <x v="1112"/>
    <x v="2"/>
    <x v="2"/>
    <x v="11"/>
    <x v="37"/>
    <x v="3"/>
    <x v="5"/>
    <x v="14"/>
    <x v="29"/>
    <x v="38"/>
    <x v="30"/>
    <x v="2"/>
    <x v="36"/>
    <x v="164"/>
  </r>
  <r>
    <x v="1113"/>
    <x v="2"/>
    <x v="2"/>
    <x v="31"/>
    <x v="26"/>
    <x v="3"/>
    <x v="16"/>
    <x v="19"/>
    <x v="44"/>
    <x v="42"/>
    <x v="2"/>
    <x v="39"/>
    <x v="40"/>
    <x v="27"/>
  </r>
  <r>
    <x v="1114"/>
    <x v="2"/>
    <x v="2"/>
    <x v="8"/>
    <x v="39"/>
    <x v="18"/>
    <x v="25"/>
    <x v="7"/>
    <x v="10"/>
    <x v="10"/>
    <x v="12"/>
    <x v="18"/>
    <x v="16"/>
    <x v="143"/>
  </r>
  <r>
    <x v="1115"/>
    <x v="2"/>
    <x v="2"/>
    <x v="11"/>
    <x v="26"/>
    <x v="14"/>
    <x v="10"/>
    <x v="22"/>
    <x v="49"/>
    <x v="10"/>
    <x v="8"/>
    <x v="4"/>
    <x v="8"/>
    <x v="56"/>
  </r>
  <r>
    <x v="1116"/>
    <x v="2"/>
    <x v="2"/>
    <x v="0"/>
    <x v="25"/>
    <x v="21"/>
    <x v="23"/>
    <x v="10"/>
    <x v="8"/>
    <x v="11"/>
    <x v="21"/>
    <x v="31"/>
    <x v="44"/>
    <x v="159"/>
  </r>
  <r>
    <x v="1117"/>
    <x v="2"/>
    <x v="2"/>
    <x v="11"/>
    <x v="7"/>
    <x v="6"/>
    <x v="24"/>
    <x v="2"/>
    <x v="19"/>
    <x v="7"/>
    <x v="35"/>
    <x v="25"/>
    <x v="19"/>
    <x v="146"/>
  </r>
  <r>
    <x v="1118"/>
    <x v="2"/>
    <x v="2"/>
    <x v="21"/>
    <x v="26"/>
    <x v="13"/>
    <x v="15"/>
    <x v="2"/>
    <x v="2"/>
    <x v="20"/>
    <x v="3"/>
    <x v="0"/>
    <x v="27"/>
    <x v="35"/>
  </r>
  <r>
    <x v="1119"/>
    <x v="2"/>
    <x v="2"/>
    <x v="14"/>
    <x v="22"/>
    <x v="34"/>
    <x v="5"/>
    <x v="26"/>
    <x v="48"/>
    <x v="14"/>
    <x v="15"/>
    <x v="47"/>
    <x v="17"/>
    <x v="241"/>
  </r>
  <r>
    <x v="1120"/>
    <x v="2"/>
    <x v="2"/>
    <x v="11"/>
    <x v="22"/>
    <x v="18"/>
    <x v="14"/>
    <x v="42"/>
    <x v="0"/>
    <x v="14"/>
    <x v="8"/>
    <x v="58"/>
    <x v="0"/>
    <x v="177"/>
  </r>
  <r>
    <x v="1121"/>
    <x v="2"/>
    <x v="2"/>
    <x v="22"/>
    <x v="39"/>
    <x v="35"/>
    <x v="34"/>
    <x v="10"/>
    <x v="33"/>
    <x v="26"/>
    <x v="14"/>
    <x v="4"/>
    <x v="13"/>
    <x v="150"/>
  </r>
  <r>
    <x v="1122"/>
    <x v="2"/>
    <x v="2"/>
    <x v="22"/>
    <x v="22"/>
    <x v="25"/>
    <x v="16"/>
    <x v="10"/>
    <x v="26"/>
    <x v="8"/>
    <x v="32"/>
    <x v="24"/>
    <x v="10"/>
    <x v="58"/>
  </r>
  <r>
    <x v="1123"/>
    <x v="2"/>
    <x v="2"/>
    <x v="33"/>
    <x v="25"/>
    <x v="18"/>
    <x v="12"/>
    <x v="43"/>
    <x v="10"/>
    <x v="51"/>
    <x v="2"/>
    <x v="34"/>
    <x v="42"/>
    <x v="176"/>
  </r>
  <r>
    <x v="1124"/>
    <x v="2"/>
    <x v="2"/>
    <x v="21"/>
    <x v="31"/>
    <x v="37"/>
    <x v="3"/>
    <x v="12"/>
    <x v="11"/>
    <x v="19"/>
    <x v="38"/>
    <x v="11"/>
    <x v="56"/>
    <x v="147"/>
  </r>
  <r>
    <x v="1125"/>
    <x v="3"/>
    <x v="3"/>
    <x v="16"/>
    <x v="0"/>
    <x v="17"/>
    <x v="14"/>
    <x v="11"/>
    <x v="22"/>
    <x v="28"/>
    <x v="8"/>
    <x v="22"/>
    <x v="31"/>
    <x v="134"/>
  </r>
  <r>
    <x v="1126"/>
    <x v="3"/>
    <x v="3"/>
    <x v="9"/>
    <x v="15"/>
    <x v="32"/>
    <x v="2"/>
    <x v="8"/>
    <x v="0"/>
    <x v="1"/>
    <x v="28"/>
    <x v="19"/>
    <x v="37"/>
    <x v="132"/>
  </r>
  <r>
    <x v="1127"/>
    <x v="3"/>
    <x v="3"/>
    <x v="10"/>
    <x v="29"/>
    <x v="3"/>
    <x v="14"/>
    <x v="26"/>
    <x v="5"/>
    <x v="35"/>
    <x v="32"/>
    <x v="23"/>
    <x v="25"/>
    <x v="11"/>
  </r>
  <r>
    <x v="1128"/>
    <x v="3"/>
    <x v="3"/>
    <x v="14"/>
    <x v="20"/>
    <x v="22"/>
    <x v="12"/>
    <x v="22"/>
    <x v="22"/>
    <x v="29"/>
    <x v="10"/>
    <x v="11"/>
    <x v="13"/>
    <x v="65"/>
  </r>
  <r>
    <x v="1129"/>
    <x v="3"/>
    <x v="3"/>
    <x v="17"/>
    <x v="20"/>
    <x v="1"/>
    <x v="10"/>
    <x v="18"/>
    <x v="26"/>
    <x v="11"/>
    <x v="19"/>
    <x v="4"/>
    <x v="40"/>
    <x v="42"/>
  </r>
  <r>
    <x v="1130"/>
    <x v="3"/>
    <x v="3"/>
    <x v="16"/>
    <x v="1"/>
    <x v="5"/>
    <x v="5"/>
    <x v="14"/>
    <x v="12"/>
    <x v="6"/>
    <x v="16"/>
    <x v="32"/>
    <x v="42"/>
    <x v="170"/>
  </r>
  <r>
    <x v="1131"/>
    <x v="3"/>
    <x v="3"/>
    <x v="4"/>
    <x v="30"/>
    <x v="2"/>
    <x v="2"/>
    <x v="12"/>
    <x v="19"/>
    <x v="6"/>
    <x v="22"/>
    <x v="20"/>
    <x v="6"/>
    <x v="37"/>
  </r>
  <r>
    <x v="1116"/>
    <x v="3"/>
    <x v="3"/>
    <x v="19"/>
    <x v="8"/>
    <x v="15"/>
    <x v="6"/>
    <x v="29"/>
    <x v="3"/>
    <x v="4"/>
    <x v="12"/>
    <x v="24"/>
    <x v="12"/>
    <x v="7"/>
  </r>
  <r>
    <x v="1132"/>
    <x v="3"/>
    <x v="3"/>
    <x v="16"/>
    <x v="5"/>
    <x v="17"/>
    <x v="21"/>
    <x v="1"/>
    <x v="15"/>
    <x v="3"/>
    <x v="5"/>
    <x v="1"/>
    <x v="14"/>
    <x v="71"/>
  </r>
  <r>
    <x v="1133"/>
    <x v="3"/>
    <x v="3"/>
    <x v="6"/>
    <x v="15"/>
    <x v="5"/>
    <x v="2"/>
    <x v="5"/>
    <x v="9"/>
    <x v="29"/>
    <x v="3"/>
    <x v="13"/>
    <x v="57"/>
    <x v="133"/>
  </r>
  <r>
    <x v="1134"/>
    <x v="3"/>
    <x v="3"/>
    <x v="3"/>
    <x v="24"/>
    <x v="23"/>
    <x v="13"/>
    <x v="18"/>
    <x v="30"/>
    <x v="2"/>
    <x v="29"/>
    <x v="8"/>
    <x v="26"/>
    <x v="25"/>
  </r>
  <r>
    <x v="1135"/>
    <x v="3"/>
    <x v="3"/>
    <x v="9"/>
    <x v="0"/>
    <x v="15"/>
    <x v="12"/>
    <x v="27"/>
    <x v="10"/>
    <x v="40"/>
    <x v="10"/>
    <x v="23"/>
    <x v="5"/>
    <x v="4"/>
  </r>
  <r>
    <x v="1136"/>
    <x v="3"/>
    <x v="3"/>
    <x v="3"/>
    <x v="0"/>
    <x v="2"/>
    <x v="2"/>
    <x v="10"/>
    <x v="0"/>
    <x v="5"/>
    <x v="36"/>
    <x v="31"/>
    <x v="2"/>
    <x v="66"/>
  </r>
  <r>
    <x v="1137"/>
    <x v="3"/>
    <x v="3"/>
    <x v="3"/>
    <x v="24"/>
    <x v="13"/>
    <x v="6"/>
    <x v="3"/>
    <x v="2"/>
    <x v="12"/>
    <x v="22"/>
    <x v="1"/>
    <x v="19"/>
    <x v="157"/>
  </r>
  <r>
    <x v="1138"/>
    <x v="3"/>
    <x v="3"/>
    <x v="8"/>
    <x v="5"/>
    <x v="17"/>
    <x v="5"/>
    <x v="11"/>
    <x v="15"/>
    <x v="20"/>
    <x v="37"/>
    <x v="16"/>
    <x v="15"/>
    <x v="44"/>
  </r>
  <r>
    <x v="1139"/>
    <x v="3"/>
    <x v="3"/>
    <x v="22"/>
    <x v="6"/>
    <x v="17"/>
    <x v="2"/>
    <x v="25"/>
    <x v="7"/>
    <x v="52"/>
    <x v="49"/>
    <x v="7"/>
    <x v="4"/>
    <x v="197"/>
  </r>
  <r>
    <x v="1140"/>
    <x v="3"/>
    <x v="3"/>
    <x v="4"/>
    <x v="5"/>
    <x v="3"/>
    <x v="0"/>
    <x v="15"/>
    <x v="12"/>
    <x v="6"/>
    <x v="20"/>
    <x v="32"/>
    <x v="38"/>
    <x v="24"/>
  </r>
  <r>
    <x v="1141"/>
    <x v="3"/>
    <x v="3"/>
    <x v="33"/>
    <x v="5"/>
    <x v="10"/>
    <x v="12"/>
    <x v="0"/>
    <x v="14"/>
    <x v="37"/>
    <x v="24"/>
    <x v="8"/>
    <x v="30"/>
    <x v="75"/>
  </r>
  <r>
    <x v="1142"/>
    <x v="3"/>
    <x v="3"/>
    <x v="14"/>
    <x v="12"/>
    <x v="18"/>
    <x v="3"/>
    <x v="30"/>
    <x v="7"/>
    <x v="10"/>
    <x v="37"/>
    <x v="36"/>
    <x v="5"/>
    <x v="30"/>
  </r>
  <r>
    <x v="1143"/>
    <x v="3"/>
    <x v="3"/>
    <x v="17"/>
    <x v="39"/>
    <x v="8"/>
    <x v="3"/>
    <x v="7"/>
    <x v="1"/>
    <x v="7"/>
    <x v="24"/>
    <x v="22"/>
    <x v="22"/>
    <x v="65"/>
  </r>
  <r>
    <x v="1144"/>
    <x v="3"/>
    <x v="3"/>
    <x v="7"/>
    <x v="16"/>
    <x v="5"/>
    <x v="25"/>
    <x v="1"/>
    <x v="19"/>
    <x v="10"/>
    <x v="38"/>
    <x v="1"/>
    <x v="23"/>
    <x v="80"/>
  </r>
  <r>
    <x v="1145"/>
    <x v="3"/>
    <x v="3"/>
    <x v="0"/>
    <x v="9"/>
    <x v="23"/>
    <x v="23"/>
    <x v="29"/>
    <x v="17"/>
    <x v="5"/>
    <x v="5"/>
    <x v="1"/>
    <x v="50"/>
    <x v="93"/>
  </r>
  <r>
    <x v="1146"/>
    <x v="3"/>
    <x v="3"/>
    <x v="10"/>
    <x v="6"/>
    <x v="3"/>
    <x v="3"/>
    <x v="10"/>
    <x v="8"/>
    <x v="18"/>
    <x v="23"/>
    <x v="17"/>
    <x v="14"/>
    <x v="78"/>
  </r>
  <r>
    <x v="1147"/>
    <x v="3"/>
    <x v="3"/>
    <x v="17"/>
    <x v="11"/>
    <x v="17"/>
    <x v="5"/>
    <x v="3"/>
    <x v="17"/>
    <x v="42"/>
    <x v="6"/>
    <x v="11"/>
    <x v="25"/>
    <x v="71"/>
  </r>
  <r>
    <x v="1148"/>
    <x v="3"/>
    <x v="3"/>
    <x v="2"/>
    <x v="16"/>
    <x v="16"/>
    <x v="13"/>
    <x v="26"/>
    <x v="28"/>
    <x v="34"/>
    <x v="14"/>
    <x v="19"/>
    <x v="3"/>
    <x v="144"/>
  </r>
  <r>
    <x v="1149"/>
    <x v="3"/>
    <x v="3"/>
    <x v="2"/>
    <x v="3"/>
    <x v="9"/>
    <x v="10"/>
    <x v="18"/>
    <x v="16"/>
    <x v="24"/>
    <x v="5"/>
    <x v="30"/>
    <x v="15"/>
    <x v="127"/>
  </r>
  <r>
    <x v="1150"/>
    <x v="3"/>
    <x v="3"/>
    <x v="22"/>
    <x v="4"/>
    <x v="5"/>
    <x v="11"/>
    <x v="28"/>
    <x v="22"/>
    <x v="9"/>
    <x v="10"/>
    <x v="44"/>
    <x v="48"/>
    <x v="0"/>
  </r>
  <r>
    <x v="1151"/>
    <x v="3"/>
    <x v="3"/>
    <x v="6"/>
    <x v="5"/>
    <x v="25"/>
    <x v="12"/>
    <x v="13"/>
    <x v="3"/>
    <x v="6"/>
    <x v="3"/>
    <x v="34"/>
    <x v="15"/>
    <x v="3"/>
  </r>
  <r>
    <x v="1152"/>
    <x v="3"/>
    <x v="3"/>
    <x v="21"/>
    <x v="20"/>
    <x v="15"/>
    <x v="12"/>
    <x v="28"/>
    <x v="33"/>
    <x v="0"/>
    <x v="15"/>
    <x v="7"/>
    <x v="38"/>
    <x v="92"/>
  </r>
  <r>
    <x v="1153"/>
    <x v="3"/>
    <x v="3"/>
    <x v="22"/>
    <x v="26"/>
    <x v="13"/>
    <x v="11"/>
    <x v="7"/>
    <x v="33"/>
    <x v="2"/>
    <x v="5"/>
    <x v="13"/>
    <x v="18"/>
    <x v="4"/>
  </r>
  <r>
    <x v="1154"/>
    <x v="3"/>
    <x v="3"/>
    <x v="19"/>
    <x v="8"/>
    <x v="13"/>
    <x v="2"/>
    <x v="10"/>
    <x v="8"/>
    <x v="16"/>
    <x v="3"/>
    <x v="35"/>
    <x v="38"/>
    <x v="34"/>
  </r>
  <r>
    <x v="1155"/>
    <x v="3"/>
    <x v="3"/>
    <x v="2"/>
    <x v="9"/>
    <x v="36"/>
    <x v="16"/>
    <x v="5"/>
    <x v="19"/>
    <x v="21"/>
    <x v="26"/>
    <x v="8"/>
    <x v="18"/>
    <x v="142"/>
  </r>
  <r>
    <x v="1156"/>
    <x v="3"/>
    <x v="3"/>
    <x v="21"/>
    <x v="25"/>
    <x v="15"/>
    <x v="5"/>
    <x v="27"/>
    <x v="25"/>
    <x v="40"/>
    <x v="20"/>
    <x v="26"/>
    <x v="39"/>
    <x v="46"/>
  </r>
  <r>
    <x v="1157"/>
    <x v="3"/>
    <x v="3"/>
    <x v="10"/>
    <x v="6"/>
    <x v="26"/>
    <x v="28"/>
    <x v="21"/>
    <x v="19"/>
    <x v="32"/>
    <x v="10"/>
    <x v="23"/>
    <x v="19"/>
    <x v="144"/>
  </r>
  <r>
    <x v="1158"/>
    <x v="3"/>
    <x v="3"/>
    <x v="10"/>
    <x v="1"/>
    <x v="0"/>
    <x v="22"/>
    <x v="24"/>
    <x v="0"/>
    <x v="39"/>
    <x v="37"/>
    <x v="11"/>
    <x v="9"/>
    <x v="11"/>
  </r>
  <r>
    <x v="1159"/>
    <x v="3"/>
    <x v="3"/>
    <x v="19"/>
    <x v="3"/>
    <x v="9"/>
    <x v="14"/>
    <x v="20"/>
    <x v="15"/>
    <x v="23"/>
    <x v="3"/>
    <x v="24"/>
    <x v="8"/>
    <x v="157"/>
  </r>
  <r>
    <x v="1160"/>
    <x v="3"/>
    <x v="3"/>
    <x v="8"/>
    <x v="1"/>
    <x v="16"/>
    <x v="35"/>
    <x v="8"/>
    <x v="26"/>
    <x v="15"/>
    <x v="23"/>
    <x v="33"/>
    <x v="60"/>
    <x v="32"/>
  </r>
  <r>
    <x v="1161"/>
    <x v="3"/>
    <x v="3"/>
    <x v="19"/>
    <x v="16"/>
    <x v="3"/>
    <x v="10"/>
    <x v="16"/>
    <x v="9"/>
    <x v="5"/>
    <x v="29"/>
    <x v="23"/>
    <x v="46"/>
    <x v="92"/>
  </r>
  <r>
    <x v="1162"/>
    <x v="3"/>
    <x v="3"/>
    <x v="3"/>
    <x v="0"/>
    <x v="14"/>
    <x v="24"/>
    <x v="27"/>
    <x v="29"/>
    <x v="10"/>
    <x v="30"/>
    <x v="26"/>
    <x v="34"/>
    <x v="191"/>
  </r>
  <r>
    <x v="1163"/>
    <x v="3"/>
    <x v="3"/>
    <x v="2"/>
    <x v="11"/>
    <x v="3"/>
    <x v="19"/>
    <x v="29"/>
    <x v="17"/>
    <x v="10"/>
    <x v="23"/>
    <x v="27"/>
    <x v="16"/>
    <x v="16"/>
  </r>
  <r>
    <x v="803"/>
    <x v="3"/>
    <x v="3"/>
    <x v="10"/>
    <x v="26"/>
    <x v="19"/>
    <x v="18"/>
    <x v="5"/>
    <x v="33"/>
    <x v="18"/>
    <x v="20"/>
    <x v="18"/>
    <x v="8"/>
    <x v="10"/>
  </r>
  <r>
    <x v="1164"/>
    <x v="3"/>
    <x v="3"/>
    <x v="2"/>
    <x v="2"/>
    <x v="23"/>
    <x v="12"/>
    <x v="16"/>
    <x v="27"/>
    <x v="43"/>
    <x v="14"/>
    <x v="0"/>
    <x v="32"/>
    <x v="11"/>
  </r>
  <r>
    <x v="1165"/>
    <x v="3"/>
    <x v="3"/>
    <x v="16"/>
    <x v="7"/>
    <x v="13"/>
    <x v="23"/>
    <x v="6"/>
    <x v="12"/>
    <x v="17"/>
    <x v="37"/>
    <x v="36"/>
    <x v="28"/>
    <x v="96"/>
  </r>
  <r>
    <x v="1166"/>
    <x v="3"/>
    <x v="3"/>
    <x v="2"/>
    <x v="6"/>
    <x v="5"/>
    <x v="16"/>
    <x v="10"/>
    <x v="12"/>
    <x v="17"/>
    <x v="8"/>
    <x v="32"/>
    <x v="44"/>
    <x v="91"/>
  </r>
  <r>
    <x v="907"/>
    <x v="3"/>
    <x v="3"/>
    <x v="6"/>
    <x v="22"/>
    <x v="10"/>
    <x v="17"/>
    <x v="12"/>
    <x v="8"/>
    <x v="40"/>
    <x v="0"/>
    <x v="23"/>
    <x v="14"/>
    <x v="67"/>
  </r>
  <r>
    <x v="1167"/>
    <x v="3"/>
    <x v="3"/>
    <x v="11"/>
    <x v="37"/>
    <x v="1"/>
    <x v="6"/>
    <x v="30"/>
    <x v="9"/>
    <x v="27"/>
    <x v="21"/>
    <x v="42"/>
    <x v="56"/>
    <x v="39"/>
  </r>
  <r>
    <x v="1168"/>
    <x v="3"/>
    <x v="3"/>
    <x v="4"/>
    <x v="8"/>
    <x v="11"/>
    <x v="2"/>
    <x v="24"/>
    <x v="8"/>
    <x v="32"/>
    <x v="30"/>
    <x v="20"/>
    <x v="22"/>
    <x v="39"/>
  </r>
  <r>
    <x v="869"/>
    <x v="3"/>
    <x v="3"/>
    <x v="5"/>
    <x v="6"/>
    <x v="3"/>
    <x v="13"/>
    <x v="2"/>
    <x v="26"/>
    <x v="2"/>
    <x v="6"/>
    <x v="45"/>
    <x v="12"/>
    <x v="41"/>
  </r>
  <r>
    <x v="1169"/>
    <x v="3"/>
    <x v="3"/>
    <x v="4"/>
    <x v="25"/>
    <x v="6"/>
    <x v="5"/>
    <x v="6"/>
    <x v="30"/>
    <x v="23"/>
    <x v="37"/>
    <x v="59"/>
    <x v="7"/>
    <x v="149"/>
  </r>
  <r>
    <x v="1170"/>
    <x v="3"/>
    <x v="3"/>
    <x v="7"/>
    <x v="20"/>
    <x v="2"/>
    <x v="13"/>
    <x v="20"/>
    <x v="8"/>
    <x v="16"/>
    <x v="16"/>
    <x v="15"/>
    <x v="6"/>
    <x v="32"/>
  </r>
  <r>
    <x v="1171"/>
    <x v="3"/>
    <x v="3"/>
    <x v="2"/>
    <x v="5"/>
    <x v="2"/>
    <x v="13"/>
    <x v="5"/>
    <x v="4"/>
    <x v="24"/>
    <x v="24"/>
    <x v="0"/>
    <x v="21"/>
    <x v="98"/>
  </r>
  <r>
    <x v="1172"/>
    <x v="3"/>
    <x v="3"/>
    <x v="30"/>
    <x v="20"/>
    <x v="6"/>
    <x v="1"/>
    <x v="7"/>
    <x v="12"/>
    <x v="15"/>
    <x v="19"/>
    <x v="24"/>
    <x v="34"/>
    <x v="9"/>
  </r>
  <r>
    <x v="1173"/>
    <x v="3"/>
    <x v="3"/>
    <x v="3"/>
    <x v="26"/>
    <x v="14"/>
    <x v="4"/>
    <x v="16"/>
    <x v="22"/>
    <x v="8"/>
    <x v="28"/>
    <x v="18"/>
    <x v="53"/>
    <x v="144"/>
  </r>
  <r>
    <x v="1174"/>
    <x v="3"/>
    <x v="3"/>
    <x v="9"/>
    <x v="17"/>
    <x v="3"/>
    <x v="3"/>
    <x v="18"/>
    <x v="27"/>
    <x v="28"/>
    <x v="10"/>
    <x v="27"/>
    <x v="56"/>
    <x v="66"/>
  </r>
  <r>
    <x v="1175"/>
    <x v="3"/>
    <x v="3"/>
    <x v="8"/>
    <x v="20"/>
    <x v="15"/>
    <x v="14"/>
    <x v="22"/>
    <x v="4"/>
    <x v="0"/>
    <x v="0"/>
    <x v="4"/>
    <x v="0"/>
    <x v="93"/>
  </r>
  <r>
    <x v="1176"/>
    <x v="3"/>
    <x v="3"/>
    <x v="14"/>
    <x v="6"/>
    <x v="19"/>
    <x v="18"/>
    <x v="2"/>
    <x v="4"/>
    <x v="29"/>
    <x v="19"/>
    <x v="7"/>
    <x v="14"/>
    <x v="96"/>
  </r>
  <r>
    <x v="1177"/>
    <x v="3"/>
    <x v="3"/>
    <x v="0"/>
    <x v="23"/>
    <x v="13"/>
    <x v="2"/>
    <x v="2"/>
    <x v="15"/>
    <x v="0"/>
    <x v="20"/>
    <x v="2"/>
    <x v="18"/>
    <x v="171"/>
  </r>
  <r>
    <x v="1178"/>
    <x v="3"/>
    <x v="3"/>
    <x v="0"/>
    <x v="9"/>
    <x v="17"/>
    <x v="5"/>
    <x v="25"/>
    <x v="12"/>
    <x v="37"/>
    <x v="21"/>
    <x v="19"/>
    <x v="16"/>
    <x v="144"/>
  </r>
  <r>
    <x v="1179"/>
    <x v="3"/>
    <x v="3"/>
    <x v="14"/>
    <x v="12"/>
    <x v="15"/>
    <x v="4"/>
    <x v="5"/>
    <x v="22"/>
    <x v="40"/>
    <x v="20"/>
    <x v="31"/>
    <x v="33"/>
    <x v="161"/>
  </r>
  <r>
    <x v="1180"/>
    <x v="3"/>
    <x v="3"/>
    <x v="9"/>
    <x v="26"/>
    <x v="15"/>
    <x v="24"/>
    <x v="7"/>
    <x v="27"/>
    <x v="38"/>
    <x v="0"/>
    <x v="33"/>
    <x v="25"/>
    <x v="133"/>
  </r>
  <r>
    <x v="1181"/>
    <x v="3"/>
    <x v="3"/>
    <x v="17"/>
    <x v="16"/>
    <x v="10"/>
    <x v="21"/>
    <x v="3"/>
    <x v="17"/>
    <x v="11"/>
    <x v="23"/>
    <x v="39"/>
    <x v="1"/>
    <x v="144"/>
  </r>
  <r>
    <x v="1182"/>
    <x v="3"/>
    <x v="3"/>
    <x v="0"/>
    <x v="6"/>
    <x v="19"/>
    <x v="23"/>
    <x v="6"/>
    <x v="10"/>
    <x v="37"/>
    <x v="39"/>
    <x v="41"/>
    <x v="3"/>
    <x v="22"/>
  </r>
  <r>
    <x v="1183"/>
    <x v="3"/>
    <x v="3"/>
    <x v="7"/>
    <x v="25"/>
    <x v="14"/>
    <x v="3"/>
    <x v="33"/>
    <x v="2"/>
    <x v="5"/>
    <x v="12"/>
    <x v="20"/>
    <x v="20"/>
    <x v="33"/>
  </r>
  <r>
    <x v="1184"/>
    <x v="3"/>
    <x v="3"/>
    <x v="2"/>
    <x v="9"/>
    <x v="14"/>
    <x v="19"/>
    <x v="37"/>
    <x v="10"/>
    <x v="39"/>
    <x v="3"/>
    <x v="26"/>
    <x v="48"/>
    <x v="68"/>
  </r>
  <r>
    <x v="1185"/>
    <x v="3"/>
    <x v="3"/>
    <x v="13"/>
    <x v="22"/>
    <x v="3"/>
    <x v="3"/>
    <x v="30"/>
    <x v="33"/>
    <x v="29"/>
    <x v="19"/>
    <x v="6"/>
    <x v="0"/>
    <x v="144"/>
  </r>
  <r>
    <x v="1186"/>
    <x v="3"/>
    <x v="3"/>
    <x v="3"/>
    <x v="21"/>
    <x v="15"/>
    <x v="10"/>
    <x v="13"/>
    <x v="39"/>
    <x v="14"/>
    <x v="28"/>
    <x v="25"/>
    <x v="33"/>
    <x v="6"/>
  </r>
  <r>
    <x v="1187"/>
    <x v="3"/>
    <x v="3"/>
    <x v="17"/>
    <x v="22"/>
    <x v="5"/>
    <x v="18"/>
    <x v="2"/>
    <x v="18"/>
    <x v="19"/>
    <x v="36"/>
    <x v="15"/>
    <x v="18"/>
    <x v="11"/>
  </r>
  <r>
    <x v="1188"/>
    <x v="3"/>
    <x v="3"/>
    <x v="23"/>
    <x v="20"/>
    <x v="25"/>
    <x v="6"/>
    <x v="29"/>
    <x v="27"/>
    <x v="18"/>
    <x v="19"/>
    <x v="47"/>
    <x v="19"/>
    <x v="162"/>
  </r>
  <r>
    <x v="1189"/>
    <x v="3"/>
    <x v="3"/>
    <x v="3"/>
    <x v="17"/>
    <x v="14"/>
    <x v="5"/>
    <x v="26"/>
    <x v="1"/>
    <x v="7"/>
    <x v="10"/>
    <x v="10"/>
    <x v="61"/>
    <x v="36"/>
  </r>
  <r>
    <x v="1190"/>
    <x v="3"/>
    <x v="3"/>
    <x v="12"/>
    <x v="22"/>
    <x v="33"/>
    <x v="15"/>
    <x v="18"/>
    <x v="25"/>
    <x v="8"/>
    <x v="21"/>
    <x v="9"/>
    <x v="1"/>
    <x v="19"/>
  </r>
  <r>
    <x v="1191"/>
    <x v="3"/>
    <x v="3"/>
    <x v="4"/>
    <x v="20"/>
    <x v="14"/>
    <x v="10"/>
    <x v="36"/>
    <x v="11"/>
    <x v="23"/>
    <x v="2"/>
    <x v="27"/>
    <x v="7"/>
    <x v="34"/>
  </r>
  <r>
    <x v="1192"/>
    <x v="3"/>
    <x v="3"/>
    <x v="2"/>
    <x v="4"/>
    <x v="17"/>
    <x v="18"/>
    <x v="19"/>
    <x v="13"/>
    <x v="8"/>
    <x v="9"/>
    <x v="18"/>
    <x v="1"/>
    <x v="145"/>
  </r>
  <r>
    <x v="1193"/>
    <x v="3"/>
    <x v="3"/>
    <x v="3"/>
    <x v="11"/>
    <x v="11"/>
    <x v="18"/>
    <x v="6"/>
    <x v="1"/>
    <x v="2"/>
    <x v="24"/>
    <x v="39"/>
    <x v="28"/>
    <x v="6"/>
  </r>
  <r>
    <x v="1194"/>
    <x v="3"/>
    <x v="3"/>
    <x v="19"/>
    <x v="7"/>
    <x v="14"/>
    <x v="18"/>
    <x v="25"/>
    <x v="0"/>
    <x v="17"/>
    <x v="24"/>
    <x v="12"/>
    <x v="2"/>
    <x v="9"/>
  </r>
  <r>
    <x v="1195"/>
    <x v="3"/>
    <x v="3"/>
    <x v="8"/>
    <x v="6"/>
    <x v="7"/>
    <x v="12"/>
    <x v="37"/>
    <x v="0"/>
    <x v="2"/>
    <x v="15"/>
    <x v="32"/>
    <x v="40"/>
    <x v="139"/>
  </r>
  <r>
    <x v="1196"/>
    <x v="3"/>
    <x v="3"/>
    <x v="9"/>
    <x v="21"/>
    <x v="13"/>
    <x v="3"/>
    <x v="30"/>
    <x v="19"/>
    <x v="30"/>
    <x v="36"/>
    <x v="34"/>
    <x v="61"/>
    <x v="135"/>
  </r>
  <r>
    <x v="903"/>
    <x v="3"/>
    <x v="3"/>
    <x v="21"/>
    <x v="7"/>
    <x v="33"/>
    <x v="3"/>
    <x v="9"/>
    <x v="2"/>
    <x v="15"/>
    <x v="25"/>
    <x v="40"/>
    <x v="34"/>
    <x v="18"/>
  </r>
  <r>
    <x v="1197"/>
    <x v="3"/>
    <x v="3"/>
    <x v="33"/>
    <x v="38"/>
    <x v="32"/>
    <x v="37"/>
    <x v="20"/>
    <x v="23"/>
    <x v="51"/>
    <x v="40"/>
    <x v="36"/>
    <x v="14"/>
    <x v="242"/>
  </r>
  <r>
    <x v="1198"/>
    <x v="3"/>
    <x v="3"/>
    <x v="14"/>
    <x v="38"/>
    <x v="18"/>
    <x v="39"/>
    <x v="41"/>
    <x v="3"/>
    <x v="5"/>
    <x v="39"/>
    <x v="25"/>
    <x v="23"/>
    <x v="243"/>
  </r>
  <r>
    <x v="1199"/>
    <x v="3"/>
    <x v="3"/>
    <x v="23"/>
    <x v="38"/>
    <x v="34"/>
    <x v="36"/>
    <x v="15"/>
    <x v="12"/>
    <x v="43"/>
    <x v="30"/>
    <x v="22"/>
    <x v="65"/>
    <x v="244"/>
  </r>
  <r>
    <x v="1200"/>
    <x v="3"/>
    <x v="3"/>
    <x v="33"/>
    <x v="24"/>
    <x v="21"/>
    <x v="17"/>
    <x v="20"/>
    <x v="2"/>
    <x v="42"/>
    <x v="8"/>
    <x v="22"/>
    <x v="48"/>
    <x v="192"/>
  </r>
  <r>
    <x v="1201"/>
    <x v="3"/>
    <x v="3"/>
    <x v="3"/>
    <x v="1"/>
    <x v="21"/>
    <x v="8"/>
    <x v="23"/>
    <x v="19"/>
    <x v="39"/>
    <x v="27"/>
    <x v="32"/>
    <x v="9"/>
    <x v="195"/>
  </r>
  <r>
    <x v="1202"/>
    <x v="3"/>
    <x v="3"/>
    <x v="33"/>
    <x v="36"/>
    <x v="18"/>
    <x v="37"/>
    <x v="13"/>
    <x v="9"/>
    <x v="0"/>
    <x v="21"/>
    <x v="0"/>
    <x v="19"/>
    <x v="201"/>
  </r>
  <r>
    <x v="1203"/>
    <x v="3"/>
    <x v="3"/>
    <x v="7"/>
    <x v="9"/>
    <x v="25"/>
    <x v="19"/>
    <x v="26"/>
    <x v="1"/>
    <x v="3"/>
    <x v="39"/>
    <x v="43"/>
    <x v="42"/>
    <x v="70"/>
  </r>
  <r>
    <x v="1204"/>
    <x v="3"/>
    <x v="3"/>
    <x v="19"/>
    <x v="22"/>
    <x v="3"/>
    <x v="32"/>
    <x v="11"/>
    <x v="29"/>
    <x v="1"/>
    <x v="50"/>
    <x v="21"/>
    <x v="42"/>
    <x v="218"/>
  </r>
  <r>
    <x v="1205"/>
    <x v="3"/>
    <x v="3"/>
    <x v="19"/>
    <x v="16"/>
    <x v="10"/>
    <x v="4"/>
    <x v="34"/>
    <x v="11"/>
    <x v="6"/>
    <x v="16"/>
    <x v="41"/>
    <x v="48"/>
    <x v="84"/>
  </r>
  <r>
    <x v="1206"/>
    <x v="3"/>
    <x v="3"/>
    <x v="3"/>
    <x v="17"/>
    <x v="2"/>
    <x v="4"/>
    <x v="19"/>
    <x v="1"/>
    <x v="0"/>
    <x v="15"/>
    <x v="33"/>
    <x v="40"/>
    <x v="96"/>
  </r>
  <r>
    <x v="1207"/>
    <x v="3"/>
    <x v="3"/>
    <x v="16"/>
    <x v="6"/>
    <x v="20"/>
    <x v="14"/>
    <x v="38"/>
    <x v="0"/>
    <x v="0"/>
    <x v="15"/>
    <x v="5"/>
    <x v="6"/>
    <x v="245"/>
  </r>
  <r>
    <x v="1208"/>
    <x v="3"/>
    <x v="3"/>
    <x v="8"/>
    <x v="8"/>
    <x v="17"/>
    <x v="0"/>
    <x v="6"/>
    <x v="4"/>
    <x v="35"/>
    <x v="14"/>
    <x v="39"/>
    <x v="28"/>
    <x v="8"/>
  </r>
  <r>
    <x v="1209"/>
    <x v="3"/>
    <x v="3"/>
    <x v="6"/>
    <x v="7"/>
    <x v="10"/>
    <x v="21"/>
    <x v="6"/>
    <x v="11"/>
    <x v="17"/>
    <x v="10"/>
    <x v="19"/>
    <x v="31"/>
    <x v="138"/>
  </r>
  <r>
    <x v="1210"/>
    <x v="3"/>
    <x v="3"/>
    <x v="3"/>
    <x v="20"/>
    <x v="17"/>
    <x v="13"/>
    <x v="45"/>
    <x v="41"/>
    <x v="9"/>
    <x v="16"/>
    <x v="30"/>
    <x v="46"/>
    <x v="89"/>
  </r>
  <r>
    <x v="1211"/>
    <x v="3"/>
    <x v="3"/>
    <x v="21"/>
    <x v="10"/>
    <x v="10"/>
    <x v="18"/>
    <x v="8"/>
    <x v="14"/>
    <x v="9"/>
    <x v="5"/>
    <x v="1"/>
    <x v="7"/>
    <x v="42"/>
  </r>
  <r>
    <x v="1212"/>
    <x v="3"/>
    <x v="3"/>
    <x v="4"/>
    <x v="6"/>
    <x v="6"/>
    <x v="13"/>
    <x v="18"/>
    <x v="12"/>
    <x v="21"/>
    <x v="21"/>
    <x v="26"/>
    <x v="38"/>
    <x v="31"/>
  </r>
  <r>
    <x v="1213"/>
    <x v="3"/>
    <x v="3"/>
    <x v="4"/>
    <x v="9"/>
    <x v="13"/>
    <x v="13"/>
    <x v="29"/>
    <x v="13"/>
    <x v="40"/>
    <x v="24"/>
    <x v="25"/>
    <x v="26"/>
    <x v="31"/>
  </r>
  <r>
    <x v="1214"/>
    <x v="3"/>
    <x v="3"/>
    <x v="4"/>
    <x v="4"/>
    <x v="22"/>
    <x v="12"/>
    <x v="8"/>
    <x v="13"/>
    <x v="18"/>
    <x v="15"/>
    <x v="8"/>
    <x v="8"/>
    <x v="93"/>
  </r>
  <r>
    <x v="1215"/>
    <x v="3"/>
    <x v="3"/>
    <x v="21"/>
    <x v="12"/>
    <x v="6"/>
    <x v="19"/>
    <x v="8"/>
    <x v="22"/>
    <x v="9"/>
    <x v="14"/>
    <x v="31"/>
    <x v="9"/>
    <x v="134"/>
  </r>
  <r>
    <x v="1216"/>
    <x v="3"/>
    <x v="3"/>
    <x v="3"/>
    <x v="17"/>
    <x v="3"/>
    <x v="18"/>
    <x v="29"/>
    <x v="1"/>
    <x v="0"/>
    <x v="41"/>
    <x v="27"/>
    <x v="8"/>
    <x v="24"/>
  </r>
  <r>
    <x v="1217"/>
    <x v="3"/>
    <x v="3"/>
    <x v="29"/>
    <x v="17"/>
    <x v="17"/>
    <x v="0"/>
    <x v="6"/>
    <x v="22"/>
    <x v="35"/>
    <x v="3"/>
    <x v="8"/>
    <x v="32"/>
    <x v="35"/>
  </r>
  <r>
    <x v="1218"/>
    <x v="3"/>
    <x v="3"/>
    <x v="8"/>
    <x v="5"/>
    <x v="32"/>
    <x v="3"/>
    <x v="5"/>
    <x v="19"/>
    <x v="19"/>
    <x v="0"/>
    <x v="22"/>
    <x v="48"/>
    <x v="135"/>
  </r>
  <r>
    <x v="1219"/>
    <x v="3"/>
    <x v="3"/>
    <x v="8"/>
    <x v="10"/>
    <x v="4"/>
    <x v="6"/>
    <x v="15"/>
    <x v="7"/>
    <x v="9"/>
    <x v="19"/>
    <x v="27"/>
    <x v="20"/>
    <x v="213"/>
  </r>
  <r>
    <x v="1220"/>
    <x v="3"/>
    <x v="3"/>
    <x v="9"/>
    <x v="11"/>
    <x v="3"/>
    <x v="2"/>
    <x v="5"/>
    <x v="11"/>
    <x v="40"/>
    <x v="16"/>
    <x v="60"/>
    <x v="60"/>
    <x v="75"/>
  </r>
  <r>
    <x v="1221"/>
    <x v="3"/>
    <x v="3"/>
    <x v="4"/>
    <x v="21"/>
    <x v="23"/>
    <x v="10"/>
    <x v="38"/>
    <x v="15"/>
    <x v="29"/>
    <x v="2"/>
    <x v="40"/>
    <x v="0"/>
    <x v="246"/>
  </r>
  <r>
    <x v="1222"/>
    <x v="3"/>
    <x v="3"/>
    <x v="19"/>
    <x v="17"/>
    <x v="11"/>
    <x v="0"/>
    <x v="8"/>
    <x v="10"/>
    <x v="17"/>
    <x v="10"/>
    <x v="40"/>
    <x v="30"/>
    <x v="0"/>
  </r>
  <r>
    <x v="1223"/>
    <x v="3"/>
    <x v="3"/>
    <x v="17"/>
    <x v="5"/>
    <x v="11"/>
    <x v="13"/>
    <x v="14"/>
    <x v="46"/>
    <x v="9"/>
    <x v="42"/>
    <x v="52"/>
    <x v="21"/>
    <x v="45"/>
  </r>
  <r>
    <x v="1224"/>
    <x v="3"/>
    <x v="3"/>
    <x v="19"/>
    <x v="0"/>
    <x v="18"/>
    <x v="20"/>
    <x v="13"/>
    <x v="29"/>
    <x v="40"/>
    <x v="3"/>
    <x v="4"/>
    <x v="36"/>
    <x v="36"/>
  </r>
  <r>
    <x v="1225"/>
    <x v="3"/>
    <x v="3"/>
    <x v="9"/>
    <x v="7"/>
    <x v="1"/>
    <x v="0"/>
    <x v="5"/>
    <x v="38"/>
    <x v="37"/>
    <x v="23"/>
    <x v="0"/>
    <x v="22"/>
    <x v="32"/>
  </r>
  <r>
    <x v="1226"/>
    <x v="3"/>
    <x v="3"/>
    <x v="8"/>
    <x v="20"/>
    <x v="23"/>
    <x v="12"/>
    <x v="9"/>
    <x v="23"/>
    <x v="0"/>
    <x v="38"/>
    <x v="0"/>
    <x v="2"/>
    <x v="4"/>
  </r>
  <r>
    <x v="1227"/>
    <x v="3"/>
    <x v="3"/>
    <x v="16"/>
    <x v="7"/>
    <x v="3"/>
    <x v="2"/>
    <x v="2"/>
    <x v="33"/>
    <x v="7"/>
    <x v="6"/>
    <x v="24"/>
    <x v="42"/>
    <x v="3"/>
  </r>
  <r>
    <x v="1228"/>
    <x v="3"/>
    <x v="3"/>
    <x v="9"/>
    <x v="9"/>
    <x v="3"/>
    <x v="13"/>
    <x v="2"/>
    <x v="9"/>
    <x v="9"/>
    <x v="28"/>
    <x v="34"/>
    <x v="26"/>
    <x v="71"/>
  </r>
  <r>
    <x v="1229"/>
    <x v="3"/>
    <x v="3"/>
    <x v="4"/>
    <x v="11"/>
    <x v="17"/>
    <x v="4"/>
    <x v="6"/>
    <x v="26"/>
    <x v="14"/>
    <x v="24"/>
    <x v="3"/>
    <x v="37"/>
    <x v="22"/>
  </r>
  <r>
    <x v="1230"/>
    <x v="3"/>
    <x v="3"/>
    <x v="4"/>
    <x v="9"/>
    <x v="10"/>
    <x v="6"/>
    <x v="16"/>
    <x v="5"/>
    <x v="53"/>
    <x v="16"/>
    <x v="3"/>
    <x v="6"/>
    <x v="11"/>
  </r>
  <r>
    <x v="1231"/>
    <x v="3"/>
    <x v="3"/>
    <x v="9"/>
    <x v="7"/>
    <x v="4"/>
    <x v="28"/>
    <x v="13"/>
    <x v="18"/>
    <x v="21"/>
    <x v="37"/>
    <x v="4"/>
    <x v="21"/>
    <x v="32"/>
  </r>
  <r>
    <x v="1232"/>
    <x v="3"/>
    <x v="3"/>
    <x v="6"/>
    <x v="3"/>
    <x v="11"/>
    <x v="18"/>
    <x v="6"/>
    <x v="33"/>
    <x v="1"/>
    <x v="1"/>
    <x v="3"/>
    <x v="26"/>
    <x v="141"/>
  </r>
  <r>
    <x v="970"/>
    <x v="3"/>
    <x v="3"/>
    <x v="3"/>
    <x v="25"/>
    <x v="14"/>
    <x v="19"/>
    <x v="11"/>
    <x v="26"/>
    <x v="5"/>
    <x v="23"/>
    <x v="30"/>
    <x v="45"/>
    <x v="218"/>
  </r>
  <r>
    <x v="1233"/>
    <x v="3"/>
    <x v="3"/>
    <x v="3"/>
    <x v="1"/>
    <x v="8"/>
    <x v="4"/>
    <x v="6"/>
    <x v="15"/>
    <x v="19"/>
    <x v="20"/>
    <x v="41"/>
    <x v="59"/>
    <x v="35"/>
  </r>
  <r>
    <x v="1234"/>
    <x v="3"/>
    <x v="3"/>
    <x v="10"/>
    <x v="9"/>
    <x v="6"/>
    <x v="3"/>
    <x v="0"/>
    <x v="7"/>
    <x v="11"/>
    <x v="18"/>
    <x v="17"/>
    <x v="42"/>
    <x v="36"/>
  </r>
  <r>
    <x v="1235"/>
    <x v="3"/>
    <x v="3"/>
    <x v="29"/>
    <x v="8"/>
    <x v="1"/>
    <x v="20"/>
    <x v="29"/>
    <x v="8"/>
    <x v="35"/>
    <x v="15"/>
    <x v="3"/>
    <x v="5"/>
    <x v="11"/>
  </r>
  <r>
    <x v="1236"/>
    <x v="3"/>
    <x v="3"/>
    <x v="16"/>
    <x v="0"/>
    <x v="19"/>
    <x v="12"/>
    <x v="25"/>
    <x v="11"/>
    <x v="16"/>
    <x v="15"/>
    <x v="39"/>
    <x v="44"/>
    <x v="170"/>
  </r>
  <r>
    <x v="1237"/>
    <x v="3"/>
    <x v="3"/>
    <x v="4"/>
    <x v="26"/>
    <x v="24"/>
    <x v="12"/>
    <x v="20"/>
    <x v="16"/>
    <x v="7"/>
    <x v="8"/>
    <x v="9"/>
    <x v="47"/>
    <x v="158"/>
  </r>
  <r>
    <x v="1238"/>
    <x v="3"/>
    <x v="3"/>
    <x v="17"/>
    <x v="9"/>
    <x v="2"/>
    <x v="5"/>
    <x v="23"/>
    <x v="5"/>
    <x v="40"/>
    <x v="18"/>
    <x v="27"/>
    <x v="42"/>
    <x v="134"/>
  </r>
  <r>
    <x v="1239"/>
    <x v="3"/>
    <x v="3"/>
    <x v="6"/>
    <x v="10"/>
    <x v="10"/>
    <x v="20"/>
    <x v="13"/>
    <x v="22"/>
    <x v="18"/>
    <x v="18"/>
    <x v="18"/>
    <x v="25"/>
    <x v="39"/>
  </r>
  <r>
    <x v="1240"/>
    <x v="3"/>
    <x v="3"/>
    <x v="21"/>
    <x v="4"/>
    <x v="3"/>
    <x v="15"/>
    <x v="7"/>
    <x v="22"/>
    <x v="28"/>
    <x v="2"/>
    <x v="25"/>
    <x v="6"/>
    <x v="91"/>
  </r>
  <r>
    <x v="1241"/>
    <x v="3"/>
    <x v="3"/>
    <x v="17"/>
    <x v="1"/>
    <x v="2"/>
    <x v="0"/>
    <x v="31"/>
    <x v="0"/>
    <x v="35"/>
    <x v="2"/>
    <x v="23"/>
    <x v="2"/>
    <x v="138"/>
  </r>
  <r>
    <x v="1242"/>
    <x v="3"/>
    <x v="3"/>
    <x v="3"/>
    <x v="14"/>
    <x v="11"/>
    <x v="12"/>
    <x v="12"/>
    <x v="9"/>
    <x v="27"/>
    <x v="21"/>
    <x v="4"/>
    <x v="8"/>
    <x v="57"/>
  </r>
  <r>
    <x v="1243"/>
    <x v="3"/>
    <x v="3"/>
    <x v="4"/>
    <x v="21"/>
    <x v="11"/>
    <x v="18"/>
    <x v="10"/>
    <x v="1"/>
    <x v="14"/>
    <x v="29"/>
    <x v="26"/>
    <x v="37"/>
    <x v="71"/>
  </r>
  <r>
    <x v="1244"/>
    <x v="3"/>
    <x v="3"/>
    <x v="10"/>
    <x v="14"/>
    <x v="23"/>
    <x v="18"/>
    <x v="9"/>
    <x v="33"/>
    <x v="2"/>
    <x v="37"/>
    <x v="7"/>
    <x v="57"/>
    <x v="132"/>
  </r>
  <r>
    <x v="1245"/>
    <x v="3"/>
    <x v="3"/>
    <x v="11"/>
    <x v="7"/>
    <x v="12"/>
    <x v="15"/>
    <x v="18"/>
    <x v="12"/>
    <x v="29"/>
    <x v="37"/>
    <x v="20"/>
    <x v="18"/>
    <x v="138"/>
  </r>
  <r>
    <x v="1246"/>
    <x v="3"/>
    <x v="3"/>
    <x v="3"/>
    <x v="21"/>
    <x v="12"/>
    <x v="23"/>
    <x v="25"/>
    <x v="19"/>
    <x v="0"/>
    <x v="14"/>
    <x v="2"/>
    <x v="37"/>
    <x v="44"/>
  </r>
  <r>
    <x v="1247"/>
    <x v="3"/>
    <x v="3"/>
    <x v="3"/>
    <x v="16"/>
    <x v="3"/>
    <x v="14"/>
    <x v="24"/>
    <x v="26"/>
    <x v="42"/>
    <x v="9"/>
    <x v="30"/>
    <x v="37"/>
    <x v="11"/>
  </r>
  <r>
    <x v="1248"/>
    <x v="3"/>
    <x v="3"/>
    <x v="9"/>
    <x v="17"/>
    <x v="22"/>
    <x v="2"/>
    <x v="0"/>
    <x v="8"/>
    <x v="24"/>
    <x v="2"/>
    <x v="5"/>
    <x v="30"/>
    <x v="12"/>
  </r>
  <r>
    <x v="1249"/>
    <x v="3"/>
    <x v="3"/>
    <x v="7"/>
    <x v="22"/>
    <x v="3"/>
    <x v="10"/>
    <x v="1"/>
    <x v="22"/>
    <x v="8"/>
    <x v="55"/>
    <x v="24"/>
    <x v="3"/>
    <x v="171"/>
  </r>
  <r>
    <x v="1250"/>
    <x v="3"/>
    <x v="3"/>
    <x v="19"/>
    <x v="16"/>
    <x v="9"/>
    <x v="18"/>
    <x v="7"/>
    <x v="4"/>
    <x v="16"/>
    <x v="2"/>
    <x v="36"/>
    <x v="17"/>
    <x v="157"/>
  </r>
  <r>
    <x v="1251"/>
    <x v="3"/>
    <x v="3"/>
    <x v="23"/>
    <x v="1"/>
    <x v="3"/>
    <x v="4"/>
    <x v="7"/>
    <x v="3"/>
    <x v="15"/>
    <x v="3"/>
    <x v="2"/>
    <x v="28"/>
    <x v="24"/>
  </r>
  <r>
    <x v="1252"/>
    <x v="3"/>
    <x v="3"/>
    <x v="6"/>
    <x v="24"/>
    <x v="4"/>
    <x v="13"/>
    <x v="37"/>
    <x v="11"/>
    <x v="10"/>
    <x v="0"/>
    <x v="32"/>
    <x v="30"/>
    <x v="127"/>
  </r>
  <r>
    <x v="1253"/>
    <x v="3"/>
    <x v="3"/>
    <x v="22"/>
    <x v="16"/>
    <x v="22"/>
    <x v="3"/>
    <x v="26"/>
    <x v="5"/>
    <x v="16"/>
    <x v="5"/>
    <x v="12"/>
    <x v="38"/>
    <x v="128"/>
  </r>
  <r>
    <x v="1254"/>
    <x v="3"/>
    <x v="3"/>
    <x v="4"/>
    <x v="16"/>
    <x v="12"/>
    <x v="21"/>
    <x v="11"/>
    <x v="13"/>
    <x v="1"/>
    <x v="20"/>
    <x v="17"/>
    <x v="53"/>
    <x v="33"/>
  </r>
  <r>
    <x v="1255"/>
    <x v="3"/>
    <x v="3"/>
    <x v="7"/>
    <x v="22"/>
    <x v="6"/>
    <x v="13"/>
    <x v="27"/>
    <x v="19"/>
    <x v="34"/>
    <x v="28"/>
    <x v="0"/>
    <x v="1"/>
    <x v="91"/>
  </r>
  <r>
    <x v="1256"/>
    <x v="3"/>
    <x v="3"/>
    <x v="4"/>
    <x v="2"/>
    <x v="23"/>
    <x v="4"/>
    <x v="3"/>
    <x v="30"/>
    <x v="31"/>
    <x v="37"/>
    <x v="32"/>
    <x v="74"/>
    <x v="78"/>
  </r>
  <r>
    <x v="1257"/>
    <x v="3"/>
    <x v="3"/>
    <x v="9"/>
    <x v="3"/>
    <x v="23"/>
    <x v="3"/>
    <x v="16"/>
    <x v="8"/>
    <x v="17"/>
    <x v="3"/>
    <x v="27"/>
    <x v="18"/>
    <x v="46"/>
  </r>
  <r>
    <x v="1258"/>
    <x v="3"/>
    <x v="3"/>
    <x v="23"/>
    <x v="1"/>
    <x v="12"/>
    <x v="2"/>
    <x v="8"/>
    <x v="15"/>
    <x v="30"/>
    <x v="16"/>
    <x v="17"/>
    <x v="6"/>
    <x v="14"/>
  </r>
  <r>
    <x v="957"/>
    <x v="3"/>
    <x v="3"/>
    <x v="8"/>
    <x v="26"/>
    <x v="19"/>
    <x v="6"/>
    <x v="12"/>
    <x v="8"/>
    <x v="8"/>
    <x v="2"/>
    <x v="3"/>
    <x v="5"/>
    <x v="31"/>
  </r>
  <r>
    <x v="1259"/>
    <x v="3"/>
    <x v="3"/>
    <x v="11"/>
    <x v="25"/>
    <x v="13"/>
    <x v="16"/>
    <x v="13"/>
    <x v="13"/>
    <x v="8"/>
    <x v="14"/>
    <x v="22"/>
    <x v="8"/>
    <x v="162"/>
  </r>
  <r>
    <x v="1260"/>
    <x v="3"/>
    <x v="3"/>
    <x v="2"/>
    <x v="0"/>
    <x v="8"/>
    <x v="15"/>
    <x v="24"/>
    <x v="27"/>
    <x v="7"/>
    <x v="28"/>
    <x v="0"/>
    <x v="18"/>
    <x v="2"/>
  </r>
  <r>
    <x v="1261"/>
    <x v="3"/>
    <x v="3"/>
    <x v="4"/>
    <x v="7"/>
    <x v="3"/>
    <x v="22"/>
    <x v="11"/>
    <x v="3"/>
    <x v="4"/>
    <x v="15"/>
    <x v="35"/>
    <x v="14"/>
    <x v="22"/>
  </r>
  <r>
    <x v="1262"/>
    <x v="3"/>
    <x v="3"/>
    <x v="7"/>
    <x v="7"/>
    <x v="3"/>
    <x v="15"/>
    <x v="35"/>
    <x v="1"/>
    <x v="7"/>
    <x v="20"/>
    <x v="41"/>
    <x v="20"/>
    <x v="105"/>
  </r>
  <r>
    <x v="1263"/>
    <x v="3"/>
    <x v="3"/>
    <x v="2"/>
    <x v="12"/>
    <x v="13"/>
    <x v="18"/>
    <x v="18"/>
    <x v="13"/>
    <x v="6"/>
    <x v="5"/>
    <x v="17"/>
    <x v="8"/>
    <x v="96"/>
  </r>
  <r>
    <x v="1264"/>
    <x v="3"/>
    <x v="3"/>
    <x v="4"/>
    <x v="12"/>
    <x v="6"/>
    <x v="21"/>
    <x v="1"/>
    <x v="18"/>
    <x v="2"/>
    <x v="22"/>
    <x v="19"/>
    <x v="13"/>
    <x v="140"/>
  </r>
  <r>
    <x v="1265"/>
    <x v="3"/>
    <x v="3"/>
    <x v="8"/>
    <x v="3"/>
    <x v="2"/>
    <x v="19"/>
    <x v="1"/>
    <x v="35"/>
    <x v="19"/>
    <x v="12"/>
    <x v="0"/>
    <x v="1"/>
    <x v="35"/>
  </r>
  <r>
    <x v="1266"/>
    <x v="3"/>
    <x v="3"/>
    <x v="17"/>
    <x v="1"/>
    <x v="11"/>
    <x v="6"/>
    <x v="2"/>
    <x v="12"/>
    <x v="23"/>
    <x v="5"/>
    <x v="17"/>
    <x v="7"/>
    <x v="157"/>
  </r>
  <r>
    <x v="1267"/>
    <x v="3"/>
    <x v="3"/>
    <x v="19"/>
    <x v="25"/>
    <x v="2"/>
    <x v="15"/>
    <x v="3"/>
    <x v="17"/>
    <x v="23"/>
    <x v="10"/>
    <x v="0"/>
    <x v="38"/>
    <x v="68"/>
  </r>
  <r>
    <x v="1268"/>
    <x v="3"/>
    <x v="3"/>
    <x v="6"/>
    <x v="25"/>
    <x v="11"/>
    <x v="14"/>
    <x v="16"/>
    <x v="22"/>
    <x v="10"/>
    <x v="14"/>
    <x v="0"/>
    <x v="29"/>
    <x v="35"/>
  </r>
  <r>
    <x v="1269"/>
    <x v="3"/>
    <x v="3"/>
    <x v="4"/>
    <x v="6"/>
    <x v="6"/>
    <x v="13"/>
    <x v="13"/>
    <x v="13"/>
    <x v="14"/>
    <x v="7"/>
    <x v="27"/>
    <x v="10"/>
    <x v="20"/>
  </r>
  <r>
    <x v="1270"/>
    <x v="3"/>
    <x v="3"/>
    <x v="4"/>
    <x v="14"/>
    <x v="10"/>
    <x v="13"/>
    <x v="23"/>
    <x v="22"/>
    <x v="4"/>
    <x v="22"/>
    <x v="32"/>
    <x v="18"/>
    <x v="65"/>
  </r>
  <r>
    <x v="1271"/>
    <x v="3"/>
    <x v="3"/>
    <x v="23"/>
    <x v="5"/>
    <x v="4"/>
    <x v="23"/>
    <x v="4"/>
    <x v="10"/>
    <x v="29"/>
    <x v="15"/>
    <x v="36"/>
    <x v="38"/>
    <x v="130"/>
  </r>
  <r>
    <x v="971"/>
    <x v="3"/>
    <x v="3"/>
    <x v="10"/>
    <x v="9"/>
    <x v="21"/>
    <x v="1"/>
    <x v="12"/>
    <x v="17"/>
    <x v="29"/>
    <x v="39"/>
    <x v="20"/>
    <x v="30"/>
    <x v="68"/>
  </r>
  <r>
    <x v="832"/>
    <x v="3"/>
    <x v="3"/>
    <x v="0"/>
    <x v="9"/>
    <x v="2"/>
    <x v="13"/>
    <x v="19"/>
    <x v="10"/>
    <x v="14"/>
    <x v="25"/>
    <x v="10"/>
    <x v="18"/>
    <x v="9"/>
  </r>
  <r>
    <x v="1272"/>
    <x v="3"/>
    <x v="3"/>
    <x v="17"/>
    <x v="12"/>
    <x v="5"/>
    <x v="2"/>
    <x v="6"/>
    <x v="4"/>
    <x v="6"/>
    <x v="10"/>
    <x v="39"/>
    <x v="1"/>
    <x v="138"/>
  </r>
  <r>
    <x v="1273"/>
    <x v="3"/>
    <x v="3"/>
    <x v="21"/>
    <x v="14"/>
    <x v="17"/>
    <x v="15"/>
    <x v="1"/>
    <x v="12"/>
    <x v="1"/>
    <x v="19"/>
    <x v="14"/>
    <x v="28"/>
    <x v="49"/>
  </r>
  <r>
    <x v="1274"/>
    <x v="4"/>
    <x v="4"/>
    <x v="21"/>
    <x v="37"/>
    <x v="6"/>
    <x v="16"/>
    <x v="29"/>
    <x v="26"/>
    <x v="11"/>
    <x v="37"/>
    <x v="27"/>
    <x v="18"/>
    <x v="221"/>
  </r>
  <r>
    <x v="1275"/>
    <x v="4"/>
    <x v="4"/>
    <x v="8"/>
    <x v="25"/>
    <x v="25"/>
    <x v="1"/>
    <x v="20"/>
    <x v="48"/>
    <x v="14"/>
    <x v="19"/>
    <x v="36"/>
    <x v="17"/>
    <x v="80"/>
  </r>
  <r>
    <x v="1276"/>
    <x v="4"/>
    <x v="4"/>
    <x v="7"/>
    <x v="5"/>
    <x v="38"/>
    <x v="43"/>
    <x v="5"/>
    <x v="11"/>
    <x v="7"/>
    <x v="6"/>
    <x v="26"/>
    <x v="1"/>
    <x v="132"/>
  </r>
  <r>
    <x v="1277"/>
    <x v="4"/>
    <x v="4"/>
    <x v="0"/>
    <x v="12"/>
    <x v="11"/>
    <x v="18"/>
    <x v="5"/>
    <x v="19"/>
    <x v="35"/>
    <x v="38"/>
    <x v="14"/>
    <x v="38"/>
    <x v="198"/>
  </r>
  <r>
    <x v="1278"/>
    <x v="4"/>
    <x v="4"/>
    <x v="7"/>
    <x v="24"/>
    <x v="12"/>
    <x v="18"/>
    <x v="15"/>
    <x v="12"/>
    <x v="10"/>
    <x v="37"/>
    <x v="19"/>
    <x v="0"/>
    <x v="142"/>
  </r>
  <r>
    <x v="1279"/>
    <x v="4"/>
    <x v="4"/>
    <x v="22"/>
    <x v="26"/>
    <x v="23"/>
    <x v="1"/>
    <x v="22"/>
    <x v="48"/>
    <x v="7"/>
    <x v="37"/>
    <x v="19"/>
    <x v="25"/>
    <x v="143"/>
  </r>
  <r>
    <x v="1280"/>
    <x v="4"/>
    <x v="4"/>
    <x v="7"/>
    <x v="1"/>
    <x v="11"/>
    <x v="20"/>
    <x v="12"/>
    <x v="11"/>
    <x v="1"/>
    <x v="32"/>
    <x v="40"/>
    <x v="18"/>
    <x v="91"/>
  </r>
  <r>
    <x v="1281"/>
    <x v="4"/>
    <x v="4"/>
    <x v="3"/>
    <x v="12"/>
    <x v="3"/>
    <x v="23"/>
    <x v="9"/>
    <x v="0"/>
    <x v="8"/>
    <x v="27"/>
    <x v="7"/>
    <x v="19"/>
    <x v="56"/>
  </r>
  <r>
    <x v="1084"/>
    <x v="4"/>
    <x v="4"/>
    <x v="33"/>
    <x v="24"/>
    <x v="2"/>
    <x v="34"/>
    <x v="11"/>
    <x v="16"/>
    <x v="29"/>
    <x v="22"/>
    <x v="3"/>
    <x v="35"/>
    <x v="142"/>
  </r>
  <r>
    <x v="1282"/>
    <x v="4"/>
    <x v="4"/>
    <x v="34"/>
    <x v="25"/>
    <x v="37"/>
    <x v="23"/>
    <x v="5"/>
    <x v="19"/>
    <x v="7"/>
    <x v="16"/>
    <x v="27"/>
    <x v="7"/>
    <x v="159"/>
  </r>
  <r>
    <x v="1283"/>
    <x v="4"/>
    <x v="4"/>
    <x v="4"/>
    <x v="29"/>
    <x v="15"/>
    <x v="13"/>
    <x v="1"/>
    <x v="1"/>
    <x v="10"/>
    <x v="24"/>
    <x v="1"/>
    <x v="66"/>
    <x v="64"/>
  </r>
  <r>
    <x v="1284"/>
    <x v="4"/>
    <x v="4"/>
    <x v="22"/>
    <x v="8"/>
    <x v="18"/>
    <x v="10"/>
    <x v="24"/>
    <x v="30"/>
    <x v="38"/>
    <x v="8"/>
    <x v="13"/>
    <x v="42"/>
    <x v="62"/>
  </r>
  <r>
    <x v="1285"/>
    <x v="4"/>
    <x v="4"/>
    <x v="4"/>
    <x v="38"/>
    <x v="33"/>
    <x v="20"/>
    <x v="18"/>
    <x v="22"/>
    <x v="9"/>
    <x v="26"/>
    <x v="32"/>
    <x v="56"/>
    <x v="142"/>
  </r>
  <r>
    <x v="1286"/>
    <x v="4"/>
    <x v="4"/>
    <x v="33"/>
    <x v="20"/>
    <x v="12"/>
    <x v="5"/>
    <x v="2"/>
    <x v="22"/>
    <x v="28"/>
    <x v="25"/>
    <x v="34"/>
    <x v="38"/>
    <x v="128"/>
  </r>
  <r>
    <x v="1287"/>
    <x v="4"/>
    <x v="4"/>
    <x v="23"/>
    <x v="36"/>
    <x v="19"/>
    <x v="14"/>
    <x v="7"/>
    <x v="24"/>
    <x v="9"/>
    <x v="38"/>
    <x v="22"/>
    <x v="40"/>
    <x v="173"/>
  </r>
  <r>
    <x v="1288"/>
    <x v="4"/>
    <x v="4"/>
    <x v="0"/>
    <x v="24"/>
    <x v="6"/>
    <x v="23"/>
    <x v="21"/>
    <x v="29"/>
    <x v="35"/>
    <x v="2"/>
    <x v="6"/>
    <x v="16"/>
    <x v="137"/>
  </r>
  <r>
    <x v="849"/>
    <x v="4"/>
    <x v="4"/>
    <x v="2"/>
    <x v="22"/>
    <x v="25"/>
    <x v="18"/>
    <x v="23"/>
    <x v="1"/>
    <x v="18"/>
    <x v="41"/>
    <x v="34"/>
    <x v="17"/>
    <x v="64"/>
  </r>
  <r>
    <x v="1289"/>
    <x v="4"/>
    <x v="4"/>
    <x v="17"/>
    <x v="14"/>
    <x v="2"/>
    <x v="16"/>
    <x v="7"/>
    <x v="27"/>
    <x v="17"/>
    <x v="6"/>
    <x v="1"/>
    <x v="56"/>
    <x v="159"/>
  </r>
  <r>
    <x v="1290"/>
    <x v="4"/>
    <x v="4"/>
    <x v="11"/>
    <x v="1"/>
    <x v="6"/>
    <x v="39"/>
    <x v="5"/>
    <x v="19"/>
    <x v="23"/>
    <x v="16"/>
    <x v="23"/>
    <x v="17"/>
    <x v="137"/>
  </r>
  <r>
    <x v="1291"/>
    <x v="4"/>
    <x v="4"/>
    <x v="22"/>
    <x v="8"/>
    <x v="25"/>
    <x v="18"/>
    <x v="6"/>
    <x v="33"/>
    <x v="16"/>
    <x v="3"/>
    <x v="27"/>
    <x v="14"/>
    <x v="4"/>
  </r>
  <r>
    <x v="1292"/>
    <x v="4"/>
    <x v="4"/>
    <x v="19"/>
    <x v="16"/>
    <x v="2"/>
    <x v="23"/>
    <x v="19"/>
    <x v="46"/>
    <x v="6"/>
    <x v="6"/>
    <x v="26"/>
    <x v="17"/>
    <x v="61"/>
  </r>
  <r>
    <x v="1293"/>
    <x v="4"/>
    <x v="4"/>
    <x v="13"/>
    <x v="24"/>
    <x v="17"/>
    <x v="17"/>
    <x v="12"/>
    <x v="10"/>
    <x v="16"/>
    <x v="2"/>
    <x v="3"/>
    <x v="30"/>
    <x v="36"/>
  </r>
  <r>
    <x v="1294"/>
    <x v="4"/>
    <x v="4"/>
    <x v="23"/>
    <x v="3"/>
    <x v="12"/>
    <x v="20"/>
    <x v="29"/>
    <x v="37"/>
    <x v="25"/>
    <x v="37"/>
    <x v="7"/>
    <x v="7"/>
    <x v="126"/>
  </r>
  <r>
    <x v="1295"/>
    <x v="4"/>
    <x v="4"/>
    <x v="14"/>
    <x v="22"/>
    <x v="11"/>
    <x v="14"/>
    <x v="25"/>
    <x v="0"/>
    <x v="16"/>
    <x v="28"/>
    <x v="40"/>
    <x v="55"/>
    <x v="130"/>
  </r>
  <r>
    <x v="1296"/>
    <x v="4"/>
    <x v="4"/>
    <x v="33"/>
    <x v="36"/>
    <x v="21"/>
    <x v="20"/>
    <x v="37"/>
    <x v="3"/>
    <x v="50"/>
    <x v="36"/>
    <x v="34"/>
    <x v="8"/>
    <x v="247"/>
  </r>
  <r>
    <x v="1297"/>
    <x v="4"/>
    <x v="4"/>
    <x v="33"/>
    <x v="36"/>
    <x v="34"/>
    <x v="40"/>
    <x v="31"/>
    <x v="43"/>
    <x v="28"/>
    <x v="27"/>
    <x v="55"/>
    <x v="10"/>
    <x v="248"/>
  </r>
  <r>
    <x v="1298"/>
    <x v="4"/>
    <x v="4"/>
    <x v="33"/>
    <x v="36"/>
    <x v="34"/>
    <x v="18"/>
    <x v="31"/>
    <x v="49"/>
    <x v="31"/>
    <x v="48"/>
    <x v="18"/>
    <x v="45"/>
    <x v="249"/>
  </r>
  <r>
    <x v="1299"/>
    <x v="4"/>
    <x v="4"/>
    <x v="8"/>
    <x v="25"/>
    <x v="15"/>
    <x v="0"/>
    <x v="13"/>
    <x v="4"/>
    <x v="10"/>
    <x v="19"/>
    <x v="53"/>
    <x v="44"/>
    <x v="61"/>
  </r>
  <r>
    <x v="1300"/>
    <x v="4"/>
    <x v="4"/>
    <x v="7"/>
    <x v="1"/>
    <x v="21"/>
    <x v="18"/>
    <x v="27"/>
    <x v="1"/>
    <x v="25"/>
    <x v="29"/>
    <x v="40"/>
    <x v="16"/>
    <x v="66"/>
  </r>
  <r>
    <x v="1301"/>
    <x v="4"/>
    <x v="4"/>
    <x v="21"/>
    <x v="37"/>
    <x v="6"/>
    <x v="23"/>
    <x v="20"/>
    <x v="12"/>
    <x v="38"/>
    <x v="38"/>
    <x v="8"/>
    <x v="26"/>
    <x v="194"/>
  </r>
  <r>
    <x v="1302"/>
    <x v="4"/>
    <x v="4"/>
    <x v="14"/>
    <x v="9"/>
    <x v="21"/>
    <x v="20"/>
    <x v="26"/>
    <x v="4"/>
    <x v="42"/>
    <x v="38"/>
    <x v="32"/>
    <x v="47"/>
    <x v="202"/>
  </r>
  <r>
    <x v="1303"/>
    <x v="4"/>
    <x v="4"/>
    <x v="29"/>
    <x v="12"/>
    <x v="2"/>
    <x v="16"/>
    <x v="1"/>
    <x v="22"/>
    <x v="1"/>
    <x v="20"/>
    <x v="30"/>
    <x v="33"/>
    <x v="69"/>
  </r>
  <r>
    <x v="1304"/>
    <x v="4"/>
    <x v="4"/>
    <x v="2"/>
    <x v="9"/>
    <x v="37"/>
    <x v="20"/>
    <x v="5"/>
    <x v="9"/>
    <x v="0"/>
    <x v="41"/>
    <x v="35"/>
    <x v="18"/>
    <x v="68"/>
  </r>
  <r>
    <x v="1305"/>
    <x v="4"/>
    <x v="4"/>
    <x v="29"/>
    <x v="5"/>
    <x v="6"/>
    <x v="0"/>
    <x v="12"/>
    <x v="9"/>
    <x v="11"/>
    <x v="6"/>
    <x v="26"/>
    <x v="60"/>
    <x v="30"/>
  </r>
  <r>
    <x v="1306"/>
    <x v="4"/>
    <x v="4"/>
    <x v="14"/>
    <x v="6"/>
    <x v="36"/>
    <x v="23"/>
    <x v="0"/>
    <x v="29"/>
    <x v="10"/>
    <x v="16"/>
    <x v="33"/>
    <x v="10"/>
    <x v="71"/>
  </r>
  <r>
    <x v="1307"/>
    <x v="4"/>
    <x v="4"/>
    <x v="33"/>
    <x v="6"/>
    <x v="6"/>
    <x v="2"/>
    <x v="8"/>
    <x v="2"/>
    <x v="38"/>
    <x v="38"/>
    <x v="23"/>
    <x v="17"/>
    <x v="147"/>
  </r>
  <r>
    <x v="1308"/>
    <x v="4"/>
    <x v="4"/>
    <x v="17"/>
    <x v="5"/>
    <x v="33"/>
    <x v="15"/>
    <x v="15"/>
    <x v="3"/>
    <x v="8"/>
    <x v="6"/>
    <x v="7"/>
    <x v="30"/>
    <x v="79"/>
  </r>
  <r>
    <x v="1309"/>
    <x v="4"/>
    <x v="4"/>
    <x v="21"/>
    <x v="16"/>
    <x v="32"/>
    <x v="15"/>
    <x v="22"/>
    <x v="19"/>
    <x v="2"/>
    <x v="37"/>
    <x v="0"/>
    <x v="25"/>
    <x v="56"/>
  </r>
  <r>
    <x v="1310"/>
    <x v="4"/>
    <x v="4"/>
    <x v="7"/>
    <x v="22"/>
    <x v="22"/>
    <x v="35"/>
    <x v="8"/>
    <x v="7"/>
    <x v="28"/>
    <x v="2"/>
    <x v="10"/>
    <x v="42"/>
    <x v="24"/>
  </r>
  <r>
    <x v="1311"/>
    <x v="4"/>
    <x v="4"/>
    <x v="23"/>
    <x v="24"/>
    <x v="33"/>
    <x v="15"/>
    <x v="4"/>
    <x v="14"/>
    <x v="3"/>
    <x v="24"/>
    <x v="30"/>
    <x v="26"/>
    <x v="149"/>
  </r>
  <r>
    <x v="1312"/>
    <x v="4"/>
    <x v="4"/>
    <x v="0"/>
    <x v="12"/>
    <x v="22"/>
    <x v="18"/>
    <x v="16"/>
    <x v="4"/>
    <x v="8"/>
    <x v="26"/>
    <x v="0"/>
    <x v="39"/>
    <x v="91"/>
  </r>
  <r>
    <x v="984"/>
    <x v="4"/>
    <x v="4"/>
    <x v="14"/>
    <x v="0"/>
    <x v="3"/>
    <x v="5"/>
    <x v="37"/>
    <x v="37"/>
    <x v="23"/>
    <x v="5"/>
    <x v="17"/>
    <x v="22"/>
    <x v="189"/>
  </r>
  <r>
    <x v="1313"/>
    <x v="4"/>
    <x v="4"/>
    <x v="17"/>
    <x v="9"/>
    <x v="21"/>
    <x v="18"/>
    <x v="3"/>
    <x v="18"/>
    <x v="10"/>
    <x v="29"/>
    <x v="2"/>
    <x v="7"/>
    <x v="162"/>
  </r>
  <r>
    <x v="1314"/>
    <x v="4"/>
    <x v="4"/>
    <x v="33"/>
    <x v="9"/>
    <x v="10"/>
    <x v="38"/>
    <x v="7"/>
    <x v="17"/>
    <x v="28"/>
    <x v="37"/>
    <x v="40"/>
    <x v="70"/>
    <x v="97"/>
  </r>
  <r>
    <x v="1315"/>
    <x v="4"/>
    <x v="4"/>
    <x v="21"/>
    <x v="22"/>
    <x v="6"/>
    <x v="1"/>
    <x v="6"/>
    <x v="9"/>
    <x v="38"/>
    <x v="1"/>
    <x v="56"/>
    <x v="66"/>
    <x v="188"/>
  </r>
  <r>
    <x v="1316"/>
    <x v="4"/>
    <x v="4"/>
    <x v="7"/>
    <x v="15"/>
    <x v="9"/>
    <x v="23"/>
    <x v="26"/>
    <x v="19"/>
    <x v="18"/>
    <x v="5"/>
    <x v="18"/>
    <x v="72"/>
    <x v="177"/>
  </r>
  <r>
    <x v="1317"/>
    <x v="4"/>
    <x v="4"/>
    <x v="21"/>
    <x v="25"/>
    <x v="25"/>
    <x v="18"/>
    <x v="37"/>
    <x v="19"/>
    <x v="10"/>
    <x v="18"/>
    <x v="27"/>
    <x v="5"/>
    <x v="177"/>
  </r>
  <r>
    <x v="1318"/>
    <x v="4"/>
    <x v="4"/>
    <x v="2"/>
    <x v="5"/>
    <x v="14"/>
    <x v="24"/>
    <x v="26"/>
    <x v="37"/>
    <x v="11"/>
    <x v="28"/>
    <x v="12"/>
    <x v="24"/>
    <x v="30"/>
  </r>
  <r>
    <x v="1319"/>
    <x v="4"/>
    <x v="4"/>
    <x v="11"/>
    <x v="3"/>
    <x v="11"/>
    <x v="3"/>
    <x v="19"/>
    <x v="12"/>
    <x v="11"/>
    <x v="28"/>
    <x v="11"/>
    <x v="17"/>
    <x v="4"/>
  </r>
  <r>
    <x v="1320"/>
    <x v="4"/>
    <x v="4"/>
    <x v="11"/>
    <x v="7"/>
    <x v="25"/>
    <x v="15"/>
    <x v="20"/>
    <x v="18"/>
    <x v="34"/>
    <x v="8"/>
    <x v="39"/>
    <x v="16"/>
    <x v="91"/>
  </r>
  <r>
    <x v="1321"/>
    <x v="4"/>
    <x v="4"/>
    <x v="0"/>
    <x v="12"/>
    <x v="6"/>
    <x v="2"/>
    <x v="10"/>
    <x v="44"/>
    <x v="9"/>
    <x v="23"/>
    <x v="29"/>
    <x v="13"/>
    <x v="133"/>
  </r>
  <r>
    <x v="1322"/>
    <x v="4"/>
    <x v="4"/>
    <x v="7"/>
    <x v="26"/>
    <x v="13"/>
    <x v="2"/>
    <x v="27"/>
    <x v="14"/>
    <x v="6"/>
    <x v="10"/>
    <x v="23"/>
    <x v="33"/>
    <x v="96"/>
  </r>
  <r>
    <x v="1323"/>
    <x v="4"/>
    <x v="4"/>
    <x v="6"/>
    <x v="25"/>
    <x v="12"/>
    <x v="5"/>
    <x v="7"/>
    <x v="27"/>
    <x v="27"/>
    <x v="5"/>
    <x v="2"/>
    <x v="36"/>
    <x v="158"/>
  </r>
  <r>
    <x v="1324"/>
    <x v="4"/>
    <x v="4"/>
    <x v="21"/>
    <x v="29"/>
    <x v="36"/>
    <x v="16"/>
    <x v="22"/>
    <x v="19"/>
    <x v="2"/>
    <x v="49"/>
    <x v="38"/>
    <x v="4"/>
    <x v="250"/>
  </r>
  <r>
    <x v="1325"/>
    <x v="4"/>
    <x v="4"/>
    <x v="4"/>
    <x v="16"/>
    <x v="22"/>
    <x v="8"/>
    <x v="16"/>
    <x v="16"/>
    <x v="12"/>
    <x v="38"/>
    <x v="19"/>
    <x v="28"/>
    <x v="142"/>
  </r>
  <r>
    <x v="1326"/>
    <x v="4"/>
    <x v="4"/>
    <x v="8"/>
    <x v="26"/>
    <x v="37"/>
    <x v="10"/>
    <x v="16"/>
    <x v="46"/>
    <x v="42"/>
    <x v="49"/>
    <x v="9"/>
    <x v="22"/>
    <x v="233"/>
  </r>
  <r>
    <x v="1327"/>
    <x v="4"/>
    <x v="4"/>
    <x v="9"/>
    <x v="5"/>
    <x v="23"/>
    <x v="24"/>
    <x v="31"/>
    <x v="18"/>
    <x v="11"/>
    <x v="49"/>
    <x v="2"/>
    <x v="5"/>
    <x v="165"/>
  </r>
  <r>
    <x v="1328"/>
    <x v="4"/>
    <x v="4"/>
    <x v="2"/>
    <x v="16"/>
    <x v="23"/>
    <x v="1"/>
    <x v="26"/>
    <x v="8"/>
    <x v="18"/>
    <x v="36"/>
    <x v="1"/>
    <x v="25"/>
    <x v="24"/>
  </r>
  <r>
    <x v="1329"/>
    <x v="4"/>
    <x v="4"/>
    <x v="16"/>
    <x v="16"/>
    <x v="3"/>
    <x v="18"/>
    <x v="16"/>
    <x v="0"/>
    <x v="7"/>
    <x v="32"/>
    <x v="5"/>
    <x v="1"/>
    <x v="17"/>
  </r>
  <r>
    <x v="1330"/>
    <x v="4"/>
    <x v="4"/>
    <x v="21"/>
    <x v="7"/>
    <x v="25"/>
    <x v="0"/>
    <x v="20"/>
    <x v="5"/>
    <x v="10"/>
    <x v="3"/>
    <x v="24"/>
    <x v="18"/>
    <x v="67"/>
  </r>
  <r>
    <x v="945"/>
    <x v="4"/>
    <x v="4"/>
    <x v="10"/>
    <x v="15"/>
    <x v="34"/>
    <x v="9"/>
    <x v="30"/>
    <x v="29"/>
    <x v="1"/>
    <x v="18"/>
    <x v="0"/>
    <x v="6"/>
    <x v="221"/>
  </r>
  <r>
    <x v="1331"/>
    <x v="4"/>
    <x v="4"/>
    <x v="17"/>
    <x v="9"/>
    <x v="25"/>
    <x v="23"/>
    <x v="42"/>
    <x v="43"/>
    <x v="42"/>
    <x v="2"/>
    <x v="26"/>
    <x v="65"/>
    <x v="226"/>
  </r>
  <r>
    <x v="1332"/>
    <x v="4"/>
    <x v="4"/>
    <x v="9"/>
    <x v="38"/>
    <x v="10"/>
    <x v="5"/>
    <x v="29"/>
    <x v="3"/>
    <x v="39"/>
    <x v="19"/>
    <x v="8"/>
    <x v="22"/>
    <x v="130"/>
  </r>
  <r>
    <x v="1333"/>
    <x v="4"/>
    <x v="4"/>
    <x v="11"/>
    <x v="39"/>
    <x v="23"/>
    <x v="12"/>
    <x v="11"/>
    <x v="25"/>
    <x v="18"/>
    <x v="34"/>
    <x v="24"/>
    <x v="31"/>
    <x v="158"/>
  </r>
  <r>
    <x v="1334"/>
    <x v="4"/>
    <x v="4"/>
    <x v="21"/>
    <x v="3"/>
    <x v="34"/>
    <x v="20"/>
    <x v="30"/>
    <x v="29"/>
    <x v="25"/>
    <x v="5"/>
    <x v="24"/>
    <x v="26"/>
    <x v="180"/>
  </r>
  <r>
    <x v="1335"/>
    <x v="4"/>
    <x v="4"/>
    <x v="17"/>
    <x v="25"/>
    <x v="17"/>
    <x v="1"/>
    <x v="5"/>
    <x v="38"/>
    <x v="5"/>
    <x v="12"/>
    <x v="12"/>
    <x v="26"/>
    <x v="142"/>
  </r>
  <r>
    <x v="1336"/>
    <x v="4"/>
    <x v="4"/>
    <x v="0"/>
    <x v="14"/>
    <x v="11"/>
    <x v="35"/>
    <x v="27"/>
    <x v="18"/>
    <x v="16"/>
    <x v="41"/>
    <x v="2"/>
    <x v="44"/>
    <x v="27"/>
  </r>
  <r>
    <x v="1337"/>
    <x v="4"/>
    <x v="4"/>
    <x v="11"/>
    <x v="5"/>
    <x v="2"/>
    <x v="35"/>
    <x v="12"/>
    <x v="27"/>
    <x v="29"/>
    <x v="14"/>
    <x v="38"/>
    <x v="26"/>
    <x v="147"/>
  </r>
  <r>
    <x v="1338"/>
    <x v="4"/>
    <x v="4"/>
    <x v="2"/>
    <x v="16"/>
    <x v="6"/>
    <x v="15"/>
    <x v="3"/>
    <x v="5"/>
    <x v="34"/>
    <x v="8"/>
    <x v="26"/>
    <x v="60"/>
    <x v="221"/>
  </r>
  <r>
    <x v="1339"/>
    <x v="4"/>
    <x v="4"/>
    <x v="23"/>
    <x v="15"/>
    <x v="2"/>
    <x v="2"/>
    <x v="24"/>
    <x v="27"/>
    <x v="20"/>
    <x v="41"/>
    <x v="7"/>
    <x v="3"/>
    <x v="4"/>
  </r>
  <r>
    <x v="1340"/>
    <x v="4"/>
    <x v="4"/>
    <x v="17"/>
    <x v="38"/>
    <x v="33"/>
    <x v="34"/>
    <x v="7"/>
    <x v="22"/>
    <x v="9"/>
    <x v="24"/>
    <x v="39"/>
    <x v="11"/>
    <x v="67"/>
  </r>
  <r>
    <x v="1341"/>
    <x v="4"/>
    <x v="4"/>
    <x v="33"/>
    <x v="22"/>
    <x v="21"/>
    <x v="15"/>
    <x v="23"/>
    <x v="38"/>
    <x v="39"/>
    <x v="0"/>
    <x v="4"/>
    <x v="47"/>
    <x v="251"/>
  </r>
  <r>
    <x v="1342"/>
    <x v="4"/>
    <x v="4"/>
    <x v="14"/>
    <x v="29"/>
    <x v="21"/>
    <x v="35"/>
    <x v="6"/>
    <x v="2"/>
    <x v="7"/>
    <x v="5"/>
    <x v="34"/>
    <x v="38"/>
    <x v="235"/>
  </r>
  <r>
    <x v="1343"/>
    <x v="4"/>
    <x v="4"/>
    <x v="7"/>
    <x v="25"/>
    <x v="34"/>
    <x v="34"/>
    <x v="8"/>
    <x v="29"/>
    <x v="15"/>
    <x v="14"/>
    <x v="51"/>
    <x v="44"/>
    <x v="233"/>
  </r>
  <r>
    <x v="1117"/>
    <x v="4"/>
    <x v="4"/>
    <x v="30"/>
    <x v="26"/>
    <x v="12"/>
    <x v="35"/>
    <x v="12"/>
    <x v="48"/>
    <x v="10"/>
    <x v="46"/>
    <x v="19"/>
    <x v="7"/>
    <x v="176"/>
  </r>
  <r>
    <x v="1344"/>
    <x v="4"/>
    <x v="4"/>
    <x v="22"/>
    <x v="25"/>
    <x v="23"/>
    <x v="24"/>
    <x v="37"/>
    <x v="19"/>
    <x v="27"/>
    <x v="41"/>
    <x v="16"/>
    <x v="59"/>
    <x v="169"/>
  </r>
  <r>
    <x v="891"/>
    <x v="5"/>
    <x v="5"/>
    <x v="6"/>
    <x v="7"/>
    <x v="9"/>
    <x v="7"/>
    <x v="14"/>
    <x v="0"/>
    <x v="32"/>
    <x v="9"/>
    <x v="12"/>
    <x v="21"/>
    <x v="252"/>
  </r>
  <r>
    <x v="1345"/>
    <x v="5"/>
    <x v="5"/>
    <x v="28"/>
    <x v="4"/>
    <x v="8"/>
    <x v="4"/>
    <x v="29"/>
    <x v="26"/>
    <x v="16"/>
    <x v="9"/>
    <x v="17"/>
    <x v="16"/>
    <x v="94"/>
  </r>
  <r>
    <x v="1346"/>
    <x v="5"/>
    <x v="5"/>
    <x v="6"/>
    <x v="1"/>
    <x v="10"/>
    <x v="26"/>
    <x v="8"/>
    <x v="33"/>
    <x v="27"/>
    <x v="9"/>
    <x v="20"/>
    <x v="15"/>
    <x v="107"/>
  </r>
  <r>
    <x v="1347"/>
    <x v="5"/>
    <x v="5"/>
    <x v="10"/>
    <x v="5"/>
    <x v="20"/>
    <x v="4"/>
    <x v="11"/>
    <x v="8"/>
    <x v="19"/>
    <x v="9"/>
    <x v="20"/>
    <x v="16"/>
    <x v="245"/>
  </r>
  <r>
    <x v="1348"/>
    <x v="5"/>
    <x v="5"/>
    <x v="24"/>
    <x v="27"/>
    <x v="16"/>
    <x v="12"/>
    <x v="36"/>
    <x v="26"/>
    <x v="28"/>
    <x v="41"/>
    <x v="23"/>
    <x v="3"/>
    <x v="12"/>
  </r>
  <r>
    <x v="1349"/>
    <x v="5"/>
    <x v="5"/>
    <x v="7"/>
    <x v="20"/>
    <x v="14"/>
    <x v="4"/>
    <x v="18"/>
    <x v="11"/>
    <x v="5"/>
    <x v="5"/>
    <x v="39"/>
    <x v="7"/>
    <x v="75"/>
  </r>
  <r>
    <x v="1350"/>
    <x v="5"/>
    <x v="5"/>
    <x v="9"/>
    <x v="16"/>
    <x v="6"/>
    <x v="13"/>
    <x v="16"/>
    <x v="10"/>
    <x v="30"/>
    <x v="24"/>
    <x v="13"/>
    <x v="18"/>
    <x v="6"/>
  </r>
  <r>
    <x v="1351"/>
    <x v="5"/>
    <x v="5"/>
    <x v="10"/>
    <x v="2"/>
    <x v="14"/>
    <x v="3"/>
    <x v="20"/>
    <x v="9"/>
    <x v="27"/>
    <x v="16"/>
    <x v="23"/>
    <x v="38"/>
    <x v="40"/>
  </r>
  <r>
    <x v="1352"/>
    <x v="5"/>
    <x v="5"/>
    <x v="16"/>
    <x v="19"/>
    <x v="13"/>
    <x v="21"/>
    <x v="34"/>
    <x v="26"/>
    <x v="12"/>
    <x v="7"/>
    <x v="14"/>
    <x v="6"/>
    <x v="94"/>
  </r>
  <r>
    <x v="1353"/>
    <x v="5"/>
    <x v="5"/>
    <x v="8"/>
    <x v="0"/>
    <x v="10"/>
    <x v="21"/>
    <x v="46"/>
    <x v="30"/>
    <x v="9"/>
    <x v="20"/>
    <x v="3"/>
    <x v="2"/>
    <x v="74"/>
  </r>
  <r>
    <x v="1354"/>
    <x v="5"/>
    <x v="5"/>
    <x v="1"/>
    <x v="17"/>
    <x v="5"/>
    <x v="1"/>
    <x v="45"/>
    <x v="11"/>
    <x v="19"/>
    <x v="3"/>
    <x v="17"/>
    <x v="42"/>
    <x v="45"/>
  </r>
  <r>
    <x v="1355"/>
    <x v="5"/>
    <x v="5"/>
    <x v="10"/>
    <x v="17"/>
    <x v="16"/>
    <x v="10"/>
    <x v="29"/>
    <x v="5"/>
    <x v="34"/>
    <x v="2"/>
    <x v="35"/>
    <x v="33"/>
    <x v="84"/>
  </r>
  <r>
    <x v="1356"/>
    <x v="5"/>
    <x v="5"/>
    <x v="2"/>
    <x v="1"/>
    <x v="26"/>
    <x v="9"/>
    <x v="12"/>
    <x v="11"/>
    <x v="35"/>
    <x v="16"/>
    <x v="23"/>
    <x v="17"/>
    <x v="55"/>
  </r>
  <r>
    <x v="1357"/>
    <x v="5"/>
    <x v="5"/>
    <x v="15"/>
    <x v="13"/>
    <x v="16"/>
    <x v="11"/>
    <x v="6"/>
    <x v="39"/>
    <x v="12"/>
    <x v="19"/>
    <x v="17"/>
    <x v="29"/>
    <x v="88"/>
  </r>
  <r>
    <x v="1358"/>
    <x v="5"/>
    <x v="5"/>
    <x v="18"/>
    <x v="6"/>
    <x v="16"/>
    <x v="4"/>
    <x v="6"/>
    <x v="11"/>
    <x v="6"/>
    <x v="8"/>
    <x v="1"/>
    <x v="48"/>
    <x v="163"/>
  </r>
  <r>
    <x v="1359"/>
    <x v="5"/>
    <x v="5"/>
    <x v="1"/>
    <x v="6"/>
    <x v="16"/>
    <x v="6"/>
    <x v="17"/>
    <x v="33"/>
    <x v="27"/>
    <x v="7"/>
    <x v="29"/>
    <x v="0"/>
    <x v="117"/>
  </r>
  <r>
    <x v="1360"/>
    <x v="5"/>
    <x v="5"/>
    <x v="16"/>
    <x v="8"/>
    <x v="14"/>
    <x v="7"/>
    <x v="0"/>
    <x v="20"/>
    <x v="32"/>
    <x v="20"/>
    <x v="4"/>
    <x v="2"/>
    <x v="54"/>
  </r>
  <r>
    <x v="1361"/>
    <x v="5"/>
    <x v="5"/>
    <x v="13"/>
    <x v="16"/>
    <x v="2"/>
    <x v="21"/>
    <x v="24"/>
    <x v="14"/>
    <x v="18"/>
    <x v="28"/>
    <x v="24"/>
    <x v="37"/>
    <x v="75"/>
  </r>
  <r>
    <x v="1362"/>
    <x v="5"/>
    <x v="5"/>
    <x v="9"/>
    <x v="6"/>
    <x v="26"/>
    <x v="9"/>
    <x v="24"/>
    <x v="24"/>
    <x v="15"/>
    <x v="25"/>
    <x v="1"/>
    <x v="75"/>
    <x v="122"/>
  </r>
  <r>
    <x v="1363"/>
    <x v="5"/>
    <x v="5"/>
    <x v="1"/>
    <x v="20"/>
    <x v="23"/>
    <x v="32"/>
    <x v="12"/>
    <x v="25"/>
    <x v="9"/>
    <x v="24"/>
    <x v="8"/>
    <x v="0"/>
    <x v="55"/>
  </r>
  <r>
    <x v="1364"/>
    <x v="5"/>
    <x v="5"/>
    <x v="1"/>
    <x v="4"/>
    <x v="9"/>
    <x v="10"/>
    <x v="34"/>
    <x v="39"/>
    <x v="7"/>
    <x v="9"/>
    <x v="35"/>
    <x v="3"/>
    <x v="115"/>
  </r>
  <r>
    <x v="1365"/>
    <x v="5"/>
    <x v="5"/>
    <x v="15"/>
    <x v="9"/>
    <x v="7"/>
    <x v="23"/>
    <x v="29"/>
    <x v="39"/>
    <x v="4"/>
    <x v="6"/>
    <x v="39"/>
    <x v="21"/>
    <x v="94"/>
  </r>
  <r>
    <x v="1366"/>
    <x v="5"/>
    <x v="5"/>
    <x v="19"/>
    <x v="22"/>
    <x v="9"/>
    <x v="12"/>
    <x v="14"/>
    <x v="10"/>
    <x v="20"/>
    <x v="4"/>
    <x v="11"/>
    <x v="1"/>
    <x v="211"/>
  </r>
  <r>
    <x v="1367"/>
    <x v="5"/>
    <x v="5"/>
    <x v="24"/>
    <x v="10"/>
    <x v="16"/>
    <x v="10"/>
    <x v="5"/>
    <x v="7"/>
    <x v="6"/>
    <x v="4"/>
    <x v="13"/>
    <x v="25"/>
    <x v="252"/>
  </r>
  <r>
    <x v="1368"/>
    <x v="5"/>
    <x v="5"/>
    <x v="6"/>
    <x v="19"/>
    <x v="2"/>
    <x v="10"/>
    <x v="0"/>
    <x v="30"/>
    <x v="16"/>
    <x v="7"/>
    <x v="17"/>
    <x v="37"/>
    <x v="53"/>
  </r>
  <r>
    <x v="1369"/>
    <x v="5"/>
    <x v="5"/>
    <x v="15"/>
    <x v="6"/>
    <x v="13"/>
    <x v="9"/>
    <x v="13"/>
    <x v="0"/>
    <x v="8"/>
    <x v="9"/>
    <x v="23"/>
    <x v="0"/>
    <x v="23"/>
  </r>
  <r>
    <x v="754"/>
    <x v="5"/>
    <x v="5"/>
    <x v="28"/>
    <x v="2"/>
    <x v="16"/>
    <x v="3"/>
    <x v="25"/>
    <x v="7"/>
    <x v="0"/>
    <x v="41"/>
    <x v="9"/>
    <x v="44"/>
    <x v="40"/>
  </r>
  <r>
    <x v="1370"/>
    <x v="5"/>
    <x v="5"/>
    <x v="19"/>
    <x v="9"/>
    <x v="27"/>
    <x v="13"/>
    <x v="24"/>
    <x v="39"/>
    <x v="44"/>
    <x v="38"/>
    <x v="22"/>
    <x v="34"/>
    <x v="51"/>
  </r>
  <r>
    <x v="1371"/>
    <x v="5"/>
    <x v="5"/>
    <x v="18"/>
    <x v="17"/>
    <x v="8"/>
    <x v="4"/>
    <x v="5"/>
    <x v="9"/>
    <x v="27"/>
    <x v="23"/>
    <x v="39"/>
    <x v="35"/>
    <x v="52"/>
  </r>
  <r>
    <x v="1372"/>
    <x v="5"/>
    <x v="5"/>
    <x v="4"/>
    <x v="4"/>
    <x v="0"/>
    <x v="4"/>
    <x v="8"/>
    <x v="7"/>
    <x v="13"/>
    <x v="44"/>
    <x v="28"/>
    <x v="30"/>
    <x v="123"/>
  </r>
  <r>
    <x v="1373"/>
    <x v="5"/>
    <x v="5"/>
    <x v="5"/>
    <x v="27"/>
    <x v="30"/>
    <x v="13"/>
    <x v="30"/>
    <x v="15"/>
    <x v="20"/>
    <x v="21"/>
    <x v="16"/>
    <x v="49"/>
    <x v="43"/>
  </r>
  <r>
    <x v="1374"/>
    <x v="5"/>
    <x v="5"/>
    <x v="10"/>
    <x v="8"/>
    <x v="1"/>
    <x v="19"/>
    <x v="0"/>
    <x v="8"/>
    <x v="29"/>
    <x v="0"/>
    <x v="32"/>
    <x v="15"/>
    <x v="208"/>
  </r>
  <r>
    <x v="1151"/>
    <x v="5"/>
    <x v="5"/>
    <x v="13"/>
    <x v="27"/>
    <x v="19"/>
    <x v="13"/>
    <x v="13"/>
    <x v="33"/>
    <x v="10"/>
    <x v="26"/>
    <x v="27"/>
    <x v="50"/>
    <x v="54"/>
  </r>
  <r>
    <x v="1375"/>
    <x v="5"/>
    <x v="5"/>
    <x v="12"/>
    <x v="11"/>
    <x v="16"/>
    <x v="3"/>
    <x v="30"/>
    <x v="16"/>
    <x v="19"/>
    <x v="33"/>
    <x v="20"/>
    <x v="6"/>
    <x v="12"/>
  </r>
  <r>
    <x v="1376"/>
    <x v="5"/>
    <x v="5"/>
    <x v="12"/>
    <x v="2"/>
    <x v="5"/>
    <x v="19"/>
    <x v="45"/>
    <x v="1"/>
    <x v="16"/>
    <x v="0"/>
    <x v="5"/>
    <x v="28"/>
    <x v="82"/>
  </r>
  <r>
    <x v="1377"/>
    <x v="5"/>
    <x v="5"/>
    <x v="6"/>
    <x v="27"/>
    <x v="16"/>
    <x v="21"/>
    <x v="0"/>
    <x v="24"/>
    <x v="5"/>
    <x v="9"/>
    <x v="12"/>
    <x v="27"/>
    <x v="13"/>
  </r>
  <r>
    <x v="1378"/>
    <x v="5"/>
    <x v="5"/>
    <x v="4"/>
    <x v="8"/>
    <x v="20"/>
    <x v="0"/>
    <x v="28"/>
    <x v="7"/>
    <x v="32"/>
    <x v="3"/>
    <x v="17"/>
    <x v="20"/>
    <x v="252"/>
  </r>
  <r>
    <x v="1379"/>
    <x v="5"/>
    <x v="5"/>
    <x v="6"/>
    <x v="20"/>
    <x v="13"/>
    <x v="19"/>
    <x v="9"/>
    <x v="24"/>
    <x v="18"/>
    <x v="9"/>
    <x v="11"/>
    <x v="64"/>
    <x v="253"/>
  </r>
  <r>
    <x v="1380"/>
    <x v="5"/>
    <x v="5"/>
    <x v="12"/>
    <x v="0"/>
    <x v="8"/>
    <x v="11"/>
    <x v="6"/>
    <x v="30"/>
    <x v="1"/>
    <x v="2"/>
    <x v="31"/>
    <x v="29"/>
    <x v="15"/>
  </r>
  <r>
    <x v="1381"/>
    <x v="5"/>
    <x v="5"/>
    <x v="19"/>
    <x v="20"/>
    <x v="17"/>
    <x v="12"/>
    <x v="10"/>
    <x v="14"/>
    <x v="32"/>
    <x v="1"/>
    <x v="12"/>
    <x v="39"/>
    <x v="38"/>
  </r>
  <r>
    <x v="1382"/>
    <x v="5"/>
    <x v="5"/>
    <x v="3"/>
    <x v="2"/>
    <x v="16"/>
    <x v="4"/>
    <x v="34"/>
    <x v="41"/>
    <x v="10"/>
    <x v="28"/>
    <x v="13"/>
    <x v="35"/>
    <x v="90"/>
  </r>
  <r>
    <x v="1383"/>
    <x v="5"/>
    <x v="5"/>
    <x v="35"/>
    <x v="2"/>
    <x v="10"/>
    <x v="10"/>
    <x v="18"/>
    <x v="10"/>
    <x v="0"/>
    <x v="38"/>
    <x v="28"/>
    <x v="16"/>
    <x v="76"/>
  </r>
  <r>
    <x v="1084"/>
    <x v="5"/>
    <x v="5"/>
    <x v="19"/>
    <x v="20"/>
    <x v="15"/>
    <x v="44"/>
    <x v="3"/>
    <x v="14"/>
    <x v="30"/>
    <x v="42"/>
    <x v="24"/>
    <x v="35"/>
    <x v="254"/>
  </r>
  <r>
    <x v="1384"/>
    <x v="5"/>
    <x v="5"/>
    <x v="5"/>
    <x v="4"/>
    <x v="7"/>
    <x v="19"/>
    <x v="5"/>
    <x v="39"/>
    <x v="37"/>
    <x v="0"/>
    <x v="20"/>
    <x v="17"/>
    <x v="87"/>
  </r>
  <r>
    <x v="1385"/>
    <x v="5"/>
    <x v="5"/>
    <x v="13"/>
    <x v="22"/>
    <x v="40"/>
    <x v="6"/>
    <x v="5"/>
    <x v="20"/>
    <x v="34"/>
    <x v="42"/>
    <x v="28"/>
    <x v="6"/>
    <x v="43"/>
  </r>
  <r>
    <x v="1386"/>
    <x v="5"/>
    <x v="5"/>
    <x v="12"/>
    <x v="8"/>
    <x v="8"/>
    <x v="3"/>
    <x v="6"/>
    <x v="27"/>
    <x v="12"/>
    <x v="18"/>
    <x v="19"/>
    <x v="25"/>
    <x v="7"/>
  </r>
  <r>
    <x v="1387"/>
    <x v="5"/>
    <x v="5"/>
    <x v="13"/>
    <x v="20"/>
    <x v="14"/>
    <x v="0"/>
    <x v="36"/>
    <x v="7"/>
    <x v="5"/>
    <x v="20"/>
    <x v="11"/>
    <x v="38"/>
    <x v="95"/>
  </r>
  <r>
    <x v="1388"/>
    <x v="5"/>
    <x v="5"/>
    <x v="1"/>
    <x v="8"/>
    <x v="14"/>
    <x v="3"/>
    <x v="48"/>
    <x v="24"/>
    <x v="5"/>
    <x v="24"/>
    <x v="27"/>
    <x v="10"/>
    <x v="89"/>
  </r>
  <r>
    <x v="1389"/>
    <x v="5"/>
    <x v="5"/>
    <x v="15"/>
    <x v="4"/>
    <x v="16"/>
    <x v="0"/>
    <x v="36"/>
    <x v="25"/>
    <x v="10"/>
    <x v="29"/>
    <x v="10"/>
    <x v="5"/>
    <x v="82"/>
  </r>
  <r>
    <x v="1390"/>
    <x v="5"/>
    <x v="5"/>
    <x v="5"/>
    <x v="26"/>
    <x v="19"/>
    <x v="12"/>
    <x v="16"/>
    <x v="15"/>
    <x v="30"/>
    <x v="23"/>
    <x v="13"/>
    <x v="7"/>
    <x v="74"/>
  </r>
  <r>
    <x v="1391"/>
    <x v="5"/>
    <x v="5"/>
    <x v="7"/>
    <x v="8"/>
    <x v="8"/>
    <x v="22"/>
    <x v="6"/>
    <x v="33"/>
    <x v="29"/>
    <x v="0"/>
    <x v="0"/>
    <x v="25"/>
    <x v="12"/>
  </r>
  <r>
    <x v="1392"/>
    <x v="5"/>
    <x v="5"/>
    <x v="24"/>
    <x v="6"/>
    <x v="1"/>
    <x v="21"/>
    <x v="29"/>
    <x v="18"/>
    <x v="12"/>
    <x v="34"/>
    <x v="1"/>
    <x v="39"/>
    <x v="43"/>
  </r>
  <r>
    <x v="1393"/>
    <x v="5"/>
    <x v="5"/>
    <x v="25"/>
    <x v="1"/>
    <x v="19"/>
    <x v="10"/>
    <x v="6"/>
    <x v="10"/>
    <x v="5"/>
    <x v="23"/>
    <x v="62"/>
    <x v="16"/>
    <x v="255"/>
  </r>
  <r>
    <x v="1394"/>
    <x v="5"/>
    <x v="5"/>
    <x v="10"/>
    <x v="1"/>
    <x v="13"/>
    <x v="11"/>
    <x v="0"/>
    <x v="39"/>
    <x v="4"/>
    <x v="18"/>
    <x v="5"/>
    <x v="45"/>
    <x v="81"/>
  </r>
  <r>
    <x v="1395"/>
    <x v="5"/>
    <x v="5"/>
    <x v="3"/>
    <x v="2"/>
    <x v="4"/>
    <x v="22"/>
    <x v="0"/>
    <x v="14"/>
    <x v="9"/>
    <x v="18"/>
    <x v="25"/>
    <x v="17"/>
    <x v="82"/>
  </r>
  <r>
    <x v="1396"/>
    <x v="5"/>
    <x v="5"/>
    <x v="18"/>
    <x v="27"/>
    <x v="13"/>
    <x v="2"/>
    <x v="24"/>
    <x v="12"/>
    <x v="3"/>
    <x v="14"/>
    <x v="40"/>
    <x v="36"/>
    <x v="38"/>
  </r>
  <r>
    <x v="1397"/>
    <x v="5"/>
    <x v="5"/>
    <x v="13"/>
    <x v="0"/>
    <x v="27"/>
    <x v="15"/>
    <x v="33"/>
    <x v="28"/>
    <x v="30"/>
    <x v="14"/>
    <x v="3"/>
    <x v="39"/>
    <x v="216"/>
  </r>
  <r>
    <x v="1398"/>
    <x v="5"/>
    <x v="5"/>
    <x v="6"/>
    <x v="0"/>
    <x v="10"/>
    <x v="22"/>
    <x v="5"/>
    <x v="47"/>
    <x v="18"/>
    <x v="28"/>
    <x v="19"/>
    <x v="25"/>
    <x v="245"/>
  </r>
  <r>
    <x v="1399"/>
    <x v="5"/>
    <x v="5"/>
    <x v="29"/>
    <x v="7"/>
    <x v="10"/>
    <x v="18"/>
    <x v="25"/>
    <x v="9"/>
    <x v="40"/>
    <x v="5"/>
    <x v="23"/>
    <x v="32"/>
    <x v="162"/>
  </r>
  <r>
    <x v="730"/>
    <x v="5"/>
    <x v="5"/>
    <x v="17"/>
    <x v="25"/>
    <x v="10"/>
    <x v="16"/>
    <x v="22"/>
    <x v="27"/>
    <x v="5"/>
    <x v="8"/>
    <x v="6"/>
    <x v="13"/>
    <x v="160"/>
  </r>
  <r>
    <x v="1400"/>
    <x v="5"/>
    <x v="5"/>
    <x v="23"/>
    <x v="0"/>
    <x v="18"/>
    <x v="18"/>
    <x v="11"/>
    <x v="12"/>
    <x v="29"/>
    <x v="10"/>
    <x v="17"/>
    <x v="0"/>
    <x v="24"/>
  </r>
  <r>
    <x v="1401"/>
    <x v="5"/>
    <x v="5"/>
    <x v="17"/>
    <x v="3"/>
    <x v="21"/>
    <x v="5"/>
    <x v="11"/>
    <x v="7"/>
    <x v="0"/>
    <x v="3"/>
    <x v="16"/>
    <x v="26"/>
    <x v="137"/>
  </r>
  <r>
    <x v="1402"/>
    <x v="5"/>
    <x v="5"/>
    <x v="22"/>
    <x v="14"/>
    <x v="33"/>
    <x v="25"/>
    <x v="5"/>
    <x v="16"/>
    <x v="2"/>
    <x v="5"/>
    <x v="24"/>
    <x v="10"/>
    <x v="177"/>
  </r>
  <r>
    <x v="1403"/>
    <x v="5"/>
    <x v="5"/>
    <x v="31"/>
    <x v="39"/>
    <x v="22"/>
    <x v="20"/>
    <x v="19"/>
    <x v="11"/>
    <x v="14"/>
    <x v="6"/>
    <x v="11"/>
    <x v="47"/>
    <x v="30"/>
  </r>
  <r>
    <x v="1404"/>
    <x v="5"/>
    <x v="5"/>
    <x v="15"/>
    <x v="4"/>
    <x v="1"/>
    <x v="4"/>
    <x v="36"/>
    <x v="25"/>
    <x v="35"/>
    <x v="42"/>
    <x v="39"/>
    <x v="6"/>
    <x v="256"/>
  </r>
  <r>
    <x v="1405"/>
    <x v="5"/>
    <x v="5"/>
    <x v="9"/>
    <x v="6"/>
    <x v="16"/>
    <x v="4"/>
    <x v="34"/>
    <x v="28"/>
    <x v="33"/>
    <x v="24"/>
    <x v="32"/>
    <x v="39"/>
    <x v="105"/>
  </r>
  <r>
    <x v="1406"/>
    <x v="5"/>
    <x v="5"/>
    <x v="12"/>
    <x v="10"/>
    <x v="19"/>
    <x v="7"/>
    <x v="0"/>
    <x v="25"/>
    <x v="5"/>
    <x v="2"/>
    <x v="2"/>
    <x v="29"/>
    <x v="13"/>
  </r>
  <r>
    <x v="1407"/>
    <x v="5"/>
    <x v="5"/>
    <x v="4"/>
    <x v="2"/>
    <x v="14"/>
    <x v="16"/>
    <x v="20"/>
    <x v="27"/>
    <x v="31"/>
    <x v="44"/>
    <x v="3"/>
    <x v="48"/>
    <x v="46"/>
  </r>
  <r>
    <x v="1408"/>
    <x v="5"/>
    <x v="5"/>
    <x v="2"/>
    <x v="4"/>
    <x v="14"/>
    <x v="1"/>
    <x v="16"/>
    <x v="6"/>
    <x v="19"/>
    <x v="34"/>
    <x v="39"/>
    <x v="22"/>
    <x v="84"/>
  </r>
  <r>
    <x v="1409"/>
    <x v="5"/>
    <x v="5"/>
    <x v="19"/>
    <x v="10"/>
    <x v="19"/>
    <x v="14"/>
    <x v="6"/>
    <x v="5"/>
    <x v="19"/>
    <x v="23"/>
    <x v="4"/>
    <x v="7"/>
    <x v="95"/>
  </r>
  <r>
    <x v="1410"/>
    <x v="5"/>
    <x v="5"/>
    <x v="5"/>
    <x v="10"/>
    <x v="13"/>
    <x v="32"/>
    <x v="2"/>
    <x v="47"/>
    <x v="46"/>
    <x v="14"/>
    <x v="8"/>
    <x v="3"/>
    <x v="116"/>
  </r>
  <r>
    <x v="1411"/>
    <x v="5"/>
    <x v="5"/>
    <x v="12"/>
    <x v="4"/>
    <x v="9"/>
    <x v="26"/>
    <x v="18"/>
    <x v="11"/>
    <x v="17"/>
    <x v="3"/>
    <x v="0"/>
    <x v="29"/>
    <x v="109"/>
  </r>
  <r>
    <x v="1412"/>
    <x v="5"/>
    <x v="5"/>
    <x v="24"/>
    <x v="10"/>
    <x v="9"/>
    <x v="19"/>
    <x v="0"/>
    <x v="8"/>
    <x v="27"/>
    <x v="3"/>
    <x v="1"/>
    <x v="22"/>
    <x v="211"/>
  </r>
  <r>
    <x v="1413"/>
    <x v="5"/>
    <x v="5"/>
    <x v="17"/>
    <x v="2"/>
    <x v="20"/>
    <x v="14"/>
    <x v="11"/>
    <x v="30"/>
    <x v="10"/>
    <x v="1"/>
    <x v="20"/>
    <x v="28"/>
    <x v="89"/>
  </r>
  <r>
    <x v="1414"/>
    <x v="5"/>
    <x v="5"/>
    <x v="16"/>
    <x v="17"/>
    <x v="2"/>
    <x v="14"/>
    <x v="2"/>
    <x v="15"/>
    <x v="7"/>
    <x v="11"/>
    <x v="29"/>
    <x v="28"/>
    <x v="53"/>
  </r>
  <r>
    <x v="1415"/>
    <x v="5"/>
    <x v="5"/>
    <x v="6"/>
    <x v="25"/>
    <x v="19"/>
    <x v="22"/>
    <x v="3"/>
    <x v="33"/>
    <x v="29"/>
    <x v="0"/>
    <x v="5"/>
    <x v="7"/>
    <x v="75"/>
  </r>
  <r>
    <x v="1416"/>
    <x v="5"/>
    <x v="5"/>
    <x v="19"/>
    <x v="0"/>
    <x v="16"/>
    <x v="19"/>
    <x v="30"/>
    <x v="12"/>
    <x v="30"/>
    <x v="0"/>
    <x v="2"/>
    <x v="34"/>
    <x v="47"/>
  </r>
  <r>
    <x v="1417"/>
    <x v="5"/>
    <x v="5"/>
    <x v="3"/>
    <x v="6"/>
    <x v="15"/>
    <x v="15"/>
    <x v="8"/>
    <x v="0"/>
    <x v="40"/>
    <x v="0"/>
    <x v="8"/>
    <x v="16"/>
    <x v="8"/>
  </r>
  <r>
    <x v="1418"/>
    <x v="5"/>
    <x v="5"/>
    <x v="16"/>
    <x v="6"/>
    <x v="4"/>
    <x v="3"/>
    <x v="8"/>
    <x v="30"/>
    <x v="1"/>
    <x v="15"/>
    <x v="29"/>
    <x v="20"/>
    <x v="215"/>
  </r>
  <r>
    <x v="1419"/>
    <x v="5"/>
    <x v="5"/>
    <x v="6"/>
    <x v="0"/>
    <x v="15"/>
    <x v="11"/>
    <x v="14"/>
    <x v="2"/>
    <x v="44"/>
    <x v="16"/>
    <x v="0"/>
    <x v="61"/>
    <x v="171"/>
  </r>
  <r>
    <x v="1420"/>
    <x v="5"/>
    <x v="5"/>
    <x v="6"/>
    <x v="21"/>
    <x v="0"/>
    <x v="0"/>
    <x v="28"/>
    <x v="1"/>
    <x v="6"/>
    <x v="20"/>
    <x v="11"/>
    <x v="26"/>
    <x v="89"/>
  </r>
  <r>
    <x v="1421"/>
    <x v="5"/>
    <x v="5"/>
    <x v="12"/>
    <x v="10"/>
    <x v="26"/>
    <x v="22"/>
    <x v="8"/>
    <x v="15"/>
    <x v="29"/>
    <x v="1"/>
    <x v="33"/>
    <x v="6"/>
    <x v="109"/>
  </r>
  <r>
    <x v="1422"/>
    <x v="5"/>
    <x v="5"/>
    <x v="26"/>
    <x v="9"/>
    <x v="17"/>
    <x v="9"/>
    <x v="9"/>
    <x v="8"/>
    <x v="1"/>
    <x v="23"/>
    <x v="40"/>
    <x v="3"/>
    <x v="54"/>
  </r>
  <r>
    <x v="943"/>
    <x v="5"/>
    <x v="5"/>
    <x v="9"/>
    <x v="9"/>
    <x v="9"/>
    <x v="13"/>
    <x v="18"/>
    <x v="33"/>
    <x v="13"/>
    <x v="9"/>
    <x v="0"/>
    <x v="6"/>
    <x v="18"/>
  </r>
  <r>
    <x v="1423"/>
    <x v="5"/>
    <x v="5"/>
    <x v="13"/>
    <x v="6"/>
    <x v="1"/>
    <x v="4"/>
    <x v="28"/>
    <x v="5"/>
    <x v="40"/>
    <x v="16"/>
    <x v="60"/>
    <x v="33"/>
    <x v="207"/>
  </r>
  <r>
    <x v="1424"/>
    <x v="5"/>
    <x v="5"/>
    <x v="5"/>
    <x v="20"/>
    <x v="1"/>
    <x v="0"/>
    <x v="5"/>
    <x v="25"/>
    <x v="10"/>
    <x v="14"/>
    <x v="57"/>
    <x v="7"/>
    <x v="54"/>
  </r>
  <r>
    <x v="1425"/>
    <x v="5"/>
    <x v="5"/>
    <x v="11"/>
    <x v="18"/>
    <x v="19"/>
    <x v="14"/>
    <x v="28"/>
    <x v="26"/>
    <x v="37"/>
    <x v="10"/>
    <x v="9"/>
    <x v="0"/>
    <x v="43"/>
  </r>
  <r>
    <x v="1426"/>
    <x v="5"/>
    <x v="5"/>
    <x v="16"/>
    <x v="8"/>
    <x v="10"/>
    <x v="4"/>
    <x v="14"/>
    <x v="7"/>
    <x v="32"/>
    <x v="16"/>
    <x v="5"/>
    <x v="8"/>
    <x v="12"/>
  </r>
  <r>
    <x v="1427"/>
    <x v="5"/>
    <x v="5"/>
    <x v="8"/>
    <x v="21"/>
    <x v="14"/>
    <x v="18"/>
    <x v="24"/>
    <x v="11"/>
    <x v="15"/>
    <x v="22"/>
    <x v="7"/>
    <x v="33"/>
    <x v="127"/>
  </r>
  <r>
    <x v="1428"/>
    <x v="5"/>
    <x v="5"/>
    <x v="13"/>
    <x v="4"/>
    <x v="24"/>
    <x v="10"/>
    <x v="2"/>
    <x v="27"/>
    <x v="6"/>
    <x v="34"/>
    <x v="11"/>
    <x v="8"/>
    <x v="38"/>
  </r>
  <r>
    <x v="1429"/>
    <x v="5"/>
    <x v="5"/>
    <x v="19"/>
    <x v="21"/>
    <x v="20"/>
    <x v="14"/>
    <x v="8"/>
    <x v="5"/>
    <x v="35"/>
    <x v="16"/>
    <x v="10"/>
    <x v="35"/>
    <x v="85"/>
  </r>
  <r>
    <x v="1430"/>
    <x v="5"/>
    <x v="5"/>
    <x v="5"/>
    <x v="5"/>
    <x v="20"/>
    <x v="14"/>
    <x v="2"/>
    <x v="52"/>
    <x v="6"/>
    <x v="5"/>
    <x v="27"/>
    <x v="11"/>
    <x v="216"/>
  </r>
  <r>
    <x v="1431"/>
    <x v="5"/>
    <x v="5"/>
    <x v="28"/>
    <x v="21"/>
    <x v="5"/>
    <x v="26"/>
    <x v="25"/>
    <x v="28"/>
    <x v="16"/>
    <x v="19"/>
    <x v="39"/>
    <x v="26"/>
    <x v="95"/>
  </r>
  <r>
    <x v="1432"/>
    <x v="5"/>
    <x v="5"/>
    <x v="16"/>
    <x v="17"/>
    <x v="16"/>
    <x v="0"/>
    <x v="44"/>
    <x v="0"/>
    <x v="20"/>
    <x v="42"/>
    <x v="17"/>
    <x v="56"/>
    <x v="38"/>
  </r>
  <r>
    <x v="1433"/>
    <x v="5"/>
    <x v="5"/>
    <x v="28"/>
    <x v="8"/>
    <x v="20"/>
    <x v="11"/>
    <x v="17"/>
    <x v="22"/>
    <x v="34"/>
    <x v="19"/>
    <x v="33"/>
    <x v="1"/>
    <x v="107"/>
  </r>
  <r>
    <x v="1434"/>
    <x v="5"/>
    <x v="5"/>
    <x v="10"/>
    <x v="1"/>
    <x v="7"/>
    <x v="10"/>
    <x v="9"/>
    <x v="12"/>
    <x v="29"/>
    <x v="26"/>
    <x v="27"/>
    <x v="6"/>
    <x v="245"/>
  </r>
  <r>
    <x v="1435"/>
    <x v="5"/>
    <x v="5"/>
    <x v="13"/>
    <x v="11"/>
    <x v="26"/>
    <x v="26"/>
    <x v="5"/>
    <x v="13"/>
    <x v="12"/>
    <x v="18"/>
    <x v="13"/>
    <x v="15"/>
    <x v="124"/>
  </r>
  <r>
    <x v="1436"/>
    <x v="5"/>
    <x v="5"/>
    <x v="0"/>
    <x v="8"/>
    <x v="1"/>
    <x v="4"/>
    <x v="3"/>
    <x v="27"/>
    <x v="19"/>
    <x v="14"/>
    <x v="33"/>
    <x v="6"/>
    <x v="213"/>
  </r>
  <r>
    <x v="1437"/>
    <x v="5"/>
    <x v="5"/>
    <x v="2"/>
    <x v="20"/>
    <x v="16"/>
    <x v="21"/>
    <x v="26"/>
    <x v="5"/>
    <x v="17"/>
    <x v="7"/>
    <x v="5"/>
    <x v="28"/>
    <x v="55"/>
  </r>
  <r>
    <x v="1438"/>
    <x v="5"/>
    <x v="5"/>
    <x v="15"/>
    <x v="9"/>
    <x v="23"/>
    <x v="15"/>
    <x v="24"/>
    <x v="7"/>
    <x v="1"/>
    <x v="2"/>
    <x v="17"/>
    <x v="15"/>
    <x v="218"/>
  </r>
  <r>
    <x v="1439"/>
    <x v="5"/>
    <x v="5"/>
    <x v="3"/>
    <x v="10"/>
    <x v="16"/>
    <x v="2"/>
    <x v="2"/>
    <x v="25"/>
    <x v="27"/>
    <x v="10"/>
    <x v="1"/>
    <x v="29"/>
    <x v="212"/>
  </r>
  <r>
    <x v="1440"/>
    <x v="5"/>
    <x v="5"/>
    <x v="19"/>
    <x v="9"/>
    <x v="1"/>
    <x v="27"/>
    <x v="2"/>
    <x v="28"/>
    <x v="13"/>
    <x v="2"/>
    <x v="8"/>
    <x v="18"/>
    <x v="54"/>
  </r>
  <r>
    <x v="1441"/>
    <x v="5"/>
    <x v="5"/>
    <x v="3"/>
    <x v="19"/>
    <x v="26"/>
    <x v="10"/>
    <x v="13"/>
    <x v="24"/>
    <x v="20"/>
    <x v="7"/>
    <x v="62"/>
    <x v="8"/>
    <x v="257"/>
  </r>
  <r>
    <x v="1442"/>
    <x v="5"/>
    <x v="5"/>
    <x v="1"/>
    <x v="0"/>
    <x v="4"/>
    <x v="21"/>
    <x v="14"/>
    <x v="27"/>
    <x v="5"/>
    <x v="19"/>
    <x v="2"/>
    <x v="68"/>
    <x v="26"/>
  </r>
  <r>
    <x v="1443"/>
    <x v="5"/>
    <x v="5"/>
    <x v="12"/>
    <x v="16"/>
    <x v="13"/>
    <x v="14"/>
    <x v="11"/>
    <x v="15"/>
    <x v="4"/>
    <x v="18"/>
    <x v="27"/>
    <x v="1"/>
    <x v="8"/>
  </r>
  <r>
    <x v="1444"/>
    <x v="5"/>
    <x v="5"/>
    <x v="4"/>
    <x v="0"/>
    <x v="17"/>
    <x v="21"/>
    <x v="29"/>
    <x v="39"/>
    <x v="7"/>
    <x v="21"/>
    <x v="57"/>
    <x v="39"/>
    <x v="215"/>
  </r>
  <r>
    <x v="1445"/>
    <x v="5"/>
    <x v="5"/>
    <x v="4"/>
    <x v="8"/>
    <x v="27"/>
    <x v="0"/>
    <x v="13"/>
    <x v="8"/>
    <x v="0"/>
    <x v="5"/>
    <x v="3"/>
    <x v="0"/>
    <x v="210"/>
  </r>
  <r>
    <x v="1446"/>
    <x v="5"/>
    <x v="5"/>
    <x v="3"/>
    <x v="0"/>
    <x v="2"/>
    <x v="19"/>
    <x v="29"/>
    <x v="15"/>
    <x v="9"/>
    <x v="56"/>
    <x v="12"/>
    <x v="16"/>
    <x v="207"/>
  </r>
  <r>
    <x v="1447"/>
    <x v="5"/>
    <x v="5"/>
    <x v="5"/>
    <x v="9"/>
    <x v="20"/>
    <x v="10"/>
    <x v="3"/>
    <x v="18"/>
    <x v="4"/>
    <x v="7"/>
    <x v="23"/>
    <x v="0"/>
    <x v="41"/>
  </r>
  <r>
    <x v="1448"/>
    <x v="5"/>
    <x v="5"/>
    <x v="6"/>
    <x v="21"/>
    <x v="1"/>
    <x v="4"/>
    <x v="24"/>
    <x v="15"/>
    <x v="18"/>
    <x v="14"/>
    <x v="11"/>
    <x v="48"/>
    <x v="213"/>
  </r>
  <r>
    <x v="1449"/>
    <x v="5"/>
    <x v="5"/>
    <x v="12"/>
    <x v="9"/>
    <x v="8"/>
    <x v="10"/>
    <x v="2"/>
    <x v="15"/>
    <x v="7"/>
    <x v="23"/>
    <x v="13"/>
    <x v="39"/>
    <x v="211"/>
  </r>
  <r>
    <x v="1450"/>
    <x v="5"/>
    <x v="5"/>
    <x v="4"/>
    <x v="10"/>
    <x v="13"/>
    <x v="9"/>
    <x v="26"/>
    <x v="14"/>
    <x v="6"/>
    <x v="0"/>
    <x v="9"/>
    <x v="42"/>
    <x v="213"/>
  </r>
  <r>
    <x v="1451"/>
    <x v="5"/>
    <x v="5"/>
    <x v="19"/>
    <x v="21"/>
    <x v="11"/>
    <x v="10"/>
    <x v="29"/>
    <x v="3"/>
    <x v="29"/>
    <x v="7"/>
    <x v="1"/>
    <x v="18"/>
    <x v="75"/>
  </r>
  <r>
    <x v="1452"/>
    <x v="5"/>
    <x v="5"/>
    <x v="10"/>
    <x v="28"/>
    <x v="26"/>
    <x v="28"/>
    <x v="10"/>
    <x v="11"/>
    <x v="12"/>
    <x v="19"/>
    <x v="20"/>
    <x v="39"/>
    <x v="13"/>
  </r>
  <r>
    <x v="1453"/>
    <x v="5"/>
    <x v="5"/>
    <x v="5"/>
    <x v="8"/>
    <x v="17"/>
    <x v="29"/>
    <x v="0"/>
    <x v="11"/>
    <x v="20"/>
    <x v="8"/>
    <x v="9"/>
    <x v="14"/>
    <x v="246"/>
  </r>
  <r>
    <x v="1454"/>
    <x v="5"/>
    <x v="5"/>
    <x v="16"/>
    <x v="3"/>
    <x v="19"/>
    <x v="1"/>
    <x v="18"/>
    <x v="4"/>
    <x v="24"/>
    <x v="6"/>
    <x v="21"/>
    <x v="25"/>
    <x v="45"/>
  </r>
  <r>
    <x v="1455"/>
    <x v="5"/>
    <x v="5"/>
    <x v="15"/>
    <x v="27"/>
    <x v="13"/>
    <x v="14"/>
    <x v="9"/>
    <x v="10"/>
    <x v="12"/>
    <x v="11"/>
    <x v="8"/>
    <x v="16"/>
    <x v="110"/>
  </r>
  <r>
    <x v="1456"/>
    <x v="5"/>
    <x v="5"/>
    <x v="19"/>
    <x v="17"/>
    <x v="9"/>
    <x v="10"/>
    <x v="2"/>
    <x v="18"/>
    <x v="6"/>
    <x v="0"/>
    <x v="20"/>
    <x v="3"/>
    <x v="89"/>
  </r>
  <r>
    <x v="1457"/>
    <x v="5"/>
    <x v="5"/>
    <x v="19"/>
    <x v="7"/>
    <x v="10"/>
    <x v="15"/>
    <x v="16"/>
    <x v="9"/>
    <x v="5"/>
    <x v="16"/>
    <x v="0"/>
    <x v="7"/>
    <x v="170"/>
  </r>
  <r>
    <x v="1458"/>
    <x v="5"/>
    <x v="5"/>
    <x v="6"/>
    <x v="1"/>
    <x v="15"/>
    <x v="0"/>
    <x v="13"/>
    <x v="14"/>
    <x v="0"/>
    <x v="28"/>
    <x v="4"/>
    <x v="32"/>
    <x v="23"/>
  </r>
  <r>
    <x v="1459"/>
    <x v="5"/>
    <x v="5"/>
    <x v="10"/>
    <x v="21"/>
    <x v="19"/>
    <x v="27"/>
    <x v="2"/>
    <x v="28"/>
    <x v="2"/>
    <x v="36"/>
    <x v="33"/>
    <x v="28"/>
    <x v="18"/>
  </r>
  <r>
    <x v="1460"/>
    <x v="5"/>
    <x v="5"/>
    <x v="16"/>
    <x v="17"/>
    <x v="1"/>
    <x v="29"/>
    <x v="29"/>
    <x v="15"/>
    <x v="29"/>
    <x v="6"/>
    <x v="10"/>
    <x v="20"/>
    <x v="252"/>
  </r>
  <r>
    <x v="1461"/>
    <x v="5"/>
    <x v="5"/>
    <x v="19"/>
    <x v="5"/>
    <x v="19"/>
    <x v="9"/>
    <x v="5"/>
    <x v="7"/>
    <x v="27"/>
    <x v="2"/>
    <x v="41"/>
    <x v="37"/>
    <x v="47"/>
  </r>
  <r>
    <x v="1462"/>
    <x v="5"/>
    <x v="5"/>
    <x v="19"/>
    <x v="4"/>
    <x v="9"/>
    <x v="6"/>
    <x v="17"/>
    <x v="39"/>
    <x v="29"/>
    <x v="19"/>
    <x v="3"/>
    <x v="7"/>
    <x v="26"/>
  </r>
  <r>
    <x v="1463"/>
    <x v="5"/>
    <x v="5"/>
    <x v="16"/>
    <x v="8"/>
    <x v="14"/>
    <x v="2"/>
    <x v="3"/>
    <x v="28"/>
    <x v="4"/>
    <x v="16"/>
    <x v="23"/>
    <x v="20"/>
    <x v="105"/>
  </r>
  <r>
    <x v="1464"/>
    <x v="5"/>
    <x v="5"/>
    <x v="3"/>
    <x v="21"/>
    <x v="19"/>
    <x v="6"/>
    <x v="10"/>
    <x v="12"/>
    <x v="19"/>
    <x v="44"/>
    <x v="31"/>
    <x v="12"/>
    <x v="246"/>
  </r>
  <r>
    <x v="1465"/>
    <x v="5"/>
    <x v="5"/>
    <x v="15"/>
    <x v="17"/>
    <x v="20"/>
    <x v="19"/>
    <x v="16"/>
    <x v="8"/>
    <x v="40"/>
    <x v="3"/>
    <x v="2"/>
    <x v="22"/>
    <x v="63"/>
  </r>
  <r>
    <x v="1466"/>
    <x v="5"/>
    <x v="5"/>
    <x v="4"/>
    <x v="2"/>
    <x v="24"/>
    <x v="19"/>
    <x v="26"/>
    <x v="7"/>
    <x v="9"/>
    <x v="26"/>
    <x v="11"/>
    <x v="15"/>
    <x v="76"/>
  </r>
  <r>
    <x v="1467"/>
    <x v="5"/>
    <x v="5"/>
    <x v="3"/>
    <x v="2"/>
    <x v="19"/>
    <x v="19"/>
    <x v="0"/>
    <x v="28"/>
    <x v="35"/>
    <x v="19"/>
    <x v="11"/>
    <x v="37"/>
    <x v="109"/>
  </r>
  <r>
    <x v="1468"/>
    <x v="5"/>
    <x v="5"/>
    <x v="15"/>
    <x v="11"/>
    <x v="19"/>
    <x v="7"/>
    <x v="36"/>
    <x v="10"/>
    <x v="5"/>
    <x v="16"/>
    <x v="36"/>
    <x v="32"/>
    <x v="38"/>
  </r>
  <r>
    <x v="1469"/>
    <x v="5"/>
    <x v="5"/>
    <x v="9"/>
    <x v="2"/>
    <x v="10"/>
    <x v="19"/>
    <x v="5"/>
    <x v="0"/>
    <x v="23"/>
    <x v="15"/>
    <x v="17"/>
    <x v="36"/>
    <x v="21"/>
  </r>
  <r>
    <x v="1470"/>
    <x v="5"/>
    <x v="5"/>
    <x v="10"/>
    <x v="22"/>
    <x v="9"/>
    <x v="2"/>
    <x v="33"/>
    <x v="20"/>
    <x v="1"/>
    <x v="42"/>
    <x v="9"/>
    <x v="8"/>
    <x v="83"/>
  </r>
  <r>
    <x v="1471"/>
    <x v="5"/>
    <x v="5"/>
    <x v="0"/>
    <x v="17"/>
    <x v="14"/>
    <x v="2"/>
    <x v="14"/>
    <x v="25"/>
    <x v="6"/>
    <x v="13"/>
    <x v="31"/>
    <x v="22"/>
    <x v="218"/>
  </r>
  <r>
    <x v="1472"/>
    <x v="5"/>
    <x v="5"/>
    <x v="8"/>
    <x v="8"/>
    <x v="6"/>
    <x v="9"/>
    <x v="29"/>
    <x v="7"/>
    <x v="19"/>
    <x v="12"/>
    <x v="60"/>
    <x v="12"/>
    <x v="246"/>
  </r>
  <r>
    <x v="1473"/>
    <x v="5"/>
    <x v="5"/>
    <x v="6"/>
    <x v="7"/>
    <x v="1"/>
    <x v="12"/>
    <x v="1"/>
    <x v="26"/>
    <x v="18"/>
    <x v="42"/>
    <x v="42"/>
    <x v="3"/>
    <x v="86"/>
  </r>
  <r>
    <x v="1474"/>
    <x v="5"/>
    <x v="5"/>
    <x v="3"/>
    <x v="23"/>
    <x v="7"/>
    <x v="13"/>
    <x v="24"/>
    <x v="6"/>
    <x v="19"/>
    <x v="15"/>
    <x v="0"/>
    <x v="47"/>
    <x v="213"/>
  </r>
  <r>
    <x v="807"/>
    <x v="5"/>
    <x v="5"/>
    <x v="19"/>
    <x v="7"/>
    <x v="22"/>
    <x v="12"/>
    <x v="8"/>
    <x v="11"/>
    <x v="2"/>
    <x v="6"/>
    <x v="9"/>
    <x v="1"/>
    <x v="5"/>
  </r>
  <r>
    <x v="1475"/>
    <x v="5"/>
    <x v="5"/>
    <x v="21"/>
    <x v="26"/>
    <x v="15"/>
    <x v="22"/>
    <x v="28"/>
    <x v="15"/>
    <x v="0"/>
    <x v="9"/>
    <x v="8"/>
    <x v="26"/>
    <x v="35"/>
  </r>
  <r>
    <x v="1476"/>
    <x v="0"/>
    <x v="0"/>
    <x v="15"/>
    <x v="28"/>
    <x v="14"/>
    <x v="29"/>
    <x v="2"/>
    <x v="5"/>
    <x v="15"/>
    <x v="28"/>
    <x v="27"/>
    <x v="30"/>
    <x v="43"/>
  </r>
  <r>
    <x v="1477"/>
    <x v="0"/>
    <x v="0"/>
    <x v="13"/>
    <x v="0"/>
    <x v="20"/>
    <x v="32"/>
    <x v="6"/>
    <x v="30"/>
    <x v="4"/>
    <x v="6"/>
    <x v="33"/>
    <x v="18"/>
    <x v="107"/>
  </r>
  <r>
    <x v="1478"/>
    <x v="0"/>
    <x v="0"/>
    <x v="25"/>
    <x v="6"/>
    <x v="19"/>
    <x v="19"/>
    <x v="9"/>
    <x v="1"/>
    <x v="18"/>
    <x v="10"/>
    <x v="12"/>
    <x v="32"/>
    <x v="53"/>
  </r>
  <r>
    <x v="1479"/>
    <x v="0"/>
    <x v="0"/>
    <x v="19"/>
    <x v="18"/>
    <x v="0"/>
    <x v="4"/>
    <x v="36"/>
    <x v="9"/>
    <x v="4"/>
    <x v="33"/>
    <x v="41"/>
    <x v="11"/>
    <x v="111"/>
  </r>
  <r>
    <x v="1480"/>
    <x v="0"/>
    <x v="0"/>
    <x v="12"/>
    <x v="6"/>
    <x v="19"/>
    <x v="19"/>
    <x v="17"/>
    <x v="24"/>
    <x v="3"/>
    <x v="56"/>
    <x v="12"/>
    <x v="15"/>
    <x v="110"/>
  </r>
  <r>
    <x v="1481"/>
    <x v="0"/>
    <x v="0"/>
    <x v="5"/>
    <x v="20"/>
    <x v="7"/>
    <x v="10"/>
    <x v="0"/>
    <x v="11"/>
    <x v="27"/>
    <x v="16"/>
    <x v="12"/>
    <x v="16"/>
    <x v="252"/>
  </r>
  <r>
    <x v="1482"/>
    <x v="0"/>
    <x v="0"/>
    <x v="24"/>
    <x v="28"/>
    <x v="13"/>
    <x v="6"/>
    <x v="24"/>
    <x v="8"/>
    <x v="27"/>
    <x v="21"/>
    <x v="40"/>
    <x v="18"/>
    <x v="94"/>
  </r>
  <r>
    <x v="1483"/>
    <x v="0"/>
    <x v="0"/>
    <x v="16"/>
    <x v="21"/>
    <x v="1"/>
    <x v="22"/>
    <x v="10"/>
    <x v="14"/>
    <x v="32"/>
    <x v="32"/>
    <x v="9"/>
    <x v="0"/>
    <x v="212"/>
  </r>
  <r>
    <x v="1484"/>
    <x v="0"/>
    <x v="0"/>
    <x v="13"/>
    <x v="6"/>
    <x v="20"/>
    <x v="26"/>
    <x v="9"/>
    <x v="8"/>
    <x v="0"/>
    <x v="24"/>
    <x v="12"/>
    <x v="8"/>
    <x v="208"/>
  </r>
  <r>
    <x v="1485"/>
    <x v="0"/>
    <x v="0"/>
    <x v="28"/>
    <x v="8"/>
    <x v="9"/>
    <x v="11"/>
    <x v="34"/>
    <x v="15"/>
    <x v="23"/>
    <x v="7"/>
    <x v="8"/>
    <x v="39"/>
    <x v="208"/>
  </r>
  <r>
    <x v="1486"/>
    <x v="0"/>
    <x v="0"/>
    <x v="10"/>
    <x v="9"/>
    <x v="14"/>
    <x v="11"/>
    <x v="13"/>
    <x v="24"/>
    <x v="4"/>
    <x v="12"/>
    <x v="5"/>
    <x v="16"/>
    <x v="73"/>
  </r>
  <r>
    <x v="1487"/>
    <x v="0"/>
    <x v="0"/>
    <x v="10"/>
    <x v="2"/>
    <x v="19"/>
    <x v="3"/>
    <x v="5"/>
    <x v="5"/>
    <x v="27"/>
    <x v="0"/>
    <x v="32"/>
    <x v="1"/>
    <x v="23"/>
  </r>
  <r>
    <x v="1488"/>
    <x v="0"/>
    <x v="0"/>
    <x v="8"/>
    <x v="9"/>
    <x v="7"/>
    <x v="26"/>
    <x v="16"/>
    <x v="24"/>
    <x v="15"/>
    <x v="2"/>
    <x v="8"/>
    <x v="17"/>
    <x v="215"/>
  </r>
  <r>
    <x v="1489"/>
    <x v="0"/>
    <x v="0"/>
    <x v="3"/>
    <x v="6"/>
    <x v="19"/>
    <x v="19"/>
    <x v="34"/>
    <x v="26"/>
    <x v="2"/>
    <x v="21"/>
    <x v="12"/>
    <x v="10"/>
    <x v="82"/>
  </r>
  <r>
    <x v="1490"/>
    <x v="0"/>
    <x v="0"/>
    <x v="5"/>
    <x v="2"/>
    <x v="13"/>
    <x v="21"/>
    <x v="5"/>
    <x v="7"/>
    <x v="19"/>
    <x v="20"/>
    <x v="20"/>
    <x v="1"/>
    <x v="211"/>
  </r>
  <r>
    <x v="1491"/>
    <x v="0"/>
    <x v="0"/>
    <x v="6"/>
    <x v="11"/>
    <x v="9"/>
    <x v="12"/>
    <x v="29"/>
    <x v="25"/>
    <x v="15"/>
    <x v="21"/>
    <x v="2"/>
    <x v="25"/>
    <x v="43"/>
  </r>
  <r>
    <x v="1492"/>
    <x v="0"/>
    <x v="0"/>
    <x v="15"/>
    <x v="21"/>
    <x v="24"/>
    <x v="3"/>
    <x v="8"/>
    <x v="28"/>
    <x v="35"/>
    <x v="4"/>
    <x v="41"/>
    <x v="6"/>
    <x v="110"/>
  </r>
  <r>
    <x v="1493"/>
    <x v="0"/>
    <x v="0"/>
    <x v="10"/>
    <x v="18"/>
    <x v="30"/>
    <x v="28"/>
    <x v="27"/>
    <x v="24"/>
    <x v="5"/>
    <x v="10"/>
    <x v="29"/>
    <x v="6"/>
    <x v="109"/>
  </r>
  <r>
    <x v="1494"/>
    <x v="0"/>
    <x v="0"/>
    <x v="5"/>
    <x v="21"/>
    <x v="9"/>
    <x v="19"/>
    <x v="33"/>
    <x v="5"/>
    <x v="6"/>
    <x v="21"/>
    <x v="27"/>
    <x v="6"/>
    <x v="52"/>
  </r>
  <r>
    <x v="1495"/>
    <x v="0"/>
    <x v="0"/>
    <x v="16"/>
    <x v="28"/>
    <x v="7"/>
    <x v="6"/>
    <x v="14"/>
    <x v="12"/>
    <x v="7"/>
    <x v="34"/>
    <x v="4"/>
    <x v="30"/>
    <x v="86"/>
  </r>
  <r>
    <x v="1496"/>
    <x v="0"/>
    <x v="0"/>
    <x v="15"/>
    <x v="23"/>
    <x v="16"/>
    <x v="0"/>
    <x v="34"/>
    <x v="39"/>
    <x v="5"/>
    <x v="0"/>
    <x v="1"/>
    <x v="14"/>
    <x v="107"/>
  </r>
  <r>
    <x v="1497"/>
    <x v="0"/>
    <x v="0"/>
    <x v="20"/>
    <x v="4"/>
    <x v="14"/>
    <x v="10"/>
    <x v="9"/>
    <x v="28"/>
    <x v="6"/>
    <x v="20"/>
    <x v="13"/>
    <x v="37"/>
    <x v="90"/>
  </r>
  <r>
    <x v="1498"/>
    <x v="0"/>
    <x v="0"/>
    <x v="13"/>
    <x v="4"/>
    <x v="9"/>
    <x v="11"/>
    <x v="24"/>
    <x v="20"/>
    <x v="13"/>
    <x v="28"/>
    <x v="20"/>
    <x v="37"/>
    <x v="108"/>
  </r>
  <r>
    <x v="1499"/>
    <x v="0"/>
    <x v="0"/>
    <x v="5"/>
    <x v="11"/>
    <x v="15"/>
    <x v="22"/>
    <x v="16"/>
    <x v="11"/>
    <x v="11"/>
    <x v="26"/>
    <x v="27"/>
    <x v="6"/>
    <x v="55"/>
  </r>
  <r>
    <x v="1500"/>
    <x v="0"/>
    <x v="0"/>
    <x v="6"/>
    <x v="23"/>
    <x v="30"/>
    <x v="21"/>
    <x v="33"/>
    <x v="20"/>
    <x v="20"/>
    <x v="2"/>
    <x v="20"/>
    <x v="32"/>
    <x v="258"/>
  </r>
  <r>
    <x v="1501"/>
    <x v="0"/>
    <x v="0"/>
    <x v="4"/>
    <x v="6"/>
    <x v="20"/>
    <x v="6"/>
    <x v="9"/>
    <x v="41"/>
    <x v="9"/>
    <x v="33"/>
    <x v="21"/>
    <x v="38"/>
    <x v="256"/>
  </r>
  <r>
    <x v="1502"/>
    <x v="0"/>
    <x v="0"/>
    <x v="5"/>
    <x v="0"/>
    <x v="20"/>
    <x v="4"/>
    <x v="2"/>
    <x v="30"/>
    <x v="4"/>
    <x v="22"/>
    <x v="40"/>
    <x v="1"/>
    <x v="73"/>
  </r>
  <r>
    <x v="1503"/>
    <x v="0"/>
    <x v="0"/>
    <x v="16"/>
    <x v="28"/>
    <x v="16"/>
    <x v="32"/>
    <x v="13"/>
    <x v="15"/>
    <x v="1"/>
    <x v="20"/>
    <x v="11"/>
    <x v="32"/>
    <x v="54"/>
  </r>
  <r>
    <x v="1504"/>
    <x v="0"/>
    <x v="0"/>
    <x v="12"/>
    <x v="8"/>
    <x v="10"/>
    <x v="11"/>
    <x v="46"/>
    <x v="33"/>
    <x v="16"/>
    <x v="20"/>
    <x v="3"/>
    <x v="48"/>
    <x v="45"/>
  </r>
  <r>
    <x v="1505"/>
    <x v="0"/>
    <x v="0"/>
    <x v="1"/>
    <x v="3"/>
    <x v="20"/>
    <x v="14"/>
    <x v="16"/>
    <x v="5"/>
    <x v="35"/>
    <x v="14"/>
    <x v="27"/>
    <x v="16"/>
    <x v="89"/>
  </r>
  <r>
    <x v="1506"/>
    <x v="0"/>
    <x v="0"/>
    <x v="6"/>
    <x v="10"/>
    <x v="16"/>
    <x v="9"/>
    <x v="17"/>
    <x v="10"/>
    <x v="35"/>
    <x v="3"/>
    <x v="1"/>
    <x v="41"/>
    <x v="112"/>
  </r>
  <r>
    <x v="1507"/>
    <x v="0"/>
    <x v="0"/>
    <x v="9"/>
    <x v="20"/>
    <x v="25"/>
    <x v="14"/>
    <x v="8"/>
    <x v="28"/>
    <x v="12"/>
    <x v="23"/>
    <x v="4"/>
    <x v="12"/>
    <x v="211"/>
  </r>
  <r>
    <x v="1508"/>
    <x v="0"/>
    <x v="0"/>
    <x v="2"/>
    <x v="10"/>
    <x v="19"/>
    <x v="29"/>
    <x v="7"/>
    <x v="12"/>
    <x v="20"/>
    <x v="21"/>
    <x v="8"/>
    <x v="39"/>
    <x v="19"/>
  </r>
  <r>
    <x v="1509"/>
    <x v="0"/>
    <x v="0"/>
    <x v="13"/>
    <x v="2"/>
    <x v="7"/>
    <x v="19"/>
    <x v="6"/>
    <x v="20"/>
    <x v="16"/>
    <x v="2"/>
    <x v="17"/>
    <x v="6"/>
    <x v="43"/>
  </r>
  <r>
    <x v="1510"/>
    <x v="0"/>
    <x v="0"/>
    <x v="5"/>
    <x v="17"/>
    <x v="30"/>
    <x v="6"/>
    <x v="18"/>
    <x v="5"/>
    <x v="35"/>
    <x v="37"/>
    <x v="4"/>
    <x v="25"/>
    <x v="76"/>
  </r>
  <r>
    <x v="1511"/>
    <x v="0"/>
    <x v="0"/>
    <x v="35"/>
    <x v="9"/>
    <x v="15"/>
    <x v="21"/>
    <x v="10"/>
    <x v="14"/>
    <x v="14"/>
    <x v="15"/>
    <x v="3"/>
    <x v="46"/>
    <x v="246"/>
  </r>
  <r>
    <x v="1512"/>
    <x v="0"/>
    <x v="0"/>
    <x v="12"/>
    <x v="10"/>
    <x v="19"/>
    <x v="21"/>
    <x v="9"/>
    <x v="25"/>
    <x v="37"/>
    <x v="11"/>
    <x v="1"/>
    <x v="32"/>
    <x v="116"/>
  </r>
  <r>
    <x v="1513"/>
    <x v="0"/>
    <x v="0"/>
    <x v="10"/>
    <x v="8"/>
    <x v="16"/>
    <x v="2"/>
    <x v="0"/>
    <x v="27"/>
    <x v="19"/>
    <x v="16"/>
    <x v="33"/>
    <x v="32"/>
    <x v="246"/>
  </r>
  <r>
    <x v="1514"/>
    <x v="0"/>
    <x v="0"/>
    <x v="24"/>
    <x v="23"/>
    <x v="13"/>
    <x v="0"/>
    <x v="24"/>
    <x v="5"/>
    <x v="27"/>
    <x v="16"/>
    <x v="1"/>
    <x v="28"/>
    <x v="76"/>
  </r>
  <r>
    <x v="1515"/>
    <x v="0"/>
    <x v="0"/>
    <x v="15"/>
    <x v="17"/>
    <x v="25"/>
    <x v="15"/>
    <x v="33"/>
    <x v="12"/>
    <x v="40"/>
    <x v="23"/>
    <x v="23"/>
    <x v="47"/>
    <x v="5"/>
  </r>
  <r>
    <x v="1516"/>
    <x v="0"/>
    <x v="0"/>
    <x v="9"/>
    <x v="11"/>
    <x v="9"/>
    <x v="32"/>
    <x v="3"/>
    <x v="11"/>
    <x v="0"/>
    <x v="21"/>
    <x v="13"/>
    <x v="6"/>
    <x v="53"/>
  </r>
  <r>
    <x v="1517"/>
    <x v="0"/>
    <x v="0"/>
    <x v="5"/>
    <x v="10"/>
    <x v="13"/>
    <x v="42"/>
    <x v="24"/>
    <x v="39"/>
    <x v="18"/>
    <x v="42"/>
    <x v="8"/>
    <x v="29"/>
    <x v="117"/>
  </r>
  <r>
    <x v="1518"/>
    <x v="0"/>
    <x v="0"/>
    <x v="13"/>
    <x v="28"/>
    <x v="13"/>
    <x v="22"/>
    <x v="9"/>
    <x v="30"/>
    <x v="27"/>
    <x v="21"/>
    <x v="3"/>
    <x v="3"/>
    <x v="209"/>
  </r>
  <r>
    <x v="1519"/>
    <x v="0"/>
    <x v="0"/>
    <x v="28"/>
    <x v="4"/>
    <x v="8"/>
    <x v="4"/>
    <x v="17"/>
    <x v="20"/>
    <x v="29"/>
    <x v="1"/>
    <x v="45"/>
    <x v="25"/>
    <x v="119"/>
  </r>
  <r>
    <x v="1520"/>
    <x v="0"/>
    <x v="0"/>
    <x v="6"/>
    <x v="4"/>
    <x v="19"/>
    <x v="14"/>
    <x v="0"/>
    <x v="12"/>
    <x v="46"/>
    <x v="8"/>
    <x v="40"/>
    <x v="21"/>
    <x v="255"/>
  </r>
  <r>
    <x v="1521"/>
    <x v="0"/>
    <x v="0"/>
    <x v="15"/>
    <x v="9"/>
    <x v="14"/>
    <x v="29"/>
    <x v="29"/>
    <x v="5"/>
    <x v="19"/>
    <x v="2"/>
    <x v="20"/>
    <x v="5"/>
    <x v="208"/>
  </r>
  <r>
    <x v="1522"/>
    <x v="0"/>
    <x v="0"/>
    <x v="24"/>
    <x v="17"/>
    <x v="16"/>
    <x v="29"/>
    <x v="33"/>
    <x v="5"/>
    <x v="1"/>
    <x v="19"/>
    <x v="25"/>
    <x v="2"/>
    <x v="89"/>
  </r>
  <r>
    <x v="1523"/>
    <x v="0"/>
    <x v="0"/>
    <x v="12"/>
    <x v="11"/>
    <x v="15"/>
    <x v="14"/>
    <x v="24"/>
    <x v="7"/>
    <x v="27"/>
    <x v="31"/>
    <x v="1"/>
    <x v="7"/>
    <x v="81"/>
  </r>
  <r>
    <x v="1524"/>
    <x v="0"/>
    <x v="0"/>
    <x v="6"/>
    <x v="4"/>
    <x v="1"/>
    <x v="9"/>
    <x v="2"/>
    <x v="35"/>
    <x v="18"/>
    <x v="14"/>
    <x v="10"/>
    <x v="25"/>
    <x v="259"/>
  </r>
  <r>
    <x v="1525"/>
    <x v="0"/>
    <x v="0"/>
    <x v="16"/>
    <x v="4"/>
    <x v="27"/>
    <x v="0"/>
    <x v="28"/>
    <x v="20"/>
    <x v="10"/>
    <x v="0"/>
    <x v="33"/>
    <x v="7"/>
    <x v="255"/>
  </r>
  <r>
    <x v="1526"/>
    <x v="0"/>
    <x v="0"/>
    <x v="1"/>
    <x v="3"/>
    <x v="40"/>
    <x v="21"/>
    <x v="45"/>
    <x v="26"/>
    <x v="4"/>
    <x v="9"/>
    <x v="3"/>
    <x v="37"/>
    <x v="102"/>
  </r>
  <r>
    <x v="1527"/>
    <x v="0"/>
    <x v="0"/>
    <x v="1"/>
    <x v="4"/>
    <x v="26"/>
    <x v="45"/>
    <x v="13"/>
    <x v="14"/>
    <x v="20"/>
    <x v="24"/>
    <x v="17"/>
    <x v="28"/>
    <x v="100"/>
  </r>
  <r>
    <x v="1528"/>
    <x v="0"/>
    <x v="0"/>
    <x v="15"/>
    <x v="20"/>
    <x v="9"/>
    <x v="21"/>
    <x v="11"/>
    <x v="47"/>
    <x v="27"/>
    <x v="28"/>
    <x v="0"/>
    <x v="3"/>
    <x v="43"/>
  </r>
  <r>
    <x v="1529"/>
    <x v="0"/>
    <x v="0"/>
    <x v="18"/>
    <x v="2"/>
    <x v="9"/>
    <x v="29"/>
    <x v="45"/>
    <x v="28"/>
    <x v="19"/>
    <x v="1"/>
    <x v="12"/>
    <x v="48"/>
    <x v="110"/>
  </r>
  <r>
    <x v="1530"/>
    <x v="0"/>
    <x v="0"/>
    <x v="28"/>
    <x v="21"/>
    <x v="14"/>
    <x v="18"/>
    <x v="28"/>
    <x v="25"/>
    <x v="35"/>
    <x v="10"/>
    <x v="32"/>
    <x v="17"/>
    <x v="51"/>
  </r>
  <r>
    <x v="1531"/>
    <x v="0"/>
    <x v="0"/>
    <x v="13"/>
    <x v="0"/>
    <x v="15"/>
    <x v="11"/>
    <x v="9"/>
    <x v="12"/>
    <x v="1"/>
    <x v="24"/>
    <x v="41"/>
    <x v="0"/>
    <x v="95"/>
  </r>
  <r>
    <x v="1532"/>
    <x v="0"/>
    <x v="0"/>
    <x v="7"/>
    <x v="39"/>
    <x v="17"/>
    <x v="39"/>
    <x v="23"/>
    <x v="17"/>
    <x v="10"/>
    <x v="36"/>
    <x v="7"/>
    <x v="14"/>
    <x v="202"/>
  </r>
  <r>
    <x v="1533"/>
    <x v="0"/>
    <x v="0"/>
    <x v="2"/>
    <x v="15"/>
    <x v="31"/>
    <x v="11"/>
    <x v="8"/>
    <x v="12"/>
    <x v="25"/>
    <x v="32"/>
    <x v="24"/>
    <x v="13"/>
    <x v="27"/>
  </r>
  <r>
    <x v="1534"/>
    <x v="0"/>
    <x v="0"/>
    <x v="2"/>
    <x v="3"/>
    <x v="21"/>
    <x v="15"/>
    <x v="0"/>
    <x v="12"/>
    <x v="1"/>
    <x v="8"/>
    <x v="39"/>
    <x v="35"/>
    <x v="141"/>
  </r>
  <r>
    <x v="1535"/>
    <x v="0"/>
    <x v="0"/>
    <x v="6"/>
    <x v="25"/>
    <x v="25"/>
    <x v="16"/>
    <x v="26"/>
    <x v="1"/>
    <x v="44"/>
    <x v="4"/>
    <x v="7"/>
    <x v="17"/>
    <x v="35"/>
  </r>
  <r>
    <x v="1536"/>
    <x v="0"/>
    <x v="0"/>
    <x v="8"/>
    <x v="1"/>
    <x v="6"/>
    <x v="3"/>
    <x v="8"/>
    <x v="27"/>
    <x v="25"/>
    <x v="1"/>
    <x v="53"/>
    <x v="26"/>
    <x v="65"/>
  </r>
  <r>
    <x v="1537"/>
    <x v="0"/>
    <x v="0"/>
    <x v="17"/>
    <x v="17"/>
    <x v="10"/>
    <x v="34"/>
    <x v="22"/>
    <x v="27"/>
    <x v="2"/>
    <x v="39"/>
    <x v="36"/>
    <x v="38"/>
    <x v="146"/>
  </r>
  <r>
    <x v="1538"/>
    <x v="0"/>
    <x v="0"/>
    <x v="21"/>
    <x v="7"/>
    <x v="17"/>
    <x v="15"/>
    <x v="10"/>
    <x v="46"/>
    <x v="35"/>
    <x v="39"/>
    <x v="8"/>
    <x v="2"/>
    <x v="137"/>
  </r>
  <r>
    <x v="1539"/>
    <x v="0"/>
    <x v="0"/>
    <x v="0"/>
    <x v="12"/>
    <x v="25"/>
    <x v="3"/>
    <x v="8"/>
    <x v="11"/>
    <x v="29"/>
    <x v="8"/>
    <x v="36"/>
    <x v="5"/>
    <x v="134"/>
  </r>
  <r>
    <x v="1540"/>
    <x v="0"/>
    <x v="0"/>
    <x v="25"/>
    <x v="20"/>
    <x v="27"/>
    <x v="7"/>
    <x v="18"/>
    <x v="14"/>
    <x v="35"/>
    <x v="11"/>
    <x v="39"/>
    <x v="7"/>
    <x v="104"/>
  </r>
  <r>
    <x v="1541"/>
    <x v="0"/>
    <x v="0"/>
    <x v="28"/>
    <x v="0"/>
    <x v="15"/>
    <x v="14"/>
    <x v="13"/>
    <x v="30"/>
    <x v="29"/>
    <x v="21"/>
    <x v="25"/>
    <x v="64"/>
    <x v="109"/>
  </r>
  <r>
    <x v="1542"/>
    <x v="0"/>
    <x v="0"/>
    <x v="10"/>
    <x v="6"/>
    <x v="20"/>
    <x v="22"/>
    <x v="24"/>
    <x v="14"/>
    <x v="27"/>
    <x v="15"/>
    <x v="33"/>
    <x v="37"/>
    <x v="26"/>
  </r>
  <r>
    <x v="1543"/>
    <x v="0"/>
    <x v="0"/>
    <x v="16"/>
    <x v="4"/>
    <x v="6"/>
    <x v="27"/>
    <x v="29"/>
    <x v="40"/>
    <x v="40"/>
    <x v="9"/>
    <x v="11"/>
    <x v="8"/>
    <x v="105"/>
  </r>
  <r>
    <x v="1544"/>
    <x v="0"/>
    <x v="0"/>
    <x v="5"/>
    <x v="2"/>
    <x v="13"/>
    <x v="10"/>
    <x v="29"/>
    <x v="25"/>
    <x v="35"/>
    <x v="26"/>
    <x v="11"/>
    <x v="26"/>
    <x v="53"/>
  </r>
  <r>
    <x v="1545"/>
    <x v="0"/>
    <x v="0"/>
    <x v="1"/>
    <x v="28"/>
    <x v="14"/>
    <x v="12"/>
    <x v="50"/>
    <x v="0"/>
    <x v="27"/>
    <x v="16"/>
    <x v="20"/>
    <x v="7"/>
    <x v="109"/>
  </r>
  <r>
    <x v="1546"/>
    <x v="0"/>
    <x v="0"/>
    <x v="28"/>
    <x v="18"/>
    <x v="5"/>
    <x v="1"/>
    <x v="36"/>
    <x v="39"/>
    <x v="4"/>
    <x v="20"/>
    <x v="8"/>
    <x v="26"/>
    <x v="215"/>
  </r>
  <r>
    <x v="1547"/>
    <x v="0"/>
    <x v="0"/>
    <x v="5"/>
    <x v="26"/>
    <x v="3"/>
    <x v="30"/>
    <x v="2"/>
    <x v="12"/>
    <x v="18"/>
    <x v="20"/>
    <x v="23"/>
    <x v="38"/>
    <x v="19"/>
  </r>
  <r>
    <x v="1548"/>
    <x v="0"/>
    <x v="0"/>
    <x v="18"/>
    <x v="10"/>
    <x v="9"/>
    <x v="22"/>
    <x v="38"/>
    <x v="10"/>
    <x v="17"/>
    <x v="21"/>
    <x v="24"/>
    <x v="48"/>
    <x v="83"/>
  </r>
  <r>
    <x v="1549"/>
    <x v="0"/>
    <x v="0"/>
    <x v="18"/>
    <x v="11"/>
    <x v="26"/>
    <x v="12"/>
    <x v="33"/>
    <x v="6"/>
    <x v="13"/>
    <x v="20"/>
    <x v="11"/>
    <x v="38"/>
    <x v="259"/>
  </r>
  <r>
    <x v="1550"/>
    <x v="0"/>
    <x v="0"/>
    <x v="15"/>
    <x v="11"/>
    <x v="20"/>
    <x v="0"/>
    <x v="19"/>
    <x v="7"/>
    <x v="19"/>
    <x v="25"/>
    <x v="40"/>
    <x v="14"/>
    <x v="211"/>
  </r>
  <r>
    <x v="1551"/>
    <x v="0"/>
    <x v="0"/>
    <x v="19"/>
    <x v="9"/>
    <x v="26"/>
    <x v="26"/>
    <x v="51"/>
    <x v="27"/>
    <x v="9"/>
    <x v="14"/>
    <x v="48"/>
    <x v="38"/>
    <x v="110"/>
  </r>
  <r>
    <x v="1552"/>
    <x v="0"/>
    <x v="0"/>
    <x v="28"/>
    <x v="27"/>
    <x v="16"/>
    <x v="6"/>
    <x v="24"/>
    <x v="11"/>
    <x v="1"/>
    <x v="44"/>
    <x v="8"/>
    <x v="2"/>
    <x v="53"/>
  </r>
  <r>
    <x v="1553"/>
    <x v="0"/>
    <x v="0"/>
    <x v="15"/>
    <x v="8"/>
    <x v="8"/>
    <x v="7"/>
    <x v="18"/>
    <x v="11"/>
    <x v="24"/>
    <x v="6"/>
    <x v="27"/>
    <x v="46"/>
    <x v="48"/>
  </r>
  <r>
    <x v="1554"/>
    <x v="0"/>
    <x v="0"/>
    <x v="5"/>
    <x v="21"/>
    <x v="40"/>
    <x v="22"/>
    <x v="5"/>
    <x v="14"/>
    <x v="19"/>
    <x v="1"/>
    <x v="2"/>
    <x v="8"/>
    <x v="54"/>
  </r>
  <r>
    <x v="1555"/>
    <x v="0"/>
    <x v="0"/>
    <x v="5"/>
    <x v="23"/>
    <x v="16"/>
    <x v="19"/>
    <x v="9"/>
    <x v="14"/>
    <x v="13"/>
    <x v="26"/>
    <x v="3"/>
    <x v="6"/>
    <x v="117"/>
  </r>
  <r>
    <x v="1556"/>
    <x v="0"/>
    <x v="0"/>
    <x v="12"/>
    <x v="10"/>
    <x v="19"/>
    <x v="19"/>
    <x v="9"/>
    <x v="24"/>
    <x v="2"/>
    <x v="16"/>
    <x v="21"/>
    <x v="2"/>
    <x v="81"/>
  </r>
  <r>
    <x v="1557"/>
    <x v="0"/>
    <x v="0"/>
    <x v="19"/>
    <x v="20"/>
    <x v="19"/>
    <x v="19"/>
    <x v="16"/>
    <x v="7"/>
    <x v="44"/>
    <x v="44"/>
    <x v="17"/>
    <x v="30"/>
    <x v="48"/>
  </r>
  <r>
    <x v="1558"/>
    <x v="0"/>
    <x v="0"/>
    <x v="16"/>
    <x v="17"/>
    <x v="7"/>
    <x v="14"/>
    <x v="8"/>
    <x v="39"/>
    <x v="29"/>
    <x v="28"/>
    <x v="1"/>
    <x v="37"/>
    <x v="207"/>
  </r>
  <r>
    <x v="1559"/>
    <x v="0"/>
    <x v="0"/>
    <x v="1"/>
    <x v="2"/>
    <x v="20"/>
    <x v="9"/>
    <x v="18"/>
    <x v="35"/>
    <x v="37"/>
    <x v="33"/>
    <x v="5"/>
    <x v="12"/>
    <x v="260"/>
  </r>
  <r>
    <x v="1560"/>
    <x v="0"/>
    <x v="0"/>
    <x v="12"/>
    <x v="28"/>
    <x v="16"/>
    <x v="11"/>
    <x v="14"/>
    <x v="21"/>
    <x v="20"/>
    <x v="20"/>
    <x v="20"/>
    <x v="10"/>
    <x v="85"/>
  </r>
  <r>
    <x v="1561"/>
    <x v="0"/>
    <x v="0"/>
    <x v="9"/>
    <x v="22"/>
    <x v="19"/>
    <x v="19"/>
    <x v="6"/>
    <x v="13"/>
    <x v="17"/>
    <x v="20"/>
    <x v="27"/>
    <x v="34"/>
    <x v="55"/>
  </r>
  <r>
    <x v="1562"/>
    <x v="0"/>
    <x v="0"/>
    <x v="5"/>
    <x v="10"/>
    <x v="15"/>
    <x v="19"/>
    <x v="14"/>
    <x v="47"/>
    <x v="27"/>
    <x v="3"/>
    <x v="1"/>
    <x v="15"/>
    <x v="110"/>
  </r>
  <r>
    <x v="1563"/>
    <x v="0"/>
    <x v="0"/>
    <x v="5"/>
    <x v="13"/>
    <x v="24"/>
    <x v="14"/>
    <x v="33"/>
    <x v="25"/>
    <x v="32"/>
    <x v="3"/>
    <x v="41"/>
    <x v="10"/>
    <x v="116"/>
  </r>
  <r>
    <x v="1564"/>
    <x v="0"/>
    <x v="0"/>
    <x v="16"/>
    <x v="4"/>
    <x v="30"/>
    <x v="9"/>
    <x v="28"/>
    <x v="15"/>
    <x v="9"/>
    <x v="15"/>
    <x v="17"/>
    <x v="1"/>
    <x v="26"/>
  </r>
  <r>
    <x v="1565"/>
    <x v="0"/>
    <x v="0"/>
    <x v="5"/>
    <x v="21"/>
    <x v="15"/>
    <x v="10"/>
    <x v="36"/>
    <x v="28"/>
    <x v="15"/>
    <x v="9"/>
    <x v="12"/>
    <x v="6"/>
    <x v="81"/>
  </r>
  <r>
    <x v="1566"/>
    <x v="0"/>
    <x v="0"/>
    <x v="15"/>
    <x v="17"/>
    <x v="4"/>
    <x v="21"/>
    <x v="24"/>
    <x v="14"/>
    <x v="9"/>
    <x v="6"/>
    <x v="9"/>
    <x v="35"/>
    <x v="81"/>
  </r>
  <r>
    <x v="1567"/>
    <x v="0"/>
    <x v="0"/>
    <x v="13"/>
    <x v="11"/>
    <x v="15"/>
    <x v="6"/>
    <x v="24"/>
    <x v="30"/>
    <x v="7"/>
    <x v="9"/>
    <x v="39"/>
    <x v="1"/>
    <x v="26"/>
  </r>
  <r>
    <x v="1568"/>
    <x v="0"/>
    <x v="0"/>
    <x v="24"/>
    <x v="20"/>
    <x v="5"/>
    <x v="4"/>
    <x v="28"/>
    <x v="5"/>
    <x v="44"/>
    <x v="42"/>
    <x v="12"/>
    <x v="39"/>
    <x v="90"/>
  </r>
  <r>
    <x v="1569"/>
    <x v="0"/>
    <x v="0"/>
    <x v="19"/>
    <x v="11"/>
    <x v="10"/>
    <x v="21"/>
    <x v="24"/>
    <x v="39"/>
    <x v="33"/>
    <x v="6"/>
    <x v="17"/>
    <x v="7"/>
    <x v="76"/>
  </r>
  <r>
    <x v="1570"/>
    <x v="0"/>
    <x v="0"/>
    <x v="19"/>
    <x v="21"/>
    <x v="4"/>
    <x v="42"/>
    <x v="36"/>
    <x v="28"/>
    <x v="18"/>
    <x v="25"/>
    <x v="17"/>
    <x v="15"/>
    <x v="125"/>
  </r>
  <r>
    <x v="1571"/>
    <x v="0"/>
    <x v="0"/>
    <x v="1"/>
    <x v="10"/>
    <x v="1"/>
    <x v="14"/>
    <x v="14"/>
    <x v="15"/>
    <x v="27"/>
    <x v="24"/>
    <x v="39"/>
    <x v="8"/>
    <x v="76"/>
  </r>
  <r>
    <x v="1572"/>
    <x v="0"/>
    <x v="0"/>
    <x v="13"/>
    <x v="8"/>
    <x v="8"/>
    <x v="9"/>
    <x v="12"/>
    <x v="26"/>
    <x v="5"/>
    <x v="14"/>
    <x v="0"/>
    <x v="28"/>
    <x v="12"/>
  </r>
  <r>
    <x v="1573"/>
    <x v="0"/>
    <x v="0"/>
    <x v="4"/>
    <x v="18"/>
    <x v="4"/>
    <x v="12"/>
    <x v="2"/>
    <x v="33"/>
    <x v="17"/>
    <x v="12"/>
    <x v="5"/>
    <x v="14"/>
    <x v="75"/>
  </r>
  <r>
    <x v="1574"/>
    <x v="0"/>
    <x v="0"/>
    <x v="16"/>
    <x v="8"/>
    <x v="16"/>
    <x v="42"/>
    <x v="45"/>
    <x v="26"/>
    <x v="29"/>
    <x v="20"/>
    <x v="12"/>
    <x v="34"/>
    <x v="259"/>
  </r>
  <r>
    <x v="1575"/>
    <x v="0"/>
    <x v="0"/>
    <x v="1"/>
    <x v="23"/>
    <x v="2"/>
    <x v="13"/>
    <x v="27"/>
    <x v="24"/>
    <x v="11"/>
    <x v="16"/>
    <x v="2"/>
    <x v="12"/>
    <x v="0"/>
  </r>
  <r>
    <x v="1576"/>
    <x v="0"/>
    <x v="0"/>
    <x v="1"/>
    <x v="6"/>
    <x v="16"/>
    <x v="22"/>
    <x v="10"/>
    <x v="0"/>
    <x v="33"/>
    <x v="0"/>
    <x v="19"/>
    <x v="48"/>
    <x v="77"/>
  </r>
  <r>
    <x v="1577"/>
    <x v="0"/>
    <x v="0"/>
    <x v="19"/>
    <x v="23"/>
    <x v="16"/>
    <x v="18"/>
    <x v="28"/>
    <x v="5"/>
    <x v="9"/>
    <x v="21"/>
    <x v="1"/>
    <x v="0"/>
    <x v="47"/>
  </r>
  <r>
    <x v="1578"/>
    <x v="0"/>
    <x v="0"/>
    <x v="5"/>
    <x v="13"/>
    <x v="17"/>
    <x v="26"/>
    <x v="13"/>
    <x v="27"/>
    <x v="58"/>
    <x v="16"/>
    <x v="16"/>
    <x v="25"/>
    <x v="212"/>
  </r>
  <r>
    <x v="1579"/>
    <x v="0"/>
    <x v="0"/>
    <x v="16"/>
    <x v="4"/>
    <x v="20"/>
    <x v="11"/>
    <x v="9"/>
    <x v="26"/>
    <x v="17"/>
    <x v="23"/>
    <x v="0"/>
    <x v="1"/>
    <x v="86"/>
  </r>
  <r>
    <x v="1580"/>
    <x v="0"/>
    <x v="0"/>
    <x v="16"/>
    <x v="21"/>
    <x v="1"/>
    <x v="11"/>
    <x v="16"/>
    <x v="24"/>
    <x v="29"/>
    <x v="28"/>
    <x v="20"/>
    <x v="48"/>
    <x v="95"/>
  </r>
  <r>
    <x v="1581"/>
    <x v="0"/>
    <x v="0"/>
    <x v="2"/>
    <x v="17"/>
    <x v="9"/>
    <x v="27"/>
    <x v="28"/>
    <x v="22"/>
    <x v="27"/>
    <x v="44"/>
    <x v="63"/>
    <x v="36"/>
    <x v="125"/>
  </r>
  <r>
    <x v="1582"/>
    <x v="0"/>
    <x v="0"/>
    <x v="20"/>
    <x v="20"/>
    <x v="13"/>
    <x v="4"/>
    <x v="34"/>
    <x v="41"/>
    <x v="6"/>
    <x v="34"/>
    <x v="0"/>
    <x v="11"/>
    <x v="261"/>
  </r>
  <r>
    <x v="1583"/>
    <x v="0"/>
    <x v="0"/>
    <x v="15"/>
    <x v="4"/>
    <x v="1"/>
    <x v="15"/>
    <x v="28"/>
    <x v="31"/>
    <x v="6"/>
    <x v="57"/>
    <x v="12"/>
    <x v="32"/>
    <x v="125"/>
  </r>
  <r>
    <x v="1584"/>
    <x v="0"/>
    <x v="0"/>
    <x v="3"/>
    <x v="11"/>
    <x v="4"/>
    <x v="28"/>
    <x v="17"/>
    <x v="12"/>
    <x v="18"/>
    <x v="14"/>
    <x v="11"/>
    <x v="32"/>
    <x v="85"/>
  </r>
  <r>
    <x v="1585"/>
    <x v="0"/>
    <x v="0"/>
    <x v="24"/>
    <x v="17"/>
    <x v="8"/>
    <x v="14"/>
    <x v="18"/>
    <x v="27"/>
    <x v="15"/>
    <x v="15"/>
    <x v="33"/>
    <x v="6"/>
    <x v="207"/>
  </r>
  <r>
    <x v="1586"/>
    <x v="0"/>
    <x v="0"/>
    <x v="5"/>
    <x v="6"/>
    <x v="4"/>
    <x v="7"/>
    <x v="26"/>
    <x v="10"/>
    <x v="7"/>
    <x v="1"/>
    <x v="33"/>
    <x v="38"/>
    <x v="215"/>
  </r>
  <r>
    <x v="1587"/>
    <x v="0"/>
    <x v="0"/>
    <x v="15"/>
    <x v="10"/>
    <x v="42"/>
    <x v="3"/>
    <x v="3"/>
    <x v="22"/>
    <x v="0"/>
    <x v="18"/>
    <x v="0"/>
    <x v="47"/>
    <x v="63"/>
  </r>
  <r>
    <x v="1588"/>
    <x v="0"/>
    <x v="0"/>
    <x v="6"/>
    <x v="27"/>
    <x v="14"/>
    <x v="9"/>
    <x v="0"/>
    <x v="30"/>
    <x v="27"/>
    <x v="1"/>
    <x v="44"/>
    <x v="17"/>
    <x v="120"/>
  </r>
  <r>
    <x v="1589"/>
    <x v="0"/>
    <x v="0"/>
    <x v="15"/>
    <x v="17"/>
    <x v="16"/>
    <x v="26"/>
    <x v="8"/>
    <x v="1"/>
    <x v="0"/>
    <x v="28"/>
    <x v="17"/>
    <x v="25"/>
    <x v="15"/>
  </r>
  <r>
    <x v="1590"/>
    <x v="0"/>
    <x v="0"/>
    <x v="24"/>
    <x v="2"/>
    <x v="10"/>
    <x v="28"/>
    <x v="2"/>
    <x v="8"/>
    <x v="19"/>
    <x v="23"/>
    <x v="13"/>
    <x v="15"/>
    <x v="110"/>
  </r>
  <r>
    <x v="1591"/>
    <x v="0"/>
    <x v="0"/>
    <x v="10"/>
    <x v="21"/>
    <x v="13"/>
    <x v="22"/>
    <x v="52"/>
    <x v="5"/>
    <x v="19"/>
    <x v="21"/>
    <x v="45"/>
    <x v="47"/>
    <x v="252"/>
  </r>
  <r>
    <x v="1592"/>
    <x v="0"/>
    <x v="0"/>
    <x v="12"/>
    <x v="10"/>
    <x v="20"/>
    <x v="22"/>
    <x v="20"/>
    <x v="39"/>
    <x v="35"/>
    <x v="9"/>
    <x v="9"/>
    <x v="0"/>
    <x v="54"/>
  </r>
  <r>
    <x v="1593"/>
    <x v="0"/>
    <x v="0"/>
    <x v="19"/>
    <x v="6"/>
    <x v="9"/>
    <x v="19"/>
    <x v="14"/>
    <x v="22"/>
    <x v="20"/>
    <x v="23"/>
    <x v="40"/>
    <x v="15"/>
    <x v="124"/>
  </r>
  <r>
    <x v="1594"/>
    <x v="0"/>
    <x v="0"/>
    <x v="4"/>
    <x v="0"/>
    <x v="16"/>
    <x v="12"/>
    <x v="10"/>
    <x v="30"/>
    <x v="6"/>
    <x v="2"/>
    <x v="29"/>
    <x v="4"/>
    <x v="1"/>
  </r>
  <r>
    <x v="1595"/>
    <x v="0"/>
    <x v="0"/>
    <x v="19"/>
    <x v="10"/>
    <x v="15"/>
    <x v="19"/>
    <x v="16"/>
    <x v="41"/>
    <x v="20"/>
    <x v="3"/>
    <x v="9"/>
    <x v="15"/>
    <x v="216"/>
  </r>
  <r>
    <x v="1596"/>
    <x v="0"/>
    <x v="0"/>
    <x v="12"/>
    <x v="10"/>
    <x v="4"/>
    <x v="3"/>
    <x v="6"/>
    <x v="13"/>
    <x v="8"/>
    <x v="4"/>
    <x v="17"/>
    <x v="30"/>
    <x v="89"/>
  </r>
  <r>
    <x v="1597"/>
    <x v="0"/>
    <x v="0"/>
    <x v="24"/>
    <x v="35"/>
    <x v="1"/>
    <x v="11"/>
    <x v="3"/>
    <x v="30"/>
    <x v="5"/>
    <x v="23"/>
    <x v="10"/>
    <x v="39"/>
    <x v="259"/>
  </r>
  <r>
    <x v="1598"/>
    <x v="0"/>
    <x v="0"/>
    <x v="12"/>
    <x v="21"/>
    <x v="15"/>
    <x v="29"/>
    <x v="36"/>
    <x v="28"/>
    <x v="19"/>
    <x v="1"/>
    <x v="13"/>
    <x v="8"/>
    <x v="48"/>
  </r>
  <r>
    <x v="1599"/>
    <x v="0"/>
    <x v="0"/>
    <x v="10"/>
    <x v="24"/>
    <x v="40"/>
    <x v="7"/>
    <x v="3"/>
    <x v="39"/>
    <x v="35"/>
    <x v="3"/>
    <x v="32"/>
    <x v="26"/>
    <x v="41"/>
  </r>
  <r>
    <x v="1600"/>
    <x v="0"/>
    <x v="0"/>
    <x v="16"/>
    <x v="6"/>
    <x v="0"/>
    <x v="15"/>
    <x v="5"/>
    <x v="53"/>
    <x v="16"/>
    <x v="12"/>
    <x v="20"/>
    <x v="48"/>
    <x v="23"/>
  </r>
  <r>
    <x v="1601"/>
    <x v="0"/>
    <x v="0"/>
    <x v="13"/>
    <x v="8"/>
    <x v="30"/>
    <x v="10"/>
    <x v="18"/>
    <x v="28"/>
    <x v="17"/>
    <x v="20"/>
    <x v="10"/>
    <x v="23"/>
    <x v="73"/>
  </r>
  <r>
    <x v="1602"/>
    <x v="0"/>
    <x v="0"/>
    <x v="16"/>
    <x v="21"/>
    <x v="19"/>
    <x v="46"/>
    <x v="30"/>
    <x v="39"/>
    <x v="32"/>
    <x v="2"/>
    <x v="4"/>
    <x v="21"/>
    <x v="102"/>
  </r>
  <r>
    <x v="1603"/>
    <x v="0"/>
    <x v="0"/>
    <x v="18"/>
    <x v="11"/>
    <x v="8"/>
    <x v="15"/>
    <x v="2"/>
    <x v="21"/>
    <x v="16"/>
    <x v="37"/>
    <x v="11"/>
    <x v="21"/>
    <x v="26"/>
  </r>
  <r>
    <x v="1604"/>
    <x v="0"/>
    <x v="0"/>
    <x v="3"/>
    <x v="17"/>
    <x v="14"/>
    <x v="4"/>
    <x v="24"/>
    <x v="14"/>
    <x v="20"/>
    <x v="16"/>
    <x v="5"/>
    <x v="2"/>
    <x v="74"/>
  </r>
  <r>
    <x v="1605"/>
    <x v="0"/>
    <x v="0"/>
    <x v="13"/>
    <x v="8"/>
    <x v="16"/>
    <x v="6"/>
    <x v="0"/>
    <x v="25"/>
    <x v="35"/>
    <x v="38"/>
    <x v="10"/>
    <x v="2"/>
    <x v="215"/>
  </r>
  <r>
    <x v="1606"/>
    <x v="0"/>
    <x v="0"/>
    <x v="27"/>
    <x v="0"/>
    <x v="13"/>
    <x v="22"/>
    <x v="24"/>
    <x v="33"/>
    <x v="37"/>
    <x v="34"/>
    <x v="1"/>
    <x v="1"/>
    <x v="13"/>
  </r>
  <r>
    <x v="1607"/>
    <x v="0"/>
    <x v="0"/>
    <x v="13"/>
    <x v="17"/>
    <x v="5"/>
    <x v="10"/>
    <x v="18"/>
    <x v="34"/>
    <x v="27"/>
    <x v="10"/>
    <x v="31"/>
    <x v="32"/>
    <x v="207"/>
  </r>
  <r>
    <x v="1608"/>
    <x v="0"/>
    <x v="0"/>
    <x v="6"/>
    <x v="11"/>
    <x v="9"/>
    <x v="21"/>
    <x v="44"/>
    <x v="6"/>
    <x v="29"/>
    <x v="0"/>
    <x v="5"/>
    <x v="21"/>
    <x v="110"/>
  </r>
  <r>
    <x v="1609"/>
    <x v="0"/>
    <x v="0"/>
    <x v="13"/>
    <x v="11"/>
    <x v="14"/>
    <x v="4"/>
    <x v="18"/>
    <x v="24"/>
    <x v="15"/>
    <x v="16"/>
    <x v="1"/>
    <x v="28"/>
    <x v="53"/>
  </r>
  <r>
    <x v="1610"/>
    <x v="0"/>
    <x v="0"/>
    <x v="9"/>
    <x v="5"/>
    <x v="2"/>
    <x v="10"/>
    <x v="16"/>
    <x v="36"/>
    <x v="30"/>
    <x v="15"/>
    <x v="32"/>
    <x v="25"/>
    <x v="0"/>
  </r>
  <r>
    <x v="1611"/>
    <x v="0"/>
    <x v="0"/>
    <x v="18"/>
    <x v="1"/>
    <x v="20"/>
    <x v="12"/>
    <x v="8"/>
    <x v="7"/>
    <x v="10"/>
    <x v="0"/>
    <x v="12"/>
    <x v="0"/>
    <x v="84"/>
  </r>
  <r>
    <x v="1612"/>
    <x v="0"/>
    <x v="0"/>
    <x v="13"/>
    <x v="21"/>
    <x v="8"/>
    <x v="8"/>
    <x v="1"/>
    <x v="4"/>
    <x v="1"/>
    <x v="9"/>
    <x v="1"/>
    <x v="38"/>
    <x v="2"/>
  </r>
  <r>
    <x v="1613"/>
    <x v="0"/>
    <x v="0"/>
    <x v="5"/>
    <x v="1"/>
    <x v="35"/>
    <x v="11"/>
    <x v="24"/>
    <x v="25"/>
    <x v="35"/>
    <x v="19"/>
    <x v="8"/>
    <x v="17"/>
    <x v="15"/>
  </r>
  <r>
    <x v="1614"/>
    <x v="0"/>
    <x v="0"/>
    <x v="8"/>
    <x v="22"/>
    <x v="11"/>
    <x v="1"/>
    <x v="16"/>
    <x v="25"/>
    <x v="5"/>
    <x v="29"/>
    <x v="20"/>
    <x v="14"/>
    <x v="138"/>
  </r>
  <r>
    <x v="1615"/>
    <x v="0"/>
    <x v="0"/>
    <x v="13"/>
    <x v="4"/>
    <x v="13"/>
    <x v="9"/>
    <x v="0"/>
    <x v="0"/>
    <x v="35"/>
    <x v="28"/>
    <x v="40"/>
    <x v="0"/>
    <x v="215"/>
  </r>
  <r>
    <x v="1616"/>
    <x v="0"/>
    <x v="0"/>
    <x v="10"/>
    <x v="16"/>
    <x v="13"/>
    <x v="13"/>
    <x v="29"/>
    <x v="10"/>
    <x v="1"/>
    <x v="3"/>
    <x v="9"/>
    <x v="22"/>
    <x v="39"/>
  </r>
  <r>
    <x v="1617"/>
    <x v="0"/>
    <x v="0"/>
    <x v="15"/>
    <x v="3"/>
    <x v="20"/>
    <x v="0"/>
    <x v="11"/>
    <x v="22"/>
    <x v="10"/>
    <x v="5"/>
    <x v="44"/>
    <x v="47"/>
    <x v="22"/>
  </r>
  <r>
    <x v="1618"/>
    <x v="0"/>
    <x v="0"/>
    <x v="6"/>
    <x v="8"/>
    <x v="19"/>
    <x v="5"/>
    <x v="1"/>
    <x v="12"/>
    <x v="40"/>
    <x v="34"/>
    <x v="27"/>
    <x v="26"/>
    <x v="92"/>
  </r>
  <r>
    <x v="1619"/>
    <x v="0"/>
    <x v="0"/>
    <x v="12"/>
    <x v="2"/>
    <x v="5"/>
    <x v="3"/>
    <x v="6"/>
    <x v="15"/>
    <x v="19"/>
    <x v="14"/>
    <x v="42"/>
    <x v="7"/>
    <x v="38"/>
  </r>
  <r>
    <x v="1620"/>
    <x v="1"/>
    <x v="1"/>
    <x v="19"/>
    <x v="22"/>
    <x v="5"/>
    <x v="11"/>
    <x v="45"/>
    <x v="30"/>
    <x v="40"/>
    <x v="25"/>
    <x v="40"/>
    <x v="3"/>
    <x v="216"/>
  </r>
  <r>
    <x v="1621"/>
    <x v="1"/>
    <x v="1"/>
    <x v="26"/>
    <x v="23"/>
    <x v="4"/>
    <x v="14"/>
    <x v="2"/>
    <x v="20"/>
    <x v="24"/>
    <x v="2"/>
    <x v="3"/>
    <x v="12"/>
    <x v="101"/>
  </r>
  <r>
    <x v="1622"/>
    <x v="1"/>
    <x v="1"/>
    <x v="10"/>
    <x v="20"/>
    <x v="27"/>
    <x v="4"/>
    <x v="5"/>
    <x v="15"/>
    <x v="4"/>
    <x v="37"/>
    <x v="25"/>
    <x v="3"/>
    <x v="55"/>
  </r>
  <r>
    <x v="1623"/>
    <x v="1"/>
    <x v="1"/>
    <x v="19"/>
    <x v="21"/>
    <x v="1"/>
    <x v="3"/>
    <x v="9"/>
    <x v="13"/>
    <x v="19"/>
    <x v="24"/>
    <x v="31"/>
    <x v="6"/>
    <x v="19"/>
  </r>
  <r>
    <x v="1624"/>
    <x v="1"/>
    <x v="1"/>
    <x v="1"/>
    <x v="2"/>
    <x v="1"/>
    <x v="7"/>
    <x v="11"/>
    <x v="30"/>
    <x v="20"/>
    <x v="1"/>
    <x v="9"/>
    <x v="50"/>
    <x v="113"/>
  </r>
  <r>
    <x v="1614"/>
    <x v="1"/>
    <x v="1"/>
    <x v="12"/>
    <x v="17"/>
    <x v="15"/>
    <x v="6"/>
    <x v="24"/>
    <x v="21"/>
    <x v="16"/>
    <x v="24"/>
    <x v="40"/>
    <x v="45"/>
    <x v="216"/>
  </r>
  <r>
    <x v="1625"/>
    <x v="1"/>
    <x v="1"/>
    <x v="13"/>
    <x v="9"/>
    <x v="15"/>
    <x v="22"/>
    <x v="16"/>
    <x v="6"/>
    <x v="9"/>
    <x v="4"/>
    <x v="17"/>
    <x v="3"/>
    <x v="124"/>
  </r>
  <r>
    <x v="1626"/>
    <x v="1"/>
    <x v="1"/>
    <x v="13"/>
    <x v="27"/>
    <x v="0"/>
    <x v="26"/>
    <x v="26"/>
    <x v="19"/>
    <x v="12"/>
    <x v="20"/>
    <x v="1"/>
    <x v="22"/>
    <x v="83"/>
  </r>
  <r>
    <x v="1627"/>
    <x v="1"/>
    <x v="1"/>
    <x v="36"/>
    <x v="28"/>
    <x v="13"/>
    <x v="15"/>
    <x v="0"/>
    <x v="14"/>
    <x v="0"/>
    <x v="21"/>
    <x v="29"/>
    <x v="48"/>
    <x v="124"/>
  </r>
  <r>
    <x v="1628"/>
    <x v="1"/>
    <x v="1"/>
    <x v="12"/>
    <x v="4"/>
    <x v="0"/>
    <x v="9"/>
    <x v="17"/>
    <x v="30"/>
    <x v="12"/>
    <x v="0"/>
    <x v="17"/>
    <x v="10"/>
    <x v="87"/>
  </r>
  <r>
    <x v="1629"/>
    <x v="1"/>
    <x v="1"/>
    <x v="15"/>
    <x v="18"/>
    <x v="15"/>
    <x v="6"/>
    <x v="9"/>
    <x v="24"/>
    <x v="17"/>
    <x v="13"/>
    <x v="20"/>
    <x v="17"/>
    <x v="262"/>
  </r>
  <r>
    <x v="1630"/>
    <x v="1"/>
    <x v="1"/>
    <x v="20"/>
    <x v="27"/>
    <x v="8"/>
    <x v="4"/>
    <x v="33"/>
    <x v="28"/>
    <x v="3"/>
    <x v="2"/>
    <x v="17"/>
    <x v="16"/>
    <x v="108"/>
  </r>
  <r>
    <x v="1631"/>
    <x v="1"/>
    <x v="1"/>
    <x v="2"/>
    <x v="30"/>
    <x v="20"/>
    <x v="14"/>
    <x v="45"/>
    <x v="8"/>
    <x v="29"/>
    <x v="56"/>
    <x v="20"/>
    <x v="8"/>
    <x v="13"/>
  </r>
  <r>
    <x v="1632"/>
    <x v="1"/>
    <x v="1"/>
    <x v="15"/>
    <x v="11"/>
    <x v="19"/>
    <x v="21"/>
    <x v="17"/>
    <x v="8"/>
    <x v="40"/>
    <x v="24"/>
    <x v="5"/>
    <x v="50"/>
    <x v="81"/>
  </r>
  <r>
    <x v="1633"/>
    <x v="1"/>
    <x v="1"/>
    <x v="28"/>
    <x v="11"/>
    <x v="40"/>
    <x v="14"/>
    <x v="14"/>
    <x v="6"/>
    <x v="20"/>
    <x v="42"/>
    <x v="2"/>
    <x v="11"/>
    <x v="263"/>
  </r>
  <r>
    <x v="1634"/>
    <x v="1"/>
    <x v="1"/>
    <x v="25"/>
    <x v="11"/>
    <x v="4"/>
    <x v="28"/>
    <x v="8"/>
    <x v="33"/>
    <x v="15"/>
    <x v="2"/>
    <x v="33"/>
    <x v="30"/>
    <x v="88"/>
  </r>
  <r>
    <x v="1635"/>
    <x v="1"/>
    <x v="1"/>
    <x v="5"/>
    <x v="4"/>
    <x v="24"/>
    <x v="7"/>
    <x v="34"/>
    <x v="21"/>
    <x v="9"/>
    <x v="0"/>
    <x v="41"/>
    <x v="7"/>
    <x v="253"/>
  </r>
  <r>
    <x v="1636"/>
    <x v="1"/>
    <x v="1"/>
    <x v="24"/>
    <x v="28"/>
    <x v="20"/>
    <x v="21"/>
    <x v="8"/>
    <x v="15"/>
    <x v="29"/>
    <x v="9"/>
    <x v="19"/>
    <x v="28"/>
    <x v="82"/>
  </r>
  <r>
    <x v="1637"/>
    <x v="1"/>
    <x v="1"/>
    <x v="20"/>
    <x v="10"/>
    <x v="41"/>
    <x v="28"/>
    <x v="29"/>
    <x v="26"/>
    <x v="9"/>
    <x v="25"/>
    <x v="5"/>
    <x v="26"/>
    <x v="253"/>
  </r>
  <r>
    <x v="1638"/>
    <x v="1"/>
    <x v="1"/>
    <x v="1"/>
    <x v="10"/>
    <x v="14"/>
    <x v="14"/>
    <x v="14"/>
    <x v="30"/>
    <x v="49"/>
    <x v="2"/>
    <x v="0"/>
    <x v="16"/>
    <x v="115"/>
  </r>
  <r>
    <x v="1639"/>
    <x v="1"/>
    <x v="1"/>
    <x v="18"/>
    <x v="4"/>
    <x v="8"/>
    <x v="19"/>
    <x v="38"/>
    <x v="11"/>
    <x v="0"/>
    <x v="1"/>
    <x v="2"/>
    <x v="29"/>
    <x v="253"/>
  </r>
  <r>
    <x v="1640"/>
    <x v="1"/>
    <x v="1"/>
    <x v="1"/>
    <x v="27"/>
    <x v="8"/>
    <x v="7"/>
    <x v="16"/>
    <x v="10"/>
    <x v="27"/>
    <x v="0"/>
    <x v="5"/>
    <x v="39"/>
    <x v="107"/>
  </r>
  <r>
    <x v="1641"/>
    <x v="1"/>
    <x v="1"/>
    <x v="13"/>
    <x v="27"/>
    <x v="40"/>
    <x v="9"/>
    <x v="27"/>
    <x v="24"/>
    <x v="15"/>
    <x v="21"/>
    <x v="20"/>
    <x v="16"/>
    <x v="264"/>
  </r>
  <r>
    <x v="1586"/>
    <x v="1"/>
    <x v="1"/>
    <x v="12"/>
    <x v="30"/>
    <x v="19"/>
    <x v="27"/>
    <x v="34"/>
    <x v="7"/>
    <x v="36"/>
    <x v="24"/>
    <x v="40"/>
    <x v="17"/>
    <x v="113"/>
  </r>
  <r>
    <x v="1642"/>
    <x v="1"/>
    <x v="1"/>
    <x v="25"/>
    <x v="20"/>
    <x v="16"/>
    <x v="22"/>
    <x v="33"/>
    <x v="24"/>
    <x v="24"/>
    <x v="23"/>
    <x v="13"/>
    <x v="30"/>
    <x v="101"/>
  </r>
  <r>
    <x v="1643"/>
    <x v="1"/>
    <x v="1"/>
    <x v="1"/>
    <x v="0"/>
    <x v="24"/>
    <x v="42"/>
    <x v="2"/>
    <x v="11"/>
    <x v="1"/>
    <x v="6"/>
    <x v="2"/>
    <x v="3"/>
    <x v="215"/>
  </r>
  <r>
    <x v="1644"/>
    <x v="1"/>
    <x v="1"/>
    <x v="25"/>
    <x v="35"/>
    <x v="16"/>
    <x v="14"/>
    <x v="40"/>
    <x v="39"/>
    <x v="27"/>
    <x v="42"/>
    <x v="12"/>
    <x v="6"/>
    <x v="265"/>
  </r>
  <r>
    <x v="1645"/>
    <x v="1"/>
    <x v="1"/>
    <x v="26"/>
    <x v="21"/>
    <x v="4"/>
    <x v="0"/>
    <x v="29"/>
    <x v="7"/>
    <x v="10"/>
    <x v="7"/>
    <x v="45"/>
    <x v="26"/>
    <x v="109"/>
  </r>
  <r>
    <x v="1646"/>
    <x v="1"/>
    <x v="1"/>
    <x v="24"/>
    <x v="23"/>
    <x v="20"/>
    <x v="28"/>
    <x v="18"/>
    <x v="28"/>
    <x v="15"/>
    <x v="11"/>
    <x v="33"/>
    <x v="2"/>
    <x v="113"/>
  </r>
  <r>
    <x v="1647"/>
    <x v="1"/>
    <x v="1"/>
    <x v="25"/>
    <x v="27"/>
    <x v="1"/>
    <x v="15"/>
    <x v="9"/>
    <x v="28"/>
    <x v="19"/>
    <x v="19"/>
    <x v="39"/>
    <x v="37"/>
    <x v="117"/>
  </r>
  <r>
    <x v="1648"/>
    <x v="1"/>
    <x v="1"/>
    <x v="27"/>
    <x v="19"/>
    <x v="26"/>
    <x v="22"/>
    <x v="13"/>
    <x v="30"/>
    <x v="24"/>
    <x v="10"/>
    <x v="2"/>
    <x v="39"/>
    <x v="112"/>
  </r>
  <r>
    <x v="1649"/>
    <x v="1"/>
    <x v="1"/>
    <x v="10"/>
    <x v="0"/>
    <x v="8"/>
    <x v="9"/>
    <x v="33"/>
    <x v="25"/>
    <x v="59"/>
    <x v="23"/>
    <x v="33"/>
    <x v="28"/>
    <x v="111"/>
  </r>
  <r>
    <x v="1650"/>
    <x v="1"/>
    <x v="1"/>
    <x v="15"/>
    <x v="28"/>
    <x v="8"/>
    <x v="27"/>
    <x v="2"/>
    <x v="8"/>
    <x v="6"/>
    <x v="34"/>
    <x v="9"/>
    <x v="14"/>
    <x v="102"/>
  </r>
  <r>
    <x v="1651"/>
    <x v="1"/>
    <x v="1"/>
    <x v="19"/>
    <x v="23"/>
    <x v="4"/>
    <x v="42"/>
    <x v="24"/>
    <x v="7"/>
    <x v="5"/>
    <x v="50"/>
    <x v="11"/>
    <x v="11"/>
    <x v="206"/>
  </r>
  <r>
    <x v="1652"/>
    <x v="1"/>
    <x v="1"/>
    <x v="13"/>
    <x v="21"/>
    <x v="42"/>
    <x v="28"/>
    <x v="34"/>
    <x v="28"/>
    <x v="17"/>
    <x v="24"/>
    <x v="15"/>
    <x v="14"/>
    <x v="112"/>
  </r>
  <r>
    <x v="1653"/>
    <x v="1"/>
    <x v="1"/>
    <x v="10"/>
    <x v="23"/>
    <x v="19"/>
    <x v="6"/>
    <x v="18"/>
    <x v="14"/>
    <x v="46"/>
    <x v="56"/>
    <x v="29"/>
    <x v="45"/>
    <x v="266"/>
  </r>
  <r>
    <x v="1654"/>
    <x v="1"/>
    <x v="1"/>
    <x v="9"/>
    <x v="11"/>
    <x v="0"/>
    <x v="21"/>
    <x v="13"/>
    <x v="20"/>
    <x v="20"/>
    <x v="21"/>
    <x v="0"/>
    <x v="0"/>
    <x v="102"/>
  </r>
  <r>
    <x v="1655"/>
    <x v="1"/>
    <x v="1"/>
    <x v="35"/>
    <x v="4"/>
    <x v="5"/>
    <x v="10"/>
    <x v="2"/>
    <x v="8"/>
    <x v="11"/>
    <x v="9"/>
    <x v="2"/>
    <x v="32"/>
    <x v="208"/>
  </r>
  <r>
    <x v="1656"/>
    <x v="1"/>
    <x v="1"/>
    <x v="20"/>
    <x v="2"/>
    <x v="4"/>
    <x v="44"/>
    <x v="45"/>
    <x v="47"/>
    <x v="4"/>
    <x v="14"/>
    <x v="28"/>
    <x v="15"/>
    <x v="267"/>
  </r>
  <r>
    <x v="1657"/>
    <x v="1"/>
    <x v="1"/>
    <x v="20"/>
    <x v="23"/>
    <x v="26"/>
    <x v="2"/>
    <x v="33"/>
    <x v="5"/>
    <x v="18"/>
    <x v="19"/>
    <x v="0"/>
    <x v="0"/>
    <x v="216"/>
  </r>
  <r>
    <x v="1658"/>
    <x v="1"/>
    <x v="1"/>
    <x v="13"/>
    <x v="13"/>
    <x v="9"/>
    <x v="22"/>
    <x v="11"/>
    <x v="14"/>
    <x v="18"/>
    <x v="3"/>
    <x v="11"/>
    <x v="48"/>
    <x v="246"/>
  </r>
  <r>
    <x v="1659"/>
    <x v="2"/>
    <x v="2"/>
    <x v="16"/>
    <x v="1"/>
    <x v="14"/>
    <x v="4"/>
    <x v="28"/>
    <x v="7"/>
    <x v="14"/>
    <x v="18"/>
    <x v="8"/>
    <x v="2"/>
    <x v="40"/>
  </r>
  <r>
    <x v="1660"/>
    <x v="2"/>
    <x v="2"/>
    <x v="6"/>
    <x v="0"/>
    <x v="7"/>
    <x v="18"/>
    <x v="9"/>
    <x v="0"/>
    <x v="40"/>
    <x v="19"/>
    <x v="12"/>
    <x v="1"/>
    <x v="12"/>
  </r>
  <r>
    <x v="1661"/>
    <x v="2"/>
    <x v="2"/>
    <x v="13"/>
    <x v="9"/>
    <x v="3"/>
    <x v="3"/>
    <x v="26"/>
    <x v="22"/>
    <x v="5"/>
    <x v="6"/>
    <x v="17"/>
    <x v="35"/>
    <x v="72"/>
  </r>
  <r>
    <x v="1662"/>
    <x v="2"/>
    <x v="2"/>
    <x v="16"/>
    <x v="3"/>
    <x v="11"/>
    <x v="25"/>
    <x v="14"/>
    <x v="11"/>
    <x v="10"/>
    <x v="37"/>
    <x v="39"/>
    <x v="28"/>
    <x v="5"/>
  </r>
  <r>
    <x v="1663"/>
    <x v="2"/>
    <x v="2"/>
    <x v="16"/>
    <x v="20"/>
    <x v="13"/>
    <x v="3"/>
    <x v="5"/>
    <x v="18"/>
    <x v="29"/>
    <x v="0"/>
    <x v="19"/>
    <x v="10"/>
    <x v="127"/>
  </r>
  <r>
    <x v="1664"/>
    <x v="2"/>
    <x v="2"/>
    <x v="4"/>
    <x v="9"/>
    <x v="23"/>
    <x v="0"/>
    <x v="29"/>
    <x v="25"/>
    <x v="10"/>
    <x v="25"/>
    <x v="0"/>
    <x v="33"/>
    <x v="21"/>
  </r>
  <r>
    <x v="1665"/>
    <x v="2"/>
    <x v="2"/>
    <x v="10"/>
    <x v="9"/>
    <x v="6"/>
    <x v="3"/>
    <x v="2"/>
    <x v="11"/>
    <x v="7"/>
    <x v="29"/>
    <x v="4"/>
    <x v="7"/>
    <x v="92"/>
  </r>
  <r>
    <x v="1666"/>
    <x v="2"/>
    <x v="2"/>
    <x v="16"/>
    <x v="0"/>
    <x v="24"/>
    <x v="6"/>
    <x v="14"/>
    <x v="13"/>
    <x v="2"/>
    <x v="21"/>
    <x v="12"/>
    <x v="0"/>
    <x v="95"/>
  </r>
  <r>
    <x v="1667"/>
    <x v="2"/>
    <x v="2"/>
    <x v="12"/>
    <x v="4"/>
    <x v="6"/>
    <x v="26"/>
    <x v="24"/>
    <x v="15"/>
    <x v="0"/>
    <x v="3"/>
    <x v="31"/>
    <x v="7"/>
    <x v="8"/>
  </r>
  <r>
    <x v="1668"/>
    <x v="2"/>
    <x v="2"/>
    <x v="17"/>
    <x v="0"/>
    <x v="7"/>
    <x v="15"/>
    <x v="36"/>
    <x v="41"/>
    <x v="29"/>
    <x v="24"/>
    <x v="32"/>
    <x v="15"/>
    <x v="95"/>
  </r>
  <r>
    <x v="1582"/>
    <x v="2"/>
    <x v="2"/>
    <x v="6"/>
    <x v="17"/>
    <x v="23"/>
    <x v="3"/>
    <x v="17"/>
    <x v="9"/>
    <x v="16"/>
    <x v="5"/>
    <x v="27"/>
    <x v="17"/>
    <x v="42"/>
  </r>
  <r>
    <x v="1669"/>
    <x v="2"/>
    <x v="2"/>
    <x v="5"/>
    <x v="9"/>
    <x v="1"/>
    <x v="0"/>
    <x v="3"/>
    <x v="18"/>
    <x v="9"/>
    <x v="20"/>
    <x v="25"/>
    <x v="0"/>
    <x v="8"/>
  </r>
  <r>
    <x v="1670"/>
    <x v="2"/>
    <x v="2"/>
    <x v="10"/>
    <x v="9"/>
    <x v="20"/>
    <x v="12"/>
    <x v="10"/>
    <x v="0"/>
    <x v="28"/>
    <x v="44"/>
    <x v="20"/>
    <x v="15"/>
    <x v="245"/>
  </r>
  <r>
    <x v="1671"/>
    <x v="2"/>
    <x v="2"/>
    <x v="22"/>
    <x v="21"/>
    <x v="4"/>
    <x v="21"/>
    <x v="36"/>
    <x v="5"/>
    <x v="12"/>
    <x v="3"/>
    <x v="25"/>
    <x v="12"/>
    <x v="246"/>
  </r>
  <r>
    <x v="1672"/>
    <x v="2"/>
    <x v="2"/>
    <x v="5"/>
    <x v="25"/>
    <x v="25"/>
    <x v="1"/>
    <x v="8"/>
    <x v="33"/>
    <x v="9"/>
    <x v="26"/>
    <x v="39"/>
    <x v="48"/>
    <x v="141"/>
  </r>
  <r>
    <x v="1673"/>
    <x v="2"/>
    <x v="2"/>
    <x v="2"/>
    <x v="11"/>
    <x v="4"/>
    <x v="12"/>
    <x v="3"/>
    <x v="11"/>
    <x v="35"/>
    <x v="10"/>
    <x v="1"/>
    <x v="28"/>
    <x v="18"/>
  </r>
  <r>
    <x v="1674"/>
    <x v="2"/>
    <x v="2"/>
    <x v="7"/>
    <x v="22"/>
    <x v="7"/>
    <x v="2"/>
    <x v="26"/>
    <x v="30"/>
    <x v="33"/>
    <x v="36"/>
    <x v="26"/>
    <x v="48"/>
    <x v="39"/>
  </r>
  <r>
    <x v="1675"/>
    <x v="2"/>
    <x v="2"/>
    <x v="12"/>
    <x v="7"/>
    <x v="16"/>
    <x v="5"/>
    <x v="13"/>
    <x v="10"/>
    <x v="10"/>
    <x v="18"/>
    <x v="40"/>
    <x v="17"/>
    <x v="210"/>
  </r>
  <r>
    <x v="1676"/>
    <x v="2"/>
    <x v="2"/>
    <x v="23"/>
    <x v="7"/>
    <x v="9"/>
    <x v="0"/>
    <x v="35"/>
    <x v="6"/>
    <x v="9"/>
    <x v="19"/>
    <x v="13"/>
    <x v="42"/>
    <x v="41"/>
  </r>
  <r>
    <x v="1677"/>
    <x v="2"/>
    <x v="2"/>
    <x v="3"/>
    <x v="24"/>
    <x v="16"/>
    <x v="21"/>
    <x v="10"/>
    <x v="5"/>
    <x v="28"/>
    <x v="34"/>
    <x v="4"/>
    <x v="22"/>
    <x v="2"/>
  </r>
  <r>
    <x v="1678"/>
    <x v="2"/>
    <x v="2"/>
    <x v="10"/>
    <x v="17"/>
    <x v="13"/>
    <x v="4"/>
    <x v="8"/>
    <x v="11"/>
    <x v="1"/>
    <x v="32"/>
    <x v="31"/>
    <x v="28"/>
    <x v="10"/>
  </r>
  <r>
    <x v="1679"/>
    <x v="2"/>
    <x v="2"/>
    <x v="19"/>
    <x v="7"/>
    <x v="33"/>
    <x v="19"/>
    <x v="9"/>
    <x v="39"/>
    <x v="32"/>
    <x v="8"/>
    <x v="13"/>
    <x v="22"/>
    <x v="45"/>
  </r>
  <r>
    <x v="1680"/>
    <x v="2"/>
    <x v="2"/>
    <x v="0"/>
    <x v="28"/>
    <x v="3"/>
    <x v="11"/>
    <x v="26"/>
    <x v="15"/>
    <x v="4"/>
    <x v="4"/>
    <x v="29"/>
    <x v="60"/>
    <x v="41"/>
  </r>
  <r>
    <x v="1681"/>
    <x v="2"/>
    <x v="2"/>
    <x v="3"/>
    <x v="20"/>
    <x v="43"/>
    <x v="15"/>
    <x v="16"/>
    <x v="5"/>
    <x v="2"/>
    <x v="49"/>
    <x v="6"/>
    <x v="2"/>
    <x v="25"/>
  </r>
  <r>
    <x v="1682"/>
    <x v="2"/>
    <x v="2"/>
    <x v="9"/>
    <x v="2"/>
    <x v="13"/>
    <x v="3"/>
    <x v="27"/>
    <x v="8"/>
    <x v="15"/>
    <x v="29"/>
    <x v="13"/>
    <x v="14"/>
    <x v="22"/>
  </r>
  <r>
    <x v="1683"/>
    <x v="2"/>
    <x v="2"/>
    <x v="22"/>
    <x v="10"/>
    <x v="5"/>
    <x v="14"/>
    <x v="16"/>
    <x v="8"/>
    <x v="32"/>
    <x v="26"/>
    <x v="42"/>
    <x v="29"/>
    <x v="252"/>
  </r>
  <r>
    <x v="1684"/>
    <x v="2"/>
    <x v="2"/>
    <x v="16"/>
    <x v="0"/>
    <x v="11"/>
    <x v="11"/>
    <x v="19"/>
    <x v="10"/>
    <x v="30"/>
    <x v="19"/>
    <x v="35"/>
    <x v="37"/>
    <x v="83"/>
  </r>
  <r>
    <x v="1685"/>
    <x v="2"/>
    <x v="2"/>
    <x v="6"/>
    <x v="17"/>
    <x v="1"/>
    <x v="3"/>
    <x v="38"/>
    <x v="14"/>
    <x v="18"/>
    <x v="16"/>
    <x v="19"/>
    <x v="1"/>
    <x v="83"/>
  </r>
  <r>
    <x v="1686"/>
    <x v="2"/>
    <x v="2"/>
    <x v="16"/>
    <x v="3"/>
    <x v="16"/>
    <x v="25"/>
    <x v="24"/>
    <x v="40"/>
    <x v="27"/>
    <x v="44"/>
    <x v="2"/>
    <x v="29"/>
    <x v="81"/>
  </r>
  <r>
    <x v="1687"/>
    <x v="2"/>
    <x v="2"/>
    <x v="9"/>
    <x v="21"/>
    <x v="11"/>
    <x v="14"/>
    <x v="3"/>
    <x v="25"/>
    <x v="5"/>
    <x v="37"/>
    <x v="13"/>
    <x v="31"/>
    <x v="33"/>
  </r>
  <r>
    <x v="1688"/>
    <x v="2"/>
    <x v="2"/>
    <x v="13"/>
    <x v="8"/>
    <x v="3"/>
    <x v="1"/>
    <x v="27"/>
    <x v="5"/>
    <x v="4"/>
    <x v="18"/>
    <x v="12"/>
    <x v="0"/>
    <x v="7"/>
  </r>
  <r>
    <x v="1689"/>
    <x v="2"/>
    <x v="2"/>
    <x v="9"/>
    <x v="25"/>
    <x v="12"/>
    <x v="6"/>
    <x v="3"/>
    <x v="0"/>
    <x v="19"/>
    <x v="16"/>
    <x v="39"/>
    <x v="44"/>
    <x v="10"/>
  </r>
  <r>
    <x v="1690"/>
    <x v="2"/>
    <x v="2"/>
    <x v="16"/>
    <x v="2"/>
    <x v="3"/>
    <x v="18"/>
    <x v="3"/>
    <x v="9"/>
    <x v="9"/>
    <x v="15"/>
    <x v="26"/>
    <x v="26"/>
    <x v="37"/>
  </r>
  <r>
    <x v="1691"/>
    <x v="2"/>
    <x v="2"/>
    <x v="3"/>
    <x v="9"/>
    <x v="9"/>
    <x v="9"/>
    <x v="2"/>
    <x v="12"/>
    <x v="7"/>
    <x v="32"/>
    <x v="39"/>
    <x v="28"/>
    <x v="21"/>
  </r>
  <r>
    <x v="1692"/>
    <x v="2"/>
    <x v="2"/>
    <x v="9"/>
    <x v="8"/>
    <x v="20"/>
    <x v="13"/>
    <x v="36"/>
    <x v="5"/>
    <x v="29"/>
    <x v="12"/>
    <x v="17"/>
    <x v="39"/>
    <x v="210"/>
  </r>
  <r>
    <x v="1693"/>
    <x v="2"/>
    <x v="2"/>
    <x v="12"/>
    <x v="7"/>
    <x v="8"/>
    <x v="19"/>
    <x v="30"/>
    <x v="33"/>
    <x v="37"/>
    <x v="28"/>
    <x v="29"/>
    <x v="32"/>
    <x v="52"/>
  </r>
  <r>
    <x v="1694"/>
    <x v="2"/>
    <x v="2"/>
    <x v="7"/>
    <x v="24"/>
    <x v="6"/>
    <x v="27"/>
    <x v="25"/>
    <x v="6"/>
    <x v="27"/>
    <x v="23"/>
    <x v="5"/>
    <x v="42"/>
    <x v="33"/>
  </r>
  <r>
    <x v="1695"/>
    <x v="2"/>
    <x v="2"/>
    <x v="3"/>
    <x v="17"/>
    <x v="33"/>
    <x v="19"/>
    <x v="26"/>
    <x v="7"/>
    <x v="8"/>
    <x v="3"/>
    <x v="12"/>
    <x v="6"/>
    <x v="92"/>
  </r>
  <r>
    <x v="1696"/>
    <x v="2"/>
    <x v="2"/>
    <x v="2"/>
    <x v="2"/>
    <x v="16"/>
    <x v="26"/>
    <x v="2"/>
    <x v="31"/>
    <x v="37"/>
    <x v="42"/>
    <x v="7"/>
    <x v="21"/>
    <x v="259"/>
  </r>
  <r>
    <x v="1697"/>
    <x v="2"/>
    <x v="2"/>
    <x v="6"/>
    <x v="26"/>
    <x v="4"/>
    <x v="0"/>
    <x v="14"/>
    <x v="20"/>
    <x v="1"/>
    <x v="26"/>
    <x v="13"/>
    <x v="70"/>
    <x v="13"/>
  </r>
  <r>
    <x v="1698"/>
    <x v="2"/>
    <x v="2"/>
    <x v="3"/>
    <x v="5"/>
    <x v="5"/>
    <x v="15"/>
    <x v="5"/>
    <x v="8"/>
    <x v="19"/>
    <x v="20"/>
    <x v="7"/>
    <x v="16"/>
    <x v="35"/>
  </r>
  <r>
    <x v="1533"/>
    <x v="3"/>
    <x v="3"/>
    <x v="24"/>
    <x v="27"/>
    <x v="16"/>
    <x v="9"/>
    <x v="33"/>
    <x v="7"/>
    <x v="13"/>
    <x v="1"/>
    <x v="17"/>
    <x v="8"/>
    <x v="100"/>
  </r>
  <r>
    <x v="1699"/>
    <x v="3"/>
    <x v="3"/>
    <x v="24"/>
    <x v="21"/>
    <x v="0"/>
    <x v="29"/>
    <x v="3"/>
    <x v="8"/>
    <x v="7"/>
    <x v="26"/>
    <x v="42"/>
    <x v="7"/>
    <x v="117"/>
  </r>
  <r>
    <x v="1700"/>
    <x v="3"/>
    <x v="3"/>
    <x v="24"/>
    <x v="21"/>
    <x v="9"/>
    <x v="7"/>
    <x v="38"/>
    <x v="10"/>
    <x v="46"/>
    <x v="0"/>
    <x v="42"/>
    <x v="0"/>
    <x v="120"/>
  </r>
  <r>
    <x v="1701"/>
    <x v="3"/>
    <x v="3"/>
    <x v="9"/>
    <x v="11"/>
    <x v="9"/>
    <x v="4"/>
    <x v="14"/>
    <x v="31"/>
    <x v="37"/>
    <x v="42"/>
    <x v="20"/>
    <x v="51"/>
    <x v="121"/>
  </r>
  <r>
    <x v="1702"/>
    <x v="3"/>
    <x v="3"/>
    <x v="15"/>
    <x v="4"/>
    <x v="13"/>
    <x v="29"/>
    <x v="29"/>
    <x v="20"/>
    <x v="18"/>
    <x v="44"/>
    <x v="63"/>
    <x v="38"/>
    <x v="125"/>
  </r>
  <r>
    <x v="1703"/>
    <x v="3"/>
    <x v="3"/>
    <x v="12"/>
    <x v="20"/>
    <x v="1"/>
    <x v="29"/>
    <x v="27"/>
    <x v="26"/>
    <x v="20"/>
    <x v="2"/>
    <x v="5"/>
    <x v="2"/>
    <x v="107"/>
  </r>
  <r>
    <x v="1704"/>
    <x v="3"/>
    <x v="3"/>
    <x v="19"/>
    <x v="42"/>
    <x v="0"/>
    <x v="6"/>
    <x v="14"/>
    <x v="1"/>
    <x v="1"/>
    <x v="25"/>
    <x v="39"/>
    <x v="9"/>
    <x v="47"/>
  </r>
  <r>
    <x v="1705"/>
    <x v="3"/>
    <x v="3"/>
    <x v="13"/>
    <x v="20"/>
    <x v="1"/>
    <x v="32"/>
    <x v="10"/>
    <x v="9"/>
    <x v="30"/>
    <x v="7"/>
    <x v="8"/>
    <x v="14"/>
    <x v="47"/>
  </r>
  <r>
    <x v="1706"/>
    <x v="3"/>
    <x v="3"/>
    <x v="24"/>
    <x v="8"/>
    <x v="4"/>
    <x v="0"/>
    <x v="28"/>
    <x v="4"/>
    <x v="20"/>
    <x v="28"/>
    <x v="9"/>
    <x v="40"/>
    <x v="55"/>
  </r>
  <r>
    <x v="1707"/>
    <x v="3"/>
    <x v="3"/>
    <x v="5"/>
    <x v="2"/>
    <x v="9"/>
    <x v="10"/>
    <x v="6"/>
    <x v="35"/>
    <x v="27"/>
    <x v="19"/>
    <x v="33"/>
    <x v="14"/>
    <x v="109"/>
  </r>
  <r>
    <x v="1708"/>
    <x v="3"/>
    <x v="3"/>
    <x v="19"/>
    <x v="27"/>
    <x v="10"/>
    <x v="10"/>
    <x v="0"/>
    <x v="30"/>
    <x v="46"/>
    <x v="26"/>
    <x v="22"/>
    <x v="1"/>
    <x v="43"/>
  </r>
  <r>
    <x v="1709"/>
    <x v="3"/>
    <x v="3"/>
    <x v="20"/>
    <x v="6"/>
    <x v="40"/>
    <x v="29"/>
    <x v="36"/>
    <x v="19"/>
    <x v="24"/>
    <x v="20"/>
    <x v="48"/>
    <x v="64"/>
    <x v="268"/>
  </r>
  <r>
    <x v="1710"/>
    <x v="3"/>
    <x v="3"/>
    <x v="13"/>
    <x v="18"/>
    <x v="7"/>
    <x v="14"/>
    <x v="29"/>
    <x v="28"/>
    <x v="37"/>
    <x v="23"/>
    <x v="15"/>
    <x v="11"/>
    <x v="269"/>
  </r>
  <r>
    <x v="1711"/>
    <x v="3"/>
    <x v="3"/>
    <x v="24"/>
    <x v="30"/>
    <x v="19"/>
    <x v="9"/>
    <x v="28"/>
    <x v="14"/>
    <x v="32"/>
    <x v="7"/>
    <x v="10"/>
    <x v="37"/>
    <x v="121"/>
  </r>
  <r>
    <x v="1712"/>
    <x v="3"/>
    <x v="3"/>
    <x v="13"/>
    <x v="11"/>
    <x v="7"/>
    <x v="14"/>
    <x v="28"/>
    <x v="28"/>
    <x v="4"/>
    <x v="57"/>
    <x v="11"/>
    <x v="34"/>
    <x v="270"/>
  </r>
  <r>
    <x v="1713"/>
    <x v="3"/>
    <x v="3"/>
    <x v="28"/>
    <x v="28"/>
    <x v="20"/>
    <x v="32"/>
    <x v="13"/>
    <x v="28"/>
    <x v="12"/>
    <x v="29"/>
    <x v="11"/>
    <x v="29"/>
    <x v="115"/>
  </r>
  <r>
    <x v="1714"/>
    <x v="3"/>
    <x v="3"/>
    <x v="18"/>
    <x v="2"/>
    <x v="20"/>
    <x v="11"/>
    <x v="0"/>
    <x v="30"/>
    <x v="12"/>
    <x v="4"/>
    <x v="39"/>
    <x v="6"/>
    <x v="264"/>
  </r>
  <r>
    <x v="1715"/>
    <x v="3"/>
    <x v="3"/>
    <x v="6"/>
    <x v="2"/>
    <x v="15"/>
    <x v="28"/>
    <x v="14"/>
    <x v="6"/>
    <x v="17"/>
    <x v="55"/>
    <x v="36"/>
    <x v="3"/>
    <x v="13"/>
  </r>
  <r>
    <x v="1716"/>
    <x v="3"/>
    <x v="3"/>
    <x v="18"/>
    <x v="13"/>
    <x v="1"/>
    <x v="14"/>
    <x v="29"/>
    <x v="39"/>
    <x v="46"/>
    <x v="15"/>
    <x v="15"/>
    <x v="22"/>
    <x v="112"/>
  </r>
  <r>
    <x v="1717"/>
    <x v="3"/>
    <x v="3"/>
    <x v="16"/>
    <x v="6"/>
    <x v="7"/>
    <x v="11"/>
    <x v="1"/>
    <x v="25"/>
    <x v="37"/>
    <x v="28"/>
    <x v="0"/>
    <x v="7"/>
    <x v="89"/>
  </r>
  <r>
    <x v="1718"/>
    <x v="3"/>
    <x v="3"/>
    <x v="16"/>
    <x v="17"/>
    <x v="14"/>
    <x v="14"/>
    <x v="50"/>
    <x v="8"/>
    <x v="4"/>
    <x v="7"/>
    <x v="57"/>
    <x v="47"/>
    <x v="256"/>
  </r>
  <r>
    <x v="1719"/>
    <x v="3"/>
    <x v="3"/>
    <x v="19"/>
    <x v="2"/>
    <x v="7"/>
    <x v="19"/>
    <x v="11"/>
    <x v="7"/>
    <x v="3"/>
    <x v="20"/>
    <x v="12"/>
    <x v="32"/>
    <x v="246"/>
  </r>
  <r>
    <x v="1720"/>
    <x v="3"/>
    <x v="3"/>
    <x v="13"/>
    <x v="17"/>
    <x v="24"/>
    <x v="22"/>
    <x v="14"/>
    <x v="22"/>
    <x v="36"/>
    <x v="1"/>
    <x v="5"/>
    <x v="39"/>
    <x v="85"/>
  </r>
  <r>
    <x v="1721"/>
    <x v="3"/>
    <x v="3"/>
    <x v="15"/>
    <x v="17"/>
    <x v="7"/>
    <x v="22"/>
    <x v="24"/>
    <x v="39"/>
    <x v="5"/>
    <x v="9"/>
    <x v="41"/>
    <x v="30"/>
    <x v="13"/>
  </r>
  <r>
    <x v="1722"/>
    <x v="3"/>
    <x v="3"/>
    <x v="12"/>
    <x v="23"/>
    <x v="7"/>
    <x v="27"/>
    <x v="28"/>
    <x v="31"/>
    <x v="12"/>
    <x v="3"/>
    <x v="9"/>
    <x v="12"/>
    <x v="121"/>
  </r>
  <r>
    <x v="1723"/>
    <x v="3"/>
    <x v="3"/>
    <x v="1"/>
    <x v="21"/>
    <x v="44"/>
    <x v="32"/>
    <x v="10"/>
    <x v="7"/>
    <x v="15"/>
    <x v="1"/>
    <x v="13"/>
    <x v="50"/>
    <x v="111"/>
  </r>
  <r>
    <x v="1724"/>
    <x v="3"/>
    <x v="3"/>
    <x v="12"/>
    <x v="10"/>
    <x v="9"/>
    <x v="14"/>
    <x v="28"/>
    <x v="25"/>
    <x v="46"/>
    <x v="50"/>
    <x v="41"/>
    <x v="20"/>
    <x v="271"/>
  </r>
  <r>
    <x v="1725"/>
    <x v="3"/>
    <x v="3"/>
    <x v="12"/>
    <x v="2"/>
    <x v="1"/>
    <x v="3"/>
    <x v="14"/>
    <x v="8"/>
    <x v="7"/>
    <x v="14"/>
    <x v="15"/>
    <x v="36"/>
    <x v="209"/>
  </r>
  <r>
    <x v="1726"/>
    <x v="3"/>
    <x v="3"/>
    <x v="5"/>
    <x v="10"/>
    <x v="20"/>
    <x v="10"/>
    <x v="0"/>
    <x v="39"/>
    <x v="0"/>
    <x v="9"/>
    <x v="7"/>
    <x v="38"/>
    <x v="89"/>
  </r>
  <r>
    <x v="1727"/>
    <x v="3"/>
    <x v="3"/>
    <x v="18"/>
    <x v="20"/>
    <x v="5"/>
    <x v="42"/>
    <x v="44"/>
    <x v="40"/>
    <x v="17"/>
    <x v="21"/>
    <x v="1"/>
    <x v="32"/>
    <x v="265"/>
  </r>
  <r>
    <x v="1728"/>
    <x v="3"/>
    <x v="3"/>
    <x v="12"/>
    <x v="1"/>
    <x v="8"/>
    <x v="29"/>
    <x v="46"/>
    <x v="30"/>
    <x v="20"/>
    <x v="31"/>
    <x v="13"/>
    <x v="16"/>
    <x v="258"/>
  </r>
  <r>
    <x v="1729"/>
    <x v="3"/>
    <x v="3"/>
    <x v="3"/>
    <x v="10"/>
    <x v="1"/>
    <x v="10"/>
    <x v="28"/>
    <x v="6"/>
    <x v="4"/>
    <x v="2"/>
    <x v="39"/>
    <x v="68"/>
    <x v="113"/>
  </r>
  <r>
    <x v="1730"/>
    <x v="3"/>
    <x v="3"/>
    <x v="15"/>
    <x v="21"/>
    <x v="8"/>
    <x v="12"/>
    <x v="6"/>
    <x v="8"/>
    <x v="15"/>
    <x v="3"/>
    <x v="3"/>
    <x v="8"/>
    <x v="12"/>
  </r>
  <r>
    <x v="1731"/>
    <x v="3"/>
    <x v="3"/>
    <x v="28"/>
    <x v="11"/>
    <x v="25"/>
    <x v="7"/>
    <x v="9"/>
    <x v="7"/>
    <x v="44"/>
    <x v="15"/>
    <x v="1"/>
    <x v="13"/>
    <x v="47"/>
  </r>
  <r>
    <x v="1732"/>
    <x v="3"/>
    <x v="3"/>
    <x v="1"/>
    <x v="27"/>
    <x v="4"/>
    <x v="28"/>
    <x v="0"/>
    <x v="28"/>
    <x v="15"/>
    <x v="34"/>
    <x v="40"/>
    <x v="39"/>
    <x v="101"/>
  </r>
  <r>
    <x v="1733"/>
    <x v="3"/>
    <x v="3"/>
    <x v="1"/>
    <x v="10"/>
    <x v="26"/>
    <x v="26"/>
    <x v="11"/>
    <x v="6"/>
    <x v="12"/>
    <x v="25"/>
    <x v="41"/>
    <x v="16"/>
    <x v="111"/>
  </r>
  <r>
    <x v="1734"/>
    <x v="3"/>
    <x v="3"/>
    <x v="3"/>
    <x v="23"/>
    <x v="3"/>
    <x v="7"/>
    <x v="33"/>
    <x v="26"/>
    <x v="19"/>
    <x v="21"/>
    <x v="19"/>
    <x v="14"/>
    <x v="18"/>
  </r>
  <r>
    <x v="1735"/>
    <x v="3"/>
    <x v="3"/>
    <x v="16"/>
    <x v="22"/>
    <x v="20"/>
    <x v="22"/>
    <x v="17"/>
    <x v="13"/>
    <x v="40"/>
    <x v="9"/>
    <x v="1"/>
    <x v="9"/>
    <x v="72"/>
  </r>
  <r>
    <x v="1736"/>
    <x v="3"/>
    <x v="3"/>
    <x v="2"/>
    <x v="0"/>
    <x v="35"/>
    <x v="5"/>
    <x v="6"/>
    <x v="17"/>
    <x v="31"/>
    <x v="6"/>
    <x v="26"/>
    <x v="21"/>
    <x v="65"/>
  </r>
  <r>
    <x v="1737"/>
    <x v="3"/>
    <x v="3"/>
    <x v="22"/>
    <x v="9"/>
    <x v="17"/>
    <x v="8"/>
    <x v="25"/>
    <x v="27"/>
    <x v="9"/>
    <x v="0"/>
    <x v="33"/>
    <x v="47"/>
    <x v="99"/>
  </r>
  <r>
    <x v="1738"/>
    <x v="3"/>
    <x v="3"/>
    <x v="17"/>
    <x v="0"/>
    <x v="4"/>
    <x v="2"/>
    <x v="23"/>
    <x v="9"/>
    <x v="17"/>
    <x v="37"/>
    <x v="1"/>
    <x v="2"/>
    <x v="46"/>
  </r>
  <r>
    <x v="1739"/>
    <x v="3"/>
    <x v="3"/>
    <x v="17"/>
    <x v="25"/>
    <x v="12"/>
    <x v="2"/>
    <x v="10"/>
    <x v="22"/>
    <x v="6"/>
    <x v="41"/>
    <x v="14"/>
    <x v="16"/>
    <x v="135"/>
  </r>
  <r>
    <x v="1740"/>
    <x v="3"/>
    <x v="3"/>
    <x v="17"/>
    <x v="16"/>
    <x v="19"/>
    <x v="11"/>
    <x v="14"/>
    <x v="9"/>
    <x v="7"/>
    <x v="20"/>
    <x v="18"/>
    <x v="26"/>
    <x v="127"/>
  </r>
  <r>
    <x v="1741"/>
    <x v="3"/>
    <x v="3"/>
    <x v="12"/>
    <x v="18"/>
    <x v="19"/>
    <x v="11"/>
    <x v="36"/>
    <x v="26"/>
    <x v="4"/>
    <x v="8"/>
    <x v="41"/>
    <x v="6"/>
    <x v="216"/>
  </r>
  <r>
    <x v="1742"/>
    <x v="3"/>
    <x v="3"/>
    <x v="13"/>
    <x v="40"/>
    <x v="9"/>
    <x v="19"/>
    <x v="0"/>
    <x v="28"/>
    <x v="19"/>
    <x v="7"/>
    <x v="41"/>
    <x v="37"/>
    <x v="206"/>
  </r>
  <r>
    <x v="1743"/>
    <x v="3"/>
    <x v="3"/>
    <x v="1"/>
    <x v="27"/>
    <x v="24"/>
    <x v="9"/>
    <x v="13"/>
    <x v="14"/>
    <x v="15"/>
    <x v="3"/>
    <x v="0"/>
    <x v="38"/>
    <x v="85"/>
  </r>
  <r>
    <x v="1744"/>
    <x v="3"/>
    <x v="3"/>
    <x v="25"/>
    <x v="11"/>
    <x v="16"/>
    <x v="9"/>
    <x v="2"/>
    <x v="24"/>
    <x v="19"/>
    <x v="19"/>
    <x v="35"/>
    <x v="45"/>
    <x v="272"/>
  </r>
  <r>
    <x v="1745"/>
    <x v="3"/>
    <x v="3"/>
    <x v="24"/>
    <x v="21"/>
    <x v="0"/>
    <x v="27"/>
    <x v="33"/>
    <x v="36"/>
    <x v="49"/>
    <x v="42"/>
    <x v="5"/>
    <x v="12"/>
    <x v="273"/>
  </r>
  <r>
    <x v="1746"/>
    <x v="3"/>
    <x v="3"/>
    <x v="10"/>
    <x v="17"/>
    <x v="8"/>
    <x v="11"/>
    <x v="6"/>
    <x v="41"/>
    <x v="12"/>
    <x v="41"/>
    <x v="3"/>
    <x v="35"/>
    <x v="43"/>
  </r>
  <r>
    <x v="1747"/>
    <x v="3"/>
    <x v="3"/>
    <x v="1"/>
    <x v="21"/>
    <x v="0"/>
    <x v="26"/>
    <x v="49"/>
    <x v="20"/>
    <x v="20"/>
    <x v="34"/>
    <x v="17"/>
    <x v="6"/>
    <x v="272"/>
  </r>
  <r>
    <x v="1748"/>
    <x v="3"/>
    <x v="3"/>
    <x v="1"/>
    <x v="10"/>
    <x v="4"/>
    <x v="9"/>
    <x v="14"/>
    <x v="6"/>
    <x v="0"/>
    <x v="7"/>
    <x v="3"/>
    <x v="0"/>
    <x v="102"/>
  </r>
  <r>
    <x v="1749"/>
    <x v="3"/>
    <x v="3"/>
    <x v="19"/>
    <x v="21"/>
    <x v="9"/>
    <x v="29"/>
    <x v="13"/>
    <x v="25"/>
    <x v="9"/>
    <x v="21"/>
    <x v="7"/>
    <x v="10"/>
    <x v="211"/>
  </r>
  <r>
    <x v="1750"/>
    <x v="3"/>
    <x v="3"/>
    <x v="10"/>
    <x v="18"/>
    <x v="3"/>
    <x v="7"/>
    <x v="34"/>
    <x v="11"/>
    <x v="29"/>
    <x v="51"/>
    <x v="40"/>
    <x v="10"/>
    <x v="117"/>
  </r>
  <r>
    <x v="1751"/>
    <x v="3"/>
    <x v="3"/>
    <x v="25"/>
    <x v="23"/>
    <x v="20"/>
    <x v="4"/>
    <x v="2"/>
    <x v="21"/>
    <x v="11"/>
    <x v="18"/>
    <x v="20"/>
    <x v="16"/>
    <x v="212"/>
  </r>
  <r>
    <x v="1752"/>
    <x v="3"/>
    <x v="3"/>
    <x v="15"/>
    <x v="4"/>
    <x v="8"/>
    <x v="6"/>
    <x v="10"/>
    <x v="25"/>
    <x v="20"/>
    <x v="10"/>
    <x v="9"/>
    <x v="21"/>
    <x v="13"/>
  </r>
  <r>
    <x v="1753"/>
    <x v="3"/>
    <x v="3"/>
    <x v="18"/>
    <x v="9"/>
    <x v="20"/>
    <x v="30"/>
    <x v="9"/>
    <x v="47"/>
    <x v="45"/>
    <x v="26"/>
    <x v="13"/>
    <x v="6"/>
    <x v="274"/>
  </r>
  <r>
    <x v="1754"/>
    <x v="3"/>
    <x v="3"/>
    <x v="20"/>
    <x v="20"/>
    <x v="15"/>
    <x v="14"/>
    <x v="33"/>
    <x v="6"/>
    <x v="10"/>
    <x v="26"/>
    <x v="33"/>
    <x v="40"/>
    <x v="54"/>
  </r>
  <r>
    <x v="1755"/>
    <x v="3"/>
    <x v="3"/>
    <x v="1"/>
    <x v="28"/>
    <x v="20"/>
    <x v="0"/>
    <x v="0"/>
    <x v="15"/>
    <x v="29"/>
    <x v="20"/>
    <x v="1"/>
    <x v="3"/>
    <x v="124"/>
  </r>
  <r>
    <x v="1756"/>
    <x v="3"/>
    <x v="3"/>
    <x v="10"/>
    <x v="2"/>
    <x v="26"/>
    <x v="10"/>
    <x v="12"/>
    <x v="15"/>
    <x v="35"/>
    <x v="4"/>
    <x v="35"/>
    <x v="14"/>
    <x v="212"/>
  </r>
  <r>
    <x v="1757"/>
    <x v="3"/>
    <x v="3"/>
    <x v="10"/>
    <x v="6"/>
    <x v="9"/>
    <x v="29"/>
    <x v="5"/>
    <x v="11"/>
    <x v="3"/>
    <x v="23"/>
    <x v="27"/>
    <x v="32"/>
    <x v="208"/>
  </r>
  <r>
    <x v="1758"/>
    <x v="3"/>
    <x v="3"/>
    <x v="1"/>
    <x v="28"/>
    <x v="9"/>
    <x v="21"/>
    <x v="17"/>
    <x v="24"/>
    <x v="20"/>
    <x v="23"/>
    <x v="0"/>
    <x v="3"/>
    <x v="88"/>
  </r>
  <r>
    <x v="1759"/>
    <x v="3"/>
    <x v="3"/>
    <x v="6"/>
    <x v="27"/>
    <x v="1"/>
    <x v="19"/>
    <x v="5"/>
    <x v="11"/>
    <x v="35"/>
    <x v="11"/>
    <x v="5"/>
    <x v="33"/>
    <x v="53"/>
  </r>
  <r>
    <x v="1760"/>
    <x v="3"/>
    <x v="3"/>
    <x v="24"/>
    <x v="11"/>
    <x v="13"/>
    <x v="21"/>
    <x v="34"/>
    <x v="8"/>
    <x v="40"/>
    <x v="6"/>
    <x v="10"/>
    <x v="39"/>
    <x v="51"/>
  </r>
  <r>
    <x v="1761"/>
    <x v="3"/>
    <x v="3"/>
    <x v="35"/>
    <x v="0"/>
    <x v="0"/>
    <x v="9"/>
    <x v="26"/>
    <x v="5"/>
    <x v="8"/>
    <x v="20"/>
    <x v="35"/>
    <x v="37"/>
    <x v="109"/>
  </r>
  <r>
    <x v="1762"/>
    <x v="3"/>
    <x v="3"/>
    <x v="20"/>
    <x v="4"/>
    <x v="26"/>
    <x v="1"/>
    <x v="20"/>
    <x v="30"/>
    <x v="9"/>
    <x v="26"/>
    <x v="1"/>
    <x v="33"/>
    <x v="45"/>
  </r>
  <r>
    <x v="1763"/>
    <x v="3"/>
    <x v="3"/>
    <x v="13"/>
    <x v="8"/>
    <x v="0"/>
    <x v="13"/>
    <x v="6"/>
    <x v="30"/>
    <x v="16"/>
    <x v="21"/>
    <x v="40"/>
    <x v="29"/>
    <x v="43"/>
  </r>
  <r>
    <x v="1764"/>
    <x v="3"/>
    <x v="3"/>
    <x v="5"/>
    <x v="4"/>
    <x v="19"/>
    <x v="29"/>
    <x v="36"/>
    <x v="10"/>
    <x v="17"/>
    <x v="18"/>
    <x v="1"/>
    <x v="0"/>
    <x v="105"/>
  </r>
  <r>
    <x v="1765"/>
    <x v="3"/>
    <x v="3"/>
    <x v="5"/>
    <x v="21"/>
    <x v="1"/>
    <x v="29"/>
    <x v="28"/>
    <x v="5"/>
    <x v="17"/>
    <x v="15"/>
    <x v="5"/>
    <x v="3"/>
    <x v="109"/>
  </r>
  <r>
    <x v="1766"/>
    <x v="3"/>
    <x v="3"/>
    <x v="19"/>
    <x v="21"/>
    <x v="9"/>
    <x v="21"/>
    <x v="45"/>
    <x v="6"/>
    <x v="8"/>
    <x v="13"/>
    <x v="27"/>
    <x v="39"/>
    <x v="124"/>
  </r>
  <r>
    <x v="1767"/>
    <x v="3"/>
    <x v="3"/>
    <x v="1"/>
    <x v="20"/>
    <x v="3"/>
    <x v="7"/>
    <x v="26"/>
    <x v="26"/>
    <x v="36"/>
    <x v="1"/>
    <x v="1"/>
    <x v="36"/>
    <x v="256"/>
  </r>
  <r>
    <x v="1768"/>
    <x v="3"/>
    <x v="3"/>
    <x v="5"/>
    <x v="10"/>
    <x v="27"/>
    <x v="11"/>
    <x v="34"/>
    <x v="15"/>
    <x v="27"/>
    <x v="9"/>
    <x v="45"/>
    <x v="21"/>
    <x v="257"/>
  </r>
  <r>
    <x v="1769"/>
    <x v="3"/>
    <x v="3"/>
    <x v="16"/>
    <x v="8"/>
    <x v="13"/>
    <x v="10"/>
    <x v="8"/>
    <x v="0"/>
    <x v="60"/>
    <x v="2"/>
    <x v="8"/>
    <x v="26"/>
    <x v="18"/>
  </r>
  <r>
    <x v="1770"/>
    <x v="3"/>
    <x v="3"/>
    <x v="15"/>
    <x v="10"/>
    <x v="24"/>
    <x v="29"/>
    <x v="9"/>
    <x v="5"/>
    <x v="39"/>
    <x v="21"/>
    <x v="20"/>
    <x v="26"/>
    <x v="52"/>
  </r>
  <r>
    <x v="1771"/>
    <x v="3"/>
    <x v="3"/>
    <x v="19"/>
    <x v="11"/>
    <x v="8"/>
    <x v="9"/>
    <x v="29"/>
    <x v="33"/>
    <x v="12"/>
    <x v="0"/>
    <x v="17"/>
    <x v="8"/>
    <x v="26"/>
  </r>
  <r>
    <x v="1772"/>
    <x v="3"/>
    <x v="3"/>
    <x v="20"/>
    <x v="18"/>
    <x v="20"/>
    <x v="19"/>
    <x v="14"/>
    <x v="36"/>
    <x v="29"/>
    <x v="0"/>
    <x v="9"/>
    <x v="3"/>
    <x v="257"/>
  </r>
  <r>
    <x v="1773"/>
    <x v="3"/>
    <x v="3"/>
    <x v="5"/>
    <x v="30"/>
    <x v="27"/>
    <x v="27"/>
    <x v="18"/>
    <x v="27"/>
    <x v="56"/>
    <x v="14"/>
    <x v="9"/>
    <x v="39"/>
    <x v="206"/>
  </r>
  <r>
    <x v="1774"/>
    <x v="3"/>
    <x v="3"/>
    <x v="28"/>
    <x v="0"/>
    <x v="16"/>
    <x v="21"/>
    <x v="13"/>
    <x v="24"/>
    <x v="10"/>
    <x v="8"/>
    <x v="8"/>
    <x v="50"/>
    <x v="215"/>
  </r>
  <r>
    <x v="1775"/>
    <x v="3"/>
    <x v="3"/>
    <x v="18"/>
    <x v="10"/>
    <x v="19"/>
    <x v="28"/>
    <x v="16"/>
    <x v="1"/>
    <x v="5"/>
    <x v="0"/>
    <x v="42"/>
    <x v="8"/>
    <x v="47"/>
  </r>
  <r>
    <x v="1776"/>
    <x v="3"/>
    <x v="3"/>
    <x v="13"/>
    <x v="20"/>
    <x v="16"/>
    <x v="22"/>
    <x v="0"/>
    <x v="14"/>
    <x v="26"/>
    <x v="19"/>
    <x v="17"/>
    <x v="28"/>
    <x v="256"/>
  </r>
  <r>
    <x v="1665"/>
    <x v="3"/>
    <x v="3"/>
    <x v="25"/>
    <x v="21"/>
    <x v="19"/>
    <x v="28"/>
    <x v="8"/>
    <x v="15"/>
    <x v="32"/>
    <x v="21"/>
    <x v="31"/>
    <x v="3"/>
    <x v="216"/>
  </r>
  <r>
    <x v="1777"/>
    <x v="3"/>
    <x v="3"/>
    <x v="15"/>
    <x v="21"/>
    <x v="20"/>
    <x v="19"/>
    <x v="28"/>
    <x v="26"/>
    <x v="20"/>
    <x v="2"/>
    <x v="17"/>
    <x v="39"/>
    <x v="85"/>
  </r>
  <r>
    <x v="1778"/>
    <x v="3"/>
    <x v="3"/>
    <x v="6"/>
    <x v="20"/>
    <x v="16"/>
    <x v="22"/>
    <x v="14"/>
    <x v="8"/>
    <x v="5"/>
    <x v="1"/>
    <x v="9"/>
    <x v="67"/>
    <x v="261"/>
  </r>
  <r>
    <x v="1779"/>
    <x v="3"/>
    <x v="3"/>
    <x v="18"/>
    <x v="20"/>
    <x v="10"/>
    <x v="0"/>
    <x v="11"/>
    <x v="12"/>
    <x v="6"/>
    <x v="24"/>
    <x v="39"/>
    <x v="1"/>
    <x v="84"/>
  </r>
  <r>
    <x v="1780"/>
    <x v="3"/>
    <x v="3"/>
    <x v="12"/>
    <x v="2"/>
    <x v="30"/>
    <x v="28"/>
    <x v="6"/>
    <x v="32"/>
    <x v="32"/>
    <x v="42"/>
    <x v="57"/>
    <x v="10"/>
    <x v="270"/>
  </r>
  <r>
    <x v="1781"/>
    <x v="3"/>
    <x v="3"/>
    <x v="1"/>
    <x v="23"/>
    <x v="1"/>
    <x v="46"/>
    <x v="6"/>
    <x v="11"/>
    <x v="18"/>
    <x v="21"/>
    <x v="8"/>
    <x v="30"/>
    <x v="87"/>
  </r>
  <r>
    <x v="1782"/>
    <x v="3"/>
    <x v="3"/>
    <x v="12"/>
    <x v="10"/>
    <x v="0"/>
    <x v="42"/>
    <x v="49"/>
    <x v="1"/>
    <x v="24"/>
    <x v="20"/>
    <x v="9"/>
    <x v="27"/>
    <x v="275"/>
  </r>
  <r>
    <x v="1783"/>
    <x v="3"/>
    <x v="3"/>
    <x v="12"/>
    <x v="23"/>
    <x v="20"/>
    <x v="0"/>
    <x v="9"/>
    <x v="0"/>
    <x v="9"/>
    <x v="16"/>
    <x v="4"/>
    <x v="20"/>
    <x v="212"/>
  </r>
  <r>
    <x v="1784"/>
    <x v="3"/>
    <x v="3"/>
    <x v="5"/>
    <x v="10"/>
    <x v="0"/>
    <x v="14"/>
    <x v="14"/>
    <x v="30"/>
    <x v="35"/>
    <x v="25"/>
    <x v="21"/>
    <x v="18"/>
    <x v="104"/>
  </r>
  <r>
    <x v="1785"/>
    <x v="3"/>
    <x v="3"/>
    <x v="15"/>
    <x v="23"/>
    <x v="8"/>
    <x v="32"/>
    <x v="24"/>
    <x v="33"/>
    <x v="10"/>
    <x v="1"/>
    <x v="41"/>
    <x v="1"/>
    <x v="209"/>
  </r>
  <r>
    <x v="1786"/>
    <x v="3"/>
    <x v="3"/>
    <x v="19"/>
    <x v="2"/>
    <x v="27"/>
    <x v="6"/>
    <x v="10"/>
    <x v="7"/>
    <x v="6"/>
    <x v="10"/>
    <x v="40"/>
    <x v="12"/>
    <x v="86"/>
  </r>
  <r>
    <x v="1787"/>
    <x v="3"/>
    <x v="3"/>
    <x v="18"/>
    <x v="20"/>
    <x v="19"/>
    <x v="26"/>
    <x v="45"/>
    <x v="28"/>
    <x v="35"/>
    <x v="3"/>
    <x v="21"/>
    <x v="6"/>
    <x v="88"/>
  </r>
  <r>
    <x v="1788"/>
    <x v="3"/>
    <x v="3"/>
    <x v="12"/>
    <x v="10"/>
    <x v="20"/>
    <x v="19"/>
    <x v="6"/>
    <x v="15"/>
    <x v="12"/>
    <x v="3"/>
    <x v="1"/>
    <x v="18"/>
    <x v="89"/>
  </r>
  <r>
    <x v="1789"/>
    <x v="3"/>
    <x v="3"/>
    <x v="7"/>
    <x v="0"/>
    <x v="9"/>
    <x v="5"/>
    <x v="2"/>
    <x v="10"/>
    <x v="0"/>
    <x v="42"/>
    <x v="3"/>
    <x v="42"/>
    <x v="98"/>
  </r>
  <r>
    <x v="1790"/>
    <x v="3"/>
    <x v="3"/>
    <x v="4"/>
    <x v="4"/>
    <x v="13"/>
    <x v="0"/>
    <x v="36"/>
    <x v="4"/>
    <x v="15"/>
    <x v="25"/>
    <x v="4"/>
    <x v="5"/>
    <x v="16"/>
  </r>
  <r>
    <x v="1791"/>
    <x v="3"/>
    <x v="3"/>
    <x v="24"/>
    <x v="10"/>
    <x v="19"/>
    <x v="28"/>
    <x v="9"/>
    <x v="5"/>
    <x v="35"/>
    <x v="14"/>
    <x v="7"/>
    <x v="33"/>
    <x v="207"/>
  </r>
  <r>
    <x v="1792"/>
    <x v="4"/>
    <x v="4"/>
    <x v="19"/>
    <x v="6"/>
    <x v="24"/>
    <x v="10"/>
    <x v="24"/>
    <x v="11"/>
    <x v="29"/>
    <x v="0"/>
    <x v="19"/>
    <x v="36"/>
    <x v="73"/>
  </r>
  <r>
    <x v="1793"/>
    <x v="4"/>
    <x v="4"/>
    <x v="5"/>
    <x v="4"/>
    <x v="8"/>
    <x v="4"/>
    <x v="18"/>
    <x v="32"/>
    <x v="10"/>
    <x v="9"/>
    <x v="32"/>
    <x v="21"/>
    <x v="252"/>
  </r>
  <r>
    <x v="1794"/>
    <x v="4"/>
    <x v="4"/>
    <x v="5"/>
    <x v="9"/>
    <x v="20"/>
    <x v="5"/>
    <x v="33"/>
    <x v="10"/>
    <x v="19"/>
    <x v="42"/>
    <x v="5"/>
    <x v="29"/>
    <x v="86"/>
  </r>
  <r>
    <x v="1795"/>
    <x v="4"/>
    <x v="4"/>
    <x v="3"/>
    <x v="23"/>
    <x v="8"/>
    <x v="3"/>
    <x v="5"/>
    <x v="26"/>
    <x v="7"/>
    <x v="6"/>
    <x v="0"/>
    <x v="6"/>
    <x v="0"/>
  </r>
  <r>
    <x v="1796"/>
    <x v="4"/>
    <x v="4"/>
    <x v="9"/>
    <x v="24"/>
    <x v="8"/>
    <x v="26"/>
    <x v="24"/>
    <x v="1"/>
    <x v="15"/>
    <x v="16"/>
    <x v="21"/>
    <x v="1"/>
    <x v="207"/>
  </r>
  <r>
    <x v="1797"/>
    <x v="4"/>
    <x v="4"/>
    <x v="1"/>
    <x v="4"/>
    <x v="14"/>
    <x v="12"/>
    <x v="29"/>
    <x v="6"/>
    <x v="5"/>
    <x v="2"/>
    <x v="12"/>
    <x v="12"/>
    <x v="54"/>
  </r>
  <r>
    <x v="1798"/>
    <x v="4"/>
    <x v="4"/>
    <x v="11"/>
    <x v="4"/>
    <x v="13"/>
    <x v="1"/>
    <x v="18"/>
    <x v="14"/>
    <x v="20"/>
    <x v="15"/>
    <x v="1"/>
    <x v="42"/>
    <x v="22"/>
  </r>
  <r>
    <x v="1799"/>
    <x v="4"/>
    <x v="4"/>
    <x v="10"/>
    <x v="8"/>
    <x v="13"/>
    <x v="10"/>
    <x v="29"/>
    <x v="0"/>
    <x v="27"/>
    <x v="14"/>
    <x v="27"/>
    <x v="7"/>
    <x v="21"/>
  </r>
  <r>
    <x v="1800"/>
    <x v="4"/>
    <x v="4"/>
    <x v="2"/>
    <x v="4"/>
    <x v="16"/>
    <x v="14"/>
    <x v="2"/>
    <x v="21"/>
    <x v="5"/>
    <x v="10"/>
    <x v="8"/>
    <x v="70"/>
    <x v="86"/>
  </r>
  <r>
    <x v="1801"/>
    <x v="4"/>
    <x v="4"/>
    <x v="19"/>
    <x v="17"/>
    <x v="8"/>
    <x v="19"/>
    <x v="11"/>
    <x v="18"/>
    <x v="20"/>
    <x v="26"/>
    <x v="45"/>
    <x v="18"/>
    <x v="89"/>
  </r>
  <r>
    <x v="1802"/>
    <x v="4"/>
    <x v="4"/>
    <x v="33"/>
    <x v="7"/>
    <x v="5"/>
    <x v="3"/>
    <x v="27"/>
    <x v="13"/>
    <x v="3"/>
    <x v="28"/>
    <x v="7"/>
    <x v="5"/>
    <x v="147"/>
  </r>
  <r>
    <x v="1803"/>
    <x v="4"/>
    <x v="4"/>
    <x v="17"/>
    <x v="26"/>
    <x v="12"/>
    <x v="21"/>
    <x v="15"/>
    <x v="54"/>
    <x v="17"/>
    <x v="24"/>
    <x v="0"/>
    <x v="47"/>
    <x v="203"/>
  </r>
  <r>
    <x v="1804"/>
    <x v="4"/>
    <x v="4"/>
    <x v="4"/>
    <x v="15"/>
    <x v="18"/>
    <x v="5"/>
    <x v="34"/>
    <x v="13"/>
    <x v="16"/>
    <x v="29"/>
    <x v="2"/>
    <x v="3"/>
    <x v="158"/>
  </r>
  <r>
    <x v="1805"/>
    <x v="4"/>
    <x v="4"/>
    <x v="31"/>
    <x v="20"/>
    <x v="36"/>
    <x v="25"/>
    <x v="15"/>
    <x v="1"/>
    <x v="42"/>
    <x v="37"/>
    <x v="36"/>
    <x v="8"/>
    <x v="202"/>
  </r>
  <r>
    <x v="1806"/>
    <x v="4"/>
    <x v="4"/>
    <x v="10"/>
    <x v="21"/>
    <x v="8"/>
    <x v="0"/>
    <x v="12"/>
    <x v="1"/>
    <x v="40"/>
    <x v="10"/>
    <x v="1"/>
    <x v="32"/>
    <x v="166"/>
  </r>
  <r>
    <x v="1807"/>
    <x v="4"/>
    <x v="4"/>
    <x v="3"/>
    <x v="18"/>
    <x v="19"/>
    <x v="4"/>
    <x v="24"/>
    <x v="39"/>
    <x v="5"/>
    <x v="9"/>
    <x v="27"/>
    <x v="22"/>
    <x v="23"/>
  </r>
  <r>
    <x v="1808"/>
    <x v="4"/>
    <x v="4"/>
    <x v="5"/>
    <x v="6"/>
    <x v="11"/>
    <x v="6"/>
    <x v="11"/>
    <x v="8"/>
    <x v="4"/>
    <x v="58"/>
    <x v="10"/>
    <x v="22"/>
    <x v="52"/>
  </r>
  <r>
    <x v="1809"/>
    <x v="4"/>
    <x v="4"/>
    <x v="1"/>
    <x v="2"/>
    <x v="16"/>
    <x v="4"/>
    <x v="6"/>
    <x v="28"/>
    <x v="15"/>
    <x v="19"/>
    <x v="13"/>
    <x v="1"/>
    <x v="255"/>
  </r>
  <r>
    <x v="1810"/>
    <x v="4"/>
    <x v="4"/>
    <x v="18"/>
    <x v="8"/>
    <x v="13"/>
    <x v="0"/>
    <x v="24"/>
    <x v="6"/>
    <x v="12"/>
    <x v="41"/>
    <x v="12"/>
    <x v="19"/>
    <x v="16"/>
  </r>
  <r>
    <x v="1811"/>
    <x v="4"/>
    <x v="4"/>
    <x v="16"/>
    <x v="21"/>
    <x v="7"/>
    <x v="14"/>
    <x v="33"/>
    <x v="12"/>
    <x v="29"/>
    <x v="9"/>
    <x v="14"/>
    <x v="8"/>
    <x v="77"/>
  </r>
  <r>
    <x v="1812"/>
    <x v="4"/>
    <x v="4"/>
    <x v="9"/>
    <x v="8"/>
    <x v="16"/>
    <x v="25"/>
    <x v="3"/>
    <x v="25"/>
    <x v="1"/>
    <x v="1"/>
    <x v="1"/>
    <x v="21"/>
    <x v="18"/>
  </r>
  <r>
    <x v="1813"/>
    <x v="4"/>
    <x v="4"/>
    <x v="13"/>
    <x v="20"/>
    <x v="15"/>
    <x v="19"/>
    <x v="16"/>
    <x v="24"/>
    <x v="44"/>
    <x v="10"/>
    <x v="4"/>
    <x v="26"/>
    <x v="18"/>
  </r>
  <r>
    <x v="1814"/>
    <x v="4"/>
    <x v="4"/>
    <x v="16"/>
    <x v="6"/>
    <x v="19"/>
    <x v="6"/>
    <x v="3"/>
    <x v="8"/>
    <x v="15"/>
    <x v="3"/>
    <x v="20"/>
    <x v="26"/>
    <x v="82"/>
  </r>
  <r>
    <x v="1815"/>
    <x v="4"/>
    <x v="4"/>
    <x v="17"/>
    <x v="7"/>
    <x v="30"/>
    <x v="0"/>
    <x v="45"/>
    <x v="30"/>
    <x v="18"/>
    <x v="16"/>
    <x v="27"/>
    <x v="57"/>
    <x v="78"/>
  </r>
  <r>
    <x v="1816"/>
    <x v="4"/>
    <x v="4"/>
    <x v="6"/>
    <x v="17"/>
    <x v="15"/>
    <x v="11"/>
    <x v="29"/>
    <x v="26"/>
    <x v="24"/>
    <x v="3"/>
    <x v="11"/>
    <x v="18"/>
    <x v="15"/>
  </r>
  <r>
    <x v="1817"/>
    <x v="4"/>
    <x v="4"/>
    <x v="16"/>
    <x v="18"/>
    <x v="10"/>
    <x v="11"/>
    <x v="14"/>
    <x v="4"/>
    <x v="9"/>
    <x v="9"/>
    <x v="15"/>
    <x v="16"/>
    <x v="86"/>
  </r>
  <r>
    <x v="1736"/>
    <x v="4"/>
    <x v="4"/>
    <x v="1"/>
    <x v="11"/>
    <x v="9"/>
    <x v="5"/>
    <x v="28"/>
    <x v="24"/>
    <x v="0"/>
    <x v="42"/>
    <x v="4"/>
    <x v="64"/>
    <x v="87"/>
  </r>
  <r>
    <x v="1818"/>
    <x v="4"/>
    <x v="4"/>
    <x v="28"/>
    <x v="11"/>
    <x v="2"/>
    <x v="28"/>
    <x v="5"/>
    <x v="13"/>
    <x v="24"/>
    <x v="4"/>
    <x v="32"/>
    <x v="27"/>
    <x v="90"/>
  </r>
  <r>
    <x v="1819"/>
    <x v="4"/>
    <x v="4"/>
    <x v="12"/>
    <x v="27"/>
    <x v="14"/>
    <x v="9"/>
    <x v="5"/>
    <x v="11"/>
    <x v="18"/>
    <x v="7"/>
    <x v="7"/>
    <x v="7"/>
    <x v="105"/>
  </r>
  <r>
    <x v="1820"/>
    <x v="4"/>
    <x v="4"/>
    <x v="15"/>
    <x v="6"/>
    <x v="10"/>
    <x v="11"/>
    <x v="34"/>
    <x v="15"/>
    <x v="12"/>
    <x v="44"/>
    <x v="25"/>
    <x v="26"/>
    <x v="207"/>
  </r>
  <r>
    <x v="1821"/>
    <x v="4"/>
    <x v="4"/>
    <x v="7"/>
    <x v="0"/>
    <x v="8"/>
    <x v="6"/>
    <x v="14"/>
    <x v="6"/>
    <x v="10"/>
    <x v="9"/>
    <x v="35"/>
    <x v="42"/>
    <x v="83"/>
  </r>
  <r>
    <x v="1822"/>
    <x v="4"/>
    <x v="4"/>
    <x v="3"/>
    <x v="11"/>
    <x v="16"/>
    <x v="6"/>
    <x v="2"/>
    <x v="28"/>
    <x v="10"/>
    <x v="10"/>
    <x v="23"/>
    <x v="10"/>
    <x v="218"/>
  </r>
  <r>
    <x v="1823"/>
    <x v="4"/>
    <x v="4"/>
    <x v="19"/>
    <x v="21"/>
    <x v="0"/>
    <x v="22"/>
    <x v="8"/>
    <x v="20"/>
    <x v="37"/>
    <x v="0"/>
    <x v="27"/>
    <x v="13"/>
    <x v="207"/>
  </r>
  <r>
    <x v="1824"/>
    <x v="4"/>
    <x v="4"/>
    <x v="5"/>
    <x v="1"/>
    <x v="24"/>
    <x v="4"/>
    <x v="38"/>
    <x v="27"/>
    <x v="18"/>
    <x v="5"/>
    <x v="4"/>
    <x v="48"/>
    <x v="1"/>
  </r>
  <r>
    <x v="1825"/>
    <x v="4"/>
    <x v="4"/>
    <x v="6"/>
    <x v="7"/>
    <x v="20"/>
    <x v="14"/>
    <x v="8"/>
    <x v="8"/>
    <x v="1"/>
    <x v="15"/>
    <x v="23"/>
    <x v="26"/>
    <x v="6"/>
  </r>
  <r>
    <x v="1826"/>
    <x v="4"/>
    <x v="4"/>
    <x v="12"/>
    <x v="1"/>
    <x v="20"/>
    <x v="5"/>
    <x v="26"/>
    <x v="10"/>
    <x v="9"/>
    <x v="34"/>
    <x v="23"/>
    <x v="17"/>
    <x v="16"/>
  </r>
  <r>
    <x v="1827"/>
    <x v="4"/>
    <x v="4"/>
    <x v="6"/>
    <x v="7"/>
    <x v="20"/>
    <x v="18"/>
    <x v="34"/>
    <x v="28"/>
    <x v="10"/>
    <x v="50"/>
    <x v="2"/>
    <x v="26"/>
    <x v="83"/>
  </r>
  <r>
    <x v="1828"/>
    <x v="4"/>
    <x v="4"/>
    <x v="6"/>
    <x v="5"/>
    <x v="17"/>
    <x v="10"/>
    <x v="3"/>
    <x v="7"/>
    <x v="6"/>
    <x v="44"/>
    <x v="13"/>
    <x v="7"/>
    <x v="12"/>
  </r>
  <r>
    <x v="1720"/>
    <x v="4"/>
    <x v="4"/>
    <x v="12"/>
    <x v="8"/>
    <x v="9"/>
    <x v="13"/>
    <x v="12"/>
    <x v="36"/>
    <x v="7"/>
    <x v="4"/>
    <x v="33"/>
    <x v="29"/>
    <x v="85"/>
  </r>
  <r>
    <x v="1829"/>
    <x v="4"/>
    <x v="4"/>
    <x v="19"/>
    <x v="3"/>
    <x v="26"/>
    <x v="22"/>
    <x v="10"/>
    <x v="15"/>
    <x v="10"/>
    <x v="14"/>
    <x v="27"/>
    <x v="32"/>
    <x v="245"/>
  </r>
  <r>
    <x v="1830"/>
    <x v="4"/>
    <x v="4"/>
    <x v="7"/>
    <x v="17"/>
    <x v="5"/>
    <x v="7"/>
    <x v="14"/>
    <x v="11"/>
    <x v="35"/>
    <x v="3"/>
    <x v="26"/>
    <x v="57"/>
    <x v="32"/>
  </r>
  <r>
    <x v="1831"/>
    <x v="4"/>
    <x v="4"/>
    <x v="5"/>
    <x v="28"/>
    <x v="20"/>
    <x v="11"/>
    <x v="5"/>
    <x v="25"/>
    <x v="24"/>
    <x v="21"/>
    <x v="5"/>
    <x v="8"/>
    <x v="252"/>
  </r>
  <r>
    <x v="1832"/>
    <x v="4"/>
    <x v="4"/>
    <x v="19"/>
    <x v="16"/>
    <x v="24"/>
    <x v="4"/>
    <x v="19"/>
    <x v="30"/>
    <x v="6"/>
    <x v="3"/>
    <x v="42"/>
    <x v="39"/>
    <x v="95"/>
  </r>
  <r>
    <x v="1833"/>
    <x v="4"/>
    <x v="4"/>
    <x v="16"/>
    <x v="20"/>
    <x v="4"/>
    <x v="19"/>
    <x v="6"/>
    <x v="12"/>
    <x v="10"/>
    <x v="16"/>
    <x v="2"/>
    <x v="2"/>
    <x v="218"/>
  </r>
  <r>
    <x v="1834"/>
    <x v="4"/>
    <x v="4"/>
    <x v="0"/>
    <x v="21"/>
    <x v="15"/>
    <x v="0"/>
    <x v="34"/>
    <x v="28"/>
    <x v="10"/>
    <x v="28"/>
    <x v="40"/>
    <x v="33"/>
    <x v="84"/>
  </r>
  <r>
    <x v="1835"/>
    <x v="4"/>
    <x v="4"/>
    <x v="6"/>
    <x v="1"/>
    <x v="24"/>
    <x v="22"/>
    <x v="28"/>
    <x v="10"/>
    <x v="10"/>
    <x v="44"/>
    <x v="42"/>
    <x v="15"/>
    <x v="117"/>
  </r>
  <r>
    <x v="1836"/>
    <x v="4"/>
    <x v="4"/>
    <x v="10"/>
    <x v="7"/>
    <x v="3"/>
    <x v="3"/>
    <x v="10"/>
    <x v="11"/>
    <x v="29"/>
    <x v="0"/>
    <x v="27"/>
    <x v="42"/>
    <x v="9"/>
  </r>
  <r>
    <x v="1837"/>
    <x v="4"/>
    <x v="4"/>
    <x v="9"/>
    <x v="4"/>
    <x v="9"/>
    <x v="6"/>
    <x v="11"/>
    <x v="6"/>
    <x v="10"/>
    <x v="14"/>
    <x v="13"/>
    <x v="2"/>
    <x v="15"/>
  </r>
  <r>
    <x v="1665"/>
    <x v="4"/>
    <x v="4"/>
    <x v="19"/>
    <x v="21"/>
    <x v="3"/>
    <x v="13"/>
    <x v="8"/>
    <x v="26"/>
    <x v="23"/>
    <x v="7"/>
    <x v="10"/>
    <x v="32"/>
    <x v="18"/>
  </r>
  <r>
    <x v="1838"/>
    <x v="4"/>
    <x v="4"/>
    <x v="13"/>
    <x v="6"/>
    <x v="8"/>
    <x v="4"/>
    <x v="1"/>
    <x v="8"/>
    <x v="3"/>
    <x v="0"/>
    <x v="26"/>
    <x v="44"/>
    <x v="93"/>
  </r>
  <r>
    <x v="1839"/>
    <x v="4"/>
    <x v="4"/>
    <x v="7"/>
    <x v="20"/>
    <x v="5"/>
    <x v="15"/>
    <x v="3"/>
    <x v="13"/>
    <x v="13"/>
    <x v="12"/>
    <x v="20"/>
    <x v="0"/>
    <x v="75"/>
  </r>
  <r>
    <x v="1840"/>
    <x v="5"/>
    <x v="5"/>
    <x v="1"/>
    <x v="19"/>
    <x v="27"/>
    <x v="9"/>
    <x v="28"/>
    <x v="41"/>
    <x v="37"/>
    <x v="34"/>
    <x v="48"/>
    <x v="42"/>
    <x v="270"/>
  </r>
  <r>
    <x v="1841"/>
    <x v="5"/>
    <x v="5"/>
    <x v="26"/>
    <x v="27"/>
    <x v="8"/>
    <x v="44"/>
    <x v="28"/>
    <x v="31"/>
    <x v="12"/>
    <x v="42"/>
    <x v="20"/>
    <x v="7"/>
    <x v="274"/>
  </r>
  <r>
    <x v="1842"/>
    <x v="5"/>
    <x v="5"/>
    <x v="28"/>
    <x v="23"/>
    <x v="9"/>
    <x v="22"/>
    <x v="46"/>
    <x v="6"/>
    <x v="18"/>
    <x v="26"/>
    <x v="10"/>
    <x v="27"/>
    <x v="276"/>
  </r>
  <r>
    <x v="1843"/>
    <x v="5"/>
    <x v="5"/>
    <x v="35"/>
    <x v="11"/>
    <x v="45"/>
    <x v="9"/>
    <x v="13"/>
    <x v="6"/>
    <x v="37"/>
    <x v="19"/>
    <x v="12"/>
    <x v="76"/>
    <x v="277"/>
  </r>
  <r>
    <x v="1844"/>
    <x v="5"/>
    <x v="5"/>
    <x v="1"/>
    <x v="21"/>
    <x v="9"/>
    <x v="26"/>
    <x v="34"/>
    <x v="41"/>
    <x v="13"/>
    <x v="13"/>
    <x v="1"/>
    <x v="45"/>
    <x v="278"/>
  </r>
  <r>
    <x v="1845"/>
    <x v="5"/>
    <x v="5"/>
    <x v="35"/>
    <x v="27"/>
    <x v="26"/>
    <x v="9"/>
    <x v="45"/>
    <x v="28"/>
    <x v="44"/>
    <x v="1"/>
    <x v="39"/>
    <x v="15"/>
    <x v="279"/>
  </r>
  <r>
    <x v="1846"/>
    <x v="5"/>
    <x v="5"/>
    <x v="18"/>
    <x v="43"/>
    <x v="4"/>
    <x v="29"/>
    <x v="2"/>
    <x v="24"/>
    <x v="29"/>
    <x v="4"/>
    <x v="50"/>
    <x v="13"/>
    <x v="257"/>
  </r>
  <r>
    <x v="1847"/>
    <x v="5"/>
    <x v="5"/>
    <x v="18"/>
    <x v="34"/>
    <x v="46"/>
    <x v="14"/>
    <x v="38"/>
    <x v="41"/>
    <x v="7"/>
    <x v="42"/>
    <x v="1"/>
    <x v="1"/>
    <x v="280"/>
  </r>
  <r>
    <x v="1552"/>
    <x v="5"/>
    <x v="5"/>
    <x v="28"/>
    <x v="18"/>
    <x v="4"/>
    <x v="27"/>
    <x v="24"/>
    <x v="14"/>
    <x v="6"/>
    <x v="34"/>
    <x v="45"/>
    <x v="21"/>
    <x v="275"/>
  </r>
  <r>
    <x v="1848"/>
    <x v="5"/>
    <x v="5"/>
    <x v="19"/>
    <x v="28"/>
    <x v="0"/>
    <x v="29"/>
    <x v="28"/>
    <x v="25"/>
    <x v="7"/>
    <x v="20"/>
    <x v="29"/>
    <x v="12"/>
    <x v="258"/>
  </r>
  <r>
    <x v="1849"/>
    <x v="5"/>
    <x v="5"/>
    <x v="18"/>
    <x v="11"/>
    <x v="1"/>
    <x v="28"/>
    <x v="17"/>
    <x v="39"/>
    <x v="56"/>
    <x v="11"/>
    <x v="33"/>
    <x v="15"/>
    <x v="278"/>
  </r>
  <r>
    <x v="1850"/>
    <x v="5"/>
    <x v="5"/>
    <x v="15"/>
    <x v="4"/>
    <x v="4"/>
    <x v="28"/>
    <x v="33"/>
    <x v="39"/>
    <x v="17"/>
    <x v="17"/>
    <x v="64"/>
    <x v="17"/>
    <x v="279"/>
  </r>
  <r>
    <x v="1851"/>
    <x v="5"/>
    <x v="5"/>
    <x v="28"/>
    <x v="28"/>
    <x v="4"/>
    <x v="29"/>
    <x v="51"/>
    <x v="36"/>
    <x v="4"/>
    <x v="13"/>
    <x v="39"/>
    <x v="30"/>
    <x v="273"/>
  </r>
  <r>
    <x v="1852"/>
    <x v="5"/>
    <x v="5"/>
    <x v="12"/>
    <x v="28"/>
    <x v="7"/>
    <x v="46"/>
    <x v="28"/>
    <x v="33"/>
    <x v="30"/>
    <x v="26"/>
    <x v="57"/>
    <x v="18"/>
    <x v="217"/>
  </r>
  <r>
    <x v="1853"/>
    <x v="5"/>
    <x v="5"/>
    <x v="20"/>
    <x v="13"/>
    <x v="13"/>
    <x v="26"/>
    <x v="13"/>
    <x v="30"/>
    <x v="10"/>
    <x v="9"/>
    <x v="41"/>
    <x v="39"/>
    <x v="209"/>
  </r>
  <r>
    <x v="1854"/>
    <x v="5"/>
    <x v="5"/>
    <x v="1"/>
    <x v="10"/>
    <x v="26"/>
    <x v="47"/>
    <x v="0"/>
    <x v="20"/>
    <x v="33"/>
    <x v="25"/>
    <x v="65"/>
    <x v="15"/>
    <x v="281"/>
  </r>
  <r>
    <x v="1855"/>
    <x v="5"/>
    <x v="5"/>
    <x v="24"/>
    <x v="13"/>
    <x v="27"/>
    <x v="32"/>
    <x v="9"/>
    <x v="47"/>
    <x v="46"/>
    <x v="50"/>
    <x v="40"/>
    <x v="36"/>
    <x v="282"/>
  </r>
  <r>
    <x v="1856"/>
    <x v="5"/>
    <x v="5"/>
    <x v="18"/>
    <x v="10"/>
    <x v="30"/>
    <x v="28"/>
    <x v="9"/>
    <x v="31"/>
    <x v="19"/>
    <x v="11"/>
    <x v="45"/>
    <x v="29"/>
    <x v="267"/>
  </r>
  <r>
    <x v="1857"/>
    <x v="5"/>
    <x v="5"/>
    <x v="35"/>
    <x v="13"/>
    <x v="43"/>
    <x v="28"/>
    <x v="34"/>
    <x v="41"/>
    <x v="26"/>
    <x v="34"/>
    <x v="29"/>
    <x v="21"/>
    <x v="283"/>
  </r>
  <r>
    <x v="1858"/>
    <x v="5"/>
    <x v="5"/>
    <x v="20"/>
    <x v="27"/>
    <x v="14"/>
    <x v="7"/>
    <x v="17"/>
    <x v="36"/>
    <x v="35"/>
    <x v="2"/>
    <x v="45"/>
    <x v="3"/>
    <x v="269"/>
  </r>
  <r>
    <x v="1859"/>
    <x v="5"/>
    <x v="5"/>
    <x v="26"/>
    <x v="28"/>
    <x v="24"/>
    <x v="27"/>
    <x v="0"/>
    <x v="11"/>
    <x v="55"/>
    <x v="31"/>
    <x v="15"/>
    <x v="41"/>
    <x v="284"/>
  </r>
  <r>
    <x v="1860"/>
    <x v="5"/>
    <x v="5"/>
    <x v="24"/>
    <x v="11"/>
    <x v="1"/>
    <x v="44"/>
    <x v="28"/>
    <x v="30"/>
    <x v="37"/>
    <x v="23"/>
    <x v="11"/>
    <x v="1"/>
    <x v="101"/>
  </r>
  <r>
    <x v="1861"/>
    <x v="5"/>
    <x v="5"/>
    <x v="20"/>
    <x v="10"/>
    <x v="8"/>
    <x v="11"/>
    <x v="24"/>
    <x v="55"/>
    <x v="27"/>
    <x v="10"/>
    <x v="13"/>
    <x v="37"/>
    <x v="123"/>
  </r>
  <r>
    <x v="1862"/>
    <x v="5"/>
    <x v="5"/>
    <x v="26"/>
    <x v="23"/>
    <x v="7"/>
    <x v="9"/>
    <x v="9"/>
    <x v="25"/>
    <x v="13"/>
    <x v="44"/>
    <x v="39"/>
    <x v="1"/>
    <x v="285"/>
  </r>
  <r>
    <x v="1863"/>
    <x v="5"/>
    <x v="5"/>
    <x v="28"/>
    <x v="43"/>
    <x v="7"/>
    <x v="30"/>
    <x v="34"/>
    <x v="20"/>
    <x v="32"/>
    <x v="17"/>
    <x v="66"/>
    <x v="12"/>
    <x v="286"/>
  </r>
  <r>
    <x v="1864"/>
    <x v="5"/>
    <x v="5"/>
    <x v="25"/>
    <x v="13"/>
    <x v="30"/>
    <x v="9"/>
    <x v="24"/>
    <x v="21"/>
    <x v="27"/>
    <x v="9"/>
    <x v="28"/>
    <x v="12"/>
    <x v="269"/>
  </r>
  <r>
    <x v="1865"/>
    <x v="5"/>
    <x v="5"/>
    <x v="28"/>
    <x v="13"/>
    <x v="30"/>
    <x v="29"/>
    <x v="33"/>
    <x v="6"/>
    <x v="60"/>
    <x v="11"/>
    <x v="57"/>
    <x v="12"/>
    <x v="283"/>
  </r>
  <r>
    <x v="1866"/>
    <x v="5"/>
    <x v="5"/>
    <x v="20"/>
    <x v="30"/>
    <x v="43"/>
    <x v="26"/>
    <x v="13"/>
    <x v="25"/>
    <x v="4"/>
    <x v="4"/>
    <x v="39"/>
    <x v="38"/>
    <x v="268"/>
  </r>
  <r>
    <x v="1867"/>
    <x v="5"/>
    <x v="5"/>
    <x v="37"/>
    <x v="35"/>
    <x v="30"/>
    <x v="31"/>
    <x v="34"/>
    <x v="7"/>
    <x v="30"/>
    <x v="44"/>
    <x v="2"/>
    <x v="35"/>
    <x v="287"/>
  </r>
  <r>
    <x v="1868"/>
    <x v="5"/>
    <x v="5"/>
    <x v="18"/>
    <x v="30"/>
    <x v="16"/>
    <x v="27"/>
    <x v="28"/>
    <x v="6"/>
    <x v="16"/>
    <x v="56"/>
    <x v="48"/>
    <x v="51"/>
    <x v="288"/>
  </r>
  <r>
    <x v="1869"/>
    <x v="5"/>
    <x v="5"/>
    <x v="15"/>
    <x v="28"/>
    <x v="9"/>
    <x v="27"/>
    <x v="33"/>
    <x v="21"/>
    <x v="18"/>
    <x v="9"/>
    <x v="8"/>
    <x v="21"/>
    <x v="257"/>
  </r>
  <r>
    <x v="1870"/>
    <x v="5"/>
    <x v="5"/>
    <x v="24"/>
    <x v="43"/>
    <x v="8"/>
    <x v="26"/>
    <x v="33"/>
    <x v="5"/>
    <x v="35"/>
    <x v="34"/>
    <x v="40"/>
    <x v="20"/>
    <x v="266"/>
  </r>
  <r>
    <x v="1871"/>
    <x v="5"/>
    <x v="5"/>
    <x v="25"/>
    <x v="6"/>
    <x v="40"/>
    <x v="29"/>
    <x v="44"/>
    <x v="36"/>
    <x v="33"/>
    <x v="34"/>
    <x v="29"/>
    <x v="27"/>
    <x v="289"/>
  </r>
  <r>
    <x v="1872"/>
    <x v="5"/>
    <x v="5"/>
    <x v="24"/>
    <x v="33"/>
    <x v="20"/>
    <x v="14"/>
    <x v="2"/>
    <x v="28"/>
    <x v="32"/>
    <x v="50"/>
    <x v="52"/>
    <x v="11"/>
    <x v="290"/>
  </r>
  <r>
    <x v="1873"/>
    <x v="5"/>
    <x v="5"/>
    <x v="18"/>
    <x v="18"/>
    <x v="9"/>
    <x v="7"/>
    <x v="46"/>
    <x v="39"/>
    <x v="20"/>
    <x v="42"/>
    <x v="8"/>
    <x v="11"/>
    <x v="285"/>
  </r>
  <r>
    <x v="1874"/>
    <x v="5"/>
    <x v="5"/>
    <x v="38"/>
    <x v="10"/>
    <x v="0"/>
    <x v="22"/>
    <x v="40"/>
    <x v="5"/>
    <x v="13"/>
    <x v="1"/>
    <x v="35"/>
    <x v="32"/>
    <x v="291"/>
  </r>
  <r>
    <x v="1875"/>
    <x v="5"/>
    <x v="5"/>
    <x v="37"/>
    <x v="13"/>
    <x v="46"/>
    <x v="42"/>
    <x v="0"/>
    <x v="5"/>
    <x v="6"/>
    <x v="0"/>
    <x v="27"/>
    <x v="32"/>
    <x v="111"/>
  </r>
  <r>
    <x v="1876"/>
    <x v="5"/>
    <x v="5"/>
    <x v="35"/>
    <x v="20"/>
    <x v="1"/>
    <x v="48"/>
    <x v="35"/>
    <x v="21"/>
    <x v="56"/>
    <x v="11"/>
    <x v="20"/>
    <x v="27"/>
    <x v="292"/>
  </r>
  <r>
    <x v="1877"/>
    <x v="5"/>
    <x v="5"/>
    <x v="24"/>
    <x v="30"/>
    <x v="41"/>
    <x v="46"/>
    <x v="34"/>
    <x v="25"/>
    <x v="46"/>
    <x v="11"/>
    <x v="41"/>
    <x v="67"/>
    <x v="293"/>
  </r>
  <r>
    <x v="1535"/>
    <x v="5"/>
    <x v="5"/>
    <x v="26"/>
    <x v="23"/>
    <x v="26"/>
    <x v="45"/>
    <x v="34"/>
    <x v="28"/>
    <x v="33"/>
    <x v="20"/>
    <x v="5"/>
    <x v="16"/>
    <x v="269"/>
  </r>
  <r>
    <x v="1878"/>
    <x v="5"/>
    <x v="5"/>
    <x v="1"/>
    <x v="18"/>
    <x v="44"/>
    <x v="22"/>
    <x v="44"/>
    <x v="31"/>
    <x v="18"/>
    <x v="23"/>
    <x v="41"/>
    <x v="29"/>
    <x v="294"/>
  </r>
  <r>
    <x v="1682"/>
    <x v="5"/>
    <x v="5"/>
    <x v="24"/>
    <x v="4"/>
    <x v="0"/>
    <x v="26"/>
    <x v="38"/>
    <x v="39"/>
    <x v="29"/>
    <x v="50"/>
    <x v="40"/>
    <x v="30"/>
    <x v="274"/>
  </r>
  <r>
    <x v="1879"/>
    <x v="5"/>
    <x v="5"/>
    <x v="28"/>
    <x v="28"/>
    <x v="0"/>
    <x v="10"/>
    <x v="35"/>
    <x v="14"/>
    <x v="4"/>
    <x v="16"/>
    <x v="3"/>
    <x v="17"/>
    <x v="119"/>
  </r>
  <r>
    <x v="1880"/>
    <x v="5"/>
    <x v="5"/>
    <x v="26"/>
    <x v="10"/>
    <x v="43"/>
    <x v="42"/>
    <x v="36"/>
    <x v="31"/>
    <x v="24"/>
    <x v="31"/>
    <x v="21"/>
    <x v="3"/>
    <x v="290"/>
  </r>
  <r>
    <x v="1881"/>
    <x v="5"/>
    <x v="5"/>
    <x v="20"/>
    <x v="13"/>
    <x v="24"/>
    <x v="28"/>
    <x v="18"/>
    <x v="25"/>
    <x v="20"/>
    <x v="19"/>
    <x v="33"/>
    <x v="16"/>
    <x v="272"/>
  </r>
  <r>
    <x v="1882"/>
    <x v="5"/>
    <x v="5"/>
    <x v="25"/>
    <x v="23"/>
    <x v="27"/>
    <x v="7"/>
    <x v="36"/>
    <x v="20"/>
    <x v="27"/>
    <x v="23"/>
    <x v="28"/>
    <x v="39"/>
    <x v="263"/>
  </r>
  <r>
    <x v="1675"/>
    <x v="5"/>
    <x v="5"/>
    <x v="27"/>
    <x v="18"/>
    <x v="40"/>
    <x v="19"/>
    <x v="28"/>
    <x v="10"/>
    <x v="9"/>
    <x v="34"/>
    <x v="39"/>
    <x v="70"/>
    <x v="274"/>
  </r>
  <r>
    <x v="1883"/>
    <x v="5"/>
    <x v="5"/>
    <x v="1"/>
    <x v="30"/>
    <x v="27"/>
    <x v="42"/>
    <x v="18"/>
    <x v="30"/>
    <x v="12"/>
    <x v="2"/>
    <x v="10"/>
    <x v="0"/>
    <x v="121"/>
  </r>
  <r>
    <x v="1884"/>
    <x v="5"/>
    <x v="5"/>
    <x v="24"/>
    <x v="30"/>
    <x v="0"/>
    <x v="12"/>
    <x v="17"/>
    <x v="5"/>
    <x v="10"/>
    <x v="1"/>
    <x v="29"/>
    <x v="37"/>
    <x v="119"/>
  </r>
  <r>
    <x v="1885"/>
    <x v="5"/>
    <x v="5"/>
    <x v="39"/>
    <x v="27"/>
    <x v="1"/>
    <x v="32"/>
    <x v="35"/>
    <x v="30"/>
    <x v="46"/>
    <x v="19"/>
    <x v="2"/>
    <x v="37"/>
    <x v="263"/>
  </r>
  <r>
    <x v="1886"/>
    <x v="5"/>
    <x v="5"/>
    <x v="13"/>
    <x v="13"/>
    <x v="16"/>
    <x v="44"/>
    <x v="10"/>
    <x v="11"/>
    <x v="19"/>
    <x v="7"/>
    <x v="8"/>
    <x v="28"/>
    <x v="48"/>
  </r>
  <r>
    <x v="1887"/>
    <x v="5"/>
    <x v="5"/>
    <x v="9"/>
    <x v="8"/>
    <x v="8"/>
    <x v="19"/>
    <x v="3"/>
    <x v="24"/>
    <x v="12"/>
    <x v="8"/>
    <x v="0"/>
    <x v="42"/>
    <x v="19"/>
  </r>
  <r>
    <x v="1888"/>
    <x v="5"/>
    <x v="5"/>
    <x v="17"/>
    <x v="23"/>
    <x v="24"/>
    <x v="2"/>
    <x v="24"/>
    <x v="7"/>
    <x v="20"/>
    <x v="37"/>
    <x v="39"/>
    <x v="0"/>
    <x v="95"/>
  </r>
  <r>
    <x v="1889"/>
    <x v="5"/>
    <x v="5"/>
    <x v="5"/>
    <x v="9"/>
    <x v="15"/>
    <x v="22"/>
    <x v="9"/>
    <x v="7"/>
    <x v="0"/>
    <x v="16"/>
    <x v="62"/>
    <x v="22"/>
    <x v="47"/>
  </r>
  <r>
    <x v="1890"/>
    <x v="5"/>
    <x v="5"/>
    <x v="7"/>
    <x v="4"/>
    <x v="8"/>
    <x v="4"/>
    <x v="8"/>
    <x v="15"/>
    <x v="18"/>
    <x v="3"/>
    <x v="39"/>
    <x v="16"/>
    <x v="18"/>
  </r>
  <r>
    <x v="1891"/>
    <x v="5"/>
    <x v="5"/>
    <x v="7"/>
    <x v="9"/>
    <x v="16"/>
    <x v="23"/>
    <x v="1"/>
    <x v="11"/>
    <x v="5"/>
    <x v="20"/>
    <x v="34"/>
    <x v="38"/>
    <x v="24"/>
  </r>
  <r>
    <x v="1892"/>
    <x v="5"/>
    <x v="5"/>
    <x v="19"/>
    <x v="3"/>
    <x v="8"/>
    <x v="4"/>
    <x v="3"/>
    <x v="0"/>
    <x v="5"/>
    <x v="55"/>
    <x v="17"/>
    <x v="68"/>
    <x v="220"/>
  </r>
  <r>
    <x v="1893"/>
    <x v="5"/>
    <x v="5"/>
    <x v="3"/>
    <x v="17"/>
    <x v="19"/>
    <x v="10"/>
    <x v="38"/>
    <x v="13"/>
    <x v="8"/>
    <x v="6"/>
    <x v="5"/>
    <x v="20"/>
    <x v="245"/>
  </r>
  <r>
    <x v="1731"/>
    <x v="5"/>
    <x v="5"/>
    <x v="16"/>
    <x v="20"/>
    <x v="3"/>
    <x v="4"/>
    <x v="30"/>
    <x v="33"/>
    <x v="36"/>
    <x v="5"/>
    <x v="2"/>
    <x v="29"/>
    <x v="74"/>
  </r>
  <r>
    <x v="1894"/>
    <x v="5"/>
    <x v="5"/>
    <x v="40"/>
    <x v="18"/>
    <x v="27"/>
    <x v="28"/>
    <x v="14"/>
    <x v="28"/>
    <x v="30"/>
    <x v="44"/>
    <x v="15"/>
    <x v="29"/>
    <x v="295"/>
  </r>
  <r>
    <x v="1696"/>
    <x v="5"/>
    <x v="5"/>
    <x v="39"/>
    <x v="2"/>
    <x v="7"/>
    <x v="32"/>
    <x v="0"/>
    <x v="11"/>
    <x v="61"/>
    <x v="1"/>
    <x v="3"/>
    <x v="48"/>
    <x v="111"/>
  </r>
  <r>
    <x v="1895"/>
    <x v="5"/>
    <x v="5"/>
    <x v="36"/>
    <x v="18"/>
    <x v="8"/>
    <x v="0"/>
    <x v="48"/>
    <x v="25"/>
    <x v="24"/>
    <x v="1"/>
    <x v="0"/>
    <x v="21"/>
    <x v="280"/>
  </r>
  <r>
    <x v="1896"/>
    <x v="5"/>
    <x v="5"/>
    <x v="12"/>
    <x v="28"/>
    <x v="42"/>
    <x v="26"/>
    <x v="18"/>
    <x v="36"/>
    <x v="62"/>
    <x v="42"/>
    <x v="29"/>
    <x v="21"/>
    <x v="296"/>
  </r>
  <r>
    <x v="1897"/>
    <x v="5"/>
    <x v="5"/>
    <x v="20"/>
    <x v="4"/>
    <x v="40"/>
    <x v="28"/>
    <x v="35"/>
    <x v="31"/>
    <x v="18"/>
    <x v="4"/>
    <x v="4"/>
    <x v="18"/>
    <x v="113"/>
  </r>
  <r>
    <x v="1898"/>
    <x v="5"/>
    <x v="5"/>
    <x v="1"/>
    <x v="43"/>
    <x v="7"/>
    <x v="22"/>
    <x v="16"/>
    <x v="30"/>
    <x v="26"/>
    <x v="14"/>
    <x v="28"/>
    <x v="3"/>
    <x v="297"/>
  </r>
  <r>
    <x v="1899"/>
    <x v="5"/>
    <x v="5"/>
    <x v="35"/>
    <x v="27"/>
    <x v="26"/>
    <x v="42"/>
    <x v="28"/>
    <x v="28"/>
    <x v="15"/>
    <x v="42"/>
    <x v="13"/>
    <x v="49"/>
    <x v="277"/>
  </r>
  <r>
    <x v="1900"/>
    <x v="5"/>
    <x v="5"/>
    <x v="20"/>
    <x v="27"/>
    <x v="8"/>
    <x v="46"/>
    <x v="44"/>
    <x v="32"/>
    <x v="8"/>
    <x v="13"/>
    <x v="17"/>
    <x v="25"/>
    <x v="271"/>
  </r>
  <r>
    <x v="1901"/>
    <x v="5"/>
    <x v="5"/>
    <x v="18"/>
    <x v="43"/>
    <x v="41"/>
    <x v="26"/>
    <x v="9"/>
    <x v="21"/>
    <x v="37"/>
    <x v="26"/>
    <x v="44"/>
    <x v="37"/>
    <x v="298"/>
  </r>
  <r>
    <x v="1902"/>
    <x v="5"/>
    <x v="5"/>
    <x v="39"/>
    <x v="19"/>
    <x v="0"/>
    <x v="28"/>
    <x v="9"/>
    <x v="28"/>
    <x v="27"/>
    <x v="26"/>
    <x v="45"/>
    <x v="12"/>
    <x v="299"/>
  </r>
  <r>
    <x v="1903"/>
    <x v="5"/>
    <x v="5"/>
    <x v="20"/>
    <x v="20"/>
    <x v="30"/>
    <x v="28"/>
    <x v="53"/>
    <x v="21"/>
    <x v="26"/>
    <x v="21"/>
    <x v="8"/>
    <x v="28"/>
    <x v="300"/>
  </r>
  <r>
    <x v="1904"/>
    <x v="5"/>
    <x v="5"/>
    <x v="5"/>
    <x v="23"/>
    <x v="40"/>
    <x v="14"/>
    <x v="14"/>
    <x v="56"/>
    <x v="4"/>
    <x v="23"/>
    <x v="54"/>
    <x v="34"/>
    <x v="301"/>
  </r>
  <r>
    <x v="1905"/>
    <x v="5"/>
    <x v="5"/>
    <x v="15"/>
    <x v="27"/>
    <x v="46"/>
    <x v="30"/>
    <x v="13"/>
    <x v="21"/>
    <x v="27"/>
    <x v="19"/>
    <x v="9"/>
    <x v="3"/>
    <x v="300"/>
  </r>
  <r>
    <x v="1906"/>
    <x v="5"/>
    <x v="5"/>
    <x v="36"/>
    <x v="18"/>
    <x v="16"/>
    <x v="42"/>
    <x v="34"/>
    <x v="39"/>
    <x v="56"/>
    <x v="50"/>
    <x v="9"/>
    <x v="34"/>
    <x v="302"/>
  </r>
  <r>
    <x v="1907"/>
    <x v="5"/>
    <x v="5"/>
    <x v="35"/>
    <x v="27"/>
    <x v="30"/>
    <x v="10"/>
    <x v="9"/>
    <x v="53"/>
    <x v="15"/>
    <x v="7"/>
    <x v="42"/>
    <x v="17"/>
    <x v="273"/>
  </r>
  <r>
    <x v="1908"/>
    <x v="5"/>
    <x v="5"/>
    <x v="37"/>
    <x v="20"/>
    <x v="26"/>
    <x v="9"/>
    <x v="33"/>
    <x v="28"/>
    <x v="44"/>
    <x v="7"/>
    <x v="41"/>
    <x v="41"/>
    <x v="303"/>
  </r>
  <r>
    <x v="1909"/>
    <x v="5"/>
    <x v="5"/>
    <x v="5"/>
    <x v="40"/>
    <x v="24"/>
    <x v="28"/>
    <x v="3"/>
    <x v="8"/>
    <x v="32"/>
    <x v="7"/>
    <x v="57"/>
    <x v="17"/>
    <x v="285"/>
  </r>
  <r>
    <x v="1910"/>
    <x v="5"/>
    <x v="5"/>
    <x v="26"/>
    <x v="43"/>
    <x v="43"/>
    <x v="42"/>
    <x v="17"/>
    <x v="53"/>
    <x v="37"/>
    <x v="17"/>
    <x v="13"/>
    <x v="35"/>
    <x v="304"/>
  </r>
  <r>
    <x v="1911"/>
    <x v="5"/>
    <x v="5"/>
    <x v="20"/>
    <x v="18"/>
    <x v="8"/>
    <x v="27"/>
    <x v="9"/>
    <x v="14"/>
    <x v="12"/>
    <x v="57"/>
    <x v="64"/>
    <x v="29"/>
    <x v="289"/>
  </r>
  <r>
    <x v="1912"/>
    <x v="5"/>
    <x v="5"/>
    <x v="1"/>
    <x v="23"/>
    <x v="41"/>
    <x v="30"/>
    <x v="46"/>
    <x v="33"/>
    <x v="35"/>
    <x v="7"/>
    <x v="15"/>
    <x v="21"/>
    <x v="291"/>
  </r>
  <r>
    <x v="1913"/>
    <x v="5"/>
    <x v="5"/>
    <x v="1"/>
    <x v="4"/>
    <x v="26"/>
    <x v="7"/>
    <x v="9"/>
    <x v="35"/>
    <x v="0"/>
    <x v="25"/>
    <x v="12"/>
    <x v="12"/>
    <x v="120"/>
  </r>
  <r>
    <x v="1914"/>
    <x v="5"/>
    <x v="5"/>
    <x v="27"/>
    <x v="0"/>
    <x v="7"/>
    <x v="11"/>
    <x v="36"/>
    <x v="30"/>
    <x v="15"/>
    <x v="7"/>
    <x v="17"/>
    <x v="35"/>
    <x v="265"/>
  </r>
  <r>
    <x v="1915"/>
    <x v="5"/>
    <x v="5"/>
    <x v="25"/>
    <x v="28"/>
    <x v="41"/>
    <x v="26"/>
    <x v="46"/>
    <x v="36"/>
    <x v="27"/>
    <x v="11"/>
    <x v="29"/>
    <x v="21"/>
    <x v="305"/>
  </r>
  <r>
    <x v="1916"/>
    <x v="5"/>
    <x v="5"/>
    <x v="35"/>
    <x v="30"/>
    <x v="1"/>
    <x v="7"/>
    <x v="34"/>
    <x v="25"/>
    <x v="30"/>
    <x v="9"/>
    <x v="0"/>
    <x v="2"/>
    <x v="265"/>
  </r>
  <r>
    <x v="1917"/>
    <x v="5"/>
    <x v="5"/>
    <x v="18"/>
    <x v="11"/>
    <x v="28"/>
    <x v="32"/>
    <x v="17"/>
    <x v="47"/>
    <x v="32"/>
    <x v="2"/>
    <x v="29"/>
    <x v="37"/>
    <x v="306"/>
  </r>
  <r>
    <x v="1918"/>
    <x v="5"/>
    <x v="5"/>
    <x v="28"/>
    <x v="19"/>
    <x v="4"/>
    <x v="28"/>
    <x v="34"/>
    <x v="24"/>
    <x v="37"/>
    <x v="16"/>
    <x v="17"/>
    <x v="34"/>
    <x v="285"/>
  </r>
  <r>
    <x v="1919"/>
    <x v="5"/>
    <x v="5"/>
    <x v="25"/>
    <x v="28"/>
    <x v="15"/>
    <x v="26"/>
    <x v="38"/>
    <x v="10"/>
    <x v="12"/>
    <x v="13"/>
    <x v="62"/>
    <x v="20"/>
    <x v="307"/>
  </r>
  <r>
    <x v="1611"/>
    <x v="5"/>
    <x v="5"/>
    <x v="1"/>
    <x v="21"/>
    <x v="0"/>
    <x v="26"/>
    <x v="24"/>
    <x v="25"/>
    <x v="37"/>
    <x v="23"/>
    <x v="24"/>
    <x v="17"/>
    <x v="112"/>
  </r>
  <r>
    <x v="1920"/>
    <x v="5"/>
    <x v="5"/>
    <x v="27"/>
    <x v="35"/>
    <x v="26"/>
    <x v="22"/>
    <x v="34"/>
    <x v="33"/>
    <x v="29"/>
    <x v="34"/>
    <x v="35"/>
    <x v="51"/>
    <x v="307"/>
  </r>
  <r>
    <x v="1921"/>
    <x v="5"/>
    <x v="5"/>
    <x v="25"/>
    <x v="27"/>
    <x v="43"/>
    <x v="11"/>
    <x v="33"/>
    <x v="24"/>
    <x v="18"/>
    <x v="21"/>
    <x v="31"/>
    <x v="26"/>
    <x v="253"/>
  </r>
  <r>
    <x v="1922"/>
    <x v="5"/>
    <x v="5"/>
    <x v="27"/>
    <x v="27"/>
    <x v="0"/>
    <x v="22"/>
    <x v="14"/>
    <x v="25"/>
    <x v="33"/>
    <x v="25"/>
    <x v="8"/>
    <x v="32"/>
    <x v="276"/>
  </r>
  <r>
    <x v="1923"/>
    <x v="5"/>
    <x v="5"/>
    <x v="26"/>
    <x v="30"/>
    <x v="44"/>
    <x v="27"/>
    <x v="28"/>
    <x v="6"/>
    <x v="4"/>
    <x v="44"/>
    <x v="41"/>
    <x v="28"/>
    <x v="278"/>
  </r>
  <r>
    <x v="1924"/>
    <x v="5"/>
    <x v="5"/>
    <x v="20"/>
    <x v="35"/>
    <x v="1"/>
    <x v="29"/>
    <x v="29"/>
    <x v="25"/>
    <x v="37"/>
    <x v="3"/>
    <x v="13"/>
    <x v="46"/>
    <x v="268"/>
  </r>
  <r>
    <x v="1925"/>
    <x v="5"/>
    <x v="5"/>
    <x v="39"/>
    <x v="40"/>
    <x v="4"/>
    <x v="28"/>
    <x v="0"/>
    <x v="8"/>
    <x v="35"/>
    <x v="11"/>
    <x v="20"/>
    <x v="10"/>
    <x v="120"/>
  </r>
  <r>
    <x v="1926"/>
    <x v="5"/>
    <x v="5"/>
    <x v="39"/>
    <x v="10"/>
    <x v="27"/>
    <x v="32"/>
    <x v="9"/>
    <x v="10"/>
    <x v="24"/>
    <x v="26"/>
    <x v="5"/>
    <x v="0"/>
    <x v="113"/>
  </r>
  <r>
    <x v="1927"/>
    <x v="5"/>
    <x v="5"/>
    <x v="10"/>
    <x v="18"/>
    <x v="14"/>
    <x v="27"/>
    <x v="9"/>
    <x v="41"/>
    <x v="13"/>
    <x v="11"/>
    <x v="28"/>
    <x v="16"/>
    <x v="280"/>
  </r>
  <r>
    <x v="1928"/>
    <x v="5"/>
    <x v="5"/>
    <x v="18"/>
    <x v="33"/>
    <x v="9"/>
    <x v="47"/>
    <x v="36"/>
    <x v="36"/>
    <x v="17"/>
    <x v="14"/>
    <x v="40"/>
    <x v="35"/>
    <x v="300"/>
  </r>
  <r>
    <x v="1929"/>
    <x v="5"/>
    <x v="5"/>
    <x v="26"/>
    <x v="30"/>
    <x v="20"/>
    <x v="27"/>
    <x v="0"/>
    <x v="53"/>
    <x v="62"/>
    <x v="23"/>
    <x v="28"/>
    <x v="13"/>
    <x v="299"/>
  </r>
  <r>
    <x v="1930"/>
    <x v="5"/>
    <x v="5"/>
    <x v="38"/>
    <x v="35"/>
    <x v="15"/>
    <x v="29"/>
    <x v="2"/>
    <x v="33"/>
    <x v="6"/>
    <x v="55"/>
    <x v="42"/>
    <x v="37"/>
    <x v="269"/>
  </r>
  <r>
    <x v="1931"/>
    <x v="5"/>
    <x v="5"/>
    <x v="25"/>
    <x v="10"/>
    <x v="46"/>
    <x v="42"/>
    <x v="29"/>
    <x v="26"/>
    <x v="44"/>
    <x v="25"/>
    <x v="41"/>
    <x v="16"/>
    <x v="308"/>
  </r>
  <r>
    <x v="1932"/>
    <x v="5"/>
    <x v="5"/>
    <x v="25"/>
    <x v="30"/>
    <x v="30"/>
    <x v="11"/>
    <x v="36"/>
    <x v="34"/>
    <x v="9"/>
    <x v="0"/>
    <x v="39"/>
    <x v="45"/>
    <x v="118"/>
  </r>
  <r>
    <x v="1933"/>
    <x v="5"/>
    <x v="5"/>
    <x v="41"/>
    <x v="28"/>
    <x v="45"/>
    <x v="9"/>
    <x v="17"/>
    <x v="10"/>
    <x v="13"/>
    <x v="20"/>
    <x v="21"/>
    <x v="11"/>
    <x v="309"/>
  </r>
  <r>
    <x v="1934"/>
    <x v="5"/>
    <x v="5"/>
    <x v="15"/>
    <x v="13"/>
    <x v="1"/>
    <x v="42"/>
    <x v="0"/>
    <x v="24"/>
    <x v="15"/>
    <x v="28"/>
    <x v="11"/>
    <x v="20"/>
    <x v="258"/>
  </r>
  <r>
    <x v="1935"/>
    <x v="5"/>
    <x v="5"/>
    <x v="24"/>
    <x v="40"/>
    <x v="29"/>
    <x v="19"/>
    <x v="3"/>
    <x v="5"/>
    <x v="60"/>
    <x v="0"/>
    <x v="35"/>
    <x v="10"/>
    <x v="275"/>
  </r>
  <r>
    <x v="1936"/>
    <x v="5"/>
    <x v="5"/>
    <x v="18"/>
    <x v="28"/>
    <x v="4"/>
    <x v="7"/>
    <x v="14"/>
    <x v="25"/>
    <x v="12"/>
    <x v="0"/>
    <x v="29"/>
    <x v="32"/>
    <x v="310"/>
  </r>
  <r>
    <x v="1937"/>
    <x v="5"/>
    <x v="5"/>
    <x v="39"/>
    <x v="34"/>
    <x v="30"/>
    <x v="11"/>
    <x v="0"/>
    <x v="28"/>
    <x v="8"/>
    <x v="4"/>
    <x v="28"/>
    <x v="21"/>
    <x v="280"/>
  </r>
  <r>
    <x v="1938"/>
    <x v="5"/>
    <x v="5"/>
    <x v="28"/>
    <x v="21"/>
    <x v="19"/>
    <x v="29"/>
    <x v="34"/>
    <x v="36"/>
    <x v="5"/>
    <x v="13"/>
    <x v="33"/>
    <x v="21"/>
    <x v="274"/>
  </r>
  <r>
    <x v="1939"/>
    <x v="5"/>
    <x v="5"/>
    <x v="13"/>
    <x v="11"/>
    <x v="43"/>
    <x v="14"/>
    <x v="40"/>
    <x v="35"/>
    <x v="5"/>
    <x v="11"/>
    <x v="63"/>
    <x v="0"/>
    <x v="3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1:C10" firstHeaderRow="1" firstDataRow="1" firstDataCol="2"/>
  <pivotFields count="15">
    <pivotField compact="0" showAll="0"/>
    <pivotField compact="0" showAll="0"/>
    <pivotField axis="axisRow" compact="0" showAll="0">
      <items count="7">
        <item x="1"/>
        <item x="3"/>
        <item x="2"/>
        <item x="4"/>
        <item x="0"/>
        <item x="5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axis="axisRow" name="学科分类" compact="0" defaultSubtotal="0" showAll="0">
      <items count="2">
        <item n="经济学" x="1"/>
        <item n="管理学" x="0"/>
      </items>
    </pivotField>
  </pivotFields>
  <rowFields count="2">
    <field x="14"/>
    <field x="2"/>
  </rowFields>
  <rowItems count="9">
    <i>
      <x/>
    </i>
    <i r="1">
      <x/>
    </i>
    <i r="1">
      <x v="1"/>
    </i>
    <i r="1">
      <x v="2"/>
    </i>
    <i>
      <x v="1"/>
    </i>
    <i r="1">
      <x v="3"/>
    </i>
    <i r="1">
      <x v="4"/>
    </i>
    <i r="1">
      <x v="5"/>
    </i>
    <i t="grand">
      <x/>
    </i>
  </rowItems>
  <colItems count="1">
    <i/>
  </colItems>
  <dataFields count="1">
    <dataField name="平均成绩" fld="13" subtotal="average" baseField="0" baseItem="0"/>
  </dataFields>
  <formats count="1">
    <format dxfId="0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95"/>
  <sheetViews>
    <sheetView workbookViewId="0">
      <selection activeCell="B1280" sqref="B1280"/>
    </sheetView>
  </sheetViews>
  <sheetFormatPr defaultColWidth="16.5045045045045" defaultRowHeight="14.4"/>
  <cols>
    <col min="1" max="1" width="14.5045045045045" customWidth="1"/>
    <col min="2" max="2" width="10.1261261261261" customWidth="1"/>
    <col min="3" max="3" width="13.1261261261261" customWidth="1"/>
    <col min="4" max="13" width="7.37837837837838" customWidth="1"/>
    <col min="14" max="14" width="8.25225225225225" customWidth="1"/>
    <col min="15" max="15" width="16.5045045045045" customWidth="1"/>
  </cols>
  <sheetData>
    <row r="1" ht="17.1" customHeight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20171115</v>
      </c>
      <c r="B2" t="s">
        <v>14</v>
      </c>
      <c r="C2" t="str">
        <f>VLOOKUP(B2,专业代码!$B$2:$C$8,2,FALSE)</f>
        <v>会计学</v>
      </c>
      <c r="D2">
        <v>8.8</v>
      </c>
      <c r="E2">
        <v>8</v>
      </c>
      <c r="F2">
        <v>6.6</v>
      </c>
      <c r="G2">
        <v>7.6</v>
      </c>
      <c r="H2">
        <v>6.6</v>
      </c>
      <c r="I2">
        <v>7.5</v>
      </c>
      <c r="J2">
        <v>7.4</v>
      </c>
      <c r="K2">
        <v>6.7</v>
      </c>
      <c r="L2">
        <v>6.7</v>
      </c>
      <c r="M2">
        <v>5.8</v>
      </c>
      <c r="N2">
        <f>SUM(D2:M2)</f>
        <v>71.7</v>
      </c>
    </row>
    <row r="3" spans="1:14">
      <c r="A3">
        <v>20175371</v>
      </c>
      <c r="B3" t="s">
        <v>14</v>
      </c>
      <c r="C3" t="str">
        <f>VLOOKUP(B3,专业代码!$B$2:$C$8,2,FALSE)</f>
        <v>会计学</v>
      </c>
      <c r="D3">
        <v>7.3</v>
      </c>
      <c r="E3">
        <v>8.3</v>
      </c>
      <c r="F3">
        <v>7</v>
      </c>
      <c r="G3">
        <v>8.5</v>
      </c>
      <c r="H3">
        <v>8.4</v>
      </c>
      <c r="I3">
        <v>7.7</v>
      </c>
      <c r="J3">
        <v>7.7</v>
      </c>
      <c r="K3">
        <v>5.8</v>
      </c>
      <c r="L3">
        <v>6.2</v>
      </c>
      <c r="M3">
        <v>5.8</v>
      </c>
      <c r="N3">
        <f t="shared" ref="N3:N66" si="0">SUM(D3:M3)</f>
        <v>72.7</v>
      </c>
    </row>
    <row r="4" spans="1:14">
      <c r="A4">
        <v>20178649</v>
      </c>
      <c r="B4" t="s">
        <v>14</v>
      </c>
      <c r="C4" t="str">
        <f>VLOOKUP(B4,专业代码!$B$2:$C$8,2,FALSE)</f>
        <v>会计学</v>
      </c>
      <c r="D4">
        <v>8.6</v>
      </c>
      <c r="E4">
        <v>7.2</v>
      </c>
      <c r="F4">
        <v>8.3</v>
      </c>
      <c r="G4">
        <v>8.2</v>
      </c>
      <c r="H4">
        <v>7</v>
      </c>
      <c r="I4">
        <v>8.7</v>
      </c>
      <c r="J4">
        <v>7.8</v>
      </c>
      <c r="K4">
        <v>6.2</v>
      </c>
      <c r="L4">
        <v>6.8</v>
      </c>
      <c r="M4">
        <v>5.7</v>
      </c>
      <c r="N4">
        <f t="shared" si="0"/>
        <v>74.5</v>
      </c>
    </row>
    <row r="5" spans="1:14">
      <c r="A5">
        <v>20172824</v>
      </c>
      <c r="B5" t="s">
        <v>14</v>
      </c>
      <c r="C5" t="str">
        <f>VLOOKUP(B5,专业代码!$B$2:$C$8,2,FALSE)</f>
        <v>会计学</v>
      </c>
      <c r="D5">
        <v>8.2</v>
      </c>
      <c r="E5">
        <v>8</v>
      </c>
      <c r="F5">
        <v>8.2</v>
      </c>
      <c r="G5">
        <v>7.8</v>
      </c>
      <c r="H5">
        <v>7.3</v>
      </c>
      <c r="I5">
        <v>8.5</v>
      </c>
      <c r="J5">
        <v>8</v>
      </c>
      <c r="K5">
        <v>6.9</v>
      </c>
      <c r="L5">
        <v>6.5</v>
      </c>
      <c r="M5">
        <v>6.2</v>
      </c>
      <c r="N5">
        <f t="shared" si="0"/>
        <v>75.6</v>
      </c>
    </row>
    <row r="6" spans="1:14">
      <c r="A6">
        <v>20176246</v>
      </c>
      <c r="B6" t="s">
        <v>14</v>
      </c>
      <c r="C6" t="str">
        <f>VLOOKUP(B6,专业代码!$B$2:$C$8,2,FALSE)</f>
        <v>会计学</v>
      </c>
      <c r="D6">
        <v>8.4</v>
      </c>
      <c r="E6">
        <v>8.5</v>
      </c>
      <c r="F6">
        <v>7.1</v>
      </c>
      <c r="G6">
        <v>7.7</v>
      </c>
      <c r="H6">
        <v>9.2</v>
      </c>
      <c r="I6">
        <v>8.3</v>
      </c>
      <c r="J6">
        <v>6</v>
      </c>
      <c r="K6">
        <v>5.4</v>
      </c>
      <c r="L6">
        <v>7.1</v>
      </c>
      <c r="M6">
        <v>5</v>
      </c>
      <c r="N6">
        <f t="shared" si="0"/>
        <v>72.7</v>
      </c>
    </row>
    <row r="7" spans="1:14">
      <c r="A7">
        <v>20176476</v>
      </c>
      <c r="B7" t="s">
        <v>14</v>
      </c>
      <c r="C7" t="str">
        <f>VLOOKUP(B7,专业代码!$B$2:$C$8,2,FALSE)</f>
        <v>会计学</v>
      </c>
      <c r="D7">
        <v>7.5</v>
      </c>
      <c r="E7">
        <v>8.3</v>
      </c>
      <c r="F7">
        <v>8.1</v>
      </c>
      <c r="G7">
        <v>8.4</v>
      </c>
      <c r="H7">
        <v>7.6</v>
      </c>
      <c r="I7">
        <v>6.9</v>
      </c>
      <c r="J7">
        <v>7.2</v>
      </c>
      <c r="K7">
        <v>7.9</v>
      </c>
      <c r="L7">
        <v>6.6</v>
      </c>
      <c r="M7">
        <v>8.6</v>
      </c>
      <c r="N7">
        <f t="shared" si="0"/>
        <v>77.1</v>
      </c>
    </row>
    <row r="8" spans="1:14">
      <c r="A8">
        <v>20176729</v>
      </c>
      <c r="B8" t="s">
        <v>14</v>
      </c>
      <c r="C8" t="str">
        <f>VLOOKUP(B8,专业代码!$B$2:$C$8,2,FALSE)</f>
        <v>会计学</v>
      </c>
      <c r="D8">
        <v>8</v>
      </c>
      <c r="E8">
        <v>7.5</v>
      </c>
      <c r="F8">
        <v>8.6</v>
      </c>
      <c r="G8">
        <v>7.7</v>
      </c>
      <c r="H8">
        <v>7.5</v>
      </c>
      <c r="I8">
        <v>6</v>
      </c>
      <c r="J8">
        <v>6.7</v>
      </c>
      <c r="K8">
        <v>5.4</v>
      </c>
      <c r="L8">
        <v>8.6</v>
      </c>
      <c r="M8">
        <v>7.7</v>
      </c>
      <c r="N8">
        <f t="shared" si="0"/>
        <v>73.7</v>
      </c>
    </row>
    <row r="9" spans="1:14">
      <c r="A9">
        <v>20177508</v>
      </c>
      <c r="B9" t="s">
        <v>14</v>
      </c>
      <c r="C9" t="str">
        <f>VLOOKUP(B9,专业代码!$B$2:$C$8,2,FALSE)</f>
        <v>会计学</v>
      </c>
      <c r="D9">
        <v>8.5</v>
      </c>
      <c r="E9">
        <v>8</v>
      </c>
      <c r="F9">
        <v>6.9</v>
      </c>
      <c r="G9">
        <v>7.6</v>
      </c>
      <c r="H9">
        <v>8.8</v>
      </c>
      <c r="I9">
        <v>7.1</v>
      </c>
      <c r="J9">
        <v>6.8</v>
      </c>
      <c r="K9">
        <v>7.5</v>
      </c>
      <c r="L9">
        <v>6.7</v>
      </c>
      <c r="M9">
        <v>6.1</v>
      </c>
      <c r="N9">
        <f t="shared" si="0"/>
        <v>74</v>
      </c>
    </row>
    <row r="10" spans="1:14">
      <c r="A10">
        <v>20171322</v>
      </c>
      <c r="B10" t="s">
        <v>14</v>
      </c>
      <c r="C10" t="str">
        <f>VLOOKUP(B10,专业代码!$B$2:$C$8,2,FALSE)</f>
        <v>会计学</v>
      </c>
      <c r="D10">
        <v>8.7</v>
      </c>
      <c r="E10">
        <v>8</v>
      </c>
      <c r="F10">
        <v>7.2</v>
      </c>
      <c r="G10">
        <v>7.3</v>
      </c>
      <c r="H10">
        <v>7.4</v>
      </c>
      <c r="I10">
        <v>6.9</v>
      </c>
      <c r="J10">
        <v>7.9</v>
      </c>
      <c r="K10">
        <v>5.7</v>
      </c>
      <c r="L10">
        <v>7.5</v>
      </c>
      <c r="M10">
        <v>6.4</v>
      </c>
      <c r="N10">
        <f t="shared" si="0"/>
        <v>73</v>
      </c>
    </row>
    <row r="11" spans="1:14">
      <c r="A11">
        <v>20172196</v>
      </c>
      <c r="B11" t="s">
        <v>14</v>
      </c>
      <c r="C11" t="str">
        <f>VLOOKUP(B11,专业代码!$B$2:$C$8,2,FALSE)</f>
        <v>会计学</v>
      </c>
      <c r="D11">
        <v>8</v>
      </c>
      <c r="E11">
        <v>8.6</v>
      </c>
      <c r="F11">
        <v>7.4</v>
      </c>
      <c r="G11">
        <v>8.2</v>
      </c>
      <c r="H11">
        <v>6.4</v>
      </c>
      <c r="I11">
        <v>7.2</v>
      </c>
      <c r="J11">
        <v>7.1</v>
      </c>
      <c r="K11">
        <v>6.9</v>
      </c>
      <c r="L11">
        <v>6.9</v>
      </c>
      <c r="M11">
        <v>6.4</v>
      </c>
      <c r="N11">
        <f t="shared" si="0"/>
        <v>73.1</v>
      </c>
    </row>
    <row r="12" spans="1:14">
      <c r="A12">
        <v>20173652</v>
      </c>
      <c r="B12" t="s">
        <v>14</v>
      </c>
      <c r="C12" t="str">
        <f>VLOOKUP(B12,专业代码!$B$2:$C$8,2,FALSE)</f>
        <v>会计学</v>
      </c>
      <c r="D12">
        <v>8.3</v>
      </c>
      <c r="E12">
        <v>7.8</v>
      </c>
      <c r="F12">
        <v>8</v>
      </c>
      <c r="G12">
        <v>7.7</v>
      </c>
      <c r="H12">
        <v>7.7</v>
      </c>
      <c r="I12">
        <v>7.5</v>
      </c>
      <c r="J12">
        <v>7.8</v>
      </c>
      <c r="K12">
        <v>7.6</v>
      </c>
      <c r="L12">
        <v>5.6</v>
      </c>
      <c r="M12">
        <v>6.7</v>
      </c>
      <c r="N12">
        <f t="shared" si="0"/>
        <v>74.7</v>
      </c>
    </row>
    <row r="13" spans="1:14">
      <c r="A13">
        <v>20178073</v>
      </c>
      <c r="B13" t="s">
        <v>14</v>
      </c>
      <c r="C13" t="str">
        <f>VLOOKUP(B13,专业代码!$B$2:$C$8,2,FALSE)</f>
        <v>会计学</v>
      </c>
      <c r="D13">
        <v>8.7</v>
      </c>
      <c r="E13">
        <v>7.8</v>
      </c>
      <c r="F13">
        <v>8.3</v>
      </c>
      <c r="G13">
        <v>6.7</v>
      </c>
      <c r="H13">
        <v>7.9</v>
      </c>
      <c r="I13">
        <v>8.1</v>
      </c>
      <c r="J13">
        <v>7.3</v>
      </c>
      <c r="K13">
        <v>6.7</v>
      </c>
      <c r="L13">
        <v>5.3</v>
      </c>
      <c r="M13">
        <v>8.5</v>
      </c>
      <c r="N13">
        <f t="shared" si="0"/>
        <v>75.3</v>
      </c>
    </row>
    <row r="14" spans="1:14">
      <c r="A14">
        <v>20171095</v>
      </c>
      <c r="B14" t="s">
        <v>14</v>
      </c>
      <c r="C14" t="str">
        <f>VLOOKUP(B14,专业代码!$B$2:$C$8,2,FALSE)</f>
        <v>会计学</v>
      </c>
      <c r="D14">
        <v>8.4</v>
      </c>
      <c r="E14">
        <v>8.2</v>
      </c>
      <c r="F14">
        <v>7.4</v>
      </c>
      <c r="G14">
        <v>9</v>
      </c>
      <c r="H14">
        <v>7.3</v>
      </c>
      <c r="I14">
        <v>7.4</v>
      </c>
      <c r="J14">
        <v>8.3</v>
      </c>
      <c r="K14">
        <v>6.4</v>
      </c>
      <c r="L14">
        <v>6.4</v>
      </c>
      <c r="M14">
        <v>6.6</v>
      </c>
      <c r="N14">
        <f t="shared" si="0"/>
        <v>75.4</v>
      </c>
    </row>
    <row r="15" spans="1:14">
      <c r="A15">
        <v>20179198</v>
      </c>
      <c r="B15" t="s">
        <v>14</v>
      </c>
      <c r="C15" t="str">
        <f>VLOOKUP(B15,专业代码!$B$2:$C$8,2,FALSE)</f>
        <v>会计学</v>
      </c>
      <c r="D15">
        <v>7.3</v>
      </c>
      <c r="E15">
        <v>7.9</v>
      </c>
      <c r="F15">
        <v>8.2</v>
      </c>
      <c r="G15">
        <v>7.8</v>
      </c>
      <c r="H15">
        <v>7.5</v>
      </c>
      <c r="I15">
        <v>6.7</v>
      </c>
      <c r="J15">
        <v>5.9</v>
      </c>
      <c r="K15">
        <v>7.2</v>
      </c>
      <c r="L15">
        <v>6.3</v>
      </c>
      <c r="M15">
        <v>6.1</v>
      </c>
      <c r="N15">
        <f t="shared" si="0"/>
        <v>70.9</v>
      </c>
    </row>
    <row r="16" spans="1:14">
      <c r="A16">
        <v>20173127</v>
      </c>
      <c r="B16" t="s">
        <v>14</v>
      </c>
      <c r="C16" t="str">
        <f>VLOOKUP(B16,专业代码!$B$2:$C$8,2,FALSE)</f>
        <v>会计学</v>
      </c>
      <c r="D16">
        <v>8.1</v>
      </c>
      <c r="E16">
        <v>8.1</v>
      </c>
      <c r="F16">
        <v>7.4</v>
      </c>
      <c r="G16">
        <v>7.7</v>
      </c>
      <c r="H16">
        <v>7</v>
      </c>
      <c r="I16">
        <v>7.6</v>
      </c>
      <c r="J16">
        <v>5.4</v>
      </c>
      <c r="K16">
        <v>5.3</v>
      </c>
      <c r="L16">
        <v>6.5</v>
      </c>
      <c r="M16">
        <v>3.7</v>
      </c>
      <c r="N16">
        <f t="shared" si="0"/>
        <v>66.8</v>
      </c>
    </row>
    <row r="17" spans="1:14">
      <c r="A17">
        <v>20173373</v>
      </c>
      <c r="B17" t="s">
        <v>14</v>
      </c>
      <c r="C17" t="str">
        <f>VLOOKUP(B17,专业代码!$B$2:$C$8,2,FALSE)</f>
        <v>会计学</v>
      </c>
      <c r="D17">
        <v>7.5</v>
      </c>
      <c r="E17">
        <v>7.9</v>
      </c>
      <c r="F17">
        <v>8.5</v>
      </c>
      <c r="G17">
        <v>6.8</v>
      </c>
      <c r="H17">
        <v>8.3</v>
      </c>
      <c r="I17">
        <v>7.2</v>
      </c>
      <c r="J17">
        <v>8.2</v>
      </c>
      <c r="K17">
        <v>8.1</v>
      </c>
      <c r="L17">
        <v>6.6</v>
      </c>
      <c r="M17">
        <v>4.8</v>
      </c>
      <c r="N17">
        <f t="shared" si="0"/>
        <v>73.9</v>
      </c>
    </row>
    <row r="18" spans="1:14">
      <c r="A18">
        <v>20174013</v>
      </c>
      <c r="B18" t="s">
        <v>14</v>
      </c>
      <c r="C18" t="str">
        <f>VLOOKUP(B18,专业代码!$B$2:$C$8,2,FALSE)</f>
        <v>会计学</v>
      </c>
      <c r="D18">
        <v>8.7</v>
      </c>
      <c r="E18">
        <v>8</v>
      </c>
      <c r="F18">
        <v>8.9</v>
      </c>
      <c r="G18">
        <v>7.5</v>
      </c>
      <c r="H18">
        <v>6.7</v>
      </c>
      <c r="I18">
        <v>7.8</v>
      </c>
      <c r="J18">
        <v>6.2</v>
      </c>
      <c r="K18">
        <v>4.9</v>
      </c>
      <c r="L18">
        <v>5.8</v>
      </c>
      <c r="M18">
        <v>5.7</v>
      </c>
      <c r="N18">
        <f t="shared" si="0"/>
        <v>70.2</v>
      </c>
    </row>
    <row r="19" spans="1:14">
      <c r="A19">
        <v>20176979</v>
      </c>
      <c r="B19" t="s">
        <v>14</v>
      </c>
      <c r="C19" t="str">
        <f>VLOOKUP(B19,专业代码!$B$2:$C$8,2,FALSE)</f>
        <v>会计学</v>
      </c>
      <c r="D19">
        <v>8.6</v>
      </c>
      <c r="E19">
        <v>7.3</v>
      </c>
      <c r="F19">
        <v>8.3</v>
      </c>
      <c r="G19">
        <v>7</v>
      </c>
      <c r="H19">
        <v>7.6</v>
      </c>
      <c r="I19">
        <v>6.5</v>
      </c>
      <c r="J19">
        <v>7.6</v>
      </c>
      <c r="K19">
        <v>6.5</v>
      </c>
      <c r="L19">
        <v>5.3</v>
      </c>
      <c r="M19">
        <v>7.5</v>
      </c>
      <c r="N19">
        <f t="shared" si="0"/>
        <v>72.2</v>
      </c>
    </row>
    <row r="20" spans="1:14">
      <c r="A20">
        <v>20172419</v>
      </c>
      <c r="B20" t="s">
        <v>14</v>
      </c>
      <c r="C20" t="str">
        <f>VLOOKUP(B20,专业代码!$B$2:$C$8,2,FALSE)</f>
        <v>会计学</v>
      </c>
      <c r="D20">
        <v>8.6</v>
      </c>
      <c r="E20">
        <v>8.6</v>
      </c>
      <c r="F20">
        <v>7.9</v>
      </c>
      <c r="G20">
        <v>7.9</v>
      </c>
      <c r="H20">
        <v>6.8</v>
      </c>
      <c r="I20">
        <v>8.5</v>
      </c>
      <c r="J20">
        <v>6.9</v>
      </c>
      <c r="K20">
        <v>5.4</v>
      </c>
      <c r="L20">
        <v>8.4</v>
      </c>
      <c r="M20">
        <v>6.9</v>
      </c>
      <c r="N20">
        <f t="shared" si="0"/>
        <v>75.9</v>
      </c>
    </row>
    <row r="21" spans="1:14">
      <c r="A21">
        <v>20175490</v>
      </c>
      <c r="B21" t="s">
        <v>14</v>
      </c>
      <c r="C21" t="str">
        <f>VLOOKUP(B21,专业代码!$B$2:$C$8,2,FALSE)</f>
        <v>会计学</v>
      </c>
      <c r="D21">
        <v>7.3</v>
      </c>
      <c r="E21">
        <v>7.9</v>
      </c>
      <c r="F21">
        <v>8.3</v>
      </c>
      <c r="G21">
        <v>7.8</v>
      </c>
      <c r="H21">
        <v>6.4</v>
      </c>
      <c r="I21">
        <v>8.3</v>
      </c>
      <c r="J21">
        <v>7.1</v>
      </c>
      <c r="K21">
        <v>7.3</v>
      </c>
      <c r="L21">
        <v>4.8</v>
      </c>
      <c r="M21">
        <v>5.1</v>
      </c>
      <c r="N21">
        <f t="shared" si="0"/>
        <v>70.3</v>
      </c>
    </row>
    <row r="22" spans="1:14">
      <c r="A22">
        <v>20177249</v>
      </c>
      <c r="B22" t="s">
        <v>14</v>
      </c>
      <c r="C22" t="str">
        <f>VLOOKUP(B22,专业代码!$B$2:$C$8,2,FALSE)</f>
        <v>会计学</v>
      </c>
      <c r="D22">
        <v>7.3</v>
      </c>
      <c r="E22">
        <v>8.1</v>
      </c>
      <c r="F22">
        <v>8.5</v>
      </c>
      <c r="G22">
        <v>8</v>
      </c>
      <c r="H22">
        <v>6.7</v>
      </c>
      <c r="I22">
        <v>7.2</v>
      </c>
      <c r="J22">
        <v>7.7</v>
      </c>
      <c r="K22">
        <v>6.7</v>
      </c>
      <c r="L22">
        <v>6.2</v>
      </c>
      <c r="M22">
        <v>5.2</v>
      </c>
      <c r="N22">
        <f t="shared" si="0"/>
        <v>71.6</v>
      </c>
    </row>
    <row r="23" spans="1:14">
      <c r="A23">
        <v>20171151</v>
      </c>
      <c r="B23" t="s">
        <v>14</v>
      </c>
      <c r="C23" t="str">
        <f>VLOOKUP(B23,专业代码!$B$2:$C$8,2,FALSE)</f>
        <v>会计学</v>
      </c>
      <c r="D23">
        <v>9</v>
      </c>
      <c r="E23">
        <v>8.6</v>
      </c>
      <c r="F23">
        <v>7.7</v>
      </c>
      <c r="G23">
        <v>7.3</v>
      </c>
      <c r="H23">
        <v>8.4</v>
      </c>
      <c r="I23">
        <v>7.5</v>
      </c>
      <c r="J23">
        <v>7.4</v>
      </c>
      <c r="K23">
        <v>7.5</v>
      </c>
      <c r="L23">
        <v>5.6</v>
      </c>
      <c r="M23">
        <v>5.8</v>
      </c>
      <c r="N23">
        <f t="shared" si="0"/>
        <v>74.8</v>
      </c>
    </row>
    <row r="24" spans="1:14">
      <c r="A24">
        <v>20173237</v>
      </c>
      <c r="B24" t="s">
        <v>14</v>
      </c>
      <c r="C24" t="str">
        <f>VLOOKUP(B24,专业代码!$B$2:$C$8,2,FALSE)</f>
        <v>会计学</v>
      </c>
      <c r="D24">
        <v>7.3</v>
      </c>
      <c r="E24">
        <v>8.2</v>
      </c>
      <c r="F24">
        <v>7.8</v>
      </c>
      <c r="G24">
        <v>6.8</v>
      </c>
      <c r="H24">
        <v>9.1</v>
      </c>
      <c r="I24">
        <v>7.3</v>
      </c>
      <c r="J24">
        <v>7.9</v>
      </c>
      <c r="K24">
        <v>6.8</v>
      </c>
      <c r="L24">
        <v>5.8</v>
      </c>
      <c r="M24">
        <v>5.3</v>
      </c>
      <c r="N24">
        <f t="shared" si="0"/>
        <v>72.3</v>
      </c>
    </row>
    <row r="25" spans="1:14">
      <c r="A25">
        <v>20175046</v>
      </c>
      <c r="B25" t="s">
        <v>14</v>
      </c>
      <c r="C25" t="str">
        <f>VLOOKUP(B25,专业代码!$B$2:$C$8,2,FALSE)</f>
        <v>会计学</v>
      </c>
      <c r="D25">
        <v>8.7</v>
      </c>
      <c r="E25">
        <v>8.2</v>
      </c>
      <c r="F25">
        <v>7.2</v>
      </c>
      <c r="G25">
        <v>7.2</v>
      </c>
      <c r="H25">
        <v>7.8</v>
      </c>
      <c r="I25">
        <v>7.1</v>
      </c>
      <c r="J25">
        <v>6.6</v>
      </c>
      <c r="K25">
        <v>6.9</v>
      </c>
      <c r="L25">
        <v>6.7</v>
      </c>
      <c r="M25">
        <v>6.8</v>
      </c>
      <c r="N25">
        <f t="shared" si="0"/>
        <v>73.2</v>
      </c>
    </row>
    <row r="26" spans="1:14">
      <c r="A26">
        <v>20177617</v>
      </c>
      <c r="B26" t="s">
        <v>14</v>
      </c>
      <c r="C26" t="str">
        <f>VLOOKUP(B26,专业代码!$B$2:$C$8,2,FALSE)</f>
        <v>会计学</v>
      </c>
      <c r="D26">
        <v>8.2</v>
      </c>
      <c r="E26">
        <v>7.1</v>
      </c>
      <c r="F26">
        <v>7.5</v>
      </c>
      <c r="G26">
        <v>8</v>
      </c>
      <c r="H26">
        <v>7.5</v>
      </c>
      <c r="I26">
        <v>8.5</v>
      </c>
      <c r="J26">
        <v>7.3</v>
      </c>
      <c r="K26">
        <v>6.4</v>
      </c>
      <c r="L26">
        <v>8.7</v>
      </c>
      <c r="M26">
        <v>6.2</v>
      </c>
      <c r="N26">
        <f t="shared" si="0"/>
        <v>75.4</v>
      </c>
    </row>
    <row r="27" spans="1:14">
      <c r="A27">
        <v>20177900</v>
      </c>
      <c r="B27" t="s">
        <v>14</v>
      </c>
      <c r="C27" t="str">
        <f>VLOOKUP(B27,专业代码!$B$2:$C$8,2,FALSE)</f>
        <v>会计学</v>
      </c>
      <c r="D27">
        <v>7.7</v>
      </c>
      <c r="E27">
        <v>8.3</v>
      </c>
      <c r="F27">
        <v>8.5</v>
      </c>
      <c r="G27">
        <v>8.1</v>
      </c>
      <c r="H27">
        <v>7.4</v>
      </c>
      <c r="I27">
        <v>7.5</v>
      </c>
      <c r="J27">
        <v>8.3</v>
      </c>
      <c r="K27">
        <v>7.3</v>
      </c>
      <c r="L27">
        <v>5.6</v>
      </c>
      <c r="M27">
        <v>6.9</v>
      </c>
      <c r="N27">
        <f t="shared" si="0"/>
        <v>75.6</v>
      </c>
    </row>
    <row r="28" spans="1:14">
      <c r="A28">
        <v>20179012</v>
      </c>
      <c r="B28" t="s">
        <v>14</v>
      </c>
      <c r="C28" t="str">
        <f>VLOOKUP(B28,专业代码!$B$2:$C$8,2,FALSE)</f>
        <v>会计学</v>
      </c>
      <c r="D28">
        <v>7.6</v>
      </c>
      <c r="E28">
        <v>8.2</v>
      </c>
      <c r="F28">
        <v>8.3</v>
      </c>
      <c r="G28">
        <v>7</v>
      </c>
      <c r="H28">
        <v>6</v>
      </c>
      <c r="I28">
        <v>7.5</v>
      </c>
      <c r="J28">
        <v>7.6</v>
      </c>
      <c r="K28">
        <v>4.6</v>
      </c>
      <c r="L28">
        <v>6.6</v>
      </c>
      <c r="M28">
        <v>8</v>
      </c>
      <c r="N28">
        <f t="shared" si="0"/>
        <v>71.4</v>
      </c>
    </row>
    <row r="29" spans="1:14">
      <c r="A29">
        <v>20175915</v>
      </c>
      <c r="B29" t="s">
        <v>14</v>
      </c>
      <c r="C29" t="str">
        <f>VLOOKUP(B29,专业代码!$B$2:$C$8,2,FALSE)</f>
        <v>会计学</v>
      </c>
      <c r="D29">
        <v>8.5</v>
      </c>
      <c r="E29">
        <v>8.2</v>
      </c>
      <c r="F29">
        <v>7.8</v>
      </c>
      <c r="G29">
        <v>8.2</v>
      </c>
      <c r="H29">
        <v>6.9</v>
      </c>
      <c r="I29">
        <v>7.6</v>
      </c>
      <c r="J29">
        <v>6.8</v>
      </c>
      <c r="K29">
        <v>8.1</v>
      </c>
      <c r="L29">
        <v>6.9</v>
      </c>
      <c r="M29">
        <v>7.5</v>
      </c>
      <c r="N29">
        <f t="shared" si="0"/>
        <v>76.5</v>
      </c>
    </row>
    <row r="30" spans="1:14">
      <c r="A30">
        <v>20176253</v>
      </c>
      <c r="B30" t="s">
        <v>14</v>
      </c>
      <c r="C30" t="str">
        <f>VLOOKUP(B30,专业代码!$B$2:$C$8,2,FALSE)</f>
        <v>会计学</v>
      </c>
      <c r="D30">
        <v>8.6</v>
      </c>
      <c r="E30">
        <v>9.2</v>
      </c>
      <c r="F30">
        <v>8</v>
      </c>
      <c r="G30">
        <v>7.7</v>
      </c>
      <c r="H30">
        <v>7.3</v>
      </c>
      <c r="I30">
        <v>7.8</v>
      </c>
      <c r="J30">
        <v>7.3</v>
      </c>
      <c r="K30">
        <v>7.6</v>
      </c>
      <c r="L30">
        <v>7.1</v>
      </c>
      <c r="M30">
        <v>5.8</v>
      </c>
      <c r="N30">
        <f t="shared" si="0"/>
        <v>76.4</v>
      </c>
    </row>
    <row r="31" spans="1:14">
      <c r="A31">
        <v>20177690</v>
      </c>
      <c r="B31" t="s">
        <v>14</v>
      </c>
      <c r="C31" t="str">
        <f>VLOOKUP(B31,专业代码!$B$2:$C$8,2,FALSE)</f>
        <v>会计学</v>
      </c>
      <c r="D31">
        <v>8</v>
      </c>
      <c r="E31">
        <v>6.6</v>
      </c>
      <c r="F31">
        <v>8.4</v>
      </c>
      <c r="G31">
        <v>7.8</v>
      </c>
      <c r="H31">
        <v>7.8</v>
      </c>
      <c r="I31">
        <v>7.6</v>
      </c>
      <c r="J31">
        <v>6.5</v>
      </c>
      <c r="K31">
        <v>4.9</v>
      </c>
      <c r="L31">
        <v>6.7</v>
      </c>
      <c r="M31">
        <v>4.2</v>
      </c>
      <c r="N31">
        <f t="shared" si="0"/>
        <v>68.5</v>
      </c>
    </row>
    <row r="32" spans="1:14">
      <c r="A32">
        <v>20179925</v>
      </c>
      <c r="B32" t="s">
        <v>14</v>
      </c>
      <c r="C32" t="str">
        <f>VLOOKUP(B32,专业代码!$B$2:$C$8,2,FALSE)</f>
        <v>会计学</v>
      </c>
      <c r="D32">
        <v>8</v>
      </c>
      <c r="E32">
        <v>7.3</v>
      </c>
      <c r="F32">
        <v>8.2</v>
      </c>
      <c r="G32">
        <v>7.6</v>
      </c>
      <c r="H32">
        <v>8.6</v>
      </c>
      <c r="I32">
        <v>7.1</v>
      </c>
      <c r="J32">
        <v>6.1</v>
      </c>
      <c r="K32">
        <v>7.7</v>
      </c>
      <c r="L32">
        <v>6.1</v>
      </c>
      <c r="M32">
        <v>4.7</v>
      </c>
      <c r="N32">
        <f t="shared" si="0"/>
        <v>71.4</v>
      </c>
    </row>
    <row r="33" spans="1:14">
      <c r="A33">
        <v>20171362</v>
      </c>
      <c r="B33" t="s">
        <v>14</v>
      </c>
      <c r="C33" t="str">
        <f>VLOOKUP(B33,专业代码!$B$2:$C$8,2,FALSE)</f>
        <v>会计学</v>
      </c>
      <c r="D33">
        <v>8.8</v>
      </c>
      <c r="E33">
        <v>9</v>
      </c>
      <c r="F33">
        <v>9.4</v>
      </c>
      <c r="G33">
        <v>7.8</v>
      </c>
      <c r="H33">
        <v>8.5</v>
      </c>
      <c r="I33">
        <v>7.8</v>
      </c>
      <c r="J33">
        <v>9.2</v>
      </c>
      <c r="K33">
        <v>6.3</v>
      </c>
      <c r="L33">
        <v>8</v>
      </c>
      <c r="M33">
        <v>7.2</v>
      </c>
      <c r="N33">
        <f t="shared" si="0"/>
        <v>82</v>
      </c>
    </row>
    <row r="34" spans="1:14">
      <c r="A34">
        <v>20171809</v>
      </c>
      <c r="B34" t="s">
        <v>14</v>
      </c>
      <c r="C34" t="str">
        <f>VLOOKUP(B34,专业代码!$B$2:$C$8,2,FALSE)</f>
        <v>会计学</v>
      </c>
      <c r="D34">
        <v>9.4</v>
      </c>
      <c r="E34">
        <v>9.4</v>
      </c>
      <c r="F34">
        <v>9.4</v>
      </c>
      <c r="G34">
        <v>8.6</v>
      </c>
      <c r="H34">
        <v>9.4</v>
      </c>
      <c r="I34">
        <v>9.1</v>
      </c>
      <c r="J34">
        <v>9.4</v>
      </c>
      <c r="K34">
        <v>6.6</v>
      </c>
      <c r="L34">
        <v>6.5</v>
      </c>
      <c r="M34">
        <v>8.3</v>
      </c>
      <c r="N34">
        <f t="shared" si="0"/>
        <v>86.1</v>
      </c>
    </row>
    <row r="35" spans="1:14">
      <c r="A35">
        <v>20176116</v>
      </c>
      <c r="B35" t="s">
        <v>14</v>
      </c>
      <c r="C35" t="str">
        <f>VLOOKUP(B35,专业代码!$B$2:$C$8,2,FALSE)</f>
        <v>会计学</v>
      </c>
      <c r="D35">
        <v>9.4</v>
      </c>
      <c r="E35">
        <v>8.3</v>
      </c>
      <c r="F35">
        <v>9.4</v>
      </c>
      <c r="G35">
        <v>9.4</v>
      </c>
      <c r="H35">
        <v>8.9</v>
      </c>
      <c r="I35">
        <v>8.6</v>
      </c>
      <c r="J35">
        <v>8.7</v>
      </c>
      <c r="K35">
        <v>5.8</v>
      </c>
      <c r="L35">
        <v>7.1</v>
      </c>
      <c r="M35">
        <v>9.1</v>
      </c>
      <c r="N35">
        <f t="shared" si="0"/>
        <v>84.7</v>
      </c>
    </row>
    <row r="36" spans="1:14">
      <c r="A36">
        <v>20176924</v>
      </c>
      <c r="B36" t="s">
        <v>14</v>
      </c>
      <c r="C36" t="str">
        <f>VLOOKUP(B36,专业代码!$B$2:$C$8,2,FALSE)</f>
        <v>会计学</v>
      </c>
      <c r="D36">
        <v>9.4</v>
      </c>
      <c r="E36">
        <v>8.7</v>
      </c>
      <c r="F36">
        <v>8.4</v>
      </c>
      <c r="G36">
        <v>9.4</v>
      </c>
      <c r="H36">
        <v>9</v>
      </c>
      <c r="I36">
        <v>8.2</v>
      </c>
      <c r="J36">
        <v>6.7</v>
      </c>
      <c r="K36">
        <v>7.7</v>
      </c>
      <c r="L36">
        <v>7.8</v>
      </c>
      <c r="M36">
        <v>6.4</v>
      </c>
      <c r="N36">
        <f t="shared" si="0"/>
        <v>81.7</v>
      </c>
    </row>
    <row r="37" spans="1:14">
      <c r="A37">
        <v>20172560</v>
      </c>
      <c r="B37" t="s">
        <v>14</v>
      </c>
      <c r="C37" t="str">
        <f>VLOOKUP(B37,专业代码!$B$2:$C$8,2,FALSE)</f>
        <v>会计学</v>
      </c>
      <c r="D37">
        <v>8.4</v>
      </c>
      <c r="E37">
        <v>8.2</v>
      </c>
      <c r="F37">
        <v>8</v>
      </c>
      <c r="G37">
        <v>8.3</v>
      </c>
      <c r="H37">
        <v>7.8</v>
      </c>
      <c r="I37">
        <v>6.7</v>
      </c>
      <c r="J37">
        <v>6.2</v>
      </c>
      <c r="K37">
        <v>6.1</v>
      </c>
      <c r="L37">
        <v>6.1</v>
      </c>
      <c r="M37">
        <v>5.8</v>
      </c>
      <c r="N37">
        <f t="shared" si="0"/>
        <v>71.6</v>
      </c>
    </row>
    <row r="38" spans="1:14">
      <c r="A38">
        <v>20179609</v>
      </c>
      <c r="B38" t="s">
        <v>14</v>
      </c>
      <c r="C38" t="str">
        <f>VLOOKUP(B38,专业代码!$B$2:$C$8,2,FALSE)</f>
        <v>会计学</v>
      </c>
      <c r="D38">
        <v>8</v>
      </c>
      <c r="E38">
        <v>8.2</v>
      </c>
      <c r="F38">
        <v>8.1</v>
      </c>
      <c r="G38">
        <v>7.7</v>
      </c>
      <c r="H38">
        <v>6.6</v>
      </c>
      <c r="I38">
        <v>8.3</v>
      </c>
      <c r="J38">
        <v>5.7</v>
      </c>
      <c r="K38">
        <v>6.6</v>
      </c>
      <c r="L38">
        <v>7.1</v>
      </c>
      <c r="M38">
        <v>6.7</v>
      </c>
      <c r="N38">
        <f t="shared" si="0"/>
        <v>73</v>
      </c>
    </row>
    <row r="39" spans="1:14">
      <c r="A39">
        <v>20172920</v>
      </c>
      <c r="B39" t="s">
        <v>14</v>
      </c>
      <c r="C39" t="str">
        <f>VLOOKUP(B39,专业代码!$B$2:$C$8,2,FALSE)</f>
        <v>会计学</v>
      </c>
      <c r="D39">
        <v>7.4</v>
      </c>
      <c r="E39">
        <v>7.5</v>
      </c>
      <c r="F39">
        <v>7.6</v>
      </c>
      <c r="G39">
        <v>7.6</v>
      </c>
      <c r="H39">
        <v>7.4</v>
      </c>
      <c r="I39">
        <v>8.4</v>
      </c>
      <c r="J39">
        <v>8.2</v>
      </c>
      <c r="K39">
        <v>7.2</v>
      </c>
      <c r="L39">
        <v>5.9</v>
      </c>
      <c r="M39">
        <v>7.5</v>
      </c>
      <c r="N39">
        <f t="shared" si="0"/>
        <v>74.7</v>
      </c>
    </row>
    <row r="40" spans="1:14">
      <c r="A40">
        <v>20175691</v>
      </c>
      <c r="B40" t="s">
        <v>14</v>
      </c>
      <c r="C40" t="str">
        <f>VLOOKUP(B40,专业代码!$B$2:$C$8,2,FALSE)</f>
        <v>会计学</v>
      </c>
      <c r="D40">
        <v>8.5</v>
      </c>
      <c r="E40">
        <v>8.6</v>
      </c>
      <c r="F40">
        <v>7.6</v>
      </c>
      <c r="G40">
        <v>7.1</v>
      </c>
      <c r="H40">
        <v>8.6</v>
      </c>
      <c r="I40">
        <v>5.9</v>
      </c>
      <c r="J40">
        <v>8.6</v>
      </c>
      <c r="K40">
        <v>6.8</v>
      </c>
      <c r="L40">
        <v>7.8</v>
      </c>
      <c r="M40">
        <v>6.7</v>
      </c>
      <c r="N40">
        <f t="shared" si="0"/>
        <v>76.2</v>
      </c>
    </row>
    <row r="41" spans="1:14">
      <c r="A41">
        <v>20178556</v>
      </c>
      <c r="B41" t="s">
        <v>14</v>
      </c>
      <c r="C41" t="str">
        <f>VLOOKUP(B41,专业代码!$B$2:$C$8,2,FALSE)</f>
        <v>会计学</v>
      </c>
      <c r="D41">
        <v>8.7</v>
      </c>
      <c r="E41">
        <v>7.7</v>
      </c>
      <c r="F41">
        <v>8</v>
      </c>
      <c r="G41">
        <v>8.6</v>
      </c>
      <c r="H41">
        <v>8.5</v>
      </c>
      <c r="I41">
        <v>7.3</v>
      </c>
      <c r="J41">
        <v>8</v>
      </c>
      <c r="K41">
        <v>6.8</v>
      </c>
      <c r="L41">
        <v>4.7</v>
      </c>
      <c r="M41">
        <v>5.1</v>
      </c>
      <c r="N41">
        <f t="shared" si="0"/>
        <v>73.4</v>
      </c>
    </row>
    <row r="42" spans="1:14">
      <c r="A42">
        <v>20175938</v>
      </c>
      <c r="B42" t="s">
        <v>14</v>
      </c>
      <c r="C42" t="str">
        <f>VLOOKUP(B42,专业代码!$B$2:$C$8,2,FALSE)</f>
        <v>会计学</v>
      </c>
      <c r="D42">
        <v>7.8</v>
      </c>
      <c r="E42">
        <v>8.5</v>
      </c>
      <c r="F42">
        <v>8.6</v>
      </c>
      <c r="G42">
        <v>7.9</v>
      </c>
      <c r="H42">
        <v>8.5</v>
      </c>
      <c r="I42">
        <v>8.1</v>
      </c>
      <c r="J42">
        <v>5</v>
      </c>
      <c r="K42">
        <v>6.3</v>
      </c>
      <c r="L42">
        <v>6.6</v>
      </c>
      <c r="M42">
        <v>5.7</v>
      </c>
      <c r="N42">
        <f t="shared" si="0"/>
        <v>73</v>
      </c>
    </row>
    <row r="43" spans="1:14">
      <c r="A43">
        <v>20176957</v>
      </c>
      <c r="B43" t="s">
        <v>14</v>
      </c>
      <c r="C43" t="str">
        <f>VLOOKUP(B43,专业代码!$B$2:$C$8,2,FALSE)</f>
        <v>会计学</v>
      </c>
      <c r="D43">
        <v>8.6</v>
      </c>
      <c r="E43">
        <v>7.7</v>
      </c>
      <c r="F43">
        <v>7.8</v>
      </c>
      <c r="G43">
        <v>7.9</v>
      </c>
      <c r="H43">
        <v>7.2</v>
      </c>
      <c r="I43">
        <v>6.7</v>
      </c>
      <c r="J43">
        <v>7.4</v>
      </c>
      <c r="K43">
        <v>6.4</v>
      </c>
      <c r="L43">
        <v>8.1</v>
      </c>
      <c r="M43">
        <v>5.5</v>
      </c>
      <c r="N43">
        <f t="shared" si="0"/>
        <v>73.3</v>
      </c>
    </row>
    <row r="44" spans="1:14">
      <c r="A44">
        <v>20179569</v>
      </c>
      <c r="B44" t="s">
        <v>14</v>
      </c>
      <c r="C44" t="str">
        <f>VLOOKUP(B44,专业代码!$B$2:$C$8,2,FALSE)</f>
        <v>会计学</v>
      </c>
      <c r="D44">
        <v>8.1</v>
      </c>
      <c r="E44">
        <v>8.7</v>
      </c>
      <c r="F44">
        <v>7.4</v>
      </c>
      <c r="G44">
        <v>7.2</v>
      </c>
      <c r="H44">
        <v>6.8</v>
      </c>
      <c r="I44">
        <v>5.8</v>
      </c>
      <c r="J44">
        <v>8</v>
      </c>
      <c r="K44">
        <v>6.6</v>
      </c>
      <c r="L44">
        <v>7.2</v>
      </c>
      <c r="M44">
        <v>6.7</v>
      </c>
      <c r="N44">
        <f t="shared" si="0"/>
        <v>72.5</v>
      </c>
    </row>
    <row r="45" spans="1:14">
      <c r="A45">
        <v>20172032</v>
      </c>
      <c r="B45" t="s">
        <v>14</v>
      </c>
      <c r="C45" t="str">
        <f>VLOOKUP(B45,专业代码!$B$2:$C$8,2,FALSE)</f>
        <v>会计学</v>
      </c>
      <c r="D45">
        <v>8.5</v>
      </c>
      <c r="E45">
        <v>7.7</v>
      </c>
      <c r="F45">
        <v>7.1</v>
      </c>
      <c r="G45">
        <v>7.9</v>
      </c>
      <c r="H45">
        <v>7.2</v>
      </c>
      <c r="I45">
        <v>6.7</v>
      </c>
      <c r="J45">
        <v>7.8</v>
      </c>
      <c r="K45">
        <v>6.9</v>
      </c>
      <c r="L45">
        <v>8.6</v>
      </c>
      <c r="M45">
        <v>5.2</v>
      </c>
      <c r="N45">
        <f t="shared" si="0"/>
        <v>73.6</v>
      </c>
    </row>
    <row r="46" spans="1:14">
      <c r="A46">
        <v>20174146</v>
      </c>
      <c r="B46" t="s">
        <v>14</v>
      </c>
      <c r="C46" t="str">
        <f>VLOOKUP(B46,专业代码!$B$2:$C$8,2,FALSE)</f>
        <v>会计学</v>
      </c>
      <c r="D46">
        <v>8.1</v>
      </c>
      <c r="E46">
        <v>8.3</v>
      </c>
      <c r="F46">
        <v>7.3</v>
      </c>
      <c r="G46">
        <v>6.8</v>
      </c>
      <c r="H46">
        <v>8.6</v>
      </c>
      <c r="I46">
        <v>7.9</v>
      </c>
      <c r="J46">
        <v>7.6</v>
      </c>
      <c r="K46">
        <v>7.9</v>
      </c>
      <c r="L46">
        <v>6.7</v>
      </c>
      <c r="M46">
        <v>6.5</v>
      </c>
      <c r="N46">
        <f t="shared" si="0"/>
        <v>75.7</v>
      </c>
    </row>
    <row r="47" spans="1:14">
      <c r="A47">
        <v>20176967</v>
      </c>
      <c r="B47" t="s">
        <v>14</v>
      </c>
      <c r="C47" t="str">
        <f>VLOOKUP(B47,专业代码!$B$2:$C$8,2,FALSE)</f>
        <v>会计学</v>
      </c>
      <c r="D47">
        <v>8.6</v>
      </c>
      <c r="E47">
        <v>7.9</v>
      </c>
      <c r="F47">
        <v>7.1</v>
      </c>
      <c r="G47">
        <v>8.9</v>
      </c>
      <c r="H47">
        <v>7.3</v>
      </c>
      <c r="I47">
        <v>7.8</v>
      </c>
      <c r="J47">
        <v>7.7</v>
      </c>
      <c r="K47">
        <v>5.7</v>
      </c>
      <c r="L47">
        <v>7.6</v>
      </c>
      <c r="M47">
        <v>6.7</v>
      </c>
      <c r="N47">
        <f t="shared" si="0"/>
        <v>75.3</v>
      </c>
    </row>
    <row r="48" spans="1:14">
      <c r="A48">
        <v>20171520</v>
      </c>
      <c r="B48" t="s">
        <v>14</v>
      </c>
      <c r="C48" t="str">
        <f>VLOOKUP(B48,专业代码!$B$2:$C$8,2,FALSE)</f>
        <v>会计学</v>
      </c>
      <c r="D48">
        <v>8.9</v>
      </c>
      <c r="E48">
        <v>6.7</v>
      </c>
      <c r="F48">
        <v>8</v>
      </c>
      <c r="G48">
        <v>8.5</v>
      </c>
      <c r="H48">
        <v>7.9</v>
      </c>
      <c r="I48">
        <v>7.6</v>
      </c>
      <c r="J48">
        <v>7.1</v>
      </c>
      <c r="K48">
        <v>6.7</v>
      </c>
      <c r="L48">
        <v>7.5</v>
      </c>
      <c r="M48">
        <v>6.2</v>
      </c>
      <c r="N48">
        <f t="shared" si="0"/>
        <v>75.1</v>
      </c>
    </row>
    <row r="49" spans="1:14">
      <c r="A49">
        <v>20173684</v>
      </c>
      <c r="B49" t="s">
        <v>14</v>
      </c>
      <c r="C49" t="str">
        <f>VLOOKUP(B49,专业代码!$B$2:$C$8,2,FALSE)</f>
        <v>会计学</v>
      </c>
      <c r="D49">
        <v>8.6</v>
      </c>
      <c r="E49">
        <v>6.6</v>
      </c>
      <c r="F49">
        <v>9.2</v>
      </c>
      <c r="G49">
        <v>7.5</v>
      </c>
      <c r="H49">
        <v>7.7</v>
      </c>
      <c r="I49">
        <v>9.4</v>
      </c>
      <c r="J49">
        <v>6.7</v>
      </c>
      <c r="K49">
        <v>6.7</v>
      </c>
      <c r="L49">
        <v>8</v>
      </c>
      <c r="M49">
        <v>4.3</v>
      </c>
      <c r="N49">
        <f t="shared" si="0"/>
        <v>74.7</v>
      </c>
    </row>
    <row r="50" spans="1:14">
      <c r="A50">
        <v>20176220</v>
      </c>
      <c r="B50" t="s">
        <v>14</v>
      </c>
      <c r="C50" t="str">
        <f>VLOOKUP(B50,专业代码!$B$2:$C$8,2,FALSE)</f>
        <v>会计学</v>
      </c>
      <c r="D50">
        <v>8.2</v>
      </c>
      <c r="E50">
        <v>8.2</v>
      </c>
      <c r="F50">
        <v>7.8</v>
      </c>
      <c r="G50">
        <v>7.5</v>
      </c>
      <c r="H50">
        <v>6.7</v>
      </c>
      <c r="I50">
        <v>6.7</v>
      </c>
      <c r="J50">
        <v>7.7</v>
      </c>
      <c r="K50">
        <v>8.3</v>
      </c>
      <c r="L50">
        <v>7.5</v>
      </c>
      <c r="M50">
        <v>5.9</v>
      </c>
      <c r="N50">
        <f t="shared" si="0"/>
        <v>74.5</v>
      </c>
    </row>
    <row r="51" spans="1:14">
      <c r="A51">
        <v>20177777</v>
      </c>
      <c r="B51" t="s">
        <v>14</v>
      </c>
      <c r="C51" t="str">
        <f>VLOOKUP(B51,专业代码!$B$2:$C$8,2,FALSE)</f>
        <v>会计学</v>
      </c>
      <c r="D51">
        <v>8.3</v>
      </c>
      <c r="E51">
        <v>8.6</v>
      </c>
      <c r="F51">
        <v>8.3</v>
      </c>
      <c r="G51">
        <v>7.4</v>
      </c>
      <c r="H51">
        <v>9.4</v>
      </c>
      <c r="I51">
        <v>6.3</v>
      </c>
      <c r="J51">
        <v>6.8</v>
      </c>
      <c r="K51">
        <v>6</v>
      </c>
      <c r="L51">
        <v>6.7</v>
      </c>
      <c r="M51">
        <v>6.7</v>
      </c>
      <c r="N51">
        <f t="shared" si="0"/>
        <v>74.5</v>
      </c>
    </row>
    <row r="52" spans="1:14">
      <c r="A52">
        <v>20177984</v>
      </c>
      <c r="B52" t="s">
        <v>14</v>
      </c>
      <c r="C52" t="str">
        <f>VLOOKUP(B52,专业代码!$B$2:$C$8,2,FALSE)</f>
        <v>会计学</v>
      </c>
      <c r="D52">
        <v>8.5</v>
      </c>
      <c r="E52">
        <v>7.8</v>
      </c>
      <c r="F52">
        <v>7.1</v>
      </c>
      <c r="G52">
        <v>6.9</v>
      </c>
      <c r="H52">
        <v>6.9</v>
      </c>
      <c r="I52">
        <v>7.5</v>
      </c>
      <c r="J52">
        <v>6.4</v>
      </c>
      <c r="K52">
        <v>6.7</v>
      </c>
      <c r="L52">
        <v>7.9</v>
      </c>
      <c r="M52">
        <v>4.6</v>
      </c>
      <c r="N52">
        <f t="shared" si="0"/>
        <v>70.3</v>
      </c>
    </row>
    <row r="53" spans="1:14">
      <c r="A53">
        <v>20171847</v>
      </c>
      <c r="B53" t="s">
        <v>14</v>
      </c>
      <c r="C53" t="str">
        <f>VLOOKUP(B53,专业代码!$B$2:$C$8,2,FALSE)</f>
        <v>会计学</v>
      </c>
      <c r="D53">
        <v>7.8</v>
      </c>
      <c r="E53">
        <v>6.4</v>
      </c>
      <c r="F53">
        <v>8.3</v>
      </c>
      <c r="G53">
        <v>7.8</v>
      </c>
      <c r="H53">
        <v>6</v>
      </c>
      <c r="I53">
        <v>6.9</v>
      </c>
      <c r="J53">
        <v>8.1</v>
      </c>
      <c r="K53">
        <v>7.6</v>
      </c>
      <c r="L53">
        <v>5.9</v>
      </c>
      <c r="M53">
        <v>4.8</v>
      </c>
      <c r="N53">
        <f t="shared" si="0"/>
        <v>69.6</v>
      </c>
    </row>
    <row r="54" spans="1:14">
      <c r="A54">
        <v>20172246</v>
      </c>
      <c r="B54" t="s">
        <v>14</v>
      </c>
      <c r="C54" t="str">
        <f>VLOOKUP(B54,专业代码!$B$2:$C$8,2,FALSE)</f>
        <v>会计学</v>
      </c>
      <c r="D54">
        <v>7.8</v>
      </c>
      <c r="E54">
        <v>8.6</v>
      </c>
      <c r="F54">
        <v>7.7</v>
      </c>
      <c r="G54">
        <v>6.9</v>
      </c>
      <c r="H54">
        <v>7.9</v>
      </c>
      <c r="I54">
        <v>6.1</v>
      </c>
      <c r="J54">
        <v>7.9</v>
      </c>
      <c r="K54">
        <v>6.9</v>
      </c>
      <c r="L54">
        <v>7.3</v>
      </c>
      <c r="M54">
        <v>7.5</v>
      </c>
      <c r="N54">
        <f t="shared" si="0"/>
        <v>74.6</v>
      </c>
    </row>
    <row r="55" spans="1:14">
      <c r="A55">
        <v>20174956</v>
      </c>
      <c r="B55" t="s">
        <v>14</v>
      </c>
      <c r="C55" t="str">
        <f>VLOOKUP(B55,专业代码!$B$2:$C$8,2,FALSE)</f>
        <v>会计学</v>
      </c>
      <c r="D55">
        <v>8.7</v>
      </c>
      <c r="E55">
        <v>8.5</v>
      </c>
      <c r="F55">
        <v>8.6</v>
      </c>
      <c r="G55">
        <v>7.2</v>
      </c>
      <c r="H55">
        <v>7.5</v>
      </c>
      <c r="I55">
        <v>6.8</v>
      </c>
      <c r="J55">
        <v>6.7</v>
      </c>
      <c r="K55">
        <v>6.4</v>
      </c>
      <c r="L55">
        <v>6.6</v>
      </c>
      <c r="M55">
        <v>4.6</v>
      </c>
      <c r="N55">
        <f t="shared" si="0"/>
        <v>71.6</v>
      </c>
    </row>
    <row r="56" spans="1:14">
      <c r="A56">
        <v>20175870</v>
      </c>
      <c r="B56" t="s">
        <v>14</v>
      </c>
      <c r="C56" t="str">
        <f>VLOOKUP(B56,专业代码!$B$2:$C$8,2,FALSE)</f>
        <v>会计学</v>
      </c>
      <c r="D56">
        <v>7.3</v>
      </c>
      <c r="E56">
        <v>7.6</v>
      </c>
      <c r="F56">
        <v>7.5</v>
      </c>
      <c r="G56">
        <v>8.1</v>
      </c>
      <c r="H56">
        <v>7.7</v>
      </c>
      <c r="I56">
        <v>7.2</v>
      </c>
      <c r="J56">
        <v>7</v>
      </c>
      <c r="K56">
        <v>6.4</v>
      </c>
      <c r="L56">
        <v>6.6</v>
      </c>
      <c r="M56">
        <v>4.8</v>
      </c>
      <c r="N56">
        <f t="shared" si="0"/>
        <v>70.2</v>
      </c>
    </row>
    <row r="57" spans="1:14">
      <c r="A57">
        <v>20176685</v>
      </c>
      <c r="B57" t="s">
        <v>14</v>
      </c>
      <c r="C57" t="str">
        <f>VLOOKUP(B57,专业代码!$B$2:$C$8,2,FALSE)</f>
        <v>会计学</v>
      </c>
      <c r="D57">
        <v>8.4</v>
      </c>
      <c r="E57">
        <v>7.6</v>
      </c>
      <c r="F57">
        <v>7.5</v>
      </c>
      <c r="G57">
        <v>8.1</v>
      </c>
      <c r="H57">
        <v>7.9</v>
      </c>
      <c r="I57">
        <v>7.2</v>
      </c>
      <c r="J57">
        <v>6.9</v>
      </c>
      <c r="K57">
        <v>6.3</v>
      </c>
      <c r="L57">
        <v>7</v>
      </c>
      <c r="M57">
        <v>7.2</v>
      </c>
      <c r="N57">
        <f t="shared" si="0"/>
        <v>74.1</v>
      </c>
    </row>
    <row r="58" spans="1:14">
      <c r="A58">
        <v>20179336</v>
      </c>
      <c r="B58" t="s">
        <v>14</v>
      </c>
      <c r="C58" t="str">
        <f>VLOOKUP(B58,专业代码!$B$2:$C$8,2,FALSE)</f>
        <v>会计学</v>
      </c>
      <c r="D58">
        <v>8.6</v>
      </c>
      <c r="E58">
        <v>7.4</v>
      </c>
      <c r="F58">
        <v>8.2</v>
      </c>
      <c r="G58">
        <v>7.5</v>
      </c>
      <c r="H58">
        <v>7.4</v>
      </c>
      <c r="I58">
        <v>6.8</v>
      </c>
      <c r="J58">
        <v>6.2</v>
      </c>
      <c r="K58">
        <v>7</v>
      </c>
      <c r="L58">
        <v>5</v>
      </c>
      <c r="M58">
        <v>6.5</v>
      </c>
      <c r="N58">
        <f t="shared" si="0"/>
        <v>70.6</v>
      </c>
    </row>
    <row r="59" spans="1:14">
      <c r="A59">
        <v>20177262</v>
      </c>
      <c r="B59" t="s">
        <v>14</v>
      </c>
      <c r="C59" t="str">
        <f>VLOOKUP(B59,专业代码!$B$2:$C$8,2,FALSE)</f>
        <v>会计学</v>
      </c>
      <c r="D59">
        <v>8</v>
      </c>
      <c r="E59">
        <v>7.9</v>
      </c>
      <c r="F59">
        <v>8.6</v>
      </c>
      <c r="G59">
        <v>7.3</v>
      </c>
      <c r="H59">
        <v>7.6</v>
      </c>
      <c r="I59">
        <v>6.7</v>
      </c>
      <c r="J59">
        <v>6.8</v>
      </c>
      <c r="K59">
        <v>7.3</v>
      </c>
      <c r="L59">
        <v>7.3</v>
      </c>
      <c r="M59">
        <v>6.7</v>
      </c>
      <c r="N59">
        <f t="shared" si="0"/>
        <v>74.2</v>
      </c>
    </row>
    <row r="60" spans="1:14">
      <c r="A60">
        <v>20177427</v>
      </c>
      <c r="B60" t="s">
        <v>14</v>
      </c>
      <c r="C60" t="str">
        <f>VLOOKUP(B60,专业代码!$B$2:$C$8,2,FALSE)</f>
        <v>会计学</v>
      </c>
      <c r="D60">
        <v>7.2</v>
      </c>
      <c r="E60">
        <v>8.5</v>
      </c>
      <c r="F60">
        <v>9</v>
      </c>
      <c r="G60">
        <v>8.1</v>
      </c>
      <c r="H60">
        <v>8.7</v>
      </c>
      <c r="I60">
        <v>8.7</v>
      </c>
      <c r="J60">
        <v>7.9</v>
      </c>
      <c r="K60">
        <v>5.4</v>
      </c>
      <c r="L60">
        <v>5.1</v>
      </c>
      <c r="M60">
        <v>6.8</v>
      </c>
      <c r="N60">
        <f t="shared" si="0"/>
        <v>75.4</v>
      </c>
    </row>
    <row r="61" spans="1:14">
      <c r="A61">
        <v>20171241</v>
      </c>
      <c r="B61" t="s">
        <v>14</v>
      </c>
      <c r="C61" t="str">
        <f>VLOOKUP(B61,专业代码!$B$2:$C$8,2,FALSE)</f>
        <v>会计学</v>
      </c>
      <c r="D61">
        <v>8.4</v>
      </c>
      <c r="E61">
        <v>8.5</v>
      </c>
      <c r="F61">
        <v>6.9</v>
      </c>
      <c r="G61">
        <v>7.3</v>
      </c>
      <c r="H61">
        <v>7.9</v>
      </c>
      <c r="I61">
        <v>6.7</v>
      </c>
      <c r="J61">
        <v>5.7</v>
      </c>
      <c r="K61">
        <v>5.2</v>
      </c>
      <c r="L61">
        <v>6.2</v>
      </c>
      <c r="M61">
        <v>5.4</v>
      </c>
      <c r="N61">
        <f t="shared" si="0"/>
        <v>68.2</v>
      </c>
    </row>
    <row r="62" spans="1:14">
      <c r="A62">
        <v>20172202</v>
      </c>
      <c r="B62" t="s">
        <v>14</v>
      </c>
      <c r="C62" t="str">
        <f>VLOOKUP(B62,专业代码!$B$2:$C$8,2,FALSE)</f>
        <v>会计学</v>
      </c>
      <c r="D62">
        <v>8.6</v>
      </c>
      <c r="E62">
        <v>8.2</v>
      </c>
      <c r="F62">
        <v>6.9</v>
      </c>
      <c r="G62">
        <v>7.6</v>
      </c>
      <c r="H62">
        <v>6.8</v>
      </c>
      <c r="I62">
        <v>8.2</v>
      </c>
      <c r="J62">
        <v>9.4</v>
      </c>
      <c r="K62">
        <v>5.9</v>
      </c>
      <c r="L62">
        <v>5</v>
      </c>
      <c r="M62">
        <v>6.8</v>
      </c>
      <c r="N62">
        <f t="shared" si="0"/>
        <v>73.4</v>
      </c>
    </row>
    <row r="63" spans="1:14">
      <c r="A63">
        <v>20177213</v>
      </c>
      <c r="B63" t="s">
        <v>14</v>
      </c>
      <c r="C63" t="str">
        <f>VLOOKUP(B63,专业代码!$B$2:$C$8,2,FALSE)</f>
        <v>会计学</v>
      </c>
      <c r="D63">
        <v>8</v>
      </c>
      <c r="E63">
        <v>7.4</v>
      </c>
      <c r="F63">
        <v>8.8</v>
      </c>
      <c r="G63">
        <v>8.3</v>
      </c>
      <c r="H63">
        <v>6.9</v>
      </c>
      <c r="I63">
        <v>8</v>
      </c>
      <c r="J63">
        <v>7.4</v>
      </c>
      <c r="K63">
        <v>7.2</v>
      </c>
      <c r="L63">
        <v>6.5</v>
      </c>
      <c r="M63">
        <v>5.4</v>
      </c>
      <c r="N63">
        <f t="shared" si="0"/>
        <v>73.9</v>
      </c>
    </row>
    <row r="64" spans="1:14">
      <c r="A64">
        <v>20176231</v>
      </c>
      <c r="B64" t="s">
        <v>14</v>
      </c>
      <c r="C64" t="str">
        <f>VLOOKUP(B64,专业代码!$B$2:$C$8,2,FALSE)</f>
        <v>会计学</v>
      </c>
      <c r="D64">
        <v>7.6</v>
      </c>
      <c r="E64">
        <v>8.2</v>
      </c>
      <c r="F64">
        <v>7.8</v>
      </c>
      <c r="G64">
        <v>8</v>
      </c>
      <c r="H64">
        <v>7.9</v>
      </c>
      <c r="I64">
        <v>6.7</v>
      </c>
      <c r="J64">
        <v>5.7</v>
      </c>
      <c r="K64">
        <v>6.8</v>
      </c>
      <c r="L64">
        <v>8.3</v>
      </c>
      <c r="M64">
        <v>8.1</v>
      </c>
      <c r="N64">
        <f t="shared" si="0"/>
        <v>75.1</v>
      </c>
    </row>
    <row r="65" spans="1:14">
      <c r="A65">
        <v>20171778</v>
      </c>
      <c r="B65" t="s">
        <v>14</v>
      </c>
      <c r="C65" t="str">
        <f>VLOOKUP(B65,专业代码!$B$2:$C$8,2,FALSE)</f>
        <v>会计学</v>
      </c>
      <c r="D65">
        <v>8.1</v>
      </c>
      <c r="E65">
        <v>7.5</v>
      </c>
      <c r="F65">
        <v>7.9</v>
      </c>
      <c r="G65">
        <v>7.9</v>
      </c>
      <c r="H65">
        <v>8</v>
      </c>
      <c r="I65">
        <v>7.9</v>
      </c>
      <c r="J65">
        <v>5.6</v>
      </c>
      <c r="K65">
        <v>8.7</v>
      </c>
      <c r="L65">
        <v>7.8</v>
      </c>
      <c r="M65">
        <v>7.2</v>
      </c>
      <c r="N65">
        <f t="shared" si="0"/>
        <v>76.6</v>
      </c>
    </row>
    <row r="66" spans="1:14">
      <c r="A66">
        <v>20172074</v>
      </c>
      <c r="B66" t="s">
        <v>14</v>
      </c>
      <c r="C66" t="str">
        <f>VLOOKUP(B66,专业代码!$B$2:$C$8,2,FALSE)</f>
        <v>会计学</v>
      </c>
      <c r="D66">
        <v>7.4</v>
      </c>
      <c r="E66">
        <v>8.4</v>
      </c>
      <c r="F66">
        <v>8.9</v>
      </c>
      <c r="G66">
        <v>8.5</v>
      </c>
      <c r="H66">
        <v>7.9</v>
      </c>
      <c r="I66">
        <v>6.5</v>
      </c>
      <c r="J66">
        <v>6.1</v>
      </c>
      <c r="K66">
        <v>6.9</v>
      </c>
      <c r="L66">
        <v>8.3</v>
      </c>
      <c r="M66">
        <v>5</v>
      </c>
      <c r="N66">
        <f t="shared" si="0"/>
        <v>73.9</v>
      </c>
    </row>
    <row r="67" spans="1:14">
      <c r="A67">
        <v>20172965</v>
      </c>
      <c r="B67" t="s">
        <v>14</v>
      </c>
      <c r="C67" t="str">
        <f>VLOOKUP(B67,专业代码!$B$2:$C$8,2,FALSE)</f>
        <v>会计学</v>
      </c>
      <c r="D67">
        <v>8.1</v>
      </c>
      <c r="E67">
        <v>8.7</v>
      </c>
      <c r="F67">
        <v>8</v>
      </c>
      <c r="G67">
        <v>6.9</v>
      </c>
      <c r="H67">
        <v>7.7</v>
      </c>
      <c r="I67">
        <v>8.6</v>
      </c>
      <c r="J67">
        <v>8.1</v>
      </c>
      <c r="K67">
        <v>7.1</v>
      </c>
      <c r="L67">
        <v>7.7</v>
      </c>
      <c r="M67">
        <v>5.5</v>
      </c>
      <c r="N67">
        <f t="shared" ref="N67:N130" si="1">SUM(D67:M67)</f>
        <v>76.4</v>
      </c>
    </row>
    <row r="68" spans="1:14">
      <c r="A68">
        <v>20176652</v>
      </c>
      <c r="B68" t="s">
        <v>14</v>
      </c>
      <c r="C68" t="str">
        <f>VLOOKUP(B68,专业代码!$B$2:$C$8,2,FALSE)</f>
        <v>会计学</v>
      </c>
      <c r="D68">
        <v>8.9</v>
      </c>
      <c r="E68">
        <v>8.4</v>
      </c>
      <c r="F68">
        <v>7.1</v>
      </c>
      <c r="G68">
        <v>8.7</v>
      </c>
      <c r="H68">
        <v>8.9</v>
      </c>
      <c r="I68">
        <v>6.7</v>
      </c>
      <c r="J68">
        <v>8.9</v>
      </c>
      <c r="K68">
        <v>6.5</v>
      </c>
      <c r="L68">
        <v>6.2</v>
      </c>
      <c r="M68">
        <v>4.8</v>
      </c>
      <c r="N68">
        <f t="shared" si="1"/>
        <v>75.1</v>
      </c>
    </row>
    <row r="69" spans="1:14">
      <c r="A69">
        <v>20177363</v>
      </c>
      <c r="B69" t="s">
        <v>14</v>
      </c>
      <c r="C69" t="str">
        <f>VLOOKUP(B69,专业代码!$B$2:$C$8,2,FALSE)</f>
        <v>会计学</v>
      </c>
      <c r="D69">
        <v>8.9</v>
      </c>
      <c r="E69">
        <v>8.5</v>
      </c>
      <c r="F69">
        <v>7.7</v>
      </c>
      <c r="G69">
        <v>8.7</v>
      </c>
      <c r="H69">
        <v>7.4</v>
      </c>
      <c r="I69">
        <v>7.3</v>
      </c>
      <c r="J69">
        <v>6.6</v>
      </c>
      <c r="K69">
        <v>6.7</v>
      </c>
      <c r="L69">
        <v>7.4</v>
      </c>
      <c r="M69">
        <v>4.8</v>
      </c>
      <c r="N69">
        <f t="shared" si="1"/>
        <v>74</v>
      </c>
    </row>
    <row r="70" spans="1:14">
      <c r="A70">
        <v>20178880</v>
      </c>
      <c r="B70" t="s">
        <v>14</v>
      </c>
      <c r="C70" t="str">
        <f>VLOOKUP(B70,专业代码!$B$2:$C$8,2,FALSE)</f>
        <v>会计学</v>
      </c>
      <c r="D70">
        <v>8.2</v>
      </c>
      <c r="E70">
        <v>7.3</v>
      </c>
      <c r="F70">
        <v>8.1</v>
      </c>
      <c r="G70">
        <v>8.2</v>
      </c>
      <c r="H70">
        <v>7.2</v>
      </c>
      <c r="I70">
        <v>6.7</v>
      </c>
      <c r="J70">
        <v>5.5</v>
      </c>
      <c r="K70">
        <v>7.8</v>
      </c>
      <c r="L70">
        <v>7.1</v>
      </c>
      <c r="M70">
        <v>4.9</v>
      </c>
      <c r="N70">
        <f t="shared" si="1"/>
        <v>71</v>
      </c>
    </row>
    <row r="71" spans="1:14">
      <c r="A71">
        <v>20172516</v>
      </c>
      <c r="B71" t="s">
        <v>15</v>
      </c>
      <c r="C71" t="str">
        <f>VLOOKUP(B71,专业代码!$B$2:$C$8,2,FALSE)</f>
        <v>保险学</v>
      </c>
      <c r="D71">
        <v>7.9</v>
      </c>
      <c r="E71">
        <v>7.2</v>
      </c>
      <c r="F71">
        <v>8.1</v>
      </c>
      <c r="G71">
        <v>8.2</v>
      </c>
      <c r="H71">
        <v>7.9</v>
      </c>
      <c r="I71">
        <v>7.9</v>
      </c>
      <c r="J71">
        <v>7</v>
      </c>
      <c r="K71">
        <v>6.3</v>
      </c>
      <c r="L71">
        <v>5.4</v>
      </c>
      <c r="M71">
        <v>6.4</v>
      </c>
      <c r="N71">
        <f t="shared" si="1"/>
        <v>72.3</v>
      </c>
    </row>
    <row r="72" spans="1:14">
      <c r="A72">
        <v>20172852</v>
      </c>
      <c r="B72" t="s">
        <v>15</v>
      </c>
      <c r="C72" t="str">
        <f>VLOOKUP(B72,专业代码!$B$2:$C$8,2,FALSE)</f>
        <v>保险学</v>
      </c>
      <c r="D72">
        <v>8.2</v>
      </c>
      <c r="E72">
        <v>8.5</v>
      </c>
      <c r="F72">
        <v>6.7</v>
      </c>
      <c r="G72">
        <v>7.5</v>
      </c>
      <c r="H72">
        <v>8.1</v>
      </c>
      <c r="I72">
        <v>6.4</v>
      </c>
      <c r="J72">
        <v>7.6</v>
      </c>
      <c r="K72">
        <v>8.6</v>
      </c>
      <c r="L72">
        <v>7.4</v>
      </c>
      <c r="M72">
        <v>7</v>
      </c>
      <c r="N72">
        <f t="shared" si="1"/>
        <v>76</v>
      </c>
    </row>
    <row r="73" spans="1:14">
      <c r="A73">
        <v>20179178</v>
      </c>
      <c r="B73" t="s">
        <v>15</v>
      </c>
      <c r="C73" t="str">
        <f>VLOOKUP(B73,专业代码!$B$2:$C$8,2,FALSE)</f>
        <v>保险学</v>
      </c>
      <c r="D73">
        <v>7.3</v>
      </c>
      <c r="E73">
        <v>8.4</v>
      </c>
      <c r="F73">
        <v>7.8</v>
      </c>
      <c r="G73">
        <v>7.2</v>
      </c>
      <c r="H73">
        <v>7.6</v>
      </c>
      <c r="I73">
        <v>7.1</v>
      </c>
      <c r="J73">
        <v>6.8</v>
      </c>
      <c r="K73">
        <v>6</v>
      </c>
      <c r="L73">
        <v>8.5</v>
      </c>
      <c r="M73">
        <v>7.5</v>
      </c>
      <c r="N73">
        <f t="shared" si="1"/>
        <v>74.2</v>
      </c>
    </row>
    <row r="74" spans="1:14">
      <c r="A74">
        <v>20175784</v>
      </c>
      <c r="B74" t="s">
        <v>15</v>
      </c>
      <c r="C74" t="str">
        <f>VLOOKUP(B74,专业代码!$B$2:$C$8,2,FALSE)</f>
        <v>保险学</v>
      </c>
      <c r="D74">
        <v>7.6</v>
      </c>
      <c r="E74">
        <v>7.3</v>
      </c>
      <c r="F74">
        <v>7.9</v>
      </c>
      <c r="G74">
        <v>7.9</v>
      </c>
      <c r="H74">
        <v>6.5</v>
      </c>
      <c r="I74">
        <v>6.3</v>
      </c>
      <c r="J74">
        <v>5.2</v>
      </c>
      <c r="K74">
        <v>7.3</v>
      </c>
      <c r="L74">
        <v>6.5</v>
      </c>
      <c r="M74">
        <v>6.8</v>
      </c>
      <c r="N74">
        <f t="shared" si="1"/>
        <v>69.3</v>
      </c>
    </row>
    <row r="75" spans="1:14">
      <c r="A75">
        <v>20175619</v>
      </c>
      <c r="B75" t="s">
        <v>15</v>
      </c>
      <c r="C75" t="str">
        <f>VLOOKUP(B75,专业代码!$B$2:$C$8,2,FALSE)</f>
        <v>保险学</v>
      </c>
      <c r="D75">
        <v>7.8</v>
      </c>
      <c r="E75">
        <v>7.3</v>
      </c>
      <c r="F75">
        <v>7.6</v>
      </c>
      <c r="G75">
        <v>7</v>
      </c>
      <c r="H75">
        <v>6.6</v>
      </c>
      <c r="I75">
        <v>7.1</v>
      </c>
      <c r="J75">
        <v>8.4</v>
      </c>
      <c r="K75">
        <v>6.4</v>
      </c>
      <c r="L75">
        <v>6.7</v>
      </c>
      <c r="M75">
        <v>6.7</v>
      </c>
      <c r="N75">
        <f t="shared" si="1"/>
        <v>71.6</v>
      </c>
    </row>
    <row r="76" spans="1:14">
      <c r="A76">
        <v>20172045</v>
      </c>
      <c r="B76" t="s">
        <v>15</v>
      </c>
      <c r="C76" t="str">
        <f>VLOOKUP(B76,专业代码!$B$2:$C$8,2,FALSE)</f>
        <v>保险学</v>
      </c>
      <c r="D76">
        <v>8.1</v>
      </c>
      <c r="E76">
        <v>6.7</v>
      </c>
      <c r="F76">
        <v>7.4</v>
      </c>
      <c r="G76">
        <v>7.4</v>
      </c>
      <c r="H76">
        <v>7.8</v>
      </c>
      <c r="I76">
        <v>6.3</v>
      </c>
      <c r="J76">
        <v>6.1</v>
      </c>
      <c r="K76">
        <v>4.8</v>
      </c>
      <c r="L76">
        <v>7.4</v>
      </c>
      <c r="M76">
        <v>5</v>
      </c>
      <c r="N76">
        <f t="shared" si="1"/>
        <v>67</v>
      </c>
    </row>
    <row r="77" spans="1:14">
      <c r="A77">
        <v>20174850</v>
      </c>
      <c r="B77" t="s">
        <v>15</v>
      </c>
      <c r="C77" t="str">
        <f>VLOOKUP(B77,专业代码!$B$2:$C$8,2,FALSE)</f>
        <v>保险学</v>
      </c>
      <c r="D77">
        <v>9.4</v>
      </c>
      <c r="E77">
        <v>9.4</v>
      </c>
      <c r="F77">
        <v>8.9</v>
      </c>
      <c r="G77">
        <v>8.3</v>
      </c>
      <c r="H77">
        <v>7.3</v>
      </c>
      <c r="I77">
        <v>8.8</v>
      </c>
      <c r="J77">
        <v>6.3</v>
      </c>
      <c r="K77">
        <v>8.5</v>
      </c>
      <c r="L77">
        <v>7.4</v>
      </c>
      <c r="M77">
        <v>4.6</v>
      </c>
      <c r="N77">
        <f t="shared" si="1"/>
        <v>78.9</v>
      </c>
    </row>
    <row r="78" spans="1:14">
      <c r="A78">
        <v>20179347</v>
      </c>
      <c r="B78" t="s">
        <v>15</v>
      </c>
      <c r="C78" t="str">
        <f>VLOOKUP(B78,专业代码!$B$2:$C$8,2,FALSE)</f>
        <v>保险学</v>
      </c>
      <c r="D78">
        <v>8.5</v>
      </c>
      <c r="E78">
        <v>9</v>
      </c>
      <c r="F78">
        <v>8.6</v>
      </c>
      <c r="G78">
        <v>9</v>
      </c>
      <c r="H78">
        <v>8</v>
      </c>
      <c r="I78">
        <v>8</v>
      </c>
      <c r="J78">
        <v>8.4</v>
      </c>
      <c r="K78">
        <v>6.4</v>
      </c>
      <c r="L78">
        <v>7.1</v>
      </c>
      <c r="M78">
        <v>6.7</v>
      </c>
      <c r="N78">
        <f t="shared" si="1"/>
        <v>79.7</v>
      </c>
    </row>
    <row r="79" spans="1:14">
      <c r="A79">
        <v>20171249</v>
      </c>
      <c r="B79" t="s">
        <v>15</v>
      </c>
      <c r="C79" t="str">
        <f>VLOOKUP(B79,专业代码!$B$2:$C$8,2,FALSE)</f>
        <v>保险学</v>
      </c>
      <c r="D79">
        <v>8.4</v>
      </c>
      <c r="E79">
        <v>8.3</v>
      </c>
      <c r="F79">
        <v>8.5</v>
      </c>
      <c r="G79">
        <v>7.6</v>
      </c>
      <c r="H79">
        <v>8</v>
      </c>
      <c r="I79">
        <v>6.5</v>
      </c>
      <c r="J79">
        <v>8.1</v>
      </c>
      <c r="K79">
        <v>7.1</v>
      </c>
      <c r="L79">
        <v>6.1</v>
      </c>
      <c r="M79">
        <v>5.3</v>
      </c>
      <c r="N79">
        <f t="shared" si="1"/>
        <v>73.9</v>
      </c>
    </row>
    <row r="80" spans="1:14">
      <c r="A80">
        <v>20177960</v>
      </c>
      <c r="B80" t="s">
        <v>15</v>
      </c>
      <c r="C80" t="str">
        <f>VLOOKUP(B80,专业代码!$B$2:$C$8,2,FALSE)</f>
        <v>保险学</v>
      </c>
      <c r="D80">
        <v>8</v>
      </c>
      <c r="E80">
        <v>7.8</v>
      </c>
      <c r="F80">
        <v>7.8</v>
      </c>
      <c r="G80">
        <v>6.9</v>
      </c>
      <c r="H80">
        <v>7.1</v>
      </c>
      <c r="I80">
        <v>7.3</v>
      </c>
      <c r="J80">
        <v>4.9</v>
      </c>
      <c r="K80">
        <v>7</v>
      </c>
      <c r="L80">
        <v>8.5</v>
      </c>
      <c r="M80">
        <v>3.9</v>
      </c>
      <c r="N80">
        <f t="shared" si="1"/>
        <v>69.2</v>
      </c>
    </row>
    <row r="81" spans="1:14">
      <c r="A81">
        <v>20176883</v>
      </c>
      <c r="B81" t="s">
        <v>15</v>
      </c>
      <c r="C81" t="str">
        <f>VLOOKUP(B81,专业代码!$B$2:$C$8,2,FALSE)</f>
        <v>保险学</v>
      </c>
      <c r="D81">
        <v>8</v>
      </c>
      <c r="E81">
        <v>7.9</v>
      </c>
      <c r="F81">
        <v>7.1</v>
      </c>
      <c r="G81">
        <v>7.9</v>
      </c>
      <c r="H81">
        <v>6.8</v>
      </c>
      <c r="I81">
        <v>7.5</v>
      </c>
      <c r="J81">
        <v>5.9</v>
      </c>
      <c r="K81">
        <v>6.7</v>
      </c>
      <c r="L81">
        <v>7</v>
      </c>
      <c r="M81">
        <v>4.4</v>
      </c>
      <c r="N81">
        <f t="shared" si="1"/>
        <v>69.2</v>
      </c>
    </row>
    <row r="82" spans="1:14">
      <c r="A82">
        <v>20171242</v>
      </c>
      <c r="B82" t="s">
        <v>15</v>
      </c>
      <c r="C82" t="str">
        <f>VLOOKUP(B82,专业代码!$B$2:$C$8,2,FALSE)</f>
        <v>保险学</v>
      </c>
      <c r="D82">
        <v>8.7</v>
      </c>
      <c r="E82">
        <v>7.2</v>
      </c>
      <c r="F82">
        <v>7.5</v>
      </c>
      <c r="G82">
        <v>7.8</v>
      </c>
      <c r="H82">
        <v>7.5</v>
      </c>
      <c r="I82">
        <v>7.5</v>
      </c>
      <c r="J82">
        <v>8</v>
      </c>
      <c r="K82">
        <v>5.8</v>
      </c>
      <c r="L82">
        <v>5.3</v>
      </c>
      <c r="M82">
        <v>8</v>
      </c>
      <c r="N82">
        <f t="shared" si="1"/>
        <v>73.3</v>
      </c>
    </row>
    <row r="83" spans="1:14">
      <c r="A83">
        <v>20174583</v>
      </c>
      <c r="B83" t="s">
        <v>15</v>
      </c>
      <c r="C83" t="str">
        <f>VLOOKUP(B83,专业代码!$B$2:$C$8,2,FALSE)</f>
        <v>保险学</v>
      </c>
      <c r="D83">
        <v>8.1</v>
      </c>
      <c r="E83">
        <v>7.4</v>
      </c>
      <c r="F83">
        <v>6.7</v>
      </c>
      <c r="G83">
        <v>7.6</v>
      </c>
      <c r="H83">
        <v>7.7</v>
      </c>
      <c r="I83">
        <v>6.6</v>
      </c>
      <c r="J83">
        <v>6.5</v>
      </c>
      <c r="K83">
        <v>6.8</v>
      </c>
      <c r="L83">
        <v>6.4</v>
      </c>
      <c r="M83">
        <v>4.5</v>
      </c>
      <c r="N83">
        <f t="shared" si="1"/>
        <v>68.3</v>
      </c>
    </row>
    <row r="84" spans="1:14">
      <c r="A84">
        <v>20179877</v>
      </c>
      <c r="B84" t="s">
        <v>15</v>
      </c>
      <c r="C84" t="str">
        <f>VLOOKUP(B84,专业代码!$B$2:$C$8,2,FALSE)</f>
        <v>保险学</v>
      </c>
      <c r="D84">
        <v>6.9</v>
      </c>
      <c r="E84">
        <v>8.2</v>
      </c>
      <c r="F84">
        <v>8.2</v>
      </c>
      <c r="G84">
        <v>8.1</v>
      </c>
      <c r="H84">
        <v>7.4</v>
      </c>
      <c r="I84">
        <v>6.4</v>
      </c>
      <c r="J84">
        <v>6.7</v>
      </c>
      <c r="K84">
        <v>6.1</v>
      </c>
      <c r="L84">
        <v>5.8</v>
      </c>
      <c r="M84">
        <v>5.5</v>
      </c>
      <c r="N84">
        <f t="shared" si="1"/>
        <v>69.3</v>
      </c>
    </row>
    <row r="85" spans="1:14">
      <c r="A85">
        <v>20172314</v>
      </c>
      <c r="B85" t="s">
        <v>15</v>
      </c>
      <c r="C85" t="str">
        <f>VLOOKUP(B85,专业代码!$B$2:$C$8,2,FALSE)</f>
        <v>保险学</v>
      </c>
      <c r="D85">
        <v>7.9</v>
      </c>
      <c r="E85">
        <v>8</v>
      </c>
      <c r="F85">
        <v>7.8</v>
      </c>
      <c r="G85">
        <v>8.1</v>
      </c>
      <c r="H85">
        <v>8.5</v>
      </c>
      <c r="I85">
        <v>6.3</v>
      </c>
      <c r="J85">
        <v>5</v>
      </c>
      <c r="K85">
        <v>6.7</v>
      </c>
      <c r="L85">
        <v>4.9</v>
      </c>
      <c r="M85">
        <v>6.4</v>
      </c>
      <c r="N85">
        <f t="shared" si="1"/>
        <v>69.6</v>
      </c>
    </row>
    <row r="86" spans="1:14">
      <c r="A86">
        <v>20176439</v>
      </c>
      <c r="B86" t="s">
        <v>15</v>
      </c>
      <c r="C86" t="str">
        <f>VLOOKUP(B86,专业代码!$B$2:$C$8,2,FALSE)</f>
        <v>保险学</v>
      </c>
      <c r="D86">
        <v>7.7</v>
      </c>
      <c r="E86">
        <v>7.7</v>
      </c>
      <c r="F86">
        <v>7.9</v>
      </c>
      <c r="G86">
        <v>7.6</v>
      </c>
      <c r="H86">
        <v>7.5</v>
      </c>
      <c r="I86">
        <v>6.7</v>
      </c>
      <c r="J86">
        <v>6.7</v>
      </c>
      <c r="K86">
        <v>5.9</v>
      </c>
      <c r="L86">
        <v>6.1</v>
      </c>
      <c r="M86">
        <v>4.6</v>
      </c>
      <c r="N86">
        <f t="shared" si="1"/>
        <v>68.4</v>
      </c>
    </row>
    <row r="87" spans="1:14">
      <c r="A87">
        <v>20174894</v>
      </c>
      <c r="B87" t="s">
        <v>15</v>
      </c>
      <c r="C87" t="str">
        <f>VLOOKUP(B87,专业代码!$B$2:$C$8,2,FALSE)</f>
        <v>保险学</v>
      </c>
      <c r="D87">
        <v>7.3</v>
      </c>
      <c r="E87">
        <v>7.1</v>
      </c>
      <c r="F87">
        <v>7.4</v>
      </c>
      <c r="G87">
        <v>8.1</v>
      </c>
      <c r="H87">
        <v>7.4</v>
      </c>
      <c r="I87">
        <v>6.9</v>
      </c>
      <c r="J87">
        <v>7.2</v>
      </c>
      <c r="K87">
        <v>5</v>
      </c>
      <c r="L87">
        <v>6.4</v>
      </c>
      <c r="M87">
        <v>5.6</v>
      </c>
      <c r="N87">
        <f t="shared" si="1"/>
        <v>68.4</v>
      </c>
    </row>
    <row r="88" spans="1:14">
      <c r="A88">
        <v>20178028</v>
      </c>
      <c r="B88" t="s">
        <v>15</v>
      </c>
      <c r="C88" t="str">
        <f>VLOOKUP(B88,专业代码!$B$2:$C$8,2,FALSE)</f>
        <v>保险学</v>
      </c>
      <c r="D88">
        <v>9</v>
      </c>
      <c r="E88">
        <v>7</v>
      </c>
      <c r="F88">
        <v>6.7</v>
      </c>
      <c r="G88">
        <v>7.3</v>
      </c>
      <c r="H88">
        <v>7.5</v>
      </c>
      <c r="I88">
        <v>5.9</v>
      </c>
      <c r="J88">
        <v>7.6</v>
      </c>
      <c r="K88">
        <v>5.5</v>
      </c>
      <c r="L88">
        <v>5.9</v>
      </c>
      <c r="M88">
        <v>5.6</v>
      </c>
      <c r="N88">
        <f t="shared" si="1"/>
        <v>68</v>
      </c>
    </row>
    <row r="89" spans="1:14">
      <c r="A89">
        <v>20179981</v>
      </c>
      <c r="B89" t="s">
        <v>15</v>
      </c>
      <c r="C89" t="str">
        <f>VLOOKUP(B89,专业代码!$B$2:$C$8,2,FALSE)</f>
        <v>保险学</v>
      </c>
      <c r="D89">
        <v>8.5</v>
      </c>
      <c r="E89">
        <v>7.6</v>
      </c>
      <c r="F89">
        <v>8.2</v>
      </c>
      <c r="G89">
        <v>8.1</v>
      </c>
      <c r="H89">
        <v>7.4</v>
      </c>
      <c r="I89">
        <v>7.3</v>
      </c>
      <c r="J89">
        <v>5.8</v>
      </c>
      <c r="K89">
        <v>7.6</v>
      </c>
      <c r="L89">
        <v>7.9</v>
      </c>
      <c r="M89">
        <v>5.2</v>
      </c>
      <c r="N89">
        <f t="shared" si="1"/>
        <v>73.6</v>
      </c>
    </row>
    <row r="90" spans="1:14">
      <c r="A90">
        <v>20171828</v>
      </c>
      <c r="B90" t="s">
        <v>15</v>
      </c>
      <c r="C90" t="str">
        <f>VLOOKUP(B90,专业代码!$B$2:$C$8,2,FALSE)</f>
        <v>保险学</v>
      </c>
      <c r="D90">
        <v>8.1</v>
      </c>
      <c r="E90">
        <v>8.2</v>
      </c>
      <c r="F90">
        <v>8.3</v>
      </c>
      <c r="G90">
        <v>7.6</v>
      </c>
      <c r="H90">
        <v>7.6</v>
      </c>
      <c r="I90">
        <v>7.3</v>
      </c>
      <c r="J90">
        <v>7.2</v>
      </c>
      <c r="K90">
        <v>5.9</v>
      </c>
      <c r="L90">
        <v>8</v>
      </c>
      <c r="M90">
        <v>4.9</v>
      </c>
      <c r="N90">
        <f t="shared" si="1"/>
        <v>73.1</v>
      </c>
    </row>
    <row r="91" spans="1:14">
      <c r="A91">
        <v>20177185</v>
      </c>
      <c r="B91" t="s">
        <v>15</v>
      </c>
      <c r="C91" t="str">
        <f>VLOOKUP(B91,专业代码!$B$2:$C$8,2,FALSE)</f>
        <v>保险学</v>
      </c>
      <c r="D91">
        <v>8.2</v>
      </c>
      <c r="E91">
        <v>8.2</v>
      </c>
      <c r="F91">
        <v>7.6</v>
      </c>
      <c r="G91">
        <v>8</v>
      </c>
      <c r="H91">
        <v>6.9</v>
      </c>
      <c r="I91">
        <v>7.8</v>
      </c>
      <c r="J91">
        <v>7</v>
      </c>
      <c r="K91">
        <v>7.2</v>
      </c>
      <c r="L91">
        <v>6.9</v>
      </c>
      <c r="M91">
        <v>6.7</v>
      </c>
      <c r="N91">
        <f t="shared" si="1"/>
        <v>74.5</v>
      </c>
    </row>
    <row r="92" spans="1:14">
      <c r="A92">
        <v>20179580</v>
      </c>
      <c r="B92" t="s">
        <v>16</v>
      </c>
      <c r="C92" t="str">
        <f>VLOOKUP(B92,专业代码!$B$2:$C$8,2,FALSE)</f>
        <v>金融学</v>
      </c>
      <c r="D92">
        <v>8.7</v>
      </c>
      <c r="E92">
        <v>7.6</v>
      </c>
      <c r="F92">
        <v>7.4</v>
      </c>
      <c r="G92">
        <v>7</v>
      </c>
      <c r="H92">
        <v>8.2</v>
      </c>
      <c r="I92">
        <v>7.8</v>
      </c>
      <c r="J92">
        <v>5.7</v>
      </c>
      <c r="K92">
        <v>6.8</v>
      </c>
      <c r="L92">
        <v>6.8</v>
      </c>
      <c r="M92">
        <v>5.1</v>
      </c>
      <c r="N92">
        <f t="shared" si="1"/>
        <v>71.1</v>
      </c>
    </row>
    <row r="93" spans="1:14">
      <c r="A93">
        <v>20174944</v>
      </c>
      <c r="B93" t="s">
        <v>16</v>
      </c>
      <c r="C93" t="str">
        <f>VLOOKUP(B93,专业代码!$B$2:$C$8,2,FALSE)</f>
        <v>金融学</v>
      </c>
      <c r="D93">
        <v>8.3</v>
      </c>
      <c r="E93">
        <v>7.9</v>
      </c>
      <c r="F93">
        <v>8.7</v>
      </c>
      <c r="G93">
        <v>8.2</v>
      </c>
      <c r="H93">
        <v>8.1</v>
      </c>
      <c r="I93">
        <v>7.8</v>
      </c>
      <c r="J93">
        <v>7.1</v>
      </c>
      <c r="K93">
        <v>9.2</v>
      </c>
      <c r="L93">
        <v>8.7</v>
      </c>
      <c r="M93">
        <v>6.3</v>
      </c>
      <c r="N93">
        <f t="shared" si="1"/>
        <v>80.3</v>
      </c>
    </row>
    <row r="94" spans="1:14">
      <c r="A94">
        <v>20178691</v>
      </c>
      <c r="B94" t="s">
        <v>16</v>
      </c>
      <c r="C94" t="str">
        <f>VLOOKUP(B94,专业代码!$B$2:$C$8,2,FALSE)</f>
        <v>金融学</v>
      </c>
      <c r="D94">
        <v>8.8</v>
      </c>
      <c r="E94">
        <v>7.8</v>
      </c>
      <c r="F94">
        <v>8.6</v>
      </c>
      <c r="G94">
        <v>7.5</v>
      </c>
      <c r="H94">
        <v>9</v>
      </c>
      <c r="I94">
        <v>7.3</v>
      </c>
      <c r="J94">
        <v>8.6</v>
      </c>
      <c r="K94">
        <v>6.8</v>
      </c>
      <c r="L94">
        <v>6.7</v>
      </c>
      <c r="M94">
        <v>5.2</v>
      </c>
      <c r="N94">
        <f t="shared" si="1"/>
        <v>76.3</v>
      </c>
    </row>
    <row r="95" spans="1:14">
      <c r="A95">
        <v>20173385</v>
      </c>
      <c r="B95" t="s">
        <v>16</v>
      </c>
      <c r="C95" t="str">
        <f>VLOOKUP(B95,专业代码!$B$2:$C$8,2,FALSE)</f>
        <v>金融学</v>
      </c>
      <c r="D95">
        <v>8.6</v>
      </c>
      <c r="E95">
        <v>8.6</v>
      </c>
      <c r="F95">
        <v>8.6</v>
      </c>
      <c r="G95">
        <v>8</v>
      </c>
      <c r="H95">
        <v>8.6</v>
      </c>
      <c r="I95">
        <v>7.2</v>
      </c>
      <c r="J95">
        <v>7</v>
      </c>
      <c r="K95">
        <v>8.6</v>
      </c>
      <c r="L95">
        <v>6.9</v>
      </c>
      <c r="M95">
        <v>8</v>
      </c>
      <c r="N95">
        <f t="shared" si="1"/>
        <v>80.1</v>
      </c>
    </row>
    <row r="96" spans="1:14">
      <c r="A96">
        <v>20173456</v>
      </c>
      <c r="B96" t="s">
        <v>16</v>
      </c>
      <c r="C96" t="str">
        <f>VLOOKUP(B96,专业代码!$B$2:$C$8,2,FALSE)</f>
        <v>金融学</v>
      </c>
      <c r="D96">
        <v>8.5</v>
      </c>
      <c r="E96">
        <v>8.9</v>
      </c>
      <c r="F96">
        <v>9.4</v>
      </c>
      <c r="G96">
        <v>8.3</v>
      </c>
      <c r="H96">
        <v>7.4</v>
      </c>
      <c r="I96">
        <v>7.9</v>
      </c>
      <c r="J96">
        <v>5.4</v>
      </c>
      <c r="K96">
        <v>8.4</v>
      </c>
      <c r="L96">
        <v>6.5</v>
      </c>
      <c r="M96">
        <v>4.9</v>
      </c>
      <c r="N96">
        <f t="shared" si="1"/>
        <v>75.6</v>
      </c>
    </row>
    <row r="97" spans="1:14">
      <c r="A97">
        <v>20178910</v>
      </c>
      <c r="B97" t="s">
        <v>16</v>
      </c>
      <c r="C97" t="str">
        <f>VLOOKUP(B97,专业代码!$B$2:$C$8,2,FALSE)</f>
        <v>金融学</v>
      </c>
      <c r="D97">
        <v>8.5</v>
      </c>
      <c r="E97">
        <v>8.3</v>
      </c>
      <c r="F97">
        <v>9.4</v>
      </c>
      <c r="G97">
        <v>9</v>
      </c>
      <c r="H97">
        <v>6.6</v>
      </c>
      <c r="I97">
        <v>6.7</v>
      </c>
      <c r="J97">
        <v>6.1</v>
      </c>
      <c r="K97">
        <v>7.4</v>
      </c>
      <c r="L97">
        <v>5.3</v>
      </c>
      <c r="M97">
        <v>4.4</v>
      </c>
      <c r="N97">
        <f t="shared" si="1"/>
        <v>71.7</v>
      </c>
    </row>
    <row r="98" spans="1:14">
      <c r="A98">
        <v>20179622</v>
      </c>
      <c r="B98" t="s">
        <v>16</v>
      </c>
      <c r="C98" t="str">
        <f>VLOOKUP(B98,专业代码!$B$2:$C$8,2,FALSE)</f>
        <v>金融学</v>
      </c>
      <c r="D98">
        <v>8</v>
      </c>
      <c r="E98">
        <v>9.4</v>
      </c>
      <c r="F98">
        <v>8.8</v>
      </c>
      <c r="G98">
        <v>8.4</v>
      </c>
      <c r="H98">
        <v>6.7</v>
      </c>
      <c r="I98">
        <v>7.5</v>
      </c>
      <c r="J98">
        <v>5.9</v>
      </c>
      <c r="K98">
        <v>7.9</v>
      </c>
      <c r="L98">
        <v>5.3</v>
      </c>
      <c r="M98">
        <v>6</v>
      </c>
      <c r="N98">
        <f t="shared" si="1"/>
        <v>73.9</v>
      </c>
    </row>
    <row r="99" spans="1:14">
      <c r="A99">
        <v>20177508</v>
      </c>
      <c r="B99" t="s">
        <v>16</v>
      </c>
      <c r="C99" t="str">
        <f>VLOOKUP(B99,专业代码!$B$2:$C$8,2,FALSE)</f>
        <v>金融学</v>
      </c>
      <c r="D99">
        <v>9.1</v>
      </c>
      <c r="E99">
        <v>9.1</v>
      </c>
      <c r="F99">
        <v>9</v>
      </c>
      <c r="G99">
        <v>7.8</v>
      </c>
      <c r="H99">
        <v>8.8</v>
      </c>
      <c r="I99">
        <v>8.1</v>
      </c>
      <c r="J99">
        <v>7.2</v>
      </c>
      <c r="K99">
        <v>7.6</v>
      </c>
      <c r="L99">
        <v>8.6</v>
      </c>
      <c r="M99">
        <v>7.8</v>
      </c>
      <c r="N99">
        <f t="shared" si="1"/>
        <v>83.1</v>
      </c>
    </row>
    <row r="100" spans="1:14">
      <c r="A100">
        <v>20178547</v>
      </c>
      <c r="B100" t="s">
        <v>16</v>
      </c>
      <c r="C100" t="str">
        <f>VLOOKUP(B100,专业代码!$B$2:$C$8,2,FALSE)</f>
        <v>金融学</v>
      </c>
      <c r="D100">
        <v>9.4</v>
      </c>
      <c r="E100">
        <v>9.4</v>
      </c>
      <c r="F100">
        <v>9.4</v>
      </c>
      <c r="G100">
        <v>9.1</v>
      </c>
      <c r="H100">
        <v>7.8</v>
      </c>
      <c r="I100">
        <v>8.8</v>
      </c>
      <c r="J100">
        <v>9.1</v>
      </c>
      <c r="K100">
        <v>6.8</v>
      </c>
      <c r="L100">
        <v>8.7</v>
      </c>
      <c r="M100">
        <v>7.2</v>
      </c>
      <c r="N100">
        <f t="shared" si="1"/>
        <v>85.7</v>
      </c>
    </row>
    <row r="101" spans="1:14">
      <c r="A101">
        <v>20176174</v>
      </c>
      <c r="B101" t="s">
        <v>16</v>
      </c>
      <c r="C101" t="str">
        <f>VLOOKUP(B101,专业代码!$B$2:$C$8,2,FALSE)</f>
        <v>金融学</v>
      </c>
      <c r="D101">
        <v>8.9</v>
      </c>
      <c r="E101">
        <v>8</v>
      </c>
      <c r="F101">
        <v>9.4</v>
      </c>
      <c r="G101">
        <v>7.4</v>
      </c>
      <c r="H101">
        <v>7.8</v>
      </c>
      <c r="I101">
        <v>8.2</v>
      </c>
      <c r="J101">
        <v>8.1</v>
      </c>
      <c r="K101">
        <v>7.1</v>
      </c>
      <c r="L101">
        <v>8.4</v>
      </c>
      <c r="M101">
        <v>5.2</v>
      </c>
      <c r="N101">
        <f t="shared" si="1"/>
        <v>78.5</v>
      </c>
    </row>
    <row r="102" spans="1:14">
      <c r="A102">
        <v>20179222</v>
      </c>
      <c r="B102" t="s">
        <v>16</v>
      </c>
      <c r="C102" t="str">
        <f>VLOOKUP(B102,专业代码!$B$2:$C$8,2,FALSE)</f>
        <v>金融学</v>
      </c>
      <c r="D102">
        <v>8.4</v>
      </c>
      <c r="E102">
        <v>8.7</v>
      </c>
      <c r="F102">
        <v>8.6</v>
      </c>
      <c r="G102">
        <v>8.4</v>
      </c>
      <c r="H102">
        <v>7.4</v>
      </c>
      <c r="I102">
        <v>7.4</v>
      </c>
      <c r="J102">
        <v>7.6</v>
      </c>
      <c r="K102">
        <v>6.2</v>
      </c>
      <c r="L102">
        <v>5.6</v>
      </c>
      <c r="M102">
        <v>4.7</v>
      </c>
      <c r="N102">
        <f t="shared" si="1"/>
        <v>73</v>
      </c>
    </row>
    <row r="103" spans="1:14">
      <c r="A103">
        <v>20179274</v>
      </c>
      <c r="B103" t="s">
        <v>16</v>
      </c>
      <c r="C103" t="str">
        <f>VLOOKUP(B103,专业代码!$B$2:$C$8,2,FALSE)</f>
        <v>金融学</v>
      </c>
      <c r="D103">
        <v>8.1</v>
      </c>
      <c r="E103">
        <v>9</v>
      </c>
      <c r="F103">
        <v>8.1</v>
      </c>
      <c r="G103">
        <v>8.5</v>
      </c>
      <c r="H103">
        <v>7.8</v>
      </c>
      <c r="I103">
        <v>8.4</v>
      </c>
      <c r="J103">
        <v>8.5</v>
      </c>
      <c r="K103">
        <v>7.1</v>
      </c>
      <c r="L103">
        <v>6.5</v>
      </c>
      <c r="M103">
        <v>5.7</v>
      </c>
      <c r="N103">
        <f t="shared" si="1"/>
        <v>77.7</v>
      </c>
    </row>
    <row r="104" spans="1:14">
      <c r="A104">
        <v>20173213</v>
      </c>
      <c r="B104" t="s">
        <v>16</v>
      </c>
      <c r="C104" t="str">
        <f>VLOOKUP(B104,专业代码!$B$2:$C$8,2,FALSE)</f>
        <v>金融学</v>
      </c>
      <c r="D104">
        <v>9.4</v>
      </c>
      <c r="E104">
        <v>9.1</v>
      </c>
      <c r="F104">
        <v>8</v>
      </c>
      <c r="G104">
        <v>7.6</v>
      </c>
      <c r="H104">
        <v>6.7</v>
      </c>
      <c r="I104">
        <v>6.9</v>
      </c>
      <c r="J104">
        <v>7.4</v>
      </c>
      <c r="K104">
        <v>6.3</v>
      </c>
      <c r="L104">
        <v>8.2</v>
      </c>
      <c r="M104">
        <v>3.3</v>
      </c>
      <c r="N104">
        <f t="shared" si="1"/>
        <v>72.9</v>
      </c>
    </row>
    <row r="105" spans="1:14">
      <c r="A105">
        <v>20172884</v>
      </c>
      <c r="B105" t="s">
        <v>16</v>
      </c>
      <c r="C105" t="str">
        <f>VLOOKUP(B105,专业代码!$B$2:$C$8,2,FALSE)</f>
        <v>金融学</v>
      </c>
      <c r="D105">
        <v>8.6</v>
      </c>
      <c r="E105">
        <v>8.9</v>
      </c>
      <c r="F105">
        <v>7.6</v>
      </c>
      <c r="G105">
        <v>8</v>
      </c>
      <c r="H105">
        <v>7.8</v>
      </c>
      <c r="I105">
        <v>8.6</v>
      </c>
      <c r="J105">
        <v>7</v>
      </c>
      <c r="K105">
        <v>7.2</v>
      </c>
      <c r="L105">
        <v>7.3</v>
      </c>
      <c r="M105">
        <v>8.3</v>
      </c>
      <c r="N105">
        <f t="shared" si="1"/>
        <v>79.3</v>
      </c>
    </row>
    <row r="106" spans="1:14">
      <c r="A106">
        <v>20173071</v>
      </c>
      <c r="B106" t="s">
        <v>16</v>
      </c>
      <c r="C106" t="str">
        <f>VLOOKUP(B106,专业代码!$B$2:$C$8,2,FALSE)</f>
        <v>金融学</v>
      </c>
      <c r="D106">
        <v>9.1</v>
      </c>
      <c r="E106">
        <v>8.8</v>
      </c>
      <c r="F106">
        <v>8.3</v>
      </c>
      <c r="G106">
        <v>9.1</v>
      </c>
      <c r="H106">
        <v>6.7</v>
      </c>
      <c r="I106">
        <v>7.5</v>
      </c>
      <c r="J106">
        <v>6.7</v>
      </c>
      <c r="K106">
        <v>8</v>
      </c>
      <c r="L106">
        <v>7.9</v>
      </c>
      <c r="M106">
        <v>6.7</v>
      </c>
      <c r="N106">
        <f t="shared" si="1"/>
        <v>78.8</v>
      </c>
    </row>
    <row r="107" spans="1:14">
      <c r="A107">
        <v>20177239</v>
      </c>
      <c r="B107" t="s">
        <v>16</v>
      </c>
      <c r="C107" t="str">
        <f>VLOOKUP(B107,专业代码!$B$2:$C$8,2,FALSE)</f>
        <v>金融学</v>
      </c>
      <c r="D107">
        <v>8.6</v>
      </c>
      <c r="E107">
        <v>8.3</v>
      </c>
      <c r="F107">
        <v>8.6</v>
      </c>
      <c r="G107">
        <v>8.4</v>
      </c>
      <c r="H107">
        <v>7.5</v>
      </c>
      <c r="I107">
        <v>6.1</v>
      </c>
      <c r="J107">
        <v>7.9</v>
      </c>
      <c r="K107">
        <v>8.1</v>
      </c>
      <c r="L107">
        <v>4.9</v>
      </c>
      <c r="M107">
        <v>6.4</v>
      </c>
      <c r="N107">
        <f t="shared" si="1"/>
        <v>74.8</v>
      </c>
    </row>
    <row r="108" spans="1:14">
      <c r="A108">
        <v>20172923</v>
      </c>
      <c r="B108" t="s">
        <v>16</v>
      </c>
      <c r="C108" t="str">
        <f>VLOOKUP(B108,专业代码!$B$2:$C$8,2,FALSE)</f>
        <v>金融学</v>
      </c>
      <c r="D108">
        <v>9.3</v>
      </c>
      <c r="E108">
        <v>8.5</v>
      </c>
      <c r="F108">
        <v>8.2</v>
      </c>
      <c r="G108">
        <v>8.2</v>
      </c>
      <c r="H108">
        <v>8</v>
      </c>
      <c r="I108">
        <v>7.2</v>
      </c>
      <c r="J108">
        <v>5.8</v>
      </c>
      <c r="K108">
        <v>6.5</v>
      </c>
      <c r="L108">
        <v>9</v>
      </c>
      <c r="M108">
        <v>6.7</v>
      </c>
      <c r="N108">
        <f t="shared" si="1"/>
        <v>77.4</v>
      </c>
    </row>
    <row r="109" spans="1:14">
      <c r="A109">
        <v>20175626</v>
      </c>
      <c r="B109" t="s">
        <v>16</v>
      </c>
      <c r="C109" t="str">
        <f>VLOOKUP(B109,专业代码!$B$2:$C$8,2,FALSE)</f>
        <v>金融学</v>
      </c>
      <c r="D109">
        <v>8.1</v>
      </c>
      <c r="E109">
        <v>8.8</v>
      </c>
      <c r="F109">
        <v>9.4</v>
      </c>
      <c r="G109">
        <v>8.3</v>
      </c>
      <c r="H109">
        <v>8.6</v>
      </c>
      <c r="I109">
        <v>7.1</v>
      </c>
      <c r="J109">
        <v>8.5</v>
      </c>
      <c r="K109">
        <v>6.4</v>
      </c>
      <c r="L109">
        <v>6.6</v>
      </c>
      <c r="M109">
        <v>5.8</v>
      </c>
      <c r="N109">
        <f t="shared" si="1"/>
        <v>77.6</v>
      </c>
    </row>
    <row r="110" spans="1:14">
      <c r="A110">
        <v>20176782</v>
      </c>
      <c r="B110" t="s">
        <v>16</v>
      </c>
      <c r="C110" t="str">
        <f>VLOOKUP(B110,专业代码!$B$2:$C$8,2,FALSE)</f>
        <v>金融学</v>
      </c>
      <c r="D110">
        <v>9.3</v>
      </c>
      <c r="E110">
        <v>8.3</v>
      </c>
      <c r="F110">
        <v>8.4</v>
      </c>
      <c r="G110">
        <v>9.1</v>
      </c>
      <c r="H110">
        <v>9.1</v>
      </c>
      <c r="I110">
        <v>7.1</v>
      </c>
      <c r="J110">
        <v>7.7</v>
      </c>
      <c r="K110">
        <v>6.7</v>
      </c>
      <c r="L110">
        <v>6.4</v>
      </c>
      <c r="M110">
        <v>4.2</v>
      </c>
      <c r="N110">
        <f t="shared" si="1"/>
        <v>76.3</v>
      </c>
    </row>
    <row r="111" spans="1:14">
      <c r="A111">
        <v>20177866</v>
      </c>
      <c r="B111" t="s">
        <v>16</v>
      </c>
      <c r="C111" t="str">
        <f>VLOOKUP(B111,专业代码!$B$2:$C$8,2,FALSE)</f>
        <v>金融学</v>
      </c>
      <c r="D111">
        <v>9.3</v>
      </c>
      <c r="E111">
        <v>8.7</v>
      </c>
      <c r="F111">
        <v>7.6</v>
      </c>
      <c r="G111">
        <v>8.4</v>
      </c>
      <c r="H111">
        <v>8.6</v>
      </c>
      <c r="I111">
        <v>7.6</v>
      </c>
      <c r="J111">
        <v>6.4</v>
      </c>
      <c r="K111">
        <v>9.1</v>
      </c>
      <c r="L111">
        <v>6.5</v>
      </c>
      <c r="M111">
        <v>6</v>
      </c>
      <c r="N111">
        <f t="shared" si="1"/>
        <v>78.2</v>
      </c>
    </row>
    <row r="112" spans="1:14">
      <c r="A112">
        <v>20177914</v>
      </c>
      <c r="B112" t="s">
        <v>16</v>
      </c>
      <c r="C112" t="str">
        <f>VLOOKUP(B112,专业代码!$B$2:$C$8,2,FALSE)</f>
        <v>金融学</v>
      </c>
      <c r="D112">
        <v>8.6</v>
      </c>
      <c r="E112">
        <v>7.5</v>
      </c>
      <c r="F112">
        <v>7.8</v>
      </c>
      <c r="G112">
        <v>8</v>
      </c>
      <c r="H112">
        <v>8</v>
      </c>
      <c r="I112">
        <v>6.9</v>
      </c>
      <c r="J112">
        <v>6.6</v>
      </c>
      <c r="K112">
        <v>6</v>
      </c>
      <c r="L112">
        <v>7</v>
      </c>
      <c r="M112">
        <v>7.3</v>
      </c>
      <c r="N112">
        <f t="shared" si="1"/>
        <v>73.7</v>
      </c>
    </row>
    <row r="113" spans="1:14">
      <c r="A113">
        <v>20173614</v>
      </c>
      <c r="B113" t="s">
        <v>16</v>
      </c>
      <c r="C113" t="str">
        <f>VLOOKUP(B113,专业代码!$B$2:$C$8,2,FALSE)</f>
        <v>金融学</v>
      </c>
      <c r="D113">
        <v>8.4</v>
      </c>
      <c r="E113">
        <v>7.9</v>
      </c>
      <c r="F113">
        <v>8.7</v>
      </c>
      <c r="G113">
        <v>7.5</v>
      </c>
      <c r="H113">
        <v>6.7</v>
      </c>
      <c r="I113">
        <v>7.9</v>
      </c>
      <c r="J113">
        <v>7.7</v>
      </c>
      <c r="K113">
        <v>4.8</v>
      </c>
      <c r="L113">
        <v>6.3</v>
      </c>
      <c r="M113">
        <v>6.8</v>
      </c>
      <c r="N113">
        <f t="shared" si="1"/>
        <v>72.7</v>
      </c>
    </row>
    <row r="114" spans="1:14">
      <c r="A114">
        <v>20179825</v>
      </c>
      <c r="B114" t="s">
        <v>16</v>
      </c>
      <c r="C114" t="str">
        <f>VLOOKUP(B114,专业代码!$B$2:$C$8,2,FALSE)</f>
        <v>金融学</v>
      </c>
      <c r="D114">
        <v>8.9</v>
      </c>
      <c r="E114">
        <v>6.8</v>
      </c>
      <c r="F114">
        <v>8.9</v>
      </c>
      <c r="G114">
        <v>8.6</v>
      </c>
      <c r="H114">
        <v>8.1</v>
      </c>
      <c r="I114">
        <v>8.5</v>
      </c>
      <c r="J114">
        <v>6.4</v>
      </c>
      <c r="K114">
        <v>6.6</v>
      </c>
      <c r="L114">
        <v>6.5</v>
      </c>
      <c r="M114">
        <v>6</v>
      </c>
      <c r="N114">
        <f t="shared" si="1"/>
        <v>75.3</v>
      </c>
    </row>
    <row r="115" spans="1:14">
      <c r="A115">
        <v>20174098</v>
      </c>
      <c r="B115" t="s">
        <v>16</v>
      </c>
      <c r="C115" t="str">
        <f>VLOOKUP(B115,专业代码!$B$2:$C$8,2,FALSE)</f>
        <v>金融学</v>
      </c>
      <c r="D115">
        <v>8.8</v>
      </c>
      <c r="E115">
        <v>8.7</v>
      </c>
      <c r="F115">
        <v>8.6</v>
      </c>
      <c r="G115">
        <v>7.8</v>
      </c>
      <c r="H115">
        <v>7.7</v>
      </c>
      <c r="I115">
        <v>8</v>
      </c>
      <c r="J115">
        <v>8</v>
      </c>
      <c r="K115">
        <v>9.4</v>
      </c>
      <c r="L115">
        <v>7.3</v>
      </c>
      <c r="M115">
        <v>6</v>
      </c>
      <c r="N115">
        <f t="shared" si="1"/>
        <v>80.3</v>
      </c>
    </row>
    <row r="116" spans="1:14">
      <c r="A116">
        <v>20174862</v>
      </c>
      <c r="B116" t="s">
        <v>16</v>
      </c>
      <c r="C116" t="str">
        <f>VLOOKUP(B116,专业代码!$B$2:$C$8,2,FALSE)</f>
        <v>金融学</v>
      </c>
      <c r="D116">
        <v>8.5</v>
      </c>
      <c r="E116">
        <v>8.1</v>
      </c>
      <c r="F116">
        <v>8.6</v>
      </c>
      <c r="G116">
        <v>8.8</v>
      </c>
      <c r="H116">
        <v>8.7</v>
      </c>
      <c r="I116">
        <v>7.7</v>
      </c>
      <c r="J116">
        <v>7.8</v>
      </c>
      <c r="K116">
        <v>9.1</v>
      </c>
      <c r="L116">
        <v>6.1</v>
      </c>
      <c r="M116">
        <v>8.1</v>
      </c>
      <c r="N116">
        <f t="shared" si="1"/>
        <v>81.5</v>
      </c>
    </row>
    <row r="117" spans="1:14">
      <c r="A117">
        <v>20175445</v>
      </c>
      <c r="B117" t="s">
        <v>16</v>
      </c>
      <c r="C117" t="str">
        <f>VLOOKUP(B117,专业代码!$B$2:$C$8,2,FALSE)</f>
        <v>金融学</v>
      </c>
      <c r="D117">
        <v>8.8</v>
      </c>
      <c r="E117">
        <v>8.6</v>
      </c>
      <c r="F117">
        <v>8.8</v>
      </c>
      <c r="G117">
        <v>9.4</v>
      </c>
      <c r="H117">
        <v>8.4</v>
      </c>
      <c r="I117">
        <v>8.1</v>
      </c>
      <c r="J117">
        <v>6.8</v>
      </c>
      <c r="K117">
        <v>7.5</v>
      </c>
      <c r="L117">
        <v>8.8</v>
      </c>
      <c r="M117">
        <v>6.7</v>
      </c>
      <c r="N117">
        <f t="shared" si="1"/>
        <v>81.9</v>
      </c>
    </row>
    <row r="118" spans="1:14">
      <c r="A118">
        <v>20175632</v>
      </c>
      <c r="B118" t="s">
        <v>16</v>
      </c>
      <c r="C118" t="str">
        <f>VLOOKUP(B118,专业代码!$B$2:$C$8,2,FALSE)</f>
        <v>金融学</v>
      </c>
      <c r="D118">
        <v>9.1</v>
      </c>
      <c r="E118">
        <v>8.4</v>
      </c>
      <c r="F118">
        <v>7.6</v>
      </c>
      <c r="G118">
        <v>7.3</v>
      </c>
      <c r="H118">
        <v>8.7</v>
      </c>
      <c r="I118">
        <v>6.8</v>
      </c>
      <c r="J118">
        <v>8.9</v>
      </c>
      <c r="K118">
        <v>7.2</v>
      </c>
      <c r="L118">
        <v>7.4</v>
      </c>
      <c r="M118">
        <v>5</v>
      </c>
      <c r="N118">
        <f t="shared" si="1"/>
        <v>76.4</v>
      </c>
    </row>
    <row r="119" spans="1:14">
      <c r="A119">
        <v>20176388</v>
      </c>
      <c r="B119" t="s">
        <v>16</v>
      </c>
      <c r="C119" t="str">
        <f>VLOOKUP(B119,专业代码!$B$2:$C$8,2,FALSE)</f>
        <v>金融学</v>
      </c>
      <c r="D119">
        <v>9.4</v>
      </c>
      <c r="E119">
        <v>8.5</v>
      </c>
      <c r="F119">
        <v>8.2</v>
      </c>
      <c r="G119">
        <v>8.2</v>
      </c>
      <c r="H119">
        <v>8.7</v>
      </c>
      <c r="I119">
        <v>8.1</v>
      </c>
      <c r="J119">
        <v>6.7</v>
      </c>
      <c r="K119">
        <v>8.2</v>
      </c>
      <c r="L119">
        <v>7.7</v>
      </c>
      <c r="M119">
        <v>9.4</v>
      </c>
      <c r="N119">
        <f t="shared" si="1"/>
        <v>83.1</v>
      </c>
    </row>
    <row r="120" spans="1:14">
      <c r="A120">
        <v>20179338</v>
      </c>
      <c r="B120" t="s">
        <v>16</v>
      </c>
      <c r="C120" t="str">
        <f>VLOOKUP(B120,专业代码!$B$2:$C$8,2,FALSE)</f>
        <v>金融学</v>
      </c>
      <c r="D120">
        <v>9.2</v>
      </c>
      <c r="E120">
        <v>8.9</v>
      </c>
      <c r="F120">
        <v>8.2</v>
      </c>
      <c r="G120">
        <v>8.2</v>
      </c>
      <c r="H120">
        <v>7.5</v>
      </c>
      <c r="I120">
        <v>6.8</v>
      </c>
      <c r="J120">
        <v>6.9</v>
      </c>
      <c r="K120">
        <v>8.6</v>
      </c>
      <c r="L120">
        <v>6.1</v>
      </c>
      <c r="M120">
        <v>6.5</v>
      </c>
      <c r="N120">
        <f t="shared" si="1"/>
        <v>76.9</v>
      </c>
    </row>
    <row r="121" spans="1:14">
      <c r="A121">
        <v>20172501</v>
      </c>
      <c r="B121" t="s">
        <v>17</v>
      </c>
      <c r="C121" t="str">
        <f>VLOOKUP(B121,专业代码!$B$2:$C$8,2,FALSE)</f>
        <v>金融工程</v>
      </c>
      <c r="D121">
        <v>8.6</v>
      </c>
      <c r="E121">
        <v>8.1</v>
      </c>
      <c r="F121">
        <v>8.1</v>
      </c>
      <c r="G121">
        <v>6.4</v>
      </c>
      <c r="H121">
        <v>9.3</v>
      </c>
      <c r="I121">
        <v>6.9</v>
      </c>
      <c r="J121">
        <v>6.8</v>
      </c>
      <c r="K121">
        <v>7.2</v>
      </c>
      <c r="L121">
        <v>7.4</v>
      </c>
      <c r="M121">
        <v>3.7</v>
      </c>
      <c r="N121">
        <f t="shared" si="1"/>
        <v>72.5</v>
      </c>
    </row>
    <row r="122" spans="1:14">
      <c r="A122">
        <v>20173798</v>
      </c>
      <c r="B122" t="s">
        <v>17</v>
      </c>
      <c r="C122" t="str">
        <f>VLOOKUP(B122,专业代码!$B$2:$C$8,2,FALSE)</f>
        <v>金融工程</v>
      </c>
      <c r="D122">
        <v>8.5</v>
      </c>
      <c r="E122">
        <v>7.9</v>
      </c>
      <c r="F122">
        <v>7.2</v>
      </c>
      <c r="G122">
        <v>6.7</v>
      </c>
      <c r="H122">
        <v>8.3</v>
      </c>
      <c r="I122">
        <v>7.2</v>
      </c>
      <c r="J122">
        <v>6.8</v>
      </c>
      <c r="K122">
        <v>5</v>
      </c>
      <c r="L122">
        <v>6.9</v>
      </c>
      <c r="M122">
        <v>8.3</v>
      </c>
      <c r="N122">
        <f t="shared" si="1"/>
        <v>72.8</v>
      </c>
    </row>
    <row r="123" spans="1:14">
      <c r="A123">
        <v>20177721</v>
      </c>
      <c r="B123" t="s">
        <v>17</v>
      </c>
      <c r="C123" t="str">
        <f>VLOOKUP(B123,专业代码!$B$2:$C$8,2,FALSE)</f>
        <v>金融工程</v>
      </c>
      <c r="D123">
        <v>8.7</v>
      </c>
      <c r="E123">
        <v>8.1</v>
      </c>
      <c r="F123">
        <v>6.8</v>
      </c>
      <c r="G123">
        <v>7.1</v>
      </c>
      <c r="H123">
        <v>5</v>
      </c>
      <c r="I123">
        <v>6.9</v>
      </c>
      <c r="J123">
        <v>6.2</v>
      </c>
      <c r="K123">
        <v>7.1</v>
      </c>
      <c r="L123">
        <v>6.1</v>
      </c>
      <c r="M123">
        <v>6</v>
      </c>
      <c r="N123">
        <f t="shared" si="1"/>
        <v>68</v>
      </c>
    </row>
    <row r="124" spans="1:14">
      <c r="A124">
        <v>20174589</v>
      </c>
      <c r="B124" t="s">
        <v>17</v>
      </c>
      <c r="C124" t="str">
        <f>VLOOKUP(B124,专业代码!$B$2:$C$8,2,FALSE)</f>
        <v>金融工程</v>
      </c>
      <c r="D124">
        <v>8.2</v>
      </c>
      <c r="E124">
        <v>6.4</v>
      </c>
      <c r="F124">
        <v>7.1</v>
      </c>
      <c r="G124">
        <v>7.1</v>
      </c>
      <c r="H124">
        <v>7.1</v>
      </c>
      <c r="I124">
        <v>6.5</v>
      </c>
      <c r="J124">
        <v>7</v>
      </c>
      <c r="K124">
        <v>7.4</v>
      </c>
      <c r="L124">
        <v>8.2</v>
      </c>
      <c r="M124">
        <v>6</v>
      </c>
      <c r="N124">
        <f t="shared" si="1"/>
        <v>71</v>
      </c>
    </row>
    <row r="125" spans="1:14">
      <c r="A125">
        <v>20176307</v>
      </c>
      <c r="B125" t="s">
        <v>17</v>
      </c>
      <c r="C125" t="str">
        <f>VLOOKUP(B125,专业代码!$B$2:$C$8,2,FALSE)</f>
        <v>金融工程</v>
      </c>
      <c r="D125">
        <v>7.6</v>
      </c>
      <c r="E125">
        <v>7.9</v>
      </c>
      <c r="F125">
        <v>6.8</v>
      </c>
      <c r="G125">
        <v>7.4</v>
      </c>
      <c r="H125">
        <v>7.9</v>
      </c>
      <c r="I125">
        <v>7.8</v>
      </c>
      <c r="J125">
        <v>7.3</v>
      </c>
      <c r="K125">
        <v>5.6</v>
      </c>
      <c r="L125">
        <v>7.3</v>
      </c>
      <c r="M125">
        <v>4.2</v>
      </c>
      <c r="N125">
        <f t="shared" si="1"/>
        <v>69.8</v>
      </c>
    </row>
    <row r="126" spans="1:14">
      <c r="A126">
        <v>20171322</v>
      </c>
      <c r="B126" t="s">
        <v>17</v>
      </c>
      <c r="C126" t="str">
        <f>VLOOKUP(B126,专业代码!$B$2:$C$8,2,FALSE)</f>
        <v>金融工程</v>
      </c>
      <c r="D126">
        <v>7.3</v>
      </c>
      <c r="E126">
        <v>7.5</v>
      </c>
      <c r="F126">
        <v>7.5</v>
      </c>
      <c r="G126">
        <v>7.2</v>
      </c>
      <c r="H126">
        <v>8.2</v>
      </c>
      <c r="I126">
        <v>6.4</v>
      </c>
      <c r="J126">
        <v>5.5</v>
      </c>
      <c r="K126">
        <v>6.9</v>
      </c>
      <c r="L126">
        <v>6.7</v>
      </c>
      <c r="M126">
        <v>7.5</v>
      </c>
      <c r="N126">
        <f t="shared" si="1"/>
        <v>70.7</v>
      </c>
    </row>
    <row r="127" spans="1:14">
      <c r="A127">
        <v>20171642</v>
      </c>
      <c r="B127" t="s">
        <v>17</v>
      </c>
      <c r="C127" t="str">
        <f>VLOOKUP(B127,专业代码!$B$2:$C$8,2,FALSE)</f>
        <v>金融工程</v>
      </c>
      <c r="D127">
        <v>7.8</v>
      </c>
      <c r="E127">
        <v>7.4</v>
      </c>
      <c r="F127">
        <v>7.2</v>
      </c>
      <c r="G127">
        <v>7.4</v>
      </c>
      <c r="H127">
        <v>7</v>
      </c>
      <c r="I127">
        <v>8.3</v>
      </c>
      <c r="J127">
        <v>6.1</v>
      </c>
      <c r="K127">
        <v>5.5</v>
      </c>
      <c r="L127">
        <v>5.6</v>
      </c>
      <c r="M127">
        <v>8.6</v>
      </c>
      <c r="N127">
        <f t="shared" si="1"/>
        <v>70.9</v>
      </c>
    </row>
    <row r="128" spans="1:14">
      <c r="A128">
        <v>20178875</v>
      </c>
      <c r="B128" t="s">
        <v>17</v>
      </c>
      <c r="C128" t="str">
        <f>VLOOKUP(B128,专业代码!$B$2:$C$8,2,FALSE)</f>
        <v>金融工程</v>
      </c>
      <c r="D128">
        <v>7.7</v>
      </c>
      <c r="E128">
        <v>7.5</v>
      </c>
      <c r="F128">
        <v>7.1</v>
      </c>
      <c r="G128">
        <v>6.9</v>
      </c>
      <c r="H128">
        <v>7.2</v>
      </c>
      <c r="I128">
        <v>6.8</v>
      </c>
      <c r="J128">
        <v>7</v>
      </c>
      <c r="K128">
        <v>8</v>
      </c>
      <c r="L128">
        <v>5.3</v>
      </c>
      <c r="M128">
        <v>6.1</v>
      </c>
      <c r="N128">
        <f t="shared" si="1"/>
        <v>69.6</v>
      </c>
    </row>
    <row r="129" spans="1:14">
      <c r="A129">
        <v>20171763</v>
      </c>
      <c r="B129" t="s">
        <v>17</v>
      </c>
      <c r="C129" t="str">
        <f>VLOOKUP(B129,专业代码!$B$2:$C$8,2,FALSE)</f>
        <v>金融工程</v>
      </c>
      <c r="D129">
        <v>7.7</v>
      </c>
      <c r="E129">
        <v>7.3</v>
      </c>
      <c r="F129">
        <v>8.2</v>
      </c>
      <c r="G129">
        <v>7</v>
      </c>
      <c r="H129">
        <v>6.8</v>
      </c>
      <c r="I129">
        <v>6.8</v>
      </c>
      <c r="J129">
        <v>7.8</v>
      </c>
      <c r="K129">
        <v>6.7</v>
      </c>
      <c r="L129">
        <v>7.2</v>
      </c>
      <c r="M129">
        <v>5.2</v>
      </c>
      <c r="N129">
        <f t="shared" si="1"/>
        <v>70.7</v>
      </c>
    </row>
    <row r="130" spans="1:14">
      <c r="A130">
        <v>20172392</v>
      </c>
      <c r="B130" t="s">
        <v>17</v>
      </c>
      <c r="C130" t="str">
        <f>VLOOKUP(B130,专业代码!$B$2:$C$8,2,FALSE)</f>
        <v>金融工程</v>
      </c>
      <c r="D130">
        <v>7.5</v>
      </c>
      <c r="E130">
        <v>7.8</v>
      </c>
      <c r="F130">
        <v>7.7</v>
      </c>
      <c r="G130">
        <v>7.1</v>
      </c>
      <c r="H130">
        <v>7.1</v>
      </c>
      <c r="I130">
        <v>6.6</v>
      </c>
      <c r="J130">
        <v>7.5</v>
      </c>
      <c r="K130">
        <v>6.8</v>
      </c>
      <c r="L130">
        <v>7.7</v>
      </c>
      <c r="M130">
        <v>6.8</v>
      </c>
      <c r="N130">
        <f t="shared" si="1"/>
        <v>72.6</v>
      </c>
    </row>
    <row r="131" spans="1:14">
      <c r="A131">
        <v>20175118</v>
      </c>
      <c r="B131" t="s">
        <v>17</v>
      </c>
      <c r="C131" t="str">
        <f>VLOOKUP(B131,专业代码!$B$2:$C$8,2,FALSE)</f>
        <v>金融工程</v>
      </c>
      <c r="D131">
        <v>8.1</v>
      </c>
      <c r="E131">
        <v>7.9</v>
      </c>
      <c r="F131">
        <v>8</v>
      </c>
      <c r="G131">
        <v>6.3</v>
      </c>
      <c r="H131">
        <v>6.6</v>
      </c>
      <c r="I131">
        <v>5.5</v>
      </c>
      <c r="J131">
        <v>7.2</v>
      </c>
      <c r="K131">
        <v>7.5</v>
      </c>
      <c r="L131">
        <v>6.7</v>
      </c>
      <c r="M131">
        <v>5.2</v>
      </c>
      <c r="N131">
        <f t="shared" ref="N131:N194" si="2">SUM(D131:M131)</f>
        <v>69</v>
      </c>
    </row>
    <row r="132" spans="1:14">
      <c r="A132">
        <v>20175313</v>
      </c>
      <c r="B132" t="s">
        <v>17</v>
      </c>
      <c r="C132" t="str">
        <f>VLOOKUP(B132,专业代码!$B$2:$C$8,2,FALSE)</f>
        <v>金融工程</v>
      </c>
      <c r="D132">
        <v>8.1</v>
      </c>
      <c r="E132">
        <v>7.5</v>
      </c>
      <c r="F132">
        <v>8.3</v>
      </c>
      <c r="G132">
        <v>8.6</v>
      </c>
      <c r="H132">
        <v>6.1</v>
      </c>
      <c r="I132">
        <v>5.9</v>
      </c>
      <c r="J132">
        <v>7.4</v>
      </c>
      <c r="K132">
        <v>6.8</v>
      </c>
      <c r="L132">
        <v>7.5</v>
      </c>
      <c r="M132">
        <v>5.3</v>
      </c>
      <c r="N132">
        <f t="shared" si="2"/>
        <v>71.5</v>
      </c>
    </row>
    <row r="133" spans="1:14">
      <c r="A133">
        <v>20179786</v>
      </c>
      <c r="B133" t="s">
        <v>17</v>
      </c>
      <c r="C133" t="str">
        <f>VLOOKUP(B133,专业代码!$B$2:$C$8,2,FALSE)</f>
        <v>金融工程</v>
      </c>
      <c r="D133">
        <v>7.9</v>
      </c>
      <c r="E133">
        <v>7.3</v>
      </c>
      <c r="F133">
        <v>7.2</v>
      </c>
      <c r="G133">
        <v>7.7</v>
      </c>
      <c r="H133">
        <v>6.7</v>
      </c>
      <c r="I133">
        <v>7.7</v>
      </c>
      <c r="J133">
        <v>4.8</v>
      </c>
      <c r="K133">
        <v>7.8</v>
      </c>
      <c r="L133">
        <v>7</v>
      </c>
      <c r="M133">
        <v>5.7</v>
      </c>
      <c r="N133">
        <f t="shared" si="2"/>
        <v>69.8</v>
      </c>
    </row>
    <row r="134" spans="1:14">
      <c r="A134">
        <v>20179819</v>
      </c>
      <c r="B134" t="s">
        <v>17</v>
      </c>
      <c r="C134" t="str">
        <f>VLOOKUP(B134,专业代码!$B$2:$C$8,2,FALSE)</f>
        <v>金融工程</v>
      </c>
      <c r="D134">
        <v>8.3</v>
      </c>
      <c r="E134">
        <v>8.6</v>
      </c>
      <c r="F134">
        <v>8.2</v>
      </c>
      <c r="G134">
        <v>6.9</v>
      </c>
      <c r="H134">
        <v>7.6</v>
      </c>
      <c r="I134">
        <v>6.1</v>
      </c>
      <c r="J134">
        <v>5.9</v>
      </c>
      <c r="K134">
        <v>6.5</v>
      </c>
      <c r="L134">
        <v>6.8</v>
      </c>
      <c r="M134">
        <v>6.8</v>
      </c>
      <c r="N134">
        <f t="shared" si="2"/>
        <v>71.7</v>
      </c>
    </row>
    <row r="135" spans="1:14">
      <c r="A135">
        <v>20171027</v>
      </c>
      <c r="B135" t="s">
        <v>17</v>
      </c>
      <c r="C135" t="str">
        <f>VLOOKUP(B135,专业代码!$B$2:$C$8,2,FALSE)</f>
        <v>金融工程</v>
      </c>
      <c r="D135">
        <v>7.7</v>
      </c>
      <c r="E135">
        <v>7</v>
      </c>
      <c r="F135">
        <v>8</v>
      </c>
      <c r="G135">
        <v>8.1</v>
      </c>
      <c r="H135">
        <v>7.7</v>
      </c>
      <c r="I135">
        <v>7.8</v>
      </c>
      <c r="J135">
        <v>5.5</v>
      </c>
      <c r="K135">
        <v>7.4</v>
      </c>
      <c r="L135">
        <v>5.8</v>
      </c>
      <c r="M135">
        <v>4.3</v>
      </c>
      <c r="N135">
        <f t="shared" si="2"/>
        <v>69.3</v>
      </c>
    </row>
    <row r="136" spans="1:14">
      <c r="A136">
        <v>20174461</v>
      </c>
      <c r="B136" t="s">
        <v>17</v>
      </c>
      <c r="C136" t="str">
        <f>VLOOKUP(B136,专业代码!$B$2:$C$8,2,FALSE)</f>
        <v>金融工程</v>
      </c>
      <c r="D136">
        <v>7.5</v>
      </c>
      <c r="E136">
        <v>8.1</v>
      </c>
      <c r="F136">
        <v>6.8</v>
      </c>
      <c r="G136">
        <v>7.9</v>
      </c>
      <c r="H136">
        <v>7.2</v>
      </c>
      <c r="I136">
        <v>8.1</v>
      </c>
      <c r="J136">
        <v>6.6</v>
      </c>
      <c r="K136">
        <v>6.8</v>
      </c>
      <c r="L136">
        <v>7.2</v>
      </c>
      <c r="M136">
        <v>6.5</v>
      </c>
      <c r="N136">
        <f t="shared" si="2"/>
        <v>72.7</v>
      </c>
    </row>
    <row r="137" spans="1:14">
      <c r="A137">
        <v>20175201</v>
      </c>
      <c r="B137" t="s">
        <v>17</v>
      </c>
      <c r="C137" t="str">
        <f>VLOOKUP(B137,专业代码!$B$2:$C$8,2,FALSE)</f>
        <v>金融工程</v>
      </c>
      <c r="D137">
        <v>7.9</v>
      </c>
      <c r="E137">
        <v>7.8</v>
      </c>
      <c r="F137">
        <v>8.7</v>
      </c>
      <c r="G137">
        <v>7.4</v>
      </c>
      <c r="H137">
        <v>8.6</v>
      </c>
      <c r="I137">
        <v>7.5</v>
      </c>
      <c r="J137">
        <v>6.8</v>
      </c>
      <c r="K137">
        <v>5.7</v>
      </c>
      <c r="L137">
        <v>5.8</v>
      </c>
      <c r="M137">
        <v>6.2</v>
      </c>
      <c r="N137">
        <f t="shared" si="2"/>
        <v>72.4</v>
      </c>
    </row>
    <row r="138" spans="1:14">
      <c r="A138">
        <v>20171008</v>
      </c>
      <c r="B138" t="s">
        <v>17</v>
      </c>
      <c r="C138" t="str">
        <f>VLOOKUP(B138,专业代码!$B$2:$C$8,2,FALSE)</f>
        <v>金融工程</v>
      </c>
      <c r="D138">
        <v>8.8</v>
      </c>
      <c r="E138">
        <v>8.9</v>
      </c>
      <c r="F138">
        <v>9.4</v>
      </c>
      <c r="G138">
        <v>8.5</v>
      </c>
      <c r="H138">
        <v>8.6</v>
      </c>
      <c r="I138">
        <v>6.8</v>
      </c>
      <c r="J138">
        <v>7.4</v>
      </c>
      <c r="K138">
        <v>6.7</v>
      </c>
      <c r="L138">
        <v>7.7</v>
      </c>
      <c r="M138">
        <v>7.8</v>
      </c>
      <c r="N138">
        <f t="shared" si="2"/>
        <v>80.6</v>
      </c>
    </row>
    <row r="139" spans="1:14">
      <c r="A139">
        <v>20174634</v>
      </c>
      <c r="B139" t="s">
        <v>17</v>
      </c>
      <c r="C139" t="str">
        <f>VLOOKUP(B139,专业代码!$B$2:$C$8,2,FALSE)</f>
        <v>金融工程</v>
      </c>
      <c r="D139">
        <v>9.1</v>
      </c>
      <c r="E139">
        <v>7.8</v>
      </c>
      <c r="F139">
        <v>8.4</v>
      </c>
      <c r="G139">
        <v>8.6</v>
      </c>
      <c r="H139">
        <v>8.3</v>
      </c>
      <c r="I139">
        <v>8</v>
      </c>
      <c r="J139">
        <v>8.8</v>
      </c>
      <c r="K139">
        <v>8.8</v>
      </c>
      <c r="L139">
        <v>6.5</v>
      </c>
      <c r="M139">
        <v>7.6</v>
      </c>
      <c r="N139">
        <f t="shared" si="2"/>
        <v>81.9</v>
      </c>
    </row>
    <row r="140" spans="1:14">
      <c r="A140">
        <v>20174908</v>
      </c>
      <c r="B140" t="s">
        <v>17</v>
      </c>
      <c r="C140" t="str">
        <f>VLOOKUP(B140,专业代码!$B$2:$C$8,2,FALSE)</f>
        <v>金融工程</v>
      </c>
      <c r="D140">
        <v>9.3</v>
      </c>
      <c r="E140">
        <v>9</v>
      </c>
      <c r="F140">
        <v>9.2</v>
      </c>
      <c r="G140">
        <v>9.1</v>
      </c>
      <c r="H140">
        <v>8.5</v>
      </c>
      <c r="I140">
        <v>6.7</v>
      </c>
      <c r="J140">
        <v>8.2</v>
      </c>
      <c r="K140">
        <v>7.6</v>
      </c>
      <c r="L140">
        <v>6.3</v>
      </c>
      <c r="M140">
        <v>6.8</v>
      </c>
      <c r="N140">
        <f t="shared" si="2"/>
        <v>80.7</v>
      </c>
    </row>
    <row r="141" spans="1:14">
      <c r="A141">
        <v>20176736</v>
      </c>
      <c r="B141" t="s">
        <v>17</v>
      </c>
      <c r="C141" t="str">
        <f>VLOOKUP(B141,专业代码!$B$2:$C$8,2,FALSE)</f>
        <v>金融工程</v>
      </c>
      <c r="D141">
        <v>8.6</v>
      </c>
      <c r="E141">
        <v>7.5</v>
      </c>
      <c r="F141">
        <v>7.5</v>
      </c>
      <c r="G141">
        <v>7.7</v>
      </c>
      <c r="H141">
        <v>6.6</v>
      </c>
      <c r="I141">
        <v>8.8</v>
      </c>
      <c r="J141">
        <v>9</v>
      </c>
      <c r="K141">
        <v>8.1</v>
      </c>
      <c r="L141">
        <v>6.5</v>
      </c>
      <c r="M141">
        <v>6.3</v>
      </c>
      <c r="N141">
        <f t="shared" si="2"/>
        <v>76.6</v>
      </c>
    </row>
    <row r="142" spans="1:14">
      <c r="A142">
        <v>20176426</v>
      </c>
      <c r="B142" t="s">
        <v>17</v>
      </c>
      <c r="C142" t="str">
        <f>VLOOKUP(B142,专业代码!$B$2:$C$8,2,FALSE)</f>
        <v>金融工程</v>
      </c>
      <c r="D142">
        <v>8.4</v>
      </c>
      <c r="E142">
        <v>8.2</v>
      </c>
      <c r="F142">
        <v>7.2</v>
      </c>
      <c r="G142">
        <v>8</v>
      </c>
      <c r="H142">
        <v>8.3</v>
      </c>
      <c r="I142">
        <v>6.8</v>
      </c>
      <c r="J142">
        <v>8.3</v>
      </c>
      <c r="K142">
        <v>7.2</v>
      </c>
      <c r="L142">
        <v>5.6</v>
      </c>
      <c r="M142">
        <v>5.1</v>
      </c>
      <c r="N142">
        <f t="shared" si="2"/>
        <v>73.1</v>
      </c>
    </row>
    <row r="143" spans="1:14">
      <c r="A143">
        <v>20176504</v>
      </c>
      <c r="B143" t="s">
        <v>17</v>
      </c>
      <c r="C143" t="str">
        <f>VLOOKUP(B143,专业代码!$B$2:$C$8,2,FALSE)</f>
        <v>金融工程</v>
      </c>
      <c r="D143">
        <v>7.1</v>
      </c>
      <c r="E143">
        <v>7.6</v>
      </c>
      <c r="F143">
        <v>7.6</v>
      </c>
      <c r="G143">
        <v>6.8</v>
      </c>
      <c r="H143">
        <v>7.1</v>
      </c>
      <c r="I143">
        <v>6.9</v>
      </c>
      <c r="J143">
        <v>6.5</v>
      </c>
      <c r="K143">
        <v>6.9</v>
      </c>
      <c r="L143">
        <v>6.7</v>
      </c>
      <c r="M143">
        <v>4.7</v>
      </c>
      <c r="N143">
        <f t="shared" si="2"/>
        <v>67.9</v>
      </c>
    </row>
    <row r="144" spans="1:14">
      <c r="A144">
        <v>20178196</v>
      </c>
      <c r="B144" t="s">
        <v>17</v>
      </c>
      <c r="C144" t="str">
        <f>VLOOKUP(B144,专业代码!$B$2:$C$8,2,FALSE)</f>
        <v>金融工程</v>
      </c>
      <c r="D144">
        <v>7.8</v>
      </c>
      <c r="E144">
        <v>8.6</v>
      </c>
      <c r="F144">
        <v>6.9</v>
      </c>
      <c r="G144">
        <v>8.1</v>
      </c>
      <c r="H144">
        <v>8.4</v>
      </c>
      <c r="I144">
        <v>6.4</v>
      </c>
      <c r="J144">
        <v>7</v>
      </c>
      <c r="K144">
        <v>4.8</v>
      </c>
      <c r="L144">
        <v>5.6</v>
      </c>
      <c r="M144">
        <v>6.9</v>
      </c>
      <c r="N144">
        <f t="shared" si="2"/>
        <v>70.5</v>
      </c>
    </row>
    <row r="145" spans="1:14">
      <c r="A145">
        <v>20171765</v>
      </c>
      <c r="B145" t="s">
        <v>17</v>
      </c>
      <c r="C145" t="str">
        <f>VLOOKUP(B145,专业代码!$B$2:$C$8,2,FALSE)</f>
        <v>金融工程</v>
      </c>
      <c r="D145">
        <v>8.4</v>
      </c>
      <c r="E145">
        <v>6.7</v>
      </c>
      <c r="F145">
        <v>8.4</v>
      </c>
      <c r="G145">
        <v>7.1</v>
      </c>
      <c r="H145">
        <v>6.2</v>
      </c>
      <c r="I145">
        <v>7.4</v>
      </c>
      <c r="J145">
        <v>7.2</v>
      </c>
      <c r="K145">
        <v>8.2</v>
      </c>
      <c r="L145">
        <v>6.7</v>
      </c>
      <c r="M145">
        <v>5.4</v>
      </c>
      <c r="N145">
        <f t="shared" si="2"/>
        <v>71.7</v>
      </c>
    </row>
    <row r="146" spans="1:14">
      <c r="A146">
        <v>20173794</v>
      </c>
      <c r="B146" t="s">
        <v>17</v>
      </c>
      <c r="C146" t="str">
        <f>VLOOKUP(B146,专业代码!$B$2:$C$8,2,FALSE)</f>
        <v>金融工程</v>
      </c>
      <c r="D146">
        <v>8.2</v>
      </c>
      <c r="E146">
        <v>7.3</v>
      </c>
      <c r="F146">
        <v>7.4</v>
      </c>
      <c r="G146">
        <v>7.5</v>
      </c>
      <c r="H146">
        <v>7.6</v>
      </c>
      <c r="I146">
        <v>5.9</v>
      </c>
      <c r="J146">
        <v>7.1</v>
      </c>
      <c r="K146">
        <v>6.4</v>
      </c>
      <c r="L146">
        <v>6.8</v>
      </c>
      <c r="M146">
        <v>6.7</v>
      </c>
      <c r="N146">
        <f t="shared" si="2"/>
        <v>70.9</v>
      </c>
    </row>
    <row r="147" spans="1:14">
      <c r="A147">
        <v>20179511</v>
      </c>
      <c r="B147" t="s">
        <v>17</v>
      </c>
      <c r="C147" t="str">
        <f>VLOOKUP(B147,专业代码!$B$2:$C$8,2,FALSE)</f>
        <v>金融工程</v>
      </c>
      <c r="D147">
        <v>7.5</v>
      </c>
      <c r="E147">
        <v>7.8</v>
      </c>
      <c r="F147">
        <v>7.5</v>
      </c>
      <c r="G147">
        <v>6.9</v>
      </c>
      <c r="H147">
        <v>5.7</v>
      </c>
      <c r="I147">
        <v>6.6</v>
      </c>
      <c r="J147">
        <v>5.9</v>
      </c>
      <c r="K147">
        <v>7.7</v>
      </c>
      <c r="L147">
        <v>7.4</v>
      </c>
      <c r="M147">
        <v>6.7</v>
      </c>
      <c r="N147">
        <f t="shared" si="2"/>
        <v>69.7</v>
      </c>
    </row>
    <row r="148" spans="1:14">
      <c r="A148">
        <v>20175023</v>
      </c>
      <c r="B148" t="s">
        <v>17</v>
      </c>
      <c r="C148" t="str">
        <f>VLOOKUP(B148,专业代码!$B$2:$C$8,2,FALSE)</f>
        <v>金融工程</v>
      </c>
      <c r="D148">
        <v>7.8</v>
      </c>
      <c r="E148">
        <v>7.3</v>
      </c>
      <c r="F148">
        <v>8.9</v>
      </c>
      <c r="G148">
        <v>7.3</v>
      </c>
      <c r="H148">
        <v>7.7</v>
      </c>
      <c r="I148">
        <v>6.8</v>
      </c>
      <c r="J148">
        <v>6.8</v>
      </c>
      <c r="K148">
        <v>7.2</v>
      </c>
      <c r="L148">
        <v>5.6</v>
      </c>
      <c r="M148">
        <v>5.9</v>
      </c>
      <c r="N148">
        <f t="shared" si="2"/>
        <v>71.3</v>
      </c>
    </row>
    <row r="149" spans="1:14">
      <c r="A149">
        <v>20172355</v>
      </c>
      <c r="B149" t="s">
        <v>17</v>
      </c>
      <c r="C149" t="str">
        <f>VLOOKUP(B149,专业代码!$B$2:$C$8,2,FALSE)</f>
        <v>金融工程</v>
      </c>
      <c r="D149">
        <v>7.7</v>
      </c>
      <c r="E149">
        <v>7.7</v>
      </c>
      <c r="F149">
        <v>7.4</v>
      </c>
      <c r="G149">
        <v>7.1</v>
      </c>
      <c r="H149">
        <v>6.3</v>
      </c>
      <c r="I149">
        <v>6.7</v>
      </c>
      <c r="J149">
        <v>6.8</v>
      </c>
      <c r="K149">
        <v>6.6</v>
      </c>
      <c r="L149">
        <v>5.6</v>
      </c>
      <c r="M149">
        <v>5</v>
      </c>
      <c r="N149">
        <f t="shared" si="2"/>
        <v>66.9</v>
      </c>
    </row>
    <row r="150" spans="1:14">
      <c r="A150">
        <v>20172440</v>
      </c>
      <c r="B150" t="s">
        <v>17</v>
      </c>
      <c r="C150" t="str">
        <f>VLOOKUP(B150,专业代码!$B$2:$C$8,2,FALSE)</f>
        <v>金融工程</v>
      </c>
      <c r="D150">
        <v>8.3</v>
      </c>
      <c r="E150">
        <v>8</v>
      </c>
      <c r="F150">
        <v>7.4</v>
      </c>
      <c r="G150">
        <v>6.8</v>
      </c>
      <c r="H150">
        <v>6.4</v>
      </c>
      <c r="I150">
        <v>6.6</v>
      </c>
      <c r="J150">
        <v>7.1</v>
      </c>
      <c r="K150">
        <v>5.8</v>
      </c>
      <c r="L150">
        <v>6.8</v>
      </c>
      <c r="M150">
        <v>4.9</v>
      </c>
      <c r="N150">
        <f t="shared" si="2"/>
        <v>68.1</v>
      </c>
    </row>
    <row r="151" spans="1:14">
      <c r="A151">
        <v>20173420</v>
      </c>
      <c r="B151" t="s">
        <v>17</v>
      </c>
      <c r="C151" t="str">
        <f>VLOOKUP(B151,专业代码!$B$2:$C$8,2,FALSE)</f>
        <v>金融工程</v>
      </c>
      <c r="D151">
        <v>8.2</v>
      </c>
      <c r="E151">
        <v>7.4</v>
      </c>
      <c r="F151">
        <v>8.1</v>
      </c>
      <c r="G151">
        <v>7.8</v>
      </c>
      <c r="H151">
        <v>7.2</v>
      </c>
      <c r="I151">
        <v>4.9</v>
      </c>
      <c r="J151">
        <v>6.1</v>
      </c>
      <c r="K151">
        <v>7.3</v>
      </c>
      <c r="L151">
        <v>6</v>
      </c>
      <c r="M151">
        <v>3.5</v>
      </c>
      <c r="N151">
        <f t="shared" si="2"/>
        <v>66.5</v>
      </c>
    </row>
    <row r="152" spans="1:14">
      <c r="A152">
        <v>20173425</v>
      </c>
      <c r="B152" t="s">
        <v>17</v>
      </c>
      <c r="C152" t="str">
        <f>VLOOKUP(B152,专业代码!$B$2:$C$8,2,FALSE)</f>
        <v>金融工程</v>
      </c>
      <c r="D152">
        <v>8.6</v>
      </c>
      <c r="E152">
        <v>8</v>
      </c>
      <c r="F152">
        <v>9</v>
      </c>
      <c r="G152">
        <v>8.6</v>
      </c>
      <c r="H152">
        <v>6.3</v>
      </c>
      <c r="I152">
        <v>6.9</v>
      </c>
      <c r="J152">
        <v>6.8</v>
      </c>
      <c r="K152">
        <v>6.7</v>
      </c>
      <c r="L152">
        <v>5.7</v>
      </c>
      <c r="M152">
        <v>6.7</v>
      </c>
      <c r="N152">
        <f t="shared" si="2"/>
        <v>73.3</v>
      </c>
    </row>
    <row r="153" spans="1:14">
      <c r="A153">
        <v>20174430</v>
      </c>
      <c r="B153" t="s">
        <v>17</v>
      </c>
      <c r="C153" t="str">
        <f>VLOOKUP(B153,专业代码!$B$2:$C$8,2,FALSE)</f>
        <v>金融工程</v>
      </c>
      <c r="D153">
        <v>8.1</v>
      </c>
      <c r="E153">
        <v>6.9</v>
      </c>
      <c r="F153">
        <v>8.2</v>
      </c>
      <c r="G153">
        <v>6.5</v>
      </c>
      <c r="H153">
        <v>8.2</v>
      </c>
      <c r="I153">
        <v>6.5</v>
      </c>
      <c r="J153">
        <v>7.2</v>
      </c>
      <c r="K153">
        <v>5.6</v>
      </c>
      <c r="L153">
        <v>6.3</v>
      </c>
      <c r="M153">
        <v>4.5</v>
      </c>
      <c r="N153">
        <f t="shared" si="2"/>
        <v>68</v>
      </c>
    </row>
    <row r="154" spans="1:14">
      <c r="A154">
        <v>20172245</v>
      </c>
      <c r="B154" t="s">
        <v>17</v>
      </c>
      <c r="C154" t="str">
        <f>VLOOKUP(B154,专业代码!$B$2:$C$8,2,FALSE)</f>
        <v>金融工程</v>
      </c>
      <c r="D154">
        <v>8.5</v>
      </c>
      <c r="E154">
        <v>7.8</v>
      </c>
      <c r="F154">
        <v>8.6</v>
      </c>
      <c r="G154">
        <v>7.3</v>
      </c>
      <c r="H154">
        <v>6.1</v>
      </c>
      <c r="I154">
        <v>7</v>
      </c>
      <c r="J154">
        <v>8.3</v>
      </c>
      <c r="K154">
        <v>5.7</v>
      </c>
      <c r="L154">
        <v>6.3</v>
      </c>
      <c r="M154">
        <v>6.1</v>
      </c>
      <c r="N154">
        <f t="shared" si="2"/>
        <v>71.7</v>
      </c>
    </row>
    <row r="155" spans="1:14">
      <c r="A155">
        <v>20178334</v>
      </c>
      <c r="B155" t="s">
        <v>17</v>
      </c>
      <c r="C155" t="str">
        <f>VLOOKUP(B155,专业代码!$B$2:$C$8,2,FALSE)</f>
        <v>金融工程</v>
      </c>
      <c r="D155">
        <v>7.6</v>
      </c>
      <c r="E155">
        <v>7.9</v>
      </c>
      <c r="F155">
        <v>8.3</v>
      </c>
      <c r="G155">
        <v>6.6</v>
      </c>
      <c r="H155">
        <v>6.1</v>
      </c>
      <c r="I155">
        <v>6.6</v>
      </c>
      <c r="J155">
        <v>6.2</v>
      </c>
      <c r="K155">
        <v>6.3</v>
      </c>
      <c r="L155">
        <v>5.5</v>
      </c>
      <c r="M155">
        <v>4</v>
      </c>
      <c r="N155">
        <f t="shared" si="2"/>
        <v>65.1</v>
      </c>
    </row>
    <row r="156" spans="1:14">
      <c r="A156">
        <v>20175046</v>
      </c>
      <c r="B156" t="s">
        <v>17</v>
      </c>
      <c r="C156" t="str">
        <f>VLOOKUP(B156,专业代码!$B$2:$C$8,2,FALSE)</f>
        <v>金融工程</v>
      </c>
      <c r="D156">
        <v>7.7</v>
      </c>
      <c r="E156">
        <v>7.9</v>
      </c>
      <c r="F156">
        <v>7.7</v>
      </c>
      <c r="G156">
        <v>7.6</v>
      </c>
      <c r="H156">
        <v>7.8</v>
      </c>
      <c r="I156">
        <v>6.9</v>
      </c>
      <c r="J156">
        <v>6.3</v>
      </c>
      <c r="K156">
        <v>6</v>
      </c>
      <c r="L156">
        <v>5.9</v>
      </c>
      <c r="M156">
        <v>7.3</v>
      </c>
      <c r="N156">
        <f t="shared" si="2"/>
        <v>71.1</v>
      </c>
    </row>
    <row r="157" spans="1:14">
      <c r="A157">
        <v>20173040</v>
      </c>
      <c r="B157" t="s">
        <v>17</v>
      </c>
      <c r="C157" t="str">
        <f>VLOOKUP(B157,专业代码!$B$2:$C$8,2,FALSE)</f>
        <v>金融工程</v>
      </c>
      <c r="D157">
        <v>6.8</v>
      </c>
      <c r="E157">
        <v>8.6</v>
      </c>
      <c r="F157">
        <v>7.6</v>
      </c>
      <c r="G157">
        <v>7.7</v>
      </c>
      <c r="H157">
        <v>8.9</v>
      </c>
      <c r="I157">
        <v>6.7</v>
      </c>
      <c r="J157">
        <v>6.8</v>
      </c>
      <c r="K157">
        <v>6.7</v>
      </c>
      <c r="L157">
        <v>7.8</v>
      </c>
      <c r="M157">
        <v>7.8</v>
      </c>
      <c r="N157">
        <f t="shared" si="2"/>
        <v>75.4</v>
      </c>
    </row>
    <row r="158" spans="1:14">
      <c r="A158">
        <v>20171603</v>
      </c>
      <c r="B158" t="s">
        <v>17</v>
      </c>
      <c r="C158" t="str">
        <f>VLOOKUP(B158,专业代码!$B$2:$C$8,2,FALSE)</f>
        <v>金融工程</v>
      </c>
      <c r="D158">
        <v>8.4</v>
      </c>
      <c r="E158">
        <v>7.3</v>
      </c>
      <c r="F158">
        <v>8.2</v>
      </c>
      <c r="G158">
        <v>7</v>
      </c>
      <c r="H158">
        <v>7.2</v>
      </c>
      <c r="I158">
        <v>7.9</v>
      </c>
      <c r="J158">
        <v>6.8</v>
      </c>
      <c r="K158">
        <v>5.2</v>
      </c>
      <c r="L158">
        <v>6.9</v>
      </c>
      <c r="M158">
        <v>5.1</v>
      </c>
      <c r="N158">
        <f t="shared" si="2"/>
        <v>70</v>
      </c>
    </row>
    <row r="159" spans="1:14">
      <c r="A159">
        <v>20174569</v>
      </c>
      <c r="B159" t="s">
        <v>17</v>
      </c>
      <c r="C159" t="str">
        <f>VLOOKUP(B159,专业代码!$B$2:$C$8,2,FALSE)</f>
        <v>金融工程</v>
      </c>
      <c r="D159">
        <v>7.6</v>
      </c>
      <c r="E159">
        <v>7.1</v>
      </c>
      <c r="F159">
        <v>8.2</v>
      </c>
      <c r="G159">
        <v>6.4</v>
      </c>
      <c r="H159">
        <v>6.5</v>
      </c>
      <c r="I159">
        <v>5.5</v>
      </c>
      <c r="J159">
        <v>6.9</v>
      </c>
      <c r="K159">
        <v>6.6</v>
      </c>
      <c r="L159">
        <v>4.9</v>
      </c>
      <c r="M159">
        <v>8.5</v>
      </c>
      <c r="N159">
        <f t="shared" si="2"/>
        <v>68.2</v>
      </c>
    </row>
    <row r="160" spans="1:14">
      <c r="A160">
        <v>20174997</v>
      </c>
      <c r="B160" t="s">
        <v>17</v>
      </c>
      <c r="C160" t="str">
        <f>VLOOKUP(B160,专业代码!$B$2:$C$8,2,FALSE)</f>
        <v>金融工程</v>
      </c>
      <c r="D160">
        <v>7.8</v>
      </c>
      <c r="E160">
        <v>6.8</v>
      </c>
      <c r="F160">
        <v>6.9</v>
      </c>
      <c r="G160">
        <v>7.2</v>
      </c>
      <c r="H160">
        <v>7.3</v>
      </c>
      <c r="I160">
        <v>6.7</v>
      </c>
      <c r="J160">
        <v>6.6</v>
      </c>
      <c r="K160">
        <v>7</v>
      </c>
      <c r="L160">
        <v>5.5</v>
      </c>
      <c r="M160">
        <v>5.3</v>
      </c>
      <c r="N160">
        <f t="shared" si="2"/>
        <v>67.1</v>
      </c>
    </row>
    <row r="161" spans="1:14">
      <c r="A161">
        <v>20173049</v>
      </c>
      <c r="B161" t="s">
        <v>17</v>
      </c>
      <c r="C161" t="str">
        <f>VLOOKUP(B161,专业代码!$B$2:$C$8,2,FALSE)</f>
        <v>金融工程</v>
      </c>
      <c r="D161">
        <v>8.5</v>
      </c>
      <c r="E161">
        <v>8.2</v>
      </c>
      <c r="F161">
        <v>7.8</v>
      </c>
      <c r="G161">
        <v>9</v>
      </c>
      <c r="H161">
        <v>8.5</v>
      </c>
      <c r="I161">
        <v>7.4</v>
      </c>
      <c r="J161">
        <v>7.2</v>
      </c>
      <c r="K161">
        <v>8.5</v>
      </c>
      <c r="L161">
        <v>6.7</v>
      </c>
      <c r="M161">
        <v>5.6</v>
      </c>
      <c r="N161">
        <f t="shared" si="2"/>
        <v>77.4</v>
      </c>
    </row>
    <row r="162" spans="1:14">
      <c r="A162">
        <v>20176798</v>
      </c>
      <c r="B162" t="s">
        <v>18</v>
      </c>
      <c r="C162" t="str">
        <f>VLOOKUP(B162,专业代码!$B$2:$C$8,2,FALSE)</f>
        <v>管理信息系统</v>
      </c>
      <c r="D162">
        <v>8.5</v>
      </c>
      <c r="E162">
        <v>9.5</v>
      </c>
      <c r="F162">
        <v>6.6</v>
      </c>
      <c r="G162">
        <v>7.1</v>
      </c>
      <c r="H162">
        <v>6.1</v>
      </c>
      <c r="I162">
        <v>8.7</v>
      </c>
      <c r="J162">
        <v>6.2</v>
      </c>
      <c r="K162">
        <v>6.8</v>
      </c>
      <c r="L162">
        <v>7.7</v>
      </c>
      <c r="M162">
        <v>6.7</v>
      </c>
      <c r="N162">
        <f t="shared" si="2"/>
        <v>73.9</v>
      </c>
    </row>
    <row r="163" spans="1:14">
      <c r="A163">
        <v>20177221</v>
      </c>
      <c r="B163" t="s">
        <v>18</v>
      </c>
      <c r="C163" t="str">
        <f>VLOOKUP(B163,专业代码!$B$2:$C$8,2,FALSE)</f>
        <v>管理信息系统</v>
      </c>
      <c r="D163">
        <v>8.4</v>
      </c>
      <c r="E163">
        <v>7.8</v>
      </c>
      <c r="F163">
        <v>7.5</v>
      </c>
      <c r="G163">
        <v>8</v>
      </c>
      <c r="H163">
        <v>8</v>
      </c>
      <c r="I163">
        <v>6.6</v>
      </c>
      <c r="J163">
        <v>7</v>
      </c>
      <c r="K163">
        <v>7.1</v>
      </c>
      <c r="L163">
        <v>7.7</v>
      </c>
      <c r="M163">
        <v>6</v>
      </c>
      <c r="N163">
        <f t="shared" si="2"/>
        <v>74.1</v>
      </c>
    </row>
    <row r="164" spans="1:14">
      <c r="A164">
        <v>20174279</v>
      </c>
      <c r="B164" t="s">
        <v>18</v>
      </c>
      <c r="C164" t="str">
        <f>VLOOKUP(B164,专业代码!$B$2:$C$8,2,FALSE)</f>
        <v>管理信息系统</v>
      </c>
      <c r="D164">
        <v>8.1</v>
      </c>
      <c r="E164">
        <v>8</v>
      </c>
      <c r="F164">
        <v>8.2</v>
      </c>
      <c r="G164">
        <v>7.2</v>
      </c>
      <c r="H164">
        <v>8.1</v>
      </c>
      <c r="I164">
        <v>7.9</v>
      </c>
      <c r="J164">
        <v>6.1</v>
      </c>
      <c r="K164">
        <v>7.4</v>
      </c>
      <c r="L164">
        <v>6.1</v>
      </c>
      <c r="M164">
        <v>5.1</v>
      </c>
      <c r="N164">
        <f t="shared" si="2"/>
        <v>72.2</v>
      </c>
    </row>
    <row r="165" spans="1:14">
      <c r="A165">
        <v>20175992</v>
      </c>
      <c r="B165" t="s">
        <v>18</v>
      </c>
      <c r="C165" t="str">
        <f>VLOOKUP(B165,专业代码!$B$2:$C$8,2,FALSE)</f>
        <v>管理信息系统</v>
      </c>
      <c r="D165">
        <v>8.6</v>
      </c>
      <c r="E165">
        <v>9.1</v>
      </c>
      <c r="F165">
        <v>8.4</v>
      </c>
      <c r="G165">
        <v>8.1</v>
      </c>
      <c r="H165">
        <v>8.8</v>
      </c>
      <c r="I165">
        <v>7.3</v>
      </c>
      <c r="J165">
        <v>7.9</v>
      </c>
      <c r="K165">
        <v>5.7</v>
      </c>
      <c r="L165">
        <v>7.3</v>
      </c>
      <c r="M165">
        <v>4.8</v>
      </c>
      <c r="N165">
        <f t="shared" si="2"/>
        <v>76</v>
      </c>
    </row>
    <row r="166" spans="1:14">
      <c r="A166">
        <v>20179772</v>
      </c>
      <c r="B166" t="s">
        <v>18</v>
      </c>
      <c r="C166" t="str">
        <f>VLOOKUP(B166,专业代码!$B$2:$C$8,2,FALSE)</f>
        <v>管理信息系统</v>
      </c>
      <c r="D166">
        <v>8.2</v>
      </c>
      <c r="E166">
        <v>7.9</v>
      </c>
      <c r="F166">
        <v>7.8</v>
      </c>
      <c r="G166">
        <v>7.8</v>
      </c>
      <c r="H166">
        <v>6.2</v>
      </c>
      <c r="I166">
        <v>5.1</v>
      </c>
      <c r="J166">
        <v>7.6</v>
      </c>
      <c r="K166">
        <v>6.2</v>
      </c>
      <c r="L166">
        <v>6.6</v>
      </c>
      <c r="M166">
        <v>6.3</v>
      </c>
      <c r="N166">
        <f t="shared" si="2"/>
        <v>69.7</v>
      </c>
    </row>
    <row r="167" spans="1:14">
      <c r="A167">
        <v>20176947</v>
      </c>
      <c r="B167" t="s">
        <v>18</v>
      </c>
      <c r="C167" t="str">
        <f>VLOOKUP(B167,专业代码!$B$2:$C$8,2,FALSE)</f>
        <v>管理信息系统</v>
      </c>
      <c r="D167">
        <v>7.5</v>
      </c>
      <c r="E167">
        <v>9.2</v>
      </c>
      <c r="F167">
        <v>8.9</v>
      </c>
      <c r="G167">
        <v>7.9</v>
      </c>
      <c r="H167">
        <v>9.5</v>
      </c>
      <c r="I167">
        <v>8.1</v>
      </c>
      <c r="J167">
        <v>8.6</v>
      </c>
      <c r="K167">
        <v>7.1</v>
      </c>
      <c r="L167">
        <v>4.6</v>
      </c>
      <c r="M167">
        <v>5.7</v>
      </c>
      <c r="N167">
        <f t="shared" si="2"/>
        <v>77.1</v>
      </c>
    </row>
    <row r="168" spans="1:14">
      <c r="A168">
        <v>20175454</v>
      </c>
      <c r="B168" t="s">
        <v>18</v>
      </c>
      <c r="C168" t="str">
        <f>VLOOKUP(B168,专业代码!$B$2:$C$8,2,FALSE)</f>
        <v>管理信息系统</v>
      </c>
      <c r="D168">
        <v>8.5</v>
      </c>
      <c r="E168">
        <v>7.9</v>
      </c>
      <c r="F168">
        <v>7.8</v>
      </c>
      <c r="G168">
        <v>8.8</v>
      </c>
      <c r="H168">
        <v>8.3</v>
      </c>
      <c r="I168">
        <v>9.4</v>
      </c>
      <c r="J168">
        <v>6.3</v>
      </c>
      <c r="K168">
        <v>6.9</v>
      </c>
      <c r="L168">
        <v>7.2</v>
      </c>
      <c r="M168">
        <v>6.8</v>
      </c>
      <c r="N168">
        <f t="shared" si="2"/>
        <v>77.9</v>
      </c>
    </row>
    <row r="169" spans="1:14">
      <c r="A169">
        <v>20178950</v>
      </c>
      <c r="B169" t="s">
        <v>18</v>
      </c>
      <c r="C169" t="str">
        <f>VLOOKUP(B169,专业代码!$B$2:$C$8,2,FALSE)</f>
        <v>管理信息系统</v>
      </c>
      <c r="D169">
        <v>8.3</v>
      </c>
      <c r="E169">
        <v>8</v>
      </c>
      <c r="F169">
        <v>8.9</v>
      </c>
      <c r="G169">
        <v>8.2</v>
      </c>
      <c r="H169">
        <v>6.8</v>
      </c>
      <c r="I169">
        <v>5.6</v>
      </c>
      <c r="J169">
        <v>6.7</v>
      </c>
      <c r="K169">
        <v>6.7</v>
      </c>
      <c r="L169">
        <v>5.7</v>
      </c>
      <c r="M169">
        <v>7.4</v>
      </c>
      <c r="N169">
        <f t="shared" si="2"/>
        <v>72.3</v>
      </c>
    </row>
    <row r="170" spans="1:14">
      <c r="A170">
        <v>20176386</v>
      </c>
      <c r="B170" t="s">
        <v>18</v>
      </c>
      <c r="C170" t="str">
        <f>VLOOKUP(B170,专业代码!$B$2:$C$8,2,FALSE)</f>
        <v>管理信息系统</v>
      </c>
      <c r="D170">
        <v>8.9</v>
      </c>
      <c r="E170">
        <v>8.9</v>
      </c>
      <c r="F170">
        <v>8.4</v>
      </c>
      <c r="G170">
        <v>7</v>
      </c>
      <c r="H170">
        <v>7.3</v>
      </c>
      <c r="I170">
        <v>6.7</v>
      </c>
      <c r="J170">
        <v>7.1</v>
      </c>
      <c r="K170">
        <v>7.2</v>
      </c>
      <c r="L170">
        <v>5.9</v>
      </c>
      <c r="M170">
        <v>6.6</v>
      </c>
      <c r="N170">
        <f t="shared" si="2"/>
        <v>74</v>
      </c>
    </row>
    <row r="171" spans="1:14">
      <c r="A171">
        <v>20175597</v>
      </c>
      <c r="B171" t="s">
        <v>18</v>
      </c>
      <c r="C171" t="str">
        <f>VLOOKUP(B171,专业代码!$B$2:$C$8,2,FALSE)</f>
        <v>管理信息系统</v>
      </c>
      <c r="D171">
        <v>8.6</v>
      </c>
      <c r="E171">
        <v>8.6</v>
      </c>
      <c r="F171">
        <v>7.6</v>
      </c>
      <c r="G171">
        <v>6.7</v>
      </c>
      <c r="H171">
        <v>7.5</v>
      </c>
      <c r="I171">
        <v>6.1</v>
      </c>
      <c r="J171">
        <v>7.5</v>
      </c>
      <c r="K171">
        <v>9.4</v>
      </c>
      <c r="L171">
        <v>6.4</v>
      </c>
      <c r="M171">
        <v>6</v>
      </c>
      <c r="N171">
        <f t="shared" si="2"/>
        <v>74.4</v>
      </c>
    </row>
    <row r="172" spans="1:14">
      <c r="A172">
        <v>20171653</v>
      </c>
      <c r="B172" t="s">
        <v>18</v>
      </c>
      <c r="C172" t="str">
        <f>VLOOKUP(B172,专业代码!$B$2:$C$8,2,FALSE)</f>
        <v>管理信息系统</v>
      </c>
      <c r="D172">
        <v>7.8</v>
      </c>
      <c r="E172">
        <v>8.1</v>
      </c>
      <c r="F172">
        <v>8.8</v>
      </c>
      <c r="G172">
        <v>7</v>
      </c>
      <c r="H172">
        <v>8.6</v>
      </c>
      <c r="I172">
        <v>5.4</v>
      </c>
      <c r="J172">
        <v>7</v>
      </c>
      <c r="K172">
        <v>7.5</v>
      </c>
      <c r="L172">
        <v>8.3</v>
      </c>
      <c r="M172">
        <v>8.6</v>
      </c>
      <c r="N172">
        <f t="shared" si="2"/>
        <v>77.1</v>
      </c>
    </row>
    <row r="173" spans="1:14">
      <c r="A173">
        <v>20173814</v>
      </c>
      <c r="B173" t="s">
        <v>18</v>
      </c>
      <c r="C173" t="str">
        <f>VLOOKUP(B173,专业代码!$B$2:$C$8,2,FALSE)</f>
        <v>管理信息系统</v>
      </c>
      <c r="D173">
        <v>8.7</v>
      </c>
      <c r="E173">
        <v>7.9</v>
      </c>
      <c r="F173">
        <v>8.4</v>
      </c>
      <c r="G173">
        <v>7.3</v>
      </c>
      <c r="H173">
        <v>6.7</v>
      </c>
      <c r="I173">
        <v>8.1</v>
      </c>
      <c r="J173">
        <v>7.1</v>
      </c>
      <c r="K173">
        <v>7.5</v>
      </c>
      <c r="L173">
        <v>8</v>
      </c>
      <c r="M173">
        <v>5.9</v>
      </c>
      <c r="N173">
        <f t="shared" si="2"/>
        <v>75.6</v>
      </c>
    </row>
    <row r="174" spans="1:14">
      <c r="A174">
        <v>20177395</v>
      </c>
      <c r="B174" t="s">
        <v>18</v>
      </c>
      <c r="C174" t="str">
        <f>VLOOKUP(B174,专业代码!$B$2:$C$8,2,FALSE)</f>
        <v>管理信息系统</v>
      </c>
      <c r="D174">
        <v>9</v>
      </c>
      <c r="E174">
        <v>7.3</v>
      </c>
      <c r="F174">
        <v>8</v>
      </c>
      <c r="G174">
        <v>7.3</v>
      </c>
      <c r="H174">
        <v>7</v>
      </c>
      <c r="I174">
        <v>7.9</v>
      </c>
      <c r="J174">
        <v>7</v>
      </c>
      <c r="K174">
        <v>6.8</v>
      </c>
      <c r="L174">
        <v>6.7</v>
      </c>
      <c r="M174">
        <v>3.9</v>
      </c>
      <c r="N174">
        <f t="shared" si="2"/>
        <v>70.9</v>
      </c>
    </row>
    <row r="175" spans="1:14">
      <c r="A175">
        <v>20178545</v>
      </c>
      <c r="B175" t="s">
        <v>18</v>
      </c>
      <c r="C175" t="str">
        <f>VLOOKUP(B175,专业代码!$B$2:$C$8,2,FALSE)</f>
        <v>管理信息系统</v>
      </c>
      <c r="D175">
        <v>8.5</v>
      </c>
      <c r="E175">
        <v>7</v>
      </c>
      <c r="F175">
        <v>7.3</v>
      </c>
      <c r="G175">
        <v>7.3</v>
      </c>
      <c r="H175">
        <v>8.2</v>
      </c>
      <c r="I175">
        <v>8.8</v>
      </c>
      <c r="J175">
        <v>7.9</v>
      </c>
      <c r="K175">
        <v>6.3</v>
      </c>
      <c r="L175">
        <v>6.9</v>
      </c>
      <c r="M175">
        <v>7.3</v>
      </c>
      <c r="N175">
        <f t="shared" si="2"/>
        <v>75.5</v>
      </c>
    </row>
    <row r="176" spans="1:14">
      <c r="A176">
        <v>20177076</v>
      </c>
      <c r="B176" t="s">
        <v>18</v>
      </c>
      <c r="C176" t="str">
        <f>VLOOKUP(B176,专业代码!$B$2:$C$8,2,FALSE)</f>
        <v>管理信息系统</v>
      </c>
      <c r="D176">
        <v>7.7</v>
      </c>
      <c r="E176">
        <v>8</v>
      </c>
      <c r="F176">
        <v>8.1</v>
      </c>
      <c r="G176">
        <v>8.1</v>
      </c>
      <c r="H176">
        <v>5.8</v>
      </c>
      <c r="I176">
        <v>7.5</v>
      </c>
      <c r="J176">
        <v>5.4</v>
      </c>
      <c r="K176">
        <v>7</v>
      </c>
      <c r="L176">
        <v>6.4</v>
      </c>
      <c r="M176">
        <v>4.6</v>
      </c>
      <c r="N176">
        <f t="shared" si="2"/>
        <v>68.6</v>
      </c>
    </row>
    <row r="177" spans="1:14">
      <c r="A177">
        <v>20173725</v>
      </c>
      <c r="B177" t="s">
        <v>18</v>
      </c>
      <c r="C177" t="str">
        <f>VLOOKUP(B177,专业代码!$B$2:$C$8,2,FALSE)</f>
        <v>管理信息系统</v>
      </c>
      <c r="D177">
        <v>8.3</v>
      </c>
      <c r="E177">
        <v>8.7</v>
      </c>
      <c r="F177">
        <v>8</v>
      </c>
      <c r="G177">
        <v>7.5</v>
      </c>
      <c r="H177">
        <v>5.8</v>
      </c>
      <c r="I177">
        <v>7.9</v>
      </c>
      <c r="J177">
        <v>6.8</v>
      </c>
      <c r="K177">
        <v>5</v>
      </c>
      <c r="L177">
        <v>5.8</v>
      </c>
      <c r="M177">
        <v>6.6</v>
      </c>
      <c r="N177">
        <f t="shared" si="2"/>
        <v>70.4</v>
      </c>
    </row>
    <row r="178" spans="1:14">
      <c r="A178">
        <v>20179509</v>
      </c>
      <c r="B178" t="s">
        <v>18</v>
      </c>
      <c r="C178" t="str">
        <f>VLOOKUP(B178,专业代码!$B$2:$C$8,2,FALSE)</f>
        <v>管理信息系统</v>
      </c>
      <c r="D178">
        <v>8</v>
      </c>
      <c r="E178">
        <v>8.8</v>
      </c>
      <c r="F178">
        <v>7.5</v>
      </c>
      <c r="G178">
        <v>7.2</v>
      </c>
      <c r="H178">
        <v>7</v>
      </c>
      <c r="I178">
        <v>7.7</v>
      </c>
      <c r="J178">
        <v>8.1</v>
      </c>
      <c r="K178">
        <v>8.5</v>
      </c>
      <c r="L178">
        <v>5.8</v>
      </c>
      <c r="M178">
        <v>7.5</v>
      </c>
      <c r="N178">
        <f t="shared" si="2"/>
        <v>76.1</v>
      </c>
    </row>
    <row r="179" spans="1:14">
      <c r="A179">
        <v>20172107</v>
      </c>
      <c r="B179" t="s">
        <v>18</v>
      </c>
      <c r="C179" t="str">
        <f>VLOOKUP(B179,专业代码!$B$2:$C$8,2,FALSE)</f>
        <v>管理信息系统</v>
      </c>
      <c r="D179">
        <v>8.3</v>
      </c>
      <c r="E179">
        <v>8.3</v>
      </c>
      <c r="F179">
        <v>8.8</v>
      </c>
      <c r="G179">
        <v>8.5</v>
      </c>
      <c r="H179">
        <v>6.9</v>
      </c>
      <c r="I179">
        <v>6.6</v>
      </c>
      <c r="J179">
        <v>6.9</v>
      </c>
      <c r="K179">
        <v>6.9</v>
      </c>
      <c r="L179">
        <v>5.4</v>
      </c>
      <c r="M179">
        <v>5.6</v>
      </c>
      <c r="N179">
        <f t="shared" si="2"/>
        <v>72.2</v>
      </c>
    </row>
    <row r="180" spans="1:14">
      <c r="A180">
        <v>20172374</v>
      </c>
      <c r="B180" t="s">
        <v>18</v>
      </c>
      <c r="C180" t="str">
        <f>VLOOKUP(B180,专业代码!$B$2:$C$8,2,FALSE)</f>
        <v>管理信息系统</v>
      </c>
      <c r="D180">
        <v>7.9</v>
      </c>
      <c r="E180">
        <v>8.3</v>
      </c>
      <c r="F180">
        <v>8.5</v>
      </c>
      <c r="G180">
        <v>7.3</v>
      </c>
      <c r="H180">
        <v>8.1</v>
      </c>
      <c r="I180">
        <v>7.1</v>
      </c>
      <c r="J180">
        <v>8.5</v>
      </c>
      <c r="K180">
        <v>6.7</v>
      </c>
      <c r="L180">
        <v>6.5</v>
      </c>
      <c r="M180">
        <v>5.7</v>
      </c>
      <c r="N180">
        <f t="shared" si="2"/>
        <v>74.6</v>
      </c>
    </row>
    <row r="181" spans="1:14">
      <c r="A181">
        <v>20173234</v>
      </c>
      <c r="B181" t="s">
        <v>18</v>
      </c>
      <c r="C181" t="str">
        <f>VLOOKUP(B181,专业代码!$B$2:$C$8,2,FALSE)</f>
        <v>管理信息系统</v>
      </c>
      <c r="D181">
        <v>8.3</v>
      </c>
      <c r="E181">
        <v>8.7</v>
      </c>
      <c r="F181">
        <v>7.6</v>
      </c>
      <c r="G181">
        <v>7.7</v>
      </c>
      <c r="H181">
        <v>7.4</v>
      </c>
      <c r="I181">
        <v>6.9</v>
      </c>
      <c r="J181">
        <v>9</v>
      </c>
      <c r="K181">
        <v>6.6</v>
      </c>
      <c r="L181">
        <v>8.3</v>
      </c>
      <c r="M181">
        <v>6.8</v>
      </c>
      <c r="N181">
        <f t="shared" si="2"/>
        <v>77.3</v>
      </c>
    </row>
    <row r="182" spans="1:14">
      <c r="A182">
        <v>20173588</v>
      </c>
      <c r="B182" t="s">
        <v>18</v>
      </c>
      <c r="C182" t="str">
        <f>VLOOKUP(B182,专业代码!$B$2:$C$8,2,FALSE)</f>
        <v>管理信息系统</v>
      </c>
      <c r="D182">
        <v>9</v>
      </c>
      <c r="E182">
        <v>8.1</v>
      </c>
      <c r="F182">
        <v>8.1</v>
      </c>
      <c r="G182">
        <v>8.1</v>
      </c>
      <c r="H182">
        <v>8.8</v>
      </c>
      <c r="I182">
        <v>7.5</v>
      </c>
      <c r="J182">
        <v>6.8</v>
      </c>
      <c r="K182">
        <v>7.1</v>
      </c>
      <c r="L182">
        <v>7</v>
      </c>
      <c r="M182">
        <v>5.9</v>
      </c>
      <c r="N182">
        <f t="shared" si="2"/>
        <v>76.4</v>
      </c>
    </row>
    <row r="183" spans="1:14">
      <c r="A183">
        <v>20175881</v>
      </c>
      <c r="B183" t="s">
        <v>18</v>
      </c>
      <c r="C183" t="str">
        <f>VLOOKUP(B183,专业代码!$B$2:$C$8,2,FALSE)</f>
        <v>管理信息系统</v>
      </c>
      <c r="D183">
        <v>8.6</v>
      </c>
      <c r="E183">
        <v>8.4</v>
      </c>
      <c r="F183">
        <v>6.8</v>
      </c>
      <c r="G183">
        <v>7.5</v>
      </c>
      <c r="H183">
        <v>7.4</v>
      </c>
      <c r="I183">
        <v>8.9</v>
      </c>
      <c r="J183">
        <v>8.1</v>
      </c>
      <c r="K183">
        <v>8.2</v>
      </c>
      <c r="L183">
        <v>7.6</v>
      </c>
      <c r="M183">
        <v>4.8</v>
      </c>
      <c r="N183">
        <f t="shared" si="2"/>
        <v>76.3</v>
      </c>
    </row>
    <row r="184" spans="1:14">
      <c r="A184">
        <v>20176076</v>
      </c>
      <c r="B184" t="s">
        <v>18</v>
      </c>
      <c r="C184" t="str">
        <f>VLOOKUP(B184,专业代码!$B$2:$C$8,2,FALSE)</f>
        <v>管理信息系统</v>
      </c>
      <c r="D184">
        <v>8.2</v>
      </c>
      <c r="E184">
        <v>8.9</v>
      </c>
      <c r="F184">
        <v>7.6</v>
      </c>
      <c r="G184">
        <v>8.4</v>
      </c>
      <c r="H184">
        <v>7.3</v>
      </c>
      <c r="I184">
        <v>7.1</v>
      </c>
      <c r="J184">
        <v>6.2</v>
      </c>
      <c r="K184">
        <v>5.3</v>
      </c>
      <c r="L184">
        <v>7.2</v>
      </c>
      <c r="M184">
        <v>6.9</v>
      </c>
      <c r="N184">
        <f t="shared" si="2"/>
        <v>73.1</v>
      </c>
    </row>
    <row r="185" spans="1:14">
      <c r="A185">
        <v>20177537</v>
      </c>
      <c r="B185" t="s">
        <v>18</v>
      </c>
      <c r="C185" t="str">
        <f>VLOOKUP(B185,专业代码!$B$2:$C$8,2,FALSE)</f>
        <v>管理信息系统</v>
      </c>
      <c r="D185">
        <v>8.6</v>
      </c>
      <c r="E185">
        <v>8.2</v>
      </c>
      <c r="F185">
        <v>7.6</v>
      </c>
      <c r="G185">
        <v>8.5</v>
      </c>
      <c r="H185">
        <v>7.9</v>
      </c>
      <c r="I185">
        <v>7.5</v>
      </c>
      <c r="J185">
        <v>6.8</v>
      </c>
      <c r="K185">
        <v>7.1</v>
      </c>
      <c r="L185">
        <v>6</v>
      </c>
      <c r="M185">
        <v>7.1</v>
      </c>
      <c r="N185">
        <f t="shared" si="2"/>
        <v>75.3</v>
      </c>
    </row>
    <row r="186" spans="1:14">
      <c r="A186">
        <v>20171370</v>
      </c>
      <c r="B186" t="s">
        <v>18</v>
      </c>
      <c r="C186" t="str">
        <f>VLOOKUP(B186,专业代码!$B$2:$C$8,2,FALSE)</f>
        <v>管理信息系统</v>
      </c>
      <c r="D186">
        <v>8</v>
      </c>
      <c r="E186">
        <v>7.7</v>
      </c>
      <c r="F186">
        <v>8.9</v>
      </c>
      <c r="G186">
        <v>8.5</v>
      </c>
      <c r="H186">
        <v>8.6</v>
      </c>
      <c r="I186">
        <v>7.1</v>
      </c>
      <c r="J186">
        <v>7.2</v>
      </c>
      <c r="K186">
        <v>4.8</v>
      </c>
      <c r="L186">
        <v>6.2</v>
      </c>
      <c r="M186">
        <v>6.3</v>
      </c>
      <c r="N186">
        <f t="shared" si="2"/>
        <v>73.3</v>
      </c>
    </row>
    <row r="187" spans="1:14">
      <c r="A187">
        <v>20171892</v>
      </c>
      <c r="B187" t="s">
        <v>18</v>
      </c>
      <c r="C187" t="str">
        <f>VLOOKUP(B187,专业代码!$B$2:$C$8,2,FALSE)</f>
        <v>管理信息系统</v>
      </c>
      <c r="D187">
        <v>8.7</v>
      </c>
      <c r="E187">
        <v>7.5</v>
      </c>
      <c r="F187">
        <v>7.7</v>
      </c>
      <c r="G187">
        <v>7.5</v>
      </c>
      <c r="H187">
        <v>7.6</v>
      </c>
      <c r="I187">
        <v>6.7</v>
      </c>
      <c r="J187">
        <v>8.3</v>
      </c>
      <c r="K187">
        <v>7.6</v>
      </c>
      <c r="L187">
        <v>7.3</v>
      </c>
      <c r="M187">
        <v>4.6</v>
      </c>
      <c r="N187">
        <f t="shared" si="2"/>
        <v>73.5</v>
      </c>
    </row>
    <row r="188" spans="1:14">
      <c r="A188">
        <v>20175689</v>
      </c>
      <c r="B188" t="s">
        <v>18</v>
      </c>
      <c r="C188" t="str">
        <f>VLOOKUP(B188,专业代码!$B$2:$C$8,2,FALSE)</f>
        <v>管理信息系统</v>
      </c>
      <c r="D188">
        <v>8.6</v>
      </c>
      <c r="E188">
        <v>8.9</v>
      </c>
      <c r="F188">
        <v>7.4</v>
      </c>
      <c r="G188">
        <v>7.1</v>
      </c>
      <c r="H188">
        <v>6.4</v>
      </c>
      <c r="I188">
        <v>5.9</v>
      </c>
      <c r="J188">
        <v>8.8</v>
      </c>
      <c r="K188">
        <v>5.8</v>
      </c>
      <c r="L188">
        <v>7.2</v>
      </c>
      <c r="M188">
        <v>6.1</v>
      </c>
      <c r="N188">
        <f t="shared" si="2"/>
        <v>72.2</v>
      </c>
    </row>
    <row r="189" spans="1:14">
      <c r="A189">
        <v>20175839</v>
      </c>
      <c r="B189" t="s">
        <v>18</v>
      </c>
      <c r="C189" t="str">
        <f>VLOOKUP(B189,专业代码!$B$2:$C$8,2,FALSE)</f>
        <v>管理信息系统</v>
      </c>
      <c r="D189">
        <v>8.2</v>
      </c>
      <c r="E189">
        <v>8.2</v>
      </c>
      <c r="F189">
        <v>7.1</v>
      </c>
      <c r="G189">
        <v>7.1</v>
      </c>
      <c r="H189">
        <v>8.4</v>
      </c>
      <c r="I189">
        <v>9</v>
      </c>
      <c r="J189">
        <v>6.7</v>
      </c>
      <c r="K189">
        <v>6.5</v>
      </c>
      <c r="L189">
        <v>6.6</v>
      </c>
      <c r="M189">
        <v>3.1</v>
      </c>
      <c r="N189">
        <f t="shared" si="2"/>
        <v>70.9</v>
      </c>
    </row>
    <row r="190" spans="1:14">
      <c r="A190">
        <v>20177846</v>
      </c>
      <c r="B190" t="s">
        <v>18</v>
      </c>
      <c r="C190" t="str">
        <f>VLOOKUP(B190,专业代码!$B$2:$C$8,2,FALSE)</f>
        <v>管理信息系统</v>
      </c>
      <c r="D190">
        <v>6.7</v>
      </c>
      <c r="E190">
        <v>8.9</v>
      </c>
      <c r="F190">
        <v>7.5</v>
      </c>
      <c r="G190">
        <v>8.3</v>
      </c>
      <c r="H190">
        <v>8.1</v>
      </c>
      <c r="I190">
        <v>7.8</v>
      </c>
      <c r="J190">
        <v>8.2</v>
      </c>
      <c r="K190">
        <v>6.8</v>
      </c>
      <c r="L190">
        <v>8</v>
      </c>
      <c r="M190">
        <v>4.3</v>
      </c>
      <c r="N190">
        <f t="shared" si="2"/>
        <v>74.6</v>
      </c>
    </row>
    <row r="191" spans="1:14">
      <c r="A191">
        <v>20171216</v>
      </c>
      <c r="B191" t="s">
        <v>18</v>
      </c>
      <c r="C191" t="str">
        <f>VLOOKUP(B191,专业代码!$B$2:$C$8,2,FALSE)</f>
        <v>管理信息系统</v>
      </c>
      <c r="D191">
        <v>8.6</v>
      </c>
      <c r="E191">
        <v>8.6</v>
      </c>
      <c r="F191">
        <v>7.8</v>
      </c>
      <c r="G191">
        <v>8</v>
      </c>
      <c r="H191">
        <v>6.9</v>
      </c>
      <c r="I191">
        <v>6.6</v>
      </c>
      <c r="J191">
        <v>6.8</v>
      </c>
      <c r="K191">
        <v>7.5</v>
      </c>
      <c r="L191">
        <v>8.2</v>
      </c>
      <c r="M191">
        <v>7</v>
      </c>
      <c r="N191">
        <f t="shared" si="2"/>
        <v>76</v>
      </c>
    </row>
    <row r="192" spans="1:14">
      <c r="A192">
        <v>20173409</v>
      </c>
      <c r="B192" t="s">
        <v>18</v>
      </c>
      <c r="C192" t="str">
        <f>VLOOKUP(B192,专业代码!$B$2:$C$8,2,FALSE)</f>
        <v>管理信息系统</v>
      </c>
      <c r="D192">
        <v>8.3</v>
      </c>
      <c r="E192">
        <v>7.5</v>
      </c>
      <c r="F192">
        <v>8.9</v>
      </c>
      <c r="G192">
        <v>7.7</v>
      </c>
      <c r="H192">
        <v>7</v>
      </c>
      <c r="I192">
        <v>7</v>
      </c>
      <c r="J192">
        <v>5.8</v>
      </c>
      <c r="K192">
        <v>5.9</v>
      </c>
      <c r="L192">
        <v>6</v>
      </c>
      <c r="M192">
        <v>4.2</v>
      </c>
      <c r="N192">
        <f t="shared" si="2"/>
        <v>68.3</v>
      </c>
    </row>
    <row r="193" spans="1:14">
      <c r="A193">
        <v>20178696</v>
      </c>
      <c r="B193" t="s">
        <v>18</v>
      </c>
      <c r="C193" t="str">
        <f>VLOOKUP(B193,专业代码!$B$2:$C$8,2,FALSE)</f>
        <v>管理信息系统</v>
      </c>
      <c r="D193">
        <v>8.6</v>
      </c>
      <c r="E193">
        <v>8.4</v>
      </c>
      <c r="F193">
        <v>8.2</v>
      </c>
      <c r="G193">
        <v>8.1</v>
      </c>
      <c r="H193">
        <v>7.2</v>
      </c>
      <c r="I193">
        <v>7.9</v>
      </c>
      <c r="J193">
        <v>6.8</v>
      </c>
      <c r="K193">
        <v>7.6</v>
      </c>
      <c r="L193">
        <v>8.6</v>
      </c>
      <c r="M193">
        <v>6.8</v>
      </c>
      <c r="N193">
        <f t="shared" si="2"/>
        <v>78.2</v>
      </c>
    </row>
    <row r="194" spans="1:14">
      <c r="A194">
        <v>20179469</v>
      </c>
      <c r="B194" t="s">
        <v>18</v>
      </c>
      <c r="C194" t="str">
        <f>VLOOKUP(B194,专业代码!$B$2:$C$8,2,FALSE)</f>
        <v>管理信息系统</v>
      </c>
      <c r="D194">
        <v>8.4</v>
      </c>
      <c r="E194">
        <v>8.6</v>
      </c>
      <c r="F194">
        <v>7.9</v>
      </c>
      <c r="G194">
        <v>7</v>
      </c>
      <c r="H194">
        <v>8.5</v>
      </c>
      <c r="I194">
        <v>6.2</v>
      </c>
      <c r="J194">
        <v>7.9</v>
      </c>
      <c r="K194">
        <v>6.6</v>
      </c>
      <c r="L194">
        <v>9.4</v>
      </c>
      <c r="M194">
        <v>7.6</v>
      </c>
      <c r="N194">
        <f t="shared" si="2"/>
        <v>78.1</v>
      </c>
    </row>
    <row r="195" spans="1:14">
      <c r="A195">
        <v>20171512</v>
      </c>
      <c r="B195" t="s">
        <v>19</v>
      </c>
      <c r="C195" t="str">
        <f>VLOOKUP(B195,专业代码!$B$2:$C$8,2,FALSE)</f>
        <v>市场营销</v>
      </c>
      <c r="D195">
        <v>7.8</v>
      </c>
      <c r="E195">
        <v>7.3</v>
      </c>
      <c r="F195">
        <v>6.7</v>
      </c>
      <c r="G195">
        <v>7.6</v>
      </c>
      <c r="H195">
        <v>7.8</v>
      </c>
      <c r="I195">
        <v>6</v>
      </c>
      <c r="J195">
        <v>5.3</v>
      </c>
      <c r="K195">
        <v>6.5</v>
      </c>
      <c r="L195">
        <v>5.4</v>
      </c>
      <c r="M195">
        <v>6.7</v>
      </c>
      <c r="N195">
        <f t="shared" ref="N195:N258" si="3">SUM(D195:M195)</f>
        <v>67.1</v>
      </c>
    </row>
    <row r="196" spans="1:14">
      <c r="A196">
        <v>20172285</v>
      </c>
      <c r="B196" t="s">
        <v>19</v>
      </c>
      <c r="C196" t="str">
        <f>VLOOKUP(B196,专业代码!$B$2:$C$8,2,FALSE)</f>
        <v>市场营销</v>
      </c>
      <c r="D196">
        <v>7.9</v>
      </c>
      <c r="E196">
        <v>6.9</v>
      </c>
      <c r="F196">
        <v>6.5</v>
      </c>
      <c r="G196">
        <v>8</v>
      </c>
      <c r="H196">
        <v>6.9</v>
      </c>
      <c r="I196">
        <v>6.3</v>
      </c>
      <c r="J196">
        <v>7.2</v>
      </c>
      <c r="K196">
        <v>6.7</v>
      </c>
      <c r="L196">
        <v>4.9</v>
      </c>
      <c r="M196">
        <v>4.1</v>
      </c>
      <c r="N196">
        <f t="shared" si="3"/>
        <v>65.4</v>
      </c>
    </row>
    <row r="197" spans="1:14">
      <c r="A197">
        <v>20171269</v>
      </c>
      <c r="B197" t="s">
        <v>19</v>
      </c>
      <c r="C197" t="str">
        <f>VLOOKUP(B197,专业代码!$B$2:$C$8,2,FALSE)</f>
        <v>市场营销</v>
      </c>
      <c r="D197">
        <v>7.5</v>
      </c>
      <c r="E197">
        <v>7.4</v>
      </c>
      <c r="F197">
        <v>7.6</v>
      </c>
      <c r="G197">
        <v>5.8</v>
      </c>
      <c r="H197">
        <v>7.4</v>
      </c>
      <c r="I197">
        <v>5.2</v>
      </c>
      <c r="J197">
        <v>5.4</v>
      </c>
      <c r="K197">
        <v>5.3</v>
      </c>
      <c r="L197">
        <v>6.3</v>
      </c>
      <c r="M197">
        <v>6.2</v>
      </c>
      <c r="N197">
        <f t="shared" si="3"/>
        <v>64.1</v>
      </c>
    </row>
    <row r="198" spans="1:14">
      <c r="A198">
        <v>20173159</v>
      </c>
      <c r="B198" t="s">
        <v>19</v>
      </c>
      <c r="C198" t="str">
        <f>VLOOKUP(B198,专业代码!$B$2:$C$8,2,FALSE)</f>
        <v>市场营销</v>
      </c>
      <c r="D198">
        <v>6.6</v>
      </c>
      <c r="E198">
        <v>7.3</v>
      </c>
      <c r="F198">
        <v>6.8</v>
      </c>
      <c r="G198">
        <v>6.9</v>
      </c>
      <c r="H198">
        <v>6.5</v>
      </c>
      <c r="I198">
        <v>6.6</v>
      </c>
      <c r="J198">
        <v>7.6</v>
      </c>
      <c r="K198">
        <v>5.8</v>
      </c>
      <c r="L198">
        <v>5.6</v>
      </c>
      <c r="M198">
        <v>4.4</v>
      </c>
      <c r="N198">
        <f t="shared" si="3"/>
        <v>64.1</v>
      </c>
    </row>
    <row r="199" spans="1:14">
      <c r="A199">
        <v>20176290</v>
      </c>
      <c r="B199" t="s">
        <v>19</v>
      </c>
      <c r="C199" t="str">
        <f>VLOOKUP(B199,专业代码!$B$2:$C$8,2,FALSE)</f>
        <v>市场营销</v>
      </c>
      <c r="D199">
        <v>7.1</v>
      </c>
      <c r="E199">
        <v>7.3</v>
      </c>
      <c r="F199">
        <v>8</v>
      </c>
      <c r="G199">
        <v>6.7</v>
      </c>
      <c r="H199">
        <v>6.7</v>
      </c>
      <c r="I199">
        <v>6.5</v>
      </c>
      <c r="J199">
        <v>5.8</v>
      </c>
      <c r="K199">
        <v>7.2</v>
      </c>
      <c r="L199">
        <v>6</v>
      </c>
      <c r="M199">
        <v>5.4</v>
      </c>
      <c r="N199">
        <f t="shared" si="3"/>
        <v>66.7</v>
      </c>
    </row>
    <row r="200" spans="1:14">
      <c r="A200">
        <v>20176716</v>
      </c>
      <c r="B200" t="s">
        <v>19</v>
      </c>
      <c r="C200" t="str">
        <f>VLOOKUP(B200,专业代码!$B$2:$C$8,2,FALSE)</f>
        <v>市场营销</v>
      </c>
      <c r="D200">
        <v>7.4</v>
      </c>
      <c r="E200">
        <v>7.4</v>
      </c>
      <c r="F200">
        <v>7.8</v>
      </c>
      <c r="G200">
        <v>6.8</v>
      </c>
      <c r="H200">
        <v>5.7</v>
      </c>
      <c r="I200">
        <v>6.9</v>
      </c>
      <c r="J200">
        <v>7.2</v>
      </c>
      <c r="K200">
        <v>6.7</v>
      </c>
      <c r="L200">
        <v>5.3</v>
      </c>
      <c r="M200">
        <v>6</v>
      </c>
      <c r="N200">
        <f t="shared" si="3"/>
        <v>67.2</v>
      </c>
    </row>
    <row r="201" spans="1:14">
      <c r="A201">
        <v>20179526</v>
      </c>
      <c r="B201" t="s">
        <v>19</v>
      </c>
      <c r="C201" t="str">
        <f>VLOOKUP(B201,专业代码!$B$2:$C$8,2,FALSE)</f>
        <v>市场营销</v>
      </c>
      <c r="D201">
        <v>7.1</v>
      </c>
      <c r="E201">
        <v>7</v>
      </c>
      <c r="F201">
        <v>7</v>
      </c>
      <c r="G201">
        <v>6.4</v>
      </c>
      <c r="H201">
        <v>6.5</v>
      </c>
      <c r="I201">
        <v>7.5</v>
      </c>
      <c r="J201">
        <v>7</v>
      </c>
      <c r="K201">
        <v>5.5</v>
      </c>
      <c r="L201">
        <v>6.4</v>
      </c>
      <c r="M201">
        <v>4.6</v>
      </c>
      <c r="N201">
        <f t="shared" si="3"/>
        <v>65</v>
      </c>
    </row>
    <row r="202" spans="1:14">
      <c r="A202">
        <v>20174431</v>
      </c>
      <c r="B202" t="s">
        <v>19</v>
      </c>
      <c r="C202" t="str">
        <f>VLOOKUP(B202,专业代码!$B$2:$C$8,2,FALSE)</f>
        <v>市场营销</v>
      </c>
      <c r="D202">
        <v>8</v>
      </c>
      <c r="E202">
        <v>8.3</v>
      </c>
      <c r="F202">
        <v>6.8</v>
      </c>
      <c r="G202">
        <v>7.5</v>
      </c>
      <c r="H202">
        <v>7.1</v>
      </c>
      <c r="I202">
        <v>5.8</v>
      </c>
      <c r="J202">
        <v>7.7</v>
      </c>
      <c r="K202">
        <v>7.1</v>
      </c>
      <c r="L202">
        <v>4.7</v>
      </c>
      <c r="M202">
        <v>6.5</v>
      </c>
      <c r="N202">
        <f t="shared" si="3"/>
        <v>69.5</v>
      </c>
    </row>
    <row r="203" spans="1:14">
      <c r="A203">
        <v>20171829</v>
      </c>
      <c r="B203" t="s">
        <v>19</v>
      </c>
      <c r="C203" t="str">
        <f>VLOOKUP(B203,专业代码!$B$2:$C$8,2,FALSE)</f>
        <v>市场营销</v>
      </c>
      <c r="D203">
        <v>8</v>
      </c>
      <c r="E203">
        <v>7.1</v>
      </c>
      <c r="F203">
        <v>7</v>
      </c>
      <c r="G203">
        <v>6.5</v>
      </c>
      <c r="H203">
        <v>7.3</v>
      </c>
      <c r="I203">
        <v>7.1</v>
      </c>
      <c r="J203">
        <v>6.5</v>
      </c>
      <c r="K203">
        <v>5.6</v>
      </c>
      <c r="L203">
        <v>4.9</v>
      </c>
      <c r="M203">
        <v>5.5</v>
      </c>
      <c r="N203">
        <f t="shared" si="3"/>
        <v>65.5</v>
      </c>
    </row>
    <row r="204" spans="1:14">
      <c r="A204">
        <v>20176314</v>
      </c>
      <c r="B204" t="s">
        <v>19</v>
      </c>
      <c r="C204" t="str">
        <f>VLOOKUP(B204,专业代码!$B$2:$C$8,2,FALSE)</f>
        <v>市场营销</v>
      </c>
      <c r="D204">
        <v>7.4</v>
      </c>
      <c r="E204">
        <v>6.9</v>
      </c>
      <c r="F204">
        <v>8.5</v>
      </c>
      <c r="G204">
        <v>5.7</v>
      </c>
      <c r="H204">
        <v>6.1</v>
      </c>
      <c r="I204">
        <v>7.2</v>
      </c>
      <c r="J204">
        <v>5.9</v>
      </c>
      <c r="K204">
        <v>7.2</v>
      </c>
      <c r="L204">
        <v>5.3</v>
      </c>
      <c r="M204">
        <v>5.2</v>
      </c>
      <c r="N204">
        <f t="shared" si="3"/>
        <v>65.4</v>
      </c>
    </row>
    <row r="205" spans="1:14">
      <c r="A205">
        <v>20179488</v>
      </c>
      <c r="B205" t="s">
        <v>19</v>
      </c>
      <c r="C205" t="str">
        <f>VLOOKUP(B205,专业代码!$B$2:$C$8,2,FALSE)</f>
        <v>市场营销</v>
      </c>
      <c r="D205">
        <v>7.4</v>
      </c>
      <c r="E205">
        <v>6.8</v>
      </c>
      <c r="F205">
        <v>7.7</v>
      </c>
      <c r="G205">
        <v>6.7</v>
      </c>
      <c r="H205">
        <v>7.7</v>
      </c>
      <c r="I205">
        <v>7.3</v>
      </c>
      <c r="J205">
        <v>4.5</v>
      </c>
      <c r="K205">
        <v>6.7</v>
      </c>
      <c r="L205">
        <v>6.1</v>
      </c>
      <c r="M205">
        <v>8</v>
      </c>
      <c r="N205">
        <f t="shared" si="3"/>
        <v>68.9</v>
      </c>
    </row>
    <row r="206" spans="1:14">
      <c r="A206">
        <v>20174081</v>
      </c>
      <c r="B206" t="s">
        <v>19</v>
      </c>
      <c r="C206" t="str">
        <f>VLOOKUP(B206,专业代码!$B$2:$C$8,2,FALSE)</f>
        <v>市场营销</v>
      </c>
      <c r="D206">
        <v>6.7</v>
      </c>
      <c r="E206">
        <v>7.6</v>
      </c>
      <c r="F206">
        <v>5.8</v>
      </c>
      <c r="G206">
        <v>7.4</v>
      </c>
      <c r="H206">
        <v>7</v>
      </c>
      <c r="I206">
        <v>6.6</v>
      </c>
      <c r="J206">
        <v>6.7</v>
      </c>
      <c r="K206">
        <v>6.8</v>
      </c>
      <c r="L206">
        <v>6.7</v>
      </c>
      <c r="M206">
        <v>5.3</v>
      </c>
      <c r="N206">
        <f t="shared" si="3"/>
        <v>66.6</v>
      </c>
    </row>
    <row r="207" spans="1:14">
      <c r="A207">
        <v>20174171</v>
      </c>
      <c r="B207" t="s">
        <v>19</v>
      </c>
      <c r="C207" t="str">
        <f>VLOOKUP(B207,专业代码!$B$2:$C$8,2,FALSE)</f>
        <v>市场营销</v>
      </c>
      <c r="D207">
        <v>7.7</v>
      </c>
      <c r="E207">
        <v>7.3</v>
      </c>
      <c r="F207">
        <v>6.7</v>
      </c>
      <c r="G207">
        <v>8.2</v>
      </c>
      <c r="H207">
        <v>6.6</v>
      </c>
      <c r="I207">
        <v>5.8</v>
      </c>
      <c r="J207">
        <v>6.6</v>
      </c>
      <c r="K207">
        <v>6.9</v>
      </c>
      <c r="L207">
        <v>6.6</v>
      </c>
      <c r="M207">
        <v>5.3</v>
      </c>
      <c r="N207">
        <f t="shared" si="3"/>
        <v>67.7</v>
      </c>
    </row>
    <row r="208" spans="1:14">
      <c r="A208">
        <v>20174612</v>
      </c>
      <c r="B208" t="s">
        <v>19</v>
      </c>
      <c r="C208" t="str">
        <f>VLOOKUP(B208,专业代码!$B$2:$C$8,2,FALSE)</f>
        <v>市场营销</v>
      </c>
      <c r="D208">
        <v>7.3</v>
      </c>
      <c r="E208">
        <v>7.5</v>
      </c>
      <c r="F208">
        <v>5.8</v>
      </c>
      <c r="G208">
        <v>6.9</v>
      </c>
      <c r="H208">
        <v>7</v>
      </c>
      <c r="I208">
        <v>6.5</v>
      </c>
      <c r="J208">
        <v>7</v>
      </c>
      <c r="K208">
        <v>5.3</v>
      </c>
      <c r="L208">
        <v>5.6</v>
      </c>
      <c r="M208">
        <v>7.5</v>
      </c>
      <c r="N208">
        <f t="shared" si="3"/>
        <v>66.4</v>
      </c>
    </row>
    <row r="209" spans="1:14">
      <c r="A209">
        <v>20176675</v>
      </c>
      <c r="B209" t="s">
        <v>19</v>
      </c>
      <c r="C209" t="str">
        <f>VLOOKUP(B209,专业代码!$B$2:$C$8,2,FALSE)</f>
        <v>市场营销</v>
      </c>
      <c r="D209">
        <v>8.7</v>
      </c>
      <c r="E209">
        <v>6.7</v>
      </c>
      <c r="F209">
        <v>7.2</v>
      </c>
      <c r="G209">
        <v>6.4</v>
      </c>
      <c r="H209">
        <v>7.2</v>
      </c>
      <c r="I209">
        <v>6.3</v>
      </c>
      <c r="J209">
        <v>6.8</v>
      </c>
      <c r="K209">
        <v>6.1</v>
      </c>
      <c r="L209">
        <v>6.6</v>
      </c>
      <c r="M209">
        <v>3</v>
      </c>
      <c r="N209">
        <f t="shared" si="3"/>
        <v>65</v>
      </c>
    </row>
    <row r="210" spans="1:14">
      <c r="A210">
        <v>20178284</v>
      </c>
      <c r="B210" t="s">
        <v>19</v>
      </c>
      <c r="C210" t="str">
        <f>VLOOKUP(B210,专业代码!$B$2:$C$8,2,FALSE)</f>
        <v>市场营销</v>
      </c>
      <c r="D210">
        <v>7.9</v>
      </c>
      <c r="E210">
        <v>6.5</v>
      </c>
      <c r="F210">
        <v>7.5</v>
      </c>
      <c r="G210">
        <v>6.8</v>
      </c>
      <c r="H210">
        <v>6.6</v>
      </c>
      <c r="I210">
        <v>7.1</v>
      </c>
      <c r="J210">
        <v>5.9</v>
      </c>
      <c r="K210">
        <v>4.6</v>
      </c>
      <c r="L210">
        <v>5.5</v>
      </c>
      <c r="M210">
        <v>5.1</v>
      </c>
      <c r="N210">
        <f t="shared" si="3"/>
        <v>63.5</v>
      </c>
    </row>
    <row r="211" spans="1:14">
      <c r="A211">
        <v>20178820</v>
      </c>
      <c r="B211" t="s">
        <v>19</v>
      </c>
      <c r="C211" t="str">
        <f>VLOOKUP(B211,专业代码!$B$2:$C$8,2,FALSE)</f>
        <v>市场营销</v>
      </c>
      <c r="D211">
        <v>7.5</v>
      </c>
      <c r="E211">
        <v>6.9</v>
      </c>
      <c r="F211">
        <v>7.1</v>
      </c>
      <c r="G211">
        <v>7.5</v>
      </c>
      <c r="H211">
        <v>5.7</v>
      </c>
      <c r="I211">
        <v>6.6</v>
      </c>
      <c r="J211">
        <v>6.6</v>
      </c>
      <c r="K211">
        <v>6.5</v>
      </c>
      <c r="L211">
        <v>7.4</v>
      </c>
      <c r="M211">
        <v>6.2</v>
      </c>
      <c r="N211">
        <f t="shared" si="3"/>
        <v>68</v>
      </c>
    </row>
    <row r="212" spans="1:14">
      <c r="A212">
        <v>20178908</v>
      </c>
      <c r="B212" t="s">
        <v>19</v>
      </c>
      <c r="C212" t="str">
        <f>VLOOKUP(B212,专业代码!$B$2:$C$8,2,FALSE)</f>
        <v>市场营销</v>
      </c>
      <c r="D212">
        <v>7.1</v>
      </c>
      <c r="E212">
        <v>8</v>
      </c>
      <c r="F212">
        <v>7.4</v>
      </c>
      <c r="G212">
        <v>6.4</v>
      </c>
      <c r="H212">
        <v>6.1</v>
      </c>
      <c r="I212">
        <v>7.1</v>
      </c>
      <c r="J212">
        <v>6.7</v>
      </c>
      <c r="K212">
        <v>8.1</v>
      </c>
      <c r="L212">
        <v>4.8</v>
      </c>
      <c r="M212">
        <v>6.9</v>
      </c>
      <c r="N212">
        <f t="shared" si="3"/>
        <v>68.6</v>
      </c>
    </row>
    <row r="213" spans="1:14">
      <c r="A213">
        <v>20176823</v>
      </c>
      <c r="B213" t="s">
        <v>19</v>
      </c>
      <c r="C213" t="str">
        <f>VLOOKUP(B213,专业代码!$B$2:$C$8,2,FALSE)</f>
        <v>市场营销</v>
      </c>
      <c r="D213">
        <v>7.3</v>
      </c>
      <c r="E213">
        <v>8.3</v>
      </c>
      <c r="F213">
        <v>5.6</v>
      </c>
      <c r="G213">
        <v>6.6</v>
      </c>
      <c r="H213">
        <v>7.1</v>
      </c>
      <c r="I213">
        <v>6.3</v>
      </c>
      <c r="J213">
        <v>5.6</v>
      </c>
      <c r="K213">
        <v>7.7</v>
      </c>
      <c r="L213">
        <v>7</v>
      </c>
      <c r="M213">
        <v>6.6</v>
      </c>
      <c r="N213">
        <f t="shared" si="3"/>
        <v>68.1</v>
      </c>
    </row>
    <row r="214" spans="1:14">
      <c r="A214">
        <v>20179016</v>
      </c>
      <c r="B214" t="s">
        <v>19</v>
      </c>
      <c r="C214" t="str">
        <f>VLOOKUP(B214,专业代码!$B$2:$C$8,2,FALSE)</f>
        <v>市场营销</v>
      </c>
      <c r="D214">
        <v>7</v>
      </c>
      <c r="E214">
        <v>7.1</v>
      </c>
      <c r="F214">
        <v>7.5</v>
      </c>
      <c r="G214">
        <v>6.8</v>
      </c>
      <c r="H214">
        <v>6.7</v>
      </c>
      <c r="I214">
        <v>5.8</v>
      </c>
      <c r="J214">
        <v>5.6</v>
      </c>
      <c r="K214">
        <v>6.7</v>
      </c>
      <c r="L214">
        <v>5.3</v>
      </c>
      <c r="M214">
        <v>7.2</v>
      </c>
      <c r="N214">
        <f t="shared" si="3"/>
        <v>65.7</v>
      </c>
    </row>
    <row r="215" spans="1:14">
      <c r="A215">
        <v>20173908</v>
      </c>
      <c r="B215" t="s">
        <v>19</v>
      </c>
      <c r="C215" t="str">
        <f>VLOOKUP(B215,专业代码!$B$2:$C$8,2,FALSE)</f>
        <v>市场营销</v>
      </c>
      <c r="D215">
        <v>7.2</v>
      </c>
      <c r="E215">
        <v>6.9</v>
      </c>
      <c r="F215">
        <v>6.5</v>
      </c>
      <c r="G215">
        <v>7.6</v>
      </c>
      <c r="H215">
        <v>6.9</v>
      </c>
      <c r="I215">
        <v>6.7</v>
      </c>
      <c r="J215">
        <v>6.6</v>
      </c>
      <c r="K215">
        <v>7.7</v>
      </c>
      <c r="L215">
        <v>4</v>
      </c>
      <c r="M215">
        <v>4.2</v>
      </c>
      <c r="N215">
        <f t="shared" si="3"/>
        <v>64.3</v>
      </c>
    </row>
    <row r="216" spans="1:14">
      <c r="A216">
        <v>20173014</v>
      </c>
      <c r="B216" t="s">
        <v>19</v>
      </c>
      <c r="C216" t="str">
        <f>VLOOKUP(B216,专业代码!$B$2:$C$8,2,FALSE)</f>
        <v>市场营销</v>
      </c>
      <c r="D216">
        <v>8.6</v>
      </c>
      <c r="E216">
        <v>8.5</v>
      </c>
      <c r="F216">
        <v>8</v>
      </c>
      <c r="G216">
        <v>8.7</v>
      </c>
      <c r="H216">
        <v>7.2</v>
      </c>
      <c r="I216">
        <v>6.6</v>
      </c>
      <c r="J216">
        <v>7.3</v>
      </c>
      <c r="K216">
        <v>6.1</v>
      </c>
      <c r="L216">
        <v>7.1</v>
      </c>
      <c r="M216">
        <v>5.3</v>
      </c>
      <c r="N216">
        <f t="shared" si="3"/>
        <v>73.4</v>
      </c>
    </row>
    <row r="217" spans="1:14">
      <c r="A217">
        <v>20177505</v>
      </c>
      <c r="B217" t="s">
        <v>19</v>
      </c>
      <c r="C217" t="str">
        <f>VLOOKUP(B217,专业代码!$B$2:$C$8,2,FALSE)</f>
        <v>市场营销</v>
      </c>
      <c r="D217">
        <v>7.7</v>
      </c>
      <c r="E217">
        <v>8.8</v>
      </c>
      <c r="F217">
        <v>7.4</v>
      </c>
      <c r="G217">
        <v>7.3</v>
      </c>
      <c r="H217">
        <v>7.3</v>
      </c>
      <c r="I217">
        <v>6.5</v>
      </c>
      <c r="J217">
        <v>7.3</v>
      </c>
      <c r="K217">
        <v>7.3</v>
      </c>
      <c r="L217">
        <v>8.4</v>
      </c>
      <c r="M217">
        <v>6.8</v>
      </c>
      <c r="N217">
        <f t="shared" si="3"/>
        <v>74.8</v>
      </c>
    </row>
    <row r="218" spans="1:14">
      <c r="A218">
        <v>20178762</v>
      </c>
      <c r="B218" t="s">
        <v>19</v>
      </c>
      <c r="C218" t="str">
        <f>VLOOKUP(B218,专业代码!$B$2:$C$8,2,FALSE)</f>
        <v>市场营销</v>
      </c>
      <c r="D218">
        <v>9</v>
      </c>
      <c r="E218">
        <v>9.6</v>
      </c>
      <c r="F218">
        <v>8.9</v>
      </c>
      <c r="G218">
        <v>9.4</v>
      </c>
      <c r="H218">
        <v>9.7</v>
      </c>
      <c r="I218">
        <v>8.5</v>
      </c>
      <c r="J218">
        <v>8</v>
      </c>
      <c r="K218">
        <v>7.9</v>
      </c>
      <c r="L218">
        <v>8.5</v>
      </c>
      <c r="M218">
        <v>7</v>
      </c>
      <c r="N218">
        <f t="shared" si="3"/>
        <v>86.5</v>
      </c>
    </row>
    <row r="219" spans="1:14">
      <c r="A219">
        <v>20174583</v>
      </c>
      <c r="B219" t="s">
        <v>19</v>
      </c>
      <c r="C219" t="str">
        <f>VLOOKUP(B219,专业代码!$B$2:$C$8,2,FALSE)</f>
        <v>市场营销</v>
      </c>
      <c r="D219">
        <v>7.3</v>
      </c>
      <c r="E219">
        <v>7.8</v>
      </c>
      <c r="F219">
        <v>7.1</v>
      </c>
      <c r="G219">
        <v>7.2</v>
      </c>
      <c r="H219">
        <v>6.7</v>
      </c>
      <c r="I219">
        <v>6.3</v>
      </c>
      <c r="J219">
        <v>6.7</v>
      </c>
      <c r="K219">
        <v>6.1</v>
      </c>
      <c r="L219">
        <v>4.8</v>
      </c>
      <c r="M219">
        <v>5.2</v>
      </c>
      <c r="N219">
        <f t="shared" si="3"/>
        <v>65.2</v>
      </c>
    </row>
    <row r="220" spans="1:14">
      <c r="A220">
        <v>20178770</v>
      </c>
      <c r="B220" t="s">
        <v>19</v>
      </c>
      <c r="C220" t="str">
        <f>VLOOKUP(B220,专业代码!$B$2:$C$8,2,FALSE)</f>
        <v>市场营销</v>
      </c>
      <c r="D220">
        <v>7.6</v>
      </c>
      <c r="E220">
        <v>8.1</v>
      </c>
      <c r="F220">
        <v>6.8</v>
      </c>
      <c r="G220">
        <v>7.7</v>
      </c>
      <c r="H220">
        <v>7.1</v>
      </c>
      <c r="I220">
        <v>7.6</v>
      </c>
      <c r="J220">
        <v>6.3</v>
      </c>
      <c r="K220">
        <v>5.2</v>
      </c>
      <c r="L220">
        <v>5.2</v>
      </c>
      <c r="M220">
        <v>4.8</v>
      </c>
      <c r="N220">
        <f t="shared" si="3"/>
        <v>66.4</v>
      </c>
    </row>
    <row r="221" spans="1:14">
      <c r="A221">
        <v>20171541</v>
      </c>
      <c r="B221" t="s">
        <v>19</v>
      </c>
      <c r="C221" t="str">
        <f>VLOOKUP(B221,专业代码!$B$2:$C$8,2,FALSE)</f>
        <v>市场营销</v>
      </c>
      <c r="D221">
        <v>8.3</v>
      </c>
      <c r="E221">
        <v>6.7</v>
      </c>
      <c r="F221">
        <v>7.6</v>
      </c>
      <c r="G221">
        <v>7.2</v>
      </c>
      <c r="H221">
        <v>5.8</v>
      </c>
      <c r="I221">
        <v>5.7</v>
      </c>
      <c r="J221">
        <v>6.8</v>
      </c>
      <c r="K221">
        <v>5.2</v>
      </c>
      <c r="L221">
        <v>5.9</v>
      </c>
      <c r="M221">
        <v>5.5</v>
      </c>
      <c r="N221">
        <f t="shared" si="3"/>
        <v>64.7</v>
      </c>
    </row>
    <row r="222" spans="1:14">
      <c r="A222">
        <v>20173545</v>
      </c>
      <c r="B222" t="s">
        <v>19</v>
      </c>
      <c r="C222" t="str">
        <f>VLOOKUP(B222,专业代码!$B$2:$C$8,2,FALSE)</f>
        <v>市场营销</v>
      </c>
      <c r="D222">
        <v>7.2</v>
      </c>
      <c r="E222">
        <v>5.8</v>
      </c>
      <c r="F222">
        <v>7.1</v>
      </c>
      <c r="G222">
        <v>7.3</v>
      </c>
      <c r="H222">
        <v>7.4</v>
      </c>
      <c r="I222">
        <v>7.8</v>
      </c>
      <c r="J222">
        <v>7.2</v>
      </c>
      <c r="K222">
        <v>5.6</v>
      </c>
      <c r="L222">
        <v>5.8</v>
      </c>
      <c r="M222">
        <v>6.7</v>
      </c>
      <c r="N222">
        <f t="shared" si="3"/>
        <v>67.9</v>
      </c>
    </row>
    <row r="223" spans="1:14">
      <c r="A223">
        <v>20176243</v>
      </c>
      <c r="B223" t="s">
        <v>19</v>
      </c>
      <c r="C223" t="str">
        <f>VLOOKUP(B223,专业代码!$B$2:$C$8,2,FALSE)</f>
        <v>市场营销</v>
      </c>
      <c r="D223">
        <v>7.4</v>
      </c>
      <c r="E223">
        <v>6.1</v>
      </c>
      <c r="F223">
        <v>7.1</v>
      </c>
      <c r="G223">
        <v>7.3</v>
      </c>
      <c r="H223">
        <v>6</v>
      </c>
      <c r="I223">
        <v>6.1</v>
      </c>
      <c r="J223">
        <v>6.5</v>
      </c>
      <c r="K223">
        <v>6.7</v>
      </c>
      <c r="L223">
        <v>6.6</v>
      </c>
      <c r="M223">
        <v>6.1</v>
      </c>
      <c r="N223">
        <f t="shared" si="3"/>
        <v>65.9</v>
      </c>
    </row>
    <row r="224" spans="1:14">
      <c r="A224">
        <v>20175599</v>
      </c>
      <c r="B224" t="s">
        <v>19</v>
      </c>
      <c r="C224" t="str">
        <f>VLOOKUP(B224,专业代码!$B$2:$C$8,2,FALSE)</f>
        <v>市场营销</v>
      </c>
      <c r="D224">
        <v>7</v>
      </c>
      <c r="E224">
        <v>7.1</v>
      </c>
      <c r="F224">
        <v>6.9</v>
      </c>
      <c r="G224">
        <v>7</v>
      </c>
      <c r="H224">
        <v>6.6</v>
      </c>
      <c r="I224">
        <v>6.6</v>
      </c>
      <c r="J224">
        <v>5.7</v>
      </c>
      <c r="K224">
        <v>5.9</v>
      </c>
      <c r="L224">
        <v>6.1</v>
      </c>
      <c r="M224">
        <v>2.5</v>
      </c>
      <c r="N224">
        <f t="shared" si="3"/>
        <v>61.4</v>
      </c>
    </row>
    <row r="225" spans="1:14">
      <c r="A225">
        <v>20172917</v>
      </c>
      <c r="B225" t="s">
        <v>19</v>
      </c>
      <c r="C225" t="str">
        <f>VLOOKUP(B225,专业代码!$B$2:$C$8,2,FALSE)</f>
        <v>市场营销</v>
      </c>
      <c r="D225">
        <v>7.7</v>
      </c>
      <c r="E225">
        <v>6.7</v>
      </c>
      <c r="F225">
        <v>7</v>
      </c>
      <c r="G225">
        <v>7.4</v>
      </c>
      <c r="H225">
        <v>5.4</v>
      </c>
      <c r="I225">
        <v>8.1</v>
      </c>
      <c r="J225">
        <v>8.2</v>
      </c>
      <c r="K225">
        <v>6.7</v>
      </c>
      <c r="L225">
        <v>6.4</v>
      </c>
      <c r="M225">
        <v>4.5</v>
      </c>
      <c r="N225">
        <f t="shared" si="3"/>
        <v>68.1</v>
      </c>
    </row>
    <row r="226" spans="1:14">
      <c r="A226">
        <v>20172948</v>
      </c>
      <c r="B226" t="s">
        <v>19</v>
      </c>
      <c r="C226" t="str">
        <f>VLOOKUP(B226,专业代码!$B$2:$C$8,2,FALSE)</f>
        <v>市场营销</v>
      </c>
      <c r="D226">
        <v>6.7</v>
      </c>
      <c r="E226">
        <v>6.7</v>
      </c>
      <c r="F226">
        <v>7.6</v>
      </c>
      <c r="G226">
        <v>6.6</v>
      </c>
      <c r="H226">
        <v>6.7</v>
      </c>
      <c r="I226">
        <v>7</v>
      </c>
      <c r="J226">
        <v>6.8</v>
      </c>
      <c r="K226">
        <v>5.9</v>
      </c>
      <c r="L226">
        <v>5.2</v>
      </c>
      <c r="M226">
        <v>5.6</v>
      </c>
      <c r="N226">
        <f t="shared" si="3"/>
        <v>64.8</v>
      </c>
    </row>
    <row r="227" spans="1:14">
      <c r="A227">
        <v>20173115</v>
      </c>
      <c r="B227" t="s">
        <v>19</v>
      </c>
      <c r="C227" t="str">
        <f>VLOOKUP(B227,专业代码!$B$2:$C$8,2,FALSE)</f>
        <v>市场营销</v>
      </c>
      <c r="D227">
        <v>7.8</v>
      </c>
      <c r="E227">
        <v>6.5</v>
      </c>
      <c r="F227">
        <v>7.1</v>
      </c>
      <c r="G227">
        <v>7.7</v>
      </c>
      <c r="H227">
        <v>6.4</v>
      </c>
      <c r="I227">
        <v>6.3</v>
      </c>
      <c r="J227">
        <v>5</v>
      </c>
      <c r="K227">
        <v>6.1</v>
      </c>
      <c r="L227">
        <v>5.6</v>
      </c>
      <c r="M227">
        <v>5.5</v>
      </c>
      <c r="N227">
        <f t="shared" si="3"/>
        <v>64</v>
      </c>
    </row>
    <row r="228" spans="1:14">
      <c r="A228">
        <v>20173437</v>
      </c>
      <c r="B228" t="s">
        <v>19</v>
      </c>
      <c r="C228" t="str">
        <f>VLOOKUP(B228,专业代码!$B$2:$C$8,2,FALSE)</f>
        <v>市场营销</v>
      </c>
      <c r="D228">
        <v>7.4</v>
      </c>
      <c r="E228">
        <v>7.9</v>
      </c>
      <c r="F228">
        <v>7.3</v>
      </c>
      <c r="G228">
        <v>6.4</v>
      </c>
      <c r="H228">
        <v>5.8</v>
      </c>
      <c r="I228">
        <v>4.5</v>
      </c>
      <c r="J228">
        <v>5.4</v>
      </c>
      <c r="K228">
        <v>6.1</v>
      </c>
      <c r="L228">
        <v>5.6</v>
      </c>
      <c r="M228">
        <v>6.7</v>
      </c>
      <c r="N228">
        <f t="shared" si="3"/>
        <v>63.1</v>
      </c>
    </row>
    <row r="229" spans="1:14">
      <c r="A229">
        <v>20176236</v>
      </c>
      <c r="B229" t="s">
        <v>19</v>
      </c>
      <c r="C229" t="str">
        <f>VLOOKUP(B229,专业代码!$B$2:$C$8,2,FALSE)</f>
        <v>市场营销</v>
      </c>
      <c r="D229">
        <v>7.5</v>
      </c>
      <c r="E229">
        <v>8</v>
      </c>
      <c r="F229">
        <v>7.4</v>
      </c>
      <c r="G229">
        <v>6.2</v>
      </c>
      <c r="H229">
        <v>5.7</v>
      </c>
      <c r="I229">
        <v>6.9</v>
      </c>
      <c r="J229">
        <v>7.5</v>
      </c>
      <c r="K229">
        <v>6.7</v>
      </c>
      <c r="L229">
        <v>5.5</v>
      </c>
      <c r="M229">
        <v>5</v>
      </c>
      <c r="N229">
        <f t="shared" si="3"/>
        <v>66.4</v>
      </c>
    </row>
    <row r="230" spans="1:14">
      <c r="A230">
        <v>20172896</v>
      </c>
      <c r="B230" t="s">
        <v>19</v>
      </c>
      <c r="C230" t="str">
        <f>VLOOKUP(B230,专业代码!$B$2:$C$8,2,FALSE)</f>
        <v>市场营销</v>
      </c>
      <c r="D230">
        <v>7.5</v>
      </c>
      <c r="E230">
        <v>5.9</v>
      </c>
      <c r="F230">
        <v>7.7</v>
      </c>
      <c r="G230">
        <v>7.3</v>
      </c>
      <c r="H230">
        <v>7.6</v>
      </c>
      <c r="I230">
        <v>6.5</v>
      </c>
      <c r="J230">
        <v>7.4</v>
      </c>
      <c r="K230">
        <v>6</v>
      </c>
      <c r="L230">
        <v>6.6</v>
      </c>
      <c r="M230">
        <v>5.4</v>
      </c>
      <c r="N230">
        <f t="shared" si="3"/>
        <v>67.9</v>
      </c>
    </row>
    <row r="231" spans="1:14">
      <c r="A231">
        <v>20171224</v>
      </c>
      <c r="B231" t="s">
        <v>19</v>
      </c>
      <c r="C231" t="str">
        <f>VLOOKUP(B231,专业代码!$B$2:$C$8,2,FALSE)</f>
        <v>市场营销</v>
      </c>
      <c r="D231">
        <v>6.8</v>
      </c>
      <c r="E231">
        <v>6.9</v>
      </c>
      <c r="F231">
        <v>7.3</v>
      </c>
      <c r="G231">
        <v>5.4</v>
      </c>
      <c r="H231">
        <v>8.3</v>
      </c>
      <c r="I231">
        <v>5.6</v>
      </c>
      <c r="J231">
        <v>6.1</v>
      </c>
      <c r="K231">
        <v>6.6</v>
      </c>
      <c r="L231">
        <v>5.6</v>
      </c>
      <c r="M231">
        <v>4.4</v>
      </c>
      <c r="N231">
        <f t="shared" si="3"/>
        <v>63</v>
      </c>
    </row>
    <row r="232" spans="1:14">
      <c r="A232">
        <v>20173302</v>
      </c>
      <c r="B232" t="s">
        <v>19</v>
      </c>
      <c r="C232" t="str">
        <f>VLOOKUP(B232,专业代码!$B$2:$C$8,2,FALSE)</f>
        <v>市场营销</v>
      </c>
      <c r="D232">
        <v>7.5</v>
      </c>
      <c r="E232">
        <v>6.3</v>
      </c>
      <c r="F232">
        <v>7.2</v>
      </c>
      <c r="G232">
        <v>7.6</v>
      </c>
      <c r="H232">
        <v>7.1</v>
      </c>
      <c r="I232">
        <v>7.4</v>
      </c>
      <c r="J232">
        <v>6.3</v>
      </c>
      <c r="K232">
        <v>7.8</v>
      </c>
      <c r="L232">
        <v>4.6</v>
      </c>
      <c r="M232">
        <v>3.8</v>
      </c>
      <c r="N232">
        <f t="shared" si="3"/>
        <v>65.6</v>
      </c>
    </row>
    <row r="233" spans="1:14">
      <c r="A233">
        <v>20178582</v>
      </c>
      <c r="B233" t="s">
        <v>19</v>
      </c>
      <c r="C233" t="str">
        <f>VLOOKUP(B233,专业代码!$B$2:$C$8,2,FALSE)</f>
        <v>市场营销</v>
      </c>
      <c r="D233">
        <v>6.7</v>
      </c>
      <c r="E233">
        <v>6.9</v>
      </c>
      <c r="F233">
        <v>7.7</v>
      </c>
      <c r="G233">
        <v>6.6</v>
      </c>
      <c r="H233">
        <v>7.1</v>
      </c>
      <c r="I233">
        <v>6.4</v>
      </c>
      <c r="J233">
        <v>6.4</v>
      </c>
      <c r="K233">
        <v>5.1</v>
      </c>
      <c r="L233">
        <v>4.7</v>
      </c>
      <c r="M233">
        <v>6.7</v>
      </c>
      <c r="N233">
        <f t="shared" si="3"/>
        <v>64.3</v>
      </c>
    </row>
    <row r="234" spans="1:14">
      <c r="A234">
        <v>20178106</v>
      </c>
      <c r="B234" t="s">
        <v>19</v>
      </c>
      <c r="C234" t="str">
        <f>VLOOKUP(B234,专业代码!$B$2:$C$8,2,FALSE)</f>
        <v>市场营销</v>
      </c>
      <c r="D234">
        <v>8.2</v>
      </c>
      <c r="E234">
        <v>6.5</v>
      </c>
      <c r="F234">
        <v>7.1</v>
      </c>
      <c r="G234">
        <v>7</v>
      </c>
      <c r="H234">
        <v>6.8</v>
      </c>
      <c r="I234">
        <v>7.5</v>
      </c>
      <c r="J234">
        <v>6.4</v>
      </c>
      <c r="K234">
        <v>5.3</v>
      </c>
      <c r="L234">
        <v>7.1</v>
      </c>
      <c r="M234">
        <v>5.9</v>
      </c>
      <c r="N234">
        <f t="shared" si="3"/>
        <v>67.8</v>
      </c>
    </row>
    <row r="235" spans="1:14">
      <c r="A235">
        <v>20171207</v>
      </c>
      <c r="B235" t="s">
        <v>19</v>
      </c>
      <c r="C235" t="str">
        <f>VLOOKUP(B235,专业代码!$B$2:$C$8,2,FALSE)</f>
        <v>市场营销</v>
      </c>
      <c r="D235">
        <v>8.2</v>
      </c>
      <c r="E235">
        <v>6.6</v>
      </c>
      <c r="F235">
        <v>7.3</v>
      </c>
      <c r="G235">
        <v>7.5</v>
      </c>
      <c r="H235">
        <v>6.5</v>
      </c>
      <c r="I235">
        <v>6.6</v>
      </c>
      <c r="J235">
        <v>8.1</v>
      </c>
      <c r="K235">
        <v>7.1</v>
      </c>
      <c r="L235">
        <v>4.7</v>
      </c>
      <c r="M235">
        <v>4.4</v>
      </c>
      <c r="N235">
        <f t="shared" si="3"/>
        <v>67</v>
      </c>
    </row>
    <row r="236" spans="1:14">
      <c r="A236">
        <v>20171324</v>
      </c>
      <c r="B236" t="s">
        <v>19</v>
      </c>
      <c r="C236" t="str">
        <f>VLOOKUP(B236,专业代码!$B$2:$C$8,2,FALSE)</f>
        <v>市场营销</v>
      </c>
      <c r="D236">
        <v>8.4</v>
      </c>
      <c r="E236">
        <v>7.4</v>
      </c>
      <c r="F236">
        <v>6.8</v>
      </c>
      <c r="G236">
        <v>6.7</v>
      </c>
      <c r="H236">
        <v>7.1</v>
      </c>
      <c r="I236">
        <v>6.3</v>
      </c>
      <c r="J236">
        <v>7.1</v>
      </c>
      <c r="K236">
        <v>6.3</v>
      </c>
      <c r="L236">
        <v>6.7</v>
      </c>
      <c r="M236">
        <v>6.9</v>
      </c>
      <c r="N236">
        <f t="shared" si="3"/>
        <v>69.7</v>
      </c>
    </row>
    <row r="237" spans="1:14">
      <c r="A237">
        <v>20171920</v>
      </c>
      <c r="B237" t="s">
        <v>19</v>
      </c>
      <c r="C237" t="str">
        <f>VLOOKUP(B237,专业代码!$B$2:$C$8,2,FALSE)</f>
        <v>市场营销</v>
      </c>
      <c r="D237">
        <v>7</v>
      </c>
      <c r="E237">
        <v>6.9</v>
      </c>
      <c r="F237">
        <v>6.4</v>
      </c>
      <c r="G237">
        <v>6.7</v>
      </c>
      <c r="H237">
        <v>7.2</v>
      </c>
      <c r="I237">
        <v>6.7</v>
      </c>
      <c r="J237">
        <v>4.9</v>
      </c>
      <c r="K237">
        <v>6.8</v>
      </c>
      <c r="L237">
        <v>5.9</v>
      </c>
      <c r="M237">
        <v>6.6</v>
      </c>
      <c r="N237">
        <f t="shared" si="3"/>
        <v>65.1</v>
      </c>
    </row>
    <row r="238" spans="1:14">
      <c r="A238">
        <v>20172550</v>
      </c>
      <c r="B238" t="s">
        <v>19</v>
      </c>
      <c r="C238" t="str">
        <f>VLOOKUP(B238,专业代码!$B$2:$C$8,2,FALSE)</f>
        <v>市场营销</v>
      </c>
      <c r="D238">
        <v>7.3</v>
      </c>
      <c r="E238">
        <v>7.4</v>
      </c>
      <c r="F238">
        <v>6.7</v>
      </c>
      <c r="G238">
        <v>7.6</v>
      </c>
      <c r="H238">
        <v>6.6</v>
      </c>
      <c r="I238">
        <v>5.8</v>
      </c>
      <c r="J238">
        <v>6.4</v>
      </c>
      <c r="K238">
        <v>5.3</v>
      </c>
      <c r="L238">
        <v>6.1</v>
      </c>
      <c r="M238">
        <v>5</v>
      </c>
      <c r="N238">
        <f t="shared" si="3"/>
        <v>64.2</v>
      </c>
    </row>
    <row r="239" spans="1:14">
      <c r="A239">
        <v>20179834</v>
      </c>
      <c r="B239" t="s">
        <v>19</v>
      </c>
      <c r="C239" t="str">
        <f>VLOOKUP(B239,专业代码!$B$2:$C$8,2,FALSE)</f>
        <v>市场营销</v>
      </c>
      <c r="D239">
        <v>7.6</v>
      </c>
      <c r="E239">
        <v>7.5</v>
      </c>
      <c r="F239">
        <v>8.2</v>
      </c>
      <c r="G239">
        <v>6.8</v>
      </c>
      <c r="H239">
        <v>6.2</v>
      </c>
      <c r="I239">
        <v>7.3</v>
      </c>
      <c r="J239">
        <v>5.1</v>
      </c>
      <c r="K239">
        <v>6.1</v>
      </c>
      <c r="L239">
        <v>6.5</v>
      </c>
      <c r="M239">
        <v>7</v>
      </c>
      <c r="N239">
        <f t="shared" si="3"/>
        <v>68.3</v>
      </c>
    </row>
    <row r="240" spans="1:14">
      <c r="A240">
        <v>20177790</v>
      </c>
      <c r="B240" t="s">
        <v>19</v>
      </c>
      <c r="C240" t="str">
        <f>VLOOKUP(B240,专业代码!$B$2:$C$8,2,FALSE)</f>
        <v>市场营销</v>
      </c>
      <c r="D240">
        <v>7.5</v>
      </c>
      <c r="E240">
        <v>7.1</v>
      </c>
      <c r="F240">
        <v>8.2</v>
      </c>
      <c r="G240">
        <v>7</v>
      </c>
      <c r="H240">
        <v>6</v>
      </c>
      <c r="I240">
        <v>6</v>
      </c>
      <c r="J240">
        <v>6.8</v>
      </c>
      <c r="K240">
        <v>5.7</v>
      </c>
      <c r="L240">
        <v>5.8</v>
      </c>
      <c r="M240">
        <v>6.9</v>
      </c>
      <c r="N240">
        <f t="shared" si="3"/>
        <v>67</v>
      </c>
    </row>
    <row r="241" spans="1:14">
      <c r="A241">
        <v>20184817</v>
      </c>
      <c r="B241" t="s">
        <v>14</v>
      </c>
      <c r="C241" t="str">
        <f>VLOOKUP(B241,专业代码!$B$2:$C$8,2,FALSE)</f>
        <v>会计学</v>
      </c>
      <c r="D241">
        <v>9</v>
      </c>
      <c r="E241">
        <v>8.1</v>
      </c>
      <c r="F241">
        <v>7.7</v>
      </c>
      <c r="G241">
        <v>8.7</v>
      </c>
      <c r="H241">
        <v>7.8</v>
      </c>
      <c r="I241">
        <v>8.2</v>
      </c>
      <c r="J241">
        <v>7</v>
      </c>
      <c r="K241">
        <v>8.9</v>
      </c>
      <c r="L241">
        <v>6.2</v>
      </c>
      <c r="M241">
        <v>9.8</v>
      </c>
      <c r="N241">
        <f t="shared" si="3"/>
        <v>81.4</v>
      </c>
    </row>
    <row r="242" spans="1:14">
      <c r="A242">
        <v>20185485</v>
      </c>
      <c r="B242" t="s">
        <v>14</v>
      </c>
      <c r="C242" t="str">
        <f>VLOOKUP(B242,专业代码!$B$2:$C$8,2,FALSE)</f>
        <v>会计学</v>
      </c>
      <c r="D242">
        <v>7.7</v>
      </c>
      <c r="E242">
        <v>8.3</v>
      </c>
      <c r="F242">
        <v>7.5</v>
      </c>
      <c r="G242">
        <v>8</v>
      </c>
      <c r="H242">
        <v>7.1</v>
      </c>
      <c r="I242">
        <v>7.4</v>
      </c>
      <c r="J242">
        <v>8.7</v>
      </c>
      <c r="K242">
        <v>7.6</v>
      </c>
      <c r="L242">
        <v>5.4</v>
      </c>
      <c r="M242">
        <v>7.3</v>
      </c>
      <c r="N242">
        <f t="shared" si="3"/>
        <v>75</v>
      </c>
    </row>
    <row r="243" spans="1:14">
      <c r="A243">
        <v>20185534</v>
      </c>
      <c r="B243" t="s">
        <v>14</v>
      </c>
      <c r="C243" t="str">
        <f>VLOOKUP(B243,专业代码!$B$2:$C$8,2,FALSE)</f>
        <v>会计学</v>
      </c>
      <c r="D243">
        <v>9</v>
      </c>
      <c r="E243">
        <v>7.6</v>
      </c>
      <c r="F243">
        <v>7.5</v>
      </c>
      <c r="G243">
        <v>7.6</v>
      </c>
      <c r="H243">
        <v>8.8</v>
      </c>
      <c r="I243">
        <v>7.1</v>
      </c>
      <c r="J243">
        <v>7.4</v>
      </c>
      <c r="K243">
        <v>7.6</v>
      </c>
      <c r="L243">
        <v>7.7</v>
      </c>
      <c r="M243">
        <v>7.5</v>
      </c>
      <c r="N243">
        <f t="shared" si="3"/>
        <v>77.8</v>
      </c>
    </row>
    <row r="244" spans="1:14">
      <c r="A244">
        <v>20185649</v>
      </c>
      <c r="B244" t="s">
        <v>14</v>
      </c>
      <c r="C244" t="str">
        <f>VLOOKUP(B244,专业代码!$B$2:$C$8,2,FALSE)</f>
        <v>会计学</v>
      </c>
      <c r="D244">
        <v>7.9</v>
      </c>
      <c r="E244">
        <v>7.9</v>
      </c>
      <c r="F244">
        <v>8.8</v>
      </c>
      <c r="G244">
        <v>7.8</v>
      </c>
      <c r="H244">
        <v>7.2</v>
      </c>
      <c r="I244">
        <v>9</v>
      </c>
      <c r="J244">
        <v>9.3</v>
      </c>
      <c r="K244">
        <v>8.8</v>
      </c>
      <c r="L244">
        <v>6.2</v>
      </c>
      <c r="M244">
        <v>8.9</v>
      </c>
      <c r="N244">
        <f t="shared" si="3"/>
        <v>81.8</v>
      </c>
    </row>
    <row r="245" spans="1:14">
      <c r="A245">
        <v>20186549</v>
      </c>
      <c r="B245" t="s">
        <v>14</v>
      </c>
      <c r="C245" t="str">
        <f>VLOOKUP(B245,专业代码!$B$2:$C$8,2,FALSE)</f>
        <v>会计学</v>
      </c>
      <c r="D245">
        <v>9.2</v>
      </c>
      <c r="E245">
        <v>7.9</v>
      </c>
      <c r="F245">
        <v>7.9</v>
      </c>
      <c r="G245">
        <v>7.2</v>
      </c>
      <c r="H245">
        <v>7.3</v>
      </c>
      <c r="I245">
        <v>8.5</v>
      </c>
      <c r="J245">
        <v>8.9</v>
      </c>
      <c r="K245">
        <v>8</v>
      </c>
      <c r="L245">
        <v>7.5</v>
      </c>
      <c r="M245">
        <v>4.9</v>
      </c>
      <c r="N245">
        <f t="shared" si="3"/>
        <v>77.3</v>
      </c>
    </row>
    <row r="246" spans="1:14">
      <c r="A246">
        <v>20186854</v>
      </c>
      <c r="B246" t="s">
        <v>14</v>
      </c>
      <c r="C246" t="str">
        <f>VLOOKUP(B246,专业代码!$B$2:$C$8,2,FALSE)</f>
        <v>会计学</v>
      </c>
      <c r="D246">
        <v>8.4</v>
      </c>
      <c r="E246">
        <v>9</v>
      </c>
      <c r="F246">
        <v>8.1</v>
      </c>
      <c r="G246">
        <v>8.7</v>
      </c>
      <c r="H246">
        <v>8.4</v>
      </c>
      <c r="I246">
        <v>7.3</v>
      </c>
      <c r="J246">
        <v>6.5</v>
      </c>
      <c r="K246">
        <v>6.8</v>
      </c>
      <c r="L246">
        <v>5.4</v>
      </c>
      <c r="M246">
        <v>6</v>
      </c>
      <c r="N246">
        <f t="shared" si="3"/>
        <v>74.6</v>
      </c>
    </row>
    <row r="247" spans="1:14">
      <c r="A247">
        <v>20189308</v>
      </c>
      <c r="B247" t="s">
        <v>14</v>
      </c>
      <c r="C247" t="str">
        <f>VLOOKUP(B247,专业代码!$B$2:$C$8,2,FALSE)</f>
        <v>会计学</v>
      </c>
      <c r="D247">
        <v>9.4</v>
      </c>
      <c r="E247">
        <v>8.6</v>
      </c>
      <c r="F247">
        <v>9.8</v>
      </c>
      <c r="G247">
        <v>8.4</v>
      </c>
      <c r="H247">
        <v>6.9</v>
      </c>
      <c r="I247">
        <v>7.5</v>
      </c>
      <c r="J247">
        <v>7.7</v>
      </c>
      <c r="K247">
        <v>7.6</v>
      </c>
      <c r="L247">
        <v>7</v>
      </c>
      <c r="M247">
        <v>6.1</v>
      </c>
      <c r="N247">
        <f t="shared" si="3"/>
        <v>79</v>
      </c>
    </row>
    <row r="248" spans="1:14">
      <c r="A248">
        <v>20189813</v>
      </c>
      <c r="B248" t="s">
        <v>14</v>
      </c>
      <c r="C248" t="str">
        <f>VLOOKUP(B248,专业代码!$B$2:$C$8,2,FALSE)</f>
        <v>会计学</v>
      </c>
      <c r="D248">
        <v>8.1</v>
      </c>
      <c r="E248">
        <v>9.9</v>
      </c>
      <c r="F248">
        <v>7.7</v>
      </c>
      <c r="G248">
        <v>7.9</v>
      </c>
      <c r="H248">
        <v>7.3</v>
      </c>
      <c r="I248">
        <v>7.6</v>
      </c>
      <c r="J248">
        <v>7.7</v>
      </c>
      <c r="K248">
        <v>6.7</v>
      </c>
      <c r="L248">
        <v>7.4</v>
      </c>
      <c r="M248">
        <v>4.1</v>
      </c>
      <c r="N248">
        <f t="shared" si="3"/>
        <v>74.4</v>
      </c>
    </row>
    <row r="249" spans="1:14">
      <c r="A249">
        <v>20181690</v>
      </c>
      <c r="B249" t="s">
        <v>14</v>
      </c>
      <c r="C249" t="str">
        <f>VLOOKUP(B249,专业代码!$B$2:$C$8,2,FALSE)</f>
        <v>会计学</v>
      </c>
      <c r="D249">
        <v>9.2</v>
      </c>
      <c r="E249">
        <v>9.4</v>
      </c>
      <c r="F249">
        <v>8.7</v>
      </c>
      <c r="G249">
        <v>8.4</v>
      </c>
      <c r="H249">
        <v>8.5</v>
      </c>
      <c r="I249">
        <v>7.9</v>
      </c>
      <c r="J249">
        <v>8.2</v>
      </c>
      <c r="K249">
        <v>8.2</v>
      </c>
      <c r="L249">
        <v>8.7</v>
      </c>
      <c r="M249">
        <v>7.7</v>
      </c>
      <c r="N249">
        <f t="shared" si="3"/>
        <v>84.9</v>
      </c>
    </row>
    <row r="250" spans="1:14">
      <c r="A250">
        <v>20181810</v>
      </c>
      <c r="B250" t="s">
        <v>14</v>
      </c>
      <c r="C250" t="str">
        <f>VLOOKUP(B250,专业代码!$B$2:$C$8,2,FALSE)</f>
        <v>会计学</v>
      </c>
      <c r="D250">
        <v>8.5</v>
      </c>
      <c r="E250">
        <v>8.7</v>
      </c>
      <c r="F250">
        <v>8.4</v>
      </c>
      <c r="G250">
        <v>8.9</v>
      </c>
      <c r="H250">
        <v>8.3</v>
      </c>
      <c r="I250">
        <v>7.2</v>
      </c>
      <c r="J250">
        <v>6.9</v>
      </c>
      <c r="K250">
        <v>8.8</v>
      </c>
      <c r="L250">
        <v>8.1</v>
      </c>
      <c r="M250">
        <v>5.2</v>
      </c>
      <c r="N250">
        <f t="shared" si="3"/>
        <v>79</v>
      </c>
    </row>
    <row r="251" spans="1:14">
      <c r="A251">
        <v>20182396</v>
      </c>
      <c r="B251" t="s">
        <v>14</v>
      </c>
      <c r="C251" t="str">
        <f>VLOOKUP(B251,专业代码!$B$2:$C$8,2,FALSE)</f>
        <v>会计学</v>
      </c>
      <c r="D251">
        <v>8.9</v>
      </c>
      <c r="E251">
        <v>8.7</v>
      </c>
      <c r="F251">
        <v>8.7</v>
      </c>
      <c r="G251">
        <v>8.3</v>
      </c>
      <c r="H251">
        <v>8.3</v>
      </c>
      <c r="I251">
        <v>6.9</v>
      </c>
      <c r="J251">
        <v>7.8</v>
      </c>
      <c r="K251">
        <v>8.1</v>
      </c>
      <c r="L251">
        <v>5.8</v>
      </c>
      <c r="M251">
        <v>7.2</v>
      </c>
      <c r="N251">
        <f t="shared" si="3"/>
        <v>78.7</v>
      </c>
    </row>
    <row r="252" spans="1:14">
      <c r="A252">
        <v>20182534</v>
      </c>
      <c r="B252" t="s">
        <v>14</v>
      </c>
      <c r="C252" t="str">
        <f>VLOOKUP(B252,专业代码!$B$2:$C$8,2,FALSE)</f>
        <v>会计学</v>
      </c>
      <c r="D252">
        <v>9.5</v>
      </c>
      <c r="E252">
        <v>8.2</v>
      </c>
      <c r="F252">
        <v>8.2</v>
      </c>
      <c r="G252">
        <v>8.5</v>
      </c>
      <c r="H252">
        <v>9</v>
      </c>
      <c r="I252">
        <v>7.8</v>
      </c>
      <c r="J252">
        <v>8.5</v>
      </c>
      <c r="K252">
        <v>7.5</v>
      </c>
      <c r="L252">
        <v>5.9</v>
      </c>
      <c r="M252">
        <v>8.3</v>
      </c>
      <c r="N252">
        <f t="shared" si="3"/>
        <v>81.4</v>
      </c>
    </row>
    <row r="253" spans="1:14">
      <c r="A253">
        <v>20186042</v>
      </c>
      <c r="B253" t="s">
        <v>14</v>
      </c>
      <c r="C253" t="str">
        <f>VLOOKUP(B253,专业代码!$B$2:$C$8,2,FALSE)</f>
        <v>会计学</v>
      </c>
      <c r="D253">
        <v>8.7</v>
      </c>
      <c r="E253">
        <v>7.5</v>
      </c>
      <c r="F253">
        <v>8.3</v>
      </c>
      <c r="G253">
        <v>8.4</v>
      </c>
      <c r="H253">
        <v>6.9</v>
      </c>
      <c r="I253">
        <v>7.7</v>
      </c>
      <c r="J253">
        <v>6.6</v>
      </c>
      <c r="K253">
        <v>8.8</v>
      </c>
      <c r="L253">
        <v>7.1</v>
      </c>
      <c r="M253">
        <v>7.5</v>
      </c>
      <c r="N253">
        <f t="shared" si="3"/>
        <v>77.5</v>
      </c>
    </row>
    <row r="254" spans="1:14">
      <c r="A254">
        <v>20186595</v>
      </c>
      <c r="B254" t="s">
        <v>14</v>
      </c>
      <c r="C254" t="str">
        <f>VLOOKUP(B254,专业代码!$B$2:$C$8,2,FALSE)</f>
        <v>会计学</v>
      </c>
      <c r="D254">
        <v>9.2</v>
      </c>
      <c r="E254">
        <v>9.1</v>
      </c>
      <c r="F254">
        <v>8.9</v>
      </c>
      <c r="G254">
        <v>8.7</v>
      </c>
      <c r="H254">
        <v>7.6</v>
      </c>
      <c r="I254">
        <v>8.4</v>
      </c>
      <c r="J254">
        <v>6</v>
      </c>
      <c r="K254">
        <v>7.7</v>
      </c>
      <c r="L254">
        <v>7.2</v>
      </c>
      <c r="M254">
        <v>7.3</v>
      </c>
      <c r="N254">
        <f t="shared" si="3"/>
        <v>80.1</v>
      </c>
    </row>
    <row r="255" spans="1:14">
      <c r="A255">
        <v>20187050</v>
      </c>
      <c r="B255" t="s">
        <v>14</v>
      </c>
      <c r="C255" t="str">
        <f>VLOOKUP(B255,专业代码!$B$2:$C$8,2,FALSE)</f>
        <v>会计学</v>
      </c>
      <c r="D255">
        <v>9.4</v>
      </c>
      <c r="E255">
        <v>9.7</v>
      </c>
      <c r="F255">
        <v>9</v>
      </c>
      <c r="G255">
        <v>7.8</v>
      </c>
      <c r="H255">
        <v>7.4</v>
      </c>
      <c r="I255">
        <v>9.1</v>
      </c>
      <c r="J255">
        <v>8.6</v>
      </c>
      <c r="K255">
        <v>8.1</v>
      </c>
      <c r="L255">
        <v>6.3</v>
      </c>
      <c r="M255">
        <v>6.5</v>
      </c>
      <c r="N255">
        <f t="shared" si="3"/>
        <v>81.9</v>
      </c>
    </row>
    <row r="256" spans="1:14">
      <c r="A256">
        <v>20187982</v>
      </c>
      <c r="B256" t="s">
        <v>14</v>
      </c>
      <c r="C256" t="str">
        <f>VLOOKUP(B256,专业代码!$B$2:$C$8,2,FALSE)</f>
        <v>会计学</v>
      </c>
      <c r="D256">
        <v>9.3</v>
      </c>
      <c r="E256">
        <v>9.1</v>
      </c>
      <c r="F256">
        <v>9.7</v>
      </c>
      <c r="G256">
        <v>9.3</v>
      </c>
      <c r="H256">
        <v>6.9</v>
      </c>
      <c r="I256">
        <v>8.8</v>
      </c>
      <c r="J256">
        <v>7.1</v>
      </c>
      <c r="K256">
        <v>7.4</v>
      </c>
      <c r="L256">
        <v>6.6</v>
      </c>
      <c r="M256">
        <v>4.9</v>
      </c>
      <c r="N256">
        <f t="shared" si="3"/>
        <v>79.1</v>
      </c>
    </row>
    <row r="257" spans="1:14">
      <c r="A257">
        <v>20189640</v>
      </c>
      <c r="B257" t="s">
        <v>14</v>
      </c>
      <c r="C257" t="str">
        <f>VLOOKUP(B257,专业代码!$B$2:$C$8,2,FALSE)</f>
        <v>会计学</v>
      </c>
      <c r="D257">
        <v>8.5</v>
      </c>
      <c r="E257">
        <v>8.3</v>
      </c>
      <c r="F257">
        <v>9.2</v>
      </c>
      <c r="G257">
        <v>8.4</v>
      </c>
      <c r="H257">
        <v>9.6</v>
      </c>
      <c r="I257">
        <v>7.2</v>
      </c>
      <c r="J257">
        <v>8.7</v>
      </c>
      <c r="K257">
        <v>8.8</v>
      </c>
      <c r="L257">
        <v>5.3</v>
      </c>
      <c r="M257">
        <v>6.3</v>
      </c>
      <c r="N257">
        <f t="shared" si="3"/>
        <v>80.3</v>
      </c>
    </row>
    <row r="258" spans="1:14">
      <c r="A258">
        <v>20182064</v>
      </c>
      <c r="B258" t="s">
        <v>14</v>
      </c>
      <c r="C258" t="str">
        <f>VLOOKUP(B258,专业代码!$B$2:$C$8,2,FALSE)</f>
        <v>会计学</v>
      </c>
      <c r="D258">
        <v>8.6</v>
      </c>
      <c r="E258">
        <v>8.5</v>
      </c>
      <c r="F258">
        <v>7.4</v>
      </c>
      <c r="G258">
        <v>8.9</v>
      </c>
      <c r="H258">
        <v>9.1</v>
      </c>
      <c r="I258">
        <v>7.4</v>
      </c>
      <c r="J258">
        <v>6.9</v>
      </c>
      <c r="K258">
        <v>8.4</v>
      </c>
      <c r="L258">
        <v>6.9</v>
      </c>
      <c r="M258">
        <v>7.1</v>
      </c>
      <c r="N258">
        <f t="shared" si="3"/>
        <v>79.2</v>
      </c>
    </row>
    <row r="259" spans="1:14">
      <c r="A259">
        <v>20183008</v>
      </c>
      <c r="B259" t="s">
        <v>14</v>
      </c>
      <c r="C259" t="str">
        <f>VLOOKUP(B259,专业代码!$B$2:$C$8,2,FALSE)</f>
        <v>会计学</v>
      </c>
      <c r="D259">
        <v>9.6</v>
      </c>
      <c r="E259">
        <v>9.8</v>
      </c>
      <c r="F259">
        <v>7.6</v>
      </c>
      <c r="G259">
        <v>8.3</v>
      </c>
      <c r="H259">
        <v>7.5</v>
      </c>
      <c r="I259">
        <v>9.6</v>
      </c>
      <c r="J259">
        <v>9.3</v>
      </c>
      <c r="K259">
        <v>6.2</v>
      </c>
      <c r="L259">
        <v>7.6</v>
      </c>
      <c r="M259">
        <v>5.8</v>
      </c>
      <c r="N259">
        <f t="shared" ref="N259:N322" si="4">SUM(D259:M259)</f>
        <v>81.3</v>
      </c>
    </row>
    <row r="260" spans="1:14">
      <c r="A260">
        <v>20183099</v>
      </c>
      <c r="B260" t="s">
        <v>14</v>
      </c>
      <c r="C260" t="str">
        <f>VLOOKUP(B260,专业代码!$B$2:$C$8,2,FALSE)</f>
        <v>会计学</v>
      </c>
      <c r="D260">
        <v>9.1</v>
      </c>
      <c r="E260">
        <v>7.9</v>
      </c>
      <c r="F260">
        <v>8.8</v>
      </c>
      <c r="G260">
        <v>8.2</v>
      </c>
      <c r="H260">
        <v>7.9</v>
      </c>
      <c r="I260">
        <v>7.7</v>
      </c>
      <c r="J260">
        <v>7.2</v>
      </c>
      <c r="K260">
        <v>7.8</v>
      </c>
      <c r="L260">
        <v>6.7</v>
      </c>
      <c r="M260">
        <v>5.6</v>
      </c>
      <c r="N260">
        <f t="shared" si="4"/>
        <v>76.9</v>
      </c>
    </row>
    <row r="261" spans="1:14">
      <c r="A261">
        <v>20185851</v>
      </c>
      <c r="B261" t="s">
        <v>14</v>
      </c>
      <c r="C261" t="str">
        <f>VLOOKUP(B261,专业代码!$B$2:$C$8,2,FALSE)</f>
        <v>会计学</v>
      </c>
      <c r="D261">
        <v>8.3</v>
      </c>
      <c r="E261">
        <v>8.6</v>
      </c>
      <c r="F261">
        <v>8.8</v>
      </c>
      <c r="G261">
        <v>8.5</v>
      </c>
      <c r="H261">
        <v>8.4</v>
      </c>
      <c r="I261">
        <v>8.1</v>
      </c>
      <c r="J261">
        <v>8</v>
      </c>
      <c r="K261">
        <v>5.8</v>
      </c>
      <c r="L261">
        <v>7</v>
      </c>
      <c r="M261">
        <v>5.6</v>
      </c>
      <c r="N261">
        <f t="shared" si="4"/>
        <v>77.1</v>
      </c>
    </row>
    <row r="262" spans="1:14">
      <c r="A262">
        <v>20185987</v>
      </c>
      <c r="B262" t="s">
        <v>14</v>
      </c>
      <c r="C262" t="str">
        <f>VLOOKUP(B262,专业代码!$B$2:$C$8,2,FALSE)</f>
        <v>会计学</v>
      </c>
      <c r="D262">
        <v>8.5</v>
      </c>
      <c r="E262">
        <v>8.6</v>
      </c>
      <c r="F262">
        <v>8.6</v>
      </c>
      <c r="G262">
        <v>8.1</v>
      </c>
      <c r="H262">
        <v>8</v>
      </c>
      <c r="I262">
        <v>7.4</v>
      </c>
      <c r="J262">
        <v>7.4</v>
      </c>
      <c r="K262">
        <v>7.2</v>
      </c>
      <c r="L262">
        <v>8.5</v>
      </c>
      <c r="M262">
        <v>7.2</v>
      </c>
      <c r="N262">
        <f t="shared" si="4"/>
        <v>79.5</v>
      </c>
    </row>
    <row r="263" spans="1:14">
      <c r="A263">
        <v>20186396</v>
      </c>
      <c r="B263" t="s">
        <v>14</v>
      </c>
      <c r="C263" t="str">
        <f>VLOOKUP(B263,专业代码!$B$2:$C$8,2,FALSE)</f>
        <v>会计学</v>
      </c>
      <c r="D263">
        <v>8.9</v>
      </c>
      <c r="E263">
        <v>9</v>
      </c>
      <c r="F263">
        <v>7.8</v>
      </c>
      <c r="G263">
        <v>8</v>
      </c>
      <c r="H263">
        <v>8</v>
      </c>
      <c r="I263">
        <v>7.8</v>
      </c>
      <c r="J263">
        <v>7.6</v>
      </c>
      <c r="K263">
        <v>7.3</v>
      </c>
      <c r="L263">
        <v>7.6</v>
      </c>
      <c r="M263">
        <v>3.8</v>
      </c>
      <c r="N263">
        <f t="shared" si="4"/>
        <v>75.8</v>
      </c>
    </row>
    <row r="264" spans="1:14">
      <c r="A264">
        <v>20186419</v>
      </c>
      <c r="B264" t="s">
        <v>14</v>
      </c>
      <c r="C264" t="str">
        <f>VLOOKUP(B264,专业代码!$B$2:$C$8,2,FALSE)</f>
        <v>会计学</v>
      </c>
      <c r="D264">
        <v>9.4</v>
      </c>
      <c r="E264">
        <v>8.9</v>
      </c>
      <c r="F264">
        <v>8.7</v>
      </c>
      <c r="G264">
        <v>7.8</v>
      </c>
      <c r="H264">
        <v>7.8</v>
      </c>
      <c r="I264">
        <v>8.2</v>
      </c>
      <c r="J264">
        <v>6.5</v>
      </c>
      <c r="K264">
        <v>7.4</v>
      </c>
      <c r="L264">
        <v>9.3</v>
      </c>
      <c r="M264">
        <v>4.9</v>
      </c>
      <c r="N264">
        <f t="shared" si="4"/>
        <v>78.9</v>
      </c>
    </row>
    <row r="265" spans="1:14">
      <c r="A265">
        <v>20189943</v>
      </c>
      <c r="B265" t="s">
        <v>14</v>
      </c>
      <c r="C265" t="str">
        <f>VLOOKUP(B265,专业代码!$B$2:$C$8,2,FALSE)</f>
        <v>会计学</v>
      </c>
      <c r="D265">
        <v>9.7</v>
      </c>
      <c r="E265">
        <v>8.4</v>
      </c>
      <c r="F265">
        <v>8.5</v>
      </c>
      <c r="G265">
        <v>8</v>
      </c>
      <c r="H265">
        <v>8</v>
      </c>
      <c r="I265">
        <v>8.3</v>
      </c>
      <c r="J265">
        <v>6.9</v>
      </c>
      <c r="K265">
        <v>7.7</v>
      </c>
      <c r="L265">
        <v>6.1</v>
      </c>
      <c r="M265">
        <v>7</v>
      </c>
      <c r="N265">
        <f t="shared" si="4"/>
        <v>78.6</v>
      </c>
    </row>
    <row r="266" spans="1:14">
      <c r="A266">
        <v>20181773</v>
      </c>
      <c r="B266" t="s">
        <v>14</v>
      </c>
      <c r="C266" t="str">
        <f>VLOOKUP(B266,专业代码!$B$2:$C$8,2,FALSE)</f>
        <v>会计学</v>
      </c>
      <c r="D266">
        <v>8.4</v>
      </c>
      <c r="E266">
        <v>9.2</v>
      </c>
      <c r="F266">
        <v>7.6</v>
      </c>
      <c r="G266">
        <v>7.5</v>
      </c>
      <c r="H266">
        <v>7.4</v>
      </c>
      <c r="I266">
        <v>7.5</v>
      </c>
      <c r="J266">
        <v>7.5</v>
      </c>
      <c r="K266">
        <v>8.4</v>
      </c>
      <c r="L266">
        <v>6.8</v>
      </c>
      <c r="M266">
        <v>6</v>
      </c>
      <c r="N266">
        <f t="shared" si="4"/>
        <v>76.3</v>
      </c>
    </row>
    <row r="267" spans="1:14">
      <c r="A267">
        <v>20181825</v>
      </c>
      <c r="B267" t="s">
        <v>14</v>
      </c>
      <c r="C267" t="str">
        <f>VLOOKUP(B267,专业代码!$B$2:$C$8,2,FALSE)</f>
        <v>会计学</v>
      </c>
      <c r="D267">
        <v>8.2</v>
      </c>
      <c r="E267">
        <v>7.1</v>
      </c>
      <c r="F267">
        <v>8.9</v>
      </c>
      <c r="G267">
        <v>9</v>
      </c>
      <c r="H267">
        <v>8</v>
      </c>
      <c r="I267">
        <v>8</v>
      </c>
      <c r="J267">
        <v>6.8</v>
      </c>
      <c r="K267">
        <v>7.1</v>
      </c>
      <c r="L267">
        <v>7.1</v>
      </c>
      <c r="M267">
        <v>5.9</v>
      </c>
      <c r="N267">
        <f t="shared" si="4"/>
        <v>76.1</v>
      </c>
    </row>
    <row r="268" spans="1:14">
      <c r="A268">
        <v>20182090</v>
      </c>
      <c r="B268" t="s">
        <v>14</v>
      </c>
      <c r="C268" t="str">
        <f>VLOOKUP(B268,专业代码!$B$2:$C$8,2,FALSE)</f>
        <v>会计学</v>
      </c>
      <c r="D268">
        <v>8.3</v>
      </c>
      <c r="E268">
        <v>8</v>
      </c>
      <c r="F268">
        <v>8.3</v>
      </c>
      <c r="G268">
        <v>7.4</v>
      </c>
      <c r="H268">
        <v>8.3</v>
      </c>
      <c r="I268">
        <v>7.1</v>
      </c>
      <c r="J268">
        <v>7.3</v>
      </c>
      <c r="K268">
        <v>6.3</v>
      </c>
      <c r="L268">
        <v>8.2</v>
      </c>
      <c r="M268">
        <v>4.3</v>
      </c>
      <c r="N268">
        <f t="shared" si="4"/>
        <v>73.5</v>
      </c>
    </row>
    <row r="269" spans="1:14">
      <c r="A269">
        <v>20183599</v>
      </c>
      <c r="B269" t="s">
        <v>14</v>
      </c>
      <c r="C269" t="str">
        <f>VLOOKUP(B269,专业代码!$B$2:$C$8,2,FALSE)</f>
        <v>会计学</v>
      </c>
      <c r="D269">
        <v>9.6</v>
      </c>
      <c r="E269">
        <v>8.7</v>
      </c>
      <c r="F269">
        <v>8</v>
      </c>
      <c r="G269">
        <v>8.2</v>
      </c>
      <c r="H269">
        <v>6</v>
      </c>
      <c r="I269">
        <v>7.2</v>
      </c>
      <c r="J269">
        <v>8.8</v>
      </c>
      <c r="K269">
        <v>7</v>
      </c>
      <c r="L269">
        <v>8.3</v>
      </c>
      <c r="M269">
        <v>5.3</v>
      </c>
      <c r="N269">
        <f t="shared" si="4"/>
        <v>77.1</v>
      </c>
    </row>
    <row r="270" spans="1:14">
      <c r="A270">
        <v>20184383</v>
      </c>
      <c r="B270" t="s">
        <v>14</v>
      </c>
      <c r="C270" t="str">
        <f>VLOOKUP(B270,专业代码!$B$2:$C$8,2,FALSE)</f>
        <v>会计学</v>
      </c>
      <c r="D270">
        <v>9.4</v>
      </c>
      <c r="E270">
        <v>8.9</v>
      </c>
      <c r="F270">
        <v>7.8</v>
      </c>
      <c r="G270">
        <v>8.5</v>
      </c>
      <c r="H270">
        <v>6.9</v>
      </c>
      <c r="I270">
        <v>8.1</v>
      </c>
      <c r="J270">
        <v>9.3</v>
      </c>
      <c r="K270">
        <v>6.4</v>
      </c>
      <c r="L270">
        <v>6.7</v>
      </c>
      <c r="M270">
        <v>4.9</v>
      </c>
      <c r="N270">
        <f t="shared" si="4"/>
        <v>76.9</v>
      </c>
    </row>
    <row r="271" spans="1:14">
      <c r="A271">
        <v>20189743</v>
      </c>
      <c r="B271" t="s">
        <v>14</v>
      </c>
      <c r="C271" t="str">
        <f>VLOOKUP(B271,专业代码!$B$2:$C$8,2,FALSE)</f>
        <v>会计学</v>
      </c>
      <c r="D271">
        <v>8.4</v>
      </c>
      <c r="E271">
        <v>8.4</v>
      </c>
      <c r="F271">
        <v>7.6</v>
      </c>
      <c r="G271">
        <v>9</v>
      </c>
      <c r="H271">
        <v>7.5</v>
      </c>
      <c r="I271">
        <v>8.4</v>
      </c>
      <c r="J271">
        <v>9.4</v>
      </c>
      <c r="K271">
        <v>8</v>
      </c>
      <c r="L271">
        <v>7.4</v>
      </c>
      <c r="M271">
        <v>7.5</v>
      </c>
      <c r="N271">
        <f t="shared" si="4"/>
        <v>81.6</v>
      </c>
    </row>
    <row r="272" spans="1:14">
      <c r="A272">
        <v>20181211</v>
      </c>
      <c r="B272" t="s">
        <v>14</v>
      </c>
      <c r="C272" t="str">
        <f>VLOOKUP(B272,专业代码!$B$2:$C$8,2,FALSE)</f>
        <v>会计学</v>
      </c>
      <c r="D272">
        <v>8</v>
      </c>
      <c r="E272">
        <v>8.1</v>
      </c>
      <c r="F272">
        <v>7.9</v>
      </c>
      <c r="G272">
        <v>7.7</v>
      </c>
      <c r="H272">
        <v>8.6</v>
      </c>
      <c r="I272">
        <v>6.1</v>
      </c>
      <c r="J272">
        <v>6.2</v>
      </c>
      <c r="K272">
        <v>8</v>
      </c>
      <c r="L272">
        <v>6.7</v>
      </c>
      <c r="M272">
        <v>7</v>
      </c>
      <c r="N272">
        <f t="shared" si="4"/>
        <v>74.3</v>
      </c>
    </row>
    <row r="273" spans="1:14">
      <c r="A273">
        <v>20181374</v>
      </c>
      <c r="B273" t="s">
        <v>14</v>
      </c>
      <c r="C273" t="str">
        <f>VLOOKUP(B273,专业代码!$B$2:$C$8,2,FALSE)</f>
        <v>会计学</v>
      </c>
      <c r="D273">
        <v>8.6</v>
      </c>
      <c r="E273">
        <v>8.6</v>
      </c>
      <c r="F273">
        <v>8.6</v>
      </c>
      <c r="G273">
        <v>8.3</v>
      </c>
      <c r="H273">
        <v>8.2</v>
      </c>
      <c r="I273">
        <v>6.7</v>
      </c>
      <c r="J273">
        <v>7.5</v>
      </c>
      <c r="K273">
        <v>7.5</v>
      </c>
      <c r="L273">
        <v>8.4</v>
      </c>
      <c r="M273">
        <v>5.5</v>
      </c>
      <c r="N273">
        <f t="shared" si="4"/>
        <v>77.9</v>
      </c>
    </row>
    <row r="274" spans="1:14">
      <c r="A274">
        <v>20181815</v>
      </c>
      <c r="B274" t="s">
        <v>14</v>
      </c>
      <c r="C274" t="str">
        <f>VLOOKUP(B274,专业代码!$B$2:$C$8,2,FALSE)</f>
        <v>会计学</v>
      </c>
      <c r="D274">
        <v>9.6</v>
      </c>
      <c r="E274">
        <v>9.4</v>
      </c>
      <c r="F274">
        <v>7.7</v>
      </c>
      <c r="G274">
        <v>7.9</v>
      </c>
      <c r="H274">
        <v>7.1</v>
      </c>
      <c r="I274">
        <v>7.7</v>
      </c>
      <c r="J274">
        <v>6.2</v>
      </c>
      <c r="K274">
        <v>9.9</v>
      </c>
      <c r="L274">
        <v>7.2</v>
      </c>
      <c r="M274">
        <v>4.9</v>
      </c>
      <c r="N274">
        <f t="shared" si="4"/>
        <v>77.6</v>
      </c>
    </row>
    <row r="275" spans="1:14">
      <c r="A275">
        <v>20182211</v>
      </c>
      <c r="B275" t="s">
        <v>14</v>
      </c>
      <c r="C275" t="str">
        <f>VLOOKUP(B275,专业代码!$B$2:$C$8,2,FALSE)</f>
        <v>会计学</v>
      </c>
      <c r="D275">
        <v>8.8</v>
      </c>
      <c r="E275">
        <v>8.7</v>
      </c>
      <c r="F275">
        <v>8.3</v>
      </c>
      <c r="G275">
        <v>8.9</v>
      </c>
      <c r="H275">
        <v>7.1</v>
      </c>
      <c r="I275">
        <v>8.1</v>
      </c>
      <c r="J275">
        <v>6</v>
      </c>
      <c r="K275">
        <v>8.2</v>
      </c>
      <c r="L275">
        <v>6.8</v>
      </c>
      <c r="M275">
        <v>7.3</v>
      </c>
      <c r="N275">
        <f t="shared" si="4"/>
        <v>78.2</v>
      </c>
    </row>
    <row r="276" spans="1:14">
      <c r="A276">
        <v>20183459</v>
      </c>
      <c r="B276" t="s">
        <v>14</v>
      </c>
      <c r="C276" t="str">
        <f>VLOOKUP(B276,专业代码!$B$2:$C$8,2,FALSE)</f>
        <v>会计学</v>
      </c>
      <c r="D276">
        <v>8.6</v>
      </c>
      <c r="E276">
        <v>8.6</v>
      </c>
      <c r="F276">
        <v>8.9</v>
      </c>
      <c r="G276">
        <v>8.3</v>
      </c>
      <c r="H276">
        <v>8.2</v>
      </c>
      <c r="I276">
        <v>8.6</v>
      </c>
      <c r="J276">
        <v>6.7</v>
      </c>
      <c r="K276">
        <v>6.7</v>
      </c>
      <c r="L276">
        <v>7.1</v>
      </c>
      <c r="M276">
        <v>6.4</v>
      </c>
      <c r="N276">
        <f t="shared" si="4"/>
        <v>78.1</v>
      </c>
    </row>
    <row r="277" spans="1:14">
      <c r="A277">
        <v>20183693</v>
      </c>
      <c r="B277" t="s">
        <v>14</v>
      </c>
      <c r="C277" t="str">
        <f>VLOOKUP(B277,专业代码!$B$2:$C$8,2,FALSE)</f>
        <v>会计学</v>
      </c>
      <c r="D277">
        <v>9.1</v>
      </c>
      <c r="E277">
        <v>8.4</v>
      </c>
      <c r="F277">
        <v>9</v>
      </c>
      <c r="G277">
        <v>8.9</v>
      </c>
      <c r="H277">
        <v>8.2</v>
      </c>
      <c r="I277">
        <v>8.2</v>
      </c>
      <c r="J277">
        <v>7.8</v>
      </c>
      <c r="K277">
        <v>7.8</v>
      </c>
      <c r="L277">
        <v>6.2</v>
      </c>
      <c r="M277">
        <v>6</v>
      </c>
      <c r="N277">
        <f t="shared" si="4"/>
        <v>79.6</v>
      </c>
    </row>
    <row r="278" spans="1:14">
      <c r="A278">
        <v>20183733</v>
      </c>
      <c r="B278" t="s">
        <v>14</v>
      </c>
      <c r="C278" t="str">
        <f>VLOOKUP(B278,专业代码!$B$2:$C$8,2,FALSE)</f>
        <v>会计学</v>
      </c>
      <c r="D278">
        <v>8.6</v>
      </c>
      <c r="E278">
        <v>9</v>
      </c>
      <c r="F278">
        <v>9.8</v>
      </c>
      <c r="G278">
        <v>9.4</v>
      </c>
      <c r="H278">
        <v>7.9</v>
      </c>
      <c r="I278">
        <v>7.8</v>
      </c>
      <c r="J278">
        <v>7.2</v>
      </c>
      <c r="K278">
        <v>7.1</v>
      </c>
      <c r="L278">
        <v>8.3</v>
      </c>
      <c r="M278">
        <v>5.9</v>
      </c>
      <c r="N278">
        <f t="shared" si="4"/>
        <v>81</v>
      </c>
    </row>
    <row r="279" spans="1:14">
      <c r="A279">
        <v>20183904</v>
      </c>
      <c r="B279" t="s">
        <v>14</v>
      </c>
      <c r="C279" t="str">
        <f>VLOOKUP(B279,专业代码!$B$2:$C$8,2,FALSE)</f>
        <v>会计学</v>
      </c>
      <c r="D279">
        <v>8.8</v>
      </c>
      <c r="E279">
        <v>8.5</v>
      </c>
      <c r="F279">
        <v>8</v>
      </c>
      <c r="G279">
        <v>7.9</v>
      </c>
      <c r="H279">
        <v>8.1</v>
      </c>
      <c r="I279">
        <v>6.9</v>
      </c>
      <c r="J279">
        <v>7.6</v>
      </c>
      <c r="K279">
        <v>5.2</v>
      </c>
      <c r="L279">
        <v>6.1</v>
      </c>
      <c r="M279">
        <v>7.8</v>
      </c>
      <c r="N279">
        <f t="shared" si="4"/>
        <v>74.9</v>
      </c>
    </row>
    <row r="280" spans="1:14">
      <c r="A280">
        <v>20186660</v>
      </c>
      <c r="B280" t="s">
        <v>14</v>
      </c>
      <c r="C280" t="str">
        <f>VLOOKUP(B280,专业代码!$B$2:$C$8,2,FALSE)</f>
        <v>会计学</v>
      </c>
      <c r="D280">
        <v>9.2</v>
      </c>
      <c r="E280">
        <v>8</v>
      </c>
      <c r="F280">
        <v>7.7</v>
      </c>
      <c r="G280">
        <v>9.2</v>
      </c>
      <c r="H280">
        <v>7.8</v>
      </c>
      <c r="I280">
        <v>8.3</v>
      </c>
      <c r="J280">
        <v>6.9</v>
      </c>
      <c r="K280">
        <v>8.1</v>
      </c>
      <c r="L280">
        <v>7.9</v>
      </c>
      <c r="M280">
        <v>4.1</v>
      </c>
      <c r="N280">
        <f t="shared" si="4"/>
        <v>77.2</v>
      </c>
    </row>
    <row r="281" spans="1:14">
      <c r="A281">
        <v>20187080</v>
      </c>
      <c r="B281" t="s">
        <v>14</v>
      </c>
      <c r="C281" t="str">
        <f>VLOOKUP(B281,专业代码!$B$2:$C$8,2,FALSE)</f>
        <v>会计学</v>
      </c>
      <c r="D281">
        <v>8.1</v>
      </c>
      <c r="E281">
        <v>8.5</v>
      </c>
      <c r="F281">
        <v>8.6</v>
      </c>
      <c r="G281">
        <v>9.4</v>
      </c>
      <c r="H281">
        <v>6.2</v>
      </c>
      <c r="I281">
        <v>6.2</v>
      </c>
      <c r="J281">
        <v>8.2</v>
      </c>
      <c r="K281">
        <v>7.1</v>
      </c>
      <c r="L281">
        <v>5.7</v>
      </c>
      <c r="M281">
        <v>6</v>
      </c>
      <c r="N281">
        <f t="shared" si="4"/>
        <v>74</v>
      </c>
    </row>
    <row r="282" spans="1:14">
      <c r="A282">
        <v>20187425</v>
      </c>
      <c r="B282" t="s">
        <v>14</v>
      </c>
      <c r="C282" t="str">
        <f>VLOOKUP(B282,专业代码!$B$2:$C$8,2,FALSE)</f>
        <v>会计学</v>
      </c>
      <c r="D282">
        <v>9.5</v>
      </c>
      <c r="E282">
        <v>8.3</v>
      </c>
      <c r="F282">
        <v>8.3</v>
      </c>
      <c r="G282">
        <v>7.4</v>
      </c>
      <c r="H282">
        <v>8</v>
      </c>
      <c r="I282">
        <v>6.7</v>
      </c>
      <c r="J282">
        <v>8</v>
      </c>
      <c r="K282">
        <v>9.1</v>
      </c>
      <c r="L282">
        <v>8.8</v>
      </c>
      <c r="M282">
        <v>8.1</v>
      </c>
      <c r="N282">
        <f t="shared" si="4"/>
        <v>82.2</v>
      </c>
    </row>
    <row r="283" spans="1:14">
      <c r="A283">
        <v>20188308</v>
      </c>
      <c r="B283" t="s">
        <v>14</v>
      </c>
      <c r="C283" t="str">
        <f>VLOOKUP(B283,专业代码!$B$2:$C$8,2,FALSE)</f>
        <v>会计学</v>
      </c>
      <c r="D283">
        <v>8.2</v>
      </c>
      <c r="E283">
        <v>7.9</v>
      </c>
      <c r="F283">
        <v>9.4</v>
      </c>
      <c r="G283">
        <v>9.7</v>
      </c>
      <c r="H283">
        <v>7.1</v>
      </c>
      <c r="I283">
        <v>8.3</v>
      </c>
      <c r="J283">
        <v>9.8</v>
      </c>
      <c r="K283">
        <v>7</v>
      </c>
      <c r="L283">
        <v>6.8</v>
      </c>
      <c r="M283">
        <v>6</v>
      </c>
      <c r="N283">
        <f t="shared" si="4"/>
        <v>80.2</v>
      </c>
    </row>
    <row r="284" spans="1:14">
      <c r="A284">
        <v>20188737</v>
      </c>
      <c r="B284" t="s">
        <v>14</v>
      </c>
      <c r="C284" t="str">
        <f>VLOOKUP(B284,专业代码!$B$2:$C$8,2,FALSE)</f>
        <v>会计学</v>
      </c>
      <c r="D284">
        <v>8.4</v>
      </c>
      <c r="E284">
        <v>8.2</v>
      </c>
      <c r="F284">
        <v>8.6</v>
      </c>
      <c r="G284">
        <v>8.2</v>
      </c>
      <c r="H284">
        <v>9.4</v>
      </c>
      <c r="I284">
        <v>8.1</v>
      </c>
      <c r="J284">
        <v>7.3</v>
      </c>
      <c r="K284">
        <v>8.1</v>
      </c>
      <c r="L284">
        <v>9</v>
      </c>
      <c r="M284">
        <v>5.8</v>
      </c>
      <c r="N284">
        <f t="shared" si="4"/>
        <v>81.1</v>
      </c>
    </row>
    <row r="285" spans="1:14">
      <c r="A285">
        <v>20189280</v>
      </c>
      <c r="B285" t="s">
        <v>14</v>
      </c>
      <c r="C285" t="str">
        <f>VLOOKUP(B285,专业代码!$B$2:$C$8,2,FALSE)</f>
        <v>会计学</v>
      </c>
      <c r="D285">
        <v>8.8</v>
      </c>
      <c r="E285">
        <v>9.1</v>
      </c>
      <c r="F285">
        <v>8.6</v>
      </c>
      <c r="G285">
        <v>8.7</v>
      </c>
      <c r="H285">
        <v>7.2</v>
      </c>
      <c r="I285">
        <v>7.1</v>
      </c>
      <c r="J285">
        <v>6.8</v>
      </c>
      <c r="K285">
        <v>6.7</v>
      </c>
      <c r="L285">
        <v>6.8</v>
      </c>
      <c r="M285">
        <v>6.6</v>
      </c>
      <c r="N285">
        <f t="shared" si="4"/>
        <v>76.4</v>
      </c>
    </row>
    <row r="286" spans="1:14">
      <c r="A286">
        <v>20189809</v>
      </c>
      <c r="B286" t="s">
        <v>14</v>
      </c>
      <c r="C286" t="str">
        <f>VLOOKUP(B286,专业代码!$B$2:$C$8,2,FALSE)</f>
        <v>会计学</v>
      </c>
      <c r="D286">
        <v>8.3</v>
      </c>
      <c r="E286">
        <v>8.5</v>
      </c>
      <c r="F286">
        <v>8.5</v>
      </c>
      <c r="G286">
        <v>6.7</v>
      </c>
      <c r="H286">
        <v>6.8</v>
      </c>
      <c r="I286">
        <v>8</v>
      </c>
      <c r="J286">
        <v>7.1</v>
      </c>
      <c r="K286">
        <v>6.2</v>
      </c>
      <c r="L286">
        <v>6.8</v>
      </c>
      <c r="M286">
        <v>5.4</v>
      </c>
      <c r="N286">
        <f t="shared" si="4"/>
        <v>72.3</v>
      </c>
    </row>
    <row r="287" spans="1:14">
      <c r="A287">
        <v>20182062</v>
      </c>
      <c r="B287" t="s">
        <v>14</v>
      </c>
      <c r="C287" t="str">
        <f>VLOOKUP(B287,专业代码!$B$2:$C$8,2,FALSE)</f>
        <v>会计学</v>
      </c>
      <c r="D287">
        <v>9.4</v>
      </c>
      <c r="E287">
        <v>8</v>
      </c>
      <c r="F287">
        <v>9.1</v>
      </c>
      <c r="G287">
        <v>8.1</v>
      </c>
      <c r="H287">
        <v>6.9</v>
      </c>
      <c r="I287">
        <v>8.7</v>
      </c>
      <c r="J287">
        <v>8.3</v>
      </c>
      <c r="K287">
        <v>7.6</v>
      </c>
      <c r="L287">
        <v>6.7</v>
      </c>
      <c r="M287">
        <v>4.6</v>
      </c>
      <c r="N287">
        <f t="shared" si="4"/>
        <v>77.4</v>
      </c>
    </row>
    <row r="288" spans="1:14">
      <c r="A288">
        <v>20183323</v>
      </c>
      <c r="B288" t="s">
        <v>14</v>
      </c>
      <c r="C288" t="str">
        <f>VLOOKUP(B288,专业代码!$B$2:$C$8,2,FALSE)</f>
        <v>会计学</v>
      </c>
      <c r="D288">
        <v>8.9</v>
      </c>
      <c r="E288">
        <v>8.1</v>
      </c>
      <c r="F288">
        <v>8.6</v>
      </c>
      <c r="G288">
        <v>7.7</v>
      </c>
      <c r="H288">
        <v>7.6</v>
      </c>
      <c r="I288">
        <v>7.4</v>
      </c>
      <c r="J288">
        <v>7.8</v>
      </c>
      <c r="K288">
        <v>5.5</v>
      </c>
      <c r="L288">
        <v>7</v>
      </c>
      <c r="M288">
        <v>6.9</v>
      </c>
      <c r="N288">
        <f t="shared" si="4"/>
        <v>75.5</v>
      </c>
    </row>
    <row r="289" spans="1:14">
      <c r="A289">
        <v>20183335</v>
      </c>
      <c r="B289" t="s">
        <v>14</v>
      </c>
      <c r="C289" t="str">
        <f>VLOOKUP(B289,专业代码!$B$2:$C$8,2,FALSE)</f>
        <v>会计学</v>
      </c>
      <c r="D289">
        <v>7.7</v>
      </c>
      <c r="E289">
        <v>8.9</v>
      </c>
      <c r="F289">
        <v>8.6</v>
      </c>
      <c r="G289">
        <v>8.3</v>
      </c>
      <c r="H289">
        <v>6.7</v>
      </c>
      <c r="I289">
        <v>7.6</v>
      </c>
      <c r="J289">
        <v>5.7</v>
      </c>
      <c r="K289">
        <v>5.3</v>
      </c>
      <c r="L289">
        <v>5.9</v>
      </c>
      <c r="M289">
        <v>3.8</v>
      </c>
      <c r="N289">
        <f t="shared" si="4"/>
        <v>68.5</v>
      </c>
    </row>
    <row r="290" spans="1:14">
      <c r="A290">
        <v>20183487</v>
      </c>
      <c r="B290" t="s">
        <v>14</v>
      </c>
      <c r="C290" t="str">
        <f>VLOOKUP(B290,专业代码!$B$2:$C$8,2,FALSE)</f>
        <v>会计学</v>
      </c>
      <c r="D290">
        <v>8.6</v>
      </c>
      <c r="E290">
        <v>8.4</v>
      </c>
      <c r="F290">
        <v>8.2</v>
      </c>
      <c r="G290">
        <v>8.2</v>
      </c>
      <c r="H290">
        <v>8.7</v>
      </c>
      <c r="I290">
        <v>7.2</v>
      </c>
      <c r="J290">
        <v>5.2</v>
      </c>
      <c r="K290">
        <v>7.6</v>
      </c>
      <c r="L290">
        <v>8.3</v>
      </c>
      <c r="M290">
        <v>8.2</v>
      </c>
      <c r="N290">
        <f t="shared" si="4"/>
        <v>78.6</v>
      </c>
    </row>
    <row r="291" spans="1:14">
      <c r="A291">
        <v>20184918</v>
      </c>
      <c r="B291" t="s">
        <v>14</v>
      </c>
      <c r="C291" t="str">
        <f>VLOOKUP(B291,专业代码!$B$2:$C$8,2,FALSE)</f>
        <v>会计学</v>
      </c>
      <c r="D291">
        <v>9.2</v>
      </c>
      <c r="E291">
        <v>8.7</v>
      </c>
      <c r="F291">
        <v>8.2</v>
      </c>
      <c r="G291">
        <v>8.9</v>
      </c>
      <c r="H291">
        <v>6.6</v>
      </c>
      <c r="I291">
        <v>6.9</v>
      </c>
      <c r="J291">
        <v>7.3</v>
      </c>
      <c r="K291">
        <v>7</v>
      </c>
      <c r="L291">
        <v>6.8</v>
      </c>
      <c r="M291">
        <v>7.5</v>
      </c>
      <c r="N291">
        <f t="shared" si="4"/>
        <v>77.1</v>
      </c>
    </row>
    <row r="292" spans="1:14">
      <c r="A292">
        <v>20184961</v>
      </c>
      <c r="B292" t="s">
        <v>14</v>
      </c>
      <c r="C292" t="str">
        <f>VLOOKUP(B292,专业代码!$B$2:$C$8,2,FALSE)</f>
        <v>会计学</v>
      </c>
      <c r="D292">
        <v>9</v>
      </c>
      <c r="E292">
        <v>8.9</v>
      </c>
      <c r="F292">
        <v>8.1</v>
      </c>
      <c r="G292">
        <v>7.7</v>
      </c>
      <c r="H292">
        <v>9.1</v>
      </c>
      <c r="I292">
        <v>7.5</v>
      </c>
      <c r="J292">
        <v>6.8</v>
      </c>
      <c r="K292">
        <v>5.2</v>
      </c>
      <c r="L292">
        <v>6.4</v>
      </c>
      <c r="M292">
        <v>7.2</v>
      </c>
      <c r="N292">
        <f t="shared" si="4"/>
        <v>75.9</v>
      </c>
    </row>
    <row r="293" spans="1:14">
      <c r="A293">
        <v>20185403</v>
      </c>
      <c r="B293" t="s">
        <v>14</v>
      </c>
      <c r="C293" t="str">
        <f>VLOOKUP(B293,专业代码!$B$2:$C$8,2,FALSE)</f>
        <v>会计学</v>
      </c>
      <c r="D293">
        <v>9.1</v>
      </c>
      <c r="E293">
        <v>9.3</v>
      </c>
      <c r="F293">
        <v>9</v>
      </c>
      <c r="G293">
        <v>9.4</v>
      </c>
      <c r="H293">
        <v>7.8</v>
      </c>
      <c r="I293">
        <v>7.2</v>
      </c>
      <c r="J293">
        <v>6.1</v>
      </c>
      <c r="K293">
        <v>8.1</v>
      </c>
      <c r="L293">
        <v>6</v>
      </c>
      <c r="M293">
        <v>5.7</v>
      </c>
      <c r="N293">
        <f t="shared" si="4"/>
        <v>77.7</v>
      </c>
    </row>
    <row r="294" spans="1:14">
      <c r="A294">
        <v>20185692</v>
      </c>
      <c r="B294" t="s">
        <v>14</v>
      </c>
      <c r="C294" t="str">
        <f>VLOOKUP(B294,专业代码!$B$2:$C$8,2,FALSE)</f>
        <v>会计学</v>
      </c>
      <c r="D294">
        <v>7.6</v>
      </c>
      <c r="E294">
        <v>8.5</v>
      </c>
      <c r="F294">
        <v>7.5</v>
      </c>
      <c r="G294">
        <v>7.6</v>
      </c>
      <c r="H294">
        <v>8.1</v>
      </c>
      <c r="I294">
        <v>7.1</v>
      </c>
      <c r="J294">
        <v>8.2</v>
      </c>
      <c r="K294">
        <v>8.1</v>
      </c>
      <c r="L294">
        <v>5.3</v>
      </c>
      <c r="M294">
        <v>6.1</v>
      </c>
      <c r="N294">
        <f t="shared" si="4"/>
        <v>74.1</v>
      </c>
    </row>
    <row r="295" spans="1:14">
      <c r="A295">
        <v>20186696</v>
      </c>
      <c r="B295" t="s">
        <v>14</v>
      </c>
      <c r="C295" t="str">
        <f>VLOOKUP(B295,专业代码!$B$2:$C$8,2,FALSE)</f>
        <v>会计学</v>
      </c>
      <c r="D295">
        <v>8.4</v>
      </c>
      <c r="E295">
        <v>7.9</v>
      </c>
      <c r="F295">
        <v>8.5</v>
      </c>
      <c r="G295">
        <v>7.6</v>
      </c>
      <c r="H295">
        <v>8</v>
      </c>
      <c r="I295">
        <v>6</v>
      </c>
      <c r="J295">
        <v>7.4</v>
      </c>
      <c r="K295">
        <v>7.3</v>
      </c>
      <c r="L295">
        <v>7.7</v>
      </c>
      <c r="M295">
        <v>6.7</v>
      </c>
      <c r="N295">
        <f t="shared" si="4"/>
        <v>75.5</v>
      </c>
    </row>
    <row r="296" spans="1:14">
      <c r="A296">
        <v>20187202</v>
      </c>
      <c r="B296" t="s">
        <v>14</v>
      </c>
      <c r="C296" t="str">
        <f>VLOOKUP(B296,专业代码!$B$2:$C$8,2,FALSE)</f>
        <v>会计学</v>
      </c>
      <c r="D296">
        <v>8.6</v>
      </c>
      <c r="E296">
        <v>9.3</v>
      </c>
      <c r="F296">
        <v>8.6</v>
      </c>
      <c r="G296">
        <v>8.7</v>
      </c>
      <c r="H296">
        <v>6.6</v>
      </c>
      <c r="I296">
        <v>8.6</v>
      </c>
      <c r="J296">
        <v>6.6</v>
      </c>
      <c r="K296">
        <v>7.4</v>
      </c>
      <c r="L296">
        <v>8.7</v>
      </c>
      <c r="M296">
        <v>6.5</v>
      </c>
      <c r="N296">
        <f t="shared" si="4"/>
        <v>79.6</v>
      </c>
    </row>
    <row r="297" spans="1:14">
      <c r="A297">
        <v>20187465</v>
      </c>
      <c r="B297" t="s">
        <v>14</v>
      </c>
      <c r="C297" t="str">
        <f>VLOOKUP(B297,专业代码!$B$2:$C$8,2,FALSE)</f>
        <v>会计学</v>
      </c>
      <c r="D297">
        <v>7.8</v>
      </c>
      <c r="E297">
        <v>8</v>
      </c>
      <c r="F297">
        <v>8.4</v>
      </c>
      <c r="G297">
        <v>8.4</v>
      </c>
      <c r="H297">
        <v>7.7</v>
      </c>
      <c r="I297">
        <v>6.7</v>
      </c>
      <c r="J297">
        <v>8.8</v>
      </c>
      <c r="K297">
        <v>7.7</v>
      </c>
      <c r="L297">
        <v>8.4</v>
      </c>
      <c r="M297">
        <v>4.2</v>
      </c>
      <c r="N297">
        <f t="shared" si="4"/>
        <v>76.1</v>
      </c>
    </row>
    <row r="298" spans="1:14">
      <c r="A298">
        <v>20187541</v>
      </c>
      <c r="B298" t="s">
        <v>14</v>
      </c>
      <c r="C298" t="str">
        <f>VLOOKUP(B298,专业代码!$B$2:$C$8,2,FALSE)</f>
        <v>会计学</v>
      </c>
      <c r="D298">
        <v>8.8</v>
      </c>
      <c r="E298">
        <v>9.1</v>
      </c>
      <c r="F298">
        <v>9.4</v>
      </c>
      <c r="G298">
        <v>8.5</v>
      </c>
      <c r="H298">
        <v>8.1</v>
      </c>
      <c r="I298">
        <v>8.1</v>
      </c>
      <c r="J298">
        <v>6.7</v>
      </c>
      <c r="K298">
        <v>7.1</v>
      </c>
      <c r="L298">
        <v>7.3</v>
      </c>
      <c r="M298">
        <v>7.6</v>
      </c>
      <c r="N298">
        <f t="shared" si="4"/>
        <v>80.7</v>
      </c>
    </row>
    <row r="299" spans="1:14">
      <c r="A299">
        <v>20187796</v>
      </c>
      <c r="B299" t="s">
        <v>14</v>
      </c>
      <c r="C299" t="str">
        <f>VLOOKUP(B299,专业代码!$B$2:$C$8,2,FALSE)</f>
        <v>会计学</v>
      </c>
      <c r="D299">
        <v>8.8</v>
      </c>
      <c r="E299">
        <v>7.9</v>
      </c>
      <c r="F299">
        <v>9.2</v>
      </c>
      <c r="G299">
        <v>8</v>
      </c>
      <c r="H299">
        <v>7.6</v>
      </c>
      <c r="I299">
        <v>6.4</v>
      </c>
      <c r="J299">
        <v>7.2</v>
      </c>
      <c r="K299">
        <v>7.9</v>
      </c>
      <c r="L299">
        <v>6.6</v>
      </c>
      <c r="M299">
        <v>6.2</v>
      </c>
      <c r="N299">
        <f t="shared" si="4"/>
        <v>75.8</v>
      </c>
    </row>
    <row r="300" spans="1:14">
      <c r="A300">
        <v>20188087</v>
      </c>
      <c r="B300" t="s">
        <v>14</v>
      </c>
      <c r="C300" t="str">
        <f>VLOOKUP(B300,专业代码!$B$2:$C$8,2,FALSE)</f>
        <v>会计学</v>
      </c>
      <c r="D300">
        <v>9.1</v>
      </c>
      <c r="E300">
        <v>8.7</v>
      </c>
      <c r="F300">
        <v>8.3</v>
      </c>
      <c r="G300">
        <v>7.7</v>
      </c>
      <c r="H300">
        <v>7.4</v>
      </c>
      <c r="I300">
        <v>7.3</v>
      </c>
      <c r="J300">
        <v>9</v>
      </c>
      <c r="K300">
        <v>8.3</v>
      </c>
      <c r="L300">
        <v>8.2</v>
      </c>
      <c r="M300">
        <v>6.8</v>
      </c>
      <c r="N300">
        <f t="shared" si="4"/>
        <v>80.8</v>
      </c>
    </row>
    <row r="301" spans="1:14">
      <c r="A301">
        <v>20182014</v>
      </c>
      <c r="B301" t="s">
        <v>14</v>
      </c>
      <c r="C301" t="str">
        <f>VLOOKUP(B301,专业代码!$B$2:$C$8,2,FALSE)</f>
        <v>会计学</v>
      </c>
      <c r="D301">
        <v>7.6</v>
      </c>
      <c r="E301">
        <v>8.6</v>
      </c>
      <c r="F301">
        <v>9</v>
      </c>
      <c r="G301">
        <v>7.8</v>
      </c>
      <c r="H301">
        <v>7.8</v>
      </c>
      <c r="I301">
        <v>9.3</v>
      </c>
      <c r="J301">
        <v>7.3</v>
      </c>
      <c r="K301">
        <v>6.8</v>
      </c>
      <c r="L301">
        <v>8.5</v>
      </c>
      <c r="M301">
        <v>8.4</v>
      </c>
      <c r="N301">
        <f t="shared" si="4"/>
        <v>81.1</v>
      </c>
    </row>
    <row r="302" spans="1:14">
      <c r="A302">
        <v>20182609</v>
      </c>
      <c r="B302" t="s">
        <v>14</v>
      </c>
      <c r="C302" t="str">
        <f>VLOOKUP(B302,专业代码!$B$2:$C$8,2,FALSE)</f>
        <v>会计学</v>
      </c>
      <c r="D302">
        <v>8.8</v>
      </c>
      <c r="E302">
        <v>8.9</v>
      </c>
      <c r="F302">
        <v>7.4</v>
      </c>
      <c r="G302">
        <v>8.2</v>
      </c>
      <c r="H302">
        <v>8.2</v>
      </c>
      <c r="I302">
        <v>7.6</v>
      </c>
      <c r="J302">
        <v>7.9</v>
      </c>
      <c r="K302">
        <v>6.4</v>
      </c>
      <c r="L302">
        <v>7</v>
      </c>
      <c r="M302">
        <v>7.6</v>
      </c>
      <c r="N302">
        <f t="shared" si="4"/>
        <v>78</v>
      </c>
    </row>
    <row r="303" spans="1:14">
      <c r="A303">
        <v>20185030</v>
      </c>
      <c r="B303" t="s">
        <v>14</v>
      </c>
      <c r="C303" t="str">
        <f>VLOOKUP(B303,专业代码!$B$2:$C$8,2,FALSE)</f>
        <v>会计学</v>
      </c>
      <c r="D303">
        <v>8.8</v>
      </c>
      <c r="E303">
        <v>8.3</v>
      </c>
      <c r="F303">
        <v>8.4</v>
      </c>
      <c r="G303">
        <v>8.1</v>
      </c>
      <c r="H303">
        <v>9.4</v>
      </c>
      <c r="I303">
        <v>8.2</v>
      </c>
      <c r="J303">
        <v>7</v>
      </c>
      <c r="K303">
        <v>7.2</v>
      </c>
      <c r="L303">
        <v>7.1</v>
      </c>
      <c r="M303">
        <v>6.1</v>
      </c>
      <c r="N303">
        <f t="shared" si="4"/>
        <v>78.6</v>
      </c>
    </row>
    <row r="304" spans="1:14">
      <c r="A304">
        <v>20183122</v>
      </c>
      <c r="B304" t="s">
        <v>14</v>
      </c>
      <c r="C304" t="str">
        <f>VLOOKUP(B304,专业代码!$B$2:$C$8,2,FALSE)</f>
        <v>会计学</v>
      </c>
      <c r="D304">
        <v>9.1</v>
      </c>
      <c r="E304">
        <v>8</v>
      </c>
      <c r="F304">
        <v>8.8</v>
      </c>
      <c r="G304">
        <v>8.9</v>
      </c>
      <c r="H304">
        <v>6</v>
      </c>
      <c r="I304">
        <v>8.7</v>
      </c>
      <c r="J304">
        <v>7.1</v>
      </c>
      <c r="K304">
        <v>8.6</v>
      </c>
      <c r="L304">
        <v>8</v>
      </c>
      <c r="M304">
        <v>6.3</v>
      </c>
      <c r="N304">
        <f t="shared" si="4"/>
        <v>79.5</v>
      </c>
    </row>
    <row r="305" spans="1:14">
      <c r="A305">
        <v>20184091</v>
      </c>
      <c r="B305" t="s">
        <v>14</v>
      </c>
      <c r="C305" t="str">
        <f>VLOOKUP(B305,专业代码!$B$2:$C$8,2,FALSE)</f>
        <v>会计学</v>
      </c>
      <c r="D305">
        <v>8.3</v>
      </c>
      <c r="E305">
        <v>8.3</v>
      </c>
      <c r="F305">
        <v>9</v>
      </c>
      <c r="G305">
        <v>8.5</v>
      </c>
      <c r="H305">
        <v>9.1</v>
      </c>
      <c r="I305">
        <v>7.8</v>
      </c>
      <c r="J305">
        <v>7.8</v>
      </c>
      <c r="K305">
        <v>7</v>
      </c>
      <c r="L305">
        <v>6.6</v>
      </c>
      <c r="M305">
        <v>6.2</v>
      </c>
      <c r="N305">
        <f t="shared" si="4"/>
        <v>78.6</v>
      </c>
    </row>
    <row r="306" spans="1:14">
      <c r="A306">
        <v>20184133</v>
      </c>
      <c r="B306" t="s">
        <v>14</v>
      </c>
      <c r="C306" t="str">
        <f>VLOOKUP(B306,专业代码!$B$2:$C$8,2,FALSE)</f>
        <v>会计学</v>
      </c>
      <c r="D306">
        <v>8.7</v>
      </c>
      <c r="E306">
        <v>8.8</v>
      </c>
      <c r="F306">
        <v>8.3</v>
      </c>
      <c r="G306">
        <v>8.8</v>
      </c>
      <c r="H306">
        <v>7.4</v>
      </c>
      <c r="I306">
        <v>7.6</v>
      </c>
      <c r="J306">
        <v>6.3</v>
      </c>
      <c r="K306">
        <v>7.2</v>
      </c>
      <c r="L306">
        <v>6.7</v>
      </c>
      <c r="M306">
        <v>6.7</v>
      </c>
      <c r="N306">
        <f t="shared" si="4"/>
        <v>76.5</v>
      </c>
    </row>
    <row r="307" spans="1:14">
      <c r="A307">
        <v>20187802</v>
      </c>
      <c r="B307" t="s">
        <v>14</v>
      </c>
      <c r="C307" t="str">
        <f>VLOOKUP(B307,专业代码!$B$2:$C$8,2,FALSE)</f>
        <v>会计学</v>
      </c>
      <c r="D307">
        <v>8.6</v>
      </c>
      <c r="E307">
        <v>8.5</v>
      </c>
      <c r="F307">
        <v>8.2</v>
      </c>
      <c r="G307">
        <v>9.1</v>
      </c>
      <c r="H307">
        <v>7</v>
      </c>
      <c r="I307">
        <v>8.4</v>
      </c>
      <c r="J307">
        <v>8.7</v>
      </c>
      <c r="K307">
        <v>6.8</v>
      </c>
      <c r="L307">
        <v>8.7</v>
      </c>
      <c r="M307">
        <v>7.3</v>
      </c>
      <c r="N307">
        <f t="shared" si="4"/>
        <v>81.3</v>
      </c>
    </row>
    <row r="308" spans="1:14">
      <c r="A308">
        <v>20188252</v>
      </c>
      <c r="B308" t="s">
        <v>14</v>
      </c>
      <c r="C308" t="str">
        <f>VLOOKUP(B308,专业代码!$B$2:$C$8,2,FALSE)</f>
        <v>会计学</v>
      </c>
      <c r="D308">
        <v>9</v>
      </c>
      <c r="E308">
        <v>8.6</v>
      </c>
      <c r="F308">
        <v>8.3</v>
      </c>
      <c r="G308">
        <v>8</v>
      </c>
      <c r="H308">
        <v>7.3</v>
      </c>
      <c r="I308">
        <v>8.8</v>
      </c>
      <c r="J308">
        <v>9</v>
      </c>
      <c r="K308">
        <v>8.2</v>
      </c>
      <c r="L308">
        <v>7.6</v>
      </c>
      <c r="M308">
        <v>9.6</v>
      </c>
      <c r="N308">
        <f t="shared" si="4"/>
        <v>84.4</v>
      </c>
    </row>
    <row r="309" spans="1:14">
      <c r="A309">
        <v>20188593</v>
      </c>
      <c r="B309" t="s">
        <v>14</v>
      </c>
      <c r="C309" t="str">
        <f>VLOOKUP(B309,专业代码!$B$2:$C$8,2,FALSE)</f>
        <v>会计学</v>
      </c>
      <c r="D309">
        <v>9.1</v>
      </c>
      <c r="E309">
        <v>8.2</v>
      </c>
      <c r="F309">
        <v>8.2</v>
      </c>
      <c r="G309">
        <v>8.6</v>
      </c>
      <c r="H309">
        <v>7.3</v>
      </c>
      <c r="I309">
        <v>8.2</v>
      </c>
      <c r="J309">
        <v>5.3</v>
      </c>
      <c r="K309">
        <v>7.2</v>
      </c>
      <c r="L309">
        <v>7.2</v>
      </c>
      <c r="M309">
        <v>6.2</v>
      </c>
      <c r="N309">
        <f t="shared" si="4"/>
        <v>75.5</v>
      </c>
    </row>
    <row r="310" spans="1:14">
      <c r="A310">
        <v>20183586</v>
      </c>
      <c r="B310" t="s">
        <v>14</v>
      </c>
      <c r="C310" t="str">
        <f>VLOOKUP(B310,专业代码!$B$2:$C$8,2,FALSE)</f>
        <v>会计学</v>
      </c>
      <c r="D310">
        <v>9.2</v>
      </c>
      <c r="E310">
        <v>9.9</v>
      </c>
      <c r="F310">
        <v>8.7</v>
      </c>
      <c r="G310">
        <v>9.9</v>
      </c>
      <c r="H310">
        <v>8.8</v>
      </c>
      <c r="I310">
        <v>8.7</v>
      </c>
      <c r="J310">
        <v>6.9</v>
      </c>
      <c r="K310">
        <v>9.9</v>
      </c>
      <c r="L310">
        <v>7.5</v>
      </c>
      <c r="M310">
        <v>6.2</v>
      </c>
      <c r="N310">
        <f t="shared" si="4"/>
        <v>85.7</v>
      </c>
    </row>
    <row r="311" spans="1:14">
      <c r="A311">
        <v>20183944</v>
      </c>
      <c r="B311" t="s">
        <v>14</v>
      </c>
      <c r="C311" t="str">
        <f>VLOOKUP(B311,专业代码!$B$2:$C$8,2,FALSE)</f>
        <v>会计学</v>
      </c>
      <c r="D311">
        <v>9.8</v>
      </c>
      <c r="E311">
        <v>9.9</v>
      </c>
      <c r="F311">
        <v>9.9</v>
      </c>
      <c r="G311">
        <v>9.9</v>
      </c>
      <c r="H311">
        <v>8.4</v>
      </c>
      <c r="I311">
        <v>9</v>
      </c>
      <c r="J311">
        <v>6.6</v>
      </c>
      <c r="K311">
        <v>7.8</v>
      </c>
      <c r="L311">
        <v>5.9</v>
      </c>
      <c r="M311">
        <v>8.8</v>
      </c>
      <c r="N311">
        <f t="shared" si="4"/>
        <v>86</v>
      </c>
    </row>
    <row r="312" spans="1:14">
      <c r="A312">
        <v>20184332</v>
      </c>
      <c r="B312" t="s">
        <v>14</v>
      </c>
      <c r="C312" t="str">
        <f>VLOOKUP(B312,专业代码!$B$2:$C$8,2,FALSE)</f>
        <v>会计学</v>
      </c>
      <c r="D312">
        <v>9.9</v>
      </c>
      <c r="E312">
        <v>8.8</v>
      </c>
      <c r="F312">
        <v>9.9</v>
      </c>
      <c r="G312">
        <v>9.3</v>
      </c>
      <c r="H312">
        <v>9.9</v>
      </c>
      <c r="I312">
        <v>9</v>
      </c>
      <c r="J312">
        <v>9.1</v>
      </c>
      <c r="K312">
        <v>9.1</v>
      </c>
      <c r="L312">
        <v>8.6</v>
      </c>
      <c r="M312">
        <v>7.1</v>
      </c>
      <c r="N312">
        <f t="shared" si="4"/>
        <v>90.7</v>
      </c>
    </row>
    <row r="313" spans="1:14">
      <c r="A313">
        <v>20186104</v>
      </c>
      <c r="B313" t="s">
        <v>14</v>
      </c>
      <c r="C313" t="str">
        <f>VLOOKUP(B313,专业代码!$B$2:$C$8,2,FALSE)</f>
        <v>会计学</v>
      </c>
      <c r="D313">
        <v>9.9</v>
      </c>
      <c r="E313">
        <v>9.9</v>
      </c>
      <c r="F313">
        <v>9.1</v>
      </c>
      <c r="G313">
        <v>9.9</v>
      </c>
      <c r="H313">
        <v>6.3</v>
      </c>
      <c r="I313">
        <v>8.5</v>
      </c>
      <c r="J313">
        <v>6.8</v>
      </c>
      <c r="K313">
        <v>9.4</v>
      </c>
      <c r="L313">
        <v>8.4</v>
      </c>
      <c r="M313">
        <v>7.7</v>
      </c>
      <c r="N313">
        <f t="shared" si="4"/>
        <v>85.9</v>
      </c>
    </row>
    <row r="314" spans="1:14">
      <c r="A314">
        <v>20186566</v>
      </c>
      <c r="B314" t="s">
        <v>14</v>
      </c>
      <c r="C314" t="str">
        <f>VLOOKUP(B314,专业代码!$B$2:$C$8,2,FALSE)</f>
        <v>会计学</v>
      </c>
      <c r="D314">
        <v>9.9</v>
      </c>
      <c r="E314">
        <v>9.9</v>
      </c>
      <c r="F314">
        <v>9.8</v>
      </c>
      <c r="G314">
        <v>9.9</v>
      </c>
      <c r="H314">
        <v>8.3</v>
      </c>
      <c r="I314">
        <v>9.9</v>
      </c>
      <c r="J314">
        <v>6.8</v>
      </c>
      <c r="K314">
        <v>9.1</v>
      </c>
      <c r="L314">
        <v>7.9</v>
      </c>
      <c r="M314">
        <v>7.8</v>
      </c>
      <c r="N314">
        <f t="shared" si="4"/>
        <v>89.3</v>
      </c>
    </row>
    <row r="315" spans="1:14">
      <c r="A315">
        <v>20186767</v>
      </c>
      <c r="B315" t="s">
        <v>14</v>
      </c>
      <c r="C315" t="str">
        <f>VLOOKUP(B315,专业代码!$B$2:$C$8,2,FALSE)</f>
        <v>会计学</v>
      </c>
      <c r="D315">
        <v>9.4</v>
      </c>
      <c r="E315">
        <v>9.9</v>
      </c>
      <c r="F315">
        <v>9.2</v>
      </c>
      <c r="G315">
        <v>9.9</v>
      </c>
      <c r="H315">
        <v>9.9</v>
      </c>
      <c r="I315">
        <v>9.9</v>
      </c>
      <c r="J315">
        <v>8.1</v>
      </c>
      <c r="K315">
        <v>7.4</v>
      </c>
      <c r="L315">
        <v>8.2</v>
      </c>
      <c r="M315">
        <v>4.1</v>
      </c>
      <c r="N315">
        <f t="shared" si="4"/>
        <v>86</v>
      </c>
    </row>
    <row r="316" spans="1:14">
      <c r="A316">
        <v>20188297</v>
      </c>
      <c r="B316" t="s">
        <v>14</v>
      </c>
      <c r="C316" t="str">
        <f>VLOOKUP(B316,专业代码!$B$2:$C$8,2,FALSE)</f>
        <v>会计学</v>
      </c>
      <c r="D316">
        <v>9.9</v>
      </c>
      <c r="E316">
        <v>9.6</v>
      </c>
      <c r="F316">
        <v>8.6</v>
      </c>
      <c r="G316">
        <v>8.5</v>
      </c>
      <c r="H316">
        <v>9.9</v>
      </c>
      <c r="I316">
        <v>9.6</v>
      </c>
      <c r="J316">
        <v>8.9</v>
      </c>
      <c r="K316">
        <v>7.1</v>
      </c>
      <c r="L316">
        <v>8.6</v>
      </c>
      <c r="M316">
        <v>6</v>
      </c>
      <c r="N316">
        <f t="shared" si="4"/>
        <v>86.7</v>
      </c>
    </row>
    <row r="317" spans="1:14">
      <c r="A317">
        <v>20181411</v>
      </c>
      <c r="B317" t="s">
        <v>14</v>
      </c>
      <c r="C317" t="str">
        <f>VLOOKUP(B317,专业代码!$B$2:$C$8,2,FALSE)</f>
        <v>会计学</v>
      </c>
      <c r="D317">
        <v>8.9</v>
      </c>
      <c r="E317">
        <v>8.2</v>
      </c>
      <c r="F317">
        <v>7.5</v>
      </c>
      <c r="G317">
        <v>7.5</v>
      </c>
      <c r="H317">
        <v>7.1</v>
      </c>
      <c r="I317">
        <v>7.6</v>
      </c>
      <c r="J317">
        <v>7.4</v>
      </c>
      <c r="K317">
        <v>9.3</v>
      </c>
      <c r="L317">
        <v>7.8</v>
      </c>
      <c r="M317">
        <v>5.4</v>
      </c>
      <c r="N317">
        <f t="shared" si="4"/>
        <v>76.7</v>
      </c>
    </row>
    <row r="318" spans="1:14">
      <c r="A318">
        <v>20183287</v>
      </c>
      <c r="B318" t="s">
        <v>14</v>
      </c>
      <c r="C318" t="str">
        <f>VLOOKUP(B318,专业代码!$B$2:$C$8,2,FALSE)</f>
        <v>会计学</v>
      </c>
      <c r="D318">
        <v>7.7</v>
      </c>
      <c r="E318">
        <v>9.4</v>
      </c>
      <c r="F318">
        <v>8.2</v>
      </c>
      <c r="G318">
        <v>7.4</v>
      </c>
      <c r="H318">
        <v>7.9</v>
      </c>
      <c r="I318">
        <v>7.9</v>
      </c>
      <c r="J318">
        <v>8</v>
      </c>
      <c r="K318">
        <v>7.1</v>
      </c>
      <c r="L318">
        <v>6.7</v>
      </c>
      <c r="M318">
        <v>7.6</v>
      </c>
      <c r="N318">
        <f t="shared" si="4"/>
        <v>77.9</v>
      </c>
    </row>
    <row r="319" spans="1:14">
      <c r="A319">
        <v>20183862</v>
      </c>
      <c r="B319" t="s">
        <v>14</v>
      </c>
      <c r="C319" t="str">
        <f>VLOOKUP(B319,专业代码!$B$2:$C$8,2,FALSE)</f>
        <v>会计学</v>
      </c>
      <c r="D319">
        <v>9.2</v>
      </c>
      <c r="E319">
        <v>8.1</v>
      </c>
      <c r="F319">
        <v>8.1</v>
      </c>
      <c r="G319">
        <v>7.6</v>
      </c>
      <c r="H319">
        <v>7.5</v>
      </c>
      <c r="I319">
        <v>8.8</v>
      </c>
      <c r="J319">
        <v>8.5</v>
      </c>
      <c r="K319">
        <v>8.2</v>
      </c>
      <c r="L319">
        <v>9.5</v>
      </c>
      <c r="M319">
        <v>5.2</v>
      </c>
      <c r="N319">
        <f t="shared" si="4"/>
        <v>80.7</v>
      </c>
    </row>
    <row r="320" spans="1:14">
      <c r="A320">
        <v>20185491</v>
      </c>
      <c r="B320" t="s">
        <v>14</v>
      </c>
      <c r="C320" t="str">
        <f>VLOOKUP(B320,专业代码!$B$2:$C$8,2,FALSE)</f>
        <v>会计学</v>
      </c>
      <c r="D320">
        <v>9.7</v>
      </c>
      <c r="E320">
        <v>7.6</v>
      </c>
      <c r="F320">
        <v>7.6</v>
      </c>
      <c r="G320">
        <v>7.8</v>
      </c>
      <c r="H320">
        <v>7.6</v>
      </c>
      <c r="I320">
        <v>5.9</v>
      </c>
      <c r="J320">
        <v>5.8</v>
      </c>
      <c r="K320">
        <v>6.7</v>
      </c>
      <c r="L320">
        <v>6.4</v>
      </c>
      <c r="M320">
        <v>4.6</v>
      </c>
      <c r="N320">
        <f t="shared" si="4"/>
        <v>69.7</v>
      </c>
    </row>
    <row r="321" spans="1:14">
      <c r="A321">
        <v>20186718</v>
      </c>
      <c r="B321" t="s">
        <v>14</v>
      </c>
      <c r="C321" t="str">
        <f>VLOOKUP(B321,专业代码!$B$2:$C$8,2,FALSE)</f>
        <v>会计学</v>
      </c>
      <c r="D321">
        <v>8.3</v>
      </c>
      <c r="E321">
        <v>8</v>
      </c>
      <c r="F321">
        <v>8.3</v>
      </c>
      <c r="G321">
        <v>7.9</v>
      </c>
      <c r="H321">
        <v>7.2</v>
      </c>
      <c r="I321">
        <v>9</v>
      </c>
      <c r="J321">
        <v>7.1</v>
      </c>
      <c r="K321">
        <v>8</v>
      </c>
      <c r="L321">
        <v>6.6</v>
      </c>
      <c r="M321">
        <v>8.2</v>
      </c>
      <c r="N321">
        <f t="shared" si="4"/>
        <v>78.6</v>
      </c>
    </row>
    <row r="322" spans="1:14">
      <c r="A322">
        <v>20188243</v>
      </c>
      <c r="B322" t="s">
        <v>14</v>
      </c>
      <c r="C322" t="str">
        <f>VLOOKUP(B322,专业代码!$B$2:$C$8,2,FALSE)</f>
        <v>会计学</v>
      </c>
      <c r="D322">
        <v>9.2</v>
      </c>
      <c r="E322">
        <v>8.6</v>
      </c>
      <c r="F322">
        <v>8.2</v>
      </c>
      <c r="G322">
        <v>7.9</v>
      </c>
      <c r="H322">
        <v>8.9</v>
      </c>
      <c r="I322">
        <v>7.5</v>
      </c>
      <c r="J322">
        <v>6.9</v>
      </c>
      <c r="K322">
        <v>6.8</v>
      </c>
      <c r="L322">
        <v>6.6</v>
      </c>
      <c r="M322">
        <v>5.9</v>
      </c>
      <c r="N322">
        <f t="shared" si="4"/>
        <v>76.5</v>
      </c>
    </row>
    <row r="323" spans="1:14">
      <c r="A323">
        <v>20189010</v>
      </c>
      <c r="B323" t="s">
        <v>14</v>
      </c>
      <c r="C323" t="str">
        <f>VLOOKUP(B323,专业代码!$B$2:$C$8,2,FALSE)</f>
        <v>会计学</v>
      </c>
      <c r="D323">
        <v>8.9</v>
      </c>
      <c r="E323">
        <v>8.6</v>
      </c>
      <c r="F323">
        <v>7.9</v>
      </c>
      <c r="G323">
        <v>8.6</v>
      </c>
      <c r="H323">
        <v>8.4</v>
      </c>
      <c r="I323">
        <v>7.3</v>
      </c>
      <c r="J323">
        <v>8.2</v>
      </c>
      <c r="K323">
        <v>8</v>
      </c>
      <c r="L323">
        <v>6.6</v>
      </c>
      <c r="M323">
        <v>4.7</v>
      </c>
      <c r="N323">
        <f t="shared" ref="N323:N386" si="5">SUM(D323:M323)</f>
        <v>77.2</v>
      </c>
    </row>
    <row r="324" spans="1:14">
      <c r="A324">
        <v>20189962</v>
      </c>
      <c r="B324" t="s">
        <v>14</v>
      </c>
      <c r="C324" t="str">
        <f>VLOOKUP(B324,专业代码!$B$2:$C$8,2,FALSE)</f>
        <v>会计学</v>
      </c>
      <c r="D324">
        <v>8.4</v>
      </c>
      <c r="E324">
        <v>8.3</v>
      </c>
      <c r="F324">
        <v>8</v>
      </c>
      <c r="G324">
        <v>9.5</v>
      </c>
      <c r="H324">
        <v>6.4</v>
      </c>
      <c r="I324">
        <v>6.3</v>
      </c>
      <c r="J324">
        <v>6.6</v>
      </c>
      <c r="K324">
        <v>8.4</v>
      </c>
      <c r="L324">
        <v>5.7</v>
      </c>
      <c r="M324">
        <v>6.4</v>
      </c>
      <c r="N324">
        <f t="shared" si="5"/>
        <v>74</v>
      </c>
    </row>
    <row r="325" spans="1:14">
      <c r="A325">
        <v>20181399</v>
      </c>
      <c r="B325" t="s">
        <v>14</v>
      </c>
      <c r="C325" t="str">
        <f>VLOOKUP(B325,专业代码!$B$2:$C$8,2,FALSE)</f>
        <v>会计学</v>
      </c>
      <c r="D325">
        <v>8.4</v>
      </c>
      <c r="E325">
        <v>8.4</v>
      </c>
      <c r="F325">
        <v>8</v>
      </c>
      <c r="G325">
        <v>6.8</v>
      </c>
      <c r="H325">
        <v>8</v>
      </c>
      <c r="I325">
        <v>7.6</v>
      </c>
      <c r="J325">
        <v>8.6</v>
      </c>
      <c r="K325">
        <v>7.5</v>
      </c>
      <c r="L325">
        <v>6.8</v>
      </c>
      <c r="M325">
        <v>5.9</v>
      </c>
      <c r="N325">
        <f t="shared" si="5"/>
        <v>76</v>
      </c>
    </row>
    <row r="326" spans="1:14">
      <c r="A326">
        <v>20181615</v>
      </c>
      <c r="B326" t="s">
        <v>14</v>
      </c>
      <c r="C326" t="str">
        <f>VLOOKUP(B326,专业代码!$B$2:$C$8,2,FALSE)</f>
        <v>会计学</v>
      </c>
      <c r="D326">
        <v>8.3</v>
      </c>
      <c r="E326">
        <v>8.3</v>
      </c>
      <c r="F326">
        <v>7.7</v>
      </c>
      <c r="G326">
        <v>7.7</v>
      </c>
      <c r="H326">
        <v>7.3</v>
      </c>
      <c r="I326">
        <v>7.6</v>
      </c>
      <c r="J326">
        <v>8.3</v>
      </c>
      <c r="K326">
        <v>6.7</v>
      </c>
      <c r="L326">
        <v>4.5</v>
      </c>
      <c r="M326">
        <v>7.3</v>
      </c>
      <c r="N326">
        <f t="shared" si="5"/>
        <v>73.7</v>
      </c>
    </row>
    <row r="327" spans="1:14">
      <c r="A327">
        <v>20181844</v>
      </c>
      <c r="B327" t="s">
        <v>14</v>
      </c>
      <c r="C327" t="str">
        <f>VLOOKUP(B327,专业代码!$B$2:$C$8,2,FALSE)</f>
        <v>会计学</v>
      </c>
      <c r="D327">
        <v>8.9</v>
      </c>
      <c r="E327">
        <v>8.4</v>
      </c>
      <c r="F327">
        <v>8.5</v>
      </c>
      <c r="G327">
        <v>7.6</v>
      </c>
      <c r="H327">
        <v>8.4</v>
      </c>
      <c r="I327">
        <v>8.7</v>
      </c>
      <c r="J327">
        <v>6.8</v>
      </c>
      <c r="K327">
        <v>6.8</v>
      </c>
      <c r="L327">
        <v>7.9</v>
      </c>
      <c r="M327">
        <v>6.2</v>
      </c>
      <c r="N327">
        <f t="shared" si="5"/>
        <v>78.2</v>
      </c>
    </row>
    <row r="328" spans="1:14">
      <c r="A328">
        <v>20182548</v>
      </c>
      <c r="B328" t="s">
        <v>14</v>
      </c>
      <c r="C328" t="str">
        <f>VLOOKUP(B328,专业代码!$B$2:$C$8,2,FALSE)</f>
        <v>会计学</v>
      </c>
      <c r="D328">
        <v>8.4</v>
      </c>
      <c r="E328">
        <v>8.4</v>
      </c>
      <c r="F328">
        <v>7.8</v>
      </c>
      <c r="G328">
        <v>8.3</v>
      </c>
      <c r="H328">
        <v>9.9</v>
      </c>
      <c r="I328">
        <v>7.5</v>
      </c>
      <c r="J328">
        <v>7.7</v>
      </c>
      <c r="K328">
        <v>8.4</v>
      </c>
      <c r="L328">
        <v>6.4</v>
      </c>
      <c r="M328">
        <v>4.5</v>
      </c>
      <c r="N328">
        <f t="shared" si="5"/>
        <v>77.3</v>
      </c>
    </row>
    <row r="329" spans="1:14">
      <c r="A329">
        <v>20185159</v>
      </c>
      <c r="B329" t="s">
        <v>14</v>
      </c>
      <c r="C329" t="str">
        <f>VLOOKUP(B329,专业代码!$B$2:$C$8,2,FALSE)</f>
        <v>会计学</v>
      </c>
      <c r="D329">
        <v>9.7</v>
      </c>
      <c r="E329">
        <v>8.6</v>
      </c>
      <c r="F329">
        <v>8.7</v>
      </c>
      <c r="G329">
        <v>7.8</v>
      </c>
      <c r="H329">
        <v>8.4</v>
      </c>
      <c r="I329">
        <v>8.8</v>
      </c>
      <c r="J329">
        <v>7.2</v>
      </c>
      <c r="K329">
        <v>5.1</v>
      </c>
      <c r="L329">
        <v>8.6</v>
      </c>
      <c r="M329">
        <v>4.6</v>
      </c>
      <c r="N329">
        <f t="shared" si="5"/>
        <v>77.5</v>
      </c>
    </row>
    <row r="330" spans="1:14">
      <c r="A330">
        <v>20185215</v>
      </c>
      <c r="B330" t="s">
        <v>14</v>
      </c>
      <c r="C330" t="str">
        <f>VLOOKUP(B330,专业代码!$B$2:$C$8,2,FALSE)</f>
        <v>会计学</v>
      </c>
      <c r="D330">
        <v>8.5</v>
      </c>
      <c r="E330">
        <v>7.8</v>
      </c>
      <c r="F330">
        <v>8.6</v>
      </c>
      <c r="G330">
        <v>7.6</v>
      </c>
      <c r="H330">
        <v>8.1</v>
      </c>
      <c r="I330">
        <v>7.3</v>
      </c>
      <c r="J330">
        <v>7.9</v>
      </c>
      <c r="K330">
        <v>6.8</v>
      </c>
      <c r="L330">
        <v>7</v>
      </c>
      <c r="M330">
        <v>7</v>
      </c>
      <c r="N330">
        <f t="shared" si="5"/>
        <v>76.6</v>
      </c>
    </row>
    <row r="331" spans="1:14">
      <c r="A331">
        <v>20181152</v>
      </c>
      <c r="B331" t="s">
        <v>14</v>
      </c>
      <c r="C331" t="str">
        <f>VLOOKUP(B331,专业代码!$B$2:$C$8,2,FALSE)</f>
        <v>会计学</v>
      </c>
      <c r="D331">
        <v>8.3</v>
      </c>
      <c r="E331">
        <v>8</v>
      </c>
      <c r="F331">
        <v>7.9</v>
      </c>
      <c r="G331">
        <v>9.4</v>
      </c>
      <c r="H331">
        <v>7.9</v>
      </c>
      <c r="I331">
        <v>6.5</v>
      </c>
      <c r="J331">
        <v>7.4</v>
      </c>
      <c r="K331">
        <v>6.2</v>
      </c>
      <c r="L331">
        <v>8.9</v>
      </c>
      <c r="M331">
        <v>6</v>
      </c>
      <c r="N331">
        <f t="shared" si="5"/>
        <v>76.5</v>
      </c>
    </row>
    <row r="332" spans="1:14">
      <c r="A332">
        <v>20181669</v>
      </c>
      <c r="B332" t="s">
        <v>14</v>
      </c>
      <c r="C332" t="str">
        <f>VLOOKUP(B332,专业代码!$B$2:$C$8,2,FALSE)</f>
        <v>会计学</v>
      </c>
      <c r="D332">
        <v>8.5</v>
      </c>
      <c r="E332">
        <v>8.2</v>
      </c>
      <c r="F332">
        <v>8.3</v>
      </c>
      <c r="G332">
        <v>8.3</v>
      </c>
      <c r="H332">
        <v>8</v>
      </c>
      <c r="I332">
        <v>8</v>
      </c>
      <c r="J332">
        <v>9.1</v>
      </c>
      <c r="K332">
        <v>6.7</v>
      </c>
      <c r="L332">
        <v>7.3</v>
      </c>
      <c r="M332">
        <v>7.9</v>
      </c>
      <c r="N332">
        <f t="shared" si="5"/>
        <v>80.3</v>
      </c>
    </row>
    <row r="333" spans="1:14">
      <c r="A333">
        <v>20182113</v>
      </c>
      <c r="B333" t="s">
        <v>14</v>
      </c>
      <c r="C333" t="str">
        <f>VLOOKUP(B333,专业代码!$B$2:$C$8,2,FALSE)</f>
        <v>会计学</v>
      </c>
      <c r="D333">
        <v>9.3</v>
      </c>
      <c r="E333">
        <v>8.1</v>
      </c>
      <c r="F333">
        <v>8</v>
      </c>
      <c r="G333">
        <v>8.6</v>
      </c>
      <c r="H333">
        <v>7.5</v>
      </c>
      <c r="I333">
        <v>9</v>
      </c>
      <c r="J333">
        <v>7.8</v>
      </c>
      <c r="K333">
        <v>7.3</v>
      </c>
      <c r="L333">
        <v>6.6</v>
      </c>
      <c r="M333">
        <v>5</v>
      </c>
      <c r="N333">
        <f t="shared" si="5"/>
        <v>77.2</v>
      </c>
    </row>
    <row r="334" spans="1:14">
      <c r="A334">
        <v>20184950</v>
      </c>
      <c r="B334" t="s">
        <v>14</v>
      </c>
      <c r="C334" t="str">
        <f>VLOOKUP(B334,专业代码!$B$2:$C$8,2,FALSE)</f>
        <v>会计学</v>
      </c>
      <c r="D334">
        <v>8.7</v>
      </c>
      <c r="E334">
        <v>8.2</v>
      </c>
      <c r="F334">
        <v>8.1</v>
      </c>
      <c r="G334">
        <v>9.6</v>
      </c>
      <c r="H334">
        <v>6.6</v>
      </c>
      <c r="I334">
        <v>7.5</v>
      </c>
      <c r="J334">
        <v>7.7</v>
      </c>
      <c r="K334">
        <v>7.8</v>
      </c>
      <c r="L334">
        <v>6.9</v>
      </c>
      <c r="M334">
        <v>6.5</v>
      </c>
      <c r="N334">
        <f t="shared" si="5"/>
        <v>77.6</v>
      </c>
    </row>
    <row r="335" spans="1:14">
      <c r="A335">
        <v>20185926</v>
      </c>
      <c r="B335" t="s">
        <v>14</v>
      </c>
      <c r="C335" t="str">
        <f>VLOOKUP(B335,专业代码!$B$2:$C$8,2,FALSE)</f>
        <v>会计学</v>
      </c>
      <c r="D335">
        <v>8.9</v>
      </c>
      <c r="E335">
        <v>8.7</v>
      </c>
      <c r="F335">
        <v>9.2</v>
      </c>
      <c r="G335">
        <v>7.5</v>
      </c>
      <c r="H335">
        <v>7.7</v>
      </c>
      <c r="I335">
        <v>8.1</v>
      </c>
      <c r="J335">
        <v>8.3</v>
      </c>
      <c r="K335">
        <v>7.8</v>
      </c>
      <c r="L335">
        <v>4.6</v>
      </c>
      <c r="M335">
        <v>6.1</v>
      </c>
      <c r="N335">
        <f t="shared" si="5"/>
        <v>76.9</v>
      </c>
    </row>
    <row r="336" spans="1:14">
      <c r="A336">
        <v>20186885</v>
      </c>
      <c r="B336" t="s">
        <v>14</v>
      </c>
      <c r="C336" t="str">
        <f>VLOOKUP(B336,专业代码!$B$2:$C$8,2,FALSE)</f>
        <v>会计学</v>
      </c>
      <c r="D336">
        <v>7.8</v>
      </c>
      <c r="E336">
        <v>8.5</v>
      </c>
      <c r="F336">
        <v>7.4</v>
      </c>
      <c r="G336">
        <v>8.1</v>
      </c>
      <c r="H336">
        <v>7.5</v>
      </c>
      <c r="I336">
        <v>9</v>
      </c>
      <c r="J336">
        <v>7.6</v>
      </c>
      <c r="K336">
        <v>7.5</v>
      </c>
      <c r="L336">
        <v>5.6</v>
      </c>
      <c r="M336">
        <v>6.8</v>
      </c>
      <c r="N336">
        <f t="shared" si="5"/>
        <v>75.8</v>
      </c>
    </row>
    <row r="337" spans="1:14">
      <c r="A337">
        <v>20187901</v>
      </c>
      <c r="B337" t="s">
        <v>14</v>
      </c>
      <c r="C337" t="str">
        <f>VLOOKUP(B337,专业代码!$B$2:$C$8,2,FALSE)</f>
        <v>会计学</v>
      </c>
      <c r="D337">
        <v>9.5</v>
      </c>
      <c r="E337">
        <v>8.8</v>
      </c>
      <c r="F337">
        <v>8.2</v>
      </c>
      <c r="G337">
        <v>8.5</v>
      </c>
      <c r="H337">
        <v>7.8</v>
      </c>
      <c r="I337">
        <v>8.7</v>
      </c>
      <c r="J337">
        <v>6.3</v>
      </c>
      <c r="K337">
        <v>8.6</v>
      </c>
      <c r="L337">
        <v>7.7</v>
      </c>
      <c r="M337">
        <v>6.2</v>
      </c>
      <c r="N337">
        <f t="shared" si="5"/>
        <v>80.3</v>
      </c>
    </row>
    <row r="338" spans="1:14">
      <c r="A338">
        <v>20181454</v>
      </c>
      <c r="B338" t="s">
        <v>14</v>
      </c>
      <c r="C338" t="str">
        <f>VLOOKUP(B338,专业代码!$B$2:$C$8,2,FALSE)</f>
        <v>会计学</v>
      </c>
      <c r="D338">
        <v>8.6</v>
      </c>
      <c r="E338">
        <v>8.4</v>
      </c>
      <c r="F338">
        <v>8.7</v>
      </c>
      <c r="G338">
        <v>7.8</v>
      </c>
      <c r="H338">
        <v>7.3</v>
      </c>
      <c r="I338">
        <v>7.1</v>
      </c>
      <c r="J338">
        <v>6.6</v>
      </c>
      <c r="K338">
        <v>6.9</v>
      </c>
      <c r="L338">
        <v>4.2</v>
      </c>
      <c r="M338">
        <v>5.9</v>
      </c>
      <c r="N338">
        <f t="shared" si="5"/>
        <v>71.5</v>
      </c>
    </row>
    <row r="339" spans="1:14">
      <c r="A339">
        <v>20182303</v>
      </c>
      <c r="B339" t="s">
        <v>14</v>
      </c>
      <c r="C339" t="str">
        <f>VLOOKUP(B339,专业代码!$B$2:$C$8,2,FALSE)</f>
        <v>会计学</v>
      </c>
      <c r="D339">
        <v>8.3</v>
      </c>
      <c r="E339">
        <v>8.3</v>
      </c>
      <c r="F339">
        <v>8.5</v>
      </c>
      <c r="G339">
        <v>7.6</v>
      </c>
      <c r="H339">
        <v>6.9</v>
      </c>
      <c r="I339">
        <v>8.4</v>
      </c>
      <c r="J339">
        <v>7.8</v>
      </c>
      <c r="K339">
        <v>8</v>
      </c>
      <c r="L339">
        <v>8</v>
      </c>
      <c r="M339">
        <v>5</v>
      </c>
      <c r="N339">
        <f t="shared" si="5"/>
        <v>76.8</v>
      </c>
    </row>
    <row r="340" spans="1:14">
      <c r="A340">
        <v>20183720</v>
      </c>
      <c r="B340" t="s">
        <v>14</v>
      </c>
      <c r="C340" t="str">
        <f>VLOOKUP(B340,专业代码!$B$2:$C$8,2,FALSE)</f>
        <v>会计学</v>
      </c>
      <c r="D340">
        <v>7.6</v>
      </c>
      <c r="E340">
        <v>8.5</v>
      </c>
      <c r="F340">
        <v>8</v>
      </c>
      <c r="G340">
        <v>8</v>
      </c>
      <c r="H340">
        <v>9.1</v>
      </c>
      <c r="I340">
        <v>7.1</v>
      </c>
      <c r="J340">
        <v>7.7</v>
      </c>
      <c r="K340">
        <v>7.1</v>
      </c>
      <c r="L340">
        <v>6.9</v>
      </c>
      <c r="M340">
        <v>3.7</v>
      </c>
      <c r="N340">
        <f t="shared" si="5"/>
        <v>73.7</v>
      </c>
    </row>
    <row r="341" spans="1:14">
      <c r="A341">
        <v>20186967</v>
      </c>
      <c r="B341" t="s">
        <v>14</v>
      </c>
      <c r="C341" t="str">
        <f>VLOOKUP(B341,专业代码!$B$2:$C$8,2,FALSE)</f>
        <v>会计学</v>
      </c>
      <c r="D341">
        <v>8.5</v>
      </c>
      <c r="E341">
        <v>8.3</v>
      </c>
      <c r="F341">
        <v>8.9</v>
      </c>
      <c r="G341">
        <v>7.9</v>
      </c>
      <c r="H341">
        <v>8.9</v>
      </c>
      <c r="I341">
        <v>8.1</v>
      </c>
      <c r="J341">
        <v>7.2</v>
      </c>
      <c r="K341">
        <v>6.3</v>
      </c>
      <c r="L341">
        <v>8.2</v>
      </c>
      <c r="M341">
        <v>6.7</v>
      </c>
      <c r="N341">
        <f t="shared" si="5"/>
        <v>79</v>
      </c>
    </row>
    <row r="342" spans="1:14">
      <c r="A342">
        <v>20188671</v>
      </c>
      <c r="B342" t="s">
        <v>14</v>
      </c>
      <c r="C342" t="str">
        <f>VLOOKUP(B342,专业代码!$B$2:$C$8,2,FALSE)</f>
        <v>会计学</v>
      </c>
      <c r="D342">
        <v>8.7</v>
      </c>
      <c r="E342">
        <v>9.7</v>
      </c>
      <c r="F342">
        <v>8.4</v>
      </c>
      <c r="G342">
        <v>7.9</v>
      </c>
      <c r="H342">
        <v>7.5</v>
      </c>
      <c r="I342">
        <v>7.4</v>
      </c>
      <c r="J342">
        <v>6.7</v>
      </c>
      <c r="K342">
        <v>7.4</v>
      </c>
      <c r="L342">
        <v>7</v>
      </c>
      <c r="M342">
        <v>5.9</v>
      </c>
      <c r="N342">
        <f t="shared" si="5"/>
        <v>76.6</v>
      </c>
    </row>
    <row r="343" spans="1:14">
      <c r="A343">
        <v>20181488</v>
      </c>
      <c r="B343" t="s">
        <v>14</v>
      </c>
      <c r="C343" t="str">
        <f>VLOOKUP(B343,专业代码!$B$2:$C$8,2,FALSE)</f>
        <v>会计学</v>
      </c>
      <c r="D343">
        <v>8.1</v>
      </c>
      <c r="E343">
        <v>8.6</v>
      </c>
      <c r="F343">
        <v>9</v>
      </c>
      <c r="G343">
        <v>8.6</v>
      </c>
      <c r="H343">
        <v>6.5</v>
      </c>
      <c r="I343">
        <v>7.7</v>
      </c>
      <c r="J343">
        <v>6.6</v>
      </c>
      <c r="K343">
        <v>5.8</v>
      </c>
      <c r="L343">
        <v>7.5</v>
      </c>
      <c r="M343">
        <v>7.1</v>
      </c>
      <c r="N343">
        <f t="shared" si="5"/>
        <v>75.5</v>
      </c>
    </row>
    <row r="344" spans="1:14">
      <c r="A344">
        <v>20183501</v>
      </c>
      <c r="B344" t="s">
        <v>14</v>
      </c>
      <c r="C344" t="str">
        <f>VLOOKUP(B344,专业代码!$B$2:$C$8,2,FALSE)</f>
        <v>会计学</v>
      </c>
      <c r="D344">
        <v>9.2</v>
      </c>
      <c r="E344">
        <v>8.7</v>
      </c>
      <c r="F344">
        <v>8.2</v>
      </c>
      <c r="G344">
        <v>7.5</v>
      </c>
      <c r="H344">
        <v>8.1</v>
      </c>
      <c r="I344">
        <v>7.9</v>
      </c>
      <c r="J344">
        <v>7.3</v>
      </c>
      <c r="K344">
        <v>7.5</v>
      </c>
      <c r="L344">
        <v>8</v>
      </c>
      <c r="M344">
        <v>6.5</v>
      </c>
      <c r="N344">
        <f t="shared" si="5"/>
        <v>78.9</v>
      </c>
    </row>
    <row r="345" spans="1:14">
      <c r="A345">
        <v>20186750</v>
      </c>
      <c r="B345" t="s">
        <v>14</v>
      </c>
      <c r="C345" t="str">
        <f>VLOOKUP(B345,专业代码!$B$2:$C$8,2,FALSE)</f>
        <v>会计学</v>
      </c>
      <c r="D345">
        <v>8.1</v>
      </c>
      <c r="E345">
        <v>8.8</v>
      </c>
      <c r="F345">
        <v>7.8</v>
      </c>
      <c r="G345">
        <v>9</v>
      </c>
      <c r="H345">
        <v>8.5</v>
      </c>
      <c r="I345">
        <v>7.1</v>
      </c>
      <c r="J345">
        <v>7.8</v>
      </c>
      <c r="K345">
        <v>6.3</v>
      </c>
      <c r="L345">
        <v>6</v>
      </c>
      <c r="M345">
        <v>8</v>
      </c>
      <c r="N345">
        <f t="shared" si="5"/>
        <v>77.4</v>
      </c>
    </row>
    <row r="346" spans="1:14">
      <c r="A346">
        <v>20187887</v>
      </c>
      <c r="B346" t="s">
        <v>14</v>
      </c>
      <c r="C346" t="str">
        <f>VLOOKUP(B346,专业代码!$B$2:$C$8,2,FALSE)</f>
        <v>会计学</v>
      </c>
      <c r="D346">
        <v>8.6</v>
      </c>
      <c r="E346">
        <v>7.6</v>
      </c>
      <c r="F346">
        <v>8</v>
      </c>
      <c r="G346">
        <v>8.3</v>
      </c>
      <c r="H346">
        <v>9.8</v>
      </c>
      <c r="I346">
        <v>6.4</v>
      </c>
      <c r="J346">
        <v>7.4</v>
      </c>
      <c r="K346">
        <v>6.6</v>
      </c>
      <c r="L346">
        <v>7.7</v>
      </c>
      <c r="M346">
        <v>7.2</v>
      </c>
      <c r="N346">
        <f t="shared" si="5"/>
        <v>77.6</v>
      </c>
    </row>
    <row r="347" spans="1:14">
      <c r="A347">
        <v>20181033</v>
      </c>
      <c r="B347" t="s">
        <v>14</v>
      </c>
      <c r="C347" t="str">
        <f>VLOOKUP(B347,专业代码!$B$2:$C$8,2,FALSE)</f>
        <v>会计学</v>
      </c>
      <c r="D347">
        <v>8.2</v>
      </c>
      <c r="E347">
        <v>9.4</v>
      </c>
      <c r="F347">
        <v>7.6</v>
      </c>
      <c r="G347">
        <v>7.8</v>
      </c>
      <c r="H347">
        <v>8</v>
      </c>
      <c r="I347">
        <v>7.5</v>
      </c>
      <c r="J347">
        <v>6.4</v>
      </c>
      <c r="K347">
        <v>9.1</v>
      </c>
      <c r="L347">
        <v>5.2</v>
      </c>
      <c r="M347">
        <v>7.3</v>
      </c>
      <c r="N347">
        <f t="shared" si="5"/>
        <v>76.5</v>
      </c>
    </row>
    <row r="348" spans="1:14">
      <c r="A348">
        <v>20182295</v>
      </c>
      <c r="B348" t="s">
        <v>14</v>
      </c>
      <c r="C348" t="str">
        <f>VLOOKUP(B348,专业代码!$B$2:$C$8,2,FALSE)</f>
        <v>会计学</v>
      </c>
      <c r="D348">
        <v>8.8</v>
      </c>
      <c r="E348">
        <v>8.7</v>
      </c>
      <c r="F348">
        <v>8.2</v>
      </c>
      <c r="G348">
        <v>8</v>
      </c>
      <c r="H348">
        <v>8.8</v>
      </c>
      <c r="I348">
        <v>8.3</v>
      </c>
      <c r="J348">
        <v>8.1</v>
      </c>
      <c r="K348">
        <v>7.7</v>
      </c>
      <c r="L348">
        <v>7.1</v>
      </c>
      <c r="M348">
        <v>7</v>
      </c>
      <c r="N348">
        <f t="shared" si="5"/>
        <v>80.7</v>
      </c>
    </row>
    <row r="349" spans="1:14">
      <c r="A349">
        <v>20184044</v>
      </c>
      <c r="B349" t="s">
        <v>14</v>
      </c>
      <c r="C349" t="str">
        <f>VLOOKUP(B349,专业代码!$B$2:$C$8,2,FALSE)</f>
        <v>会计学</v>
      </c>
      <c r="D349">
        <v>7.8</v>
      </c>
      <c r="E349">
        <v>8.5</v>
      </c>
      <c r="F349">
        <v>9.3</v>
      </c>
      <c r="G349">
        <v>7.7</v>
      </c>
      <c r="H349">
        <v>7.9</v>
      </c>
      <c r="I349">
        <v>7.7</v>
      </c>
      <c r="J349">
        <v>8.1</v>
      </c>
      <c r="K349">
        <v>5.9</v>
      </c>
      <c r="L349">
        <v>7.9</v>
      </c>
      <c r="M349">
        <v>7.4</v>
      </c>
      <c r="N349">
        <f t="shared" si="5"/>
        <v>78.2</v>
      </c>
    </row>
    <row r="350" spans="1:14">
      <c r="A350">
        <v>20186928</v>
      </c>
      <c r="B350" t="s">
        <v>14</v>
      </c>
      <c r="C350" t="str">
        <f>VLOOKUP(B350,专业代码!$B$2:$C$8,2,FALSE)</f>
        <v>会计学</v>
      </c>
      <c r="D350">
        <v>8.5</v>
      </c>
      <c r="E350">
        <v>8.8</v>
      </c>
      <c r="F350">
        <v>9.2</v>
      </c>
      <c r="G350">
        <v>8.5</v>
      </c>
      <c r="H350">
        <v>6.7</v>
      </c>
      <c r="I350">
        <v>7.7</v>
      </c>
      <c r="J350">
        <v>6.7</v>
      </c>
      <c r="K350">
        <v>7.1</v>
      </c>
      <c r="L350">
        <v>7.5</v>
      </c>
      <c r="M350">
        <v>6.5</v>
      </c>
      <c r="N350">
        <f t="shared" si="5"/>
        <v>77.2</v>
      </c>
    </row>
    <row r="351" spans="1:14">
      <c r="A351">
        <v>20188163</v>
      </c>
      <c r="B351" t="s">
        <v>14</v>
      </c>
      <c r="C351" t="str">
        <f>VLOOKUP(B351,专业代码!$B$2:$C$8,2,FALSE)</f>
        <v>会计学</v>
      </c>
      <c r="D351">
        <v>8.7</v>
      </c>
      <c r="E351">
        <v>9.1</v>
      </c>
      <c r="F351">
        <v>8.6</v>
      </c>
      <c r="G351">
        <v>8.1</v>
      </c>
      <c r="H351">
        <v>7.4</v>
      </c>
      <c r="I351">
        <v>6.5</v>
      </c>
      <c r="J351">
        <v>7.6</v>
      </c>
      <c r="K351">
        <v>7.6</v>
      </c>
      <c r="L351">
        <v>9.2</v>
      </c>
      <c r="M351">
        <v>8.7</v>
      </c>
      <c r="N351">
        <f t="shared" si="5"/>
        <v>81.5</v>
      </c>
    </row>
    <row r="352" spans="1:14">
      <c r="A352">
        <v>20182719</v>
      </c>
      <c r="B352" t="s">
        <v>14</v>
      </c>
      <c r="C352" t="str">
        <f>VLOOKUP(B352,专业代码!$B$2:$C$8,2,FALSE)</f>
        <v>会计学</v>
      </c>
      <c r="D352">
        <v>8.3</v>
      </c>
      <c r="E352">
        <v>8.6</v>
      </c>
      <c r="F352">
        <v>7.8</v>
      </c>
      <c r="G352">
        <v>8.2</v>
      </c>
      <c r="H352">
        <v>7.8</v>
      </c>
      <c r="I352">
        <v>7.7</v>
      </c>
      <c r="J352">
        <v>8.6</v>
      </c>
      <c r="K352">
        <v>8</v>
      </c>
      <c r="L352">
        <v>8</v>
      </c>
      <c r="M352">
        <v>7.1</v>
      </c>
      <c r="N352">
        <f t="shared" si="5"/>
        <v>80.1</v>
      </c>
    </row>
    <row r="353" spans="1:14">
      <c r="A353">
        <v>20183406</v>
      </c>
      <c r="B353" t="s">
        <v>14</v>
      </c>
      <c r="C353" t="str">
        <f>VLOOKUP(B353,专业代码!$B$2:$C$8,2,FALSE)</f>
        <v>会计学</v>
      </c>
      <c r="D353">
        <v>8.2</v>
      </c>
      <c r="E353">
        <v>9.4</v>
      </c>
      <c r="F353">
        <v>7.6</v>
      </c>
      <c r="G353">
        <v>9.8</v>
      </c>
      <c r="H353">
        <v>7.9</v>
      </c>
      <c r="I353">
        <v>7.2</v>
      </c>
      <c r="J353">
        <v>9.2</v>
      </c>
      <c r="K353">
        <v>7.6</v>
      </c>
      <c r="L353">
        <v>6.9</v>
      </c>
      <c r="M353">
        <v>6.9</v>
      </c>
      <c r="N353">
        <f t="shared" si="5"/>
        <v>80.7</v>
      </c>
    </row>
    <row r="354" spans="1:14">
      <c r="A354">
        <v>20183626</v>
      </c>
      <c r="B354" t="s">
        <v>14</v>
      </c>
      <c r="C354" t="str">
        <f>VLOOKUP(B354,专业代码!$B$2:$C$8,2,FALSE)</f>
        <v>会计学</v>
      </c>
      <c r="D354">
        <v>8.6</v>
      </c>
      <c r="E354">
        <v>7.9</v>
      </c>
      <c r="F354">
        <v>8.2</v>
      </c>
      <c r="G354">
        <v>9.1</v>
      </c>
      <c r="H354">
        <v>8.3</v>
      </c>
      <c r="I354">
        <v>8</v>
      </c>
      <c r="J354">
        <v>6.2</v>
      </c>
      <c r="K354">
        <v>6.4</v>
      </c>
      <c r="L354">
        <v>7.6</v>
      </c>
      <c r="M354">
        <v>6.4</v>
      </c>
      <c r="N354">
        <f t="shared" si="5"/>
        <v>76.7</v>
      </c>
    </row>
    <row r="355" spans="1:14">
      <c r="A355">
        <v>20185264</v>
      </c>
      <c r="B355" t="s">
        <v>14</v>
      </c>
      <c r="C355" t="str">
        <f>VLOOKUP(B355,专业代码!$B$2:$C$8,2,FALSE)</f>
        <v>会计学</v>
      </c>
      <c r="D355">
        <v>8.4</v>
      </c>
      <c r="E355">
        <v>8.6</v>
      </c>
      <c r="F355">
        <v>8.3</v>
      </c>
      <c r="G355">
        <v>8.3</v>
      </c>
      <c r="H355">
        <v>7.1</v>
      </c>
      <c r="I355">
        <v>7.4</v>
      </c>
      <c r="J355">
        <v>9.1</v>
      </c>
      <c r="K355">
        <v>9.3</v>
      </c>
      <c r="L355">
        <v>7.1</v>
      </c>
      <c r="M355">
        <v>6.8</v>
      </c>
      <c r="N355">
        <f t="shared" si="5"/>
        <v>80.4</v>
      </c>
    </row>
    <row r="356" spans="1:14">
      <c r="A356">
        <v>20187963</v>
      </c>
      <c r="B356" t="s">
        <v>14</v>
      </c>
      <c r="C356" t="str">
        <f>VLOOKUP(B356,专业代码!$B$2:$C$8,2,FALSE)</f>
        <v>会计学</v>
      </c>
      <c r="D356">
        <v>8.4</v>
      </c>
      <c r="E356">
        <v>8.4</v>
      </c>
      <c r="F356">
        <v>9.4</v>
      </c>
      <c r="G356">
        <v>7.7</v>
      </c>
      <c r="H356">
        <v>8</v>
      </c>
      <c r="I356">
        <v>6.5</v>
      </c>
      <c r="J356">
        <v>7.7</v>
      </c>
      <c r="K356">
        <v>7.3</v>
      </c>
      <c r="L356">
        <v>6.2</v>
      </c>
      <c r="M356">
        <v>6.8</v>
      </c>
      <c r="N356">
        <f t="shared" si="5"/>
        <v>76.4</v>
      </c>
    </row>
    <row r="357" spans="1:14">
      <c r="A357">
        <v>20181202</v>
      </c>
      <c r="B357" t="s">
        <v>14</v>
      </c>
      <c r="C357" t="str">
        <f>VLOOKUP(B357,专业代码!$B$2:$C$8,2,FALSE)</f>
        <v>会计学</v>
      </c>
      <c r="D357">
        <v>8.7</v>
      </c>
      <c r="E357">
        <v>8.4</v>
      </c>
      <c r="F357">
        <v>8.4</v>
      </c>
      <c r="G357">
        <v>8.3</v>
      </c>
      <c r="H357">
        <v>7.6</v>
      </c>
      <c r="I357">
        <v>7.6</v>
      </c>
      <c r="J357">
        <v>7</v>
      </c>
      <c r="K357">
        <v>7.4</v>
      </c>
      <c r="L357">
        <v>7</v>
      </c>
      <c r="M357">
        <v>7</v>
      </c>
      <c r="N357">
        <f t="shared" si="5"/>
        <v>77.4</v>
      </c>
    </row>
    <row r="358" spans="1:14">
      <c r="A358">
        <v>20181204</v>
      </c>
      <c r="B358" t="s">
        <v>14</v>
      </c>
      <c r="C358" t="str">
        <f>VLOOKUP(B358,专业代码!$B$2:$C$8,2,FALSE)</f>
        <v>会计学</v>
      </c>
      <c r="D358">
        <v>8.9</v>
      </c>
      <c r="E358">
        <v>9.4</v>
      </c>
      <c r="F358">
        <v>9</v>
      </c>
      <c r="G358">
        <v>8.5</v>
      </c>
      <c r="H358">
        <v>7.1</v>
      </c>
      <c r="I358">
        <v>8.9</v>
      </c>
      <c r="J358">
        <v>5.5</v>
      </c>
      <c r="K358">
        <v>9.6</v>
      </c>
      <c r="L358">
        <v>8</v>
      </c>
      <c r="M358">
        <v>7.5</v>
      </c>
      <c r="N358">
        <f t="shared" si="5"/>
        <v>82.4</v>
      </c>
    </row>
    <row r="359" spans="1:14">
      <c r="A359">
        <v>20181344</v>
      </c>
      <c r="B359" t="s">
        <v>14</v>
      </c>
      <c r="C359" t="str">
        <f>VLOOKUP(B359,专业代码!$B$2:$C$8,2,FALSE)</f>
        <v>会计学</v>
      </c>
      <c r="D359">
        <v>8.2</v>
      </c>
      <c r="E359">
        <v>8.5</v>
      </c>
      <c r="F359">
        <v>8</v>
      </c>
      <c r="G359">
        <v>9.3</v>
      </c>
      <c r="H359">
        <v>7.7</v>
      </c>
      <c r="I359">
        <v>7.5</v>
      </c>
      <c r="J359">
        <v>7.7</v>
      </c>
      <c r="K359">
        <v>7.5</v>
      </c>
      <c r="L359">
        <v>7.8</v>
      </c>
      <c r="M359">
        <v>8</v>
      </c>
      <c r="N359">
        <f t="shared" si="5"/>
        <v>80.2</v>
      </c>
    </row>
    <row r="360" spans="1:14">
      <c r="A360">
        <v>20182627</v>
      </c>
      <c r="B360" t="s">
        <v>14</v>
      </c>
      <c r="C360" t="str">
        <f>VLOOKUP(B360,专业代码!$B$2:$C$8,2,FALSE)</f>
        <v>会计学</v>
      </c>
      <c r="D360">
        <v>9.5</v>
      </c>
      <c r="E360">
        <v>8.2</v>
      </c>
      <c r="F360">
        <v>9</v>
      </c>
      <c r="G360">
        <v>7.9</v>
      </c>
      <c r="H360">
        <v>6.9</v>
      </c>
      <c r="I360">
        <v>8</v>
      </c>
      <c r="J360">
        <v>6</v>
      </c>
      <c r="K360">
        <v>6.8</v>
      </c>
      <c r="L360">
        <v>3.3</v>
      </c>
      <c r="M360">
        <v>5.8</v>
      </c>
      <c r="N360">
        <f t="shared" si="5"/>
        <v>71.4</v>
      </c>
    </row>
    <row r="361" spans="1:14">
      <c r="A361">
        <v>20182930</v>
      </c>
      <c r="B361" t="s">
        <v>14</v>
      </c>
      <c r="C361" t="str">
        <f>VLOOKUP(B361,专业代码!$B$2:$C$8,2,FALSE)</f>
        <v>会计学</v>
      </c>
      <c r="D361">
        <v>9</v>
      </c>
      <c r="E361">
        <v>8.5</v>
      </c>
      <c r="F361">
        <v>7.3</v>
      </c>
      <c r="G361">
        <v>7.8</v>
      </c>
      <c r="H361">
        <v>7.6</v>
      </c>
      <c r="I361">
        <v>7.4</v>
      </c>
      <c r="J361">
        <v>7.7</v>
      </c>
      <c r="K361">
        <v>9</v>
      </c>
      <c r="L361">
        <v>4.6</v>
      </c>
      <c r="M361">
        <v>6.1</v>
      </c>
      <c r="N361">
        <f t="shared" si="5"/>
        <v>75</v>
      </c>
    </row>
    <row r="362" spans="1:14">
      <c r="A362">
        <v>20184655</v>
      </c>
      <c r="B362" t="s">
        <v>14</v>
      </c>
      <c r="C362" t="str">
        <f>VLOOKUP(B362,专业代码!$B$2:$C$8,2,FALSE)</f>
        <v>会计学</v>
      </c>
      <c r="D362">
        <v>9.3</v>
      </c>
      <c r="E362">
        <v>8.7</v>
      </c>
      <c r="F362">
        <v>8.3</v>
      </c>
      <c r="G362">
        <v>7.8</v>
      </c>
      <c r="H362">
        <v>8</v>
      </c>
      <c r="I362">
        <v>7.1</v>
      </c>
      <c r="J362">
        <v>5.1</v>
      </c>
      <c r="K362">
        <v>5.8</v>
      </c>
      <c r="L362">
        <v>6.9</v>
      </c>
      <c r="M362">
        <v>6.9</v>
      </c>
      <c r="N362">
        <f t="shared" si="5"/>
        <v>73.9</v>
      </c>
    </row>
    <row r="363" spans="1:14">
      <c r="A363">
        <v>20184765</v>
      </c>
      <c r="B363" t="s">
        <v>14</v>
      </c>
      <c r="C363" t="str">
        <f>VLOOKUP(B363,专业代码!$B$2:$C$8,2,FALSE)</f>
        <v>会计学</v>
      </c>
      <c r="D363">
        <v>9.1</v>
      </c>
      <c r="E363">
        <v>9.1</v>
      </c>
      <c r="F363">
        <v>8.4</v>
      </c>
      <c r="G363">
        <v>7.8</v>
      </c>
      <c r="H363">
        <v>7.4</v>
      </c>
      <c r="I363">
        <v>7.3</v>
      </c>
      <c r="J363">
        <v>8.5</v>
      </c>
      <c r="K363">
        <v>7.1</v>
      </c>
      <c r="L363">
        <v>7.9</v>
      </c>
      <c r="M363">
        <v>5.8</v>
      </c>
      <c r="N363">
        <f t="shared" si="5"/>
        <v>78.4</v>
      </c>
    </row>
    <row r="364" spans="1:14">
      <c r="A364">
        <v>20184973</v>
      </c>
      <c r="B364" t="s">
        <v>14</v>
      </c>
      <c r="C364" t="str">
        <f>VLOOKUP(B364,专业代码!$B$2:$C$8,2,FALSE)</f>
        <v>会计学</v>
      </c>
      <c r="D364">
        <v>8.7</v>
      </c>
      <c r="E364">
        <v>8.1</v>
      </c>
      <c r="F364">
        <v>9.5</v>
      </c>
      <c r="G364">
        <v>8.1</v>
      </c>
      <c r="H364">
        <v>8.7</v>
      </c>
      <c r="I364">
        <v>7.5</v>
      </c>
      <c r="J364">
        <v>5.5</v>
      </c>
      <c r="K364">
        <v>7.2</v>
      </c>
      <c r="L364">
        <v>7.6</v>
      </c>
      <c r="M364">
        <v>5.3</v>
      </c>
      <c r="N364">
        <f t="shared" si="5"/>
        <v>76.2</v>
      </c>
    </row>
    <row r="365" spans="1:14">
      <c r="A365">
        <v>20185214</v>
      </c>
      <c r="B365" t="s">
        <v>14</v>
      </c>
      <c r="C365" t="str">
        <f>VLOOKUP(B365,专业代码!$B$2:$C$8,2,FALSE)</f>
        <v>会计学</v>
      </c>
      <c r="D365">
        <v>8.8</v>
      </c>
      <c r="E365">
        <v>9</v>
      </c>
      <c r="F365">
        <v>8</v>
      </c>
      <c r="G365">
        <v>7.6</v>
      </c>
      <c r="H365">
        <v>7</v>
      </c>
      <c r="I365">
        <v>6.2</v>
      </c>
      <c r="J365">
        <v>6.5</v>
      </c>
      <c r="K365">
        <v>7.5</v>
      </c>
      <c r="L365">
        <v>6.7</v>
      </c>
      <c r="M365">
        <v>7.3</v>
      </c>
      <c r="N365">
        <f t="shared" si="5"/>
        <v>74.6</v>
      </c>
    </row>
    <row r="366" spans="1:14">
      <c r="A366">
        <v>20185316</v>
      </c>
      <c r="B366" t="s">
        <v>14</v>
      </c>
      <c r="C366" t="str">
        <f>VLOOKUP(B366,专业代码!$B$2:$C$8,2,FALSE)</f>
        <v>会计学</v>
      </c>
      <c r="D366">
        <v>9.3</v>
      </c>
      <c r="E366">
        <v>8.1</v>
      </c>
      <c r="F366">
        <v>8.3</v>
      </c>
      <c r="G366">
        <v>8.6</v>
      </c>
      <c r="H366">
        <v>8.7</v>
      </c>
      <c r="I366">
        <v>6.6</v>
      </c>
      <c r="J366">
        <v>6.4</v>
      </c>
      <c r="K366">
        <v>6.5</v>
      </c>
      <c r="L366">
        <v>7.9</v>
      </c>
      <c r="M366">
        <v>5</v>
      </c>
      <c r="N366">
        <f t="shared" si="5"/>
        <v>75.4</v>
      </c>
    </row>
    <row r="367" spans="1:14">
      <c r="A367">
        <v>20186494</v>
      </c>
      <c r="B367" t="s">
        <v>14</v>
      </c>
      <c r="C367" t="str">
        <f>VLOOKUP(B367,专业代码!$B$2:$C$8,2,FALSE)</f>
        <v>会计学</v>
      </c>
      <c r="D367">
        <v>8.8</v>
      </c>
      <c r="E367">
        <v>8.6</v>
      </c>
      <c r="F367">
        <v>9</v>
      </c>
      <c r="G367">
        <v>7.7</v>
      </c>
      <c r="H367">
        <v>8.8</v>
      </c>
      <c r="I367">
        <v>7.3</v>
      </c>
      <c r="J367">
        <v>6.9</v>
      </c>
      <c r="K367">
        <v>7.5</v>
      </c>
      <c r="L367">
        <v>7.1</v>
      </c>
      <c r="M367">
        <v>7.8</v>
      </c>
      <c r="N367">
        <f t="shared" si="5"/>
        <v>79.5</v>
      </c>
    </row>
    <row r="368" spans="1:14">
      <c r="A368">
        <v>20189875</v>
      </c>
      <c r="B368" t="s">
        <v>14</v>
      </c>
      <c r="C368" t="str">
        <f>VLOOKUP(B368,专业代码!$B$2:$C$8,2,FALSE)</f>
        <v>会计学</v>
      </c>
      <c r="D368">
        <v>8.8</v>
      </c>
      <c r="E368">
        <v>8.3</v>
      </c>
      <c r="F368">
        <v>8.3</v>
      </c>
      <c r="G368">
        <v>7.9</v>
      </c>
      <c r="H368">
        <v>7.7</v>
      </c>
      <c r="I368">
        <v>8</v>
      </c>
      <c r="J368">
        <v>6.9</v>
      </c>
      <c r="K368">
        <v>5.9</v>
      </c>
      <c r="L368">
        <v>8.1</v>
      </c>
      <c r="M368">
        <v>6.1</v>
      </c>
      <c r="N368">
        <f t="shared" si="5"/>
        <v>76</v>
      </c>
    </row>
    <row r="369" spans="1:14">
      <c r="A369">
        <v>20181155</v>
      </c>
      <c r="B369" t="s">
        <v>14</v>
      </c>
      <c r="C369" t="str">
        <f>VLOOKUP(B369,专业代码!$B$2:$C$8,2,FALSE)</f>
        <v>会计学</v>
      </c>
      <c r="D369">
        <v>8.8</v>
      </c>
      <c r="E369">
        <v>8.8</v>
      </c>
      <c r="F369">
        <v>8.5</v>
      </c>
      <c r="G369">
        <v>7.6</v>
      </c>
      <c r="H369">
        <v>7.7</v>
      </c>
      <c r="I369">
        <v>7.6</v>
      </c>
      <c r="J369">
        <v>7.2</v>
      </c>
      <c r="K369">
        <v>8.3</v>
      </c>
      <c r="L369">
        <v>6.2</v>
      </c>
      <c r="M369">
        <v>7.6</v>
      </c>
      <c r="N369">
        <f t="shared" si="5"/>
        <v>78.3</v>
      </c>
    </row>
    <row r="370" spans="1:14">
      <c r="A370">
        <v>20182219</v>
      </c>
      <c r="B370" t="s">
        <v>14</v>
      </c>
      <c r="C370" t="str">
        <f>VLOOKUP(B370,专业代码!$B$2:$C$8,2,FALSE)</f>
        <v>会计学</v>
      </c>
      <c r="D370">
        <v>8.4</v>
      </c>
      <c r="E370">
        <v>8.4</v>
      </c>
      <c r="F370">
        <v>8.7</v>
      </c>
      <c r="G370">
        <v>7.9</v>
      </c>
      <c r="H370">
        <v>8.7</v>
      </c>
      <c r="I370">
        <v>8.5</v>
      </c>
      <c r="J370">
        <v>6.7</v>
      </c>
      <c r="K370">
        <v>6.9</v>
      </c>
      <c r="L370">
        <v>7.2</v>
      </c>
      <c r="M370">
        <v>5.3</v>
      </c>
      <c r="N370">
        <f t="shared" si="5"/>
        <v>76.7</v>
      </c>
    </row>
    <row r="371" spans="1:14">
      <c r="A371">
        <v>20182920</v>
      </c>
      <c r="B371" t="s">
        <v>14</v>
      </c>
      <c r="C371" t="str">
        <f>VLOOKUP(B371,专业代码!$B$2:$C$8,2,FALSE)</f>
        <v>会计学</v>
      </c>
      <c r="D371">
        <v>8.1</v>
      </c>
      <c r="E371">
        <v>8.2</v>
      </c>
      <c r="F371">
        <v>9.4</v>
      </c>
      <c r="G371">
        <v>8.1</v>
      </c>
      <c r="H371">
        <v>7.2</v>
      </c>
      <c r="I371">
        <v>7.9</v>
      </c>
      <c r="J371">
        <v>7</v>
      </c>
      <c r="K371">
        <v>7.4</v>
      </c>
      <c r="L371">
        <v>8.3</v>
      </c>
      <c r="M371">
        <v>5.2</v>
      </c>
      <c r="N371">
        <f t="shared" si="5"/>
        <v>76.8</v>
      </c>
    </row>
    <row r="372" spans="1:14">
      <c r="A372">
        <v>20186601</v>
      </c>
      <c r="B372" t="s">
        <v>14</v>
      </c>
      <c r="C372" t="str">
        <f>VLOOKUP(B372,专业代码!$B$2:$C$8,2,FALSE)</f>
        <v>会计学</v>
      </c>
      <c r="D372">
        <v>8.9</v>
      </c>
      <c r="E372">
        <v>8.3</v>
      </c>
      <c r="F372">
        <v>7.9</v>
      </c>
      <c r="G372">
        <v>8.2</v>
      </c>
      <c r="H372">
        <v>7.3</v>
      </c>
      <c r="I372">
        <v>6.9</v>
      </c>
      <c r="J372">
        <v>4.2</v>
      </c>
      <c r="K372">
        <v>8.3</v>
      </c>
      <c r="L372">
        <v>7.6</v>
      </c>
      <c r="M372">
        <v>4.4</v>
      </c>
      <c r="N372">
        <f t="shared" si="5"/>
        <v>72</v>
      </c>
    </row>
    <row r="373" spans="1:14">
      <c r="A373">
        <v>20187071</v>
      </c>
      <c r="B373" t="s">
        <v>14</v>
      </c>
      <c r="C373" t="str">
        <f>VLOOKUP(B373,专业代码!$B$2:$C$8,2,FALSE)</f>
        <v>会计学</v>
      </c>
      <c r="D373">
        <v>8.2</v>
      </c>
      <c r="E373">
        <v>8.4</v>
      </c>
      <c r="F373">
        <v>8.4</v>
      </c>
      <c r="G373">
        <v>7.3</v>
      </c>
      <c r="H373">
        <v>7.5</v>
      </c>
      <c r="I373">
        <v>7.1</v>
      </c>
      <c r="J373">
        <v>6.8</v>
      </c>
      <c r="K373">
        <v>6.5</v>
      </c>
      <c r="L373">
        <v>6.6</v>
      </c>
      <c r="M373">
        <v>7.5</v>
      </c>
      <c r="N373">
        <f t="shared" si="5"/>
        <v>74.3</v>
      </c>
    </row>
    <row r="374" spans="1:14">
      <c r="A374">
        <v>20187107</v>
      </c>
      <c r="B374" t="s">
        <v>14</v>
      </c>
      <c r="C374" t="str">
        <f>VLOOKUP(B374,专业代码!$B$2:$C$8,2,FALSE)</f>
        <v>会计学</v>
      </c>
      <c r="D374">
        <v>8.2</v>
      </c>
      <c r="E374">
        <v>9.8</v>
      </c>
      <c r="F374">
        <v>8.2</v>
      </c>
      <c r="G374">
        <v>7.7</v>
      </c>
      <c r="H374">
        <v>9.8</v>
      </c>
      <c r="I374">
        <v>8</v>
      </c>
      <c r="J374">
        <v>7.7</v>
      </c>
      <c r="K374">
        <v>6.4</v>
      </c>
      <c r="L374">
        <v>6.5</v>
      </c>
      <c r="M374">
        <v>6.8</v>
      </c>
      <c r="N374">
        <f t="shared" si="5"/>
        <v>79.1</v>
      </c>
    </row>
    <row r="375" spans="1:14">
      <c r="A375">
        <v>20187311</v>
      </c>
      <c r="B375" t="s">
        <v>14</v>
      </c>
      <c r="C375" t="str">
        <f>VLOOKUP(B375,专业代码!$B$2:$C$8,2,FALSE)</f>
        <v>会计学</v>
      </c>
      <c r="D375">
        <v>9.5</v>
      </c>
      <c r="E375">
        <v>9.4</v>
      </c>
      <c r="F375">
        <v>9</v>
      </c>
      <c r="G375">
        <v>7</v>
      </c>
      <c r="H375">
        <v>8.1</v>
      </c>
      <c r="I375">
        <v>8.6</v>
      </c>
      <c r="J375">
        <v>8.2</v>
      </c>
      <c r="K375">
        <v>6.2</v>
      </c>
      <c r="L375">
        <v>7.3</v>
      </c>
      <c r="M375">
        <v>8.7</v>
      </c>
      <c r="N375">
        <f t="shared" si="5"/>
        <v>82</v>
      </c>
    </row>
    <row r="376" spans="1:14">
      <c r="A376">
        <v>20181483</v>
      </c>
      <c r="B376" t="s">
        <v>14</v>
      </c>
      <c r="C376" t="str">
        <f>VLOOKUP(B376,专业代码!$B$2:$C$8,2,FALSE)</f>
        <v>会计学</v>
      </c>
      <c r="D376">
        <v>8.9</v>
      </c>
      <c r="E376">
        <v>8</v>
      </c>
      <c r="F376">
        <v>8.4</v>
      </c>
      <c r="G376">
        <v>7.1</v>
      </c>
      <c r="H376">
        <v>6.8</v>
      </c>
      <c r="I376">
        <v>7</v>
      </c>
      <c r="J376">
        <v>6</v>
      </c>
      <c r="K376">
        <v>8.2</v>
      </c>
      <c r="L376">
        <v>8.4</v>
      </c>
      <c r="M376">
        <v>6.1</v>
      </c>
      <c r="N376">
        <f t="shared" si="5"/>
        <v>74.9</v>
      </c>
    </row>
    <row r="377" spans="1:14">
      <c r="A377">
        <v>20182811</v>
      </c>
      <c r="B377" t="s">
        <v>14</v>
      </c>
      <c r="C377" t="str">
        <f>VLOOKUP(B377,专业代码!$B$2:$C$8,2,FALSE)</f>
        <v>会计学</v>
      </c>
      <c r="D377">
        <v>9</v>
      </c>
      <c r="E377">
        <v>8.6</v>
      </c>
      <c r="F377">
        <v>8</v>
      </c>
      <c r="G377">
        <v>8.1</v>
      </c>
      <c r="H377">
        <v>8</v>
      </c>
      <c r="I377">
        <v>9.9</v>
      </c>
      <c r="J377">
        <v>7.3</v>
      </c>
      <c r="K377">
        <v>7.7</v>
      </c>
      <c r="L377">
        <v>6.7</v>
      </c>
      <c r="M377">
        <v>8</v>
      </c>
      <c r="N377">
        <f t="shared" si="5"/>
        <v>81.3</v>
      </c>
    </row>
    <row r="378" spans="1:14">
      <c r="A378">
        <v>20184219</v>
      </c>
      <c r="B378" t="s">
        <v>14</v>
      </c>
      <c r="C378" t="str">
        <f>VLOOKUP(B378,专业代码!$B$2:$C$8,2,FALSE)</f>
        <v>会计学</v>
      </c>
      <c r="D378">
        <v>8.4</v>
      </c>
      <c r="E378">
        <v>9.6</v>
      </c>
      <c r="F378">
        <v>8.3</v>
      </c>
      <c r="G378">
        <v>7.1</v>
      </c>
      <c r="H378">
        <v>6.9</v>
      </c>
      <c r="I378">
        <v>6.2</v>
      </c>
      <c r="J378">
        <v>8.2</v>
      </c>
      <c r="K378">
        <v>6.3</v>
      </c>
      <c r="L378">
        <v>6.7</v>
      </c>
      <c r="M378">
        <v>6.7</v>
      </c>
      <c r="N378">
        <f t="shared" si="5"/>
        <v>74.4</v>
      </c>
    </row>
    <row r="379" spans="1:14">
      <c r="A379">
        <v>20184407</v>
      </c>
      <c r="B379" t="s">
        <v>14</v>
      </c>
      <c r="C379" t="str">
        <f>VLOOKUP(B379,专业代码!$B$2:$C$8,2,FALSE)</f>
        <v>会计学</v>
      </c>
      <c r="D379">
        <v>8.1</v>
      </c>
      <c r="E379">
        <v>9</v>
      </c>
      <c r="F379">
        <v>8.4</v>
      </c>
      <c r="G379">
        <v>8.2</v>
      </c>
      <c r="H379">
        <v>7.7</v>
      </c>
      <c r="I379">
        <v>8.5</v>
      </c>
      <c r="J379">
        <v>7.1</v>
      </c>
      <c r="K379">
        <v>7.5</v>
      </c>
      <c r="L379">
        <v>6.5</v>
      </c>
      <c r="M379">
        <v>5.2</v>
      </c>
      <c r="N379">
        <f t="shared" si="5"/>
        <v>76.2</v>
      </c>
    </row>
    <row r="380" spans="1:14">
      <c r="A380">
        <v>20184540</v>
      </c>
      <c r="B380" t="s">
        <v>14</v>
      </c>
      <c r="C380" t="str">
        <f>VLOOKUP(B380,专业代码!$B$2:$C$8,2,FALSE)</f>
        <v>会计学</v>
      </c>
      <c r="D380">
        <v>8.9</v>
      </c>
      <c r="E380">
        <v>9</v>
      </c>
      <c r="F380">
        <v>8.5</v>
      </c>
      <c r="G380">
        <v>8.6</v>
      </c>
      <c r="H380">
        <v>7.4</v>
      </c>
      <c r="I380">
        <v>6.9</v>
      </c>
      <c r="J380">
        <v>7.9</v>
      </c>
      <c r="K380">
        <v>7.8</v>
      </c>
      <c r="L380">
        <v>9.5</v>
      </c>
      <c r="M380">
        <v>5.4</v>
      </c>
      <c r="N380">
        <f t="shared" si="5"/>
        <v>79.9</v>
      </c>
    </row>
    <row r="381" spans="1:14">
      <c r="A381">
        <v>20185005</v>
      </c>
      <c r="B381" t="s">
        <v>14</v>
      </c>
      <c r="C381" t="str">
        <f>VLOOKUP(B381,专业代码!$B$2:$C$8,2,FALSE)</f>
        <v>会计学</v>
      </c>
      <c r="D381">
        <v>8.8</v>
      </c>
      <c r="E381">
        <v>7.9</v>
      </c>
      <c r="F381">
        <v>9.6</v>
      </c>
      <c r="G381">
        <v>7.5</v>
      </c>
      <c r="H381">
        <v>7.7</v>
      </c>
      <c r="I381">
        <v>6.2</v>
      </c>
      <c r="J381">
        <v>8.1</v>
      </c>
      <c r="K381">
        <v>5.4</v>
      </c>
      <c r="L381">
        <v>7.8</v>
      </c>
      <c r="M381">
        <v>7.2</v>
      </c>
      <c r="N381">
        <f t="shared" si="5"/>
        <v>76.2</v>
      </c>
    </row>
    <row r="382" spans="1:14">
      <c r="A382">
        <v>20186752</v>
      </c>
      <c r="B382" t="s">
        <v>14</v>
      </c>
      <c r="C382" t="str">
        <f>VLOOKUP(B382,专业代码!$B$2:$C$8,2,FALSE)</f>
        <v>会计学</v>
      </c>
      <c r="D382">
        <v>9</v>
      </c>
      <c r="E382">
        <v>8.9</v>
      </c>
      <c r="F382">
        <v>9.4</v>
      </c>
      <c r="G382">
        <v>7.2</v>
      </c>
      <c r="H382">
        <v>8.7</v>
      </c>
      <c r="I382">
        <v>7.6</v>
      </c>
      <c r="J382">
        <v>8.1</v>
      </c>
      <c r="K382">
        <v>4.8</v>
      </c>
      <c r="L382">
        <v>8.3</v>
      </c>
      <c r="M382">
        <v>6.1</v>
      </c>
      <c r="N382">
        <f t="shared" si="5"/>
        <v>78.1</v>
      </c>
    </row>
    <row r="383" spans="1:14">
      <c r="A383">
        <v>20188031</v>
      </c>
      <c r="B383" t="s">
        <v>14</v>
      </c>
      <c r="C383" t="str">
        <f>VLOOKUP(B383,专业代码!$B$2:$C$8,2,FALSE)</f>
        <v>会计学</v>
      </c>
      <c r="D383">
        <v>9.1</v>
      </c>
      <c r="E383">
        <v>8.5</v>
      </c>
      <c r="F383">
        <v>8</v>
      </c>
      <c r="G383">
        <v>8.3</v>
      </c>
      <c r="H383">
        <v>7.9</v>
      </c>
      <c r="I383">
        <v>7.8</v>
      </c>
      <c r="J383">
        <v>6.7</v>
      </c>
      <c r="K383">
        <v>7.4</v>
      </c>
      <c r="L383">
        <v>4.9</v>
      </c>
      <c r="M383">
        <v>5.4</v>
      </c>
      <c r="N383">
        <f t="shared" si="5"/>
        <v>74</v>
      </c>
    </row>
    <row r="384" spans="1:14">
      <c r="A384">
        <v>20188968</v>
      </c>
      <c r="B384" t="s">
        <v>14</v>
      </c>
      <c r="C384" t="str">
        <f>VLOOKUP(B384,专业代码!$B$2:$C$8,2,FALSE)</f>
        <v>会计学</v>
      </c>
      <c r="D384">
        <v>8.3</v>
      </c>
      <c r="E384">
        <v>8.4</v>
      </c>
      <c r="F384">
        <v>8.1</v>
      </c>
      <c r="G384">
        <v>8.1</v>
      </c>
      <c r="H384">
        <v>8.9</v>
      </c>
      <c r="I384">
        <v>7.2</v>
      </c>
      <c r="J384">
        <v>7.3</v>
      </c>
      <c r="K384">
        <v>6.4</v>
      </c>
      <c r="L384">
        <v>7.3</v>
      </c>
      <c r="M384">
        <v>8.7</v>
      </c>
      <c r="N384">
        <f t="shared" si="5"/>
        <v>78.7</v>
      </c>
    </row>
    <row r="385" spans="1:14">
      <c r="A385">
        <v>20189254</v>
      </c>
      <c r="B385" t="s">
        <v>14</v>
      </c>
      <c r="C385" t="str">
        <f>VLOOKUP(B385,专业代码!$B$2:$C$8,2,FALSE)</f>
        <v>会计学</v>
      </c>
      <c r="D385">
        <v>8.1</v>
      </c>
      <c r="E385">
        <v>8.4</v>
      </c>
      <c r="F385">
        <v>8.7</v>
      </c>
      <c r="G385">
        <v>8.2</v>
      </c>
      <c r="H385">
        <v>8.3</v>
      </c>
      <c r="I385">
        <v>7.8</v>
      </c>
      <c r="J385">
        <v>7.5</v>
      </c>
      <c r="K385">
        <v>7.1</v>
      </c>
      <c r="L385">
        <v>5.2</v>
      </c>
      <c r="M385">
        <v>6.2</v>
      </c>
      <c r="N385">
        <f t="shared" si="5"/>
        <v>75.5</v>
      </c>
    </row>
    <row r="386" spans="1:14">
      <c r="A386">
        <v>20183828</v>
      </c>
      <c r="B386" t="s">
        <v>14</v>
      </c>
      <c r="C386" t="str">
        <f>VLOOKUP(B386,专业代码!$B$2:$C$8,2,FALSE)</f>
        <v>会计学</v>
      </c>
      <c r="D386">
        <v>8.6</v>
      </c>
      <c r="E386">
        <v>7.8</v>
      </c>
      <c r="F386">
        <v>9.6</v>
      </c>
      <c r="G386">
        <v>7.9</v>
      </c>
      <c r="H386">
        <v>7.5</v>
      </c>
      <c r="I386">
        <v>9.5</v>
      </c>
      <c r="J386">
        <v>8.5</v>
      </c>
      <c r="K386">
        <v>7.8</v>
      </c>
      <c r="L386">
        <v>7.8</v>
      </c>
      <c r="M386">
        <v>2.3</v>
      </c>
      <c r="N386">
        <f t="shared" si="5"/>
        <v>77.3</v>
      </c>
    </row>
    <row r="387" spans="1:14">
      <c r="A387">
        <v>20183855</v>
      </c>
      <c r="B387" t="s">
        <v>14</v>
      </c>
      <c r="C387" t="str">
        <f>VLOOKUP(B387,专业代码!$B$2:$C$8,2,FALSE)</f>
        <v>会计学</v>
      </c>
      <c r="D387">
        <v>9.1</v>
      </c>
      <c r="E387">
        <v>8</v>
      </c>
      <c r="F387">
        <v>8.9</v>
      </c>
      <c r="G387">
        <v>8.4</v>
      </c>
      <c r="H387">
        <v>7</v>
      </c>
      <c r="I387">
        <v>7.1</v>
      </c>
      <c r="J387">
        <v>7.8</v>
      </c>
      <c r="K387">
        <v>6.2</v>
      </c>
      <c r="L387">
        <v>9.2</v>
      </c>
      <c r="M387">
        <v>8</v>
      </c>
      <c r="N387">
        <f t="shared" ref="N387:N450" si="6">SUM(D387:M387)</f>
        <v>79.7</v>
      </c>
    </row>
    <row r="388" spans="1:14">
      <c r="A388">
        <v>20185157</v>
      </c>
      <c r="B388" t="s">
        <v>14</v>
      </c>
      <c r="C388" t="str">
        <f>VLOOKUP(B388,专业代码!$B$2:$C$8,2,FALSE)</f>
        <v>会计学</v>
      </c>
      <c r="D388">
        <v>9.9</v>
      </c>
      <c r="E388">
        <v>9.5</v>
      </c>
      <c r="F388">
        <v>8.8</v>
      </c>
      <c r="G388">
        <v>8.6</v>
      </c>
      <c r="H388">
        <v>9.1</v>
      </c>
      <c r="I388">
        <v>7.3</v>
      </c>
      <c r="J388">
        <v>8</v>
      </c>
      <c r="K388">
        <v>7.9</v>
      </c>
      <c r="L388">
        <v>9.1</v>
      </c>
      <c r="M388">
        <v>5.9</v>
      </c>
      <c r="N388">
        <f t="shared" si="6"/>
        <v>84.1</v>
      </c>
    </row>
    <row r="389" spans="1:14">
      <c r="A389">
        <v>20185818</v>
      </c>
      <c r="B389" t="s">
        <v>14</v>
      </c>
      <c r="C389" t="str">
        <f>VLOOKUP(B389,专业代码!$B$2:$C$8,2,FALSE)</f>
        <v>会计学</v>
      </c>
      <c r="D389">
        <v>8.9</v>
      </c>
      <c r="E389">
        <v>8.2</v>
      </c>
      <c r="F389">
        <v>8.9</v>
      </c>
      <c r="G389">
        <v>8.4</v>
      </c>
      <c r="H389">
        <v>9.2</v>
      </c>
      <c r="I389">
        <v>7.2</v>
      </c>
      <c r="J389">
        <v>8.2</v>
      </c>
      <c r="K389">
        <v>8.3</v>
      </c>
      <c r="L389">
        <v>5.9</v>
      </c>
      <c r="M389">
        <v>7</v>
      </c>
      <c r="N389">
        <f t="shared" si="6"/>
        <v>80.2</v>
      </c>
    </row>
    <row r="390" spans="1:14">
      <c r="A390">
        <v>20185841</v>
      </c>
      <c r="B390" t="s">
        <v>14</v>
      </c>
      <c r="C390" t="str">
        <f>VLOOKUP(B390,专业代码!$B$2:$C$8,2,FALSE)</f>
        <v>会计学</v>
      </c>
      <c r="D390">
        <v>8.7</v>
      </c>
      <c r="E390">
        <v>8.8</v>
      </c>
      <c r="F390">
        <v>8.8</v>
      </c>
      <c r="G390">
        <v>8.8</v>
      </c>
      <c r="H390">
        <v>8</v>
      </c>
      <c r="I390">
        <v>7</v>
      </c>
      <c r="J390">
        <v>8.3</v>
      </c>
      <c r="K390">
        <v>7.6</v>
      </c>
      <c r="L390">
        <v>7.1</v>
      </c>
      <c r="M390">
        <v>7.6</v>
      </c>
      <c r="N390">
        <f t="shared" si="6"/>
        <v>80.7</v>
      </c>
    </row>
    <row r="391" spans="1:14">
      <c r="A391">
        <v>20187192</v>
      </c>
      <c r="B391" t="s">
        <v>14</v>
      </c>
      <c r="C391" t="str">
        <f>VLOOKUP(B391,专业代码!$B$2:$C$8,2,FALSE)</f>
        <v>会计学</v>
      </c>
      <c r="D391">
        <v>8.1</v>
      </c>
      <c r="E391">
        <v>9.5</v>
      </c>
      <c r="F391">
        <v>8.8</v>
      </c>
      <c r="G391">
        <v>9.2</v>
      </c>
      <c r="H391">
        <v>9.2</v>
      </c>
      <c r="I391">
        <v>6.5</v>
      </c>
      <c r="J391">
        <v>7.6</v>
      </c>
      <c r="K391">
        <v>8.1</v>
      </c>
      <c r="L391">
        <v>7</v>
      </c>
      <c r="M391">
        <v>5.6</v>
      </c>
      <c r="N391">
        <f t="shared" si="6"/>
        <v>79.6</v>
      </c>
    </row>
    <row r="392" spans="1:14">
      <c r="A392">
        <v>20189157</v>
      </c>
      <c r="B392" t="s">
        <v>14</v>
      </c>
      <c r="C392" t="str">
        <f>VLOOKUP(B392,专业代码!$B$2:$C$8,2,FALSE)</f>
        <v>会计学</v>
      </c>
      <c r="D392">
        <v>8.6</v>
      </c>
      <c r="E392">
        <v>8.2</v>
      </c>
      <c r="F392">
        <v>8.4</v>
      </c>
      <c r="G392">
        <v>9.2</v>
      </c>
      <c r="H392">
        <v>8.3</v>
      </c>
      <c r="I392">
        <v>6.8</v>
      </c>
      <c r="J392">
        <v>8.5</v>
      </c>
      <c r="K392">
        <v>8.9</v>
      </c>
      <c r="L392">
        <v>7.6</v>
      </c>
      <c r="M392">
        <v>7</v>
      </c>
      <c r="N392">
        <f t="shared" si="6"/>
        <v>81.5</v>
      </c>
    </row>
    <row r="393" spans="1:14">
      <c r="A393">
        <v>20181928</v>
      </c>
      <c r="B393" t="s">
        <v>15</v>
      </c>
      <c r="C393" t="str">
        <f>VLOOKUP(B393,专业代码!$B$2:$C$8,2,FALSE)</f>
        <v>保险学</v>
      </c>
      <c r="D393">
        <v>8.4</v>
      </c>
      <c r="E393">
        <v>9.3</v>
      </c>
      <c r="F393">
        <v>6.8</v>
      </c>
      <c r="G393">
        <v>7.4</v>
      </c>
      <c r="H393">
        <v>7.6</v>
      </c>
      <c r="I393">
        <v>6.5</v>
      </c>
      <c r="J393">
        <v>5.5</v>
      </c>
      <c r="K393">
        <v>6.8</v>
      </c>
      <c r="L393">
        <v>8.3</v>
      </c>
      <c r="M393">
        <v>6.8</v>
      </c>
      <c r="N393">
        <f t="shared" si="6"/>
        <v>73.4</v>
      </c>
    </row>
    <row r="394" spans="1:14">
      <c r="A394">
        <v>20182968</v>
      </c>
      <c r="B394" t="s">
        <v>15</v>
      </c>
      <c r="C394" t="str">
        <f>VLOOKUP(B394,专业代码!$B$2:$C$8,2,FALSE)</f>
        <v>保险学</v>
      </c>
      <c r="D394">
        <v>8.5</v>
      </c>
      <c r="E394">
        <v>8.4</v>
      </c>
      <c r="F394">
        <v>7.6</v>
      </c>
      <c r="G394">
        <v>8.1</v>
      </c>
      <c r="H394">
        <v>7.6</v>
      </c>
      <c r="I394">
        <v>7.1</v>
      </c>
      <c r="J394">
        <v>8</v>
      </c>
      <c r="K394">
        <v>6.2</v>
      </c>
      <c r="L394">
        <v>5.7</v>
      </c>
      <c r="M394">
        <v>6.4</v>
      </c>
      <c r="N394">
        <f t="shared" si="6"/>
        <v>73.6</v>
      </c>
    </row>
    <row r="395" spans="1:14">
      <c r="A395">
        <v>20184097</v>
      </c>
      <c r="B395" t="s">
        <v>15</v>
      </c>
      <c r="C395" t="str">
        <f>VLOOKUP(B395,专业代码!$B$2:$C$8,2,FALSE)</f>
        <v>保险学</v>
      </c>
      <c r="D395">
        <v>7.9</v>
      </c>
      <c r="E395">
        <v>9</v>
      </c>
      <c r="F395">
        <v>8.2</v>
      </c>
      <c r="G395">
        <v>8.4</v>
      </c>
      <c r="H395">
        <v>7.3</v>
      </c>
      <c r="I395">
        <v>7</v>
      </c>
      <c r="J395">
        <v>6.5</v>
      </c>
      <c r="K395">
        <v>7.7</v>
      </c>
      <c r="L395">
        <v>6.3</v>
      </c>
      <c r="M395">
        <v>7.3</v>
      </c>
      <c r="N395">
        <f t="shared" si="6"/>
        <v>75.6</v>
      </c>
    </row>
    <row r="396" spans="1:14">
      <c r="A396">
        <v>20187069</v>
      </c>
      <c r="B396" t="s">
        <v>15</v>
      </c>
      <c r="C396" t="str">
        <f>VLOOKUP(B396,专业代码!$B$2:$C$8,2,FALSE)</f>
        <v>保险学</v>
      </c>
      <c r="D396">
        <v>8.5</v>
      </c>
      <c r="E396">
        <v>7.9</v>
      </c>
      <c r="F396">
        <v>7.6</v>
      </c>
      <c r="G396">
        <v>8</v>
      </c>
      <c r="H396">
        <v>8.3</v>
      </c>
      <c r="I396">
        <v>7</v>
      </c>
      <c r="J396">
        <v>8.3</v>
      </c>
      <c r="K396">
        <v>8.1</v>
      </c>
      <c r="L396">
        <v>6.5</v>
      </c>
      <c r="M396">
        <v>4.3</v>
      </c>
      <c r="N396">
        <f t="shared" si="6"/>
        <v>74.5</v>
      </c>
    </row>
    <row r="397" spans="1:14">
      <c r="A397">
        <v>20189677</v>
      </c>
      <c r="B397" t="s">
        <v>15</v>
      </c>
      <c r="C397" t="str">
        <f>VLOOKUP(B397,专业代码!$B$2:$C$8,2,FALSE)</f>
        <v>保险学</v>
      </c>
      <c r="D397">
        <v>8.4</v>
      </c>
      <c r="E397">
        <v>8.5</v>
      </c>
      <c r="F397">
        <v>7.2</v>
      </c>
      <c r="G397">
        <v>7.1</v>
      </c>
      <c r="H397">
        <v>9.3</v>
      </c>
      <c r="I397">
        <v>7.7</v>
      </c>
      <c r="J397">
        <v>8.9</v>
      </c>
      <c r="K397">
        <v>7</v>
      </c>
      <c r="L397">
        <v>7.6</v>
      </c>
      <c r="M397">
        <v>8</v>
      </c>
      <c r="N397">
        <f t="shared" si="6"/>
        <v>79.7</v>
      </c>
    </row>
    <row r="398" spans="1:14">
      <c r="A398">
        <v>20182787</v>
      </c>
      <c r="B398" t="s">
        <v>15</v>
      </c>
      <c r="C398" t="str">
        <f>VLOOKUP(B398,专业代码!$B$2:$C$8,2,FALSE)</f>
        <v>保险学</v>
      </c>
      <c r="D398">
        <v>8.4</v>
      </c>
      <c r="E398">
        <v>9.2</v>
      </c>
      <c r="F398">
        <v>9.2</v>
      </c>
      <c r="G398">
        <v>7.3</v>
      </c>
      <c r="H398">
        <v>7.4</v>
      </c>
      <c r="I398">
        <v>6.9</v>
      </c>
      <c r="J398">
        <v>7.3</v>
      </c>
      <c r="K398">
        <v>6.3</v>
      </c>
      <c r="L398">
        <v>6.5</v>
      </c>
      <c r="M398">
        <v>6</v>
      </c>
      <c r="N398">
        <f t="shared" si="6"/>
        <v>74.5</v>
      </c>
    </row>
    <row r="399" spans="1:14">
      <c r="A399">
        <v>20186480</v>
      </c>
      <c r="B399" t="s">
        <v>15</v>
      </c>
      <c r="C399" t="str">
        <f>VLOOKUP(B399,专业代码!$B$2:$C$8,2,FALSE)</f>
        <v>保险学</v>
      </c>
      <c r="D399">
        <v>8.8</v>
      </c>
      <c r="E399">
        <v>7.8</v>
      </c>
      <c r="F399">
        <v>7.9</v>
      </c>
      <c r="G399">
        <v>7.2</v>
      </c>
      <c r="H399">
        <v>6.9</v>
      </c>
      <c r="I399">
        <v>8</v>
      </c>
      <c r="J399">
        <v>7.2</v>
      </c>
      <c r="K399">
        <v>8.6</v>
      </c>
      <c r="L399">
        <v>7.2</v>
      </c>
      <c r="M399">
        <v>4.1</v>
      </c>
      <c r="N399">
        <f t="shared" si="6"/>
        <v>73.7</v>
      </c>
    </row>
    <row r="400" spans="1:14">
      <c r="A400">
        <v>20187437</v>
      </c>
      <c r="B400" t="s">
        <v>15</v>
      </c>
      <c r="C400" t="str">
        <f>VLOOKUP(B400,专业代码!$B$2:$C$8,2,FALSE)</f>
        <v>保险学</v>
      </c>
      <c r="D400">
        <v>9.3</v>
      </c>
      <c r="E400">
        <v>8.9</v>
      </c>
      <c r="F400">
        <v>8.3</v>
      </c>
      <c r="G400">
        <v>7.7</v>
      </c>
      <c r="H400">
        <v>6</v>
      </c>
      <c r="I400">
        <v>6.7</v>
      </c>
      <c r="J400">
        <v>8.5</v>
      </c>
      <c r="K400">
        <v>5.8</v>
      </c>
      <c r="L400">
        <v>8.1</v>
      </c>
      <c r="M400">
        <v>6.2</v>
      </c>
      <c r="N400">
        <f t="shared" si="6"/>
        <v>75.5</v>
      </c>
    </row>
    <row r="401" spans="1:14">
      <c r="A401">
        <v>20186516</v>
      </c>
      <c r="B401" t="s">
        <v>15</v>
      </c>
      <c r="C401" t="str">
        <f>VLOOKUP(B401,专业代码!$B$2:$C$8,2,FALSE)</f>
        <v>保险学</v>
      </c>
      <c r="D401">
        <v>8.3</v>
      </c>
      <c r="E401">
        <v>8</v>
      </c>
      <c r="F401">
        <v>8</v>
      </c>
      <c r="G401">
        <v>8.3</v>
      </c>
      <c r="H401">
        <v>7</v>
      </c>
      <c r="I401">
        <v>8.1</v>
      </c>
      <c r="J401">
        <v>7.4</v>
      </c>
      <c r="K401">
        <v>8.4</v>
      </c>
      <c r="L401">
        <v>7.2</v>
      </c>
      <c r="M401">
        <v>6.2</v>
      </c>
      <c r="N401">
        <f t="shared" si="6"/>
        <v>76.9</v>
      </c>
    </row>
    <row r="402" spans="1:14">
      <c r="A402">
        <v>20186725</v>
      </c>
      <c r="B402" t="s">
        <v>15</v>
      </c>
      <c r="C402" t="str">
        <f>VLOOKUP(B402,专业代码!$B$2:$C$8,2,FALSE)</f>
        <v>保险学</v>
      </c>
      <c r="D402">
        <v>7.7</v>
      </c>
      <c r="E402">
        <v>7.7</v>
      </c>
      <c r="F402">
        <v>7.7</v>
      </c>
      <c r="G402">
        <v>8.3</v>
      </c>
      <c r="H402">
        <v>9.4</v>
      </c>
      <c r="I402">
        <v>5.3</v>
      </c>
      <c r="J402">
        <v>6.2</v>
      </c>
      <c r="K402">
        <v>6.8</v>
      </c>
      <c r="L402">
        <v>5.4</v>
      </c>
      <c r="M402">
        <v>8.1</v>
      </c>
      <c r="N402">
        <f t="shared" si="6"/>
        <v>72.6</v>
      </c>
    </row>
    <row r="403" spans="1:14">
      <c r="A403">
        <v>20181011</v>
      </c>
      <c r="B403" t="s">
        <v>15</v>
      </c>
      <c r="C403" t="str">
        <f>VLOOKUP(B403,专业代码!$B$2:$C$8,2,FALSE)</f>
        <v>保险学</v>
      </c>
      <c r="D403">
        <v>8.2</v>
      </c>
      <c r="E403">
        <v>9.3</v>
      </c>
      <c r="F403">
        <v>8.2</v>
      </c>
      <c r="G403">
        <v>8.8</v>
      </c>
      <c r="H403">
        <v>6.9</v>
      </c>
      <c r="I403">
        <v>6.4</v>
      </c>
      <c r="J403">
        <v>7.7</v>
      </c>
      <c r="K403">
        <v>7.2</v>
      </c>
      <c r="L403">
        <v>7.9</v>
      </c>
      <c r="M403">
        <v>5</v>
      </c>
      <c r="N403">
        <f t="shared" si="6"/>
        <v>75.6</v>
      </c>
    </row>
    <row r="404" spans="1:14">
      <c r="A404">
        <v>20186888</v>
      </c>
      <c r="B404" t="s">
        <v>15</v>
      </c>
      <c r="C404" t="str">
        <f>VLOOKUP(B404,专业代码!$B$2:$C$8,2,FALSE)</f>
        <v>保险学</v>
      </c>
      <c r="D404">
        <v>8.7</v>
      </c>
      <c r="E404">
        <v>8.2</v>
      </c>
      <c r="F404">
        <v>9</v>
      </c>
      <c r="G404">
        <v>8</v>
      </c>
      <c r="H404">
        <v>8.5</v>
      </c>
      <c r="I404">
        <v>7</v>
      </c>
      <c r="J404">
        <v>6.6</v>
      </c>
      <c r="K404">
        <v>7.2</v>
      </c>
      <c r="L404">
        <v>6.9</v>
      </c>
      <c r="M404">
        <v>2.3</v>
      </c>
      <c r="N404">
        <f t="shared" si="6"/>
        <v>72.4</v>
      </c>
    </row>
    <row r="405" spans="1:14">
      <c r="A405">
        <v>20186967</v>
      </c>
      <c r="B405" t="s">
        <v>15</v>
      </c>
      <c r="C405" t="str">
        <f>VLOOKUP(B405,专业代码!$B$2:$C$8,2,FALSE)</f>
        <v>保险学</v>
      </c>
      <c r="D405">
        <v>8.5</v>
      </c>
      <c r="E405">
        <v>7.7</v>
      </c>
      <c r="F405">
        <v>8.1</v>
      </c>
      <c r="G405">
        <v>7.5</v>
      </c>
      <c r="H405">
        <v>7.5</v>
      </c>
      <c r="I405">
        <v>8.4</v>
      </c>
      <c r="J405">
        <v>7.6</v>
      </c>
      <c r="K405">
        <v>6.4</v>
      </c>
      <c r="L405">
        <v>3.9</v>
      </c>
      <c r="M405">
        <v>4.8</v>
      </c>
      <c r="N405">
        <f t="shared" si="6"/>
        <v>70.4</v>
      </c>
    </row>
    <row r="406" spans="1:14">
      <c r="A406">
        <v>20187826</v>
      </c>
      <c r="B406" t="s">
        <v>15</v>
      </c>
      <c r="C406" t="str">
        <f>VLOOKUP(B406,专业代码!$B$2:$C$8,2,FALSE)</f>
        <v>保险学</v>
      </c>
      <c r="D406">
        <v>8.3</v>
      </c>
      <c r="E406">
        <v>8.1</v>
      </c>
      <c r="F406">
        <v>8.5</v>
      </c>
      <c r="G406">
        <v>7.9</v>
      </c>
      <c r="H406">
        <v>9</v>
      </c>
      <c r="I406">
        <v>6.9</v>
      </c>
      <c r="J406">
        <v>6.7</v>
      </c>
      <c r="K406">
        <v>5.2</v>
      </c>
      <c r="L406">
        <v>5.7</v>
      </c>
      <c r="M406">
        <v>5.8</v>
      </c>
      <c r="N406">
        <f t="shared" si="6"/>
        <v>72.1</v>
      </c>
    </row>
    <row r="407" spans="1:14">
      <c r="A407">
        <v>20188246</v>
      </c>
      <c r="B407" t="s">
        <v>15</v>
      </c>
      <c r="C407" t="str">
        <f>VLOOKUP(B407,专业代码!$B$2:$C$8,2,FALSE)</f>
        <v>保险学</v>
      </c>
      <c r="D407">
        <v>9.4</v>
      </c>
      <c r="E407">
        <v>7.1</v>
      </c>
      <c r="F407">
        <v>8.3</v>
      </c>
      <c r="G407">
        <v>8.9</v>
      </c>
      <c r="H407">
        <v>7.8</v>
      </c>
      <c r="I407">
        <v>7.6</v>
      </c>
      <c r="J407">
        <v>6.9</v>
      </c>
      <c r="K407">
        <v>5.9</v>
      </c>
      <c r="L407">
        <v>4.8</v>
      </c>
      <c r="M407">
        <v>5.3</v>
      </c>
      <c r="N407">
        <f t="shared" si="6"/>
        <v>72</v>
      </c>
    </row>
    <row r="408" spans="1:14">
      <c r="A408">
        <v>20181843</v>
      </c>
      <c r="B408" t="s">
        <v>15</v>
      </c>
      <c r="C408" t="str">
        <f>VLOOKUP(B408,专业代码!$B$2:$C$8,2,FALSE)</f>
        <v>保险学</v>
      </c>
      <c r="D408">
        <v>8.2</v>
      </c>
      <c r="E408">
        <v>8.1</v>
      </c>
      <c r="F408">
        <v>7.8</v>
      </c>
      <c r="G408">
        <v>7.9</v>
      </c>
      <c r="H408">
        <v>8.7</v>
      </c>
      <c r="I408">
        <v>8.5</v>
      </c>
      <c r="J408">
        <v>7.5</v>
      </c>
      <c r="K408">
        <v>5.6</v>
      </c>
      <c r="L408">
        <v>6.3</v>
      </c>
      <c r="M408">
        <v>9.2</v>
      </c>
      <c r="N408">
        <f t="shared" si="6"/>
        <v>77.8</v>
      </c>
    </row>
    <row r="409" spans="1:14">
      <c r="A409">
        <v>20183520</v>
      </c>
      <c r="B409" t="s">
        <v>15</v>
      </c>
      <c r="C409" t="str">
        <f>VLOOKUP(B409,专业代码!$B$2:$C$8,2,FALSE)</f>
        <v>保险学</v>
      </c>
      <c r="D409">
        <v>8.4</v>
      </c>
      <c r="E409">
        <v>8.5</v>
      </c>
      <c r="F409">
        <v>8.8</v>
      </c>
      <c r="G409">
        <v>7.8</v>
      </c>
      <c r="H409">
        <v>7</v>
      </c>
      <c r="I409">
        <v>7.8</v>
      </c>
      <c r="J409">
        <v>8.9</v>
      </c>
      <c r="K409">
        <v>6.4</v>
      </c>
      <c r="L409">
        <v>7.3</v>
      </c>
      <c r="M409">
        <v>6.9</v>
      </c>
      <c r="N409">
        <f t="shared" si="6"/>
        <v>77.8</v>
      </c>
    </row>
    <row r="410" spans="1:14">
      <c r="A410">
        <v>20183734</v>
      </c>
      <c r="B410" t="s">
        <v>15</v>
      </c>
      <c r="C410" t="str">
        <f>VLOOKUP(B410,专业代码!$B$2:$C$8,2,FALSE)</f>
        <v>保险学</v>
      </c>
      <c r="D410">
        <v>8.4</v>
      </c>
      <c r="E410">
        <v>8.4</v>
      </c>
      <c r="F410">
        <v>8</v>
      </c>
      <c r="G410">
        <v>7.8</v>
      </c>
      <c r="H410">
        <v>7.2</v>
      </c>
      <c r="I410">
        <v>6.9</v>
      </c>
      <c r="J410">
        <v>6.7</v>
      </c>
      <c r="K410">
        <v>7.1</v>
      </c>
      <c r="L410">
        <v>6.6</v>
      </c>
      <c r="M410">
        <v>6.1</v>
      </c>
      <c r="N410">
        <f t="shared" si="6"/>
        <v>73.2</v>
      </c>
    </row>
    <row r="411" spans="1:14">
      <c r="A411">
        <v>20188453</v>
      </c>
      <c r="B411" t="s">
        <v>15</v>
      </c>
      <c r="C411" t="str">
        <f>VLOOKUP(B411,专业代码!$B$2:$C$8,2,FALSE)</f>
        <v>保险学</v>
      </c>
      <c r="D411">
        <v>8.4</v>
      </c>
      <c r="E411">
        <v>7.9</v>
      </c>
      <c r="F411">
        <v>7.8</v>
      </c>
      <c r="G411">
        <v>8.7</v>
      </c>
      <c r="H411">
        <v>7.3</v>
      </c>
      <c r="I411">
        <v>7.7</v>
      </c>
      <c r="J411">
        <v>9.2</v>
      </c>
      <c r="K411">
        <v>5.3</v>
      </c>
      <c r="L411">
        <v>8.2</v>
      </c>
      <c r="M411">
        <v>6.3</v>
      </c>
      <c r="N411">
        <f t="shared" si="6"/>
        <v>76.8</v>
      </c>
    </row>
    <row r="412" spans="1:14">
      <c r="A412">
        <v>20188577</v>
      </c>
      <c r="B412" t="s">
        <v>15</v>
      </c>
      <c r="C412" t="str">
        <f>VLOOKUP(B412,专业代码!$B$2:$C$8,2,FALSE)</f>
        <v>保险学</v>
      </c>
      <c r="D412">
        <v>8.9</v>
      </c>
      <c r="E412">
        <v>8.3</v>
      </c>
      <c r="F412">
        <v>7.9</v>
      </c>
      <c r="G412">
        <v>8.1</v>
      </c>
      <c r="H412">
        <v>6.9</v>
      </c>
      <c r="I412">
        <v>7.7</v>
      </c>
      <c r="J412">
        <v>8</v>
      </c>
      <c r="K412">
        <v>7.4</v>
      </c>
      <c r="L412">
        <v>7</v>
      </c>
      <c r="M412">
        <v>6.4</v>
      </c>
      <c r="N412">
        <f t="shared" si="6"/>
        <v>76.6</v>
      </c>
    </row>
    <row r="413" spans="1:14">
      <c r="A413">
        <v>20187880</v>
      </c>
      <c r="B413" t="s">
        <v>15</v>
      </c>
      <c r="C413" t="str">
        <f>VLOOKUP(B413,专业代码!$B$2:$C$8,2,FALSE)</f>
        <v>保险学</v>
      </c>
      <c r="D413">
        <v>8.7</v>
      </c>
      <c r="E413">
        <v>8.4</v>
      </c>
      <c r="F413">
        <v>7.8</v>
      </c>
      <c r="G413">
        <v>8</v>
      </c>
      <c r="H413">
        <v>8.3</v>
      </c>
      <c r="I413">
        <v>9.5</v>
      </c>
      <c r="J413">
        <v>7.6</v>
      </c>
      <c r="K413">
        <v>5.8</v>
      </c>
      <c r="L413">
        <v>9.5</v>
      </c>
      <c r="M413">
        <v>7.8</v>
      </c>
      <c r="N413">
        <f t="shared" si="6"/>
        <v>81.4</v>
      </c>
    </row>
    <row r="414" spans="1:14">
      <c r="A414">
        <v>20188089</v>
      </c>
      <c r="B414" t="s">
        <v>15</v>
      </c>
      <c r="C414" t="str">
        <f>VLOOKUP(B414,专业代码!$B$2:$C$8,2,FALSE)</f>
        <v>保险学</v>
      </c>
      <c r="D414">
        <v>8.5</v>
      </c>
      <c r="E414">
        <v>7.3</v>
      </c>
      <c r="F414">
        <v>8.8</v>
      </c>
      <c r="G414">
        <v>9.2</v>
      </c>
      <c r="H414">
        <v>7.6</v>
      </c>
      <c r="I414">
        <v>7.5</v>
      </c>
      <c r="J414">
        <v>8.1</v>
      </c>
      <c r="K414">
        <v>7</v>
      </c>
      <c r="L414">
        <v>6.1</v>
      </c>
      <c r="M414">
        <v>3.4</v>
      </c>
      <c r="N414">
        <f t="shared" si="6"/>
        <v>73.5</v>
      </c>
    </row>
    <row r="415" spans="1:14">
      <c r="A415">
        <v>20182724</v>
      </c>
      <c r="B415" t="s">
        <v>15</v>
      </c>
      <c r="C415" t="str">
        <f>VLOOKUP(B415,专业代码!$B$2:$C$8,2,FALSE)</f>
        <v>保险学</v>
      </c>
      <c r="D415">
        <v>9.8</v>
      </c>
      <c r="E415">
        <v>9.4</v>
      </c>
      <c r="F415">
        <v>8.4</v>
      </c>
      <c r="G415">
        <v>9.7</v>
      </c>
      <c r="H415">
        <v>8.9</v>
      </c>
      <c r="I415">
        <v>8.7</v>
      </c>
      <c r="J415">
        <v>9.7</v>
      </c>
      <c r="K415">
        <v>8</v>
      </c>
      <c r="L415">
        <v>7.9</v>
      </c>
      <c r="M415">
        <v>5.5</v>
      </c>
      <c r="N415">
        <f t="shared" si="6"/>
        <v>86</v>
      </c>
    </row>
    <row r="416" spans="1:14">
      <c r="A416">
        <v>20184606</v>
      </c>
      <c r="B416" t="s">
        <v>15</v>
      </c>
      <c r="C416" t="str">
        <f>VLOOKUP(B416,专业代码!$B$2:$C$8,2,FALSE)</f>
        <v>保险学</v>
      </c>
      <c r="D416">
        <v>9.9</v>
      </c>
      <c r="E416">
        <v>9.9</v>
      </c>
      <c r="F416">
        <v>9.6</v>
      </c>
      <c r="G416">
        <v>8.8</v>
      </c>
      <c r="H416">
        <v>9.9</v>
      </c>
      <c r="I416">
        <v>7.9</v>
      </c>
      <c r="J416">
        <v>8.3</v>
      </c>
      <c r="K416">
        <v>9.9</v>
      </c>
      <c r="L416">
        <v>7.4</v>
      </c>
      <c r="M416">
        <v>5.6</v>
      </c>
      <c r="N416">
        <f t="shared" si="6"/>
        <v>87.2</v>
      </c>
    </row>
    <row r="417" spans="1:14">
      <c r="A417">
        <v>20185184</v>
      </c>
      <c r="B417" t="s">
        <v>15</v>
      </c>
      <c r="C417" t="str">
        <f>VLOOKUP(B417,专业代码!$B$2:$C$8,2,FALSE)</f>
        <v>保险学</v>
      </c>
      <c r="D417">
        <v>9.9</v>
      </c>
      <c r="E417">
        <v>9.3</v>
      </c>
      <c r="F417">
        <v>9.2</v>
      </c>
      <c r="G417">
        <v>8.7</v>
      </c>
      <c r="H417">
        <v>8.2</v>
      </c>
      <c r="I417">
        <v>8.8</v>
      </c>
      <c r="J417">
        <v>7.2</v>
      </c>
      <c r="K417">
        <v>8.1</v>
      </c>
      <c r="L417">
        <v>8.4</v>
      </c>
      <c r="M417">
        <v>6.7</v>
      </c>
      <c r="N417">
        <f t="shared" si="6"/>
        <v>84.5</v>
      </c>
    </row>
    <row r="418" spans="1:14">
      <c r="A418">
        <v>20188464</v>
      </c>
      <c r="B418" t="s">
        <v>15</v>
      </c>
      <c r="C418" t="str">
        <f>VLOOKUP(B418,专业代码!$B$2:$C$8,2,FALSE)</f>
        <v>保险学</v>
      </c>
      <c r="D418">
        <v>9.9</v>
      </c>
      <c r="E418">
        <v>9.7</v>
      </c>
      <c r="F418">
        <v>8.9</v>
      </c>
      <c r="G418">
        <v>9.9</v>
      </c>
      <c r="H418">
        <v>7.8</v>
      </c>
      <c r="I418">
        <v>8.3</v>
      </c>
      <c r="J418">
        <v>9.1</v>
      </c>
      <c r="K418">
        <v>8.9</v>
      </c>
      <c r="L418">
        <v>6.6</v>
      </c>
      <c r="M418">
        <v>7.2</v>
      </c>
      <c r="N418">
        <f t="shared" si="6"/>
        <v>86.3</v>
      </c>
    </row>
    <row r="419" spans="1:14">
      <c r="A419">
        <v>20185144</v>
      </c>
      <c r="B419" t="s">
        <v>15</v>
      </c>
      <c r="C419" t="str">
        <f>VLOOKUP(B419,专业代码!$B$2:$C$8,2,FALSE)</f>
        <v>保险学</v>
      </c>
      <c r="D419">
        <v>7.7</v>
      </c>
      <c r="E419">
        <v>8.8</v>
      </c>
      <c r="F419">
        <v>8.1</v>
      </c>
      <c r="G419">
        <v>7.8</v>
      </c>
      <c r="H419">
        <v>7.8</v>
      </c>
      <c r="I419">
        <v>7.7</v>
      </c>
      <c r="J419">
        <v>6.5</v>
      </c>
      <c r="K419">
        <v>7.6</v>
      </c>
      <c r="L419">
        <v>7.2</v>
      </c>
      <c r="M419">
        <v>5.1</v>
      </c>
      <c r="N419">
        <f t="shared" si="6"/>
        <v>74.3</v>
      </c>
    </row>
    <row r="420" spans="1:14">
      <c r="A420">
        <v>20186542</v>
      </c>
      <c r="B420" t="s">
        <v>15</v>
      </c>
      <c r="C420" t="str">
        <f>VLOOKUP(B420,专业代码!$B$2:$C$8,2,FALSE)</f>
        <v>保险学</v>
      </c>
      <c r="D420">
        <v>8.6</v>
      </c>
      <c r="E420">
        <v>8.8</v>
      </c>
      <c r="F420">
        <v>8</v>
      </c>
      <c r="G420">
        <v>8.2</v>
      </c>
      <c r="H420">
        <v>7.8</v>
      </c>
      <c r="I420">
        <v>7.6</v>
      </c>
      <c r="J420">
        <v>6.4</v>
      </c>
      <c r="K420">
        <v>7.6</v>
      </c>
      <c r="L420">
        <v>7.5</v>
      </c>
      <c r="M420">
        <v>4.4</v>
      </c>
      <c r="N420">
        <f t="shared" si="6"/>
        <v>74.9</v>
      </c>
    </row>
    <row r="421" spans="1:14">
      <c r="A421">
        <v>20186705</v>
      </c>
      <c r="B421" t="s">
        <v>15</v>
      </c>
      <c r="C421" t="str">
        <f>VLOOKUP(B421,专业代码!$B$2:$C$8,2,FALSE)</f>
        <v>保险学</v>
      </c>
      <c r="D421">
        <v>8.9</v>
      </c>
      <c r="E421">
        <v>7.3</v>
      </c>
      <c r="F421">
        <v>8.8</v>
      </c>
      <c r="G421">
        <v>8.4</v>
      </c>
      <c r="H421">
        <v>8.3</v>
      </c>
      <c r="I421">
        <v>8.2</v>
      </c>
      <c r="J421">
        <v>7.5</v>
      </c>
      <c r="K421">
        <v>6.7</v>
      </c>
      <c r="L421">
        <v>6.2</v>
      </c>
      <c r="M421">
        <v>7.1</v>
      </c>
      <c r="N421">
        <f t="shared" si="6"/>
        <v>77.4</v>
      </c>
    </row>
    <row r="422" spans="1:14">
      <c r="A422">
        <v>20184275</v>
      </c>
      <c r="B422" t="s">
        <v>15</v>
      </c>
      <c r="C422" t="str">
        <f>VLOOKUP(B422,专业代码!$B$2:$C$8,2,FALSE)</f>
        <v>保险学</v>
      </c>
      <c r="D422">
        <v>8.2</v>
      </c>
      <c r="E422">
        <v>8.6</v>
      </c>
      <c r="F422">
        <v>7.9</v>
      </c>
      <c r="G422">
        <v>8.5</v>
      </c>
      <c r="H422">
        <v>8.1</v>
      </c>
      <c r="I422">
        <v>8</v>
      </c>
      <c r="J422">
        <v>7.3</v>
      </c>
      <c r="K422">
        <v>8.6</v>
      </c>
      <c r="L422">
        <v>7.5</v>
      </c>
      <c r="M422">
        <v>5.6</v>
      </c>
      <c r="N422">
        <f t="shared" si="6"/>
        <v>78.3</v>
      </c>
    </row>
    <row r="423" spans="1:14">
      <c r="A423">
        <v>20184386</v>
      </c>
      <c r="B423" t="s">
        <v>15</v>
      </c>
      <c r="C423" t="str">
        <f>VLOOKUP(B423,专业代码!$B$2:$C$8,2,FALSE)</f>
        <v>保险学</v>
      </c>
      <c r="D423">
        <v>7.9</v>
      </c>
      <c r="E423">
        <v>8.2</v>
      </c>
      <c r="F423">
        <v>6.9</v>
      </c>
      <c r="G423">
        <v>7.7</v>
      </c>
      <c r="H423">
        <v>8.1</v>
      </c>
      <c r="I423">
        <v>8.4</v>
      </c>
      <c r="J423">
        <v>6.6</v>
      </c>
      <c r="K423">
        <v>7.8</v>
      </c>
      <c r="L423">
        <v>5.4</v>
      </c>
      <c r="M423">
        <v>5.6</v>
      </c>
      <c r="N423">
        <f t="shared" si="6"/>
        <v>72.6</v>
      </c>
    </row>
    <row r="424" spans="1:14">
      <c r="A424">
        <v>20181186</v>
      </c>
      <c r="B424" t="s">
        <v>15</v>
      </c>
      <c r="C424" t="str">
        <f>VLOOKUP(B424,专业代码!$B$2:$C$8,2,FALSE)</f>
        <v>保险学</v>
      </c>
      <c r="D424">
        <v>9.1</v>
      </c>
      <c r="E424">
        <v>7.2</v>
      </c>
      <c r="F424">
        <v>8.9</v>
      </c>
      <c r="G424">
        <v>8.6</v>
      </c>
      <c r="H424">
        <v>7.7</v>
      </c>
      <c r="I424">
        <v>6.7</v>
      </c>
      <c r="J424">
        <v>7.8</v>
      </c>
      <c r="K424">
        <v>7.6</v>
      </c>
      <c r="L424">
        <v>6.8</v>
      </c>
      <c r="M424">
        <v>6.3</v>
      </c>
      <c r="N424">
        <f t="shared" si="6"/>
        <v>76.7</v>
      </c>
    </row>
    <row r="425" spans="1:14">
      <c r="A425">
        <v>20186506</v>
      </c>
      <c r="B425" t="s">
        <v>15</v>
      </c>
      <c r="C425" t="str">
        <f>VLOOKUP(B425,专业代码!$B$2:$C$8,2,FALSE)</f>
        <v>保险学</v>
      </c>
      <c r="D425">
        <v>8.7</v>
      </c>
      <c r="E425">
        <v>7.7</v>
      </c>
      <c r="F425">
        <v>7.5</v>
      </c>
      <c r="G425">
        <v>8</v>
      </c>
      <c r="H425">
        <v>7.5</v>
      </c>
      <c r="I425">
        <v>7.6</v>
      </c>
      <c r="J425">
        <v>8.6</v>
      </c>
      <c r="K425">
        <v>7.4</v>
      </c>
      <c r="L425">
        <v>5.8</v>
      </c>
      <c r="M425">
        <v>6.3</v>
      </c>
      <c r="N425">
        <f t="shared" si="6"/>
        <v>75.1</v>
      </c>
    </row>
    <row r="426" spans="1:14">
      <c r="A426">
        <v>20188298</v>
      </c>
      <c r="B426" t="s">
        <v>15</v>
      </c>
      <c r="C426" t="str">
        <f>VLOOKUP(B426,专业代码!$B$2:$C$8,2,FALSE)</f>
        <v>保险学</v>
      </c>
      <c r="D426">
        <v>9.3</v>
      </c>
      <c r="E426">
        <v>8.4</v>
      </c>
      <c r="F426">
        <v>7.7</v>
      </c>
      <c r="G426">
        <v>7.2</v>
      </c>
      <c r="H426">
        <v>8.2</v>
      </c>
      <c r="I426">
        <v>6.9</v>
      </c>
      <c r="J426">
        <v>7</v>
      </c>
      <c r="K426">
        <v>8.1</v>
      </c>
      <c r="L426">
        <v>6.9</v>
      </c>
      <c r="M426">
        <v>6.3</v>
      </c>
      <c r="N426">
        <f t="shared" si="6"/>
        <v>76</v>
      </c>
    </row>
    <row r="427" spans="1:14">
      <c r="A427">
        <v>20188662</v>
      </c>
      <c r="B427" t="s">
        <v>15</v>
      </c>
      <c r="C427" t="str">
        <f>VLOOKUP(B427,专业代码!$B$2:$C$8,2,FALSE)</f>
        <v>保险学</v>
      </c>
      <c r="D427">
        <v>7.8</v>
      </c>
      <c r="E427">
        <v>8.4</v>
      </c>
      <c r="F427">
        <v>8.4</v>
      </c>
      <c r="G427">
        <v>7.8</v>
      </c>
      <c r="H427">
        <v>8.7</v>
      </c>
      <c r="I427">
        <v>8.6</v>
      </c>
      <c r="J427">
        <v>7.8</v>
      </c>
      <c r="K427">
        <v>8</v>
      </c>
      <c r="L427">
        <v>5.1</v>
      </c>
      <c r="M427">
        <v>6.1</v>
      </c>
      <c r="N427">
        <f t="shared" si="6"/>
        <v>76.7</v>
      </c>
    </row>
    <row r="428" spans="1:14">
      <c r="A428">
        <v>20183078</v>
      </c>
      <c r="B428" t="s">
        <v>15</v>
      </c>
      <c r="C428" t="str">
        <f>VLOOKUP(B428,专业代码!$B$2:$C$8,2,FALSE)</f>
        <v>保险学</v>
      </c>
      <c r="D428">
        <v>8.5</v>
      </c>
      <c r="E428">
        <v>8.2</v>
      </c>
      <c r="F428">
        <v>7.7</v>
      </c>
      <c r="G428">
        <v>7.4</v>
      </c>
      <c r="H428">
        <v>8.9</v>
      </c>
      <c r="I428">
        <v>7.2</v>
      </c>
      <c r="J428">
        <v>7.2</v>
      </c>
      <c r="K428">
        <v>8.2</v>
      </c>
      <c r="L428">
        <v>8.7</v>
      </c>
      <c r="M428">
        <v>5.3</v>
      </c>
      <c r="N428">
        <f t="shared" si="6"/>
        <v>77.3</v>
      </c>
    </row>
    <row r="429" spans="1:14">
      <c r="A429">
        <v>20189199</v>
      </c>
      <c r="B429" t="s">
        <v>15</v>
      </c>
      <c r="C429" t="str">
        <f>VLOOKUP(B429,专业代码!$B$2:$C$8,2,FALSE)</f>
        <v>保险学</v>
      </c>
      <c r="D429">
        <v>8.9</v>
      </c>
      <c r="E429">
        <v>8.9</v>
      </c>
      <c r="F429">
        <v>8.2</v>
      </c>
      <c r="G429">
        <v>8</v>
      </c>
      <c r="H429">
        <v>6.9</v>
      </c>
      <c r="I429">
        <v>6.7</v>
      </c>
      <c r="J429">
        <v>6.3</v>
      </c>
      <c r="K429">
        <v>8.2</v>
      </c>
      <c r="L429">
        <v>5.5</v>
      </c>
      <c r="M429">
        <v>6.3</v>
      </c>
      <c r="N429">
        <f t="shared" si="6"/>
        <v>73.9</v>
      </c>
    </row>
    <row r="430" spans="1:14">
      <c r="A430">
        <v>20182224</v>
      </c>
      <c r="B430" t="s">
        <v>15</v>
      </c>
      <c r="C430" t="str">
        <f>VLOOKUP(B430,专业代码!$B$2:$C$8,2,FALSE)</f>
        <v>保险学</v>
      </c>
      <c r="D430">
        <v>8.1</v>
      </c>
      <c r="E430">
        <v>8</v>
      </c>
      <c r="F430">
        <v>8.2</v>
      </c>
      <c r="G430">
        <v>7.8</v>
      </c>
      <c r="H430">
        <v>8.5</v>
      </c>
      <c r="I430">
        <v>7.6</v>
      </c>
      <c r="J430">
        <v>7.5</v>
      </c>
      <c r="K430">
        <v>7.5</v>
      </c>
      <c r="L430">
        <v>6.8</v>
      </c>
      <c r="M430">
        <v>4.3</v>
      </c>
      <c r="N430">
        <f t="shared" si="6"/>
        <v>74.3</v>
      </c>
    </row>
    <row r="431" spans="1:14">
      <c r="A431">
        <v>20182824</v>
      </c>
      <c r="B431" t="s">
        <v>15</v>
      </c>
      <c r="C431" t="str">
        <f>VLOOKUP(B431,专业代码!$B$2:$C$8,2,FALSE)</f>
        <v>保险学</v>
      </c>
      <c r="D431">
        <v>8</v>
      </c>
      <c r="E431">
        <v>8.3</v>
      </c>
      <c r="F431">
        <v>8.6</v>
      </c>
      <c r="G431">
        <v>7.9</v>
      </c>
      <c r="H431">
        <v>7.7</v>
      </c>
      <c r="I431">
        <v>8.6</v>
      </c>
      <c r="J431">
        <v>7.6</v>
      </c>
      <c r="K431">
        <v>7.4</v>
      </c>
      <c r="L431">
        <v>6.6</v>
      </c>
      <c r="M431">
        <v>8.8</v>
      </c>
      <c r="N431">
        <f t="shared" si="6"/>
        <v>79.5</v>
      </c>
    </row>
    <row r="432" spans="1:14">
      <c r="A432">
        <v>20183250</v>
      </c>
      <c r="B432" t="s">
        <v>15</v>
      </c>
      <c r="C432" t="str">
        <f>VLOOKUP(B432,专业代码!$B$2:$C$8,2,FALSE)</f>
        <v>保险学</v>
      </c>
      <c r="D432">
        <v>8.9</v>
      </c>
      <c r="E432">
        <v>9.2</v>
      </c>
      <c r="F432">
        <v>7.8</v>
      </c>
      <c r="G432">
        <v>6.7</v>
      </c>
      <c r="H432">
        <v>7.1</v>
      </c>
      <c r="I432">
        <v>6.3</v>
      </c>
      <c r="J432">
        <v>7.8</v>
      </c>
      <c r="K432">
        <v>6.5</v>
      </c>
      <c r="L432">
        <v>7.6</v>
      </c>
      <c r="M432">
        <v>6</v>
      </c>
      <c r="N432">
        <f t="shared" si="6"/>
        <v>73.9</v>
      </c>
    </row>
    <row r="433" spans="1:14">
      <c r="A433">
        <v>20188677</v>
      </c>
      <c r="B433" t="s">
        <v>15</v>
      </c>
      <c r="C433" t="str">
        <f>VLOOKUP(B433,专业代码!$B$2:$C$8,2,FALSE)</f>
        <v>保险学</v>
      </c>
      <c r="D433">
        <v>8.7</v>
      </c>
      <c r="E433">
        <v>8.7</v>
      </c>
      <c r="F433">
        <v>8.7</v>
      </c>
      <c r="G433">
        <v>8.4</v>
      </c>
      <c r="H433">
        <v>7.5</v>
      </c>
      <c r="I433">
        <v>7</v>
      </c>
      <c r="J433">
        <v>7.8</v>
      </c>
      <c r="K433">
        <v>7.8</v>
      </c>
      <c r="L433">
        <v>7.3</v>
      </c>
      <c r="M433">
        <v>6.2</v>
      </c>
      <c r="N433">
        <f t="shared" si="6"/>
        <v>78.1</v>
      </c>
    </row>
    <row r="434" spans="1:14">
      <c r="A434">
        <v>20181793</v>
      </c>
      <c r="B434" t="s">
        <v>15</v>
      </c>
      <c r="C434" t="str">
        <f>VLOOKUP(B434,专业代码!$B$2:$C$8,2,FALSE)</f>
        <v>保险学</v>
      </c>
      <c r="D434">
        <v>7.9</v>
      </c>
      <c r="E434">
        <v>8.4</v>
      </c>
      <c r="F434">
        <v>7.5</v>
      </c>
      <c r="G434">
        <v>9.2</v>
      </c>
      <c r="H434">
        <v>7.6</v>
      </c>
      <c r="I434">
        <v>8.7</v>
      </c>
      <c r="J434">
        <v>7.5</v>
      </c>
      <c r="K434">
        <v>7.4</v>
      </c>
      <c r="L434">
        <v>6.2</v>
      </c>
      <c r="M434">
        <v>4.5</v>
      </c>
      <c r="N434">
        <f t="shared" si="6"/>
        <v>74.9</v>
      </c>
    </row>
    <row r="435" spans="1:14">
      <c r="A435">
        <v>20181802</v>
      </c>
      <c r="B435" t="s">
        <v>15</v>
      </c>
      <c r="C435" t="str">
        <f>VLOOKUP(B435,专业代码!$B$2:$C$8,2,FALSE)</f>
        <v>保险学</v>
      </c>
      <c r="D435">
        <v>8.9</v>
      </c>
      <c r="E435">
        <v>7.9</v>
      </c>
      <c r="F435">
        <v>8</v>
      </c>
      <c r="G435">
        <v>8.6</v>
      </c>
      <c r="H435">
        <v>7.5</v>
      </c>
      <c r="I435">
        <v>7.5</v>
      </c>
      <c r="J435">
        <v>7.1</v>
      </c>
      <c r="K435">
        <v>7</v>
      </c>
      <c r="L435">
        <v>6.6</v>
      </c>
      <c r="M435">
        <v>3.9</v>
      </c>
      <c r="N435">
        <f t="shared" si="6"/>
        <v>73</v>
      </c>
    </row>
    <row r="436" spans="1:14">
      <c r="A436">
        <v>20183267</v>
      </c>
      <c r="B436" t="s">
        <v>15</v>
      </c>
      <c r="C436" t="str">
        <f>VLOOKUP(B436,专业代码!$B$2:$C$8,2,FALSE)</f>
        <v>保险学</v>
      </c>
      <c r="D436">
        <v>8.3</v>
      </c>
      <c r="E436">
        <v>9.4</v>
      </c>
      <c r="F436">
        <v>8.1</v>
      </c>
      <c r="G436">
        <v>8.5</v>
      </c>
      <c r="H436">
        <v>8.9</v>
      </c>
      <c r="I436">
        <v>8.3</v>
      </c>
      <c r="J436">
        <v>5</v>
      </c>
      <c r="K436">
        <v>7.3</v>
      </c>
      <c r="L436">
        <v>5</v>
      </c>
      <c r="M436">
        <v>6.4</v>
      </c>
      <c r="N436">
        <f t="shared" si="6"/>
        <v>75.2</v>
      </c>
    </row>
    <row r="437" spans="1:14">
      <c r="A437">
        <v>20183535</v>
      </c>
      <c r="B437" t="s">
        <v>15</v>
      </c>
      <c r="C437" t="str">
        <f>VLOOKUP(B437,专业代码!$B$2:$C$8,2,FALSE)</f>
        <v>保险学</v>
      </c>
      <c r="D437">
        <v>8.5</v>
      </c>
      <c r="E437">
        <v>8.5</v>
      </c>
      <c r="F437">
        <v>8.4</v>
      </c>
      <c r="G437">
        <v>7.5</v>
      </c>
      <c r="H437">
        <v>6.5</v>
      </c>
      <c r="I437">
        <v>7.6</v>
      </c>
      <c r="J437">
        <v>7.2</v>
      </c>
      <c r="K437">
        <v>6.7</v>
      </c>
      <c r="L437">
        <v>7.1</v>
      </c>
      <c r="M437">
        <v>6.1</v>
      </c>
      <c r="N437">
        <f t="shared" si="6"/>
        <v>74.1</v>
      </c>
    </row>
    <row r="438" spans="1:14">
      <c r="A438">
        <v>20184372</v>
      </c>
      <c r="B438" t="s">
        <v>15</v>
      </c>
      <c r="C438" t="str">
        <f>VLOOKUP(B438,专业代码!$B$2:$C$8,2,FALSE)</f>
        <v>保险学</v>
      </c>
      <c r="D438">
        <v>8</v>
      </c>
      <c r="E438">
        <v>8.5</v>
      </c>
      <c r="F438">
        <v>8.2</v>
      </c>
      <c r="G438">
        <v>8.5</v>
      </c>
      <c r="H438">
        <v>6.7</v>
      </c>
      <c r="I438">
        <v>7.4</v>
      </c>
      <c r="J438">
        <v>7</v>
      </c>
      <c r="K438">
        <v>8.7</v>
      </c>
      <c r="L438">
        <v>6.9</v>
      </c>
      <c r="M438">
        <v>8.1</v>
      </c>
      <c r="N438">
        <f t="shared" si="6"/>
        <v>78</v>
      </c>
    </row>
    <row r="439" spans="1:14">
      <c r="A439">
        <v>20185418</v>
      </c>
      <c r="B439" t="s">
        <v>15</v>
      </c>
      <c r="C439" t="str">
        <f>VLOOKUP(B439,专业代码!$B$2:$C$8,2,FALSE)</f>
        <v>保险学</v>
      </c>
      <c r="D439">
        <v>7.5</v>
      </c>
      <c r="E439">
        <v>8.8</v>
      </c>
      <c r="F439">
        <v>8.4</v>
      </c>
      <c r="G439">
        <v>7.8</v>
      </c>
      <c r="H439">
        <v>7.7</v>
      </c>
      <c r="I439">
        <v>6.5</v>
      </c>
      <c r="J439">
        <v>5.1</v>
      </c>
      <c r="K439">
        <v>5</v>
      </c>
      <c r="L439">
        <v>7</v>
      </c>
      <c r="M439">
        <v>6.2</v>
      </c>
      <c r="N439">
        <f t="shared" si="6"/>
        <v>70</v>
      </c>
    </row>
    <row r="440" spans="1:14">
      <c r="A440">
        <v>20189345</v>
      </c>
      <c r="B440" t="s">
        <v>15</v>
      </c>
      <c r="C440" t="str">
        <f>VLOOKUP(B440,专业代码!$B$2:$C$8,2,FALSE)</f>
        <v>保险学</v>
      </c>
      <c r="D440">
        <v>8.3</v>
      </c>
      <c r="E440">
        <v>9.1</v>
      </c>
      <c r="F440">
        <v>7.9</v>
      </c>
      <c r="G440">
        <v>9</v>
      </c>
      <c r="H440">
        <v>8.7</v>
      </c>
      <c r="I440">
        <v>6.7</v>
      </c>
      <c r="J440">
        <v>7.4</v>
      </c>
      <c r="K440">
        <v>7.9</v>
      </c>
      <c r="L440">
        <v>4.7</v>
      </c>
      <c r="M440">
        <v>5.5</v>
      </c>
      <c r="N440">
        <f t="shared" si="6"/>
        <v>75.2</v>
      </c>
    </row>
    <row r="441" spans="1:14">
      <c r="A441">
        <v>20182956</v>
      </c>
      <c r="B441" t="s">
        <v>15</v>
      </c>
      <c r="C441" t="str">
        <f>VLOOKUP(B441,专业代码!$B$2:$C$8,2,FALSE)</f>
        <v>保险学</v>
      </c>
      <c r="D441">
        <v>8.2</v>
      </c>
      <c r="E441">
        <v>8.6</v>
      </c>
      <c r="F441">
        <v>8.3</v>
      </c>
      <c r="G441">
        <v>7.2</v>
      </c>
      <c r="H441">
        <v>8.5</v>
      </c>
      <c r="I441">
        <v>8.1</v>
      </c>
      <c r="J441">
        <v>8.6</v>
      </c>
      <c r="K441">
        <v>8.1</v>
      </c>
      <c r="L441">
        <v>7</v>
      </c>
      <c r="M441">
        <v>6</v>
      </c>
      <c r="N441">
        <f t="shared" si="6"/>
        <v>78.6</v>
      </c>
    </row>
    <row r="442" spans="1:14">
      <c r="A442">
        <v>20184176</v>
      </c>
      <c r="B442" t="s">
        <v>15</v>
      </c>
      <c r="C442" t="str">
        <f>VLOOKUP(B442,专业代码!$B$2:$C$8,2,FALSE)</f>
        <v>保险学</v>
      </c>
      <c r="D442">
        <v>7.8</v>
      </c>
      <c r="E442">
        <v>8.3</v>
      </c>
      <c r="F442">
        <v>8</v>
      </c>
      <c r="G442">
        <v>8.4</v>
      </c>
      <c r="H442">
        <v>7.3</v>
      </c>
      <c r="I442">
        <v>8.4</v>
      </c>
      <c r="J442">
        <v>7.9</v>
      </c>
      <c r="K442">
        <v>7.9</v>
      </c>
      <c r="L442">
        <v>7.4</v>
      </c>
      <c r="M442">
        <v>6.2</v>
      </c>
      <c r="N442">
        <f t="shared" si="6"/>
        <v>77.6</v>
      </c>
    </row>
    <row r="443" spans="1:14">
      <c r="A443">
        <v>20184266</v>
      </c>
      <c r="B443" t="s">
        <v>15</v>
      </c>
      <c r="C443" t="str">
        <f>VLOOKUP(B443,专业代码!$B$2:$C$8,2,FALSE)</f>
        <v>保险学</v>
      </c>
      <c r="D443">
        <v>8.6</v>
      </c>
      <c r="E443">
        <v>8.7</v>
      </c>
      <c r="F443">
        <v>7.9</v>
      </c>
      <c r="G443">
        <v>7.8</v>
      </c>
      <c r="H443">
        <v>7.4</v>
      </c>
      <c r="I443">
        <v>7.8</v>
      </c>
      <c r="J443">
        <v>7</v>
      </c>
      <c r="K443">
        <v>5.8</v>
      </c>
      <c r="L443">
        <v>7.9</v>
      </c>
      <c r="M443">
        <v>4.9</v>
      </c>
      <c r="N443">
        <f t="shared" si="6"/>
        <v>73.8</v>
      </c>
    </row>
    <row r="444" spans="1:14">
      <c r="A444">
        <v>20184617</v>
      </c>
      <c r="B444" t="s">
        <v>15</v>
      </c>
      <c r="C444" t="str">
        <f>VLOOKUP(B444,专业代码!$B$2:$C$8,2,FALSE)</f>
        <v>保险学</v>
      </c>
      <c r="D444">
        <v>8</v>
      </c>
      <c r="E444">
        <v>8.6</v>
      </c>
      <c r="F444">
        <v>7.3</v>
      </c>
      <c r="G444">
        <v>7.7</v>
      </c>
      <c r="H444">
        <v>7.4</v>
      </c>
      <c r="I444">
        <v>5.9</v>
      </c>
      <c r="J444">
        <v>6.6</v>
      </c>
      <c r="K444">
        <v>8.3</v>
      </c>
      <c r="L444">
        <v>7</v>
      </c>
      <c r="M444">
        <v>6.5</v>
      </c>
      <c r="N444">
        <f t="shared" si="6"/>
        <v>73.3</v>
      </c>
    </row>
    <row r="445" spans="1:14">
      <c r="A445">
        <v>20186547</v>
      </c>
      <c r="B445" t="s">
        <v>15</v>
      </c>
      <c r="C445" t="str">
        <f>VLOOKUP(B445,专业代码!$B$2:$C$8,2,FALSE)</f>
        <v>保险学</v>
      </c>
      <c r="D445">
        <v>8.1</v>
      </c>
      <c r="E445">
        <v>7.1</v>
      </c>
      <c r="F445">
        <v>7.6</v>
      </c>
      <c r="G445">
        <v>8.9</v>
      </c>
      <c r="H445">
        <v>8.4</v>
      </c>
      <c r="I445">
        <v>8</v>
      </c>
      <c r="J445">
        <v>8.2</v>
      </c>
      <c r="K445">
        <v>7.5</v>
      </c>
      <c r="L445">
        <v>7.1</v>
      </c>
      <c r="M445">
        <v>5.3</v>
      </c>
      <c r="N445">
        <f t="shared" si="6"/>
        <v>76.2</v>
      </c>
    </row>
    <row r="446" spans="1:14">
      <c r="A446">
        <v>20187533</v>
      </c>
      <c r="B446" t="s">
        <v>15</v>
      </c>
      <c r="C446" t="str">
        <f>VLOOKUP(B446,专业代码!$B$2:$C$8,2,FALSE)</f>
        <v>保险学</v>
      </c>
      <c r="D446">
        <v>8.2</v>
      </c>
      <c r="E446">
        <v>8.3</v>
      </c>
      <c r="F446">
        <v>8</v>
      </c>
      <c r="G446">
        <v>9.8</v>
      </c>
      <c r="H446">
        <v>6.8</v>
      </c>
      <c r="I446">
        <v>7</v>
      </c>
      <c r="J446">
        <v>6.4</v>
      </c>
      <c r="K446">
        <v>7.5</v>
      </c>
      <c r="L446">
        <v>7.3</v>
      </c>
      <c r="M446">
        <v>7.1</v>
      </c>
      <c r="N446">
        <f t="shared" si="6"/>
        <v>76.4</v>
      </c>
    </row>
    <row r="447" spans="1:14">
      <c r="A447">
        <v>20184874</v>
      </c>
      <c r="B447" t="s">
        <v>15</v>
      </c>
      <c r="C447" t="str">
        <f>VLOOKUP(B447,专业代码!$B$2:$C$8,2,FALSE)</f>
        <v>保险学</v>
      </c>
      <c r="D447">
        <v>9.5</v>
      </c>
      <c r="E447">
        <v>8.4</v>
      </c>
      <c r="F447">
        <v>8.8</v>
      </c>
      <c r="G447">
        <v>7.5</v>
      </c>
      <c r="H447">
        <v>7.9</v>
      </c>
      <c r="I447">
        <v>7.8</v>
      </c>
      <c r="J447">
        <v>8.1</v>
      </c>
      <c r="K447">
        <v>8</v>
      </c>
      <c r="L447">
        <v>7.1</v>
      </c>
      <c r="M447">
        <v>7.5</v>
      </c>
      <c r="N447">
        <f t="shared" si="6"/>
        <v>80.6</v>
      </c>
    </row>
    <row r="448" spans="1:14">
      <c r="A448">
        <v>20188215</v>
      </c>
      <c r="B448" t="s">
        <v>15</v>
      </c>
      <c r="C448" t="str">
        <f>VLOOKUP(B448,专业代码!$B$2:$C$8,2,FALSE)</f>
        <v>保险学</v>
      </c>
      <c r="D448">
        <v>8.5</v>
      </c>
      <c r="E448">
        <v>8.2</v>
      </c>
      <c r="F448">
        <v>7.7</v>
      </c>
      <c r="G448">
        <v>7</v>
      </c>
      <c r="H448">
        <v>7.8</v>
      </c>
      <c r="I448">
        <v>7.6</v>
      </c>
      <c r="J448">
        <v>6.2</v>
      </c>
      <c r="K448">
        <v>4.7</v>
      </c>
      <c r="L448">
        <v>7.6</v>
      </c>
      <c r="M448">
        <v>4.9</v>
      </c>
      <c r="N448">
        <f t="shared" si="6"/>
        <v>70.2</v>
      </c>
    </row>
    <row r="449" spans="1:14">
      <c r="A449">
        <v>20184508</v>
      </c>
      <c r="B449" t="s">
        <v>15</v>
      </c>
      <c r="C449" t="str">
        <f>VLOOKUP(B449,专业代码!$B$2:$C$8,2,FALSE)</f>
        <v>保险学</v>
      </c>
      <c r="D449">
        <v>9</v>
      </c>
      <c r="E449">
        <v>7.4</v>
      </c>
      <c r="F449">
        <v>7.8</v>
      </c>
      <c r="G449">
        <v>8.8</v>
      </c>
      <c r="H449">
        <v>8.3</v>
      </c>
      <c r="I449">
        <v>8.6</v>
      </c>
      <c r="J449">
        <v>6.5</v>
      </c>
      <c r="K449">
        <v>8.5</v>
      </c>
      <c r="L449">
        <v>6.5</v>
      </c>
      <c r="M449">
        <v>7.3</v>
      </c>
      <c r="N449">
        <f t="shared" si="6"/>
        <v>78.7</v>
      </c>
    </row>
    <row r="450" spans="1:14">
      <c r="A450">
        <v>20181221</v>
      </c>
      <c r="B450" t="s">
        <v>15</v>
      </c>
      <c r="C450" t="str">
        <f>VLOOKUP(B450,专业代码!$B$2:$C$8,2,FALSE)</f>
        <v>保险学</v>
      </c>
      <c r="D450">
        <v>8.7</v>
      </c>
      <c r="E450">
        <v>8.3</v>
      </c>
      <c r="F450">
        <v>8.8</v>
      </c>
      <c r="G450">
        <v>8.3</v>
      </c>
      <c r="H450">
        <v>7.9</v>
      </c>
      <c r="I450">
        <v>8.6</v>
      </c>
      <c r="J450">
        <v>9</v>
      </c>
      <c r="K450">
        <v>6.9</v>
      </c>
      <c r="L450">
        <v>6.5</v>
      </c>
      <c r="M450">
        <v>5.7</v>
      </c>
      <c r="N450">
        <f t="shared" si="6"/>
        <v>78.7</v>
      </c>
    </row>
    <row r="451" spans="1:14">
      <c r="A451">
        <v>20184424</v>
      </c>
      <c r="B451" t="s">
        <v>15</v>
      </c>
      <c r="C451" t="str">
        <f>VLOOKUP(B451,专业代码!$B$2:$C$8,2,FALSE)</f>
        <v>保险学</v>
      </c>
      <c r="D451">
        <v>9.2</v>
      </c>
      <c r="E451">
        <v>7.7</v>
      </c>
      <c r="F451">
        <v>8.9</v>
      </c>
      <c r="G451">
        <v>8.4</v>
      </c>
      <c r="H451">
        <v>7.3</v>
      </c>
      <c r="I451">
        <v>7.2</v>
      </c>
      <c r="J451">
        <v>7.6</v>
      </c>
      <c r="K451">
        <v>8.5</v>
      </c>
      <c r="L451">
        <v>6.6</v>
      </c>
      <c r="M451">
        <v>6.7</v>
      </c>
      <c r="N451">
        <f t="shared" ref="N451:N514" si="7">SUM(D451:M451)</f>
        <v>78.1</v>
      </c>
    </row>
    <row r="452" spans="1:14">
      <c r="A452">
        <v>20185051</v>
      </c>
      <c r="B452" t="s">
        <v>16</v>
      </c>
      <c r="C452" t="str">
        <f>VLOOKUP(B452,专业代码!$B$2:$C$8,2,FALSE)</f>
        <v>金融学</v>
      </c>
      <c r="D452">
        <v>8.1</v>
      </c>
      <c r="E452">
        <v>9.1</v>
      </c>
      <c r="F452">
        <v>8.6</v>
      </c>
      <c r="G452">
        <v>8.8</v>
      </c>
      <c r="H452">
        <v>8.5</v>
      </c>
      <c r="I452">
        <v>6.7</v>
      </c>
      <c r="J452">
        <v>6.1</v>
      </c>
      <c r="K452">
        <v>8.1</v>
      </c>
      <c r="L452">
        <v>6.9</v>
      </c>
      <c r="M452">
        <v>6.3</v>
      </c>
      <c r="N452">
        <f t="shared" si="7"/>
        <v>77.2</v>
      </c>
    </row>
    <row r="453" spans="1:14">
      <c r="A453">
        <v>20185849</v>
      </c>
      <c r="B453" t="s">
        <v>16</v>
      </c>
      <c r="C453" t="str">
        <f>VLOOKUP(B453,专业代码!$B$2:$C$8,2,FALSE)</f>
        <v>金融学</v>
      </c>
      <c r="D453">
        <v>8.8</v>
      </c>
      <c r="E453">
        <v>9.2</v>
      </c>
      <c r="F453">
        <v>7.9</v>
      </c>
      <c r="G453">
        <v>9.2</v>
      </c>
      <c r="H453">
        <v>8.5</v>
      </c>
      <c r="I453">
        <v>7.1</v>
      </c>
      <c r="J453">
        <v>7.9</v>
      </c>
      <c r="K453">
        <v>8.5</v>
      </c>
      <c r="L453">
        <v>6</v>
      </c>
      <c r="M453">
        <v>8.1</v>
      </c>
      <c r="N453">
        <f t="shared" si="7"/>
        <v>81.2</v>
      </c>
    </row>
    <row r="454" spans="1:14">
      <c r="A454">
        <v>20187696</v>
      </c>
      <c r="B454" t="s">
        <v>16</v>
      </c>
      <c r="C454" t="str">
        <f>VLOOKUP(B454,专业代码!$B$2:$C$8,2,FALSE)</f>
        <v>金融学</v>
      </c>
      <c r="D454">
        <v>8.7</v>
      </c>
      <c r="E454">
        <v>9.3</v>
      </c>
      <c r="F454">
        <v>8.8</v>
      </c>
      <c r="G454">
        <v>9.7</v>
      </c>
      <c r="H454">
        <v>7.3</v>
      </c>
      <c r="I454">
        <v>8.8</v>
      </c>
      <c r="J454">
        <v>8.2</v>
      </c>
      <c r="K454">
        <v>5.1</v>
      </c>
      <c r="L454">
        <v>7.7</v>
      </c>
      <c r="M454">
        <v>6.4</v>
      </c>
      <c r="N454">
        <f t="shared" si="7"/>
        <v>80</v>
      </c>
    </row>
    <row r="455" spans="1:14">
      <c r="A455">
        <v>20181060</v>
      </c>
      <c r="B455" t="s">
        <v>16</v>
      </c>
      <c r="C455" t="str">
        <f>VLOOKUP(B455,专业代码!$B$2:$C$8,2,FALSE)</f>
        <v>金融学</v>
      </c>
      <c r="D455">
        <v>8.5</v>
      </c>
      <c r="E455">
        <v>9.4</v>
      </c>
      <c r="F455">
        <v>8.5</v>
      </c>
      <c r="G455">
        <v>8.4</v>
      </c>
      <c r="H455">
        <v>7.9</v>
      </c>
      <c r="I455">
        <v>6.2</v>
      </c>
      <c r="J455">
        <v>6.9</v>
      </c>
      <c r="K455">
        <v>6.7</v>
      </c>
      <c r="L455">
        <v>7.5</v>
      </c>
      <c r="M455">
        <v>4.8</v>
      </c>
      <c r="N455">
        <f t="shared" si="7"/>
        <v>74.8</v>
      </c>
    </row>
    <row r="456" spans="1:14">
      <c r="A456">
        <v>20186189</v>
      </c>
      <c r="B456" t="s">
        <v>16</v>
      </c>
      <c r="C456" t="str">
        <f>VLOOKUP(B456,专业代码!$B$2:$C$8,2,FALSE)</f>
        <v>金融学</v>
      </c>
      <c r="D456">
        <v>9.5</v>
      </c>
      <c r="E456">
        <v>9.6</v>
      </c>
      <c r="F456">
        <v>10</v>
      </c>
      <c r="G456">
        <v>8.7</v>
      </c>
      <c r="H456">
        <v>8.4</v>
      </c>
      <c r="I456">
        <v>7</v>
      </c>
      <c r="J456">
        <v>9.8</v>
      </c>
      <c r="K456">
        <v>8.5</v>
      </c>
      <c r="L456">
        <v>6.7</v>
      </c>
      <c r="M456">
        <v>8.2</v>
      </c>
      <c r="N456">
        <f t="shared" si="7"/>
        <v>86.4</v>
      </c>
    </row>
    <row r="457" spans="1:14">
      <c r="A457">
        <v>20189064</v>
      </c>
      <c r="B457" t="s">
        <v>16</v>
      </c>
      <c r="C457" t="str">
        <f>VLOOKUP(B457,专业代码!$B$2:$C$8,2,FALSE)</f>
        <v>金融学</v>
      </c>
      <c r="D457">
        <v>9.8</v>
      </c>
      <c r="E457">
        <v>8.3</v>
      </c>
      <c r="F457">
        <v>8.6</v>
      </c>
      <c r="G457">
        <v>8.9</v>
      </c>
      <c r="H457">
        <v>8.5</v>
      </c>
      <c r="I457">
        <v>7.6</v>
      </c>
      <c r="J457">
        <v>6.9</v>
      </c>
      <c r="K457">
        <v>8.4</v>
      </c>
      <c r="L457">
        <v>7.3</v>
      </c>
      <c r="M457">
        <v>6.4</v>
      </c>
      <c r="N457">
        <f t="shared" si="7"/>
        <v>80.7</v>
      </c>
    </row>
    <row r="458" spans="1:14">
      <c r="A458">
        <v>20185657</v>
      </c>
      <c r="B458" t="s">
        <v>16</v>
      </c>
      <c r="C458" t="str">
        <f>VLOOKUP(B458,专业代码!$B$2:$C$8,2,FALSE)</f>
        <v>金融学</v>
      </c>
      <c r="D458">
        <v>8</v>
      </c>
      <c r="E458">
        <v>8.2</v>
      </c>
      <c r="F458">
        <v>8.5</v>
      </c>
      <c r="G458">
        <v>8.9</v>
      </c>
      <c r="H458">
        <v>9.1</v>
      </c>
      <c r="I458">
        <v>8.4</v>
      </c>
      <c r="J458">
        <v>7.1</v>
      </c>
      <c r="K458">
        <v>7.1</v>
      </c>
      <c r="L458">
        <v>7.8</v>
      </c>
      <c r="M458">
        <v>6.6</v>
      </c>
      <c r="N458">
        <f t="shared" si="7"/>
        <v>79.7</v>
      </c>
    </row>
    <row r="459" spans="1:14">
      <c r="A459">
        <v>20186422</v>
      </c>
      <c r="B459" t="s">
        <v>16</v>
      </c>
      <c r="C459" t="str">
        <f>VLOOKUP(B459,专业代码!$B$2:$C$8,2,FALSE)</f>
        <v>金融学</v>
      </c>
      <c r="D459">
        <v>9.1</v>
      </c>
      <c r="E459">
        <v>9.6</v>
      </c>
      <c r="F459">
        <v>8.8</v>
      </c>
      <c r="G459">
        <v>8.7</v>
      </c>
      <c r="H459">
        <v>7.3</v>
      </c>
      <c r="I459">
        <v>8.3</v>
      </c>
      <c r="J459">
        <v>7.6</v>
      </c>
      <c r="K459">
        <v>7.9</v>
      </c>
      <c r="L459">
        <v>8.6</v>
      </c>
      <c r="M459">
        <v>8</v>
      </c>
      <c r="N459">
        <f t="shared" si="7"/>
        <v>83.9</v>
      </c>
    </row>
    <row r="460" spans="1:14">
      <c r="A460">
        <v>20186164</v>
      </c>
      <c r="B460" t="s">
        <v>16</v>
      </c>
      <c r="C460" t="str">
        <f>VLOOKUP(B460,专业代码!$B$2:$C$8,2,FALSE)</f>
        <v>金融学</v>
      </c>
      <c r="D460">
        <v>8.6</v>
      </c>
      <c r="E460">
        <v>8.9</v>
      </c>
      <c r="F460">
        <v>8.4</v>
      </c>
      <c r="G460">
        <v>8.5</v>
      </c>
      <c r="H460">
        <v>9.1</v>
      </c>
      <c r="I460">
        <v>8.2</v>
      </c>
      <c r="J460">
        <v>7.9</v>
      </c>
      <c r="K460">
        <v>7.8</v>
      </c>
      <c r="L460">
        <v>6.6</v>
      </c>
      <c r="M460">
        <v>8.4</v>
      </c>
      <c r="N460">
        <f t="shared" si="7"/>
        <v>82.4</v>
      </c>
    </row>
    <row r="461" spans="1:14">
      <c r="A461">
        <v>20181663</v>
      </c>
      <c r="B461" t="s">
        <v>16</v>
      </c>
      <c r="C461" t="str">
        <f>VLOOKUP(B461,专业代码!$B$2:$C$8,2,FALSE)</f>
        <v>金融学</v>
      </c>
      <c r="D461">
        <v>7.9</v>
      </c>
      <c r="E461">
        <v>9.2</v>
      </c>
      <c r="F461">
        <v>8.6</v>
      </c>
      <c r="G461">
        <v>8.1</v>
      </c>
      <c r="H461">
        <v>8.5</v>
      </c>
      <c r="I461">
        <v>7.7</v>
      </c>
      <c r="J461">
        <v>9.3</v>
      </c>
      <c r="K461">
        <v>6.2</v>
      </c>
      <c r="L461">
        <v>7</v>
      </c>
      <c r="M461">
        <v>8.5</v>
      </c>
      <c r="N461">
        <f t="shared" si="7"/>
        <v>81</v>
      </c>
    </row>
    <row r="462" spans="1:14">
      <c r="A462">
        <v>20184614</v>
      </c>
      <c r="B462" t="s">
        <v>16</v>
      </c>
      <c r="C462" t="str">
        <f>VLOOKUP(B462,专业代码!$B$2:$C$8,2,FALSE)</f>
        <v>金融学</v>
      </c>
      <c r="D462">
        <v>9.4</v>
      </c>
      <c r="E462">
        <v>9.9</v>
      </c>
      <c r="F462">
        <v>10</v>
      </c>
      <c r="G462">
        <v>8.3</v>
      </c>
      <c r="H462">
        <v>8.4</v>
      </c>
      <c r="I462">
        <v>7.6</v>
      </c>
      <c r="J462">
        <v>7.5</v>
      </c>
      <c r="K462">
        <v>6.8</v>
      </c>
      <c r="L462">
        <v>9</v>
      </c>
      <c r="M462">
        <v>8.5</v>
      </c>
      <c r="N462">
        <f t="shared" si="7"/>
        <v>85.4</v>
      </c>
    </row>
    <row r="463" spans="1:14">
      <c r="A463">
        <v>20181536</v>
      </c>
      <c r="B463" t="s">
        <v>16</v>
      </c>
      <c r="C463" t="str">
        <f>VLOOKUP(B463,专业代码!$B$2:$C$8,2,FALSE)</f>
        <v>金融学</v>
      </c>
      <c r="D463">
        <v>9.4</v>
      </c>
      <c r="E463">
        <v>9.5</v>
      </c>
      <c r="F463">
        <v>7.7</v>
      </c>
      <c r="G463">
        <v>8.4</v>
      </c>
      <c r="H463">
        <v>8.5</v>
      </c>
      <c r="I463">
        <v>8.7</v>
      </c>
      <c r="J463">
        <v>8.8</v>
      </c>
      <c r="K463">
        <v>6.7</v>
      </c>
      <c r="L463">
        <v>7.5</v>
      </c>
      <c r="M463">
        <v>7.6</v>
      </c>
      <c r="N463">
        <f t="shared" si="7"/>
        <v>82.8</v>
      </c>
    </row>
    <row r="464" spans="1:14">
      <c r="A464">
        <v>20182033</v>
      </c>
      <c r="B464" t="s">
        <v>16</v>
      </c>
      <c r="C464" t="str">
        <f>VLOOKUP(B464,专业代码!$B$2:$C$8,2,FALSE)</f>
        <v>金融学</v>
      </c>
      <c r="D464">
        <v>9.4</v>
      </c>
      <c r="E464">
        <v>8.4</v>
      </c>
      <c r="F464">
        <v>8.4</v>
      </c>
      <c r="G464">
        <v>9.4</v>
      </c>
      <c r="H464">
        <v>9.8</v>
      </c>
      <c r="I464">
        <v>7.8</v>
      </c>
      <c r="J464">
        <v>9.9</v>
      </c>
      <c r="K464">
        <v>9.2</v>
      </c>
      <c r="L464">
        <v>9.9</v>
      </c>
      <c r="M464">
        <v>6.5</v>
      </c>
      <c r="N464">
        <f t="shared" si="7"/>
        <v>88.7</v>
      </c>
    </row>
    <row r="465" spans="1:14">
      <c r="A465">
        <v>20186501</v>
      </c>
      <c r="B465" t="s">
        <v>16</v>
      </c>
      <c r="C465" t="str">
        <f>VLOOKUP(B465,专业代码!$B$2:$C$8,2,FALSE)</f>
        <v>金融学</v>
      </c>
      <c r="D465">
        <v>8.4</v>
      </c>
      <c r="E465">
        <v>8.1</v>
      </c>
      <c r="F465">
        <v>9.7</v>
      </c>
      <c r="G465">
        <v>8.9</v>
      </c>
      <c r="H465">
        <v>8.6</v>
      </c>
      <c r="I465">
        <v>8.4</v>
      </c>
      <c r="J465">
        <v>8.7</v>
      </c>
      <c r="K465">
        <v>8.8</v>
      </c>
      <c r="L465">
        <v>8.2</v>
      </c>
      <c r="M465">
        <v>5.1</v>
      </c>
      <c r="N465">
        <f t="shared" si="7"/>
        <v>82.9</v>
      </c>
    </row>
    <row r="466" spans="1:14">
      <c r="A466">
        <v>20184709</v>
      </c>
      <c r="B466" t="s">
        <v>16</v>
      </c>
      <c r="C466" t="str">
        <f>VLOOKUP(B466,专业代码!$B$2:$C$8,2,FALSE)</f>
        <v>金融学</v>
      </c>
      <c r="D466">
        <v>9.6</v>
      </c>
      <c r="E466">
        <v>8.3</v>
      </c>
      <c r="F466">
        <v>9.1</v>
      </c>
      <c r="G466">
        <v>9</v>
      </c>
      <c r="H466">
        <v>8.9</v>
      </c>
      <c r="I466">
        <v>9</v>
      </c>
      <c r="J466">
        <v>7.2</v>
      </c>
      <c r="K466">
        <v>7.6</v>
      </c>
      <c r="L466">
        <v>7.7</v>
      </c>
      <c r="M466">
        <v>7.6</v>
      </c>
      <c r="N466">
        <f t="shared" si="7"/>
        <v>84</v>
      </c>
    </row>
    <row r="467" spans="1:14">
      <c r="A467">
        <v>20186793</v>
      </c>
      <c r="B467" t="s">
        <v>16</v>
      </c>
      <c r="C467" t="str">
        <f>VLOOKUP(B467,专业代码!$B$2:$C$8,2,FALSE)</f>
        <v>金融学</v>
      </c>
      <c r="D467">
        <v>9.2</v>
      </c>
      <c r="E467">
        <v>9.7</v>
      </c>
      <c r="F467">
        <v>9</v>
      </c>
      <c r="G467">
        <v>8.7</v>
      </c>
      <c r="H467">
        <v>8</v>
      </c>
      <c r="I467">
        <v>7.5</v>
      </c>
      <c r="J467">
        <v>7.3</v>
      </c>
      <c r="K467">
        <v>6.9</v>
      </c>
      <c r="L467">
        <v>8.4</v>
      </c>
      <c r="M467">
        <v>6.8</v>
      </c>
      <c r="N467">
        <f t="shared" si="7"/>
        <v>81.5</v>
      </c>
    </row>
    <row r="468" spans="1:14">
      <c r="A468">
        <v>20181320</v>
      </c>
      <c r="B468" t="s">
        <v>16</v>
      </c>
      <c r="C468" t="str">
        <f>VLOOKUP(B468,专业代码!$B$2:$C$8,2,FALSE)</f>
        <v>金融学</v>
      </c>
      <c r="D468">
        <v>9.9</v>
      </c>
      <c r="E468">
        <v>8.6</v>
      </c>
      <c r="F468">
        <v>8.6</v>
      </c>
      <c r="G468">
        <v>9.1</v>
      </c>
      <c r="H468">
        <v>9.8</v>
      </c>
      <c r="I468">
        <v>8.1</v>
      </c>
      <c r="J468">
        <v>7</v>
      </c>
      <c r="K468">
        <v>8.7</v>
      </c>
      <c r="L468">
        <v>8</v>
      </c>
      <c r="M468">
        <v>8</v>
      </c>
      <c r="N468">
        <f t="shared" si="7"/>
        <v>85.8</v>
      </c>
    </row>
    <row r="469" spans="1:14">
      <c r="A469">
        <v>20181819</v>
      </c>
      <c r="B469" t="s">
        <v>16</v>
      </c>
      <c r="C469" t="str">
        <f>VLOOKUP(B469,专业代码!$B$2:$C$8,2,FALSE)</f>
        <v>金融学</v>
      </c>
      <c r="D469">
        <v>9.9</v>
      </c>
      <c r="E469">
        <v>9.7</v>
      </c>
      <c r="F469">
        <v>9.8</v>
      </c>
      <c r="G469">
        <v>9.7</v>
      </c>
      <c r="H469">
        <v>8.2</v>
      </c>
      <c r="I469">
        <v>9.6</v>
      </c>
      <c r="J469">
        <v>8.7</v>
      </c>
      <c r="K469">
        <v>8.3</v>
      </c>
      <c r="L469">
        <v>9.5</v>
      </c>
      <c r="M469">
        <v>8.8</v>
      </c>
      <c r="N469">
        <f t="shared" si="7"/>
        <v>92.2</v>
      </c>
    </row>
    <row r="470" spans="1:14">
      <c r="A470">
        <v>20182083</v>
      </c>
      <c r="B470" t="s">
        <v>16</v>
      </c>
      <c r="C470" t="str">
        <f>VLOOKUP(B470,专业代码!$B$2:$C$8,2,FALSE)</f>
        <v>金融学</v>
      </c>
      <c r="D470">
        <v>9.9</v>
      </c>
      <c r="E470">
        <v>9.3</v>
      </c>
      <c r="F470">
        <v>9.9</v>
      </c>
      <c r="G470">
        <v>9.9</v>
      </c>
      <c r="H470">
        <v>8.7</v>
      </c>
      <c r="I470">
        <v>9.9</v>
      </c>
      <c r="J470">
        <v>8.7</v>
      </c>
      <c r="K470">
        <v>8.6</v>
      </c>
      <c r="L470">
        <v>8.9</v>
      </c>
      <c r="M470">
        <v>7.5</v>
      </c>
      <c r="N470">
        <f t="shared" si="7"/>
        <v>91.3</v>
      </c>
    </row>
    <row r="471" spans="1:14">
      <c r="A471">
        <v>20186621</v>
      </c>
      <c r="B471" t="s">
        <v>16</v>
      </c>
      <c r="C471" t="str">
        <f>VLOOKUP(B471,专业代码!$B$2:$C$8,2,FALSE)</f>
        <v>金融学</v>
      </c>
      <c r="D471">
        <v>9.9</v>
      </c>
      <c r="E471">
        <v>9.9</v>
      </c>
      <c r="F471">
        <v>9.9</v>
      </c>
      <c r="G471">
        <v>9.9</v>
      </c>
      <c r="H471">
        <v>8.3</v>
      </c>
      <c r="I471">
        <v>8.5</v>
      </c>
      <c r="J471">
        <v>8.9</v>
      </c>
      <c r="K471">
        <v>9.9</v>
      </c>
      <c r="L471">
        <v>9.9</v>
      </c>
      <c r="M471">
        <v>7.9</v>
      </c>
      <c r="N471">
        <f t="shared" si="7"/>
        <v>93</v>
      </c>
    </row>
    <row r="472" spans="1:14">
      <c r="A472">
        <v>20183040</v>
      </c>
      <c r="B472" t="s">
        <v>16</v>
      </c>
      <c r="C472" t="str">
        <f>VLOOKUP(B472,专业代码!$B$2:$C$8,2,FALSE)</f>
        <v>金融学</v>
      </c>
      <c r="D472">
        <v>9</v>
      </c>
      <c r="E472">
        <v>8.5</v>
      </c>
      <c r="F472">
        <v>9.4</v>
      </c>
      <c r="G472">
        <v>9.3</v>
      </c>
      <c r="H472">
        <v>9.3</v>
      </c>
      <c r="I472">
        <v>6.9</v>
      </c>
      <c r="J472">
        <v>7.3</v>
      </c>
      <c r="K472">
        <v>6</v>
      </c>
      <c r="L472">
        <v>6.9</v>
      </c>
      <c r="M472">
        <v>5.4</v>
      </c>
      <c r="N472">
        <f t="shared" si="7"/>
        <v>78</v>
      </c>
    </row>
    <row r="473" spans="1:14">
      <c r="A473">
        <v>20186580</v>
      </c>
      <c r="B473" t="s">
        <v>16</v>
      </c>
      <c r="C473" t="str">
        <f>VLOOKUP(B473,专业代码!$B$2:$C$8,2,FALSE)</f>
        <v>金融学</v>
      </c>
      <c r="D473">
        <v>8.9</v>
      </c>
      <c r="E473">
        <v>9.3</v>
      </c>
      <c r="F473">
        <v>7.3</v>
      </c>
      <c r="G473">
        <v>8</v>
      </c>
      <c r="H473">
        <v>8.9</v>
      </c>
      <c r="I473">
        <v>9.9</v>
      </c>
      <c r="J473">
        <v>7</v>
      </c>
      <c r="K473">
        <v>6.8</v>
      </c>
      <c r="L473">
        <v>8.1</v>
      </c>
      <c r="M473">
        <v>7.4</v>
      </c>
      <c r="N473">
        <f t="shared" si="7"/>
        <v>81.6</v>
      </c>
    </row>
    <row r="474" spans="1:14">
      <c r="A474">
        <v>20188051</v>
      </c>
      <c r="B474" t="s">
        <v>16</v>
      </c>
      <c r="C474" t="str">
        <f>VLOOKUP(B474,专业代码!$B$2:$C$8,2,FALSE)</f>
        <v>金融学</v>
      </c>
      <c r="D474">
        <v>9.4</v>
      </c>
      <c r="E474">
        <v>9.1</v>
      </c>
      <c r="F474">
        <v>9.4</v>
      </c>
      <c r="G474">
        <v>8.3</v>
      </c>
      <c r="H474">
        <v>8.7</v>
      </c>
      <c r="I474">
        <v>8.5</v>
      </c>
      <c r="J474">
        <v>8.5</v>
      </c>
      <c r="K474">
        <v>8.4</v>
      </c>
      <c r="L474">
        <v>6.8</v>
      </c>
      <c r="M474">
        <v>8.2</v>
      </c>
      <c r="N474">
        <f t="shared" si="7"/>
        <v>85.3</v>
      </c>
    </row>
    <row r="475" spans="1:14">
      <c r="A475">
        <v>20189946</v>
      </c>
      <c r="B475" t="s">
        <v>16</v>
      </c>
      <c r="C475" t="str">
        <f>VLOOKUP(B475,专业代码!$B$2:$C$8,2,FALSE)</f>
        <v>金融学</v>
      </c>
      <c r="D475">
        <v>9.5</v>
      </c>
      <c r="E475">
        <v>9.5</v>
      </c>
      <c r="F475">
        <v>9.1</v>
      </c>
      <c r="G475">
        <v>8.7</v>
      </c>
      <c r="H475">
        <v>8.9</v>
      </c>
      <c r="I475">
        <v>7</v>
      </c>
      <c r="J475">
        <v>6.6</v>
      </c>
      <c r="K475">
        <v>6.6</v>
      </c>
      <c r="L475">
        <v>6.1</v>
      </c>
      <c r="M475">
        <v>6.2</v>
      </c>
      <c r="N475">
        <f t="shared" si="7"/>
        <v>78.2</v>
      </c>
    </row>
    <row r="476" spans="1:14">
      <c r="A476">
        <v>20181330</v>
      </c>
      <c r="B476" t="s">
        <v>16</v>
      </c>
      <c r="C476" t="str">
        <f>VLOOKUP(B476,专业代码!$B$2:$C$8,2,FALSE)</f>
        <v>金融学</v>
      </c>
      <c r="D476">
        <v>8.5</v>
      </c>
      <c r="E476">
        <v>8.4</v>
      </c>
      <c r="F476">
        <v>9.1</v>
      </c>
      <c r="G476">
        <v>9.4</v>
      </c>
      <c r="H476">
        <v>9.5</v>
      </c>
      <c r="I476">
        <v>8.3</v>
      </c>
      <c r="J476">
        <v>5.6</v>
      </c>
      <c r="K476">
        <v>7.7</v>
      </c>
      <c r="L476">
        <v>7.1</v>
      </c>
      <c r="M476">
        <v>8.3</v>
      </c>
      <c r="N476">
        <f t="shared" si="7"/>
        <v>81.9</v>
      </c>
    </row>
    <row r="477" spans="1:14">
      <c r="A477">
        <v>20183496</v>
      </c>
      <c r="B477" t="s">
        <v>16</v>
      </c>
      <c r="C477" t="str">
        <f>VLOOKUP(B477,专业代码!$B$2:$C$8,2,FALSE)</f>
        <v>金融学</v>
      </c>
      <c r="D477">
        <v>8.8</v>
      </c>
      <c r="E477">
        <v>8.8</v>
      </c>
      <c r="F477">
        <v>8.3</v>
      </c>
      <c r="G477">
        <v>7.6</v>
      </c>
      <c r="H477">
        <v>7.9</v>
      </c>
      <c r="I477">
        <v>8.2</v>
      </c>
      <c r="J477">
        <v>7.9</v>
      </c>
      <c r="K477">
        <v>7.1</v>
      </c>
      <c r="L477">
        <v>9.6</v>
      </c>
      <c r="M477">
        <v>5.8</v>
      </c>
      <c r="N477">
        <f t="shared" si="7"/>
        <v>80</v>
      </c>
    </row>
    <row r="478" spans="1:14">
      <c r="A478">
        <v>20186492</v>
      </c>
      <c r="B478" t="s">
        <v>16</v>
      </c>
      <c r="C478" t="str">
        <f>VLOOKUP(B478,专业代码!$B$2:$C$8,2,FALSE)</f>
        <v>金融学</v>
      </c>
      <c r="D478">
        <v>9.9</v>
      </c>
      <c r="E478">
        <v>7.6</v>
      </c>
      <c r="F478">
        <v>8.5</v>
      </c>
      <c r="G478">
        <v>8.6</v>
      </c>
      <c r="H478">
        <v>8.1</v>
      </c>
      <c r="I478">
        <v>8.4</v>
      </c>
      <c r="J478">
        <v>7.1</v>
      </c>
      <c r="K478">
        <v>8.5</v>
      </c>
      <c r="L478">
        <v>8</v>
      </c>
      <c r="M478">
        <v>9.3</v>
      </c>
      <c r="N478">
        <f t="shared" si="7"/>
        <v>84</v>
      </c>
    </row>
    <row r="479" spans="1:14">
      <c r="A479">
        <v>20186968</v>
      </c>
      <c r="B479" t="s">
        <v>16</v>
      </c>
      <c r="C479" t="str">
        <f>VLOOKUP(B479,专业代码!$B$2:$C$8,2,FALSE)</f>
        <v>金融学</v>
      </c>
      <c r="D479">
        <v>9.7</v>
      </c>
      <c r="E479">
        <v>8.4</v>
      </c>
      <c r="F479">
        <v>8.4</v>
      </c>
      <c r="G479">
        <v>9.5</v>
      </c>
      <c r="H479">
        <v>7.8</v>
      </c>
      <c r="I479">
        <v>7.9</v>
      </c>
      <c r="J479">
        <v>9.6</v>
      </c>
      <c r="K479">
        <v>8</v>
      </c>
      <c r="L479">
        <v>7.4</v>
      </c>
      <c r="M479">
        <v>6.5</v>
      </c>
      <c r="N479">
        <f t="shared" si="7"/>
        <v>83.2</v>
      </c>
    </row>
    <row r="480" spans="1:14">
      <c r="A480">
        <v>20181509</v>
      </c>
      <c r="B480" t="s">
        <v>16</v>
      </c>
      <c r="C480" t="str">
        <f>VLOOKUP(B480,专业代码!$B$2:$C$8,2,FALSE)</f>
        <v>金融学</v>
      </c>
      <c r="D480">
        <v>9.8</v>
      </c>
      <c r="E480">
        <v>9.4</v>
      </c>
      <c r="F480">
        <v>8.2</v>
      </c>
      <c r="G480">
        <v>9.1</v>
      </c>
      <c r="H480">
        <v>6.4</v>
      </c>
      <c r="I480">
        <v>7.9</v>
      </c>
      <c r="J480">
        <v>8.3</v>
      </c>
      <c r="K480">
        <v>8.5</v>
      </c>
      <c r="L480">
        <v>6.7</v>
      </c>
      <c r="M480">
        <v>6.4</v>
      </c>
      <c r="N480">
        <f t="shared" si="7"/>
        <v>80.7</v>
      </c>
    </row>
    <row r="481" spans="1:14">
      <c r="A481">
        <v>20186725</v>
      </c>
      <c r="B481" t="s">
        <v>16</v>
      </c>
      <c r="C481" t="str">
        <f>VLOOKUP(B481,专业代码!$B$2:$C$8,2,FALSE)</f>
        <v>金融学</v>
      </c>
      <c r="D481">
        <v>9.9</v>
      </c>
      <c r="E481">
        <v>8.5</v>
      </c>
      <c r="F481">
        <v>7.8</v>
      </c>
      <c r="G481">
        <v>9.3</v>
      </c>
      <c r="H481">
        <v>7.1</v>
      </c>
      <c r="I481">
        <v>7</v>
      </c>
      <c r="J481">
        <v>8.9</v>
      </c>
      <c r="K481">
        <v>6.2</v>
      </c>
      <c r="L481">
        <v>7.6</v>
      </c>
      <c r="M481">
        <v>6.9</v>
      </c>
      <c r="N481">
        <f t="shared" si="7"/>
        <v>79.2</v>
      </c>
    </row>
    <row r="482" spans="1:14">
      <c r="A482">
        <v>20185200</v>
      </c>
      <c r="B482" t="s">
        <v>16</v>
      </c>
      <c r="C482" t="str">
        <f>VLOOKUP(B482,专业代码!$B$2:$C$8,2,FALSE)</f>
        <v>金融学</v>
      </c>
      <c r="D482">
        <v>9.9</v>
      </c>
      <c r="E482">
        <v>7.8</v>
      </c>
      <c r="F482">
        <v>7.6</v>
      </c>
      <c r="G482">
        <v>8.6</v>
      </c>
      <c r="H482">
        <v>7.9</v>
      </c>
      <c r="I482">
        <v>9.4</v>
      </c>
      <c r="J482">
        <v>6.5</v>
      </c>
      <c r="K482">
        <v>7.1</v>
      </c>
      <c r="L482">
        <v>5.7</v>
      </c>
      <c r="M482">
        <v>5.6</v>
      </c>
      <c r="N482">
        <f t="shared" si="7"/>
        <v>76.1</v>
      </c>
    </row>
    <row r="483" spans="1:14">
      <c r="A483">
        <v>20186049</v>
      </c>
      <c r="B483" t="s">
        <v>16</v>
      </c>
      <c r="C483" t="str">
        <f>VLOOKUP(B483,专业代码!$B$2:$C$8,2,FALSE)</f>
        <v>金融学</v>
      </c>
      <c r="D483">
        <v>9.5</v>
      </c>
      <c r="E483">
        <v>8.8</v>
      </c>
      <c r="F483">
        <v>8.7</v>
      </c>
      <c r="G483">
        <v>8.1</v>
      </c>
      <c r="H483">
        <v>8.4</v>
      </c>
      <c r="I483">
        <v>9</v>
      </c>
      <c r="J483">
        <v>8.6</v>
      </c>
      <c r="K483">
        <v>8.9</v>
      </c>
      <c r="L483">
        <v>6.7</v>
      </c>
      <c r="M483">
        <v>8.1</v>
      </c>
      <c r="N483">
        <f t="shared" si="7"/>
        <v>84.8</v>
      </c>
    </row>
    <row r="484" spans="1:14">
      <c r="A484">
        <v>20189662</v>
      </c>
      <c r="B484" t="s">
        <v>16</v>
      </c>
      <c r="C484" t="str">
        <f>VLOOKUP(B484,专业代码!$B$2:$C$8,2,FALSE)</f>
        <v>金融学</v>
      </c>
      <c r="D484">
        <v>9.4</v>
      </c>
      <c r="E484">
        <v>9.3</v>
      </c>
      <c r="F484">
        <v>8.2</v>
      </c>
      <c r="G484">
        <v>9</v>
      </c>
      <c r="H484">
        <v>7.3</v>
      </c>
      <c r="I484">
        <v>7.8</v>
      </c>
      <c r="J484">
        <v>7.2</v>
      </c>
      <c r="K484">
        <v>6.2</v>
      </c>
      <c r="L484">
        <v>4.9</v>
      </c>
      <c r="M484">
        <v>4.8</v>
      </c>
      <c r="N484">
        <f t="shared" si="7"/>
        <v>74.1</v>
      </c>
    </row>
    <row r="485" spans="1:14">
      <c r="A485">
        <v>20183410</v>
      </c>
      <c r="B485" t="s">
        <v>16</v>
      </c>
      <c r="C485" t="str">
        <f>VLOOKUP(B485,专业代码!$B$2:$C$8,2,FALSE)</f>
        <v>金融学</v>
      </c>
      <c r="D485">
        <v>9.9</v>
      </c>
      <c r="E485">
        <v>9.8</v>
      </c>
      <c r="F485">
        <v>8.8</v>
      </c>
      <c r="G485">
        <v>9.4</v>
      </c>
      <c r="H485">
        <v>9.5</v>
      </c>
      <c r="I485">
        <v>8.2</v>
      </c>
      <c r="J485">
        <v>6.5</v>
      </c>
      <c r="K485">
        <v>7.2</v>
      </c>
      <c r="L485">
        <v>4.9</v>
      </c>
      <c r="M485">
        <v>6.6</v>
      </c>
      <c r="N485">
        <f t="shared" si="7"/>
        <v>80.8</v>
      </c>
    </row>
    <row r="486" spans="1:14">
      <c r="A486">
        <v>20187707</v>
      </c>
      <c r="B486" t="s">
        <v>16</v>
      </c>
      <c r="C486" t="str">
        <f>VLOOKUP(B486,专业代码!$B$2:$C$8,2,FALSE)</f>
        <v>金融学</v>
      </c>
      <c r="D486">
        <v>9</v>
      </c>
      <c r="E486">
        <v>8.8</v>
      </c>
      <c r="F486">
        <v>8.3</v>
      </c>
      <c r="G486">
        <v>9.4</v>
      </c>
      <c r="H486">
        <v>9.3</v>
      </c>
      <c r="I486">
        <v>8.6</v>
      </c>
      <c r="J486">
        <v>9.9</v>
      </c>
      <c r="K486">
        <v>9.3</v>
      </c>
      <c r="L486">
        <v>6.3</v>
      </c>
      <c r="M486">
        <v>5.1</v>
      </c>
      <c r="N486">
        <f t="shared" si="7"/>
        <v>84</v>
      </c>
    </row>
    <row r="487" spans="1:14">
      <c r="A487">
        <v>20185699</v>
      </c>
      <c r="B487" t="s">
        <v>16</v>
      </c>
      <c r="C487" t="str">
        <f>VLOOKUP(B487,专业代码!$B$2:$C$8,2,FALSE)</f>
        <v>金融学</v>
      </c>
      <c r="D487">
        <v>9.2</v>
      </c>
      <c r="E487">
        <v>9</v>
      </c>
      <c r="F487">
        <v>8.9</v>
      </c>
      <c r="G487">
        <v>9.2</v>
      </c>
      <c r="H487">
        <v>6.8</v>
      </c>
      <c r="I487">
        <v>9.2</v>
      </c>
      <c r="J487">
        <v>8.4</v>
      </c>
      <c r="K487">
        <v>9.9</v>
      </c>
      <c r="L487">
        <v>6.8</v>
      </c>
      <c r="M487">
        <v>4.1</v>
      </c>
      <c r="N487">
        <f t="shared" si="7"/>
        <v>81.5</v>
      </c>
    </row>
    <row r="488" spans="1:14">
      <c r="A488">
        <v>20186179</v>
      </c>
      <c r="B488" t="s">
        <v>16</v>
      </c>
      <c r="C488" t="str">
        <f>VLOOKUP(B488,专业代码!$B$2:$C$8,2,FALSE)</f>
        <v>金融学</v>
      </c>
      <c r="D488">
        <v>9.2</v>
      </c>
      <c r="E488">
        <v>9.8</v>
      </c>
      <c r="F488">
        <v>8.2</v>
      </c>
      <c r="G488">
        <v>8.5</v>
      </c>
      <c r="H488">
        <v>8.8</v>
      </c>
      <c r="I488">
        <v>6</v>
      </c>
      <c r="J488">
        <v>6.2</v>
      </c>
      <c r="K488">
        <v>8.3</v>
      </c>
      <c r="L488">
        <v>7.7</v>
      </c>
      <c r="M488">
        <v>8</v>
      </c>
      <c r="N488">
        <f t="shared" si="7"/>
        <v>80.7</v>
      </c>
    </row>
    <row r="489" spans="1:14">
      <c r="A489">
        <v>20183659</v>
      </c>
      <c r="B489" t="s">
        <v>16</v>
      </c>
      <c r="C489" t="str">
        <f>VLOOKUP(B489,专业代码!$B$2:$C$8,2,FALSE)</f>
        <v>金融学</v>
      </c>
      <c r="D489">
        <v>8.2</v>
      </c>
      <c r="E489">
        <v>8.5</v>
      </c>
      <c r="F489">
        <v>7.5</v>
      </c>
      <c r="G489">
        <v>8.7</v>
      </c>
      <c r="H489">
        <v>7.4</v>
      </c>
      <c r="I489">
        <v>6.9</v>
      </c>
      <c r="J489">
        <v>6.8</v>
      </c>
      <c r="K489">
        <v>9</v>
      </c>
      <c r="L489">
        <v>8.5</v>
      </c>
      <c r="M489">
        <v>7.4</v>
      </c>
      <c r="N489">
        <f t="shared" si="7"/>
        <v>78.9</v>
      </c>
    </row>
    <row r="490" spans="1:14">
      <c r="A490">
        <v>20185441</v>
      </c>
      <c r="B490" t="s">
        <v>16</v>
      </c>
      <c r="C490" t="str">
        <f>VLOOKUP(B490,专业代码!$B$2:$C$8,2,FALSE)</f>
        <v>金融学</v>
      </c>
      <c r="D490">
        <v>8.9</v>
      </c>
      <c r="E490">
        <v>9.9</v>
      </c>
      <c r="F490">
        <v>8.4</v>
      </c>
      <c r="G490">
        <v>8.6</v>
      </c>
      <c r="H490">
        <v>8.2</v>
      </c>
      <c r="I490">
        <v>9.9</v>
      </c>
      <c r="J490">
        <v>9.6</v>
      </c>
      <c r="K490">
        <v>6.9</v>
      </c>
      <c r="L490">
        <v>7.2</v>
      </c>
      <c r="M490">
        <v>6.8</v>
      </c>
      <c r="N490">
        <f t="shared" si="7"/>
        <v>84.4</v>
      </c>
    </row>
    <row r="491" spans="1:14">
      <c r="A491">
        <v>20188673</v>
      </c>
      <c r="B491" t="s">
        <v>16</v>
      </c>
      <c r="C491" t="str">
        <f>VLOOKUP(B491,专业代码!$B$2:$C$8,2,FALSE)</f>
        <v>金融学</v>
      </c>
      <c r="D491">
        <v>9.9</v>
      </c>
      <c r="E491">
        <v>9.5</v>
      </c>
      <c r="F491">
        <v>9.2</v>
      </c>
      <c r="G491">
        <v>8.9</v>
      </c>
      <c r="H491">
        <v>8.8</v>
      </c>
      <c r="I491">
        <v>7.9</v>
      </c>
      <c r="J491">
        <v>9.5</v>
      </c>
      <c r="K491">
        <v>8.8</v>
      </c>
      <c r="L491">
        <v>5.6</v>
      </c>
      <c r="M491">
        <v>5.6</v>
      </c>
      <c r="N491">
        <f t="shared" si="7"/>
        <v>83.7</v>
      </c>
    </row>
    <row r="492" spans="1:14">
      <c r="A492">
        <v>20184679</v>
      </c>
      <c r="B492" t="s">
        <v>16</v>
      </c>
      <c r="C492" t="str">
        <f>VLOOKUP(B492,专业代码!$B$2:$C$8,2,FALSE)</f>
        <v>金融学</v>
      </c>
      <c r="D492">
        <v>9.1</v>
      </c>
      <c r="E492">
        <v>9.5</v>
      </c>
      <c r="F492">
        <v>8.6</v>
      </c>
      <c r="G492">
        <v>9.7</v>
      </c>
      <c r="H492">
        <v>8.7</v>
      </c>
      <c r="I492">
        <v>7.2</v>
      </c>
      <c r="J492">
        <v>8.9</v>
      </c>
      <c r="K492">
        <v>8</v>
      </c>
      <c r="L492">
        <v>7.5</v>
      </c>
      <c r="M492">
        <v>5.1</v>
      </c>
      <c r="N492">
        <f t="shared" si="7"/>
        <v>82.3</v>
      </c>
    </row>
    <row r="493" spans="1:14">
      <c r="A493">
        <v>20185352</v>
      </c>
      <c r="B493" t="s">
        <v>16</v>
      </c>
      <c r="C493" t="str">
        <f>VLOOKUP(B493,专业代码!$B$2:$C$8,2,FALSE)</f>
        <v>金融学</v>
      </c>
      <c r="D493">
        <v>8.2</v>
      </c>
      <c r="E493">
        <v>9.7</v>
      </c>
      <c r="F493">
        <v>8.8</v>
      </c>
      <c r="G493">
        <v>8.3</v>
      </c>
      <c r="H493">
        <v>7.7</v>
      </c>
      <c r="I493">
        <v>7.7</v>
      </c>
      <c r="J493">
        <v>5.9</v>
      </c>
      <c r="K493">
        <v>7.5</v>
      </c>
      <c r="L493">
        <v>6.4</v>
      </c>
      <c r="M493">
        <v>6</v>
      </c>
      <c r="N493">
        <f t="shared" si="7"/>
        <v>76.2</v>
      </c>
    </row>
    <row r="494" spans="1:14">
      <c r="A494">
        <v>20181165</v>
      </c>
      <c r="B494" t="s">
        <v>16</v>
      </c>
      <c r="C494" t="str">
        <f>VLOOKUP(B494,专业代码!$B$2:$C$8,2,FALSE)</f>
        <v>金融学</v>
      </c>
      <c r="D494">
        <v>9.9</v>
      </c>
      <c r="E494">
        <v>8.9</v>
      </c>
      <c r="F494">
        <v>7.3</v>
      </c>
      <c r="G494">
        <v>8.2</v>
      </c>
      <c r="H494">
        <v>8.1</v>
      </c>
      <c r="I494">
        <v>8.3</v>
      </c>
      <c r="J494">
        <v>7.2</v>
      </c>
      <c r="K494">
        <v>8.8</v>
      </c>
      <c r="L494">
        <v>7.2</v>
      </c>
      <c r="M494">
        <v>7.1</v>
      </c>
      <c r="N494">
        <f t="shared" si="7"/>
        <v>81</v>
      </c>
    </row>
    <row r="495" spans="1:14">
      <c r="A495">
        <v>20182185</v>
      </c>
      <c r="B495" t="s">
        <v>16</v>
      </c>
      <c r="C495" t="str">
        <f>VLOOKUP(B495,专业代码!$B$2:$C$8,2,FALSE)</f>
        <v>金融学</v>
      </c>
      <c r="D495">
        <v>9.3</v>
      </c>
      <c r="E495">
        <v>9.6</v>
      </c>
      <c r="F495">
        <v>8</v>
      </c>
      <c r="G495">
        <v>8.4</v>
      </c>
      <c r="H495">
        <v>7.1</v>
      </c>
      <c r="I495">
        <v>6.7</v>
      </c>
      <c r="J495">
        <v>8.6</v>
      </c>
      <c r="K495">
        <v>6.8</v>
      </c>
      <c r="L495">
        <v>6.7</v>
      </c>
      <c r="M495">
        <v>4.8</v>
      </c>
      <c r="N495">
        <f t="shared" si="7"/>
        <v>76</v>
      </c>
    </row>
    <row r="496" spans="1:14">
      <c r="A496">
        <v>20183375</v>
      </c>
      <c r="B496" t="s">
        <v>16</v>
      </c>
      <c r="C496" t="str">
        <f>VLOOKUP(B496,专业代码!$B$2:$C$8,2,FALSE)</f>
        <v>金融学</v>
      </c>
      <c r="D496">
        <v>7.9</v>
      </c>
      <c r="E496">
        <v>8.6</v>
      </c>
      <c r="F496">
        <v>9</v>
      </c>
      <c r="G496">
        <v>9.9</v>
      </c>
      <c r="H496">
        <v>7.2</v>
      </c>
      <c r="I496">
        <v>7.8</v>
      </c>
      <c r="J496">
        <v>7.4</v>
      </c>
      <c r="K496">
        <v>6.9</v>
      </c>
      <c r="L496">
        <v>7.6</v>
      </c>
      <c r="M496">
        <v>6.1</v>
      </c>
      <c r="N496">
        <f t="shared" si="7"/>
        <v>78.4</v>
      </c>
    </row>
    <row r="497" spans="1:14">
      <c r="A497">
        <v>20184115</v>
      </c>
      <c r="B497" t="s">
        <v>16</v>
      </c>
      <c r="C497" t="str">
        <f>VLOOKUP(B497,专业代码!$B$2:$C$8,2,FALSE)</f>
        <v>金融学</v>
      </c>
      <c r="D497">
        <v>9.9</v>
      </c>
      <c r="E497">
        <v>9.9</v>
      </c>
      <c r="F497">
        <v>8.3</v>
      </c>
      <c r="G497">
        <v>8.8</v>
      </c>
      <c r="H497">
        <v>7.9</v>
      </c>
      <c r="I497">
        <v>8.6</v>
      </c>
      <c r="J497">
        <v>9.9</v>
      </c>
      <c r="K497">
        <v>9.1</v>
      </c>
      <c r="L497">
        <v>8.1</v>
      </c>
      <c r="M497">
        <v>5.9</v>
      </c>
      <c r="N497">
        <f t="shared" si="7"/>
        <v>86.4</v>
      </c>
    </row>
    <row r="498" spans="1:14">
      <c r="A498">
        <v>20187925</v>
      </c>
      <c r="B498" t="s">
        <v>16</v>
      </c>
      <c r="C498" t="str">
        <f>VLOOKUP(B498,专业代码!$B$2:$C$8,2,FALSE)</f>
        <v>金融学</v>
      </c>
      <c r="D498">
        <v>9.3</v>
      </c>
      <c r="E498">
        <v>9.2</v>
      </c>
      <c r="F498">
        <v>9.9</v>
      </c>
      <c r="G498">
        <v>9.9</v>
      </c>
      <c r="H498">
        <v>8.4</v>
      </c>
      <c r="I498">
        <v>9.2</v>
      </c>
      <c r="J498">
        <v>8.4</v>
      </c>
      <c r="K498">
        <v>9.4</v>
      </c>
      <c r="L498">
        <v>8.2</v>
      </c>
      <c r="M498">
        <v>5.4</v>
      </c>
      <c r="N498">
        <f t="shared" si="7"/>
        <v>87.3</v>
      </c>
    </row>
    <row r="499" spans="1:14">
      <c r="A499">
        <v>20188715</v>
      </c>
      <c r="B499" t="s">
        <v>16</v>
      </c>
      <c r="C499" t="str">
        <f>VLOOKUP(B499,专业代码!$B$2:$C$8,2,FALSE)</f>
        <v>金融学</v>
      </c>
      <c r="D499">
        <v>9.8</v>
      </c>
      <c r="E499">
        <v>9.9</v>
      </c>
      <c r="F499">
        <v>8.2</v>
      </c>
      <c r="G499">
        <v>9.4</v>
      </c>
      <c r="H499">
        <v>8.3</v>
      </c>
      <c r="I499">
        <v>8.1</v>
      </c>
      <c r="J499">
        <v>7.9</v>
      </c>
      <c r="K499">
        <v>7.2</v>
      </c>
      <c r="L499">
        <v>6.6</v>
      </c>
      <c r="M499">
        <v>6.2</v>
      </c>
      <c r="N499">
        <f t="shared" si="7"/>
        <v>81.6</v>
      </c>
    </row>
    <row r="500" spans="1:14">
      <c r="A500">
        <v>20189281</v>
      </c>
      <c r="B500" t="s">
        <v>16</v>
      </c>
      <c r="C500" t="str">
        <f>VLOOKUP(B500,专业代码!$B$2:$C$8,2,FALSE)</f>
        <v>金融学</v>
      </c>
      <c r="D500">
        <v>9.5</v>
      </c>
      <c r="E500">
        <v>9.9</v>
      </c>
      <c r="F500">
        <v>9.4</v>
      </c>
      <c r="G500">
        <v>9.5</v>
      </c>
      <c r="H500">
        <v>7.2</v>
      </c>
      <c r="I500">
        <v>8.2</v>
      </c>
      <c r="J500">
        <v>7.4</v>
      </c>
      <c r="K500">
        <v>8.4</v>
      </c>
      <c r="L500">
        <v>7.3</v>
      </c>
      <c r="M500">
        <v>5.6</v>
      </c>
      <c r="N500">
        <f t="shared" si="7"/>
        <v>82.4</v>
      </c>
    </row>
    <row r="501" spans="1:14">
      <c r="A501">
        <v>20182806</v>
      </c>
      <c r="B501" t="s">
        <v>17</v>
      </c>
      <c r="C501" t="str">
        <f>VLOOKUP(B501,专业代码!$B$2:$C$8,2,FALSE)</f>
        <v>金融工程</v>
      </c>
      <c r="D501">
        <v>8.5</v>
      </c>
      <c r="E501">
        <v>9.1</v>
      </c>
      <c r="F501">
        <v>8.2</v>
      </c>
      <c r="G501">
        <v>8</v>
      </c>
      <c r="H501">
        <v>7</v>
      </c>
      <c r="I501">
        <v>9</v>
      </c>
      <c r="J501">
        <v>8.4</v>
      </c>
      <c r="K501">
        <v>6.1</v>
      </c>
      <c r="L501">
        <v>6</v>
      </c>
      <c r="M501">
        <v>4.7</v>
      </c>
      <c r="N501">
        <f t="shared" si="7"/>
        <v>75</v>
      </c>
    </row>
    <row r="502" spans="1:14">
      <c r="A502">
        <v>20183880</v>
      </c>
      <c r="B502" t="s">
        <v>17</v>
      </c>
      <c r="C502" t="str">
        <f>VLOOKUP(B502,专业代码!$B$2:$C$8,2,FALSE)</f>
        <v>金融工程</v>
      </c>
      <c r="D502">
        <v>8.3</v>
      </c>
      <c r="E502">
        <v>8.3</v>
      </c>
      <c r="F502">
        <v>8.5</v>
      </c>
      <c r="G502">
        <v>7.4</v>
      </c>
      <c r="H502">
        <v>7</v>
      </c>
      <c r="I502">
        <v>6.6</v>
      </c>
      <c r="J502">
        <v>9.3</v>
      </c>
      <c r="K502">
        <v>6.1</v>
      </c>
      <c r="L502">
        <v>7.4</v>
      </c>
      <c r="M502">
        <v>5</v>
      </c>
      <c r="N502">
        <f t="shared" si="7"/>
        <v>73.9</v>
      </c>
    </row>
    <row r="503" spans="1:14">
      <c r="A503">
        <v>20185638</v>
      </c>
      <c r="B503" t="s">
        <v>17</v>
      </c>
      <c r="C503" t="str">
        <f>VLOOKUP(B503,专业代码!$B$2:$C$8,2,FALSE)</f>
        <v>金融工程</v>
      </c>
      <c r="D503">
        <v>8.2</v>
      </c>
      <c r="E503">
        <v>7.2</v>
      </c>
      <c r="F503">
        <v>7.3</v>
      </c>
      <c r="G503">
        <v>7.7</v>
      </c>
      <c r="H503">
        <v>6.5</v>
      </c>
      <c r="I503">
        <v>6.8</v>
      </c>
      <c r="J503">
        <v>8.9</v>
      </c>
      <c r="K503">
        <v>6.9</v>
      </c>
      <c r="L503">
        <v>6.8</v>
      </c>
      <c r="M503">
        <v>6.8</v>
      </c>
      <c r="N503">
        <f t="shared" si="7"/>
        <v>73.1</v>
      </c>
    </row>
    <row r="504" spans="1:14">
      <c r="A504">
        <v>20186498</v>
      </c>
      <c r="B504" t="s">
        <v>17</v>
      </c>
      <c r="C504" t="str">
        <f>VLOOKUP(B504,专业代码!$B$2:$C$8,2,FALSE)</f>
        <v>金融工程</v>
      </c>
      <c r="D504">
        <v>8.9</v>
      </c>
      <c r="E504">
        <v>8.4</v>
      </c>
      <c r="F504">
        <v>8</v>
      </c>
      <c r="G504">
        <v>8.2</v>
      </c>
      <c r="H504">
        <v>8</v>
      </c>
      <c r="I504">
        <v>6</v>
      </c>
      <c r="J504">
        <v>7.6</v>
      </c>
      <c r="K504">
        <v>6.1</v>
      </c>
      <c r="L504">
        <v>5.2</v>
      </c>
      <c r="M504">
        <v>4.6</v>
      </c>
      <c r="N504">
        <f t="shared" si="7"/>
        <v>71</v>
      </c>
    </row>
    <row r="505" spans="1:14">
      <c r="A505">
        <v>20187952</v>
      </c>
      <c r="B505" t="s">
        <v>17</v>
      </c>
      <c r="C505" t="str">
        <f>VLOOKUP(B505,专业代码!$B$2:$C$8,2,FALSE)</f>
        <v>金融工程</v>
      </c>
      <c r="D505">
        <v>9.1</v>
      </c>
      <c r="E505">
        <v>8.3</v>
      </c>
      <c r="F505">
        <v>7.9</v>
      </c>
      <c r="G505">
        <v>7.6</v>
      </c>
      <c r="H505">
        <v>6.9</v>
      </c>
      <c r="I505">
        <v>7.1</v>
      </c>
      <c r="J505">
        <v>7.4</v>
      </c>
      <c r="K505">
        <v>6.9</v>
      </c>
      <c r="L505">
        <v>7.8</v>
      </c>
      <c r="M505">
        <v>6.1</v>
      </c>
      <c r="N505">
        <f t="shared" si="7"/>
        <v>75.1</v>
      </c>
    </row>
    <row r="506" spans="1:14">
      <c r="A506">
        <v>20188437</v>
      </c>
      <c r="B506" t="s">
        <v>17</v>
      </c>
      <c r="C506" t="str">
        <f>VLOOKUP(B506,专业代码!$B$2:$C$8,2,FALSE)</f>
        <v>金融工程</v>
      </c>
      <c r="D506">
        <v>8.4</v>
      </c>
      <c r="E506">
        <v>9.2</v>
      </c>
      <c r="F506">
        <v>8.5</v>
      </c>
      <c r="G506">
        <v>7.8</v>
      </c>
      <c r="H506">
        <v>9.8</v>
      </c>
      <c r="I506">
        <v>7.4</v>
      </c>
      <c r="J506">
        <v>6.2</v>
      </c>
      <c r="K506">
        <v>6.4</v>
      </c>
      <c r="L506">
        <v>7.1</v>
      </c>
      <c r="M506">
        <v>6.9</v>
      </c>
      <c r="N506">
        <f t="shared" si="7"/>
        <v>77.7</v>
      </c>
    </row>
    <row r="507" spans="1:14">
      <c r="A507">
        <v>20182424</v>
      </c>
      <c r="B507" t="s">
        <v>17</v>
      </c>
      <c r="C507" t="str">
        <f>VLOOKUP(B507,专业代码!$B$2:$C$8,2,FALSE)</f>
        <v>金融工程</v>
      </c>
      <c r="D507">
        <v>8.6</v>
      </c>
      <c r="E507">
        <v>7.3</v>
      </c>
      <c r="F507">
        <v>8.2</v>
      </c>
      <c r="G507">
        <v>7.5</v>
      </c>
      <c r="H507">
        <v>8.1</v>
      </c>
      <c r="I507">
        <v>8.1</v>
      </c>
      <c r="J507">
        <v>7.6</v>
      </c>
      <c r="K507">
        <v>7.2</v>
      </c>
      <c r="L507">
        <v>6.4</v>
      </c>
      <c r="M507">
        <v>6</v>
      </c>
      <c r="N507">
        <f t="shared" si="7"/>
        <v>75</v>
      </c>
    </row>
    <row r="508" spans="1:14">
      <c r="A508">
        <v>20189104</v>
      </c>
      <c r="B508" t="s">
        <v>17</v>
      </c>
      <c r="C508" t="str">
        <f>VLOOKUP(B508,专业代码!$B$2:$C$8,2,FALSE)</f>
        <v>金融工程</v>
      </c>
      <c r="D508">
        <v>9.3</v>
      </c>
      <c r="E508">
        <v>7.9</v>
      </c>
      <c r="F508">
        <v>7.2</v>
      </c>
      <c r="G508">
        <v>7.4</v>
      </c>
      <c r="H508">
        <v>7.6</v>
      </c>
      <c r="I508">
        <v>6.4</v>
      </c>
      <c r="J508">
        <v>7.6</v>
      </c>
      <c r="K508">
        <v>6.7</v>
      </c>
      <c r="L508">
        <v>7.6</v>
      </c>
      <c r="M508">
        <v>5.8</v>
      </c>
      <c r="N508">
        <f t="shared" si="7"/>
        <v>73.5</v>
      </c>
    </row>
    <row r="509" spans="1:14">
      <c r="A509">
        <v>20189139</v>
      </c>
      <c r="B509" t="s">
        <v>17</v>
      </c>
      <c r="C509" t="str">
        <f>VLOOKUP(B509,专业代码!$B$2:$C$8,2,FALSE)</f>
        <v>金融工程</v>
      </c>
      <c r="D509">
        <v>8.4</v>
      </c>
      <c r="E509">
        <v>8</v>
      </c>
      <c r="F509">
        <v>8.3</v>
      </c>
      <c r="G509">
        <v>8</v>
      </c>
      <c r="H509">
        <v>7.2</v>
      </c>
      <c r="I509">
        <v>7</v>
      </c>
      <c r="J509">
        <v>7.9</v>
      </c>
      <c r="K509">
        <v>7.1</v>
      </c>
      <c r="L509">
        <v>7.5</v>
      </c>
      <c r="M509">
        <v>6.3</v>
      </c>
      <c r="N509">
        <f t="shared" si="7"/>
        <v>75.7</v>
      </c>
    </row>
    <row r="510" spans="1:14">
      <c r="A510">
        <v>20181503</v>
      </c>
      <c r="B510" t="s">
        <v>17</v>
      </c>
      <c r="C510" t="str">
        <f>VLOOKUP(B510,专业代码!$B$2:$C$8,2,FALSE)</f>
        <v>金融工程</v>
      </c>
      <c r="D510">
        <v>8.5</v>
      </c>
      <c r="E510">
        <v>7.7</v>
      </c>
      <c r="F510">
        <v>8.5</v>
      </c>
      <c r="G510">
        <v>7.8</v>
      </c>
      <c r="H510">
        <v>7.1</v>
      </c>
      <c r="I510">
        <v>8</v>
      </c>
      <c r="J510">
        <v>7.1</v>
      </c>
      <c r="K510">
        <v>4</v>
      </c>
      <c r="L510">
        <v>6.8</v>
      </c>
      <c r="M510">
        <v>7.2</v>
      </c>
      <c r="N510">
        <f t="shared" si="7"/>
        <v>72.7</v>
      </c>
    </row>
    <row r="511" spans="1:14">
      <c r="A511">
        <v>20184190</v>
      </c>
      <c r="B511" t="s">
        <v>17</v>
      </c>
      <c r="C511" t="str">
        <f>VLOOKUP(B511,专业代码!$B$2:$C$8,2,FALSE)</f>
        <v>金融工程</v>
      </c>
      <c r="D511">
        <v>9</v>
      </c>
      <c r="E511">
        <v>8</v>
      </c>
      <c r="F511">
        <v>7.8</v>
      </c>
      <c r="G511">
        <v>7.2</v>
      </c>
      <c r="H511">
        <v>7</v>
      </c>
      <c r="I511">
        <v>8.2</v>
      </c>
      <c r="J511">
        <v>6.3</v>
      </c>
      <c r="K511">
        <v>6.2</v>
      </c>
      <c r="L511">
        <v>7.7</v>
      </c>
      <c r="M511">
        <v>4.3</v>
      </c>
      <c r="N511">
        <f t="shared" si="7"/>
        <v>71.7</v>
      </c>
    </row>
    <row r="512" spans="1:14">
      <c r="A512">
        <v>20188182</v>
      </c>
      <c r="B512" t="s">
        <v>17</v>
      </c>
      <c r="C512" t="str">
        <f>VLOOKUP(B512,专业代码!$B$2:$C$8,2,FALSE)</f>
        <v>金融工程</v>
      </c>
      <c r="D512">
        <v>8.4</v>
      </c>
      <c r="E512">
        <v>7.9</v>
      </c>
      <c r="F512">
        <v>7.9</v>
      </c>
      <c r="G512">
        <v>7.6</v>
      </c>
      <c r="H512">
        <v>5.8</v>
      </c>
      <c r="I512">
        <v>6.2</v>
      </c>
      <c r="J512">
        <v>7.5</v>
      </c>
      <c r="K512">
        <v>6.2</v>
      </c>
      <c r="L512">
        <v>6.1</v>
      </c>
      <c r="M512">
        <v>7.4</v>
      </c>
      <c r="N512">
        <f t="shared" si="7"/>
        <v>71</v>
      </c>
    </row>
    <row r="513" spans="1:14">
      <c r="A513">
        <v>20189161</v>
      </c>
      <c r="B513" t="s">
        <v>17</v>
      </c>
      <c r="C513" t="str">
        <f>VLOOKUP(B513,专业代码!$B$2:$C$8,2,FALSE)</f>
        <v>金融工程</v>
      </c>
      <c r="D513">
        <v>9.5</v>
      </c>
      <c r="E513">
        <v>9</v>
      </c>
      <c r="F513">
        <v>9.2</v>
      </c>
      <c r="G513">
        <v>7.4</v>
      </c>
      <c r="H513">
        <v>7.1</v>
      </c>
      <c r="I513">
        <v>7.1</v>
      </c>
      <c r="J513">
        <v>7.7</v>
      </c>
      <c r="K513">
        <v>8.4</v>
      </c>
      <c r="L513">
        <v>6</v>
      </c>
      <c r="M513">
        <v>7</v>
      </c>
      <c r="N513">
        <f t="shared" si="7"/>
        <v>78.4</v>
      </c>
    </row>
    <row r="514" spans="1:14">
      <c r="A514">
        <v>20189736</v>
      </c>
      <c r="B514" t="s">
        <v>17</v>
      </c>
      <c r="C514" t="str">
        <f>VLOOKUP(B514,专业代码!$B$2:$C$8,2,FALSE)</f>
        <v>金融工程</v>
      </c>
      <c r="D514">
        <v>8.6</v>
      </c>
      <c r="E514">
        <v>8.1</v>
      </c>
      <c r="F514">
        <v>7.9</v>
      </c>
      <c r="G514">
        <v>8.1</v>
      </c>
      <c r="H514">
        <v>8.9</v>
      </c>
      <c r="I514">
        <v>7.3</v>
      </c>
      <c r="J514">
        <v>8</v>
      </c>
      <c r="K514">
        <v>5.2</v>
      </c>
      <c r="L514">
        <v>7.1</v>
      </c>
      <c r="M514">
        <v>6.1</v>
      </c>
      <c r="N514">
        <f t="shared" si="7"/>
        <v>75.3</v>
      </c>
    </row>
    <row r="515" spans="1:14">
      <c r="A515">
        <v>20184885</v>
      </c>
      <c r="B515" t="s">
        <v>17</v>
      </c>
      <c r="C515" t="str">
        <f>VLOOKUP(B515,专业代码!$B$2:$C$8,2,FALSE)</f>
        <v>金融工程</v>
      </c>
      <c r="D515">
        <v>8.9</v>
      </c>
      <c r="E515">
        <v>9</v>
      </c>
      <c r="F515">
        <v>8.3</v>
      </c>
      <c r="G515">
        <v>8.4</v>
      </c>
      <c r="H515">
        <v>6.8</v>
      </c>
      <c r="I515">
        <v>8.1</v>
      </c>
      <c r="J515">
        <v>7.4</v>
      </c>
      <c r="K515">
        <v>7.1</v>
      </c>
      <c r="L515">
        <v>7.3</v>
      </c>
      <c r="M515">
        <v>5.6</v>
      </c>
      <c r="N515">
        <f t="shared" ref="N515:N578" si="8">SUM(D515:M515)</f>
        <v>76.9</v>
      </c>
    </row>
    <row r="516" spans="1:14">
      <c r="A516">
        <v>20185200</v>
      </c>
      <c r="B516" t="s">
        <v>17</v>
      </c>
      <c r="C516" t="str">
        <f>VLOOKUP(B516,专业代码!$B$2:$C$8,2,FALSE)</f>
        <v>金融工程</v>
      </c>
      <c r="D516">
        <v>8.8</v>
      </c>
      <c r="E516">
        <v>8</v>
      </c>
      <c r="F516">
        <v>8.1</v>
      </c>
      <c r="G516">
        <v>7.5</v>
      </c>
      <c r="H516">
        <v>8.4</v>
      </c>
      <c r="I516">
        <v>6.3</v>
      </c>
      <c r="J516">
        <v>7.7</v>
      </c>
      <c r="K516">
        <v>7.6</v>
      </c>
      <c r="L516">
        <v>6.7</v>
      </c>
      <c r="M516">
        <v>4.6</v>
      </c>
      <c r="N516">
        <f t="shared" si="8"/>
        <v>73.7</v>
      </c>
    </row>
    <row r="517" spans="1:14">
      <c r="A517">
        <v>20182753</v>
      </c>
      <c r="B517" t="s">
        <v>17</v>
      </c>
      <c r="C517" t="str">
        <f>VLOOKUP(B517,专业代码!$B$2:$C$8,2,FALSE)</f>
        <v>金融工程</v>
      </c>
      <c r="D517">
        <v>8.6</v>
      </c>
      <c r="E517">
        <v>7.8</v>
      </c>
      <c r="F517">
        <v>8.4</v>
      </c>
      <c r="G517">
        <v>8.7</v>
      </c>
      <c r="H517">
        <v>8.1</v>
      </c>
      <c r="I517">
        <v>8</v>
      </c>
      <c r="J517">
        <v>8.2</v>
      </c>
      <c r="K517">
        <v>6.8</v>
      </c>
      <c r="L517">
        <v>7.5</v>
      </c>
      <c r="M517">
        <v>6.5</v>
      </c>
      <c r="N517">
        <f t="shared" si="8"/>
        <v>78.6</v>
      </c>
    </row>
    <row r="518" spans="1:14">
      <c r="A518">
        <v>20183069</v>
      </c>
      <c r="B518" t="s">
        <v>17</v>
      </c>
      <c r="C518" t="str">
        <f>VLOOKUP(B518,专业代码!$B$2:$C$8,2,FALSE)</f>
        <v>金融工程</v>
      </c>
      <c r="D518">
        <v>8.8</v>
      </c>
      <c r="E518">
        <v>8.3</v>
      </c>
      <c r="F518">
        <v>8</v>
      </c>
      <c r="G518">
        <v>7.7</v>
      </c>
      <c r="H518">
        <v>7.7</v>
      </c>
      <c r="I518">
        <v>6.7</v>
      </c>
      <c r="J518">
        <v>6.9</v>
      </c>
      <c r="K518">
        <v>6.6</v>
      </c>
      <c r="L518">
        <v>6.2</v>
      </c>
      <c r="M518">
        <v>7.7</v>
      </c>
      <c r="N518">
        <f t="shared" si="8"/>
        <v>74.6</v>
      </c>
    </row>
    <row r="519" spans="1:14">
      <c r="A519">
        <v>20183112</v>
      </c>
      <c r="B519" t="s">
        <v>17</v>
      </c>
      <c r="C519" t="str">
        <f>VLOOKUP(B519,专业代码!$B$2:$C$8,2,FALSE)</f>
        <v>金融工程</v>
      </c>
      <c r="D519">
        <v>7.8</v>
      </c>
      <c r="E519">
        <v>7.8</v>
      </c>
      <c r="F519">
        <v>8.7</v>
      </c>
      <c r="G519">
        <v>8.1</v>
      </c>
      <c r="H519">
        <v>7.8</v>
      </c>
      <c r="I519">
        <v>7.2</v>
      </c>
      <c r="J519">
        <v>8.3</v>
      </c>
      <c r="K519">
        <v>6.9</v>
      </c>
      <c r="L519">
        <v>7.7</v>
      </c>
      <c r="M519">
        <v>6.7</v>
      </c>
      <c r="N519">
        <f t="shared" si="8"/>
        <v>77</v>
      </c>
    </row>
    <row r="520" spans="1:14">
      <c r="A520">
        <v>20182268</v>
      </c>
      <c r="B520" t="s">
        <v>17</v>
      </c>
      <c r="C520" t="str">
        <f>VLOOKUP(B520,专业代码!$B$2:$C$8,2,FALSE)</f>
        <v>金融工程</v>
      </c>
      <c r="D520">
        <v>8.6</v>
      </c>
      <c r="E520">
        <v>9.1</v>
      </c>
      <c r="F520">
        <v>7.7</v>
      </c>
      <c r="G520">
        <v>6.6</v>
      </c>
      <c r="H520">
        <v>8.6</v>
      </c>
      <c r="I520">
        <v>8.3</v>
      </c>
      <c r="J520">
        <v>8.4</v>
      </c>
      <c r="K520">
        <v>7.4</v>
      </c>
      <c r="L520">
        <v>6.4</v>
      </c>
      <c r="M520">
        <v>6.2</v>
      </c>
      <c r="N520">
        <f t="shared" si="8"/>
        <v>77.3</v>
      </c>
    </row>
    <row r="521" spans="1:14">
      <c r="A521">
        <v>20183028</v>
      </c>
      <c r="B521" t="s">
        <v>17</v>
      </c>
      <c r="C521" t="str">
        <f>VLOOKUP(B521,专业代码!$B$2:$C$8,2,FALSE)</f>
        <v>金融工程</v>
      </c>
      <c r="D521">
        <v>8.4</v>
      </c>
      <c r="E521">
        <v>8.5</v>
      </c>
      <c r="F521">
        <v>8.9</v>
      </c>
      <c r="G521">
        <v>7.9</v>
      </c>
      <c r="H521">
        <v>7.5</v>
      </c>
      <c r="I521">
        <v>7.8</v>
      </c>
      <c r="J521">
        <v>6.4</v>
      </c>
      <c r="K521">
        <v>5</v>
      </c>
      <c r="L521">
        <v>9</v>
      </c>
      <c r="M521">
        <v>7.1</v>
      </c>
      <c r="N521">
        <f t="shared" si="8"/>
        <v>76.5</v>
      </c>
    </row>
    <row r="522" spans="1:14">
      <c r="A522">
        <v>20181793</v>
      </c>
      <c r="B522" t="s">
        <v>17</v>
      </c>
      <c r="C522" t="str">
        <f>VLOOKUP(B522,专业代码!$B$2:$C$8,2,FALSE)</f>
        <v>金融工程</v>
      </c>
      <c r="D522">
        <v>9.5</v>
      </c>
      <c r="E522">
        <v>8.4</v>
      </c>
      <c r="F522">
        <v>8</v>
      </c>
      <c r="G522">
        <v>8</v>
      </c>
      <c r="H522">
        <v>7.3</v>
      </c>
      <c r="I522">
        <v>7.6</v>
      </c>
      <c r="J522">
        <v>8.5</v>
      </c>
      <c r="K522">
        <v>7.7</v>
      </c>
      <c r="L522">
        <v>8.1</v>
      </c>
      <c r="M522">
        <v>5.7</v>
      </c>
      <c r="N522">
        <f t="shared" si="8"/>
        <v>78.8</v>
      </c>
    </row>
    <row r="523" spans="1:14">
      <c r="A523">
        <v>20183017</v>
      </c>
      <c r="B523" t="s">
        <v>17</v>
      </c>
      <c r="C523" t="str">
        <f>VLOOKUP(B523,专业代码!$B$2:$C$8,2,FALSE)</f>
        <v>金融工程</v>
      </c>
      <c r="D523">
        <v>8.9</v>
      </c>
      <c r="E523">
        <v>7.2</v>
      </c>
      <c r="F523">
        <v>8.4</v>
      </c>
      <c r="G523">
        <v>8.9</v>
      </c>
      <c r="H523">
        <v>5.4</v>
      </c>
      <c r="I523">
        <v>7.6</v>
      </c>
      <c r="J523">
        <v>8.2</v>
      </c>
      <c r="K523">
        <v>8.3</v>
      </c>
      <c r="L523">
        <v>9.2</v>
      </c>
      <c r="M523">
        <v>7.5</v>
      </c>
      <c r="N523">
        <f t="shared" si="8"/>
        <v>79.6</v>
      </c>
    </row>
    <row r="524" spans="1:14">
      <c r="A524">
        <v>20186183</v>
      </c>
      <c r="B524" t="s">
        <v>17</v>
      </c>
      <c r="C524" t="str">
        <f>VLOOKUP(B524,专业代码!$B$2:$C$8,2,FALSE)</f>
        <v>金融工程</v>
      </c>
      <c r="D524">
        <v>8.6</v>
      </c>
      <c r="E524">
        <v>8</v>
      </c>
      <c r="F524">
        <v>8.3</v>
      </c>
      <c r="G524">
        <v>7.5</v>
      </c>
      <c r="H524">
        <v>5.5</v>
      </c>
      <c r="I524">
        <v>6.6</v>
      </c>
      <c r="J524">
        <v>8.3</v>
      </c>
      <c r="K524">
        <v>6.1</v>
      </c>
      <c r="L524">
        <v>5.9</v>
      </c>
      <c r="M524">
        <v>6.7</v>
      </c>
      <c r="N524">
        <f t="shared" si="8"/>
        <v>71.5</v>
      </c>
    </row>
    <row r="525" spans="1:14">
      <c r="A525">
        <v>20186559</v>
      </c>
      <c r="B525" t="s">
        <v>17</v>
      </c>
      <c r="C525" t="str">
        <f>VLOOKUP(B525,专业代码!$B$2:$C$8,2,FALSE)</f>
        <v>金融工程</v>
      </c>
      <c r="D525">
        <v>8.7</v>
      </c>
      <c r="E525">
        <v>8.3</v>
      </c>
      <c r="F525">
        <v>8.3</v>
      </c>
      <c r="G525">
        <v>8</v>
      </c>
      <c r="H525">
        <v>7.1</v>
      </c>
      <c r="I525">
        <v>6.7</v>
      </c>
      <c r="J525">
        <v>7.2</v>
      </c>
      <c r="K525">
        <v>8</v>
      </c>
      <c r="L525">
        <v>7.1</v>
      </c>
      <c r="M525">
        <v>7.2</v>
      </c>
      <c r="N525">
        <f t="shared" si="8"/>
        <v>76.6</v>
      </c>
    </row>
    <row r="526" spans="1:14">
      <c r="A526">
        <v>20181364</v>
      </c>
      <c r="B526" t="s">
        <v>17</v>
      </c>
      <c r="C526" t="str">
        <f>VLOOKUP(B526,专业代码!$B$2:$C$8,2,FALSE)</f>
        <v>金融工程</v>
      </c>
      <c r="D526">
        <v>9.9</v>
      </c>
      <c r="E526">
        <v>9.9</v>
      </c>
      <c r="F526">
        <v>9.8</v>
      </c>
      <c r="G526">
        <v>9.6</v>
      </c>
      <c r="H526">
        <v>8</v>
      </c>
      <c r="I526">
        <v>8.1</v>
      </c>
      <c r="J526">
        <v>7.9</v>
      </c>
      <c r="K526">
        <v>8</v>
      </c>
      <c r="L526">
        <v>9.4</v>
      </c>
      <c r="M526">
        <v>5.6</v>
      </c>
      <c r="N526">
        <f t="shared" si="8"/>
        <v>86.2</v>
      </c>
    </row>
    <row r="527" spans="1:14">
      <c r="A527">
        <v>20181889</v>
      </c>
      <c r="B527" t="s">
        <v>17</v>
      </c>
      <c r="C527" t="str">
        <f>VLOOKUP(B527,专业代码!$B$2:$C$8,2,FALSE)</f>
        <v>金融工程</v>
      </c>
      <c r="D527">
        <v>9.4</v>
      </c>
      <c r="E527">
        <v>9.9</v>
      </c>
      <c r="F527">
        <v>9</v>
      </c>
      <c r="G527">
        <v>9.9</v>
      </c>
      <c r="H527">
        <v>7.2</v>
      </c>
      <c r="I527">
        <v>9.7</v>
      </c>
      <c r="J527">
        <v>9</v>
      </c>
      <c r="K527">
        <v>9.5</v>
      </c>
      <c r="L527">
        <v>7.1</v>
      </c>
      <c r="M527">
        <v>7</v>
      </c>
      <c r="N527">
        <f t="shared" si="8"/>
        <v>87.7</v>
      </c>
    </row>
    <row r="528" spans="1:14">
      <c r="A528">
        <v>20184350</v>
      </c>
      <c r="B528" t="s">
        <v>17</v>
      </c>
      <c r="C528" t="str">
        <f>VLOOKUP(B528,专业代码!$B$2:$C$8,2,FALSE)</f>
        <v>金融工程</v>
      </c>
      <c r="D528">
        <v>9.5</v>
      </c>
      <c r="E528">
        <v>9.1</v>
      </c>
      <c r="F528">
        <v>8.8</v>
      </c>
      <c r="G528">
        <v>9.2</v>
      </c>
      <c r="H528">
        <v>6.4</v>
      </c>
      <c r="I528">
        <v>8.2</v>
      </c>
      <c r="J528">
        <v>8.8</v>
      </c>
      <c r="K528">
        <v>8.3</v>
      </c>
      <c r="L528">
        <v>7.1</v>
      </c>
      <c r="M528">
        <v>7.3</v>
      </c>
      <c r="N528">
        <f t="shared" si="8"/>
        <v>82.7</v>
      </c>
    </row>
    <row r="529" spans="1:14">
      <c r="A529">
        <v>20185041</v>
      </c>
      <c r="B529" t="s">
        <v>17</v>
      </c>
      <c r="C529" t="str">
        <f>VLOOKUP(B529,专业代码!$B$2:$C$8,2,FALSE)</f>
        <v>金融工程</v>
      </c>
      <c r="D529">
        <v>9.7</v>
      </c>
      <c r="E529">
        <v>9.2</v>
      </c>
      <c r="F529">
        <v>8.9</v>
      </c>
      <c r="G529">
        <v>9.3</v>
      </c>
      <c r="H529">
        <v>7.3</v>
      </c>
      <c r="I529">
        <v>8.2</v>
      </c>
      <c r="J529">
        <v>8.1</v>
      </c>
      <c r="K529">
        <v>7.9</v>
      </c>
      <c r="L529">
        <v>9.9</v>
      </c>
      <c r="M529">
        <v>7.9</v>
      </c>
      <c r="N529">
        <f t="shared" si="8"/>
        <v>86.4</v>
      </c>
    </row>
    <row r="530" spans="1:14">
      <c r="A530">
        <v>20186305</v>
      </c>
      <c r="B530" t="s">
        <v>17</v>
      </c>
      <c r="C530" t="str">
        <f>VLOOKUP(B530,专业代码!$B$2:$C$8,2,FALSE)</f>
        <v>金融工程</v>
      </c>
      <c r="D530">
        <v>8.8</v>
      </c>
      <c r="E530">
        <v>9.3</v>
      </c>
      <c r="F530">
        <v>8.9</v>
      </c>
      <c r="G530">
        <v>9</v>
      </c>
      <c r="H530">
        <v>7.6</v>
      </c>
      <c r="I530">
        <v>9.5</v>
      </c>
      <c r="J530">
        <v>8.8</v>
      </c>
      <c r="K530">
        <v>7.6</v>
      </c>
      <c r="L530">
        <v>7.1</v>
      </c>
      <c r="M530">
        <v>8.6</v>
      </c>
      <c r="N530">
        <f t="shared" si="8"/>
        <v>85.2</v>
      </c>
    </row>
    <row r="531" spans="1:14">
      <c r="A531">
        <v>20187177</v>
      </c>
      <c r="B531" t="s">
        <v>17</v>
      </c>
      <c r="C531" t="str">
        <f>VLOOKUP(B531,专业代码!$B$2:$C$8,2,FALSE)</f>
        <v>金融工程</v>
      </c>
      <c r="D531">
        <v>9.9</v>
      </c>
      <c r="E531">
        <v>8.4</v>
      </c>
      <c r="F531">
        <v>9.1</v>
      </c>
      <c r="G531">
        <v>9.5</v>
      </c>
      <c r="H531">
        <v>9.3</v>
      </c>
      <c r="I531">
        <v>8.8</v>
      </c>
      <c r="J531">
        <v>7.4</v>
      </c>
      <c r="K531">
        <v>7.8</v>
      </c>
      <c r="L531">
        <v>8.4</v>
      </c>
      <c r="M531">
        <v>7.5</v>
      </c>
      <c r="N531">
        <f t="shared" si="8"/>
        <v>86.1</v>
      </c>
    </row>
    <row r="532" spans="1:14">
      <c r="A532">
        <v>20187390</v>
      </c>
      <c r="B532" t="s">
        <v>17</v>
      </c>
      <c r="C532" t="str">
        <f>VLOOKUP(B532,专业代码!$B$2:$C$8,2,FALSE)</f>
        <v>金融工程</v>
      </c>
      <c r="D532">
        <v>9.9</v>
      </c>
      <c r="E532">
        <v>9.9</v>
      </c>
      <c r="F532">
        <v>9.1</v>
      </c>
      <c r="G532">
        <v>9.5</v>
      </c>
      <c r="H532">
        <v>7.8</v>
      </c>
      <c r="I532">
        <v>9.5</v>
      </c>
      <c r="J532">
        <v>9.9</v>
      </c>
      <c r="K532">
        <v>8</v>
      </c>
      <c r="L532">
        <v>5.6</v>
      </c>
      <c r="M532">
        <v>7.2</v>
      </c>
      <c r="N532">
        <f t="shared" si="8"/>
        <v>86.4</v>
      </c>
    </row>
    <row r="533" spans="1:14">
      <c r="A533">
        <v>20189165</v>
      </c>
      <c r="B533" t="s">
        <v>17</v>
      </c>
      <c r="C533" t="str">
        <f>VLOOKUP(B533,专业代码!$B$2:$C$8,2,FALSE)</f>
        <v>金融工程</v>
      </c>
      <c r="D533">
        <v>9</v>
      </c>
      <c r="E533">
        <v>9.9</v>
      </c>
      <c r="F533">
        <v>8.6</v>
      </c>
      <c r="G533">
        <v>9.3</v>
      </c>
      <c r="H533">
        <v>8.2</v>
      </c>
      <c r="I533">
        <v>9.2</v>
      </c>
      <c r="J533">
        <v>9.9</v>
      </c>
      <c r="K533">
        <v>8</v>
      </c>
      <c r="L533">
        <v>8.1</v>
      </c>
      <c r="M533">
        <v>6.2</v>
      </c>
      <c r="N533">
        <f t="shared" si="8"/>
        <v>86.4</v>
      </c>
    </row>
    <row r="534" spans="1:14">
      <c r="A534">
        <v>20186063</v>
      </c>
      <c r="B534" t="s">
        <v>17</v>
      </c>
      <c r="C534" t="str">
        <f>VLOOKUP(B534,专业代码!$B$2:$C$8,2,FALSE)</f>
        <v>金融工程</v>
      </c>
      <c r="D534">
        <v>7.8</v>
      </c>
      <c r="E534">
        <v>8.9</v>
      </c>
      <c r="F534">
        <v>8.2</v>
      </c>
      <c r="G534">
        <v>8</v>
      </c>
      <c r="H534">
        <v>7</v>
      </c>
      <c r="I534">
        <v>7.2</v>
      </c>
      <c r="J534">
        <v>6.9</v>
      </c>
      <c r="K534">
        <v>6.9</v>
      </c>
      <c r="L534">
        <v>7.1</v>
      </c>
      <c r="M534">
        <v>5.9</v>
      </c>
      <c r="N534">
        <f t="shared" si="8"/>
        <v>73.9</v>
      </c>
    </row>
    <row r="535" spans="1:14">
      <c r="A535">
        <v>20186251</v>
      </c>
      <c r="B535" t="s">
        <v>17</v>
      </c>
      <c r="C535" t="str">
        <f>VLOOKUP(B535,专业代码!$B$2:$C$8,2,FALSE)</f>
        <v>金融工程</v>
      </c>
      <c r="D535">
        <v>8.5</v>
      </c>
      <c r="E535">
        <v>8.2</v>
      </c>
      <c r="F535">
        <v>8.1</v>
      </c>
      <c r="G535">
        <v>8.6</v>
      </c>
      <c r="H535">
        <v>8.6</v>
      </c>
      <c r="I535">
        <v>7.1</v>
      </c>
      <c r="J535">
        <v>6.4</v>
      </c>
      <c r="K535">
        <v>5.6</v>
      </c>
      <c r="L535">
        <v>8.1</v>
      </c>
      <c r="M535">
        <v>5.7</v>
      </c>
      <c r="N535">
        <f t="shared" si="8"/>
        <v>74.9</v>
      </c>
    </row>
    <row r="536" spans="1:14">
      <c r="A536">
        <v>20187642</v>
      </c>
      <c r="B536" t="s">
        <v>17</v>
      </c>
      <c r="C536" t="str">
        <f>VLOOKUP(B536,专业代码!$B$2:$C$8,2,FALSE)</f>
        <v>金融工程</v>
      </c>
      <c r="D536">
        <v>8.5</v>
      </c>
      <c r="E536">
        <v>7.9</v>
      </c>
      <c r="F536">
        <v>8.2</v>
      </c>
      <c r="G536">
        <v>8.7</v>
      </c>
      <c r="H536">
        <v>7.4</v>
      </c>
      <c r="I536">
        <v>9</v>
      </c>
      <c r="J536">
        <v>8</v>
      </c>
      <c r="K536">
        <v>7.2</v>
      </c>
      <c r="L536">
        <v>5.3</v>
      </c>
      <c r="M536">
        <v>4.5</v>
      </c>
      <c r="N536">
        <f t="shared" si="8"/>
        <v>74.7</v>
      </c>
    </row>
    <row r="537" spans="1:14">
      <c r="A537">
        <v>20188035</v>
      </c>
      <c r="B537" t="s">
        <v>17</v>
      </c>
      <c r="C537" t="str">
        <f>VLOOKUP(B537,专业代码!$B$2:$C$8,2,FALSE)</f>
        <v>金融工程</v>
      </c>
      <c r="D537">
        <v>8.5</v>
      </c>
      <c r="E537">
        <v>7.2</v>
      </c>
      <c r="F537">
        <v>8.9</v>
      </c>
      <c r="G537">
        <v>8.8</v>
      </c>
      <c r="H537">
        <v>7.9</v>
      </c>
      <c r="I537">
        <v>7.4</v>
      </c>
      <c r="J537">
        <v>7.6</v>
      </c>
      <c r="K537">
        <v>8.3</v>
      </c>
      <c r="L537">
        <v>6.7</v>
      </c>
      <c r="M537">
        <v>4.8</v>
      </c>
      <c r="N537">
        <f t="shared" si="8"/>
        <v>76.1</v>
      </c>
    </row>
    <row r="538" spans="1:14">
      <c r="A538">
        <v>20188968</v>
      </c>
      <c r="B538" t="s">
        <v>17</v>
      </c>
      <c r="C538" t="str">
        <f>VLOOKUP(B538,专业代码!$B$2:$C$8,2,FALSE)</f>
        <v>金融工程</v>
      </c>
      <c r="D538">
        <v>8.3</v>
      </c>
      <c r="E538">
        <v>7.9</v>
      </c>
      <c r="F538">
        <v>8.3</v>
      </c>
      <c r="G538">
        <v>6.7</v>
      </c>
      <c r="H538">
        <v>8.5</v>
      </c>
      <c r="I538">
        <v>8</v>
      </c>
      <c r="J538">
        <v>7.7</v>
      </c>
      <c r="K538">
        <v>8.5</v>
      </c>
      <c r="L538">
        <v>6.2</v>
      </c>
      <c r="M538">
        <v>8.7</v>
      </c>
      <c r="N538">
        <f t="shared" si="8"/>
        <v>78.8</v>
      </c>
    </row>
    <row r="539" spans="1:14">
      <c r="A539">
        <v>20181657</v>
      </c>
      <c r="B539" t="s">
        <v>17</v>
      </c>
      <c r="C539" t="str">
        <f>VLOOKUP(B539,专业代码!$B$2:$C$8,2,FALSE)</f>
        <v>金融工程</v>
      </c>
      <c r="D539">
        <v>8.7</v>
      </c>
      <c r="E539">
        <v>8.1</v>
      </c>
      <c r="F539">
        <v>7.7</v>
      </c>
      <c r="G539">
        <v>9.5</v>
      </c>
      <c r="H539">
        <v>7.8</v>
      </c>
      <c r="I539">
        <v>8.2</v>
      </c>
      <c r="J539">
        <v>6.4</v>
      </c>
      <c r="K539">
        <v>7.6</v>
      </c>
      <c r="L539">
        <v>6.7</v>
      </c>
      <c r="M539">
        <v>8.9</v>
      </c>
      <c r="N539">
        <f t="shared" si="8"/>
        <v>79.6</v>
      </c>
    </row>
    <row r="540" spans="1:14">
      <c r="A540">
        <v>20184562</v>
      </c>
      <c r="B540" t="s">
        <v>17</v>
      </c>
      <c r="C540" t="str">
        <f>VLOOKUP(B540,专业代码!$B$2:$C$8,2,FALSE)</f>
        <v>金融工程</v>
      </c>
      <c r="D540">
        <v>8.4</v>
      </c>
      <c r="E540">
        <v>7.9</v>
      </c>
      <c r="F540">
        <v>7.2</v>
      </c>
      <c r="G540">
        <v>8.6</v>
      </c>
      <c r="H540">
        <v>8.1</v>
      </c>
      <c r="I540">
        <v>7.8</v>
      </c>
      <c r="J540">
        <v>6.7</v>
      </c>
      <c r="K540">
        <v>6.1</v>
      </c>
      <c r="L540">
        <v>6</v>
      </c>
      <c r="M540">
        <v>6.9</v>
      </c>
      <c r="N540">
        <f t="shared" si="8"/>
        <v>73.7</v>
      </c>
    </row>
    <row r="541" spans="1:14">
      <c r="A541">
        <v>20185734</v>
      </c>
      <c r="B541" t="s">
        <v>17</v>
      </c>
      <c r="C541" t="str">
        <f>VLOOKUP(B541,专业代码!$B$2:$C$8,2,FALSE)</f>
        <v>金融工程</v>
      </c>
      <c r="D541">
        <v>8.4</v>
      </c>
      <c r="E541">
        <v>8.6</v>
      </c>
      <c r="F541">
        <v>8.5</v>
      </c>
      <c r="G541">
        <v>7.4</v>
      </c>
      <c r="H541">
        <v>8.9</v>
      </c>
      <c r="I541">
        <v>7.8</v>
      </c>
      <c r="J541">
        <v>9</v>
      </c>
      <c r="K541">
        <v>6.8</v>
      </c>
      <c r="L541">
        <v>4.9</v>
      </c>
      <c r="M541">
        <v>4.4</v>
      </c>
      <c r="N541">
        <f t="shared" si="8"/>
        <v>74.7</v>
      </c>
    </row>
    <row r="542" spans="1:14">
      <c r="A542">
        <v>20181710</v>
      </c>
      <c r="B542" t="s">
        <v>17</v>
      </c>
      <c r="C542" t="str">
        <f>VLOOKUP(B542,专业代码!$B$2:$C$8,2,FALSE)</f>
        <v>金融工程</v>
      </c>
      <c r="D542">
        <v>9.5</v>
      </c>
      <c r="E542">
        <v>8.4</v>
      </c>
      <c r="F542">
        <v>8.6</v>
      </c>
      <c r="G542">
        <v>7.9</v>
      </c>
      <c r="H542">
        <v>8.1</v>
      </c>
      <c r="I542">
        <v>7.8</v>
      </c>
      <c r="J542">
        <v>7.1</v>
      </c>
      <c r="K542">
        <v>7.1</v>
      </c>
      <c r="L542">
        <v>8.5</v>
      </c>
      <c r="M542">
        <v>5.8</v>
      </c>
      <c r="N542">
        <f t="shared" si="8"/>
        <v>78.8</v>
      </c>
    </row>
    <row r="543" spans="1:14">
      <c r="A543">
        <v>20184591</v>
      </c>
      <c r="B543" t="s">
        <v>17</v>
      </c>
      <c r="C543" t="str">
        <f>VLOOKUP(B543,专业代码!$B$2:$C$8,2,FALSE)</f>
        <v>金融工程</v>
      </c>
      <c r="D543">
        <v>8.8</v>
      </c>
      <c r="E543">
        <v>8.7</v>
      </c>
      <c r="F543">
        <v>8.3</v>
      </c>
      <c r="G543">
        <v>8.8</v>
      </c>
      <c r="H543">
        <v>7.8</v>
      </c>
      <c r="I543">
        <v>7.9</v>
      </c>
      <c r="J543">
        <v>7.9</v>
      </c>
      <c r="K543">
        <v>7.6</v>
      </c>
      <c r="L543">
        <v>6.4</v>
      </c>
      <c r="M543">
        <v>6.8</v>
      </c>
      <c r="N543">
        <f t="shared" si="8"/>
        <v>79</v>
      </c>
    </row>
    <row r="544" spans="1:14">
      <c r="A544">
        <v>20185028</v>
      </c>
      <c r="B544" t="s">
        <v>17</v>
      </c>
      <c r="C544" t="str">
        <f>VLOOKUP(B544,专业代码!$B$2:$C$8,2,FALSE)</f>
        <v>金融工程</v>
      </c>
      <c r="D544">
        <v>8.3</v>
      </c>
      <c r="E544">
        <v>8.4</v>
      </c>
      <c r="F544">
        <v>7.6</v>
      </c>
      <c r="G544">
        <v>8.2</v>
      </c>
      <c r="H544">
        <v>8</v>
      </c>
      <c r="I544">
        <v>6.7</v>
      </c>
      <c r="J544">
        <v>7.6</v>
      </c>
      <c r="K544">
        <v>6.4</v>
      </c>
      <c r="L544">
        <v>6.5</v>
      </c>
      <c r="M544">
        <v>6.6</v>
      </c>
      <c r="N544">
        <f t="shared" si="8"/>
        <v>74.3</v>
      </c>
    </row>
    <row r="545" spans="1:14">
      <c r="A545">
        <v>20185122</v>
      </c>
      <c r="B545" t="s">
        <v>17</v>
      </c>
      <c r="C545" t="str">
        <f>VLOOKUP(B545,专业代码!$B$2:$C$8,2,FALSE)</f>
        <v>金融工程</v>
      </c>
      <c r="D545">
        <v>9.3</v>
      </c>
      <c r="E545">
        <v>7.8</v>
      </c>
      <c r="F545">
        <v>7.4</v>
      </c>
      <c r="G545">
        <v>7.5</v>
      </c>
      <c r="H545">
        <v>8.4</v>
      </c>
      <c r="I545">
        <v>8.5</v>
      </c>
      <c r="J545">
        <v>7.2</v>
      </c>
      <c r="K545">
        <v>5.4</v>
      </c>
      <c r="L545">
        <v>7.2</v>
      </c>
      <c r="M545">
        <v>5.6</v>
      </c>
      <c r="N545">
        <f t="shared" si="8"/>
        <v>74.3</v>
      </c>
    </row>
    <row r="546" spans="1:14">
      <c r="A546">
        <v>20187957</v>
      </c>
      <c r="B546" t="s">
        <v>17</v>
      </c>
      <c r="C546" t="str">
        <f>VLOOKUP(B546,专业代码!$B$2:$C$8,2,FALSE)</f>
        <v>金融工程</v>
      </c>
      <c r="D546">
        <v>7.9</v>
      </c>
      <c r="E546">
        <v>8.3</v>
      </c>
      <c r="F546">
        <v>9.1</v>
      </c>
      <c r="G546">
        <v>7.9</v>
      </c>
      <c r="H546">
        <v>8.1</v>
      </c>
      <c r="I546">
        <v>7.4</v>
      </c>
      <c r="J546">
        <v>8.6</v>
      </c>
      <c r="K546">
        <v>7.3</v>
      </c>
      <c r="L546">
        <v>7.9</v>
      </c>
      <c r="M546">
        <v>6.1</v>
      </c>
      <c r="N546">
        <f t="shared" si="8"/>
        <v>78.6</v>
      </c>
    </row>
    <row r="547" spans="1:14">
      <c r="A547">
        <v>20181171</v>
      </c>
      <c r="B547" t="s">
        <v>17</v>
      </c>
      <c r="C547" t="str">
        <f>VLOOKUP(B547,专业代码!$B$2:$C$8,2,FALSE)</f>
        <v>金融工程</v>
      </c>
      <c r="D547">
        <v>8.6</v>
      </c>
      <c r="E547">
        <v>7.6</v>
      </c>
      <c r="F547">
        <v>7</v>
      </c>
      <c r="G547">
        <v>8.5</v>
      </c>
      <c r="H547">
        <v>8</v>
      </c>
      <c r="I547">
        <v>6.8</v>
      </c>
      <c r="J547">
        <v>7.4</v>
      </c>
      <c r="K547">
        <v>7.8</v>
      </c>
      <c r="L547">
        <v>4.4</v>
      </c>
      <c r="M547">
        <v>4.9</v>
      </c>
      <c r="N547">
        <f t="shared" si="8"/>
        <v>71</v>
      </c>
    </row>
    <row r="548" spans="1:14">
      <c r="A548">
        <v>20183755</v>
      </c>
      <c r="B548" t="s">
        <v>17</v>
      </c>
      <c r="C548" t="str">
        <f>VLOOKUP(B548,专业代码!$B$2:$C$8,2,FALSE)</f>
        <v>金融工程</v>
      </c>
      <c r="D548">
        <v>9.1</v>
      </c>
      <c r="E548">
        <v>8.3</v>
      </c>
      <c r="F548">
        <v>7.9</v>
      </c>
      <c r="G548">
        <v>7.2</v>
      </c>
      <c r="H548">
        <v>8.6</v>
      </c>
      <c r="I548">
        <v>7.5</v>
      </c>
      <c r="J548">
        <v>7.4</v>
      </c>
      <c r="K548">
        <v>5.6</v>
      </c>
      <c r="L548">
        <v>8.5</v>
      </c>
      <c r="M548">
        <v>5.9</v>
      </c>
      <c r="N548">
        <f t="shared" si="8"/>
        <v>76</v>
      </c>
    </row>
    <row r="549" spans="1:14">
      <c r="A549">
        <v>20188239</v>
      </c>
      <c r="B549" t="s">
        <v>17</v>
      </c>
      <c r="C549" t="str">
        <f>VLOOKUP(B549,专业代码!$B$2:$C$8,2,FALSE)</f>
        <v>金融工程</v>
      </c>
      <c r="D549">
        <v>8.6</v>
      </c>
      <c r="E549">
        <v>8.4</v>
      </c>
      <c r="F549">
        <v>7.7</v>
      </c>
      <c r="G549">
        <v>8.3</v>
      </c>
      <c r="H549">
        <v>7.9</v>
      </c>
      <c r="I549">
        <v>7.1</v>
      </c>
      <c r="J549">
        <v>5.9</v>
      </c>
      <c r="K549">
        <v>6.5</v>
      </c>
      <c r="L549">
        <v>7.4</v>
      </c>
      <c r="M549">
        <v>9</v>
      </c>
      <c r="N549">
        <f t="shared" si="8"/>
        <v>76.8</v>
      </c>
    </row>
    <row r="550" spans="1:14">
      <c r="A550">
        <v>20188994</v>
      </c>
      <c r="B550" t="s">
        <v>17</v>
      </c>
      <c r="C550" t="str">
        <f>VLOOKUP(B550,专业代码!$B$2:$C$8,2,FALSE)</f>
        <v>金融工程</v>
      </c>
      <c r="D550">
        <v>8.8</v>
      </c>
      <c r="E550">
        <v>8.5</v>
      </c>
      <c r="F550">
        <v>8.4</v>
      </c>
      <c r="G550">
        <v>7.2</v>
      </c>
      <c r="H550">
        <v>8.2</v>
      </c>
      <c r="I550">
        <v>7.1</v>
      </c>
      <c r="J550">
        <v>8.6</v>
      </c>
      <c r="K550">
        <v>8.1</v>
      </c>
      <c r="L550">
        <v>7.8</v>
      </c>
      <c r="M550">
        <v>6.2</v>
      </c>
      <c r="N550">
        <f t="shared" si="8"/>
        <v>78.9</v>
      </c>
    </row>
    <row r="551" spans="1:14">
      <c r="A551">
        <v>20189082</v>
      </c>
      <c r="B551" t="s">
        <v>17</v>
      </c>
      <c r="C551" t="str">
        <f>VLOOKUP(B551,专业代码!$B$2:$C$8,2,FALSE)</f>
        <v>金融工程</v>
      </c>
      <c r="D551">
        <v>8.6</v>
      </c>
      <c r="E551">
        <v>7.6</v>
      </c>
      <c r="F551">
        <v>7.9</v>
      </c>
      <c r="G551">
        <v>8.6</v>
      </c>
      <c r="H551">
        <v>8.2</v>
      </c>
      <c r="I551">
        <v>8.2</v>
      </c>
      <c r="J551">
        <v>5.2</v>
      </c>
      <c r="K551">
        <v>6.6</v>
      </c>
      <c r="L551">
        <v>5.8</v>
      </c>
      <c r="M551">
        <v>7.2</v>
      </c>
      <c r="N551">
        <f t="shared" si="8"/>
        <v>73.9</v>
      </c>
    </row>
    <row r="552" spans="1:14">
      <c r="A552">
        <v>20181735</v>
      </c>
      <c r="B552" t="s">
        <v>17</v>
      </c>
      <c r="C552" t="str">
        <f>VLOOKUP(B552,专业代码!$B$2:$C$8,2,FALSE)</f>
        <v>金融工程</v>
      </c>
      <c r="D552">
        <v>8.6</v>
      </c>
      <c r="E552">
        <v>7.9</v>
      </c>
      <c r="F552">
        <v>9</v>
      </c>
      <c r="G552">
        <v>6.4</v>
      </c>
      <c r="H552">
        <v>5.8</v>
      </c>
      <c r="I552">
        <v>6.3</v>
      </c>
      <c r="J552">
        <v>8.3</v>
      </c>
      <c r="K552">
        <v>7.9</v>
      </c>
      <c r="L552">
        <v>8.5</v>
      </c>
      <c r="M552">
        <v>7.8</v>
      </c>
      <c r="N552">
        <f t="shared" si="8"/>
        <v>76.5</v>
      </c>
    </row>
    <row r="553" spans="1:14">
      <c r="A553">
        <v>20183006</v>
      </c>
      <c r="B553" t="s">
        <v>17</v>
      </c>
      <c r="C553" t="str">
        <f>VLOOKUP(B553,专业代码!$B$2:$C$8,2,FALSE)</f>
        <v>金融工程</v>
      </c>
      <c r="D553">
        <v>9</v>
      </c>
      <c r="E553">
        <v>8.3</v>
      </c>
      <c r="F553">
        <v>7.6</v>
      </c>
      <c r="G553">
        <v>8.6</v>
      </c>
      <c r="H553">
        <v>7.8</v>
      </c>
      <c r="I553">
        <v>7.5</v>
      </c>
      <c r="J553">
        <v>6.8</v>
      </c>
      <c r="K553">
        <v>8.1</v>
      </c>
      <c r="L553">
        <v>6.1</v>
      </c>
      <c r="M553">
        <v>6.1</v>
      </c>
      <c r="N553">
        <f t="shared" si="8"/>
        <v>75.9</v>
      </c>
    </row>
    <row r="554" spans="1:14">
      <c r="A554">
        <v>20183599</v>
      </c>
      <c r="B554" t="s">
        <v>17</v>
      </c>
      <c r="C554" t="str">
        <f>VLOOKUP(B554,专业代码!$B$2:$C$8,2,FALSE)</f>
        <v>金融工程</v>
      </c>
      <c r="D554">
        <v>9.1</v>
      </c>
      <c r="E554">
        <v>7.7</v>
      </c>
      <c r="F554">
        <v>7.3</v>
      </c>
      <c r="G554">
        <v>7.6</v>
      </c>
      <c r="H554">
        <v>8.8</v>
      </c>
      <c r="I554">
        <v>7.9</v>
      </c>
      <c r="J554">
        <v>7</v>
      </c>
      <c r="K554">
        <v>6.8</v>
      </c>
      <c r="L554">
        <v>8</v>
      </c>
      <c r="M554">
        <v>6.1</v>
      </c>
      <c r="N554">
        <f t="shared" si="8"/>
        <v>76.3</v>
      </c>
    </row>
    <row r="555" spans="1:14">
      <c r="A555">
        <v>20184215</v>
      </c>
      <c r="B555" t="s">
        <v>17</v>
      </c>
      <c r="C555" t="str">
        <f>VLOOKUP(B555,专业代码!$B$2:$C$8,2,FALSE)</f>
        <v>金融工程</v>
      </c>
      <c r="D555">
        <v>8.5</v>
      </c>
      <c r="E555">
        <v>8.9</v>
      </c>
      <c r="F555">
        <v>8.8</v>
      </c>
      <c r="G555">
        <v>8.8</v>
      </c>
      <c r="H555">
        <v>9.1</v>
      </c>
      <c r="I555">
        <v>7.2</v>
      </c>
      <c r="J555">
        <v>7.8</v>
      </c>
      <c r="K555">
        <v>6.8</v>
      </c>
      <c r="L555">
        <v>6.4</v>
      </c>
      <c r="M555">
        <v>6.2</v>
      </c>
      <c r="N555">
        <f t="shared" si="8"/>
        <v>78.5</v>
      </c>
    </row>
    <row r="556" spans="1:14">
      <c r="A556">
        <v>20185207</v>
      </c>
      <c r="B556" t="s">
        <v>17</v>
      </c>
      <c r="C556" t="str">
        <f>VLOOKUP(B556,专业代码!$B$2:$C$8,2,FALSE)</f>
        <v>金融工程</v>
      </c>
      <c r="D556">
        <v>9.5</v>
      </c>
      <c r="E556">
        <v>8.2</v>
      </c>
      <c r="F556">
        <v>8</v>
      </c>
      <c r="G556">
        <v>8.1</v>
      </c>
      <c r="H556">
        <v>7.5</v>
      </c>
      <c r="I556">
        <v>7.7</v>
      </c>
      <c r="J556">
        <v>6.1</v>
      </c>
      <c r="K556">
        <v>8.5</v>
      </c>
      <c r="L556">
        <v>9</v>
      </c>
      <c r="M556">
        <v>5.1</v>
      </c>
      <c r="N556">
        <f t="shared" si="8"/>
        <v>77.7</v>
      </c>
    </row>
    <row r="557" spans="1:14">
      <c r="A557">
        <v>20185752</v>
      </c>
      <c r="B557" t="s">
        <v>17</v>
      </c>
      <c r="C557" t="str">
        <f>VLOOKUP(B557,专业代码!$B$2:$C$8,2,FALSE)</f>
        <v>金融工程</v>
      </c>
      <c r="D557">
        <v>9.3</v>
      </c>
      <c r="E557">
        <v>8.4</v>
      </c>
      <c r="F557">
        <v>8.7</v>
      </c>
      <c r="G557">
        <v>8.4</v>
      </c>
      <c r="H557">
        <v>7.5</v>
      </c>
      <c r="I557">
        <v>7.3</v>
      </c>
      <c r="J557">
        <v>6.7</v>
      </c>
      <c r="K557">
        <v>7.3</v>
      </c>
      <c r="L557">
        <v>7</v>
      </c>
      <c r="M557">
        <v>7.6</v>
      </c>
      <c r="N557">
        <f t="shared" si="8"/>
        <v>78.2</v>
      </c>
    </row>
    <row r="558" spans="1:14">
      <c r="A558">
        <v>20186403</v>
      </c>
      <c r="B558" t="s">
        <v>17</v>
      </c>
      <c r="C558" t="str">
        <f>VLOOKUP(B558,专业代码!$B$2:$C$8,2,FALSE)</f>
        <v>金融工程</v>
      </c>
      <c r="D558">
        <v>9</v>
      </c>
      <c r="E558">
        <v>8.8</v>
      </c>
      <c r="F558">
        <v>8.3</v>
      </c>
      <c r="G558">
        <v>7.2</v>
      </c>
      <c r="H558">
        <v>6.3</v>
      </c>
      <c r="I558">
        <v>7.1</v>
      </c>
      <c r="J558">
        <v>7</v>
      </c>
      <c r="K558">
        <v>6.8</v>
      </c>
      <c r="L558">
        <v>7.4</v>
      </c>
      <c r="M558">
        <v>5.1</v>
      </c>
      <c r="N558">
        <f t="shared" si="8"/>
        <v>73</v>
      </c>
    </row>
    <row r="559" spans="1:14">
      <c r="A559">
        <v>20188620</v>
      </c>
      <c r="B559" t="s">
        <v>17</v>
      </c>
      <c r="C559" t="str">
        <f>VLOOKUP(B559,专业代码!$B$2:$C$8,2,FALSE)</f>
        <v>金融工程</v>
      </c>
      <c r="D559">
        <v>8.3</v>
      </c>
      <c r="E559">
        <v>7.9</v>
      </c>
      <c r="F559">
        <v>8.4</v>
      </c>
      <c r="G559">
        <v>8.4</v>
      </c>
      <c r="H559">
        <v>7.9</v>
      </c>
      <c r="I559">
        <v>7.1</v>
      </c>
      <c r="J559">
        <v>7.6</v>
      </c>
      <c r="K559">
        <v>7</v>
      </c>
      <c r="L559">
        <v>6.1</v>
      </c>
      <c r="M559">
        <v>6.6</v>
      </c>
      <c r="N559">
        <f t="shared" si="8"/>
        <v>75.3</v>
      </c>
    </row>
    <row r="560" spans="1:14">
      <c r="A560">
        <v>20189868</v>
      </c>
      <c r="B560" t="s">
        <v>17</v>
      </c>
      <c r="C560" t="str">
        <f>VLOOKUP(B560,专业代码!$B$2:$C$8,2,FALSE)</f>
        <v>金融工程</v>
      </c>
      <c r="D560">
        <v>8.3</v>
      </c>
      <c r="E560">
        <v>8.1</v>
      </c>
      <c r="F560">
        <v>7.5</v>
      </c>
      <c r="G560">
        <v>7.4</v>
      </c>
      <c r="H560">
        <v>7</v>
      </c>
      <c r="I560">
        <v>7.6</v>
      </c>
      <c r="J560">
        <v>9.7</v>
      </c>
      <c r="K560">
        <v>6.6</v>
      </c>
      <c r="L560">
        <v>7.4</v>
      </c>
      <c r="M560">
        <v>7.9</v>
      </c>
      <c r="N560">
        <f t="shared" si="8"/>
        <v>77.5</v>
      </c>
    </row>
    <row r="561" spans="1:14">
      <c r="A561">
        <v>20182032</v>
      </c>
      <c r="B561" t="s">
        <v>17</v>
      </c>
      <c r="C561" t="str">
        <f>VLOOKUP(B561,专业代码!$B$2:$C$8,2,FALSE)</f>
        <v>金融工程</v>
      </c>
      <c r="D561">
        <v>8.8</v>
      </c>
      <c r="E561">
        <v>8</v>
      </c>
      <c r="F561">
        <v>8.2</v>
      </c>
      <c r="G561">
        <v>8.4</v>
      </c>
      <c r="H561">
        <v>7.4</v>
      </c>
      <c r="I561">
        <v>8</v>
      </c>
      <c r="J561">
        <v>9</v>
      </c>
      <c r="K561">
        <v>5.8</v>
      </c>
      <c r="L561">
        <v>5.2</v>
      </c>
      <c r="M561">
        <v>5.9</v>
      </c>
      <c r="N561">
        <f t="shared" si="8"/>
        <v>74.7</v>
      </c>
    </row>
    <row r="562" spans="1:14">
      <c r="A562">
        <v>20182825</v>
      </c>
      <c r="B562" t="s">
        <v>17</v>
      </c>
      <c r="C562" t="str">
        <f>VLOOKUP(B562,专业代码!$B$2:$C$8,2,FALSE)</f>
        <v>金融工程</v>
      </c>
      <c r="D562">
        <v>9.2</v>
      </c>
      <c r="E562">
        <v>9</v>
      </c>
      <c r="F562">
        <v>9</v>
      </c>
      <c r="G562">
        <v>7.8</v>
      </c>
      <c r="H562">
        <v>8.9</v>
      </c>
      <c r="I562">
        <v>7.8</v>
      </c>
      <c r="J562">
        <v>7</v>
      </c>
      <c r="K562">
        <v>6.4</v>
      </c>
      <c r="L562">
        <v>7.6</v>
      </c>
      <c r="M562">
        <v>7.3</v>
      </c>
      <c r="N562">
        <f t="shared" si="8"/>
        <v>80</v>
      </c>
    </row>
    <row r="563" spans="1:14">
      <c r="A563">
        <v>20185269</v>
      </c>
      <c r="B563" t="s">
        <v>17</v>
      </c>
      <c r="C563" t="str">
        <f>VLOOKUP(B563,专业代码!$B$2:$C$8,2,FALSE)</f>
        <v>金融工程</v>
      </c>
      <c r="D563">
        <v>9.3</v>
      </c>
      <c r="E563">
        <v>9</v>
      </c>
      <c r="F563">
        <v>8.5</v>
      </c>
      <c r="G563">
        <v>7.3</v>
      </c>
      <c r="H563">
        <v>5.9</v>
      </c>
      <c r="I563">
        <v>7.1</v>
      </c>
      <c r="J563">
        <v>6.8</v>
      </c>
      <c r="K563">
        <v>7.6</v>
      </c>
      <c r="L563">
        <v>7.1</v>
      </c>
      <c r="M563">
        <v>7.2</v>
      </c>
      <c r="N563">
        <f t="shared" si="8"/>
        <v>75.8</v>
      </c>
    </row>
    <row r="564" spans="1:14">
      <c r="A564">
        <v>20188716</v>
      </c>
      <c r="B564" t="s">
        <v>17</v>
      </c>
      <c r="C564" t="str">
        <f>VLOOKUP(B564,专业代码!$B$2:$C$8,2,FALSE)</f>
        <v>金融工程</v>
      </c>
      <c r="D564">
        <v>9.7</v>
      </c>
      <c r="E564">
        <v>9.6</v>
      </c>
      <c r="F564">
        <v>8.2</v>
      </c>
      <c r="G564">
        <v>8.1</v>
      </c>
      <c r="H564">
        <v>7.1</v>
      </c>
      <c r="I564">
        <v>7</v>
      </c>
      <c r="J564">
        <v>8.4</v>
      </c>
      <c r="K564">
        <v>6.9</v>
      </c>
      <c r="L564">
        <v>7.1</v>
      </c>
      <c r="M564">
        <v>5.5</v>
      </c>
      <c r="N564">
        <f t="shared" si="8"/>
        <v>77.6</v>
      </c>
    </row>
    <row r="565" spans="1:14">
      <c r="A565">
        <v>20183292</v>
      </c>
      <c r="B565" t="s">
        <v>17</v>
      </c>
      <c r="C565" t="str">
        <f>VLOOKUP(B565,专业代码!$B$2:$C$8,2,FALSE)</f>
        <v>金融工程</v>
      </c>
      <c r="D565">
        <v>7.7</v>
      </c>
      <c r="E565">
        <v>8.2</v>
      </c>
      <c r="F565">
        <v>8.7</v>
      </c>
      <c r="G565">
        <v>8.5</v>
      </c>
      <c r="H565">
        <v>7.7</v>
      </c>
      <c r="I565">
        <v>6.1</v>
      </c>
      <c r="J565">
        <v>9.3</v>
      </c>
      <c r="K565">
        <v>5.5</v>
      </c>
      <c r="L565">
        <v>6.5</v>
      </c>
      <c r="M565">
        <v>4.9</v>
      </c>
      <c r="N565">
        <f t="shared" si="8"/>
        <v>73.1</v>
      </c>
    </row>
    <row r="566" spans="1:14">
      <c r="A566">
        <v>20184016</v>
      </c>
      <c r="B566" t="s">
        <v>17</v>
      </c>
      <c r="C566" t="str">
        <f>VLOOKUP(B566,专业代码!$B$2:$C$8,2,FALSE)</f>
        <v>金融工程</v>
      </c>
      <c r="D566">
        <v>8.6</v>
      </c>
      <c r="E566">
        <v>8.1</v>
      </c>
      <c r="F566">
        <v>8.4</v>
      </c>
      <c r="G566">
        <v>7.7</v>
      </c>
      <c r="H566">
        <v>8.4</v>
      </c>
      <c r="I566">
        <v>7.6</v>
      </c>
      <c r="J566">
        <v>6.7</v>
      </c>
      <c r="K566">
        <v>7.1</v>
      </c>
      <c r="L566">
        <v>6</v>
      </c>
      <c r="M566">
        <v>8.4</v>
      </c>
      <c r="N566">
        <f t="shared" si="8"/>
        <v>77</v>
      </c>
    </row>
    <row r="567" spans="1:14">
      <c r="A567">
        <v>20185204</v>
      </c>
      <c r="B567" t="s">
        <v>17</v>
      </c>
      <c r="C567" t="str">
        <f>VLOOKUP(B567,专业代码!$B$2:$C$8,2,FALSE)</f>
        <v>金融工程</v>
      </c>
      <c r="D567">
        <v>8.3</v>
      </c>
      <c r="E567">
        <v>8.8</v>
      </c>
      <c r="F567">
        <v>7.5</v>
      </c>
      <c r="G567">
        <v>8</v>
      </c>
      <c r="H567">
        <v>6.2</v>
      </c>
      <c r="I567">
        <v>6.9</v>
      </c>
      <c r="J567">
        <v>7</v>
      </c>
      <c r="K567">
        <v>7.1</v>
      </c>
      <c r="L567">
        <v>6.9</v>
      </c>
      <c r="M567">
        <v>5.3</v>
      </c>
      <c r="N567">
        <f t="shared" si="8"/>
        <v>72</v>
      </c>
    </row>
    <row r="568" spans="1:14">
      <c r="A568">
        <v>20185530</v>
      </c>
      <c r="B568" t="s">
        <v>17</v>
      </c>
      <c r="C568" t="str">
        <f>VLOOKUP(B568,专业代码!$B$2:$C$8,2,FALSE)</f>
        <v>金融工程</v>
      </c>
      <c r="D568">
        <v>8.7</v>
      </c>
      <c r="E568">
        <v>8.3</v>
      </c>
      <c r="F568">
        <v>7.5</v>
      </c>
      <c r="G568">
        <v>8.8</v>
      </c>
      <c r="H568">
        <v>7.5</v>
      </c>
      <c r="I568">
        <v>8.2</v>
      </c>
      <c r="J568">
        <v>8.3</v>
      </c>
      <c r="K568">
        <v>7.3</v>
      </c>
      <c r="L568">
        <v>6.5</v>
      </c>
      <c r="M568">
        <v>7.5</v>
      </c>
      <c r="N568">
        <f t="shared" si="8"/>
        <v>78.6</v>
      </c>
    </row>
    <row r="569" spans="1:14">
      <c r="A569">
        <v>20187270</v>
      </c>
      <c r="B569" t="s">
        <v>17</v>
      </c>
      <c r="C569" t="str">
        <f>VLOOKUP(B569,专业代码!$B$2:$C$8,2,FALSE)</f>
        <v>金融工程</v>
      </c>
      <c r="D569">
        <v>8.2</v>
      </c>
      <c r="E569">
        <v>7.7</v>
      </c>
      <c r="F569">
        <v>8</v>
      </c>
      <c r="G569">
        <v>7.5</v>
      </c>
      <c r="H569">
        <v>6.7</v>
      </c>
      <c r="I569">
        <v>6.4</v>
      </c>
      <c r="J569">
        <v>8.3</v>
      </c>
      <c r="K569">
        <v>7.5</v>
      </c>
      <c r="L569">
        <v>5.8</v>
      </c>
      <c r="M569">
        <v>4.9</v>
      </c>
      <c r="N569">
        <f t="shared" si="8"/>
        <v>71</v>
      </c>
    </row>
    <row r="570" spans="1:14">
      <c r="A570">
        <v>20188624</v>
      </c>
      <c r="B570" t="s">
        <v>17</v>
      </c>
      <c r="C570" t="str">
        <f>VLOOKUP(B570,专业代码!$B$2:$C$8,2,FALSE)</f>
        <v>金融工程</v>
      </c>
      <c r="D570">
        <v>8.2</v>
      </c>
      <c r="E570">
        <v>7.6</v>
      </c>
      <c r="F570">
        <v>8.1</v>
      </c>
      <c r="G570">
        <v>8.5</v>
      </c>
      <c r="H570">
        <v>6.7</v>
      </c>
      <c r="I570">
        <v>6.2</v>
      </c>
      <c r="J570">
        <v>7</v>
      </c>
      <c r="K570">
        <v>8.1</v>
      </c>
      <c r="L570">
        <v>8.2</v>
      </c>
      <c r="M570">
        <v>5.8</v>
      </c>
      <c r="N570">
        <f t="shared" si="8"/>
        <v>74.4</v>
      </c>
    </row>
    <row r="571" spans="1:14">
      <c r="A571">
        <v>20188838</v>
      </c>
      <c r="B571" t="s">
        <v>17</v>
      </c>
      <c r="C571" t="str">
        <f>VLOOKUP(B571,专业代码!$B$2:$C$8,2,FALSE)</f>
        <v>金融工程</v>
      </c>
      <c r="D571">
        <v>8.1</v>
      </c>
      <c r="E571">
        <v>7.9</v>
      </c>
      <c r="F571">
        <v>7.9</v>
      </c>
      <c r="G571">
        <v>8.3</v>
      </c>
      <c r="H571">
        <v>8.9</v>
      </c>
      <c r="I571">
        <v>7.2</v>
      </c>
      <c r="J571">
        <v>5.9</v>
      </c>
      <c r="K571">
        <v>6.9</v>
      </c>
      <c r="L571">
        <v>6.9</v>
      </c>
      <c r="M571">
        <v>8.4</v>
      </c>
      <c r="N571">
        <f t="shared" si="8"/>
        <v>76.4</v>
      </c>
    </row>
    <row r="572" spans="1:14">
      <c r="A572">
        <v>20182875</v>
      </c>
      <c r="B572" t="s">
        <v>17</v>
      </c>
      <c r="C572" t="str">
        <f>VLOOKUP(B572,专业代码!$B$2:$C$8,2,FALSE)</f>
        <v>金融工程</v>
      </c>
      <c r="D572">
        <v>9.2</v>
      </c>
      <c r="E572">
        <v>8.2</v>
      </c>
      <c r="F572">
        <v>8.2</v>
      </c>
      <c r="G572">
        <v>8.6</v>
      </c>
      <c r="H572">
        <v>7.2</v>
      </c>
      <c r="I572">
        <v>7.1</v>
      </c>
      <c r="J572">
        <v>8.2</v>
      </c>
      <c r="K572">
        <v>6.1</v>
      </c>
      <c r="L572">
        <v>6.1</v>
      </c>
      <c r="M572">
        <v>5.5</v>
      </c>
      <c r="N572">
        <f t="shared" si="8"/>
        <v>74.4</v>
      </c>
    </row>
    <row r="573" spans="1:14">
      <c r="A573">
        <v>20185190</v>
      </c>
      <c r="B573" t="s">
        <v>17</v>
      </c>
      <c r="C573" t="str">
        <f>VLOOKUP(B573,专业代码!$B$2:$C$8,2,FALSE)</f>
        <v>金融工程</v>
      </c>
      <c r="D573">
        <v>8.4</v>
      </c>
      <c r="E573">
        <v>7.6</v>
      </c>
      <c r="F573">
        <v>8.2</v>
      </c>
      <c r="G573">
        <v>8.5</v>
      </c>
      <c r="H573">
        <v>7.9</v>
      </c>
      <c r="I573">
        <v>8.1</v>
      </c>
      <c r="J573">
        <v>6.1</v>
      </c>
      <c r="K573">
        <v>6.5</v>
      </c>
      <c r="L573">
        <v>9.1</v>
      </c>
      <c r="M573">
        <v>6.5</v>
      </c>
      <c r="N573">
        <f t="shared" si="8"/>
        <v>76.9</v>
      </c>
    </row>
    <row r="574" spans="1:14">
      <c r="A574">
        <v>20187748</v>
      </c>
      <c r="B574" t="s">
        <v>17</v>
      </c>
      <c r="C574" t="str">
        <f>VLOOKUP(B574,专业代码!$B$2:$C$8,2,FALSE)</f>
        <v>金融工程</v>
      </c>
      <c r="D574">
        <v>7.6</v>
      </c>
      <c r="E574">
        <v>8</v>
      </c>
      <c r="F574">
        <v>7.6</v>
      </c>
      <c r="G574">
        <v>6.9</v>
      </c>
      <c r="H574">
        <v>7</v>
      </c>
      <c r="I574">
        <v>7.8</v>
      </c>
      <c r="J574">
        <v>6.1</v>
      </c>
      <c r="K574">
        <v>6.2</v>
      </c>
      <c r="L574">
        <v>8.2</v>
      </c>
      <c r="M574">
        <v>6</v>
      </c>
      <c r="N574">
        <f t="shared" si="8"/>
        <v>71.4</v>
      </c>
    </row>
    <row r="575" spans="1:14">
      <c r="A575">
        <v>20188695</v>
      </c>
      <c r="B575" t="s">
        <v>17</v>
      </c>
      <c r="C575" t="str">
        <f>VLOOKUP(B575,专业代码!$B$2:$C$8,2,FALSE)</f>
        <v>金融工程</v>
      </c>
      <c r="D575">
        <v>8.9</v>
      </c>
      <c r="E575">
        <v>8.4</v>
      </c>
      <c r="F575">
        <v>8</v>
      </c>
      <c r="G575">
        <v>8</v>
      </c>
      <c r="H575">
        <v>8.7</v>
      </c>
      <c r="I575">
        <v>7.6</v>
      </c>
      <c r="J575">
        <v>7.8</v>
      </c>
      <c r="K575">
        <v>6.9</v>
      </c>
      <c r="L575">
        <v>6.9</v>
      </c>
      <c r="M575">
        <v>3.4</v>
      </c>
      <c r="N575">
        <f t="shared" si="8"/>
        <v>74.6</v>
      </c>
    </row>
    <row r="576" spans="1:14">
      <c r="A576">
        <v>20189876</v>
      </c>
      <c r="B576" t="s">
        <v>17</v>
      </c>
      <c r="C576" t="str">
        <f>VLOOKUP(B576,专业代码!$B$2:$C$8,2,FALSE)</f>
        <v>金融工程</v>
      </c>
      <c r="D576">
        <v>8.6</v>
      </c>
      <c r="E576">
        <v>8.4</v>
      </c>
      <c r="F576">
        <v>8.8</v>
      </c>
      <c r="G576">
        <v>8.6</v>
      </c>
      <c r="H576">
        <v>8.1</v>
      </c>
      <c r="I576">
        <v>8.7</v>
      </c>
      <c r="J576">
        <v>7.2</v>
      </c>
      <c r="K576">
        <v>6.8</v>
      </c>
      <c r="L576">
        <v>6.6</v>
      </c>
      <c r="M576">
        <v>6.3</v>
      </c>
      <c r="N576">
        <f t="shared" si="8"/>
        <v>78.1</v>
      </c>
    </row>
    <row r="577" spans="1:14">
      <c r="A577">
        <v>20184390</v>
      </c>
      <c r="B577" t="s">
        <v>17</v>
      </c>
      <c r="C577" t="str">
        <f>VLOOKUP(B577,专业代码!$B$2:$C$8,2,FALSE)</f>
        <v>金融工程</v>
      </c>
      <c r="D577">
        <v>8.6</v>
      </c>
      <c r="E577">
        <v>8.4</v>
      </c>
      <c r="F577">
        <v>7.9</v>
      </c>
      <c r="G577">
        <v>7.9</v>
      </c>
      <c r="H577">
        <v>7.6</v>
      </c>
      <c r="I577">
        <v>7.3</v>
      </c>
      <c r="J577">
        <v>8.2</v>
      </c>
      <c r="K577">
        <v>7.2</v>
      </c>
      <c r="L577">
        <v>7.5</v>
      </c>
      <c r="M577">
        <v>6.2</v>
      </c>
      <c r="N577">
        <f t="shared" si="8"/>
        <v>76.8</v>
      </c>
    </row>
    <row r="578" spans="1:14">
      <c r="A578">
        <v>20185415</v>
      </c>
      <c r="B578" t="s">
        <v>17</v>
      </c>
      <c r="C578" t="str">
        <f>VLOOKUP(B578,专业代码!$B$2:$C$8,2,FALSE)</f>
        <v>金融工程</v>
      </c>
      <c r="D578">
        <v>8</v>
      </c>
      <c r="E578">
        <v>7.4</v>
      </c>
      <c r="F578">
        <v>8.1</v>
      </c>
      <c r="G578">
        <v>8.5</v>
      </c>
      <c r="H578">
        <v>7.8</v>
      </c>
      <c r="I578">
        <v>7.3</v>
      </c>
      <c r="J578">
        <v>7</v>
      </c>
      <c r="K578">
        <v>6</v>
      </c>
      <c r="L578">
        <v>6.5</v>
      </c>
      <c r="M578">
        <v>6</v>
      </c>
      <c r="N578">
        <f t="shared" si="8"/>
        <v>72.6</v>
      </c>
    </row>
    <row r="579" spans="1:14">
      <c r="A579">
        <v>20186104</v>
      </c>
      <c r="B579" t="s">
        <v>17</v>
      </c>
      <c r="C579" t="str">
        <f>VLOOKUP(B579,专业代码!$B$2:$C$8,2,FALSE)</f>
        <v>金融工程</v>
      </c>
      <c r="D579">
        <v>9.5</v>
      </c>
      <c r="E579">
        <v>8.8</v>
      </c>
      <c r="F579">
        <v>7.1</v>
      </c>
      <c r="G579">
        <v>7.2</v>
      </c>
      <c r="H579">
        <v>7.4</v>
      </c>
      <c r="I579">
        <v>8.4</v>
      </c>
      <c r="J579">
        <v>7.1</v>
      </c>
      <c r="K579">
        <v>7.3</v>
      </c>
      <c r="L579">
        <v>5.2</v>
      </c>
      <c r="M579">
        <v>5.2</v>
      </c>
      <c r="N579">
        <f t="shared" ref="N579:N642" si="9">SUM(D579:M579)</f>
        <v>73.2</v>
      </c>
    </row>
    <row r="580" spans="1:14">
      <c r="A580">
        <v>20186915</v>
      </c>
      <c r="B580" t="s">
        <v>17</v>
      </c>
      <c r="C580" t="str">
        <f>VLOOKUP(B580,专业代码!$B$2:$C$8,2,FALSE)</f>
        <v>金融工程</v>
      </c>
      <c r="D580">
        <v>8.2</v>
      </c>
      <c r="E580">
        <v>7.2</v>
      </c>
      <c r="F580">
        <v>7.1</v>
      </c>
      <c r="G580">
        <v>9.2</v>
      </c>
      <c r="H580">
        <v>9.6</v>
      </c>
      <c r="I580">
        <v>6.5</v>
      </c>
      <c r="J580">
        <v>5.8</v>
      </c>
      <c r="K580">
        <v>8</v>
      </c>
      <c r="L580">
        <v>7.8</v>
      </c>
      <c r="M580">
        <v>7.9</v>
      </c>
      <c r="N580">
        <f t="shared" si="9"/>
        <v>77.3</v>
      </c>
    </row>
    <row r="581" spans="1:14">
      <c r="A581">
        <v>20189136</v>
      </c>
      <c r="B581" t="s">
        <v>17</v>
      </c>
      <c r="C581" t="str">
        <f>VLOOKUP(B581,专业代码!$B$2:$C$8,2,FALSE)</f>
        <v>金融工程</v>
      </c>
      <c r="D581">
        <v>7.9</v>
      </c>
      <c r="E581">
        <v>9.3</v>
      </c>
      <c r="F581">
        <v>7.5</v>
      </c>
      <c r="G581">
        <v>8</v>
      </c>
      <c r="H581">
        <v>7.3</v>
      </c>
      <c r="I581">
        <v>6.7</v>
      </c>
      <c r="J581">
        <v>6.4</v>
      </c>
      <c r="K581">
        <v>6.3</v>
      </c>
      <c r="L581">
        <v>7.1</v>
      </c>
      <c r="M581">
        <v>4.5</v>
      </c>
      <c r="N581">
        <f t="shared" si="9"/>
        <v>71</v>
      </c>
    </row>
    <row r="582" spans="1:14">
      <c r="A582">
        <v>20181385</v>
      </c>
      <c r="B582" t="s">
        <v>17</v>
      </c>
      <c r="C582" t="str">
        <f>VLOOKUP(B582,专业代码!$B$2:$C$8,2,FALSE)</f>
        <v>金融工程</v>
      </c>
      <c r="D582">
        <v>7.9</v>
      </c>
      <c r="E582">
        <v>7.5</v>
      </c>
      <c r="F582">
        <v>8.8</v>
      </c>
      <c r="G582">
        <v>7.5</v>
      </c>
      <c r="H582">
        <v>8.6</v>
      </c>
      <c r="I582">
        <v>7.1</v>
      </c>
      <c r="J582">
        <v>5.6</v>
      </c>
      <c r="K582">
        <v>6.8</v>
      </c>
      <c r="L582">
        <v>6.3</v>
      </c>
      <c r="M582">
        <v>7.9</v>
      </c>
      <c r="N582">
        <f t="shared" si="9"/>
        <v>74</v>
      </c>
    </row>
    <row r="583" spans="1:14">
      <c r="A583">
        <v>20181414</v>
      </c>
      <c r="B583" t="s">
        <v>17</v>
      </c>
      <c r="C583" t="str">
        <f>VLOOKUP(B583,专业代码!$B$2:$C$8,2,FALSE)</f>
        <v>金融工程</v>
      </c>
      <c r="D583">
        <v>8.7</v>
      </c>
      <c r="E583">
        <v>8.8</v>
      </c>
      <c r="F583">
        <v>9.1</v>
      </c>
      <c r="G583">
        <v>7.8</v>
      </c>
      <c r="H583">
        <v>5.6</v>
      </c>
      <c r="I583">
        <v>7.5</v>
      </c>
      <c r="J583">
        <v>6.3</v>
      </c>
      <c r="K583">
        <v>6.3</v>
      </c>
      <c r="L583">
        <v>6.5</v>
      </c>
      <c r="M583">
        <v>6.9</v>
      </c>
      <c r="N583">
        <f t="shared" si="9"/>
        <v>73.5</v>
      </c>
    </row>
    <row r="584" spans="1:14">
      <c r="A584">
        <v>20182820</v>
      </c>
      <c r="B584" t="s">
        <v>17</v>
      </c>
      <c r="C584" t="str">
        <f>VLOOKUP(B584,专业代码!$B$2:$C$8,2,FALSE)</f>
        <v>金融工程</v>
      </c>
      <c r="D584">
        <v>8.9</v>
      </c>
      <c r="E584">
        <v>8</v>
      </c>
      <c r="F584">
        <v>7.7</v>
      </c>
      <c r="G584">
        <v>8.4</v>
      </c>
      <c r="H584">
        <v>8.1</v>
      </c>
      <c r="I584">
        <v>7.9</v>
      </c>
      <c r="J584">
        <v>7</v>
      </c>
      <c r="K584">
        <v>7.1</v>
      </c>
      <c r="L584">
        <v>6.5</v>
      </c>
      <c r="M584">
        <v>7</v>
      </c>
      <c r="N584">
        <f t="shared" si="9"/>
        <v>76.6</v>
      </c>
    </row>
    <row r="585" spans="1:14">
      <c r="A585">
        <v>20182899</v>
      </c>
      <c r="B585" t="s">
        <v>17</v>
      </c>
      <c r="C585" t="str">
        <f>VLOOKUP(B585,专业代码!$B$2:$C$8,2,FALSE)</f>
        <v>金融工程</v>
      </c>
      <c r="D585">
        <v>8</v>
      </c>
      <c r="E585">
        <v>8.1</v>
      </c>
      <c r="F585">
        <v>8.2</v>
      </c>
      <c r="G585">
        <v>8.2</v>
      </c>
      <c r="H585">
        <v>7.1</v>
      </c>
      <c r="I585">
        <v>6.8</v>
      </c>
      <c r="J585">
        <v>7.8</v>
      </c>
      <c r="K585">
        <v>6.3</v>
      </c>
      <c r="L585">
        <v>5.2</v>
      </c>
      <c r="M585">
        <v>6.7</v>
      </c>
      <c r="N585">
        <f t="shared" si="9"/>
        <v>72.4</v>
      </c>
    </row>
    <row r="586" spans="1:14">
      <c r="A586">
        <v>20187899</v>
      </c>
      <c r="B586" t="s">
        <v>17</v>
      </c>
      <c r="C586" t="str">
        <f>VLOOKUP(B586,专业代码!$B$2:$C$8,2,FALSE)</f>
        <v>金融工程</v>
      </c>
      <c r="D586">
        <v>7.4</v>
      </c>
      <c r="E586">
        <v>8.1</v>
      </c>
      <c r="F586">
        <v>8.9</v>
      </c>
      <c r="G586">
        <v>8.7</v>
      </c>
      <c r="H586">
        <v>7.3</v>
      </c>
      <c r="I586">
        <v>7.1</v>
      </c>
      <c r="J586">
        <v>8.2</v>
      </c>
      <c r="K586">
        <v>5.7</v>
      </c>
      <c r="L586">
        <v>8</v>
      </c>
      <c r="M586">
        <v>6.1</v>
      </c>
      <c r="N586">
        <f t="shared" si="9"/>
        <v>75.5</v>
      </c>
    </row>
    <row r="587" spans="1:14">
      <c r="A587">
        <v>20182730</v>
      </c>
      <c r="B587" t="s">
        <v>17</v>
      </c>
      <c r="C587" t="str">
        <f>VLOOKUP(B587,专业代码!$B$2:$C$8,2,FALSE)</f>
        <v>金融工程</v>
      </c>
      <c r="D587">
        <v>8</v>
      </c>
      <c r="E587">
        <v>6</v>
      </c>
      <c r="F587">
        <v>3</v>
      </c>
      <c r="G587">
        <v>5</v>
      </c>
      <c r="H587">
        <v>6</v>
      </c>
      <c r="I587">
        <v>4</v>
      </c>
      <c r="J587">
        <v>2</v>
      </c>
      <c r="K587">
        <v>6</v>
      </c>
      <c r="L587">
        <v>8</v>
      </c>
      <c r="M587">
        <v>2</v>
      </c>
      <c r="N587">
        <f t="shared" si="9"/>
        <v>50</v>
      </c>
    </row>
    <row r="588" spans="1:14">
      <c r="A588">
        <v>20186786</v>
      </c>
      <c r="B588" t="s">
        <v>17</v>
      </c>
      <c r="C588" t="str">
        <f>VLOOKUP(B588,专业代码!$B$2:$C$8,2,FALSE)</f>
        <v>金融工程</v>
      </c>
      <c r="D588">
        <v>8.5</v>
      </c>
      <c r="E588">
        <v>8.7</v>
      </c>
      <c r="F588">
        <v>7.9</v>
      </c>
      <c r="G588">
        <v>8.2</v>
      </c>
      <c r="H588">
        <v>9.3</v>
      </c>
      <c r="I588">
        <v>7.4</v>
      </c>
      <c r="J588">
        <v>8.7</v>
      </c>
      <c r="K588">
        <v>6.8</v>
      </c>
      <c r="L588">
        <v>7.4</v>
      </c>
      <c r="M588">
        <v>6.8</v>
      </c>
      <c r="N588">
        <f t="shared" si="9"/>
        <v>79.7</v>
      </c>
    </row>
    <row r="589" spans="1:14">
      <c r="A589">
        <v>20187181</v>
      </c>
      <c r="B589" t="s">
        <v>17</v>
      </c>
      <c r="C589" t="str">
        <f>VLOOKUP(B589,专业代码!$B$2:$C$8,2,FALSE)</f>
        <v>金融工程</v>
      </c>
      <c r="D589">
        <v>9.9</v>
      </c>
      <c r="E589">
        <v>8.6</v>
      </c>
      <c r="F589">
        <v>8.2</v>
      </c>
      <c r="G589">
        <v>8.8</v>
      </c>
      <c r="H589">
        <v>7.2</v>
      </c>
      <c r="I589">
        <v>7.3</v>
      </c>
      <c r="J589">
        <v>7.1</v>
      </c>
      <c r="K589">
        <v>8</v>
      </c>
      <c r="L589">
        <v>7.5</v>
      </c>
      <c r="M589">
        <v>6.9</v>
      </c>
      <c r="N589">
        <f t="shared" si="9"/>
        <v>79.5</v>
      </c>
    </row>
    <row r="590" spans="1:14">
      <c r="A590">
        <v>20188362</v>
      </c>
      <c r="B590" t="s">
        <v>17</v>
      </c>
      <c r="C590" t="str">
        <f>VLOOKUP(B590,专业代码!$B$2:$C$8,2,FALSE)</f>
        <v>金融工程</v>
      </c>
      <c r="D590">
        <v>8.7</v>
      </c>
      <c r="E590">
        <v>6.9</v>
      </c>
      <c r="F590">
        <v>9.2</v>
      </c>
      <c r="G590">
        <v>8.7</v>
      </c>
      <c r="H590">
        <v>6.1</v>
      </c>
      <c r="I590">
        <v>5.9</v>
      </c>
      <c r="J590">
        <v>7.3</v>
      </c>
      <c r="K590">
        <v>7.6</v>
      </c>
      <c r="L590">
        <v>7.5</v>
      </c>
      <c r="M590">
        <v>7.9</v>
      </c>
      <c r="N590">
        <f t="shared" si="9"/>
        <v>75.8</v>
      </c>
    </row>
    <row r="591" spans="1:14">
      <c r="A591">
        <v>20189494</v>
      </c>
      <c r="B591" t="s">
        <v>17</v>
      </c>
      <c r="C591" t="str">
        <f>VLOOKUP(B591,专业代码!$B$2:$C$8,2,FALSE)</f>
        <v>金融工程</v>
      </c>
      <c r="D591">
        <v>9.4</v>
      </c>
      <c r="E591">
        <v>8.7</v>
      </c>
      <c r="F591">
        <v>9</v>
      </c>
      <c r="G591">
        <v>7.4</v>
      </c>
      <c r="H591">
        <v>6.8</v>
      </c>
      <c r="I591">
        <v>6.8</v>
      </c>
      <c r="J591">
        <v>8.6</v>
      </c>
      <c r="K591">
        <v>7.6</v>
      </c>
      <c r="L591">
        <v>6.2</v>
      </c>
      <c r="M591">
        <v>5.9</v>
      </c>
      <c r="N591">
        <f t="shared" si="9"/>
        <v>76.4</v>
      </c>
    </row>
    <row r="592" spans="1:14">
      <c r="A592">
        <v>20185910</v>
      </c>
      <c r="B592" t="s">
        <v>18</v>
      </c>
      <c r="C592" t="str">
        <f>VLOOKUP(B592,专业代码!$B$2:$C$8,2,FALSE)</f>
        <v>管理信息系统</v>
      </c>
      <c r="D592">
        <v>9.8</v>
      </c>
      <c r="E592">
        <v>8.1</v>
      </c>
      <c r="F592">
        <v>8.4</v>
      </c>
      <c r="G592">
        <v>7.1</v>
      </c>
      <c r="H592">
        <v>6.6</v>
      </c>
      <c r="I592">
        <v>8.9</v>
      </c>
      <c r="J592">
        <v>5.8</v>
      </c>
      <c r="K592">
        <v>7.4</v>
      </c>
      <c r="L592">
        <v>7.3</v>
      </c>
      <c r="M592">
        <v>7.4</v>
      </c>
      <c r="N592">
        <f t="shared" si="9"/>
        <v>76.8</v>
      </c>
    </row>
    <row r="593" spans="1:14">
      <c r="A593">
        <v>20181442</v>
      </c>
      <c r="B593" t="s">
        <v>18</v>
      </c>
      <c r="C593" t="str">
        <f>VLOOKUP(B593,专业代码!$B$2:$C$8,2,FALSE)</f>
        <v>管理信息系统</v>
      </c>
      <c r="D593">
        <v>9.3</v>
      </c>
      <c r="E593">
        <v>9</v>
      </c>
      <c r="F593">
        <v>9.3</v>
      </c>
      <c r="G593">
        <v>9.2</v>
      </c>
      <c r="H593">
        <v>9.4</v>
      </c>
      <c r="I593">
        <v>7.6</v>
      </c>
      <c r="J593">
        <v>6.9</v>
      </c>
      <c r="K593">
        <v>7.2</v>
      </c>
      <c r="L593">
        <v>7.1</v>
      </c>
      <c r="M593">
        <v>6.7</v>
      </c>
      <c r="N593">
        <f t="shared" si="9"/>
        <v>81.7</v>
      </c>
    </row>
    <row r="594" spans="1:14">
      <c r="A594">
        <v>20181549</v>
      </c>
      <c r="B594" t="s">
        <v>18</v>
      </c>
      <c r="C594" t="str">
        <f>VLOOKUP(B594,专业代码!$B$2:$C$8,2,FALSE)</f>
        <v>管理信息系统</v>
      </c>
      <c r="D594">
        <v>10</v>
      </c>
      <c r="E594">
        <v>9.5</v>
      </c>
      <c r="F594">
        <v>8.6</v>
      </c>
      <c r="G594">
        <v>9.1</v>
      </c>
      <c r="H594">
        <v>8.1</v>
      </c>
      <c r="I594">
        <v>8.3</v>
      </c>
      <c r="J594">
        <v>6.6</v>
      </c>
      <c r="K594">
        <v>7.9</v>
      </c>
      <c r="L594">
        <v>7.9</v>
      </c>
      <c r="M594">
        <v>8.2</v>
      </c>
      <c r="N594">
        <f t="shared" si="9"/>
        <v>84.2</v>
      </c>
    </row>
    <row r="595" spans="1:14">
      <c r="A595">
        <v>20183735</v>
      </c>
      <c r="B595" t="s">
        <v>18</v>
      </c>
      <c r="C595" t="str">
        <f>VLOOKUP(B595,专业代码!$B$2:$C$8,2,FALSE)</f>
        <v>管理信息系统</v>
      </c>
      <c r="D595">
        <v>9.9</v>
      </c>
      <c r="E595">
        <v>8.2</v>
      </c>
      <c r="F595">
        <v>8.2</v>
      </c>
      <c r="G595">
        <v>7.8</v>
      </c>
      <c r="H595">
        <v>10</v>
      </c>
      <c r="I595">
        <v>8.7</v>
      </c>
      <c r="J595">
        <v>8.2</v>
      </c>
      <c r="K595">
        <v>7.8</v>
      </c>
      <c r="L595">
        <v>6.5</v>
      </c>
      <c r="M595">
        <v>5.9</v>
      </c>
      <c r="N595">
        <f t="shared" si="9"/>
        <v>81.2</v>
      </c>
    </row>
    <row r="596" spans="1:14">
      <c r="A596">
        <v>20188250</v>
      </c>
      <c r="B596" t="s">
        <v>18</v>
      </c>
      <c r="C596" t="str">
        <f>VLOOKUP(B596,专业代码!$B$2:$C$8,2,FALSE)</f>
        <v>管理信息系统</v>
      </c>
      <c r="D596">
        <v>7.9</v>
      </c>
      <c r="E596">
        <v>10</v>
      </c>
      <c r="F596">
        <v>8.5</v>
      </c>
      <c r="G596">
        <v>9</v>
      </c>
      <c r="H596">
        <v>9.3</v>
      </c>
      <c r="I596">
        <v>9.1</v>
      </c>
      <c r="J596">
        <v>7.1</v>
      </c>
      <c r="K596">
        <v>8.2</v>
      </c>
      <c r="L596">
        <v>5</v>
      </c>
      <c r="M596">
        <v>6.1</v>
      </c>
      <c r="N596">
        <f t="shared" si="9"/>
        <v>80.2</v>
      </c>
    </row>
    <row r="597" spans="1:14">
      <c r="A597">
        <v>20183174</v>
      </c>
      <c r="B597" t="s">
        <v>18</v>
      </c>
      <c r="C597" t="str">
        <f>VLOOKUP(B597,专业代码!$B$2:$C$8,2,FALSE)</f>
        <v>管理信息系统</v>
      </c>
      <c r="D597">
        <v>9.1</v>
      </c>
      <c r="E597">
        <v>8.9</v>
      </c>
      <c r="F597">
        <v>9.4</v>
      </c>
      <c r="G597">
        <v>8.5</v>
      </c>
      <c r="H597">
        <v>8.1</v>
      </c>
      <c r="I597">
        <v>8.5</v>
      </c>
      <c r="J597">
        <v>8.3</v>
      </c>
      <c r="K597">
        <v>7.2</v>
      </c>
      <c r="L597">
        <v>8.8</v>
      </c>
      <c r="M597">
        <v>6.4</v>
      </c>
      <c r="N597">
        <f t="shared" si="9"/>
        <v>83.2</v>
      </c>
    </row>
    <row r="598" spans="1:14">
      <c r="A598">
        <v>20184123</v>
      </c>
      <c r="B598" t="s">
        <v>18</v>
      </c>
      <c r="C598" t="str">
        <f>VLOOKUP(B598,专业代码!$B$2:$C$8,2,FALSE)</f>
        <v>管理信息系统</v>
      </c>
      <c r="D598">
        <v>9.1</v>
      </c>
      <c r="E598">
        <v>7.8</v>
      </c>
      <c r="F598">
        <v>9.4</v>
      </c>
      <c r="G598">
        <v>7.7</v>
      </c>
      <c r="H598">
        <v>10</v>
      </c>
      <c r="I598">
        <v>9.2</v>
      </c>
      <c r="J598">
        <v>7.3</v>
      </c>
      <c r="K598">
        <v>8</v>
      </c>
      <c r="L598">
        <v>6.1</v>
      </c>
      <c r="M598">
        <v>5.6</v>
      </c>
      <c r="N598">
        <f t="shared" si="9"/>
        <v>80.2</v>
      </c>
    </row>
    <row r="599" spans="1:14">
      <c r="A599">
        <v>20189519</v>
      </c>
      <c r="B599" t="s">
        <v>18</v>
      </c>
      <c r="C599" t="str">
        <f>VLOOKUP(B599,专业代码!$B$2:$C$8,2,FALSE)</f>
        <v>管理信息系统</v>
      </c>
      <c r="D599">
        <v>9.5</v>
      </c>
      <c r="E599">
        <v>8.9</v>
      </c>
      <c r="F599">
        <v>7.9</v>
      </c>
      <c r="G599">
        <v>7.8</v>
      </c>
      <c r="H599">
        <v>9.9</v>
      </c>
      <c r="I599">
        <v>6.4</v>
      </c>
      <c r="J599">
        <v>7.1</v>
      </c>
      <c r="K599">
        <v>7.8</v>
      </c>
      <c r="L599">
        <v>5</v>
      </c>
      <c r="M599">
        <v>7.3</v>
      </c>
      <c r="N599">
        <f t="shared" si="9"/>
        <v>77.6</v>
      </c>
    </row>
    <row r="600" spans="1:14">
      <c r="A600">
        <v>20183832</v>
      </c>
      <c r="B600" t="s">
        <v>18</v>
      </c>
      <c r="C600" t="str">
        <f>VLOOKUP(B600,专业代码!$B$2:$C$8,2,FALSE)</f>
        <v>管理信息系统</v>
      </c>
      <c r="D600">
        <v>8.7</v>
      </c>
      <c r="E600">
        <v>7.6</v>
      </c>
      <c r="F600">
        <v>9</v>
      </c>
      <c r="G600">
        <v>8.6</v>
      </c>
      <c r="H600">
        <v>7.9</v>
      </c>
      <c r="I600">
        <v>8.4</v>
      </c>
      <c r="J600">
        <v>9</v>
      </c>
      <c r="K600">
        <v>8.2</v>
      </c>
      <c r="L600">
        <v>6.8</v>
      </c>
      <c r="M600">
        <v>7.3</v>
      </c>
      <c r="N600">
        <f t="shared" si="9"/>
        <v>81.5</v>
      </c>
    </row>
    <row r="601" spans="1:14">
      <c r="A601">
        <v>20186616</v>
      </c>
      <c r="B601" t="s">
        <v>18</v>
      </c>
      <c r="C601" t="str">
        <f>VLOOKUP(B601,专业代码!$B$2:$C$8,2,FALSE)</f>
        <v>管理信息系统</v>
      </c>
      <c r="D601">
        <v>9.2</v>
      </c>
      <c r="E601">
        <v>8.7</v>
      </c>
      <c r="F601">
        <v>8.5</v>
      </c>
      <c r="G601">
        <v>7.5</v>
      </c>
      <c r="H601">
        <v>7.7</v>
      </c>
      <c r="I601">
        <v>8.6</v>
      </c>
      <c r="J601">
        <v>5.1</v>
      </c>
      <c r="K601">
        <v>8.3</v>
      </c>
      <c r="L601">
        <v>5.5</v>
      </c>
      <c r="M601">
        <v>5.5</v>
      </c>
      <c r="N601">
        <f t="shared" si="9"/>
        <v>74.6</v>
      </c>
    </row>
    <row r="602" spans="1:14">
      <c r="A602">
        <v>20188251</v>
      </c>
      <c r="B602" t="s">
        <v>18</v>
      </c>
      <c r="C602" t="str">
        <f>VLOOKUP(B602,专业代码!$B$2:$C$8,2,FALSE)</f>
        <v>管理信息系统</v>
      </c>
      <c r="D602">
        <v>8.6</v>
      </c>
      <c r="E602">
        <v>8.5</v>
      </c>
      <c r="F602">
        <v>7.4</v>
      </c>
      <c r="G602">
        <v>8.2</v>
      </c>
      <c r="H602">
        <v>8.7</v>
      </c>
      <c r="I602">
        <v>8.7</v>
      </c>
      <c r="J602">
        <v>6.3</v>
      </c>
      <c r="K602">
        <v>7.2</v>
      </c>
      <c r="L602">
        <v>7.8</v>
      </c>
      <c r="M602">
        <v>6.8</v>
      </c>
      <c r="N602">
        <f t="shared" si="9"/>
        <v>78.2</v>
      </c>
    </row>
    <row r="603" spans="1:14">
      <c r="A603">
        <v>20182163</v>
      </c>
      <c r="B603" t="s">
        <v>18</v>
      </c>
      <c r="C603" t="str">
        <f>VLOOKUP(B603,专业代码!$B$2:$C$8,2,FALSE)</f>
        <v>管理信息系统</v>
      </c>
      <c r="D603">
        <v>8.7</v>
      </c>
      <c r="E603">
        <v>8.1</v>
      </c>
      <c r="F603">
        <v>9.5</v>
      </c>
      <c r="G603">
        <v>9.4</v>
      </c>
      <c r="H603">
        <v>9</v>
      </c>
      <c r="I603">
        <v>6.7</v>
      </c>
      <c r="J603">
        <v>7.2</v>
      </c>
      <c r="K603">
        <v>6.6</v>
      </c>
      <c r="L603">
        <v>5.6</v>
      </c>
      <c r="M603">
        <v>5</v>
      </c>
      <c r="N603">
        <f t="shared" si="9"/>
        <v>75.8</v>
      </c>
    </row>
    <row r="604" spans="1:14">
      <c r="A604">
        <v>20182325</v>
      </c>
      <c r="B604" t="s">
        <v>18</v>
      </c>
      <c r="C604" t="str">
        <f>VLOOKUP(B604,专业代码!$B$2:$C$8,2,FALSE)</f>
        <v>管理信息系统</v>
      </c>
      <c r="D604">
        <v>9.5</v>
      </c>
      <c r="E604">
        <v>9.3</v>
      </c>
      <c r="F604">
        <v>8.6</v>
      </c>
      <c r="G604">
        <v>9</v>
      </c>
      <c r="H604">
        <v>7</v>
      </c>
      <c r="I604">
        <v>8.2</v>
      </c>
      <c r="J604">
        <v>7.6</v>
      </c>
      <c r="K604">
        <v>7.7</v>
      </c>
      <c r="L604">
        <v>5.7</v>
      </c>
      <c r="M604">
        <v>7.2</v>
      </c>
      <c r="N604">
        <f t="shared" si="9"/>
        <v>79.8</v>
      </c>
    </row>
    <row r="605" spans="1:14">
      <c r="A605">
        <v>20184001</v>
      </c>
      <c r="B605" t="s">
        <v>18</v>
      </c>
      <c r="C605" t="str">
        <f>VLOOKUP(B605,专业代码!$B$2:$C$8,2,FALSE)</f>
        <v>管理信息系统</v>
      </c>
      <c r="D605">
        <v>8.3</v>
      </c>
      <c r="E605">
        <v>9</v>
      </c>
      <c r="F605">
        <v>8.1</v>
      </c>
      <c r="G605">
        <v>9.2</v>
      </c>
      <c r="H605">
        <v>7.9</v>
      </c>
      <c r="I605">
        <v>9.3</v>
      </c>
      <c r="J605">
        <v>6.9</v>
      </c>
      <c r="K605">
        <v>4.9</v>
      </c>
      <c r="L605">
        <v>7.3</v>
      </c>
      <c r="M605">
        <v>6.3</v>
      </c>
      <c r="N605">
        <f t="shared" si="9"/>
        <v>77.2</v>
      </c>
    </row>
    <row r="606" spans="1:14">
      <c r="A606">
        <v>20185071</v>
      </c>
      <c r="B606" t="s">
        <v>18</v>
      </c>
      <c r="C606" t="str">
        <f>VLOOKUP(B606,专业代码!$B$2:$C$8,2,FALSE)</f>
        <v>管理信息系统</v>
      </c>
      <c r="D606">
        <v>8</v>
      </c>
      <c r="E606">
        <v>8.5</v>
      </c>
      <c r="F606">
        <v>6.5</v>
      </c>
      <c r="G606">
        <v>8.6</v>
      </c>
      <c r="H606">
        <v>7.7</v>
      </c>
      <c r="I606">
        <v>9</v>
      </c>
      <c r="J606">
        <v>7</v>
      </c>
      <c r="K606">
        <v>9.2</v>
      </c>
      <c r="L606">
        <v>9.6</v>
      </c>
      <c r="M606">
        <v>8.3</v>
      </c>
      <c r="N606">
        <f t="shared" si="9"/>
        <v>82.4</v>
      </c>
    </row>
    <row r="607" spans="1:14">
      <c r="A607">
        <v>20182064</v>
      </c>
      <c r="B607" t="s">
        <v>18</v>
      </c>
      <c r="C607" t="str">
        <f>VLOOKUP(B607,专业代码!$B$2:$C$8,2,FALSE)</f>
        <v>管理信息系统</v>
      </c>
      <c r="D607">
        <v>9.9</v>
      </c>
      <c r="E607">
        <v>9.9</v>
      </c>
      <c r="F607">
        <v>9.9</v>
      </c>
      <c r="G607">
        <v>9.9</v>
      </c>
      <c r="H607">
        <v>9.8</v>
      </c>
      <c r="I607">
        <v>9.7</v>
      </c>
      <c r="J607">
        <v>9.3</v>
      </c>
      <c r="K607">
        <v>9.6</v>
      </c>
      <c r="L607">
        <v>9.2</v>
      </c>
      <c r="M607">
        <v>7.5</v>
      </c>
      <c r="N607">
        <f t="shared" si="9"/>
        <v>94.7</v>
      </c>
    </row>
    <row r="608" spans="1:14">
      <c r="A608">
        <v>20182386</v>
      </c>
      <c r="B608" t="s">
        <v>18</v>
      </c>
      <c r="C608" t="str">
        <f>VLOOKUP(B608,专业代码!$B$2:$C$8,2,FALSE)</f>
        <v>管理信息系统</v>
      </c>
      <c r="D608">
        <v>9.2</v>
      </c>
      <c r="E608">
        <v>9.7</v>
      </c>
      <c r="F608">
        <v>9.6</v>
      </c>
      <c r="G608">
        <v>9.9</v>
      </c>
      <c r="H608">
        <v>9.9</v>
      </c>
      <c r="I608">
        <v>9.9</v>
      </c>
      <c r="J608">
        <v>9.4</v>
      </c>
      <c r="K608">
        <v>9.9</v>
      </c>
      <c r="L608">
        <v>9.6</v>
      </c>
      <c r="M608">
        <v>7.9</v>
      </c>
      <c r="N608">
        <f t="shared" si="9"/>
        <v>95</v>
      </c>
    </row>
    <row r="609" spans="1:14">
      <c r="A609">
        <v>20181859</v>
      </c>
      <c r="B609" t="s">
        <v>18</v>
      </c>
      <c r="C609" t="str">
        <f>VLOOKUP(B609,专业代码!$B$2:$C$8,2,FALSE)</f>
        <v>管理信息系统</v>
      </c>
      <c r="D609">
        <v>8.9</v>
      </c>
      <c r="E609">
        <v>7.8</v>
      </c>
      <c r="F609">
        <v>7.8</v>
      </c>
      <c r="G609">
        <v>9.5</v>
      </c>
      <c r="H609">
        <v>9.2</v>
      </c>
      <c r="I609">
        <v>8.6</v>
      </c>
      <c r="J609">
        <v>7.6</v>
      </c>
      <c r="K609">
        <v>6.3</v>
      </c>
      <c r="L609">
        <v>8.4</v>
      </c>
      <c r="M609">
        <v>8</v>
      </c>
      <c r="N609">
        <f t="shared" si="9"/>
        <v>82.1</v>
      </c>
    </row>
    <row r="610" spans="1:14">
      <c r="A610">
        <v>20185885</v>
      </c>
      <c r="B610" t="s">
        <v>18</v>
      </c>
      <c r="C610" t="str">
        <f>VLOOKUP(B610,专业代码!$B$2:$C$8,2,FALSE)</f>
        <v>管理信息系统</v>
      </c>
      <c r="D610">
        <v>8.7</v>
      </c>
      <c r="E610">
        <v>8.9</v>
      </c>
      <c r="F610">
        <v>8.4</v>
      </c>
      <c r="G610">
        <v>8.7</v>
      </c>
      <c r="H610">
        <v>9.5</v>
      </c>
      <c r="I610">
        <v>8</v>
      </c>
      <c r="J610">
        <v>9.1</v>
      </c>
      <c r="K610">
        <v>6.8</v>
      </c>
      <c r="L610">
        <v>8.2</v>
      </c>
      <c r="M610">
        <v>7.2</v>
      </c>
      <c r="N610">
        <f t="shared" si="9"/>
        <v>83.5</v>
      </c>
    </row>
    <row r="611" spans="1:14">
      <c r="A611">
        <v>20188216</v>
      </c>
      <c r="B611" t="s">
        <v>18</v>
      </c>
      <c r="C611" t="str">
        <f>VLOOKUP(B611,专业代码!$B$2:$C$8,2,FALSE)</f>
        <v>管理信息系统</v>
      </c>
      <c r="D611">
        <v>9.4</v>
      </c>
      <c r="E611">
        <v>8.8</v>
      </c>
      <c r="F611">
        <v>8.9</v>
      </c>
      <c r="G611">
        <v>8.9</v>
      </c>
      <c r="H611">
        <v>9.5</v>
      </c>
      <c r="I611">
        <v>8.4</v>
      </c>
      <c r="J611">
        <v>8.3</v>
      </c>
      <c r="K611">
        <v>8</v>
      </c>
      <c r="L611">
        <v>8.9</v>
      </c>
      <c r="M611">
        <v>5.7</v>
      </c>
      <c r="N611">
        <f t="shared" si="9"/>
        <v>84.8</v>
      </c>
    </row>
    <row r="612" spans="1:14">
      <c r="A612">
        <v>20189782</v>
      </c>
      <c r="B612" t="s">
        <v>18</v>
      </c>
      <c r="C612" t="str">
        <f>VLOOKUP(B612,专业代码!$B$2:$C$8,2,FALSE)</f>
        <v>管理信息系统</v>
      </c>
      <c r="D612">
        <v>8.5</v>
      </c>
      <c r="E612">
        <v>9.7</v>
      </c>
      <c r="F612">
        <v>8.5</v>
      </c>
      <c r="G612">
        <v>8.9</v>
      </c>
      <c r="H612">
        <v>6.9</v>
      </c>
      <c r="I612">
        <v>7.8</v>
      </c>
      <c r="J612">
        <v>6.7</v>
      </c>
      <c r="K612">
        <v>7.4</v>
      </c>
      <c r="L612">
        <v>7.2</v>
      </c>
      <c r="M612">
        <v>7.7</v>
      </c>
      <c r="N612">
        <f t="shared" si="9"/>
        <v>79.3</v>
      </c>
    </row>
    <row r="613" spans="1:14">
      <c r="A613">
        <v>20184218</v>
      </c>
      <c r="B613" t="s">
        <v>18</v>
      </c>
      <c r="C613" t="str">
        <f>VLOOKUP(B613,专业代码!$B$2:$C$8,2,FALSE)</f>
        <v>管理信息系统</v>
      </c>
      <c r="D613">
        <v>8.9</v>
      </c>
      <c r="E613">
        <v>9.1</v>
      </c>
      <c r="F613">
        <v>8.2</v>
      </c>
      <c r="G613">
        <v>8.5</v>
      </c>
      <c r="H613">
        <v>7.7</v>
      </c>
      <c r="I613">
        <v>7.5</v>
      </c>
      <c r="J613">
        <v>8.3</v>
      </c>
      <c r="K613">
        <v>8</v>
      </c>
      <c r="L613">
        <v>6.3</v>
      </c>
      <c r="M613">
        <v>7.1</v>
      </c>
      <c r="N613">
        <f t="shared" si="9"/>
        <v>79.6</v>
      </c>
    </row>
    <row r="614" spans="1:14">
      <c r="A614">
        <v>20188340</v>
      </c>
      <c r="B614" t="s">
        <v>18</v>
      </c>
      <c r="C614" t="str">
        <f>VLOOKUP(B614,专业代码!$B$2:$C$8,2,FALSE)</f>
        <v>管理信息系统</v>
      </c>
      <c r="D614">
        <v>8</v>
      </c>
      <c r="E614">
        <v>9.6</v>
      </c>
      <c r="F614">
        <v>7.8</v>
      </c>
      <c r="G614">
        <v>8.6</v>
      </c>
      <c r="H614">
        <v>6.3</v>
      </c>
      <c r="I614">
        <v>7.2</v>
      </c>
      <c r="J614">
        <v>9</v>
      </c>
      <c r="K614">
        <v>7.1</v>
      </c>
      <c r="L614">
        <v>7</v>
      </c>
      <c r="M614">
        <v>8</v>
      </c>
      <c r="N614">
        <f t="shared" si="9"/>
        <v>78.6</v>
      </c>
    </row>
    <row r="615" spans="1:14">
      <c r="A615">
        <v>20188408</v>
      </c>
      <c r="B615" t="s">
        <v>18</v>
      </c>
      <c r="C615" t="str">
        <f>VLOOKUP(B615,专业代码!$B$2:$C$8,2,FALSE)</f>
        <v>管理信息系统</v>
      </c>
      <c r="D615">
        <v>9</v>
      </c>
      <c r="E615">
        <v>7.9</v>
      </c>
      <c r="F615">
        <v>7.8</v>
      </c>
      <c r="G615">
        <v>9.4</v>
      </c>
      <c r="H615">
        <v>7.8</v>
      </c>
      <c r="I615">
        <v>9.7</v>
      </c>
      <c r="J615">
        <v>9</v>
      </c>
      <c r="K615">
        <v>6.9</v>
      </c>
      <c r="L615">
        <v>7.5</v>
      </c>
      <c r="M615">
        <v>5.3</v>
      </c>
      <c r="N615">
        <f t="shared" si="9"/>
        <v>80.3</v>
      </c>
    </row>
    <row r="616" spans="1:14">
      <c r="A616">
        <v>20182692</v>
      </c>
      <c r="B616" t="s">
        <v>18</v>
      </c>
      <c r="C616" t="str">
        <f>VLOOKUP(B616,专业代码!$B$2:$C$8,2,FALSE)</f>
        <v>管理信息系统</v>
      </c>
      <c r="D616">
        <v>8.3</v>
      </c>
      <c r="E616">
        <v>9.3</v>
      </c>
      <c r="F616">
        <v>7.9</v>
      </c>
      <c r="G616">
        <v>7.9</v>
      </c>
      <c r="H616">
        <v>8.5</v>
      </c>
      <c r="I616">
        <v>8.3</v>
      </c>
      <c r="J616">
        <v>6.8</v>
      </c>
      <c r="K616">
        <v>9.6</v>
      </c>
      <c r="L616">
        <v>6.7</v>
      </c>
      <c r="M616">
        <v>7.4</v>
      </c>
      <c r="N616">
        <f t="shared" si="9"/>
        <v>80.7</v>
      </c>
    </row>
    <row r="617" spans="1:14">
      <c r="A617">
        <v>20184755</v>
      </c>
      <c r="B617" t="s">
        <v>18</v>
      </c>
      <c r="C617" t="str">
        <f>VLOOKUP(B617,专业代码!$B$2:$C$8,2,FALSE)</f>
        <v>管理信息系统</v>
      </c>
      <c r="D617">
        <v>8.5</v>
      </c>
      <c r="E617">
        <v>8.9</v>
      </c>
      <c r="F617">
        <v>7.8</v>
      </c>
      <c r="G617">
        <v>7.9</v>
      </c>
      <c r="H617">
        <v>8.6</v>
      </c>
      <c r="I617">
        <v>9.4</v>
      </c>
      <c r="J617">
        <v>8.1</v>
      </c>
      <c r="K617">
        <v>7.2</v>
      </c>
      <c r="L617">
        <v>8.1</v>
      </c>
      <c r="M617">
        <v>7.1</v>
      </c>
      <c r="N617">
        <f t="shared" si="9"/>
        <v>81.6</v>
      </c>
    </row>
    <row r="618" spans="1:14">
      <c r="A618">
        <v>20185749</v>
      </c>
      <c r="B618" t="s">
        <v>18</v>
      </c>
      <c r="C618" t="str">
        <f>VLOOKUP(B618,专业代码!$B$2:$C$8,2,FALSE)</f>
        <v>管理信息系统</v>
      </c>
      <c r="D618">
        <v>8.8</v>
      </c>
      <c r="E618">
        <v>8.6</v>
      </c>
      <c r="F618">
        <v>9</v>
      </c>
      <c r="G618">
        <v>8.8</v>
      </c>
      <c r="H618">
        <v>7.7</v>
      </c>
      <c r="I618">
        <v>8.8</v>
      </c>
      <c r="J618">
        <v>7.7</v>
      </c>
      <c r="K618">
        <v>7.5</v>
      </c>
      <c r="L618">
        <v>6.8</v>
      </c>
      <c r="M618">
        <v>7.7</v>
      </c>
      <c r="N618">
        <f t="shared" si="9"/>
        <v>81.4</v>
      </c>
    </row>
    <row r="619" spans="1:14">
      <c r="A619">
        <v>20186426</v>
      </c>
      <c r="B619" t="s">
        <v>18</v>
      </c>
      <c r="C619" t="str">
        <f>VLOOKUP(B619,专业代码!$B$2:$C$8,2,FALSE)</f>
        <v>管理信息系统</v>
      </c>
      <c r="D619">
        <v>9.6</v>
      </c>
      <c r="E619">
        <v>9.9</v>
      </c>
      <c r="F619">
        <v>8.7</v>
      </c>
      <c r="G619">
        <v>8.1</v>
      </c>
      <c r="H619">
        <v>8.6</v>
      </c>
      <c r="I619">
        <v>7.1</v>
      </c>
      <c r="J619">
        <v>7.7</v>
      </c>
      <c r="K619">
        <v>6.6</v>
      </c>
      <c r="L619">
        <v>9.2</v>
      </c>
      <c r="M619">
        <v>7.3</v>
      </c>
      <c r="N619">
        <f t="shared" si="9"/>
        <v>82.8</v>
      </c>
    </row>
    <row r="620" spans="1:14">
      <c r="A620">
        <v>20188639</v>
      </c>
      <c r="B620" t="s">
        <v>18</v>
      </c>
      <c r="C620" t="str">
        <f>VLOOKUP(B620,专业代码!$B$2:$C$8,2,FALSE)</f>
        <v>管理信息系统</v>
      </c>
      <c r="D620">
        <v>8.8</v>
      </c>
      <c r="E620">
        <v>8.6</v>
      </c>
      <c r="F620">
        <v>9.3</v>
      </c>
      <c r="G620">
        <v>8.9</v>
      </c>
      <c r="H620">
        <v>8.7</v>
      </c>
      <c r="I620">
        <v>9.1</v>
      </c>
      <c r="J620">
        <v>8.1</v>
      </c>
      <c r="K620">
        <v>7.4</v>
      </c>
      <c r="L620">
        <v>5.3</v>
      </c>
      <c r="M620">
        <v>5</v>
      </c>
      <c r="N620">
        <f t="shared" si="9"/>
        <v>79.2</v>
      </c>
    </row>
    <row r="621" spans="1:14">
      <c r="A621">
        <v>20188920</v>
      </c>
      <c r="B621" t="s">
        <v>18</v>
      </c>
      <c r="C621" t="str">
        <f>VLOOKUP(B621,专业代码!$B$2:$C$8,2,FALSE)</f>
        <v>管理信息系统</v>
      </c>
      <c r="D621">
        <v>9.1</v>
      </c>
      <c r="E621">
        <v>8.4</v>
      </c>
      <c r="F621">
        <v>8.5</v>
      </c>
      <c r="G621">
        <v>8.6</v>
      </c>
      <c r="H621">
        <v>8.9</v>
      </c>
      <c r="I621">
        <v>7.5</v>
      </c>
      <c r="J621">
        <v>5.3</v>
      </c>
      <c r="K621">
        <v>7.8</v>
      </c>
      <c r="L621">
        <v>7.3</v>
      </c>
      <c r="M621">
        <v>7.5</v>
      </c>
      <c r="N621">
        <f t="shared" si="9"/>
        <v>78.9</v>
      </c>
    </row>
    <row r="622" spans="1:14">
      <c r="A622">
        <v>20189924</v>
      </c>
      <c r="B622" t="s">
        <v>18</v>
      </c>
      <c r="C622" t="str">
        <f>VLOOKUP(B622,专业代码!$B$2:$C$8,2,FALSE)</f>
        <v>管理信息系统</v>
      </c>
      <c r="D622">
        <v>8.2</v>
      </c>
      <c r="E622">
        <v>8.8</v>
      </c>
      <c r="F622">
        <v>7.9</v>
      </c>
      <c r="G622">
        <v>8.6</v>
      </c>
      <c r="H622">
        <v>8.1</v>
      </c>
      <c r="I622">
        <v>7.3</v>
      </c>
      <c r="J622">
        <v>7.3</v>
      </c>
      <c r="K622">
        <v>8</v>
      </c>
      <c r="L622">
        <v>6.3</v>
      </c>
      <c r="M622">
        <v>7</v>
      </c>
      <c r="N622">
        <f t="shared" si="9"/>
        <v>77.5</v>
      </c>
    </row>
    <row r="623" spans="1:14">
      <c r="A623">
        <v>20184337</v>
      </c>
      <c r="B623" t="s">
        <v>18</v>
      </c>
      <c r="C623" t="str">
        <f>VLOOKUP(B623,专业代码!$B$2:$C$8,2,FALSE)</f>
        <v>管理信息系统</v>
      </c>
      <c r="D623">
        <v>8.2</v>
      </c>
      <c r="E623">
        <v>9.5</v>
      </c>
      <c r="F623">
        <v>7.1</v>
      </c>
      <c r="G623">
        <v>9.9</v>
      </c>
      <c r="H623">
        <v>8.7</v>
      </c>
      <c r="I623">
        <v>6.9</v>
      </c>
      <c r="J623">
        <v>6.4</v>
      </c>
      <c r="K623">
        <v>7.3</v>
      </c>
      <c r="L623">
        <v>7.6</v>
      </c>
      <c r="M623">
        <v>4.3</v>
      </c>
      <c r="N623">
        <f t="shared" si="9"/>
        <v>75.9</v>
      </c>
    </row>
    <row r="624" spans="1:14">
      <c r="A624">
        <v>20187485</v>
      </c>
      <c r="B624" t="s">
        <v>18</v>
      </c>
      <c r="C624" t="str">
        <f>VLOOKUP(B624,专业代码!$B$2:$C$8,2,FALSE)</f>
        <v>管理信息系统</v>
      </c>
      <c r="D624">
        <v>9.2</v>
      </c>
      <c r="E624">
        <v>9.2</v>
      </c>
      <c r="F624">
        <v>9.3</v>
      </c>
      <c r="G624">
        <v>8.1</v>
      </c>
      <c r="H624">
        <v>8.9</v>
      </c>
      <c r="I624">
        <v>8.3</v>
      </c>
      <c r="J624">
        <v>6.6</v>
      </c>
      <c r="K624">
        <v>7.2</v>
      </c>
      <c r="L624">
        <v>7.7</v>
      </c>
      <c r="M624">
        <v>7.7</v>
      </c>
      <c r="N624">
        <f t="shared" si="9"/>
        <v>82.2</v>
      </c>
    </row>
    <row r="625" spans="1:14">
      <c r="A625">
        <v>20187908</v>
      </c>
      <c r="B625" t="s">
        <v>18</v>
      </c>
      <c r="C625" t="str">
        <f>VLOOKUP(B625,专业代码!$B$2:$C$8,2,FALSE)</f>
        <v>管理信息系统</v>
      </c>
      <c r="D625">
        <v>8.7</v>
      </c>
      <c r="E625">
        <v>8.3</v>
      </c>
      <c r="F625">
        <v>8.6</v>
      </c>
      <c r="G625">
        <v>7.7</v>
      </c>
      <c r="H625">
        <v>8.5</v>
      </c>
      <c r="I625">
        <v>7.4</v>
      </c>
      <c r="J625">
        <v>5.9</v>
      </c>
      <c r="K625">
        <v>8.5</v>
      </c>
      <c r="L625">
        <v>8.6</v>
      </c>
      <c r="M625">
        <v>8.7</v>
      </c>
      <c r="N625">
        <f t="shared" si="9"/>
        <v>80.9</v>
      </c>
    </row>
    <row r="626" spans="1:14">
      <c r="A626">
        <v>20189483</v>
      </c>
      <c r="B626" t="s">
        <v>18</v>
      </c>
      <c r="C626" t="str">
        <f>VLOOKUP(B626,专业代码!$B$2:$C$8,2,FALSE)</f>
        <v>管理信息系统</v>
      </c>
      <c r="D626">
        <v>8.4</v>
      </c>
      <c r="E626">
        <v>9.2</v>
      </c>
      <c r="F626">
        <v>9.5</v>
      </c>
      <c r="G626">
        <v>8.6</v>
      </c>
      <c r="H626">
        <v>8.9</v>
      </c>
      <c r="I626">
        <v>8.9</v>
      </c>
      <c r="J626">
        <v>8.3</v>
      </c>
      <c r="K626">
        <v>7.8</v>
      </c>
      <c r="L626">
        <v>7.5</v>
      </c>
      <c r="M626">
        <v>4.3</v>
      </c>
      <c r="N626">
        <f t="shared" si="9"/>
        <v>81.4</v>
      </c>
    </row>
    <row r="627" spans="1:14">
      <c r="A627">
        <v>20187604</v>
      </c>
      <c r="B627" t="s">
        <v>18</v>
      </c>
      <c r="C627" t="str">
        <f>VLOOKUP(B627,专业代码!$B$2:$C$8,2,FALSE)</f>
        <v>管理信息系统</v>
      </c>
      <c r="D627">
        <v>9.6</v>
      </c>
      <c r="E627">
        <v>8.4</v>
      </c>
      <c r="F627">
        <v>9.1</v>
      </c>
      <c r="G627">
        <v>8.3</v>
      </c>
      <c r="H627">
        <v>6.8</v>
      </c>
      <c r="I627">
        <v>7.4</v>
      </c>
      <c r="J627">
        <v>7.6</v>
      </c>
      <c r="K627">
        <v>5.9</v>
      </c>
      <c r="L627">
        <v>8.2</v>
      </c>
      <c r="M627">
        <v>7.1</v>
      </c>
      <c r="N627">
        <f t="shared" si="9"/>
        <v>78.4</v>
      </c>
    </row>
    <row r="628" spans="1:14">
      <c r="A628">
        <v>20188259</v>
      </c>
      <c r="B628" t="s">
        <v>18</v>
      </c>
      <c r="C628" t="str">
        <f>VLOOKUP(B628,专业代码!$B$2:$C$8,2,FALSE)</f>
        <v>管理信息系统</v>
      </c>
      <c r="D628">
        <v>9</v>
      </c>
      <c r="E628">
        <v>8</v>
      </c>
      <c r="F628">
        <v>8.7</v>
      </c>
      <c r="G628">
        <v>8.5</v>
      </c>
      <c r="H628">
        <v>6.9</v>
      </c>
      <c r="I628">
        <v>7.6</v>
      </c>
      <c r="J628">
        <v>9.2</v>
      </c>
      <c r="K628">
        <v>5.8</v>
      </c>
      <c r="L628">
        <v>4.6</v>
      </c>
      <c r="M628">
        <v>5</v>
      </c>
      <c r="N628">
        <f t="shared" si="9"/>
        <v>73.3</v>
      </c>
    </row>
    <row r="629" spans="1:14">
      <c r="A629">
        <v>20184268</v>
      </c>
      <c r="B629" t="s">
        <v>18</v>
      </c>
      <c r="C629" t="str">
        <f>VLOOKUP(B629,专业代码!$B$2:$C$8,2,FALSE)</f>
        <v>管理信息系统</v>
      </c>
      <c r="D629">
        <v>9.7</v>
      </c>
      <c r="E629">
        <v>8</v>
      </c>
      <c r="F629">
        <v>8.4</v>
      </c>
      <c r="G629">
        <v>8.2</v>
      </c>
      <c r="H629">
        <v>9.5</v>
      </c>
      <c r="I629">
        <v>7.8</v>
      </c>
      <c r="J629">
        <v>6.6</v>
      </c>
      <c r="K629">
        <v>7.3</v>
      </c>
      <c r="L629">
        <v>4.9</v>
      </c>
      <c r="M629">
        <v>3.9</v>
      </c>
      <c r="N629">
        <f t="shared" si="9"/>
        <v>74.3</v>
      </c>
    </row>
    <row r="630" spans="1:14">
      <c r="A630">
        <v>20185284</v>
      </c>
      <c r="B630" t="s">
        <v>18</v>
      </c>
      <c r="C630" t="str">
        <f>VLOOKUP(B630,专业代码!$B$2:$C$8,2,FALSE)</f>
        <v>管理信息系统</v>
      </c>
      <c r="D630">
        <v>9.5</v>
      </c>
      <c r="E630">
        <v>7.6</v>
      </c>
      <c r="F630">
        <v>8.3</v>
      </c>
      <c r="G630">
        <v>8.6</v>
      </c>
      <c r="H630">
        <v>6.5</v>
      </c>
      <c r="I630">
        <v>7.6</v>
      </c>
      <c r="J630">
        <v>8.9</v>
      </c>
      <c r="K630">
        <v>9.2</v>
      </c>
      <c r="L630">
        <v>7.4</v>
      </c>
      <c r="M630">
        <v>6</v>
      </c>
      <c r="N630">
        <f t="shared" si="9"/>
        <v>79.6</v>
      </c>
    </row>
    <row r="631" spans="1:14">
      <c r="A631">
        <v>20189957</v>
      </c>
      <c r="B631" t="s">
        <v>18</v>
      </c>
      <c r="C631" t="str">
        <f>VLOOKUP(B631,专业代码!$B$2:$C$8,2,FALSE)</f>
        <v>管理信息系统</v>
      </c>
      <c r="D631">
        <v>9.4</v>
      </c>
      <c r="E631">
        <v>9.6</v>
      </c>
      <c r="F631">
        <v>8.4</v>
      </c>
      <c r="G631">
        <v>8.8</v>
      </c>
      <c r="H631">
        <v>7.3</v>
      </c>
      <c r="I631">
        <v>6.8</v>
      </c>
      <c r="J631">
        <v>7.4</v>
      </c>
      <c r="K631">
        <v>8.2</v>
      </c>
      <c r="L631">
        <v>8.4</v>
      </c>
      <c r="M631">
        <v>8.5</v>
      </c>
      <c r="N631">
        <f t="shared" si="9"/>
        <v>82.8</v>
      </c>
    </row>
    <row r="632" spans="1:14">
      <c r="A632">
        <v>20184519</v>
      </c>
      <c r="B632" t="s">
        <v>18</v>
      </c>
      <c r="C632" t="str">
        <f>VLOOKUP(B632,专业代码!$B$2:$C$8,2,FALSE)</f>
        <v>管理信息系统</v>
      </c>
      <c r="D632">
        <v>9.3</v>
      </c>
      <c r="E632">
        <v>8.5</v>
      </c>
      <c r="F632">
        <v>9.1</v>
      </c>
      <c r="G632">
        <v>8.8</v>
      </c>
      <c r="H632">
        <v>7.5</v>
      </c>
      <c r="I632">
        <v>8.4</v>
      </c>
      <c r="J632">
        <v>6.8</v>
      </c>
      <c r="K632">
        <v>9.9</v>
      </c>
      <c r="L632">
        <v>8</v>
      </c>
      <c r="M632">
        <v>6.4</v>
      </c>
      <c r="N632">
        <f t="shared" si="9"/>
        <v>82.7</v>
      </c>
    </row>
    <row r="633" spans="1:14">
      <c r="A633">
        <v>20182498</v>
      </c>
      <c r="B633" t="s">
        <v>18</v>
      </c>
      <c r="C633" t="str">
        <f>VLOOKUP(B633,专业代码!$B$2:$C$8,2,FALSE)</f>
        <v>管理信息系统</v>
      </c>
      <c r="D633">
        <v>9.3</v>
      </c>
      <c r="E633">
        <v>8.8</v>
      </c>
      <c r="F633">
        <v>9.6</v>
      </c>
      <c r="G633">
        <v>8.8</v>
      </c>
      <c r="H633">
        <v>8.6</v>
      </c>
      <c r="I633">
        <v>7.7</v>
      </c>
      <c r="J633">
        <v>7.4</v>
      </c>
      <c r="K633">
        <v>8.2</v>
      </c>
      <c r="L633">
        <v>6.7</v>
      </c>
      <c r="M633">
        <v>7.5</v>
      </c>
      <c r="N633">
        <f t="shared" si="9"/>
        <v>82.6</v>
      </c>
    </row>
    <row r="634" spans="1:14">
      <c r="A634">
        <v>20185587</v>
      </c>
      <c r="B634" t="s">
        <v>18</v>
      </c>
      <c r="C634" t="str">
        <f>VLOOKUP(B634,专业代码!$B$2:$C$8,2,FALSE)</f>
        <v>管理信息系统</v>
      </c>
      <c r="D634">
        <v>9.4</v>
      </c>
      <c r="E634">
        <v>8.5</v>
      </c>
      <c r="F634">
        <v>9.4</v>
      </c>
      <c r="G634">
        <v>8.4</v>
      </c>
      <c r="H634">
        <v>7.6</v>
      </c>
      <c r="I634">
        <v>9</v>
      </c>
      <c r="J634">
        <v>5.6</v>
      </c>
      <c r="K634">
        <v>7.4</v>
      </c>
      <c r="L634">
        <v>9.1</v>
      </c>
      <c r="M634">
        <v>6.5</v>
      </c>
      <c r="N634">
        <f t="shared" si="9"/>
        <v>80.9</v>
      </c>
    </row>
    <row r="635" spans="1:14">
      <c r="A635">
        <v>20186282</v>
      </c>
      <c r="B635" t="s">
        <v>18</v>
      </c>
      <c r="C635" t="str">
        <f>VLOOKUP(B635,专业代码!$B$2:$C$8,2,FALSE)</f>
        <v>管理信息系统</v>
      </c>
      <c r="D635">
        <v>9.9</v>
      </c>
      <c r="E635">
        <v>9.3</v>
      </c>
      <c r="F635">
        <v>9.3</v>
      </c>
      <c r="G635">
        <v>9.1</v>
      </c>
      <c r="H635">
        <v>9.8</v>
      </c>
      <c r="I635">
        <v>9.2</v>
      </c>
      <c r="J635">
        <v>8.5</v>
      </c>
      <c r="K635">
        <v>8.7</v>
      </c>
      <c r="L635">
        <v>8.5</v>
      </c>
      <c r="M635">
        <v>8.8</v>
      </c>
      <c r="N635">
        <f t="shared" si="9"/>
        <v>91.1</v>
      </c>
    </row>
    <row r="636" spans="1:14">
      <c r="A636">
        <v>20181078</v>
      </c>
      <c r="B636" t="s">
        <v>19</v>
      </c>
      <c r="C636" t="str">
        <f>VLOOKUP(B636,专业代码!$B$2:$C$8,2,FALSE)</f>
        <v>市场营销</v>
      </c>
      <c r="D636">
        <v>7</v>
      </c>
      <c r="E636">
        <v>8.2</v>
      </c>
      <c r="F636">
        <v>7.4</v>
      </c>
      <c r="G636">
        <v>6.9</v>
      </c>
      <c r="H636">
        <v>7</v>
      </c>
      <c r="I636">
        <v>6.7</v>
      </c>
      <c r="J636">
        <v>7.6</v>
      </c>
      <c r="K636">
        <v>6.7</v>
      </c>
      <c r="L636">
        <v>7.4</v>
      </c>
      <c r="M636">
        <v>5.7</v>
      </c>
      <c r="N636">
        <f t="shared" si="9"/>
        <v>70.6</v>
      </c>
    </row>
    <row r="637" spans="1:14">
      <c r="A637">
        <v>20182088</v>
      </c>
      <c r="B637" t="s">
        <v>19</v>
      </c>
      <c r="C637" t="str">
        <f>VLOOKUP(B637,专业代码!$B$2:$C$8,2,FALSE)</f>
        <v>市场营销</v>
      </c>
      <c r="D637">
        <v>6.8</v>
      </c>
      <c r="E637">
        <v>7.8</v>
      </c>
      <c r="F637">
        <v>7.3</v>
      </c>
      <c r="G637">
        <v>7.2</v>
      </c>
      <c r="H637">
        <v>6.9</v>
      </c>
      <c r="I637">
        <v>7</v>
      </c>
      <c r="J637">
        <v>6.2</v>
      </c>
      <c r="K637">
        <v>6.2</v>
      </c>
      <c r="L637">
        <v>6.2</v>
      </c>
      <c r="M637">
        <v>4.8</v>
      </c>
      <c r="N637">
        <f t="shared" si="9"/>
        <v>66.4</v>
      </c>
    </row>
    <row r="638" spans="1:14">
      <c r="A638">
        <v>20186497</v>
      </c>
      <c r="B638" t="s">
        <v>19</v>
      </c>
      <c r="C638" t="str">
        <f>VLOOKUP(B638,专业代码!$B$2:$C$8,2,FALSE)</f>
        <v>市场营销</v>
      </c>
      <c r="D638">
        <v>7.6</v>
      </c>
      <c r="E638">
        <v>7.6</v>
      </c>
      <c r="F638">
        <v>7.5</v>
      </c>
      <c r="G638">
        <v>7.2</v>
      </c>
      <c r="H638">
        <v>8.4</v>
      </c>
      <c r="I638">
        <v>8.1</v>
      </c>
      <c r="J638">
        <v>7.4</v>
      </c>
      <c r="K638">
        <v>6.9</v>
      </c>
      <c r="L638">
        <v>7.7</v>
      </c>
      <c r="M638">
        <v>7.1</v>
      </c>
      <c r="N638">
        <f t="shared" si="9"/>
        <v>75.5</v>
      </c>
    </row>
    <row r="639" spans="1:14">
      <c r="A639">
        <v>20188577</v>
      </c>
      <c r="B639" t="s">
        <v>19</v>
      </c>
      <c r="C639" t="str">
        <f>VLOOKUP(B639,专业代码!$B$2:$C$8,2,FALSE)</f>
        <v>市场营销</v>
      </c>
      <c r="D639">
        <v>8.3</v>
      </c>
      <c r="E639">
        <v>7.5</v>
      </c>
      <c r="F639">
        <v>7.6</v>
      </c>
      <c r="G639">
        <v>6.9</v>
      </c>
      <c r="H639">
        <v>6.1</v>
      </c>
      <c r="I639">
        <v>6.4</v>
      </c>
      <c r="J639">
        <v>5.5</v>
      </c>
      <c r="K639">
        <v>6.2</v>
      </c>
      <c r="L639">
        <v>6</v>
      </c>
      <c r="M639">
        <v>3.9</v>
      </c>
      <c r="N639">
        <f t="shared" si="9"/>
        <v>64.4</v>
      </c>
    </row>
    <row r="640" spans="1:14">
      <c r="A640">
        <v>20182651</v>
      </c>
      <c r="B640" t="s">
        <v>19</v>
      </c>
      <c r="C640" t="str">
        <f>VLOOKUP(B640,专业代码!$B$2:$C$8,2,FALSE)</f>
        <v>市场营销</v>
      </c>
      <c r="D640">
        <v>8.1</v>
      </c>
      <c r="E640">
        <v>6.8</v>
      </c>
      <c r="F640">
        <v>7.3</v>
      </c>
      <c r="G640">
        <v>6.7</v>
      </c>
      <c r="H640">
        <v>7.5</v>
      </c>
      <c r="I640">
        <v>7.8</v>
      </c>
      <c r="J640">
        <v>8.1</v>
      </c>
      <c r="K640">
        <v>6.6</v>
      </c>
      <c r="L640">
        <v>7.7</v>
      </c>
      <c r="M640">
        <v>6.1</v>
      </c>
      <c r="N640">
        <f t="shared" si="9"/>
        <v>72.7</v>
      </c>
    </row>
    <row r="641" spans="1:14">
      <c r="A641">
        <v>20183243</v>
      </c>
      <c r="B641" t="s">
        <v>19</v>
      </c>
      <c r="C641" t="str">
        <f>VLOOKUP(B641,专业代码!$B$2:$C$8,2,FALSE)</f>
        <v>市场营销</v>
      </c>
      <c r="D641">
        <v>8.4</v>
      </c>
      <c r="E641">
        <v>8.1</v>
      </c>
      <c r="F641">
        <v>8.3</v>
      </c>
      <c r="G641">
        <v>8.6</v>
      </c>
      <c r="H641">
        <v>6.7</v>
      </c>
      <c r="I641">
        <v>8</v>
      </c>
      <c r="J641">
        <v>5.8</v>
      </c>
      <c r="K641">
        <v>5.7</v>
      </c>
      <c r="L641">
        <v>7.1</v>
      </c>
      <c r="M641">
        <v>5.5</v>
      </c>
      <c r="N641">
        <f t="shared" si="9"/>
        <v>72.2</v>
      </c>
    </row>
    <row r="642" spans="1:14">
      <c r="A642">
        <v>20184492</v>
      </c>
      <c r="B642" t="s">
        <v>19</v>
      </c>
      <c r="C642" t="str">
        <f>VLOOKUP(B642,专业代码!$B$2:$C$8,2,FALSE)</f>
        <v>市场营销</v>
      </c>
      <c r="D642">
        <v>8.2</v>
      </c>
      <c r="E642">
        <v>7.6</v>
      </c>
      <c r="F642">
        <v>7.8</v>
      </c>
      <c r="G642">
        <v>7.8</v>
      </c>
      <c r="H642">
        <v>8.1</v>
      </c>
      <c r="I642">
        <v>7.2</v>
      </c>
      <c r="J642">
        <v>7.3</v>
      </c>
      <c r="K642">
        <v>6.6</v>
      </c>
      <c r="L642">
        <v>6.1</v>
      </c>
      <c r="M642">
        <v>6.7</v>
      </c>
      <c r="N642">
        <f t="shared" si="9"/>
        <v>73.4</v>
      </c>
    </row>
    <row r="643" spans="1:14">
      <c r="A643">
        <v>20185038</v>
      </c>
      <c r="B643" t="s">
        <v>19</v>
      </c>
      <c r="C643" t="str">
        <f>VLOOKUP(B643,专业代码!$B$2:$C$8,2,FALSE)</f>
        <v>市场营销</v>
      </c>
      <c r="D643">
        <v>8.1</v>
      </c>
      <c r="E643">
        <v>7.7</v>
      </c>
      <c r="F643">
        <v>7.9</v>
      </c>
      <c r="G643">
        <v>7.5</v>
      </c>
      <c r="H643">
        <v>7.1</v>
      </c>
      <c r="I643">
        <v>7.7</v>
      </c>
      <c r="J643">
        <v>6.8</v>
      </c>
      <c r="K643">
        <v>5.5</v>
      </c>
      <c r="L643">
        <v>4.8</v>
      </c>
      <c r="M643">
        <v>5.8</v>
      </c>
      <c r="N643">
        <f t="shared" ref="N643:N706" si="10">SUM(D643:M643)</f>
        <v>68.9</v>
      </c>
    </row>
    <row r="644" spans="1:14">
      <c r="A644">
        <v>20186159</v>
      </c>
      <c r="B644" t="s">
        <v>19</v>
      </c>
      <c r="C644" t="str">
        <f>VLOOKUP(B644,专业代码!$B$2:$C$8,2,FALSE)</f>
        <v>市场营销</v>
      </c>
      <c r="D644">
        <v>7.8</v>
      </c>
      <c r="E644">
        <v>7.7</v>
      </c>
      <c r="F644">
        <v>8.5</v>
      </c>
      <c r="G644">
        <v>6.4</v>
      </c>
      <c r="H644">
        <v>7.7</v>
      </c>
      <c r="I644">
        <v>6.8</v>
      </c>
      <c r="J644">
        <v>7.2</v>
      </c>
      <c r="K644">
        <v>4.2</v>
      </c>
      <c r="L644">
        <v>5.7</v>
      </c>
      <c r="M644">
        <v>7.1</v>
      </c>
      <c r="N644">
        <f t="shared" si="10"/>
        <v>69.1</v>
      </c>
    </row>
    <row r="645" spans="1:14">
      <c r="A645">
        <v>20181501</v>
      </c>
      <c r="B645" t="s">
        <v>19</v>
      </c>
      <c r="C645" t="str">
        <f>VLOOKUP(B645,专业代码!$B$2:$C$8,2,FALSE)</f>
        <v>市场营销</v>
      </c>
      <c r="D645">
        <v>8.2</v>
      </c>
      <c r="E645">
        <v>7.4</v>
      </c>
      <c r="F645">
        <v>8.3</v>
      </c>
      <c r="G645">
        <v>7</v>
      </c>
      <c r="H645">
        <v>7.2</v>
      </c>
      <c r="I645">
        <v>7.6</v>
      </c>
      <c r="J645">
        <v>6.5</v>
      </c>
      <c r="K645">
        <v>7.4</v>
      </c>
      <c r="L645">
        <v>6.1</v>
      </c>
      <c r="M645">
        <v>5.3</v>
      </c>
      <c r="N645">
        <f t="shared" si="10"/>
        <v>71</v>
      </c>
    </row>
    <row r="646" spans="1:14">
      <c r="A646">
        <v>20181987</v>
      </c>
      <c r="B646" t="s">
        <v>19</v>
      </c>
      <c r="C646" t="str">
        <f>VLOOKUP(B646,专业代码!$B$2:$C$8,2,FALSE)</f>
        <v>市场营销</v>
      </c>
      <c r="D646">
        <v>8.2</v>
      </c>
      <c r="E646">
        <v>7</v>
      </c>
      <c r="F646">
        <v>6.9</v>
      </c>
      <c r="G646">
        <v>8</v>
      </c>
      <c r="H646">
        <v>6.7</v>
      </c>
      <c r="I646">
        <v>6</v>
      </c>
      <c r="J646">
        <v>6.9</v>
      </c>
      <c r="K646">
        <v>5.4</v>
      </c>
      <c r="L646">
        <v>5.9</v>
      </c>
      <c r="M646">
        <v>5.5</v>
      </c>
      <c r="N646">
        <f t="shared" si="10"/>
        <v>66.5</v>
      </c>
    </row>
    <row r="647" spans="1:14">
      <c r="A647">
        <v>20183392</v>
      </c>
      <c r="B647" t="s">
        <v>19</v>
      </c>
      <c r="C647" t="str">
        <f>VLOOKUP(B647,专业代码!$B$2:$C$8,2,FALSE)</f>
        <v>市场营销</v>
      </c>
      <c r="D647">
        <v>7.6</v>
      </c>
      <c r="E647">
        <v>7.1</v>
      </c>
      <c r="F647">
        <v>7</v>
      </c>
      <c r="G647">
        <v>7.8</v>
      </c>
      <c r="H647">
        <v>6.6</v>
      </c>
      <c r="I647">
        <v>5.8</v>
      </c>
      <c r="J647">
        <v>7.3</v>
      </c>
      <c r="K647">
        <v>6.5</v>
      </c>
      <c r="L647">
        <v>4.4</v>
      </c>
      <c r="M647">
        <v>5.8</v>
      </c>
      <c r="N647">
        <f t="shared" si="10"/>
        <v>65.9</v>
      </c>
    </row>
    <row r="648" spans="1:14">
      <c r="A648">
        <v>20184933</v>
      </c>
      <c r="B648" t="s">
        <v>19</v>
      </c>
      <c r="C648" t="str">
        <f>VLOOKUP(B648,专业代码!$B$2:$C$8,2,FALSE)</f>
        <v>市场营销</v>
      </c>
      <c r="D648">
        <v>8.1</v>
      </c>
      <c r="E648">
        <v>7.4</v>
      </c>
      <c r="F648">
        <v>7.4</v>
      </c>
      <c r="G648">
        <v>7</v>
      </c>
      <c r="H648">
        <v>7</v>
      </c>
      <c r="I648">
        <v>7.6</v>
      </c>
      <c r="J648">
        <v>4.9</v>
      </c>
      <c r="K648">
        <v>6.5</v>
      </c>
      <c r="L648">
        <v>5.6</v>
      </c>
      <c r="M648">
        <v>6.2</v>
      </c>
      <c r="N648">
        <f t="shared" si="10"/>
        <v>67.7</v>
      </c>
    </row>
    <row r="649" spans="1:14">
      <c r="A649">
        <v>20188641</v>
      </c>
      <c r="B649" t="s">
        <v>19</v>
      </c>
      <c r="C649" t="str">
        <f>VLOOKUP(B649,专业代码!$B$2:$C$8,2,FALSE)</f>
        <v>市场营销</v>
      </c>
      <c r="D649">
        <v>9.2</v>
      </c>
      <c r="E649">
        <v>8.3</v>
      </c>
      <c r="F649">
        <v>7.2</v>
      </c>
      <c r="G649">
        <v>7</v>
      </c>
      <c r="H649">
        <v>7.1</v>
      </c>
      <c r="I649">
        <v>6.8</v>
      </c>
      <c r="J649">
        <v>5.3</v>
      </c>
      <c r="K649">
        <v>5.8</v>
      </c>
      <c r="L649">
        <v>6.4</v>
      </c>
      <c r="M649">
        <v>5.1</v>
      </c>
      <c r="N649">
        <f t="shared" si="10"/>
        <v>68.2</v>
      </c>
    </row>
    <row r="650" spans="1:14">
      <c r="A650">
        <v>20189090</v>
      </c>
      <c r="B650" t="s">
        <v>19</v>
      </c>
      <c r="C650" t="str">
        <f>VLOOKUP(B650,专业代码!$B$2:$C$8,2,FALSE)</f>
        <v>市场营销</v>
      </c>
      <c r="D650">
        <v>7.8</v>
      </c>
      <c r="E650">
        <v>7.6</v>
      </c>
      <c r="F650">
        <v>7.1</v>
      </c>
      <c r="G650">
        <v>7.6</v>
      </c>
      <c r="H650">
        <v>7.2</v>
      </c>
      <c r="I650">
        <v>5.3</v>
      </c>
      <c r="J650">
        <v>5.8</v>
      </c>
      <c r="K650">
        <v>5.1</v>
      </c>
      <c r="L650">
        <v>6.7</v>
      </c>
      <c r="M650">
        <v>6.4</v>
      </c>
      <c r="N650">
        <f t="shared" si="10"/>
        <v>66.6</v>
      </c>
    </row>
    <row r="651" spans="1:14">
      <c r="A651">
        <v>20181747</v>
      </c>
      <c r="B651" t="s">
        <v>19</v>
      </c>
      <c r="C651" t="str">
        <f>VLOOKUP(B651,专业代码!$B$2:$C$8,2,FALSE)</f>
        <v>市场营销</v>
      </c>
      <c r="D651">
        <v>7.4</v>
      </c>
      <c r="E651">
        <v>7.1</v>
      </c>
      <c r="F651">
        <v>8.4</v>
      </c>
      <c r="G651">
        <v>8.4</v>
      </c>
      <c r="H651">
        <v>7.2</v>
      </c>
      <c r="I651">
        <v>6.6</v>
      </c>
      <c r="J651">
        <v>6.5</v>
      </c>
      <c r="K651">
        <v>7</v>
      </c>
      <c r="L651">
        <v>6.8</v>
      </c>
      <c r="M651">
        <v>8</v>
      </c>
      <c r="N651">
        <f t="shared" si="10"/>
        <v>73.4</v>
      </c>
    </row>
    <row r="652" spans="1:14">
      <c r="A652">
        <v>20182039</v>
      </c>
      <c r="B652" t="s">
        <v>19</v>
      </c>
      <c r="C652" t="str">
        <f>VLOOKUP(B652,专业代码!$B$2:$C$8,2,FALSE)</f>
        <v>市场营销</v>
      </c>
      <c r="D652">
        <v>8.4</v>
      </c>
      <c r="E652">
        <v>7.7</v>
      </c>
      <c r="F652">
        <v>7.3</v>
      </c>
      <c r="G652">
        <v>8.8</v>
      </c>
      <c r="H652">
        <v>7.4</v>
      </c>
      <c r="I652">
        <v>6.8</v>
      </c>
      <c r="J652">
        <v>6.5</v>
      </c>
      <c r="K652">
        <v>6.3</v>
      </c>
      <c r="L652">
        <v>6</v>
      </c>
      <c r="M652">
        <v>4.8</v>
      </c>
      <c r="N652">
        <f t="shared" si="10"/>
        <v>70</v>
      </c>
    </row>
    <row r="653" spans="1:14">
      <c r="A653">
        <v>20183180</v>
      </c>
      <c r="B653" t="s">
        <v>19</v>
      </c>
      <c r="C653" t="str">
        <f>VLOOKUP(B653,专业代码!$B$2:$C$8,2,FALSE)</f>
        <v>市场营销</v>
      </c>
      <c r="D653">
        <v>7.6</v>
      </c>
      <c r="E653">
        <v>8.1</v>
      </c>
      <c r="F653">
        <v>8.2</v>
      </c>
      <c r="G653">
        <v>6.6</v>
      </c>
      <c r="H653">
        <v>6.9</v>
      </c>
      <c r="I653">
        <v>7.3</v>
      </c>
      <c r="J653">
        <v>6.5</v>
      </c>
      <c r="K653">
        <v>8</v>
      </c>
      <c r="L653">
        <v>5.2</v>
      </c>
      <c r="M653">
        <v>5.7</v>
      </c>
      <c r="N653">
        <f t="shared" si="10"/>
        <v>70.1</v>
      </c>
    </row>
    <row r="654" spans="1:14">
      <c r="A654">
        <v>20185253</v>
      </c>
      <c r="B654" t="s">
        <v>19</v>
      </c>
      <c r="C654" t="str">
        <f>VLOOKUP(B654,专业代码!$B$2:$C$8,2,FALSE)</f>
        <v>市场营销</v>
      </c>
      <c r="D654">
        <v>8.1</v>
      </c>
      <c r="E654">
        <v>8.2</v>
      </c>
      <c r="F654">
        <v>8.3</v>
      </c>
      <c r="G654">
        <v>8.1</v>
      </c>
      <c r="H654">
        <v>7.3</v>
      </c>
      <c r="I654">
        <v>5.2</v>
      </c>
      <c r="J654">
        <v>5.5</v>
      </c>
      <c r="K654">
        <v>5.9</v>
      </c>
      <c r="L654">
        <v>8.1</v>
      </c>
      <c r="M654">
        <v>5.4</v>
      </c>
      <c r="N654">
        <f t="shared" si="10"/>
        <v>70.1</v>
      </c>
    </row>
    <row r="655" spans="1:14">
      <c r="A655">
        <v>20185354</v>
      </c>
      <c r="B655" t="s">
        <v>19</v>
      </c>
      <c r="C655" t="str">
        <f>VLOOKUP(B655,专业代码!$B$2:$C$8,2,FALSE)</f>
        <v>市场营销</v>
      </c>
      <c r="D655">
        <v>7.7</v>
      </c>
      <c r="E655">
        <v>8</v>
      </c>
      <c r="F655">
        <v>7.5</v>
      </c>
      <c r="G655">
        <v>7</v>
      </c>
      <c r="H655">
        <v>6.7</v>
      </c>
      <c r="I655">
        <v>7.5</v>
      </c>
      <c r="J655">
        <v>4.9</v>
      </c>
      <c r="K655">
        <v>5.2</v>
      </c>
      <c r="L655">
        <v>6.6</v>
      </c>
      <c r="M655">
        <v>4.4</v>
      </c>
      <c r="N655">
        <f t="shared" si="10"/>
        <v>65.5</v>
      </c>
    </row>
    <row r="656" spans="1:14">
      <c r="A656">
        <v>20181143</v>
      </c>
      <c r="B656" t="s">
        <v>19</v>
      </c>
      <c r="C656" t="str">
        <f>VLOOKUP(B656,专业代码!$B$2:$C$8,2,FALSE)</f>
        <v>市场营销</v>
      </c>
      <c r="D656">
        <v>8.2</v>
      </c>
      <c r="E656">
        <v>7.4</v>
      </c>
      <c r="F656">
        <v>7.9</v>
      </c>
      <c r="G656">
        <v>6.9</v>
      </c>
      <c r="H656">
        <v>6.9</v>
      </c>
      <c r="I656">
        <v>6.8</v>
      </c>
      <c r="J656">
        <v>8.4</v>
      </c>
      <c r="K656">
        <v>7</v>
      </c>
      <c r="L656">
        <v>5.2</v>
      </c>
      <c r="M656">
        <v>5.5</v>
      </c>
      <c r="N656">
        <f t="shared" si="10"/>
        <v>70.2</v>
      </c>
    </row>
    <row r="657" spans="1:14">
      <c r="A657">
        <v>20182230</v>
      </c>
      <c r="B657" t="s">
        <v>19</v>
      </c>
      <c r="C657" t="str">
        <f>VLOOKUP(B657,专业代码!$B$2:$C$8,2,FALSE)</f>
        <v>市场营销</v>
      </c>
      <c r="D657">
        <v>7.8</v>
      </c>
      <c r="E657">
        <v>8.1</v>
      </c>
      <c r="F657">
        <v>7.4</v>
      </c>
      <c r="G657">
        <v>7.8</v>
      </c>
      <c r="H657">
        <v>7</v>
      </c>
      <c r="I657">
        <v>6.7</v>
      </c>
      <c r="J657">
        <v>6.3</v>
      </c>
      <c r="K657">
        <v>6</v>
      </c>
      <c r="L657">
        <v>5.9</v>
      </c>
      <c r="M657">
        <v>4.7</v>
      </c>
      <c r="N657">
        <f t="shared" si="10"/>
        <v>67.7</v>
      </c>
    </row>
    <row r="658" spans="1:14">
      <c r="A658">
        <v>20184567</v>
      </c>
      <c r="B658" t="s">
        <v>19</v>
      </c>
      <c r="C658" t="str">
        <f>VLOOKUP(B658,专业代码!$B$2:$C$8,2,FALSE)</f>
        <v>市场营销</v>
      </c>
      <c r="D658">
        <v>7.3</v>
      </c>
      <c r="E658">
        <v>7.1</v>
      </c>
      <c r="F658">
        <v>7</v>
      </c>
      <c r="G658">
        <v>8.7</v>
      </c>
      <c r="H658">
        <v>8.5</v>
      </c>
      <c r="I658">
        <v>5.8</v>
      </c>
      <c r="J658">
        <v>7.5</v>
      </c>
      <c r="K658">
        <v>6.3</v>
      </c>
      <c r="L658">
        <v>5.7</v>
      </c>
      <c r="M658">
        <v>7.7</v>
      </c>
      <c r="N658">
        <f t="shared" si="10"/>
        <v>71.6</v>
      </c>
    </row>
    <row r="659" spans="1:14">
      <c r="A659">
        <v>20184619</v>
      </c>
      <c r="B659" t="s">
        <v>19</v>
      </c>
      <c r="C659" t="str">
        <f>VLOOKUP(B659,专业代码!$B$2:$C$8,2,FALSE)</f>
        <v>市场营销</v>
      </c>
      <c r="D659">
        <v>7</v>
      </c>
      <c r="E659">
        <v>8</v>
      </c>
      <c r="F659">
        <v>7.5</v>
      </c>
      <c r="G659">
        <v>7.2</v>
      </c>
      <c r="H659">
        <v>6.5</v>
      </c>
      <c r="I659">
        <v>5.9</v>
      </c>
      <c r="J659">
        <v>8.3</v>
      </c>
      <c r="K659">
        <v>6.6</v>
      </c>
      <c r="L659">
        <v>6</v>
      </c>
      <c r="M659">
        <v>4.9</v>
      </c>
      <c r="N659">
        <f t="shared" si="10"/>
        <v>67.9</v>
      </c>
    </row>
    <row r="660" spans="1:14">
      <c r="A660">
        <v>20184759</v>
      </c>
      <c r="B660" t="s">
        <v>19</v>
      </c>
      <c r="C660" t="str">
        <f>VLOOKUP(B660,专业代码!$B$2:$C$8,2,FALSE)</f>
        <v>市场营销</v>
      </c>
      <c r="D660">
        <v>8.1</v>
      </c>
      <c r="E660">
        <v>8.3</v>
      </c>
      <c r="F660">
        <v>7.8</v>
      </c>
      <c r="G660">
        <v>6.9</v>
      </c>
      <c r="H660">
        <v>7.3</v>
      </c>
      <c r="I660">
        <v>5.5</v>
      </c>
      <c r="J660">
        <v>6.8</v>
      </c>
      <c r="K660">
        <v>6</v>
      </c>
      <c r="L660">
        <v>6</v>
      </c>
      <c r="M660">
        <v>3.6</v>
      </c>
      <c r="N660">
        <f t="shared" si="10"/>
        <v>66.3</v>
      </c>
    </row>
    <row r="661" spans="1:14">
      <c r="A661">
        <v>20187537</v>
      </c>
      <c r="B661" t="s">
        <v>19</v>
      </c>
      <c r="C661" t="str">
        <f>VLOOKUP(B661,专业代码!$B$2:$C$8,2,FALSE)</f>
        <v>市场营销</v>
      </c>
      <c r="D661">
        <v>8.5</v>
      </c>
      <c r="E661">
        <v>7</v>
      </c>
      <c r="F661">
        <v>7.7</v>
      </c>
      <c r="G661">
        <v>7.2</v>
      </c>
      <c r="H661">
        <v>7.6</v>
      </c>
      <c r="I661">
        <v>6.8</v>
      </c>
      <c r="J661">
        <v>6.6</v>
      </c>
      <c r="K661">
        <v>5.7</v>
      </c>
      <c r="L661">
        <v>5.9</v>
      </c>
      <c r="M661">
        <v>6.1</v>
      </c>
      <c r="N661">
        <f t="shared" si="10"/>
        <v>69.1</v>
      </c>
    </row>
    <row r="662" spans="1:14">
      <c r="A662">
        <v>20187861</v>
      </c>
      <c r="B662" t="s">
        <v>19</v>
      </c>
      <c r="C662" t="str">
        <f>VLOOKUP(B662,专业代码!$B$2:$C$8,2,FALSE)</f>
        <v>市场营销</v>
      </c>
      <c r="D662">
        <v>8.2</v>
      </c>
      <c r="E662">
        <v>7.7</v>
      </c>
      <c r="F662">
        <v>6.6</v>
      </c>
      <c r="G662">
        <v>8.3</v>
      </c>
      <c r="H662">
        <v>6.5</v>
      </c>
      <c r="I662">
        <v>6.7</v>
      </c>
      <c r="J662">
        <v>6.7</v>
      </c>
      <c r="K662">
        <v>5.9</v>
      </c>
      <c r="L662">
        <v>6.2</v>
      </c>
      <c r="M662">
        <v>5.7</v>
      </c>
      <c r="N662">
        <f t="shared" si="10"/>
        <v>68.5</v>
      </c>
    </row>
    <row r="663" spans="1:14">
      <c r="A663">
        <v>20188796</v>
      </c>
      <c r="B663" t="s">
        <v>19</v>
      </c>
      <c r="C663" t="str">
        <f>VLOOKUP(B663,专业代码!$B$2:$C$8,2,FALSE)</f>
        <v>市场营销</v>
      </c>
      <c r="D663">
        <v>7.7</v>
      </c>
      <c r="E663">
        <v>8.1</v>
      </c>
      <c r="F663">
        <v>7.7</v>
      </c>
      <c r="G663">
        <v>7.3</v>
      </c>
      <c r="H663">
        <v>7.5</v>
      </c>
      <c r="I663">
        <v>6.7</v>
      </c>
      <c r="J663">
        <v>6.2</v>
      </c>
      <c r="K663">
        <v>7.5</v>
      </c>
      <c r="L663">
        <v>6.4</v>
      </c>
      <c r="M663">
        <v>6.8</v>
      </c>
      <c r="N663">
        <f t="shared" si="10"/>
        <v>71.9</v>
      </c>
    </row>
    <row r="664" spans="1:14">
      <c r="A664">
        <v>20189873</v>
      </c>
      <c r="B664" t="s">
        <v>19</v>
      </c>
      <c r="C664" t="str">
        <f>VLOOKUP(B664,专业代码!$B$2:$C$8,2,FALSE)</f>
        <v>市场营销</v>
      </c>
      <c r="D664">
        <v>7.9</v>
      </c>
      <c r="E664">
        <v>7</v>
      </c>
      <c r="F664">
        <v>6.7</v>
      </c>
      <c r="G664">
        <v>7.6</v>
      </c>
      <c r="H664">
        <v>5.2</v>
      </c>
      <c r="I664">
        <v>7.4</v>
      </c>
      <c r="J664">
        <v>6.9</v>
      </c>
      <c r="K664">
        <v>7.8</v>
      </c>
      <c r="L664">
        <v>6</v>
      </c>
      <c r="M664">
        <v>6</v>
      </c>
      <c r="N664">
        <f t="shared" si="10"/>
        <v>68.5</v>
      </c>
    </row>
    <row r="665" spans="1:14">
      <c r="A665">
        <v>20182576</v>
      </c>
      <c r="B665" t="s">
        <v>19</v>
      </c>
      <c r="C665" t="str">
        <f>VLOOKUP(B665,专业代码!$B$2:$C$8,2,FALSE)</f>
        <v>市场营销</v>
      </c>
      <c r="D665">
        <v>7.6</v>
      </c>
      <c r="E665">
        <v>7.9</v>
      </c>
      <c r="F665">
        <v>7.2</v>
      </c>
      <c r="G665">
        <v>7.5</v>
      </c>
      <c r="H665">
        <v>6.3</v>
      </c>
      <c r="I665">
        <v>6.8</v>
      </c>
      <c r="J665">
        <v>6.4</v>
      </c>
      <c r="K665">
        <v>5.8</v>
      </c>
      <c r="L665">
        <v>5.5</v>
      </c>
      <c r="M665">
        <v>6.1</v>
      </c>
      <c r="N665">
        <f t="shared" si="10"/>
        <v>67.1</v>
      </c>
    </row>
    <row r="666" spans="1:14">
      <c r="A666">
        <v>20182689</v>
      </c>
      <c r="B666" t="s">
        <v>19</v>
      </c>
      <c r="C666" t="str">
        <f>VLOOKUP(B666,专业代码!$B$2:$C$8,2,FALSE)</f>
        <v>市场营销</v>
      </c>
      <c r="D666">
        <v>7.7</v>
      </c>
      <c r="E666">
        <v>8.4</v>
      </c>
      <c r="F666">
        <v>7.9</v>
      </c>
      <c r="G666">
        <v>7.3</v>
      </c>
      <c r="H666">
        <v>8.1</v>
      </c>
      <c r="I666">
        <v>6.2</v>
      </c>
      <c r="J666">
        <v>5.3</v>
      </c>
      <c r="K666">
        <v>7</v>
      </c>
      <c r="L666">
        <v>5.6</v>
      </c>
      <c r="M666">
        <v>7.1</v>
      </c>
      <c r="N666">
        <f t="shared" si="10"/>
        <v>70.6</v>
      </c>
    </row>
    <row r="667" spans="1:14">
      <c r="A667">
        <v>20183195</v>
      </c>
      <c r="B667" t="s">
        <v>19</v>
      </c>
      <c r="C667" t="str">
        <f>VLOOKUP(B667,专业代码!$B$2:$C$8,2,FALSE)</f>
        <v>市场营销</v>
      </c>
      <c r="D667">
        <v>8</v>
      </c>
      <c r="E667">
        <v>7.4</v>
      </c>
      <c r="F667">
        <v>8.3</v>
      </c>
      <c r="G667">
        <v>7.9</v>
      </c>
      <c r="H667">
        <v>7</v>
      </c>
      <c r="I667">
        <v>7.3</v>
      </c>
      <c r="J667">
        <v>7.4</v>
      </c>
      <c r="K667">
        <v>6.5</v>
      </c>
      <c r="L667">
        <v>7.4</v>
      </c>
      <c r="M667">
        <v>4.2</v>
      </c>
      <c r="N667">
        <f t="shared" si="10"/>
        <v>71.4</v>
      </c>
    </row>
    <row r="668" spans="1:14">
      <c r="A668">
        <v>20184015</v>
      </c>
      <c r="B668" t="s">
        <v>19</v>
      </c>
      <c r="C668" t="str">
        <f>VLOOKUP(B668,专业代码!$B$2:$C$8,2,FALSE)</f>
        <v>市场营销</v>
      </c>
      <c r="D668">
        <v>7.3</v>
      </c>
      <c r="E668">
        <v>7.4</v>
      </c>
      <c r="F668">
        <v>7.6</v>
      </c>
      <c r="G668">
        <v>7.7</v>
      </c>
      <c r="H668">
        <v>6.1</v>
      </c>
      <c r="I668">
        <v>8</v>
      </c>
      <c r="J668">
        <v>8.7</v>
      </c>
      <c r="K668">
        <v>6</v>
      </c>
      <c r="L668">
        <v>6.1</v>
      </c>
      <c r="M668">
        <v>5.1</v>
      </c>
      <c r="N668">
        <f t="shared" si="10"/>
        <v>70</v>
      </c>
    </row>
    <row r="669" spans="1:14">
      <c r="A669">
        <v>20186224</v>
      </c>
      <c r="B669" t="s">
        <v>19</v>
      </c>
      <c r="C669" t="str">
        <f>VLOOKUP(B669,专业代码!$B$2:$C$8,2,FALSE)</f>
        <v>市场营销</v>
      </c>
      <c r="D669">
        <v>7.9</v>
      </c>
      <c r="E669">
        <v>7.6</v>
      </c>
      <c r="F669">
        <v>6.3</v>
      </c>
      <c r="G669">
        <v>6.8</v>
      </c>
      <c r="H669">
        <v>7.1</v>
      </c>
      <c r="I669">
        <v>7</v>
      </c>
      <c r="J669">
        <v>8</v>
      </c>
      <c r="K669">
        <v>7.1</v>
      </c>
      <c r="L669">
        <v>6.2</v>
      </c>
      <c r="M669">
        <v>5.4</v>
      </c>
      <c r="N669">
        <f t="shared" si="10"/>
        <v>69.4</v>
      </c>
    </row>
    <row r="670" spans="1:14">
      <c r="A670">
        <v>20187063</v>
      </c>
      <c r="B670" t="s">
        <v>19</v>
      </c>
      <c r="C670" t="str">
        <f>VLOOKUP(B670,专业代码!$B$2:$C$8,2,FALSE)</f>
        <v>市场营销</v>
      </c>
      <c r="D670">
        <v>7.3</v>
      </c>
      <c r="E670">
        <v>7.2</v>
      </c>
      <c r="F670">
        <v>7.7</v>
      </c>
      <c r="G670">
        <v>8.1</v>
      </c>
      <c r="H670">
        <v>6.9</v>
      </c>
      <c r="I670">
        <v>7</v>
      </c>
      <c r="J670">
        <v>8</v>
      </c>
      <c r="K670">
        <v>6.3</v>
      </c>
      <c r="L670">
        <v>8.4</v>
      </c>
      <c r="M670">
        <v>5.6</v>
      </c>
      <c r="N670">
        <f t="shared" si="10"/>
        <v>72.5</v>
      </c>
    </row>
    <row r="671" spans="1:14">
      <c r="A671">
        <v>20187550</v>
      </c>
      <c r="B671" t="s">
        <v>19</v>
      </c>
      <c r="C671" t="str">
        <f>VLOOKUP(B671,专业代码!$B$2:$C$8,2,FALSE)</f>
        <v>市场营销</v>
      </c>
      <c r="D671">
        <v>8.5</v>
      </c>
      <c r="E671">
        <v>6.7</v>
      </c>
      <c r="F671">
        <v>6.7</v>
      </c>
      <c r="G671">
        <v>7.3</v>
      </c>
      <c r="H671">
        <v>6</v>
      </c>
      <c r="I671">
        <v>6.3</v>
      </c>
      <c r="J671">
        <v>5.9</v>
      </c>
      <c r="K671">
        <v>7.3</v>
      </c>
      <c r="L671">
        <v>4.8</v>
      </c>
      <c r="M671">
        <v>4.9</v>
      </c>
      <c r="N671">
        <f t="shared" si="10"/>
        <v>64.4</v>
      </c>
    </row>
    <row r="672" spans="1:14">
      <c r="A672">
        <v>20189901</v>
      </c>
      <c r="B672" t="s">
        <v>19</v>
      </c>
      <c r="C672" t="str">
        <f>VLOOKUP(B672,专业代码!$B$2:$C$8,2,FALSE)</f>
        <v>市场营销</v>
      </c>
      <c r="D672">
        <v>7.2</v>
      </c>
      <c r="E672">
        <v>8</v>
      </c>
      <c r="F672">
        <v>8</v>
      </c>
      <c r="G672">
        <v>8.8</v>
      </c>
      <c r="H672">
        <v>6.7</v>
      </c>
      <c r="I672">
        <v>7.7</v>
      </c>
      <c r="J672">
        <v>7.1</v>
      </c>
      <c r="K672">
        <v>5.1</v>
      </c>
      <c r="L672">
        <v>5.6</v>
      </c>
      <c r="M672">
        <v>4.5</v>
      </c>
      <c r="N672">
        <f t="shared" si="10"/>
        <v>68.7</v>
      </c>
    </row>
    <row r="673" spans="1:14">
      <c r="A673">
        <v>20183529</v>
      </c>
      <c r="B673" t="s">
        <v>19</v>
      </c>
      <c r="C673" t="str">
        <f>VLOOKUP(B673,专业代码!$B$2:$C$8,2,FALSE)</f>
        <v>市场营销</v>
      </c>
      <c r="D673">
        <v>8.3</v>
      </c>
      <c r="E673">
        <v>8.5</v>
      </c>
      <c r="F673">
        <v>8</v>
      </c>
      <c r="G673">
        <v>6.9</v>
      </c>
      <c r="H673">
        <v>7.2</v>
      </c>
      <c r="I673">
        <v>6.2</v>
      </c>
      <c r="J673">
        <v>9.1</v>
      </c>
      <c r="K673">
        <v>6.9</v>
      </c>
      <c r="L673">
        <v>7.7</v>
      </c>
      <c r="M673">
        <v>6.8</v>
      </c>
      <c r="N673">
        <f t="shared" si="10"/>
        <v>75.6</v>
      </c>
    </row>
    <row r="674" spans="1:14">
      <c r="A674">
        <v>20185682</v>
      </c>
      <c r="B674" t="s">
        <v>19</v>
      </c>
      <c r="C674" t="str">
        <f>VLOOKUP(B674,专业代码!$B$2:$C$8,2,FALSE)</f>
        <v>市场营销</v>
      </c>
      <c r="D674">
        <v>7.6</v>
      </c>
      <c r="E674">
        <v>8.4</v>
      </c>
      <c r="F674">
        <v>8.2</v>
      </c>
      <c r="G674">
        <v>7.5</v>
      </c>
      <c r="H674">
        <v>7.2</v>
      </c>
      <c r="I674">
        <v>6.8</v>
      </c>
      <c r="J674">
        <v>5.9</v>
      </c>
      <c r="K674">
        <v>7.1</v>
      </c>
      <c r="L674">
        <v>5.9</v>
      </c>
      <c r="M674">
        <v>3.9</v>
      </c>
      <c r="N674">
        <f t="shared" si="10"/>
        <v>68.5</v>
      </c>
    </row>
    <row r="675" spans="1:14">
      <c r="A675">
        <v>20186876</v>
      </c>
      <c r="B675" t="s">
        <v>19</v>
      </c>
      <c r="C675" t="str">
        <f>VLOOKUP(B675,专业代码!$B$2:$C$8,2,FALSE)</f>
        <v>市场营销</v>
      </c>
      <c r="D675">
        <v>7.5</v>
      </c>
      <c r="E675">
        <v>8.2</v>
      </c>
      <c r="F675">
        <v>8.2</v>
      </c>
      <c r="G675">
        <v>8.5</v>
      </c>
      <c r="H675">
        <v>5.5</v>
      </c>
      <c r="I675">
        <v>4.9</v>
      </c>
      <c r="J675">
        <v>7.4</v>
      </c>
      <c r="K675">
        <v>5.8</v>
      </c>
      <c r="L675">
        <v>6.9</v>
      </c>
      <c r="M675">
        <v>3.9</v>
      </c>
      <c r="N675">
        <f t="shared" si="10"/>
        <v>66.8</v>
      </c>
    </row>
    <row r="676" spans="1:14">
      <c r="A676">
        <v>20185282</v>
      </c>
      <c r="B676" t="s">
        <v>19</v>
      </c>
      <c r="C676" t="str">
        <f>VLOOKUP(B676,专业代码!$B$2:$C$8,2,FALSE)</f>
        <v>市场营销</v>
      </c>
      <c r="D676">
        <v>7.1</v>
      </c>
      <c r="E676">
        <v>7.7</v>
      </c>
      <c r="F676">
        <v>7.3</v>
      </c>
      <c r="G676">
        <v>7.4</v>
      </c>
      <c r="H676">
        <v>7.3</v>
      </c>
      <c r="I676">
        <v>7.8</v>
      </c>
      <c r="J676">
        <v>6.9</v>
      </c>
      <c r="K676">
        <v>7.4</v>
      </c>
      <c r="L676">
        <v>6.7</v>
      </c>
      <c r="M676">
        <v>4.9</v>
      </c>
      <c r="N676">
        <f t="shared" si="10"/>
        <v>70.5</v>
      </c>
    </row>
    <row r="677" spans="1:14">
      <c r="A677">
        <v>20185606</v>
      </c>
      <c r="B677" t="s">
        <v>19</v>
      </c>
      <c r="C677" t="str">
        <f>VLOOKUP(B677,专业代码!$B$2:$C$8,2,FALSE)</f>
        <v>市场营销</v>
      </c>
      <c r="D677">
        <v>8.1</v>
      </c>
      <c r="E677">
        <v>6.8</v>
      </c>
      <c r="F677">
        <v>6.5</v>
      </c>
      <c r="G677">
        <v>6.7</v>
      </c>
      <c r="H677">
        <v>8.1</v>
      </c>
      <c r="I677">
        <v>6.4</v>
      </c>
      <c r="J677">
        <v>8.1</v>
      </c>
      <c r="K677">
        <v>7.2</v>
      </c>
      <c r="L677">
        <v>7.7</v>
      </c>
      <c r="M677">
        <v>5.6</v>
      </c>
      <c r="N677">
        <f t="shared" si="10"/>
        <v>71.2</v>
      </c>
    </row>
    <row r="678" spans="1:14">
      <c r="A678">
        <v>20185636</v>
      </c>
      <c r="B678" t="s">
        <v>19</v>
      </c>
      <c r="C678" t="str">
        <f>VLOOKUP(B678,专业代码!$B$2:$C$8,2,FALSE)</f>
        <v>市场营销</v>
      </c>
      <c r="D678">
        <v>6.8</v>
      </c>
      <c r="E678">
        <v>7.6</v>
      </c>
      <c r="F678">
        <v>7.1</v>
      </c>
      <c r="G678">
        <v>6.7</v>
      </c>
      <c r="H678">
        <v>8.1</v>
      </c>
      <c r="I678">
        <v>8.1</v>
      </c>
      <c r="J678">
        <v>5.6</v>
      </c>
      <c r="K678">
        <v>6.8</v>
      </c>
      <c r="L678">
        <v>6.2</v>
      </c>
      <c r="M678">
        <v>8.3</v>
      </c>
      <c r="N678">
        <f t="shared" si="10"/>
        <v>71.3</v>
      </c>
    </row>
    <row r="679" spans="1:14">
      <c r="A679">
        <v>20186354</v>
      </c>
      <c r="B679" t="s">
        <v>19</v>
      </c>
      <c r="C679" t="str">
        <f>VLOOKUP(B679,专业代码!$B$2:$C$8,2,FALSE)</f>
        <v>市场营销</v>
      </c>
      <c r="D679">
        <v>7.9</v>
      </c>
      <c r="E679">
        <v>7.9</v>
      </c>
      <c r="F679">
        <v>7.7</v>
      </c>
      <c r="G679">
        <v>7.5</v>
      </c>
      <c r="H679">
        <v>7.9</v>
      </c>
      <c r="I679">
        <v>7.8</v>
      </c>
      <c r="J679">
        <v>4.5</v>
      </c>
      <c r="K679">
        <v>6.5</v>
      </c>
      <c r="L679">
        <v>5.5</v>
      </c>
      <c r="M679">
        <v>7.1</v>
      </c>
      <c r="N679">
        <f t="shared" si="10"/>
        <v>70.3</v>
      </c>
    </row>
    <row r="680" spans="1:14">
      <c r="A680">
        <v>20187985</v>
      </c>
      <c r="B680" t="s">
        <v>19</v>
      </c>
      <c r="C680" t="str">
        <f>VLOOKUP(B680,专业代码!$B$2:$C$8,2,FALSE)</f>
        <v>市场营销</v>
      </c>
      <c r="D680">
        <v>8</v>
      </c>
      <c r="E680">
        <v>8.5</v>
      </c>
      <c r="F680">
        <v>7.6</v>
      </c>
      <c r="G680">
        <v>7.8</v>
      </c>
      <c r="H680">
        <v>7.5</v>
      </c>
      <c r="I680">
        <v>7.5</v>
      </c>
      <c r="J680">
        <v>6.8</v>
      </c>
      <c r="K680">
        <v>7.4</v>
      </c>
      <c r="L680">
        <v>7.3</v>
      </c>
      <c r="M680">
        <v>5.4</v>
      </c>
      <c r="N680">
        <f t="shared" si="10"/>
        <v>73.8</v>
      </c>
    </row>
    <row r="681" spans="1:14">
      <c r="A681">
        <v>20188110</v>
      </c>
      <c r="B681" t="s">
        <v>19</v>
      </c>
      <c r="C681" t="str">
        <f>VLOOKUP(B681,专业代码!$B$2:$C$8,2,FALSE)</f>
        <v>市场营销</v>
      </c>
      <c r="D681">
        <v>8.1</v>
      </c>
      <c r="E681">
        <v>7.6</v>
      </c>
      <c r="F681">
        <v>8.3</v>
      </c>
      <c r="G681">
        <v>6.9</v>
      </c>
      <c r="H681">
        <v>7.1</v>
      </c>
      <c r="I681">
        <v>6.8</v>
      </c>
      <c r="J681">
        <v>5.4</v>
      </c>
      <c r="K681">
        <v>7.9</v>
      </c>
      <c r="L681">
        <v>5.3</v>
      </c>
      <c r="M681">
        <v>5.9</v>
      </c>
      <c r="N681">
        <f t="shared" si="10"/>
        <v>69.3</v>
      </c>
    </row>
    <row r="682" spans="1:14">
      <c r="A682">
        <v>20183513</v>
      </c>
      <c r="B682" t="s">
        <v>19</v>
      </c>
      <c r="C682" t="str">
        <f>VLOOKUP(B682,专业代码!$B$2:$C$8,2,FALSE)</f>
        <v>市场营销</v>
      </c>
      <c r="D682">
        <v>8.1</v>
      </c>
      <c r="E682">
        <v>9.1</v>
      </c>
      <c r="F682">
        <v>8.7</v>
      </c>
      <c r="G682">
        <v>8.9</v>
      </c>
      <c r="H682">
        <v>8.6</v>
      </c>
      <c r="I682">
        <v>7.4</v>
      </c>
      <c r="J682">
        <v>7.3</v>
      </c>
      <c r="K682">
        <v>5.8</v>
      </c>
      <c r="L682">
        <v>7.2</v>
      </c>
      <c r="M682">
        <v>6.6</v>
      </c>
      <c r="N682">
        <f t="shared" si="10"/>
        <v>77.7</v>
      </c>
    </row>
    <row r="683" spans="1:14">
      <c r="A683">
        <v>20184878</v>
      </c>
      <c r="B683" t="s">
        <v>19</v>
      </c>
      <c r="C683" t="str">
        <f>VLOOKUP(B683,专业代码!$B$2:$C$8,2,FALSE)</f>
        <v>市场营销</v>
      </c>
      <c r="D683">
        <v>8.6</v>
      </c>
      <c r="E683">
        <v>7.9</v>
      </c>
      <c r="F683">
        <v>8.6</v>
      </c>
      <c r="G683">
        <v>9</v>
      </c>
      <c r="H683">
        <v>8.1</v>
      </c>
      <c r="I683">
        <v>8.2</v>
      </c>
      <c r="J683">
        <v>7.6</v>
      </c>
      <c r="K683">
        <v>6</v>
      </c>
      <c r="L683">
        <v>6.1</v>
      </c>
      <c r="M683">
        <v>6.1</v>
      </c>
      <c r="N683">
        <f t="shared" si="10"/>
        <v>76.2</v>
      </c>
    </row>
    <row r="684" spans="1:14">
      <c r="A684">
        <v>20187128</v>
      </c>
      <c r="B684" t="s">
        <v>19</v>
      </c>
      <c r="C684" t="str">
        <f>VLOOKUP(B684,专业代码!$B$2:$C$8,2,FALSE)</f>
        <v>市场营销</v>
      </c>
      <c r="D684">
        <v>9</v>
      </c>
      <c r="E684">
        <v>8.4</v>
      </c>
      <c r="F684">
        <v>9.9</v>
      </c>
      <c r="G684">
        <v>9.9</v>
      </c>
      <c r="H684">
        <v>7.5</v>
      </c>
      <c r="I684">
        <v>9.9</v>
      </c>
      <c r="J684">
        <v>9.4</v>
      </c>
      <c r="K684">
        <v>5.9</v>
      </c>
      <c r="L684">
        <v>5.5</v>
      </c>
      <c r="M684">
        <v>9.7</v>
      </c>
      <c r="N684">
        <f t="shared" si="10"/>
        <v>85.1</v>
      </c>
    </row>
    <row r="685" spans="1:14">
      <c r="A685">
        <v>20189518</v>
      </c>
      <c r="B685" t="s">
        <v>19</v>
      </c>
      <c r="C685" t="str">
        <f>VLOOKUP(B685,专业代码!$B$2:$C$8,2,FALSE)</f>
        <v>市场营销</v>
      </c>
      <c r="D685">
        <v>9</v>
      </c>
      <c r="E685">
        <v>7.7</v>
      </c>
      <c r="F685">
        <v>9.9</v>
      </c>
      <c r="G685">
        <v>8</v>
      </c>
      <c r="H685">
        <v>6</v>
      </c>
      <c r="I685">
        <v>8.6</v>
      </c>
      <c r="J685">
        <v>7.7</v>
      </c>
      <c r="K685">
        <v>7.1</v>
      </c>
      <c r="L685">
        <v>6.7</v>
      </c>
      <c r="M685">
        <v>6.8</v>
      </c>
      <c r="N685">
        <f t="shared" si="10"/>
        <v>77.5</v>
      </c>
    </row>
    <row r="686" spans="1:14">
      <c r="A686">
        <v>20181317</v>
      </c>
      <c r="B686" t="s">
        <v>19</v>
      </c>
      <c r="C686" t="str">
        <f>VLOOKUP(B686,专业代码!$B$2:$C$8,2,FALSE)</f>
        <v>市场营销</v>
      </c>
      <c r="D686">
        <v>7.5</v>
      </c>
      <c r="E686">
        <v>7.9</v>
      </c>
      <c r="F686">
        <v>8</v>
      </c>
      <c r="G686">
        <v>6.6</v>
      </c>
      <c r="H686">
        <v>6.3</v>
      </c>
      <c r="I686">
        <v>7.1</v>
      </c>
      <c r="J686">
        <v>6.7</v>
      </c>
      <c r="K686">
        <v>5.8</v>
      </c>
      <c r="L686">
        <v>6.2</v>
      </c>
      <c r="M686">
        <v>6.3</v>
      </c>
      <c r="N686">
        <f t="shared" si="10"/>
        <v>68.4</v>
      </c>
    </row>
    <row r="687" spans="1:14">
      <c r="A687">
        <v>20181489</v>
      </c>
      <c r="B687" t="s">
        <v>19</v>
      </c>
      <c r="C687" t="str">
        <f>VLOOKUP(B687,专业代码!$B$2:$C$8,2,FALSE)</f>
        <v>市场营销</v>
      </c>
      <c r="D687">
        <v>7.9</v>
      </c>
      <c r="E687">
        <v>7.7</v>
      </c>
      <c r="F687">
        <v>8.2</v>
      </c>
      <c r="G687">
        <v>8</v>
      </c>
      <c r="H687">
        <v>7.8</v>
      </c>
      <c r="I687">
        <v>7.3</v>
      </c>
      <c r="J687">
        <v>5.9</v>
      </c>
      <c r="K687">
        <v>7.2</v>
      </c>
      <c r="L687">
        <v>5.3</v>
      </c>
      <c r="M687">
        <v>5.8</v>
      </c>
      <c r="N687">
        <f t="shared" si="10"/>
        <v>71.1</v>
      </c>
    </row>
    <row r="688" spans="1:14">
      <c r="A688">
        <v>20182940</v>
      </c>
      <c r="B688" t="s">
        <v>19</v>
      </c>
      <c r="C688" t="str">
        <f>VLOOKUP(B688,专业代码!$B$2:$C$8,2,FALSE)</f>
        <v>市场营销</v>
      </c>
      <c r="D688">
        <v>7.5</v>
      </c>
      <c r="E688">
        <v>7.3</v>
      </c>
      <c r="F688">
        <v>7.2</v>
      </c>
      <c r="G688">
        <v>7.5</v>
      </c>
      <c r="H688">
        <v>6.7</v>
      </c>
      <c r="I688">
        <v>6.9</v>
      </c>
      <c r="J688">
        <v>6.8</v>
      </c>
      <c r="K688">
        <v>7.1</v>
      </c>
      <c r="L688">
        <v>7.8</v>
      </c>
      <c r="M688">
        <v>4.7</v>
      </c>
      <c r="N688">
        <f t="shared" si="10"/>
        <v>69.5</v>
      </c>
    </row>
    <row r="689" spans="1:14">
      <c r="A689">
        <v>20183199</v>
      </c>
      <c r="B689" t="s">
        <v>19</v>
      </c>
      <c r="C689" t="str">
        <f>VLOOKUP(B689,专业代码!$B$2:$C$8,2,FALSE)</f>
        <v>市场营销</v>
      </c>
      <c r="D689">
        <v>8.6</v>
      </c>
      <c r="E689">
        <v>7.9</v>
      </c>
      <c r="F689">
        <v>6.6</v>
      </c>
      <c r="G689">
        <v>7.4</v>
      </c>
      <c r="H689">
        <v>5.3</v>
      </c>
      <c r="I689">
        <v>7.7</v>
      </c>
      <c r="J689">
        <v>5.8</v>
      </c>
      <c r="K689">
        <v>7.1</v>
      </c>
      <c r="L689">
        <v>6.2</v>
      </c>
      <c r="M689">
        <v>4.5</v>
      </c>
      <c r="N689">
        <f t="shared" si="10"/>
        <v>67.1</v>
      </c>
    </row>
    <row r="690" spans="1:14">
      <c r="A690">
        <v>20183668</v>
      </c>
      <c r="B690" t="s">
        <v>19</v>
      </c>
      <c r="C690" t="str">
        <f>VLOOKUP(B690,专业代码!$B$2:$C$8,2,FALSE)</f>
        <v>市场营销</v>
      </c>
      <c r="D690">
        <v>7.7</v>
      </c>
      <c r="E690">
        <v>7.9</v>
      </c>
      <c r="F690">
        <v>7</v>
      </c>
      <c r="G690">
        <v>7.5</v>
      </c>
      <c r="H690">
        <v>7.2</v>
      </c>
      <c r="I690">
        <v>7</v>
      </c>
      <c r="J690">
        <v>5.9</v>
      </c>
      <c r="K690">
        <v>6.9</v>
      </c>
      <c r="L690">
        <v>6.6</v>
      </c>
      <c r="M690">
        <v>5.3</v>
      </c>
      <c r="N690">
        <f t="shared" si="10"/>
        <v>69</v>
      </c>
    </row>
    <row r="691" spans="1:14">
      <c r="A691">
        <v>20184167</v>
      </c>
      <c r="B691" t="s">
        <v>19</v>
      </c>
      <c r="C691" t="str">
        <f>VLOOKUP(B691,专业代码!$B$2:$C$8,2,FALSE)</f>
        <v>市场营销</v>
      </c>
      <c r="D691">
        <v>7.8</v>
      </c>
      <c r="E691">
        <v>7.5</v>
      </c>
      <c r="F691">
        <v>8.1</v>
      </c>
      <c r="G691">
        <v>7.9</v>
      </c>
      <c r="H691">
        <v>7.1</v>
      </c>
      <c r="I691">
        <v>6.7</v>
      </c>
      <c r="J691">
        <v>6</v>
      </c>
      <c r="K691">
        <v>6.2</v>
      </c>
      <c r="L691">
        <v>5.8</v>
      </c>
      <c r="M691">
        <v>5.7</v>
      </c>
      <c r="N691">
        <f t="shared" si="10"/>
        <v>68.8</v>
      </c>
    </row>
    <row r="692" spans="1:14">
      <c r="A692">
        <v>20184404</v>
      </c>
      <c r="B692" t="s">
        <v>19</v>
      </c>
      <c r="C692" t="str">
        <f>VLOOKUP(B692,专业代码!$B$2:$C$8,2,FALSE)</f>
        <v>市场营销</v>
      </c>
      <c r="D692">
        <v>8.5</v>
      </c>
      <c r="E692">
        <v>8</v>
      </c>
      <c r="F692">
        <v>7.8</v>
      </c>
      <c r="G692">
        <v>7</v>
      </c>
      <c r="H692">
        <v>7.8</v>
      </c>
      <c r="I692">
        <v>5.4</v>
      </c>
      <c r="J692">
        <v>7.4</v>
      </c>
      <c r="K692">
        <v>5.6</v>
      </c>
      <c r="L692">
        <v>5.4</v>
      </c>
      <c r="M692">
        <v>5.4</v>
      </c>
      <c r="N692">
        <f t="shared" si="10"/>
        <v>68.3</v>
      </c>
    </row>
    <row r="693" spans="1:14">
      <c r="A693">
        <v>20184533</v>
      </c>
      <c r="B693" t="s">
        <v>19</v>
      </c>
      <c r="C693" t="str">
        <f>VLOOKUP(B693,专业代码!$B$2:$C$8,2,FALSE)</f>
        <v>市场营销</v>
      </c>
      <c r="D693">
        <v>7.8</v>
      </c>
      <c r="E693">
        <v>7.6</v>
      </c>
      <c r="F693">
        <v>7.7</v>
      </c>
      <c r="G693">
        <v>6.1</v>
      </c>
      <c r="H693">
        <v>6.9</v>
      </c>
      <c r="I693">
        <v>7</v>
      </c>
      <c r="J693">
        <v>5.6</v>
      </c>
      <c r="K693">
        <v>7.2</v>
      </c>
      <c r="L693">
        <v>7.1</v>
      </c>
      <c r="M693">
        <v>7.4</v>
      </c>
      <c r="N693">
        <f t="shared" si="10"/>
        <v>70.4</v>
      </c>
    </row>
    <row r="694" spans="1:14">
      <c r="A694">
        <v>20184862</v>
      </c>
      <c r="B694" t="s">
        <v>19</v>
      </c>
      <c r="C694" t="str">
        <f>VLOOKUP(B694,专业代码!$B$2:$C$8,2,FALSE)</f>
        <v>市场营销</v>
      </c>
      <c r="D694">
        <v>8.1</v>
      </c>
      <c r="E694">
        <v>7.5</v>
      </c>
      <c r="F694">
        <v>8.1</v>
      </c>
      <c r="G694">
        <v>6.7</v>
      </c>
      <c r="H694">
        <v>7.7</v>
      </c>
      <c r="I694">
        <v>6.7</v>
      </c>
      <c r="J694">
        <v>7.3</v>
      </c>
      <c r="K694">
        <v>7.6</v>
      </c>
      <c r="L694">
        <v>8.2</v>
      </c>
      <c r="M694">
        <v>6.6</v>
      </c>
      <c r="N694">
        <f t="shared" si="10"/>
        <v>74.5</v>
      </c>
    </row>
    <row r="695" spans="1:14">
      <c r="A695">
        <v>20186461</v>
      </c>
      <c r="B695" t="s">
        <v>19</v>
      </c>
      <c r="C695" t="str">
        <f>VLOOKUP(B695,专业代码!$B$2:$C$8,2,FALSE)</f>
        <v>市场营销</v>
      </c>
      <c r="D695">
        <v>7.7</v>
      </c>
      <c r="E695">
        <v>7.4</v>
      </c>
      <c r="F695">
        <v>7.8</v>
      </c>
      <c r="G695">
        <v>7.7</v>
      </c>
      <c r="H695">
        <v>8.1</v>
      </c>
      <c r="I695">
        <v>5.9</v>
      </c>
      <c r="J695">
        <v>5.8</v>
      </c>
      <c r="K695">
        <v>6.7</v>
      </c>
      <c r="L695">
        <v>5.2</v>
      </c>
      <c r="M695">
        <v>5.4</v>
      </c>
      <c r="N695">
        <f t="shared" si="10"/>
        <v>67.7</v>
      </c>
    </row>
    <row r="696" spans="1:14">
      <c r="A696">
        <v>20181185</v>
      </c>
      <c r="B696" t="s">
        <v>19</v>
      </c>
      <c r="C696" t="str">
        <f>VLOOKUP(B696,专业代码!$B$2:$C$8,2,FALSE)</f>
        <v>市场营销</v>
      </c>
      <c r="D696">
        <v>8.3</v>
      </c>
      <c r="E696">
        <v>8</v>
      </c>
      <c r="F696">
        <v>8.7</v>
      </c>
      <c r="G696">
        <v>6.7</v>
      </c>
      <c r="H696">
        <v>7.2</v>
      </c>
      <c r="I696">
        <v>6.8</v>
      </c>
      <c r="J696">
        <v>7.3</v>
      </c>
      <c r="K696">
        <v>7.6</v>
      </c>
      <c r="L696">
        <v>5.7</v>
      </c>
      <c r="M696">
        <v>9</v>
      </c>
      <c r="N696">
        <f t="shared" si="10"/>
        <v>75.3</v>
      </c>
    </row>
    <row r="697" spans="1:14">
      <c r="A697">
        <v>20182394</v>
      </c>
      <c r="B697" t="s">
        <v>19</v>
      </c>
      <c r="C697" t="str">
        <f>VLOOKUP(B697,专业代码!$B$2:$C$8,2,FALSE)</f>
        <v>市场营销</v>
      </c>
      <c r="D697">
        <v>7.9</v>
      </c>
      <c r="E697">
        <v>7.6</v>
      </c>
      <c r="F697">
        <v>8.3</v>
      </c>
      <c r="G697">
        <v>7.4</v>
      </c>
      <c r="H697">
        <v>6.6</v>
      </c>
      <c r="I697">
        <v>7</v>
      </c>
      <c r="J697">
        <v>4.3</v>
      </c>
      <c r="K697">
        <v>6</v>
      </c>
      <c r="L697">
        <v>5.8</v>
      </c>
      <c r="M697">
        <v>6.4</v>
      </c>
      <c r="N697">
        <f t="shared" si="10"/>
        <v>67.3</v>
      </c>
    </row>
    <row r="698" spans="1:14">
      <c r="A698">
        <v>20182540</v>
      </c>
      <c r="B698" t="s">
        <v>19</v>
      </c>
      <c r="C698" t="str">
        <f>VLOOKUP(B698,专业代码!$B$2:$C$8,2,FALSE)</f>
        <v>市场营销</v>
      </c>
      <c r="D698">
        <v>7.1</v>
      </c>
      <c r="E698">
        <v>7.8</v>
      </c>
      <c r="F698">
        <v>8.7</v>
      </c>
      <c r="G698">
        <v>6.7</v>
      </c>
      <c r="H698">
        <v>5.6</v>
      </c>
      <c r="I698">
        <v>6.9</v>
      </c>
      <c r="J698">
        <v>5.2</v>
      </c>
      <c r="K698">
        <v>5.3</v>
      </c>
      <c r="L698">
        <v>6.2</v>
      </c>
      <c r="M698">
        <v>4.2</v>
      </c>
      <c r="N698">
        <f t="shared" si="10"/>
        <v>63.7</v>
      </c>
    </row>
    <row r="699" spans="1:14">
      <c r="A699">
        <v>20182953</v>
      </c>
      <c r="B699" t="s">
        <v>19</v>
      </c>
      <c r="C699" t="str">
        <f>VLOOKUP(B699,专业代码!$B$2:$C$8,2,FALSE)</f>
        <v>市场营销</v>
      </c>
      <c r="D699">
        <v>7.3</v>
      </c>
      <c r="E699">
        <v>7.1</v>
      </c>
      <c r="F699">
        <v>7.4</v>
      </c>
      <c r="G699">
        <v>6.9</v>
      </c>
      <c r="H699">
        <v>5.7</v>
      </c>
      <c r="I699">
        <v>7.1</v>
      </c>
      <c r="J699">
        <v>6.4</v>
      </c>
      <c r="K699">
        <v>7.3</v>
      </c>
      <c r="L699">
        <v>6.2</v>
      </c>
      <c r="M699">
        <v>6.3</v>
      </c>
      <c r="N699">
        <f t="shared" si="10"/>
        <v>67.7</v>
      </c>
    </row>
    <row r="700" spans="1:14">
      <c r="A700">
        <v>20187113</v>
      </c>
      <c r="B700" t="s">
        <v>19</v>
      </c>
      <c r="C700" t="str">
        <f>VLOOKUP(B700,专业代码!$B$2:$C$8,2,FALSE)</f>
        <v>市场营销</v>
      </c>
      <c r="D700">
        <v>8.3</v>
      </c>
      <c r="E700">
        <v>8.8</v>
      </c>
      <c r="F700">
        <v>7.7</v>
      </c>
      <c r="G700">
        <v>7.8</v>
      </c>
      <c r="H700">
        <v>7.2</v>
      </c>
      <c r="I700">
        <v>7.1</v>
      </c>
      <c r="J700">
        <v>7</v>
      </c>
      <c r="K700">
        <v>7.7</v>
      </c>
      <c r="L700">
        <v>7.5</v>
      </c>
      <c r="M700">
        <v>4.4</v>
      </c>
      <c r="N700">
        <f t="shared" si="10"/>
        <v>73.5</v>
      </c>
    </row>
    <row r="701" spans="1:14">
      <c r="A701">
        <v>20189425</v>
      </c>
      <c r="B701" t="s">
        <v>19</v>
      </c>
      <c r="C701" t="str">
        <f>VLOOKUP(B701,专业代码!$B$2:$C$8,2,FALSE)</f>
        <v>市场营销</v>
      </c>
      <c r="D701">
        <v>8.4</v>
      </c>
      <c r="E701">
        <v>7.3</v>
      </c>
      <c r="F701">
        <v>7.1</v>
      </c>
      <c r="G701">
        <v>7.4</v>
      </c>
      <c r="H701">
        <v>5.6</v>
      </c>
      <c r="I701">
        <v>6.8</v>
      </c>
      <c r="J701">
        <v>6.6</v>
      </c>
      <c r="K701">
        <v>6</v>
      </c>
      <c r="L701">
        <v>6.9</v>
      </c>
      <c r="M701">
        <v>8.1</v>
      </c>
      <c r="N701">
        <f t="shared" si="10"/>
        <v>70.2</v>
      </c>
    </row>
    <row r="702" spans="1:14">
      <c r="A702">
        <v>20189840</v>
      </c>
      <c r="B702" t="s">
        <v>19</v>
      </c>
      <c r="C702" t="str">
        <f>VLOOKUP(B702,专业代码!$B$2:$C$8,2,FALSE)</f>
        <v>市场营销</v>
      </c>
      <c r="D702">
        <v>8.1</v>
      </c>
      <c r="E702">
        <v>8.3</v>
      </c>
      <c r="F702">
        <v>7.5</v>
      </c>
      <c r="G702">
        <v>7.9</v>
      </c>
      <c r="H702">
        <v>7.8</v>
      </c>
      <c r="I702">
        <v>7.4</v>
      </c>
      <c r="J702">
        <v>5.9</v>
      </c>
      <c r="K702">
        <v>7</v>
      </c>
      <c r="L702">
        <v>6</v>
      </c>
      <c r="M702">
        <v>7.1</v>
      </c>
      <c r="N702">
        <f t="shared" si="10"/>
        <v>73</v>
      </c>
    </row>
    <row r="703" spans="1:14">
      <c r="A703">
        <v>20183355</v>
      </c>
      <c r="B703" t="s">
        <v>19</v>
      </c>
      <c r="C703" t="str">
        <f>VLOOKUP(B703,专业代码!$B$2:$C$8,2,FALSE)</f>
        <v>市场营销</v>
      </c>
      <c r="D703">
        <v>7.8</v>
      </c>
      <c r="E703">
        <v>8</v>
      </c>
      <c r="F703">
        <v>7.7</v>
      </c>
      <c r="G703">
        <v>7.1</v>
      </c>
      <c r="H703">
        <v>7.7</v>
      </c>
      <c r="I703">
        <v>7.6</v>
      </c>
      <c r="J703">
        <v>6.2</v>
      </c>
      <c r="K703">
        <v>7</v>
      </c>
      <c r="L703">
        <v>6.8</v>
      </c>
      <c r="M703">
        <v>5.9</v>
      </c>
      <c r="N703">
        <f t="shared" si="10"/>
        <v>71.8</v>
      </c>
    </row>
    <row r="704" spans="1:14">
      <c r="A704">
        <v>20184314</v>
      </c>
      <c r="B704" t="s">
        <v>19</v>
      </c>
      <c r="C704" t="str">
        <f>VLOOKUP(B704,专业代码!$B$2:$C$8,2,FALSE)</f>
        <v>市场营销</v>
      </c>
      <c r="D704">
        <v>7.6</v>
      </c>
      <c r="E704">
        <v>7</v>
      </c>
      <c r="F704">
        <v>6.8</v>
      </c>
      <c r="G704">
        <v>7.4</v>
      </c>
      <c r="H704">
        <v>8.3</v>
      </c>
      <c r="I704">
        <v>6.9</v>
      </c>
      <c r="J704">
        <v>6.9</v>
      </c>
      <c r="K704">
        <v>7.7</v>
      </c>
      <c r="L704">
        <v>5.8</v>
      </c>
      <c r="M704">
        <v>5.7</v>
      </c>
      <c r="N704">
        <f t="shared" si="10"/>
        <v>70.1</v>
      </c>
    </row>
    <row r="705" spans="1:14">
      <c r="A705">
        <v>20185263</v>
      </c>
      <c r="B705" t="s">
        <v>19</v>
      </c>
      <c r="C705" t="str">
        <f>VLOOKUP(B705,专业代码!$B$2:$C$8,2,FALSE)</f>
        <v>市场营销</v>
      </c>
      <c r="D705">
        <v>7.7</v>
      </c>
      <c r="E705">
        <v>7.9</v>
      </c>
      <c r="F705">
        <v>8</v>
      </c>
      <c r="G705">
        <v>8.2</v>
      </c>
      <c r="H705">
        <v>6.4</v>
      </c>
      <c r="I705">
        <v>7.1</v>
      </c>
      <c r="J705">
        <v>7.6</v>
      </c>
      <c r="K705">
        <v>6.8</v>
      </c>
      <c r="L705">
        <v>5.8</v>
      </c>
      <c r="M705">
        <v>7.9</v>
      </c>
      <c r="N705">
        <f t="shared" si="10"/>
        <v>73.4</v>
      </c>
    </row>
    <row r="706" spans="1:14">
      <c r="A706">
        <v>20188192</v>
      </c>
      <c r="B706" t="s">
        <v>19</v>
      </c>
      <c r="C706" t="str">
        <f>VLOOKUP(B706,专业代码!$B$2:$C$8,2,FALSE)</f>
        <v>市场营销</v>
      </c>
      <c r="D706">
        <v>7.5</v>
      </c>
      <c r="E706">
        <v>8.5</v>
      </c>
      <c r="F706">
        <v>6.8</v>
      </c>
      <c r="G706">
        <v>8.2</v>
      </c>
      <c r="H706">
        <v>6.5</v>
      </c>
      <c r="I706">
        <v>7.2</v>
      </c>
      <c r="J706">
        <v>6.2</v>
      </c>
      <c r="K706">
        <v>6.5</v>
      </c>
      <c r="L706">
        <v>6.5</v>
      </c>
      <c r="M706">
        <v>3.2</v>
      </c>
      <c r="N706">
        <f t="shared" si="10"/>
        <v>67.1</v>
      </c>
    </row>
    <row r="707" spans="1:14">
      <c r="A707">
        <v>20189530</v>
      </c>
      <c r="B707" t="s">
        <v>19</v>
      </c>
      <c r="C707" t="str">
        <f>VLOOKUP(B707,专业代码!$B$2:$C$8,2,FALSE)</f>
        <v>市场营销</v>
      </c>
      <c r="D707">
        <v>7.2</v>
      </c>
      <c r="E707">
        <v>7.5</v>
      </c>
      <c r="F707">
        <v>7.5</v>
      </c>
      <c r="G707">
        <v>7.7</v>
      </c>
      <c r="H707">
        <v>7.1</v>
      </c>
      <c r="I707">
        <v>7.2</v>
      </c>
      <c r="J707">
        <v>7.9</v>
      </c>
      <c r="K707">
        <v>6.8</v>
      </c>
      <c r="L707">
        <v>5.3</v>
      </c>
      <c r="M707">
        <v>7.3</v>
      </c>
      <c r="N707">
        <f t="shared" ref="N707:N770" si="11">SUM(D707:M707)</f>
        <v>71.5</v>
      </c>
    </row>
    <row r="708" spans="1:14">
      <c r="A708">
        <v>20181611</v>
      </c>
      <c r="B708" t="s">
        <v>19</v>
      </c>
      <c r="C708" t="str">
        <f>VLOOKUP(B708,专业代码!$B$2:$C$8,2,FALSE)</f>
        <v>市场营销</v>
      </c>
      <c r="D708">
        <v>8.1</v>
      </c>
      <c r="E708">
        <v>7</v>
      </c>
      <c r="F708">
        <v>8.2</v>
      </c>
      <c r="G708">
        <v>7.5</v>
      </c>
      <c r="H708">
        <v>7.1</v>
      </c>
      <c r="I708">
        <v>5.2</v>
      </c>
      <c r="J708">
        <v>8.4</v>
      </c>
      <c r="K708">
        <v>5.2</v>
      </c>
      <c r="L708">
        <v>6.7</v>
      </c>
      <c r="M708">
        <v>7.9</v>
      </c>
      <c r="N708">
        <f t="shared" si="11"/>
        <v>71.3</v>
      </c>
    </row>
    <row r="709" spans="1:14">
      <c r="A709">
        <v>20183477</v>
      </c>
      <c r="B709" t="s">
        <v>19</v>
      </c>
      <c r="C709" t="str">
        <f>VLOOKUP(B709,专业代码!$B$2:$C$8,2,FALSE)</f>
        <v>市场营销</v>
      </c>
      <c r="D709">
        <v>7.2</v>
      </c>
      <c r="E709">
        <v>7.5</v>
      </c>
      <c r="F709">
        <v>7.3</v>
      </c>
      <c r="G709">
        <v>6.9</v>
      </c>
      <c r="H709">
        <v>5.4</v>
      </c>
      <c r="I709">
        <v>6.2</v>
      </c>
      <c r="J709">
        <v>5.4</v>
      </c>
      <c r="K709">
        <v>7.6</v>
      </c>
      <c r="L709">
        <v>5</v>
      </c>
      <c r="M709">
        <v>5.1</v>
      </c>
      <c r="N709">
        <f t="shared" si="11"/>
        <v>63.6</v>
      </c>
    </row>
    <row r="710" spans="1:14">
      <c r="A710">
        <v>20184538</v>
      </c>
      <c r="B710" t="s">
        <v>19</v>
      </c>
      <c r="C710" t="str">
        <f>VLOOKUP(B710,专业代码!$B$2:$C$8,2,FALSE)</f>
        <v>市场营销</v>
      </c>
      <c r="D710">
        <v>8.5</v>
      </c>
      <c r="E710">
        <v>7.8</v>
      </c>
      <c r="F710">
        <v>6.9</v>
      </c>
      <c r="G710">
        <v>7.6</v>
      </c>
      <c r="H710">
        <v>6.2</v>
      </c>
      <c r="I710">
        <v>5.9</v>
      </c>
      <c r="J710">
        <v>5.8</v>
      </c>
      <c r="K710">
        <v>6.3</v>
      </c>
      <c r="L710">
        <v>6.9</v>
      </c>
      <c r="M710">
        <v>7.3</v>
      </c>
      <c r="N710">
        <f t="shared" si="11"/>
        <v>69.2</v>
      </c>
    </row>
    <row r="711" spans="1:14">
      <c r="A711">
        <v>20185923</v>
      </c>
      <c r="B711" t="s">
        <v>19</v>
      </c>
      <c r="C711" t="str">
        <f>VLOOKUP(B711,专业代码!$B$2:$C$8,2,FALSE)</f>
        <v>市场营销</v>
      </c>
      <c r="D711">
        <v>7.5</v>
      </c>
      <c r="E711">
        <v>7.9</v>
      </c>
      <c r="F711">
        <v>8.3</v>
      </c>
      <c r="G711">
        <v>8.7</v>
      </c>
      <c r="H711">
        <v>6.9</v>
      </c>
      <c r="I711">
        <v>7.4</v>
      </c>
      <c r="J711">
        <v>6.6</v>
      </c>
      <c r="K711">
        <v>7.4</v>
      </c>
      <c r="L711">
        <v>6.7</v>
      </c>
      <c r="M711">
        <v>7.4</v>
      </c>
      <c r="N711">
        <f t="shared" si="11"/>
        <v>74.8</v>
      </c>
    </row>
    <row r="712" spans="1:14">
      <c r="A712">
        <v>20188655</v>
      </c>
      <c r="B712" t="s">
        <v>19</v>
      </c>
      <c r="C712" t="str">
        <f>VLOOKUP(B712,专业代码!$B$2:$C$8,2,FALSE)</f>
        <v>市场营销</v>
      </c>
      <c r="D712">
        <v>8.1</v>
      </c>
      <c r="E712">
        <v>8</v>
      </c>
      <c r="F712">
        <v>8.7</v>
      </c>
      <c r="G712">
        <v>7</v>
      </c>
      <c r="H712">
        <v>7.5</v>
      </c>
      <c r="I712">
        <v>6.8</v>
      </c>
      <c r="J712">
        <v>6.6</v>
      </c>
      <c r="K712">
        <v>6.4</v>
      </c>
      <c r="L712">
        <v>5.8</v>
      </c>
      <c r="M712">
        <v>7.9</v>
      </c>
      <c r="N712">
        <f t="shared" si="11"/>
        <v>72.8</v>
      </c>
    </row>
    <row r="713" spans="1:14">
      <c r="A713">
        <v>20186438</v>
      </c>
      <c r="B713" t="s">
        <v>19</v>
      </c>
      <c r="C713" t="str">
        <f>VLOOKUP(B713,专业代码!$B$2:$C$8,2,FALSE)</f>
        <v>市场营销</v>
      </c>
      <c r="D713">
        <v>7.8</v>
      </c>
      <c r="E713">
        <v>7.5</v>
      </c>
      <c r="F713">
        <v>8.4</v>
      </c>
      <c r="G713">
        <v>7.4</v>
      </c>
      <c r="H713">
        <v>5.9</v>
      </c>
      <c r="I713">
        <v>7</v>
      </c>
      <c r="J713">
        <v>6.6</v>
      </c>
      <c r="K713">
        <v>5.7</v>
      </c>
      <c r="L713">
        <v>6</v>
      </c>
      <c r="M713">
        <v>6.9</v>
      </c>
      <c r="N713">
        <f t="shared" si="11"/>
        <v>69.2</v>
      </c>
    </row>
    <row r="714" spans="1:14">
      <c r="A714">
        <v>20187022</v>
      </c>
      <c r="B714" t="s">
        <v>19</v>
      </c>
      <c r="C714" t="str">
        <f>VLOOKUP(B714,专业代码!$B$2:$C$8,2,FALSE)</f>
        <v>市场营销</v>
      </c>
      <c r="D714">
        <v>7.5</v>
      </c>
      <c r="E714">
        <v>6.8</v>
      </c>
      <c r="F714">
        <v>7.1</v>
      </c>
      <c r="G714">
        <v>7.4</v>
      </c>
      <c r="H714">
        <v>6.5</v>
      </c>
      <c r="I714">
        <v>7.4</v>
      </c>
      <c r="J714">
        <v>6.9</v>
      </c>
      <c r="K714">
        <v>6.6</v>
      </c>
      <c r="L714">
        <v>6.7</v>
      </c>
      <c r="M714">
        <v>5</v>
      </c>
      <c r="N714">
        <f t="shared" si="11"/>
        <v>67.9</v>
      </c>
    </row>
    <row r="715" spans="1:14">
      <c r="A715">
        <v>20189084</v>
      </c>
      <c r="B715" t="s">
        <v>19</v>
      </c>
      <c r="C715" t="str">
        <f>VLOOKUP(B715,专业代码!$B$2:$C$8,2,FALSE)</f>
        <v>市场营销</v>
      </c>
      <c r="D715">
        <v>7.5</v>
      </c>
      <c r="E715">
        <v>7.8</v>
      </c>
      <c r="F715">
        <v>8.1</v>
      </c>
      <c r="G715">
        <v>8</v>
      </c>
      <c r="H715">
        <v>7.5</v>
      </c>
      <c r="I715">
        <v>6.8</v>
      </c>
      <c r="J715">
        <v>5.9</v>
      </c>
      <c r="K715">
        <v>7.3</v>
      </c>
      <c r="L715">
        <v>7.5</v>
      </c>
      <c r="M715">
        <v>5.6</v>
      </c>
      <c r="N715">
        <f t="shared" si="11"/>
        <v>72</v>
      </c>
    </row>
    <row r="716" spans="1:14">
      <c r="A716">
        <v>20184448</v>
      </c>
      <c r="B716" t="s">
        <v>19</v>
      </c>
      <c r="C716" t="str">
        <f>VLOOKUP(B716,专业代码!$B$2:$C$8,2,FALSE)</f>
        <v>市场营销</v>
      </c>
      <c r="D716">
        <v>7.1</v>
      </c>
      <c r="E716">
        <v>7.2</v>
      </c>
      <c r="F716">
        <v>7.9</v>
      </c>
      <c r="G716">
        <v>8.4</v>
      </c>
      <c r="H716">
        <v>7.3</v>
      </c>
      <c r="I716">
        <v>6.5</v>
      </c>
      <c r="J716">
        <v>7</v>
      </c>
      <c r="K716">
        <v>7</v>
      </c>
      <c r="L716">
        <v>6.4</v>
      </c>
      <c r="M716">
        <v>5.6</v>
      </c>
      <c r="N716">
        <f t="shared" si="11"/>
        <v>70.4</v>
      </c>
    </row>
    <row r="717" spans="1:14">
      <c r="A717">
        <v>20185395</v>
      </c>
      <c r="B717" t="s">
        <v>19</v>
      </c>
      <c r="C717" t="str">
        <f>VLOOKUP(B717,专业代码!$B$2:$C$8,2,FALSE)</f>
        <v>市场营销</v>
      </c>
      <c r="D717">
        <v>8.2</v>
      </c>
      <c r="E717">
        <v>8.4</v>
      </c>
      <c r="F717">
        <v>6.7</v>
      </c>
      <c r="G717">
        <v>6.5</v>
      </c>
      <c r="H717">
        <v>7.1</v>
      </c>
      <c r="I717">
        <v>6.9</v>
      </c>
      <c r="J717">
        <v>7.5</v>
      </c>
      <c r="K717">
        <v>7.1</v>
      </c>
      <c r="L717">
        <v>7.1</v>
      </c>
      <c r="M717">
        <v>6.2</v>
      </c>
      <c r="N717">
        <f t="shared" si="11"/>
        <v>71.7</v>
      </c>
    </row>
    <row r="718" spans="1:14">
      <c r="A718">
        <v>20187437</v>
      </c>
      <c r="B718" t="s">
        <v>19</v>
      </c>
      <c r="C718" t="str">
        <f>VLOOKUP(B718,专业代码!$B$2:$C$8,2,FALSE)</f>
        <v>市场营销</v>
      </c>
      <c r="D718">
        <v>8.1</v>
      </c>
      <c r="E718">
        <v>7.7</v>
      </c>
      <c r="F718">
        <v>7.8</v>
      </c>
      <c r="G718">
        <v>7.8</v>
      </c>
      <c r="H718">
        <v>7.6</v>
      </c>
      <c r="I718">
        <v>7</v>
      </c>
      <c r="J718">
        <v>6.5</v>
      </c>
      <c r="K718">
        <v>6.7</v>
      </c>
      <c r="L718">
        <v>8</v>
      </c>
      <c r="M718">
        <v>6.7</v>
      </c>
      <c r="N718">
        <f t="shared" si="11"/>
        <v>73.9</v>
      </c>
    </row>
    <row r="719" spans="1:14">
      <c r="A719">
        <v>20188902</v>
      </c>
      <c r="B719" t="s">
        <v>19</v>
      </c>
      <c r="C719" t="str">
        <f>VLOOKUP(B719,专业代码!$B$2:$C$8,2,FALSE)</f>
        <v>市场营销</v>
      </c>
      <c r="D719">
        <v>7.2</v>
      </c>
      <c r="E719">
        <v>7.9</v>
      </c>
      <c r="F719">
        <v>7.9</v>
      </c>
      <c r="G719">
        <v>8.1</v>
      </c>
      <c r="H719">
        <v>7.4</v>
      </c>
      <c r="I719">
        <v>6.1</v>
      </c>
      <c r="J719">
        <v>6.6</v>
      </c>
      <c r="K719">
        <v>6.6</v>
      </c>
      <c r="L719">
        <v>5.7</v>
      </c>
      <c r="M719">
        <v>5.6</v>
      </c>
      <c r="N719">
        <f t="shared" si="11"/>
        <v>69.1</v>
      </c>
    </row>
    <row r="720" spans="1:14">
      <c r="A720">
        <v>20181403</v>
      </c>
      <c r="B720" t="s">
        <v>19</v>
      </c>
      <c r="C720" t="str">
        <f>VLOOKUP(B720,专业代码!$B$2:$C$8,2,FALSE)</f>
        <v>市场营销</v>
      </c>
      <c r="D720">
        <v>7.4</v>
      </c>
      <c r="E720">
        <v>7.8</v>
      </c>
      <c r="F720">
        <v>8.2</v>
      </c>
      <c r="G720">
        <v>6.3</v>
      </c>
      <c r="H720">
        <v>7.9</v>
      </c>
      <c r="I720">
        <v>7.5</v>
      </c>
      <c r="J720">
        <v>8.1</v>
      </c>
      <c r="K720">
        <v>7.3</v>
      </c>
      <c r="L720">
        <v>6.8</v>
      </c>
      <c r="M720">
        <v>6.9</v>
      </c>
      <c r="N720">
        <f t="shared" si="11"/>
        <v>74.2</v>
      </c>
    </row>
    <row r="721" spans="1:14">
      <c r="A721">
        <v>20184871</v>
      </c>
      <c r="B721" t="s">
        <v>19</v>
      </c>
      <c r="C721" t="str">
        <f>VLOOKUP(B721,专业代码!$B$2:$C$8,2,FALSE)</f>
        <v>市场营销</v>
      </c>
      <c r="D721">
        <v>7.9</v>
      </c>
      <c r="E721">
        <v>7.3</v>
      </c>
      <c r="F721">
        <v>8.4</v>
      </c>
      <c r="G721">
        <v>7.7</v>
      </c>
      <c r="H721">
        <v>7.2</v>
      </c>
      <c r="I721">
        <v>6.4</v>
      </c>
      <c r="J721">
        <v>6.3</v>
      </c>
      <c r="K721">
        <v>6.9</v>
      </c>
      <c r="L721">
        <v>6.6</v>
      </c>
      <c r="M721">
        <v>6.6</v>
      </c>
      <c r="N721">
        <f t="shared" si="11"/>
        <v>71.3</v>
      </c>
    </row>
    <row r="722" spans="1:14">
      <c r="A722">
        <v>20186151</v>
      </c>
      <c r="B722" t="s">
        <v>19</v>
      </c>
      <c r="C722" t="str">
        <f>VLOOKUP(B722,专业代码!$B$2:$C$8,2,FALSE)</f>
        <v>市场营销</v>
      </c>
      <c r="D722">
        <v>7</v>
      </c>
      <c r="E722">
        <v>7.7</v>
      </c>
      <c r="F722">
        <v>8</v>
      </c>
      <c r="G722">
        <v>7.9</v>
      </c>
      <c r="H722">
        <v>5.8</v>
      </c>
      <c r="I722">
        <v>6.7</v>
      </c>
      <c r="J722">
        <v>7.4</v>
      </c>
      <c r="K722">
        <v>6.8</v>
      </c>
      <c r="L722">
        <v>6.7</v>
      </c>
      <c r="M722">
        <v>3.8</v>
      </c>
      <c r="N722">
        <f t="shared" si="11"/>
        <v>67.8</v>
      </c>
    </row>
    <row r="723" spans="1:14">
      <c r="A723">
        <v>20186872</v>
      </c>
      <c r="B723" t="s">
        <v>19</v>
      </c>
      <c r="C723" t="str">
        <f>VLOOKUP(B723,专业代码!$B$2:$C$8,2,FALSE)</f>
        <v>市场营销</v>
      </c>
      <c r="D723">
        <v>8.1</v>
      </c>
      <c r="E723">
        <v>7.5</v>
      </c>
      <c r="F723">
        <v>7</v>
      </c>
      <c r="G723">
        <v>6.9</v>
      </c>
      <c r="H723">
        <v>7.6</v>
      </c>
      <c r="I723">
        <v>6.8</v>
      </c>
      <c r="J723">
        <v>5.6</v>
      </c>
      <c r="K723">
        <v>7.2</v>
      </c>
      <c r="L723">
        <v>4.9</v>
      </c>
      <c r="M723">
        <v>5.8</v>
      </c>
      <c r="N723">
        <f t="shared" si="11"/>
        <v>67.4</v>
      </c>
    </row>
    <row r="724" spans="1:14">
      <c r="A724">
        <v>20188719</v>
      </c>
      <c r="B724" t="s">
        <v>19</v>
      </c>
      <c r="C724" t="str">
        <f>VLOOKUP(B724,专业代码!$B$2:$C$8,2,FALSE)</f>
        <v>市场营销</v>
      </c>
      <c r="D724">
        <v>6.7</v>
      </c>
      <c r="E724">
        <v>7.7</v>
      </c>
      <c r="F724">
        <v>7.5</v>
      </c>
      <c r="G724">
        <v>8</v>
      </c>
      <c r="H724">
        <v>6.6</v>
      </c>
      <c r="I724">
        <v>6.8</v>
      </c>
      <c r="J724">
        <v>7</v>
      </c>
      <c r="K724">
        <v>4.8</v>
      </c>
      <c r="L724">
        <v>7.9</v>
      </c>
      <c r="M724">
        <v>5.6</v>
      </c>
      <c r="N724">
        <f t="shared" si="11"/>
        <v>68.6</v>
      </c>
    </row>
    <row r="725" spans="1:14">
      <c r="A725">
        <v>20189607</v>
      </c>
      <c r="B725" t="s">
        <v>19</v>
      </c>
      <c r="C725" t="str">
        <f>VLOOKUP(B725,专业代码!$B$2:$C$8,2,FALSE)</f>
        <v>市场营销</v>
      </c>
      <c r="D725">
        <v>8.5</v>
      </c>
      <c r="E725">
        <v>6.8</v>
      </c>
      <c r="F725">
        <v>8</v>
      </c>
      <c r="G725">
        <v>7.6</v>
      </c>
      <c r="H725">
        <v>9.1</v>
      </c>
      <c r="I725">
        <v>7.5</v>
      </c>
      <c r="J725">
        <v>4.9</v>
      </c>
      <c r="K725">
        <v>6.8</v>
      </c>
      <c r="L725">
        <v>6.2</v>
      </c>
      <c r="M725">
        <v>4.3</v>
      </c>
      <c r="N725">
        <f t="shared" si="11"/>
        <v>69.7</v>
      </c>
    </row>
    <row r="726" spans="1:14">
      <c r="A726">
        <v>20182401</v>
      </c>
      <c r="B726" t="s">
        <v>19</v>
      </c>
      <c r="C726" t="str">
        <f>VLOOKUP(B726,专业代码!$B$2:$C$8,2,FALSE)</f>
        <v>市场营销</v>
      </c>
      <c r="D726">
        <v>8.6</v>
      </c>
      <c r="E726">
        <v>7.3</v>
      </c>
      <c r="F726">
        <v>7</v>
      </c>
      <c r="G726">
        <v>6.7</v>
      </c>
      <c r="H726">
        <v>7.5</v>
      </c>
      <c r="I726">
        <v>6.2</v>
      </c>
      <c r="J726">
        <v>7.8</v>
      </c>
      <c r="K726">
        <v>5.8</v>
      </c>
      <c r="L726">
        <v>6.8</v>
      </c>
      <c r="M726">
        <v>6.3</v>
      </c>
      <c r="N726">
        <f t="shared" si="11"/>
        <v>70</v>
      </c>
    </row>
    <row r="727" spans="1:14">
      <c r="A727">
        <v>20183246</v>
      </c>
      <c r="B727" t="s">
        <v>19</v>
      </c>
      <c r="C727" t="str">
        <f>VLOOKUP(B727,专业代码!$B$2:$C$8,2,FALSE)</f>
        <v>市场营销</v>
      </c>
      <c r="D727">
        <v>8.6</v>
      </c>
      <c r="E727">
        <v>7.6</v>
      </c>
      <c r="F727">
        <v>7.4</v>
      </c>
      <c r="G727">
        <v>6.9</v>
      </c>
      <c r="H727">
        <v>6</v>
      </c>
      <c r="I727">
        <v>6.6</v>
      </c>
      <c r="J727">
        <v>7</v>
      </c>
      <c r="K727">
        <v>7.3</v>
      </c>
      <c r="L727">
        <v>8</v>
      </c>
      <c r="M727">
        <v>4.8</v>
      </c>
      <c r="N727">
        <f t="shared" si="11"/>
        <v>70.2</v>
      </c>
    </row>
    <row r="728" spans="1:14">
      <c r="A728">
        <v>20185705</v>
      </c>
      <c r="B728" t="s">
        <v>19</v>
      </c>
      <c r="C728" t="str">
        <f>VLOOKUP(B728,专业代码!$B$2:$C$8,2,FALSE)</f>
        <v>市场营销</v>
      </c>
      <c r="D728">
        <v>7.5</v>
      </c>
      <c r="E728">
        <v>7.8</v>
      </c>
      <c r="F728">
        <v>8.4</v>
      </c>
      <c r="G728">
        <v>7.3</v>
      </c>
      <c r="H728">
        <v>6.7</v>
      </c>
      <c r="I728">
        <v>7.9</v>
      </c>
      <c r="J728">
        <v>7.5</v>
      </c>
      <c r="K728">
        <v>6.8</v>
      </c>
      <c r="L728">
        <v>7.4</v>
      </c>
      <c r="M728">
        <v>3.9</v>
      </c>
      <c r="N728">
        <f t="shared" si="11"/>
        <v>71.2</v>
      </c>
    </row>
    <row r="729" spans="1:14">
      <c r="A729">
        <v>20186706</v>
      </c>
      <c r="B729" t="s">
        <v>19</v>
      </c>
      <c r="C729" t="str">
        <f>VLOOKUP(B729,专业代码!$B$2:$C$8,2,FALSE)</f>
        <v>市场营销</v>
      </c>
      <c r="D729">
        <v>8</v>
      </c>
      <c r="E729">
        <v>8</v>
      </c>
      <c r="F729">
        <v>8.3</v>
      </c>
      <c r="G729">
        <v>7.5</v>
      </c>
      <c r="H729">
        <v>7.2</v>
      </c>
      <c r="I729">
        <v>6.3</v>
      </c>
      <c r="J729">
        <v>7.2</v>
      </c>
      <c r="K729">
        <v>6.7</v>
      </c>
      <c r="L729">
        <v>5.5</v>
      </c>
      <c r="M729">
        <v>6.8</v>
      </c>
      <c r="N729">
        <f t="shared" si="11"/>
        <v>71.5</v>
      </c>
    </row>
    <row r="730" spans="1:14">
      <c r="A730">
        <v>20188699</v>
      </c>
      <c r="B730" t="s">
        <v>19</v>
      </c>
      <c r="C730" t="str">
        <f>VLOOKUP(B730,专业代码!$B$2:$C$8,2,FALSE)</f>
        <v>市场营销</v>
      </c>
      <c r="D730">
        <v>7.9</v>
      </c>
      <c r="E730">
        <v>8.9</v>
      </c>
      <c r="F730">
        <v>7.3</v>
      </c>
      <c r="G730">
        <v>7.1</v>
      </c>
      <c r="H730">
        <v>8.7</v>
      </c>
      <c r="I730">
        <v>7.2</v>
      </c>
      <c r="J730">
        <v>6</v>
      </c>
      <c r="K730">
        <v>5.8</v>
      </c>
      <c r="L730">
        <v>7</v>
      </c>
      <c r="M730">
        <v>4.5</v>
      </c>
      <c r="N730">
        <f t="shared" si="11"/>
        <v>70.4</v>
      </c>
    </row>
    <row r="731" spans="1:14">
      <c r="A731">
        <v>20181074</v>
      </c>
      <c r="B731" t="s">
        <v>19</v>
      </c>
      <c r="C731" t="str">
        <f>VLOOKUP(B731,专业代码!$B$2:$C$8,2,FALSE)</f>
        <v>市场营销</v>
      </c>
      <c r="D731">
        <v>8.3</v>
      </c>
      <c r="E731">
        <v>8.5</v>
      </c>
      <c r="F731">
        <v>7.7</v>
      </c>
      <c r="G731">
        <v>7.3</v>
      </c>
      <c r="H731">
        <v>7.1</v>
      </c>
      <c r="I731">
        <v>7</v>
      </c>
      <c r="J731">
        <v>8.6</v>
      </c>
      <c r="K731">
        <v>6.9</v>
      </c>
      <c r="L731">
        <v>6.8</v>
      </c>
      <c r="M731">
        <v>3.1</v>
      </c>
      <c r="N731">
        <f t="shared" si="11"/>
        <v>71.3</v>
      </c>
    </row>
    <row r="732" spans="1:14">
      <c r="A732">
        <v>20183065</v>
      </c>
      <c r="B732" t="s">
        <v>19</v>
      </c>
      <c r="C732" t="str">
        <f>VLOOKUP(B732,专业代码!$B$2:$C$8,2,FALSE)</f>
        <v>市场营销</v>
      </c>
      <c r="D732">
        <v>8.1</v>
      </c>
      <c r="E732">
        <v>8.1</v>
      </c>
      <c r="F732">
        <v>7.3</v>
      </c>
      <c r="G732">
        <v>6.7</v>
      </c>
      <c r="H732">
        <v>6.5</v>
      </c>
      <c r="I732">
        <v>7.8</v>
      </c>
      <c r="J732">
        <v>5.9</v>
      </c>
      <c r="K732">
        <v>6.9</v>
      </c>
      <c r="L732">
        <v>6.7</v>
      </c>
      <c r="M732">
        <v>6.7</v>
      </c>
      <c r="N732">
        <f t="shared" si="11"/>
        <v>70.7</v>
      </c>
    </row>
    <row r="733" spans="1:14">
      <c r="A733">
        <v>20184295</v>
      </c>
      <c r="B733" t="s">
        <v>19</v>
      </c>
      <c r="C733" t="str">
        <f>VLOOKUP(B733,专业代码!$B$2:$C$8,2,FALSE)</f>
        <v>市场营销</v>
      </c>
      <c r="D733">
        <v>8</v>
      </c>
      <c r="E733">
        <v>7.7</v>
      </c>
      <c r="F733">
        <v>6.7</v>
      </c>
      <c r="G733">
        <v>7.6</v>
      </c>
      <c r="H733">
        <v>7.1</v>
      </c>
      <c r="I733">
        <v>7.5</v>
      </c>
      <c r="J733">
        <v>5.6</v>
      </c>
      <c r="K733">
        <v>5.8</v>
      </c>
      <c r="L733">
        <v>7.6</v>
      </c>
      <c r="M733">
        <v>5.5</v>
      </c>
      <c r="N733">
        <f t="shared" si="11"/>
        <v>69.1</v>
      </c>
    </row>
    <row r="734" spans="1:14">
      <c r="A734">
        <v>20184750</v>
      </c>
      <c r="B734" t="s">
        <v>19</v>
      </c>
      <c r="C734" t="str">
        <f>VLOOKUP(B734,专业代码!$B$2:$C$8,2,FALSE)</f>
        <v>市场营销</v>
      </c>
      <c r="D734">
        <v>8.5</v>
      </c>
      <c r="E734">
        <v>7.9</v>
      </c>
      <c r="F734">
        <v>8.3</v>
      </c>
      <c r="G734">
        <v>7.9</v>
      </c>
      <c r="H734">
        <v>8</v>
      </c>
      <c r="I734">
        <v>6.4</v>
      </c>
      <c r="J734">
        <v>4.6</v>
      </c>
      <c r="K734">
        <v>7.4</v>
      </c>
      <c r="L734">
        <v>7.7</v>
      </c>
      <c r="M734">
        <v>6.2</v>
      </c>
      <c r="N734">
        <f t="shared" si="11"/>
        <v>72.9</v>
      </c>
    </row>
    <row r="735" spans="1:14">
      <c r="A735">
        <v>20185875</v>
      </c>
      <c r="B735" t="s">
        <v>19</v>
      </c>
      <c r="C735" t="str">
        <f>VLOOKUP(B735,专业代码!$B$2:$C$8,2,FALSE)</f>
        <v>市场营销</v>
      </c>
      <c r="D735">
        <v>7.2</v>
      </c>
      <c r="E735">
        <v>7.6</v>
      </c>
      <c r="F735">
        <v>8.5</v>
      </c>
      <c r="G735">
        <v>6.9</v>
      </c>
      <c r="H735">
        <v>6.9</v>
      </c>
      <c r="I735">
        <v>6.4</v>
      </c>
      <c r="J735">
        <v>6.9</v>
      </c>
      <c r="K735">
        <v>6.5</v>
      </c>
      <c r="L735">
        <v>7.4</v>
      </c>
      <c r="M735">
        <v>6.3</v>
      </c>
      <c r="N735">
        <f t="shared" si="11"/>
        <v>70.6</v>
      </c>
    </row>
    <row r="736" spans="1:14">
      <c r="A736">
        <v>20188291</v>
      </c>
      <c r="B736" t="s">
        <v>19</v>
      </c>
      <c r="C736" t="str">
        <f>VLOOKUP(B736,专业代码!$B$2:$C$8,2,FALSE)</f>
        <v>市场营销</v>
      </c>
      <c r="D736">
        <v>8.6</v>
      </c>
      <c r="E736">
        <v>7.2</v>
      </c>
      <c r="F736">
        <v>7.9</v>
      </c>
      <c r="G736">
        <v>7.6</v>
      </c>
      <c r="H736">
        <v>6.7</v>
      </c>
      <c r="I736">
        <v>5.6</v>
      </c>
      <c r="J736">
        <v>6.4</v>
      </c>
      <c r="K736">
        <v>6.9</v>
      </c>
      <c r="L736">
        <v>6.6</v>
      </c>
      <c r="M736">
        <v>5.5</v>
      </c>
      <c r="N736">
        <f t="shared" si="11"/>
        <v>69</v>
      </c>
    </row>
    <row r="737" spans="1:14">
      <c r="A737">
        <v>20189297</v>
      </c>
      <c r="B737" t="s">
        <v>19</v>
      </c>
      <c r="C737" t="str">
        <f>VLOOKUP(B737,专业代码!$B$2:$C$8,2,FALSE)</f>
        <v>市场营销</v>
      </c>
      <c r="D737">
        <v>7.5</v>
      </c>
      <c r="E737">
        <v>7.9</v>
      </c>
      <c r="F737">
        <v>8.8</v>
      </c>
      <c r="G737">
        <v>7.2</v>
      </c>
      <c r="H737">
        <v>6.5</v>
      </c>
      <c r="I737">
        <v>6.8</v>
      </c>
      <c r="J737">
        <v>7.3</v>
      </c>
      <c r="K737">
        <v>7</v>
      </c>
      <c r="L737">
        <v>5.2</v>
      </c>
      <c r="M737">
        <v>4.3</v>
      </c>
      <c r="N737">
        <f t="shared" si="11"/>
        <v>68.5</v>
      </c>
    </row>
    <row r="738" spans="1:14">
      <c r="A738">
        <v>20182964</v>
      </c>
      <c r="B738" t="s">
        <v>19</v>
      </c>
      <c r="C738" t="str">
        <f>VLOOKUP(B738,专业代码!$B$2:$C$8,2,FALSE)</f>
        <v>市场营销</v>
      </c>
      <c r="D738">
        <v>7.6</v>
      </c>
      <c r="E738">
        <v>8.1</v>
      </c>
      <c r="F738">
        <v>7.8</v>
      </c>
      <c r="G738">
        <v>6.9</v>
      </c>
      <c r="H738">
        <v>5.8</v>
      </c>
      <c r="I738">
        <v>6.4</v>
      </c>
      <c r="J738">
        <v>6.4</v>
      </c>
      <c r="K738">
        <v>7</v>
      </c>
      <c r="L738">
        <v>5.9</v>
      </c>
      <c r="M738">
        <v>6.2</v>
      </c>
      <c r="N738">
        <f t="shared" si="11"/>
        <v>68.1</v>
      </c>
    </row>
    <row r="739" spans="1:14">
      <c r="A739">
        <v>20184476</v>
      </c>
      <c r="B739" t="s">
        <v>19</v>
      </c>
      <c r="C739" t="str">
        <f>VLOOKUP(B739,专业代码!$B$2:$C$8,2,FALSE)</f>
        <v>市场营销</v>
      </c>
      <c r="D739">
        <v>7.9</v>
      </c>
      <c r="E739">
        <v>7.7</v>
      </c>
      <c r="F739">
        <v>7.5</v>
      </c>
      <c r="G739">
        <v>6.9</v>
      </c>
      <c r="H739">
        <v>7.2</v>
      </c>
      <c r="I739">
        <v>7.2</v>
      </c>
      <c r="J739">
        <v>7.2</v>
      </c>
      <c r="K739">
        <v>7</v>
      </c>
      <c r="L739">
        <v>7.3</v>
      </c>
      <c r="M739">
        <v>5.4</v>
      </c>
      <c r="N739">
        <f t="shared" si="11"/>
        <v>71.3</v>
      </c>
    </row>
    <row r="740" spans="1:14">
      <c r="A740">
        <v>20187507</v>
      </c>
      <c r="B740" t="s">
        <v>19</v>
      </c>
      <c r="C740" t="str">
        <f>VLOOKUP(B740,专业代码!$B$2:$C$8,2,FALSE)</f>
        <v>市场营销</v>
      </c>
      <c r="D740">
        <v>7.7</v>
      </c>
      <c r="E740">
        <v>8.6</v>
      </c>
      <c r="F740">
        <v>7.9</v>
      </c>
      <c r="G740">
        <v>7.1</v>
      </c>
      <c r="H740">
        <v>7.2</v>
      </c>
      <c r="I740">
        <v>6.5</v>
      </c>
      <c r="J740">
        <v>5.9</v>
      </c>
      <c r="K740">
        <v>6.2</v>
      </c>
      <c r="L740">
        <v>4.5</v>
      </c>
      <c r="M740">
        <v>5.6</v>
      </c>
      <c r="N740">
        <f t="shared" si="11"/>
        <v>67.2</v>
      </c>
    </row>
    <row r="741" spans="1:14">
      <c r="A741">
        <v>20189348</v>
      </c>
      <c r="B741" t="s">
        <v>19</v>
      </c>
      <c r="C741" t="str">
        <f>VLOOKUP(B741,专业代码!$B$2:$C$8,2,FALSE)</f>
        <v>市场营销</v>
      </c>
      <c r="D741">
        <v>6.6</v>
      </c>
      <c r="E741">
        <v>8.5</v>
      </c>
      <c r="F741">
        <v>6.8</v>
      </c>
      <c r="G741">
        <v>7.6</v>
      </c>
      <c r="H741">
        <v>7.1</v>
      </c>
      <c r="I741">
        <v>6.3</v>
      </c>
      <c r="J741">
        <v>6.5</v>
      </c>
      <c r="K741">
        <v>6.3</v>
      </c>
      <c r="L741">
        <v>7</v>
      </c>
      <c r="M741">
        <v>4.3</v>
      </c>
      <c r="N741">
        <f t="shared" si="11"/>
        <v>67</v>
      </c>
    </row>
    <row r="742" spans="1:14">
      <c r="A742">
        <v>20183433</v>
      </c>
      <c r="B742" t="s">
        <v>19</v>
      </c>
      <c r="C742" t="str">
        <f>VLOOKUP(B742,专业代码!$B$2:$C$8,2,FALSE)</f>
        <v>市场营销</v>
      </c>
      <c r="D742">
        <v>8.2</v>
      </c>
      <c r="E742">
        <v>8.2</v>
      </c>
      <c r="F742">
        <v>7.7</v>
      </c>
      <c r="G742">
        <v>6.9</v>
      </c>
      <c r="H742">
        <v>7.1</v>
      </c>
      <c r="I742">
        <v>8.5</v>
      </c>
      <c r="J742">
        <v>6.4</v>
      </c>
      <c r="K742">
        <v>7.2</v>
      </c>
      <c r="L742">
        <v>6</v>
      </c>
      <c r="M742">
        <v>6.8</v>
      </c>
      <c r="N742">
        <f t="shared" si="11"/>
        <v>73</v>
      </c>
    </row>
    <row r="743" spans="1:14">
      <c r="A743">
        <v>20186822</v>
      </c>
      <c r="B743" t="s">
        <v>19</v>
      </c>
      <c r="C743" t="str">
        <f>VLOOKUP(B743,专业代码!$B$2:$C$8,2,FALSE)</f>
        <v>市场营销</v>
      </c>
      <c r="D743">
        <v>7.8</v>
      </c>
      <c r="E743">
        <v>8.1</v>
      </c>
      <c r="F743">
        <v>7.8</v>
      </c>
      <c r="G743">
        <v>8.6</v>
      </c>
      <c r="H743">
        <v>8.5</v>
      </c>
      <c r="I743">
        <v>6.4</v>
      </c>
      <c r="J743">
        <v>6.3</v>
      </c>
      <c r="K743">
        <v>6</v>
      </c>
      <c r="L743">
        <v>5.9</v>
      </c>
      <c r="M743">
        <v>6.7</v>
      </c>
      <c r="N743">
        <f t="shared" si="11"/>
        <v>72.1</v>
      </c>
    </row>
    <row r="744" spans="1:14">
      <c r="A744">
        <v>20187327</v>
      </c>
      <c r="B744" t="s">
        <v>19</v>
      </c>
      <c r="C744" t="str">
        <f>VLOOKUP(B744,专业代码!$B$2:$C$8,2,FALSE)</f>
        <v>市场营销</v>
      </c>
      <c r="D744">
        <v>7.7</v>
      </c>
      <c r="E744">
        <v>8.5</v>
      </c>
      <c r="F744">
        <v>7.6</v>
      </c>
      <c r="G744">
        <v>8.2</v>
      </c>
      <c r="H744">
        <v>7.3</v>
      </c>
      <c r="I744">
        <v>6.6</v>
      </c>
      <c r="J744">
        <v>6.7</v>
      </c>
      <c r="K744">
        <v>6.5</v>
      </c>
      <c r="L744">
        <v>5.7</v>
      </c>
      <c r="M744">
        <v>6.3</v>
      </c>
      <c r="N744">
        <f t="shared" si="11"/>
        <v>71.1</v>
      </c>
    </row>
    <row r="745" spans="1:14">
      <c r="A745">
        <v>20191580</v>
      </c>
      <c r="B745" t="s">
        <v>14</v>
      </c>
      <c r="C745" t="str">
        <f>VLOOKUP(B745,专业代码!$B$2:$C$8,2,FALSE)</f>
        <v>会计学</v>
      </c>
      <c r="D745">
        <v>8.7</v>
      </c>
      <c r="E745">
        <v>8.4</v>
      </c>
      <c r="F745">
        <v>7.9</v>
      </c>
      <c r="G745">
        <v>8.5</v>
      </c>
      <c r="H745">
        <v>9.1</v>
      </c>
      <c r="I745">
        <v>6.4</v>
      </c>
      <c r="J745">
        <v>8</v>
      </c>
      <c r="K745">
        <v>6.4</v>
      </c>
      <c r="L745">
        <v>4.9</v>
      </c>
      <c r="M745">
        <v>4.1</v>
      </c>
      <c r="N745">
        <f t="shared" si="11"/>
        <v>72.4</v>
      </c>
    </row>
    <row r="746" spans="1:14">
      <c r="A746">
        <v>20192417</v>
      </c>
      <c r="B746" t="s">
        <v>14</v>
      </c>
      <c r="C746" t="str">
        <f>VLOOKUP(B746,专业代码!$B$2:$C$8,2,FALSE)</f>
        <v>会计学</v>
      </c>
      <c r="D746">
        <v>8.7</v>
      </c>
      <c r="E746">
        <v>8.3</v>
      </c>
      <c r="F746">
        <v>8.5</v>
      </c>
      <c r="G746">
        <v>9.1</v>
      </c>
      <c r="H746">
        <v>9.3</v>
      </c>
      <c r="I746">
        <v>8.5</v>
      </c>
      <c r="J746">
        <v>7.8</v>
      </c>
      <c r="K746">
        <v>6.4</v>
      </c>
      <c r="L746">
        <v>7</v>
      </c>
      <c r="M746">
        <v>7.3</v>
      </c>
      <c r="N746">
        <f t="shared" si="11"/>
        <v>80.9</v>
      </c>
    </row>
    <row r="747" spans="1:14">
      <c r="A747">
        <v>20192467</v>
      </c>
      <c r="B747" t="s">
        <v>14</v>
      </c>
      <c r="C747" t="str">
        <f>VLOOKUP(B747,专业代码!$B$2:$C$8,2,FALSE)</f>
        <v>会计学</v>
      </c>
      <c r="D747">
        <v>9.3</v>
      </c>
      <c r="E747">
        <v>8.9</v>
      </c>
      <c r="F747">
        <v>8.3</v>
      </c>
      <c r="G747">
        <v>7.3</v>
      </c>
      <c r="H747">
        <v>5.7</v>
      </c>
      <c r="I747">
        <v>7.1</v>
      </c>
      <c r="J747">
        <v>7.4</v>
      </c>
      <c r="K747">
        <v>8.1</v>
      </c>
      <c r="L747">
        <v>5.5</v>
      </c>
      <c r="M747">
        <v>6.5</v>
      </c>
      <c r="N747">
        <f t="shared" si="11"/>
        <v>74.1</v>
      </c>
    </row>
    <row r="748" spans="1:14">
      <c r="A748">
        <v>20192511</v>
      </c>
      <c r="B748" t="s">
        <v>14</v>
      </c>
      <c r="C748" t="str">
        <f>VLOOKUP(B748,专业代码!$B$2:$C$8,2,FALSE)</f>
        <v>会计学</v>
      </c>
      <c r="D748">
        <v>9</v>
      </c>
      <c r="E748">
        <v>8.1</v>
      </c>
      <c r="F748">
        <v>8.6</v>
      </c>
      <c r="G748">
        <v>8.6</v>
      </c>
      <c r="H748">
        <v>8.2</v>
      </c>
      <c r="I748">
        <v>6.8</v>
      </c>
      <c r="J748">
        <v>9</v>
      </c>
      <c r="K748">
        <v>6.8</v>
      </c>
      <c r="L748">
        <v>6.6</v>
      </c>
      <c r="M748">
        <v>7</v>
      </c>
      <c r="N748">
        <f t="shared" si="11"/>
        <v>78.7</v>
      </c>
    </row>
    <row r="749" spans="1:14">
      <c r="A749">
        <v>20193821</v>
      </c>
      <c r="B749" t="s">
        <v>14</v>
      </c>
      <c r="C749" t="str">
        <f>VLOOKUP(B749,专业代码!$B$2:$C$8,2,FALSE)</f>
        <v>会计学</v>
      </c>
      <c r="D749">
        <v>8.9</v>
      </c>
      <c r="E749">
        <v>9</v>
      </c>
      <c r="F749">
        <v>8.4</v>
      </c>
      <c r="G749">
        <v>8.3</v>
      </c>
      <c r="H749">
        <v>8.4</v>
      </c>
      <c r="I749">
        <v>8.6</v>
      </c>
      <c r="J749">
        <v>8.3</v>
      </c>
      <c r="K749">
        <v>9.4</v>
      </c>
      <c r="L749">
        <v>9.1</v>
      </c>
      <c r="M749">
        <v>5.5</v>
      </c>
      <c r="N749">
        <f t="shared" si="11"/>
        <v>83.9</v>
      </c>
    </row>
    <row r="750" spans="1:14">
      <c r="A750">
        <v>20194466</v>
      </c>
      <c r="B750" t="s">
        <v>14</v>
      </c>
      <c r="C750" t="str">
        <f>VLOOKUP(B750,专业代码!$B$2:$C$8,2,FALSE)</f>
        <v>会计学</v>
      </c>
      <c r="D750">
        <v>8.8</v>
      </c>
      <c r="E750">
        <v>9.3</v>
      </c>
      <c r="F750">
        <v>9.1</v>
      </c>
      <c r="G750">
        <v>7.8</v>
      </c>
      <c r="H750">
        <v>8.9</v>
      </c>
      <c r="I750">
        <v>9.2</v>
      </c>
      <c r="J750">
        <v>7</v>
      </c>
      <c r="K750">
        <v>6.1</v>
      </c>
      <c r="L750">
        <v>5.6</v>
      </c>
      <c r="M750">
        <v>5</v>
      </c>
      <c r="N750">
        <f t="shared" si="11"/>
        <v>76.8</v>
      </c>
    </row>
    <row r="751" spans="1:14">
      <c r="A751">
        <v>20194496</v>
      </c>
      <c r="B751" t="s">
        <v>14</v>
      </c>
      <c r="C751" t="str">
        <f>VLOOKUP(B751,专业代码!$B$2:$C$8,2,FALSE)</f>
        <v>会计学</v>
      </c>
      <c r="D751">
        <v>8.9</v>
      </c>
      <c r="E751">
        <v>8.6</v>
      </c>
      <c r="F751">
        <v>7.6</v>
      </c>
      <c r="G751">
        <v>9</v>
      </c>
      <c r="H751">
        <v>7.8</v>
      </c>
      <c r="I751">
        <v>7.2</v>
      </c>
      <c r="J751">
        <v>7.8</v>
      </c>
      <c r="K751">
        <v>7.2</v>
      </c>
      <c r="L751">
        <v>5</v>
      </c>
      <c r="M751">
        <v>5.5</v>
      </c>
      <c r="N751">
        <f t="shared" si="11"/>
        <v>74.6</v>
      </c>
    </row>
    <row r="752" spans="1:14">
      <c r="A752">
        <v>20194655</v>
      </c>
      <c r="B752" t="s">
        <v>14</v>
      </c>
      <c r="C752" t="str">
        <f>VLOOKUP(B752,专业代码!$B$2:$C$8,2,FALSE)</f>
        <v>会计学</v>
      </c>
      <c r="D752">
        <v>9.3</v>
      </c>
      <c r="E752">
        <v>8.7</v>
      </c>
      <c r="F752">
        <v>8.6</v>
      </c>
      <c r="G752">
        <v>8.1</v>
      </c>
      <c r="H752">
        <v>7.9</v>
      </c>
      <c r="I752">
        <v>7.6</v>
      </c>
      <c r="J752">
        <v>7.2</v>
      </c>
      <c r="K752">
        <v>7.8</v>
      </c>
      <c r="L752">
        <v>6.8</v>
      </c>
      <c r="M752">
        <v>5.8</v>
      </c>
      <c r="N752">
        <f t="shared" si="11"/>
        <v>77.8</v>
      </c>
    </row>
    <row r="753" spans="1:14">
      <c r="A753">
        <v>20195589</v>
      </c>
      <c r="B753" t="s">
        <v>14</v>
      </c>
      <c r="C753" t="str">
        <f>VLOOKUP(B753,专业代码!$B$2:$C$8,2,FALSE)</f>
        <v>会计学</v>
      </c>
      <c r="D753">
        <v>8</v>
      </c>
      <c r="E753">
        <v>8.8</v>
      </c>
      <c r="F753">
        <v>9.3</v>
      </c>
      <c r="G753">
        <v>8.8</v>
      </c>
      <c r="H753">
        <v>7.7</v>
      </c>
      <c r="I753">
        <v>9.1</v>
      </c>
      <c r="J753">
        <v>7.1</v>
      </c>
      <c r="K753">
        <v>7.7</v>
      </c>
      <c r="L753">
        <v>8.3</v>
      </c>
      <c r="M753">
        <v>5.2</v>
      </c>
      <c r="N753">
        <f t="shared" si="11"/>
        <v>80</v>
      </c>
    </row>
    <row r="754" spans="1:14">
      <c r="A754">
        <v>20196016</v>
      </c>
      <c r="B754" t="s">
        <v>14</v>
      </c>
      <c r="C754" t="str">
        <f>VLOOKUP(B754,专业代码!$B$2:$C$8,2,FALSE)</f>
        <v>会计学</v>
      </c>
      <c r="D754">
        <v>9.1</v>
      </c>
      <c r="E754">
        <v>8.9</v>
      </c>
      <c r="F754">
        <v>9.1</v>
      </c>
      <c r="G754">
        <v>7.9</v>
      </c>
      <c r="H754">
        <v>8.6</v>
      </c>
      <c r="I754">
        <v>6.9</v>
      </c>
      <c r="J754">
        <v>8.9</v>
      </c>
      <c r="K754">
        <v>7.3</v>
      </c>
      <c r="L754">
        <v>5.2</v>
      </c>
      <c r="M754">
        <v>5.7</v>
      </c>
      <c r="N754">
        <f t="shared" si="11"/>
        <v>77.6</v>
      </c>
    </row>
    <row r="755" spans="1:14">
      <c r="A755">
        <v>20196776</v>
      </c>
      <c r="B755" t="s">
        <v>14</v>
      </c>
      <c r="C755" t="str">
        <f>VLOOKUP(B755,专业代码!$B$2:$C$8,2,FALSE)</f>
        <v>会计学</v>
      </c>
      <c r="D755">
        <v>9.3</v>
      </c>
      <c r="E755">
        <v>8.4</v>
      </c>
      <c r="F755">
        <v>8.5</v>
      </c>
      <c r="G755">
        <v>7.9</v>
      </c>
      <c r="H755">
        <v>8.2</v>
      </c>
      <c r="I755">
        <v>7.3</v>
      </c>
      <c r="J755">
        <v>6.5</v>
      </c>
      <c r="K755">
        <v>6.9</v>
      </c>
      <c r="L755">
        <v>7.3</v>
      </c>
      <c r="M755">
        <v>6.3</v>
      </c>
      <c r="N755">
        <f t="shared" si="11"/>
        <v>76.6</v>
      </c>
    </row>
    <row r="756" spans="1:14">
      <c r="A756">
        <v>20198408</v>
      </c>
      <c r="B756" t="s">
        <v>14</v>
      </c>
      <c r="C756" t="str">
        <f>VLOOKUP(B756,专业代码!$B$2:$C$8,2,FALSE)</f>
        <v>会计学</v>
      </c>
      <c r="D756">
        <v>8.9</v>
      </c>
      <c r="E756">
        <v>8.1</v>
      </c>
      <c r="F756">
        <v>8.9</v>
      </c>
      <c r="G756">
        <v>8.4</v>
      </c>
      <c r="H756">
        <v>7.7</v>
      </c>
      <c r="I756">
        <v>8.3</v>
      </c>
      <c r="J756">
        <v>7.5</v>
      </c>
      <c r="K756">
        <v>7.4</v>
      </c>
      <c r="L756">
        <v>6.1</v>
      </c>
      <c r="M756">
        <v>7.7</v>
      </c>
      <c r="N756">
        <f t="shared" si="11"/>
        <v>79</v>
      </c>
    </row>
    <row r="757" spans="1:14">
      <c r="A757">
        <v>20199420</v>
      </c>
      <c r="B757" t="s">
        <v>14</v>
      </c>
      <c r="C757" t="str">
        <f>VLOOKUP(B757,专业代码!$B$2:$C$8,2,FALSE)</f>
        <v>会计学</v>
      </c>
      <c r="D757">
        <v>9</v>
      </c>
      <c r="E757">
        <v>8.8</v>
      </c>
      <c r="F757">
        <v>8.8</v>
      </c>
      <c r="G757">
        <v>7.1</v>
      </c>
      <c r="H757">
        <v>7.4</v>
      </c>
      <c r="I757">
        <v>5.8</v>
      </c>
      <c r="J757">
        <v>7.4</v>
      </c>
      <c r="K757">
        <v>7.8</v>
      </c>
      <c r="L757">
        <v>7.2</v>
      </c>
      <c r="M757">
        <v>6.4</v>
      </c>
      <c r="N757">
        <f t="shared" si="11"/>
        <v>75.7</v>
      </c>
    </row>
    <row r="758" spans="1:14">
      <c r="A758">
        <v>20191122</v>
      </c>
      <c r="B758" t="s">
        <v>14</v>
      </c>
      <c r="C758" t="str">
        <f>VLOOKUP(B758,专业代码!$B$2:$C$8,2,FALSE)</f>
        <v>会计学</v>
      </c>
      <c r="D758">
        <v>8.2</v>
      </c>
      <c r="E758">
        <v>8.9</v>
      </c>
      <c r="F758">
        <v>7.2</v>
      </c>
      <c r="G758">
        <v>8.2</v>
      </c>
      <c r="H758">
        <v>7.7</v>
      </c>
      <c r="I758">
        <v>5.5</v>
      </c>
      <c r="J758">
        <v>7.3</v>
      </c>
      <c r="K758">
        <v>6.7</v>
      </c>
      <c r="L758">
        <v>8.3</v>
      </c>
      <c r="M758">
        <v>7.3</v>
      </c>
      <c r="N758">
        <f t="shared" si="11"/>
        <v>75.3</v>
      </c>
    </row>
    <row r="759" spans="1:14">
      <c r="A759">
        <v>20191852</v>
      </c>
      <c r="B759" t="s">
        <v>14</v>
      </c>
      <c r="C759" t="str">
        <f>VLOOKUP(B759,专业代码!$B$2:$C$8,2,FALSE)</f>
        <v>会计学</v>
      </c>
      <c r="D759">
        <v>9.5</v>
      </c>
      <c r="E759">
        <v>8.6</v>
      </c>
      <c r="F759">
        <v>9.2</v>
      </c>
      <c r="G759">
        <v>8.2</v>
      </c>
      <c r="H759">
        <v>7.6</v>
      </c>
      <c r="I759">
        <v>7.4</v>
      </c>
      <c r="J759">
        <v>7.9</v>
      </c>
      <c r="K759">
        <v>7.4</v>
      </c>
      <c r="L759">
        <v>7.9</v>
      </c>
      <c r="M759">
        <v>7.2</v>
      </c>
      <c r="N759">
        <f t="shared" si="11"/>
        <v>80.9</v>
      </c>
    </row>
    <row r="760" spans="1:14">
      <c r="A760">
        <v>20192262</v>
      </c>
      <c r="B760" t="s">
        <v>14</v>
      </c>
      <c r="C760" t="str">
        <f>VLOOKUP(B760,专业代码!$B$2:$C$8,2,FALSE)</f>
        <v>会计学</v>
      </c>
      <c r="D760">
        <v>8.6</v>
      </c>
      <c r="E760">
        <v>8.4</v>
      </c>
      <c r="F760">
        <v>8.7</v>
      </c>
      <c r="G760">
        <v>7.1</v>
      </c>
      <c r="H760">
        <v>8.4</v>
      </c>
      <c r="I760">
        <v>7.4</v>
      </c>
      <c r="J760">
        <v>6.4</v>
      </c>
      <c r="K760">
        <v>7.3</v>
      </c>
      <c r="L760">
        <v>7.6</v>
      </c>
      <c r="M760">
        <v>4.6</v>
      </c>
      <c r="N760">
        <f t="shared" si="11"/>
        <v>74.5</v>
      </c>
    </row>
    <row r="761" spans="1:14">
      <c r="A761">
        <v>20192830</v>
      </c>
      <c r="B761" t="s">
        <v>14</v>
      </c>
      <c r="C761" t="str">
        <f>VLOOKUP(B761,专业代码!$B$2:$C$8,2,FALSE)</f>
        <v>会计学</v>
      </c>
      <c r="D761">
        <v>9.1</v>
      </c>
      <c r="E761">
        <v>9.8</v>
      </c>
      <c r="F761">
        <v>8.7</v>
      </c>
      <c r="G761">
        <v>7</v>
      </c>
      <c r="H761">
        <v>7.6</v>
      </c>
      <c r="I761">
        <v>7.7</v>
      </c>
      <c r="J761">
        <v>7.7</v>
      </c>
      <c r="K761">
        <v>9.5</v>
      </c>
      <c r="L761">
        <v>8.1</v>
      </c>
      <c r="M761">
        <v>7.6</v>
      </c>
      <c r="N761">
        <f t="shared" si="11"/>
        <v>82.8</v>
      </c>
    </row>
    <row r="762" spans="1:14">
      <c r="A762">
        <v>20193036</v>
      </c>
      <c r="B762" t="s">
        <v>14</v>
      </c>
      <c r="C762" t="str">
        <f>VLOOKUP(B762,专业代码!$B$2:$C$8,2,FALSE)</f>
        <v>会计学</v>
      </c>
      <c r="D762">
        <v>7.5</v>
      </c>
      <c r="E762">
        <v>9.4</v>
      </c>
      <c r="F762">
        <v>9</v>
      </c>
      <c r="G762">
        <v>8.6</v>
      </c>
      <c r="H762">
        <v>8.2</v>
      </c>
      <c r="I762">
        <v>7.7</v>
      </c>
      <c r="J762">
        <v>9.5</v>
      </c>
      <c r="K762">
        <v>7.9</v>
      </c>
      <c r="L762">
        <v>7.4</v>
      </c>
      <c r="M762">
        <v>6.8</v>
      </c>
      <c r="N762">
        <f t="shared" si="11"/>
        <v>82</v>
      </c>
    </row>
    <row r="763" spans="1:14">
      <c r="A763">
        <v>20193742</v>
      </c>
      <c r="B763" t="s">
        <v>14</v>
      </c>
      <c r="C763" t="str">
        <f>VLOOKUP(B763,专业代码!$B$2:$C$8,2,FALSE)</f>
        <v>会计学</v>
      </c>
      <c r="D763">
        <v>9.3</v>
      </c>
      <c r="E763">
        <v>8.6</v>
      </c>
      <c r="F763">
        <v>8.8</v>
      </c>
      <c r="G763">
        <v>7.9</v>
      </c>
      <c r="H763">
        <v>8.4</v>
      </c>
      <c r="I763">
        <v>7.2</v>
      </c>
      <c r="J763">
        <v>7.4</v>
      </c>
      <c r="K763">
        <v>6</v>
      </c>
      <c r="L763">
        <v>7.3</v>
      </c>
      <c r="M763">
        <v>6.9</v>
      </c>
      <c r="N763">
        <f t="shared" si="11"/>
        <v>77.8</v>
      </c>
    </row>
    <row r="764" spans="1:14">
      <c r="A764">
        <v>20193899</v>
      </c>
      <c r="B764" t="s">
        <v>14</v>
      </c>
      <c r="C764" t="str">
        <f>VLOOKUP(B764,专业代码!$B$2:$C$8,2,FALSE)</f>
        <v>会计学</v>
      </c>
      <c r="D764">
        <v>9</v>
      </c>
      <c r="E764">
        <v>9.1</v>
      </c>
      <c r="F764">
        <v>9.3</v>
      </c>
      <c r="G764">
        <v>9.1</v>
      </c>
      <c r="H764">
        <v>7.1</v>
      </c>
      <c r="I764">
        <v>7.5</v>
      </c>
      <c r="J764">
        <v>10</v>
      </c>
      <c r="K764">
        <v>6.7</v>
      </c>
      <c r="L764">
        <v>6.5</v>
      </c>
      <c r="M764">
        <v>7.7</v>
      </c>
      <c r="N764">
        <f t="shared" si="11"/>
        <v>82</v>
      </c>
    </row>
    <row r="765" spans="1:14">
      <c r="A765">
        <v>20194049</v>
      </c>
      <c r="B765" t="s">
        <v>14</v>
      </c>
      <c r="C765" t="str">
        <f>VLOOKUP(B765,专业代码!$B$2:$C$8,2,FALSE)</f>
        <v>会计学</v>
      </c>
      <c r="D765">
        <v>8.6</v>
      </c>
      <c r="E765">
        <v>9.3</v>
      </c>
      <c r="F765">
        <v>8.8</v>
      </c>
      <c r="G765">
        <v>9.2</v>
      </c>
      <c r="H765">
        <v>6.1</v>
      </c>
      <c r="I765">
        <v>7.2</v>
      </c>
      <c r="J765">
        <v>8.4</v>
      </c>
      <c r="K765">
        <v>7.2</v>
      </c>
      <c r="L765">
        <v>9</v>
      </c>
      <c r="M765">
        <v>8.4</v>
      </c>
      <c r="N765">
        <f t="shared" si="11"/>
        <v>82.2</v>
      </c>
    </row>
    <row r="766" spans="1:14">
      <c r="A766">
        <v>20194202</v>
      </c>
      <c r="B766" t="s">
        <v>14</v>
      </c>
      <c r="C766" t="str">
        <f>VLOOKUP(B766,专业代码!$B$2:$C$8,2,FALSE)</f>
        <v>会计学</v>
      </c>
      <c r="D766">
        <v>8.2</v>
      </c>
      <c r="E766">
        <v>7.7</v>
      </c>
      <c r="F766">
        <v>9</v>
      </c>
      <c r="G766">
        <v>8.3</v>
      </c>
      <c r="H766">
        <v>6.9</v>
      </c>
      <c r="I766">
        <v>6.5</v>
      </c>
      <c r="J766">
        <v>7.7</v>
      </c>
      <c r="K766">
        <v>6.7</v>
      </c>
      <c r="L766">
        <v>8.7</v>
      </c>
      <c r="M766">
        <v>4.4</v>
      </c>
      <c r="N766">
        <f t="shared" si="11"/>
        <v>74.1</v>
      </c>
    </row>
    <row r="767" spans="1:14">
      <c r="A767">
        <v>20195248</v>
      </c>
      <c r="B767" t="s">
        <v>14</v>
      </c>
      <c r="C767" t="str">
        <f>VLOOKUP(B767,专业代码!$B$2:$C$8,2,FALSE)</f>
        <v>会计学</v>
      </c>
      <c r="D767">
        <v>8.6</v>
      </c>
      <c r="E767">
        <v>8.7</v>
      </c>
      <c r="F767">
        <v>8.3</v>
      </c>
      <c r="G767">
        <v>8.2</v>
      </c>
      <c r="H767">
        <v>7.8</v>
      </c>
      <c r="I767">
        <v>8.7</v>
      </c>
      <c r="J767">
        <v>7.1</v>
      </c>
      <c r="K767">
        <v>6.6</v>
      </c>
      <c r="L767">
        <v>8.9</v>
      </c>
      <c r="M767">
        <v>4.2</v>
      </c>
      <c r="N767">
        <f t="shared" si="11"/>
        <v>77.1</v>
      </c>
    </row>
    <row r="768" spans="1:14">
      <c r="A768">
        <v>20195628</v>
      </c>
      <c r="B768" t="s">
        <v>14</v>
      </c>
      <c r="C768" t="str">
        <f>VLOOKUP(B768,专业代码!$B$2:$C$8,2,FALSE)</f>
        <v>会计学</v>
      </c>
      <c r="D768">
        <v>8.9</v>
      </c>
      <c r="E768">
        <v>8.5</v>
      </c>
      <c r="F768">
        <v>9.1</v>
      </c>
      <c r="G768">
        <v>8.1</v>
      </c>
      <c r="H768">
        <v>7.7</v>
      </c>
      <c r="I768">
        <v>7.1</v>
      </c>
      <c r="J768">
        <v>7.8</v>
      </c>
      <c r="K768">
        <v>7.4</v>
      </c>
      <c r="L768">
        <v>8.7</v>
      </c>
      <c r="M768">
        <v>5.5</v>
      </c>
      <c r="N768">
        <f t="shared" si="11"/>
        <v>78.8</v>
      </c>
    </row>
    <row r="769" spans="1:14">
      <c r="A769">
        <v>20195664</v>
      </c>
      <c r="B769" t="s">
        <v>14</v>
      </c>
      <c r="C769" t="str">
        <f>VLOOKUP(B769,专业代码!$B$2:$C$8,2,FALSE)</f>
        <v>会计学</v>
      </c>
      <c r="D769">
        <v>8.6</v>
      </c>
      <c r="E769">
        <v>7.9</v>
      </c>
      <c r="F769">
        <v>9.4</v>
      </c>
      <c r="G769">
        <v>8.7</v>
      </c>
      <c r="H769">
        <v>8.1</v>
      </c>
      <c r="I769">
        <v>8.1</v>
      </c>
      <c r="J769">
        <v>8.4</v>
      </c>
      <c r="K769">
        <v>7.2</v>
      </c>
      <c r="L769">
        <v>8</v>
      </c>
      <c r="M769">
        <v>7.7</v>
      </c>
      <c r="N769">
        <f t="shared" si="11"/>
        <v>82.1</v>
      </c>
    </row>
    <row r="770" spans="1:14">
      <c r="A770">
        <v>20196696</v>
      </c>
      <c r="B770" t="s">
        <v>14</v>
      </c>
      <c r="C770" t="str">
        <f>VLOOKUP(B770,专业代码!$B$2:$C$8,2,FALSE)</f>
        <v>会计学</v>
      </c>
      <c r="D770">
        <v>9.2</v>
      </c>
      <c r="E770">
        <v>8.3</v>
      </c>
      <c r="F770">
        <v>8.6</v>
      </c>
      <c r="G770">
        <v>8.1</v>
      </c>
      <c r="H770">
        <v>7.9</v>
      </c>
      <c r="I770">
        <v>6.8</v>
      </c>
      <c r="J770">
        <v>9</v>
      </c>
      <c r="K770">
        <v>6.7</v>
      </c>
      <c r="L770">
        <v>8.7</v>
      </c>
      <c r="M770">
        <v>5.8</v>
      </c>
      <c r="N770">
        <f t="shared" si="11"/>
        <v>79.1</v>
      </c>
    </row>
    <row r="771" spans="1:14">
      <c r="A771">
        <v>20197091</v>
      </c>
      <c r="B771" t="s">
        <v>14</v>
      </c>
      <c r="C771" t="str">
        <f>VLOOKUP(B771,专业代码!$B$2:$C$8,2,FALSE)</f>
        <v>会计学</v>
      </c>
      <c r="D771">
        <v>8.6</v>
      </c>
      <c r="E771">
        <v>7.9</v>
      </c>
      <c r="F771">
        <v>9</v>
      </c>
      <c r="G771">
        <v>7.6</v>
      </c>
      <c r="H771">
        <v>9.1</v>
      </c>
      <c r="I771">
        <v>6.6</v>
      </c>
      <c r="J771">
        <v>5.5</v>
      </c>
      <c r="K771">
        <v>7.8</v>
      </c>
      <c r="L771">
        <v>8.5</v>
      </c>
      <c r="M771">
        <v>6.6</v>
      </c>
      <c r="N771">
        <f t="shared" ref="N771:N834" si="12">SUM(D771:M771)</f>
        <v>77.2</v>
      </c>
    </row>
    <row r="772" spans="1:14">
      <c r="A772">
        <v>20198069</v>
      </c>
      <c r="B772" t="s">
        <v>14</v>
      </c>
      <c r="C772" t="str">
        <f>VLOOKUP(B772,专业代码!$B$2:$C$8,2,FALSE)</f>
        <v>会计学</v>
      </c>
      <c r="D772">
        <v>8.6</v>
      </c>
      <c r="E772">
        <v>8.8</v>
      </c>
      <c r="F772">
        <v>9.2</v>
      </c>
      <c r="G772">
        <v>9.3</v>
      </c>
      <c r="H772">
        <v>7.6</v>
      </c>
      <c r="I772">
        <v>8.4</v>
      </c>
      <c r="J772">
        <v>7.7</v>
      </c>
      <c r="K772">
        <v>7.1</v>
      </c>
      <c r="L772">
        <v>8.5</v>
      </c>
      <c r="M772">
        <v>1.9</v>
      </c>
      <c r="N772">
        <f t="shared" si="12"/>
        <v>77.1</v>
      </c>
    </row>
    <row r="773" spans="1:14">
      <c r="A773">
        <v>20198262</v>
      </c>
      <c r="B773" t="s">
        <v>14</v>
      </c>
      <c r="C773" t="str">
        <f>VLOOKUP(B773,专业代码!$B$2:$C$8,2,FALSE)</f>
        <v>会计学</v>
      </c>
      <c r="D773">
        <v>8.9</v>
      </c>
      <c r="E773">
        <v>9.3</v>
      </c>
      <c r="F773">
        <v>8.3</v>
      </c>
      <c r="G773">
        <v>7.4</v>
      </c>
      <c r="H773">
        <v>8.4</v>
      </c>
      <c r="I773">
        <v>8.3</v>
      </c>
      <c r="J773">
        <v>9.7</v>
      </c>
      <c r="K773">
        <v>7.9</v>
      </c>
      <c r="L773">
        <v>7</v>
      </c>
      <c r="M773">
        <v>6.1</v>
      </c>
      <c r="N773">
        <f t="shared" si="12"/>
        <v>81.3</v>
      </c>
    </row>
    <row r="774" spans="1:14">
      <c r="A774">
        <v>20198321</v>
      </c>
      <c r="B774" t="s">
        <v>14</v>
      </c>
      <c r="C774" t="str">
        <f>VLOOKUP(B774,专业代码!$B$2:$C$8,2,FALSE)</f>
        <v>会计学</v>
      </c>
      <c r="D774">
        <v>8.4</v>
      </c>
      <c r="E774">
        <v>8.2</v>
      </c>
      <c r="F774">
        <v>8.5</v>
      </c>
      <c r="G774">
        <v>9</v>
      </c>
      <c r="H774">
        <v>8.6</v>
      </c>
      <c r="I774">
        <v>7.3</v>
      </c>
      <c r="J774">
        <v>8.3</v>
      </c>
      <c r="K774">
        <v>8.5</v>
      </c>
      <c r="L774">
        <v>7.7</v>
      </c>
      <c r="M774">
        <v>4.6</v>
      </c>
      <c r="N774">
        <f t="shared" si="12"/>
        <v>79.1</v>
      </c>
    </row>
    <row r="775" spans="1:14">
      <c r="A775">
        <v>20198768</v>
      </c>
      <c r="B775" t="s">
        <v>14</v>
      </c>
      <c r="C775" t="str">
        <f>VLOOKUP(B775,专业代码!$B$2:$C$8,2,FALSE)</f>
        <v>会计学</v>
      </c>
      <c r="D775">
        <v>9.1</v>
      </c>
      <c r="E775">
        <v>8.9</v>
      </c>
      <c r="F775">
        <v>8</v>
      </c>
      <c r="G775">
        <v>8.8</v>
      </c>
      <c r="H775">
        <v>8.3</v>
      </c>
      <c r="I775">
        <v>9.3</v>
      </c>
      <c r="J775">
        <v>7.8</v>
      </c>
      <c r="K775">
        <v>6.3</v>
      </c>
      <c r="L775">
        <v>7.8</v>
      </c>
      <c r="M775">
        <v>7.1</v>
      </c>
      <c r="N775">
        <f t="shared" si="12"/>
        <v>81.4</v>
      </c>
    </row>
    <row r="776" spans="1:14">
      <c r="A776">
        <v>20198998</v>
      </c>
      <c r="B776" t="s">
        <v>14</v>
      </c>
      <c r="C776" t="str">
        <f>VLOOKUP(B776,专业代码!$B$2:$C$8,2,FALSE)</f>
        <v>会计学</v>
      </c>
      <c r="D776">
        <v>8.2</v>
      </c>
      <c r="E776">
        <v>9.4</v>
      </c>
      <c r="F776">
        <v>8.8</v>
      </c>
      <c r="G776">
        <v>8</v>
      </c>
      <c r="H776">
        <v>8.4</v>
      </c>
      <c r="I776">
        <v>6.1</v>
      </c>
      <c r="J776">
        <v>7.7</v>
      </c>
      <c r="K776">
        <v>6.9</v>
      </c>
      <c r="L776">
        <v>7.9</v>
      </c>
      <c r="M776">
        <v>7.3</v>
      </c>
      <c r="N776">
        <f t="shared" si="12"/>
        <v>78.7</v>
      </c>
    </row>
    <row r="777" spans="1:14">
      <c r="A777">
        <v>20199641</v>
      </c>
      <c r="B777" t="s">
        <v>14</v>
      </c>
      <c r="C777" t="str">
        <f>VLOOKUP(B777,专业代码!$B$2:$C$8,2,FALSE)</f>
        <v>会计学</v>
      </c>
      <c r="D777">
        <v>7.6</v>
      </c>
      <c r="E777">
        <v>8.1</v>
      </c>
      <c r="F777">
        <v>8.6</v>
      </c>
      <c r="G777">
        <v>8.6</v>
      </c>
      <c r="H777">
        <v>9.1</v>
      </c>
      <c r="I777">
        <v>8.7</v>
      </c>
      <c r="J777">
        <v>8.2</v>
      </c>
      <c r="K777">
        <v>6.1</v>
      </c>
      <c r="L777">
        <v>7.6</v>
      </c>
      <c r="M777">
        <v>6.9</v>
      </c>
      <c r="N777">
        <f t="shared" si="12"/>
        <v>79.5</v>
      </c>
    </row>
    <row r="778" spans="1:14">
      <c r="A778">
        <v>20193215</v>
      </c>
      <c r="B778" t="s">
        <v>14</v>
      </c>
      <c r="C778" t="str">
        <f>VLOOKUP(B778,专业代码!$B$2:$C$8,2,FALSE)</f>
        <v>会计学</v>
      </c>
      <c r="D778">
        <v>9</v>
      </c>
      <c r="E778">
        <v>7.8</v>
      </c>
      <c r="F778">
        <v>8.4</v>
      </c>
      <c r="G778">
        <v>8.6</v>
      </c>
      <c r="H778">
        <v>7.4</v>
      </c>
      <c r="I778">
        <v>7.5</v>
      </c>
      <c r="J778">
        <v>8.1</v>
      </c>
      <c r="K778">
        <v>7.6</v>
      </c>
      <c r="L778">
        <v>7.2</v>
      </c>
      <c r="M778">
        <v>5.5</v>
      </c>
      <c r="N778">
        <f t="shared" si="12"/>
        <v>77.1</v>
      </c>
    </row>
    <row r="779" spans="1:14">
      <c r="A779">
        <v>20193258</v>
      </c>
      <c r="B779" t="s">
        <v>14</v>
      </c>
      <c r="C779" t="str">
        <f>VLOOKUP(B779,专业代码!$B$2:$C$8,2,FALSE)</f>
        <v>会计学</v>
      </c>
      <c r="D779">
        <v>9.5</v>
      </c>
      <c r="E779">
        <v>8.3</v>
      </c>
      <c r="F779">
        <v>7.9</v>
      </c>
      <c r="G779">
        <v>9.5</v>
      </c>
      <c r="H779">
        <v>8.7</v>
      </c>
      <c r="I779">
        <v>7</v>
      </c>
      <c r="J779">
        <v>7.3</v>
      </c>
      <c r="K779">
        <v>6.6</v>
      </c>
      <c r="L779">
        <v>9.3</v>
      </c>
      <c r="M779">
        <v>4.9</v>
      </c>
      <c r="N779">
        <f t="shared" si="12"/>
        <v>79</v>
      </c>
    </row>
    <row r="780" spans="1:14">
      <c r="A780">
        <v>20193870</v>
      </c>
      <c r="B780" t="s">
        <v>14</v>
      </c>
      <c r="C780" t="str">
        <f>VLOOKUP(B780,专业代码!$B$2:$C$8,2,FALSE)</f>
        <v>会计学</v>
      </c>
      <c r="D780">
        <v>8.2</v>
      </c>
      <c r="E780">
        <v>9.3</v>
      </c>
      <c r="F780">
        <v>7.5</v>
      </c>
      <c r="G780">
        <v>9.2</v>
      </c>
      <c r="H780">
        <v>8.1</v>
      </c>
      <c r="I780">
        <v>7</v>
      </c>
      <c r="J780">
        <v>6.5</v>
      </c>
      <c r="K780">
        <v>8.4</v>
      </c>
      <c r="L780">
        <v>6.6</v>
      </c>
      <c r="M780">
        <v>6.1</v>
      </c>
      <c r="N780">
        <f t="shared" si="12"/>
        <v>76.9</v>
      </c>
    </row>
    <row r="781" spans="1:14">
      <c r="A781">
        <v>20195197</v>
      </c>
      <c r="B781" t="s">
        <v>14</v>
      </c>
      <c r="C781" t="str">
        <f>VLOOKUP(B781,专业代码!$B$2:$C$8,2,FALSE)</f>
        <v>会计学</v>
      </c>
      <c r="D781">
        <v>9.6</v>
      </c>
      <c r="E781">
        <v>8.5</v>
      </c>
      <c r="F781">
        <v>8.6</v>
      </c>
      <c r="G781">
        <v>9.2</v>
      </c>
      <c r="H781">
        <v>8.4</v>
      </c>
      <c r="I781">
        <v>7.6</v>
      </c>
      <c r="J781">
        <v>7.4</v>
      </c>
      <c r="K781">
        <v>6.9</v>
      </c>
      <c r="L781">
        <v>7.6</v>
      </c>
      <c r="M781">
        <v>8.8</v>
      </c>
      <c r="N781">
        <f t="shared" si="12"/>
        <v>82.6</v>
      </c>
    </row>
    <row r="782" spans="1:14">
      <c r="A782">
        <v>20198392</v>
      </c>
      <c r="B782" t="s">
        <v>14</v>
      </c>
      <c r="C782" t="str">
        <f>VLOOKUP(B782,专业代码!$B$2:$C$8,2,FALSE)</f>
        <v>会计学</v>
      </c>
      <c r="D782">
        <v>8.4</v>
      </c>
      <c r="E782">
        <v>8.7</v>
      </c>
      <c r="F782">
        <v>7.7</v>
      </c>
      <c r="G782">
        <v>8.6</v>
      </c>
      <c r="H782">
        <v>8.4</v>
      </c>
      <c r="I782">
        <v>7.2</v>
      </c>
      <c r="J782">
        <v>7.5</v>
      </c>
      <c r="K782">
        <v>8</v>
      </c>
      <c r="L782">
        <v>5.9</v>
      </c>
      <c r="M782">
        <v>6</v>
      </c>
      <c r="N782">
        <f t="shared" si="12"/>
        <v>76.4</v>
      </c>
    </row>
    <row r="783" spans="1:14">
      <c r="A783">
        <v>20198561</v>
      </c>
      <c r="B783" t="s">
        <v>14</v>
      </c>
      <c r="C783" t="str">
        <f>VLOOKUP(B783,专业代码!$B$2:$C$8,2,FALSE)</f>
        <v>会计学</v>
      </c>
      <c r="D783">
        <v>8.4</v>
      </c>
      <c r="E783">
        <v>8.4</v>
      </c>
      <c r="F783">
        <v>8.8</v>
      </c>
      <c r="G783">
        <v>8.2</v>
      </c>
      <c r="H783">
        <v>7.5</v>
      </c>
      <c r="I783">
        <v>7.5</v>
      </c>
      <c r="J783">
        <v>9.4</v>
      </c>
      <c r="K783">
        <v>8.1</v>
      </c>
      <c r="L783">
        <v>5.8</v>
      </c>
      <c r="M783">
        <v>6.9</v>
      </c>
      <c r="N783">
        <f t="shared" si="12"/>
        <v>79</v>
      </c>
    </row>
    <row r="784" spans="1:14">
      <c r="A784">
        <v>20199108</v>
      </c>
      <c r="B784" t="s">
        <v>14</v>
      </c>
      <c r="C784" t="str">
        <f>VLOOKUP(B784,专业代码!$B$2:$C$8,2,FALSE)</f>
        <v>会计学</v>
      </c>
      <c r="D784">
        <v>8.3</v>
      </c>
      <c r="E784">
        <v>8.4</v>
      </c>
      <c r="F784">
        <v>7.8</v>
      </c>
      <c r="G784">
        <v>8.5</v>
      </c>
      <c r="H784">
        <v>7.8</v>
      </c>
      <c r="I784">
        <v>7.1</v>
      </c>
      <c r="J784">
        <v>7</v>
      </c>
      <c r="K784">
        <v>7</v>
      </c>
      <c r="L784">
        <v>5.4</v>
      </c>
      <c r="M784">
        <v>4.7</v>
      </c>
      <c r="N784">
        <f t="shared" si="12"/>
        <v>72</v>
      </c>
    </row>
    <row r="785" spans="1:14">
      <c r="A785">
        <v>20199152</v>
      </c>
      <c r="B785" t="s">
        <v>14</v>
      </c>
      <c r="C785" t="str">
        <f>VLOOKUP(B785,专业代码!$B$2:$C$8,2,FALSE)</f>
        <v>会计学</v>
      </c>
      <c r="D785">
        <v>9.2</v>
      </c>
      <c r="E785">
        <v>9</v>
      </c>
      <c r="F785">
        <v>8.3</v>
      </c>
      <c r="G785">
        <v>7.8</v>
      </c>
      <c r="H785">
        <v>8</v>
      </c>
      <c r="I785">
        <v>7.4</v>
      </c>
      <c r="J785">
        <v>8.8</v>
      </c>
      <c r="K785">
        <v>7.4</v>
      </c>
      <c r="L785">
        <v>5.1</v>
      </c>
      <c r="M785">
        <v>7.2</v>
      </c>
      <c r="N785">
        <f t="shared" si="12"/>
        <v>78.2</v>
      </c>
    </row>
    <row r="786" spans="1:14">
      <c r="A786">
        <v>20199249</v>
      </c>
      <c r="B786" t="s">
        <v>14</v>
      </c>
      <c r="C786" t="str">
        <f>VLOOKUP(B786,专业代码!$B$2:$C$8,2,FALSE)</f>
        <v>会计学</v>
      </c>
      <c r="D786">
        <v>9.3</v>
      </c>
      <c r="E786">
        <v>9.3</v>
      </c>
      <c r="F786">
        <v>9</v>
      </c>
      <c r="G786">
        <v>8</v>
      </c>
      <c r="H786">
        <v>7.6</v>
      </c>
      <c r="I786">
        <v>7.2</v>
      </c>
      <c r="J786">
        <v>7.9</v>
      </c>
      <c r="K786">
        <v>7.8</v>
      </c>
      <c r="L786">
        <v>7.3</v>
      </c>
      <c r="M786">
        <v>7.6</v>
      </c>
      <c r="N786">
        <f t="shared" si="12"/>
        <v>81</v>
      </c>
    </row>
    <row r="787" spans="1:14">
      <c r="A787">
        <v>20199360</v>
      </c>
      <c r="B787" t="s">
        <v>14</v>
      </c>
      <c r="C787" t="str">
        <f>VLOOKUP(B787,专业代码!$B$2:$C$8,2,FALSE)</f>
        <v>会计学</v>
      </c>
      <c r="D787">
        <v>9.6</v>
      </c>
      <c r="E787">
        <v>7.8</v>
      </c>
      <c r="F787">
        <v>9.3</v>
      </c>
      <c r="G787">
        <v>8.4</v>
      </c>
      <c r="H787">
        <v>7.8</v>
      </c>
      <c r="I787">
        <v>8.8</v>
      </c>
      <c r="J787">
        <v>7.7</v>
      </c>
      <c r="K787">
        <v>7</v>
      </c>
      <c r="L787">
        <v>6.4</v>
      </c>
      <c r="M787">
        <v>5.5</v>
      </c>
      <c r="N787">
        <f t="shared" si="12"/>
        <v>78.3</v>
      </c>
    </row>
    <row r="788" spans="1:14">
      <c r="A788">
        <v>20193898</v>
      </c>
      <c r="B788" t="s">
        <v>14</v>
      </c>
      <c r="C788" t="str">
        <f>VLOOKUP(B788,专业代码!$B$2:$C$8,2,FALSE)</f>
        <v>会计学</v>
      </c>
      <c r="D788">
        <v>8.9</v>
      </c>
      <c r="E788">
        <v>8.7</v>
      </c>
      <c r="F788">
        <v>8.5</v>
      </c>
      <c r="G788">
        <v>8.3</v>
      </c>
      <c r="H788">
        <v>9.5</v>
      </c>
      <c r="I788">
        <v>8.6</v>
      </c>
      <c r="J788">
        <v>5.5</v>
      </c>
      <c r="K788">
        <v>8.2</v>
      </c>
      <c r="L788">
        <v>6.4</v>
      </c>
      <c r="M788">
        <v>8.5</v>
      </c>
      <c r="N788">
        <f t="shared" si="12"/>
        <v>81.1</v>
      </c>
    </row>
    <row r="789" spans="1:14">
      <c r="A789">
        <v>20194620</v>
      </c>
      <c r="B789" t="s">
        <v>14</v>
      </c>
      <c r="C789" t="str">
        <f>VLOOKUP(B789,专业代码!$B$2:$C$8,2,FALSE)</f>
        <v>会计学</v>
      </c>
      <c r="D789">
        <v>8.3</v>
      </c>
      <c r="E789">
        <v>8.2</v>
      </c>
      <c r="F789">
        <v>8.1</v>
      </c>
      <c r="G789">
        <v>7.7</v>
      </c>
      <c r="H789">
        <v>7.7</v>
      </c>
      <c r="I789">
        <v>8.6</v>
      </c>
      <c r="J789">
        <v>8.4</v>
      </c>
      <c r="K789">
        <v>4.9</v>
      </c>
      <c r="L789">
        <v>7.1</v>
      </c>
      <c r="M789">
        <v>5.5</v>
      </c>
      <c r="N789">
        <f t="shared" si="12"/>
        <v>74.5</v>
      </c>
    </row>
    <row r="790" spans="1:14">
      <c r="A790">
        <v>20194976</v>
      </c>
      <c r="B790" t="s">
        <v>14</v>
      </c>
      <c r="C790" t="str">
        <f>VLOOKUP(B790,专业代码!$B$2:$C$8,2,FALSE)</f>
        <v>会计学</v>
      </c>
      <c r="D790">
        <v>7.7</v>
      </c>
      <c r="E790">
        <v>9.4</v>
      </c>
      <c r="F790">
        <v>9.2</v>
      </c>
      <c r="G790">
        <v>7.5</v>
      </c>
      <c r="H790">
        <v>8.8</v>
      </c>
      <c r="I790">
        <v>8.3</v>
      </c>
      <c r="J790">
        <v>8.1</v>
      </c>
      <c r="K790">
        <v>5.7</v>
      </c>
      <c r="L790">
        <v>7.2</v>
      </c>
      <c r="M790">
        <v>5.4</v>
      </c>
      <c r="N790">
        <f t="shared" si="12"/>
        <v>77.3</v>
      </c>
    </row>
    <row r="791" spans="1:14">
      <c r="A791">
        <v>20195524</v>
      </c>
      <c r="B791" t="s">
        <v>14</v>
      </c>
      <c r="C791" t="str">
        <f>VLOOKUP(B791,专业代码!$B$2:$C$8,2,FALSE)</f>
        <v>会计学</v>
      </c>
      <c r="D791">
        <v>8.5</v>
      </c>
      <c r="E791">
        <v>9.4</v>
      </c>
      <c r="F791">
        <v>6.9</v>
      </c>
      <c r="G791">
        <v>7.9</v>
      </c>
      <c r="H791">
        <v>7.6</v>
      </c>
      <c r="I791">
        <v>8.1</v>
      </c>
      <c r="J791">
        <v>7.9</v>
      </c>
      <c r="K791">
        <v>6.3</v>
      </c>
      <c r="L791">
        <v>6.2</v>
      </c>
      <c r="M791">
        <v>6.7</v>
      </c>
      <c r="N791">
        <f t="shared" si="12"/>
        <v>75.5</v>
      </c>
    </row>
    <row r="792" spans="1:14">
      <c r="A792">
        <v>20196898</v>
      </c>
      <c r="B792" t="s">
        <v>14</v>
      </c>
      <c r="C792" t="str">
        <f>VLOOKUP(B792,专业代码!$B$2:$C$8,2,FALSE)</f>
        <v>会计学</v>
      </c>
      <c r="D792">
        <v>8.9</v>
      </c>
      <c r="E792">
        <v>8.9</v>
      </c>
      <c r="F792">
        <v>8.5</v>
      </c>
      <c r="G792">
        <v>8.5</v>
      </c>
      <c r="H792">
        <v>9.5</v>
      </c>
      <c r="I792">
        <v>8.2</v>
      </c>
      <c r="J792">
        <v>6.8</v>
      </c>
      <c r="K792">
        <v>8.6</v>
      </c>
      <c r="L792">
        <v>6.2</v>
      </c>
      <c r="M792">
        <v>5.1</v>
      </c>
      <c r="N792">
        <f t="shared" si="12"/>
        <v>79.2</v>
      </c>
    </row>
    <row r="793" spans="1:14">
      <c r="A793">
        <v>20197521</v>
      </c>
      <c r="B793" t="s">
        <v>14</v>
      </c>
      <c r="C793" t="str">
        <f>VLOOKUP(B793,专业代码!$B$2:$C$8,2,FALSE)</f>
        <v>会计学</v>
      </c>
      <c r="D793">
        <v>9.2</v>
      </c>
      <c r="E793">
        <v>9.6</v>
      </c>
      <c r="F793">
        <v>7.9</v>
      </c>
      <c r="G793">
        <v>7.6</v>
      </c>
      <c r="H793">
        <v>7.2</v>
      </c>
      <c r="I793">
        <v>8</v>
      </c>
      <c r="J793">
        <v>7</v>
      </c>
      <c r="K793">
        <v>6.5</v>
      </c>
      <c r="L793">
        <v>7.5</v>
      </c>
      <c r="M793">
        <v>5.8</v>
      </c>
      <c r="N793">
        <f t="shared" si="12"/>
        <v>76.3</v>
      </c>
    </row>
    <row r="794" spans="1:14">
      <c r="A794">
        <v>20198518</v>
      </c>
      <c r="B794" t="s">
        <v>14</v>
      </c>
      <c r="C794" t="str">
        <f>VLOOKUP(B794,专业代码!$B$2:$C$8,2,FALSE)</f>
        <v>会计学</v>
      </c>
      <c r="D794">
        <v>9.8</v>
      </c>
      <c r="E794">
        <v>7.6</v>
      </c>
      <c r="F794">
        <v>9.7</v>
      </c>
      <c r="G794">
        <v>8</v>
      </c>
      <c r="H794">
        <v>6.5</v>
      </c>
      <c r="I794">
        <v>7</v>
      </c>
      <c r="J794">
        <v>6.9</v>
      </c>
      <c r="K794">
        <v>7.9</v>
      </c>
      <c r="L794">
        <v>7.3</v>
      </c>
      <c r="M794">
        <v>7.3</v>
      </c>
      <c r="N794">
        <f t="shared" si="12"/>
        <v>78</v>
      </c>
    </row>
    <row r="795" spans="1:14">
      <c r="A795">
        <v>20191137</v>
      </c>
      <c r="B795" t="s">
        <v>14</v>
      </c>
      <c r="C795" t="str">
        <f>VLOOKUP(B795,专业代码!$B$2:$C$8,2,FALSE)</f>
        <v>会计学</v>
      </c>
      <c r="D795">
        <v>8.9</v>
      </c>
      <c r="E795">
        <v>8.2</v>
      </c>
      <c r="F795">
        <v>6.8</v>
      </c>
      <c r="G795">
        <v>8.2</v>
      </c>
      <c r="H795">
        <v>9.2</v>
      </c>
      <c r="I795">
        <v>7.3</v>
      </c>
      <c r="J795">
        <v>8.4</v>
      </c>
      <c r="K795">
        <v>9</v>
      </c>
      <c r="L795">
        <v>7.2</v>
      </c>
      <c r="M795">
        <v>7.9</v>
      </c>
      <c r="N795">
        <f t="shared" si="12"/>
        <v>81.1</v>
      </c>
    </row>
    <row r="796" spans="1:14">
      <c r="A796">
        <v>20191705</v>
      </c>
      <c r="B796" t="s">
        <v>14</v>
      </c>
      <c r="C796" t="str">
        <f>VLOOKUP(B796,专业代码!$B$2:$C$8,2,FALSE)</f>
        <v>会计学</v>
      </c>
      <c r="D796">
        <v>9.2</v>
      </c>
      <c r="E796">
        <v>8.9</v>
      </c>
      <c r="F796">
        <v>8.5</v>
      </c>
      <c r="G796">
        <v>8.4</v>
      </c>
      <c r="H796">
        <v>8.9</v>
      </c>
      <c r="I796">
        <v>6.5</v>
      </c>
      <c r="J796">
        <v>7.2</v>
      </c>
      <c r="K796">
        <v>7.1</v>
      </c>
      <c r="L796">
        <v>7.6</v>
      </c>
      <c r="M796">
        <v>4.9</v>
      </c>
      <c r="N796">
        <f t="shared" si="12"/>
        <v>77.2</v>
      </c>
    </row>
    <row r="797" spans="1:14">
      <c r="A797">
        <v>20192187</v>
      </c>
      <c r="B797" t="s">
        <v>14</v>
      </c>
      <c r="C797" t="str">
        <f>VLOOKUP(B797,专业代码!$B$2:$C$8,2,FALSE)</f>
        <v>会计学</v>
      </c>
      <c r="D797">
        <v>9.2</v>
      </c>
      <c r="E797">
        <v>8.9</v>
      </c>
      <c r="F797">
        <v>8.9</v>
      </c>
      <c r="G797">
        <v>9.1</v>
      </c>
      <c r="H797">
        <v>8.1</v>
      </c>
      <c r="I797">
        <v>6.5</v>
      </c>
      <c r="J797">
        <v>7.4</v>
      </c>
      <c r="K797">
        <v>7.7</v>
      </c>
      <c r="L797">
        <v>7</v>
      </c>
      <c r="M797">
        <v>6.1</v>
      </c>
      <c r="N797">
        <f t="shared" si="12"/>
        <v>78.9</v>
      </c>
    </row>
    <row r="798" spans="1:14">
      <c r="A798">
        <v>20192507</v>
      </c>
      <c r="B798" t="s">
        <v>14</v>
      </c>
      <c r="C798" t="str">
        <f>VLOOKUP(B798,专业代码!$B$2:$C$8,2,FALSE)</f>
        <v>会计学</v>
      </c>
      <c r="D798">
        <v>8.1</v>
      </c>
      <c r="E798">
        <v>7.4</v>
      </c>
      <c r="F798">
        <v>8.5</v>
      </c>
      <c r="G798">
        <v>8.2</v>
      </c>
      <c r="H798">
        <v>8.4</v>
      </c>
      <c r="I798">
        <v>7.8</v>
      </c>
      <c r="J798">
        <v>7</v>
      </c>
      <c r="K798">
        <v>5.9</v>
      </c>
      <c r="L798">
        <v>6.6</v>
      </c>
      <c r="M798">
        <v>4.7</v>
      </c>
      <c r="N798">
        <f t="shared" si="12"/>
        <v>72.6</v>
      </c>
    </row>
    <row r="799" spans="1:14">
      <c r="A799">
        <v>20195864</v>
      </c>
      <c r="B799" t="s">
        <v>14</v>
      </c>
      <c r="C799" t="str">
        <f>VLOOKUP(B799,专业代码!$B$2:$C$8,2,FALSE)</f>
        <v>会计学</v>
      </c>
      <c r="D799">
        <v>8.8</v>
      </c>
      <c r="E799">
        <v>8.6</v>
      </c>
      <c r="F799">
        <v>7.5</v>
      </c>
      <c r="G799">
        <v>8.2</v>
      </c>
      <c r="H799">
        <v>8.5</v>
      </c>
      <c r="I799">
        <v>6.7</v>
      </c>
      <c r="J799">
        <v>6.9</v>
      </c>
      <c r="K799">
        <v>8.5</v>
      </c>
      <c r="L799">
        <v>8.3</v>
      </c>
      <c r="M799">
        <v>7.4</v>
      </c>
      <c r="N799">
        <f t="shared" si="12"/>
        <v>79.4</v>
      </c>
    </row>
    <row r="800" spans="1:14">
      <c r="A800">
        <v>20195873</v>
      </c>
      <c r="B800" t="s">
        <v>14</v>
      </c>
      <c r="C800" t="str">
        <f>VLOOKUP(B800,专业代码!$B$2:$C$8,2,FALSE)</f>
        <v>会计学</v>
      </c>
      <c r="D800">
        <v>9.2</v>
      </c>
      <c r="E800">
        <v>8.9</v>
      </c>
      <c r="F800">
        <v>9.2</v>
      </c>
      <c r="G800">
        <v>8</v>
      </c>
      <c r="H800">
        <v>7.6</v>
      </c>
      <c r="I800">
        <v>7.3</v>
      </c>
      <c r="J800">
        <v>9.4</v>
      </c>
      <c r="K800">
        <v>7.6</v>
      </c>
      <c r="L800">
        <v>5.5</v>
      </c>
      <c r="M800">
        <v>5.9</v>
      </c>
      <c r="N800">
        <f t="shared" si="12"/>
        <v>78.6</v>
      </c>
    </row>
    <row r="801" spans="1:14">
      <c r="A801">
        <v>20196399</v>
      </c>
      <c r="B801" t="s">
        <v>14</v>
      </c>
      <c r="C801" t="str">
        <f>VLOOKUP(B801,专业代码!$B$2:$C$8,2,FALSE)</f>
        <v>会计学</v>
      </c>
      <c r="D801">
        <v>9.3</v>
      </c>
      <c r="E801">
        <v>8.9</v>
      </c>
      <c r="F801">
        <v>9</v>
      </c>
      <c r="G801">
        <v>8.7</v>
      </c>
      <c r="H801">
        <v>10</v>
      </c>
      <c r="I801">
        <v>8.5</v>
      </c>
      <c r="J801">
        <v>7.9</v>
      </c>
      <c r="K801">
        <v>7.6</v>
      </c>
      <c r="L801">
        <v>6.4</v>
      </c>
      <c r="M801">
        <v>5.6</v>
      </c>
      <c r="N801">
        <f t="shared" si="12"/>
        <v>81.9</v>
      </c>
    </row>
    <row r="802" spans="1:14">
      <c r="A802">
        <v>20196440</v>
      </c>
      <c r="B802" t="s">
        <v>14</v>
      </c>
      <c r="C802" t="str">
        <f>VLOOKUP(B802,专业代码!$B$2:$C$8,2,FALSE)</f>
        <v>会计学</v>
      </c>
      <c r="D802">
        <v>8.3</v>
      </c>
      <c r="E802">
        <v>7.3</v>
      </c>
      <c r="F802">
        <v>8.3</v>
      </c>
      <c r="G802">
        <v>7.7</v>
      </c>
      <c r="H802">
        <v>7.6</v>
      </c>
      <c r="I802">
        <v>7.4</v>
      </c>
      <c r="J802">
        <v>7.8</v>
      </c>
      <c r="K802">
        <v>8.8</v>
      </c>
      <c r="L802">
        <v>5.6</v>
      </c>
      <c r="M802">
        <v>6.5</v>
      </c>
      <c r="N802">
        <f t="shared" si="12"/>
        <v>75.3</v>
      </c>
    </row>
    <row r="803" spans="1:14">
      <c r="A803">
        <v>20197492</v>
      </c>
      <c r="B803" t="s">
        <v>14</v>
      </c>
      <c r="C803" t="str">
        <f>VLOOKUP(B803,专业代码!$B$2:$C$8,2,FALSE)</f>
        <v>会计学</v>
      </c>
      <c r="D803">
        <v>8.8</v>
      </c>
      <c r="E803">
        <v>7.7</v>
      </c>
      <c r="F803">
        <v>9.4</v>
      </c>
      <c r="G803">
        <v>8.9</v>
      </c>
      <c r="H803">
        <v>7.7</v>
      </c>
      <c r="I803">
        <v>9.4</v>
      </c>
      <c r="J803">
        <v>7.4</v>
      </c>
      <c r="K803">
        <v>8</v>
      </c>
      <c r="L803">
        <v>7</v>
      </c>
      <c r="M803">
        <v>5.1</v>
      </c>
      <c r="N803">
        <f t="shared" si="12"/>
        <v>79.4</v>
      </c>
    </row>
    <row r="804" spans="1:14">
      <c r="A804">
        <v>20198343</v>
      </c>
      <c r="B804" t="s">
        <v>14</v>
      </c>
      <c r="C804" t="str">
        <f>VLOOKUP(B804,专业代码!$B$2:$C$8,2,FALSE)</f>
        <v>会计学</v>
      </c>
      <c r="D804">
        <v>7.9</v>
      </c>
      <c r="E804">
        <v>9.4</v>
      </c>
      <c r="F804">
        <v>8.9</v>
      </c>
      <c r="G804">
        <v>7.7</v>
      </c>
      <c r="H804">
        <v>7.8</v>
      </c>
      <c r="I804">
        <v>7</v>
      </c>
      <c r="J804">
        <v>7.9</v>
      </c>
      <c r="K804">
        <v>6.4</v>
      </c>
      <c r="L804">
        <v>7.8</v>
      </c>
      <c r="M804">
        <v>6.2</v>
      </c>
      <c r="N804">
        <f t="shared" si="12"/>
        <v>77</v>
      </c>
    </row>
    <row r="805" spans="1:14">
      <c r="A805">
        <v>20199687</v>
      </c>
      <c r="B805" t="s">
        <v>14</v>
      </c>
      <c r="C805" t="str">
        <f>VLOOKUP(B805,专业代码!$B$2:$C$8,2,FALSE)</f>
        <v>会计学</v>
      </c>
      <c r="D805">
        <v>9</v>
      </c>
      <c r="E805">
        <v>7.8</v>
      </c>
      <c r="F805">
        <v>8.1</v>
      </c>
      <c r="G805">
        <v>8.1</v>
      </c>
      <c r="H805">
        <v>8.6</v>
      </c>
      <c r="I805">
        <v>8.1</v>
      </c>
      <c r="J805">
        <v>6.1</v>
      </c>
      <c r="K805">
        <v>7.1</v>
      </c>
      <c r="L805">
        <v>7.2</v>
      </c>
      <c r="M805">
        <v>4.9</v>
      </c>
      <c r="N805">
        <f t="shared" si="12"/>
        <v>75</v>
      </c>
    </row>
    <row r="806" spans="1:14">
      <c r="A806">
        <v>20191977</v>
      </c>
      <c r="B806" t="s">
        <v>14</v>
      </c>
      <c r="C806" t="str">
        <f>VLOOKUP(B806,专业代码!$B$2:$C$8,2,FALSE)</f>
        <v>会计学</v>
      </c>
      <c r="D806">
        <v>8.9</v>
      </c>
      <c r="E806">
        <v>9.1</v>
      </c>
      <c r="F806">
        <v>9.4</v>
      </c>
      <c r="G806">
        <v>8.3</v>
      </c>
      <c r="H806">
        <v>8.6</v>
      </c>
      <c r="I806">
        <v>9</v>
      </c>
      <c r="J806">
        <v>6.7</v>
      </c>
      <c r="K806">
        <v>6</v>
      </c>
      <c r="L806">
        <v>9.3</v>
      </c>
      <c r="M806">
        <v>6.6</v>
      </c>
      <c r="N806">
        <f t="shared" si="12"/>
        <v>81.9</v>
      </c>
    </row>
    <row r="807" spans="1:14">
      <c r="A807">
        <v>20192603</v>
      </c>
      <c r="B807" t="s">
        <v>14</v>
      </c>
      <c r="C807" t="str">
        <f>VLOOKUP(B807,专业代码!$B$2:$C$8,2,FALSE)</f>
        <v>会计学</v>
      </c>
      <c r="D807">
        <v>8.3</v>
      </c>
      <c r="E807">
        <v>9.4</v>
      </c>
      <c r="F807">
        <v>7.8</v>
      </c>
      <c r="G807">
        <v>7.5</v>
      </c>
      <c r="H807">
        <v>7.3</v>
      </c>
      <c r="I807">
        <v>7.3</v>
      </c>
      <c r="J807">
        <v>8.5</v>
      </c>
      <c r="K807">
        <v>7</v>
      </c>
      <c r="L807">
        <v>7.4</v>
      </c>
      <c r="M807">
        <v>6.9</v>
      </c>
      <c r="N807">
        <f t="shared" si="12"/>
        <v>77.4</v>
      </c>
    </row>
    <row r="808" spans="1:14">
      <c r="A808">
        <v>20192998</v>
      </c>
      <c r="B808" t="s">
        <v>14</v>
      </c>
      <c r="C808" t="str">
        <f>VLOOKUP(B808,专业代码!$B$2:$C$8,2,FALSE)</f>
        <v>会计学</v>
      </c>
      <c r="D808">
        <v>8.7</v>
      </c>
      <c r="E808">
        <v>9.9</v>
      </c>
      <c r="F808">
        <v>9.1</v>
      </c>
      <c r="G808">
        <v>9.3</v>
      </c>
      <c r="H808">
        <v>8.9</v>
      </c>
      <c r="I808">
        <v>6.6</v>
      </c>
      <c r="J808">
        <v>6.1</v>
      </c>
      <c r="K808">
        <v>7.7</v>
      </c>
      <c r="L808">
        <v>7.7</v>
      </c>
      <c r="M808">
        <v>5.6</v>
      </c>
      <c r="N808">
        <f t="shared" si="12"/>
        <v>79.6</v>
      </c>
    </row>
    <row r="809" spans="1:14">
      <c r="A809">
        <v>20193582</v>
      </c>
      <c r="B809" t="s">
        <v>14</v>
      </c>
      <c r="C809" t="str">
        <f>VLOOKUP(B809,专业代码!$B$2:$C$8,2,FALSE)</f>
        <v>会计学</v>
      </c>
      <c r="D809">
        <v>9</v>
      </c>
      <c r="E809">
        <v>8.7</v>
      </c>
      <c r="F809">
        <v>8.4</v>
      </c>
      <c r="G809">
        <v>8.2</v>
      </c>
      <c r="H809">
        <v>6.7</v>
      </c>
      <c r="I809">
        <v>7.4</v>
      </c>
      <c r="J809">
        <v>6.9</v>
      </c>
      <c r="K809">
        <v>5.4</v>
      </c>
      <c r="L809">
        <v>7.1</v>
      </c>
      <c r="M809">
        <v>7.9</v>
      </c>
      <c r="N809">
        <f t="shared" si="12"/>
        <v>75.7</v>
      </c>
    </row>
    <row r="810" spans="1:14">
      <c r="A810">
        <v>20196351</v>
      </c>
      <c r="B810" t="s">
        <v>14</v>
      </c>
      <c r="C810" t="str">
        <f>VLOOKUP(B810,专业代码!$B$2:$C$8,2,FALSE)</f>
        <v>会计学</v>
      </c>
      <c r="D810">
        <v>8.7</v>
      </c>
      <c r="E810">
        <v>9.2</v>
      </c>
      <c r="F810">
        <v>8.1</v>
      </c>
      <c r="G810">
        <v>7.7</v>
      </c>
      <c r="H810">
        <v>9.1</v>
      </c>
      <c r="I810">
        <v>8.1</v>
      </c>
      <c r="J810">
        <v>7.1</v>
      </c>
      <c r="K810">
        <v>7</v>
      </c>
      <c r="L810">
        <v>7.5</v>
      </c>
      <c r="M810">
        <v>7.4</v>
      </c>
      <c r="N810">
        <f t="shared" si="12"/>
        <v>79.9</v>
      </c>
    </row>
    <row r="811" spans="1:14">
      <c r="A811">
        <v>20196680</v>
      </c>
      <c r="B811" t="s">
        <v>14</v>
      </c>
      <c r="C811" t="str">
        <f>VLOOKUP(B811,专业代码!$B$2:$C$8,2,FALSE)</f>
        <v>会计学</v>
      </c>
      <c r="D811">
        <v>7.9</v>
      </c>
      <c r="E811">
        <v>8.4</v>
      </c>
      <c r="F811">
        <v>8</v>
      </c>
      <c r="G811">
        <v>8.7</v>
      </c>
      <c r="H811">
        <v>8.7</v>
      </c>
      <c r="I811">
        <v>7.5</v>
      </c>
      <c r="J811">
        <v>8.3</v>
      </c>
      <c r="K811">
        <v>8.7</v>
      </c>
      <c r="L811">
        <v>5.9</v>
      </c>
      <c r="M811">
        <v>6.8</v>
      </c>
      <c r="N811">
        <f t="shared" si="12"/>
        <v>78.9</v>
      </c>
    </row>
    <row r="812" spans="1:14">
      <c r="A812">
        <v>20197442</v>
      </c>
      <c r="B812" t="s">
        <v>14</v>
      </c>
      <c r="C812" t="str">
        <f>VLOOKUP(B812,专业代码!$B$2:$C$8,2,FALSE)</f>
        <v>会计学</v>
      </c>
      <c r="D812">
        <v>8.2</v>
      </c>
      <c r="E812">
        <v>9</v>
      </c>
      <c r="F812">
        <v>8</v>
      </c>
      <c r="G812">
        <v>7.8</v>
      </c>
      <c r="H812">
        <v>8.3</v>
      </c>
      <c r="I812">
        <v>7.1</v>
      </c>
      <c r="J812">
        <v>7.3</v>
      </c>
      <c r="K812">
        <v>7</v>
      </c>
      <c r="L812">
        <v>5.7</v>
      </c>
      <c r="M812">
        <v>6.2</v>
      </c>
      <c r="N812">
        <f t="shared" si="12"/>
        <v>74.6</v>
      </c>
    </row>
    <row r="813" spans="1:14">
      <c r="A813">
        <v>20197728</v>
      </c>
      <c r="B813" t="s">
        <v>14</v>
      </c>
      <c r="C813" t="str">
        <f>VLOOKUP(B813,专业代码!$B$2:$C$8,2,FALSE)</f>
        <v>会计学</v>
      </c>
      <c r="D813">
        <v>8.7</v>
      </c>
      <c r="E813">
        <v>9</v>
      </c>
      <c r="F813">
        <v>8.3</v>
      </c>
      <c r="G813">
        <v>8.4</v>
      </c>
      <c r="H813">
        <v>7.7</v>
      </c>
      <c r="I813">
        <v>6.6</v>
      </c>
      <c r="J813">
        <v>6.9</v>
      </c>
      <c r="K813">
        <v>7.3</v>
      </c>
      <c r="L813">
        <v>7.9</v>
      </c>
      <c r="M813">
        <v>7.6</v>
      </c>
      <c r="N813">
        <f t="shared" si="12"/>
        <v>78.4</v>
      </c>
    </row>
    <row r="814" spans="1:14">
      <c r="A814">
        <v>20197843</v>
      </c>
      <c r="B814" t="s">
        <v>14</v>
      </c>
      <c r="C814" t="str">
        <f>VLOOKUP(B814,专业代码!$B$2:$C$8,2,FALSE)</f>
        <v>会计学</v>
      </c>
      <c r="D814">
        <v>9.3</v>
      </c>
      <c r="E814">
        <v>8.3</v>
      </c>
      <c r="F814">
        <v>8.2</v>
      </c>
      <c r="G814">
        <v>8.4</v>
      </c>
      <c r="H814">
        <v>4.9</v>
      </c>
      <c r="I814">
        <v>5.6</v>
      </c>
      <c r="J814">
        <v>8.3</v>
      </c>
      <c r="K814">
        <v>8.9</v>
      </c>
      <c r="L814">
        <v>6</v>
      </c>
      <c r="M814">
        <v>6.3</v>
      </c>
      <c r="N814">
        <f t="shared" si="12"/>
        <v>74.2</v>
      </c>
    </row>
    <row r="815" spans="1:14">
      <c r="A815">
        <v>20198825</v>
      </c>
      <c r="B815" t="s">
        <v>14</v>
      </c>
      <c r="C815" t="str">
        <f>VLOOKUP(B815,专业代码!$B$2:$C$8,2,FALSE)</f>
        <v>会计学</v>
      </c>
      <c r="D815">
        <v>9.6</v>
      </c>
      <c r="E815">
        <v>8.1</v>
      </c>
      <c r="F815">
        <v>8.1</v>
      </c>
      <c r="G815">
        <v>8.2</v>
      </c>
      <c r="H815">
        <v>8.2</v>
      </c>
      <c r="I815">
        <v>7.1</v>
      </c>
      <c r="J815">
        <v>8.8</v>
      </c>
      <c r="K815">
        <v>7.5</v>
      </c>
      <c r="L815">
        <v>4.2</v>
      </c>
      <c r="M815">
        <v>6.4</v>
      </c>
      <c r="N815">
        <f t="shared" si="12"/>
        <v>76.2</v>
      </c>
    </row>
    <row r="816" spans="1:14">
      <c r="A816">
        <v>20191143</v>
      </c>
      <c r="B816" t="s">
        <v>14</v>
      </c>
      <c r="C816" t="str">
        <f>VLOOKUP(B816,专业代码!$B$2:$C$8,2,FALSE)</f>
        <v>会计学</v>
      </c>
      <c r="D816">
        <v>8.2</v>
      </c>
      <c r="E816">
        <v>8.3</v>
      </c>
      <c r="F816">
        <v>8.6</v>
      </c>
      <c r="G816">
        <v>9</v>
      </c>
      <c r="H816">
        <v>8.4</v>
      </c>
      <c r="I816">
        <v>7.6</v>
      </c>
      <c r="J816">
        <v>7.6</v>
      </c>
      <c r="K816">
        <v>5.7</v>
      </c>
      <c r="L816">
        <v>6.1</v>
      </c>
      <c r="M816">
        <v>5.3</v>
      </c>
      <c r="N816">
        <f t="shared" si="12"/>
        <v>74.8</v>
      </c>
    </row>
    <row r="817" spans="1:14">
      <c r="A817">
        <v>20191349</v>
      </c>
      <c r="B817" t="s">
        <v>14</v>
      </c>
      <c r="C817" t="str">
        <f>VLOOKUP(B817,专业代码!$B$2:$C$8,2,FALSE)</f>
        <v>会计学</v>
      </c>
      <c r="D817">
        <v>9.1</v>
      </c>
      <c r="E817">
        <v>8.7</v>
      </c>
      <c r="F817">
        <v>8.6</v>
      </c>
      <c r="G817">
        <v>8.9</v>
      </c>
      <c r="H817">
        <v>7.9</v>
      </c>
      <c r="I817">
        <v>7.4</v>
      </c>
      <c r="J817">
        <v>8.4</v>
      </c>
      <c r="K817">
        <v>7.4</v>
      </c>
      <c r="L817">
        <v>8.1</v>
      </c>
      <c r="M817">
        <v>5.5</v>
      </c>
      <c r="N817">
        <f t="shared" si="12"/>
        <v>80</v>
      </c>
    </row>
    <row r="818" spans="1:14">
      <c r="A818">
        <v>20192049</v>
      </c>
      <c r="B818" t="s">
        <v>14</v>
      </c>
      <c r="C818" t="str">
        <f>VLOOKUP(B818,专业代码!$B$2:$C$8,2,FALSE)</f>
        <v>会计学</v>
      </c>
      <c r="D818">
        <v>8.9</v>
      </c>
      <c r="E818">
        <v>8.9</v>
      </c>
      <c r="F818">
        <v>8.7</v>
      </c>
      <c r="G818">
        <v>7.8</v>
      </c>
      <c r="H818">
        <v>8</v>
      </c>
      <c r="I818">
        <v>7.1</v>
      </c>
      <c r="J818">
        <v>7.8</v>
      </c>
      <c r="K818">
        <v>8.2</v>
      </c>
      <c r="L818">
        <v>6.1</v>
      </c>
      <c r="M818">
        <v>8.6</v>
      </c>
      <c r="N818">
        <f t="shared" si="12"/>
        <v>80.1</v>
      </c>
    </row>
    <row r="819" spans="1:14">
      <c r="A819">
        <v>20194441</v>
      </c>
      <c r="B819" t="s">
        <v>14</v>
      </c>
      <c r="C819" t="str">
        <f>VLOOKUP(B819,专业代码!$B$2:$C$8,2,FALSE)</f>
        <v>会计学</v>
      </c>
      <c r="D819">
        <v>8.3</v>
      </c>
      <c r="E819">
        <v>7.8</v>
      </c>
      <c r="F819">
        <v>9.1</v>
      </c>
      <c r="G819">
        <v>7.7</v>
      </c>
      <c r="H819">
        <v>7.5</v>
      </c>
      <c r="I819">
        <v>7.5</v>
      </c>
      <c r="J819">
        <v>7.2</v>
      </c>
      <c r="K819">
        <v>6.1</v>
      </c>
      <c r="L819">
        <v>5.8</v>
      </c>
      <c r="M819">
        <v>6.4</v>
      </c>
      <c r="N819">
        <f t="shared" si="12"/>
        <v>73.4</v>
      </c>
    </row>
    <row r="820" spans="1:14">
      <c r="A820">
        <v>20195312</v>
      </c>
      <c r="B820" t="s">
        <v>14</v>
      </c>
      <c r="C820" t="str">
        <f>VLOOKUP(B820,专业代码!$B$2:$C$8,2,FALSE)</f>
        <v>会计学</v>
      </c>
      <c r="D820">
        <v>9</v>
      </c>
      <c r="E820">
        <v>7.5</v>
      </c>
      <c r="F820">
        <v>8.7</v>
      </c>
      <c r="G820">
        <v>8.4</v>
      </c>
      <c r="H820">
        <v>8.2</v>
      </c>
      <c r="I820">
        <v>7.1</v>
      </c>
      <c r="J820">
        <v>6.9</v>
      </c>
      <c r="K820">
        <v>6.3</v>
      </c>
      <c r="L820">
        <v>6.4</v>
      </c>
      <c r="M820">
        <v>4.1</v>
      </c>
      <c r="N820">
        <f t="shared" si="12"/>
        <v>72.6</v>
      </c>
    </row>
    <row r="821" spans="1:14">
      <c r="A821">
        <v>20196284</v>
      </c>
      <c r="B821" t="s">
        <v>14</v>
      </c>
      <c r="C821" t="str">
        <f>VLOOKUP(B821,专业代码!$B$2:$C$8,2,FALSE)</f>
        <v>会计学</v>
      </c>
      <c r="D821">
        <v>8</v>
      </c>
      <c r="E821">
        <v>8.7</v>
      </c>
      <c r="F821">
        <v>9.1</v>
      </c>
      <c r="G821">
        <v>7.8</v>
      </c>
      <c r="H821">
        <v>7.7</v>
      </c>
      <c r="I821">
        <v>6.9</v>
      </c>
      <c r="J821">
        <v>8.6</v>
      </c>
      <c r="K821">
        <v>7.4</v>
      </c>
      <c r="L821">
        <v>7.4</v>
      </c>
      <c r="M821">
        <v>6.7</v>
      </c>
      <c r="N821">
        <f t="shared" si="12"/>
        <v>78.3</v>
      </c>
    </row>
    <row r="822" spans="1:14">
      <c r="A822">
        <v>20196416</v>
      </c>
      <c r="B822" t="s">
        <v>14</v>
      </c>
      <c r="C822" t="str">
        <f>VLOOKUP(B822,专业代码!$B$2:$C$8,2,FALSE)</f>
        <v>会计学</v>
      </c>
      <c r="D822">
        <v>8</v>
      </c>
      <c r="E822">
        <v>8.3</v>
      </c>
      <c r="F822">
        <v>8.5</v>
      </c>
      <c r="G822">
        <v>8</v>
      </c>
      <c r="H822">
        <v>8.3</v>
      </c>
      <c r="I822">
        <v>7.2</v>
      </c>
      <c r="J822">
        <v>8.4</v>
      </c>
      <c r="K822">
        <v>6.9</v>
      </c>
      <c r="L822">
        <v>5.7</v>
      </c>
      <c r="M822">
        <v>6.8</v>
      </c>
      <c r="N822">
        <f t="shared" si="12"/>
        <v>76.1</v>
      </c>
    </row>
    <row r="823" spans="1:14">
      <c r="A823">
        <v>20197786</v>
      </c>
      <c r="B823" t="s">
        <v>14</v>
      </c>
      <c r="C823" t="str">
        <f>VLOOKUP(B823,专业代码!$B$2:$C$8,2,FALSE)</f>
        <v>会计学</v>
      </c>
      <c r="D823">
        <v>8.2</v>
      </c>
      <c r="E823">
        <v>9.5</v>
      </c>
      <c r="F823">
        <v>8</v>
      </c>
      <c r="G823">
        <v>7.1</v>
      </c>
      <c r="H823">
        <v>7.7</v>
      </c>
      <c r="I823">
        <v>7.2</v>
      </c>
      <c r="J823">
        <v>7.5</v>
      </c>
      <c r="K823">
        <v>7.7</v>
      </c>
      <c r="L823">
        <v>7</v>
      </c>
      <c r="M823">
        <v>9.9</v>
      </c>
      <c r="N823">
        <f t="shared" si="12"/>
        <v>79.8</v>
      </c>
    </row>
    <row r="824" spans="1:14">
      <c r="A824">
        <v>20197942</v>
      </c>
      <c r="B824" t="s">
        <v>14</v>
      </c>
      <c r="C824" t="str">
        <f>VLOOKUP(B824,专业代码!$B$2:$C$8,2,FALSE)</f>
        <v>会计学</v>
      </c>
      <c r="D824">
        <v>9</v>
      </c>
      <c r="E824">
        <v>8.2</v>
      </c>
      <c r="F824">
        <v>8</v>
      </c>
      <c r="G824">
        <v>7.2</v>
      </c>
      <c r="H824">
        <v>9</v>
      </c>
      <c r="I824">
        <v>7.6</v>
      </c>
      <c r="J824">
        <v>8.3</v>
      </c>
      <c r="K824">
        <v>7.3</v>
      </c>
      <c r="L824">
        <v>5.4</v>
      </c>
      <c r="M824">
        <v>8.8</v>
      </c>
      <c r="N824">
        <f t="shared" si="12"/>
        <v>78.8</v>
      </c>
    </row>
    <row r="825" spans="1:14">
      <c r="A825">
        <v>20198102</v>
      </c>
      <c r="B825" t="s">
        <v>14</v>
      </c>
      <c r="C825" t="str">
        <f>VLOOKUP(B825,专业代码!$B$2:$C$8,2,FALSE)</f>
        <v>会计学</v>
      </c>
      <c r="D825">
        <v>7.7</v>
      </c>
      <c r="E825">
        <v>8.6</v>
      </c>
      <c r="F825">
        <v>8.9</v>
      </c>
      <c r="G825">
        <v>8.1</v>
      </c>
      <c r="H825">
        <v>7.4</v>
      </c>
      <c r="I825">
        <v>7.7</v>
      </c>
      <c r="J825">
        <v>7.3</v>
      </c>
      <c r="K825">
        <v>7.1</v>
      </c>
      <c r="L825">
        <v>7.1</v>
      </c>
      <c r="M825">
        <v>6.3</v>
      </c>
      <c r="N825">
        <f t="shared" si="12"/>
        <v>76.2</v>
      </c>
    </row>
    <row r="826" spans="1:14">
      <c r="A826">
        <v>20198981</v>
      </c>
      <c r="B826" t="s">
        <v>14</v>
      </c>
      <c r="C826" t="str">
        <f>VLOOKUP(B826,专业代码!$B$2:$C$8,2,FALSE)</f>
        <v>会计学</v>
      </c>
      <c r="D826">
        <v>9.6</v>
      </c>
      <c r="E826">
        <v>9.1</v>
      </c>
      <c r="F826">
        <v>7.9</v>
      </c>
      <c r="G826">
        <v>7.6</v>
      </c>
      <c r="H826">
        <v>8.3</v>
      </c>
      <c r="I826">
        <v>7.2</v>
      </c>
      <c r="J826">
        <v>7.2</v>
      </c>
      <c r="K826">
        <v>7.6</v>
      </c>
      <c r="L826">
        <v>7.3</v>
      </c>
      <c r="M826">
        <v>7.7</v>
      </c>
      <c r="N826">
        <f t="shared" si="12"/>
        <v>79.5</v>
      </c>
    </row>
    <row r="827" spans="1:14">
      <c r="A827">
        <v>20199206</v>
      </c>
      <c r="B827" t="s">
        <v>14</v>
      </c>
      <c r="C827" t="str">
        <f>VLOOKUP(B827,专业代码!$B$2:$C$8,2,FALSE)</f>
        <v>会计学</v>
      </c>
      <c r="D827">
        <v>8.9</v>
      </c>
      <c r="E827">
        <v>8.9</v>
      </c>
      <c r="F827">
        <v>7.6</v>
      </c>
      <c r="G827">
        <v>7.9</v>
      </c>
      <c r="H827">
        <v>6.6</v>
      </c>
      <c r="I827">
        <v>8.3</v>
      </c>
      <c r="J827">
        <v>8.6</v>
      </c>
      <c r="K827">
        <v>6.5</v>
      </c>
      <c r="L827">
        <v>7.5</v>
      </c>
      <c r="M827">
        <v>6.8</v>
      </c>
      <c r="N827">
        <f t="shared" si="12"/>
        <v>77.6</v>
      </c>
    </row>
    <row r="828" spans="1:14">
      <c r="A828">
        <v>20191346</v>
      </c>
      <c r="B828" t="s">
        <v>14</v>
      </c>
      <c r="C828" t="str">
        <f>VLOOKUP(B828,专业代码!$B$2:$C$8,2,FALSE)</f>
        <v>会计学</v>
      </c>
      <c r="D828">
        <v>8.6</v>
      </c>
      <c r="E828">
        <v>9.3</v>
      </c>
      <c r="F828">
        <v>7.8</v>
      </c>
      <c r="G828">
        <v>8.5</v>
      </c>
      <c r="H828">
        <v>9.1</v>
      </c>
      <c r="I828">
        <v>6.2</v>
      </c>
      <c r="J828">
        <v>7.9</v>
      </c>
      <c r="K828">
        <v>7.2</v>
      </c>
      <c r="L828">
        <v>7.2</v>
      </c>
      <c r="M828">
        <v>6.8</v>
      </c>
      <c r="N828">
        <f t="shared" si="12"/>
        <v>78.6</v>
      </c>
    </row>
    <row r="829" spans="1:14">
      <c r="A829">
        <v>20191378</v>
      </c>
      <c r="B829" t="s">
        <v>14</v>
      </c>
      <c r="C829" t="str">
        <f>VLOOKUP(B829,专业代码!$B$2:$C$8,2,FALSE)</f>
        <v>会计学</v>
      </c>
      <c r="D829">
        <v>9.1</v>
      </c>
      <c r="E829">
        <v>8.4</v>
      </c>
      <c r="F829">
        <v>8.9</v>
      </c>
      <c r="G829">
        <v>8.7</v>
      </c>
      <c r="H829">
        <v>8.4</v>
      </c>
      <c r="I829">
        <v>7</v>
      </c>
      <c r="J829">
        <v>6.5</v>
      </c>
      <c r="K829">
        <v>7.1</v>
      </c>
      <c r="L829">
        <v>8.9</v>
      </c>
      <c r="M829">
        <v>4.9</v>
      </c>
      <c r="N829">
        <f t="shared" si="12"/>
        <v>77.9</v>
      </c>
    </row>
    <row r="830" spans="1:14">
      <c r="A830">
        <v>20191778</v>
      </c>
      <c r="B830" t="s">
        <v>14</v>
      </c>
      <c r="C830" t="str">
        <f>VLOOKUP(B830,专业代码!$B$2:$C$8,2,FALSE)</f>
        <v>会计学</v>
      </c>
      <c r="D830">
        <v>9</v>
      </c>
      <c r="E830">
        <v>8.4</v>
      </c>
      <c r="F830">
        <v>8</v>
      </c>
      <c r="G830">
        <v>8.7</v>
      </c>
      <c r="H830">
        <v>9.4</v>
      </c>
      <c r="I830">
        <v>8.5</v>
      </c>
      <c r="J830">
        <v>8.5</v>
      </c>
      <c r="K830">
        <v>7.9</v>
      </c>
      <c r="L830">
        <v>6.8</v>
      </c>
      <c r="M830">
        <v>6.6</v>
      </c>
      <c r="N830">
        <f t="shared" si="12"/>
        <v>81.8</v>
      </c>
    </row>
    <row r="831" spans="1:14">
      <c r="A831">
        <v>20192987</v>
      </c>
      <c r="B831" t="s">
        <v>14</v>
      </c>
      <c r="C831" t="str">
        <f>VLOOKUP(B831,专业代码!$B$2:$C$8,2,FALSE)</f>
        <v>会计学</v>
      </c>
      <c r="D831">
        <v>8.6</v>
      </c>
      <c r="E831">
        <v>8.2</v>
      </c>
      <c r="F831">
        <v>9.4</v>
      </c>
      <c r="G831">
        <v>8.7</v>
      </c>
      <c r="H831">
        <v>7.3</v>
      </c>
      <c r="I831">
        <v>7.5</v>
      </c>
      <c r="J831">
        <v>7.1</v>
      </c>
      <c r="K831">
        <v>6.8</v>
      </c>
      <c r="L831">
        <v>7</v>
      </c>
      <c r="M831">
        <v>4.5</v>
      </c>
      <c r="N831">
        <f t="shared" si="12"/>
        <v>75.1</v>
      </c>
    </row>
    <row r="832" spans="1:14">
      <c r="A832">
        <v>20193733</v>
      </c>
      <c r="B832" t="s">
        <v>14</v>
      </c>
      <c r="C832" t="str">
        <f>VLOOKUP(B832,专业代码!$B$2:$C$8,2,FALSE)</f>
        <v>会计学</v>
      </c>
      <c r="D832">
        <v>8</v>
      </c>
      <c r="E832">
        <v>8.4</v>
      </c>
      <c r="F832">
        <v>8</v>
      </c>
      <c r="G832">
        <v>7.8</v>
      </c>
      <c r="H832">
        <v>7.6</v>
      </c>
      <c r="I832">
        <v>7.9</v>
      </c>
      <c r="J832">
        <v>8</v>
      </c>
      <c r="K832">
        <v>6.4</v>
      </c>
      <c r="L832">
        <v>6.4</v>
      </c>
      <c r="M832">
        <v>6.1</v>
      </c>
      <c r="N832">
        <f t="shared" si="12"/>
        <v>74.6</v>
      </c>
    </row>
    <row r="833" spans="1:14">
      <c r="A833">
        <v>20194403</v>
      </c>
      <c r="B833" t="s">
        <v>14</v>
      </c>
      <c r="C833" t="str">
        <f>VLOOKUP(B833,专业代码!$B$2:$C$8,2,FALSE)</f>
        <v>会计学</v>
      </c>
      <c r="D833">
        <v>8.1</v>
      </c>
      <c r="E833">
        <v>8.5</v>
      </c>
      <c r="F833">
        <v>8.1</v>
      </c>
      <c r="G833">
        <v>7.8</v>
      </c>
      <c r="H833">
        <v>8.3</v>
      </c>
      <c r="I833">
        <v>7.7</v>
      </c>
      <c r="J833">
        <v>7.4</v>
      </c>
      <c r="K833">
        <v>6.7</v>
      </c>
      <c r="L833">
        <v>4.7</v>
      </c>
      <c r="M833">
        <v>6.6</v>
      </c>
      <c r="N833">
        <f t="shared" si="12"/>
        <v>73.9</v>
      </c>
    </row>
    <row r="834" spans="1:14">
      <c r="A834">
        <v>20194752</v>
      </c>
      <c r="B834" t="s">
        <v>14</v>
      </c>
      <c r="C834" t="str">
        <f>VLOOKUP(B834,专业代码!$B$2:$C$8,2,FALSE)</f>
        <v>会计学</v>
      </c>
      <c r="D834">
        <v>8.3</v>
      </c>
      <c r="E834">
        <v>8.8</v>
      </c>
      <c r="F834">
        <v>8.8</v>
      </c>
      <c r="G834">
        <v>8.8</v>
      </c>
      <c r="H834">
        <v>7.5</v>
      </c>
      <c r="I834">
        <v>7.6</v>
      </c>
      <c r="J834">
        <v>6.7</v>
      </c>
      <c r="K834">
        <v>6.6</v>
      </c>
      <c r="L834">
        <v>7.1</v>
      </c>
      <c r="M834">
        <v>5.1</v>
      </c>
      <c r="N834">
        <f t="shared" si="12"/>
        <v>75.3</v>
      </c>
    </row>
    <row r="835" spans="1:14">
      <c r="A835">
        <v>20194783</v>
      </c>
      <c r="B835" t="s">
        <v>14</v>
      </c>
      <c r="C835" t="str">
        <f>VLOOKUP(B835,专业代码!$B$2:$C$8,2,FALSE)</f>
        <v>会计学</v>
      </c>
      <c r="D835">
        <v>9</v>
      </c>
      <c r="E835">
        <v>7.9</v>
      </c>
      <c r="F835">
        <v>8.9</v>
      </c>
      <c r="G835">
        <v>9.1</v>
      </c>
      <c r="H835">
        <v>7.2</v>
      </c>
      <c r="I835">
        <v>7.5</v>
      </c>
      <c r="J835">
        <v>8.1</v>
      </c>
      <c r="K835">
        <v>6.5</v>
      </c>
      <c r="L835">
        <v>6.9</v>
      </c>
      <c r="M835">
        <v>6.2</v>
      </c>
      <c r="N835">
        <f t="shared" ref="N835:N898" si="13">SUM(D835:M835)</f>
        <v>77.3</v>
      </c>
    </row>
    <row r="836" spans="1:14">
      <c r="A836">
        <v>20195077</v>
      </c>
      <c r="B836" t="s">
        <v>14</v>
      </c>
      <c r="C836" t="str">
        <f>VLOOKUP(B836,专业代码!$B$2:$C$8,2,FALSE)</f>
        <v>会计学</v>
      </c>
      <c r="D836">
        <v>8.2</v>
      </c>
      <c r="E836">
        <v>8</v>
      </c>
      <c r="F836">
        <v>8.4</v>
      </c>
      <c r="G836">
        <v>8.4</v>
      </c>
      <c r="H836">
        <v>7.4</v>
      </c>
      <c r="I836">
        <v>8.3</v>
      </c>
      <c r="J836">
        <v>7.2</v>
      </c>
      <c r="K836">
        <v>6.7</v>
      </c>
      <c r="L836">
        <v>7.2</v>
      </c>
      <c r="M836">
        <v>5.7</v>
      </c>
      <c r="N836">
        <f t="shared" si="13"/>
        <v>75.5</v>
      </c>
    </row>
    <row r="837" spans="1:14">
      <c r="A837">
        <v>20195681</v>
      </c>
      <c r="B837" t="s">
        <v>14</v>
      </c>
      <c r="C837" t="str">
        <f>VLOOKUP(B837,专业代码!$B$2:$C$8,2,FALSE)</f>
        <v>会计学</v>
      </c>
      <c r="D837">
        <v>8.9</v>
      </c>
      <c r="E837">
        <v>8.4</v>
      </c>
      <c r="F837">
        <v>8.6</v>
      </c>
      <c r="G837">
        <v>9</v>
      </c>
      <c r="H837">
        <v>8.2</v>
      </c>
      <c r="I837">
        <v>7.7</v>
      </c>
      <c r="J837">
        <v>6.9</v>
      </c>
      <c r="K837">
        <v>5.3</v>
      </c>
      <c r="L837">
        <v>6.4</v>
      </c>
      <c r="M837">
        <v>5.9</v>
      </c>
      <c r="N837">
        <f t="shared" si="13"/>
        <v>75.3</v>
      </c>
    </row>
    <row r="838" spans="1:14">
      <c r="A838">
        <v>20196954</v>
      </c>
      <c r="B838" t="s">
        <v>14</v>
      </c>
      <c r="C838" t="str">
        <f>VLOOKUP(B838,专业代码!$B$2:$C$8,2,FALSE)</f>
        <v>会计学</v>
      </c>
      <c r="D838">
        <v>8.7</v>
      </c>
      <c r="E838">
        <v>9.4</v>
      </c>
      <c r="F838">
        <v>8.2</v>
      </c>
      <c r="G838">
        <v>7.6</v>
      </c>
      <c r="H838">
        <v>6.7</v>
      </c>
      <c r="I838">
        <v>6.1</v>
      </c>
      <c r="J838">
        <v>6.2</v>
      </c>
      <c r="K838">
        <v>7.4</v>
      </c>
      <c r="L838">
        <v>7.6</v>
      </c>
      <c r="M838">
        <v>7.4</v>
      </c>
      <c r="N838">
        <f t="shared" si="13"/>
        <v>75.3</v>
      </c>
    </row>
    <row r="839" spans="1:14">
      <c r="A839">
        <v>20197280</v>
      </c>
      <c r="B839" t="s">
        <v>14</v>
      </c>
      <c r="C839" t="str">
        <f>VLOOKUP(B839,专业代码!$B$2:$C$8,2,FALSE)</f>
        <v>会计学</v>
      </c>
      <c r="D839">
        <v>6.6</v>
      </c>
      <c r="E839">
        <v>8.1</v>
      </c>
      <c r="F839">
        <v>8.4</v>
      </c>
      <c r="G839">
        <v>8.4</v>
      </c>
      <c r="H839">
        <v>8.2</v>
      </c>
      <c r="I839">
        <v>6.6</v>
      </c>
      <c r="J839">
        <v>7.5</v>
      </c>
      <c r="K839">
        <v>6.5</v>
      </c>
      <c r="L839">
        <v>6</v>
      </c>
      <c r="M839">
        <v>4.8</v>
      </c>
      <c r="N839">
        <f t="shared" si="13"/>
        <v>71.1</v>
      </c>
    </row>
    <row r="840" spans="1:14">
      <c r="A840">
        <v>20199421</v>
      </c>
      <c r="B840" t="s">
        <v>14</v>
      </c>
      <c r="C840" t="str">
        <f>VLOOKUP(B840,专业代码!$B$2:$C$8,2,FALSE)</f>
        <v>会计学</v>
      </c>
      <c r="D840">
        <v>8.7</v>
      </c>
      <c r="E840">
        <v>8.8</v>
      </c>
      <c r="F840">
        <v>7.7</v>
      </c>
      <c r="G840">
        <v>8.1</v>
      </c>
      <c r="H840">
        <v>8</v>
      </c>
      <c r="I840">
        <v>8.4</v>
      </c>
      <c r="J840">
        <v>7.3</v>
      </c>
      <c r="K840">
        <v>7.9</v>
      </c>
      <c r="L840">
        <v>7.4</v>
      </c>
      <c r="M840">
        <v>5.3</v>
      </c>
      <c r="N840">
        <f t="shared" si="13"/>
        <v>77.6</v>
      </c>
    </row>
    <row r="841" spans="1:14">
      <c r="A841">
        <v>20192296</v>
      </c>
      <c r="B841" t="s">
        <v>14</v>
      </c>
      <c r="C841" t="str">
        <f>VLOOKUP(B841,专业代码!$B$2:$C$8,2,FALSE)</f>
        <v>会计学</v>
      </c>
      <c r="D841">
        <v>9.4</v>
      </c>
      <c r="E841">
        <v>9.9</v>
      </c>
      <c r="F841">
        <v>9.8</v>
      </c>
      <c r="G841">
        <v>9.9</v>
      </c>
      <c r="H841">
        <v>9.9</v>
      </c>
      <c r="I841">
        <v>8.5</v>
      </c>
      <c r="J841">
        <v>7.9</v>
      </c>
      <c r="K841">
        <v>7</v>
      </c>
      <c r="L841">
        <v>7.7</v>
      </c>
      <c r="M841">
        <v>5.8</v>
      </c>
      <c r="N841">
        <f t="shared" si="13"/>
        <v>85.8</v>
      </c>
    </row>
    <row r="842" spans="1:14">
      <c r="A842">
        <v>20193288</v>
      </c>
      <c r="B842" t="s">
        <v>14</v>
      </c>
      <c r="C842" t="str">
        <f>VLOOKUP(B842,专业代码!$B$2:$C$8,2,FALSE)</f>
        <v>会计学</v>
      </c>
      <c r="D842">
        <v>9.6</v>
      </c>
      <c r="E842">
        <v>9.3</v>
      </c>
      <c r="F842">
        <v>7.8</v>
      </c>
      <c r="G842">
        <v>9.3</v>
      </c>
      <c r="H842">
        <v>9.8</v>
      </c>
      <c r="I842">
        <v>8.7</v>
      </c>
      <c r="J842">
        <v>6.1</v>
      </c>
      <c r="K842">
        <v>8</v>
      </c>
      <c r="L842">
        <v>7.5</v>
      </c>
      <c r="M842">
        <v>8.2</v>
      </c>
      <c r="N842">
        <f t="shared" si="13"/>
        <v>84.3</v>
      </c>
    </row>
    <row r="843" spans="1:14">
      <c r="A843">
        <v>20193641</v>
      </c>
      <c r="B843" t="s">
        <v>14</v>
      </c>
      <c r="C843" t="str">
        <f>VLOOKUP(B843,专业代码!$B$2:$C$8,2,FALSE)</f>
        <v>会计学</v>
      </c>
      <c r="D843">
        <v>9.8</v>
      </c>
      <c r="E843">
        <v>9.8</v>
      </c>
      <c r="F843">
        <v>9.9</v>
      </c>
      <c r="G843">
        <v>9</v>
      </c>
      <c r="H843">
        <v>7.9</v>
      </c>
      <c r="I843">
        <v>8.2</v>
      </c>
      <c r="J843">
        <v>8.6</v>
      </c>
      <c r="K843">
        <v>9.6</v>
      </c>
      <c r="L843">
        <v>5.7</v>
      </c>
      <c r="M843">
        <v>6.7</v>
      </c>
      <c r="N843">
        <f t="shared" si="13"/>
        <v>85.2</v>
      </c>
    </row>
    <row r="844" spans="1:14">
      <c r="A844">
        <v>20194588</v>
      </c>
      <c r="B844" t="s">
        <v>14</v>
      </c>
      <c r="C844" t="str">
        <f>VLOOKUP(B844,专业代码!$B$2:$C$8,2,FALSE)</f>
        <v>会计学</v>
      </c>
      <c r="D844">
        <v>9.9</v>
      </c>
      <c r="E844">
        <v>9.4</v>
      </c>
      <c r="F844">
        <v>9.9</v>
      </c>
      <c r="G844">
        <v>9.2</v>
      </c>
      <c r="H844">
        <v>9.4</v>
      </c>
      <c r="I844">
        <v>8.1</v>
      </c>
      <c r="J844">
        <v>8.6</v>
      </c>
      <c r="K844">
        <v>8.8</v>
      </c>
      <c r="L844">
        <v>8.8</v>
      </c>
      <c r="M844">
        <v>8.4</v>
      </c>
      <c r="N844">
        <f t="shared" si="13"/>
        <v>90.5</v>
      </c>
    </row>
    <row r="845" spans="1:14">
      <c r="A845">
        <v>20175118</v>
      </c>
      <c r="B845" t="s">
        <v>14</v>
      </c>
      <c r="C845" t="str">
        <f>VLOOKUP(B845,专业代码!$B$2:$C$8,2,FALSE)</f>
        <v>会计学</v>
      </c>
      <c r="D845">
        <v>9.9</v>
      </c>
      <c r="E845">
        <v>9.9</v>
      </c>
      <c r="F845">
        <v>9.6</v>
      </c>
      <c r="G845">
        <v>9</v>
      </c>
      <c r="H845">
        <v>7.6</v>
      </c>
      <c r="I845">
        <v>9.9</v>
      </c>
      <c r="J845">
        <v>8.4</v>
      </c>
      <c r="K845">
        <v>7.5</v>
      </c>
      <c r="L845">
        <v>4.2</v>
      </c>
      <c r="M845">
        <v>9.9</v>
      </c>
      <c r="N845">
        <f t="shared" si="13"/>
        <v>85.9</v>
      </c>
    </row>
    <row r="846" spans="1:14">
      <c r="A846">
        <v>20195342</v>
      </c>
      <c r="B846" t="s">
        <v>14</v>
      </c>
      <c r="C846" t="str">
        <f>VLOOKUP(B846,专业代码!$B$2:$C$8,2,FALSE)</f>
        <v>会计学</v>
      </c>
      <c r="D846">
        <v>9.6</v>
      </c>
      <c r="E846">
        <v>9.9</v>
      </c>
      <c r="F846">
        <v>9.9</v>
      </c>
      <c r="G846">
        <v>9.4</v>
      </c>
      <c r="H846">
        <v>8.9</v>
      </c>
      <c r="I846">
        <v>7.4</v>
      </c>
      <c r="J846">
        <v>9.9</v>
      </c>
      <c r="K846">
        <v>9</v>
      </c>
      <c r="L846">
        <v>9.3</v>
      </c>
      <c r="M846">
        <v>8.2</v>
      </c>
      <c r="N846">
        <f t="shared" si="13"/>
        <v>91.5</v>
      </c>
    </row>
    <row r="847" spans="1:14">
      <c r="A847">
        <v>20196008</v>
      </c>
      <c r="B847" t="s">
        <v>14</v>
      </c>
      <c r="C847" t="str">
        <f>VLOOKUP(B847,专业代码!$B$2:$C$8,2,FALSE)</f>
        <v>会计学</v>
      </c>
      <c r="D847">
        <v>9.9</v>
      </c>
      <c r="E847">
        <v>9.5</v>
      </c>
      <c r="F847">
        <v>9.1</v>
      </c>
      <c r="G847">
        <v>9.8</v>
      </c>
      <c r="H847">
        <v>8.9</v>
      </c>
      <c r="I847">
        <v>9</v>
      </c>
      <c r="J847">
        <v>7.9</v>
      </c>
      <c r="K847">
        <v>9.9</v>
      </c>
      <c r="L847">
        <v>8.5</v>
      </c>
      <c r="M847">
        <v>8.5</v>
      </c>
      <c r="N847">
        <f t="shared" si="13"/>
        <v>91</v>
      </c>
    </row>
    <row r="848" spans="1:14">
      <c r="A848">
        <v>20196161</v>
      </c>
      <c r="B848" t="s">
        <v>14</v>
      </c>
      <c r="C848" t="str">
        <f>VLOOKUP(B848,专业代码!$B$2:$C$8,2,FALSE)</f>
        <v>会计学</v>
      </c>
      <c r="D848">
        <v>9.9</v>
      </c>
      <c r="E848">
        <v>9.4</v>
      </c>
      <c r="F848">
        <v>9.7</v>
      </c>
      <c r="G848">
        <v>8.4</v>
      </c>
      <c r="H848">
        <v>9.7</v>
      </c>
      <c r="I848">
        <v>8.9</v>
      </c>
      <c r="J848">
        <v>8</v>
      </c>
      <c r="K848">
        <v>7</v>
      </c>
      <c r="L848">
        <v>7.9</v>
      </c>
      <c r="M848">
        <v>6.6</v>
      </c>
      <c r="N848">
        <f t="shared" si="13"/>
        <v>85.5</v>
      </c>
    </row>
    <row r="849" spans="1:14">
      <c r="A849">
        <v>20196918</v>
      </c>
      <c r="B849" t="s">
        <v>14</v>
      </c>
      <c r="C849" t="str">
        <f>VLOOKUP(B849,专业代码!$B$2:$C$8,2,FALSE)</f>
        <v>会计学</v>
      </c>
      <c r="D849">
        <v>9.9</v>
      </c>
      <c r="E849">
        <v>9.9</v>
      </c>
      <c r="F849">
        <v>8.6</v>
      </c>
      <c r="G849">
        <v>9.9</v>
      </c>
      <c r="H849">
        <v>9.9</v>
      </c>
      <c r="I849">
        <v>7.6</v>
      </c>
      <c r="J849">
        <v>5.4</v>
      </c>
      <c r="K849">
        <v>9.9</v>
      </c>
      <c r="L849">
        <v>7.3</v>
      </c>
      <c r="M849">
        <v>6.2</v>
      </c>
      <c r="N849">
        <f t="shared" si="13"/>
        <v>84.6</v>
      </c>
    </row>
    <row r="850" spans="1:14">
      <c r="A850">
        <v>20197778</v>
      </c>
      <c r="B850" t="s">
        <v>19</v>
      </c>
      <c r="C850" t="str">
        <f>VLOOKUP(B850,专业代码!$B$2:$C$8,2,FALSE)</f>
        <v>市场营销</v>
      </c>
      <c r="D850">
        <v>9.9</v>
      </c>
      <c r="E850">
        <v>8.9</v>
      </c>
      <c r="F850">
        <v>9.9</v>
      </c>
      <c r="G850">
        <v>8.6</v>
      </c>
      <c r="H850">
        <v>9.9</v>
      </c>
      <c r="I850">
        <v>8.7</v>
      </c>
      <c r="J850">
        <v>8</v>
      </c>
      <c r="K850">
        <v>9.7</v>
      </c>
      <c r="L850">
        <v>8.2</v>
      </c>
      <c r="M850">
        <v>7.2</v>
      </c>
      <c r="N850">
        <f t="shared" si="13"/>
        <v>89</v>
      </c>
    </row>
    <row r="851" spans="1:14">
      <c r="A851">
        <v>20198053</v>
      </c>
      <c r="B851" t="s">
        <v>14</v>
      </c>
      <c r="C851" t="str">
        <f>VLOOKUP(B851,专业代码!$B$2:$C$8,2,FALSE)</f>
        <v>会计学</v>
      </c>
      <c r="D851">
        <v>9.9</v>
      </c>
      <c r="E851">
        <v>9.9</v>
      </c>
      <c r="F851">
        <v>8.8</v>
      </c>
      <c r="G851">
        <v>9.9</v>
      </c>
      <c r="H851">
        <v>8.2</v>
      </c>
      <c r="I851">
        <v>9.9</v>
      </c>
      <c r="J851">
        <v>8.8</v>
      </c>
      <c r="K851">
        <v>8.9</v>
      </c>
      <c r="L851">
        <v>7.2</v>
      </c>
      <c r="M851">
        <v>8.5</v>
      </c>
      <c r="N851">
        <f t="shared" si="13"/>
        <v>90</v>
      </c>
    </row>
    <row r="852" spans="1:14">
      <c r="A852">
        <v>20198460</v>
      </c>
      <c r="B852" t="s">
        <v>14</v>
      </c>
      <c r="C852" t="str">
        <f>VLOOKUP(B852,专业代码!$B$2:$C$8,2,FALSE)</f>
        <v>会计学</v>
      </c>
      <c r="D852">
        <v>9.9</v>
      </c>
      <c r="E852">
        <v>9.2</v>
      </c>
      <c r="F852">
        <v>9.9</v>
      </c>
      <c r="G852">
        <v>9.2</v>
      </c>
      <c r="H852">
        <v>8.9</v>
      </c>
      <c r="I852">
        <v>8.7</v>
      </c>
      <c r="J852">
        <v>9.1</v>
      </c>
      <c r="K852">
        <v>6.8</v>
      </c>
      <c r="L852">
        <v>8.4</v>
      </c>
      <c r="M852">
        <v>6.4</v>
      </c>
      <c r="N852">
        <f t="shared" si="13"/>
        <v>86.5</v>
      </c>
    </row>
    <row r="853" spans="1:14">
      <c r="A853">
        <v>20178664</v>
      </c>
      <c r="B853" t="s">
        <v>15</v>
      </c>
      <c r="C853" t="str">
        <f>VLOOKUP(B853,专业代码!$B$2:$C$8,2,FALSE)</f>
        <v>保险学</v>
      </c>
      <c r="D853">
        <v>9.1</v>
      </c>
      <c r="E853">
        <v>9.8</v>
      </c>
      <c r="F853">
        <v>9.9</v>
      </c>
      <c r="G853">
        <v>8.9</v>
      </c>
      <c r="H853">
        <v>8.2</v>
      </c>
      <c r="I853">
        <v>8.6</v>
      </c>
      <c r="J853">
        <v>9.9</v>
      </c>
      <c r="K853">
        <v>9.9</v>
      </c>
      <c r="L853">
        <v>7.9</v>
      </c>
      <c r="M853">
        <v>8.6</v>
      </c>
      <c r="N853">
        <f t="shared" si="13"/>
        <v>90.8</v>
      </c>
    </row>
    <row r="854" spans="1:14">
      <c r="A854">
        <v>20179500</v>
      </c>
      <c r="B854" t="s">
        <v>19</v>
      </c>
      <c r="C854" t="str">
        <f>VLOOKUP(B854,专业代码!$B$2:$C$8,2,FALSE)</f>
        <v>市场营销</v>
      </c>
      <c r="D854">
        <v>9.9</v>
      </c>
      <c r="E854">
        <v>9.9</v>
      </c>
      <c r="F854">
        <v>9.9</v>
      </c>
      <c r="G854">
        <v>9.5</v>
      </c>
      <c r="H854">
        <v>9.6</v>
      </c>
      <c r="I854">
        <v>9.1</v>
      </c>
      <c r="J854">
        <v>9.3</v>
      </c>
      <c r="K854">
        <v>8.3</v>
      </c>
      <c r="L854">
        <v>7</v>
      </c>
      <c r="M854">
        <v>7.4</v>
      </c>
      <c r="N854">
        <f t="shared" si="13"/>
        <v>89.9</v>
      </c>
    </row>
    <row r="855" spans="1:14">
      <c r="A855">
        <v>20199879</v>
      </c>
      <c r="B855" t="s">
        <v>14</v>
      </c>
      <c r="C855" t="str">
        <f>VLOOKUP(B855,专业代码!$B$2:$C$8,2,FALSE)</f>
        <v>会计学</v>
      </c>
      <c r="D855">
        <v>9.9</v>
      </c>
      <c r="E855">
        <v>9.4</v>
      </c>
      <c r="F855">
        <v>9.9</v>
      </c>
      <c r="G855">
        <v>8.8</v>
      </c>
      <c r="H855">
        <v>9.4</v>
      </c>
      <c r="I855">
        <v>6.7</v>
      </c>
      <c r="J855">
        <v>8.9</v>
      </c>
      <c r="K855">
        <v>6.6</v>
      </c>
      <c r="L855">
        <v>5.5</v>
      </c>
      <c r="M855">
        <v>6.1</v>
      </c>
      <c r="N855">
        <f t="shared" si="13"/>
        <v>81.2</v>
      </c>
    </row>
    <row r="856" spans="1:14">
      <c r="A856">
        <v>20192034</v>
      </c>
      <c r="B856" t="s">
        <v>14</v>
      </c>
      <c r="C856" t="str">
        <f>VLOOKUP(B856,专业代码!$B$2:$C$8,2,FALSE)</f>
        <v>会计学</v>
      </c>
      <c r="D856">
        <v>8.8</v>
      </c>
      <c r="E856">
        <v>8.3</v>
      </c>
      <c r="F856">
        <v>8.9</v>
      </c>
      <c r="G856">
        <v>8.1</v>
      </c>
      <c r="H856">
        <v>7.4</v>
      </c>
      <c r="I856">
        <v>8.4</v>
      </c>
      <c r="J856">
        <v>8</v>
      </c>
      <c r="K856">
        <v>8</v>
      </c>
      <c r="L856">
        <v>6.8</v>
      </c>
      <c r="M856">
        <v>7.8</v>
      </c>
      <c r="N856">
        <f t="shared" si="13"/>
        <v>80.5</v>
      </c>
    </row>
    <row r="857" spans="1:14">
      <c r="A857">
        <v>20192347</v>
      </c>
      <c r="B857" t="s">
        <v>14</v>
      </c>
      <c r="C857" t="str">
        <f>VLOOKUP(B857,专业代码!$B$2:$C$8,2,FALSE)</f>
        <v>会计学</v>
      </c>
      <c r="D857">
        <v>8.5</v>
      </c>
      <c r="E857">
        <v>9.2</v>
      </c>
      <c r="F857">
        <v>8.2</v>
      </c>
      <c r="G857">
        <v>8.8</v>
      </c>
      <c r="H857">
        <v>6.6</v>
      </c>
      <c r="I857">
        <v>8.6</v>
      </c>
      <c r="J857">
        <v>6.7</v>
      </c>
      <c r="K857">
        <v>8.3</v>
      </c>
      <c r="L857">
        <v>7.6</v>
      </c>
      <c r="M857">
        <v>6.2</v>
      </c>
      <c r="N857">
        <f t="shared" si="13"/>
        <v>78.7</v>
      </c>
    </row>
    <row r="858" spans="1:14">
      <c r="A858">
        <v>20192694</v>
      </c>
      <c r="B858" t="s">
        <v>14</v>
      </c>
      <c r="C858" t="str">
        <f>VLOOKUP(B858,专业代码!$B$2:$C$8,2,FALSE)</f>
        <v>会计学</v>
      </c>
      <c r="D858">
        <v>9.1</v>
      </c>
      <c r="E858">
        <v>8.9</v>
      </c>
      <c r="F858">
        <v>8.8</v>
      </c>
      <c r="G858">
        <v>7.9</v>
      </c>
      <c r="H858">
        <v>9.1</v>
      </c>
      <c r="I858">
        <v>6.1</v>
      </c>
      <c r="J858">
        <v>7.5</v>
      </c>
      <c r="K858">
        <v>6.5</v>
      </c>
      <c r="L858">
        <v>7.3</v>
      </c>
      <c r="M858">
        <v>6.6</v>
      </c>
      <c r="N858">
        <f t="shared" si="13"/>
        <v>77.8</v>
      </c>
    </row>
    <row r="859" spans="1:14">
      <c r="A859">
        <v>20192809</v>
      </c>
      <c r="B859" t="s">
        <v>14</v>
      </c>
      <c r="C859" t="str">
        <f>VLOOKUP(B859,专业代码!$B$2:$C$8,2,FALSE)</f>
        <v>会计学</v>
      </c>
      <c r="D859">
        <v>9.2</v>
      </c>
      <c r="E859">
        <v>8.4</v>
      </c>
      <c r="F859">
        <v>8.4</v>
      </c>
      <c r="G859">
        <v>8.3</v>
      </c>
      <c r="H859">
        <v>7.5</v>
      </c>
      <c r="I859">
        <v>7.6</v>
      </c>
      <c r="J859">
        <v>7.8</v>
      </c>
      <c r="K859">
        <v>7.2</v>
      </c>
      <c r="L859">
        <v>6.4</v>
      </c>
      <c r="M859">
        <v>7</v>
      </c>
      <c r="N859">
        <f t="shared" si="13"/>
        <v>77.8</v>
      </c>
    </row>
    <row r="860" spans="1:14">
      <c r="A860">
        <v>20194233</v>
      </c>
      <c r="B860" t="s">
        <v>14</v>
      </c>
      <c r="C860" t="str">
        <f>VLOOKUP(B860,专业代码!$B$2:$C$8,2,FALSE)</f>
        <v>会计学</v>
      </c>
      <c r="D860">
        <v>8.7</v>
      </c>
      <c r="E860">
        <v>8.2</v>
      </c>
      <c r="F860">
        <v>8.2</v>
      </c>
      <c r="G860">
        <v>7.7</v>
      </c>
      <c r="H860">
        <v>6.5</v>
      </c>
      <c r="I860">
        <v>8.5</v>
      </c>
      <c r="J860">
        <v>7</v>
      </c>
      <c r="K860">
        <v>7.5</v>
      </c>
      <c r="L860">
        <v>5.8</v>
      </c>
      <c r="M860">
        <v>6.6</v>
      </c>
      <c r="N860">
        <f t="shared" si="13"/>
        <v>74.7</v>
      </c>
    </row>
    <row r="861" spans="1:14">
      <c r="A861">
        <v>20197910</v>
      </c>
      <c r="B861" t="s">
        <v>14</v>
      </c>
      <c r="C861" t="str">
        <f>VLOOKUP(B861,专业代码!$B$2:$C$8,2,FALSE)</f>
        <v>会计学</v>
      </c>
      <c r="D861">
        <v>8.9</v>
      </c>
      <c r="E861">
        <v>8.3</v>
      </c>
      <c r="F861">
        <v>8.1</v>
      </c>
      <c r="G861">
        <v>8.7</v>
      </c>
      <c r="H861">
        <v>8.6</v>
      </c>
      <c r="I861">
        <v>7.3</v>
      </c>
      <c r="J861">
        <v>6.4</v>
      </c>
      <c r="K861">
        <v>4.6</v>
      </c>
      <c r="L861">
        <v>6.1</v>
      </c>
      <c r="M861">
        <v>6.9</v>
      </c>
      <c r="N861">
        <f t="shared" si="13"/>
        <v>73.9</v>
      </c>
    </row>
    <row r="862" spans="1:14">
      <c r="A862">
        <v>20198417</v>
      </c>
      <c r="B862" t="s">
        <v>14</v>
      </c>
      <c r="C862" t="str">
        <f>VLOOKUP(B862,专业代码!$B$2:$C$8,2,FALSE)</f>
        <v>会计学</v>
      </c>
      <c r="D862">
        <v>8</v>
      </c>
      <c r="E862">
        <v>8.2</v>
      </c>
      <c r="F862">
        <v>8.7</v>
      </c>
      <c r="G862">
        <v>8</v>
      </c>
      <c r="H862">
        <v>5.9</v>
      </c>
      <c r="I862">
        <v>6.8</v>
      </c>
      <c r="J862">
        <v>9.4</v>
      </c>
      <c r="K862">
        <v>6.8</v>
      </c>
      <c r="L862">
        <v>7</v>
      </c>
      <c r="M862">
        <v>6.9</v>
      </c>
      <c r="N862">
        <f t="shared" si="13"/>
        <v>75.7</v>
      </c>
    </row>
    <row r="863" spans="1:14">
      <c r="A863">
        <v>20198868</v>
      </c>
      <c r="B863" t="s">
        <v>14</v>
      </c>
      <c r="C863" t="str">
        <f>VLOOKUP(B863,专业代码!$B$2:$C$8,2,FALSE)</f>
        <v>会计学</v>
      </c>
      <c r="D863">
        <v>8.6</v>
      </c>
      <c r="E863">
        <v>8.5</v>
      </c>
      <c r="F863">
        <v>8.5</v>
      </c>
      <c r="G863">
        <v>7.4</v>
      </c>
      <c r="H863">
        <v>8.8</v>
      </c>
      <c r="I863">
        <v>7.4</v>
      </c>
      <c r="J863">
        <v>9.4</v>
      </c>
      <c r="K863">
        <v>8.8</v>
      </c>
      <c r="L863">
        <v>7.1</v>
      </c>
      <c r="M863">
        <v>7.2</v>
      </c>
      <c r="N863">
        <f t="shared" si="13"/>
        <v>81.7</v>
      </c>
    </row>
    <row r="864" spans="1:14">
      <c r="A864">
        <v>20191266</v>
      </c>
      <c r="B864" t="s">
        <v>14</v>
      </c>
      <c r="C864" t="str">
        <f>VLOOKUP(B864,专业代码!$B$2:$C$8,2,FALSE)</f>
        <v>会计学</v>
      </c>
      <c r="D864">
        <v>8.7</v>
      </c>
      <c r="E864">
        <v>9.3</v>
      </c>
      <c r="F864">
        <v>8.4</v>
      </c>
      <c r="G864">
        <v>7.8</v>
      </c>
      <c r="H864">
        <v>8.1</v>
      </c>
      <c r="I864">
        <v>8.6</v>
      </c>
      <c r="J864">
        <v>8.7</v>
      </c>
      <c r="K864">
        <v>6.6</v>
      </c>
      <c r="L864">
        <v>5.2</v>
      </c>
      <c r="M864">
        <v>6</v>
      </c>
      <c r="N864">
        <f t="shared" si="13"/>
        <v>77.4</v>
      </c>
    </row>
    <row r="865" spans="1:14">
      <c r="A865">
        <v>20192199</v>
      </c>
      <c r="B865" t="s">
        <v>14</v>
      </c>
      <c r="C865" t="str">
        <f>VLOOKUP(B865,专业代码!$B$2:$C$8,2,FALSE)</f>
        <v>会计学</v>
      </c>
      <c r="D865">
        <v>8.6</v>
      </c>
      <c r="E865">
        <v>9.4</v>
      </c>
      <c r="F865">
        <v>8.8</v>
      </c>
      <c r="G865">
        <v>6.9</v>
      </c>
      <c r="H865">
        <v>6.5</v>
      </c>
      <c r="I865">
        <v>8.2</v>
      </c>
      <c r="J865">
        <v>8.3</v>
      </c>
      <c r="K865">
        <v>4.8</v>
      </c>
      <c r="L865">
        <v>6.6</v>
      </c>
      <c r="M865">
        <v>6</v>
      </c>
      <c r="N865">
        <f t="shared" si="13"/>
        <v>74.1</v>
      </c>
    </row>
    <row r="866" spans="1:14">
      <c r="A866">
        <v>20192632</v>
      </c>
      <c r="B866" t="s">
        <v>14</v>
      </c>
      <c r="C866" t="str">
        <f>VLOOKUP(B866,专业代码!$B$2:$C$8,2,FALSE)</f>
        <v>会计学</v>
      </c>
      <c r="D866">
        <v>9.6</v>
      </c>
      <c r="E866">
        <v>8.1</v>
      </c>
      <c r="F866">
        <v>8.9</v>
      </c>
      <c r="G866">
        <v>9</v>
      </c>
      <c r="H866">
        <v>8.2</v>
      </c>
      <c r="I866">
        <v>7.9</v>
      </c>
      <c r="J866">
        <v>5.9</v>
      </c>
      <c r="K866">
        <v>9.5</v>
      </c>
      <c r="L866">
        <v>7.2</v>
      </c>
      <c r="M866">
        <v>7</v>
      </c>
      <c r="N866">
        <f t="shared" si="13"/>
        <v>81.3</v>
      </c>
    </row>
    <row r="867" spans="1:14">
      <c r="A867">
        <v>20192646</v>
      </c>
      <c r="B867" t="s">
        <v>14</v>
      </c>
      <c r="C867" t="str">
        <f>VLOOKUP(B867,专业代码!$B$2:$C$8,2,FALSE)</f>
        <v>会计学</v>
      </c>
      <c r="D867">
        <v>8.7</v>
      </c>
      <c r="E867">
        <v>8.1</v>
      </c>
      <c r="F867">
        <v>9</v>
      </c>
      <c r="G867">
        <v>8</v>
      </c>
      <c r="H867">
        <v>9</v>
      </c>
      <c r="I867">
        <v>6.6</v>
      </c>
      <c r="J867">
        <v>8.6</v>
      </c>
      <c r="K867">
        <v>7.3</v>
      </c>
      <c r="L867">
        <v>6.2</v>
      </c>
      <c r="M867">
        <v>8.7</v>
      </c>
      <c r="N867">
        <f t="shared" si="13"/>
        <v>80.2</v>
      </c>
    </row>
    <row r="868" spans="1:14">
      <c r="A868">
        <v>20193205</v>
      </c>
      <c r="B868" t="s">
        <v>14</v>
      </c>
      <c r="C868" t="str">
        <f>VLOOKUP(B868,专业代码!$B$2:$C$8,2,FALSE)</f>
        <v>会计学</v>
      </c>
      <c r="D868">
        <v>8.6</v>
      </c>
      <c r="E868">
        <v>8.7</v>
      </c>
      <c r="F868">
        <v>8.8</v>
      </c>
      <c r="G868">
        <v>7.9</v>
      </c>
      <c r="H868">
        <v>8.2</v>
      </c>
      <c r="I868">
        <v>7.7</v>
      </c>
      <c r="J868">
        <v>8.8</v>
      </c>
      <c r="K868">
        <v>6.1</v>
      </c>
      <c r="L868">
        <v>7.6</v>
      </c>
      <c r="M868">
        <v>7.1</v>
      </c>
      <c r="N868">
        <f t="shared" si="13"/>
        <v>79.5</v>
      </c>
    </row>
    <row r="869" spans="1:14">
      <c r="A869">
        <v>20195205</v>
      </c>
      <c r="B869" t="s">
        <v>14</v>
      </c>
      <c r="C869" t="str">
        <f>VLOOKUP(B869,专业代码!$B$2:$C$8,2,FALSE)</f>
        <v>会计学</v>
      </c>
      <c r="D869">
        <v>9.1</v>
      </c>
      <c r="E869">
        <v>9.1</v>
      </c>
      <c r="F869">
        <v>7.3</v>
      </c>
      <c r="G869">
        <v>7.5</v>
      </c>
      <c r="H869">
        <v>9.3</v>
      </c>
      <c r="I869">
        <v>8.7</v>
      </c>
      <c r="J869">
        <v>9.6</v>
      </c>
      <c r="K869">
        <v>8.3</v>
      </c>
      <c r="L869">
        <v>7.3</v>
      </c>
      <c r="M869">
        <v>6.5</v>
      </c>
      <c r="N869">
        <f t="shared" si="13"/>
        <v>82.7</v>
      </c>
    </row>
    <row r="870" spans="1:14">
      <c r="A870">
        <v>20195352</v>
      </c>
      <c r="B870" t="s">
        <v>14</v>
      </c>
      <c r="C870" t="str">
        <f>VLOOKUP(B870,专业代码!$B$2:$C$8,2,FALSE)</f>
        <v>会计学</v>
      </c>
      <c r="D870">
        <v>8.9</v>
      </c>
      <c r="E870">
        <v>8.3</v>
      </c>
      <c r="F870">
        <v>8.2</v>
      </c>
      <c r="G870">
        <v>8.4</v>
      </c>
      <c r="H870">
        <v>6.9</v>
      </c>
      <c r="I870">
        <v>8.4</v>
      </c>
      <c r="J870">
        <v>6.4</v>
      </c>
      <c r="K870">
        <v>7.3</v>
      </c>
      <c r="L870">
        <v>6.8</v>
      </c>
      <c r="M870">
        <v>6.4</v>
      </c>
      <c r="N870">
        <f t="shared" si="13"/>
        <v>76</v>
      </c>
    </row>
    <row r="871" spans="1:14">
      <c r="A871">
        <v>20196157</v>
      </c>
      <c r="B871" t="s">
        <v>14</v>
      </c>
      <c r="C871" t="str">
        <f>VLOOKUP(B871,专业代码!$B$2:$C$8,2,FALSE)</f>
        <v>会计学</v>
      </c>
      <c r="D871">
        <v>9.9</v>
      </c>
      <c r="E871">
        <v>8</v>
      </c>
      <c r="F871">
        <v>9.4</v>
      </c>
      <c r="G871">
        <v>8</v>
      </c>
      <c r="H871">
        <v>7.1</v>
      </c>
      <c r="I871">
        <v>8.3</v>
      </c>
      <c r="J871">
        <v>8.1</v>
      </c>
      <c r="K871">
        <v>6.9</v>
      </c>
      <c r="L871">
        <v>7</v>
      </c>
      <c r="M871">
        <v>6.3</v>
      </c>
      <c r="N871">
        <f t="shared" si="13"/>
        <v>79</v>
      </c>
    </row>
    <row r="872" spans="1:14">
      <c r="A872">
        <v>20197199</v>
      </c>
      <c r="B872" t="s">
        <v>14</v>
      </c>
      <c r="C872" t="str">
        <f>VLOOKUP(B872,专业代码!$B$2:$C$8,2,FALSE)</f>
        <v>会计学</v>
      </c>
      <c r="D872">
        <v>9</v>
      </c>
      <c r="E872">
        <v>8.4</v>
      </c>
      <c r="F872">
        <v>9.9</v>
      </c>
      <c r="G872">
        <v>7.9</v>
      </c>
      <c r="H872">
        <v>8.6</v>
      </c>
      <c r="I872">
        <v>7.9</v>
      </c>
      <c r="J872">
        <v>7.5</v>
      </c>
      <c r="K872">
        <v>8.4</v>
      </c>
      <c r="L872">
        <v>6.7</v>
      </c>
      <c r="M872">
        <v>4.4</v>
      </c>
      <c r="N872">
        <f t="shared" si="13"/>
        <v>78.7</v>
      </c>
    </row>
    <row r="873" spans="1:14">
      <c r="A873">
        <v>20198465</v>
      </c>
      <c r="B873" t="s">
        <v>14</v>
      </c>
      <c r="C873" t="str">
        <f>VLOOKUP(B873,专业代码!$B$2:$C$8,2,FALSE)</f>
        <v>会计学</v>
      </c>
      <c r="D873">
        <v>8.4</v>
      </c>
      <c r="E873">
        <v>8.6</v>
      </c>
      <c r="F873">
        <v>8.3</v>
      </c>
      <c r="G873">
        <v>8.3</v>
      </c>
      <c r="H873">
        <v>8.7</v>
      </c>
      <c r="I873">
        <v>8.6</v>
      </c>
      <c r="J873">
        <v>9.4</v>
      </c>
      <c r="K873">
        <v>6.5</v>
      </c>
      <c r="L873">
        <v>7.7</v>
      </c>
      <c r="M873">
        <v>7.2</v>
      </c>
      <c r="N873">
        <f t="shared" si="13"/>
        <v>81.7</v>
      </c>
    </row>
    <row r="874" spans="1:14">
      <c r="A874">
        <v>20191120</v>
      </c>
      <c r="B874" t="s">
        <v>14</v>
      </c>
      <c r="C874" t="str">
        <f>VLOOKUP(B874,专业代码!$B$2:$C$8,2,FALSE)</f>
        <v>会计学</v>
      </c>
      <c r="D874">
        <v>8.6</v>
      </c>
      <c r="E874">
        <v>8.6</v>
      </c>
      <c r="F874">
        <v>7.6</v>
      </c>
      <c r="G874">
        <v>8.2</v>
      </c>
      <c r="H874">
        <v>8.5</v>
      </c>
      <c r="I874">
        <v>8.2</v>
      </c>
      <c r="J874">
        <v>7.4</v>
      </c>
      <c r="K874">
        <v>8.5</v>
      </c>
      <c r="L874">
        <v>5</v>
      </c>
      <c r="M874">
        <v>5.5</v>
      </c>
      <c r="N874">
        <f t="shared" si="13"/>
        <v>76.1</v>
      </c>
    </row>
    <row r="875" spans="1:14">
      <c r="A875">
        <v>20191768</v>
      </c>
      <c r="B875" t="s">
        <v>14</v>
      </c>
      <c r="C875" t="str">
        <f>VLOOKUP(B875,专业代码!$B$2:$C$8,2,FALSE)</f>
        <v>会计学</v>
      </c>
      <c r="D875">
        <v>9.1</v>
      </c>
      <c r="E875">
        <v>8.8</v>
      </c>
      <c r="F875">
        <v>8.9</v>
      </c>
      <c r="G875">
        <v>8</v>
      </c>
      <c r="H875">
        <v>7.9</v>
      </c>
      <c r="I875">
        <v>7.9</v>
      </c>
      <c r="J875">
        <v>7</v>
      </c>
      <c r="K875">
        <v>7.6</v>
      </c>
      <c r="L875">
        <v>7.8</v>
      </c>
      <c r="M875">
        <v>5.6</v>
      </c>
      <c r="N875">
        <f t="shared" si="13"/>
        <v>78.6</v>
      </c>
    </row>
    <row r="876" spans="1:14">
      <c r="A876">
        <v>20192110</v>
      </c>
      <c r="B876" t="s">
        <v>14</v>
      </c>
      <c r="C876" t="str">
        <f>VLOOKUP(B876,专业代码!$B$2:$C$8,2,FALSE)</f>
        <v>会计学</v>
      </c>
      <c r="D876">
        <v>9</v>
      </c>
      <c r="E876">
        <v>7.8</v>
      </c>
      <c r="F876">
        <v>7.5</v>
      </c>
      <c r="G876">
        <v>8.3</v>
      </c>
      <c r="H876">
        <v>8.9</v>
      </c>
      <c r="I876">
        <v>8.6</v>
      </c>
      <c r="J876">
        <v>7.1</v>
      </c>
      <c r="K876">
        <v>7.3</v>
      </c>
      <c r="L876">
        <v>6.3</v>
      </c>
      <c r="M876">
        <v>5</v>
      </c>
      <c r="N876">
        <f t="shared" si="13"/>
        <v>75.8</v>
      </c>
    </row>
    <row r="877" spans="1:14">
      <c r="A877">
        <v>20192982</v>
      </c>
      <c r="B877" t="s">
        <v>14</v>
      </c>
      <c r="C877" t="str">
        <f>VLOOKUP(B877,专业代码!$B$2:$C$8,2,FALSE)</f>
        <v>会计学</v>
      </c>
      <c r="D877">
        <v>9.1</v>
      </c>
      <c r="E877">
        <v>8.7</v>
      </c>
      <c r="F877">
        <v>8.9</v>
      </c>
      <c r="G877">
        <v>7</v>
      </c>
      <c r="H877">
        <v>7.7</v>
      </c>
      <c r="I877">
        <v>7.9</v>
      </c>
      <c r="J877">
        <v>8.5</v>
      </c>
      <c r="K877">
        <v>5.7</v>
      </c>
      <c r="L877">
        <v>9.5</v>
      </c>
      <c r="M877">
        <v>5.8</v>
      </c>
      <c r="N877">
        <f t="shared" si="13"/>
        <v>78.8</v>
      </c>
    </row>
    <row r="878" spans="1:14">
      <c r="A878">
        <v>20193228</v>
      </c>
      <c r="B878" t="s">
        <v>14</v>
      </c>
      <c r="C878" t="str">
        <f>VLOOKUP(B878,专业代码!$B$2:$C$8,2,FALSE)</f>
        <v>会计学</v>
      </c>
      <c r="D878">
        <v>8.5</v>
      </c>
      <c r="E878">
        <v>8.4</v>
      </c>
      <c r="F878">
        <v>7.9</v>
      </c>
      <c r="G878">
        <v>8.4</v>
      </c>
      <c r="H878">
        <v>7.5</v>
      </c>
      <c r="I878">
        <v>8.5</v>
      </c>
      <c r="J878">
        <v>8.2</v>
      </c>
      <c r="K878">
        <v>6</v>
      </c>
      <c r="L878">
        <v>5.8</v>
      </c>
      <c r="M878">
        <v>6.6</v>
      </c>
      <c r="N878">
        <f t="shared" si="13"/>
        <v>75.8</v>
      </c>
    </row>
    <row r="879" spans="1:14">
      <c r="A879">
        <v>20193662</v>
      </c>
      <c r="B879" t="s">
        <v>14</v>
      </c>
      <c r="C879" t="str">
        <f>VLOOKUP(B879,专业代码!$B$2:$C$8,2,FALSE)</f>
        <v>会计学</v>
      </c>
      <c r="D879">
        <v>8.7</v>
      </c>
      <c r="E879">
        <v>8.2</v>
      </c>
      <c r="F879">
        <v>8.1</v>
      </c>
      <c r="G879">
        <v>8.1</v>
      </c>
      <c r="H879">
        <v>7.7</v>
      </c>
      <c r="I879">
        <v>7.6</v>
      </c>
      <c r="J879">
        <v>6.3</v>
      </c>
      <c r="K879">
        <v>7.7</v>
      </c>
      <c r="L879">
        <v>6.6</v>
      </c>
      <c r="M879">
        <v>6.8</v>
      </c>
      <c r="N879">
        <f t="shared" si="13"/>
        <v>75.8</v>
      </c>
    </row>
    <row r="880" spans="1:14">
      <c r="A880">
        <v>20199964</v>
      </c>
      <c r="B880" t="s">
        <v>14</v>
      </c>
      <c r="C880" t="str">
        <f>VLOOKUP(B880,专业代码!$B$2:$C$8,2,FALSE)</f>
        <v>会计学</v>
      </c>
      <c r="D880">
        <v>9.2</v>
      </c>
      <c r="E880">
        <v>9.9</v>
      </c>
      <c r="F880">
        <v>8.3</v>
      </c>
      <c r="G880">
        <v>8</v>
      </c>
      <c r="H880">
        <v>8.1</v>
      </c>
      <c r="I880">
        <v>7.9</v>
      </c>
      <c r="J880">
        <v>7.8</v>
      </c>
      <c r="K880">
        <v>6</v>
      </c>
      <c r="L880">
        <v>8.3</v>
      </c>
      <c r="M880">
        <v>4.6</v>
      </c>
      <c r="N880">
        <f t="shared" si="13"/>
        <v>78.1</v>
      </c>
    </row>
    <row r="881" spans="1:14">
      <c r="A881">
        <v>20191067</v>
      </c>
      <c r="B881" t="s">
        <v>14</v>
      </c>
      <c r="C881" t="str">
        <f>VLOOKUP(B881,专业代码!$B$2:$C$8,2,FALSE)</f>
        <v>会计学</v>
      </c>
      <c r="D881">
        <v>8.2</v>
      </c>
      <c r="E881">
        <v>8.6</v>
      </c>
      <c r="F881">
        <v>9</v>
      </c>
      <c r="G881">
        <v>8</v>
      </c>
      <c r="H881">
        <v>9</v>
      </c>
      <c r="I881">
        <v>8.6</v>
      </c>
      <c r="J881">
        <v>5.7</v>
      </c>
      <c r="K881">
        <v>7.4</v>
      </c>
      <c r="L881">
        <v>6.7</v>
      </c>
      <c r="M881">
        <v>6.8</v>
      </c>
      <c r="N881">
        <f t="shared" si="13"/>
        <v>78</v>
      </c>
    </row>
    <row r="882" spans="1:14">
      <c r="A882">
        <v>20191234</v>
      </c>
      <c r="B882" t="s">
        <v>14</v>
      </c>
      <c r="C882" t="str">
        <f>VLOOKUP(B882,专业代码!$B$2:$C$8,2,FALSE)</f>
        <v>会计学</v>
      </c>
      <c r="D882">
        <v>9</v>
      </c>
      <c r="E882">
        <v>8.8</v>
      </c>
      <c r="F882">
        <v>8.1</v>
      </c>
      <c r="G882">
        <v>8.7</v>
      </c>
      <c r="H882">
        <v>7</v>
      </c>
      <c r="I882">
        <v>6.6</v>
      </c>
      <c r="J882">
        <v>8.6</v>
      </c>
      <c r="K882">
        <v>5.9</v>
      </c>
      <c r="L882">
        <v>7.5</v>
      </c>
      <c r="M882">
        <v>6.2</v>
      </c>
      <c r="N882">
        <f t="shared" si="13"/>
        <v>76.4</v>
      </c>
    </row>
    <row r="883" spans="1:14">
      <c r="A883">
        <v>20191568</v>
      </c>
      <c r="B883" t="s">
        <v>14</v>
      </c>
      <c r="C883" t="str">
        <f>VLOOKUP(B883,专业代码!$B$2:$C$8,2,FALSE)</f>
        <v>会计学</v>
      </c>
      <c r="D883">
        <v>8.4</v>
      </c>
      <c r="E883">
        <v>9.3</v>
      </c>
      <c r="F883">
        <v>9.3</v>
      </c>
      <c r="G883">
        <v>8</v>
      </c>
      <c r="H883">
        <v>6.6</v>
      </c>
      <c r="I883">
        <v>6.7</v>
      </c>
      <c r="J883">
        <v>7.9</v>
      </c>
      <c r="K883">
        <v>6.7</v>
      </c>
      <c r="L883">
        <v>6.6</v>
      </c>
      <c r="M883">
        <v>7.7</v>
      </c>
      <c r="N883">
        <f t="shared" si="13"/>
        <v>77.2</v>
      </c>
    </row>
    <row r="884" spans="1:14">
      <c r="A884">
        <v>20192473</v>
      </c>
      <c r="B884" t="s">
        <v>14</v>
      </c>
      <c r="C884" t="str">
        <f>VLOOKUP(B884,专业代码!$B$2:$C$8,2,FALSE)</f>
        <v>会计学</v>
      </c>
      <c r="D884">
        <v>9</v>
      </c>
      <c r="E884">
        <v>8.8</v>
      </c>
      <c r="F884">
        <v>8.3</v>
      </c>
      <c r="G884">
        <v>8.4</v>
      </c>
      <c r="H884">
        <v>8.9</v>
      </c>
      <c r="I884">
        <v>6.9</v>
      </c>
      <c r="J884">
        <v>6.6</v>
      </c>
      <c r="K884">
        <v>6.5</v>
      </c>
      <c r="L884">
        <v>7.3</v>
      </c>
      <c r="M884">
        <v>4.9</v>
      </c>
      <c r="N884">
        <f t="shared" si="13"/>
        <v>75.6</v>
      </c>
    </row>
    <row r="885" spans="1:14">
      <c r="A885">
        <v>20193678</v>
      </c>
      <c r="B885" t="s">
        <v>14</v>
      </c>
      <c r="C885" t="str">
        <f>VLOOKUP(B885,专业代码!$B$2:$C$8,2,FALSE)</f>
        <v>会计学</v>
      </c>
      <c r="D885">
        <v>8.5</v>
      </c>
      <c r="E885">
        <v>9</v>
      </c>
      <c r="F885">
        <v>7.3</v>
      </c>
      <c r="G885">
        <v>7.7</v>
      </c>
      <c r="H885">
        <v>8.4</v>
      </c>
      <c r="I885">
        <v>8.6</v>
      </c>
      <c r="J885">
        <v>8</v>
      </c>
      <c r="K885">
        <v>8.4</v>
      </c>
      <c r="L885">
        <v>5.8</v>
      </c>
      <c r="M885">
        <v>5.6</v>
      </c>
      <c r="N885">
        <f t="shared" si="13"/>
        <v>77.3</v>
      </c>
    </row>
    <row r="886" spans="1:14">
      <c r="A886">
        <v>20195010</v>
      </c>
      <c r="B886" t="s">
        <v>14</v>
      </c>
      <c r="C886" t="str">
        <f>VLOOKUP(B886,专业代码!$B$2:$C$8,2,FALSE)</f>
        <v>会计学</v>
      </c>
      <c r="D886">
        <v>9</v>
      </c>
      <c r="E886">
        <v>8.2</v>
      </c>
      <c r="F886">
        <v>8.4</v>
      </c>
      <c r="G886">
        <v>7.1</v>
      </c>
      <c r="H886">
        <v>7</v>
      </c>
      <c r="I886">
        <v>6.5</v>
      </c>
      <c r="J886">
        <v>6</v>
      </c>
      <c r="K886">
        <v>5.1</v>
      </c>
      <c r="L886">
        <v>7.2</v>
      </c>
      <c r="M886">
        <v>7.3</v>
      </c>
      <c r="N886">
        <f t="shared" si="13"/>
        <v>71.8</v>
      </c>
    </row>
    <row r="887" spans="1:14">
      <c r="A887">
        <v>20196099</v>
      </c>
      <c r="B887" t="s">
        <v>14</v>
      </c>
      <c r="C887" t="str">
        <f>VLOOKUP(B887,专业代码!$B$2:$C$8,2,FALSE)</f>
        <v>会计学</v>
      </c>
      <c r="D887">
        <v>8.8</v>
      </c>
      <c r="E887">
        <v>8.2</v>
      </c>
      <c r="F887">
        <v>8.3</v>
      </c>
      <c r="G887">
        <v>8</v>
      </c>
      <c r="H887">
        <v>8</v>
      </c>
      <c r="I887">
        <v>8.3</v>
      </c>
      <c r="J887">
        <v>7.5</v>
      </c>
      <c r="K887">
        <v>7.4</v>
      </c>
      <c r="L887">
        <v>7.5</v>
      </c>
      <c r="M887">
        <v>6.1</v>
      </c>
      <c r="N887">
        <f t="shared" si="13"/>
        <v>78.1</v>
      </c>
    </row>
    <row r="888" spans="1:14">
      <c r="A888">
        <v>20196251</v>
      </c>
      <c r="B888" t="s">
        <v>14</v>
      </c>
      <c r="C888" t="str">
        <f>VLOOKUP(B888,专业代码!$B$2:$C$8,2,FALSE)</f>
        <v>会计学</v>
      </c>
      <c r="D888">
        <v>9.1</v>
      </c>
      <c r="E888">
        <v>8.1</v>
      </c>
      <c r="F888">
        <v>8.1</v>
      </c>
      <c r="G888">
        <v>8.9</v>
      </c>
      <c r="H888">
        <v>7.6</v>
      </c>
      <c r="I888">
        <v>6.9</v>
      </c>
      <c r="J888">
        <v>7.2</v>
      </c>
      <c r="K888">
        <v>7.6</v>
      </c>
      <c r="L888">
        <v>7.5</v>
      </c>
      <c r="M888">
        <v>4.9</v>
      </c>
      <c r="N888">
        <f t="shared" si="13"/>
        <v>75.9</v>
      </c>
    </row>
    <row r="889" spans="1:14">
      <c r="A889">
        <v>20196465</v>
      </c>
      <c r="B889" t="s">
        <v>14</v>
      </c>
      <c r="C889" t="str">
        <f>VLOOKUP(B889,专业代码!$B$2:$C$8,2,FALSE)</f>
        <v>会计学</v>
      </c>
      <c r="D889">
        <v>8.4</v>
      </c>
      <c r="E889">
        <v>9.2</v>
      </c>
      <c r="F889">
        <v>8.9</v>
      </c>
      <c r="G889">
        <v>9</v>
      </c>
      <c r="H889">
        <v>6.1</v>
      </c>
      <c r="I889">
        <v>6.8</v>
      </c>
      <c r="J889">
        <v>6.3</v>
      </c>
      <c r="K889">
        <v>7.5</v>
      </c>
      <c r="L889">
        <v>6.6</v>
      </c>
      <c r="M889">
        <v>5.7</v>
      </c>
      <c r="N889">
        <f t="shared" si="13"/>
        <v>74.5</v>
      </c>
    </row>
    <row r="890" spans="1:14">
      <c r="A890">
        <v>20196610</v>
      </c>
      <c r="B890" t="s">
        <v>14</v>
      </c>
      <c r="C890" t="str">
        <f>VLOOKUP(B890,专业代码!$B$2:$C$8,2,FALSE)</f>
        <v>会计学</v>
      </c>
      <c r="D890">
        <v>8.3</v>
      </c>
      <c r="E890">
        <v>8.7</v>
      </c>
      <c r="F890">
        <v>8.3</v>
      </c>
      <c r="G890">
        <v>8</v>
      </c>
      <c r="H890">
        <v>8.1</v>
      </c>
      <c r="I890">
        <v>6.8</v>
      </c>
      <c r="J890">
        <v>6.7</v>
      </c>
      <c r="K890">
        <v>7.2</v>
      </c>
      <c r="L890">
        <v>7.3</v>
      </c>
      <c r="M890">
        <v>7.7</v>
      </c>
      <c r="N890">
        <f t="shared" si="13"/>
        <v>77.1</v>
      </c>
    </row>
    <row r="891" spans="1:14">
      <c r="A891">
        <v>20197426</v>
      </c>
      <c r="B891" t="s">
        <v>14</v>
      </c>
      <c r="C891" t="str">
        <f>VLOOKUP(B891,专业代码!$B$2:$C$8,2,FALSE)</f>
        <v>会计学</v>
      </c>
      <c r="D891">
        <v>7.7</v>
      </c>
      <c r="E891">
        <v>8.4</v>
      </c>
      <c r="F891">
        <v>8.2</v>
      </c>
      <c r="G891">
        <v>8</v>
      </c>
      <c r="H891">
        <v>8.6</v>
      </c>
      <c r="I891">
        <v>7.2</v>
      </c>
      <c r="J891">
        <v>7.3</v>
      </c>
      <c r="K891">
        <v>8.4</v>
      </c>
      <c r="L891">
        <v>5.7</v>
      </c>
      <c r="M891">
        <v>7.3</v>
      </c>
      <c r="N891">
        <f t="shared" si="13"/>
        <v>76.8</v>
      </c>
    </row>
    <row r="892" spans="1:14">
      <c r="A892">
        <v>20197983</v>
      </c>
      <c r="B892" t="s">
        <v>14</v>
      </c>
      <c r="C892" t="str">
        <f>VLOOKUP(B892,专业代码!$B$2:$C$8,2,FALSE)</f>
        <v>会计学</v>
      </c>
      <c r="D892">
        <v>8.6</v>
      </c>
      <c r="E892">
        <v>8.1</v>
      </c>
      <c r="F892">
        <v>8.1</v>
      </c>
      <c r="G892">
        <v>8</v>
      </c>
      <c r="H892">
        <v>7.4</v>
      </c>
      <c r="I892">
        <v>6.5</v>
      </c>
      <c r="J892">
        <v>8.8</v>
      </c>
      <c r="K892">
        <v>6.8</v>
      </c>
      <c r="L892">
        <v>6.4</v>
      </c>
      <c r="M892">
        <v>6</v>
      </c>
      <c r="N892">
        <f t="shared" si="13"/>
        <v>74.7</v>
      </c>
    </row>
    <row r="893" spans="1:14">
      <c r="A893">
        <v>20199636</v>
      </c>
      <c r="B893" t="s">
        <v>14</v>
      </c>
      <c r="C893" t="str">
        <f>VLOOKUP(B893,专业代码!$B$2:$C$8,2,FALSE)</f>
        <v>会计学</v>
      </c>
      <c r="D893">
        <v>9.5</v>
      </c>
      <c r="E893">
        <v>9.2</v>
      </c>
      <c r="F893">
        <v>8.6</v>
      </c>
      <c r="G893">
        <v>8.1</v>
      </c>
      <c r="H893">
        <v>8.6</v>
      </c>
      <c r="I893">
        <v>8.7</v>
      </c>
      <c r="J893">
        <v>9.1</v>
      </c>
      <c r="K893">
        <v>8.2</v>
      </c>
      <c r="L893">
        <v>8.9</v>
      </c>
      <c r="M893">
        <v>5.8</v>
      </c>
      <c r="N893">
        <f t="shared" si="13"/>
        <v>84.7</v>
      </c>
    </row>
    <row r="894" spans="1:14">
      <c r="A894">
        <v>20191369</v>
      </c>
      <c r="B894" t="s">
        <v>14</v>
      </c>
      <c r="C894" t="str">
        <f>VLOOKUP(B894,专业代码!$B$2:$C$8,2,FALSE)</f>
        <v>会计学</v>
      </c>
      <c r="D894">
        <v>8.9</v>
      </c>
      <c r="E894">
        <v>8.3</v>
      </c>
      <c r="F894">
        <v>7.5</v>
      </c>
      <c r="G894">
        <v>8.7</v>
      </c>
      <c r="H894">
        <v>7</v>
      </c>
      <c r="I894">
        <v>7.3</v>
      </c>
      <c r="J894">
        <v>7.6</v>
      </c>
      <c r="K894">
        <v>7.2</v>
      </c>
      <c r="L894">
        <v>7.2</v>
      </c>
      <c r="M894">
        <v>5.6</v>
      </c>
      <c r="N894">
        <f t="shared" si="13"/>
        <v>75.3</v>
      </c>
    </row>
    <row r="895" spans="1:14">
      <c r="A895">
        <v>20191935</v>
      </c>
      <c r="B895" t="s">
        <v>14</v>
      </c>
      <c r="C895" t="str">
        <f>VLOOKUP(B895,专业代码!$B$2:$C$8,2,FALSE)</f>
        <v>会计学</v>
      </c>
      <c r="D895">
        <v>8.9</v>
      </c>
      <c r="E895">
        <v>8.5</v>
      </c>
      <c r="F895">
        <v>8.3</v>
      </c>
      <c r="G895">
        <v>7.7</v>
      </c>
      <c r="H895">
        <v>6.7</v>
      </c>
      <c r="I895">
        <v>8.8</v>
      </c>
      <c r="J895">
        <v>6.8</v>
      </c>
      <c r="K895">
        <v>7</v>
      </c>
      <c r="L895">
        <v>8</v>
      </c>
      <c r="M895">
        <v>3.9</v>
      </c>
      <c r="N895">
        <f t="shared" si="13"/>
        <v>74.6</v>
      </c>
    </row>
    <row r="896" spans="1:14">
      <c r="A896">
        <v>20192527</v>
      </c>
      <c r="B896" t="s">
        <v>14</v>
      </c>
      <c r="C896" t="str">
        <f>VLOOKUP(B896,专业代码!$B$2:$C$8,2,FALSE)</f>
        <v>会计学</v>
      </c>
      <c r="D896">
        <v>8.2</v>
      </c>
      <c r="E896">
        <v>8.4</v>
      </c>
      <c r="F896">
        <v>7.4</v>
      </c>
      <c r="G896">
        <v>9.4</v>
      </c>
      <c r="H896">
        <v>6</v>
      </c>
      <c r="I896">
        <v>6.2</v>
      </c>
      <c r="J896">
        <v>8.8</v>
      </c>
      <c r="K896">
        <v>7.6</v>
      </c>
      <c r="L896">
        <v>7.4</v>
      </c>
      <c r="M896">
        <v>5.5</v>
      </c>
      <c r="N896">
        <f t="shared" si="13"/>
        <v>74.9</v>
      </c>
    </row>
    <row r="897" spans="1:14">
      <c r="A897">
        <v>20193835</v>
      </c>
      <c r="B897" t="s">
        <v>14</v>
      </c>
      <c r="C897" t="str">
        <f>VLOOKUP(B897,专业代码!$B$2:$C$8,2,FALSE)</f>
        <v>会计学</v>
      </c>
      <c r="D897">
        <v>9.4</v>
      </c>
      <c r="E897">
        <v>8.3</v>
      </c>
      <c r="F897">
        <v>7.9</v>
      </c>
      <c r="G897">
        <v>9.6</v>
      </c>
      <c r="H897">
        <v>7.1</v>
      </c>
      <c r="I897">
        <v>8.2</v>
      </c>
      <c r="J897">
        <v>6.4</v>
      </c>
      <c r="K897">
        <v>8.3</v>
      </c>
      <c r="L897">
        <v>6.9</v>
      </c>
      <c r="M897">
        <v>6.6</v>
      </c>
      <c r="N897">
        <f t="shared" si="13"/>
        <v>78.7</v>
      </c>
    </row>
    <row r="898" spans="1:14">
      <c r="A898">
        <v>20194860</v>
      </c>
      <c r="B898" t="s">
        <v>14</v>
      </c>
      <c r="C898" t="str">
        <f>VLOOKUP(B898,专业代码!$B$2:$C$8,2,FALSE)</f>
        <v>会计学</v>
      </c>
      <c r="D898">
        <v>7.3</v>
      </c>
      <c r="E898">
        <v>8.4</v>
      </c>
      <c r="F898">
        <v>8.7</v>
      </c>
      <c r="G898">
        <v>8.3</v>
      </c>
      <c r="H898">
        <v>9.4</v>
      </c>
      <c r="I898">
        <v>8.7</v>
      </c>
      <c r="J898">
        <v>9.2</v>
      </c>
      <c r="K898">
        <v>7.9</v>
      </c>
      <c r="L898">
        <v>7.2</v>
      </c>
      <c r="M898">
        <v>7.4</v>
      </c>
      <c r="N898">
        <f t="shared" si="13"/>
        <v>82.5</v>
      </c>
    </row>
    <row r="899" spans="1:14">
      <c r="A899">
        <v>20195264</v>
      </c>
      <c r="B899" t="s">
        <v>14</v>
      </c>
      <c r="C899" t="str">
        <f>VLOOKUP(B899,专业代码!$B$2:$C$8,2,FALSE)</f>
        <v>会计学</v>
      </c>
      <c r="D899">
        <v>8.2</v>
      </c>
      <c r="E899">
        <v>8.8</v>
      </c>
      <c r="F899">
        <v>8.9</v>
      </c>
      <c r="G899">
        <v>7.9</v>
      </c>
      <c r="H899">
        <v>8.2</v>
      </c>
      <c r="I899">
        <v>7.2</v>
      </c>
      <c r="J899">
        <v>7.7</v>
      </c>
      <c r="K899">
        <v>8.3</v>
      </c>
      <c r="L899">
        <v>6.2</v>
      </c>
      <c r="M899">
        <v>3.5</v>
      </c>
      <c r="N899">
        <f t="shared" ref="N899:N962" si="14">SUM(D899:M899)</f>
        <v>74.9</v>
      </c>
    </row>
    <row r="900" spans="1:14">
      <c r="A900">
        <v>20195357</v>
      </c>
      <c r="B900" t="s">
        <v>14</v>
      </c>
      <c r="C900" t="str">
        <f>VLOOKUP(B900,专业代码!$B$2:$C$8,2,FALSE)</f>
        <v>会计学</v>
      </c>
      <c r="D900">
        <v>8.3</v>
      </c>
      <c r="E900">
        <v>8.2</v>
      </c>
      <c r="F900">
        <v>9.8</v>
      </c>
      <c r="G900">
        <v>8</v>
      </c>
      <c r="H900">
        <v>7.9</v>
      </c>
      <c r="I900">
        <v>8.2</v>
      </c>
      <c r="J900">
        <v>7</v>
      </c>
      <c r="K900">
        <v>7.4</v>
      </c>
      <c r="L900">
        <v>8.1</v>
      </c>
      <c r="M900">
        <v>5.1</v>
      </c>
      <c r="N900">
        <f t="shared" si="14"/>
        <v>78</v>
      </c>
    </row>
    <row r="901" spans="1:14">
      <c r="A901">
        <v>20196254</v>
      </c>
      <c r="B901" t="s">
        <v>14</v>
      </c>
      <c r="C901" t="str">
        <f>VLOOKUP(B901,专业代码!$B$2:$C$8,2,FALSE)</f>
        <v>会计学</v>
      </c>
      <c r="D901">
        <v>8.7</v>
      </c>
      <c r="E901">
        <v>7.8</v>
      </c>
      <c r="F901">
        <v>8.8</v>
      </c>
      <c r="G901">
        <v>8</v>
      </c>
      <c r="H901">
        <v>8.2</v>
      </c>
      <c r="I901">
        <v>7.1</v>
      </c>
      <c r="J901">
        <v>8.5</v>
      </c>
      <c r="K901">
        <v>9.5</v>
      </c>
      <c r="L901">
        <v>9.5</v>
      </c>
      <c r="M901">
        <v>6.6</v>
      </c>
      <c r="N901">
        <f t="shared" si="14"/>
        <v>82.7</v>
      </c>
    </row>
    <row r="902" spans="1:14">
      <c r="A902">
        <v>20196707</v>
      </c>
      <c r="B902" t="s">
        <v>14</v>
      </c>
      <c r="C902" t="str">
        <f>VLOOKUP(B902,专业代码!$B$2:$C$8,2,FALSE)</f>
        <v>会计学</v>
      </c>
      <c r="D902">
        <v>8.2</v>
      </c>
      <c r="E902">
        <v>7.9</v>
      </c>
      <c r="F902">
        <v>7.7</v>
      </c>
      <c r="G902">
        <v>7.3</v>
      </c>
      <c r="H902">
        <v>7.9</v>
      </c>
      <c r="I902">
        <v>8</v>
      </c>
      <c r="J902">
        <v>8.8</v>
      </c>
      <c r="K902">
        <v>8.3</v>
      </c>
      <c r="L902">
        <v>7.4</v>
      </c>
      <c r="M902">
        <v>7.8</v>
      </c>
      <c r="N902">
        <f t="shared" si="14"/>
        <v>79.3</v>
      </c>
    </row>
    <row r="903" spans="1:14">
      <c r="A903">
        <v>20197020</v>
      </c>
      <c r="B903" t="s">
        <v>14</v>
      </c>
      <c r="C903" t="str">
        <f>VLOOKUP(B903,专业代码!$B$2:$C$8,2,FALSE)</f>
        <v>会计学</v>
      </c>
      <c r="D903">
        <v>9.6</v>
      </c>
      <c r="E903">
        <v>9.1</v>
      </c>
      <c r="F903">
        <v>8.6</v>
      </c>
      <c r="G903">
        <v>8.7</v>
      </c>
      <c r="H903">
        <v>6.9</v>
      </c>
      <c r="I903">
        <v>7.9</v>
      </c>
      <c r="J903">
        <v>8.1</v>
      </c>
      <c r="K903">
        <v>5.9</v>
      </c>
      <c r="L903">
        <v>6.7</v>
      </c>
      <c r="M903">
        <v>9.3</v>
      </c>
      <c r="N903">
        <f t="shared" si="14"/>
        <v>80.8</v>
      </c>
    </row>
    <row r="904" spans="1:14">
      <c r="A904">
        <v>20198235</v>
      </c>
      <c r="B904" t="s">
        <v>14</v>
      </c>
      <c r="C904" t="str">
        <f>VLOOKUP(B904,专业代码!$B$2:$C$8,2,FALSE)</f>
        <v>会计学</v>
      </c>
      <c r="D904">
        <v>9.8</v>
      </c>
      <c r="E904">
        <v>9.1</v>
      </c>
      <c r="F904">
        <v>7.7</v>
      </c>
      <c r="G904">
        <v>8.2</v>
      </c>
      <c r="H904">
        <v>8.3</v>
      </c>
      <c r="I904">
        <v>7.8</v>
      </c>
      <c r="J904">
        <v>7.6</v>
      </c>
      <c r="K904">
        <v>6.3</v>
      </c>
      <c r="L904">
        <v>7.6</v>
      </c>
      <c r="M904">
        <v>6.7</v>
      </c>
      <c r="N904">
        <f t="shared" si="14"/>
        <v>79.1</v>
      </c>
    </row>
    <row r="905" spans="1:14">
      <c r="A905">
        <v>20198305</v>
      </c>
      <c r="B905" t="s">
        <v>14</v>
      </c>
      <c r="C905" t="str">
        <f>VLOOKUP(B905,专业代码!$B$2:$C$8,2,FALSE)</f>
        <v>会计学</v>
      </c>
      <c r="D905">
        <v>8.1</v>
      </c>
      <c r="E905">
        <v>8.1</v>
      </c>
      <c r="F905">
        <v>8.4</v>
      </c>
      <c r="G905">
        <v>7.9</v>
      </c>
      <c r="H905">
        <v>7.2</v>
      </c>
      <c r="I905">
        <v>8.3</v>
      </c>
      <c r="J905">
        <v>6.9</v>
      </c>
      <c r="K905">
        <v>7.8</v>
      </c>
      <c r="L905">
        <v>7.3</v>
      </c>
      <c r="M905">
        <v>6.8</v>
      </c>
      <c r="N905">
        <f t="shared" si="14"/>
        <v>76.8</v>
      </c>
    </row>
    <row r="906" spans="1:14">
      <c r="A906">
        <v>20199119</v>
      </c>
      <c r="B906" t="s">
        <v>14</v>
      </c>
      <c r="C906" t="str">
        <f>VLOOKUP(B906,专业代码!$B$2:$C$8,2,FALSE)</f>
        <v>会计学</v>
      </c>
      <c r="D906">
        <v>8.6</v>
      </c>
      <c r="E906">
        <v>8.7</v>
      </c>
      <c r="F906">
        <v>7.7</v>
      </c>
      <c r="G906">
        <v>9.3</v>
      </c>
      <c r="H906">
        <v>8.1</v>
      </c>
      <c r="I906">
        <v>6.8</v>
      </c>
      <c r="J906">
        <v>9.2</v>
      </c>
      <c r="K906">
        <v>8.7</v>
      </c>
      <c r="L906">
        <v>7.2</v>
      </c>
      <c r="M906">
        <v>8.2</v>
      </c>
      <c r="N906">
        <f t="shared" si="14"/>
        <v>82.5</v>
      </c>
    </row>
    <row r="907" spans="1:14">
      <c r="A907">
        <v>20191395</v>
      </c>
      <c r="B907" t="s">
        <v>14</v>
      </c>
      <c r="C907" t="str">
        <f>VLOOKUP(B907,专业代码!$B$2:$C$8,2,FALSE)</f>
        <v>会计学</v>
      </c>
      <c r="D907">
        <v>8.9</v>
      </c>
      <c r="E907">
        <v>8.4</v>
      </c>
      <c r="F907">
        <v>8.8</v>
      </c>
      <c r="G907">
        <v>7.6</v>
      </c>
      <c r="H907">
        <v>7.6</v>
      </c>
      <c r="I907">
        <v>6.2</v>
      </c>
      <c r="J907">
        <v>7.7</v>
      </c>
      <c r="K907">
        <v>8.5</v>
      </c>
      <c r="L907">
        <v>7.2</v>
      </c>
      <c r="M907">
        <v>9.3</v>
      </c>
      <c r="N907">
        <f t="shared" si="14"/>
        <v>80.2</v>
      </c>
    </row>
    <row r="908" spans="1:14">
      <c r="A908">
        <v>20191591</v>
      </c>
      <c r="B908" t="s">
        <v>14</v>
      </c>
      <c r="C908" t="str">
        <f>VLOOKUP(B908,专业代码!$B$2:$C$8,2,FALSE)</f>
        <v>会计学</v>
      </c>
      <c r="D908">
        <v>8.9</v>
      </c>
      <c r="E908">
        <v>8.6</v>
      </c>
      <c r="F908">
        <v>8.7</v>
      </c>
      <c r="G908">
        <v>8.7</v>
      </c>
      <c r="H908">
        <v>7.4</v>
      </c>
      <c r="I908">
        <v>8.1</v>
      </c>
      <c r="J908">
        <v>6.7</v>
      </c>
      <c r="K908">
        <v>7.8</v>
      </c>
      <c r="L908">
        <v>6.7</v>
      </c>
      <c r="M908">
        <v>7</v>
      </c>
      <c r="N908">
        <f t="shared" si="14"/>
        <v>78.6</v>
      </c>
    </row>
    <row r="909" spans="1:14">
      <c r="A909">
        <v>20191953</v>
      </c>
      <c r="B909" t="s">
        <v>14</v>
      </c>
      <c r="C909" t="str">
        <f>VLOOKUP(B909,专业代码!$B$2:$C$8,2,FALSE)</f>
        <v>会计学</v>
      </c>
      <c r="D909">
        <v>8.2</v>
      </c>
      <c r="E909">
        <v>8.7</v>
      </c>
      <c r="F909">
        <v>8.1</v>
      </c>
      <c r="G909">
        <v>9</v>
      </c>
      <c r="H909">
        <v>7.2</v>
      </c>
      <c r="I909">
        <v>7.9</v>
      </c>
      <c r="J909">
        <v>8.7</v>
      </c>
      <c r="K909">
        <v>7.3</v>
      </c>
      <c r="L909">
        <v>8.3</v>
      </c>
      <c r="M909">
        <v>3.7</v>
      </c>
      <c r="N909">
        <f t="shared" si="14"/>
        <v>77.1</v>
      </c>
    </row>
    <row r="910" spans="1:14">
      <c r="A910">
        <v>20192348</v>
      </c>
      <c r="B910" t="s">
        <v>14</v>
      </c>
      <c r="C910" t="str">
        <f>VLOOKUP(B910,专业代码!$B$2:$C$8,2,FALSE)</f>
        <v>会计学</v>
      </c>
      <c r="D910">
        <v>7.9</v>
      </c>
      <c r="E910">
        <v>9.3</v>
      </c>
      <c r="F910">
        <v>9</v>
      </c>
      <c r="G910">
        <v>6.7</v>
      </c>
      <c r="H910">
        <v>8.6</v>
      </c>
      <c r="I910">
        <v>9</v>
      </c>
      <c r="J910">
        <v>6.4</v>
      </c>
      <c r="K910">
        <v>8.9</v>
      </c>
      <c r="L910">
        <v>7.6</v>
      </c>
      <c r="M910">
        <v>6</v>
      </c>
      <c r="N910">
        <f t="shared" si="14"/>
        <v>79.4</v>
      </c>
    </row>
    <row r="911" spans="1:14">
      <c r="A911">
        <v>20192439</v>
      </c>
      <c r="B911" t="s">
        <v>14</v>
      </c>
      <c r="C911" t="str">
        <f>VLOOKUP(B911,专业代码!$B$2:$C$8,2,FALSE)</f>
        <v>会计学</v>
      </c>
      <c r="D911">
        <v>9.3</v>
      </c>
      <c r="E911">
        <v>7.2</v>
      </c>
      <c r="F911">
        <v>7.6</v>
      </c>
      <c r="G911">
        <v>8.6</v>
      </c>
      <c r="H911">
        <v>7.7</v>
      </c>
      <c r="I911">
        <v>8.3</v>
      </c>
      <c r="J911">
        <v>7</v>
      </c>
      <c r="K911">
        <v>8.9</v>
      </c>
      <c r="L911">
        <v>7.4</v>
      </c>
      <c r="M911">
        <v>6.2</v>
      </c>
      <c r="N911">
        <f t="shared" si="14"/>
        <v>78.2</v>
      </c>
    </row>
    <row r="912" spans="1:14">
      <c r="A912">
        <v>20192641</v>
      </c>
      <c r="B912" t="s">
        <v>14</v>
      </c>
      <c r="C912" t="str">
        <f>VLOOKUP(B912,专业代码!$B$2:$C$8,2,FALSE)</f>
        <v>会计学</v>
      </c>
      <c r="D912">
        <v>9.5</v>
      </c>
      <c r="E912">
        <v>8.4</v>
      </c>
      <c r="F912">
        <v>8.3</v>
      </c>
      <c r="G912">
        <v>9.1</v>
      </c>
      <c r="H912">
        <v>7.4</v>
      </c>
      <c r="I912">
        <v>7.7</v>
      </c>
      <c r="J912">
        <v>8</v>
      </c>
      <c r="K912">
        <v>6.1</v>
      </c>
      <c r="L912">
        <v>8.1</v>
      </c>
      <c r="M912">
        <v>6</v>
      </c>
      <c r="N912">
        <f t="shared" si="14"/>
        <v>78.6</v>
      </c>
    </row>
    <row r="913" spans="1:14">
      <c r="A913">
        <v>20193760</v>
      </c>
      <c r="B913" t="s">
        <v>14</v>
      </c>
      <c r="C913" t="str">
        <f>VLOOKUP(B913,专业代码!$B$2:$C$8,2,FALSE)</f>
        <v>会计学</v>
      </c>
      <c r="D913">
        <v>8.1</v>
      </c>
      <c r="E913">
        <v>8.1</v>
      </c>
      <c r="F913">
        <v>9.2</v>
      </c>
      <c r="G913">
        <v>8.6</v>
      </c>
      <c r="H913">
        <v>8.4</v>
      </c>
      <c r="I913">
        <v>8.8</v>
      </c>
      <c r="J913">
        <v>7.6</v>
      </c>
      <c r="K913">
        <v>7.2</v>
      </c>
      <c r="L913">
        <v>6.7</v>
      </c>
      <c r="M913">
        <v>9.2</v>
      </c>
      <c r="N913">
        <f t="shared" si="14"/>
        <v>81.9</v>
      </c>
    </row>
    <row r="914" spans="1:14">
      <c r="A914">
        <v>20196380</v>
      </c>
      <c r="B914" t="s">
        <v>14</v>
      </c>
      <c r="C914" t="str">
        <f>VLOOKUP(B914,专业代码!$B$2:$C$8,2,FALSE)</f>
        <v>会计学</v>
      </c>
      <c r="D914">
        <v>9.1</v>
      </c>
      <c r="E914">
        <v>8.2</v>
      </c>
      <c r="F914">
        <v>8.4</v>
      </c>
      <c r="G914">
        <v>8.7</v>
      </c>
      <c r="H914">
        <v>6.4</v>
      </c>
      <c r="I914">
        <v>7.7</v>
      </c>
      <c r="J914">
        <v>8.4</v>
      </c>
      <c r="K914">
        <v>7.1</v>
      </c>
      <c r="L914">
        <v>5.8</v>
      </c>
      <c r="M914">
        <v>6.4</v>
      </c>
      <c r="N914">
        <f t="shared" si="14"/>
        <v>76.2</v>
      </c>
    </row>
    <row r="915" spans="1:14">
      <c r="A915">
        <v>20196546</v>
      </c>
      <c r="B915" t="s">
        <v>14</v>
      </c>
      <c r="C915" t="str">
        <f>VLOOKUP(B915,专业代码!$B$2:$C$8,2,FALSE)</f>
        <v>会计学</v>
      </c>
      <c r="D915">
        <v>9</v>
      </c>
      <c r="E915">
        <v>8.9</v>
      </c>
      <c r="F915">
        <v>8.4</v>
      </c>
      <c r="G915">
        <v>8.5</v>
      </c>
      <c r="H915">
        <v>8.1</v>
      </c>
      <c r="I915">
        <v>7.8</v>
      </c>
      <c r="J915">
        <v>7.6</v>
      </c>
      <c r="K915">
        <v>6</v>
      </c>
      <c r="L915">
        <v>7.1</v>
      </c>
      <c r="M915">
        <v>6.2</v>
      </c>
      <c r="N915">
        <f t="shared" si="14"/>
        <v>77.6</v>
      </c>
    </row>
    <row r="916" spans="1:14">
      <c r="A916">
        <v>20196630</v>
      </c>
      <c r="B916" t="s">
        <v>14</v>
      </c>
      <c r="C916" t="str">
        <f>VLOOKUP(B916,专业代码!$B$2:$C$8,2,FALSE)</f>
        <v>会计学</v>
      </c>
      <c r="D916">
        <v>8.7</v>
      </c>
      <c r="E916">
        <v>9.2</v>
      </c>
      <c r="F916">
        <v>9.1</v>
      </c>
      <c r="G916">
        <v>8</v>
      </c>
      <c r="H916">
        <v>7.8</v>
      </c>
      <c r="I916">
        <v>6.6</v>
      </c>
      <c r="J916">
        <v>9</v>
      </c>
      <c r="K916">
        <v>7.3</v>
      </c>
      <c r="L916">
        <v>7.7</v>
      </c>
      <c r="M916">
        <v>4.8</v>
      </c>
      <c r="N916">
        <f t="shared" si="14"/>
        <v>78.2</v>
      </c>
    </row>
    <row r="917" spans="1:14">
      <c r="A917">
        <v>20197564</v>
      </c>
      <c r="B917" t="s">
        <v>14</v>
      </c>
      <c r="C917" t="str">
        <f>VLOOKUP(B917,专业代码!$B$2:$C$8,2,FALSE)</f>
        <v>会计学</v>
      </c>
      <c r="D917">
        <v>8.9</v>
      </c>
      <c r="E917">
        <v>8.5</v>
      </c>
      <c r="F917">
        <v>8.3</v>
      </c>
      <c r="G917">
        <v>8.7</v>
      </c>
      <c r="H917">
        <v>9.2</v>
      </c>
      <c r="I917">
        <v>8.2</v>
      </c>
      <c r="J917">
        <v>8.4</v>
      </c>
      <c r="K917">
        <v>6.7</v>
      </c>
      <c r="L917">
        <v>5.5</v>
      </c>
      <c r="M917">
        <v>5.7</v>
      </c>
      <c r="N917">
        <f t="shared" si="14"/>
        <v>78.1</v>
      </c>
    </row>
    <row r="918" spans="1:14">
      <c r="A918">
        <v>20197708</v>
      </c>
      <c r="B918" t="s">
        <v>14</v>
      </c>
      <c r="C918" t="str">
        <f>VLOOKUP(B918,专业代码!$B$2:$C$8,2,FALSE)</f>
        <v>会计学</v>
      </c>
      <c r="D918">
        <v>9.2</v>
      </c>
      <c r="E918">
        <v>9</v>
      </c>
      <c r="F918">
        <v>8.3</v>
      </c>
      <c r="G918">
        <v>7.6</v>
      </c>
      <c r="H918">
        <v>7.1</v>
      </c>
      <c r="I918">
        <v>7.7</v>
      </c>
      <c r="J918">
        <v>8.7</v>
      </c>
      <c r="K918">
        <v>6.5</v>
      </c>
      <c r="L918">
        <v>5.1</v>
      </c>
      <c r="M918">
        <v>4.9</v>
      </c>
      <c r="N918">
        <f t="shared" si="14"/>
        <v>74.1</v>
      </c>
    </row>
    <row r="919" spans="1:14">
      <c r="A919">
        <v>20198288</v>
      </c>
      <c r="B919" t="s">
        <v>14</v>
      </c>
      <c r="C919" t="str">
        <f>VLOOKUP(B919,专业代码!$B$2:$C$8,2,FALSE)</f>
        <v>会计学</v>
      </c>
      <c r="D919">
        <v>8.2</v>
      </c>
      <c r="E919">
        <v>7.8</v>
      </c>
      <c r="F919">
        <v>6.9</v>
      </c>
      <c r="G919">
        <v>8.1</v>
      </c>
      <c r="H919">
        <v>8.5</v>
      </c>
      <c r="I919">
        <v>8.4</v>
      </c>
      <c r="J919">
        <v>7.6</v>
      </c>
      <c r="K919">
        <v>8.7</v>
      </c>
      <c r="L919">
        <v>8.7</v>
      </c>
      <c r="M919">
        <v>6</v>
      </c>
      <c r="N919">
        <f t="shared" si="14"/>
        <v>78.9</v>
      </c>
    </row>
    <row r="920" spans="1:14">
      <c r="A920">
        <v>20198361</v>
      </c>
      <c r="B920" t="s">
        <v>14</v>
      </c>
      <c r="C920" t="str">
        <f>VLOOKUP(B920,专业代码!$B$2:$C$8,2,FALSE)</f>
        <v>会计学</v>
      </c>
      <c r="D920">
        <v>8.3</v>
      </c>
      <c r="E920">
        <v>9.6</v>
      </c>
      <c r="F920">
        <v>8.7</v>
      </c>
      <c r="G920">
        <v>8.6</v>
      </c>
      <c r="H920">
        <v>7.5</v>
      </c>
      <c r="I920">
        <v>5.8</v>
      </c>
      <c r="J920">
        <v>7.9</v>
      </c>
      <c r="K920">
        <v>7.8</v>
      </c>
      <c r="L920">
        <v>6.1</v>
      </c>
      <c r="M920">
        <v>6.4</v>
      </c>
      <c r="N920">
        <f t="shared" si="14"/>
        <v>76.7</v>
      </c>
    </row>
    <row r="921" spans="1:14">
      <c r="A921">
        <v>20198569</v>
      </c>
      <c r="B921" t="s">
        <v>14</v>
      </c>
      <c r="C921" t="str">
        <f>VLOOKUP(B921,专业代码!$B$2:$C$8,2,FALSE)</f>
        <v>会计学</v>
      </c>
      <c r="D921">
        <v>7.9</v>
      </c>
      <c r="E921">
        <v>9.1</v>
      </c>
      <c r="F921">
        <v>8.2</v>
      </c>
      <c r="G921">
        <v>8.2</v>
      </c>
      <c r="H921">
        <v>8.6</v>
      </c>
      <c r="I921">
        <v>7.6</v>
      </c>
      <c r="J921">
        <v>6.6</v>
      </c>
      <c r="K921">
        <v>7.3</v>
      </c>
      <c r="L921">
        <v>8.1</v>
      </c>
      <c r="M921">
        <v>7.5</v>
      </c>
      <c r="N921">
        <f t="shared" si="14"/>
        <v>79.1</v>
      </c>
    </row>
    <row r="922" spans="1:14">
      <c r="A922">
        <v>20198824</v>
      </c>
      <c r="B922" t="s">
        <v>14</v>
      </c>
      <c r="C922" t="str">
        <f>VLOOKUP(B922,专业代码!$B$2:$C$8,2,FALSE)</f>
        <v>会计学</v>
      </c>
      <c r="D922">
        <v>8.6</v>
      </c>
      <c r="E922">
        <v>8.6</v>
      </c>
      <c r="F922">
        <v>8.7</v>
      </c>
      <c r="G922">
        <v>7.7</v>
      </c>
      <c r="H922">
        <v>9.4</v>
      </c>
      <c r="I922">
        <v>6.4</v>
      </c>
      <c r="J922">
        <v>8.3</v>
      </c>
      <c r="K922">
        <v>7.4</v>
      </c>
      <c r="L922">
        <v>7.9</v>
      </c>
      <c r="M922">
        <v>5.4</v>
      </c>
      <c r="N922">
        <f t="shared" si="14"/>
        <v>78.4</v>
      </c>
    </row>
    <row r="923" spans="1:14">
      <c r="A923">
        <v>20199151</v>
      </c>
      <c r="B923" t="s">
        <v>14</v>
      </c>
      <c r="C923" t="str">
        <f>VLOOKUP(B923,专业代码!$B$2:$C$8,2,FALSE)</f>
        <v>会计学</v>
      </c>
      <c r="D923">
        <v>9.5</v>
      </c>
      <c r="E923">
        <v>8.2</v>
      </c>
      <c r="F923">
        <v>9.3</v>
      </c>
      <c r="G923">
        <v>7.3</v>
      </c>
      <c r="H923">
        <v>8.3</v>
      </c>
      <c r="I923">
        <v>7.7</v>
      </c>
      <c r="J923">
        <v>6.5</v>
      </c>
      <c r="K923">
        <v>7.5</v>
      </c>
      <c r="L923">
        <v>7.4</v>
      </c>
      <c r="M923">
        <v>5</v>
      </c>
      <c r="N923">
        <f t="shared" si="14"/>
        <v>76.7</v>
      </c>
    </row>
    <row r="924" spans="1:14">
      <c r="A924">
        <v>20192418</v>
      </c>
      <c r="B924" t="s">
        <v>14</v>
      </c>
      <c r="C924" t="str">
        <f>VLOOKUP(B924,专业代码!$B$2:$C$8,2,FALSE)</f>
        <v>会计学</v>
      </c>
      <c r="D924">
        <v>8.5</v>
      </c>
      <c r="E924">
        <v>7.8</v>
      </c>
      <c r="F924">
        <v>8.3</v>
      </c>
      <c r="G924">
        <v>8</v>
      </c>
      <c r="H924">
        <v>7.4</v>
      </c>
      <c r="I924">
        <v>8.3</v>
      </c>
      <c r="J924">
        <v>7.2</v>
      </c>
      <c r="K924">
        <v>7.9</v>
      </c>
      <c r="L924">
        <v>6.1</v>
      </c>
      <c r="M924">
        <v>6.8</v>
      </c>
      <c r="N924">
        <f t="shared" si="14"/>
        <v>76.3</v>
      </c>
    </row>
    <row r="925" spans="1:14">
      <c r="A925">
        <v>20193234</v>
      </c>
      <c r="B925" t="s">
        <v>14</v>
      </c>
      <c r="C925" t="str">
        <f>VLOOKUP(B925,专业代码!$B$2:$C$8,2,FALSE)</f>
        <v>会计学</v>
      </c>
      <c r="D925">
        <v>9.6</v>
      </c>
      <c r="E925">
        <v>8.4</v>
      </c>
      <c r="F925">
        <v>8.3</v>
      </c>
      <c r="G925">
        <v>7.1</v>
      </c>
      <c r="H925">
        <v>9</v>
      </c>
      <c r="I925">
        <v>9.1</v>
      </c>
      <c r="J925">
        <v>6.4</v>
      </c>
      <c r="K925">
        <v>7.7</v>
      </c>
      <c r="L925">
        <v>7.3</v>
      </c>
      <c r="M925">
        <v>6.3</v>
      </c>
      <c r="N925">
        <f t="shared" si="14"/>
        <v>79.2</v>
      </c>
    </row>
    <row r="926" spans="1:14">
      <c r="A926">
        <v>20193401</v>
      </c>
      <c r="B926" t="s">
        <v>14</v>
      </c>
      <c r="C926" t="str">
        <f>VLOOKUP(B926,专业代码!$B$2:$C$8,2,FALSE)</f>
        <v>会计学</v>
      </c>
      <c r="D926">
        <v>8.6</v>
      </c>
      <c r="E926">
        <v>9.7</v>
      </c>
      <c r="F926">
        <v>8.3</v>
      </c>
      <c r="G926">
        <v>8.1</v>
      </c>
      <c r="H926">
        <v>7.1</v>
      </c>
      <c r="I926">
        <v>8.1</v>
      </c>
      <c r="J926">
        <v>9.1</v>
      </c>
      <c r="K926">
        <v>7.1</v>
      </c>
      <c r="L926">
        <v>8</v>
      </c>
      <c r="M926">
        <v>6.1</v>
      </c>
      <c r="N926">
        <f t="shared" si="14"/>
        <v>80.2</v>
      </c>
    </row>
    <row r="927" spans="1:14">
      <c r="A927">
        <v>20194032</v>
      </c>
      <c r="B927" t="s">
        <v>14</v>
      </c>
      <c r="C927" t="str">
        <f>VLOOKUP(B927,专业代码!$B$2:$C$8,2,FALSE)</f>
        <v>会计学</v>
      </c>
      <c r="D927">
        <v>8.8</v>
      </c>
      <c r="E927">
        <v>8.9</v>
      </c>
      <c r="F927">
        <v>9.5</v>
      </c>
      <c r="G927">
        <v>8.6</v>
      </c>
      <c r="H927">
        <v>7.6</v>
      </c>
      <c r="I927">
        <v>8.3</v>
      </c>
      <c r="J927">
        <v>7.7</v>
      </c>
      <c r="K927">
        <v>7.1</v>
      </c>
      <c r="L927">
        <v>5.6</v>
      </c>
      <c r="M927">
        <v>7</v>
      </c>
      <c r="N927">
        <f t="shared" si="14"/>
        <v>79.1</v>
      </c>
    </row>
    <row r="928" spans="1:14">
      <c r="A928">
        <v>20195316</v>
      </c>
      <c r="B928" t="s">
        <v>14</v>
      </c>
      <c r="C928" t="str">
        <f>VLOOKUP(B928,专业代码!$B$2:$C$8,2,FALSE)</f>
        <v>会计学</v>
      </c>
      <c r="D928">
        <v>9.2</v>
      </c>
      <c r="E928">
        <v>8.8</v>
      </c>
      <c r="F928">
        <v>9.8</v>
      </c>
      <c r="G928">
        <v>6.8</v>
      </c>
      <c r="H928">
        <v>8.4</v>
      </c>
      <c r="I928">
        <v>8.9</v>
      </c>
      <c r="J928">
        <v>5.5</v>
      </c>
      <c r="K928">
        <v>8.8</v>
      </c>
      <c r="L928">
        <v>7.2</v>
      </c>
      <c r="M928">
        <v>6.3</v>
      </c>
      <c r="N928">
        <f t="shared" si="14"/>
        <v>79.7</v>
      </c>
    </row>
    <row r="929" spans="1:14">
      <c r="A929">
        <v>20195330</v>
      </c>
      <c r="B929" t="s">
        <v>14</v>
      </c>
      <c r="C929" t="str">
        <f>VLOOKUP(B929,专业代码!$B$2:$C$8,2,FALSE)</f>
        <v>会计学</v>
      </c>
      <c r="D929">
        <v>8.4</v>
      </c>
      <c r="E929">
        <v>8.7</v>
      </c>
      <c r="F929">
        <v>7.9</v>
      </c>
      <c r="G929">
        <v>7.5</v>
      </c>
      <c r="H929">
        <v>8.3</v>
      </c>
      <c r="I929">
        <v>7.9</v>
      </c>
      <c r="J929">
        <v>7.1</v>
      </c>
      <c r="K929">
        <v>7.7</v>
      </c>
      <c r="L929">
        <v>7.8</v>
      </c>
      <c r="M929">
        <v>5.5</v>
      </c>
      <c r="N929">
        <f t="shared" si="14"/>
        <v>76.8</v>
      </c>
    </row>
    <row r="930" spans="1:14">
      <c r="A930">
        <v>20195508</v>
      </c>
      <c r="B930" t="s">
        <v>14</v>
      </c>
      <c r="C930" t="str">
        <f>VLOOKUP(B930,专业代码!$B$2:$C$8,2,FALSE)</f>
        <v>会计学</v>
      </c>
      <c r="D930">
        <v>9</v>
      </c>
      <c r="E930">
        <v>8.2</v>
      </c>
      <c r="F930">
        <v>9</v>
      </c>
      <c r="G930">
        <v>8</v>
      </c>
      <c r="H930">
        <v>7.4</v>
      </c>
      <c r="I930">
        <v>7.3</v>
      </c>
      <c r="J930">
        <v>8.1</v>
      </c>
      <c r="K930">
        <v>7</v>
      </c>
      <c r="L930">
        <v>8.3</v>
      </c>
      <c r="M930">
        <v>6.5</v>
      </c>
      <c r="N930">
        <f t="shared" si="14"/>
        <v>78.8</v>
      </c>
    </row>
    <row r="931" spans="1:14">
      <c r="A931">
        <v>20195784</v>
      </c>
      <c r="B931" t="s">
        <v>14</v>
      </c>
      <c r="C931" t="str">
        <f>VLOOKUP(B931,专业代码!$B$2:$C$8,2,FALSE)</f>
        <v>会计学</v>
      </c>
      <c r="D931">
        <v>8.7</v>
      </c>
      <c r="E931">
        <v>9.5</v>
      </c>
      <c r="F931">
        <v>8.5</v>
      </c>
      <c r="G931">
        <v>7.5</v>
      </c>
      <c r="H931">
        <v>8.3</v>
      </c>
      <c r="I931">
        <v>8.2</v>
      </c>
      <c r="J931">
        <v>6.3</v>
      </c>
      <c r="K931">
        <v>6.3</v>
      </c>
      <c r="L931">
        <v>6.5</v>
      </c>
      <c r="M931">
        <v>5.7</v>
      </c>
      <c r="N931">
        <f t="shared" si="14"/>
        <v>75.5</v>
      </c>
    </row>
    <row r="932" spans="1:14">
      <c r="A932">
        <v>20198791</v>
      </c>
      <c r="B932" t="s">
        <v>14</v>
      </c>
      <c r="C932" t="str">
        <f>VLOOKUP(B932,专业代码!$B$2:$C$8,2,FALSE)</f>
        <v>会计学</v>
      </c>
      <c r="D932">
        <v>9.2</v>
      </c>
      <c r="E932">
        <v>8.1</v>
      </c>
      <c r="F932">
        <v>7.8</v>
      </c>
      <c r="G932">
        <v>8.4</v>
      </c>
      <c r="H932">
        <v>7.7</v>
      </c>
      <c r="I932">
        <v>6.8</v>
      </c>
      <c r="J932">
        <v>7.6</v>
      </c>
      <c r="K932">
        <v>7.1</v>
      </c>
      <c r="L932">
        <v>8.9</v>
      </c>
      <c r="M932">
        <v>4.6</v>
      </c>
      <c r="N932">
        <f t="shared" si="14"/>
        <v>76.2</v>
      </c>
    </row>
    <row r="933" spans="1:14">
      <c r="A933">
        <v>20198864</v>
      </c>
      <c r="B933" t="s">
        <v>14</v>
      </c>
      <c r="C933" t="str">
        <f>VLOOKUP(B933,专业代码!$B$2:$C$8,2,FALSE)</f>
        <v>会计学</v>
      </c>
      <c r="D933">
        <v>9.2</v>
      </c>
      <c r="E933">
        <v>8.4</v>
      </c>
      <c r="F933">
        <v>8.6</v>
      </c>
      <c r="G933">
        <v>8.5</v>
      </c>
      <c r="H933">
        <v>7.3</v>
      </c>
      <c r="I933">
        <v>7.4</v>
      </c>
      <c r="J933">
        <v>7.6</v>
      </c>
      <c r="K933">
        <v>8.7</v>
      </c>
      <c r="L933">
        <v>8.1</v>
      </c>
      <c r="M933">
        <v>5.6</v>
      </c>
      <c r="N933">
        <f t="shared" si="14"/>
        <v>79.4</v>
      </c>
    </row>
    <row r="934" spans="1:14">
      <c r="A934">
        <v>20199155</v>
      </c>
      <c r="B934" t="s">
        <v>14</v>
      </c>
      <c r="C934" t="str">
        <f>VLOOKUP(B934,专业代码!$B$2:$C$8,2,FALSE)</f>
        <v>会计学</v>
      </c>
      <c r="D934">
        <v>9</v>
      </c>
      <c r="E934">
        <v>9.2</v>
      </c>
      <c r="F934">
        <v>7.5</v>
      </c>
      <c r="G934">
        <v>9.1</v>
      </c>
      <c r="H934">
        <v>7.9</v>
      </c>
      <c r="I934">
        <v>8.5</v>
      </c>
      <c r="J934">
        <v>7.5</v>
      </c>
      <c r="K934">
        <v>7.8</v>
      </c>
      <c r="L934">
        <v>8</v>
      </c>
      <c r="M934">
        <v>6.4</v>
      </c>
      <c r="N934">
        <f t="shared" si="14"/>
        <v>80.9</v>
      </c>
    </row>
    <row r="935" spans="1:14">
      <c r="A935">
        <v>20199663</v>
      </c>
      <c r="B935" t="s">
        <v>14</v>
      </c>
      <c r="C935" t="str">
        <f>VLOOKUP(B935,专业代码!$B$2:$C$8,2,FALSE)</f>
        <v>会计学</v>
      </c>
      <c r="D935">
        <v>7.9</v>
      </c>
      <c r="E935">
        <v>8.1</v>
      </c>
      <c r="F935">
        <v>9.2</v>
      </c>
      <c r="G935">
        <v>8.7</v>
      </c>
      <c r="H935">
        <v>7</v>
      </c>
      <c r="I935">
        <v>7.6</v>
      </c>
      <c r="J935">
        <v>7.9</v>
      </c>
      <c r="K935">
        <v>7.7</v>
      </c>
      <c r="L935">
        <v>5.6</v>
      </c>
      <c r="M935">
        <v>7.8</v>
      </c>
      <c r="N935">
        <f t="shared" si="14"/>
        <v>77.5</v>
      </c>
    </row>
    <row r="936" spans="1:14">
      <c r="A936">
        <v>20192586</v>
      </c>
      <c r="B936" t="s">
        <v>14</v>
      </c>
      <c r="C936" t="str">
        <f>VLOOKUP(B936,专业代码!$B$2:$C$8,2,FALSE)</f>
        <v>会计学</v>
      </c>
      <c r="D936">
        <v>9.4</v>
      </c>
      <c r="E936">
        <v>8.6</v>
      </c>
      <c r="F936">
        <v>7.7</v>
      </c>
      <c r="G936">
        <v>8.5</v>
      </c>
      <c r="H936">
        <v>8.4</v>
      </c>
      <c r="I936">
        <v>8.2</v>
      </c>
      <c r="J936">
        <v>5.9</v>
      </c>
      <c r="K936">
        <v>6.5</v>
      </c>
      <c r="L936">
        <v>5.3</v>
      </c>
      <c r="M936">
        <v>5.1</v>
      </c>
      <c r="N936">
        <f t="shared" si="14"/>
        <v>73.6</v>
      </c>
    </row>
    <row r="937" spans="1:14">
      <c r="A937">
        <v>20192600</v>
      </c>
      <c r="B937" t="s">
        <v>14</v>
      </c>
      <c r="C937" t="str">
        <f>VLOOKUP(B937,专业代码!$B$2:$C$8,2,FALSE)</f>
        <v>会计学</v>
      </c>
      <c r="D937">
        <v>8.9</v>
      </c>
      <c r="E937">
        <v>8.7</v>
      </c>
      <c r="F937">
        <v>8.6</v>
      </c>
      <c r="G937">
        <v>8.3</v>
      </c>
      <c r="H937">
        <v>6.9</v>
      </c>
      <c r="I937">
        <v>7.7</v>
      </c>
      <c r="J937">
        <v>6.2</v>
      </c>
      <c r="K937">
        <v>6.9</v>
      </c>
      <c r="L937">
        <v>5.9</v>
      </c>
      <c r="M937">
        <v>6.4</v>
      </c>
      <c r="N937">
        <f t="shared" si="14"/>
        <v>74.5</v>
      </c>
    </row>
    <row r="938" spans="1:14">
      <c r="A938">
        <v>20193049</v>
      </c>
      <c r="B938" t="s">
        <v>14</v>
      </c>
      <c r="C938" t="str">
        <f>VLOOKUP(B938,专业代码!$B$2:$C$8,2,FALSE)</f>
        <v>会计学</v>
      </c>
      <c r="D938">
        <v>8.5</v>
      </c>
      <c r="E938">
        <v>8.6</v>
      </c>
      <c r="F938">
        <v>8.4</v>
      </c>
      <c r="G938">
        <v>7.3</v>
      </c>
      <c r="H938">
        <v>8.3</v>
      </c>
      <c r="I938">
        <v>6.8</v>
      </c>
      <c r="J938">
        <v>5.3</v>
      </c>
      <c r="K938">
        <v>6.4</v>
      </c>
      <c r="L938">
        <v>7.8</v>
      </c>
      <c r="M938">
        <v>6.4</v>
      </c>
      <c r="N938">
        <f t="shared" si="14"/>
        <v>73.8</v>
      </c>
    </row>
    <row r="939" spans="1:14">
      <c r="A939">
        <v>20193263</v>
      </c>
      <c r="B939" t="s">
        <v>14</v>
      </c>
      <c r="C939" t="str">
        <f>VLOOKUP(B939,专业代码!$B$2:$C$8,2,FALSE)</f>
        <v>会计学</v>
      </c>
      <c r="D939">
        <v>8.6</v>
      </c>
      <c r="E939">
        <v>9</v>
      </c>
      <c r="F939">
        <v>9</v>
      </c>
      <c r="G939">
        <v>9</v>
      </c>
      <c r="H939">
        <v>7.8</v>
      </c>
      <c r="I939">
        <v>7.2</v>
      </c>
      <c r="J939">
        <v>8.8</v>
      </c>
      <c r="K939">
        <v>6.2</v>
      </c>
      <c r="L939">
        <v>6.9</v>
      </c>
      <c r="M939">
        <v>3.9</v>
      </c>
      <c r="N939">
        <f t="shared" si="14"/>
        <v>76.4</v>
      </c>
    </row>
    <row r="940" spans="1:14">
      <c r="A940">
        <v>20193434</v>
      </c>
      <c r="B940" t="s">
        <v>14</v>
      </c>
      <c r="C940" t="str">
        <f>VLOOKUP(B940,专业代码!$B$2:$C$8,2,FALSE)</f>
        <v>会计学</v>
      </c>
      <c r="D940">
        <v>7.6</v>
      </c>
      <c r="E940">
        <v>8.8</v>
      </c>
      <c r="F940">
        <v>8.4</v>
      </c>
      <c r="G940">
        <v>7.5</v>
      </c>
      <c r="H940">
        <v>8</v>
      </c>
      <c r="I940">
        <v>8.6</v>
      </c>
      <c r="J940">
        <v>6.9</v>
      </c>
      <c r="K940">
        <v>8.2</v>
      </c>
      <c r="L940">
        <v>7.3</v>
      </c>
      <c r="M940">
        <v>8.1</v>
      </c>
      <c r="N940">
        <f t="shared" si="14"/>
        <v>79.4</v>
      </c>
    </row>
    <row r="941" spans="1:14">
      <c r="A941">
        <v>20193539</v>
      </c>
      <c r="B941" t="s">
        <v>14</v>
      </c>
      <c r="C941" t="str">
        <f>VLOOKUP(B941,专业代码!$B$2:$C$8,2,FALSE)</f>
        <v>会计学</v>
      </c>
      <c r="D941">
        <v>8.5</v>
      </c>
      <c r="E941">
        <v>8.9</v>
      </c>
      <c r="F941">
        <v>7.9</v>
      </c>
      <c r="G941">
        <v>9.2</v>
      </c>
      <c r="H941">
        <v>8.3</v>
      </c>
      <c r="I941">
        <v>8.1</v>
      </c>
      <c r="J941">
        <v>6.5</v>
      </c>
      <c r="K941">
        <v>6.8</v>
      </c>
      <c r="L941">
        <v>6.1</v>
      </c>
      <c r="M941">
        <v>5.7</v>
      </c>
      <c r="N941">
        <f t="shared" si="14"/>
        <v>76</v>
      </c>
    </row>
    <row r="942" spans="1:14">
      <c r="A942">
        <v>20195173</v>
      </c>
      <c r="B942" t="s">
        <v>14</v>
      </c>
      <c r="C942" t="str">
        <f>VLOOKUP(B942,专业代码!$B$2:$C$8,2,FALSE)</f>
        <v>会计学</v>
      </c>
      <c r="D942">
        <v>8.3</v>
      </c>
      <c r="E942">
        <v>8.2</v>
      </c>
      <c r="F942">
        <v>8.2</v>
      </c>
      <c r="G942">
        <v>8.4</v>
      </c>
      <c r="H942">
        <v>9.2</v>
      </c>
      <c r="I942">
        <v>8.1</v>
      </c>
      <c r="J942">
        <v>7.3</v>
      </c>
      <c r="K942">
        <v>7.5</v>
      </c>
      <c r="L942">
        <v>8.3</v>
      </c>
      <c r="M942">
        <v>6.6</v>
      </c>
      <c r="N942">
        <f t="shared" si="14"/>
        <v>80.1</v>
      </c>
    </row>
    <row r="943" spans="1:14">
      <c r="A943">
        <v>20196600</v>
      </c>
      <c r="B943" t="s">
        <v>14</v>
      </c>
      <c r="C943" t="str">
        <f>VLOOKUP(B943,专业代码!$B$2:$C$8,2,FALSE)</f>
        <v>会计学</v>
      </c>
      <c r="D943">
        <v>8.2</v>
      </c>
      <c r="E943">
        <v>9</v>
      </c>
      <c r="F943">
        <v>7.9</v>
      </c>
      <c r="G943">
        <v>8.1</v>
      </c>
      <c r="H943">
        <v>6.4</v>
      </c>
      <c r="I943">
        <v>7</v>
      </c>
      <c r="J943">
        <v>7.4</v>
      </c>
      <c r="K943">
        <v>7.3</v>
      </c>
      <c r="L943">
        <v>5.7</v>
      </c>
      <c r="M943">
        <v>4.5</v>
      </c>
      <c r="N943">
        <f t="shared" si="14"/>
        <v>71.5</v>
      </c>
    </row>
    <row r="944" spans="1:14">
      <c r="A944">
        <v>20196886</v>
      </c>
      <c r="B944" t="s">
        <v>14</v>
      </c>
      <c r="C944" t="str">
        <f>VLOOKUP(B944,专业代码!$B$2:$C$8,2,FALSE)</f>
        <v>会计学</v>
      </c>
      <c r="D944">
        <v>8.8</v>
      </c>
      <c r="E944">
        <v>9.2</v>
      </c>
      <c r="F944">
        <v>9.7</v>
      </c>
      <c r="G944">
        <v>8.5</v>
      </c>
      <c r="H944">
        <v>6.2</v>
      </c>
      <c r="I944">
        <v>7.6</v>
      </c>
      <c r="J944">
        <v>8.5</v>
      </c>
      <c r="K944">
        <v>7.3</v>
      </c>
      <c r="L944">
        <v>6.2</v>
      </c>
      <c r="M944">
        <v>6.1</v>
      </c>
      <c r="N944">
        <f t="shared" si="14"/>
        <v>78.1</v>
      </c>
    </row>
    <row r="945" spans="1:14">
      <c r="A945">
        <v>20197685</v>
      </c>
      <c r="B945" t="s">
        <v>14</v>
      </c>
      <c r="C945" t="str">
        <f>VLOOKUP(B945,专业代码!$B$2:$C$8,2,FALSE)</f>
        <v>会计学</v>
      </c>
      <c r="D945">
        <v>9.2</v>
      </c>
      <c r="E945">
        <v>8.3</v>
      </c>
      <c r="F945">
        <v>8.7</v>
      </c>
      <c r="G945">
        <v>8.1</v>
      </c>
      <c r="H945">
        <v>8</v>
      </c>
      <c r="I945">
        <v>7.7</v>
      </c>
      <c r="J945">
        <v>8.1</v>
      </c>
      <c r="K945">
        <v>7.5</v>
      </c>
      <c r="L945">
        <v>6.3</v>
      </c>
      <c r="M945">
        <v>6</v>
      </c>
      <c r="N945">
        <f t="shared" si="14"/>
        <v>77.9</v>
      </c>
    </row>
    <row r="946" spans="1:14">
      <c r="A946">
        <v>20198410</v>
      </c>
      <c r="B946" t="s">
        <v>14</v>
      </c>
      <c r="C946" t="str">
        <f>VLOOKUP(B946,专业代码!$B$2:$C$8,2,FALSE)</f>
        <v>会计学</v>
      </c>
      <c r="D946">
        <v>8.2</v>
      </c>
      <c r="E946">
        <v>9.3</v>
      </c>
      <c r="F946">
        <v>9</v>
      </c>
      <c r="G946">
        <v>8.8</v>
      </c>
      <c r="H946">
        <v>7.2</v>
      </c>
      <c r="I946">
        <v>7.3</v>
      </c>
      <c r="J946">
        <v>8.4</v>
      </c>
      <c r="K946">
        <v>7.1</v>
      </c>
      <c r="L946">
        <v>6.2</v>
      </c>
      <c r="M946">
        <v>3.4</v>
      </c>
      <c r="N946">
        <f t="shared" si="14"/>
        <v>74.9</v>
      </c>
    </row>
    <row r="947" spans="1:14">
      <c r="A947">
        <v>20199279</v>
      </c>
      <c r="B947" t="s">
        <v>14</v>
      </c>
      <c r="C947" t="str">
        <f>VLOOKUP(B947,专业代码!$B$2:$C$8,2,FALSE)</f>
        <v>会计学</v>
      </c>
      <c r="D947">
        <v>8.8</v>
      </c>
      <c r="E947">
        <v>8.9</v>
      </c>
      <c r="F947">
        <v>8.6</v>
      </c>
      <c r="G947">
        <v>8.1</v>
      </c>
      <c r="H947">
        <v>8.6</v>
      </c>
      <c r="I947">
        <v>7.8</v>
      </c>
      <c r="J947">
        <v>5.5</v>
      </c>
      <c r="K947">
        <v>7.6</v>
      </c>
      <c r="L947">
        <v>7.6</v>
      </c>
      <c r="M947">
        <v>7.1</v>
      </c>
      <c r="N947">
        <f t="shared" si="14"/>
        <v>78.6</v>
      </c>
    </row>
    <row r="948" spans="1:14">
      <c r="A948">
        <v>20192847</v>
      </c>
      <c r="B948" t="s">
        <v>14</v>
      </c>
      <c r="C948" t="str">
        <f>VLOOKUP(B948,专业代码!$B$2:$C$8,2,FALSE)</f>
        <v>会计学</v>
      </c>
      <c r="D948">
        <v>9.3</v>
      </c>
      <c r="E948">
        <v>7.6</v>
      </c>
      <c r="F948">
        <v>8.7</v>
      </c>
      <c r="G948">
        <v>8.2</v>
      </c>
      <c r="H948">
        <v>7</v>
      </c>
      <c r="I948">
        <v>8.9</v>
      </c>
      <c r="J948">
        <v>6.8</v>
      </c>
      <c r="K948">
        <v>6.6</v>
      </c>
      <c r="L948">
        <v>5.8</v>
      </c>
      <c r="M948">
        <v>5.5</v>
      </c>
      <c r="N948">
        <f t="shared" si="14"/>
        <v>74.4</v>
      </c>
    </row>
    <row r="949" spans="1:14">
      <c r="A949">
        <v>20193429</v>
      </c>
      <c r="B949" t="s">
        <v>14</v>
      </c>
      <c r="C949" t="str">
        <f>VLOOKUP(B949,专业代码!$B$2:$C$8,2,FALSE)</f>
        <v>会计学</v>
      </c>
      <c r="D949">
        <v>9.6</v>
      </c>
      <c r="E949">
        <v>9.2</v>
      </c>
      <c r="F949">
        <v>7.8</v>
      </c>
      <c r="G949">
        <v>8.2</v>
      </c>
      <c r="H949">
        <v>7.4</v>
      </c>
      <c r="I949">
        <v>8.9</v>
      </c>
      <c r="J949">
        <v>8.4</v>
      </c>
      <c r="K949">
        <v>8.3</v>
      </c>
      <c r="L949">
        <v>6.5</v>
      </c>
      <c r="M949">
        <v>6.8</v>
      </c>
      <c r="N949">
        <f t="shared" si="14"/>
        <v>81.1</v>
      </c>
    </row>
    <row r="950" spans="1:14">
      <c r="A950">
        <v>20194002</v>
      </c>
      <c r="B950" t="s">
        <v>14</v>
      </c>
      <c r="C950" t="str">
        <f>VLOOKUP(B950,专业代码!$B$2:$C$8,2,FALSE)</f>
        <v>会计学</v>
      </c>
      <c r="D950">
        <v>8.1</v>
      </c>
      <c r="E950">
        <v>7.9</v>
      </c>
      <c r="F950">
        <v>8.2</v>
      </c>
      <c r="G950">
        <v>8.5</v>
      </c>
      <c r="H950">
        <v>8.7</v>
      </c>
      <c r="I950">
        <v>8.7</v>
      </c>
      <c r="J950">
        <v>6.5</v>
      </c>
      <c r="K950">
        <v>7.3</v>
      </c>
      <c r="L950">
        <v>6.8</v>
      </c>
      <c r="M950">
        <v>6.7</v>
      </c>
      <c r="N950">
        <f t="shared" si="14"/>
        <v>77.4</v>
      </c>
    </row>
    <row r="951" spans="1:14">
      <c r="A951">
        <v>20196230</v>
      </c>
      <c r="B951" t="s">
        <v>14</v>
      </c>
      <c r="C951" t="str">
        <f>VLOOKUP(B951,专业代码!$B$2:$C$8,2,FALSE)</f>
        <v>会计学</v>
      </c>
      <c r="D951">
        <v>8.8</v>
      </c>
      <c r="E951">
        <v>8.3</v>
      </c>
      <c r="F951">
        <v>7.7</v>
      </c>
      <c r="G951">
        <v>9.5</v>
      </c>
      <c r="H951">
        <v>6.6</v>
      </c>
      <c r="I951">
        <v>7.2</v>
      </c>
      <c r="J951">
        <v>7.4</v>
      </c>
      <c r="K951">
        <v>7.5</v>
      </c>
      <c r="L951">
        <v>6.8</v>
      </c>
      <c r="M951">
        <v>5.3</v>
      </c>
      <c r="N951">
        <f t="shared" si="14"/>
        <v>75.1</v>
      </c>
    </row>
    <row r="952" spans="1:14">
      <c r="A952">
        <v>20197306</v>
      </c>
      <c r="B952" t="s">
        <v>14</v>
      </c>
      <c r="C952" t="str">
        <f>VLOOKUP(B952,专业代码!$B$2:$C$8,2,FALSE)</f>
        <v>会计学</v>
      </c>
      <c r="D952">
        <v>9.2</v>
      </c>
      <c r="E952">
        <v>9.4</v>
      </c>
      <c r="F952">
        <v>8.7</v>
      </c>
      <c r="G952">
        <v>7.3</v>
      </c>
      <c r="H952">
        <v>8.4</v>
      </c>
      <c r="I952">
        <v>7.3</v>
      </c>
      <c r="J952">
        <v>6.4</v>
      </c>
      <c r="K952">
        <v>9.6</v>
      </c>
      <c r="L952">
        <v>6.9</v>
      </c>
      <c r="M952">
        <v>6.7</v>
      </c>
      <c r="N952">
        <f t="shared" si="14"/>
        <v>79.9</v>
      </c>
    </row>
    <row r="953" spans="1:14">
      <c r="A953">
        <v>20198626</v>
      </c>
      <c r="B953" t="s">
        <v>14</v>
      </c>
      <c r="C953" t="str">
        <f>VLOOKUP(B953,专业代码!$B$2:$C$8,2,FALSE)</f>
        <v>会计学</v>
      </c>
      <c r="D953">
        <v>9.1</v>
      </c>
      <c r="E953">
        <v>8.6</v>
      </c>
      <c r="F953">
        <v>7.9</v>
      </c>
      <c r="G953">
        <v>8.9</v>
      </c>
      <c r="H953">
        <v>8.2</v>
      </c>
      <c r="I953">
        <v>8</v>
      </c>
      <c r="J953">
        <v>7.4</v>
      </c>
      <c r="K953">
        <v>6.4</v>
      </c>
      <c r="L953">
        <v>4.4</v>
      </c>
      <c r="M953">
        <v>7.6</v>
      </c>
      <c r="N953">
        <f t="shared" si="14"/>
        <v>76.5</v>
      </c>
    </row>
    <row r="954" spans="1:14">
      <c r="A954">
        <v>20199143</v>
      </c>
      <c r="B954" t="s">
        <v>14</v>
      </c>
      <c r="C954" t="str">
        <f>VLOOKUP(B954,专业代码!$B$2:$C$8,2,FALSE)</f>
        <v>会计学</v>
      </c>
      <c r="D954">
        <v>9.1</v>
      </c>
      <c r="E954">
        <v>8.7</v>
      </c>
      <c r="F954">
        <v>8.1</v>
      </c>
      <c r="G954">
        <v>8.1</v>
      </c>
      <c r="H954">
        <v>8</v>
      </c>
      <c r="I954">
        <v>7.9</v>
      </c>
      <c r="J954">
        <v>9.3</v>
      </c>
      <c r="K954">
        <v>8.1</v>
      </c>
      <c r="L954">
        <v>5.3</v>
      </c>
      <c r="M954">
        <v>5.2</v>
      </c>
      <c r="N954">
        <f t="shared" si="14"/>
        <v>77.8</v>
      </c>
    </row>
    <row r="955" spans="1:14">
      <c r="A955">
        <v>20199865</v>
      </c>
      <c r="B955" t="s">
        <v>14</v>
      </c>
      <c r="C955" t="str">
        <f>VLOOKUP(B955,专业代码!$B$2:$C$8,2,FALSE)</f>
        <v>会计学</v>
      </c>
      <c r="D955">
        <v>9</v>
      </c>
      <c r="E955">
        <v>9.4</v>
      </c>
      <c r="F955">
        <v>8.5</v>
      </c>
      <c r="G955">
        <v>8.3</v>
      </c>
      <c r="H955">
        <v>8.8</v>
      </c>
      <c r="I955">
        <v>7.3</v>
      </c>
      <c r="J955">
        <v>6.3</v>
      </c>
      <c r="K955">
        <v>8.4</v>
      </c>
      <c r="L955">
        <v>7</v>
      </c>
      <c r="M955">
        <v>6.2</v>
      </c>
      <c r="N955">
        <f t="shared" si="14"/>
        <v>79.2</v>
      </c>
    </row>
    <row r="956" spans="1:14">
      <c r="A956">
        <v>20191071</v>
      </c>
      <c r="B956" t="s">
        <v>14</v>
      </c>
      <c r="C956" t="str">
        <f>VLOOKUP(B956,专业代码!$B$2:$C$8,2,FALSE)</f>
        <v>会计学</v>
      </c>
      <c r="D956">
        <v>8.7</v>
      </c>
      <c r="E956">
        <v>9</v>
      </c>
      <c r="F956">
        <v>8.8</v>
      </c>
      <c r="G956">
        <v>7.8</v>
      </c>
      <c r="H956">
        <v>7.4</v>
      </c>
      <c r="I956">
        <v>8.1</v>
      </c>
      <c r="J956">
        <v>7.5</v>
      </c>
      <c r="K956">
        <v>6.6</v>
      </c>
      <c r="L956">
        <v>7.7</v>
      </c>
      <c r="M956">
        <v>8.5</v>
      </c>
      <c r="N956">
        <f t="shared" si="14"/>
        <v>80.1</v>
      </c>
    </row>
    <row r="957" spans="1:14">
      <c r="A957">
        <v>20191379</v>
      </c>
      <c r="B957" t="s">
        <v>14</v>
      </c>
      <c r="C957" t="str">
        <f>VLOOKUP(B957,专业代码!$B$2:$C$8,2,FALSE)</f>
        <v>会计学</v>
      </c>
      <c r="D957">
        <v>8.3</v>
      </c>
      <c r="E957">
        <v>7.8</v>
      </c>
      <c r="F957">
        <v>8.7</v>
      </c>
      <c r="G957">
        <v>8.5</v>
      </c>
      <c r="H957">
        <v>7.7</v>
      </c>
      <c r="I957">
        <v>7</v>
      </c>
      <c r="J957">
        <v>7.1</v>
      </c>
      <c r="K957">
        <v>6.8</v>
      </c>
      <c r="L957">
        <v>5.2</v>
      </c>
      <c r="M957">
        <v>8.1</v>
      </c>
      <c r="N957">
        <f t="shared" si="14"/>
        <v>75.2</v>
      </c>
    </row>
    <row r="958" spans="1:14">
      <c r="A958">
        <v>20191646</v>
      </c>
      <c r="B958" t="s">
        <v>14</v>
      </c>
      <c r="C958" t="str">
        <f>VLOOKUP(B958,专业代码!$B$2:$C$8,2,FALSE)</f>
        <v>会计学</v>
      </c>
      <c r="D958">
        <v>8.2</v>
      </c>
      <c r="E958">
        <v>8.7</v>
      </c>
      <c r="F958">
        <v>8.7</v>
      </c>
      <c r="G958">
        <v>8.6</v>
      </c>
      <c r="H958">
        <v>7.9</v>
      </c>
      <c r="I958">
        <v>8.7</v>
      </c>
      <c r="J958">
        <v>7.8</v>
      </c>
      <c r="K958">
        <v>5.1</v>
      </c>
      <c r="L958">
        <v>5.2</v>
      </c>
      <c r="M958">
        <v>6.1</v>
      </c>
      <c r="N958">
        <f t="shared" si="14"/>
        <v>75</v>
      </c>
    </row>
    <row r="959" spans="1:14">
      <c r="A959">
        <v>20192045</v>
      </c>
      <c r="B959" t="s">
        <v>14</v>
      </c>
      <c r="C959" t="str">
        <f>VLOOKUP(B959,专业代码!$B$2:$C$8,2,FALSE)</f>
        <v>会计学</v>
      </c>
      <c r="D959">
        <v>8.3</v>
      </c>
      <c r="E959">
        <v>9</v>
      </c>
      <c r="F959">
        <v>8.4</v>
      </c>
      <c r="G959">
        <v>8.8</v>
      </c>
      <c r="H959">
        <v>9.1</v>
      </c>
      <c r="I959">
        <v>7.8</v>
      </c>
      <c r="J959">
        <v>6.6</v>
      </c>
      <c r="K959">
        <v>7.3</v>
      </c>
      <c r="L959">
        <v>5.1</v>
      </c>
      <c r="M959">
        <v>5.8</v>
      </c>
      <c r="N959">
        <f t="shared" si="14"/>
        <v>76.2</v>
      </c>
    </row>
    <row r="960" spans="1:14">
      <c r="A960">
        <v>20192261</v>
      </c>
      <c r="B960" t="s">
        <v>14</v>
      </c>
      <c r="C960" t="str">
        <f>VLOOKUP(B960,专业代码!$B$2:$C$8,2,FALSE)</f>
        <v>会计学</v>
      </c>
      <c r="D960">
        <v>9.9</v>
      </c>
      <c r="E960">
        <v>8.8</v>
      </c>
      <c r="F960">
        <v>7.8</v>
      </c>
      <c r="G960">
        <v>8</v>
      </c>
      <c r="H960">
        <v>7.5</v>
      </c>
      <c r="I960">
        <v>8</v>
      </c>
      <c r="J960">
        <v>8</v>
      </c>
      <c r="K960">
        <v>8.7</v>
      </c>
      <c r="L960">
        <v>9.2</v>
      </c>
      <c r="M960">
        <v>8.4</v>
      </c>
      <c r="N960">
        <f t="shared" si="14"/>
        <v>84.3</v>
      </c>
    </row>
    <row r="961" spans="1:14">
      <c r="A961">
        <v>20193250</v>
      </c>
      <c r="B961" t="s">
        <v>14</v>
      </c>
      <c r="C961" t="str">
        <f>VLOOKUP(B961,专业代码!$B$2:$C$8,2,FALSE)</f>
        <v>会计学</v>
      </c>
      <c r="D961">
        <v>9</v>
      </c>
      <c r="E961">
        <v>8.1</v>
      </c>
      <c r="F961">
        <v>8.3</v>
      </c>
      <c r="G961">
        <v>8</v>
      </c>
      <c r="H961">
        <v>6.9</v>
      </c>
      <c r="I961">
        <v>7.2</v>
      </c>
      <c r="J961">
        <v>7.1</v>
      </c>
      <c r="K961">
        <v>6.3</v>
      </c>
      <c r="L961">
        <v>7.3</v>
      </c>
      <c r="M961">
        <v>5</v>
      </c>
      <c r="N961">
        <f t="shared" si="14"/>
        <v>73.2</v>
      </c>
    </row>
    <row r="962" spans="1:14">
      <c r="A962">
        <v>20194004</v>
      </c>
      <c r="B962" t="s">
        <v>14</v>
      </c>
      <c r="C962" t="str">
        <f>VLOOKUP(B962,专业代码!$B$2:$C$8,2,FALSE)</f>
        <v>会计学</v>
      </c>
      <c r="D962">
        <v>8.4</v>
      </c>
      <c r="E962">
        <v>8.7</v>
      </c>
      <c r="F962">
        <v>8.7</v>
      </c>
      <c r="G962">
        <v>9.1</v>
      </c>
      <c r="H962">
        <v>6.6</v>
      </c>
      <c r="I962">
        <v>7.7</v>
      </c>
      <c r="J962">
        <v>7.3</v>
      </c>
      <c r="K962">
        <v>7.7</v>
      </c>
      <c r="L962">
        <v>7</v>
      </c>
      <c r="M962">
        <v>7.8</v>
      </c>
      <c r="N962">
        <f t="shared" si="14"/>
        <v>79</v>
      </c>
    </row>
    <row r="963" spans="1:14">
      <c r="A963">
        <v>20194465</v>
      </c>
      <c r="B963" t="s">
        <v>14</v>
      </c>
      <c r="C963" t="str">
        <f>VLOOKUP(B963,专业代码!$B$2:$C$8,2,FALSE)</f>
        <v>会计学</v>
      </c>
      <c r="D963">
        <v>8.9</v>
      </c>
      <c r="E963">
        <v>8.4</v>
      </c>
      <c r="F963">
        <v>8.6</v>
      </c>
      <c r="G963">
        <v>8.2</v>
      </c>
      <c r="H963">
        <v>8.8</v>
      </c>
      <c r="I963">
        <v>7.8</v>
      </c>
      <c r="J963">
        <v>8.5</v>
      </c>
      <c r="K963">
        <v>7.1</v>
      </c>
      <c r="L963">
        <v>6.6</v>
      </c>
      <c r="M963">
        <v>8</v>
      </c>
      <c r="N963">
        <f t="shared" ref="N963:N1026" si="15">SUM(D963:M963)</f>
        <v>80.9</v>
      </c>
    </row>
    <row r="964" spans="1:14">
      <c r="A964">
        <v>20195080</v>
      </c>
      <c r="B964" t="s">
        <v>14</v>
      </c>
      <c r="C964" t="str">
        <f>VLOOKUP(B964,专业代码!$B$2:$C$8,2,FALSE)</f>
        <v>会计学</v>
      </c>
      <c r="D964">
        <v>8.9</v>
      </c>
      <c r="E964">
        <v>8.8</v>
      </c>
      <c r="F964">
        <v>7.9</v>
      </c>
      <c r="G964">
        <v>8.3</v>
      </c>
      <c r="H964">
        <v>8.6</v>
      </c>
      <c r="I964">
        <v>6.9</v>
      </c>
      <c r="J964">
        <v>6.8</v>
      </c>
      <c r="K964">
        <v>6.8</v>
      </c>
      <c r="L964">
        <v>6.8</v>
      </c>
      <c r="M964">
        <v>7.7</v>
      </c>
      <c r="N964">
        <f t="shared" si="15"/>
        <v>77.5</v>
      </c>
    </row>
    <row r="965" spans="1:14">
      <c r="A965">
        <v>20195482</v>
      </c>
      <c r="B965" t="s">
        <v>14</v>
      </c>
      <c r="C965" t="str">
        <f>VLOOKUP(B965,专业代码!$B$2:$C$8,2,FALSE)</f>
        <v>会计学</v>
      </c>
      <c r="D965">
        <v>8.7</v>
      </c>
      <c r="E965">
        <v>8.2</v>
      </c>
      <c r="F965">
        <v>8.5</v>
      </c>
      <c r="G965">
        <v>8.2</v>
      </c>
      <c r="H965">
        <v>7.8</v>
      </c>
      <c r="I965">
        <v>8.5</v>
      </c>
      <c r="J965">
        <v>6.4</v>
      </c>
      <c r="K965">
        <v>7.2</v>
      </c>
      <c r="L965">
        <v>4.7</v>
      </c>
      <c r="M965">
        <v>6.7</v>
      </c>
      <c r="N965">
        <f t="shared" si="15"/>
        <v>74.9</v>
      </c>
    </row>
    <row r="966" spans="1:14">
      <c r="A966">
        <v>20197859</v>
      </c>
      <c r="B966" t="s">
        <v>14</v>
      </c>
      <c r="C966" t="str">
        <f>VLOOKUP(B966,专业代码!$B$2:$C$8,2,FALSE)</f>
        <v>会计学</v>
      </c>
      <c r="D966">
        <v>9.2</v>
      </c>
      <c r="E966">
        <v>8</v>
      </c>
      <c r="F966">
        <v>8</v>
      </c>
      <c r="G966">
        <v>7.5</v>
      </c>
      <c r="H966">
        <v>8.9</v>
      </c>
      <c r="I966">
        <v>6.8</v>
      </c>
      <c r="J966">
        <v>6.9</v>
      </c>
      <c r="K966">
        <v>7.6</v>
      </c>
      <c r="L966">
        <v>7.7</v>
      </c>
      <c r="M966">
        <v>5.6</v>
      </c>
      <c r="N966">
        <f t="shared" si="15"/>
        <v>76.2</v>
      </c>
    </row>
    <row r="967" spans="1:14">
      <c r="A967">
        <v>20198578</v>
      </c>
      <c r="B967" t="s">
        <v>14</v>
      </c>
      <c r="C967" t="str">
        <f>VLOOKUP(B967,专业代码!$B$2:$C$8,2,FALSE)</f>
        <v>会计学</v>
      </c>
      <c r="D967">
        <v>7.9</v>
      </c>
      <c r="E967">
        <v>8.7</v>
      </c>
      <c r="F967">
        <v>7.9</v>
      </c>
      <c r="G967">
        <v>8</v>
      </c>
      <c r="H967">
        <v>6.8</v>
      </c>
      <c r="I967">
        <v>7.7</v>
      </c>
      <c r="J967">
        <v>9.1</v>
      </c>
      <c r="K967">
        <v>8.7</v>
      </c>
      <c r="L967">
        <v>6.1</v>
      </c>
      <c r="M967">
        <v>5</v>
      </c>
      <c r="N967">
        <f t="shared" si="15"/>
        <v>75.9</v>
      </c>
    </row>
    <row r="968" spans="1:14">
      <c r="A968">
        <v>20192250</v>
      </c>
      <c r="B968" t="s">
        <v>14</v>
      </c>
      <c r="C968" t="str">
        <f>VLOOKUP(B968,专业代码!$B$2:$C$8,2,FALSE)</f>
        <v>会计学</v>
      </c>
      <c r="D968">
        <v>9.6</v>
      </c>
      <c r="E968">
        <v>9.7</v>
      </c>
      <c r="F968">
        <v>7.7</v>
      </c>
      <c r="G968">
        <v>8.5</v>
      </c>
      <c r="H968">
        <v>7.8</v>
      </c>
      <c r="I968">
        <v>8.6</v>
      </c>
      <c r="J968">
        <v>6.3</v>
      </c>
      <c r="K968">
        <v>7</v>
      </c>
      <c r="L968">
        <v>9.8</v>
      </c>
      <c r="M968">
        <v>5.9</v>
      </c>
      <c r="N968">
        <f t="shared" si="15"/>
        <v>80.9</v>
      </c>
    </row>
    <row r="969" spans="1:14">
      <c r="A969">
        <v>20193724</v>
      </c>
      <c r="B969" t="s">
        <v>14</v>
      </c>
      <c r="C969" t="str">
        <f>VLOOKUP(B969,专业代码!$B$2:$C$8,2,FALSE)</f>
        <v>会计学</v>
      </c>
      <c r="D969">
        <v>9.8</v>
      </c>
      <c r="E969">
        <v>8</v>
      </c>
      <c r="F969">
        <v>8.6</v>
      </c>
      <c r="G969">
        <v>8.4</v>
      </c>
      <c r="H969">
        <v>6.9</v>
      </c>
      <c r="I969">
        <v>8.5</v>
      </c>
      <c r="J969">
        <v>7.4</v>
      </c>
      <c r="K969">
        <v>9.9</v>
      </c>
      <c r="L969">
        <v>9.7</v>
      </c>
      <c r="M969">
        <v>5.6</v>
      </c>
      <c r="N969">
        <f t="shared" si="15"/>
        <v>82.8</v>
      </c>
    </row>
    <row r="970" spans="1:14">
      <c r="A970">
        <v>20193745</v>
      </c>
      <c r="B970" t="s">
        <v>14</v>
      </c>
      <c r="C970" t="str">
        <f>VLOOKUP(B970,专业代码!$B$2:$C$8,2,FALSE)</f>
        <v>会计学</v>
      </c>
      <c r="D970">
        <v>9.7</v>
      </c>
      <c r="E970">
        <v>9.2</v>
      </c>
      <c r="F970">
        <v>8.5</v>
      </c>
      <c r="G970">
        <v>9.5</v>
      </c>
      <c r="H970">
        <v>8.3</v>
      </c>
      <c r="I970">
        <v>6.5</v>
      </c>
      <c r="J970">
        <v>7.3</v>
      </c>
      <c r="K970">
        <v>8.4</v>
      </c>
      <c r="L970">
        <v>6.6</v>
      </c>
      <c r="M970">
        <v>6.7</v>
      </c>
      <c r="N970">
        <f t="shared" si="15"/>
        <v>80.7</v>
      </c>
    </row>
    <row r="971" spans="1:14">
      <c r="A971">
        <v>20195971</v>
      </c>
      <c r="B971" t="s">
        <v>14</v>
      </c>
      <c r="C971" t="str">
        <f>VLOOKUP(B971,专业代码!$B$2:$C$8,2,FALSE)</f>
        <v>会计学</v>
      </c>
      <c r="D971">
        <v>9.4</v>
      </c>
      <c r="E971">
        <v>9.2</v>
      </c>
      <c r="F971">
        <v>8.8</v>
      </c>
      <c r="G971">
        <v>8.8</v>
      </c>
      <c r="H971">
        <v>7.4</v>
      </c>
      <c r="I971">
        <v>8.4</v>
      </c>
      <c r="J971">
        <v>6.9</v>
      </c>
      <c r="K971">
        <v>7.1</v>
      </c>
      <c r="L971">
        <v>7.4</v>
      </c>
      <c r="M971">
        <v>8.3</v>
      </c>
      <c r="N971">
        <f t="shared" si="15"/>
        <v>81.7</v>
      </c>
    </row>
    <row r="972" spans="1:14">
      <c r="A972">
        <v>20198075</v>
      </c>
      <c r="B972" t="s">
        <v>14</v>
      </c>
      <c r="C972" t="str">
        <f>VLOOKUP(B972,专业代码!$B$2:$C$8,2,FALSE)</f>
        <v>会计学</v>
      </c>
      <c r="D972">
        <v>9.3</v>
      </c>
      <c r="E972">
        <v>8.8</v>
      </c>
      <c r="F972">
        <v>7.2</v>
      </c>
      <c r="G972">
        <v>8</v>
      </c>
      <c r="H972">
        <v>8.6</v>
      </c>
      <c r="I972">
        <v>7.9</v>
      </c>
      <c r="J972">
        <v>7.6</v>
      </c>
      <c r="K972">
        <v>8</v>
      </c>
      <c r="L972">
        <v>6.1</v>
      </c>
      <c r="M972">
        <v>7.3</v>
      </c>
      <c r="N972">
        <f t="shared" si="15"/>
        <v>78.8</v>
      </c>
    </row>
    <row r="973" spans="1:14">
      <c r="A973">
        <v>20198351</v>
      </c>
      <c r="B973" t="s">
        <v>14</v>
      </c>
      <c r="C973" t="str">
        <f>VLOOKUP(B973,专业代码!$B$2:$C$8,2,FALSE)</f>
        <v>会计学</v>
      </c>
      <c r="D973">
        <v>9.7</v>
      </c>
      <c r="E973">
        <v>8.7</v>
      </c>
      <c r="F973">
        <v>8.9</v>
      </c>
      <c r="G973">
        <v>9.9</v>
      </c>
      <c r="H973">
        <v>7.7</v>
      </c>
      <c r="I973">
        <v>6.3</v>
      </c>
      <c r="J973">
        <v>8.2</v>
      </c>
      <c r="K973">
        <v>7.6</v>
      </c>
      <c r="L973">
        <v>8.2</v>
      </c>
      <c r="M973">
        <v>8.6</v>
      </c>
      <c r="N973">
        <f t="shared" si="15"/>
        <v>83.8</v>
      </c>
    </row>
    <row r="974" spans="1:14">
      <c r="A974">
        <v>20198373</v>
      </c>
      <c r="B974" t="s">
        <v>14</v>
      </c>
      <c r="C974" t="str">
        <f>VLOOKUP(B974,专业代码!$B$2:$C$8,2,FALSE)</f>
        <v>会计学</v>
      </c>
      <c r="D974">
        <v>9</v>
      </c>
      <c r="E974">
        <v>8.6</v>
      </c>
      <c r="F974">
        <v>8.8</v>
      </c>
      <c r="G974">
        <v>9.9</v>
      </c>
      <c r="H974">
        <v>8.7</v>
      </c>
      <c r="I974">
        <v>8.6</v>
      </c>
      <c r="J974">
        <v>6.8</v>
      </c>
      <c r="K974">
        <v>7.3</v>
      </c>
      <c r="L974">
        <v>8.1</v>
      </c>
      <c r="M974">
        <v>7</v>
      </c>
      <c r="N974">
        <f t="shared" si="15"/>
        <v>82.8</v>
      </c>
    </row>
    <row r="975" spans="1:14">
      <c r="A975">
        <v>20199020</v>
      </c>
      <c r="B975" t="s">
        <v>14</v>
      </c>
      <c r="C975" t="str">
        <f>VLOOKUP(B975,专业代码!$B$2:$C$8,2,FALSE)</f>
        <v>会计学</v>
      </c>
      <c r="D975">
        <v>8.2</v>
      </c>
      <c r="E975">
        <v>7.6</v>
      </c>
      <c r="F975">
        <v>8.5</v>
      </c>
      <c r="G975">
        <v>8.3</v>
      </c>
      <c r="H975">
        <v>7.8</v>
      </c>
      <c r="I975">
        <v>8.3</v>
      </c>
      <c r="J975">
        <v>8.4</v>
      </c>
      <c r="K975">
        <v>8.5</v>
      </c>
      <c r="L975">
        <v>9.5</v>
      </c>
      <c r="M975">
        <v>9.5</v>
      </c>
      <c r="N975">
        <f t="shared" si="15"/>
        <v>84.6</v>
      </c>
    </row>
    <row r="976" spans="1:14">
      <c r="A976">
        <v>20193528</v>
      </c>
      <c r="B976" t="s">
        <v>15</v>
      </c>
      <c r="C976" t="str">
        <f>VLOOKUP(B976,专业代码!$B$2:$C$8,2,FALSE)</f>
        <v>保险学</v>
      </c>
      <c r="D976">
        <v>9.2</v>
      </c>
      <c r="E976">
        <v>8.8</v>
      </c>
      <c r="F976">
        <v>8.3</v>
      </c>
      <c r="G976">
        <v>9</v>
      </c>
      <c r="H976">
        <v>7.5</v>
      </c>
      <c r="I976">
        <v>7.8</v>
      </c>
      <c r="J976">
        <v>7.1</v>
      </c>
      <c r="K976">
        <v>5.9</v>
      </c>
      <c r="L976">
        <v>5</v>
      </c>
      <c r="M976">
        <v>6.5</v>
      </c>
      <c r="N976">
        <f t="shared" si="15"/>
        <v>75.1</v>
      </c>
    </row>
    <row r="977" spans="1:14">
      <c r="A977">
        <v>20193920</v>
      </c>
      <c r="B977" t="s">
        <v>15</v>
      </c>
      <c r="C977" t="str">
        <f>VLOOKUP(B977,专业代码!$B$2:$C$8,2,FALSE)</f>
        <v>保险学</v>
      </c>
      <c r="D977">
        <v>7.2</v>
      </c>
      <c r="E977">
        <v>8.8</v>
      </c>
      <c r="F977">
        <v>8.6</v>
      </c>
      <c r="G977">
        <v>8.1</v>
      </c>
      <c r="H977">
        <v>7.7</v>
      </c>
      <c r="I977">
        <v>7.9</v>
      </c>
      <c r="J977">
        <v>6.3</v>
      </c>
      <c r="K977">
        <v>7.1</v>
      </c>
      <c r="L977">
        <v>7.6</v>
      </c>
      <c r="M977">
        <v>4.9</v>
      </c>
      <c r="N977">
        <f t="shared" si="15"/>
        <v>74.2</v>
      </c>
    </row>
    <row r="978" spans="1:14">
      <c r="A978">
        <v>20196300</v>
      </c>
      <c r="B978" t="s">
        <v>15</v>
      </c>
      <c r="C978" t="str">
        <f>VLOOKUP(B978,专业代码!$B$2:$C$8,2,FALSE)</f>
        <v>保险学</v>
      </c>
      <c r="D978">
        <v>8.2</v>
      </c>
      <c r="E978">
        <v>9</v>
      </c>
      <c r="F978">
        <v>9.2</v>
      </c>
      <c r="G978">
        <v>8.6</v>
      </c>
      <c r="H978">
        <v>7.8</v>
      </c>
      <c r="I978">
        <v>7.2</v>
      </c>
      <c r="J978">
        <v>6.1</v>
      </c>
      <c r="K978">
        <v>7.3</v>
      </c>
      <c r="L978">
        <v>7.3</v>
      </c>
      <c r="M978">
        <v>7.5</v>
      </c>
      <c r="N978">
        <f t="shared" si="15"/>
        <v>78.2</v>
      </c>
    </row>
    <row r="979" spans="1:14">
      <c r="A979">
        <v>20196987</v>
      </c>
      <c r="B979" t="s">
        <v>15</v>
      </c>
      <c r="C979" t="str">
        <f>VLOOKUP(B979,专业代码!$B$2:$C$8,2,FALSE)</f>
        <v>保险学</v>
      </c>
      <c r="D979">
        <v>8.8</v>
      </c>
      <c r="E979">
        <v>7.7</v>
      </c>
      <c r="F979">
        <v>8.2</v>
      </c>
      <c r="G979">
        <v>7.7</v>
      </c>
      <c r="H979">
        <v>8.1</v>
      </c>
      <c r="I979">
        <v>8</v>
      </c>
      <c r="J979">
        <v>8.4</v>
      </c>
      <c r="K979">
        <v>7</v>
      </c>
      <c r="L979">
        <v>6.3</v>
      </c>
      <c r="M979">
        <v>7</v>
      </c>
      <c r="N979">
        <f t="shared" si="15"/>
        <v>77.2</v>
      </c>
    </row>
    <row r="980" spans="1:14">
      <c r="A980">
        <v>20197741</v>
      </c>
      <c r="B980" t="s">
        <v>15</v>
      </c>
      <c r="C980" t="str">
        <f>VLOOKUP(B980,专业代码!$B$2:$C$8,2,FALSE)</f>
        <v>保险学</v>
      </c>
      <c r="D980">
        <v>7.8</v>
      </c>
      <c r="E980">
        <v>8.6</v>
      </c>
      <c r="F980">
        <v>7.5</v>
      </c>
      <c r="G980">
        <v>7.7</v>
      </c>
      <c r="H980">
        <v>7.6</v>
      </c>
      <c r="I980">
        <v>8.5</v>
      </c>
      <c r="J980">
        <v>6</v>
      </c>
      <c r="K980">
        <v>7.1</v>
      </c>
      <c r="L980">
        <v>7.6</v>
      </c>
      <c r="M980">
        <v>7.9</v>
      </c>
      <c r="N980">
        <f t="shared" si="15"/>
        <v>76.3</v>
      </c>
    </row>
    <row r="981" spans="1:14">
      <c r="A981">
        <v>20199366</v>
      </c>
      <c r="B981" t="s">
        <v>15</v>
      </c>
      <c r="C981" t="str">
        <f>VLOOKUP(B981,专业代码!$B$2:$C$8,2,FALSE)</f>
        <v>保险学</v>
      </c>
      <c r="D981">
        <v>8.1</v>
      </c>
      <c r="E981">
        <v>8.9</v>
      </c>
      <c r="F981">
        <v>7.8</v>
      </c>
      <c r="G981">
        <v>9.2</v>
      </c>
      <c r="H981">
        <v>6.6</v>
      </c>
      <c r="I981">
        <v>6.4</v>
      </c>
      <c r="J981">
        <v>8.1</v>
      </c>
      <c r="K981">
        <v>6</v>
      </c>
      <c r="L981">
        <v>7.5</v>
      </c>
      <c r="M981">
        <v>6.3</v>
      </c>
      <c r="N981">
        <f t="shared" si="15"/>
        <v>74.9</v>
      </c>
    </row>
    <row r="982" spans="1:14">
      <c r="A982">
        <v>20199596</v>
      </c>
      <c r="B982" t="s">
        <v>15</v>
      </c>
      <c r="C982" t="str">
        <f>VLOOKUP(B982,专业代码!$B$2:$C$8,2,FALSE)</f>
        <v>保险学</v>
      </c>
      <c r="D982">
        <v>8.6</v>
      </c>
      <c r="E982">
        <v>8</v>
      </c>
      <c r="F982">
        <v>8.7</v>
      </c>
      <c r="G982">
        <v>7.5</v>
      </c>
      <c r="H982">
        <v>8.1</v>
      </c>
      <c r="I982">
        <v>6.9</v>
      </c>
      <c r="J982">
        <v>6.9</v>
      </c>
      <c r="K982">
        <v>7.3</v>
      </c>
      <c r="L982">
        <v>6.6</v>
      </c>
      <c r="M982">
        <v>6.1</v>
      </c>
      <c r="N982">
        <f t="shared" si="15"/>
        <v>74.7</v>
      </c>
    </row>
    <row r="983" spans="1:14">
      <c r="A983">
        <v>20199670</v>
      </c>
      <c r="B983" t="s">
        <v>15</v>
      </c>
      <c r="C983" t="str">
        <f>VLOOKUP(B983,专业代码!$B$2:$C$8,2,FALSE)</f>
        <v>保险学</v>
      </c>
      <c r="D983">
        <v>7.8</v>
      </c>
      <c r="E983">
        <v>9.5</v>
      </c>
      <c r="F983">
        <v>7.5</v>
      </c>
      <c r="G983">
        <v>7.3</v>
      </c>
      <c r="H983">
        <v>6.9</v>
      </c>
      <c r="I983">
        <v>6.5</v>
      </c>
      <c r="J983">
        <v>8.2</v>
      </c>
      <c r="K983">
        <v>6.2</v>
      </c>
      <c r="L983">
        <v>7.4</v>
      </c>
      <c r="M983">
        <v>4.7</v>
      </c>
      <c r="N983">
        <f t="shared" si="15"/>
        <v>72</v>
      </c>
    </row>
    <row r="984" spans="1:14">
      <c r="A984">
        <v>20192260</v>
      </c>
      <c r="B984" t="s">
        <v>15</v>
      </c>
      <c r="C984" t="str">
        <f>VLOOKUP(B984,专业代码!$B$2:$C$8,2,FALSE)</f>
        <v>保险学</v>
      </c>
      <c r="D984">
        <v>9.3</v>
      </c>
      <c r="E984">
        <v>8.6</v>
      </c>
      <c r="F984">
        <v>6.6</v>
      </c>
      <c r="G984">
        <v>7.5</v>
      </c>
      <c r="H984">
        <v>8.2</v>
      </c>
      <c r="I984">
        <v>7.6</v>
      </c>
      <c r="J984">
        <v>5.2</v>
      </c>
      <c r="K984">
        <v>7.2</v>
      </c>
      <c r="L984">
        <v>7.2</v>
      </c>
      <c r="M984">
        <v>4.8</v>
      </c>
      <c r="N984">
        <f t="shared" si="15"/>
        <v>72.2</v>
      </c>
    </row>
    <row r="985" spans="1:14">
      <c r="A985">
        <v>20194445</v>
      </c>
      <c r="B985" t="s">
        <v>15</v>
      </c>
      <c r="C985" t="str">
        <f>VLOOKUP(B985,专业代码!$B$2:$C$8,2,FALSE)</f>
        <v>保险学</v>
      </c>
      <c r="D985">
        <v>9.5</v>
      </c>
      <c r="E985">
        <v>8.8</v>
      </c>
      <c r="F985">
        <v>8.2</v>
      </c>
      <c r="G985">
        <v>8.6</v>
      </c>
      <c r="H985">
        <v>5.9</v>
      </c>
      <c r="I985">
        <v>7.7</v>
      </c>
      <c r="J985">
        <v>7.2</v>
      </c>
      <c r="K985">
        <v>7.2</v>
      </c>
      <c r="L985">
        <v>5.3</v>
      </c>
      <c r="M985">
        <v>4.3</v>
      </c>
      <c r="N985">
        <f t="shared" si="15"/>
        <v>72.7</v>
      </c>
    </row>
    <row r="986" spans="1:14">
      <c r="A986">
        <v>20196370</v>
      </c>
      <c r="B986" t="s">
        <v>15</v>
      </c>
      <c r="C986" t="str">
        <f>VLOOKUP(B986,专业代码!$B$2:$C$8,2,FALSE)</f>
        <v>保险学</v>
      </c>
      <c r="D986">
        <v>9.4</v>
      </c>
      <c r="E986">
        <v>7.7</v>
      </c>
      <c r="F986">
        <v>8</v>
      </c>
      <c r="G986">
        <v>7.8</v>
      </c>
      <c r="H986">
        <v>7.2</v>
      </c>
      <c r="I986">
        <v>7.3</v>
      </c>
      <c r="J986">
        <v>7.1</v>
      </c>
      <c r="K986">
        <v>5.8</v>
      </c>
      <c r="L986">
        <v>7.6</v>
      </c>
      <c r="M986">
        <v>7.2</v>
      </c>
      <c r="N986">
        <f t="shared" si="15"/>
        <v>75.1</v>
      </c>
    </row>
    <row r="987" spans="1:14">
      <c r="A987">
        <v>20196634</v>
      </c>
      <c r="B987" t="s">
        <v>15</v>
      </c>
      <c r="C987" t="str">
        <f>VLOOKUP(B987,专业代码!$B$2:$C$8,2,FALSE)</f>
        <v>保险学</v>
      </c>
      <c r="D987">
        <v>8.6</v>
      </c>
      <c r="E987">
        <v>8.4</v>
      </c>
      <c r="F987">
        <v>8.5</v>
      </c>
      <c r="G987">
        <v>8.1</v>
      </c>
      <c r="H987">
        <v>9</v>
      </c>
      <c r="I987">
        <v>5.1</v>
      </c>
      <c r="J987">
        <v>8.5</v>
      </c>
      <c r="K987">
        <v>6.7</v>
      </c>
      <c r="L987">
        <v>7</v>
      </c>
      <c r="M987">
        <v>6.8</v>
      </c>
      <c r="N987">
        <f t="shared" si="15"/>
        <v>76.7</v>
      </c>
    </row>
    <row r="988" spans="1:14">
      <c r="A988">
        <v>20196680</v>
      </c>
      <c r="B988" t="s">
        <v>15</v>
      </c>
      <c r="C988" t="str">
        <f>VLOOKUP(B988,专业代码!$B$2:$C$8,2,FALSE)</f>
        <v>保险学</v>
      </c>
      <c r="D988">
        <v>8.4</v>
      </c>
      <c r="E988">
        <v>8.4</v>
      </c>
      <c r="F988">
        <v>7.5</v>
      </c>
      <c r="G988">
        <v>8.5</v>
      </c>
      <c r="H988">
        <v>9</v>
      </c>
      <c r="I988">
        <v>6.5</v>
      </c>
      <c r="J988">
        <v>6.2</v>
      </c>
      <c r="K988">
        <v>6.4</v>
      </c>
      <c r="L988">
        <v>6.9</v>
      </c>
      <c r="M988">
        <v>6.8</v>
      </c>
      <c r="N988">
        <f t="shared" si="15"/>
        <v>74.6</v>
      </c>
    </row>
    <row r="989" spans="1:14">
      <c r="A989">
        <v>20196825</v>
      </c>
      <c r="B989" t="s">
        <v>15</v>
      </c>
      <c r="C989" t="str">
        <f>VLOOKUP(B989,专业代码!$B$2:$C$8,2,FALSE)</f>
        <v>保险学</v>
      </c>
      <c r="D989">
        <v>8.3</v>
      </c>
      <c r="E989">
        <v>8</v>
      </c>
      <c r="F989">
        <v>8</v>
      </c>
      <c r="G989">
        <v>8.7</v>
      </c>
      <c r="H989">
        <v>6.4</v>
      </c>
      <c r="I989">
        <v>8.4</v>
      </c>
      <c r="J989">
        <v>6.6</v>
      </c>
      <c r="K989">
        <v>6.9</v>
      </c>
      <c r="L989">
        <v>5.4</v>
      </c>
      <c r="M989">
        <v>5.2</v>
      </c>
      <c r="N989">
        <f t="shared" si="15"/>
        <v>71.9</v>
      </c>
    </row>
    <row r="990" spans="1:14">
      <c r="A990">
        <v>20191944</v>
      </c>
      <c r="B990" t="s">
        <v>15</v>
      </c>
      <c r="C990" t="str">
        <f>VLOOKUP(B990,专业代码!$B$2:$C$8,2,FALSE)</f>
        <v>保险学</v>
      </c>
      <c r="D990">
        <v>8.6</v>
      </c>
      <c r="E990">
        <v>8.6</v>
      </c>
      <c r="F990">
        <v>6.6</v>
      </c>
      <c r="G990">
        <v>8.8</v>
      </c>
      <c r="H990">
        <v>6.7</v>
      </c>
      <c r="I990">
        <v>8.2</v>
      </c>
      <c r="J990">
        <v>6.5</v>
      </c>
      <c r="K990">
        <v>5.9</v>
      </c>
      <c r="L990">
        <v>8</v>
      </c>
      <c r="M990">
        <v>5</v>
      </c>
      <c r="N990">
        <f t="shared" si="15"/>
        <v>72.9</v>
      </c>
    </row>
    <row r="991" spans="1:14">
      <c r="A991">
        <v>20194568</v>
      </c>
      <c r="B991" t="s">
        <v>15</v>
      </c>
      <c r="C991" t="str">
        <f>VLOOKUP(B991,专业代码!$B$2:$C$8,2,FALSE)</f>
        <v>保险学</v>
      </c>
      <c r="D991">
        <v>8.5</v>
      </c>
      <c r="E991">
        <v>8.2</v>
      </c>
      <c r="F991">
        <v>9</v>
      </c>
      <c r="G991">
        <v>7.1</v>
      </c>
      <c r="H991">
        <v>6.9</v>
      </c>
      <c r="I991">
        <v>7.6</v>
      </c>
      <c r="J991">
        <v>6.8</v>
      </c>
      <c r="K991">
        <v>7</v>
      </c>
      <c r="L991">
        <v>7</v>
      </c>
      <c r="M991">
        <v>6.2</v>
      </c>
      <c r="N991">
        <f t="shared" si="15"/>
        <v>74.3</v>
      </c>
    </row>
    <row r="992" spans="1:14">
      <c r="A992">
        <v>20195166</v>
      </c>
      <c r="B992" t="s">
        <v>15</v>
      </c>
      <c r="C992" t="str">
        <f>VLOOKUP(B992,专业代码!$B$2:$C$8,2,FALSE)</f>
        <v>保险学</v>
      </c>
      <c r="D992">
        <v>8.3</v>
      </c>
      <c r="E992">
        <v>7.5</v>
      </c>
      <c r="F992">
        <v>8.1</v>
      </c>
      <c r="G992">
        <v>7.9</v>
      </c>
      <c r="H992">
        <v>6.6</v>
      </c>
      <c r="I992">
        <v>8.8</v>
      </c>
      <c r="J992">
        <v>8.7</v>
      </c>
      <c r="K992">
        <v>6.2</v>
      </c>
      <c r="L992">
        <v>7.1</v>
      </c>
      <c r="M992">
        <v>6.9</v>
      </c>
      <c r="N992">
        <f t="shared" si="15"/>
        <v>76.1</v>
      </c>
    </row>
    <row r="993" spans="1:14">
      <c r="A993">
        <v>20195475</v>
      </c>
      <c r="B993" t="s">
        <v>15</v>
      </c>
      <c r="C993" t="str">
        <f>VLOOKUP(B993,专业代码!$B$2:$C$8,2,FALSE)</f>
        <v>保险学</v>
      </c>
      <c r="D993">
        <v>8.4</v>
      </c>
      <c r="E993">
        <v>8.8</v>
      </c>
      <c r="F993">
        <v>7.8</v>
      </c>
      <c r="G993">
        <v>8.2</v>
      </c>
      <c r="H993">
        <v>5.4</v>
      </c>
      <c r="I993">
        <v>8.2</v>
      </c>
      <c r="J993">
        <v>7.1</v>
      </c>
      <c r="K993">
        <v>6.5</v>
      </c>
      <c r="L993">
        <v>6.3</v>
      </c>
      <c r="M993">
        <v>4.8</v>
      </c>
      <c r="N993">
        <f t="shared" si="15"/>
        <v>71.5</v>
      </c>
    </row>
    <row r="994" spans="1:14">
      <c r="A994">
        <v>20197497</v>
      </c>
      <c r="B994" t="s">
        <v>15</v>
      </c>
      <c r="C994" t="str">
        <f>VLOOKUP(B994,专业代码!$B$2:$C$8,2,FALSE)</f>
        <v>保险学</v>
      </c>
      <c r="D994">
        <v>8.2</v>
      </c>
      <c r="E994">
        <v>8.1</v>
      </c>
      <c r="F994">
        <v>8.6</v>
      </c>
      <c r="G994">
        <v>7.6</v>
      </c>
      <c r="H994">
        <v>8.1</v>
      </c>
      <c r="I994">
        <v>7.9</v>
      </c>
      <c r="J994">
        <v>7.5</v>
      </c>
      <c r="K994">
        <v>6.2</v>
      </c>
      <c r="L994">
        <v>7.2</v>
      </c>
      <c r="M994">
        <v>5</v>
      </c>
      <c r="N994">
        <f t="shared" si="15"/>
        <v>74.4</v>
      </c>
    </row>
    <row r="995" spans="1:14">
      <c r="A995">
        <v>20198168</v>
      </c>
      <c r="B995" t="s">
        <v>15</v>
      </c>
      <c r="C995" t="str">
        <f>VLOOKUP(B995,专业代码!$B$2:$C$8,2,FALSE)</f>
        <v>保险学</v>
      </c>
      <c r="D995">
        <v>8.8</v>
      </c>
      <c r="E995">
        <v>7.8</v>
      </c>
      <c r="F995">
        <v>8.5</v>
      </c>
      <c r="G995">
        <v>8.8</v>
      </c>
      <c r="H995">
        <v>8.1</v>
      </c>
      <c r="I995">
        <v>6.4</v>
      </c>
      <c r="J995">
        <v>6.2</v>
      </c>
      <c r="K995">
        <v>7.4</v>
      </c>
      <c r="L995">
        <v>7.1</v>
      </c>
      <c r="M995">
        <v>7</v>
      </c>
      <c r="N995">
        <f t="shared" si="15"/>
        <v>76.1</v>
      </c>
    </row>
    <row r="996" spans="1:14">
      <c r="A996">
        <v>20193261</v>
      </c>
      <c r="B996" t="s">
        <v>15</v>
      </c>
      <c r="C996" t="str">
        <f>VLOOKUP(B996,专业代码!$B$2:$C$8,2,FALSE)</f>
        <v>保险学</v>
      </c>
      <c r="D996">
        <v>7.2</v>
      </c>
      <c r="E996">
        <v>7.7</v>
      </c>
      <c r="F996">
        <v>8.5</v>
      </c>
      <c r="G996">
        <v>8.6</v>
      </c>
      <c r="H996">
        <v>7.7</v>
      </c>
      <c r="I996">
        <v>6.6</v>
      </c>
      <c r="J996">
        <v>7.3</v>
      </c>
      <c r="K996">
        <v>7.9</v>
      </c>
      <c r="L996">
        <v>6.4</v>
      </c>
      <c r="M996">
        <v>5.7</v>
      </c>
      <c r="N996">
        <f t="shared" si="15"/>
        <v>73.6</v>
      </c>
    </row>
    <row r="997" spans="1:14">
      <c r="A997">
        <v>20195767</v>
      </c>
      <c r="B997" t="s">
        <v>15</v>
      </c>
      <c r="C997" t="str">
        <f>VLOOKUP(B997,专业代码!$B$2:$C$8,2,FALSE)</f>
        <v>保险学</v>
      </c>
      <c r="D997">
        <v>8.8</v>
      </c>
      <c r="E997">
        <v>8.2</v>
      </c>
      <c r="F997">
        <v>8.1</v>
      </c>
      <c r="G997">
        <v>8.2</v>
      </c>
      <c r="H997">
        <v>6.5</v>
      </c>
      <c r="I997">
        <v>7.3</v>
      </c>
      <c r="J997">
        <v>8.4</v>
      </c>
      <c r="K997">
        <v>6.5</v>
      </c>
      <c r="L997">
        <v>8.4</v>
      </c>
      <c r="M997">
        <v>8.2</v>
      </c>
      <c r="N997">
        <f t="shared" si="15"/>
        <v>78.6</v>
      </c>
    </row>
    <row r="998" spans="1:14">
      <c r="A998">
        <v>20199013</v>
      </c>
      <c r="B998" t="s">
        <v>15</v>
      </c>
      <c r="C998" t="str">
        <f>VLOOKUP(B998,专业代码!$B$2:$C$8,2,FALSE)</f>
        <v>保险学</v>
      </c>
      <c r="D998">
        <v>8.6</v>
      </c>
      <c r="E998">
        <v>9.1</v>
      </c>
      <c r="F998">
        <v>8.4</v>
      </c>
      <c r="G998">
        <v>8</v>
      </c>
      <c r="H998">
        <v>7.3</v>
      </c>
      <c r="I998">
        <v>7.2</v>
      </c>
      <c r="J998">
        <v>7</v>
      </c>
      <c r="K998">
        <v>8.2</v>
      </c>
      <c r="L998">
        <v>7.2</v>
      </c>
      <c r="M998">
        <v>4.2</v>
      </c>
      <c r="N998">
        <f t="shared" si="15"/>
        <v>75.2</v>
      </c>
    </row>
    <row r="999" spans="1:14">
      <c r="A999">
        <v>20195290</v>
      </c>
      <c r="B999" t="s">
        <v>15</v>
      </c>
      <c r="C999" t="str">
        <f>VLOOKUP(B999,专业代码!$B$2:$C$8,2,FALSE)</f>
        <v>保险学</v>
      </c>
      <c r="D999">
        <v>8.5</v>
      </c>
      <c r="E999">
        <v>7.9</v>
      </c>
      <c r="F999">
        <v>8.6</v>
      </c>
      <c r="G999">
        <v>7.4</v>
      </c>
      <c r="H999">
        <v>8</v>
      </c>
      <c r="I999">
        <v>7.3</v>
      </c>
      <c r="J999">
        <v>7.1</v>
      </c>
      <c r="K999">
        <v>6.3</v>
      </c>
      <c r="L999">
        <v>6.1</v>
      </c>
      <c r="M999">
        <v>7.2</v>
      </c>
      <c r="N999">
        <f t="shared" si="15"/>
        <v>74.4</v>
      </c>
    </row>
    <row r="1000" spans="1:14">
      <c r="A1000">
        <v>20195874</v>
      </c>
      <c r="B1000" t="s">
        <v>15</v>
      </c>
      <c r="C1000" t="str">
        <f>VLOOKUP(B1000,专业代码!$B$2:$C$8,2,FALSE)</f>
        <v>保险学</v>
      </c>
      <c r="D1000">
        <v>8.5</v>
      </c>
      <c r="E1000">
        <v>8</v>
      </c>
      <c r="F1000">
        <v>8.2</v>
      </c>
      <c r="G1000">
        <v>8</v>
      </c>
      <c r="H1000">
        <v>7.7</v>
      </c>
      <c r="I1000">
        <v>7</v>
      </c>
      <c r="J1000">
        <v>7.5</v>
      </c>
      <c r="K1000">
        <v>8.6</v>
      </c>
      <c r="L1000">
        <v>6.6</v>
      </c>
      <c r="M1000">
        <v>7.3</v>
      </c>
      <c r="N1000">
        <f t="shared" si="15"/>
        <v>77.4</v>
      </c>
    </row>
    <row r="1001" spans="1:14">
      <c r="A1001">
        <v>20197514</v>
      </c>
      <c r="B1001" t="s">
        <v>15</v>
      </c>
      <c r="C1001" t="str">
        <f>VLOOKUP(B1001,专业代码!$B$2:$C$8,2,FALSE)</f>
        <v>保险学</v>
      </c>
      <c r="D1001">
        <v>8.3</v>
      </c>
      <c r="E1001">
        <v>9.4</v>
      </c>
      <c r="F1001">
        <v>7.8</v>
      </c>
      <c r="G1001">
        <v>7.9</v>
      </c>
      <c r="H1001">
        <v>8.3</v>
      </c>
      <c r="I1001">
        <v>7.2</v>
      </c>
      <c r="J1001">
        <v>7.8</v>
      </c>
      <c r="K1001">
        <v>6.6</v>
      </c>
      <c r="L1001">
        <v>5.8</v>
      </c>
      <c r="M1001">
        <v>7.2</v>
      </c>
      <c r="N1001">
        <f t="shared" si="15"/>
        <v>76.3</v>
      </c>
    </row>
    <row r="1002" spans="1:14">
      <c r="A1002">
        <v>20199903</v>
      </c>
      <c r="B1002" t="s">
        <v>15</v>
      </c>
      <c r="C1002" t="str">
        <f>VLOOKUP(B1002,专业代码!$B$2:$C$8,2,FALSE)</f>
        <v>保险学</v>
      </c>
      <c r="D1002">
        <v>8.1</v>
      </c>
      <c r="E1002">
        <v>7.7</v>
      </c>
      <c r="F1002">
        <v>8.1</v>
      </c>
      <c r="G1002">
        <v>7.1</v>
      </c>
      <c r="H1002">
        <v>8.2</v>
      </c>
      <c r="I1002">
        <v>7.2</v>
      </c>
      <c r="J1002">
        <v>8.1</v>
      </c>
      <c r="K1002">
        <v>6.9</v>
      </c>
      <c r="L1002">
        <v>7.5</v>
      </c>
      <c r="M1002">
        <v>5.4</v>
      </c>
      <c r="N1002">
        <f t="shared" si="15"/>
        <v>74.3</v>
      </c>
    </row>
    <row r="1003" spans="1:14">
      <c r="A1003">
        <v>20192787</v>
      </c>
      <c r="B1003" t="s">
        <v>15</v>
      </c>
      <c r="C1003" t="str">
        <f>VLOOKUP(B1003,专业代码!$B$2:$C$8,2,FALSE)</f>
        <v>保险学</v>
      </c>
      <c r="D1003">
        <v>8.8</v>
      </c>
      <c r="E1003">
        <v>8.3</v>
      </c>
      <c r="F1003">
        <v>7.7</v>
      </c>
      <c r="G1003">
        <v>7.4</v>
      </c>
      <c r="H1003">
        <v>7.9</v>
      </c>
      <c r="I1003">
        <v>6.5</v>
      </c>
      <c r="J1003">
        <v>7.2</v>
      </c>
      <c r="K1003">
        <v>8.7</v>
      </c>
      <c r="L1003">
        <v>7</v>
      </c>
      <c r="M1003">
        <v>5.4</v>
      </c>
      <c r="N1003">
        <f t="shared" si="15"/>
        <v>74.9</v>
      </c>
    </row>
    <row r="1004" spans="1:14">
      <c r="A1004">
        <v>20193066</v>
      </c>
      <c r="B1004" t="s">
        <v>15</v>
      </c>
      <c r="C1004" t="str">
        <f>VLOOKUP(B1004,专业代码!$B$2:$C$8,2,FALSE)</f>
        <v>保险学</v>
      </c>
      <c r="D1004">
        <v>9.3</v>
      </c>
      <c r="E1004">
        <v>8.8</v>
      </c>
      <c r="F1004">
        <v>8.8</v>
      </c>
      <c r="G1004">
        <v>8</v>
      </c>
      <c r="H1004">
        <v>6.9</v>
      </c>
      <c r="I1004">
        <v>6.1</v>
      </c>
      <c r="J1004">
        <v>8.5</v>
      </c>
      <c r="K1004">
        <v>6.7</v>
      </c>
      <c r="L1004">
        <v>8</v>
      </c>
      <c r="M1004">
        <v>8.1</v>
      </c>
      <c r="N1004">
        <f t="shared" si="15"/>
        <v>79.2</v>
      </c>
    </row>
    <row r="1005" spans="1:14">
      <c r="A1005">
        <v>20196532</v>
      </c>
      <c r="B1005" t="s">
        <v>15</v>
      </c>
      <c r="C1005" t="str">
        <f>VLOOKUP(B1005,专业代码!$B$2:$C$8,2,FALSE)</f>
        <v>保险学</v>
      </c>
      <c r="D1005">
        <v>8.6</v>
      </c>
      <c r="E1005">
        <v>9.3</v>
      </c>
      <c r="F1005">
        <v>8.9</v>
      </c>
      <c r="G1005">
        <v>8.8</v>
      </c>
      <c r="H1005">
        <v>8.8</v>
      </c>
      <c r="I1005">
        <v>6.8</v>
      </c>
      <c r="J1005">
        <v>7.4</v>
      </c>
      <c r="K1005">
        <v>8</v>
      </c>
      <c r="L1005">
        <v>9.2</v>
      </c>
      <c r="M1005">
        <v>5.2</v>
      </c>
      <c r="N1005">
        <f t="shared" si="15"/>
        <v>81</v>
      </c>
    </row>
    <row r="1006" spans="1:14">
      <c r="A1006">
        <v>20197279</v>
      </c>
      <c r="B1006" t="s">
        <v>15</v>
      </c>
      <c r="C1006" t="str">
        <f>VLOOKUP(B1006,专业代码!$B$2:$C$8,2,FALSE)</f>
        <v>保险学</v>
      </c>
      <c r="D1006">
        <v>8.7</v>
      </c>
      <c r="E1006">
        <v>7.9</v>
      </c>
      <c r="F1006">
        <v>8.3</v>
      </c>
      <c r="G1006">
        <v>8.8</v>
      </c>
      <c r="H1006">
        <v>8.5</v>
      </c>
      <c r="I1006">
        <v>8.8</v>
      </c>
      <c r="J1006">
        <v>7.2</v>
      </c>
      <c r="K1006">
        <v>6.7</v>
      </c>
      <c r="L1006">
        <v>7.9</v>
      </c>
      <c r="M1006">
        <v>7.9</v>
      </c>
      <c r="N1006">
        <f t="shared" si="15"/>
        <v>80.7</v>
      </c>
    </row>
    <row r="1007" spans="1:14">
      <c r="A1007">
        <v>20197501</v>
      </c>
      <c r="B1007" t="s">
        <v>15</v>
      </c>
      <c r="C1007" t="str">
        <f>VLOOKUP(B1007,专业代码!$B$2:$C$8,2,FALSE)</f>
        <v>保险学</v>
      </c>
      <c r="D1007">
        <v>9.4</v>
      </c>
      <c r="E1007">
        <v>7.7</v>
      </c>
      <c r="F1007">
        <v>7.7</v>
      </c>
      <c r="G1007">
        <v>8.1</v>
      </c>
      <c r="H1007">
        <v>6.4</v>
      </c>
      <c r="I1007">
        <v>8.1</v>
      </c>
      <c r="J1007">
        <v>6.5</v>
      </c>
      <c r="K1007">
        <v>6.3</v>
      </c>
      <c r="L1007">
        <v>5.5</v>
      </c>
      <c r="M1007">
        <v>6.4</v>
      </c>
      <c r="N1007">
        <f t="shared" si="15"/>
        <v>72.1</v>
      </c>
    </row>
    <row r="1008" spans="1:14">
      <c r="A1008">
        <v>20197720</v>
      </c>
      <c r="B1008" t="s">
        <v>15</v>
      </c>
      <c r="C1008" t="str">
        <f>VLOOKUP(B1008,专业代码!$B$2:$C$8,2,FALSE)</f>
        <v>保险学</v>
      </c>
      <c r="D1008">
        <v>8.4</v>
      </c>
      <c r="E1008">
        <v>8.7</v>
      </c>
      <c r="F1008">
        <v>6.7</v>
      </c>
      <c r="G1008">
        <v>8.5</v>
      </c>
      <c r="H1008">
        <v>7.7</v>
      </c>
      <c r="I1008">
        <v>8.2</v>
      </c>
      <c r="J1008">
        <v>6.4</v>
      </c>
      <c r="K1008">
        <v>7.6</v>
      </c>
      <c r="L1008">
        <v>7.4</v>
      </c>
      <c r="M1008">
        <v>5.8</v>
      </c>
      <c r="N1008">
        <f t="shared" si="15"/>
        <v>75.4</v>
      </c>
    </row>
    <row r="1009" spans="1:14">
      <c r="A1009">
        <v>20199240</v>
      </c>
      <c r="B1009" t="s">
        <v>15</v>
      </c>
      <c r="C1009" t="str">
        <f>VLOOKUP(B1009,专业代码!$B$2:$C$8,2,FALSE)</f>
        <v>保险学</v>
      </c>
      <c r="D1009">
        <v>8.4</v>
      </c>
      <c r="E1009">
        <v>8</v>
      </c>
      <c r="F1009">
        <v>8.5</v>
      </c>
      <c r="G1009">
        <v>7.9</v>
      </c>
      <c r="H1009">
        <v>7.3</v>
      </c>
      <c r="I1009">
        <v>7.7</v>
      </c>
      <c r="J1009">
        <v>8.1</v>
      </c>
      <c r="K1009">
        <v>7</v>
      </c>
      <c r="L1009">
        <v>6.6</v>
      </c>
      <c r="M1009">
        <v>5.5</v>
      </c>
      <c r="N1009">
        <f t="shared" si="15"/>
        <v>75</v>
      </c>
    </row>
    <row r="1010" spans="1:14">
      <c r="A1010">
        <v>20199552</v>
      </c>
      <c r="B1010" t="s">
        <v>15</v>
      </c>
      <c r="C1010" t="str">
        <f>VLOOKUP(B1010,专业代码!$B$2:$C$8,2,FALSE)</f>
        <v>保险学</v>
      </c>
      <c r="D1010">
        <v>7.8</v>
      </c>
      <c r="E1010">
        <v>8.6</v>
      </c>
      <c r="F1010">
        <v>7.6</v>
      </c>
      <c r="G1010">
        <v>7.7</v>
      </c>
      <c r="H1010">
        <v>9</v>
      </c>
      <c r="I1010">
        <v>6.2</v>
      </c>
      <c r="J1010">
        <v>7.7</v>
      </c>
      <c r="K1010">
        <v>7.6</v>
      </c>
      <c r="L1010">
        <v>7</v>
      </c>
      <c r="M1010">
        <v>7.3</v>
      </c>
      <c r="N1010">
        <f t="shared" si="15"/>
        <v>76.5</v>
      </c>
    </row>
    <row r="1011" spans="1:14">
      <c r="A1011">
        <v>20191132</v>
      </c>
      <c r="B1011" t="s">
        <v>15</v>
      </c>
      <c r="C1011" t="str">
        <f>VLOOKUP(B1011,专业代码!$B$2:$C$8,2,FALSE)</f>
        <v>保险学</v>
      </c>
      <c r="D1011">
        <v>8</v>
      </c>
      <c r="E1011">
        <v>7.2</v>
      </c>
      <c r="F1011">
        <v>8.2</v>
      </c>
      <c r="G1011">
        <v>7.5</v>
      </c>
      <c r="H1011">
        <v>8.5</v>
      </c>
      <c r="I1011">
        <v>7.7</v>
      </c>
      <c r="J1011">
        <v>7</v>
      </c>
      <c r="K1011">
        <v>7.1</v>
      </c>
      <c r="L1011">
        <v>7</v>
      </c>
      <c r="M1011">
        <v>6</v>
      </c>
      <c r="N1011">
        <f t="shared" si="15"/>
        <v>74.2</v>
      </c>
    </row>
    <row r="1012" spans="1:14">
      <c r="A1012">
        <v>20193332</v>
      </c>
      <c r="B1012" t="s">
        <v>15</v>
      </c>
      <c r="C1012" t="str">
        <f>VLOOKUP(B1012,专业代码!$B$2:$C$8,2,FALSE)</f>
        <v>保险学</v>
      </c>
      <c r="D1012">
        <v>7.3</v>
      </c>
      <c r="E1012">
        <v>9.2</v>
      </c>
      <c r="F1012">
        <v>8.5</v>
      </c>
      <c r="G1012">
        <v>7.2</v>
      </c>
      <c r="H1012">
        <v>7.3</v>
      </c>
      <c r="I1012">
        <v>8</v>
      </c>
      <c r="J1012">
        <v>6.6</v>
      </c>
      <c r="K1012">
        <v>7.2</v>
      </c>
      <c r="L1012">
        <v>6.3</v>
      </c>
      <c r="M1012">
        <v>7.1</v>
      </c>
      <c r="N1012">
        <f t="shared" si="15"/>
        <v>74.7</v>
      </c>
    </row>
    <row r="1013" spans="1:14">
      <c r="A1013">
        <v>20194772</v>
      </c>
      <c r="B1013" t="s">
        <v>15</v>
      </c>
      <c r="C1013" t="str">
        <f>VLOOKUP(B1013,专业代码!$B$2:$C$8,2,FALSE)</f>
        <v>保险学</v>
      </c>
      <c r="D1013">
        <v>8.1</v>
      </c>
      <c r="E1013">
        <v>7.2</v>
      </c>
      <c r="F1013">
        <v>6.1</v>
      </c>
      <c r="G1013">
        <v>8.6</v>
      </c>
      <c r="H1013">
        <v>6.9</v>
      </c>
      <c r="I1013">
        <v>7.1</v>
      </c>
      <c r="J1013">
        <v>7.1</v>
      </c>
      <c r="K1013">
        <v>7.8</v>
      </c>
      <c r="L1013">
        <v>8.5</v>
      </c>
      <c r="M1013">
        <v>6</v>
      </c>
      <c r="N1013">
        <f t="shared" si="15"/>
        <v>73.4</v>
      </c>
    </row>
    <row r="1014" spans="1:14">
      <c r="A1014">
        <v>20196887</v>
      </c>
      <c r="B1014" t="s">
        <v>15</v>
      </c>
      <c r="C1014" t="str">
        <f>VLOOKUP(B1014,专业代码!$B$2:$C$8,2,FALSE)</f>
        <v>保险学</v>
      </c>
      <c r="D1014">
        <v>8.1</v>
      </c>
      <c r="E1014">
        <v>7.9</v>
      </c>
      <c r="F1014">
        <v>7.7</v>
      </c>
      <c r="G1014">
        <v>8</v>
      </c>
      <c r="H1014">
        <v>7.8</v>
      </c>
      <c r="I1014">
        <v>6.8</v>
      </c>
      <c r="J1014">
        <v>8.1</v>
      </c>
      <c r="K1014">
        <v>8.3</v>
      </c>
      <c r="L1014">
        <v>7.8</v>
      </c>
      <c r="M1014">
        <v>6.2</v>
      </c>
      <c r="N1014">
        <f t="shared" si="15"/>
        <v>76.7</v>
      </c>
    </row>
    <row r="1015" spans="1:14">
      <c r="A1015">
        <v>20197064</v>
      </c>
      <c r="B1015" t="s">
        <v>15</v>
      </c>
      <c r="C1015" t="str">
        <f>VLOOKUP(B1015,专业代码!$B$2:$C$8,2,FALSE)</f>
        <v>保险学</v>
      </c>
      <c r="D1015">
        <v>8.4</v>
      </c>
      <c r="E1015">
        <v>8.1</v>
      </c>
      <c r="F1015">
        <v>8.1</v>
      </c>
      <c r="G1015">
        <v>7.6</v>
      </c>
      <c r="H1015">
        <v>6.4</v>
      </c>
      <c r="I1015">
        <v>7.9</v>
      </c>
      <c r="J1015">
        <v>7.9</v>
      </c>
      <c r="K1015">
        <v>6.3</v>
      </c>
      <c r="L1015">
        <v>7.4</v>
      </c>
      <c r="M1015">
        <v>3.9</v>
      </c>
      <c r="N1015">
        <f t="shared" si="15"/>
        <v>72</v>
      </c>
    </row>
    <row r="1016" spans="1:14">
      <c r="A1016">
        <v>20197099</v>
      </c>
      <c r="B1016" t="s">
        <v>15</v>
      </c>
      <c r="C1016" t="str">
        <f>VLOOKUP(B1016,专业代码!$B$2:$C$8,2,FALSE)</f>
        <v>保险学</v>
      </c>
      <c r="D1016">
        <v>9</v>
      </c>
      <c r="E1016">
        <v>8</v>
      </c>
      <c r="F1016">
        <v>7.5</v>
      </c>
      <c r="G1016">
        <v>7.3</v>
      </c>
      <c r="H1016">
        <v>8.7</v>
      </c>
      <c r="I1016">
        <v>8.1</v>
      </c>
      <c r="J1016">
        <v>5.4</v>
      </c>
      <c r="K1016">
        <v>6.5</v>
      </c>
      <c r="L1016">
        <v>8.7</v>
      </c>
      <c r="M1016">
        <v>5.9</v>
      </c>
      <c r="N1016">
        <f t="shared" si="15"/>
        <v>75.1</v>
      </c>
    </row>
    <row r="1017" spans="1:14">
      <c r="A1017">
        <v>20198903</v>
      </c>
      <c r="B1017" t="s">
        <v>15</v>
      </c>
      <c r="C1017" t="str">
        <f>VLOOKUP(B1017,专业代码!$B$2:$C$8,2,FALSE)</f>
        <v>保险学</v>
      </c>
      <c r="D1017">
        <v>9.3</v>
      </c>
      <c r="E1017">
        <v>8.5</v>
      </c>
      <c r="F1017">
        <v>7.3</v>
      </c>
      <c r="G1017">
        <v>8.3</v>
      </c>
      <c r="H1017">
        <v>7.5</v>
      </c>
      <c r="I1017">
        <v>7.5</v>
      </c>
      <c r="J1017">
        <v>6.5</v>
      </c>
      <c r="K1017">
        <v>7.4</v>
      </c>
      <c r="L1017">
        <v>6.6</v>
      </c>
      <c r="M1017">
        <v>6.5</v>
      </c>
      <c r="N1017">
        <f t="shared" si="15"/>
        <v>75.4</v>
      </c>
    </row>
    <row r="1018" spans="1:14">
      <c r="A1018">
        <v>20198988</v>
      </c>
      <c r="B1018" t="s">
        <v>15</v>
      </c>
      <c r="C1018" t="str">
        <f>VLOOKUP(B1018,专业代码!$B$2:$C$8,2,FALSE)</f>
        <v>保险学</v>
      </c>
      <c r="D1018">
        <v>8.4</v>
      </c>
      <c r="E1018">
        <v>8</v>
      </c>
      <c r="F1018">
        <v>8.2</v>
      </c>
      <c r="G1018">
        <v>7.4</v>
      </c>
      <c r="H1018">
        <v>7.1</v>
      </c>
      <c r="I1018">
        <v>8.9</v>
      </c>
      <c r="J1018">
        <v>6.8</v>
      </c>
      <c r="K1018">
        <v>6</v>
      </c>
      <c r="L1018">
        <v>6.3</v>
      </c>
      <c r="M1018">
        <v>6</v>
      </c>
      <c r="N1018">
        <f t="shared" si="15"/>
        <v>73.1</v>
      </c>
    </row>
    <row r="1019" spans="1:14">
      <c r="A1019">
        <v>20191013</v>
      </c>
      <c r="B1019" t="s">
        <v>15</v>
      </c>
      <c r="C1019" t="str">
        <f>VLOOKUP(B1019,专业代码!$B$2:$C$8,2,FALSE)</f>
        <v>保险学</v>
      </c>
      <c r="D1019">
        <v>8.4</v>
      </c>
      <c r="E1019">
        <v>7.7</v>
      </c>
      <c r="F1019">
        <v>9.9</v>
      </c>
      <c r="G1019">
        <v>7.6</v>
      </c>
      <c r="H1019">
        <v>8.6</v>
      </c>
      <c r="I1019">
        <v>8.7</v>
      </c>
      <c r="J1019">
        <v>7.4</v>
      </c>
      <c r="K1019">
        <v>6.1</v>
      </c>
      <c r="L1019">
        <v>6.3</v>
      </c>
      <c r="M1019">
        <v>6.6</v>
      </c>
      <c r="N1019">
        <f t="shared" si="15"/>
        <v>77.3</v>
      </c>
    </row>
    <row r="1020" spans="1:14">
      <c r="A1020">
        <v>20191496</v>
      </c>
      <c r="B1020" t="s">
        <v>15</v>
      </c>
      <c r="C1020" t="str">
        <f>VLOOKUP(B1020,专业代码!$B$2:$C$8,2,FALSE)</f>
        <v>保险学</v>
      </c>
      <c r="D1020">
        <v>8.9</v>
      </c>
      <c r="E1020">
        <v>8.5</v>
      </c>
      <c r="F1020">
        <v>8.1</v>
      </c>
      <c r="G1020">
        <v>7.7</v>
      </c>
      <c r="H1020">
        <v>9.3</v>
      </c>
      <c r="I1020">
        <v>6.9</v>
      </c>
      <c r="J1020">
        <v>7.8</v>
      </c>
      <c r="K1020">
        <v>6</v>
      </c>
      <c r="L1020">
        <v>5.3</v>
      </c>
      <c r="M1020">
        <v>3.5</v>
      </c>
      <c r="N1020">
        <f t="shared" si="15"/>
        <v>72</v>
      </c>
    </row>
    <row r="1021" spans="1:14">
      <c r="A1021">
        <v>20193042</v>
      </c>
      <c r="B1021" t="s">
        <v>15</v>
      </c>
      <c r="C1021" t="str">
        <f>VLOOKUP(B1021,专业代码!$B$2:$C$8,2,FALSE)</f>
        <v>保险学</v>
      </c>
      <c r="D1021">
        <v>8.9</v>
      </c>
      <c r="E1021">
        <v>7.8</v>
      </c>
      <c r="F1021">
        <v>8.7</v>
      </c>
      <c r="G1021">
        <v>8.9</v>
      </c>
      <c r="H1021">
        <v>9.5</v>
      </c>
      <c r="I1021">
        <v>6.7</v>
      </c>
      <c r="J1021">
        <v>7.5</v>
      </c>
      <c r="K1021">
        <v>6.8</v>
      </c>
      <c r="L1021">
        <v>5.3</v>
      </c>
      <c r="M1021">
        <v>6.7</v>
      </c>
      <c r="N1021">
        <f t="shared" si="15"/>
        <v>76.8</v>
      </c>
    </row>
    <row r="1022" spans="1:14">
      <c r="A1022">
        <v>20195294</v>
      </c>
      <c r="B1022" t="s">
        <v>15</v>
      </c>
      <c r="C1022" t="str">
        <f>VLOOKUP(B1022,专业代码!$B$2:$C$8,2,FALSE)</f>
        <v>保险学</v>
      </c>
      <c r="D1022">
        <v>8.9</v>
      </c>
      <c r="E1022">
        <v>8.2</v>
      </c>
      <c r="F1022">
        <v>7.9</v>
      </c>
      <c r="G1022">
        <v>7.9</v>
      </c>
      <c r="H1022">
        <v>9</v>
      </c>
      <c r="I1022">
        <v>7.2</v>
      </c>
      <c r="J1022">
        <v>6.4</v>
      </c>
      <c r="K1022">
        <v>9.1</v>
      </c>
      <c r="L1022">
        <v>5.1</v>
      </c>
      <c r="M1022">
        <v>5</v>
      </c>
      <c r="N1022">
        <f t="shared" si="15"/>
        <v>74.7</v>
      </c>
    </row>
    <row r="1023" spans="1:14">
      <c r="A1023">
        <v>20197299</v>
      </c>
      <c r="B1023" t="s">
        <v>15</v>
      </c>
      <c r="C1023" t="str">
        <f>VLOOKUP(B1023,专业代码!$B$2:$C$8,2,FALSE)</f>
        <v>保险学</v>
      </c>
      <c r="D1023">
        <v>8.9</v>
      </c>
      <c r="E1023">
        <v>8.3</v>
      </c>
      <c r="F1023">
        <v>7.4</v>
      </c>
      <c r="G1023">
        <v>8.8</v>
      </c>
      <c r="H1023">
        <v>6.5</v>
      </c>
      <c r="I1023">
        <v>7.6</v>
      </c>
      <c r="J1023">
        <v>6.8</v>
      </c>
      <c r="K1023">
        <v>5.8</v>
      </c>
      <c r="L1023">
        <v>6.9</v>
      </c>
      <c r="M1023">
        <v>5.7</v>
      </c>
      <c r="N1023">
        <f t="shared" si="15"/>
        <v>72.7</v>
      </c>
    </row>
    <row r="1024" spans="1:14">
      <c r="A1024">
        <v>20199258</v>
      </c>
      <c r="B1024" t="s">
        <v>15</v>
      </c>
      <c r="C1024" t="str">
        <f>VLOOKUP(B1024,专业代码!$B$2:$C$8,2,FALSE)</f>
        <v>保险学</v>
      </c>
      <c r="D1024">
        <v>8.9</v>
      </c>
      <c r="E1024">
        <v>9</v>
      </c>
      <c r="F1024">
        <v>8.2</v>
      </c>
      <c r="G1024">
        <v>7.9</v>
      </c>
      <c r="H1024">
        <v>7.6</v>
      </c>
      <c r="I1024">
        <v>6.2</v>
      </c>
      <c r="J1024">
        <v>6.5</v>
      </c>
      <c r="K1024">
        <v>7.8</v>
      </c>
      <c r="L1024">
        <v>5.9</v>
      </c>
      <c r="M1024">
        <v>4.5</v>
      </c>
      <c r="N1024">
        <f t="shared" si="15"/>
        <v>72.5</v>
      </c>
    </row>
    <row r="1025" spans="1:14">
      <c r="A1025">
        <v>20194261</v>
      </c>
      <c r="B1025" t="s">
        <v>15</v>
      </c>
      <c r="C1025" t="str">
        <f>VLOOKUP(B1025,专业代码!$B$2:$C$8,2,FALSE)</f>
        <v>保险学</v>
      </c>
      <c r="D1025">
        <v>9.9</v>
      </c>
      <c r="E1025">
        <v>9.9</v>
      </c>
      <c r="F1025">
        <v>8.5</v>
      </c>
      <c r="G1025">
        <v>9.9</v>
      </c>
      <c r="H1025">
        <v>7.5</v>
      </c>
      <c r="I1025">
        <v>8</v>
      </c>
      <c r="J1025">
        <v>8.8</v>
      </c>
      <c r="K1025">
        <v>7.8</v>
      </c>
      <c r="L1025">
        <v>8</v>
      </c>
      <c r="M1025">
        <v>8.1</v>
      </c>
      <c r="N1025">
        <f t="shared" si="15"/>
        <v>86.4</v>
      </c>
    </row>
    <row r="1026" spans="1:14">
      <c r="A1026">
        <v>20196697</v>
      </c>
      <c r="B1026" t="s">
        <v>15</v>
      </c>
      <c r="C1026" t="str">
        <f>VLOOKUP(B1026,专业代码!$B$2:$C$8,2,FALSE)</f>
        <v>保险学</v>
      </c>
      <c r="D1026">
        <v>9.9</v>
      </c>
      <c r="E1026">
        <v>9.8</v>
      </c>
      <c r="F1026">
        <v>8.1</v>
      </c>
      <c r="G1026">
        <v>8.6</v>
      </c>
      <c r="H1026">
        <v>7.9</v>
      </c>
      <c r="I1026">
        <v>7.2</v>
      </c>
      <c r="J1026">
        <v>7</v>
      </c>
      <c r="K1026">
        <v>7.8</v>
      </c>
      <c r="L1026">
        <v>7.3</v>
      </c>
      <c r="M1026">
        <v>6.1</v>
      </c>
      <c r="N1026">
        <f t="shared" si="15"/>
        <v>79.7</v>
      </c>
    </row>
    <row r="1027" spans="1:14">
      <c r="A1027">
        <v>20197878</v>
      </c>
      <c r="B1027" t="s">
        <v>15</v>
      </c>
      <c r="C1027" t="str">
        <f>VLOOKUP(B1027,专业代码!$B$2:$C$8,2,FALSE)</f>
        <v>保险学</v>
      </c>
      <c r="D1027">
        <v>9.9</v>
      </c>
      <c r="E1027">
        <v>9.8</v>
      </c>
      <c r="F1027">
        <v>9.7</v>
      </c>
      <c r="G1027">
        <v>8.8</v>
      </c>
      <c r="H1027">
        <v>9.2</v>
      </c>
      <c r="I1027">
        <v>7.9</v>
      </c>
      <c r="J1027">
        <v>7.7</v>
      </c>
      <c r="K1027">
        <v>7.9</v>
      </c>
      <c r="L1027">
        <v>6.6</v>
      </c>
      <c r="M1027">
        <v>4.1</v>
      </c>
      <c r="N1027">
        <f t="shared" ref="N1027:N1090" si="16">SUM(D1027:M1027)</f>
        <v>81.6</v>
      </c>
    </row>
    <row r="1028" spans="1:14">
      <c r="A1028">
        <v>20198141</v>
      </c>
      <c r="B1028" t="s">
        <v>15</v>
      </c>
      <c r="C1028" t="str">
        <f>VLOOKUP(B1028,专业代码!$B$2:$C$8,2,FALSE)</f>
        <v>保险学</v>
      </c>
      <c r="D1028">
        <v>9.9</v>
      </c>
      <c r="E1028">
        <v>9.3</v>
      </c>
      <c r="F1028">
        <v>8.8</v>
      </c>
      <c r="G1028">
        <v>8.5</v>
      </c>
      <c r="H1028">
        <v>9.2</v>
      </c>
      <c r="I1028">
        <v>7.8</v>
      </c>
      <c r="J1028">
        <v>8.4</v>
      </c>
      <c r="K1028">
        <v>7.4</v>
      </c>
      <c r="L1028">
        <v>8</v>
      </c>
      <c r="M1028">
        <v>8.2</v>
      </c>
      <c r="N1028">
        <f t="shared" si="16"/>
        <v>85.5</v>
      </c>
    </row>
    <row r="1029" spans="1:14">
      <c r="A1029">
        <v>20195216</v>
      </c>
      <c r="B1029" t="s">
        <v>15</v>
      </c>
      <c r="C1029" t="str">
        <f>VLOOKUP(B1029,专业代码!$B$2:$C$8,2,FALSE)</f>
        <v>保险学</v>
      </c>
      <c r="D1029">
        <v>8.7</v>
      </c>
      <c r="E1029">
        <v>8.3</v>
      </c>
      <c r="F1029">
        <v>7.2</v>
      </c>
      <c r="G1029">
        <v>7.9</v>
      </c>
      <c r="H1029">
        <v>7.8</v>
      </c>
      <c r="I1029">
        <v>7.8</v>
      </c>
      <c r="J1029">
        <v>9.6</v>
      </c>
      <c r="K1029">
        <v>7</v>
      </c>
      <c r="L1029">
        <v>6.4</v>
      </c>
      <c r="M1029">
        <v>5.7</v>
      </c>
      <c r="N1029">
        <f t="shared" si="16"/>
        <v>76.4</v>
      </c>
    </row>
    <row r="1030" spans="1:14">
      <c r="A1030">
        <v>20197786</v>
      </c>
      <c r="B1030" t="s">
        <v>15</v>
      </c>
      <c r="C1030" t="str">
        <f>VLOOKUP(B1030,专业代码!$B$2:$C$8,2,FALSE)</f>
        <v>保险学</v>
      </c>
      <c r="D1030">
        <v>8</v>
      </c>
      <c r="E1030">
        <v>7.3</v>
      </c>
      <c r="F1030">
        <v>7.8</v>
      </c>
      <c r="G1030">
        <v>6.8</v>
      </c>
      <c r="H1030">
        <v>8.6</v>
      </c>
      <c r="I1030">
        <v>5.7</v>
      </c>
      <c r="J1030">
        <v>7.7</v>
      </c>
      <c r="K1030">
        <v>7</v>
      </c>
      <c r="L1030">
        <v>6.9</v>
      </c>
      <c r="M1030">
        <v>4.7</v>
      </c>
      <c r="N1030">
        <f t="shared" si="16"/>
        <v>70.5</v>
      </c>
    </row>
    <row r="1031" spans="1:14">
      <c r="A1031">
        <v>20198337</v>
      </c>
      <c r="B1031" t="s">
        <v>15</v>
      </c>
      <c r="C1031" t="str">
        <f>VLOOKUP(B1031,专业代码!$B$2:$C$8,2,FALSE)</f>
        <v>保险学</v>
      </c>
      <c r="D1031">
        <v>8.7</v>
      </c>
      <c r="E1031">
        <v>8.3</v>
      </c>
      <c r="F1031">
        <v>7.3</v>
      </c>
      <c r="G1031">
        <v>7.8</v>
      </c>
      <c r="H1031">
        <v>8.8</v>
      </c>
      <c r="I1031">
        <v>7.3</v>
      </c>
      <c r="J1031">
        <v>8.2</v>
      </c>
      <c r="K1031">
        <v>6.9</v>
      </c>
      <c r="L1031">
        <v>8.3</v>
      </c>
      <c r="M1031">
        <v>6.9</v>
      </c>
      <c r="N1031">
        <f t="shared" si="16"/>
        <v>78.5</v>
      </c>
    </row>
    <row r="1032" spans="1:14">
      <c r="A1032">
        <v>20199817</v>
      </c>
      <c r="B1032" t="s">
        <v>15</v>
      </c>
      <c r="C1032" t="str">
        <f>VLOOKUP(B1032,专业代码!$B$2:$C$8,2,FALSE)</f>
        <v>保险学</v>
      </c>
      <c r="D1032">
        <v>8.6</v>
      </c>
      <c r="E1032">
        <v>8.7</v>
      </c>
      <c r="F1032">
        <v>7.7</v>
      </c>
      <c r="G1032">
        <v>8.8</v>
      </c>
      <c r="H1032">
        <v>8.6</v>
      </c>
      <c r="I1032">
        <v>7.3</v>
      </c>
      <c r="J1032">
        <v>7.5</v>
      </c>
      <c r="K1032">
        <v>7.1</v>
      </c>
      <c r="L1032">
        <v>7.1</v>
      </c>
      <c r="M1032">
        <v>4</v>
      </c>
      <c r="N1032">
        <f t="shared" si="16"/>
        <v>75.4</v>
      </c>
    </row>
    <row r="1033" spans="1:14">
      <c r="A1033">
        <v>20196761</v>
      </c>
      <c r="B1033" t="s">
        <v>15</v>
      </c>
      <c r="C1033" t="str">
        <f>VLOOKUP(B1033,专业代码!$B$2:$C$8,2,FALSE)</f>
        <v>保险学</v>
      </c>
      <c r="D1033">
        <v>8.6</v>
      </c>
      <c r="E1033">
        <v>8.1</v>
      </c>
      <c r="F1033">
        <v>8.3</v>
      </c>
      <c r="G1033">
        <v>7.7</v>
      </c>
      <c r="H1033">
        <v>7.3</v>
      </c>
      <c r="I1033">
        <v>7.3</v>
      </c>
      <c r="J1033">
        <v>6.8</v>
      </c>
      <c r="K1033">
        <v>7.7</v>
      </c>
      <c r="L1033">
        <v>7.3</v>
      </c>
      <c r="M1033">
        <v>6.2</v>
      </c>
      <c r="N1033">
        <f t="shared" si="16"/>
        <v>75.3</v>
      </c>
    </row>
    <row r="1034" spans="1:14">
      <c r="A1034">
        <v>20191476</v>
      </c>
      <c r="B1034" t="s">
        <v>15</v>
      </c>
      <c r="C1034" t="str">
        <f>VLOOKUP(B1034,专业代码!$B$2:$C$8,2,FALSE)</f>
        <v>保险学</v>
      </c>
      <c r="D1034">
        <v>8.1</v>
      </c>
      <c r="E1034">
        <v>8.4</v>
      </c>
      <c r="F1034">
        <v>9</v>
      </c>
      <c r="G1034">
        <v>7.2</v>
      </c>
      <c r="H1034">
        <v>7.4</v>
      </c>
      <c r="I1034">
        <v>8.1</v>
      </c>
      <c r="J1034">
        <v>8.9</v>
      </c>
      <c r="K1034">
        <v>7.4</v>
      </c>
      <c r="L1034">
        <v>6.3</v>
      </c>
      <c r="M1034">
        <v>6.4</v>
      </c>
      <c r="N1034">
        <f t="shared" si="16"/>
        <v>77.2</v>
      </c>
    </row>
    <row r="1035" spans="1:14">
      <c r="A1035">
        <v>20191635</v>
      </c>
      <c r="B1035" t="s">
        <v>15</v>
      </c>
      <c r="C1035" t="str">
        <f>VLOOKUP(B1035,专业代码!$B$2:$C$8,2,FALSE)</f>
        <v>保险学</v>
      </c>
      <c r="D1035">
        <v>8.2</v>
      </c>
      <c r="E1035">
        <v>7.7</v>
      </c>
      <c r="F1035">
        <v>7.1</v>
      </c>
      <c r="G1035">
        <v>9.3</v>
      </c>
      <c r="H1035">
        <v>8.5</v>
      </c>
      <c r="I1035">
        <v>8.1</v>
      </c>
      <c r="J1035">
        <v>7</v>
      </c>
      <c r="K1035">
        <v>7.1</v>
      </c>
      <c r="L1035">
        <v>5.6</v>
      </c>
      <c r="M1035">
        <v>4.9</v>
      </c>
      <c r="N1035">
        <f t="shared" si="16"/>
        <v>73.5</v>
      </c>
    </row>
    <row r="1036" spans="1:14">
      <c r="A1036">
        <v>20192322</v>
      </c>
      <c r="B1036" t="s">
        <v>15</v>
      </c>
      <c r="C1036" t="str">
        <f>VLOOKUP(B1036,专业代码!$B$2:$C$8,2,FALSE)</f>
        <v>保险学</v>
      </c>
      <c r="D1036">
        <v>8.1</v>
      </c>
      <c r="E1036">
        <v>7.2</v>
      </c>
      <c r="F1036">
        <v>8.4</v>
      </c>
      <c r="G1036">
        <v>9</v>
      </c>
      <c r="H1036">
        <v>9.2</v>
      </c>
      <c r="I1036">
        <v>7.6</v>
      </c>
      <c r="J1036">
        <v>6.7</v>
      </c>
      <c r="K1036">
        <v>7.3</v>
      </c>
      <c r="L1036">
        <v>7.7</v>
      </c>
      <c r="M1036">
        <v>7.7</v>
      </c>
      <c r="N1036">
        <f t="shared" si="16"/>
        <v>78.9</v>
      </c>
    </row>
    <row r="1037" spans="1:14">
      <c r="A1037">
        <v>20193239</v>
      </c>
      <c r="B1037" t="s">
        <v>15</v>
      </c>
      <c r="C1037" t="str">
        <f>VLOOKUP(B1037,专业代码!$B$2:$C$8,2,FALSE)</f>
        <v>保险学</v>
      </c>
      <c r="D1037">
        <v>8.3</v>
      </c>
      <c r="E1037">
        <v>8</v>
      </c>
      <c r="F1037">
        <v>8</v>
      </c>
      <c r="G1037">
        <v>8.5</v>
      </c>
      <c r="H1037">
        <v>7.5</v>
      </c>
      <c r="I1037">
        <v>7.4</v>
      </c>
      <c r="J1037">
        <v>9.5</v>
      </c>
      <c r="K1037">
        <v>6.2</v>
      </c>
      <c r="L1037">
        <v>5.4</v>
      </c>
      <c r="M1037">
        <v>8.5</v>
      </c>
      <c r="N1037">
        <f t="shared" si="16"/>
        <v>77.3</v>
      </c>
    </row>
    <row r="1038" spans="1:14">
      <c r="A1038">
        <v>20195418</v>
      </c>
      <c r="B1038" t="s">
        <v>15</v>
      </c>
      <c r="C1038" t="str">
        <f>VLOOKUP(B1038,专业代码!$B$2:$C$8,2,FALSE)</f>
        <v>保险学</v>
      </c>
      <c r="D1038">
        <v>9.2</v>
      </c>
      <c r="E1038">
        <v>8.2</v>
      </c>
      <c r="F1038">
        <v>8</v>
      </c>
      <c r="G1038">
        <v>8.9</v>
      </c>
      <c r="H1038">
        <v>7.8</v>
      </c>
      <c r="I1038">
        <v>6.3</v>
      </c>
      <c r="J1038">
        <v>7.2</v>
      </c>
      <c r="K1038">
        <v>8.2</v>
      </c>
      <c r="L1038">
        <v>7</v>
      </c>
      <c r="M1038">
        <v>4.8</v>
      </c>
      <c r="N1038">
        <f t="shared" si="16"/>
        <v>75.6</v>
      </c>
    </row>
    <row r="1039" spans="1:14">
      <c r="A1039">
        <v>20195809</v>
      </c>
      <c r="B1039" t="s">
        <v>15</v>
      </c>
      <c r="C1039" t="str">
        <f>VLOOKUP(B1039,专业代码!$B$2:$C$8,2,FALSE)</f>
        <v>保险学</v>
      </c>
      <c r="D1039">
        <v>8.8</v>
      </c>
      <c r="E1039">
        <v>7.8</v>
      </c>
      <c r="F1039">
        <v>8.5</v>
      </c>
      <c r="G1039">
        <v>8.8</v>
      </c>
      <c r="H1039">
        <v>8.5</v>
      </c>
      <c r="I1039">
        <v>7.2</v>
      </c>
      <c r="J1039">
        <v>7</v>
      </c>
      <c r="K1039">
        <v>7.3</v>
      </c>
      <c r="L1039">
        <v>6.9</v>
      </c>
      <c r="M1039">
        <v>5.3</v>
      </c>
      <c r="N1039">
        <f t="shared" si="16"/>
        <v>76.1</v>
      </c>
    </row>
    <row r="1040" spans="1:14">
      <c r="A1040">
        <v>20199511</v>
      </c>
      <c r="B1040" t="s">
        <v>15</v>
      </c>
      <c r="C1040" t="str">
        <f>VLOOKUP(B1040,专业代码!$B$2:$C$8,2,FALSE)</f>
        <v>保险学</v>
      </c>
      <c r="D1040">
        <v>8.9</v>
      </c>
      <c r="E1040">
        <v>7.7</v>
      </c>
      <c r="F1040">
        <v>9.2</v>
      </c>
      <c r="G1040">
        <v>8.8</v>
      </c>
      <c r="H1040">
        <v>7.6</v>
      </c>
      <c r="I1040">
        <v>8.1</v>
      </c>
      <c r="J1040">
        <v>8.7</v>
      </c>
      <c r="K1040">
        <v>7.4</v>
      </c>
      <c r="L1040">
        <v>6.8</v>
      </c>
      <c r="M1040">
        <v>4.9</v>
      </c>
      <c r="N1040">
        <f t="shared" si="16"/>
        <v>78.1</v>
      </c>
    </row>
    <row r="1041" spans="1:14">
      <c r="A1041">
        <v>20199524</v>
      </c>
      <c r="B1041" t="s">
        <v>15</v>
      </c>
      <c r="C1041" t="str">
        <f>VLOOKUP(B1041,专业代码!$B$2:$C$8,2,FALSE)</f>
        <v>保险学</v>
      </c>
      <c r="D1041">
        <v>7.2</v>
      </c>
      <c r="E1041">
        <v>8.3</v>
      </c>
      <c r="F1041">
        <v>7.4</v>
      </c>
      <c r="G1041">
        <v>8.4</v>
      </c>
      <c r="H1041">
        <v>7.5</v>
      </c>
      <c r="I1041">
        <v>8.5</v>
      </c>
      <c r="J1041">
        <v>7.4</v>
      </c>
      <c r="K1041">
        <v>6.4</v>
      </c>
      <c r="L1041">
        <v>5.1</v>
      </c>
      <c r="M1041">
        <v>5.5</v>
      </c>
      <c r="N1041">
        <f t="shared" si="16"/>
        <v>71.7</v>
      </c>
    </row>
    <row r="1042" spans="1:14">
      <c r="A1042">
        <v>20191426</v>
      </c>
      <c r="B1042" t="s">
        <v>15</v>
      </c>
      <c r="C1042" t="str">
        <f>VLOOKUP(B1042,专业代码!$B$2:$C$8,2,FALSE)</f>
        <v>保险学</v>
      </c>
      <c r="D1042">
        <v>8.3</v>
      </c>
      <c r="E1042">
        <v>7.6</v>
      </c>
      <c r="F1042">
        <v>8.9</v>
      </c>
      <c r="G1042">
        <v>7.6</v>
      </c>
      <c r="H1042">
        <v>8</v>
      </c>
      <c r="I1042">
        <v>7.9</v>
      </c>
      <c r="J1042">
        <v>7.4</v>
      </c>
      <c r="K1042">
        <v>5.7</v>
      </c>
      <c r="L1042">
        <v>5.4</v>
      </c>
      <c r="M1042">
        <v>4.6</v>
      </c>
      <c r="N1042">
        <f t="shared" si="16"/>
        <v>71.4</v>
      </c>
    </row>
    <row r="1043" spans="1:14">
      <c r="A1043">
        <v>20194557</v>
      </c>
      <c r="B1043" t="s">
        <v>15</v>
      </c>
      <c r="C1043" t="str">
        <f>VLOOKUP(B1043,专业代码!$B$2:$C$8,2,FALSE)</f>
        <v>保险学</v>
      </c>
      <c r="D1043">
        <v>7.8</v>
      </c>
      <c r="E1043">
        <v>9.2</v>
      </c>
      <c r="F1043">
        <v>9</v>
      </c>
      <c r="G1043">
        <v>7.4</v>
      </c>
      <c r="H1043">
        <v>7.5</v>
      </c>
      <c r="I1043">
        <v>7.2</v>
      </c>
      <c r="J1043">
        <v>8</v>
      </c>
      <c r="K1043">
        <v>7</v>
      </c>
      <c r="L1043">
        <v>6.4</v>
      </c>
      <c r="M1043">
        <v>6.5</v>
      </c>
      <c r="N1043">
        <f t="shared" si="16"/>
        <v>76</v>
      </c>
    </row>
    <row r="1044" spans="1:14">
      <c r="A1044">
        <v>20196357</v>
      </c>
      <c r="B1044" t="s">
        <v>15</v>
      </c>
      <c r="C1044" t="str">
        <f>VLOOKUP(B1044,专业代码!$B$2:$C$8,2,FALSE)</f>
        <v>保险学</v>
      </c>
      <c r="D1044">
        <v>8.9</v>
      </c>
      <c r="E1044">
        <v>8.2</v>
      </c>
      <c r="F1044">
        <v>8.8</v>
      </c>
      <c r="G1044">
        <v>8</v>
      </c>
      <c r="H1044">
        <v>8.1</v>
      </c>
      <c r="I1044">
        <v>7</v>
      </c>
      <c r="J1044">
        <v>8.4</v>
      </c>
      <c r="K1044">
        <v>7.5</v>
      </c>
      <c r="L1044">
        <v>6.6</v>
      </c>
      <c r="M1044">
        <v>6.5</v>
      </c>
      <c r="N1044">
        <f t="shared" si="16"/>
        <v>78</v>
      </c>
    </row>
    <row r="1045" spans="1:14">
      <c r="A1045">
        <v>20191693</v>
      </c>
      <c r="B1045" t="s">
        <v>15</v>
      </c>
      <c r="C1045" t="str">
        <f>VLOOKUP(B1045,专业代码!$B$2:$C$8,2,FALSE)</f>
        <v>保险学</v>
      </c>
      <c r="D1045">
        <v>8.7</v>
      </c>
      <c r="E1045">
        <v>8.5</v>
      </c>
      <c r="F1045">
        <v>8.7</v>
      </c>
      <c r="G1045">
        <v>7.5</v>
      </c>
      <c r="H1045">
        <v>8.4</v>
      </c>
      <c r="I1045">
        <v>8.3</v>
      </c>
      <c r="J1045">
        <v>6.8</v>
      </c>
      <c r="K1045">
        <v>7.6</v>
      </c>
      <c r="L1045">
        <v>6.2</v>
      </c>
      <c r="M1045">
        <v>7.8</v>
      </c>
      <c r="N1045">
        <f t="shared" si="16"/>
        <v>78.5</v>
      </c>
    </row>
    <row r="1046" spans="1:14">
      <c r="A1046">
        <v>20192051</v>
      </c>
      <c r="B1046" t="s">
        <v>15</v>
      </c>
      <c r="C1046" t="str">
        <f>VLOOKUP(B1046,专业代码!$B$2:$C$8,2,FALSE)</f>
        <v>保险学</v>
      </c>
      <c r="D1046">
        <v>8.2</v>
      </c>
      <c r="E1046">
        <v>7.6</v>
      </c>
      <c r="F1046">
        <v>8.2</v>
      </c>
      <c r="G1046">
        <v>7.7</v>
      </c>
      <c r="H1046">
        <v>7.1</v>
      </c>
      <c r="I1046">
        <v>6</v>
      </c>
      <c r="J1046">
        <v>8.8</v>
      </c>
      <c r="K1046">
        <v>6.3</v>
      </c>
      <c r="L1046">
        <v>6.4</v>
      </c>
      <c r="M1046">
        <v>5.1</v>
      </c>
      <c r="N1046">
        <f t="shared" si="16"/>
        <v>71.4</v>
      </c>
    </row>
    <row r="1047" spans="1:14">
      <c r="A1047">
        <v>20192369</v>
      </c>
      <c r="B1047" t="s">
        <v>15</v>
      </c>
      <c r="C1047" t="str">
        <f>VLOOKUP(B1047,专业代码!$B$2:$C$8,2,FALSE)</f>
        <v>保险学</v>
      </c>
      <c r="D1047">
        <v>8.4</v>
      </c>
      <c r="E1047">
        <v>7.8</v>
      </c>
      <c r="F1047">
        <v>8.8</v>
      </c>
      <c r="G1047">
        <v>7.2</v>
      </c>
      <c r="H1047">
        <v>7</v>
      </c>
      <c r="I1047">
        <v>8.1</v>
      </c>
      <c r="J1047">
        <v>6.6</v>
      </c>
      <c r="K1047">
        <v>7.8</v>
      </c>
      <c r="L1047">
        <v>7.1</v>
      </c>
      <c r="M1047">
        <v>4.7</v>
      </c>
      <c r="N1047">
        <f t="shared" si="16"/>
        <v>73.5</v>
      </c>
    </row>
    <row r="1048" spans="1:14">
      <c r="A1048">
        <v>20196212</v>
      </c>
      <c r="B1048" t="s">
        <v>15</v>
      </c>
      <c r="C1048" t="str">
        <f>VLOOKUP(B1048,专业代码!$B$2:$C$8,2,FALSE)</f>
        <v>保险学</v>
      </c>
      <c r="D1048">
        <v>8.5</v>
      </c>
      <c r="E1048">
        <v>8.5</v>
      </c>
      <c r="F1048">
        <v>7.6</v>
      </c>
      <c r="G1048">
        <v>7.1</v>
      </c>
      <c r="H1048">
        <v>6.9</v>
      </c>
      <c r="I1048">
        <v>7.3</v>
      </c>
      <c r="J1048">
        <v>6.3</v>
      </c>
      <c r="K1048">
        <v>6.8</v>
      </c>
      <c r="L1048">
        <v>7.1</v>
      </c>
      <c r="M1048">
        <v>5.5</v>
      </c>
      <c r="N1048">
        <f t="shared" si="16"/>
        <v>71.6</v>
      </c>
    </row>
    <row r="1049" spans="1:14">
      <c r="A1049">
        <v>20197793</v>
      </c>
      <c r="B1049" t="s">
        <v>15</v>
      </c>
      <c r="C1049" t="str">
        <f>VLOOKUP(B1049,专业代码!$B$2:$C$8,2,FALSE)</f>
        <v>保险学</v>
      </c>
      <c r="D1049">
        <v>8.3</v>
      </c>
      <c r="E1049">
        <v>8.6</v>
      </c>
      <c r="F1049">
        <v>8.7</v>
      </c>
      <c r="G1049">
        <v>7.3</v>
      </c>
      <c r="H1049">
        <v>7</v>
      </c>
      <c r="I1049">
        <v>7.4</v>
      </c>
      <c r="J1049">
        <v>6.4</v>
      </c>
      <c r="K1049">
        <v>5.2</v>
      </c>
      <c r="L1049">
        <v>4.3</v>
      </c>
      <c r="M1049">
        <v>6</v>
      </c>
      <c r="N1049">
        <f t="shared" si="16"/>
        <v>69.2</v>
      </c>
    </row>
    <row r="1050" spans="1:14">
      <c r="A1050">
        <v>20199833</v>
      </c>
      <c r="B1050" t="s">
        <v>15</v>
      </c>
      <c r="C1050" t="str">
        <f>VLOOKUP(B1050,专业代码!$B$2:$C$8,2,FALSE)</f>
        <v>保险学</v>
      </c>
      <c r="D1050">
        <v>9.4</v>
      </c>
      <c r="E1050">
        <v>7.5</v>
      </c>
      <c r="F1050">
        <v>8.1</v>
      </c>
      <c r="G1050">
        <v>7.9</v>
      </c>
      <c r="H1050">
        <v>6.7</v>
      </c>
      <c r="I1050">
        <v>8.2</v>
      </c>
      <c r="J1050">
        <v>7.5</v>
      </c>
      <c r="K1050">
        <v>6.1</v>
      </c>
      <c r="L1050">
        <v>7</v>
      </c>
      <c r="M1050">
        <v>5.8</v>
      </c>
      <c r="N1050">
        <f t="shared" si="16"/>
        <v>74.2</v>
      </c>
    </row>
    <row r="1051" spans="1:14">
      <c r="A1051">
        <v>20191454</v>
      </c>
      <c r="B1051" t="s">
        <v>15</v>
      </c>
      <c r="C1051" t="str">
        <f>VLOOKUP(B1051,专业代码!$B$2:$C$8,2,FALSE)</f>
        <v>保险学</v>
      </c>
      <c r="D1051">
        <v>8.6</v>
      </c>
      <c r="E1051">
        <v>8.8</v>
      </c>
      <c r="F1051">
        <v>7.5</v>
      </c>
      <c r="G1051">
        <v>7.6</v>
      </c>
      <c r="H1051">
        <v>7.8</v>
      </c>
      <c r="I1051">
        <v>6.7</v>
      </c>
      <c r="J1051">
        <v>8.4</v>
      </c>
      <c r="K1051">
        <v>7.9</v>
      </c>
      <c r="L1051">
        <v>6.8</v>
      </c>
      <c r="M1051">
        <v>5.9</v>
      </c>
      <c r="N1051">
        <f t="shared" si="16"/>
        <v>76</v>
      </c>
    </row>
    <row r="1052" spans="1:14">
      <c r="A1052">
        <v>20191531</v>
      </c>
      <c r="B1052" t="s">
        <v>15</v>
      </c>
      <c r="C1052" t="str">
        <f>VLOOKUP(B1052,专业代码!$B$2:$C$8,2,FALSE)</f>
        <v>保险学</v>
      </c>
      <c r="D1052">
        <v>8.2</v>
      </c>
      <c r="E1052">
        <v>8.4</v>
      </c>
      <c r="F1052">
        <v>9.2</v>
      </c>
      <c r="G1052">
        <v>7.3</v>
      </c>
      <c r="H1052">
        <v>6.8</v>
      </c>
      <c r="I1052">
        <v>8.5</v>
      </c>
      <c r="J1052">
        <v>7.8</v>
      </c>
      <c r="K1052">
        <v>7.3</v>
      </c>
      <c r="L1052">
        <v>7.5</v>
      </c>
      <c r="M1052">
        <v>6.5</v>
      </c>
      <c r="N1052">
        <f t="shared" si="16"/>
        <v>77.5</v>
      </c>
    </row>
    <row r="1053" spans="1:14">
      <c r="A1053">
        <v>20192027</v>
      </c>
      <c r="B1053" t="s">
        <v>15</v>
      </c>
      <c r="C1053" t="str">
        <f>VLOOKUP(B1053,专业代码!$B$2:$C$8,2,FALSE)</f>
        <v>保险学</v>
      </c>
      <c r="D1053">
        <v>8.6</v>
      </c>
      <c r="E1053">
        <v>8</v>
      </c>
      <c r="F1053">
        <v>8.3</v>
      </c>
      <c r="G1053">
        <v>8.4</v>
      </c>
      <c r="H1053">
        <v>7.5</v>
      </c>
      <c r="I1053">
        <v>9.1</v>
      </c>
      <c r="J1053">
        <v>8.2</v>
      </c>
      <c r="K1053">
        <v>6.4</v>
      </c>
      <c r="L1053">
        <v>7.7</v>
      </c>
      <c r="M1053">
        <v>7.9</v>
      </c>
      <c r="N1053">
        <f t="shared" si="16"/>
        <v>80.1</v>
      </c>
    </row>
    <row r="1054" spans="1:14">
      <c r="A1054">
        <v>20194885</v>
      </c>
      <c r="B1054" t="s">
        <v>15</v>
      </c>
      <c r="C1054" t="str">
        <f>VLOOKUP(B1054,专业代码!$B$2:$C$8,2,FALSE)</f>
        <v>保险学</v>
      </c>
      <c r="D1054">
        <v>8.9</v>
      </c>
      <c r="E1054">
        <v>8.7</v>
      </c>
      <c r="F1054">
        <v>8.5</v>
      </c>
      <c r="G1054">
        <v>8.9</v>
      </c>
      <c r="H1054">
        <v>7.5</v>
      </c>
      <c r="I1054">
        <v>8.4</v>
      </c>
      <c r="J1054">
        <v>5.7</v>
      </c>
      <c r="K1054">
        <v>9.7</v>
      </c>
      <c r="L1054">
        <v>6.5</v>
      </c>
      <c r="M1054">
        <v>7.5</v>
      </c>
      <c r="N1054">
        <f t="shared" si="16"/>
        <v>80.3</v>
      </c>
    </row>
    <row r="1055" spans="1:14">
      <c r="A1055">
        <v>20197711</v>
      </c>
      <c r="B1055" t="s">
        <v>15</v>
      </c>
      <c r="C1055" t="str">
        <f>VLOOKUP(B1055,专业代码!$B$2:$C$8,2,FALSE)</f>
        <v>保险学</v>
      </c>
      <c r="D1055">
        <v>8.1</v>
      </c>
      <c r="E1055">
        <v>8.7</v>
      </c>
      <c r="F1055">
        <v>9</v>
      </c>
      <c r="G1055">
        <v>8.1</v>
      </c>
      <c r="H1055">
        <v>6.6</v>
      </c>
      <c r="I1055">
        <v>8.7</v>
      </c>
      <c r="J1055">
        <v>7.7</v>
      </c>
      <c r="K1055">
        <v>6.9</v>
      </c>
      <c r="L1055">
        <v>8.2</v>
      </c>
      <c r="M1055">
        <v>4.1</v>
      </c>
      <c r="N1055">
        <f t="shared" si="16"/>
        <v>76.1</v>
      </c>
    </row>
    <row r="1056" spans="1:14">
      <c r="A1056">
        <v>20195027</v>
      </c>
      <c r="B1056" t="s">
        <v>15</v>
      </c>
      <c r="C1056" t="str">
        <f>VLOOKUP(B1056,专业代码!$B$2:$C$8,2,FALSE)</f>
        <v>保险学</v>
      </c>
      <c r="D1056">
        <v>8.7</v>
      </c>
      <c r="E1056">
        <v>8.4</v>
      </c>
      <c r="F1056">
        <v>7.4</v>
      </c>
      <c r="G1056">
        <v>7.7</v>
      </c>
      <c r="H1056">
        <v>8.2</v>
      </c>
      <c r="I1056">
        <v>8.2</v>
      </c>
      <c r="J1056">
        <v>6.2</v>
      </c>
      <c r="K1056">
        <v>8</v>
      </c>
      <c r="L1056">
        <v>8.7</v>
      </c>
      <c r="M1056">
        <v>7.3</v>
      </c>
      <c r="N1056">
        <f t="shared" si="16"/>
        <v>78.8</v>
      </c>
    </row>
    <row r="1057" spans="1:14">
      <c r="A1057">
        <v>20195162</v>
      </c>
      <c r="B1057" t="s">
        <v>15</v>
      </c>
      <c r="C1057" t="str">
        <f>VLOOKUP(B1057,专业代码!$B$2:$C$8,2,FALSE)</f>
        <v>保险学</v>
      </c>
      <c r="D1057">
        <v>7.8</v>
      </c>
      <c r="E1057">
        <v>8.6</v>
      </c>
      <c r="F1057">
        <v>7.1</v>
      </c>
      <c r="G1057">
        <v>7.4</v>
      </c>
      <c r="H1057">
        <v>8.5</v>
      </c>
      <c r="I1057">
        <v>6.4</v>
      </c>
      <c r="J1057">
        <v>7.9</v>
      </c>
      <c r="K1057">
        <v>7.4</v>
      </c>
      <c r="L1057">
        <v>7.3</v>
      </c>
      <c r="M1057">
        <v>6.8</v>
      </c>
      <c r="N1057">
        <f t="shared" si="16"/>
        <v>75.2</v>
      </c>
    </row>
    <row r="1058" spans="1:14">
      <c r="A1058">
        <v>20195165</v>
      </c>
      <c r="B1058" t="s">
        <v>15</v>
      </c>
      <c r="C1058" t="str">
        <f>VLOOKUP(B1058,专业代码!$B$2:$C$8,2,FALSE)</f>
        <v>保险学</v>
      </c>
      <c r="D1058">
        <v>9.1</v>
      </c>
      <c r="E1058">
        <v>8.4</v>
      </c>
      <c r="F1058">
        <v>7.7</v>
      </c>
      <c r="G1058">
        <v>7.3</v>
      </c>
      <c r="H1058">
        <v>8</v>
      </c>
      <c r="I1058">
        <v>6.3</v>
      </c>
      <c r="J1058">
        <v>6.6</v>
      </c>
      <c r="K1058">
        <v>7.5</v>
      </c>
      <c r="L1058">
        <v>6.5</v>
      </c>
      <c r="M1058">
        <v>5.6</v>
      </c>
      <c r="N1058">
        <f t="shared" si="16"/>
        <v>73</v>
      </c>
    </row>
    <row r="1059" spans="1:14">
      <c r="A1059">
        <v>20198476</v>
      </c>
      <c r="B1059" t="s">
        <v>15</v>
      </c>
      <c r="C1059" t="str">
        <f>VLOOKUP(B1059,专业代码!$B$2:$C$8,2,FALSE)</f>
        <v>保险学</v>
      </c>
      <c r="D1059">
        <v>8.5</v>
      </c>
      <c r="E1059">
        <v>8.7</v>
      </c>
      <c r="F1059">
        <v>7.5</v>
      </c>
      <c r="G1059">
        <v>8.1</v>
      </c>
      <c r="H1059">
        <v>7</v>
      </c>
      <c r="I1059">
        <v>6.4</v>
      </c>
      <c r="J1059">
        <v>8.5</v>
      </c>
      <c r="K1059">
        <v>8</v>
      </c>
      <c r="L1059">
        <v>7.2</v>
      </c>
      <c r="M1059">
        <v>6.9</v>
      </c>
      <c r="N1059">
        <f t="shared" si="16"/>
        <v>76.8</v>
      </c>
    </row>
    <row r="1060" spans="1:14">
      <c r="A1060">
        <v>20194169</v>
      </c>
      <c r="B1060" t="s">
        <v>15</v>
      </c>
      <c r="C1060" t="str">
        <f>VLOOKUP(B1060,专业代码!$B$2:$C$8,2,FALSE)</f>
        <v>保险学</v>
      </c>
      <c r="D1060">
        <v>9.8</v>
      </c>
      <c r="E1060">
        <v>6.9</v>
      </c>
      <c r="F1060">
        <v>9.3</v>
      </c>
      <c r="G1060">
        <v>8.5</v>
      </c>
      <c r="H1060">
        <v>7.5</v>
      </c>
      <c r="I1060">
        <v>8</v>
      </c>
      <c r="J1060">
        <v>8.7</v>
      </c>
      <c r="K1060">
        <v>6.9</v>
      </c>
      <c r="L1060">
        <v>6.8</v>
      </c>
      <c r="M1060">
        <v>7.4</v>
      </c>
      <c r="N1060">
        <f t="shared" si="16"/>
        <v>79.8</v>
      </c>
    </row>
    <row r="1061" spans="1:14">
      <c r="A1061">
        <v>20195581</v>
      </c>
      <c r="B1061" t="s">
        <v>15</v>
      </c>
      <c r="C1061" t="str">
        <f>VLOOKUP(B1061,专业代码!$B$2:$C$8,2,FALSE)</f>
        <v>保险学</v>
      </c>
      <c r="D1061">
        <v>8.6</v>
      </c>
      <c r="E1061">
        <v>8.8</v>
      </c>
      <c r="F1061">
        <v>8.5</v>
      </c>
      <c r="G1061">
        <v>7.2</v>
      </c>
      <c r="H1061">
        <v>6.4</v>
      </c>
      <c r="I1061">
        <v>8.5</v>
      </c>
      <c r="J1061">
        <v>7.9</v>
      </c>
      <c r="K1061">
        <v>7.1</v>
      </c>
      <c r="L1061">
        <v>6.1</v>
      </c>
      <c r="M1061">
        <v>8.3</v>
      </c>
      <c r="N1061">
        <f t="shared" si="16"/>
        <v>77.4</v>
      </c>
    </row>
    <row r="1062" spans="1:14">
      <c r="A1062">
        <v>20195926</v>
      </c>
      <c r="B1062" t="s">
        <v>15</v>
      </c>
      <c r="C1062" t="str">
        <f>VLOOKUP(B1062,专业代码!$B$2:$C$8,2,FALSE)</f>
        <v>保险学</v>
      </c>
      <c r="D1062">
        <v>8.7</v>
      </c>
      <c r="E1062">
        <v>8.6</v>
      </c>
      <c r="F1062">
        <v>8.2</v>
      </c>
      <c r="G1062">
        <v>8</v>
      </c>
      <c r="H1062">
        <v>8.9</v>
      </c>
      <c r="I1062">
        <v>8</v>
      </c>
      <c r="J1062">
        <v>6.4</v>
      </c>
      <c r="K1062">
        <v>7</v>
      </c>
      <c r="L1062">
        <v>6.6</v>
      </c>
      <c r="M1062">
        <v>6.1</v>
      </c>
      <c r="N1062">
        <f t="shared" si="16"/>
        <v>76.5</v>
      </c>
    </row>
    <row r="1063" spans="1:14">
      <c r="A1063">
        <v>20196001</v>
      </c>
      <c r="B1063" t="s">
        <v>15</v>
      </c>
      <c r="C1063" t="str">
        <f>VLOOKUP(B1063,专业代码!$B$2:$C$8,2,FALSE)</f>
        <v>保险学</v>
      </c>
      <c r="D1063">
        <v>8.2</v>
      </c>
      <c r="E1063">
        <v>8.6</v>
      </c>
      <c r="F1063">
        <v>8.3</v>
      </c>
      <c r="G1063">
        <v>7.8</v>
      </c>
      <c r="H1063">
        <v>7.2</v>
      </c>
      <c r="I1063">
        <v>7.5</v>
      </c>
      <c r="J1063">
        <v>5.9</v>
      </c>
      <c r="K1063">
        <v>8</v>
      </c>
      <c r="L1063">
        <v>7.6</v>
      </c>
      <c r="M1063">
        <v>6.6</v>
      </c>
      <c r="N1063">
        <f t="shared" si="16"/>
        <v>75.7</v>
      </c>
    </row>
    <row r="1064" spans="1:14">
      <c r="A1064">
        <v>20192036</v>
      </c>
      <c r="B1064" t="s">
        <v>16</v>
      </c>
      <c r="C1064" t="str">
        <f>VLOOKUP(B1064,专业代码!$B$2:$C$8,2,FALSE)</f>
        <v>金融学</v>
      </c>
      <c r="D1064">
        <v>9.5</v>
      </c>
      <c r="E1064">
        <v>10</v>
      </c>
      <c r="F1064">
        <v>9.2</v>
      </c>
      <c r="G1064">
        <v>8.3</v>
      </c>
      <c r="H1064">
        <v>8.3</v>
      </c>
      <c r="I1064">
        <v>7.2</v>
      </c>
      <c r="J1064">
        <v>6.6</v>
      </c>
      <c r="K1064">
        <v>7</v>
      </c>
      <c r="L1064">
        <v>5.7</v>
      </c>
      <c r="M1064">
        <v>7.9</v>
      </c>
      <c r="N1064">
        <f t="shared" si="16"/>
        <v>79.7</v>
      </c>
    </row>
    <row r="1065" spans="1:14">
      <c r="A1065">
        <v>20195749</v>
      </c>
      <c r="B1065" t="s">
        <v>16</v>
      </c>
      <c r="C1065" t="str">
        <f>VLOOKUP(B1065,专业代码!$B$2:$C$8,2,FALSE)</f>
        <v>金融学</v>
      </c>
      <c r="D1065">
        <v>9.3</v>
      </c>
      <c r="E1065">
        <v>9.1</v>
      </c>
      <c r="F1065">
        <v>9.1</v>
      </c>
      <c r="G1065">
        <v>8.7</v>
      </c>
      <c r="H1065">
        <v>9.3</v>
      </c>
      <c r="I1065">
        <v>9.4</v>
      </c>
      <c r="J1065">
        <v>8.4</v>
      </c>
      <c r="K1065">
        <v>7.7</v>
      </c>
      <c r="L1065">
        <v>6.9</v>
      </c>
      <c r="M1065">
        <v>7.3</v>
      </c>
      <c r="N1065">
        <f t="shared" si="16"/>
        <v>85.2</v>
      </c>
    </row>
    <row r="1066" spans="1:14">
      <c r="A1066">
        <v>20198004</v>
      </c>
      <c r="B1066" t="s">
        <v>16</v>
      </c>
      <c r="C1066" t="str">
        <f>VLOOKUP(B1066,专业代码!$B$2:$C$8,2,FALSE)</f>
        <v>金融学</v>
      </c>
      <c r="D1066">
        <v>7.8</v>
      </c>
      <c r="E1066">
        <v>8.2</v>
      </c>
      <c r="F1066">
        <v>9.4</v>
      </c>
      <c r="G1066">
        <v>7.8</v>
      </c>
      <c r="H1066">
        <v>7.8</v>
      </c>
      <c r="I1066">
        <v>9</v>
      </c>
      <c r="J1066">
        <v>7.4</v>
      </c>
      <c r="K1066">
        <v>7.5</v>
      </c>
      <c r="L1066">
        <v>7.3</v>
      </c>
      <c r="M1066">
        <v>5.5</v>
      </c>
      <c r="N1066">
        <f t="shared" si="16"/>
        <v>77.7</v>
      </c>
    </row>
    <row r="1067" spans="1:14">
      <c r="A1067">
        <v>20192224</v>
      </c>
      <c r="B1067" t="s">
        <v>16</v>
      </c>
      <c r="C1067" t="str">
        <f>VLOOKUP(B1067,专业代码!$B$2:$C$8,2,FALSE)</f>
        <v>金融学</v>
      </c>
      <c r="D1067">
        <v>10</v>
      </c>
      <c r="E1067">
        <v>9.5</v>
      </c>
      <c r="F1067">
        <v>8.7</v>
      </c>
      <c r="G1067">
        <v>8.7</v>
      </c>
      <c r="H1067">
        <v>9.1</v>
      </c>
      <c r="I1067">
        <v>9.4</v>
      </c>
      <c r="J1067">
        <v>8.2</v>
      </c>
      <c r="K1067">
        <v>7.1</v>
      </c>
      <c r="L1067">
        <v>7</v>
      </c>
      <c r="M1067">
        <v>8.2</v>
      </c>
      <c r="N1067">
        <f t="shared" si="16"/>
        <v>85.9</v>
      </c>
    </row>
    <row r="1068" spans="1:14">
      <c r="A1068">
        <v>20194566</v>
      </c>
      <c r="B1068" t="s">
        <v>16</v>
      </c>
      <c r="C1068" t="str">
        <f>VLOOKUP(B1068,专业代码!$B$2:$C$8,2,FALSE)</f>
        <v>金融学</v>
      </c>
      <c r="D1068">
        <v>9.2</v>
      </c>
      <c r="E1068">
        <v>9.2</v>
      </c>
      <c r="F1068">
        <v>8</v>
      </c>
      <c r="G1068">
        <v>8.9</v>
      </c>
      <c r="H1068">
        <v>8.9</v>
      </c>
      <c r="I1068">
        <v>8.3</v>
      </c>
      <c r="J1068">
        <v>7.8</v>
      </c>
      <c r="K1068">
        <v>8.6</v>
      </c>
      <c r="L1068">
        <v>10</v>
      </c>
      <c r="M1068">
        <v>7.8</v>
      </c>
      <c r="N1068">
        <f t="shared" si="16"/>
        <v>86.7</v>
      </c>
    </row>
    <row r="1069" spans="1:14">
      <c r="A1069">
        <v>20198739</v>
      </c>
      <c r="B1069" t="s">
        <v>16</v>
      </c>
      <c r="C1069" t="str">
        <f>VLOOKUP(B1069,专业代码!$B$2:$C$8,2,FALSE)</f>
        <v>金融学</v>
      </c>
      <c r="D1069">
        <v>8.1</v>
      </c>
      <c r="E1069">
        <v>9.3</v>
      </c>
      <c r="F1069">
        <v>9.5</v>
      </c>
      <c r="G1069">
        <v>8.6</v>
      </c>
      <c r="H1069">
        <v>8.6</v>
      </c>
      <c r="I1069">
        <v>8.6</v>
      </c>
      <c r="J1069">
        <v>7.9</v>
      </c>
      <c r="K1069">
        <v>8.8</v>
      </c>
      <c r="L1069">
        <v>8.3</v>
      </c>
      <c r="M1069">
        <v>5.8</v>
      </c>
      <c r="N1069">
        <f t="shared" si="16"/>
        <v>83.5</v>
      </c>
    </row>
    <row r="1070" spans="1:14">
      <c r="A1070">
        <v>20191343</v>
      </c>
      <c r="B1070" t="s">
        <v>16</v>
      </c>
      <c r="C1070" t="str">
        <f>VLOOKUP(B1070,专业代码!$B$2:$C$8,2,FALSE)</f>
        <v>金融学</v>
      </c>
      <c r="D1070">
        <v>9.9</v>
      </c>
      <c r="E1070">
        <v>8.4</v>
      </c>
      <c r="F1070">
        <v>9.3</v>
      </c>
      <c r="G1070">
        <v>9.6</v>
      </c>
      <c r="H1070">
        <v>7.3</v>
      </c>
      <c r="I1070">
        <v>8.1</v>
      </c>
      <c r="J1070">
        <v>7.9</v>
      </c>
      <c r="K1070">
        <v>9</v>
      </c>
      <c r="L1070">
        <v>6.5</v>
      </c>
      <c r="M1070">
        <v>6.9</v>
      </c>
      <c r="N1070">
        <f t="shared" si="16"/>
        <v>82.9</v>
      </c>
    </row>
    <row r="1071" spans="1:14">
      <c r="A1071">
        <v>20192886</v>
      </c>
      <c r="B1071" t="s">
        <v>16</v>
      </c>
      <c r="C1071" t="str">
        <f>VLOOKUP(B1071,专业代码!$B$2:$C$8,2,FALSE)</f>
        <v>金融学</v>
      </c>
      <c r="D1071">
        <v>9.2</v>
      </c>
      <c r="E1071">
        <v>8.8</v>
      </c>
      <c r="F1071">
        <v>9.4</v>
      </c>
      <c r="G1071">
        <v>9.4</v>
      </c>
      <c r="H1071">
        <v>6</v>
      </c>
      <c r="I1071">
        <v>7</v>
      </c>
      <c r="J1071">
        <v>9.4</v>
      </c>
      <c r="K1071">
        <v>7.3</v>
      </c>
      <c r="L1071">
        <v>8.3</v>
      </c>
      <c r="M1071">
        <v>6.5</v>
      </c>
      <c r="N1071">
        <f t="shared" si="16"/>
        <v>81.3</v>
      </c>
    </row>
    <row r="1072" spans="1:14">
      <c r="A1072">
        <v>20197162</v>
      </c>
      <c r="B1072" t="s">
        <v>16</v>
      </c>
      <c r="C1072" t="str">
        <f>VLOOKUP(B1072,专业代码!$B$2:$C$8,2,FALSE)</f>
        <v>金融学</v>
      </c>
      <c r="D1072">
        <v>9.5</v>
      </c>
      <c r="E1072">
        <v>10</v>
      </c>
      <c r="F1072">
        <v>8.7</v>
      </c>
      <c r="G1072">
        <v>8.1</v>
      </c>
      <c r="H1072">
        <v>8.6</v>
      </c>
      <c r="I1072">
        <v>7.4</v>
      </c>
      <c r="J1072">
        <v>7.4</v>
      </c>
      <c r="K1072">
        <v>8.2</v>
      </c>
      <c r="L1072">
        <v>8.2</v>
      </c>
      <c r="M1072">
        <v>9.3</v>
      </c>
      <c r="N1072">
        <f t="shared" si="16"/>
        <v>85.4</v>
      </c>
    </row>
    <row r="1073" spans="1:14">
      <c r="A1073">
        <v>20198823</v>
      </c>
      <c r="B1073" t="s">
        <v>16</v>
      </c>
      <c r="C1073" t="str">
        <f>VLOOKUP(B1073,专业代码!$B$2:$C$8,2,FALSE)</f>
        <v>金融学</v>
      </c>
      <c r="D1073">
        <v>9</v>
      </c>
      <c r="E1073">
        <v>9</v>
      </c>
      <c r="F1073">
        <v>9.6</v>
      </c>
      <c r="G1073">
        <v>8.7</v>
      </c>
      <c r="H1073">
        <v>7.4</v>
      </c>
      <c r="I1073">
        <v>7.4</v>
      </c>
      <c r="J1073">
        <v>8</v>
      </c>
      <c r="K1073">
        <v>7.9</v>
      </c>
      <c r="L1073">
        <v>7.9</v>
      </c>
      <c r="M1073">
        <v>6</v>
      </c>
      <c r="N1073">
        <f t="shared" si="16"/>
        <v>80.9</v>
      </c>
    </row>
    <row r="1074" spans="1:14">
      <c r="A1074">
        <v>20191330</v>
      </c>
      <c r="B1074" t="s">
        <v>16</v>
      </c>
      <c r="C1074" t="str">
        <f>VLOOKUP(B1074,专业代码!$B$2:$C$8,2,FALSE)</f>
        <v>金融学</v>
      </c>
      <c r="D1074">
        <v>8.6</v>
      </c>
      <c r="E1074">
        <v>8.9</v>
      </c>
      <c r="F1074">
        <v>9.7</v>
      </c>
      <c r="G1074">
        <v>8.4</v>
      </c>
      <c r="H1074">
        <v>9.1</v>
      </c>
      <c r="I1074">
        <v>8.4</v>
      </c>
      <c r="J1074">
        <v>7.7</v>
      </c>
      <c r="K1074">
        <v>6.7</v>
      </c>
      <c r="L1074">
        <v>8.3</v>
      </c>
      <c r="M1074">
        <v>4.3</v>
      </c>
      <c r="N1074">
        <f t="shared" si="16"/>
        <v>80.1</v>
      </c>
    </row>
    <row r="1075" spans="1:14">
      <c r="A1075">
        <v>20194215</v>
      </c>
      <c r="B1075" t="s">
        <v>16</v>
      </c>
      <c r="C1075" t="str">
        <f>VLOOKUP(B1075,专业代码!$B$2:$C$8,2,FALSE)</f>
        <v>金融学</v>
      </c>
      <c r="D1075">
        <v>9.4</v>
      </c>
      <c r="E1075">
        <v>9.6</v>
      </c>
      <c r="F1075">
        <v>8.5</v>
      </c>
      <c r="G1075">
        <v>8.5</v>
      </c>
      <c r="H1075">
        <v>7.4</v>
      </c>
      <c r="I1075">
        <v>6.8</v>
      </c>
      <c r="J1075">
        <v>7.2</v>
      </c>
      <c r="K1075">
        <v>8.6</v>
      </c>
      <c r="L1075">
        <v>6.8</v>
      </c>
      <c r="M1075">
        <v>7.5</v>
      </c>
      <c r="N1075">
        <f t="shared" si="16"/>
        <v>80.3</v>
      </c>
    </row>
    <row r="1076" spans="1:14">
      <c r="A1076">
        <v>20199493</v>
      </c>
      <c r="B1076" t="s">
        <v>16</v>
      </c>
      <c r="C1076" t="str">
        <f>VLOOKUP(B1076,专业代码!$B$2:$C$8,2,FALSE)</f>
        <v>金融学</v>
      </c>
      <c r="D1076">
        <v>9</v>
      </c>
      <c r="E1076">
        <v>9.3</v>
      </c>
      <c r="F1076">
        <v>8.6</v>
      </c>
      <c r="G1076">
        <v>8.8</v>
      </c>
      <c r="H1076">
        <v>10</v>
      </c>
      <c r="I1076">
        <v>7.6</v>
      </c>
      <c r="J1076">
        <v>6.6</v>
      </c>
      <c r="K1076">
        <v>8.1</v>
      </c>
      <c r="L1076">
        <v>7.9</v>
      </c>
      <c r="M1076">
        <v>7.1</v>
      </c>
      <c r="N1076">
        <f t="shared" si="16"/>
        <v>83</v>
      </c>
    </row>
    <row r="1077" spans="1:14">
      <c r="A1077">
        <v>20199907</v>
      </c>
      <c r="B1077" t="s">
        <v>16</v>
      </c>
      <c r="C1077" t="str">
        <f>VLOOKUP(B1077,专业代码!$B$2:$C$8,2,FALSE)</f>
        <v>金融学</v>
      </c>
      <c r="D1077">
        <v>8.5</v>
      </c>
      <c r="E1077">
        <v>9.3</v>
      </c>
      <c r="F1077">
        <v>8.6</v>
      </c>
      <c r="G1077">
        <v>9.3</v>
      </c>
      <c r="H1077">
        <v>9.5</v>
      </c>
      <c r="I1077">
        <v>7.2</v>
      </c>
      <c r="J1077">
        <v>7.3</v>
      </c>
      <c r="K1077">
        <v>6.9</v>
      </c>
      <c r="L1077">
        <v>6.8</v>
      </c>
      <c r="M1077">
        <v>8.6</v>
      </c>
      <c r="N1077">
        <f t="shared" si="16"/>
        <v>82</v>
      </c>
    </row>
    <row r="1078" spans="1:14">
      <c r="A1078">
        <v>20193988</v>
      </c>
      <c r="B1078" t="s">
        <v>16</v>
      </c>
      <c r="C1078" t="str">
        <f>VLOOKUP(B1078,专业代码!$B$2:$C$8,2,FALSE)</f>
        <v>金融学</v>
      </c>
      <c r="D1078">
        <v>9.4</v>
      </c>
      <c r="E1078">
        <v>9.2</v>
      </c>
      <c r="F1078">
        <v>7.4</v>
      </c>
      <c r="G1078">
        <v>10</v>
      </c>
      <c r="H1078">
        <v>7.4</v>
      </c>
      <c r="I1078">
        <v>8.9</v>
      </c>
      <c r="J1078">
        <v>7.7</v>
      </c>
      <c r="K1078">
        <v>8.6</v>
      </c>
      <c r="L1078">
        <v>7.6</v>
      </c>
      <c r="M1078">
        <v>7</v>
      </c>
      <c r="N1078">
        <f t="shared" si="16"/>
        <v>83.2</v>
      </c>
    </row>
    <row r="1079" spans="1:14">
      <c r="A1079">
        <v>20194386</v>
      </c>
      <c r="B1079" t="s">
        <v>16</v>
      </c>
      <c r="C1079" t="str">
        <f>VLOOKUP(B1079,专业代码!$B$2:$C$8,2,FALSE)</f>
        <v>金融学</v>
      </c>
      <c r="D1079">
        <v>8.8</v>
      </c>
      <c r="E1079">
        <v>9.8</v>
      </c>
      <c r="F1079">
        <v>9</v>
      </c>
      <c r="G1079">
        <v>10</v>
      </c>
      <c r="H1079">
        <v>8.4</v>
      </c>
      <c r="I1079">
        <v>7.9</v>
      </c>
      <c r="J1079">
        <v>8</v>
      </c>
      <c r="K1079">
        <v>9.2</v>
      </c>
      <c r="L1079">
        <v>6.5</v>
      </c>
      <c r="M1079">
        <v>8.4</v>
      </c>
      <c r="N1079">
        <f t="shared" si="16"/>
        <v>86</v>
      </c>
    </row>
    <row r="1080" spans="1:14">
      <c r="A1080">
        <v>20194599</v>
      </c>
      <c r="B1080" t="s">
        <v>16</v>
      </c>
      <c r="C1080" t="str">
        <f>VLOOKUP(B1080,专业代码!$B$2:$C$8,2,FALSE)</f>
        <v>金融学</v>
      </c>
      <c r="D1080">
        <v>10</v>
      </c>
      <c r="E1080">
        <v>9.6</v>
      </c>
      <c r="F1080">
        <v>9.1</v>
      </c>
      <c r="G1080">
        <v>8.3</v>
      </c>
      <c r="H1080">
        <v>8.2</v>
      </c>
      <c r="I1080">
        <v>8.1</v>
      </c>
      <c r="J1080">
        <v>7.3</v>
      </c>
      <c r="K1080">
        <v>8.5</v>
      </c>
      <c r="L1080">
        <v>6.2</v>
      </c>
      <c r="M1080">
        <v>6.8</v>
      </c>
      <c r="N1080">
        <f t="shared" si="16"/>
        <v>82.1</v>
      </c>
    </row>
    <row r="1081" spans="1:14">
      <c r="A1081">
        <v>20194679</v>
      </c>
      <c r="B1081" t="s">
        <v>16</v>
      </c>
      <c r="C1081" t="str">
        <f>VLOOKUP(B1081,专业代码!$B$2:$C$8,2,FALSE)</f>
        <v>金融学</v>
      </c>
      <c r="D1081">
        <v>9.9</v>
      </c>
      <c r="E1081">
        <v>7.7</v>
      </c>
      <c r="F1081">
        <v>8.7</v>
      </c>
      <c r="G1081">
        <v>8.3</v>
      </c>
      <c r="H1081">
        <v>7.8</v>
      </c>
      <c r="I1081">
        <v>9.3</v>
      </c>
      <c r="J1081">
        <v>8.6</v>
      </c>
      <c r="K1081">
        <v>7.2</v>
      </c>
      <c r="L1081">
        <v>7.6</v>
      </c>
      <c r="M1081">
        <v>4.7</v>
      </c>
      <c r="N1081">
        <f t="shared" si="16"/>
        <v>79.8</v>
      </c>
    </row>
    <row r="1082" spans="1:14">
      <c r="A1082">
        <v>20197004</v>
      </c>
      <c r="B1082" t="s">
        <v>16</v>
      </c>
      <c r="C1082" t="str">
        <f>VLOOKUP(B1082,专业代码!$B$2:$C$8,2,FALSE)</f>
        <v>金融学</v>
      </c>
      <c r="D1082">
        <v>9.8</v>
      </c>
      <c r="E1082">
        <v>10</v>
      </c>
      <c r="F1082">
        <v>8.7</v>
      </c>
      <c r="G1082">
        <v>9.9</v>
      </c>
      <c r="H1082">
        <v>10</v>
      </c>
      <c r="I1082">
        <v>10</v>
      </c>
      <c r="J1082">
        <v>7.9</v>
      </c>
      <c r="K1082">
        <v>9.4</v>
      </c>
      <c r="L1082">
        <v>9.2</v>
      </c>
      <c r="M1082">
        <v>4.8</v>
      </c>
      <c r="N1082">
        <f t="shared" si="16"/>
        <v>89.7</v>
      </c>
    </row>
    <row r="1083" spans="1:14">
      <c r="A1083">
        <v>20199006</v>
      </c>
      <c r="B1083" t="s">
        <v>16</v>
      </c>
      <c r="C1083" t="str">
        <f>VLOOKUP(B1083,专业代码!$B$2:$C$8,2,FALSE)</f>
        <v>金融学</v>
      </c>
      <c r="D1083">
        <v>9.2</v>
      </c>
      <c r="E1083">
        <v>9.1</v>
      </c>
      <c r="F1083">
        <v>9.2</v>
      </c>
      <c r="G1083">
        <v>8.7</v>
      </c>
      <c r="H1083">
        <v>7.2</v>
      </c>
      <c r="I1083">
        <v>8</v>
      </c>
      <c r="J1083">
        <v>8.2</v>
      </c>
      <c r="K1083">
        <v>8.9</v>
      </c>
      <c r="L1083">
        <v>7.7</v>
      </c>
      <c r="M1083">
        <v>6.8</v>
      </c>
      <c r="N1083">
        <f t="shared" si="16"/>
        <v>83</v>
      </c>
    </row>
    <row r="1084" spans="1:14">
      <c r="A1084">
        <v>20192564</v>
      </c>
      <c r="B1084" t="s">
        <v>16</v>
      </c>
      <c r="C1084" t="str">
        <f>VLOOKUP(B1084,专业代码!$B$2:$C$8,2,FALSE)</f>
        <v>金融学</v>
      </c>
      <c r="D1084">
        <v>9.4</v>
      </c>
      <c r="E1084">
        <v>8.2</v>
      </c>
      <c r="F1084">
        <v>9.3</v>
      </c>
      <c r="G1084">
        <v>8.7</v>
      </c>
      <c r="H1084">
        <v>8.5</v>
      </c>
      <c r="I1084">
        <v>8.4</v>
      </c>
      <c r="J1084">
        <v>6.7</v>
      </c>
      <c r="K1084">
        <v>9.2</v>
      </c>
      <c r="L1084">
        <v>7.5</v>
      </c>
      <c r="M1084">
        <v>5.9</v>
      </c>
      <c r="N1084">
        <f t="shared" si="16"/>
        <v>81.8</v>
      </c>
    </row>
    <row r="1085" spans="1:14">
      <c r="A1085">
        <v>20197966</v>
      </c>
      <c r="B1085" t="s">
        <v>16</v>
      </c>
      <c r="C1085" t="str">
        <f>VLOOKUP(B1085,专业代码!$B$2:$C$8,2,FALSE)</f>
        <v>金融学</v>
      </c>
      <c r="D1085">
        <v>8.9</v>
      </c>
      <c r="E1085">
        <v>8.1</v>
      </c>
      <c r="F1085">
        <v>9.5</v>
      </c>
      <c r="G1085">
        <v>9.4</v>
      </c>
      <c r="H1085">
        <v>7.3</v>
      </c>
      <c r="I1085">
        <v>6</v>
      </c>
      <c r="J1085">
        <v>9.1</v>
      </c>
      <c r="K1085">
        <v>6.7</v>
      </c>
      <c r="L1085">
        <v>7.1</v>
      </c>
      <c r="M1085">
        <v>5.2</v>
      </c>
      <c r="N1085">
        <f t="shared" si="16"/>
        <v>77.3</v>
      </c>
    </row>
    <row r="1086" spans="1:14">
      <c r="A1086">
        <v>20198923</v>
      </c>
      <c r="B1086" t="s">
        <v>16</v>
      </c>
      <c r="C1086" t="str">
        <f>VLOOKUP(B1086,专业代码!$B$2:$C$8,2,FALSE)</f>
        <v>金融学</v>
      </c>
      <c r="D1086">
        <v>8.8</v>
      </c>
      <c r="E1086">
        <v>8.9</v>
      </c>
      <c r="F1086">
        <v>8.6</v>
      </c>
      <c r="G1086">
        <v>8.4</v>
      </c>
      <c r="H1086">
        <v>8.8</v>
      </c>
      <c r="I1086">
        <v>8.6</v>
      </c>
      <c r="J1086">
        <v>7.9</v>
      </c>
      <c r="K1086">
        <v>8.5</v>
      </c>
      <c r="L1086">
        <v>5.6</v>
      </c>
      <c r="M1086">
        <v>6.7</v>
      </c>
      <c r="N1086">
        <f t="shared" si="16"/>
        <v>80.8</v>
      </c>
    </row>
    <row r="1087" spans="1:14">
      <c r="A1087">
        <v>20199634</v>
      </c>
      <c r="B1087" t="s">
        <v>16</v>
      </c>
      <c r="C1087" t="str">
        <f>VLOOKUP(B1087,专业代码!$B$2:$C$8,2,FALSE)</f>
        <v>金融学</v>
      </c>
      <c r="D1087">
        <v>8.6</v>
      </c>
      <c r="E1087">
        <v>9.9</v>
      </c>
      <c r="F1087">
        <v>9.7</v>
      </c>
      <c r="G1087">
        <v>8.3</v>
      </c>
      <c r="H1087">
        <v>8.4</v>
      </c>
      <c r="I1087">
        <v>8.9</v>
      </c>
      <c r="J1087">
        <v>7.9</v>
      </c>
      <c r="K1087">
        <v>6.1</v>
      </c>
      <c r="L1087">
        <v>8.3</v>
      </c>
      <c r="M1087">
        <v>7.4</v>
      </c>
      <c r="N1087">
        <f t="shared" si="16"/>
        <v>83.5</v>
      </c>
    </row>
    <row r="1088" spans="1:14">
      <c r="A1088">
        <v>20195028</v>
      </c>
      <c r="B1088" t="s">
        <v>16</v>
      </c>
      <c r="C1088" t="str">
        <f>VLOOKUP(B1088,专业代码!$B$2:$C$8,2,FALSE)</f>
        <v>金融学</v>
      </c>
      <c r="D1088">
        <v>9.6</v>
      </c>
      <c r="E1088">
        <v>9.2</v>
      </c>
      <c r="F1088">
        <v>9.3</v>
      </c>
      <c r="G1088">
        <v>8.9</v>
      </c>
      <c r="H1088">
        <v>9</v>
      </c>
      <c r="I1088">
        <v>7.2</v>
      </c>
      <c r="J1088">
        <v>7.9</v>
      </c>
      <c r="K1088">
        <v>7.1</v>
      </c>
      <c r="L1088">
        <v>8.3</v>
      </c>
      <c r="M1088">
        <v>7.4</v>
      </c>
      <c r="N1088">
        <f t="shared" si="16"/>
        <v>83.9</v>
      </c>
    </row>
    <row r="1089" spans="1:14">
      <c r="A1089">
        <v>20195783</v>
      </c>
      <c r="B1089" t="s">
        <v>16</v>
      </c>
      <c r="C1089" t="str">
        <f>VLOOKUP(B1089,专业代码!$B$2:$C$8,2,FALSE)</f>
        <v>金融学</v>
      </c>
      <c r="D1089">
        <v>9.1</v>
      </c>
      <c r="E1089">
        <v>8.8</v>
      </c>
      <c r="F1089">
        <v>9.8</v>
      </c>
      <c r="G1089">
        <v>9.4</v>
      </c>
      <c r="H1089">
        <v>9.7</v>
      </c>
      <c r="I1089">
        <v>9.9</v>
      </c>
      <c r="J1089">
        <v>7.5</v>
      </c>
      <c r="K1089">
        <v>5.9</v>
      </c>
      <c r="L1089">
        <v>6.7</v>
      </c>
      <c r="M1089">
        <v>8.1</v>
      </c>
      <c r="N1089">
        <f t="shared" si="16"/>
        <v>84.9</v>
      </c>
    </row>
    <row r="1090" spans="1:14">
      <c r="A1090">
        <v>20198734</v>
      </c>
      <c r="B1090" t="s">
        <v>16</v>
      </c>
      <c r="C1090" t="str">
        <f>VLOOKUP(B1090,专业代码!$B$2:$C$8,2,FALSE)</f>
        <v>金融学</v>
      </c>
      <c r="D1090">
        <v>9.9</v>
      </c>
      <c r="E1090">
        <v>9.9</v>
      </c>
      <c r="F1090">
        <v>9.9</v>
      </c>
      <c r="G1090">
        <v>8.8</v>
      </c>
      <c r="H1090">
        <v>8.8</v>
      </c>
      <c r="I1090">
        <v>7.6</v>
      </c>
      <c r="J1090">
        <v>7.8</v>
      </c>
      <c r="K1090">
        <v>6.9</v>
      </c>
      <c r="L1090">
        <v>8.3</v>
      </c>
      <c r="M1090">
        <v>7.7</v>
      </c>
      <c r="N1090">
        <f t="shared" si="16"/>
        <v>85.6</v>
      </c>
    </row>
    <row r="1091" spans="1:14">
      <c r="A1091">
        <v>20191176</v>
      </c>
      <c r="B1091" t="s">
        <v>16</v>
      </c>
      <c r="C1091" t="str">
        <f>VLOOKUP(B1091,专业代码!$B$2:$C$8,2,FALSE)</f>
        <v>金融学</v>
      </c>
      <c r="D1091">
        <v>9</v>
      </c>
      <c r="E1091">
        <v>9.9</v>
      </c>
      <c r="F1091">
        <v>8.1</v>
      </c>
      <c r="G1091">
        <v>8.1</v>
      </c>
      <c r="H1091">
        <v>7.6</v>
      </c>
      <c r="I1091">
        <v>7.9</v>
      </c>
      <c r="J1091">
        <v>7.5</v>
      </c>
      <c r="K1091">
        <v>7.8</v>
      </c>
      <c r="L1091">
        <v>8.9</v>
      </c>
      <c r="M1091">
        <v>8.1</v>
      </c>
      <c r="N1091">
        <f t="shared" ref="N1091:N1154" si="17">SUM(D1091:M1091)</f>
        <v>82.9</v>
      </c>
    </row>
    <row r="1092" spans="1:14">
      <c r="A1092">
        <v>20191508</v>
      </c>
      <c r="B1092" t="s">
        <v>16</v>
      </c>
      <c r="C1092" t="str">
        <f>VLOOKUP(B1092,专业代码!$B$2:$C$8,2,FALSE)</f>
        <v>金融学</v>
      </c>
      <c r="D1092">
        <v>9.3</v>
      </c>
      <c r="E1092">
        <v>8.7</v>
      </c>
      <c r="F1092">
        <v>9.1</v>
      </c>
      <c r="G1092">
        <v>7.9</v>
      </c>
      <c r="H1092">
        <v>7</v>
      </c>
      <c r="I1092">
        <v>8.5</v>
      </c>
      <c r="J1092">
        <v>8.5</v>
      </c>
      <c r="K1092">
        <v>8.3</v>
      </c>
      <c r="L1092">
        <v>8.4</v>
      </c>
      <c r="M1092">
        <v>7.4</v>
      </c>
      <c r="N1092">
        <f t="shared" si="17"/>
        <v>83.1</v>
      </c>
    </row>
    <row r="1093" spans="1:14">
      <c r="A1093">
        <v>20194363</v>
      </c>
      <c r="B1093" t="s">
        <v>16</v>
      </c>
      <c r="C1093" t="str">
        <f>VLOOKUP(B1093,专业代码!$B$2:$C$8,2,FALSE)</f>
        <v>金融学</v>
      </c>
      <c r="D1093">
        <v>8.7</v>
      </c>
      <c r="E1093">
        <v>9.1</v>
      </c>
      <c r="F1093">
        <v>9.4</v>
      </c>
      <c r="G1093">
        <v>8.5</v>
      </c>
      <c r="H1093">
        <v>8.2</v>
      </c>
      <c r="I1093">
        <v>8.8</v>
      </c>
      <c r="J1093">
        <v>8.5</v>
      </c>
      <c r="K1093">
        <v>8</v>
      </c>
      <c r="L1093">
        <v>8.8</v>
      </c>
      <c r="M1093">
        <v>7.1</v>
      </c>
      <c r="N1093">
        <f t="shared" si="17"/>
        <v>85.1</v>
      </c>
    </row>
    <row r="1094" spans="1:14">
      <c r="A1094">
        <v>20195587</v>
      </c>
      <c r="B1094" t="s">
        <v>16</v>
      </c>
      <c r="C1094" t="str">
        <f>VLOOKUP(B1094,专业代码!$B$2:$C$8,2,FALSE)</f>
        <v>金融学</v>
      </c>
      <c r="D1094">
        <v>9.6</v>
      </c>
      <c r="E1094">
        <v>9.9</v>
      </c>
      <c r="F1094">
        <v>8.1</v>
      </c>
      <c r="G1094">
        <v>7.1</v>
      </c>
      <c r="H1094">
        <v>9</v>
      </c>
      <c r="I1094">
        <v>8.6</v>
      </c>
      <c r="J1094">
        <v>7.4</v>
      </c>
      <c r="K1094">
        <v>5.7</v>
      </c>
      <c r="L1094">
        <v>6.9</v>
      </c>
      <c r="M1094">
        <v>7.9</v>
      </c>
      <c r="N1094">
        <f t="shared" si="17"/>
        <v>80.2</v>
      </c>
    </row>
    <row r="1095" spans="1:14">
      <c r="A1095">
        <v>20197377</v>
      </c>
      <c r="B1095" t="s">
        <v>16</v>
      </c>
      <c r="C1095" t="str">
        <f>VLOOKUP(B1095,专业代码!$B$2:$C$8,2,FALSE)</f>
        <v>金融学</v>
      </c>
      <c r="D1095">
        <v>9.5</v>
      </c>
      <c r="E1095">
        <v>9.4</v>
      </c>
      <c r="F1095">
        <v>9.9</v>
      </c>
      <c r="G1095">
        <v>9</v>
      </c>
      <c r="H1095">
        <v>9.2</v>
      </c>
      <c r="I1095">
        <v>8.1</v>
      </c>
      <c r="J1095">
        <v>8.5</v>
      </c>
      <c r="K1095">
        <v>7</v>
      </c>
      <c r="L1095">
        <v>8.4</v>
      </c>
      <c r="M1095">
        <v>7.9</v>
      </c>
      <c r="N1095">
        <f t="shared" si="17"/>
        <v>86.9</v>
      </c>
    </row>
    <row r="1096" spans="1:14">
      <c r="A1096">
        <v>20197936</v>
      </c>
      <c r="B1096" t="s">
        <v>16</v>
      </c>
      <c r="C1096" t="str">
        <f>VLOOKUP(B1096,专业代码!$B$2:$C$8,2,FALSE)</f>
        <v>金融学</v>
      </c>
      <c r="D1096">
        <v>7.9</v>
      </c>
      <c r="E1096">
        <v>8.4</v>
      </c>
      <c r="F1096">
        <v>9.6</v>
      </c>
      <c r="G1096">
        <v>7.6</v>
      </c>
      <c r="H1096">
        <v>8.4</v>
      </c>
      <c r="I1096">
        <v>9.4</v>
      </c>
      <c r="J1096">
        <v>7.7</v>
      </c>
      <c r="K1096">
        <v>7.4</v>
      </c>
      <c r="L1096">
        <v>7.2</v>
      </c>
      <c r="M1096">
        <v>5.5</v>
      </c>
      <c r="N1096">
        <f t="shared" si="17"/>
        <v>79.1</v>
      </c>
    </row>
    <row r="1097" spans="1:14">
      <c r="A1097">
        <v>20191856</v>
      </c>
      <c r="B1097" t="s">
        <v>16</v>
      </c>
      <c r="C1097" t="str">
        <f>VLOOKUP(B1097,专业代码!$B$2:$C$8,2,FALSE)</f>
        <v>金融学</v>
      </c>
      <c r="D1097">
        <v>9.9</v>
      </c>
      <c r="E1097">
        <v>9.9</v>
      </c>
      <c r="F1097">
        <v>9.7</v>
      </c>
      <c r="G1097">
        <v>8.6</v>
      </c>
      <c r="H1097">
        <v>9.9</v>
      </c>
      <c r="I1097">
        <v>8.8</v>
      </c>
      <c r="J1097">
        <v>9.7</v>
      </c>
      <c r="K1097">
        <v>9.4</v>
      </c>
      <c r="L1097">
        <v>8.1</v>
      </c>
      <c r="M1097">
        <v>6.1</v>
      </c>
      <c r="N1097">
        <f t="shared" si="17"/>
        <v>90.1</v>
      </c>
    </row>
    <row r="1098" spans="1:14">
      <c r="A1098">
        <v>20192503</v>
      </c>
      <c r="B1098" t="s">
        <v>16</v>
      </c>
      <c r="C1098" t="str">
        <f>VLOOKUP(B1098,专业代码!$B$2:$C$8,2,FALSE)</f>
        <v>金融学</v>
      </c>
      <c r="D1098">
        <v>9.3</v>
      </c>
      <c r="E1098">
        <v>9.3</v>
      </c>
      <c r="F1098">
        <v>9.5</v>
      </c>
      <c r="G1098">
        <v>8.6</v>
      </c>
      <c r="H1098">
        <v>8.6</v>
      </c>
      <c r="I1098">
        <v>8.3</v>
      </c>
      <c r="J1098">
        <v>8.6</v>
      </c>
      <c r="K1098">
        <v>7.6</v>
      </c>
      <c r="L1098">
        <v>8</v>
      </c>
      <c r="M1098">
        <v>6.9</v>
      </c>
      <c r="N1098">
        <f t="shared" si="17"/>
        <v>84.7</v>
      </c>
    </row>
    <row r="1099" spans="1:14">
      <c r="A1099">
        <v>20194827</v>
      </c>
      <c r="B1099" t="s">
        <v>16</v>
      </c>
      <c r="C1099" t="str">
        <f>VLOOKUP(B1099,专业代码!$B$2:$C$8,2,FALSE)</f>
        <v>金融学</v>
      </c>
      <c r="D1099">
        <v>9.9</v>
      </c>
      <c r="E1099">
        <v>8.7</v>
      </c>
      <c r="F1099">
        <v>7.3</v>
      </c>
      <c r="G1099">
        <v>8.4</v>
      </c>
      <c r="H1099">
        <v>8.6</v>
      </c>
      <c r="I1099">
        <v>6.5</v>
      </c>
      <c r="J1099">
        <v>7</v>
      </c>
      <c r="K1099">
        <v>6.1</v>
      </c>
      <c r="L1099">
        <v>7.9</v>
      </c>
      <c r="M1099">
        <v>7</v>
      </c>
      <c r="N1099">
        <f t="shared" si="17"/>
        <v>77.4</v>
      </c>
    </row>
    <row r="1100" spans="1:14">
      <c r="A1100">
        <v>20196650</v>
      </c>
      <c r="B1100" t="s">
        <v>16</v>
      </c>
      <c r="C1100" t="str">
        <f>VLOOKUP(B1100,专业代码!$B$2:$C$8,2,FALSE)</f>
        <v>金融学</v>
      </c>
      <c r="D1100">
        <v>9</v>
      </c>
      <c r="E1100">
        <v>9.7</v>
      </c>
      <c r="F1100">
        <v>8.2</v>
      </c>
      <c r="G1100">
        <v>9.5</v>
      </c>
      <c r="H1100">
        <v>9.4</v>
      </c>
      <c r="I1100">
        <v>7.3</v>
      </c>
      <c r="J1100">
        <v>8.3</v>
      </c>
      <c r="K1100">
        <v>7.5</v>
      </c>
      <c r="L1100">
        <v>7.1</v>
      </c>
      <c r="M1100">
        <v>6.8</v>
      </c>
      <c r="N1100">
        <f t="shared" si="17"/>
        <v>82.8</v>
      </c>
    </row>
    <row r="1101" spans="1:14">
      <c r="A1101">
        <v>20197306</v>
      </c>
      <c r="B1101" t="s">
        <v>16</v>
      </c>
      <c r="C1101" t="str">
        <f>VLOOKUP(B1101,专业代码!$B$2:$C$8,2,FALSE)</f>
        <v>金融学</v>
      </c>
      <c r="D1101">
        <v>9</v>
      </c>
      <c r="E1101">
        <v>9.5</v>
      </c>
      <c r="F1101">
        <v>9.3</v>
      </c>
      <c r="G1101">
        <v>9.3</v>
      </c>
      <c r="H1101">
        <v>8.6</v>
      </c>
      <c r="I1101">
        <v>8.6</v>
      </c>
      <c r="J1101">
        <v>8.4</v>
      </c>
      <c r="K1101">
        <v>8</v>
      </c>
      <c r="L1101">
        <v>6.2</v>
      </c>
      <c r="M1101">
        <v>7.9</v>
      </c>
      <c r="N1101">
        <f t="shared" si="17"/>
        <v>84.8</v>
      </c>
    </row>
    <row r="1102" spans="1:14">
      <c r="A1102">
        <v>20192178</v>
      </c>
      <c r="B1102" t="s">
        <v>16</v>
      </c>
      <c r="C1102" t="str">
        <f>VLOOKUP(B1102,专业代码!$B$2:$C$8,2,FALSE)</f>
        <v>金融学</v>
      </c>
      <c r="D1102">
        <v>8.9</v>
      </c>
      <c r="E1102">
        <v>9.7</v>
      </c>
      <c r="F1102">
        <v>8.4</v>
      </c>
      <c r="G1102">
        <v>9.2</v>
      </c>
      <c r="H1102">
        <v>8.3</v>
      </c>
      <c r="I1102">
        <v>6.4</v>
      </c>
      <c r="J1102">
        <v>7</v>
      </c>
      <c r="K1102">
        <v>8.9</v>
      </c>
      <c r="L1102">
        <v>8</v>
      </c>
      <c r="M1102">
        <v>7</v>
      </c>
      <c r="N1102">
        <f t="shared" si="17"/>
        <v>81.8</v>
      </c>
    </row>
    <row r="1103" spans="1:14">
      <c r="A1103">
        <v>20194321</v>
      </c>
      <c r="B1103" t="s">
        <v>16</v>
      </c>
      <c r="C1103" t="str">
        <f>VLOOKUP(B1103,专业代码!$B$2:$C$8,2,FALSE)</f>
        <v>金融学</v>
      </c>
      <c r="D1103">
        <v>9</v>
      </c>
      <c r="E1103">
        <v>9</v>
      </c>
      <c r="F1103">
        <v>9.3</v>
      </c>
      <c r="G1103">
        <v>7.8</v>
      </c>
      <c r="H1103">
        <v>9</v>
      </c>
      <c r="I1103">
        <v>7.8</v>
      </c>
      <c r="J1103">
        <v>6.1</v>
      </c>
      <c r="K1103">
        <v>7.1</v>
      </c>
      <c r="L1103">
        <v>7.2</v>
      </c>
      <c r="M1103">
        <v>6.7</v>
      </c>
      <c r="N1103">
        <f t="shared" si="17"/>
        <v>79</v>
      </c>
    </row>
    <row r="1104" spans="1:14">
      <c r="A1104">
        <v>20194902</v>
      </c>
      <c r="B1104" t="s">
        <v>16</v>
      </c>
      <c r="C1104" t="str">
        <f>VLOOKUP(B1104,专业代码!$B$2:$C$8,2,FALSE)</f>
        <v>金融学</v>
      </c>
      <c r="D1104">
        <v>9</v>
      </c>
      <c r="E1104">
        <v>9.3</v>
      </c>
      <c r="F1104">
        <v>8.6</v>
      </c>
      <c r="G1104">
        <v>8.5</v>
      </c>
      <c r="H1104">
        <v>9.2</v>
      </c>
      <c r="I1104">
        <v>8.8</v>
      </c>
      <c r="J1104">
        <v>6.3</v>
      </c>
      <c r="K1104">
        <v>6.5</v>
      </c>
      <c r="L1104">
        <v>8.2</v>
      </c>
      <c r="M1104">
        <v>5.9</v>
      </c>
      <c r="N1104">
        <f t="shared" si="17"/>
        <v>80.3</v>
      </c>
    </row>
    <row r="1105" spans="1:14">
      <c r="A1105">
        <v>20195913</v>
      </c>
      <c r="B1105" t="s">
        <v>16</v>
      </c>
      <c r="C1105" t="str">
        <f>VLOOKUP(B1105,专业代码!$B$2:$C$8,2,FALSE)</f>
        <v>金融学</v>
      </c>
      <c r="D1105">
        <v>9.2</v>
      </c>
      <c r="E1105">
        <v>9</v>
      </c>
      <c r="F1105">
        <v>9.9</v>
      </c>
      <c r="G1105">
        <v>8.7</v>
      </c>
      <c r="H1105">
        <v>8</v>
      </c>
      <c r="I1105">
        <v>7.8</v>
      </c>
      <c r="J1105">
        <v>7.3</v>
      </c>
      <c r="K1105">
        <v>7.3</v>
      </c>
      <c r="L1105">
        <v>9</v>
      </c>
      <c r="M1105">
        <v>7.7</v>
      </c>
      <c r="N1105">
        <f t="shared" si="17"/>
        <v>83.9</v>
      </c>
    </row>
    <row r="1106" spans="1:14">
      <c r="A1106">
        <v>20198897</v>
      </c>
      <c r="B1106" t="s">
        <v>16</v>
      </c>
      <c r="C1106" t="str">
        <f>VLOOKUP(B1106,专业代码!$B$2:$C$8,2,FALSE)</f>
        <v>金融学</v>
      </c>
      <c r="D1106">
        <v>9.3</v>
      </c>
      <c r="E1106">
        <v>8.6</v>
      </c>
      <c r="F1106">
        <v>9.8</v>
      </c>
      <c r="G1106">
        <v>9.9</v>
      </c>
      <c r="H1106">
        <v>7.6</v>
      </c>
      <c r="I1106">
        <v>7.5</v>
      </c>
      <c r="J1106">
        <v>7.4</v>
      </c>
      <c r="K1106">
        <v>6</v>
      </c>
      <c r="L1106">
        <v>7.5</v>
      </c>
      <c r="M1106">
        <v>5.4</v>
      </c>
      <c r="N1106">
        <f t="shared" si="17"/>
        <v>79</v>
      </c>
    </row>
    <row r="1107" spans="1:14">
      <c r="A1107">
        <v>20193315</v>
      </c>
      <c r="B1107" t="s">
        <v>16</v>
      </c>
      <c r="C1107" t="str">
        <f>VLOOKUP(B1107,专业代码!$B$2:$C$8,2,FALSE)</f>
        <v>金融学</v>
      </c>
      <c r="D1107">
        <v>9.5</v>
      </c>
      <c r="E1107">
        <v>9.3</v>
      </c>
      <c r="F1107">
        <v>8.8</v>
      </c>
      <c r="G1107">
        <v>8.3</v>
      </c>
      <c r="H1107">
        <v>8.1</v>
      </c>
      <c r="I1107">
        <v>7</v>
      </c>
      <c r="J1107">
        <v>7.8</v>
      </c>
      <c r="K1107">
        <v>6.9</v>
      </c>
      <c r="L1107">
        <v>7.8</v>
      </c>
      <c r="M1107">
        <v>4</v>
      </c>
      <c r="N1107">
        <f t="shared" si="17"/>
        <v>77.5</v>
      </c>
    </row>
    <row r="1108" spans="1:14">
      <c r="A1108">
        <v>20193643</v>
      </c>
      <c r="B1108" t="s">
        <v>16</v>
      </c>
      <c r="C1108" t="str">
        <f>VLOOKUP(B1108,专业代码!$B$2:$C$8,2,FALSE)</f>
        <v>金融学</v>
      </c>
      <c r="D1108">
        <v>9.1</v>
      </c>
      <c r="E1108">
        <v>9.9</v>
      </c>
      <c r="F1108">
        <v>9.3</v>
      </c>
      <c r="G1108">
        <v>8.1</v>
      </c>
      <c r="H1108">
        <v>7.5</v>
      </c>
      <c r="I1108">
        <v>7.8</v>
      </c>
      <c r="J1108">
        <v>8.5</v>
      </c>
      <c r="K1108">
        <v>7.3</v>
      </c>
      <c r="L1108">
        <v>8.8</v>
      </c>
      <c r="M1108">
        <v>6.1</v>
      </c>
      <c r="N1108">
        <f t="shared" si="17"/>
        <v>82.4</v>
      </c>
    </row>
    <row r="1109" spans="1:14">
      <c r="A1109">
        <v>20195492</v>
      </c>
      <c r="B1109" t="s">
        <v>16</v>
      </c>
      <c r="C1109" t="str">
        <f>VLOOKUP(B1109,专业代码!$B$2:$C$8,2,FALSE)</f>
        <v>金融学</v>
      </c>
      <c r="D1109">
        <v>9.2</v>
      </c>
      <c r="E1109">
        <v>9.7</v>
      </c>
      <c r="F1109">
        <v>8.1</v>
      </c>
      <c r="G1109">
        <v>9</v>
      </c>
      <c r="H1109">
        <v>9</v>
      </c>
      <c r="I1109">
        <v>8.2</v>
      </c>
      <c r="J1109">
        <v>8.2</v>
      </c>
      <c r="K1109">
        <v>8.4</v>
      </c>
      <c r="L1109">
        <v>5.7</v>
      </c>
      <c r="M1109">
        <v>6.7</v>
      </c>
      <c r="N1109">
        <f t="shared" si="17"/>
        <v>82.2</v>
      </c>
    </row>
    <row r="1110" spans="1:14">
      <c r="A1110">
        <v>20197303</v>
      </c>
      <c r="B1110" t="s">
        <v>16</v>
      </c>
      <c r="C1110" t="str">
        <f>VLOOKUP(B1110,专业代码!$B$2:$C$8,2,FALSE)</f>
        <v>金融学</v>
      </c>
      <c r="D1110">
        <v>9.9</v>
      </c>
      <c r="E1110">
        <v>8.1</v>
      </c>
      <c r="F1110">
        <v>8.7</v>
      </c>
      <c r="G1110">
        <v>9.4</v>
      </c>
      <c r="H1110">
        <v>8.2</v>
      </c>
      <c r="I1110">
        <v>8.5</v>
      </c>
      <c r="J1110">
        <v>8.3</v>
      </c>
      <c r="K1110">
        <v>7.8</v>
      </c>
      <c r="L1110">
        <v>6.2</v>
      </c>
      <c r="M1110">
        <v>7</v>
      </c>
      <c r="N1110">
        <f t="shared" si="17"/>
        <v>82.1</v>
      </c>
    </row>
    <row r="1111" spans="1:14">
      <c r="A1111">
        <v>20199447</v>
      </c>
      <c r="B1111" t="s">
        <v>16</v>
      </c>
      <c r="C1111" t="str">
        <f>VLOOKUP(B1111,专业代码!$B$2:$C$8,2,FALSE)</f>
        <v>金融学</v>
      </c>
      <c r="D1111">
        <v>9.2</v>
      </c>
      <c r="E1111">
        <v>9.6</v>
      </c>
      <c r="F1111">
        <v>9.3</v>
      </c>
      <c r="G1111">
        <v>8.1</v>
      </c>
      <c r="H1111">
        <v>7.9</v>
      </c>
      <c r="I1111">
        <v>8.1</v>
      </c>
      <c r="J1111">
        <v>9.7</v>
      </c>
      <c r="K1111">
        <v>7.4</v>
      </c>
      <c r="L1111">
        <v>8.4</v>
      </c>
      <c r="M1111">
        <v>5.5</v>
      </c>
      <c r="N1111">
        <f t="shared" si="17"/>
        <v>83.2</v>
      </c>
    </row>
    <row r="1112" spans="1:14">
      <c r="A1112">
        <v>20191700</v>
      </c>
      <c r="B1112" t="s">
        <v>16</v>
      </c>
      <c r="C1112" t="str">
        <f>VLOOKUP(B1112,专业代码!$B$2:$C$8,2,FALSE)</f>
        <v>金融学</v>
      </c>
      <c r="D1112">
        <v>9.3</v>
      </c>
      <c r="E1112">
        <v>9</v>
      </c>
      <c r="F1112">
        <v>9.4</v>
      </c>
      <c r="G1112">
        <v>8.6</v>
      </c>
      <c r="H1112">
        <v>7.7</v>
      </c>
      <c r="I1112">
        <v>7.6</v>
      </c>
      <c r="J1112">
        <v>7.6</v>
      </c>
      <c r="K1112">
        <v>8.2</v>
      </c>
      <c r="L1112">
        <v>7.6</v>
      </c>
      <c r="M1112">
        <v>3.8</v>
      </c>
      <c r="N1112">
        <f t="shared" si="17"/>
        <v>78.8</v>
      </c>
    </row>
    <row r="1113" spans="1:14">
      <c r="A1113">
        <v>20195970</v>
      </c>
      <c r="B1113" t="s">
        <v>16</v>
      </c>
      <c r="C1113" t="str">
        <f>VLOOKUP(B1113,专业代码!$B$2:$C$8,2,FALSE)</f>
        <v>金融学</v>
      </c>
      <c r="D1113">
        <v>8.8</v>
      </c>
      <c r="E1113">
        <v>7.5</v>
      </c>
      <c r="F1113">
        <v>9.2</v>
      </c>
      <c r="G1113">
        <v>8</v>
      </c>
      <c r="H1113">
        <v>8.9</v>
      </c>
      <c r="I1113">
        <v>7</v>
      </c>
      <c r="J1113">
        <v>9</v>
      </c>
      <c r="K1113">
        <v>8</v>
      </c>
      <c r="L1113">
        <v>9.2</v>
      </c>
      <c r="M1113">
        <v>6.7</v>
      </c>
      <c r="N1113">
        <f t="shared" si="17"/>
        <v>82.3</v>
      </c>
    </row>
    <row r="1114" spans="1:14">
      <c r="A1114">
        <v>20198596</v>
      </c>
      <c r="B1114" t="s">
        <v>16</v>
      </c>
      <c r="C1114" t="str">
        <f>VLOOKUP(B1114,专业代码!$B$2:$C$8,2,FALSE)</f>
        <v>金融学</v>
      </c>
      <c r="D1114">
        <v>8.2</v>
      </c>
      <c r="E1114">
        <v>8.8</v>
      </c>
      <c r="F1114">
        <v>8.7</v>
      </c>
      <c r="G1114">
        <v>8</v>
      </c>
      <c r="H1114">
        <v>8</v>
      </c>
      <c r="I1114">
        <v>8.1</v>
      </c>
      <c r="J1114">
        <v>9.3</v>
      </c>
      <c r="K1114">
        <v>6.8</v>
      </c>
      <c r="L1114">
        <v>6.2</v>
      </c>
      <c r="M1114">
        <v>9.4</v>
      </c>
      <c r="N1114">
        <f t="shared" si="17"/>
        <v>81.5</v>
      </c>
    </row>
    <row r="1115" spans="1:14">
      <c r="A1115">
        <v>20192839</v>
      </c>
      <c r="B1115" t="s">
        <v>16</v>
      </c>
      <c r="C1115" t="str">
        <f>VLOOKUP(B1115,专业代码!$B$2:$C$8,2,FALSE)</f>
        <v>金融学</v>
      </c>
      <c r="D1115">
        <v>9.3</v>
      </c>
      <c r="E1115">
        <v>8.5</v>
      </c>
      <c r="F1115">
        <v>8.7</v>
      </c>
      <c r="G1115">
        <v>7.9</v>
      </c>
      <c r="H1115">
        <v>8.1</v>
      </c>
      <c r="I1115">
        <v>8.3</v>
      </c>
      <c r="J1115">
        <v>8.5</v>
      </c>
      <c r="K1115">
        <v>7.4</v>
      </c>
      <c r="L1115">
        <v>7.5</v>
      </c>
      <c r="M1115">
        <v>6</v>
      </c>
      <c r="N1115">
        <f t="shared" si="17"/>
        <v>80.2</v>
      </c>
    </row>
    <row r="1116" spans="1:14">
      <c r="A1116">
        <v>20193158</v>
      </c>
      <c r="B1116" t="s">
        <v>16</v>
      </c>
      <c r="C1116" t="str">
        <f>VLOOKUP(B1116,专业代码!$B$2:$C$8,2,FALSE)</f>
        <v>金融学</v>
      </c>
      <c r="D1116">
        <v>9</v>
      </c>
      <c r="E1116">
        <v>7.9</v>
      </c>
      <c r="F1116">
        <v>8.5</v>
      </c>
      <c r="G1116">
        <v>8.1</v>
      </c>
      <c r="H1116">
        <v>8.2</v>
      </c>
      <c r="I1116">
        <v>6.9</v>
      </c>
      <c r="J1116">
        <v>9.1</v>
      </c>
      <c r="K1116">
        <v>6.7</v>
      </c>
      <c r="L1116">
        <v>7.6</v>
      </c>
      <c r="M1116">
        <v>6.9</v>
      </c>
      <c r="N1116">
        <f t="shared" si="17"/>
        <v>78.9</v>
      </c>
    </row>
    <row r="1117" spans="1:14">
      <c r="A1117">
        <v>20194714</v>
      </c>
      <c r="B1117" t="s">
        <v>16</v>
      </c>
      <c r="C1117" t="str">
        <f>VLOOKUP(B1117,专业代码!$B$2:$C$8,2,FALSE)</f>
        <v>金融学</v>
      </c>
      <c r="D1117">
        <v>9.9</v>
      </c>
      <c r="E1117">
        <v>9.3</v>
      </c>
      <c r="F1117">
        <v>9</v>
      </c>
      <c r="G1117">
        <v>8.8</v>
      </c>
      <c r="H1117">
        <v>8.2</v>
      </c>
      <c r="I1117">
        <v>8.6</v>
      </c>
      <c r="J1117">
        <v>8.7</v>
      </c>
      <c r="K1117">
        <v>8.1</v>
      </c>
      <c r="L1117">
        <v>9.8</v>
      </c>
      <c r="M1117">
        <v>6.3</v>
      </c>
      <c r="N1117">
        <f t="shared" si="17"/>
        <v>86.7</v>
      </c>
    </row>
    <row r="1118" spans="1:14">
      <c r="A1118">
        <v>20198190</v>
      </c>
      <c r="B1118" t="s">
        <v>16</v>
      </c>
      <c r="C1118" t="str">
        <f>VLOOKUP(B1118,专业代码!$B$2:$C$8,2,FALSE)</f>
        <v>金融学</v>
      </c>
      <c r="D1118">
        <v>9.4</v>
      </c>
      <c r="E1118">
        <v>9.9</v>
      </c>
      <c r="F1118">
        <v>9.6</v>
      </c>
      <c r="G1118">
        <v>8</v>
      </c>
      <c r="H1118">
        <v>7.5</v>
      </c>
      <c r="I1118">
        <v>6.2</v>
      </c>
      <c r="J1118">
        <v>8</v>
      </c>
      <c r="K1118">
        <v>7.7</v>
      </c>
      <c r="L1118">
        <v>8.3</v>
      </c>
      <c r="M1118">
        <v>6.1</v>
      </c>
      <c r="N1118">
        <f t="shared" si="17"/>
        <v>80.7</v>
      </c>
    </row>
    <row r="1119" spans="1:14">
      <c r="A1119">
        <v>20191566</v>
      </c>
      <c r="B1119" t="s">
        <v>16</v>
      </c>
      <c r="C1119" t="str">
        <f>VLOOKUP(B1119,专业代码!$B$2:$C$8,2,FALSE)</f>
        <v>金融学</v>
      </c>
      <c r="D1119">
        <v>8.3</v>
      </c>
      <c r="E1119">
        <v>9</v>
      </c>
      <c r="F1119">
        <v>9.5</v>
      </c>
      <c r="G1119">
        <v>9.4</v>
      </c>
      <c r="H1119">
        <v>8.7</v>
      </c>
      <c r="I1119">
        <v>8</v>
      </c>
      <c r="J1119">
        <v>7.5</v>
      </c>
      <c r="K1119">
        <v>7.4</v>
      </c>
      <c r="L1119">
        <v>5.5</v>
      </c>
      <c r="M1119">
        <v>7.2</v>
      </c>
      <c r="N1119">
        <f t="shared" si="17"/>
        <v>80.5</v>
      </c>
    </row>
    <row r="1120" spans="1:14">
      <c r="A1120">
        <v>20193613</v>
      </c>
      <c r="B1120" t="s">
        <v>16</v>
      </c>
      <c r="C1120" t="str">
        <f>VLOOKUP(B1120,专业代码!$B$2:$C$8,2,FALSE)</f>
        <v>金融学</v>
      </c>
      <c r="D1120">
        <v>8.7</v>
      </c>
      <c r="E1120">
        <v>9.8</v>
      </c>
      <c r="F1120">
        <v>8.7</v>
      </c>
      <c r="G1120">
        <v>9.6</v>
      </c>
      <c r="H1120">
        <v>7.6</v>
      </c>
      <c r="I1120">
        <v>7.6</v>
      </c>
      <c r="J1120">
        <v>8.9</v>
      </c>
      <c r="K1120">
        <v>7.3</v>
      </c>
      <c r="L1120">
        <v>7.7</v>
      </c>
      <c r="M1120">
        <v>3.4</v>
      </c>
      <c r="N1120">
        <f t="shared" si="17"/>
        <v>79.3</v>
      </c>
    </row>
    <row r="1121" spans="1:14">
      <c r="A1121">
        <v>20194135</v>
      </c>
      <c r="B1121" t="s">
        <v>16</v>
      </c>
      <c r="C1121" t="str">
        <f>VLOOKUP(B1121,专业代码!$B$2:$C$8,2,FALSE)</f>
        <v>金融学</v>
      </c>
      <c r="D1121">
        <v>9.6</v>
      </c>
      <c r="E1121">
        <v>8.8</v>
      </c>
      <c r="F1121">
        <v>8.4</v>
      </c>
      <c r="G1121">
        <v>8.5</v>
      </c>
      <c r="H1121">
        <v>8.9</v>
      </c>
      <c r="I1121">
        <v>9</v>
      </c>
      <c r="J1121">
        <v>7.3</v>
      </c>
      <c r="K1121">
        <v>8.7</v>
      </c>
      <c r="L1121">
        <v>8</v>
      </c>
      <c r="M1121">
        <v>6.3</v>
      </c>
      <c r="N1121">
        <f t="shared" si="17"/>
        <v>83.5</v>
      </c>
    </row>
    <row r="1122" spans="1:14">
      <c r="A1122">
        <v>20196286</v>
      </c>
      <c r="B1122" t="s">
        <v>16</v>
      </c>
      <c r="C1122" t="str">
        <f>VLOOKUP(B1122,专业代码!$B$2:$C$8,2,FALSE)</f>
        <v>金融学</v>
      </c>
      <c r="D1122">
        <v>9.2</v>
      </c>
      <c r="E1122">
        <v>9.7</v>
      </c>
      <c r="F1122">
        <v>8.4</v>
      </c>
      <c r="G1122">
        <v>8.8</v>
      </c>
      <c r="H1122">
        <v>8.5</v>
      </c>
      <c r="I1122">
        <v>6.3</v>
      </c>
      <c r="J1122">
        <v>8.8</v>
      </c>
      <c r="K1122">
        <v>9.9</v>
      </c>
      <c r="L1122">
        <v>7.6</v>
      </c>
      <c r="M1122">
        <v>7.1</v>
      </c>
      <c r="N1122">
        <f t="shared" si="17"/>
        <v>84.3</v>
      </c>
    </row>
    <row r="1123" spans="1:14">
      <c r="A1123">
        <v>20199567</v>
      </c>
      <c r="B1123" t="s">
        <v>16</v>
      </c>
      <c r="C1123" t="str">
        <f>VLOOKUP(B1123,专业代码!$B$2:$C$8,2,FALSE)</f>
        <v>金融学</v>
      </c>
      <c r="D1123">
        <v>9.9</v>
      </c>
      <c r="E1123">
        <v>9.2</v>
      </c>
      <c r="F1123">
        <v>9.4</v>
      </c>
      <c r="G1123">
        <v>8.5</v>
      </c>
      <c r="H1123">
        <v>8.5</v>
      </c>
      <c r="I1123">
        <v>9.4</v>
      </c>
      <c r="J1123">
        <v>7.8</v>
      </c>
      <c r="K1123">
        <v>8.3</v>
      </c>
      <c r="L1123">
        <v>7.1</v>
      </c>
      <c r="M1123">
        <v>8.5</v>
      </c>
      <c r="N1123">
        <f t="shared" si="17"/>
        <v>86.6</v>
      </c>
    </row>
    <row r="1124" spans="1:14">
      <c r="A1124">
        <v>20192025</v>
      </c>
      <c r="B1124" t="s">
        <v>16</v>
      </c>
      <c r="C1124" t="str">
        <f>VLOOKUP(B1124,专业代码!$B$2:$C$8,2,FALSE)</f>
        <v>金融学</v>
      </c>
      <c r="D1124">
        <v>8.7</v>
      </c>
      <c r="E1124">
        <v>8.9</v>
      </c>
      <c r="F1124">
        <v>7.8</v>
      </c>
      <c r="G1124">
        <v>8.8</v>
      </c>
      <c r="H1124">
        <v>7.5</v>
      </c>
      <c r="I1124">
        <v>6.8</v>
      </c>
      <c r="J1124">
        <v>6.7</v>
      </c>
      <c r="K1124">
        <v>7.9</v>
      </c>
      <c r="L1124">
        <v>5.5</v>
      </c>
      <c r="M1124">
        <v>7.8</v>
      </c>
      <c r="N1124">
        <f t="shared" si="17"/>
        <v>76.4</v>
      </c>
    </row>
    <row r="1125" spans="1:14">
      <c r="A1125">
        <v>20193468</v>
      </c>
      <c r="B1125" t="s">
        <v>16</v>
      </c>
      <c r="C1125" t="str">
        <f>VLOOKUP(B1125,专业代码!$B$2:$C$8,2,FALSE)</f>
        <v>金融学</v>
      </c>
      <c r="D1125">
        <v>9.9</v>
      </c>
      <c r="E1125">
        <v>9.9</v>
      </c>
      <c r="F1125">
        <v>9.8</v>
      </c>
      <c r="G1125">
        <v>9.4</v>
      </c>
      <c r="H1125">
        <v>9.8</v>
      </c>
      <c r="I1125">
        <v>7.3</v>
      </c>
      <c r="J1125">
        <v>6.3</v>
      </c>
      <c r="K1125">
        <v>8.1</v>
      </c>
      <c r="L1125">
        <v>7.6</v>
      </c>
      <c r="M1125">
        <v>6.1</v>
      </c>
      <c r="N1125">
        <f t="shared" si="17"/>
        <v>84.2</v>
      </c>
    </row>
    <row r="1126" spans="1:14">
      <c r="A1126">
        <v>20194493</v>
      </c>
      <c r="B1126" t="s">
        <v>16</v>
      </c>
      <c r="C1126" t="str">
        <f>VLOOKUP(B1126,专业代码!$B$2:$C$8,2,FALSE)</f>
        <v>金融学</v>
      </c>
      <c r="D1126">
        <v>9.2</v>
      </c>
      <c r="E1126">
        <v>8.3</v>
      </c>
      <c r="F1126">
        <v>9.3</v>
      </c>
      <c r="G1126">
        <v>9</v>
      </c>
      <c r="H1126">
        <v>7.5</v>
      </c>
      <c r="I1126">
        <v>8.4</v>
      </c>
      <c r="J1126">
        <v>6.9</v>
      </c>
      <c r="K1126">
        <v>8</v>
      </c>
      <c r="L1126">
        <v>6.5</v>
      </c>
      <c r="M1126">
        <v>9.4</v>
      </c>
      <c r="N1126">
        <f t="shared" si="17"/>
        <v>82.5</v>
      </c>
    </row>
    <row r="1127" spans="1:14">
      <c r="A1127">
        <v>20191281</v>
      </c>
      <c r="B1127" t="s">
        <v>16</v>
      </c>
      <c r="C1127" t="str">
        <f>VLOOKUP(B1127,专业代码!$B$2:$C$8,2,FALSE)</f>
        <v>金融学</v>
      </c>
      <c r="D1127">
        <v>9.7</v>
      </c>
      <c r="E1127">
        <v>8.2</v>
      </c>
      <c r="F1127">
        <v>8.9</v>
      </c>
      <c r="G1127">
        <v>8.9</v>
      </c>
      <c r="H1127">
        <v>9.3</v>
      </c>
      <c r="I1127">
        <v>7.3</v>
      </c>
      <c r="J1127">
        <v>7.5</v>
      </c>
      <c r="K1127">
        <v>9.4</v>
      </c>
      <c r="L1127">
        <v>6</v>
      </c>
      <c r="M1127">
        <v>6.7</v>
      </c>
      <c r="N1127">
        <f t="shared" si="17"/>
        <v>81.9</v>
      </c>
    </row>
    <row r="1128" spans="1:14">
      <c r="A1128">
        <v>20192505</v>
      </c>
      <c r="B1128" t="s">
        <v>16</v>
      </c>
      <c r="C1128" t="str">
        <f>VLOOKUP(B1128,专业代码!$B$2:$C$8,2,FALSE)</f>
        <v>金融学</v>
      </c>
      <c r="D1128">
        <v>9.2</v>
      </c>
      <c r="E1128">
        <v>8.4</v>
      </c>
      <c r="F1128">
        <v>8.6</v>
      </c>
      <c r="G1128">
        <v>7.9</v>
      </c>
      <c r="H1128">
        <v>8</v>
      </c>
      <c r="I1128">
        <v>8.7</v>
      </c>
      <c r="J1128">
        <v>7.5</v>
      </c>
      <c r="K1128">
        <v>7.5</v>
      </c>
      <c r="L1128">
        <v>8.8</v>
      </c>
      <c r="M1128">
        <v>6.5</v>
      </c>
      <c r="N1128">
        <f t="shared" si="17"/>
        <v>81.1</v>
      </c>
    </row>
    <row r="1129" spans="1:14">
      <c r="A1129">
        <v>20192699</v>
      </c>
      <c r="B1129" t="s">
        <v>16</v>
      </c>
      <c r="C1129" t="str">
        <f>VLOOKUP(B1129,专业代码!$B$2:$C$8,2,FALSE)</f>
        <v>金融学</v>
      </c>
      <c r="D1129">
        <v>9.7</v>
      </c>
      <c r="E1129">
        <v>8.6</v>
      </c>
      <c r="F1129">
        <v>8.6</v>
      </c>
      <c r="G1129">
        <v>8.2</v>
      </c>
      <c r="H1129">
        <v>9.1</v>
      </c>
      <c r="I1129">
        <v>7.6</v>
      </c>
      <c r="J1129">
        <v>7.4</v>
      </c>
      <c r="K1129">
        <v>5.9</v>
      </c>
      <c r="L1129">
        <v>9.1</v>
      </c>
      <c r="M1129">
        <v>9.4</v>
      </c>
      <c r="N1129">
        <f t="shared" si="17"/>
        <v>83.6</v>
      </c>
    </row>
    <row r="1130" spans="1:14">
      <c r="A1130">
        <v>20194236</v>
      </c>
      <c r="B1130" t="s">
        <v>16</v>
      </c>
      <c r="C1130" t="str">
        <f>VLOOKUP(B1130,专业代码!$B$2:$C$8,2,FALSE)</f>
        <v>金融学</v>
      </c>
      <c r="D1130">
        <v>8.3</v>
      </c>
      <c r="E1130">
        <v>8.5</v>
      </c>
      <c r="F1130">
        <v>8.6</v>
      </c>
      <c r="G1130">
        <v>8.8</v>
      </c>
      <c r="H1130">
        <v>9.2</v>
      </c>
      <c r="I1130">
        <v>8.6</v>
      </c>
      <c r="J1130">
        <v>5.5</v>
      </c>
      <c r="K1130">
        <v>8.2</v>
      </c>
      <c r="L1130">
        <v>9</v>
      </c>
      <c r="M1130">
        <v>7.2</v>
      </c>
      <c r="N1130">
        <f t="shared" si="17"/>
        <v>81.9</v>
      </c>
    </row>
    <row r="1131" spans="1:14">
      <c r="A1131">
        <v>20194983</v>
      </c>
      <c r="B1131" t="s">
        <v>16</v>
      </c>
      <c r="C1131" t="str">
        <f>VLOOKUP(B1131,专业代码!$B$2:$C$8,2,FALSE)</f>
        <v>金融学</v>
      </c>
      <c r="D1131">
        <v>9.5</v>
      </c>
      <c r="E1131">
        <v>9.4</v>
      </c>
      <c r="F1131">
        <v>8.7</v>
      </c>
      <c r="G1131">
        <v>7.4</v>
      </c>
      <c r="H1131">
        <v>7.1</v>
      </c>
      <c r="I1131">
        <v>7.4</v>
      </c>
      <c r="J1131">
        <v>8.3</v>
      </c>
      <c r="K1131">
        <v>9.9</v>
      </c>
      <c r="L1131">
        <v>7.4</v>
      </c>
      <c r="M1131">
        <v>5.5</v>
      </c>
      <c r="N1131">
        <f t="shared" si="17"/>
        <v>80.6</v>
      </c>
    </row>
    <row r="1132" spans="1:14">
      <c r="A1132">
        <v>20195738</v>
      </c>
      <c r="B1132" t="s">
        <v>16</v>
      </c>
      <c r="C1132" t="str">
        <f>VLOOKUP(B1132,专业代码!$B$2:$C$8,2,FALSE)</f>
        <v>金融学</v>
      </c>
      <c r="D1132">
        <v>9</v>
      </c>
      <c r="E1132">
        <v>9.7</v>
      </c>
      <c r="F1132">
        <v>8.2</v>
      </c>
      <c r="G1132">
        <v>8.4</v>
      </c>
      <c r="H1132">
        <v>6.8</v>
      </c>
      <c r="I1132">
        <v>8.8</v>
      </c>
      <c r="J1132">
        <v>9.1</v>
      </c>
      <c r="K1132">
        <v>8.6</v>
      </c>
      <c r="L1132">
        <v>6.8</v>
      </c>
      <c r="M1132">
        <v>4.5</v>
      </c>
      <c r="N1132">
        <f t="shared" si="17"/>
        <v>79.9</v>
      </c>
    </row>
    <row r="1133" spans="1:14">
      <c r="A1133">
        <v>20196000</v>
      </c>
      <c r="B1133" t="s">
        <v>16</v>
      </c>
      <c r="C1133" t="str">
        <f>VLOOKUP(B1133,专业代码!$B$2:$C$8,2,FALSE)</f>
        <v>金融学</v>
      </c>
      <c r="D1133">
        <v>9.7</v>
      </c>
      <c r="E1133">
        <v>8.8</v>
      </c>
      <c r="F1133">
        <v>8.2</v>
      </c>
      <c r="G1133">
        <v>8.6</v>
      </c>
      <c r="H1133">
        <v>8.6</v>
      </c>
      <c r="I1133">
        <v>9.3</v>
      </c>
      <c r="J1133">
        <v>8.8</v>
      </c>
      <c r="K1133">
        <v>6.2</v>
      </c>
      <c r="L1133">
        <v>6</v>
      </c>
      <c r="M1133">
        <v>7.8</v>
      </c>
      <c r="N1133">
        <f t="shared" si="17"/>
        <v>82</v>
      </c>
    </row>
    <row r="1134" spans="1:14">
      <c r="A1134">
        <v>20196615</v>
      </c>
      <c r="B1134" t="s">
        <v>16</v>
      </c>
      <c r="C1134" t="str">
        <f>VLOOKUP(B1134,专业代码!$B$2:$C$8,2,FALSE)</f>
        <v>金融学</v>
      </c>
      <c r="D1134">
        <v>8.7</v>
      </c>
      <c r="E1134">
        <v>9.3</v>
      </c>
      <c r="F1134">
        <v>9.4</v>
      </c>
      <c r="G1134">
        <v>8.8</v>
      </c>
      <c r="H1134">
        <v>8.8</v>
      </c>
      <c r="I1134">
        <v>7.4</v>
      </c>
      <c r="J1134">
        <v>7.3</v>
      </c>
      <c r="K1134">
        <v>8.1</v>
      </c>
      <c r="L1134">
        <v>8</v>
      </c>
      <c r="M1134">
        <v>5.2</v>
      </c>
      <c r="N1134">
        <f t="shared" si="17"/>
        <v>81</v>
      </c>
    </row>
    <row r="1135" spans="1:14">
      <c r="A1135">
        <v>20192582</v>
      </c>
      <c r="B1135" t="s">
        <v>16</v>
      </c>
      <c r="C1135" t="str">
        <f>VLOOKUP(B1135,专业代码!$B$2:$C$8,2,FALSE)</f>
        <v>金融学</v>
      </c>
      <c r="D1135">
        <v>9</v>
      </c>
      <c r="E1135">
        <v>8.8</v>
      </c>
      <c r="F1135">
        <v>7.7</v>
      </c>
      <c r="G1135">
        <v>7.5</v>
      </c>
      <c r="H1135">
        <v>8.9</v>
      </c>
      <c r="I1135">
        <v>9.7</v>
      </c>
      <c r="J1135">
        <v>7.3</v>
      </c>
      <c r="K1135">
        <v>7.6</v>
      </c>
      <c r="L1135">
        <v>7.1</v>
      </c>
      <c r="M1135">
        <v>6.7</v>
      </c>
      <c r="N1135">
        <f t="shared" si="17"/>
        <v>80.3</v>
      </c>
    </row>
    <row r="1136" spans="1:14">
      <c r="A1136">
        <v>20198146</v>
      </c>
      <c r="B1136" t="s">
        <v>16</v>
      </c>
      <c r="C1136" t="str">
        <f>VLOOKUP(B1136,专业代码!$B$2:$C$8,2,FALSE)</f>
        <v>金融学</v>
      </c>
      <c r="D1136">
        <v>8.8</v>
      </c>
      <c r="E1136">
        <v>9.1</v>
      </c>
      <c r="F1136">
        <v>9.2</v>
      </c>
      <c r="G1136">
        <v>8.7</v>
      </c>
      <c r="H1136">
        <v>7.7</v>
      </c>
      <c r="I1136">
        <v>7.2</v>
      </c>
      <c r="J1136">
        <v>8.3</v>
      </c>
      <c r="K1136">
        <v>6.1</v>
      </c>
      <c r="L1136">
        <v>7.7</v>
      </c>
      <c r="M1136">
        <v>7.6</v>
      </c>
      <c r="N1136">
        <f t="shared" si="17"/>
        <v>80.4</v>
      </c>
    </row>
    <row r="1137" spans="1:14">
      <c r="A1137">
        <v>20199357</v>
      </c>
      <c r="B1137" t="s">
        <v>16</v>
      </c>
      <c r="C1137" t="str">
        <f>VLOOKUP(B1137,专业代码!$B$2:$C$8,2,FALSE)</f>
        <v>金融学</v>
      </c>
      <c r="D1137">
        <v>9</v>
      </c>
      <c r="E1137">
        <v>8.2</v>
      </c>
      <c r="F1137">
        <v>8.6</v>
      </c>
      <c r="G1137">
        <v>9.1</v>
      </c>
      <c r="H1137">
        <v>7</v>
      </c>
      <c r="I1137">
        <v>8.4</v>
      </c>
      <c r="J1137">
        <v>6.8</v>
      </c>
      <c r="K1137">
        <v>9.2</v>
      </c>
      <c r="L1137">
        <v>7.9</v>
      </c>
      <c r="M1137">
        <v>8</v>
      </c>
      <c r="N1137">
        <f t="shared" si="17"/>
        <v>82.2</v>
      </c>
    </row>
    <row r="1138" spans="1:14">
      <c r="A1138">
        <v>20191088</v>
      </c>
      <c r="B1138" t="s">
        <v>16</v>
      </c>
      <c r="C1138" t="str">
        <f>VLOOKUP(B1138,专业代码!$B$2:$C$8,2,FALSE)</f>
        <v>金融学</v>
      </c>
      <c r="D1138">
        <v>9.1</v>
      </c>
      <c r="E1138">
        <v>8.8</v>
      </c>
      <c r="F1138">
        <v>7.9</v>
      </c>
      <c r="G1138">
        <v>8.1</v>
      </c>
      <c r="H1138">
        <v>7</v>
      </c>
      <c r="I1138">
        <v>8.7</v>
      </c>
      <c r="J1138">
        <v>6.1</v>
      </c>
      <c r="K1138">
        <v>6.9</v>
      </c>
      <c r="L1138">
        <v>6.7</v>
      </c>
      <c r="M1138">
        <v>4.3</v>
      </c>
      <c r="N1138">
        <f t="shared" si="17"/>
        <v>73.6</v>
      </c>
    </row>
    <row r="1139" spans="1:14">
      <c r="A1139">
        <v>20192590</v>
      </c>
      <c r="B1139" t="s">
        <v>16</v>
      </c>
      <c r="C1139" t="str">
        <f>VLOOKUP(B1139,专业代码!$B$2:$C$8,2,FALSE)</f>
        <v>金融学</v>
      </c>
      <c r="D1139">
        <v>9.4</v>
      </c>
      <c r="E1139">
        <v>8.4</v>
      </c>
      <c r="F1139">
        <v>9.9</v>
      </c>
      <c r="G1139">
        <v>8.4</v>
      </c>
      <c r="H1139">
        <v>8</v>
      </c>
      <c r="I1139">
        <v>9.2</v>
      </c>
      <c r="J1139">
        <v>8.2</v>
      </c>
      <c r="K1139">
        <v>7.3</v>
      </c>
      <c r="L1139">
        <v>9.5</v>
      </c>
      <c r="M1139">
        <v>5.3</v>
      </c>
      <c r="N1139">
        <f t="shared" si="17"/>
        <v>83.6</v>
      </c>
    </row>
    <row r="1140" spans="1:14">
      <c r="A1140">
        <v>20192885</v>
      </c>
      <c r="B1140" t="s">
        <v>16</v>
      </c>
      <c r="C1140" t="str">
        <f>VLOOKUP(B1140,专业代码!$B$2:$C$8,2,FALSE)</f>
        <v>金融学</v>
      </c>
      <c r="D1140">
        <v>9</v>
      </c>
      <c r="E1140">
        <v>8.4</v>
      </c>
      <c r="F1140">
        <v>9.4</v>
      </c>
      <c r="G1140">
        <v>7.2</v>
      </c>
      <c r="H1140">
        <v>9.9</v>
      </c>
      <c r="I1140">
        <v>7.5</v>
      </c>
      <c r="J1140">
        <v>8.2</v>
      </c>
      <c r="K1140">
        <v>7.6</v>
      </c>
      <c r="L1140">
        <v>9.8</v>
      </c>
      <c r="M1140">
        <v>5.8</v>
      </c>
      <c r="N1140">
        <f t="shared" si="17"/>
        <v>82.8</v>
      </c>
    </row>
    <row r="1141" spans="1:14">
      <c r="A1141">
        <v>20195724</v>
      </c>
      <c r="B1141" t="s">
        <v>16</v>
      </c>
      <c r="C1141" t="str">
        <f>VLOOKUP(B1141,专业代码!$B$2:$C$8,2,FALSE)</f>
        <v>金融学</v>
      </c>
      <c r="D1141">
        <v>9.3</v>
      </c>
      <c r="E1141">
        <v>9.3</v>
      </c>
      <c r="F1141">
        <v>9.3</v>
      </c>
      <c r="G1141">
        <v>9.3</v>
      </c>
      <c r="H1141">
        <v>7.7</v>
      </c>
      <c r="I1141">
        <v>7</v>
      </c>
      <c r="J1141">
        <v>5</v>
      </c>
      <c r="K1141">
        <v>6.5</v>
      </c>
      <c r="L1141">
        <v>7.1</v>
      </c>
      <c r="M1141">
        <v>7.5</v>
      </c>
      <c r="N1141">
        <f t="shared" si="17"/>
        <v>78</v>
      </c>
    </row>
    <row r="1142" spans="1:14">
      <c r="A1142">
        <v>20196531</v>
      </c>
      <c r="B1142" t="s">
        <v>16</v>
      </c>
      <c r="C1142" t="str">
        <f>VLOOKUP(B1142,专业代码!$B$2:$C$8,2,FALSE)</f>
        <v>金融学</v>
      </c>
      <c r="D1142">
        <v>9.3</v>
      </c>
      <c r="E1142">
        <v>8.4</v>
      </c>
      <c r="F1142">
        <v>8.7</v>
      </c>
      <c r="G1142">
        <v>8.6</v>
      </c>
      <c r="H1142">
        <v>7.7</v>
      </c>
      <c r="I1142">
        <v>6.8</v>
      </c>
      <c r="J1142">
        <v>7.9</v>
      </c>
      <c r="K1142">
        <v>8.5</v>
      </c>
      <c r="L1142">
        <v>7.6</v>
      </c>
      <c r="M1142">
        <v>6.6</v>
      </c>
      <c r="N1142">
        <f t="shared" si="17"/>
        <v>80.1</v>
      </c>
    </row>
    <row r="1143" spans="1:14">
      <c r="A1143">
        <v>20198229</v>
      </c>
      <c r="B1143" t="s">
        <v>16</v>
      </c>
      <c r="C1143" t="str">
        <f>VLOOKUP(B1143,专业代码!$B$2:$C$8,2,FALSE)</f>
        <v>金融学</v>
      </c>
      <c r="D1143">
        <v>9.9</v>
      </c>
      <c r="E1143">
        <v>9.1</v>
      </c>
      <c r="F1143">
        <v>9.4</v>
      </c>
      <c r="G1143">
        <v>7.9</v>
      </c>
      <c r="H1143">
        <v>9.8</v>
      </c>
      <c r="I1143">
        <v>7.4</v>
      </c>
      <c r="J1143">
        <v>9.9</v>
      </c>
      <c r="K1143">
        <v>6.2</v>
      </c>
      <c r="L1143">
        <v>8.5</v>
      </c>
      <c r="M1143">
        <v>7.3</v>
      </c>
      <c r="N1143">
        <f t="shared" si="17"/>
        <v>85.4</v>
      </c>
    </row>
    <row r="1144" spans="1:14">
      <c r="A1144">
        <v>20199581</v>
      </c>
      <c r="B1144" t="s">
        <v>16</v>
      </c>
      <c r="C1144" t="str">
        <f>VLOOKUP(B1144,专业代码!$B$2:$C$8,2,FALSE)</f>
        <v>金融学</v>
      </c>
      <c r="D1144">
        <v>9.1</v>
      </c>
      <c r="E1144">
        <v>9.6</v>
      </c>
      <c r="F1144">
        <v>9.6</v>
      </c>
      <c r="G1144">
        <v>7.8</v>
      </c>
      <c r="H1144">
        <v>8.3</v>
      </c>
      <c r="I1144">
        <v>6.7</v>
      </c>
      <c r="J1144">
        <v>6.5</v>
      </c>
      <c r="K1144">
        <v>8</v>
      </c>
      <c r="L1144">
        <v>6.4</v>
      </c>
      <c r="M1144">
        <v>8.2</v>
      </c>
      <c r="N1144">
        <f t="shared" si="17"/>
        <v>80.2</v>
      </c>
    </row>
    <row r="1145" spans="1:14">
      <c r="A1145">
        <v>20191651</v>
      </c>
      <c r="B1145" t="s">
        <v>17</v>
      </c>
      <c r="C1145" t="str">
        <f>VLOOKUP(B1145,专业代码!$B$2:$C$8,2,FALSE)</f>
        <v>金融工程</v>
      </c>
      <c r="D1145">
        <v>7.8</v>
      </c>
      <c r="E1145">
        <v>8</v>
      </c>
      <c r="F1145">
        <v>8.4</v>
      </c>
      <c r="G1145">
        <v>7.2</v>
      </c>
      <c r="H1145">
        <v>7.9</v>
      </c>
      <c r="I1145">
        <v>7.9</v>
      </c>
      <c r="J1145">
        <v>8.1</v>
      </c>
      <c r="K1145">
        <v>7.6</v>
      </c>
      <c r="L1145">
        <v>8.1</v>
      </c>
      <c r="M1145">
        <v>8.1</v>
      </c>
      <c r="N1145">
        <f t="shared" si="17"/>
        <v>79.1</v>
      </c>
    </row>
    <row r="1146" spans="1:14">
      <c r="A1146">
        <v>20193199</v>
      </c>
      <c r="B1146" t="s">
        <v>17</v>
      </c>
      <c r="C1146" t="str">
        <f>VLOOKUP(B1146,专业代码!$B$2:$C$8,2,FALSE)</f>
        <v>金融工程</v>
      </c>
      <c r="D1146">
        <v>8.3</v>
      </c>
      <c r="E1146">
        <v>9.4</v>
      </c>
      <c r="F1146">
        <v>9.7</v>
      </c>
      <c r="G1146">
        <v>8.2</v>
      </c>
      <c r="H1146">
        <v>7.4</v>
      </c>
      <c r="I1146">
        <v>7.5</v>
      </c>
      <c r="J1146">
        <v>7.7</v>
      </c>
      <c r="K1146">
        <v>7.1</v>
      </c>
      <c r="L1146">
        <v>7.8</v>
      </c>
      <c r="M1146">
        <v>5.6</v>
      </c>
      <c r="N1146">
        <f t="shared" si="17"/>
        <v>78.7</v>
      </c>
    </row>
    <row r="1147" spans="1:14">
      <c r="A1147">
        <v>20194250</v>
      </c>
      <c r="B1147" t="s">
        <v>17</v>
      </c>
      <c r="C1147" t="str">
        <f>VLOOKUP(B1147,专业代码!$B$2:$C$8,2,FALSE)</f>
        <v>金融工程</v>
      </c>
      <c r="D1147">
        <v>8.1</v>
      </c>
      <c r="E1147">
        <v>9.5</v>
      </c>
      <c r="F1147">
        <v>8.2</v>
      </c>
      <c r="G1147">
        <v>7.2</v>
      </c>
      <c r="H1147">
        <v>8</v>
      </c>
      <c r="I1147">
        <v>6.9</v>
      </c>
      <c r="J1147">
        <v>6.3</v>
      </c>
      <c r="K1147">
        <v>8.5</v>
      </c>
      <c r="L1147">
        <v>7.2</v>
      </c>
      <c r="M1147">
        <v>5.5</v>
      </c>
      <c r="N1147">
        <f t="shared" si="17"/>
        <v>75.4</v>
      </c>
    </row>
    <row r="1148" spans="1:14">
      <c r="A1148">
        <v>20195063</v>
      </c>
      <c r="B1148" t="s">
        <v>17</v>
      </c>
      <c r="C1148" t="str">
        <f>VLOOKUP(B1148,专业代码!$B$2:$C$8,2,FALSE)</f>
        <v>金融工程</v>
      </c>
      <c r="D1148">
        <v>9.4</v>
      </c>
      <c r="E1148">
        <v>7.6</v>
      </c>
      <c r="F1148">
        <v>9</v>
      </c>
      <c r="G1148">
        <v>7.9</v>
      </c>
      <c r="H1148">
        <v>8.9</v>
      </c>
      <c r="I1148">
        <v>7.9</v>
      </c>
      <c r="J1148">
        <v>7</v>
      </c>
      <c r="K1148">
        <v>7.2</v>
      </c>
      <c r="L1148">
        <v>6.4</v>
      </c>
      <c r="M1148">
        <v>7.5</v>
      </c>
      <c r="N1148">
        <f t="shared" si="17"/>
        <v>78.8</v>
      </c>
    </row>
    <row r="1149" spans="1:14">
      <c r="A1149">
        <v>20195291</v>
      </c>
      <c r="B1149" t="s">
        <v>17</v>
      </c>
      <c r="C1149" t="str">
        <f>VLOOKUP(B1149,专业代码!$B$2:$C$8,2,FALSE)</f>
        <v>金融工程</v>
      </c>
      <c r="D1149">
        <v>8.9</v>
      </c>
      <c r="E1149">
        <v>7.6</v>
      </c>
      <c r="F1149">
        <v>7</v>
      </c>
      <c r="G1149">
        <v>7.5</v>
      </c>
      <c r="H1149">
        <v>6.9</v>
      </c>
      <c r="I1149">
        <v>6.8</v>
      </c>
      <c r="J1149">
        <v>8.3</v>
      </c>
      <c r="K1149">
        <v>6.3</v>
      </c>
      <c r="L1149">
        <v>7.1</v>
      </c>
      <c r="M1149">
        <v>7.8</v>
      </c>
      <c r="N1149">
        <f t="shared" si="17"/>
        <v>74.2</v>
      </c>
    </row>
    <row r="1150" spans="1:14">
      <c r="A1150">
        <v>20196261</v>
      </c>
      <c r="B1150" t="s">
        <v>17</v>
      </c>
      <c r="C1150" t="str">
        <f>VLOOKUP(B1150,专业代码!$B$2:$C$8,2,FALSE)</f>
        <v>金融工程</v>
      </c>
      <c r="D1150">
        <v>7.8</v>
      </c>
      <c r="E1150">
        <v>8.3</v>
      </c>
      <c r="F1150">
        <v>8.1</v>
      </c>
      <c r="G1150">
        <v>8.4</v>
      </c>
      <c r="H1150">
        <v>6.8</v>
      </c>
      <c r="I1150">
        <v>7.6</v>
      </c>
      <c r="J1150">
        <v>6.7</v>
      </c>
      <c r="K1150">
        <v>6.8</v>
      </c>
      <c r="L1150">
        <v>7.4</v>
      </c>
      <c r="M1150">
        <v>7.3</v>
      </c>
      <c r="N1150">
        <f t="shared" si="17"/>
        <v>75.2</v>
      </c>
    </row>
    <row r="1151" spans="1:14">
      <c r="A1151">
        <v>20197957</v>
      </c>
      <c r="B1151" t="s">
        <v>17</v>
      </c>
      <c r="C1151" t="str">
        <f>VLOOKUP(B1151,专业代码!$B$2:$C$8,2,FALSE)</f>
        <v>金融工程</v>
      </c>
      <c r="D1151">
        <v>8.4</v>
      </c>
      <c r="E1151">
        <v>6.5</v>
      </c>
      <c r="F1151">
        <v>8.3</v>
      </c>
      <c r="G1151">
        <v>8.2</v>
      </c>
      <c r="H1151">
        <v>8.3</v>
      </c>
      <c r="I1151">
        <v>8.4</v>
      </c>
      <c r="J1151">
        <v>6.7</v>
      </c>
      <c r="K1151">
        <v>8.3</v>
      </c>
      <c r="L1151">
        <v>5.9</v>
      </c>
      <c r="M1151">
        <v>6.1</v>
      </c>
      <c r="N1151">
        <f t="shared" si="17"/>
        <v>75.1</v>
      </c>
    </row>
    <row r="1152" spans="1:14">
      <c r="A1152">
        <v>20198146</v>
      </c>
      <c r="B1152" t="s">
        <v>17</v>
      </c>
      <c r="C1152" t="str">
        <f>VLOOKUP(B1152,专业代码!$B$2:$C$8,2,FALSE)</f>
        <v>金融工程</v>
      </c>
      <c r="D1152">
        <v>7.9</v>
      </c>
      <c r="E1152">
        <v>7.9</v>
      </c>
      <c r="F1152">
        <v>7.8</v>
      </c>
      <c r="G1152">
        <v>7.3</v>
      </c>
      <c r="H1152">
        <v>7.1</v>
      </c>
      <c r="I1152">
        <v>8.5</v>
      </c>
      <c r="J1152">
        <v>6</v>
      </c>
      <c r="K1152">
        <v>8.1</v>
      </c>
      <c r="L1152">
        <v>7.6</v>
      </c>
      <c r="M1152">
        <v>4.8</v>
      </c>
      <c r="N1152">
        <f t="shared" si="17"/>
        <v>73</v>
      </c>
    </row>
    <row r="1153" spans="1:14">
      <c r="A1153">
        <v>20198968</v>
      </c>
      <c r="B1153" t="s">
        <v>17</v>
      </c>
      <c r="C1153" t="str">
        <f>VLOOKUP(B1153,专业代码!$B$2:$C$8,2,FALSE)</f>
        <v>金融工程</v>
      </c>
      <c r="D1153">
        <v>7.8</v>
      </c>
      <c r="E1153">
        <v>8.6</v>
      </c>
      <c r="F1153">
        <v>8.4</v>
      </c>
      <c r="G1153">
        <v>7.4</v>
      </c>
      <c r="H1153">
        <v>8.4</v>
      </c>
      <c r="I1153">
        <v>7.3</v>
      </c>
      <c r="J1153">
        <v>8</v>
      </c>
      <c r="K1153">
        <v>7.9</v>
      </c>
      <c r="L1153">
        <v>6.2</v>
      </c>
      <c r="M1153">
        <v>6.9</v>
      </c>
      <c r="N1153">
        <f t="shared" si="17"/>
        <v>76.9</v>
      </c>
    </row>
    <row r="1154" spans="1:14">
      <c r="A1154">
        <v>20191608</v>
      </c>
      <c r="B1154" t="s">
        <v>17</v>
      </c>
      <c r="C1154" t="str">
        <f>VLOOKUP(B1154,专业代码!$B$2:$C$8,2,FALSE)</f>
        <v>金融工程</v>
      </c>
      <c r="D1154">
        <v>8</v>
      </c>
      <c r="E1154">
        <v>9.4</v>
      </c>
      <c r="F1154">
        <v>8.1</v>
      </c>
      <c r="G1154">
        <v>8.2</v>
      </c>
      <c r="H1154">
        <v>7.6</v>
      </c>
      <c r="I1154">
        <v>8.1</v>
      </c>
      <c r="J1154">
        <v>7</v>
      </c>
      <c r="K1154">
        <v>6.9</v>
      </c>
      <c r="L1154">
        <v>5.8</v>
      </c>
      <c r="M1154">
        <v>8.4</v>
      </c>
      <c r="N1154">
        <f t="shared" si="17"/>
        <v>77.5</v>
      </c>
    </row>
    <row r="1155" spans="1:14">
      <c r="A1155">
        <v>20191730</v>
      </c>
      <c r="B1155" t="s">
        <v>17</v>
      </c>
      <c r="C1155" t="str">
        <f>VLOOKUP(B1155,专业代码!$B$2:$C$8,2,FALSE)</f>
        <v>金融工程</v>
      </c>
      <c r="D1155">
        <v>8.2</v>
      </c>
      <c r="E1155">
        <v>8.9</v>
      </c>
      <c r="F1155">
        <v>8.8</v>
      </c>
      <c r="G1155">
        <v>8</v>
      </c>
      <c r="H1155">
        <v>6.9</v>
      </c>
      <c r="I1155">
        <v>6.6</v>
      </c>
      <c r="J1155">
        <v>7.8</v>
      </c>
      <c r="K1155">
        <v>7.8</v>
      </c>
      <c r="L1155">
        <v>6.9</v>
      </c>
      <c r="M1155">
        <v>6.5</v>
      </c>
      <c r="N1155">
        <f t="shared" ref="N1155:N1218" si="18">SUM(D1155:M1155)</f>
        <v>76.4</v>
      </c>
    </row>
    <row r="1156" spans="1:14">
      <c r="A1156">
        <v>20193642</v>
      </c>
      <c r="B1156" t="s">
        <v>17</v>
      </c>
      <c r="C1156" t="str">
        <f>VLOOKUP(B1156,专业代码!$B$2:$C$8,2,FALSE)</f>
        <v>金融工程</v>
      </c>
      <c r="D1156">
        <v>8.3</v>
      </c>
      <c r="E1156">
        <v>8</v>
      </c>
      <c r="F1156">
        <v>7.8</v>
      </c>
      <c r="G1156">
        <v>7.9</v>
      </c>
      <c r="H1156">
        <v>8.1</v>
      </c>
      <c r="I1156">
        <v>7.4</v>
      </c>
      <c r="J1156">
        <v>7.5</v>
      </c>
      <c r="K1156">
        <v>7.2</v>
      </c>
      <c r="L1156">
        <v>7.2</v>
      </c>
      <c r="M1156">
        <v>7.7</v>
      </c>
      <c r="N1156">
        <f t="shared" si="18"/>
        <v>77.1</v>
      </c>
    </row>
    <row r="1157" spans="1:14">
      <c r="A1157">
        <v>20195606</v>
      </c>
      <c r="B1157" t="s">
        <v>17</v>
      </c>
      <c r="C1157" t="str">
        <f>VLOOKUP(B1157,专业代码!$B$2:$C$8,2,FALSE)</f>
        <v>金融工程</v>
      </c>
      <c r="D1157">
        <v>8.2</v>
      </c>
      <c r="E1157">
        <v>8</v>
      </c>
      <c r="F1157">
        <v>8.3</v>
      </c>
      <c r="G1157">
        <v>8.2</v>
      </c>
      <c r="H1157">
        <v>7.7</v>
      </c>
      <c r="I1157">
        <v>7.5</v>
      </c>
      <c r="J1157">
        <v>7.2</v>
      </c>
      <c r="K1157">
        <v>8.4</v>
      </c>
      <c r="L1157">
        <v>7.7</v>
      </c>
      <c r="M1157">
        <v>6.2</v>
      </c>
      <c r="N1157">
        <f t="shared" si="18"/>
        <v>77.4</v>
      </c>
    </row>
    <row r="1158" spans="1:14">
      <c r="A1158">
        <v>20195640</v>
      </c>
      <c r="B1158" t="s">
        <v>17</v>
      </c>
      <c r="C1158" t="str">
        <f>VLOOKUP(B1158,专业代码!$B$2:$C$8,2,FALSE)</f>
        <v>金融工程</v>
      </c>
      <c r="D1158">
        <v>8.2</v>
      </c>
      <c r="E1158">
        <v>8.9</v>
      </c>
      <c r="F1158">
        <v>7.9</v>
      </c>
      <c r="G1158">
        <v>7.3</v>
      </c>
      <c r="H1158">
        <v>7.3</v>
      </c>
      <c r="I1158">
        <v>8.7</v>
      </c>
      <c r="J1158">
        <v>5.9</v>
      </c>
      <c r="K1158">
        <v>8.3</v>
      </c>
      <c r="L1158">
        <v>6.2</v>
      </c>
      <c r="M1158">
        <v>8</v>
      </c>
      <c r="N1158">
        <f t="shared" si="18"/>
        <v>76.7</v>
      </c>
    </row>
    <row r="1159" spans="1:14">
      <c r="A1159">
        <v>20195895</v>
      </c>
      <c r="B1159" t="s">
        <v>17</v>
      </c>
      <c r="C1159" t="str">
        <f>VLOOKUP(B1159,专业代码!$B$2:$C$8,2,FALSE)</f>
        <v>金融工程</v>
      </c>
      <c r="D1159">
        <v>8.7</v>
      </c>
      <c r="E1159">
        <v>8.6</v>
      </c>
      <c r="F1159">
        <v>8.4</v>
      </c>
      <c r="G1159">
        <v>8.4</v>
      </c>
      <c r="H1159">
        <v>7.9</v>
      </c>
      <c r="I1159">
        <v>7.3</v>
      </c>
      <c r="J1159">
        <v>6.1</v>
      </c>
      <c r="K1159">
        <v>7.4</v>
      </c>
      <c r="L1159">
        <v>8.7</v>
      </c>
      <c r="M1159">
        <v>5.1</v>
      </c>
      <c r="N1159">
        <f t="shared" si="18"/>
        <v>76.6</v>
      </c>
    </row>
    <row r="1160" spans="1:14">
      <c r="A1160">
        <v>20196864</v>
      </c>
      <c r="B1160" t="s">
        <v>17</v>
      </c>
      <c r="C1160" t="str">
        <f>VLOOKUP(B1160,专业代码!$B$2:$C$8,2,FALSE)</f>
        <v>金融工程</v>
      </c>
      <c r="D1160">
        <v>9.3</v>
      </c>
      <c r="E1160">
        <v>7.8</v>
      </c>
      <c r="F1160">
        <v>8.4</v>
      </c>
      <c r="G1160">
        <v>8.2</v>
      </c>
      <c r="H1160">
        <v>8.7</v>
      </c>
      <c r="I1160">
        <v>7.1</v>
      </c>
      <c r="J1160">
        <v>9.6</v>
      </c>
      <c r="K1160">
        <v>9</v>
      </c>
      <c r="L1160">
        <v>7.5</v>
      </c>
      <c r="M1160">
        <v>8.6</v>
      </c>
      <c r="N1160">
        <f t="shared" si="18"/>
        <v>84.2</v>
      </c>
    </row>
    <row r="1161" spans="1:14">
      <c r="A1161">
        <v>20197146</v>
      </c>
      <c r="B1161" t="s">
        <v>17</v>
      </c>
      <c r="C1161" t="str">
        <f>VLOOKUP(B1161,专业代码!$B$2:$C$8,2,FALSE)</f>
        <v>金融工程</v>
      </c>
      <c r="D1161">
        <v>8.4</v>
      </c>
      <c r="E1161">
        <v>8.6</v>
      </c>
      <c r="F1161">
        <v>8.2</v>
      </c>
      <c r="G1161">
        <v>7.6</v>
      </c>
      <c r="H1161">
        <v>9.1</v>
      </c>
      <c r="I1161">
        <v>7.6</v>
      </c>
      <c r="J1161">
        <v>6.7</v>
      </c>
      <c r="K1161">
        <v>6.6</v>
      </c>
      <c r="L1161">
        <v>7.4</v>
      </c>
      <c r="M1161">
        <v>6.3</v>
      </c>
      <c r="N1161">
        <f t="shared" si="18"/>
        <v>76.5</v>
      </c>
    </row>
    <row r="1162" spans="1:14">
      <c r="A1162">
        <v>20197949</v>
      </c>
      <c r="B1162" t="s">
        <v>17</v>
      </c>
      <c r="C1162" t="str">
        <f>VLOOKUP(B1162,专业代码!$B$2:$C$8,2,FALSE)</f>
        <v>金融工程</v>
      </c>
      <c r="D1162">
        <v>9.9</v>
      </c>
      <c r="E1162">
        <v>8.6</v>
      </c>
      <c r="F1162">
        <v>8</v>
      </c>
      <c r="G1162">
        <v>7.9</v>
      </c>
      <c r="H1162">
        <v>6.6</v>
      </c>
      <c r="I1162">
        <v>6.5</v>
      </c>
      <c r="J1162">
        <v>5.8</v>
      </c>
      <c r="K1162">
        <v>7</v>
      </c>
      <c r="L1162">
        <v>6.9</v>
      </c>
      <c r="M1162">
        <v>5.4</v>
      </c>
      <c r="N1162">
        <f t="shared" si="18"/>
        <v>72.6</v>
      </c>
    </row>
    <row r="1163" spans="1:14">
      <c r="A1163">
        <v>20198203</v>
      </c>
      <c r="B1163" t="s">
        <v>17</v>
      </c>
      <c r="C1163" t="str">
        <f>VLOOKUP(B1163,专业代码!$B$2:$C$8,2,FALSE)</f>
        <v>金融工程</v>
      </c>
      <c r="D1163">
        <v>9.4</v>
      </c>
      <c r="E1163">
        <v>9.2</v>
      </c>
      <c r="F1163">
        <v>9.4</v>
      </c>
      <c r="G1163">
        <v>7.8</v>
      </c>
      <c r="H1163">
        <v>8.2</v>
      </c>
      <c r="I1163">
        <v>7.1</v>
      </c>
      <c r="J1163">
        <v>7.3</v>
      </c>
      <c r="K1163">
        <v>7.4</v>
      </c>
      <c r="L1163">
        <v>8.2</v>
      </c>
      <c r="M1163">
        <v>7.7</v>
      </c>
      <c r="N1163">
        <f t="shared" si="18"/>
        <v>81.7</v>
      </c>
    </row>
    <row r="1164" spans="1:14">
      <c r="A1164">
        <v>20199045</v>
      </c>
      <c r="B1164" t="s">
        <v>17</v>
      </c>
      <c r="C1164" t="str">
        <f>VLOOKUP(B1164,专业代码!$B$2:$C$8,2,FALSE)</f>
        <v>金融工程</v>
      </c>
      <c r="D1164">
        <v>8.9</v>
      </c>
      <c r="E1164">
        <v>9.3</v>
      </c>
      <c r="F1164">
        <v>7.2</v>
      </c>
      <c r="G1164">
        <v>7.8</v>
      </c>
      <c r="H1164">
        <v>8.8</v>
      </c>
      <c r="I1164">
        <v>7.7</v>
      </c>
      <c r="J1164">
        <v>6.8</v>
      </c>
      <c r="K1164">
        <v>7</v>
      </c>
      <c r="L1164">
        <v>8.1</v>
      </c>
      <c r="M1164">
        <v>7.2</v>
      </c>
      <c r="N1164">
        <f t="shared" si="18"/>
        <v>78.8</v>
      </c>
    </row>
    <row r="1165" spans="1:14">
      <c r="A1165">
        <v>20191767</v>
      </c>
      <c r="B1165" t="s">
        <v>17</v>
      </c>
      <c r="C1165" t="str">
        <f>VLOOKUP(B1165,专业代码!$B$2:$C$8,2,FALSE)</f>
        <v>金融工程</v>
      </c>
      <c r="D1165">
        <v>8.5</v>
      </c>
      <c r="E1165">
        <v>8.7</v>
      </c>
      <c r="F1165">
        <v>8.1</v>
      </c>
      <c r="G1165">
        <v>8.8</v>
      </c>
      <c r="H1165">
        <v>8.4</v>
      </c>
      <c r="I1165">
        <v>8.4</v>
      </c>
      <c r="J1165">
        <v>7.3</v>
      </c>
      <c r="K1165">
        <v>8</v>
      </c>
      <c r="L1165">
        <v>6.2</v>
      </c>
      <c r="M1165">
        <v>8.3</v>
      </c>
      <c r="N1165">
        <f t="shared" si="18"/>
        <v>80.7</v>
      </c>
    </row>
    <row r="1166" spans="1:14">
      <c r="A1166">
        <v>20192518</v>
      </c>
      <c r="B1166" t="s">
        <v>17</v>
      </c>
      <c r="C1166" t="str">
        <f>VLOOKUP(B1166,专业代码!$B$2:$C$8,2,FALSE)</f>
        <v>金融工程</v>
      </c>
      <c r="D1166">
        <v>8.8</v>
      </c>
      <c r="E1166">
        <v>8.1</v>
      </c>
      <c r="F1166">
        <v>8.8</v>
      </c>
      <c r="G1166">
        <v>8.7</v>
      </c>
      <c r="H1166">
        <v>7.1</v>
      </c>
      <c r="I1166">
        <v>8.6</v>
      </c>
      <c r="J1166">
        <v>7.2</v>
      </c>
      <c r="K1166">
        <v>7.9</v>
      </c>
      <c r="L1166">
        <v>6.2</v>
      </c>
      <c r="M1166">
        <v>4.1</v>
      </c>
      <c r="N1166">
        <f t="shared" si="18"/>
        <v>75.5</v>
      </c>
    </row>
    <row r="1167" spans="1:14">
      <c r="A1167">
        <v>20193431</v>
      </c>
      <c r="B1167" t="s">
        <v>17</v>
      </c>
      <c r="C1167" t="str">
        <f>VLOOKUP(B1167,专业代码!$B$2:$C$8,2,FALSE)</f>
        <v>金融工程</v>
      </c>
      <c r="D1167">
        <v>8.1</v>
      </c>
      <c r="E1167">
        <v>7.8</v>
      </c>
      <c r="F1167">
        <v>8.2</v>
      </c>
      <c r="G1167">
        <v>7.8</v>
      </c>
      <c r="H1167">
        <v>7.7</v>
      </c>
      <c r="I1167">
        <v>7.2</v>
      </c>
      <c r="J1167">
        <v>6.6</v>
      </c>
      <c r="K1167">
        <v>6</v>
      </c>
      <c r="L1167">
        <v>6.1</v>
      </c>
      <c r="M1167">
        <v>6.9</v>
      </c>
      <c r="N1167">
        <f t="shared" si="18"/>
        <v>72.4</v>
      </c>
    </row>
    <row r="1168" spans="1:14">
      <c r="A1168">
        <v>20194656</v>
      </c>
      <c r="B1168" t="s">
        <v>17</v>
      </c>
      <c r="C1168" t="str">
        <f>VLOOKUP(B1168,专业代码!$B$2:$C$8,2,FALSE)</f>
        <v>金融工程</v>
      </c>
      <c r="D1168">
        <v>8.9</v>
      </c>
      <c r="E1168">
        <v>7.1</v>
      </c>
      <c r="F1168">
        <v>8.4</v>
      </c>
      <c r="G1168">
        <v>8.4</v>
      </c>
      <c r="H1168">
        <v>7.3</v>
      </c>
      <c r="I1168">
        <v>8.6</v>
      </c>
      <c r="J1168">
        <v>8.8</v>
      </c>
      <c r="K1168">
        <v>7.5</v>
      </c>
      <c r="L1168">
        <v>6.4</v>
      </c>
      <c r="M1168">
        <v>5.5</v>
      </c>
      <c r="N1168">
        <f t="shared" si="18"/>
        <v>76.9</v>
      </c>
    </row>
    <row r="1169" spans="1:14">
      <c r="A1169">
        <v>20199032</v>
      </c>
      <c r="B1169" t="s">
        <v>17</v>
      </c>
      <c r="C1169" t="str">
        <f>VLOOKUP(B1169,专业代码!$B$2:$C$8,2,FALSE)</f>
        <v>金融工程</v>
      </c>
      <c r="D1169">
        <v>8.6</v>
      </c>
      <c r="E1169">
        <v>8.7</v>
      </c>
      <c r="F1169">
        <v>7.5</v>
      </c>
      <c r="G1169">
        <v>8</v>
      </c>
      <c r="H1169">
        <v>8</v>
      </c>
      <c r="I1169">
        <v>6.4</v>
      </c>
      <c r="J1169">
        <v>8.4</v>
      </c>
      <c r="K1169">
        <v>6.5</v>
      </c>
      <c r="L1169">
        <v>7.8</v>
      </c>
      <c r="M1169">
        <v>5</v>
      </c>
      <c r="N1169">
        <f t="shared" si="18"/>
        <v>74.9</v>
      </c>
    </row>
    <row r="1170" spans="1:14">
      <c r="A1170">
        <v>20199823</v>
      </c>
      <c r="B1170" t="s">
        <v>17</v>
      </c>
      <c r="C1170" t="str">
        <f>VLOOKUP(B1170,专业代码!$B$2:$C$8,2,FALSE)</f>
        <v>金融工程</v>
      </c>
      <c r="D1170">
        <v>8.6</v>
      </c>
      <c r="E1170">
        <v>8.5</v>
      </c>
      <c r="F1170">
        <v>7.4</v>
      </c>
      <c r="G1170">
        <v>7.5</v>
      </c>
      <c r="H1170">
        <v>6.9</v>
      </c>
      <c r="I1170">
        <v>9.1</v>
      </c>
      <c r="J1170">
        <v>5.7</v>
      </c>
      <c r="K1170">
        <v>7.9</v>
      </c>
      <c r="L1170">
        <v>8.3</v>
      </c>
      <c r="M1170">
        <v>5.1</v>
      </c>
      <c r="N1170">
        <f t="shared" si="18"/>
        <v>75</v>
      </c>
    </row>
    <row r="1171" spans="1:14">
      <c r="A1171">
        <v>20191735</v>
      </c>
      <c r="B1171" t="s">
        <v>17</v>
      </c>
      <c r="C1171" t="str">
        <f>VLOOKUP(B1171,专业代码!$B$2:$C$8,2,FALSE)</f>
        <v>金融工程</v>
      </c>
      <c r="D1171">
        <v>9.3</v>
      </c>
      <c r="E1171">
        <v>7.5</v>
      </c>
      <c r="F1171">
        <v>8.1</v>
      </c>
      <c r="G1171">
        <v>7</v>
      </c>
      <c r="H1171">
        <v>6.5</v>
      </c>
      <c r="I1171">
        <v>7.9</v>
      </c>
      <c r="J1171">
        <v>7.1</v>
      </c>
      <c r="K1171">
        <v>7.2</v>
      </c>
      <c r="L1171">
        <v>4</v>
      </c>
      <c r="M1171">
        <v>7.1</v>
      </c>
      <c r="N1171">
        <f t="shared" si="18"/>
        <v>71.7</v>
      </c>
    </row>
    <row r="1172" spans="1:14">
      <c r="A1172">
        <v>20192991</v>
      </c>
      <c r="B1172" t="s">
        <v>17</v>
      </c>
      <c r="C1172" t="str">
        <f>VLOOKUP(B1172,专业代码!$B$2:$C$8,2,FALSE)</f>
        <v>金融工程</v>
      </c>
      <c r="D1172">
        <v>8</v>
      </c>
      <c r="E1172">
        <v>8.6</v>
      </c>
      <c r="F1172">
        <v>8.7</v>
      </c>
      <c r="G1172">
        <v>7.9</v>
      </c>
      <c r="H1172">
        <v>6.7</v>
      </c>
      <c r="I1172">
        <v>8.5</v>
      </c>
      <c r="J1172">
        <v>6.7</v>
      </c>
      <c r="K1172">
        <v>6.9</v>
      </c>
      <c r="L1172">
        <v>8.5</v>
      </c>
      <c r="M1172">
        <v>5.1</v>
      </c>
      <c r="N1172">
        <f t="shared" si="18"/>
        <v>75.6</v>
      </c>
    </row>
    <row r="1173" spans="1:14">
      <c r="A1173">
        <v>20194571</v>
      </c>
      <c r="B1173" t="s">
        <v>17</v>
      </c>
      <c r="C1173" t="str">
        <f>VLOOKUP(B1173,专业代码!$B$2:$C$8,2,FALSE)</f>
        <v>金融工程</v>
      </c>
      <c r="D1173">
        <v>9.1</v>
      </c>
      <c r="E1173">
        <v>7.6</v>
      </c>
      <c r="F1173">
        <v>7.8</v>
      </c>
      <c r="G1173">
        <v>7.9</v>
      </c>
      <c r="H1173">
        <v>6.5</v>
      </c>
      <c r="I1173">
        <v>7</v>
      </c>
      <c r="J1173">
        <v>7.4</v>
      </c>
      <c r="K1173">
        <v>7.3</v>
      </c>
      <c r="L1173">
        <v>7.5</v>
      </c>
      <c r="M1173">
        <v>6.3</v>
      </c>
      <c r="N1173">
        <f t="shared" si="18"/>
        <v>74.4</v>
      </c>
    </row>
    <row r="1174" spans="1:14">
      <c r="A1174">
        <v>20196102</v>
      </c>
      <c r="B1174" t="s">
        <v>17</v>
      </c>
      <c r="C1174" t="str">
        <f>VLOOKUP(B1174,专业代码!$B$2:$C$8,2,FALSE)</f>
        <v>金融工程</v>
      </c>
      <c r="D1174">
        <v>9.3</v>
      </c>
      <c r="E1174">
        <v>8.8</v>
      </c>
      <c r="F1174">
        <v>7.9</v>
      </c>
      <c r="G1174">
        <v>7</v>
      </c>
      <c r="H1174">
        <v>8.8</v>
      </c>
      <c r="I1174">
        <v>7</v>
      </c>
      <c r="J1174">
        <v>7.8</v>
      </c>
      <c r="K1174">
        <v>7.9</v>
      </c>
      <c r="L1174">
        <v>5.8</v>
      </c>
      <c r="M1174">
        <v>6.8</v>
      </c>
      <c r="N1174">
        <f t="shared" si="18"/>
        <v>77.1</v>
      </c>
    </row>
    <row r="1175" spans="1:14">
      <c r="A1175">
        <v>20196213</v>
      </c>
      <c r="B1175" t="s">
        <v>17</v>
      </c>
      <c r="C1175" t="str">
        <f>VLOOKUP(B1175,专业代码!$B$2:$C$8,2,FALSE)</f>
        <v>金融工程</v>
      </c>
      <c r="D1175">
        <v>7.9</v>
      </c>
      <c r="E1175">
        <v>7.9</v>
      </c>
      <c r="F1175">
        <v>7.9</v>
      </c>
      <c r="G1175">
        <v>8.2</v>
      </c>
      <c r="H1175">
        <v>7.7</v>
      </c>
      <c r="I1175">
        <v>7.2</v>
      </c>
      <c r="J1175">
        <v>7.6</v>
      </c>
      <c r="K1175">
        <v>6.9</v>
      </c>
      <c r="L1175">
        <v>4.9</v>
      </c>
      <c r="M1175">
        <v>6.3</v>
      </c>
      <c r="N1175">
        <f t="shared" si="18"/>
        <v>72.5</v>
      </c>
    </row>
    <row r="1176" spans="1:14">
      <c r="A1176">
        <v>20196435</v>
      </c>
      <c r="B1176" t="s">
        <v>17</v>
      </c>
      <c r="C1176" t="str">
        <f>VLOOKUP(B1176,专业代码!$B$2:$C$8,2,FALSE)</f>
        <v>金融工程</v>
      </c>
      <c r="D1176">
        <v>8.6</v>
      </c>
      <c r="E1176">
        <v>8.1</v>
      </c>
      <c r="F1176">
        <v>9.5</v>
      </c>
      <c r="G1176">
        <v>8.6</v>
      </c>
      <c r="H1176">
        <v>7.6</v>
      </c>
      <c r="I1176">
        <v>8.4</v>
      </c>
      <c r="J1176">
        <v>9.2</v>
      </c>
      <c r="K1176">
        <v>5.9</v>
      </c>
      <c r="L1176">
        <v>6.9</v>
      </c>
      <c r="M1176">
        <v>6.8</v>
      </c>
      <c r="N1176">
        <f t="shared" si="18"/>
        <v>79.6</v>
      </c>
    </row>
    <row r="1177" spans="1:14">
      <c r="A1177">
        <v>20198463</v>
      </c>
      <c r="B1177" t="s">
        <v>17</v>
      </c>
      <c r="C1177" t="str">
        <f>VLOOKUP(B1177,专业代码!$B$2:$C$8,2,FALSE)</f>
        <v>金融工程</v>
      </c>
      <c r="D1177">
        <v>9.1</v>
      </c>
      <c r="E1177">
        <v>9.1</v>
      </c>
      <c r="F1177">
        <v>7.8</v>
      </c>
      <c r="G1177">
        <v>8.4</v>
      </c>
      <c r="H1177">
        <v>8.1</v>
      </c>
      <c r="I1177">
        <v>6.1</v>
      </c>
      <c r="J1177">
        <v>7.5</v>
      </c>
      <c r="K1177">
        <v>6.6</v>
      </c>
      <c r="L1177">
        <v>7.3</v>
      </c>
      <c r="M1177">
        <v>6</v>
      </c>
      <c r="N1177">
        <f t="shared" si="18"/>
        <v>76</v>
      </c>
    </row>
    <row r="1178" spans="1:14">
      <c r="A1178">
        <v>20199159</v>
      </c>
      <c r="B1178" t="s">
        <v>17</v>
      </c>
      <c r="C1178" t="str">
        <f>VLOOKUP(B1178,专业代码!$B$2:$C$8,2,FALSE)</f>
        <v>金融工程</v>
      </c>
      <c r="D1178">
        <v>8.1</v>
      </c>
      <c r="E1178">
        <v>7.8</v>
      </c>
      <c r="F1178">
        <v>6.8</v>
      </c>
      <c r="G1178">
        <v>6.5</v>
      </c>
      <c r="H1178">
        <v>9.4</v>
      </c>
      <c r="I1178">
        <v>8.4</v>
      </c>
      <c r="J1178">
        <v>5.5</v>
      </c>
      <c r="K1178">
        <v>7.2</v>
      </c>
      <c r="L1178">
        <v>7.2</v>
      </c>
      <c r="M1178">
        <v>8</v>
      </c>
      <c r="N1178">
        <f t="shared" si="18"/>
        <v>74.9</v>
      </c>
    </row>
    <row r="1179" spans="1:14">
      <c r="A1179">
        <v>20199218</v>
      </c>
      <c r="B1179" t="s">
        <v>17</v>
      </c>
      <c r="C1179" t="str">
        <f>VLOOKUP(B1179,专业代码!$B$2:$C$8,2,FALSE)</f>
        <v>金融工程</v>
      </c>
      <c r="D1179">
        <v>8.1</v>
      </c>
      <c r="E1179">
        <v>8.3</v>
      </c>
      <c r="F1179">
        <v>6.6</v>
      </c>
      <c r="G1179">
        <v>6.9</v>
      </c>
      <c r="H1179">
        <v>7.2</v>
      </c>
      <c r="I1179">
        <v>7.5</v>
      </c>
      <c r="J1179">
        <v>8.5</v>
      </c>
      <c r="K1179">
        <v>7.4</v>
      </c>
      <c r="L1179">
        <v>6.4</v>
      </c>
      <c r="M1179">
        <v>8.5</v>
      </c>
      <c r="N1179">
        <f t="shared" si="18"/>
        <v>75.4</v>
      </c>
    </row>
    <row r="1180" spans="1:14">
      <c r="A1180">
        <v>20199955</v>
      </c>
      <c r="B1180" t="s">
        <v>17</v>
      </c>
      <c r="C1180" t="str">
        <f>VLOOKUP(B1180,专业代码!$B$2:$C$8,2,FALSE)</f>
        <v>金融工程</v>
      </c>
      <c r="D1180">
        <v>7.9</v>
      </c>
      <c r="E1180">
        <v>8.5</v>
      </c>
      <c r="F1180">
        <v>7.4</v>
      </c>
      <c r="G1180">
        <v>7.2</v>
      </c>
      <c r="H1180">
        <v>8.5</v>
      </c>
      <c r="I1180">
        <v>7.3</v>
      </c>
      <c r="J1180">
        <v>8.7</v>
      </c>
      <c r="K1180">
        <v>6.9</v>
      </c>
      <c r="L1180">
        <v>7.6</v>
      </c>
      <c r="M1180">
        <v>6.7</v>
      </c>
      <c r="N1180">
        <f t="shared" si="18"/>
        <v>76.7</v>
      </c>
    </row>
    <row r="1181" spans="1:14">
      <c r="A1181">
        <v>20191258</v>
      </c>
      <c r="B1181" t="s">
        <v>17</v>
      </c>
      <c r="C1181" t="str">
        <f>VLOOKUP(B1181,专业代码!$B$2:$C$8,2,FALSE)</f>
        <v>金融工程</v>
      </c>
      <c r="D1181">
        <v>8.7</v>
      </c>
      <c r="E1181">
        <v>8.3</v>
      </c>
      <c r="F1181">
        <v>7.5</v>
      </c>
      <c r="G1181">
        <v>9.2</v>
      </c>
      <c r="H1181">
        <v>7.4</v>
      </c>
      <c r="I1181">
        <v>6.8</v>
      </c>
      <c r="J1181">
        <v>6.2</v>
      </c>
      <c r="K1181">
        <v>6</v>
      </c>
      <c r="L1181">
        <v>5.4</v>
      </c>
      <c r="M1181">
        <v>7.9</v>
      </c>
      <c r="N1181">
        <f t="shared" si="18"/>
        <v>73.4</v>
      </c>
    </row>
    <row r="1182" spans="1:14">
      <c r="A1182">
        <v>20191892</v>
      </c>
      <c r="B1182" t="s">
        <v>17</v>
      </c>
      <c r="C1182" t="str">
        <f>VLOOKUP(B1182,专业代码!$B$2:$C$8,2,FALSE)</f>
        <v>金融工程</v>
      </c>
      <c r="D1182">
        <v>7.9</v>
      </c>
      <c r="E1182">
        <v>8.7</v>
      </c>
      <c r="F1182">
        <v>8.2</v>
      </c>
      <c r="G1182">
        <v>7.5</v>
      </c>
      <c r="H1182">
        <v>7.8</v>
      </c>
      <c r="I1182">
        <v>8.1</v>
      </c>
      <c r="J1182">
        <v>7.2</v>
      </c>
      <c r="K1182">
        <v>7.8</v>
      </c>
      <c r="L1182">
        <v>7.2</v>
      </c>
      <c r="M1182">
        <v>4</v>
      </c>
      <c r="N1182">
        <f t="shared" si="18"/>
        <v>74.4</v>
      </c>
    </row>
    <row r="1183" spans="1:14">
      <c r="A1183">
        <v>20192563</v>
      </c>
      <c r="B1183" t="s">
        <v>17</v>
      </c>
      <c r="C1183" t="str">
        <f>VLOOKUP(B1183,专业代码!$B$2:$C$8,2,FALSE)</f>
        <v>金融工程</v>
      </c>
      <c r="D1183">
        <v>8.2</v>
      </c>
      <c r="E1183">
        <v>8</v>
      </c>
      <c r="F1183">
        <v>7.7</v>
      </c>
      <c r="G1183">
        <v>9.1</v>
      </c>
      <c r="H1183">
        <v>8.1</v>
      </c>
      <c r="I1183">
        <v>8.8</v>
      </c>
      <c r="J1183">
        <v>7.3</v>
      </c>
      <c r="K1183">
        <v>8.6</v>
      </c>
      <c r="L1183">
        <v>7.3</v>
      </c>
      <c r="M1183">
        <v>3.9</v>
      </c>
      <c r="N1183">
        <f t="shared" si="18"/>
        <v>77</v>
      </c>
    </row>
    <row r="1184" spans="1:14">
      <c r="A1184">
        <v>20192979</v>
      </c>
      <c r="B1184" t="s">
        <v>17</v>
      </c>
      <c r="C1184" t="str">
        <f>VLOOKUP(B1184,专业代码!$B$2:$C$8,2,FALSE)</f>
        <v>金融工程</v>
      </c>
      <c r="D1184">
        <v>8.6</v>
      </c>
      <c r="E1184">
        <v>7.1</v>
      </c>
      <c r="F1184">
        <v>8.2</v>
      </c>
      <c r="G1184">
        <v>7.1</v>
      </c>
      <c r="H1184">
        <v>7.1</v>
      </c>
      <c r="I1184">
        <v>8.6</v>
      </c>
      <c r="J1184">
        <v>7.3</v>
      </c>
      <c r="K1184">
        <v>6</v>
      </c>
      <c r="L1184">
        <v>7</v>
      </c>
      <c r="M1184">
        <v>5.2</v>
      </c>
      <c r="N1184">
        <f t="shared" si="18"/>
        <v>72.2</v>
      </c>
    </row>
    <row r="1185" spans="1:14">
      <c r="A1185">
        <v>20194441</v>
      </c>
      <c r="B1185" t="s">
        <v>17</v>
      </c>
      <c r="C1185" t="str">
        <f>VLOOKUP(B1185,专业代码!$B$2:$C$8,2,FALSE)</f>
        <v>金融工程</v>
      </c>
      <c r="D1185">
        <v>8.1</v>
      </c>
      <c r="E1185">
        <v>8.8</v>
      </c>
      <c r="F1185">
        <v>7.6</v>
      </c>
      <c r="G1185">
        <v>8.3</v>
      </c>
      <c r="H1185">
        <v>7.6</v>
      </c>
      <c r="I1185">
        <v>7</v>
      </c>
      <c r="J1185">
        <v>6.6</v>
      </c>
      <c r="K1185">
        <v>6.6</v>
      </c>
      <c r="L1185">
        <v>8</v>
      </c>
      <c r="M1185">
        <v>6.7</v>
      </c>
      <c r="N1185">
        <f t="shared" si="18"/>
        <v>75.3</v>
      </c>
    </row>
    <row r="1186" spans="1:14">
      <c r="A1186">
        <v>20198829</v>
      </c>
      <c r="B1186" t="s">
        <v>17</v>
      </c>
      <c r="C1186" t="str">
        <f>VLOOKUP(B1186,专业代码!$B$2:$C$8,2,FALSE)</f>
        <v>金融工程</v>
      </c>
      <c r="D1186">
        <v>8.6</v>
      </c>
      <c r="E1186">
        <v>7.2</v>
      </c>
      <c r="F1186">
        <v>8.8</v>
      </c>
      <c r="G1186">
        <v>7.9</v>
      </c>
      <c r="H1186">
        <v>7.8</v>
      </c>
      <c r="I1186">
        <v>8</v>
      </c>
      <c r="J1186">
        <v>9</v>
      </c>
      <c r="K1186">
        <v>6.5</v>
      </c>
      <c r="L1186">
        <v>6.7</v>
      </c>
      <c r="M1186">
        <v>4.9</v>
      </c>
      <c r="N1186">
        <f t="shared" si="18"/>
        <v>75.4</v>
      </c>
    </row>
    <row r="1187" spans="1:14">
      <c r="A1187">
        <v>20199563</v>
      </c>
      <c r="B1187" t="s">
        <v>17</v>
      </c>
      <c r="C1187" t="str">
        <f>VLOOKUP(B1187,专业代码!$B$2:$C$8,2,FALSE)</f>
        <v>金融工程</v>
      </c>
      <c r="D1187">
        <v>7.8</v>
      </c>
      <c r="E1187">
        <v>8.2</v>
      </c>
      <c r="F1187">
        <v>7.9</v>
      </c>
      <c r="G1187">
        <v>8.7</v>
      </c>
      <c r="H1187">
        <v>7.5</v>
      </c>
      <c r="I1187">
        <v>7.6</v>
      </c>
      <c r="J1187">
        <v>6.9</v>
      </c>
      <c r="K1187">
        <v>7.4</v>
      </c>
      <c r="L1187">
        <v>8.2</v>
      </c>
      <c r="M1187">
        <v>5.9</v>
      </c>
      <c r="N1187">
        <f t="shared" si="18"/>
        <v>76.1</v>
      </c>
    </row>
    <row r="1188" spans="1:14">
      <c r="A1188">
        <v>20199704</v>
      </c>
      <c r="B1188" t="s">
        <v>17</v>
      </c>
      <c r="C1188" t="str">
        <f>VLOOKUP(B1188,专业代码!$B$2:$C$8,2,FALSE)</f>
        <v>金融工程</v>
      </c>
      <c r="D1188">
        <v>8.6</v>
      </c>
      <c r="E1188">
        <v>7.8</v>
      </c>
      <c r="F1188">
        <v>8.1</v>
      </c>
      <c r="G1188">
        <v>8.6</v>
      </c>
      <c r="H1188">
        <v>7.7</v>
      </c>
      <c r="I1188">
        <v>7.6</v>
      </c>
      <c r="J1188">
        <v>6.9</v>
      </c>
      <c r="K1188">
        <v>7.6</v>
      </c>
      <c r="L1188">
        <v>7.4</v>
      </c>
      <c r="M1188">
        <v>7.6</v>
      </c>
      <c r="N1188">
        <f t="shared" si="18"/>
        <v>77.9</v>
      </c>
    </row>
    <row r="1189" spans="1:14">
      <c r="A1189">
        <v>20192418</v>
      </c>
      <c r="B1189" t="s">
        <v>17</v>
      </c>
      <c r="C1189" t="str">
        <f>VLOOKUP(B1189,专业代码!$B$2:$C$8,2,FALSE)</f>
        <v>金融工程</v>
      </c>
      <c r="D1189">
        <v>8</v>
      </c>
      <c r="E1189">
        <v>8.4</v>
      </c>
      <c r="F1189">
        <v>8</v>
      </c>
      <c r="G1189">
        <v>9.4</v>
      </c>
      <c r="H1189">
        <v>8.3</v>
      </c>
      <c r="I1189">
        <v>7.2</v>
      </c>
      <c r="J1189">
        <v>7.5</v>
      </c>
      <c r="K1189">
        <v>6.7</v>
      </c>
      <c r="L1189">
        <v>7.2</v>
      </c>
      <c r="M1189">
        <v>6.9</v>
      </c>
      <c r="N1189">
        <f t="shared" si="18"/>
        <v>77.6</v>
      </c>
    </row>
    <row r="1190" spans="1:14">
      <c r="A1190">
        <v>20192806</v>
      </c>
      <c r="B1190" t="s">
        <v>17</v>
      </c>
      <c r="C1190" t="str">
        <f>VLOOKUP(B1190,专业代码!$B$2:$C$8,2,FALSE)</f>
        <v>金融工程</v>
      </c>
      <c r="D1190">
        <v>9</v>
      </c>
      <c r="E1190">
        <v>9.7</v>
      </c>
      <c r="F1190">
        <v>7</v>
      </c>
      <c r="G1190">
        <v>7.3</v>
      </c>
      <c r="H1190">
        <v>8.2</v>
      </c>
      <c r="I1190">
        <v>8.1</v>
      </c>
      <c r="J1190">
        <v>6.4</v>
      </c>
      <c r="K1190">
        <v>6.1</v>
      </c>
      <c r="L1190">
        <v>4.6</v>
      </c>
      <c r="M1190">
        <v>8.2</v>
      </c>
      <c r="N1190">
        <f t="shared" si="18"/>
        <v>74.6</v>
      </c>
    </row>
    <row r="1191" spans="1:14">
      <c r="A1191">
        <v>20192921</v>
      </c>
      <c r="B1191" t="s">
        <v>17</v>
      </c>
      <c r="C1191" t="str">
        <f>VLOOKUP(B1191,专业代码!$B$2:$C$8,2,FALSE)</f>
        <v>金融工程</v>
      </c>
      <c r="D1191">
        <v>8.4</v>
      </c>
      <c r="E1191">
        <v>7.9</v>
      </c>
      <c r="F1191">
        <v>8.5</v>
      </c>
      <c r="G1191">
        <v>8.2</v>
      </c>
      <c r="H1191">
        <v>7.2</v>
      </c>
      <c r="I1191">
        <v>7.2</v>
      </c>
      <c r="J1191">
        <v>5.5</v>
      </c>
      <c r="K1191">
        <v>8.6</v>
      </c>
      <c r="L1191">
        <v>5.9</v>
      </c>
      <c r="M1191">
        <v>7.2</v>
      </c>
      <c r="N1191">
        <f t="shared" si="18"/>
        <v>74.6</v>
      </c>
    </row>
    <row r="1192" spans="1:14">
      <c r="A1192">
        <v>20195010</v>
      </c>
      <c r="B1192" t="s">
        <v>17</v>
      </c>
      <c r="C1192" t="str">
        <f>VLOOKUP(B1192,专业代码!$B$2:$C$8,2,FALSE)</f>
        <v>金融工程</v>
      </c>
      <c r="D1192">
        <v>7.5</v>
      </c>
      <c r="E1192">
        <v>7.8</v>
      </c>
      <c r="F1192">
        <v>8.2</v>
      </c>
      <c r="G1192">
        <v>8</v>
      </c>
      <c r="H1192">
        <v>7</v>
      </c>
      <c r="I1192">
        <v>6.8</v>
      </c>
      <c r="J1192">
        <v>7.8</v>
      </c>
      <c r="K1192">
        <v>7.5</v>
      </c>
      <c r="L1192">
        <v>5.2</v>
      </c>
      <c r="M1192">
        <v>4.8</v>
      </c>
      <c r="N1192">
        <f t="shared" si="18"/>
        <v>70.6</v>
      </c>
    </row>
    <row r="1193" spans="1:14">
      <c r="A1193">
        <v>20196229</v>
      </c>
      <c r="B1193" t="s">
        <v>17</v>
      </c>
      <c r="C1193" t="str">
        <f>VLOOKUP(B1193,专业代码!$B$2:$C$8,2,FALSE)</f>
        <v>金融工程</v>
      </c>
      <c r="D1193">
        <v>8.4</v>
      </c>
      <c r="E1193">
        <v>9.1</v>
      </c>
      <c r="F1193">
        <v>8.6</v>
      </c>
      <c r="G1193">
        <v>8.4</v>
      </c>
      <c r="H1193">
        <v>7.5</v>
      </c>
      <c r="I1193">
        <v>6.6</v>
      </c>
      <c r="J1193">
        <v>8.7</v>
      </c>
      <c r="K1193">
        <v>7.4</v>
      </c>
      <c r="L1193">
        <v>9.7</v>
      </c>
      <c r="M1193">
        <v>6.4</v>
      </c>
      <c r="N1193">
        <f t="shared" si="18"/>
        <v>80.8</v>
      </c>
    </row>
    <row r="1194" spans="1:14">
      <c r="A1194">
        <v>20196556</v>
      </c>
      <c r="B1194" t="s">
        <v>17</v>
      </c>
      <c r="C1194" t="str">
        <f>VLOOKUP(B1194,专业代码!$B$2:$C$8,2,FALSE)</f>
        <v>金融工程</v>
      </c>
      <c r="D1194">
        <v>8.5</v>
      </c>
      <c r="E1194">
        <v>7.6</v>
      </c>
      <c r="F1194">
        <v>8.3</v>
      </c>
      <c r="G1194">
        <v>8</v>
      </c>
      <c r="H1194">
        <v>8.5</v>
      </c>
      <c r="I1194">
        <v>7.2</v>
      </c>
      <c r="J1194">
        <v>7.6</v>
      </c>
      <c r="K1194">
        <v>6.8</v>
      </c>
      <c r="L1194">
        <v>4.8</v>
      </c>
      <c r="M1194">
        <v>6.1</v>
      </c>
      <c r="N1194">
        <f t="shared" si="18"/>
        <v>73.4</v>
      </c>
    </row>
    <row r="1195" spans="1:14">
      <c r="A1195">
        <v>20196670</v>
      </c>
      <c r="B1195" t="s">
        <v>17</v>
      </c>
      <c r="C1195" t="str">
        <f>VLOOKUP(B1195,专业代码!$B$2:$C$8,2,FALSE)</f>
        <v>金融工程</v>
      </c>
      <c r="D1195">
        <v>8.6</v>
      </c>
      <c r="E1195">
        <v>8.6</v>
      </c>
      <c r="F1195">
        <v>8.3</v>
      </c>
      <c r="G1195">
        <v>8</v>
      </c>
      <c r="H1195">
        <v>7.6</v>
      </c>
      <c r="I1195">
        <v>8.3</v>
      </c>
      <c r="J1195">
        <v>5.7</v>
      </c>
      <c r="K1195">
        <v>7</v>
      </c>
      <c r="L1195">
        <v>6.7</v>
      </c>
      <c r="M1195">
        <v>4.7</v>
      </c>
      <c r="N1195">
        <f t="shared" si="18"/>
        <v>73.5</v>
      </c>
    </row>
    <row r="1196" spans="1:14">
      <c r="A1196">
        <v>20198348</v>
      </c>
      <c r="B1196" t="s">
        <v>17</v>
      </c>
      <c r="C1196" t="str">
        <f>VLOOKUP(B1196,专业代码!$B$2:$C$8,2,FALSE)</f>
        <v>金融工程</v>
      </c>
      <c r="D1196">
        <v>9.6</v>
      </c>
      <c r="E1196">
        <v>7.6</v>
      </c>
      <c r="F1196">
        <v>8.6</v>
      </c>
      <c r="G1196">
        <v>8.5</v>
      </c>
      <c r="H1196">
        <v>8.8</v>
      </c>
      <c r="I1196">
        <v>7.6</v>
      </c>
      <c r="J1196">
        <v>6.2</v>
      </c>
      <c r="K1196">
        <v>6.3</v>
      </c>
      <c r="L1196">
        <v>7.6</v>
      </c>
      <c r="M1196">
        <v>3.9</v>
      </c>
      <c r="N1196">
        <f t="shared" si="18"/>
        <v>74.7</v>
      </c>
    </row>
    <row r="1197" spans="1:14">
      <c r="A1197">
        <v>20198621</v>
      </c>
      <c r="B1197" t="s">
        <v>17</v>
      </c>
      <c r="C1197" t="str">
        <f>VLOOKUP(B1197,专业代码!$B$2:$C$8,2,FALSE)</f>
        <v>金融工程</v>
      </c>
      <c r="D1197">
        <v>8.2</v>
      </c>
      <c r="E1197">
        <v>8.8</v>
      </c>
      <c r="F1197">
        <v>7.7</v>
      </c>
      <c r="G1197">
        <v>7.7</v>
      </c>
      <c r="H1197">
        <v>7.8</v>
      </c>
      <c r="I1197">
        <v>7.9</v>
      </c>
      <c r="J1197">
        <v>7.9</v>
      </c>
      <c r="K1197">
        <v>7.1</v>
      </c>
      <c r="L1197">
        <v>8</v>
      </c>
      <c r="M1197">
        <v>3.8</v>
      </c>
      <c r="N1197">
        <f t="shared" si="18"/>
        <v>74.9</v>
      </c>
    </row>
    <row r="1198" spans="1:14">
      <c r="A1198">
        <v>20199197</v>
      </c>
      <c r="B1198" t="s">
        <v>17</v>
      </c>
      <c r="C1198" t="str">
        <f>VLOOKUP(B1198,专业代码!$B$2:$C$8,2,FALSE)</f>
        <v>金融工程</v>
      </c>
      <c r="D1198">
        <v>8.3</v>
      </c>
      <c r="E1198">
        <v>7.7</v>
      </c>
      <c r="F1198">
        <v>8.2</v>
      </c>
      <c r="G1198">
        <v>7.8</v>
      </c>
      <c r="H1198">
        <v>6.9</v>
      </c>
      <c r="I1198">
        <v>8</v>
      </c>
      <c r="J1198">
        <v>8.1</v>
      </c>
      <c r="K1198">
        <v>7.2</v>
      </c>
      <c r="L1198">
        <v>7</v>
      </c>
      <c r="M1198">
        <v>8.2</v>
      </c>
      <c r="N1198">
        <f t="shared" si="18"/>
        <v>77.4</v>
      </c>
    </row>
    <row r="1199" spans="1:14">
      <c r="A1199">
        <v>20199208</v>
      </c>
      <c r="B1199" t="s">
        <v>17</v>
      </c>
      <c r="C1199" t="str">
        <f>VLOOKUP(B1199,专业代码!$B$2:$C$8,2,FALSE)</f>
        <v>金融工程</v>
      </c>
      <c r="D1199">
        <v>8.7</v>
      </c>
      <c r="E1199">
        <v>7.6</v>
      </c>
      <c r="F1199">
        <v>7.8</v>
      </c>
      <c r="G1199">
        <v>7.2</v>
      </c>
      <c r="H1199">
        <v>8.9</v>
      </c>
      <c r="I1199">
        <v>8.3</v>
      </c>
      <c r="J1199">
        <v>7.4</v>
      </c>
      <c r="K1199">
        <v>6.7</v>
      </c>
      <c r="L1199">
        <v>7.1</v>
      </c>
      <c r="M1199">
        <v>5.8</v>
      </c>
      <c r="N1199">
        <f t="shared" si="18"/>
        <v>75.5</v>
      </c>
    </row>
    <row r="1200" spans="1:14">
      <c r="A1200">
        <v>20199338</v>
      </c>
      <c r="B1200" t="s">
        <v>17</v>
      </c>
      <c r="C1200" t="str">
        <f>VLOOKUP(B1200,专业代码!$B$2:$C$8,2,FALSE)</f>
        <v>金融工程</v>
      </c>
      <c r="D1200">
        <v>9.4</v>
      </c>
      <c r="E1200">
        <v>7.8</v>
      </c>
      <c r="F1200">
        <v>7.6</v>
      </c>
      <c r="G1200">
        <v>8.3</v>
      </c>
      <c r="H1200">
        <v>7</v>
      </c>
      <c r="I1200">
        <v>8.3</v>
      </c>
      <c r="J1200">
        <v>7</v>
      </c>
      <c r="K1200">
        <v>6.3</v>
      </c>
      <c r="L1200">
        <v>7.5</v>
      </c>
      <c r="M1200">
        <v>6.9</v>
      </c>
      <c r="N1200">
        <f t="shared" si="18"/>
        <v>76.1</v>
      </c>
    </row>
    <row r="1201" spans="1:14">
      <c r="A1201">
        <v>20199812</v>
      </c>
      <c r="B1201" t="s">
        <v>17</v>
      </c>
      <c r="C1201" t="str">
        <f>VLOOKUP(B1201,专业代码!$B$2:$C$8,2,FALSE)</f>
        <v>金融工程</v>
      </c>
      <c r="D1201">
        <v>8.8</v>
      </c>
      <c r="E1201">
        <v>7</v>
      </c>
      <c r="F1201">
        <v>7.9</v>
      </c>
      <c r="G1201">
        <v>8.2</v>
      </c>
      <c r="H1201">
        <v>7</v>
      </c>
      <c r="I1201">
        <v>7.3</v>
      </c>
      <c r="J1201">
        <v>7.4</v>
      </c>
      <c r="K1201">
        <v>6.6</v>
      </c>
      <c r="L1201">
        <v>6.8</v>
      </c>
      <c r="M1201">
        <v>6.8</v>
      </c>
      <c r="N1201">
        <f t="shared" si="18"/>
        <v>73.8</v>
      </c>
    </row>
    <row r="1202" spans="1:14">
      <c r="A1202">
        <v>20191809</v>
      </c>
      <c r="B1202" t="s">
        <v>17</v>
      </c>
      <c r="C1202" t="str">
        <f>VLOOKUP(B1202,专业代码!$B$2:$C$8,2,FALSE)</f>
        <v>金融工程</v>
      </c>
      <c r="D1202">
        <v>8.8</v>
      </c>
      <c r="E1202">
        <v>8.1</v>
      </c>
      <c r="F1202">
        <v>8.4</v>
      </c>
      <c r="G1202">
        <v>8.4</v>
      </c>
      <c r="H1202">
        <v>8.7</v>
      </c>
      <c r="I1202">
        <v>7.6</v>
      </c>
      <c r="J1202">
        <v>5.8</v>
      </c>
      <c r="K1202">
        <v>6.1</v>
      </c>
      <c r="L1202">
        <v>7.8</v>
      </c>
      <c r="M1202">
        <v>5.2</v>
      </c>
      <c r="N1202">
        <f t="shared" si="18"/>
        <v>74.9</v>
      </c>
    </row>
    <row r="1203" spans="1:14">
      <c r="A1203">
        <v>20193110</v>
      </c>
      <c r="B1203" t="s">
        <v>17</v>
      </c>
      <c r="C1203" t="str">
        <f>VLOOKUP(B1203,专业代码!$B$2:$C$8,2,FALSE)</f>
        <v>金融工程</v>
      </c>
      <c r="D1203">
        <v>9.4</v>
      </c>
      <c r="E1203">
        <v>9.2</v>
      </c>
      <c r="F1203">
        <v>7.8</v>
      </c>
      <c r="G1203">
        <v>7.7</v>
      </c>
      <c r="H1203">
        <v>7.6</v>
      </c>
      <c r="I1203">
        <v>7.9</v>
      </c>
      <c r="J1203">
        <v>7.5</v>
      </c>
      <c r="K1203">
        <v>6.6</v>
      </c>
      <c r="L1203">
        <v>7.7</v>
      </c>
      <c r="M1203">
        <v>7</v>
      </c>
      <c r="N1203">
        <f t="shared" si="18"/>
        <v>78.4</v>
      </c>
    </row>
    <row r="1204" spans="1:14">
      <c r="A1204">
        <v>20193156</v>
      </c>
      <c r="B1204" t="s">
        <v>17</v>
      </c>
      <c r="C1204" t="str">
        <f>VLOOKUP(B1204,专业代码!$B$2:$C$8,2,FALSE)</f>
        <v>金融工程</v>
      </c>
      <c r="D1204">
        <v>8.3</v>
      </c>
      <c r="E1204">
        <v>8.8</v>
      </c>
      <c r="F1204">
        <v>7.8</v>
      </c>
      <c r="G1204">
        <v>9.1</v>
      </c>
      <c r="H1204">
        <v>8.8</v>
      </c>
      <c r="I1204">
        <v>8</v>
      </c>
      <c r="J1204">
        <v>9.1</v>
      </c>
      <c r="K1204">
        <v>6.7</v>
      </c>
      <c r="L1204">
        <v>5.4</v>
      </c>
      <c r="M1204">
        <v>5.5</v>
      </c>
      <c r="N1204">
        <f t="shared" si="18"/>
        <v>77.5</v>
      </c>
    </row>
    <row r="1205" spans="1:14">
      <c r="A1205">
        <v>20193743</v>
      </c>
      <c r="B1205" t="s">
        <v>17</v>
      </c>
      <c r="C1205" t="str">
        <f>VLOOKUP(B1205,专业代码!$B$2:$C$8,2,FALSE)</f>
        <v>金融工程</v>
      </c>
      <c r="D1205">
        <v>8.9</v>
      </c>
      <c r="E1205">
        <v>8.7</v>
      </c>
      <c r="F1205">
        <v>8</v>
      </c>
      <c r="G1205">
        <v>7.4</v>
      </c>
      <c r="H1205">
        <v>7.3</v>
      </c>
      <c r="I1205">
        <v>8.6</v>
      </c>
      <c r="J1205">
        <v>8.3</v>
      </c>
      <c r="K1205">
        <v>6</v>
      </c>
      <c r="L1205">
        <v>6</v>
      </c>
      <c r="M1205">
        <v>5.7</v>
      </c>
      <c r="N1205">
        <f t="shared" si="18"/>
        <v>74.9</v>
      </c>
    </row>
    <row r="1206" spans="1:14">
      <c r="A1206">
        <v>20196822</v>
      </c>
      <c r="B1206" t="s">
        <v>17</v>
      </c>
      <c r="C1206" t="str">
        <f>VLOOKUP(B1206,专业代码!$B$2:$C$8,2,FALSE)</f>
        <v>金融工程</v>
      </c>
      <c r="D1206">
        <v>8.8</v>
      </c>
      <c r="E1206">
        <v>7.8</v>
      </c>
      <c r="F1206">
        <v>7.6</v>
      </c>
      <c r="G1206">
        <v>8.7</v>
      </c>
      <c r="H1206">
        <v>7.5</v>
      </c>
      <c r="I1206">
        <v>7.4</v>
      </c>
      <c r="J1206">
        <v>5.8</v>
      </c>
      <c r="K1206">
        <v>9.1</v>
      </c>
      <c r="L1206">
        <v>5.5</v>
      </c>
      <c r="M1206">
        <v>5</v>
      </c>
      <c r="N1206">
        <f t="shared" si="18"/>
        <v>73.2</v>
      </c>
    </row>
    <row r="1207" spans="1:14">
      <c r="A1207">
        <v>20197207</v>
      </c>
      <c r="B1207" t="s">
        <v>17</v>
      </c>
      <c r="C1207" t="str">
        <f>VLOOKUP(B1207,专业代码!$B$2:$C$8,2,FALSE)</f>
        <v>金融工程</v>
      </c>
      <c r="D1207">
        <v>8.5</v>
      </c>
      <c r="E1207">
        <v>9.1</v>
      </c>
      <c r="F1207">
        <v>7.7</v>
      </c>
      <c r="G1207">
        <v>7.8</v>
      </c>
      <c r="H1207">
        <v>6.1</v>
      </c>
      <c r="I1207">
        <v>8.7</v>
      </c>
      <c r="J1207">
        <v>7.2</v>
      </c>
      <c r="K1207">
        <v>8.1</v>
      </c>
      <c r="L1207">
        <v>5.9</v>
      </c>
      <c r="M1207">
        <v>4.2</v>
      </c>
      <c r="N1207">
        <f t="shared" si="18"/>
        <v>73.3</v>
      </c>
    </row>
    <row r="1208" spans="1:14">
      <c r="A1208">
        <v>20198482</v>
      </c>
      <c r="B1208" t="s">
        <v>17</v>
      </c>
      <c r="C1208" t="str">
        <f>VLOOKUP(B1208,专业代码!$B$2:$C$8,2,FALSE)</f>
        <v>金融工程</v>
      </c>
      <c r="D1208">
        <v>8.6</v>
      </c>
      <c r="E1208">
        <v>8.1</v>
      </c>
      <c r="F1208">
        <v>7.7</v>
      </c>
      <c r="G1208">
        <v>7.1</v>
      </c>
      <c r="H1208">
        <v>9.5</v>
      </c>
      <c r="I1208">
        <v>7.4</v>
      </c>
      <c r="J1208">
        <v>8.5</v>
      </c>
      <c r="K1208">
        <v>6.9</v>
      </c>
      <c r="L1208">
        <v>7.3</v>
      </c>
      <c r="M1208">
        <v>7.1</v>
      </c>
      <c r="N1208">
        <f t="shared" si="18"/>
        <v>78.2</v>
      </c>
    </row>
    <row r="1209" spans="1:14">
      <c r="A1209">
        <v>20199814</v>
      </c>
      <c r="B1209" t="s">
        <v>17</v>
      </c>
      <c r="C1209" t="str">
        <f>VLOOKUP(B1209,专业代码!$B$2:$C$8,2,FALSE)</f>
        <v>金融工程</v>
      </c>
      <c r="D1209">
        <v>7.6</v>
      </c>
      <c r="E1209">
        <v>8.4</v>
      </c>
      <c r="F1209">
        <v>8.2</v>
      </c>
      <c r="G1209">
        <v>7.8</v>
      </c>
      <c r="H1209">
        <v>8.2</v>
      </c>
      <c r="I1209">
        <v>7</v>
      </c>
      <c r="J1209">
        <v>7</v>
      </c>
      <c r="K1209">
        <v>6.3</v>
      </c>
      <c r="L1209">
        <v>8.6</v>
      </c>
      <c r="M1209">
        <v>5.8</v>
      </c>
      <c r="N1209">
        <f t="shared" si="18"/>
        <v>74.9</v>
      </c>
    </row>
    <row r="1210" spans="1:14">
      <c r="A1210">
        <v>20199889</v>
      </c>
      <c r="B1210" t="s">
        <v>17</v>
      </c>
      <c r="C1210" t="str">
        <f>VLOOKUP(B1210,专业代码!$B$2:$C$8,2,FALSE)</f>
        <v>金融工程</v>
      </c>
      <c r="D1210">
        <v>8.2</v>
      </c>
      <c r="E1210">
        <v>7.4</v>
      </c>
      <c r="F1210">
        <v>7.8</v>
      </c>
      <c r="G1210">
        <v>7.5</v>
      </c>
      <c r="H1210">
        <v>6.7</v>
      </c>
      <c r="I1210">
        <v>6.2</v>
      </c>
      <c r="J1210">
        <v>8.2</v>
      </c>
      <c r="K1210">
        <v>7.1</v>
      </c>
      <c r="L1210">
        <v>7.9</v>
      </c>
      <c r="M1210">
        <v>7</v>
      </c>
      <c r="N1210">
        <f t="shared" si="18"/>
        <v>74</v>
      </c>
    </row>
    <row r="1211" spans="1:14">
      <c r="A1211">
        <v>20193174</v>
      </c>
      <c r="B1211" t="s">
        <v>17</v>
      </c>
      <c r="C1211" t="str">
        <f>VLOOKUP(B1211,专业代码!$B$2:$C$8,2,FALSE)</f>
        <v>金融工程</v>
      </c>
      <c r="D1211">
        <v>8.9</v>
      </c>
      <c r="E1211">
        <v>8.4</v>
      </c>
      <c r="F1211">
        <v>8.1</v>
      </c>
      <c r="G1211">
        <v>8.3</v>
      </c>
      <c r="H1211">
        <v>7</v>
      </c>
      <c r="I1211">
        <v>8.2</v>
      </c>
      <c r="J1211">
        <v>6.5</v>
      </c>
      <c r="K1211">
        <v>8.4</v>
      </c>
      <c r="L1211">
        <v>4.8</v>
      </c>
      <c r="M1211">
        <v>6.8</v>
      </c>
      <c r="N1211">
        <f t="shared" si="18"/>
        <v>75.4</v>
      </c>
    </row>
    <row r="1212" spans="1:14">
      <c r="A1212">
        <v>20194118</v>
      </c>
      <c r="B1212" t="s">
        <v>17</v>
      </c>
      <c r="C1212" t="str">
        <f>VLOOKUP(B1212,专业代码!$B$2:$C$8,2,FALSE)</f>
        <v>金融工程</v>
      </c>
      <c r="D1212">
        <v>9.2</v>
      </c>
      <c r="E1212">
        <v>7.6</v>
      </c>
      <c r="F1212">
        <v>8.7</v>
      </c>
      <c r="G1212">
        <v>7.3</v>
      </c>
      <c r="H1212">
        <v>7.1</v>
      </c>
      <c r="I1212">
        <v>8</v>
      </c>
      <c r="J1212">
        <v>6.6</v>
      </c>
      <c r="K1212">
        <v>6.3</v>
      </c>
      <c r="L1212">
        <v>9.5</v>
      </c>
      <c r="M1212">
        <v>8</v>
      </c>
      <c r="N1212">
        <f t="shared" si="18"/>
        <v>78.3</v>
      </c>
    </row>
    <row r="1213" spans="1:14">
      <c r="A1213">
        <v>20194422</v>
      </c>
      <c r="B1213" t="s">
        <v>17</v>
      </c>
      <c r="C1213" t="str">
        <f>VLOOKUP(B1213,专业代码!$B$2:$C$8,2,FALSE)</f>
        <v>金融工程</v>
      </c>
      <c r="D1213">
        <v>8.2</v>
      </c>
      <c r="E1213">
        <v>7.7</v>
      </c>
      <c r="F1213">
        <v>7.7</v>
      </c>
      <c r="G1213">
        <v>8.4</v>
      </c>
      <c r="H1213">
        <v>8</v>
      </c>
      <c r="I1213">
        <v>7.7</v>
      </c>
      <c r="J1213">
        <v>6.8</v>
      </c>
      <c r="K1213">
        <v>7.2</v>
      </c>
      <c r="L1213">
        <v>5.3</v>
      </c>
      <c r="M1213">
        <v>8.7</v>
      </c>
      <c r="N1213">
        <f t="shared" si="18"/>
        <v>75.7</v>
      </c>
    </row>
    <row r="1214" spans="1:14">
      <c r="A1214">
        <v>20196239</v>
      </c>
      <c r="B1214" t="s">
        <v>17</v>
      </c>
      <c r="C1214" t="str">
        <f>VLOOKUP(B1214,专业代码!$B$2:$C$8,2,FALSE)</f>
        <v>金融工程</v>
      </c>
      <c r="D1214">
        <v>7.7</v>
      </c>
      <c r="E1214">
        <v>8.4</v>
      </c>
      <c r="F1214">
        <v>9.1</v>
      </c>
      <c r="G1214">
        <v>8.1</v>
      </c>
      <c r="H1214">
        <v>6.9</v>
      </c>
      <c r="I1214">
        <v>6.1</v>
      </c>
      <c r="J1214">
        <v>7.9</v>
      </c>
      <c r="K1214">
        <v>6.1</v>
      </c>
      <c r="L1214">
        <v>5.6</v>
      </c>
      <c r="M1214">
        <v>5.7</v>
      </c>
      <c r="N1214">
        <f t="shared" si="18"/>
        <v>71.6</v>
      </c>
    </row>
    <row r="1215" spans="1:14">
      <c r="A1215">
        <v>20196555</v>
      </c>
      <c r="B1215" t="s">
        <v>17</v>
      </c>
      <c r="C1215" t="str">
        <f>VLOOKUP(B1215,专业代码!$B$2:$C$8,2,FALSE)</f>
        <v>金融工程</v>
      </c>
      <c r="D1215">
        <v>8.4</v>
      </c>
      <c r="E1215">
        <v>7.6</v>
      </c>
      <c r="F1215">
        <v>7.7</v>
      </c>
      <c r="G1215">
        <v>7.5</v>
      </c>
      <c r="H1215">
        <v>6.3</v>
      </c>
      <c r="I1215">
        <v>6.7</v>
      </c>
      <c r="J1215">
        <v>8.7</v>
      </c>
      <c r="K1215">
        <v>6.2</v>
      </c>
      <c r="L1215">
        <v>7</v>
      </c>
      <c r="M1215">
        <v>6.4</v>
      </c>
      <c r="N1215">
        <f t="shared" si="18"/>
        <v>72.5</v>
      </c>
    </row>
    <row r="1216" spans="1:14">
      <c r="A1216">
        <v>20197016</v>
      </c>
      <c r="B1216" t="s">
        <v>17</v>
      </c>
      <c r="C1216" t="str">
        <f>VLOOKUP(B1216,专业代码!$B$2:$C$8,2,FALSE)</f>
        <v>金融工程</v>
      </c>
      <c r="D1216">
        <v>8.6</v>
      </c>
      <c r="E1216">
        <v>7.5</v>
      </c>
      <c r="F1216">
        <v>8.4</v>
      </c>
      <c r="G1216">
        <v>8.3</v>
      </c>
      <c r="H1216">
        <v>8.6</v>
      </c>
      <c r="I1216">
        <v>7.8</v>
      </c>
      <c r="J1216">
        <v>7.9</v>
      </c>
      <c r="K1216">
        <v>6.4</v>
      </c>
      <c r="L1216">
        <v>8</v>
      </c>
      <c r="M1216">
        <v>5.7</v>
      </c>
      <c r="N1216">
        <f t="shared" si="18"/>
        <v>77.2</v>
      </c>
    </row>
    <row r="1217" spans="1:14">
      <c r="A1217">
        <v>20197183</v>
      </c>
      <c r="B1217" t="s">
        <v>17</v>
      </c>
      <c r="C1217" t="str">
        <f>VLOOKUP(B1217,专业代码!$B$2:$C$8,2,FALSE)</f>
        <v>金融工程</v>
      </c>
      <c r="D1217">
        <v>8.2</v>
      </c>
      <c r="E1217">
        <v>7.1</v>
      </c>
      <c r="F1217">
        <v>8.5</v>
      </c>
      <c r="G1217">
        <v>8.3</v>
      </c>
      <c r="H1217">
        <v>7.5</v>
      </c>
      <c r="I1217">
        <v>7.7</v>
      </c>
      <c r="J1217">
        <v>7.8</v>
      </c>
      <c r="K1217">
        <v>7</v>
      </c>
      <c r="L1217">
        <v>6</v>
      </c>
      <c r="M1217">
        <v>5.9</v>
      </c>
      <c r="N1217">
        <f t="shared" si="18"/>
        <v>74</v>
      </c>
    </row>
    <row r="1218" spans="1:14">
      <c r="A1218">
        <v>20197570</v>
      </c>
      <c r="B1218" t="s">
        <v>17</v>
      </c>
      <c r="C1218" t="str">
        <f>VLOOKUP(B1218,专业代码!$B$2:$C$8,2,FALSE)</f>
        <v>金融工程</v>
      </c>
      <c r="D1218">
        <v>7.9</v>
      </c>
      <c r="E1218">
        <v>8.2</v>
      </c>
      <c r="F1218">
        <v>7.7</v>
      </c>
      <c r="G1218">
        <v>8.3</v>
      </c>
      <c r="H1218">
        <v>8.7</v>
      </c>
      <c r="I1218">
        <v>7.5</v>
      </c>
      <c r="J1218">
        <v>6.9</v>
      </c>
      <c r="K1218">
        <v>7</v>
      </c>
      <c r="L1218">
        <v>6.3</v>
      </c>
      <c r="M1218">
        <v>6.2</v>
      </c>
      <c r="N1218">
        <f t="shared" si="18"/>
        <v>74.7</v>
      </c>
    </row>
    <row r="1219" spans="1:14">
      <c r="A1219">
        <v>20197695</v>
      </c>
      <c r="B1219" t="s">
        <v>17</v>
      </c>
      <c r="C1219" t="str">
        <f>VLOOKUP(B1219,专业代码!$B$2:$C$8,2,FALSE)</f>
        <v>金融工程</v>
      </c>
      <c r="D1219">
        <v>8.7</v>
      </c>
      <c r="E1219">
        <v>7.8</v>
      </c>
      <c r="F1219">
        <v>6.9</v>
      </c>
      <c r="G1219">
        <v>7.9</v>
      </c>
      <c r="H1219">
        <v>9.5</v>
      </c>
      <c r="I1219">
        <v>7.5</v>
      </c>
      <c r="J1219">
        <v>7.8</v>
      </c>
      <c r="K1219">
        <v>7.3</v>
      </c>
      <c r="L1219">
        <v>7.4</v>
      </c>
      <c r="M1219">
        <v>7.8</v>
      </c>
      <c r="N1219">
        <f t="shared" ref="N1219:N1282" si="19">SUM(D1219:M1219)</f>
        <v>78.6</v>
      </c>
    </row>
    <row r="1220" spans="1:14">
      <c r="A1220">
        <v>20198095</v>
      </c>
      <c r="B1220" t="s">
        <v>17</v>
      </c>
      <c r="C1220" t="str">
        <f>VLOOKUP(B1220,专业代码!$B$2:$C$8,2,FALSE)</f>
        <v>金融工程</v>
      </c>
      <c r="D1220">
        <v>8.3</v>
      </c>
      <c r="E1220">
        <v>7.4</v>
      </c>
      <c r="F1220">
        <v>7.9</v>
      </c>
      <c r="G1220">
        <v>7.8</v>
      </c>
      <c r="H1220">
        <v>8.2</v>
      </c>
      <c r="I1220">
        <v>8.4</v>
      </c>
      <c r="J1220">
        <v>5.6</v>
      </c>
      <c r="K1220">
        <v>8.4</v>
      </c>
      <c r="L1220">
        <v>8.5</v>
      </c>
      <c r="M1220">
        <v>8.7</v>
      </c>
      <c r="N1220">
        <f t="shared" si="19"/>
        <v>79.2</v>
      </c>
    </row>
    <row r="1221" spans="1:14">
      <c r="A1221">
        <v>20198361</v>
      </c>
      <c r="B1221" t="s">
        <v>17</v>
      </c>
      <c r="C1221" t="str">
        <f>VLOOKUP(B1221,专业代码!$B$2:$C$8,2,FALSE)</f>
        <v>金融工程</v>
      </c>
      <c r="D1221">
        <v>9.1</v>
      </c>
      <c r="E1221">
        <v>8.2</v>
      </c>
      <c r="F1221">
        <v>9.1</v>
      </c>
      <c r="G1221">
        <v>7.8</v>
      </c>
      <c r="H1221">
        <v>6.4</v>
      </c>
      <c r="I1221">
        <v>8.7</v>
      </c>
      <c r="J1221">
        <v>6.2</v>
      </c>
      <c r="K1221">
        <v>5.2</v>
      </c>
      <c r="L1221">
        <v>5.7</v>
      </c>
      <c r="M1221">
        <v>3.9</v>
      </c>
      <c r="N1221">
        <f t="shared" si="19"/>
        <v>70.3</v>
      </c>
    </row>
    <row r="1222" spans="1:14">
      <c r="A1222">
        <v>20191310</v>
      </c>
      <c r="B1222" t="s">
        <v>17</v>
      </c>
      <c r="C1222" t="str">
        <f>VLOOKUP(B1222,专业代码!$B$2:$C$8,2,FALSE)</f>
        <v>金融工程</v>
      </c>
      <c r="D1222">
        <v>9.9</v>
      </c>
      <c r="E1222">
        <v>9.8</v>
      </c>
      <c r="F1222">
        <v>9.7</v>
      </c>
      <c r="G1222">
        <v>9.9</v>
      </c>
      <c r="H1222">
        <v>8.5</v>
      </c>
      <c r="I1222">
        <v>9.4</v>
      </c>
      <c r="J1222">
        <v>9.9</v>
      </c>
      <c r="K1222">
        <v>9.4</v>
      </c>
      <c r="L1222">
        <v>8.2</v>
      </c>
      <c r="M1222">
        <v>6.9</v>
      </c>
      <c r="N1222">
        <f t="shared" si="19"/>
        <v>91.6</v>
      </c>
    </row>
    <row r="1223" spans="1:14">
      <c r="A1223">
        <v>20191652</v>
      </c>
      <c r="B1223" t="s">
        <v>17</v>
      </c>
      <c r="C1223" t="str">
        <f>VLOOKUP(B1223,专业代码!$B$2:$C$8,2,FALSE)</f>
        <v>金融工程</v>
      </c>
      <c r="D1223">
        <v>9.4</v>
      </c>
      <c r="E1223">
        <v>9.8</v>
      </c>
      <c r="F1223">
        <v>9.4</v>
      </c>
      <c r="G1223">
        <v>9.6</v>
      </c>
      <c r="H1223">
        <v>9.6</v>
      </c>
      <c r="I1223">
        <v>8.5</v>
      </c>
      <c r="J1223">
        <v>7.2</v>
      </c>
      <c r="K1223">
        <v>9.1</v>
      </c>
      <c r="L1223">
        <v>7.9</v>
      </c>
      <c r="M1223">
        <v>8.3</v>
      </c>
      <c r="N1223">
        <f t="shared" si="19"/>
        <v>88.8</v>
      </c>
    </row>
    <row r="1224" spans="1:14">
      <c r="A1224">
        <v>20192361</v>
      </c>
      <c r="B1224" t="s">
        <v>17</v>
      </c>
      <c r="C1224" t="str">
        <f>VLOOKUP(B1224,专业代码!$B$2:$C$8,2,FALSE)</f>
        <v>金融工程</v>
      </c>
      <c r="D1224">
        <v>9.2</v>
      </c>
      <c r="E1224">
        <v>9.8</v>
      </c>
      <c r="F1224">
        <v>9.9</v>
      </c>
      <c r="G1224">
        <v>9.7</v>
      </c>
      <c r="H1224">
        <v>9.1</v>
      </c>
      <c r="I1224">
        <v>7.6</v>
      </c>
      <c r="J1224">
        <v>9</v>
      </c>
      <c r="K1224">
        <v>8.6</v>
      </c>
      <c r="L1224">
        <v>8.1</v>
      </c>
      <c r="M1224">
        <v>9.3</v>
      </c>
      <c r="N1224">
        <f t="shared" si="19"/>
        <v>90.3</v>
      </c>
    </row>
    <row r="1225" spans="1:14">
      <c r="A1225">
        <v>20194613</v>
      </c>
      <c r="B1225" t="s">
        <v>17</v>
      </c>
      <c r="C1225" t="str">
        <f>VLOOKUP(B1225,专业代码!$B$2:$C$8,2,FALSE)</f>
        <v>金融工程</v>
      </c>
      <c r="D1225">
        <v>9.9</v>
      </c>
      <c r="E1225">
        <v>8.9</v>
      </c>
      <c r="F1225">
        <v>9.2</v>
      </c>
      <c r="G1225">
        <v>9.4</v>
      </c>
      <c r="H1225">
        <v>8.5</v>
      </c>
      <c r="I1225">
        <v>8.7</v>
      </c>
      <c r="J1225">
        <v>8.8</v>
      </c>
      <c r="K1225">
        <v>7.6</v>
      </c>
      <c r="L1225">
        <v>8.1</v>
      </c>
      <c r="M1225">
        <v>7.1</v>
      </c>
      <c r="N1225">
        <f t="shared" si="19"/>
        <v>86.2</v>
      </c>
    </row>
    <row r="1226" spans="1:14">
      <c r="A1226">
        <v>20195319</v>
      </c>
      <c r="B1226" t="s">
        <v>17</v>
      </c>
      <c r="C1226" t="str">
        <f>VLOOKUP(B1226,专业代码!$B$2:$C$8,2,FALSE)</f>
        <v>金融工程</v>
      </c>
      <c r="D1226">
        <v>8.2</v>
      </c>
      <c r="E1226">
        <v>8.3</v>
      </c>
      <c r="F1226">
        <v>9.2</v>
      </c>
      <c r="G1226">
        <v>9</v>
      </c>
      <c r="H1226">
        <v>9</v>
      </c>
      <c r="I1226">
        <v>8.4</v>
      </c>
      <c r="J1226">
        <v>8.5</v>
      </c>
      <c r="K1226">
        <v>8.7</v>
      </c>
      <c r="L1226">
        <v>7.4</v>
      </c>
      <c r="M1226">
        <v>8.5</v>
      </c>
      <c r="N1226">
        <f t="shared" si="19"/>
        <v>85.2</v>
      </c>
    </row>
    <row r="1227" spans="1:14">
      <c r="A1227">
        <v>20198944</v>
      </c>
      <c r="B1227" t="s">
        <v>17</v>
      </c>
      <c r="C1227" t="str">
        <f>VLOOKUP(B1227,专业代码!$B$2:$C$8,2,FALSE)</f>
        <v>金融工程</v>
      </c>
      <c r="D1227">
        <v>9.9</v>
      </c>
      <c r="E1227">
        <v>9.9</v>
      </c>
      <c r="F1227">
        <v>9.4</v>
      </c>
      <c r="G1227">
        <v>9.9</v>
      </c>
      <c r="H1227">
        <v>6.7</v>
      </c>
      <c r="I1227">
        <v>8.1</v>
      </c>
      <c r="J1227">
        <v>7.4</v>
      </c>
      <c r="K1227">
        <v>6.1</v>
      </c>
      <c r="L1227">
        <v>6.7</v>
      </c>
      <c r="M1227">
        <v>8</v>
      </c>
      <c r="N1227">
        <f t="shared" si="19"/>
        <v>82.1</v>
      </c>
    </row>
    <row r="1228" spans="1:14">
      <c r="A1228">
        <v>20193739</v>
      </c>
      <c r="B1228" t="s">
        <v>17</v>
      </c>
      <c r="C1228" t="str">
        <f>VLOOKUP(B1228,专业代码!$B$2:$C$8,2,FALSE)</f>
        <v>金融工程</v>
      </c>
      <c r="D1228">
        <v>8.5</v>
      </c>
      <c r="E1228">
        <v>8.1</v>
      </c>
      <c r="F1228">
        <v>8.7</v>
      </c>
      <c r="G1228">
        <v>7.1</v>
      </c>
      <c r="H1228">
        <v>8</v>
      </c>
      <c r="I1228">
        <v>7.7</v>
      </c>
      <c r="J1228">
        <v>8</v>
      </c>
      <c r="K1228">
        <v>9.1</v>
      </c>
      <c r="L1228">
        <v>9.4</v>
      </c>
      <c r="M1228">
        <v>7.3</v>
      </c>
      <c r="N1228">
        <f t="shared" si="19"/>
        <v>81.9</v>
      </c>
    </row>
    <row r="1229" spans="1:14">
      <c r="A1229">
        <v>20194570</v>
      </c>
      <c r="B1229" t="s">
        <v>17</v>
      </c>
      <c r="C1229" t="str">
        <f>VLOOKUP(B1229,专业代码!$B$2:$C$8,2,FALSE)</f>
        <v>金融工程</v>
      </c>
      <c r="D1229">
        <v>7.9</v>
      </c>
      <c r="E1229">
        <v>8.4</v>
      </c>
      <c r="F1229">
        <v>8.2</v>
      </c>
      <c r="G1229">
        <v>6.2</v>
      </c>
      <c r="H1229">
        <v>7.9</v>
      </c>
      <c r="I1229">
        <v>8.8</v>
      </c>
      <c r="J1229">
        <v>7.7</v>
      </c>
      <c r="K1229">
        <v>4.7</v>
      </c>
      <c r="L1229">
        <v>4.7</v>
      </c>
      <c r="M1229">
        <v>7.3</v>
      </c>
      <c r="N1229">
        <f t="shared" si="19"/>
        <v>71.8</v>
      </c>
    </row>
    <row r="1230" spans="1:14">
      <c r="A1230">
        <v>20198358</v>
      </c>
      <c r="B1230" t="s">
        <v>17</v>
      </c>
      <c r="C1230" t="str">
        <f>VLOOKUP(B1230,专业代码!$B$2:$C$8,2,FALSE)</f>
        <v>金融工程</v>
      </c>
      <c r="D1230">
        <v>7.9</v>
      </c>
      <c r="E1230">
        <v>8.7</v>
      </c>
      <c r="F1230">
        <v>8</v>
      </c>
      <c r="G1230">
        <v>7.7</v>
      </c>
      <c r="H1230">
        <v>6.2</v>
      </c>
      <c r="I1230">
        <v>6.7</v>
      </c>
      <c r="J1230">
        <v>6.7</v>
      </c>
      <c r="K1230">
        <v>6.8</v>
      </c>
      <c r="L1230">
        <v>5.5</v>
      </c>
      <c r="M1230">
        <v>7.1</v>
      </c>
      <c r="N1230">
        <f t="shared" si="19"/>
        <v>71.3</v>
      </c>
    </row>
    <row r="1231" spans="1:14">
      <c r="A1231">
        <v>20194024</v>
      </c>
      <c r="B1231" t="s">
        <v>17</v>
      </c>
      <c r="C1231" t="str">
        <f>VLOOKUP(B1231,专业代码!$B$2:$C$8,2,FALSE)</f>
        <v>金融工程</v>
      </c>
      <c r="D1231">
        <v>8.2</v>
      </c>
      <c r="E1231">
        <v>7.7</v>
      </c>
      <c r="F1231">
        <v>8.3</v>
      </c>
      <c r="G1231">
        <v>7.7</v>
      </c>
      <c r="H1231">
        <v>8.6</v>
      </c>
      <c r="I1231">
        <v>7.7</v>
      </c>
      <c r="J1231">
        <v>7.4</v>
      </c>
      <c r="K1231">
        <v>7.3</v>
      </c>
      <c r="L1231">
        <v>5.4</v>
      </c>
      <c r="M1231">
        <v>7.8</v>
      </c>
      <c r="N1231">
        <f t="shared" si="19"/>
        <v>76.1</v>
      </c>
    </row>
    <row r="1232" spans="1:14">
      <c r="A1232">
        <v>20194815</v>
      </c>
      <c r="B1232" t="s">
        <v>17</v>
      </c>
      <c r="C1232" t="str">
        <f>VLOOKUP(B1232,专业代码!$B$2:$C$8,2,FALSE)</f>
        <v>金融工程</v>
      </c>
      <c r="D1232">
        <v>7.8</v>
      </c>
      <c r="E1232">
        <v>7.8</v>
      </c>
      <c r="F1232">
        <v>7.3</v>
      </c>
      <c r="G1232">
        <v>7.2</v>
      </c>
      <c r="H1232">
        <v>5.8</v>
      </c>
      <c r="I1232">
        <v>7.5</v>
      </c>
      <c r="J1232">
        <v>7.4</v>
      </c>
      <c r="K1232">
        <v>7.3</v>
      </c>
      <c r="L1232">
        <v>6.6</v>
      </c>
      <c r="M1232">
        <v>6.1</v>
      </c>
      <c r="N1232">
        <f t="shared" si="19"/>
        <v>70.8</v>
      </c>
    </row>
    <row r="1233" spans="1:14">
      <c r="A1233">
        <v>20195731</v>
      </c>
      <c r="B1233" t="s">
        <v>17</v>
      </c>
      <c r="C1233" t="str">
        <f>VLOOKUP(B1233,专业代码!$B$2:$C$8,2,FALSE)</f>
        <v>金融工程</v>
      </c>
      <c r="D1233">
        <v>8.7</v>
      </c>
      <c r="E1233">
        <v>7.9</v>
      </c>
      <c r="F1233">
        <v>8.4</v>
      </c>
      <c r="G1233">
        <v>7.6</v>
      </c>
      <c r="H1233">
        <v>7.5</v>
      </c>
      <c r="I1233">
        <v>8.3</v>
      </c>
      <c r="J1233">
        <v>6.3</v>
      </c>
      <c r="K1233">
        <v>6.5</v>
      </c>
      <c r="L1233">
        <v>6</v>
      </c>
      <c r="M1233">
        <v>5.9</v>
      </c>
      <c r="N1233">
        <f t="shared" si="19"/>
        <v>73.1</v>
      </c>
    </row>
    <row r="1234" spans="1:14">
      <c r="A1234">
        <v>20196467</v>
      </c>
      <c r="B1234" t="s">
        <v>17</v>
      </c>
      <c r="C1234" t="str">
        <f>VLOOKUP(B1234,专业代码!$B$2:$C$8,2,FALSE)</f>
        <v>金融工程</v>
      </c>
      <c r="D1234">
        <v>8</v>
      </c>
      <c r="E1234">
        <v>8.2</v>
      </c>
      <c r="F1234">
        <v>8</v>
      </c>
      <c r="G1234">
        <v>7.4</v>
      </c>
      <c r="H1234">
        <v>7.5</v>
      </c>
      <c r="I1234">
        <v>6.7</v>
      </c>
      <c r="J1234">
        <v>6.9</v>
      </c>
      <c r="K1234">
        <v>7.2</v>
      </c>
      <c r="L1234">
        <v>7.8</v>
      </c>
      <c r="M1234">
        <v>8.1</v>
      </c>
      <c r="N1234">
        <f t="shared" si="19"/>
        <v>75.8</v>
      </c>
    </row>
    <row r="1235" spans="1:14">
      <c r="A1235">
        <v>20197223</v>
      </c>
      <c r="B1235" t="s">
        <v>17</v>
      </c>
      <c r="C1235" t="str">
        <f>VLOOKUP(B1235,专业代码!$B$2:$C$8,2,FALSE)</f>
        <v>金融工程</v>
      </c>
      <c r="D1235">
        <v>8.2</v>
      </c>
      <c r="E1235">
        <v>7.6</v>
      </c>
      <c r="F1235">
        <v>8.4</v>
      </c>
      <c r="G1235">
        <v>8</v>
      </c>
      <c r="H1235">
        <v>5.9</v>
      </c>
      <c r="I1235">
        <v>5.7</v>
      </c>
      <c r="J1235">
        <v>7.1</v>
      </c>
      <c r="K1235">
        <v>6.8</v>
      </c>
      <c r="L1235">
        <v>8.3</v>
      </c>
      <c r="M1235">
        <v>4</v>
      </c>
      <c r="N1235">
        <f t="shared" si="19"/>
        <v>70</v>
      </c>
    </row>
    <row r="1236" spans="1:14">
      <c r="A1236">
        <v>20197339</v>
      </c>
      <c r="B1236" t="s">
        <v>17</v>
      </c>
      <c r="C1236" t="str">
        <f>VLOOKUP(B1236,专业代码!$B$2:$C$8,2,FALSE)</f>
        <v>金融工程</v>
      </c>
      <c r="D1236">
        <v>9.1</v>
      </c>
      <c r="E1236">
        <v>7.3</v>
      </c>
      <c r="F1236">
        <v>8</v>
      </c>
      <c r="G1236">
        <v>8.3</v>
      </c>
      <c r="H1236">
        <v>7.4</v>
      </c>
      <c r="I1236">
        <v>6.5</v>
      </c>
      <c r="J1236">
        <v>7.1</v>
      </c>
      <c r="K1236">
        <v>7.9</v>
      </c>
      <c r="L1236">
        <v>6.2</v>
      </c>
      <c r="M1236">
        <v>6.4</v>
      </c>
      <c r="N1236">
        <f t="shared" si="19"/>
        <v>74.2</v>
      </c>
    </row>
    <row r="1237" spans="1:14">
      <c r="A1237">
        <v>20197879</v>
      </c>
      <c r="B1237" t="s">
        <v>17</v>
      </c>
      <c r="C1237" t="str">
        <f>VLOOKUP(B1237,专业代码!$B$2:$C$8,2,FALSE)</f>
        <v>金融工程</v>
      </c>
      <c r="D1237">
        <v>8.4</v>
      </c>
      <c r="E1237">
        <v>7.8</v>
      </c>
      <c r="F1237">
        <v>8.6</v>
      </c>
      <c r="G1237">
        <v>8</v>
      </c>
      <c r="H1237">
        <v>6.9</v>
      </c>
      <c r="I1237">
        <v>7.6</v>
      </c>
      <c r="J1237">
        <v>9.2</v>
      </c>
      <c r="K1237">
        <v>6.1</v>
      </c>
      <c r="L1237">
        <v>7.3</v>
      </c>
      <c r="M1237">
        <v>6.3</v>
      </c>
      <c r="N1237">
        <f t="shared" si="19"/>
        <v>76.2</v>
      </c>
    </row>
    <row r="1238" spans="1:14">
      <c r="A1238">
        <v>20198366</v>
      </c>
      <c r="B1238" t="s">
        <v>17</v>
      </c>
      <c r="C1238" t="str">
        <f>VLOOKUP(B1238,专业代码!$B$2:$C$8,2,FALSE)</f>
        <v>金融工程</v>
      </c>
      <c r="D1238">
        <v>8.4</v>
      </c>
      <c r="E1238">
        <v>8.1</v>
      </c>
      <c r="F1238">
        <v>7.9</v>
      </c>
      <c r="G1238">
        <v>8</v>
      </c>
      <c r="H1238">
        <v>7.1</v>
      </c>
      <c r="I1238">
        <v>7.8</v>
      </c>
      <c r="J1238">
        <v>7.5</v>
      </c>
      <c r="K1238">
        <v>7</v>
      </c>
      <c r="L1238">
        <v>7.9</v>
      </c>
      <c r="M1238">
        <v>6.5</v>
      </c>
      <c r="N1238">
        <f t="shared" si="19"/>
        <v>76.2</v>
      </c>
    </row>
    <row r="1239" spans="1:14">
      <c r="A1239">
        <v>20199212</v>
      </c>
      <c r="B1239" t="s">
        <v>17</v>
      </c>
      <c r="C1239" t="str">
        <f>VLOOKUP(B1239,专业代码!$B$2:$C$8,2,FALSE)</f>
        <v>金融工程</v>
      </c>
      <c r="D1239">
        <v>8.4</v>
      </c>
      <c r="E1239">
        <v>7.5</v>
      </c>
      <c r="F1239">
        <v>9</v>
      </c>
      <c r="G1239">
        <v>7.9</v>
      </c>
      <c r="H1239">
        <v>7.4</v>
      </c>
      <c r="I1239">
        <v>7.8</v>
      </c>
      <c r="J1239">
        <v>6.6</v>
      </c>
      <c r="K1239">
        <v>7.3</v>
      </c>
      <c r="L1239">
        <v>6.9</v>
      </c>
      <c r="M1239">
        <v>6.7</v>
      </c>
      <c r="N1239">
        <f t="shared" si="19"/>
        <v>75.5</v>
      </c>
    </row>
    <row r="1240" spans="1:14">
      <c r="A1240">
        <v>20199492</v>
      </c>
      <c r="B1240" t="s">
        <v>17</v>
      </c>
      <c r="C1240" t="str">
        <f>VLOOKUP(B1240,专业代码!$B$2:$C$8,2,FALSE)</f>
        <v>金融工程</v>
      </c>
      <c r="D1240">
        <v>9.1</v>
      </c>
      <c r="E1240">
        <v>9.2</v>
      </c>
      <c r="F1240">
        <v>8.6</v>
      </c>
      <c r="G1240">
        <v>7.1</v>
      </c>
      <c r="H1240">
        <v>7.4</v>
      </c>
      <c r="I1240">
        <v>7.9</v>
      </c>
      <c r="J1240">
        <v>7.1</v>
      </c>
      <c r="K1240">
        <v>6.5</v>
      </c>
      <c r="L1240">
        <v>7.7</v>
      </c>
      <c r="M1240">
        <v>8.5</v>
      </c>
      <c r="N1240">
        <f t="shared" si="19"/>
        <v>79.1</v>
      </c>
    </row>
    <row r="1241" spans="1:14">
      <c r="A1241">
        <v>20191044</v>
      </c>
      <c r="B1241" t="s">
        <v>17</v>
      </c>
      <c r="C1241" t="str">
        <f>VLOOKUP(B1241,专业代码!$B$2:$C$8,2,FALSE)</f>
        <v>金融工程</v>
      </c>
      <c r="D1241">
        <v>8.2</v>
      </c>
      <c r="E1241">
        <v>7.7</v>
      </c>
      <c r="F1241">
        <v>8.2</v>
      </c>
      <c r="G1241">
        <v>8.3</v>
      </c>
      <c r="H1241">
        <v>7.1</v>
      </c>
      <c r="I1241">
        <v>7.7</v>
      </c>
      <c r="J1241">
        <v>7.4</v>
      </c>
      <c r="K1241">
        <v>8.2</v>
      </c>
      <c r="L1241">
        <v>7</v>
      </c>
      <c r="M1241">
        <v>6.7</v>
      </c>
      <c r="N1241">
        <f t="shared" si="19"/>
        <v>76.5</v>
      </c>
    </row>
    <row r="1242" spans="1:14">
      <c r="A1242">
        <v>20191055</v>
      </c>
      <c r="B1242" t="s">
        <v>17</v>
      </c>
      <c r="C1242" t="str">
        <f>VLOOKUP(B1242,专业代码!$B$2:$C$8,2,FALSE)</f>
        <v>金融工程</v>
      </c>
      <c r="D1242">
        <v>9.5</v>
      </c>
      <c r="E1242">
        <v>7.7</v>
      </c>
      <c r="F1242">
        <v>8.4</v>
      </c>
      <c r="G1242">
        <v>7.6</v>
      </c>
      <c r="H1242">
        <v>7.5</v>
      </c>
      <c r="I1242">
        <v>7.9</v>
      </c>
      <c r="J1242">
        <v>6.3</v>
      </c>
      <c r="K1242">
        <v>6.9</v>
      </c>
      <c r="L1242">
        <v>6.9</v>
      </c>
      <c r="M1242">
        <v>4.9</v>
      </c>
      <c r="N1242">
        <f t="shared" si="19"/>
        <v>73.6</v>
      </c>
    </row>
    <row r="1243" spans="1:14">
      <c r="A1243">
        <v>20191942</v>
      </c>
      <c r="B1243" t="s">
        <v>17</v>
      </c>
      <c r="C1243" t="str">
        <f>VLOOKUP(B1243,专业代码!$B$2:$C$8,2,FALSE)</f>
        <v>金融工程</v>
      </c>
      <c r="D1243">
        <v>8.7</v>
      </c>
      <c r="E1243">
        <v>8.6</v>
      </c>
      <c r="F1243">
        <v>9.7</v>
      </c>
      <c r="G1243">
        <v>7.8</v>
      </c>
      <c r="H1243">
        <v>7.6</v>
      </c>
      <c r="I1243">
        <v>8.4</v>
      </c>
      <c r="J1243">
        <v>6.5</v>
      </c>
      <c r="K1243">
        <v>6.7</v>
      </c>
      <c r="L1243">
        <v>8.1</v>
      </c>
      <c r="M1243">
        <v>7.1</v>
      </c>
      <c r="N1243">
        <f t="shared" si="19"/>
        <v>79.2</v>
      </c>
    </row>
    <row r="1244" spans="1:14">
      <c r="A1244">
        <v>20192059</v>
      </c>
      <c r="B1244" t="s">
        <v>17</v>
      </c>
      <c r="C1244" t="str">
        <f>VLOOKUP(B1244,专业代码!$B$2:$C$8,2,FALSE)</f>
        <v>金融工程</v>
      </c>
      <c r="D1244">
        <v>8.7</v>
      </c>
      <c r="E1244">
        <v>7.3</v>
      </c>
      <c r="F1244">
        <v>7.1</v>
      </c>
      <c r="G1244">
        <v>7.3</v>
      </c>
      <c r="H1244">
        <v>9.1</v>
      </c>
      <c r="I1244">
        <v>7.1</v>
      </c>
      <c r="J1244">
        <v>7.1</v>
      </c>
      <c r="K1244">
        <v>6.3</v>
      </c>
      <c r="L1244">
        <v>7</v>
      </c>
      <c r="M1244">
        <v>4.2</v>
      </c>
      <c r="N1244">
        <f t="shared" si="19"/>
        <v>71.2</v>
      </c>
    </row>
    <row r="1245" spans="1:14">
      <c r="A1245">
        <v>20193433</v>
      </c>
      <c r="B1245" t="s">
        <v>17</v>
      </c>
      <c r="C1245" t="str">
        <f>VLOOKUP(B1245,专业代码!$B$2:$C$8,2,FALSE)</f>
        <v>金融工程</v>
      </c>
      <c r="D1245">
        <v>8.3</v>
      </c>
      <c r="E1245">
        <v>7.1</v>
      </c>
      <c r="F1245">
        <v>8.2</v>
      </c>
      <c r="G1245">
        <v>8.2</v>
      </c>
      <c r="H1245">
        <v>7.6</v>
      </c>
      <c r="I1245">
        <v>6.7</v>
      </c>
      <c r="J1245">
        <v>7.5</v>
      </c>
      <c r="K1245">
        <v>6.8</v>
      </c>
      <c r="L1245">
        <v>4.3</v>
      </c>
      <c r="M1245">
        <v>7.9</v>
      </c>
      <c r="N1245">
        <f t="shared" si="19"/>
        <v>72.6</v>
      </c>
    </row>
    <row r="1246" spans="1:14">
      <c r="A1246">
        <v>20195099</v>
      </c>
      <c r="B1246" t="s">
        <v>17</v>
      </c>
      <c r="C1246" t="str">
        <f>VLOOKUP(B1246,专业代码!$B$2:$C$8,2,FALSE)</f>
        <v>金融工程</v>
      </c>
      <c r="D1246">
        <v>8.4</v>
      </c>
      <c r="E1246">
        <v>7.4</v>
      </c>
      <c r="F1246">
        <v>8.8</v>
      </c>
      <c r="G1246">
        <v>7.5</v>
      </c>
      <c r="H1246">
        <v>5.8</v>
      </c>
      <c r="I1246">
        <v>7.3</v>
      </c>
      <c r="J1246">
        <v>7</v>
      </c>
      <c r="K1246">
        <v>6.2</v>
      </c>
      <c r="L1246">
        <v>5.7</v>
      </c>
      <c r="M1246">
        <v>5.8</v>
      </c>
      <c r="N1246">
        <f t="shared" si="19"/>
        <v>69.9</v>
      </c>
    </row>
    <row r="1247" spans="1:14">
      <c r="A1247">
        <v>20195123</v>
      </c>
      <c r="B1247" t="s">
        <v>17</v>
      </c>
      <c r="C1247" t="str">
        <f>VLOOKUP(B1247,专业代码!$B$2:$C$8,2,FALSE)</f>
        <v>金融工程</v>
      </c>
      <c r="D1247">
        <v>7.9</v>
      </c>
      <c r="E1247">
        <v>7.7</v>
      </c>
      <c r="F1247">
        <v>8.5</v>
      </c>
      <c r="G1247">
        <v>7.6</v>
      </c>
      <c r="H1247">
        <v>7.4</v>
      </c>
      <c r="I1247">
        <v>7.4</v>
      </c>
      <c r="J1247">
        <v>6.9</v>
      </c>
      <c r="K1247">
        <v>7.2</v>
      </c>
      <c r="L1247">
        <v>5.7</v>
      </c>
      <c r="M1247">
        <v>5.4</v>
      </c>
      <c r="N1247">
        <f t="shared" si="19"/>
        <v>71.7</v>
      </c>
    </row>
    <row r="1248" spans="1:14">
      <c r="A1248">
        <v>20196567</v>
      </c>
      <c r="B1248" t="s">
        <v>17</v>
      </c>
      <c r="C1248" t="str">
        <f>VLOOKUP(B1248,专业代码!$B$2:$C$8,2,FALSE)</f>
        <v>金融工程</v>
      </c>
      <c r="D1248">
        <v>8.9</v>
      </c>
      <c r="E1248">
        <v>8.6</v>
      </c>
      <c r="F1248">
        <v>8.5</v>
      </c>
      <c r="G1248">
        <v>8</v>
      </c>
      <c r="H1248">
        <v>6.8</v>
      </c>
      <c r="I1248">
        <v>9.5</v>
      </c>
      <c r="J1248">
        <v>7.1</v>
      </c>
      <c r="K1248">
        <v>5.6</v>
      </c>
      <c r="L1248">
        <v>3.3</v>
      </c>
      <c r="M1248">
        <v>4.7</v>
      </c>
      <c r="N1248">
        <f t="shared" si="19"/>
        <v>71</v>
      </c>
    </row>
    <row r="1249" spans="1:14">
      <c r="A1249">
        <v>20196667</v>
      </c>
      <c r="B1249" t="s">
        <v>17</v>
      </c>
      <c r="C1249" t="str">
        <f>VLOOKUP(B1249,专业代码!$B$2:$C$8,2,FALSE)</f>
        <v>金融工程</v>
      </c>
      <c r="D1249">
        <v>7.9</v>
      </c>
      <c r="E1249">
        <v>8</v>
      </c>
      <c r="F1249">
        <v>9.4</v>
      </c>
      <c r="G1249">
        <v>8.9</v>
      </c>
      <c r="H1249">
        <v>6.7</v>
      </c>
      <c r="I1249">
        <v>8.8</v>
      </c>
      <c r="J1249">
        <v>7.5</v>
      </c>
      <c r="K1249">
        <v>6.9</v>
      </c>
      <c r="L1249">
        <v>7.1</v>
      </c>
      <c r="M1249">
        <v>4.5</v>
      </c>
      <c r="N1249">
        <f t="shared" si="19"/>
        <v>75.7</v>
      </c>
    </row>
    <row r="1250" spans="1:14">
      <c r="A1250">
        <v>20198643</v>
      </c>
      <c r="B1250" t="s">
        <v>17</v>
      </c>
      <c r="C1250" t="str">
        <f>VLOOKUP(B1250,专业代码!$B$2:$C$8,2,FALSE)</f>
        <v>金融工程</v>
      </c>
      <c r="D1250">
        <v>8.3</v>
      </c>
      <c r="E1250">
        <v>8.2</v>
      </c>
      <c r="F1250">
        <v>7</v>
      </c>
      <c r="G1250">
        <v>7.6</v>
      </c>
      <c r="H1250">
        <v>7.6</v>
      </c>
      <c r="I1250">
        <v>9</v>
      </c>
      <c r="J1250">
        <v>5.8</v>
      </c>
      <c r="K1250">
        <v>6</v>
      </c>
      <c r="L1250">
        <v>6.7</v>
      </c>
      <c r="M1250">
        <v>7.2</v>
      </c>
      <c r="N1250">
        <f t="shared" si="19"/>
        <v>73.4</v>
      </c>
    </row>
    <row r="1251" spans="1:14">
      <c r="A1251">
        <v>20191301</v>
      </c>
      <c r="B1251" t="s">
        <v>17</v>
      </c>
      <c r="C1251" t="str">
        <f>VLOOKUP(B1251,专业代码!$B$2:$C$8,2,FALSE)</f>
        <v>金融工程</v>
      </c>
      <c r="D1251">
        <v>8.7</v>
      </c>
      <c r="E1251">
        <v>7.6</v>
      </c>
      <c r="F1251">
        <v>8.8</v>
      </c>
      <c r="G1251">
        <v>7.9</v>
      </c>
      <c r="H1251">
        <v>6.4</v>
      </c>
      <c r="I1251">
        <v>9.4</v>
      </c>
      <c r="J1251">
        <v>7.4</v>
      </c>
      <c r="K1251">
        <v>8</v>
      </c>
      <c r="L1251">
        <v>6.7</v>
      </c>
      <c r="M1251">
        <v>6.2</v>
      </c>
      <c r="N1251">
        <f t="shared" si="19"/>
        <v>77.1</v>
      </c>
    </row>
    <row r="1252" spans="1:14">
      <c r="A1252">
        <v>20196828</v>
      </c>
      <c r="B1252" t="s">
        <v>17</v>
      </c>
      <c r="C1252" t="str">
        <f>VLOOKUP(B1252,专业代码!$B$2:$C$8,2,FALSE)</f>
        <v>金融工程</v>
      </c>
      <c r="D1252">
        <v>7.8</v>
      </c>
      <c r="E1252">
        <v>8.2</v>
      </c>
      <c r="F1252">
        <v>8.2</v>
      </c>
      <c r="G1252">
        <v>8.2</v>
      </c>
      <c r="H1252">
        <v>7</v>
      </c>
      <c r="I1252">
        <v>7</v>
      </c>
      <c r="J1252">
        <v>6.8</v>
      </c>
      <c r="K1252">
        <v>7.5</v>
      </c>
      <c r="L1252">
        <v>7.6</v>
      </c>
      <c r="M1252">
        <v>7.3</v>
      </c>
      <c r="N1252">
        <f t="shared" si="19"/>
        <v>75.6</v>
      </c>
    </row>
    <row r="1253" spans="1:14">
      <c r="A1253">
        <v>20192451</v>
      </c>
      <c r="B1253" t="s">
        <v>17</v>
      </c>
      <c r="C1253" t="str">
        <f>VLOOKUP(B1253,专业代码!$B$2:$C$8,2,FALSE)</f>
        <v>金融工程</v>
      </c>
      <c r="D1253">
        <v>8.3</v>
      </c>
      <c r="E1253">
        <v>8.1</v>
      </c>
      <c r="F1253">
        <v>8.2</v>
      </c>
      <c r="G1253">
        <v>8</v>
      </c>
      <c r="H1253">
        <v>7</v>
      </c>
      <c r="I1253">
        <v>8.1</v>
      </c>
      <c r="J1253">
        <v>7.1</v>
      </c>
      <c r="K1253">
        <v>7.1</v>
      </c>
      <c r="L1253">
        <v>8.5</v>
      </c>
      <c r="M1253">
        <v>6.5</v>
      </c>
      <c r="N1253">
        <f t="shared" si="19"/>
        <v>76.9</v>
      </c>
    </row>
    <row r="1254" spans="1:14">
      <c r="A1254">
        <v>20192476</v>
      </c>
      <c r="B1254" t="s">
        <v>17</v>
      </c>
      <c r="C1254" t="str">
        <f>VLOOKUP(B1254,专业代码!$B$2:$C$8,2,FALSE)</f>
        <v>金融工程</v>
      </c>
      <c r="D1254">
        <v>8.4</v>
      </c>
      <c r="E1254">
        <v>7.1</v>
      </c>
      <c r="F1254">
        <v>8.4</v>
      </c>
      <c r="G1254">
        <v>7.7</v>
      </c>
      <c r="H1254">
        <v>7.5</v>
      </c>
      <c r="I1254">
        <v>6.8</v>
      </c>
      <c r="J1254">
        <v>8.2</v>
      </c>
      <c r="K1254">
        <v>7</v>
      </c>
      <c r="L1254">
        <v>6.5</v>
      </c>
      <c r="M1254">
        <v>5.6</v>
      </c>
      <c r="N1254">
        <f t="shared" si="19"/>
        <v>73.2</v>
      </c>
    </row>
    <row r="1255" spans="1:14">
      <c r="A1255">
        <v>20192892</v>
      </c>
      <c r="B1255" t="s">
        <v>17</v>
      </c>
      <c r="C1255" t="str">
        <f>VLOOKUP(B1255,专业代码!$B$2:$C$8,2,FALSE)</f>
        <v>金融工程</v>
      </c>
      <c r="D1255">
        <v>8.4</v>
      </c>
      <c r="E1255">
        <v>8.1</v>
      </c>
      <c r="F1255">
        <v>8</v>
      </c>
      <c r="G1255">
        <v>7.3</v>
      </c>
      <c r="H1255">
        <v>7.8</v>
      </c>
      <c r="I1255">
        <v>6.9</v>
      </c>
      <c r="J1255">
        <v>9.5</v>
      </c>
      <c r="K1255">
        <v>6.8</v>
      </c>
      <c r="L1255">
        <v>6.5</v>
      </c>
      <c r="M1255">
        <v>6.1</v>
      </c>
      <c r="N1255">
        <f t="shared" si="19"/>
        <v>75.4</v>
      </c>
    </row>
    <row r="1256" spans="1:14">
      <c r="A1256">
        <v>20194808</v>
      </c>
      <c r="B1256" t="s">
        <v>17</v>
      </c>
      <c r="C1256" t="str">
        <f>VLOOKUP(B1256,专业代码!$B$2:$C$8,2,FALSE)</f>
        <v>金融工程</v>
      </c>
      <c r="D1256">
        <v>8.3</v>
      </c>
      <c r="E1256">
        <v>8.2</v>
      </c>
      <c r="F1256">
        <v>7.1</v>
      </c>
      <c r="G1256">
        <v>6.5</v>
      </c>
      <c r="H1256">
        <v>6.7</v>
      </c>
      <c r="I1256">
        <v>8.2</v>
      </c>
      <c r="J1256">
        <v>9.2</v>
      </c>
      <c r="K1256">
        <v>7.4</v>
      </c>
      <c r="L1256">
        <v>7.1</v>
      </c>
      <c r="M1256">
        <v>4.7</v>
      </c>
      <c r="N1256">
        <f t="shared" si="19"/>
        <v>73.4</v>
      </c>
    </row>
    <row r="1257" spans="1:14">
      <c r="A1257">
        <v>20195414</v>
      </c>
      <c r="B1257" t="s">
        <v>17</v>
      </c>
      <c r="C1257" t="str">
        <f>VLOOKUP(B1257,专业代码!$B$2:$C$8,2,FALSE)</f>
        <v>金融工程</v>
      </c>
      <c r="D1257">
        <v>8</v>
      </c>
      <c r="E1257">
        <v>8.5</v>
      </c>
      <c r="F1257">
        <v>8.5</v>
      </c>
      <c r="G1257">
        <v>8.3</v>
      </c>
      <c r="H1257">
        <v>7.5</v>
      </c>
      <c r="I1257">
        <v>7</v>
      </c>
      <c r="J1257">
        <v>7.7</v>
      </c>
      <c r="K1257">
        <v>5.8</v>
      </c>
      <c r="L1257">
        <v>6.5</v>
      </c>
      <c r="M1257">
        <v>6.5</v>
      </c>
      <c r="N1257">
        <f t="shared" si="19"/>
        <v>74.3</v>
      </c>
    </row>
    <row r="1258" spans="1:14">
      <c r="A1258">
        <v>20196634</v>
      </c>
      <c r="B1258" t="s">
        <v>17</v>
      </c>
      <c r="C1258" t="str">
        <f>VLOOKUP(B1258,专业代码!$B$2:$C$8,2,FALSE)</f>
        <v>金融工程</v>
      </c>
      <c r="D1258">
        <v>8.2</v>
      </c>
      <c r="E1258">
        <v>9.1</v>
      </c>
      <c r="F1258">
        <v>7.7</v>
      </c>
      <c r="G1258">
        <v>7.1</v>
      </c>
      <c r="H1258">
        <v>7.9</v>
      </c>
      <c r="I1258">
        <v>6.8</v>
      </c>
      <c r="J1258">
        <v>7.2</v>
      </c>
      <c r="K1258">
        <v>6</v>
      </c>
      <c r="L1258">
        <v>8.3</v>
      </c>
      <c r="M1258">
        <v>3.5</v>
      </c>
      <c r="N1258">
        <f t="shared" si="19"/>
        <v>71.8</v>
      </c>
    </row>
    <row r="1259" spans="1:14">
      <c r="A1259">
        <v>20197452</v>
      </c>
      <c r="B1259" t="s">
        <v>17</v>
      </c>
      <c r="C1259" t="str">
        <f>VLOOKUP(B1259,专业代码!$B$2:$C$8,2,FALSE)</f>
        <v>金融工程</v>
      </c>
      <c r="D1259">
        <v>8.2</v>
      </c>
      <c r="E1259">
        <v>8.3</v>
      </c>
      <c r="F1259">
        <v>7.2</v>
      </c>
      <c r="G1259">
        <v>7.7</v>
      </c>
      <c r="H1259">
        <v>7.5</v>
      </c>
      <c r="I1259">
        <v>7.3</v>
      </c>
      <c r="J1259">
        <v>6.5</v>
      </c>
      <c r="K1259">
        <v>6.6</v>
      </c>
      <c r="L1259">
        <v>5.5</v>
      </c>
      <c r="M1259">
        <v>8.8</v>
      </c>
      <c r="N1259">
        <f t="shared" si="19"/>
        <v>73.6</v>
      </c>
    </row>
    <row r="1260" spans="1:14">
      <c r="A1260">
        <v>20197500</v>
      </c>
      <c r="B1260" t="s">
        <v>17</v>
      </c>
      <c r="C1260" t="str">
        <f>VLOOKUP(B1260,专业代码!$B$2:$C$8,2,FALSE)</f>
        <v>金融工程</v>
      </c>
      <c r="D1260">
        <v>8.1</v>
      </c>
      <c r="E1260">
        <v>8.1</v>
      </c>
      <c r="F1260">
        <v>8.6</v>
      </c>
      <c r="G1260">
        <v>7.8</v>
      </c>
      <c r="H1260">
        <v>6.6</v>
      </c>
      <c r="I1260">
        <v>7.1</v>
      </c>
      <c r="J1260">
        <v>8.3</v>
      </c>
      <c r="K1260">
        <v>7.7</v>
      </c>
      <c r="L1260">
        <v>6.1</v>
      </c>
      <c r="M1260">
        <v>7.3</v>
      </c>
      <c r="N1260">
        <f t="shared" si="19"/>
        <v>75.7</v>
      </c>
    </row>
    <row r="1261" spans="1:14">
      <c r="A1261">
        <v>20193249</v>
      </c>
      <c r="B1261" t="s">
        <v>17</v>
      </c>
      <c r="C1261" t="str">
        <f>VLOOKUP(B1261,专业代码!$B$2:$C$8,2,FALSE)</f>
        <v>金融工程</v>
      </c>
      <c r="D1261">
        <v>9.5</v>
      </c>
      <c r="E1261">
        <v>7.9</v>
      </c>
      <c r="F1261">
        <v>7</v>
      </c>
      <c r="G1261">
        <v>8.9</v>
      </c>
      <c r="H1261">
        <v>7.1</v>
      </c>
      <c r="I1261">
        <v>7.2</v>
      </c>
      <c r="J1261">
        <v>6.3</v>
      </c>
      <c r="K1261">
        <v>7.3</v>
      </c>
      <c r="L1261">
        <v>6.5</v>
      </c>
      <c r="M1261">
        <v>7.7</v>
      </c>
      <c r="N1261">
        <f t="shared" si="19"/>
        <v>75.4</v>
      </c>
    </row>
    <row r="1262" spans="1:14">
      <c r="A1262">
        <v>20193381</v>
      </c>
      <c r="B1262" t="s">
        <v>17</v>
      </c>
      <c r="C1262" t="str">
        <f>VLOOKUP(B1262,专业代码!$B$2:$C$8,2,FALSE)</f>
        <v>金融工程</v>
      </c>
      <c r="D1262">
        <v>7.8</v>
      </c>
      <c r="E1262">
        <v>8</v>
      </c>
      <c r="F1262">
        <v>7.6</v>
      </c>
      <c r="G1262">
        <v>7.9</v>
      </c>
      <c r="H1262">
        <v>8.7</v>
      </c>
      <c r="I1262">
        <v>6.7</v>
      </c>
      <c r="J1262">
        <v>7.6</v>
      </c>
      <c r="K1262">
        <v>7.3</v>
      </c>
      <c r="L1262">
        <v>6</v>
      </c>
      <c r="M1262">
        <v>7.6</v>
      </c>
      <c r="N1262">
        <f t="shared" si="19"/>
        <v>75.2</v>
      </c>
    </row>
    <row r="1263" spans="1:14">
      <c r="A1263">
        <v>20193996</v>
      </c>
      <c r="B1263" t="s">
        <v>17</v>
      </c>
      <c r="C1263" t="str">
        <f>VLOOKUP(B1263,专业代码!$B$2:$C$8,2,FALSE)</f>
        <v>金融工程</v>
      </c>
      <c r="D1263">
        <v>8.4</v>
      </c>
      <c r="E1263">
        <v>8.8</v>
      </c>
      <c r="F1263">
        <v>6.7</v>
      </c>
      <c r="G1263">
        <v>7.9</v>
      </c>
      <c r="H1263">
        <v>8.5</v>
      </c>
      <c r="I1263">
        <v>9.1</v>
      </c>
      <c r="J1263">
        <v>6.8</v>
      </c>
      <c r="K1263">
        <v>7.6</v>
      </c>
      <c r="L1263">
        <v>5.6</v>
      </c>
      <c r="M1263">
        <v>7.4</v>
      </c>
      <c r="N1263">
        <f t="shared" si="19"/>
        <v>76.8</v>
      </c>
    </row>
    <row r="1264" spans="1:14">
      <c r="A1264">
        <v>20194374</v>
      </c>
      <c r="B1264" t="s">
        <v>17</v>
      </c>
      <c r="C1264" t="str">
        <f>VLOOKUP(B1264,专业代码!$B$2:$C$8,2,FALSE)</f>
        <v>金融工程</v>
      </c>
      <c r="D1264">
        <v>8.9</v>
      </c>
      <c r="E1264">
        <v>8.1</v>
      </c>
      <c r="F1264">
        <v>8.3</v>
      </c>
      <c r="G1264">
        <v>8.4</v>
      </c>
      <c r="H1264">
        <v>9</v>
      </c>
      <c r="I1264">
        <v>6.9</v>
      </c>
      <c r="J1264">
        <v>7.5</v>
      </c>
      <c r="K1264">
        <v>7.7</v>
      </c>
      <c r="L1264">
        <v>7</v>
      </c>
      <c r="M1264">
        <v>7.3</v>
      </c>
      <c r="N1264">
        <f t="shared" si="19"/>
        <v>79.1</v>
      </c>
    </row>
    <row r="1265" spans="1:14">
      <c r="A1265">
        <v>20194857</v>
      </c>
      <c r="B1265" t="s">
        <v>17</v>
      </c>
      <c r="C1265" t="str">
        <f>VLOOKUP(B1265,专业代码!$B$2:$C$8,2,FALSE)</f>
        <v>金融工程</v>
      </c>
      <c r="D1265">
        <v>8</v>
      </c>
      <c r="E1265">
        <v>7.3</v>
      </c>
      <c r="F1265">
        <v>8</v>
      </c>
      <c r="G1265">
        <v>8.9</v>
      </c>
      <c r="H1265">
        <v>6.7</v>
      </c>
      <c r="I1265">
        <v>7.9</v>
      </c>
      <c r="J1265">
        <v>6.6</v>
      </c>
      <c r="K1265">
        <v>7.7</v>
      </c>
      <c r="L1265">
        <v>8</v>
      </c>
      <c r="M1265">
        <v>5.5</v>
      </c>
      <c r="N1265">
        <f t="shared" si="19"/>
        <v>74.6</v>
      </c>
    </row>
    <row r="1266" spans="1:14">
      <c r="A1266">
        <v>20191876</v>
      </c>
      <c r="B1266" t="s">
        <v>17</v>
      </c>
      <c r="C1266" t="str">
        <f>VLOOKUP(B1266,专业代码!$B$2:$C$8,2,FALSE)</f>
        <v>金融工程</v>
      </c>
      <c r="D1266">
        <v>9.1</v>
      </c>
      <c r="E1266">
        <v>7.5</v>
      </c>
      <c r="F1266">
        <v>8.2</v>
      </c>
      <c r="G1266">
        <v>8.1</v>
      </c>
      <c r="H1266">
        <v>8.8</v>
      </c>
      <c r="I1266">
        <v>7.9</v>
      </c>
      <c r="J1266">
        <v>8.1</v>
      </c>
      <c r="K1266">
        <v>6.2</v>
      </c>
      <c r="L1266">
        <v>7.9</v>
      </c>
      <c r="M1266">
        <v>6.1</v>
      </c>
      <c r="N1266">
        <f t="shared" si="19"/>
        <v>77.9</v>
      </c>
    </row>
    <row r="1267" spans="1:14">
      <c r="A1267">
        <v>20194387</v>
      </c>
      <c r="B1267" t="s">
        <v>17</v>
      </c>
      <c r="C1267" t="str">
        <f>VLOOKUP(B1267,专业代码!$B$2:$C$8,2,FALSE)</f>
        <v>金融工程</v>
      </c>
      <c r="D1267">
        <v>8.9</v>
      </c>
      <c r="E1267">
        <v>8.3</v>
      </c>
      <c r="F1267">
        <v>8.3</v>
      </c>
      <c r="G1267">
        <v>7.6</v>
      </c>
      <c r="H1267">
        <v>9.3</v>
      </c>
      <c r="I1267">
        <v>7.5</v>
      </c>
      <c r="J1267">
        <v>6.3</v>
      </c>
      <c r="K1267">
        <v>6.2</v>
      </c>
      <c r="L1267">
        <v>7.2</v>
      </c>
      <c r="M1267">
        <v>6.2</v>
      </c>
      <c r="N1267">
        <f t="shared" si="19"/>
        <v>75.8</v>
      </c>
    </row>
    <row r="1268" spans="1:14">
      <c r="A1268">
        <v>20195808</v>
      </c>
      <c r="B1268" t="s">
        <v>17</v>
      </c>
      <c r="C1268" t="str">
        <f>VLOOKUP(B1268,专业代码!$B$2:$C$8,2,FALSE)</f>
        <v>金融工程</v>
      </c>
      <c r="D1268">
        <v>8.2</v>
      </c>
      <c r="E1268">
        <v>9</v>
      </c>
      <c r="F1268">
        <v>8.5</v>
      </c>
      <c r="G1268">
        <v>7.9</v>
      </c>
      <c r="H1268">
        <v>8.3</v>
      </c>
      <c r="I1268">
        <v>8.1</v>
      </c>
      <c r="J1268">
        <v>6.4</v>
      </c>
      <c r="K1268">
        <v>6.1</v>
      </c>
      <c r="L1268">
        <v>7.1</v>
      </c>
      <c r="M1268">
        <v>6.7</v>
      </c>
      <c r="N1268">
        <f t="shared" si="19"/>
        <v>76.3</v>
      </c>
    </row>
    <row r="1269" spans="1:14">
      <c r="A1269">
        <v>20197135</v>
      </c>
      <c r="B1269" t="s">
        <v>17</v>
      </c>
      <c r="C1269" t="str">
        <f>VLOOKUP(B1269,专业代码!$B$2:$C$8,2,FALSE)</f>
        <v>金融工程</v>
      </c>
      <c r="D1269">
        <v>8.4</v>
      </c>
      <c r="E1269">
        <v>7.4</v>
      </c>
      <c r="F1269">
        <v>8.5</v>
      </c>
      <c r="G1269">
        <v>8.3</v>
      </c>
      <c r="H1269">
        <v>7.7</v>
      </c>
      <c r="I1269">
        <v>7.7</v>
      </c>
      <c r="J1269">
        <v>8.2</v>
      </c>
      <c r="K1269">
        <v>7.8</v>
      </c>
      <c r="L1269">
        <v>7.3</v>
      </c>
      <c r="M1269">
        <v>5.6</v>
      </c>
      <c r="N1269">
        <f t="shared" si="19"/>
        <v>76.9</v>
      </c>
    </row>
    <row r="1270" spans="1:14">
      <c r="A1270">
        <v>20198116</v>
      </c>
      <c r="B1270" t="s">
        <v>17</v>
      </c>
      <c r="C1270" t="str">
        <f>VLOOKUP(B1270,专业代码!$B$2:$C$8,2,FALSE)</f>
        <v>金融工程</v>
      </c>
      <c r="D1270">
        <v>8.1</v>
      </c>
      <c r="E1270">
        <v>9</v>
      </c>
      <c r="F1270">
        <v>8.8</v>
      </c>
      <c r="G1270">
        <v>8.3</v>
      </c>
      <c r="H1270">
        <v>6.4</v>
      </c>
      <c r="I1270">
        <v>7</v>
      </c>
      <c r="J1270">
        <v>7.8</v>
      </c>
      <c r="K1270">
        <v>7.4</v>
      </c>
      <c r="L1270">
        <v>7.5</v>
      </c>
      <c r="M1270">
        <v>8.4</v>
      </c>
      <c r="N1270">
        <f t="shared" si="19"/>
        <v>78.7</v>
      </c>
    </row>
    <row r="1271" spans="1:14">
      <c r="A1271">
        <v>20199034</v>
      </c>
      <c r="B1271" t="s">
        <v>17</v>
      </c>
      <c r="C1271" t="str">
        <f>VLOOKUP(B1271,专业代码!$B$2:$C$8,2,FALSE)</f>
        <v>金融工程</v>
      </c>
      <c r="D1271">
        <v>9</v>
      </c>
      <c r="E1271">
        <v>8.2</v>
      </c>
      <c r="F1271">
        <v>8.9</v>
      </c>
      <c r="G1271">
        <v>8.1</v>
      </c>
      <c r="H1271">
        <v>6.9</v>
      </c>
      <c r="I1271">
        <v>7.6</v>
      </c>
      <c r="J1271">
        <v>7</v>
      </c>
      <c r="K1271">
        <v>7.4</v>
      </c>
      <c r="L1271">
        <v>5.9</v>
      </c>
      <c r="M1271">
        <v>6.8</v>
      </c>
      <c r="N1271">
        <f t="shared" si="19"/>
        <v>75.8</v>
      </c>
    </row>
    <row r="1272" spans="1:14">
      <c r="A1272">
        <v>20192043</v>
      </c>
      <c r="B1272" t="s">
        <v>17</v>
      </c>
      <c r="C1272" t="str">
        <f>VLOOKUP(B1272,专业代码!$B$2:$C$8,2,FALSE)</f>
        <v>金融工程</v>
      </c>
      <c r="D1272">
        <v>8.2</v>
      </c>
      <c r="E1272">
        <v>7.4</v>
      </c>
      <c r="F1272">
        <v>8.9</v>
      </c>
      <c r="G1272">
        <v>8.7</v>
      </c>
      <c r="H1272">
        <v>8.7</v>
      </c>
      <c r="I1272">
        <v>8.4</v>
      </c>
      <c r="J1272">
        <v>7.4</v>
      </c>
      <c r="K1272">
        <v>6.5</v>
      </c>
      <c r="L1272">
        <v>6.8</v>
      </c>
      <c r="M1272">
        <v>5.6</v>
      </c>
      <c r="N1272">
        <f t="shared" si="19"/>
        <v>76.6</v>
      </c>
    </row>
    <row r="1273" spans="1:14">
      <c r="A1273">
        <v>20192729</v>
      </c>
      <c r="B1273" t="s">
        <v>17</v>
      </c>
      <c r="C1273" t="str">
        <f>VLOOKUP(B1273,专业代码!$B$2:$C$8,2,FALSE)</f>
        <v>金融工程</v>
      </c>
      <c r="D1273">
        <v>8.2</v>
      </c>
      <c r="E1273">
        <v>8.7</v>
      </c>
      <c r="F1273">
        <v>8.2</v>
      </c>
      <c r="G1273">
        <v>7.2</v>
      </c>
      <c r="H1273">
        <v>7.2</v>
      </c>
      <c r="I1273">
        <v>6.8</v>
      </c>
      <c r="J1273">
        <v>8.8</v>
      </c>
      <c r="K1273">
        <v>6.4</v>
      </c>
      <c r="L1273">
        <v>8.3</v>
      </c>
      <c r="M1273">
        <v>5.6</v>
      </c>
      <c r="N1273">
        <f t="shared" si="19"/>
        <v>75.4</v>
      </c>
    </row>
    <row r="1274" spans="1:14">
      <c r="A1274">
        <v>20192758</v>
      </c>
      <c r="B1274" t="s">
        <v>17</v>
      </c>
      <c r="C1274" t="str">
        <f>VLOOKUP(B1274,专业代码!$B$2:$C$8,2,FALSE)</f>
        <v>金融工程</v>
      </c>
      <c r="D1274">
        <v>8.3</v>
      </c>
      <c r="E1274">
        <v>7.7</v>
      </c>
      <c r="F1274">
        <v>9</v>
      </c>
      <c r="G1274">
        <v>8.2</v>
      </c>
      <c r="H1274">
        <v>6.6</v>
      </c>
      <c r="I1274">
        <v>7.2</v>
      </c>
      <c r="J1274">
        <v>5.7</v>
      </c>
      <c r="K1274">
        <v>6.2</v>
      </c>
      <c r="L1274">
        <v>6.6</v>
      </c>
      <c r="M1274">
        <v>5.4</v>
      </c>
      <c r="N1274">
        <f t="shared" si="19"/>
        <v>70.9</v>
      </c>
    </row>
    <row r="1275" spans="1:14">
      <c r="A1275">
        <v>20193294</v>
      </c>
      <c r="B1275" t="s">
        <v>17</v>
      </c>
      <c r="C1275" t="str">
        <f>VLOOKUP(B1275,专业代码!$B$2:$C$8,2,FALSE)</f>
        <v>金融工程</v>
      </c>
      <c r="D1275">
        <v>8.5</v>
      </c>
      <c r="E1275">
        <v>8.4</v>
      </c>
      <c r="F1275">
        <v>8.2</v>
      </c>
      <c r="G1275">
        <v>7.5</v>
      </c>
      <c r="H1275">
        <v>8.4</v>
      </c>
      <c r="I1275">
        <v>7.9</v>
      </c>
      <c r="J1275">
        <v>7.9</v>
      </c>
      <c r="K1275">
        <v>4.4</v>
      </c>
      <c r="L1275">
        <v>7.6</v>
      </c>
      <c r="M1275">
        <v>5</v>
      </c>
      <c r="N1275">
        <f t="shared" si="19"/>
        <v>73.8</v>
      </c>
    </row>
    <row r="1276" spans="1:14">
      <c r="A1276">
        <v>20193594</v>
      </c>
      <c r="B1276" t="s">
        <v>17</v>
      </c>
      <c r="C1276" t="str">
        <f>VLOOKUP(B1276,专业代码!$B$2:$C$8,2,FALSE)</f>
        <v>金融工程</v>
      </c>
      <c r="D1276">
        <v>7.9</v>
      </c>
      <c r="E1276">
        <v>8.7</v>
      </c>
      <c r="F1276">
        <v>7.4</v>
      </c>
      <c r="G1276">
        <v>8.3</v>
      </c>
      <c r="H1276">
        <v>8.8</v>
      </c>
      <c r="I1276">
        <v>8.3</v>
      </c>
      <c r="J1276">
        <v>7.6</v>
      </c>
      <c r="K1276">
        <v>6.2</v>
      </c>
      <c r="L1276">
        <v>8.2</v>
      </c>
      <c r="M1276">
        <v>5.3</v>
      </c>
      <c r="N1276">
        <f t="shared" si="19"/>
        <v>76.7</v>
      </c>
    </row>
    <row r="1277" spans="1:14">
      <c r="A1277">
        <v>20193880</v>
      </c>
      <c r="B1277" t="s">
        <v>17</v>
      </c>
      <c r="C1277" t="str">
        <f>VLOOKUP(B1277,专业代码!$B$2:$C$8,2,FALSE)</f>
        <v>金融工程</v>
      </c>
      <c r="D1277">
        <v>9.2</v>
      </c>
      <c r="E1277">
        <v>8.3</v>
      </c>
      <c r="F1277">
        <v>8.2</v>
      </c>
      <c r="G1277">
        <v>7.7</v>
      </c>
      <c r="H1277">
        <v>8.8</v>
      </c>
      <c r="I1277">
        <v>8.5</v>
      </c>
      <c r="J1277">
        <v>6.2</v>
      </c>
      <c r="K1277">
        <v>6.9</v>
      </c>
      <c r="L1277">
        <v>6.8</v>
      </c>
      <c r="M1277">
        <v>5.9</v>
      </c>
      <c r="N1277">
        <f t="shared" si="19"/>
        <v>76.5</v>
      </c>
    </row>
    <row r="1278" spans="1:14">
      <c r="A1278">
        <v>20194586</v>
      </c>
      <c r="B1278" t="s">
        <v>17</v>
      </c>
      <c r="C1278" t="str">
        <f>VLOOKUP(B1278,专业代码!$B$2:$C$8,2,FALSE)</f>
        <v>金融工程</v>
      </c>
      <c r="D1278">
        <v>8</v>
      </c>
      <c r="E1278">
        <v>8.9</v>
      </c>
      <c r="F1278">
        <v>7.1</v>
      </c>
      <c r="G1278">
        <v>8</v>
      </c>
      <c r="H1278">
        <v>9.5</v>
      </c>
      <c r="I1278">
        <v>6.7</v>
      </c>
      <c r="J1278">
        <v>7.3</v>
      </c>
      <c r="K1278">
        <v>6.7</v>
      </c>
      <c r="L1278">
        <v>7.4</v>
      </c>
      <c r="M1278">
        <v>5.4</v>
      </c>
      <c r="N1278">
        <f t="shared" si="19"/>
        <v>75</v>
      </c>
    </row>
    <row r="1279" spans="1:14">
      <c r="A1279">
        <v>20194731</v>
      </c>
      <c r="B1279" t="s">
        <v>17</v>
      </c>
      <c r="C1279" t="str">
        <f>VLOOKUP(B1279,专业代码!$B$2:$C$8,2,FALSE)</f>
        <v>金融工程</v>
      </c>
      <c r="D1279">
        <v>9.3</v>
      </c>
      <c r="E1279">
        <v>8.7</v>
      </c>
      <c r="F1279">
        <v>9</v>
      </c>
      <c r="G1279">
        <v>7.8</v>
      </c>
      <c r="H1279">
        <v>8</v>
      </c>
      <c r="I1279">
        <v>6.9</v>
      </c>
      <c r="J1279">
        <v>7.6</v>
      </c>
      <c r="K1279">
        <v>7.9</v>
      </c>
      <c r="L1279">
        <v>6.3</v>
      </c>
      <c r="M1279">
        <v>6.3</v>
      </c>
      <c r="N1279">
        <f t="shared" si="19"/>
        <v>77.8</v>
      </c>
    </row>
    <row r="1280" spans="1:14">
      <c r="A1280">
        <v>20195673</v>
      </c>
      <c r="B1280" t="s">
        <v>17</v>
      </c>
      <c r="C1280" t="str">
        <f>VLOOKUP(B1280,专业代码!$B$2:$C$8,2,FALSE)</f>
        <v>金融工程</v>
      </c>
      <c r="D1280">
        <v>8.4</v>
      </c>
      <c r="E1280">
        <v>8.7</v>
      </c>
      <c r="F1280">
        <v>8.9</v>
      </c>
      <c r="G1280">
        <v>7.4</v>
      </c>
      <c r="H1280">
        <v>7.9</v>
      </c>
      <c r="I1280">
        <v>7.8</v>
      </c>
      <c r="J1280">
        <v>7.7</v>
      </c>
      <c r="K1280">
        <v>6.6</v>
      </c>
      <c r="L1280">
        <v>6.1</v>
      </c>
      <c r="M1280">
        <v>3.8</v>
      </c>
      <c r="N1280">
        <f t="shared" si="19"/>
        <v>73.3</v>
      </c>
    </row>
    <row r="1281" spans="1:14">
      <c r="A1281">
        <v>20196042</v>
      </c>
      <c r="B1281" t="s">
        <v>17</v>
      </c>
      <c r="C1281" t="str">
        <f>VLOOKUP(B1281,专业代码!$B$2:$C$8,2,FALSE)</f>
        <v>金融工程</v>
      </c>
      <c r="D1281">
        <v>8.5</v>
      </c>
      <c r="E1281">
        <v>8.4</v>
      </c>
      <c r="F1281">
        <v>8.6</v>
      </c>
      <c r="G1281">
        <v>8</v>
      </c>
      <c r="H1281">
        <v>8.1</v>
      </c>
      <c r="I1281">
        <v>8.4</v>
      </c>
      <c r="J1281">
        <v>8.4</v>
      </c>
      <c r="K1281">
        <v>7.1</v>
      </c>
      <c r="L1281">
        <v>6.7</v>
      </c>
      <c r="M1281">
        <v>5.7</v>
      </c>
      <c r="N1281">
        <f t="shared" si="19"/>
        <v>77.9</v>
      </c>
    </row>
    <row r="1282" spans="1:14">
      <c r="A1282">
        <v>20196176</v>
      </c>
      <c r="B1282" t="s">
        <v>17</v>
      </c>
      <c r="C1282" t="str">
        <f>VLOOKUP(B1282,专业代码!$B$2:$C$8,2,FALSE)</f>
        <v>金融工程</v>
      </c>
      <c r="D1282">
        <v>8.4</v>
      </c>
      <c r="E1282">
        <v>7.2</v>
      </c>
      <c r="F1282">
        <v>8.8</v>
      </c>
      <c r="G1282">
        <v>7.7</v>
      </c>
      <c r="H1282">
        <v>7.3</v>
      </c>
      <c r="I1282">
        <v>6.6</v>
      </c>
      <c r="J1282">
        <v>8.9</v>
      </c>
      <c r="K1282">
        <v>7.4</v>
      </c>
      <c r="L1282">
        <v>7.4</v>
      </c>
      <c r="M1282">
        <v>2.7</v>
      </c>
      <c r="N1282">
        <f t="shared" si="19"/>
        <v>72.4</v>
      </c>
    </row>
    <row r="1283" spans="1:14">
      <c r="A1283">
        <v>20196514</v>
      </c>
      <c r="B1283" t="s">
        <v>17</v>
      </c>
      <c r="C1283" t="str">
        <f>VLOOKUP(B1283,专业代码!$B$2:$C$8,2,FALSE)</f>
        <v>金融工程</v>
      </c>
      <c r="D1283">
        <v>8.3</v>
      </c>
      <c r="E1283">
        <v>8.5</v>
      </c>
      <c r="F1283">
        <v>8.8</v>
      </c>
      <c r="G1283">
        <v>7.8</v>
      </c>
      <c r="H1283">
        <v>7.8</v>
      </c>
      <c r="I1283">
        <v>7.2</v>
      </c>
      <c r="J1283">
        <v>6.9</v>
      </c>
      <c r="K1283">
        <v>6.9</v>
      </c>
      <c r="L1283">
        <v>7</v>
      </c>
      <c r="M1283">
        <v>6.8</v>
      </c>
      <c r="N1283">
        <f t="shared" ref="N1283:N1346" si="20">SUM(D1283:M1283)</f>
        <v>76</v>
      </c>
    </row>
    <row r="1284" spans="1:14">
      <c r="A1284">
        <v>20197647</v>
      </c>
      <c r="B1284" t="s">
        <v>17</v>
      </c>
      <c r="C1284" t="str">
        <f>VLOOKUP(B1284,专业代码!$B$2:$C$8,2,FALSE)</f>
        <v>金融工程</v>
      </c>
      <c r="D1284">
        <v>9.2</v>
      </c>
      <c r="E1284">
        <v>8.3</v>
      </c>
      <c r="F1284">
        <v>8.9</v>
      </c>
      <c r="G1284">
        <v>8.2</v>
      </c>
      <c r="H1284">
        <v>7.4</v>
      </c>
      <c r="I1284">
        <v>7.3</v>
      </c>
      <c r="J1284">
        <v>5.6</v>
      </c>
      <c r="K1284">
        <v>6.8</v>
      </c>
      <c r="L1284">
        <v>6.1</v>
      </c>
      <c r="M1284">
        <v>6.1</v>
      </c>
      <c r="N1284">
        <f t="shared" si="20"/>
        <v>73.9</v>
      </c>
    </row>
    <row r="1285" spans="1:14">
      <c r="A1285">
        <v>20198373</v>
      </c>
      <c r="B1285" t="s">
        <v>17</v>
      </c>
      <c r="C1285" t="str">
        <f>VLOOKUP(B1285,专业代码!$B$2:$C$8,2,FALSE)</f>
        <v>金融工程</v>
      </c>
      <c r="D1285">
        <v>8.7</v>
      </c>
      <c r="E1285">
        <v>8.8</v>
      </c>
      <c r="F1285">
        <v>7.6</v>
      </c>
      <c r="G1285">
        <v>7.3</v>
      </c>
      <c r="H1285">
        <v>8.3</v>
      </c>
      <c r="I1285">
        <v>7.2</v>
      </c>
      <c r="J1285">
        <v>7.9</v>
      </c>
      <c r="K1285">
        <v>6.2</v>
      </c>
      <c r="L1285">
        <v>6.5</v>
      </c>
      <c r="M1285">
        <v>7.7</v>
      </c>
      <c r="N1285">
        <f t="shared" si="20"/>
        <v>76.2</v>
      </c>
    </row>
    <row r="1286" spans="1:14">
      <c r="A1286">
        <v>20198860</v>
      </c>
      <c r="B1286" t="s">
        <v>17</v>
      </c>
      <c r="C1286" t="str">
        <f>VLOOKUP(B1286,专业代码!$B$2:$C$8,2,FALSE)</f>
        <v>金融工程</v>
      </c>
      <c r="D1286">
        <v>9</v>
      </c>
      <c r="E1286">
        <v>9.1</v>
      </c>
      <c r="F1286">
        <v>7.9</v>
      </c>
      <c r="G1286">
        <v>8.6</v>
      </c>
      <c r="H1286">
        <v>6.7</v>
      </c>
      <c r="I1286">
        <v>7.8</v>
      </c>
      <c r="J1286">
        <v>7.9</v>
      </c>
      <c r="K1286">
        <v>6.5</v>
      </c>
      <c r="L1286">
        <v>8.1</v>
      </c>
      <c r="M1286">
        <v>6.7</v>
      </c>
      <c r="N1286">
        <f t="shared" si="20"/>
        <v>78.3</v>
      </c>
    </row>
    <row r="1287" spans="1:14">
      <c r="A1287">
        <v>20193151</v>
      </c>
      <c r="B1287" t="s">
        <v>17</v>
      </c>
      <c r="C1287" t="str">
        <f>VLOOKUP(B1287,专业代码!$B$2:$C$8,2,FALSE)</f>
        <v>金融工程</v>
      </c>
      <c r="D1287">
        <v>8.6</v>
      </c>
      <c r="E1287">
        <v>8</v>
      </c>
      <c r="F1287">
        <v>7.2</v>
      </c>
      <c r="G1287">
        <v>8.1</v>
      </c>
      <c r="H1287">
        <v>7.2</v>
      </c>
      <c r="I1287">
        <v>8</v>
      </c>
      <c r="J1287">
        <v>6.8</v>
      </c>
      <c r="K1287">
        <v>7.1</v>
      </c>
      <c r="L1287">
        <v>6.7</v>
      </c>
      <c r="M1287">
        <v>6.8</v>
      </c>
      <c r="N1287">
        <f t="shared" si="20"/>
        <v>74.5</v>
      </c>
    </row>
    <row r="1288" spans="1:14">
      <c r="A1288">
        <v>20194918</v>
      </c>
      <c r="B1288" t="s">
        <v>17</v>
      </c>
      <c r="C1288" t="str">
        <f>VLOOKUP(B1288,专业代码!$B$2:$C$8,2,FALSE)</f>
        <v>金融工程</v>
      </c>
      <c r="D1288">
        <v>8.4</v>
      </c>
      <c r="E1288">
        <v>8.2</v>
      </c>
      <c r="F1288">
        <v>8.2</v>
      </c>
      <c r="G1288">
        <v>6.9</v>
      </c>
      <c r="H1288">
        <v>7.9</v>
      </c>
      <c r="I1288">
        <v>8.5</v>
      </c>
      <c r="J1288">
        <v>6</v>
      </c>
      <c r="K1288">
        <v>7.3</v>
      </c>
      <c r="L1288">
        <v>4.9</v>
      </c>
      <c r="M1288">
        <v>6.9</v>
      </c>
      <c r="N1288">
        <f t="shared" si="20"/>
        <v>73.2</v>
      </c>
    </row>
    <row r="1289" spans="1:14">
      <c r="A1289">
        <v>20194960</v>
      </c>
      <c r="B1289" t="s">
        <v>17</v>
      </c>
      <c r="C1289" t="str">
        <f>VLOOKUP(B1289,专业代码!$B$2:$C$8,2,FALSE)</f>
        <v>金融工程</v>
      </c>
      <c r="D1289">
        <v>8.5</v>
      </c>
      <c r="E1289">
        <v>8.2</v>
      </c>
      <c r="F1289">
        <v>8.2</v>
      </c>
      <c r="G1289">
        <v>8.1</v>
      </c>
      <c r="H1289">
        <v>5.7</v>
      </c>
      <c r="I1289">
        <v>7.7</v>
      </c>
      <c r="J1289">
        <v>6.8</v>
      </c>
      <c r="K1289">
        <v>6.6</v>
      </c>
      <c r="L1289">
        <v>5.5</v>
      </c>
      <c r="M1289">
        <v>4.2</v>
      </c>
      <c r="N1289">
        <f t="shared" si="20"/>
        <v>69.5</v>
      </c>
    </row>
    <row r="1290" spans="1:14">
      <c r="A1290">
        <v>20196565</v>
      </c>
      <c r="B1290" t="s">
        <v>17</v>
      </c>
      <c r="C1290" t="str">
        <f>VLOOKUP(B1290,专业代码!$B$2:$C$8,2,FALSE)</f>
        <v>金融工程</v>
      </c>
      <c r="D1290">
        <v>8.6</v>
      </c>
      <c r="E1290">
        <v>9.2</v>
      </c>
      <c r="F1290">
        <v>7.9</v>
      </c>
      <c r="G1290">
        <v>8.3</v>
      </c>
      <c r="H1290">
        <v>6.9</v>
      </c>
      <c r="I1290">
        <v>7.8</v>
      </c>
      <c r="J1290">
        <v>6.7</v>
      </c>
      <c r="K1290">
        <v>7.9</v>
      </c>
      <c r="L1290">
        <v>6.1</v>
      </c>
      <c r="M1290">
        <v>6.7</v>
      </c>
      <c r="N1290">
        <f t="shared" si="20"/>
        <v>76.1</v>
      </c>
    </row>
    <row r="1291" spans="1:14">
      <c r="A1291">
        <v>20197096</v>
      </c>
      <c r="B1291" t="s">
        <v>17</v>
      </c>
      <c r="C1291" t="str">
        <f>VLOOKUP(B1291,专业代码!$B$2:$C$8,2,FALSE)</f>
        <v>金融工程</v>
      </c>
      <c r="D1291">
        <v>8.4</v>
      </c>
      <c r="E1291">
        <v>9.2</v>
      </c>
      <c r="F1291">
        <v>8.6</v>
      </c>
      <c r="G1291">
        <v>7.4</v>
      </c>
      <c r="H1291">
        <v>8.4</v>
      </c>
      <c r="I1291">
        <v>8.2</v>
      </c>
      <c r="J1291">
        <v>7.8</v>
      </c>
      <c r="K1291">
        <v>8.3</v>
      </c>
      <c r="L1291">
        <v>7.8</v>
      </c>
      <c r="M1291">
        <v>7.5</v>
      </c>
      <c r="N1291">
        <f t="shared" si="20"/>
        <v>81.6</v>
      </c>
    </row>
    <row r="1292" spans="1:14">
      <c r="A1292">
        <v>20199747</v>
      </c>
      <c r="B1292" t="s">
        <v>17</v>
      </c>
      <c r="C1292" t="str">
        <f>VLOOKUP(B1292,专业代码!$B$2:$C$8,2,FALSE)</f>
        <v>金融工程</v>
      </c>
      <c r="D1292">
        <v>8.7</v>
      </c>
      <c r="E1292">
        <v>8.5</v>
      </c>
      <c r="F1292">
        <v>8.3</v>
      </c>
      <c r="G1292">
        <v>7.1</v>
      </c>
      <c r="H1292">
        <v>8.4</v>
      </c>
      <c r="I1292">
        <v>5.6</v>
      </c>
      <c r="J1292">
        <v>6.5</v>
      </c>
      <c r="K1292">
        <v>8.1</v>
      </c>
      <c r="L1292">
        <v>6.7</v>
      </c>
      <c r="M1292">
        <v>5.7</v>
      </c>
      <c r="N1292">
        <f t="shared" si="20"/>
        <v>73.6</v>
      </c>
    </row>
    <row r="1293" spans="1:14">
      <c r="A1293">
        <v>20192984</v>
      </c>
      <c r="B1293" t="s">
        <v>17</v>
      </c>
      <c r="C1293" t="str">
        <f>VLOOKUP(B1293,专业代码!$B$2:$C$8,2,FALSE)</f>
        <v>金融工程</v>
      </c>
      <c r="D1293">
        <v>8.9</v>
      </c>
      <c r="E1293">
        <v>8.3</v>
      </c>
      <c r="F1293">
        <v>8.5</v>
      </c>
      <c r="G1293">
        <v>7.3</v>
      </c>
      <c r="H1293">
        <v>7</v>
      </c>
      <c r="I1293">
        <v>7.6</v>
      </c>
      <c r="J1293">
        <v>8.7</v>
      </c>
      <c r="K1293">
        <v>7.9</v>
      </c>
      <c r="L1293">
        <v>6.1</v>
      </c>
      <c r="M1293">
        <v>6.4</v>
      </c>
      <c r="N1293">
        <f t="shared" si="20"/>
        <v>76.7</v>
      </c>
    </row>
    <row r="1294" spans="1:14">
      <c r="A1294">
        <v>20195069</v>
      </c>
      <c r="B1294" t="s">
        <v>17</v>
      </c>
      <c r="C1294" t="str">
        <f>VLOOKUP(B1294,专业代码!$B$2:$C$8,2,FALSE)</f>
        <v>金融工程</v>
      </c>
      <c r="D1294">
        <v>7.9</v>
      </c>
      <c r="E1294">
        <v>9.1</v>
      </c>
      <c r="F1294">
        <v>8.3</v>
      </c>
      <c r="G1294">
        <v>8.1</v>
      </c>
      <c r="H1294">
        <v>7.3</v>
      </c>
      <c r="I1294">
        <v>8.6</v>
      </c>
      <c r="J1294">
        <v>8.7</v>
      </c>
      <c r="K1294">
        <v>7.2</v>
      </c>
      <c r="L1294">
        <v>6.7</v>
      </c>
      <c r="M1294">
        <v>6.3</v>
      </c>
      <c r="N1294">
        <f t="shared" si="20"/>
        <v>78.2</v>
      </c>
    </row>
    <row r="1295" spans="1:14">
      <c r="A1295">
        <v>20199592</v>
      </c>
      <c r="B1295" t="s">
        <v>17</v>
      </c>
      <c r="C1295" t="str">
        <f>VLOOKUP(B1295,专业代码!$B$2:$C$8,2,FALSE)</f>
        <v>金融工程</v>
      </c>
      <c r="D1295">
        <v>8</v>
      </c>
      <c r="E1295">
        <v>9.1</v>
      </c>
      <c r="F1295">
        <v>8.5</v>
      </c>
      <c r="G1295">
        <v>7.2</v>
      </c>
      <c r="H1295">
        <v>7.8</v>
      </c>
      <c r="I1295">
        <v>7.9</v>
      </c>
      <c r="J1295">
        <v>7.3</v>
      </c>
      <c r="K1295">
        <v>6.5</v>
      </c>
      <c r="L1295">
        <v>6.7</v>
      </c>
      <c r="M1295">
        <v>4.6</v>
      </c>
      <c r="N1295">
        <f t="shared" si="20"/>
        <v>73.6</v>
      </c>
    </row>
    <row r="1296" spans="1:14">
      <c r="A1296">
        <v>20192740</v>
      </c>
      <c r="B1296" t="s">
        <v>17</v>
      </c>
      <c r="C1296" t="str">
        <f>VLOOKUP(B1296,专业代码!$B$2:$C$8,2,FALSE)</f>
        <v>金融工程</v>
      </c>
      <c r="D1296">
        <v>8.4</v>
      </c>
      <c r="E1296">
        <v>7.8</v>
      </c>
      <c r="F1296">
        <v>8.6</v>
      </c>
      <c r="G1296">
        <v>8</v>
      </c>
      <c r="H1296">
        <v>6.7</v>
      </c>
      <c r="I1296">
        <v>7.8</v>
      </c>
      <c r="J1296">
        <v>8.2</v>
      </c>
      <c r="K1296">
        <v>5.7</v>
      </c>
      <c r="L1296">
        <v>7</v>
      </c>
      <c r="M1296">
        <v>6.6</v>
      </c>
      <c r="N1296">
        <f t="shared" si="20"/>
        <v>74.8</v>
      </c>
    </row>
    <row r="1297" spans="1:14">
      <c r="A1297">
        <v>20193073</v>
      </c>
      <c r="B1297" t="s">
        <v>17</v>
      </c>
      <c r="C1297" t="str">
        <f>VLOOKUP(B1297,专业代码!$B$2:$C$8,2,FALSE)</f>
        <v>金融工程</v>
      </c>
      <c r="D1297">
        <v>8.4</v>
      </c>
      <c r="E1297">
        <v>9</v>
      </c>
      <c r="F1297">
        <v>8</v>
      </c>
      <c r="G1297">
        <v>8</v>
      </c>
      <c r="H1297">
        <v>9</v>
      </c>
      <c r="I1297">
        <v>7.9</v>
      </c>
      <c r="J1297">
        <v>6</v>
      </c>
      <c r="K1297">
        <v>8.3</v>
      </c>
      <c r="L1297">
        <v>7.4</v>
      </c>
      <c r="M1297">
        <v>6.8</v>
      </c>
      <c r="N1297">
        <f t="shared" si="20"/>
        <v>78.8</v>
      </c>
    </row>
    <row r="1298" spans="1:14">
      <c r="A1298">
        <v>20196482</v>
      </c>
      <c r="B1298" t="s">
        <v>17</v>
      </c>
      <c r="C1298" t="str">
        <f>VLOOKUP(B1298,专业代码!$B$2:$C$8,2,FALSE)</f>
        <v>金融工程</v>
      </c>
      <c r="D1298">
        <v>9.2</v>
      </c>
      <c r="E1298">
        <v>8.6</v>
      </c>
      <c r="F1298">
        <v>7.1</v>
      </c>
      <c r="G1298">
        <v>8.7</v>
      </c>
      <c r="H1298">
        <v>9.2</v>
      </c>
      <c r="I1298">
        <v>7.4</v>
      </c>
      <c r="J1298">
        <v>7</v>
      </c>
      <c r="K1298">
        <v>7.3</v>
      </c>
      <c r="L1298">
        <v>8.2</v>
      </c>
      <c r="M1298">
        <v>6.3</v>
      </c>
      <c r="N1298">
        <f t="shared" si="20"/>
        <v>79</v>
      </c>
    </row>
    <row r="1299" spans="1:14">
      <c r="A1299">
        <v>20196825</v>
      </c>
      <c r="B1299" t="s">
        <v>17</v>
      </c>
      <c r="C1299" t="str">
        <f>VLOOKUP(B1299,专业代码!$B$2:$C$8,2,FALSE)</f>
        <v>金融工程</v>
      </c>
      <c r="D1299">
        <v>8.1</v>
      </c>
      <c r="E1299">
        <v>8.1</v>
      </c>
      <c r="F1299">
        <v>9.2</v>
      </c>
      <c r="G1299">
        <v>8.5</v>
      </c>
      <c r="H1299">
        <v>8.3</v>
      </c>
      <c r="I1299">
        <v>8.6</v>
      </c>
      <c r="J1299">
        <v>7</v>
      </c>
      <c r="K1299">
        <v>9.1</v>
      </c>
      <c r="L1299">
        <v>5.9</v>
      </c>
      <c r="M1299">
        <v>5.4</v>
      </c>
      <c r="N1299">
        <f t="shared" si="20"/>
        <v>78.2</v>
      </c>
    </row>
    <row r="1300" spans="1:14">
      <c r="A1300">
        <v>20196918</v>
      </c>
      <c r="B1300" t="s">
        <v>17</v>
      </c>
      <c r="C1300" t="str">
        <f>VLOOKUP(B1300,专业代码!$B$2:$C$8,2,FALSE)</f>
        <v>金融工程</v>
      </c>
      <c r="D1300">
        <v>8.8</v>
      </c>
      <c r="E1300">
        <v>8.1</v>
      </c>
      <c r="F1300">
        <v>8.3</v>
      </c>
      <c r="G1300">
        <v>8</v>
      </c>
      <c r="H1300">
        <v>8.6</v>
      </c>
      <c r="I1300">
        <v>7.4</v>
      </c>
      <c r="J1300">
        <v>8.2</v>
      </c>
      <c r="K1300">
        <v>5.2</v>
      </c>
      <c r="L1300">
        <v>5.3</v>
      </c>
      <c r="M1300">
        <v>6.8</v>
      </c>
      <c r="N1300">
        <f t="shared" si="20"/>
        <v>74.7</v>
      </c>
    </row>
    <row r="1301" spans="1:14">
      <c r="A1301">
        <v>20197023</v>
      </c>
      <c r="B1301" t="s">
        <v>17</v>
      </c>
      <c r="C1301" t="str">
        <f>VLOOKUP(B1301,专业代码!$B$2:$C$8,2,FALSE)</f>
        <v>金融工程</v>
      </c>
      <c r="D1301">
        <v>8.9</v>
      </c>
      <c r="E1301">
        <v>9.2</v>
      </c>
      <c r="F1301">
        <v>8.1</v>
      </c>
      <c r="G1301">
        <v>8.2</v>
      </c>
      <c r="H1301">
        <v>7.5</v>
      </c>
      <c r="I1301">
        <v>8.3</v>
      </c>
      <c r="J1301">
        <v>6.7</v>
      </c>
      <c r="K1301">
        <v>7.2</v>
      </c>
      <c r="L1301">
        <v>6</v>
      </c>
      <c r="M1301">
        <v>5.7</v>
      </c>
      <c r="N1301">
        <f t="shared" si="20"/>
        <v>75.8</v>
      </c>
    </row>
    <row r="1302" spans="1:14">
      <c r="A1302">
        <v>20197323</v>
      </c>
      <c r="B1302" t="s">
        <v>17</v>
      </c>
      <c r="C1302" t="str">
        <f>VLOOKUP(B1302,专业代码!$B$2:$C$8,2,FALSE)</f>
        <v>金融工程</v>
      </c>
      <c r="D1302">
        <v>9.1</v>
      </c>
      <c r="E1302">
        <v>9</v>
      </c>
      <c r="F1302">
        <v>8.4</v>
      </c>
      <c r="G1302">
        <v>8.1</v>
      </c>
      <c r="H1302">
        <v>8.4</v>
      </c>
      <c r="I1302">
        <v>7.6</v>
      </c>
      <c r="J1302">
        <v>7.7</v>
      </c>
      <c r="K1302">
        <v>6.3</v>
      </c>
      <c r="L1302">
        <v>8.4</v>
      </c>
      <c r="M1302">
        <v>5.9</v>
      </c>
      <c r="N1302">
        <f t="shared" si="20"/>
        <v>78.9</v>
      </c>
    </row>
    <row r="1303" spans="1:14">
      <c r="A1303">
        <v>20191308</v>
      </c>
      <c r="B1303" t="s">
        <v>18</v>
      </c>
      <c r="C1303" t="str">
        <f>VLOOKUP(B1303,专业代码!$B$2:$C$8,2,FALSE)</f>
        <v>管理信息系统</v>
      </c>
      <c r="D1303">
        <v>9.1</v>
      </c>
      <c r="E1303">
        <v>9.7</v>
      </c>
      <c r="F1303">
        <v>8.6</v>
      </c>
      <c r="G1303">
        <v>8.6</v>
      </c>
      <c r="H1303">
        <v>7.1</v>
      </c>
      <c r="I1303">
        <v>6.8</v>
      </c>
      <c r="J1303">
        <v>8.3</v>
      </c>
      <c r="K1303">
        <v>7.4</v>
      </c>
      <c r="L1303">
        <v>7</v>
      </c>
      <c r="M1303">
        <v>6.8</v>
      </c>
      <c r="N1303">
        <f t="shared" si="20"/>
        <v>79.4</v>
      </c>
    </row>
    <row r="1304" spans="1:14">
      <c r="A1304">
        <v>20193781</v>
      </c>
      <c r="B1304" t="s">
        <v>18</v>
      </c>
      <c r="C1304" t="str">
        <f>VLOOKUP(B1304,专业代码!$B$2:$C$8,2,FALSE)</f>
        <v>管理信息系统</v>
      </c>
      <c r="D1304">
        <v>8.7</v>
      </c>
      <c r="E1304">
        <v>9.1</v>
      </c>
      <c r="F1304">
        <v>8.7</v>
      </c>
      <c r="G1304">
        <v>8.5</v>
      </c>
      <c r="H1304">
        <v>8.5</v>
      </c>
      <c r="I1304">
        <v>9.2</v>
      </c>
      <c r="J1304">
        <v>8.2</v>
      </c>
      <c r="K1304">
        <v>6.3</v>
      </c>
      <c r="L1304">
        <v>8.2</v>
      </c>
      <c r="M1304">
        <v>5.3</v>
      </c>
      <c r="N1304">
        <f t="shared" si="20"/>
        <v>80.7</v>
      </c>
    </row>
    <row r="1305" spans="1:14">
      <c r="A1305">
        <v>20196018</v>
      </c>
      <c r="B1305" t="s">
        <v>18</v>
      </c>
      <c r="C1305" t="str">
        <f>VLOOKUP(B1305,专业代码!$B$2:$C$8,2,FALSE)</f>
        <v>管理信息系统</v>
      </c>
      <c r="D1305">
        <v>8.5</v>
      </c>
      <c r="E1305">
        <v>8.6</v>
      </c>
      <c r="F1305">
        <v>10</v>
      </c>
      <c r="G1305">
        <v>10</v>
      </c>
      <c r="H1305">
        <v>7.6</v>
      </c>
      <c r="I1305">
        <v>6.7</v>
      </c>
      <c r="J1305">
        <v>6.8</v>
      </c>
      <c r="K1305">
        <v>7.5</v>
      </c>
      <c r="L1305">
        <v>7.3</v>
      </c>
      <c r="M1305">
        <v>5.7</v>
      </c>
      <c r="N1305">
        <f t="shared" si="20"/>
        <v>78.7</v>
      </c>
    </row>
    <row r="1306" spans="1:14">
      <c r="A1306">
        <v>20195616</v>
      </c>
      <c r="B1306" t="s">
        <v>18</v>
      </c>
      <c r="C1306" t="str">
        <f>VLOOKUP(B1306,专业代码!$B$2:$C$8,2,FALSE)</f>
        <v>管理信息系统</v>
      </c>
      <c r="D1306">
        <v>8.8</v>
      </c>
      <c r="E1306">
        <v>9.2</v>
      </c>
      <c r="F1306">
        <v>8.5</v>
      </c>
      <c r="G1306">
        <v>8.3</v>
      </c>
      <c r="H1306">
        <v>7.6</v>
      </c>
      <c r="I1306">
        <v>8.4</v>
      </c>
      <c r="J1306">
        <v>6.3</v>
      </c>
      <c r="K1306">
        <v>8</v>
      </c>
      <c r="L1306">
        <v>8.4</v>
      </c>
      <c r="M1306">
        <v>6.3</v>
      </c>
      <c r="N1306">
        <f t="shared" si="20"/>
        <v>79.8</v>
      </c>
    </row>
    <row r="1307" spans="1:14">
      <c r="A1307">
        <v>20191240</v>
      </c>
      <c r="B1307" t="s">
        <v>18</v>
      </c>
      <c r="C1307" t="str">
        <f>VLOOKUP(B1307,专业代码!$B$2:$C$8,2,FALSE)</f>
        <v>管理信息系统</v>
      </c>
      <c r="D1307">
        <v>8.5</v>
      </c>
      <c r="E1307">
        <v>8.9</v>
      </c>
      <c r="F1307">
        <v>8.9</v>
      </c>
      <c r="G1307">
        <v>8.3</v>
      </c>
      <c r="H1307">
        <v>9.1</v>
      </c>
      <c r="I1307">
        <v>7.6</v>
      </c>
      <c r="J1307">
        <v>7.3</v>
      </c>
      <c r="K1307">
        <v>7.4</v>
      </c>
      <c r="L1307">
        <v>7.8</v>
      </c>
      <c r="M1307">
        <v>5.8</v>
      </c>
      <c r="N1307">
        <f t="shared" si="20"/>
        <v>79.6</v>
      </c>
    </row>
    <row r="1308" spans="1:14">
      <c r="A1308">
        <v>20193597</v>
      </c>
      <c r="B1308" t="s">
        <v>18</v>
      </c>
      <c r="C1308" t="str">
        <f>VLOOKUP(B1308,专业代码!$B$2:$C$8,2,FALSE)</f>
        <v>管理信息系统</v>
      </c>
      <c r="D1308">
        <v>9.3</v>
      </c>
      <c r="E1308">
        <v>8.8</v>
      </c>
      <c r="F1308">
        <v>8.8</v>
      </c>
      <c r="G1308">
        <v>8.5</v>
      </c>
      <c r="H1308">
        <v>8.9</v>
      </c>
      <c r="I1308">
        <v>9.2</v>
      </c>
      <c r="J1308">
        <v>6.8</v>
      </c>
      <c r="K1308">
        <v>7.4</v>
      </c>
      <c r="L1308">
        <v>7.8</v>
      </c>
      <c r="M1308">
        <v>5.5</v>
      </c>
      <c r="N1308">
        <f t="shared" si="20"/>
        <v>81</v>
      </c>
    </row>
    <row r="1309" spans="1:14">
      <c r="A1309">
        <v>20194230</v>
      </c>
      <c r="B1309" t="s">
        <v>18</v>
      </c>
      <c r="C1309" t="str">
        <f>VLOOKUP(B1309,专业代码!$B$2:$C$8,2,FALSE)</f>
        <v>管理信息系统</v>
      </c>
      <c r="D1309">
        <v>8.5</v>
      </c>
      <c r="E1309">
        <v>8.3</v>
      </c>
      <c r="F1309">
        <v>8.5</v>
      </c>
      <c r="G1309">
        <v>8.9</v>
      </c>
      <c r="H1309">
        <v>8.3</v>
      </c>
      <c r="I1309">
        <v>6.7</v>
      </c>
      <c r="J1309">
        <v>7.7</v>
      </c>
      <c r="K1309">
        <v>8.5</v>
      </c>
      <c r="L1309">
        <v>5.7</v>
      </c>
      <c r="M1309">
        <v>6.8</v>
      </c>
      <c r="N1309">
        <f t="shared" si="20"/>
        <v>77.9</v>
      </c>
    </row>
    <row r="1310" spans="1:14">
      <c r="A1310">
        <v>20194394</v>
      </c>
      <c r="B1310" t="s">
        <v>18</v>
      </c>
      <c r="C1310" t="str">
        <f>VLOOKUP(B1310,专业代码!$B$2:$C$8,2,FALSE)</f>
        <v>管理信息系统</v>
      </c>
      <c r="D1310">
        <v>8.2</v>
      </c>
      <c r="E1310">
        <v>9.2</v>
      </c>
      <c r="F1310">
        <v>8.2</v>
      </c>
      <c r="G1310">
        <v>8.7</v>
      </c>
      <c r="H1310">
        <v>6.4</v>
      </c>
      <c r="I1310">
        <v>7.5</v>
      </c>
      <c r="J1310">
        <v>7.9</v>
      </c>
      <c r="K1310">
        <v>8.7</v>
      </c>
      <c r="L1310">
        <v>7.5</v>
      </c>
      <c r="M1310">
        <v>8</v>
      </c>
      <c r="N1310">
        <f t="shared" si="20"/>
        <v>80.3</v>
      </c>
    </row>
    <row r="1311" spans="1:14">
      <c r="A1311">
        <v>20194902</v>
      </c>
      <c r="B1311" t="s">
        <v>18</v>
      </c>
      <c r="C1311" t="str">
        <f>VLOOKUP(B1311,专业代码!$B$2:$C$8,2,FALSE)</f>
        <v>管理信息系统</v>
      </c>
      <c r="D1311">
        <v>9.9</v>
      </c>
      <c r="E1311">
        <v>8.9</v>
      </c>
      <c r="F1311">
        <v>8.3</v>
      </c>
      <c r="G1311">
        <v>9.3</v>
      </c>
      <c r="H1311">
        <v>7.9</v>
      </c>
      <c r="I1311">
        <v>9.1</v>
      </c>
      <c r="J1311">
        <v>7</v>
      </c>
      <c r="K1311">
        <v>8.3</v>
      </c>
      <c r="L1311">
        <v>6.5</v>
      </c>
      <c r="M1311">
        <v>4.4</v>
      </c>
      <c r="N1311">
        <f t="shared" si="20"/>
        <v>79.6</v>
      </c>
    </row>
    <row r="1312" spans="1:14">
      <c r="A1312">
        <v>20195542</v>
      </c>
      <c r="B1312" t="s">
        <v>18</v>
      </c>
      <c r="C1312" t="str">
        <f>VLOOKUP(B1312,专业代码!$B$2:$C$8,2,FALSE)</f>
        <v>管理信息系统</v>
      </c>
      <c r="D1312">
        <v>10</v>
      </c>
      <c r="E1312">
        <v>9.1</v>
      </c>
      <c r="F1312">
        <v>9.6</v>
      </c>
      <c r="G1312">
        <v>8.7</v>
      </c>
      <c r="H1312">
        <v>7.6</v>
      </c>
      <c r="I1312">
        <v>8.4</v>
      </c>
      <c r="J1312">
        <v>6.8</v>
      </c>
      <c r="K1312">
        <v>6.8</v>
      </c>
      <c r="L1312">
        <v>7</v>
      </c>
      <c r="M1312">
        <v>6.4</v>
      </c>
      <c r="N1312">
        <f t="shared" si="20"/>
        <v>80.4</v>
      </c>
    </row>
    <row r="1313" spans="1:14">
      <c r="A1313">
        <v>20196937</v>
      </c>
      <c r="B1313" t="s">
        <v>18</v>
      </c>
      <c r="C1313" t="str">
        <f>VLOOKUP(B1313,专业代码!$B$2:$C$8,2,FALSE)</f>
        <v>管理信息系统</v>
      </c>
      <c r="D1313">
        <v>8.4</v>
      </c>
      <c r="E1313">
        <v>9.5</v>
      </c>
      <c r="F1313">
        <v>7.8</v>
      </c>
      <c r="G1313">
        <v>8</v>
      </c>
      <c r="H1313">
        <v>8.4</v>
      </c>
      <c r="I1313">
        <v>7.7</v>
      </c>
      <c r="J1313">
        <v>7.3</v>
      </c>
      <c r="K1313">
        <v>7</v>
      </c>
      <c r="L1313">
        <v>6.2</v>
      </c>
      <c r="M1313">
        <v>9</v>
      </c>
      <c r="N1313">
        <f t="shared" si="20"/>
        <v>79.3</v>
      </c>
    </row>
    <row r="1314" spans="1:14">
      <c r="A1314">
        <v>20197868</v>
      </c>
      <c r="B1314" t="s">
        <v>18</v>
      </c>
      <c r="C1314" t="str">
        <f>VLOOKUP(B1314,专业代码!$B$2:$C$8,2,FALSE)</f>
        <v>管理信息系统</v>
      </c>
      <c r="D1314">
        <v>9.3</v>
      </c>
      <c r="E1314">
        <v>7.9</v>
      </c>
      <c r="F1314">
        <v>9.4</v>
      </c>
      <c r="G1314">
        <v>7.5</v>
      </c>
      <c r="H1314">
        <v>7.2</v>
      </c>
      <c r="I1314">
        <v>6.6</v>
      </c>
      <c r="J1314">
        <v>9.1</v>
      </c>
      <c r="K1314">
        <v>7.6</v>
      </c>
      <c r="L1314">
        <v>5.8</v>
      </c>
      <c r="M1314">
        <v>7.3</v>
      </c>
      <c r="N1314">
        <f t="shared" si="20"/>
        <v>77.7</v>
      </c>
    </row>
    <row r="1315" spans="1:14">
      <c r="A1315">
        <v>20191629</v>
      </c>
      <c r="B1315" t="s">
        <v>18</v>
      </c>
      <c r="C1315" t="str">
        <f>VLOOKUP(B1315,专业代码!$B$2:$C$8,2,FALSE)</f>
        <v>管理信息系统</v>
      </c>
      <c r="D1315">
        <v>8.4</v>
      </c>
      <c r="E1315">
        <v>9.8</v>
      </c>
      <c r="F1315">
        <v>9.1</v>
      </c>
      <c r="G1315">
        <v>8.9</v>
      </c>
      <c r="H1315">
        <v>6.9</v>
      </c>
      <c r="I1315">
        <v>7.9</v>
      </c>
      <c r="J1315">
        <v>7.1</v>
      </c>
      <c r="K1315">
        <v>5.9</v>
      </c>
      <c r="L1315">
        <v>7.4</v>
      </c>
      <c r="M1315">
        <v>8.2</v>
      </c>
      <c r="N1315">
        <f t="shared" si="20"/>
        <v>79.6</v>
      </c>
    </row>
    <row r="1316" spans="1:14">
      <c r="A1316">
        <v>20196585</v>
      </c>
      <c r="B1316" t="s">
        <v>18</v>
      </c>
      <c r="C1316" t="str">
        <f>VLOOKUP(B1316,专业代码!$B$2:$C$8,2,FALSE)</f>
        <v>管理信息系统</v>
      </c>
      <c r="D1316">
        <v>9.9</v>
      </c>
      <c r="E1316">
        <v>7.6</v>
      </c>
      <c r="F1316">
        <v>8.9</v>
      </c>
      <c r="G1316">
        <v>8.4</v>
      </c>
      <c r="H1316">
        <v>7</v>
      </c>
      <c r="I1316">
        <v>7.9</v>
      </c>
      <c r="J1316">
        <v>8.1</v>
      </c>
      <c r="K1316">
        <v>5.2</v>
      </c>
      <c r="L1316">
        <v>8.5</v>
      </c>
      <c r="M1316">
        <v>6.3</v>
      </c>
      <c r="N1316">
        <f t="shared" si="20"/>
        <v>77.8</v>
      </c>
    </row>
    <row r="1317" spans="1:14">
      <c r="A1317">
        <v>20196870</v>
      </c>
      <c r="B1317" t="s">
        <v>18</v>
      </c>
      <c r="C1317" t="str">
        <f>VLOOKUP(B1317,专业代码!$B$2:$C$8,2,FALSE)</f>
        <v>管理信息系统</v>
      </c>
      <c r="D1317">
        <v>9.2</v>
      </c>
      <c r="E1317">
        <v>9.9</v>
      </c>
      <c r="F1317">
        <v>7.6</v>
      </c>
      <c r="G1317">
        <v>7.2</v>
      </c>
      <c r="H1317">
        <v>8.8</v>
      </c>
      <c r="I1317">
        <v>6.3</v>
      </c>
      <c r="J1317">
        <v>7.1</v>
      </c>
      <c r="K1317">
        <v>8</v>
      </c>
      <c r="L1317">
        <v>8.1</v>
      </c>
      <c r="M1317">
        <v>7.8</v>
      </c>
      <c r="N1317">
        <f t="shared" si="20"/>
        <v>80</v>
      </c>
    </row>
    <row r="1318" spans="1:14">
      <c r="A1318">
        <v>20198946</v>
      </c>
      <c r="B1318" t="s">
        <v>18</v>
      </c>
      <c r="C1318" t="str">
        <f>VLOOKUP(B1318,专业代码!$B$2:$C$8,2,FALSE)</f>
        <v>管理信息系统</v>
      </c>
      <c r="D1318">
        <v>8.8</v>
      </c>
      <c r="E1318">
        <v>8.9</v>
      </c>
      <c r="F1318">
        <v>8.6</v>
      </c>
      <c r="G1318">
        <v>8.7</v>
      </c>
      <c r="H1318">
        <v>9.4</v>
      </c>
      <c r="I1318">
        <v>8.8</v>
      </c>
      <c r="J1318">
        <v>6.3</v>
      </c>
      <c r="K1318">
        <v>6.2</v>
      </c>
      <c r="L1318">
        <v>8.6</v>
      </c>
      <c r="M1318">
        <v>5.2</v>
      </c>
      <c r="N1318">
        <f t="shared" si="20"/>
        <v>79.5</v>
      </c>
    </row>
    <row r="1319" spans="1:14">
      <c r="A1319">
        <v>20192632</v>
      </c>
      <c r="B1319" t="s">
        <v>18</v>
      </c>
      <c r="C1319" t="str">
        <f>VLOOKUP(B1319,专业代码!$B$2:$C$8,2,FALSE)</f>
        <v>管理信息系统</v>
      </c>
      <c r="D1319">
        <v>8.6</v>
      </c>
      <c r="E1319">
        <v>8.4</v>
      </c>
      <c r="F1319">
        <v>8.7</v>
      </c>
      <c r="G1319">
        <v>8.3</v>
      </c>
      <c r="H1319">
        <v>9</v>
      </c>
      <c r="I1319">
        <v>7.7</v>
      </c>
      <c r="J1319">
        <v>6.6</v>
      </c>
      <c r="K1319">
        <v>8.2</v>
      </c>
      <c r="L1319">
        <v>8.5</v>
      </c>
      <c r="M1319">
        <v>5.3</v>
      </c>
      <c r="N1319">
        <f t="shared" si="20"/>
        <v>79.3</v>
      </c>
    </row>
    <row r="1320" spans="1:14">
      <c r="A1320">
        <v>20193377</v>
      </c>
      <c r="B1320" t="s">
        <v>18</v>
      </c>
      <c r="C1320" t="str">
        <f>VLOOKUP(B1320,专业代码!$B$2:$C$8,2,FALSE)</f>
        <v>管理信息系统</v>
      </c>
      <c r="D1320">
        <v>8.9</v>
      </c>
      <c r="E1320">
        <v>9</v>
      </c>
      <c r="F1320">
        <v>8.3</v>
      </c>
      <c r="G1320">
        <v>8.6</v>
      </c>
      <c r="H1320">
        <v>8.8</v>
      </c>
      <c r="I1320">
        <v>8</v>
      </c>
      <c r="J1320">
        <v>6.9</v>
      </c>
      <c r="K1320">
        <v>7.5</v>
      </c>
      <c r="L1320">
        <v>6.2</v>
      </c>
      <c r="M1320">
        <v>8.2</v>
      </c>
      <c r="N1320">
        <f t="shared" si="20"/>
        <v>80.4</v>
      </c>
    </row>
    <row r="1321" spans="1:14">
      <c r="A1321">
        <v>20196652</v>
      </c>
      <c r="B1321" t="s">
        <v>18</v>
      </c>
      <c r="C1321" t="str">
        <f>VLOOKUP(B1321,专业代码!$B$2:$C$8,2,FALSE)</f>
        <v>管理信息系统</v>
      </c>
      <c r="D1321">
        <v>9</v>
      </c>
      <c r="E1321">
        <v>8.3</v>
      </c>
      <c r="F1321">
        <v>8.6</v>
      </c>
      <c r="G1321">
        <v>9.6</v>
      </c>
      <c r="H1321">
        <v>7.6</v>
      </c>
      <c r="I1321">
        <v>8.4</v>
      </c>
      <c r="J1321">
        <v>8.7</v>
      </c>
      <c r="K1321">
        <v>6.8</v>
      </c>
      <c r="L1321">
        <v>7.2</v>
      </c>
      <c r="M1321">
        <v>5.3</v>
      </c>
      <c r="N1321">
        <f t="shared" si="20"/>
        <v>79.5</v>
      </c>
    </row>
    <row r="1322" spans="1:14">
      <c r="A1322">
        <v>20198113</v>
      </c>
      <c r="B1322" t="s">
        <v>18</v>
      </c>
      <c r="C1322" t="str">
        <f>VLOOKUP(B1322,专业代码!$B$2:$C$8,2,FALSE)</f>
        <v>管理信息系统</v>
      </c>
      <c r="D1322">
        <v>9.3</v>
      </c>
      <c r="E1322">
        <v>7.9</v>
      </c>
      <c r="F1322">
        <v>8.7</v>
      </c>
      <c r="G1322">
        <v>8.3</v>
      </c>
      <c r="H1322">
        <v>7.5</v>
      </c>
      <c r="I1322">
        <v>7</v>
      </c>
      <c r="J1322">
        <v>7.6</v>
      </c>
      <c r="K1322">
        <v>6.9</v>
      </c>
      <c r="L1322">
        <v>7</v>
      </c>
      <c r="M1322">
        <v>6.9</v>
      </c>
      <c r="N1322">
        <f t="shared" si="20"/>
        <v>77.1</v>
      </c>
    </row>
    <row r="1323" spans="1:14">
      <c r="A1323">
        <v>20191838</v>
      </c>
      <c r="B1323" t="s">
        <v>18</v>
      </c>
      <c r="C1323" t="str">
        <f>VLOOKUP(B1323,专业代码!$B$2:$C$8,2,FALSE)</f>
        <v>管理信息系统</v>
      </c>
      <c r="D1323">
        <v>7.9</v>
      </c>
      <c r="E1323">
        <v>8.7</v>
      </c>
      <c r="F1323">
        <v>8.3</v>
      </c>
      <c r="G1323">
        <v>8.7</v>
      </c>
      <c r="H1323">
        <v>8.6</v>
      </c>
      <c r="I1323">
        <v>9.5</v>
      </c>
      <c r="J1323">
        <v>6.7</v>
      </c>
      <c r="K1323">
        <v>7.5</v>
      </c>
      <c r="L1323">
        <v>7.3</v>
      </c>
      <c r="M1323">
        <v>5.3</v>
      </c>
      <c r="N1323">
        <f t="shared" si="20"/>
        <v>78.5</v>
      </c>
    </row>
    <row r="1324" spans="1:14">
      <c r="A1324">
        <v>20193477</v>
      </c>
      <c r="B1324" t="s">
        <v>18</v>
      </c>
      <c r="C1324" t="str">
        <f>VLOOKUP(B1324,专业代码!$B$2:$C$8,2,FALSE)</f>
        <v>管理信息系统</v>
      </c>
      <c r="D1324">
        <v>7.6</v>
      </c>
      <c r="E1324">
        <v>8.9</v>
      </c>
      <c r="F1324">
        <v>8.4</v>
      </c>
      <c r="G1324">
        <v>9.4</v>
      </c>
      <c r="H1324">
        <v>8.3</v>
      </c>
      <c r="I1324">
        <v>7.4</v>
      </c>
      <c r="J1324">
        <v>7.6</v>
      </c>
      <c r="K1324">
        <v>6.2</v>
      </c>
      <c r="L1324">
        <v>6.5</v>
      </c>
      <c r="M1324">
        <v>5.4</v>
      </c>
      <c r="N1324">
        <f t="shared" si="20"/>
        <v>75.7</v>
      </c>
    </row>
    <row r="1325" spans="1:14">
      <c r="A1325">
        <v>20197593</v>
      </c>
      <c r="B1325" t="s">
        <v>18</v>
      </c>
      <c r="C1325" t="str">
        <f>VLOOKUP(B1325,专业代码!$B$2:$C$8,2,FALSE)</f>
        <v>管理信息系统</v>
      </c>
      <c r="D1325">
        <v>9.2</v>
      </c>
      <c r="E1325">
        <v>8.5</v>
      </c>
      <c r="F1325">
        <v>8.9</v>
      </c>
      <c r="G1325">
        <v>8.9</v>
      </c>
      <c r="H1325">
        <v>7.1</v>
      </c>
      <c r="I1325">
        <v>8.9</v>
      </c>
      <c r="J1325">
        <v>8.6</v>
      </c>
      <c r="K1325">
        <v>7.4</v>
      </c>
      <c r="L1325">
        <v>7.5</v>
      </c>
      <c r="M1325">
        <v>6.4</v>
      </c>
      <c r="N1325">
        <f t="shared" si="20"/>
        <v>81.4</v>
      </c>
    </row>
    <row r="1326" spans="1:14">
      <c r="A1326">
        <v>20199429</v>
      </c>
      <c r="B1326" t="s">
        <v>18</v>
      </c>
      <c r="C1326" t="str">
        <f>VLOOKUP(B1326,专业代码!$B$2:$C$8,2,FALSE)</f>
        <v>管理信息系统</v>
      </c>
      <c r="D1326">
        <v>9.4</v>
      </c>
      <c r="E1326">
        <v>8.4</v>
      </c>
      <c r="F1326">
        <v>8.5</v>
      </c>
      <c r="G1326">
        <v>7.2</v>
      </c>
      <c r="H1326">
        <v>8.7</v>
      </c>
      <c r="I1326">
        <v>7.5</v>
      </c>
      <c r="J1326">
        <v>7.6</v>
      </c>
      <c r="K1326">
        <v>7.1</v>
      </c>
      <c r="L1326">
        <v>5.7</v>
      </c>
      <c r="M1326">
        <v>8.9</v>
      </c>
      <c r="N1326">
        <f t="shared" si="20"/>
        <v>79</v>
      </c>
    </row>
    <row r="1327" spans="1:14">
      <c r="A1327">
        <v>20195846</v>
      </c>
      <c r="B1327" t="s">
        <v>18</v>
      </c>
      <c r="C1327" t="str">
        <f>VLOOKUP(B1327,专业代码!$B$2:$C$8,2,FALSE)</f>
        <v>管理信息系统</v>
      </c>
      <c r="D1327">
        <v>9.9</v>
      </c>
      <c r="E1327">
        <v>9.9</v>
      </c>
      <c r="F1327">
        <v>9.2</v>
      </c>
      <c r="G1327">
        <v>8.9</v>
      </c>
      <c r="H1327">
        <v>9.5</v>
      </c>
      <c r="I1327">
        <v>8.5</v>
      </c>
      <c r="J1327">
        <v>9.7</v>
      </c>
      <c r="K1327">
        <v>8.4</v>
      </c>
      <c r="L1327">
        <v>8.5</v>
      </c>
      <c r="M1327">
        <v>6.7</v>
      </c>
      <c r="N1327">
        <f t="shared" si="20"/>
        <v>89.2</v>
      </c>
    </row>
    <row r="1328" spans="1:14">
      <c r="A1328">
        <v>20196268</v>
      </c>
      <c r="B1328" t="s">
        <v>18</v>
      </c>
      <c r="C1328" t="str">
        <f>VLOOKUP(B1328,专业代码!$B$2:$C$8,2,FALSE)</f>
        <v>管理信息系统</v>
      </c>
      <c r="D1328">
        <v>9.9</v>
      </c>
      <c r="E1328">
        <v>9.9</v>
      </c>
      <c r="F1328">
        <v>9.9</v>
      </c>
      <c r="G1328">
        <v>9.8</v>
      </c>
      <c r="H1328">
        <v>9.3</v>
      </c>
      <c r="I1328">
        <v>9.6</v>
      </c>
      <c r="J1328">
        <v>8.1</v>
      </c>
      <c r="K1328">
        <v>8.7</v>
      </c>
      <c r="L1328">
        <v>9.9</v>
      </c>
      <c r="M1328">
        <v>6.6</v>
      </c>
      <c r="N1328">
        <f t="shared" si="20"/>
        <v>91.7</v>
      </c>
    </row>
    <row r="1329" spans="1:14">
      <c r="A1329">
        <v>20196835</v>
      </c>
      <c r="B1329" t="s">
        <v>18</v>
      </c>
      <c r="C1329" t="str">
        <f>VLOOKUP(B1329,专业代码!$B$2:$C$8,2,FALSE)</f>
        <v>管理信息系统</v>
      </c>
      <c r="D1329">
        <v>9.9</v>
      </c>
      <c r="E1329">
        <v>9.9</v>
      </c>
      <c r="F1329">
        <v>9.9</v>
      </c>
      <c r="G1329">
        <v>8.3</v>
      </c>
      <c r="H1329">
        <v>9.3</v>
      </c>
      <c r="I1329">
        <v>9.7</v>
      </c>
      <c r="J1329">
        <v>8.9</v>
      </c>
      <c r="K1329">
        <v>9.6</v>
      </c>
      <c r="L1329">
        <v>8</v>
      </c>
      <c r="M1329">
        <v>3.5</v>
      </c>
      <c r="N1329">
        <f t="shared" si="20"/>
        <v>87</v>
      </c>
    </row>
    <row r="1330" spans="1:14">
      <c r="A1330">
        <v>20194462</v>
      </c>
      <c r="B1330" t="s">
        <v>18</v>
      </c>
      <c r="C1330" t="str">
        <f>VLOOKUP(B1330,专业代码!$B$2:$C$8,2,FALSE)</f>
        <v>管理信息系统</v>
      </c>
      <c r="D1330">
        <v>8.7</v>
      </c>
      <c r="E1330">
        <v>9.1</v>
      </c>
      <c r="F1330">
        <v>7.8</v>
      </c>
      <c r="G1330">
        <v>7.6</v>
      </c>
      <c r="H1330">
        <v>6.7</v>
      </c>
      <c r="I1330">
        <v>8.3</v>
      </c>
      <c r="J1330">
        <v>7.3</v>
      </c>
      <c r="K1330">
        <v>6.3</v>
      </c>
      <c r="L1330">
        <v>9.1</v>
      </c>
      <c r="M1330">
        <v>7.6</v>
      </c>
      <c r="N1330">
        <f t="shared" si="20"/>
        <v>78.5</v>
      </c>
    </row>
    <row r="1331" spans="1:14">
      <c r="A1331">
        <v>20198902</v>
      </c>
      <c r="B1331" t="s">
        <v>18</v>
      </c>
      <c r="C1331" t="str">
        <f>VLOOKUP(B1331,专业代码!$B$2:$C$8,2,FALSE)</f>
        <v>管理信息系统</v>
      </c>
      <c r="D1331">
        <v>8.5</v>
      </c>
      <c r="E1331">
        <v>8.3</v>
      </c>
      <c r="F1331">
        <v>9.2</v>
      </c>
      <c r="G1331">
        <v>8.3</v>
      </c>
      <c r="H1331">
        <v>8.1</v>
      </c>
      <c r="I1331">
        <v>7.7</v>
      </c>
      <c r="J1331">
        <v>8.6</v>
      </c>
      <c r="K1331">
        <v>7.8</v>
      </c>
      <c r="L1331">
        <v>5.7</v>
      </c>
      <c r="M1331">
        <v>5.2</v>
      </c>
      <c r="N1331">
        <f t="shared" si="20"/>
        <v>77.4</v>
      </c>
    </row>
    <row r="1332" spans="1:14">
      <c r="A1332">
        <v>20199382</v>
      </c>
      <c r="B1332" t="s">
        <v>18</v>
      </c>
      <c r="C1332" t="str">
        <f>VLOOKUP(B1332,专业代码!$B$2:$C$8,2,FALSE)</f>
        <v>管理信息系统</v>
      </c>
      <c r="D1332">
        <v>9.1</v>
      </c>
      <c r="E1332">
        <v>9.7</v>
      </c>
      <c r="F1332">
        <v>8.6</v>
      </c>
      <c r="G1332">
        <v>8.7</v>
      </c>
      <c r="H1332">
        <v>8.5</v>
      </c>
      <c r="I1332">
        <v>7.6</v>
      </c>
      <c r="J1332">
        <v>9.1</v>
      </c>
      <c r="K1332">
        <v>8</v>
      </c>
      <c r="L1332">
        <v>6.9</v>
      </c>
      <c r="M1332">
        <v>6.5</v>
      </c>
      <c r="N1332">
        <f t="shared" si="20"/>
        <v>82.7</v>
      </c>
    </row>
    <row r="1333" spans="1:14">
      <c r="A1333">
        <v>20199852</v>
      </c>
      <c r="B1333" t="s">
        <v>18</v>
      </c>
      <c r="C1333" t="str">
        <f>VLOOKUP(B1333,专业代码!$B$2:$C$8,2,FALSE)</f>
        <v>管理信息系统</v>
      </c>
      <c r="D1333">
        <v>9.4</v>
      </c>
      <c r="E1333">
        <v>8.1</v>
      </c>
      <c r="F1333">
        <v>9.2</v>
      </c>
      <c r="G1333">
        <v>8.9</v>
      </c>
      <c r="H1333">
        <v>8</v>
      </c>
      <c r="I1333">
        <v>8.3</v>
      </c>
      <c r="J1333">
        <v>8.8</v>
      </c>
      <c r="K1333">
        <v>8</v>
      </c>
      <c r="L1333">
        <v>7.4</v>
      </c>
      <c r="M1333">
        <v>7.4</v>
      </c>
      <c r="N1333">
        <f t="shared" si="20"/>
        <v>83.5</v>
      </c>
    </row>
    <row r="1334" spans="1:14">
      <c r="A1334">
        <v>20191127</v>
      </c>
      <c r="B1334" t="s">
        <v>18</v>
      </c>
      <c r="C1334" t="str">
        <f>VLOOKUP(B1334,专业代码!$B$2:$C$8,2,FALSE)</f>
        <v>管理信息系统</v>
      </c>
      <c r="D1334">
        <v>9.5</v>
      </c>
      <c r="E1334">
        <v>9.2</v>
      </c>
      <c r="F1334">
        <v>8.3</v>
      </c>
      <c r="G1334">
        <v>8.6</v>
      </c>
      <c r="H1334">
        <v>8.4</v>
      </c>
      <c r="I1334">
        <v>7.9</v>
      </c>
      <c r="J1334">
        <v>7.7</v>
      </c>
      <c r="K1334">
        <v>6.6</v>
      </c>
      <c r="L1334">
        <v>8.3</v>
      </c>
      <c r="M1334">
        <v>7</v>
      </c>
      <c r="N1334">
        <f t="shared" si="20"/>
        <v>81.5</v>
      </c>
    </row>
    <row r="1335" spans="1:14">
      <c r="A1335">
        <v>20191182</v>
      </c>
      <c r="B1335" t="s">
        <v>18</v>
      </c>
      <c r="C1335" t="str">
        <f>VLOOKUP(B1335,专业代码!$B$2:$C$8,2,FALSE)</f>
        <v>管理信息系统</v>
      </c>
      <c r="D1335">
        <v>8.6</v>
      </c>
      <c r="E1335">
        <v>8.1</v>
      </c>
      <c r="F1335">
        <v>9.6</v>
      </c>
      <c r="G1335">
        <v>8.9</v>
      </c>
      <c r="H1335">
        <v>7.6</v>
      </c>
      <c r="I1335">
        <v>8.1</v>
      </c>
      <c r="J1335">
        <v>7.4</v>
      </c>
      <c r="K1335">
        <v>8.2</v>
      </c>
      <c r="L1335">
        <v>4.9</v>
      </c>
      <c r="M1335">
        <v>6.8</v>
      </c>
      <c r="N1335">
        <f t="shared" si="20"/>
        <v>78.2</v>
      </c>
    </row>
    <row r="1336" spans="1:14">
      <c r="A1336">
        <v>20191324</v>
      </c>
      <c r="B1336" t="s">
        <v>18</v>
      </c>
      <c r="C1336" t="str">
        <f>VLOOKUP(B1336,专业代码!$B$2:$C$8,2,FALSE)</f>
        <v>管理信息系统</v>
      </c>
      <c r="D1336">
        <v>9.5</v>
      </c>
      <c r="E1336">
        <v>8.6</v>
      </c>
      <c r="F1336">
        <v>8.6</v>
      </c>
      <c r="G1336">
        <v>7.6</v>
      </c>
      <c r="H1336">
        <v>8.3</v>
      </c>
      <c r="I1336">
        <v>8.1</v>
      </c>
      <c r="J1336">
        <v>8.3</v>
      </c>
      <c r="K1336">
        <v>7.5</v>
      </c>
      <c r="L1336">
        <v>7.3</v>
      </c>
      <c r="M1336">
        <v>7.9</v>
      </c>
      <c r="N1336">
        <f t="shared" si="20"/>
        <v>81.7</v>
      </c>
    </row>
    <row r="1337" spans="1:14">
      <c r="A1337">
        <v>20191766</v>
      </c>
      <c r="B1337" t="s">
        <v>18</v>
      </c>
      <c r="C1337" t="str">
        <f>VLOOKUP(B1337,专业代码!$B$2:$C$8,2,FALSE)</f>
        <v>管理信息系统</v>
      </c>
      <c r="D1337">
        <v>9.4</v>
      </c>
      <c r="E1337">
        <v>7.8</v>
      </c>
      <c r="F1337">
        <v>9.5</v>
      </c>
      <c r="G1337">
        <v>8.7</v>
      </c>
      <c r="H1337">
        <v>6.6</v>
      </c>
      <c r="I1337">
        <v>8.8</v>
      </c>
      <c r="J1337">
        <v>7.3</v>
      </c>
      <c r="K1337">
        <v>6.8</v>
      </c>
      <c r="L1337">
        <v>5.4</v>
      </c>
      <c r="M1337">
        <v>6.6</v>
      </c>
      <c r="N1337">
        <f t="shared" si="20"/>
        <v>76.9</v>
      </c>
    </row>
    <row r="1338" spans="1:14">
      <c r="A1338">
        <v>20191811</v>
      </c>
      <c r="B1338" t="s">
        <v>18</v>
      </c>
      <c r="C1338" t="str">
        <f>VLOOKUP(B1338,专业代码!$B$2:$C$8,2,FALSE)</f>
        <v>管理信息系统</v>
      </c>
      <c r="D1338">
        <v>9.9</v>
      </c>
      <c r="E1338">
        <v>7.8</v>
      </c>
      <c r="F1338">
        <v>8.6</v>
      </c>
      <c r="G1338">
        <v>8.2</v>
      </c>
      <c r="H1338">
        <v>7.4</v>
      </c>
      <c r="I1338">
        <v>8.7</v>
      </c>
      <c r="J1338">
        <v>9.1</v>
      </c>
      <c r="K1338">
        <v>8</v>
      </c>
      <c r="L1338">
        <v>7.2</v>
      </c>
      <c r="M1338">
        <v>5.3</v>
      </c>
      <c r="N1338">
        <f t="shared" si="20"/>
        <v>80.2</v>
      </c>
    </row>
    <row r="1339" spans="1:14">
      <c r="A1339">
        <v>20193508</v>
      </c>
      <c r="B1339" t="s">
        <v>18</v>
      </c>
      <c r="C1339" t="str">
        <f>VLOOKUP(B1339,专业代码!$B$2:$C$8,2,FALSE)</f>
        <v>管理信息系统</v>
      </c>
      <c r="D1339">
        <v>8.9</v>
      </c>
      <c r="E1339">
        <v>8.6</v>
      </c>
      <c r="F1339">
        <v>9.1</v>
      </c>
      <c r="G1339">
        <v>8.1</v>
      </c>
      <c r="H1339">
        <v>9.1</v>
      </c>
      <c r="I1339">
        <v>8.5</v>
      </c>
      <c r="J1339">
        <v>7.9</v>
      </c>
      <c r="K1339">
        <v>7.5</v>
      </c>
      <c r="L1339">
        <v>7.5</v>
      </c>
      <c r="M1339">
        <v>5.4</v>
      </c>
      <c r="N1339">
        <f t="shared" si="20"/>
        <v>80.6</v>
      </c>
    </row>
    <row r="1340" spans="1:14">
      <c r="A1340">
        <v>20195929</v>
      </c>
      <c r="B1340" t="s">
        <v>18</v>
      </c>
      <c r="C1340" t="str">
        <f>VLOOKUP(B1340,专业代码!$B$2:$C$8,2,FALSE)</f>
        <v>管理信息系统</v>
      </c>
      <c r="D1340">
        <v>9.1</v>
      </c>
      <c r="E1340">
        <v>8.7</v>
      </c>
      <c r="F1340">
        <v>9.7</v>
      </c>
      <c r="G1340">
        <v>8.1</v>
      </c>
      <c r="H1340">
        <v>8.9</v>
      </c>
      <c r="I1340">
        <v>8.4</v>
      </c>
      <c r="J1340">
        <v>7.8</v>
      </c>
      <c r="K1340">
        <v>7.4</v>
      </c>
      <c r="L1340">
        <v>6.7</v>
      </c>
      <c r="M1340">
        <v>5.5</v>
      </c>
      <c r="N1340">
        <f t="shared" si="20"/>
        <v>80.3</v>
      </c>
    </row>
    <row r="1341" spans="1:14">
      <c r="A1341">
        <v>20196156</v>
      </c>
      <c r="B1341" t="s">
        <v>18</v>
      </c>
      <c r="C1341" t="str">
        <f>VLOOKUP(B1341,专业代码!$B$2:$C$8,2,FALSE)</f>
        <v>管理信息系统</v>
      </c>
      <c r="D1341">
        <v>8.5</v>
      </c>
      <c r="E1341">
        <v>8.4</v>
      </c>
      <c r="F1341">
        <v>9</v>
      </c>
      <c r="G1341">
        <v>9.2</v>
      </c>
      <c r="H1341">
        <v>7.4</v>
      </c>
      <c r="I1341">
        <v>7.1</v>
      </c>
      <c r="J1341">
        <v>8.1</v>
      </c>
      <c r="K1341">
        <v>6.2</v>
      </c>
      <c r="L1341">
        <v>5.3</v>
      </c>
      <c r="M1341">
        <v>7.3</v>
      </c>
      <c r="N1341">
        <f t="shared" si="20"/>
        <v>76.5</v>
      </c>
    </row>
    <row r="1342" spans="1:14">
      <c r="A1342">
        <v>20196901</v>
      </c>
      <c r="B1342" t="s">
        <v>18</v>
      </c>
      <c r="C1342" t="str">
        <f>VLOOKUP(B1342,专业代码!$B$2:$C$8,2,FALSE)</f>
        <v>管理信息系统</v>
      </c>
      <c r="D1342">
        <v>9.2</v>
      </c>
      <c r="E1342">
        <v>8.9</v>
      </c>
      <c r="F1342">
        <v>9.1</v>
      </c>
      <c r="G1342">
        <v>8.1</v>
      </c>
      <c r="H1342">
        <v>9.2</v>
      </c>
      <c r="I1342">
        <v>6.5</v>
      </c>
      <c r="J1342">
        <v>8</v>
      </c>
      <c r="K1342">
        <v>7</v>
      </c>
      <c r="L1342">
        <v>8.3</v>
      </c>
      <c r="M1342">
        <v>6.5</v>
      </c>
      <c r="N1342">
        <f t="shared" si="20"/>
        <v>80.8</v>
      </c>
    </row>
    <row r="1343" spans="1:14">
      <c r="A1343">
        <v>20196970</v>
      </c>
      <c r="B1343" t="s">
        <v>18</v>
      </c>
      <c r="C1343" t="str">
        <f>VLOOKUP(B1343,专业代码!$B$2:$C$8,2,FALSE)</f>
        <v>管理信息系统</v>
      </c>
      <c r="D1343">
        <v>8.8</v>
      </c>
      <c r="E1343">
        <v>9.2</v>
      </c>
      <c r="F1343">
        <v>9</v>
      </c>
      <c r="G1343">
        <v>8.3</v>
      </c>
      <c r="H1343">
        <v>7.8</v>
      </c>
      <c r="I1343">
        <v>8.3</v>
      </c>
      <c r="J1343">
        <v>7.9</v>
      </c>
      <c r="K1343">
        <v>5.9</v>
      </c>
      <c r="L1343">
        <v>6.7</v>
      </c>
      <c r="M1343">
        <v>6</v>
      </c>
      <c r="N1343">
        <f t="shared" si="20"/>
        <v>77.9</v>
      </c>
    </row>
    <row r="1344" spans="1:14">
      <c r="A1344">
        <v>20199903</v>
      </c>
      <c r="B1344" t="s">
        <v>18</v>
      </c>
      <c r="C1344" t="str">
        <f>VLOOKUP(B1344,专业代码!$B$2:$C$8,2,FALSE)</f>
        <v>管理信息系统</v>
      </c>
      <c r="D1344">
        <v>9.4</v>
      </c>
      <c r="E1344">
        <v>8</v>
      </c>
      <c r="F1344">
        <v>8.2</v>
      </c>
      <c r="G1344">
        <v>8.4</v>
      </c>
      <c r="H1344">
        <v>9.5</v>
      </c>
      <c r="I1344">
        <v>8.9</v>
      </c>
      <c r="J1344">
        <v>8.7</v>
      </c>
      <c r="K1344">
        <v>7.9</v>
      </c>
      <c r="L1344">
        <v>6.1</v>
      </c>
      <c r="M1344">
        <v>7.2</v>
      </c>
      <c r="N1344">
        <f t="shared" si="20"/>
        <v>82.3</v>
      </c>
    </row>
    <row r="1345" spans="1:14">
      <c r="A1345">
        <v>20194500</v>
      </c>
      <c r="B1345" t="s">
        <v>18</v>
      </c>
      <c r="C1345" t="str">
        <f>VLOOKUP(B1345,专业代码!$B$2:$C$8,2,FALSE)</f>
        <v>管理信息系统</v>
      </c>
      <c r="D1345">
        <v>8.9</v>
      </c>
      <c r="E1345">
        <v>8.1</v>
      </c>
      <c r="F1345">
        <v>9.2</v>
      </c>
      <c r="G1345">
        <v>8.3</v>
      </c>
      <c r="H1345">
        <v>7.3</v>
      </c>
      <c r="I1345">
        <v>8.2</v>
      </c>
      <c r="J1345">
        <v>7.3</v>
      </c>
      <c r="K1345">
        <v>7.8</v>
      </c>
      <c r="L1345">
        <v>6.8</v>
      </c>
      <c r="M1345">
        <v>6.4</v>
      </c>
      <c r="N1345">
        <f t="shared" si="20"/>
        <v>78.3</v>
      </c>
    </row>
    <row r="1346" spans="1:14">
      <c r="A1346">
        <v>20198318</v>
      </c>
      <c r="B1346" t="s">
        <v>18</v>
      </c>
      <c r="C1346" t="str">
        <f>VLOOKUP(B1346,专业代码!$B$2:$C$8,2,FALSE)</f>
        <v>管理信息系统</v>
      </c>
      <c r="D1346">
        <v>9.9</v>
      </c>
      <c r="E1346">
        <v>8.1</v>
      </c>
      <c r="F1346">
        <v>8</v>
      </c>
      <c r="G1346">
        <v>9.5</v>
      </c>
      <c r="H1346">
        <v>8.8</v>
      </c>
      <c r="I1346">
        <v>8.6</v>
      </c>
      <c r="J1346">
        <v>8.1</v>
      </c>
      <c r="K1346">
        <v>7.4</v>
      </c>
      <c r="L1346">
        <v>5.7</v>
      </c>
      <c r="M1346">
        <v>3.2</v>
      </c>
      <c r="N1346">
        <f t="shared" si="20"/>
        <v>77.3</v>
      </c>
    </row>
    <row r="1347" spans="1:14">
      <c r="A1347">
        <v>20198530</v>
      </c>
      <c r="B1347" t="s">
        <v>18</v>
      </c>
      <c r="C1347" t="str">
        <f>VLOOKUP(B1347,专业代码!$B$2:$C$8,2,FALSE)</f>
        <v>管理信息系统</v>
      </c>
      <c r="D1347">
        <v>9.1</v>
      </c>
      <c r="E1347">
        <v>8.4</v>
      </c>
      <c r="F1347">
        <v>8.6</v>
      </c>
      <c r="G1347">
        <v>8.5</v>
      </c>
      <c r="H1347">
        <v>7.5</v>
      </c>
      <c r="I1347">
        <v>8.1</v>
      </c>
      <c r="J1347">
        <v>9.1</v>
      </c>
      <c r="K1347">
        <v>5.8</v>
      </c>
      <c r="L1347">
        <v>9.6</v>
      </c>
      <c r="M1347">
        <v>9</v>
      </c>
      <c r="N1347">
        <f t="shared" ref="N1347:N1410" si="21">SUM(D1347:M1347)</f>
        <v>83.7</v>
      </c>
    </row>
    <row r="1348" spans="1:14">
      <c r="A1348">
        <v>20195689</v>
      </c>
      <c r="B1348" t="s">
        <v>18</v>
      </c>
      <c r="C1348" t="str">
        <f>VLOOKUP(B1348,专业代码!$B$2:$C$8,2,FALSE)</f>
        <v>管理信息系统</v>
      </c>
      <c r="D1348">
        <v>8.5</v>
      </c>
      <c r="E1348">
        <v>9.4</v>
      </c>
      <c r="F1348">
        <v>7.4</v>
      </c>
      <c r="G1348">
        <v>8.7</v>
      </c>
      <c r="H1348">
        <v>8</v>
      </c>
      <c r="I1348">
        <v>8.4</v>
      </c>
      <c r="J1348">
        <v>6.6</v>
      </c>
      <c r="K1348">
        <v>7.9</v>
      </c>
      <c r="L1348">
        <v>8</v>
      </c>
      <c r="M1348">
        <v>9.9</v>
      </c>
      <c r="N1348">
        <f t="shared" si="21"/>
        <v>82.8</v>
      </c>
    </row>
    <row r="1349" spans="1:14">
      <c r="A1349">
        <v>20196266</v>
      </c>
      <c r="B1349" t="s">
        <v>18</v>
      </c>
      <c r="C1349" t="str">
        <f>VLOOKUP(B1349,专业代码!$B$2:$C$8,2,FALSE)</f>
        <v>管理信息系统</v>
      </c>
      <c r="D1349">
        <v>9.1</v>
      </c>
      <c r="E1349">
        <v>9.1</v>
      </c>
      <c r="F1349">
        <v>8.7</v>
      </c>
      <c r="G1349">
        <v>8.3</v>
      </c>
      <c r="H1349">
        <v>9.5</v>
      </c>
      <c r="I1349">
        <v>8.4</v>
      </c>
      <c r="J1349">
        <v>7.3</v>
      </c>
      <c r="K1349">
        <v>7.7</v>
      </c>
      <c r="L1349">
        <v>7</v>
      </c>
      <c r="M1349">
        <v>7.7</v>
      </c>
      <c r="N1349">
        <f t="shared" si="21"/>
        <v>82.8</v>
      </c>
    </row>
    <row r="1350" spans="1:14">
      <c r="A1350">
        <v>20199098</v>
      </c>
      <c r="B1350" t="s">
        <v>18</v>
      </c>
      <c r="C1350" t="str">
        <f>VLOOKUP(B1350,专业代码!$B$2:$C$8,2,FALSE)</f>
        <v>管理信息系统</v>
      </c>
      <c r="D1350">
        <v>8.6</v>
      </c>
      <c r="E1350">
        <v>8.6</v>
      </c>
      <c r="F1350">
        <v>7.7</v>
      </c>
      <c r="G1350">
        <v>9.1</v>
      </c>
      <c r="H1350">
        <v>8</v>
      </c>
      <c r="I1350">
        <v>8.9</v>
      </c>
      <c r="J1350">
        <v>8.3</v>
      </c>
      <c r="K1350">
        <v>7.1</v>
      </c>
      <c r="L1350">
        <v>6.3</v>
      </c>
      <c r="M1350">
        <v>9.1</v>
      </c>
      <c r="N1350">
        <f t="shared" si="21"/>
        <v>81.7</v>
      </c>
    </row>
    <row r="1351" spans="1:14">
      <c r="A1351">
        <v>20191365</v>
      </c>
      <c r="B1351" t="s">
        <v>18</v>
      </c>
      <c r="C1351" t="str">
        <f>VLOOKUP(B1351,专业代码!$B$2:$C$8,2,FALSE)</f>
        <v>管理信息系统</v>
      </c>
      <c r="D1351">
        <v>9</v>
      </c>
      <c r="E1351">
        <v>8.5</v>
      </c>
      <c r="F1351">
        <v>8.5</v>
      </c>
      <c r="G1351">
        <v>7.8</v>
      </c>
      <c r="H1351">
        <v>8.6</v>
      </c>
      <c r="I1351">
        <v>7.6</v>
      </c>
      <c r="J1351">
        <v>8.3</v>
      </c>
      <c r="K1351">
        <v>7.1</v>
      </c>
      <c r="L1351">
        <v>6.4</v>
      </c>
      <c r="M1351">
        <v>5.3</v>
      </c>
      <c r="N1351">
        <f t="shared" si="21"/>
        <v>77.1</v>
      </c>
    </row>
    <row r="1352" spans="1:14">
      <c r="A1352">
        <v>20197141</v>
      </c>
      <c r="B1352" t="s">
        <v>18</v>
      </c>
      <c r="C1352" t="str">
        <f>VLOOKUP(B1352,专业代码!$B$2:$C$8,2,FALSE)</f>
        <v>管理信息系统</v>
      </c>
      <c r="D1352">
        <v>9</v>
      </c>
      <c r="E1352">
        <v>8.2</v>
      </c>
      <c r="F1352">
        <v>8.7</v>
      </c>
      <c r="G1352">
        <v>8.1</v>
      </c>
      <c r="H1352">
        <v>8.5</v>
      </c>
      <c r="I1352">
        <v>8.2</v>
      </c>
      <c r="J1352">
        <v>8.4</v>
      </c>
      <c r="K1352">
        <v>7.6</v>
      </c>
      <c r="L1352">
        <v>6</v>
      </c>
      <c r="M1352">
        <v>5.2</v>
      </c>
      <c r="N1352">
        <f t="shared" si="21"/>
        <v>77.9</v>
      </c>
    </row>
    <row r="1353" spans="1:14">
      <c r="A1353">
        <v>20194212</v>
      </c>
      <c r="B1353" t="s">
        <v>18</v>
      </c>
      <c r="C1353" t="str">
        <f>VLOOKUP(B1353,专业代码!$B$2:$C$8,2,FALSE)</f>
        <v>管理信息系统</v>
      </c>
      <c r="D1353">
        <v>8.8</v>
      </c>
      <c r="E1353">
        <v>9.2</v>
      </c>
      <c r="F1353">
        <v>8.6</v>
      </c>
      <c r="G1353">
        <v>8.2</v>
      </c>
      <c r="H1353">
        <v>7.7</v>
      </c>
      <c r="I1353">
        <v>9.3</v>
      </c>
      <c r="J1353">
        <v>7.1</v>
      </c>
      <c r="K1353">
        <v>6</v>
      </c>
      <c r="L1353">
        <v>5.1</v>
      </c>
      <c r="M1353">
        <v>7.5</v>
      </c>
      <c r="N1353">
        <f t="shared" si="21"/>
        <v>77.5</v>
      </c>
    </row>
    <row r="1354" spans="1:14">
      <c r="A1354">
        <v>20194280</v>
      </c>
      <c r="B1354" t="s">
        <v>18</v>
      </c>
      <c r="C1354" t="str">
        <f>VLOOKUP(B1354,专业代码!$B$2:$C$8,2,FALSE)</f>
        <v>管理信息系统</v>
      </c>
      <c r="D1354">
        <v>8.5</v>
      </c>
      <c r="E1354">
        <v>8.8</v>
      </c>
      <c r="F1354">
        <v>7.9</v>
      </c>
      <c r="G1354">
        <v>8.2</v>
      </c>
      <c r="H1354">
        <v>8.1</v>
      </c>
      <c r="I1354">
        <v>6.5</v>
      </c>
      <c r="J1354">
        <v>6.7</v>
      </c>
      <c r="K1354">
        <v>7.2</v>
      </c>
      <c r="L1354">
        <v>7.2</v>
      </c>
      <c r="M1354">
        <v>7</v>
      </c>
      <c r="N1354">
        <f t="shared" si="21"/>
        <v>76.1</v>
      </c>
    </row>
    <row r="1355" spans="1:14">
      <c r="A1355">
        <v>20195201</v>
      </c>
      <c r="B1355" t="s">
        <v>18</v>
      </c>
      <c r="C1355" t="str">
        <f>VLOOKUP(B1355,专业代码!$B$2:$C$8,2,FALSE)</f>
        <v>管理信息系统</v>
      </c>
      <c r="D1355">
        <v>8</v>
      </c>
      <c r="E1355">
        <v>9.1</v>
      </c>
      <c r="F1355">
        <v>8.9</v>
      </c>
      <c r="G1355">
        <v>8.4</v>
      </c>
      <c r="H1355">
        <v>8.8</v>
      </c>
      <c r="I1355">
        <v>8</v>
      </c>
      <c r="J1355">
        <v>6.4</v>
      </c>
      <c r="K1355">
        <v>7.9</v>
      </c>
      <c r="L1355">
        <v>6.8</v>
      </c>
      <c r="M1355">
        <v>4.5</v>
      </c>
      <c r="N1355">
        <f t="shared" si="21"/>
        <v>76.8</v>
      </c>
    </row>
    <row r="1356" spans="1:14">
      <c r="A1356">
        <v>20195571</v>
      </c>
      <c r="B1356" t="s">
        <v>18</v>
      </c>
      <c r="C1356" t="str">
        <f>VLOOKUP(B1356,专业代码!$B$2:$C$8,2,FALSE)</f>
        <v>管理信息系统</v>
      </c>
      <c r="D1356">
        <v>9.1</v>
      </c>
      <c r="E1356">
        <v>9.5</v>
      </c>
      <c r="F1356">
        <v>9.5</v>
      </c>
      <c r="G1356">
        <v>8.6</v>
      </c>
      <c r="H1356">
        <v>8.9</v>
      </c>
      <c r="I1356">
        <v>8.4</v>
      </c>
      <c r="J1356">
        <v>7.8</v>
      </c>
      <c r="K1356">
        <v>9</v>
      </c>
      <c r="L1356">
        <v>8.8</v>
      </c>
      <c r="M1356">
        <v>8.6</v>
      </c>
      <c r="N1356">
        <f t="shared" si="21"/>
        <v>88.2</v>
      </c>
    </row>
    <row r="1357" spans="1:14">
      <c r="A1357">
        <v>20197285</v>
      </c>
      <c r="B1357" t="s">
        <v>18</v>
      </c>
      <c r="C1357" t="str">
        <f>VLOOKUP(B1357,专业代码!$B$2:$C$8,2,FALSE)</f>
        <v>管理信息系统</v>
      </c>
      <c r="D1357">
        <v>8.4</v>
      </c>
      <c r="E1357">
        <v>8.7</v>
      </c>
      <c r="F1357">
        <v>9</v>
      </c>
      <c r="G1357">
        <v>9</v>
      </c>
      <c r="H1357">
        <v>7.8</v>
      </c>
      <c r="I1357">
        <v>9.1</v>
      </c>
      <c r="J1357">
        <v>5.9</v>
      </c>
      <c r="K1357">
        <v>8</v>
      </c>
      <c r="L1357">
        <v>7.8</v>
      </c>
      <c r="M1357">
        <v>5.9</v>
      </c>
      <c r="N1357">
        <f t="shared" si="21"/>
        <v>79.6</v>
      </c>
    </row>
    <row r="1358" spans="1:14">
      <c r="A1358">
        <v>20191866</v>
      </c>
      <c r="B1358" t="s">
        <v>18</v>
      </c>
      <c r="C1358" t="str">
        <f>VLOOKUP(B1358,专业代码!$B$2:$C$8,2,FALSE)</f>
        <v>管理信息系统</v>
      </c>
      <c r="D1358">
        <v>8.7</v>
      </c>
      <c r="E1358">
        <v>8.8</v>
      </c>
      <c r="F1358">
        <v>9.6</v>
      </c>
      <c r="G1358">
        <v>7.5</v>
      </c>
      <c r="H1358">
        <v>7.8</v>
      </c>
      <c r="I1358">
        <v>9.5</v>
      </c>
      <c r="J1358">
        <v>8.8</v>
      </c>
      <c r="K1358">
        <v>9</v>
      </c>
      <c r="L1358">
        <v>5.6</v>
      </c>
      <c r="M1358">
        <v>7.2</v>
      </c>
      <c r="N1358">
        <f t="shared" si="21"/>
        <v>82.5</v>
      </c>
    </row>
    <row r="1359" spans="1:14">
      <c r="A1359">
        <v>20194838</v>
      </c>
      <c r="B1359" t="s">
        <v>18</v>
      </c>
      <c r="C1359" t="str">
        <f>VLOOKUP(B1359,专业代码!$B$2:$C$8,2,FALSE)</f>
        <v>管理信息系统</v>
      </c>
      <c r="D1359">
        <v>8.3</v>
      </c>
      <c r="E1359">
        <v>8.6</v>
      </c>
      <c r="F1359">
        <v>8.8</v>
      </c>
      <c r="G1359">
        <v>9.1</v>
      </c>
      <c r="H1359">
        <v>9.3</v>
      </c>
      <c r="I1359">
        <v>8.2</v>
      </c>
      <c r="J1359">
        <v>8.3</v>
      </c>
      <c r="K1359">
        <v>9</v>
      </c>
      <c r="L1359">
        <v>6.8</v>
      </c>
      <c r="M1359">
        <v>7.7</v>
      </c>
      <c r="N1359">
        <f t="shared" si="21"/>
        <v>84.1</v>
      </c>
    </row>
    <row r="1360" spans="1:14">
      <c r="A1360">
        <v>20196723</v>
      </c>
      <c r="B1360" t="s">
        <v>18</v>
      </c>
      <c r="C1360" t="str">
        <f>VLOOKUP(B1360,专业代码!$B$2:$C$8,2,FALSE)</f>
        <v>管理信息系统</v>
      </c>
      <c r="D1360">
        <v>8.6</v>
      </c>
      <c r="E1360">
        <v>8.7</v>
      </c>
      <c r="F1360">
        <v>8.8</v>
      </c>
      <c r="G1360">
        <v>8.5</v>
      </c>
      <c r="H1360">
        <v>8</v>
      </c>
      <c r="I1360">
        <v>7.2</v>
      </c>
      <c r="J1360">
        <v>6.6</v>
      </c>
      <c r="K1360">
        <v>8.4</v>
      </c>
      <c r="L1360">
        <v>6.2</v>
      </c>
      <c r="M1360">
        <v>5.5</v>
      </c>
      <c r="N1360">
        <f t="shared" si="21"/>
        <v>76.5</v>
      </c>
    </row>
    <row r="1361" spans="1:14">
      <c r="A1361">
        <v>20198154</v>
      </c>
      <c r="B1361" t="s">
        <v>18</v>
      </c>
      <c r="C1361" t="str">
        <f>VLOOKUP(B1361,专业代码!$B$2:$C$8,2,FALSE)</f>
        <v>管理信息系统</v>
      </c>
      <c r="D1361">
        <v>7.8</v>
      </c>
      <c r="E1361">
        <v>8.7</v>
      </c>
      <c r="F1361">
        <v>8.2</v>
      </c>
      <c r="G1361">
        <v>8.3</v>
      </c>
      <c r="H1361">
        <v>7.8</v>
      </c>
      <c r="I1361">
        <v>7.5</v>
      </c>
      <c r="J1361">
        <v>6.8</v>
      </c>
      <c r="K1361">
        <v>8.5</v>
      </c>
      <c r="L1361">
        <v>6.6</v>
      </c>
      <c r="M1361">
        <v>5.7</v>
      </c>
      <c r="N1361">
        <f t="shared" si="21"/>
        <v>75.9</v>
      </c>
    </row>
    <row r="1362" spans="1:14">
      <c r="A1362">
        <v>20198171</v>
      </c>
      <c r="B1362" t="s">
        <v>18</v>
      </c>
      <c r="C1362" t="str">
        <f>VLOOKUP(B1362,专业代码!$B$2:$C$8,2,FALSE)</f>
        <v>管理信息系统</v>
      </c>
      <c r="D1362">
        <v>9.1</v>
      </c>
      <c r="E1362">
        <v>8.2</v>
      </c>
      <c r="F1362">
        <v>8.7</v>
      </c>
      <c r="G1362">
        <v>7.6</v>
      </c>
      <c r="H1362">
        <v>8.5</v>
      </c>
      <c r="I1362">
        <v>6.9</v>
      </c>
      <c r="J1362">
        <v>7.3</v>
      </c>
      <c r="K1362">
        <v>6.9</v>
      </c>
      <c r="L1362">
        <v>7.6</v>
      </c>
      <c r="M1362">
        <v>6.8</v>
      </c>
      <c r="N1362">
        <f t="shared" si="21"/>
        <v>77.6</v>
      </c>
    </row>
    <row r="1363" spans="1:14">
      <c r="A1363">
        <v>20194004</v>
      </c>
      <c r="B1363" t="s">
        <v>18</v>
      </c>
      <c r="C1363" t="str">
        <f>VLOOKUP(B1363,专业代码!$B$2:$C$8,2,FALSE)</f>
        <v>管理信息系统</v>
      </c>
      <c r="D1363">
        <v>8.1</v>
      </c>
      <c r="E1363">
        <v>9.4</v>
      </c>
      <c r="F1363">
        <v>9.9</v>
      </c>
      <c r="G1363">
        <v>6.8</v>
      </c>
      <c r="H1363">
        <v>8.2</v>
      </c>
      <c r="I1363">
        <v>8.8</v>
      </c>
      <c r="J1363">
        <v>7.7</v>
      </c>
      <c r="K1363">
        <v>7.7</v>
      </c>
      <c r="L1363">
        <v>6.7</v>
      </c>
      <c r="M1363">
        <v>6.1</v>
      </c>
      <c r="N1363">
        <f t="shared" si="21"/>
        <v>79.4</v>
      </c>
    </row>
    <row r="1364" spans="1:14">
      <c r="A1364">
        <v>20197047</v>
      </c>
      <c r="B1364" t="s">
        <v>18</v>
      </c>
      <c r="C1364" t="str">
        <f>VLOOKUP(B1364,专业代码!$B$2:$C$8,2,FALSE)</f>
        <v>管理信息系统</v>
      </c>
      <c r="D1364">
        <v>8.9</v>
      </c>
      <c r="E1364">
        <v>8.1</v>
      </c>
      <c r="F1364">
        <v>8.7</v>
      </c>
      <c r="G1364">
        <v>8.7</v>
      </c>
      <c r="H1364">
        <v>9.9</v>
      </c>
      <c r="I1364">
        <v>9.6</v>
      </c>
      <c r="J1364">
        <v>8.8</v>
      </c>
      <c r="K1364">
        <v>6.2</v>
      </c>
      <c r="L1364">
        <v>7.3</v>
      </c>
      <c r="M1364">
        <v>9.3</v>
      </c>
      <c r="N1364">
        <f t="shared" si="21"/>
        <v>85.5</v>
      </c>
    </row>
    <row r="1365" spans="1:14">
      <c r="A1365">
        <v>20194503</v>
      </c>
      <c r="B1365" t="s">
        <v>18</v>
      </c>
      <c r="C1365" t="str">
        <f>VLOOKUP(B1365,专业代码!$B$2:$C$8,2,FALSE)</f>
        <v>管理信息系统</v>
      </c>
      <c r="D1365">
        <v>8.3</v>
      </c>
      <c r="E1365">
        <v>9.8</v>
      </c>
      <c r="F1365">
        <v>8</v>
      </c>
      <c r="G1365">
        <v>8.4</v>
      </c>
      <c r="H1365">
        <v>7.1</v>
      </c>
      <c r="I1365">
        <v>8.5</v>
      </c>
      <c r="J1365">
        <v>8.5</v>
      </c>
      <c r="K1365">
        <v>6.3</v>
      </c>
      <c r="L1365">
        <v>6.9</v>
      </c>
      <c r="M1365">
        <v>7.2</v>
      </c>
      <c r="N1365">
        <f t="shared" si="21"/>
        <v>79</v>
      </c>
    </row>
    <row r="1366" spans="1:14">
      <c r="A1366">
        <v>20196597</v>
      </c>
      <c r="B1366" t="s">
        <v>18</v>
      </c>
      <c r="C1366" t="str">
        <f>VLOOKUP(B1366,专业代码!$B$2:$C$8,2,FALSE)</f>
        <v>管理信息系统</v>
      </c>
      <c r="D1366">
        <v>9</v>
      </c>
      <c r="E1366">
        <v>9.3</v>
      </c>
      <c r="F1366">
        <v>8.8</v>
      </c>
      <c r="G1366">
        <v>7.9</v>
      </c>
      <c r="H1366">
        <v>7.9</v>
      </c>
      <c r="I1366">
        <v>6.1</v>
      </c>
      <c r="J1366">
        <v>6.6</v>
      </c>
      <c r="K1366">
        <v>5.5</v>
      </c>
      <c r="L1366">
        <v>7.6</v>
      </c>
      <c r="M1366">
        <v>8.1</v>
      </c>
      <c r="N1366">
        <f t="shared" si="21"/>
        <v>76.8</v>
      </c>
    </row>
    <row r="1367" spans="1:14">
      <c r="A1367">
        <v>20197109</v>
      </c>
      <c r="B1367" t="s">
        <v>18</v>
      </c>
      <c r="C1367" t="str">
        <f>VLOOKUP(B1367,专业代码!$B$2:$C$8,2,FALSE)</f>
        <v>管理信息系统</v>
      </c>
      <c r="D1367">
        <v>9.1</v>
      </c>
      <c r="E1367">
        <v>8.5</v>
      </c>
      <c r="F1367">
        <v>9.9</v>
      </c>
      <c r="G1367">
        <v>8.9</v>
      </c>
      <c r="H1367">
        <v>8.2</v>
      </c>
      <c r="I1367">
        <v>8.8</v>
      </c>
      <c r="J1367">
        <v>8.6</v>
      </c>
      <c r="K1367">
        <v>7.9</v>
      </c>
      <c r="L1367">
        <v>7.6</v>
      </c>
      <c r="M1367">
        <v>6.5</v>
      </c>
      <c r="N1367">
        <f t="shared" si="21"/>
        <v>84</v>
      </c>
    </row>
    <row r="1368" spans="1:14">
      <c r="A1368">
        <v>20197556</v>
      </c>
      <c r="B1368" t="s">
        <v>18</v>
      </c>
      <c r="C1368" t="str">
        <f>VLOOKUP(B1368,专业代码!$B$2:$C$8,2,FALSE)</f>
        <v>管理信息系统</v>
      </c>
      <c r="D1368">
        <v>8.9</v>
      </c>
      <c r="E1368">
        <v>9.1</v>
      </c>
      <c r="F1368">
        <v>8.4</v>
      </c>
      <c r="G1368">
        <v>8.5</v>
      </c>
      <c r="H1368">
        <v>7.6</v>
      </c>
      <c r="I1368">
        <v>9</v>
      </c>
      <c r="J1368">
        <v>7.2</v>
      </c>
      <c r="K1368">
        <v>8.1</v>
      </c>
      <c r="L1368">
        <v>6.3</v>
      </c>
      <c r="M1368">
        <v>6.5</v>
      </c>
      <c r="N1368">
        <f t="shared" si="21"/>
        <v>79.6</v>
      </c>
    </row>
    <row r="1369" spans="1:14">
      <c r="A1369">
        <v>20197948</v>
      </c>
      <c r="B1369" t="s">
        <v>18</v>
      </c>
      <c r="C1369" t="str">
        <f>VLOOKUP(B1369,专业代码!$B$2:$C$8,2,FALSE)</f>
        <v>管理信息系统</v>
      </c>
      <c r="D1369">
        <v>8.8</v>
      </c>
      <c r="E1369">
        <v>9</v>
      </c>
      <c r="F1369">
        <v>8.5</v>
      </c>
      <c r="G1369">
        <v>9.2</v>
      </c>
      <c r="H1369">
        <v>8.1</v>
      </c>
      <c r="I1369">
        <v>8.2</v>
      </c>
      <c r="J1369">
        <v>7.6</v>
      </c>
      <c r="K1369">
        <v>8.2</v>
      </c>
      <c r="L1369">
        <v>6.8</v>
      </c>
      <c r="M1369">
        <v>7.6</v>
      </c>
      <c r="N1369">
        <f t="shared" si="21"/>
        <v>82</v>
      </c>
    </row>
    <row r="1370" spans="1:14">
      <c r="A1370">
        <v>20195696</v>
      </c>
      <c r="B1370" t="s">
        <v>18</v>
      </c>
      <c r="C1370" t="str">
        <f>VLOOKUP(B1370,专业代码!$B$2:$C$8,2,FALSE)</f>
        <v>管理信息系统</v>
      </c>
      <c r="D1370">
        <v>9</v>
      </c>
      <c r="E1370">
        <v>8.6</v>
      </c>
      <c r="F1370">
        <v>8.3</v>
      </c>
      <c r="G1370">
        <v>9.2</v>
      </c>
      <c r="H1370">
        <v>8.3</v>
      </c>
      <c r="I1370">
        <v>8</v>
      </c>
      <c r="J1370">
        <v>7</v>
      </c>
      <c r="K1370">
        <v>6.5</v>
      </c>
      <c r="L1370">
        <v>8.8</v>
      </c>
      <c r="M1370">
        <v>6.5</v>
      </c>
      <c r="N1370">
        <f t="shared" si="21"/>
        <v>80.2</v>
      </c>
    </row>
    <row r="1371" spans="1:14">
      <c r="A1371">
        <v>20196859</v>
      </c>
      <c r="B1371" t="s">
        <v>18</v>
      </c>
      <c r="C1371" t="str">
        <f>VLOOKUP(B1371,专业代码!$B$2:$C$8,2,FALSE)</f>
        <v>管理信息系统</v>
      </c>
      <c r="D1371">
        <v>8.6</v>
      </c>
      <c r="E1371">
        <v>8.7</v>
      </c>
      <c r="F1371">
        <v>8.6</v>
      </c>
      <c r="G1371">
        <v>8.1</v>
      </c>
      <c r="H1371">
        <v>7.3</v>
      </c>
      <c r="I1371">
        <v>6.9</v>
      </c>
      <c r="J1371">
        <v>8.4</v>
      </c>
      <c r="K1371">
        <v>7.6</v>
      </c>
      <c r="L1371">
        <v>7.3</v>
      </c>
      <c r="M1371">
        <v>7.9</v>
      </c>
      <c r="N1371">
        <f t="shared" si="21"/>
        <v>79.4</v>
      </c>
    </row>
    <row r="1372" spans="1:14">
      <c r="A1372">
        <v>20197798</v>
      </c>
      <c r="B1372" t="s">
        <v>18</v>
      </c>
      <c r="C1372" t="str">
        <f>VLOOKUP(B1372,专业代码!$B$2:$C$8,2,FALSE)</f>
        <v>管理信息系统</v>
      </c>
      <c r="D1372">
        <v>9.2</v>
      </c>
      <c r="E1372">
        <v>9.4</v>
      </c>
      <c r="F1372">
        <v>8.3</v>
      </c>
      <c r="G1372">
        <v>8.2</v>
      </c>
      <c r="H1372">
        <v>7.2</v>
      </c>
      <c r="I1372">
        <v>8</v>
      </c>
      <c r="J1372">
        <v>6.1</v>
      </c>
      <c r="K1372">
        <v>8.2</v>
      </c>
      <c r="L1372">
        <v>7.5</v>
      </c>
      <c r="M1372">
        <v>5</v>
      </c>
      <c r="N1372">
        <f t="shared" si="21"/>
        <v>77.1</v>
      </c>
    </row>
    <row r="1373" spans="1:14">
      <c r="A1373">
        <v>20199857</v>
      </c>
      <c r="B1373" t="s">
        <v>18</v>
      </c>
      <c r="C1373" t="str">
        <f>VLOOKUP(B1373,专业代码!$B$2:$C$8,2,FALSE)</f>
        <v>管理信息系统</v>
      </c>
      <c r="D1373">
        <v>8.9</v>
      </c>
      <c r="E1373">
        <v>9.8</v>
      </c>
      <c r="F1373">
        <v>9.1</v>
      </c>
      <c r="G1373">
        <v>9.3</v>
      </c>
      <c r="H1373">
        <v>8.8</v>
      </c>
      <c r="I1373">
        <v>7.9</v>
      </c>
      <c r="J1373">
        <v>7.1</v>
      </c>
      <c r="K1373">
        <v>7</v>
      </c>
      <c r="L1373">
        <v>6</v>
      </c>
      <c r="M1373">
        <v>3.7</v>
      </c>
      <c r="N1373">
        <f t="shared" si="21"/>
        <v>77.6</v>
      </c>
    </row>
    <row r="1374" spans="1:14">
      <c r="A1374">
        <v>20191305</v>
      </c>
      <c r="B1374" t="s">
        <v>18</v>
      </c>
      <c r="C1374" t="str">
        <f>VLOOKUP(B1374,专业代码!$B$2:$C$8,2,FALSE)</f>
        <v>管理信息系统</v>
      </c>
      <c r="D1374">
        <v>9.9</v>
      </c>
      <c r="E1374">
        <v>8.4</v>
      </c>
      <c r="F1374">
        <v>9.2</v>
      </c>
      <c r="G1374">
        <v>8.1</v>
      </c>
      <c r="H1374">
        <v>9</v>
      </c>
      <c r="I1374">
        <v>9</v>
      </c>
      <c r="J1374">
        <v>8.5</v>
      </c>
      <c r="K1374">
        <v>6.7</v>
      </c>
      <c r="L1374">
        <v>7.1</v>
      </c>
      <c r="M1374">
        <v>7.4</v>
      </c>
      <c r="N1374">
        <f t="shared" si="21"/>
        <v>83.3</v>
      </c>
    </row>
    <row r="1375" spans="1:14">
      <c r="A1375">
        <v>20192715</v>
      </c>
      <c r="B1375" t="s">
        <v>18</v>
      </c>
      <c r="C1375" t="str">
        <f>VLOOKUP(B1375,专业代码!$B$2:$C$8,2,FALSE)</f>
        <v>管理信息系统</v>
      </c>
      <c r="D1375">
        <v>9.4</v>
      </c>
      <c r="E1375">
        <v>9.5</v>
      </c>
      <c r="F1375">
        <v>9.2</v>
      </c>
      <c r="G1375">
        <v>9.2</v>
      </c>
      <c r="H1375">
        <v>7.5</v>
      </c>
      <c r="I1375">
        <v>8.7</v>
      </c>
      <c r="J1375">
        <v>6.8</v>
      </c>
      <c r="K1375">
        <v>7.9</v>
      </c>
      <c r="L1375">
        <v>8.5</v>
      </c>
      <c r="M1375">
        <v>6.3</v>
      </c>
      <c r="N1375">
        <f t="shared" si="21"/>
        <v>83</v>
      </c>
    </row>
    <row r="1376" spans="1:14">
      <c r="A1376">
        <v>20198381</v>
      </c>
      <c r="B1376" t="s">
        <v>18</v>
      </c>
      <c r="C1376" t="str">
        <f>VLOOKUP(B1376,专业代码!$B$2:$C$8,2,FALSE)</f>
        <v>管理信息系统</v>
      </c>
      <c r="D1376">
        <v>8.5</v>
      </c>
      <c r="E1376">
        <v>9.1</v>
      </c>
      <c r="F1376">
        <v>9.9</v>
      </c>
      <c r="G1376">
        <v>9.3</v>
      </c>
      <c r="H1376">
        <v>7.4</v>
      </c>
      <c r="I1376">
        <v>8.8</v>
      </c>
      <c r="J1376">
        <v>6.2</v>
      </c>
      <c r="K1376">
        <v>6.5</v>
      </c>
      <c r="L1376">
        <v>9.2</v>
      </c>
      <c r="M1376">
        <v>7.6</v>
      </c>
      <c r="N1376">
        <f t="shared" si="21"/>
        <v>82.5</v>
      </c>
    </row>
    <row r="1377" spans="1:14">
      <c r="A1377">
        <v>20199357</v>
      </c>
      <c r="B1377" t="s">
        <v>18</v>
      </c>
      <c r="C1377" t="str">
        <f>VLOOKUP(B1377,专业代码!$B$2:$C$8,2,FALSE)</f>
        <v>管理信息系统</v>
      </c>
      <c r="D1377">
        <v>9.6</v>
      </c>
      <c r="E1377">
        <v>8.8</v>
      </c>
      <c r="F1377">
        <v>8.9</v>
      </c>
      <c r="G1377">
        <v>9.2</v>
      </c>
      <c r="H1377">
        <v>8.3</v>
      </c>
      <c r="I1377">
        <v>9.2</v>
      </c>
      <c r="J1377">
        <v>7.3</v>
      </c>
      <c r="K1377">
        <v>9.9</v>
      </c>
      <c r="L1377">
        <v>7.8</v>
      </c>
      <c r="M1377">
        <v>6.4</v>
      </c>
      <c r="N1377">
        <f t="shared" si="21"/>
        <v>85.4</v>
      </c>
    </row>
    <row r="1378" spans="1:14">
      <c r="A1378">
        <v>20199980</v>
      </c>
      <c r="B1378" t="s">
        <v>18</v>
      </c>
      <c r="C1378" t="str">
        <f>VLOOKUP(B1378,专业代码!$B$2:$C$8,2,FALSE)</f>
        <v>管理信息系统</v>
      </c>
      <c r="D1378">
        <v>9.3</v>
      </c>
      <c r="E1378">
        <v>9.1</v>
      </c>
      <c r="F1378">
        <v>8.8</v>
      </c>
      <c r="G1378">
        <v>9.1</v>
      </c>
      <c r="H1378">
        <v>9.5</v>
      </c>
      <c r="I1378">
        <v>8.4</v>
      </c>
      <c r="J1378">
        <v>6.4</v>
      </c>
      <c r="K1378">
        <v>8.2</v>
      </c>
      <c r="L1378">
        <v>8.7</v>
      </c>
      <c r="M1378">
        <v>8.8</v>
      </c>
      <c r="N1378">
        <f t="shared" si="21"/>
        <v>86.3</v>
      </c>
    </row>
    <row r="1379" spans="1:14">
      <c r="A1379">
        <v>20191591</v>
      </c>
      <c r="B1379" t="s">
        <v>19</v>
      </c>
      <c r="C1379" t="str">
        <f>VLOOKUP(B1379,专业代码!$B$2:$C$8,2,FALSE)</f>
        <v>市场营销</v>
      </c>
      <c r="D1379">
        <v>8</v>
      </c>
      <c r="E1379">
        <v>8.2</v>
      </c>
      <c r="F1379">
        <v>7.4</v>
      </c>
      <c r="G1379">
        <v>6.7</v>
      </c>
      <c r="H1379">
        <v>6.8</v>
      </c>
      <c r="I1379">
        <v>7.5</v>
      </c>
      <c r="J1379">
        <v>5.5</v>
      </c>
      <c r="K1379">
        <v>6.4</v>
      </c>
      <c r="L1379">
        <v>6.3</v>
      </c>
      <c r="M1379">
        <v>4.7</v>
      </c>
      <c r="N1379">
        <f t="shared" si="21"/>
        <v>67.5</v>
      </c>
    </row>
    <row r="1380" spans="1:14">
      <c r="A1380">
        <v>20198129</v>
      </c>
      <c r="B1380" t="s">
        <v>19</v>
      </c>
      <c r="C1380" t="str">
        <f>VLOOKUP(B1380,专业代码!$B$2:$C$8,2,FALSE)</f>
        <v>市场营销</v>
      </c>
      <c r="D1380">
        <v>7</v>
      </c>
      <c r="E1380">
        <v>7.5</v>
      </c>
      <c r="F1380">
        <v>7.2</v>
      </c>
      <c r="G1380">
        <v>7.7</v>
      </c>
      <c r="H1380">
        <v>7.1</v>
      </c>
      <c r="I1380">
        <v>6.8</v>
      </c>
      <c r="J1380">
        <v>7.6</v>
      </c>
      <c r="K1380">
        <v>6.4</v>
      </c>
      <c r="L1380">
        <v>6.1</v>
      </c>
      <c r="M1380">
        <v>5.2</v>
      </c>
      <c r="N1380">
        <f t="shared" si="21"/>
        <v>68.6</v>
      </c>
    </row>
    <row r="1381" spans="1:14">
      <c r="A1381">
        <v>20199796</v>
      </c>
      <c r="B1381" t="s">
        <v>19</v>
      </c>
      <c r="C1381" t="str">
        <f>VLOOKUP(B1381,专业代码!$B$2:$C$8,2,FALSE)</f>
        <v>市场营销</v>
      </c>
      <c r="D1381">
        <v>8</v>
      </c>
      <c r="E1381">
        <v>8.3</v>
      </c>
      <c r="F1381">
        <v>8</v>
      </c>
      <c r="G1381">
        <v>6.4</v>
      </c>
      <c r="H1381">
        <v>7.4</v>
      </c>
      <c r="I1381">
        <v>7</v>
      </c>
      <c r="J1381">
        <v>6.4</v>
      </c>
      <c r="K1381">
        <v>6.4</v>
      </c>
      <c r="L1381">
        <v>5.9</v>
      </c>
      <c r="M1381">
        <v>5.1</v>
      </c>
      <c r="N1381">
        <f t="shared" si="21"/>
        <v>68.9</v>
      </c>
    </row>
    <row r="1382" spans="1:14">
      <c r="A1382">
        <v>20192097</v>
      </c>
      <c r="B1382" t="s">
        <v>19</v>
      </c>
      <c r="C1382" t="str">
        <f>VLOOKUP(B1382,专业代码!$B$2:$C$8,2,FALSE)</f>
        <v>市场营销</v>
      </c>
      <c r="D1382">
        <v>8.1</v>
      </c>
      <c r="E1382">
        <v>8.6</v>
      </c>
      <c r="F1382">
        <v>7.3</v>
      </c>
      <c r="G1382">
        <v>7.7</v>
      </c>
      <c r="H1382">
        <v>7.9</v>
      </c>
      <c r="I1382">
        <v>7.2</v>
      </c>
      <c r="J1382">
        <v>6.5</v>
      </c>
      <c r="K1382">
        <v>6.4</v>
      </c>
      <c r="L1382">
        <v>5.9</v>
      </c>
      <c r="M1382">
        <v>5.2</v>
      </c>
      <c r="N1382">
        <f t="shared" si="21"/>
        <v>70.8</v>
      </c>
    </row>
    <row r="1383" spans="1:14">
      <c r="A1383">
        <v>20192736</v>
      </c>
      <c r="B1383" t="s">
        <v>19</v>
      </c>
      <c r="C1383" t="str">
        <f>VLOOKUP(B1383,专业代码!$B$2:$C$8,2,FALSE)</f>
        <v>市场营销</v>
      </c>
      <c r="D1383">
        <v>7.1</v>
      </c>
      <c r="E1383">
        <v>6.8</v>
      </c>
      <c r="F1383">
        <v>7.5</v>
      </c>
      <c r="G1383">
        <v>7.9</v>
      </c>
      <c r="H1383">
        <v>6.3</v>
      </c>
      <c r="I1383">
        <v>6.8</v>
      </c>
      <c r="J1383">
        <v>8.1</v>
      </c>
      <c r="K1383">
        <v>8.2</v>
      </c>
      <c r="L1383">
        <v>7.2</v>
      </c>
      <c r="M1383">
        <v>5</v>
      </c>
      <c r="N1383">
        <f t="shared" si="21"/>
        <v>70.9</v>
      </c>
    </row>
    <row r="1384" spans="1:14">
      <c r="A1384">
        <v>20193772</v>
      </c>
      <c r="B1384" t="s">
        <v>19</v>
      </c>
      <c r="C1384" t="str">
        <f>VLOOKUP(B1384,专业代码!$B$2:$C$8,2,FALSE)</f>
        <v>市场营销</v>
      </c>
      <c r="D1384">
        <v>8.5</v>
      </c>
      <c r="E1384">
        <v>7.6</v>
      </c>
      <c r="F1384">
        <v>7.7</v>
      </c>
      <c r="G1384">
        <v>7.7</v>
      </c>
      <c r="H1384">
        <v>6.9</v>
      </c>
      <c r="I1384">
        <v>6.7</v>
      </c>
      <c r="J1384">
        <v>7.2</v>
      </c>
      <c r="K1384">
        <v>7.9</v>
      </c>
      <c r="L1384">
        <v>6</v>
      </c>
      <c r="M1384">
        <v>6.4</v>
      </c>
      <c r="N1384">
        <f t="shared" si="21"/>
        <v>72.6</v>
      </c>
    </row>
    <row r="1385" spans="1:14">
      <c r="A1385">
        <v>20195033</v>
      </c>
      <c r="B1385" t="s">
        <v>19</v>
      </c>
      <c r="C1385" t="str">
        <f>VLOOKUP(B1385,专业代码!$B$2:$C$8,2,FALSE)</f>
        <v>市场营销</v>
      </c>
      <c r="D1385">
        <v>8.3</v>
      </c>
      <c r="E1385">
        <v>8.7</v>
      </c>
      <c r="F1385">
        <v>8.6</v>
      </c>
      <c r="G1385">
        <v>8</v>
      </c>
      <c r="H1385">
        <v>7.8</v>
      </c>
      <c r="I1385">
        <v>7.4</v>
      </c>
      <c r="J1385">
        <v>5.6</v>
      </c>
      <c r="K1385">
        <v>7</v>
      </c>
      <c r="L1385">
        <v>5.8</v>
      </c>
      <c r="M1385">
        <v>6.8</v>
      </c>
      <c r="N1385">
        <f t="shared" si="21"/>
        <v>74</v>
      </c>
    </row>
    <row r="1386" spans="1:14">
      <c r="A1386">
        <v>20196842</v>
      </c>
      <c r="B1386" t="s">
        <v>19</v>
      </c>
      <c r="C1386" t="str">
        <f>VLOOKUP(B1386,专业代码!$B$2:$C$8,2,FALSE)</f>
        <v>市场营销</v>
      </c>
      <c r="D1386">
        <v>8.1</v>
      </c>
      <c r="E1386">
        <v>7.2</v>
      </c>
      <c r="F1386">
        <v>7.7</v>
      </c>
      <c r="G1386">
        <v>7.8</v>
      </c>
      <c r="H1386">
        <v>8.5</v>
      </c>
      <c r="I1386">
        <v>8.1</v>
      </c>
      <c r="J1386">
        <v>6.4</v>
      </c>
      <c r="K1386">
        <v>6.8</v>
      </c>
      <c r="L1386">
        <v>7.2</v>
      </c>
      <c r="M1386">
        <v>6.3</v>
      </c>
      <c r="N1386">
        <f t="shared" si="21"/>
        <v>74.1</v>
      </c>
    </row>
    <row r="1387" spans="1:14">
      <c r="A1387">
        <v>20191452</v>
      </c>
      <c r="B1387" t="s">
        <v>19</v>
      </c>
      <c r="C1387" t="str">
        <f>VLOOKUP(B1387,专业代码!$B$2:$C$8,2,FALSE)</f>
        <v>市场营销</v>
      </c>
      <c r="D1387">
        <v>7.8</v>
      </c>
      <c r="E1387">
        <v>6.4</v>
      </c>
      <c r="F1387">
        <v>7.9</v>
      </c>
      <c r="G1387">
        <v>7.4</v>
      </c>
      <c r="H1387">
        <v>6.2</v>
      </c>
      <c r="I1387">
        <v>6.8</v>
      </c>
      <c r="J1387">
        <v>5.9</v>
      </c>
      <c r="K1387">
        <v>5.7</v>
      </c>
      <c r="L1387">
        <v>8.4</v>
      </c>
      <c r="M1387">
        <v>6.1</v>
      </c>
      <c r="N1387">
        <f t="shared" si="21"/>
        <v>68.6</v>
      </c>
    </row>
    <row r="1388" spans="1:14">
      <c r="A1388">
        <v>20191835</v>
      </c>
      <c r="B1388" t="s">
        <v>19</v>
      </c>
      <c r="C1388" t="str">
        <f>VLOOKUP(B1388,专业代码!$B$2:$C$8,2,FALSE)</f>
        <v>市场营销</v>
      </c>
      <c r="D1388">
        <v>8.7</v>
      </c>
      <c r="E1388">
        <v>8</v>
      </c>
      <c r="F1388">
        <v>8</v>
      </c>
      <c r="G1388">
        <v>7.4</v>
      </c>
      <c r="H1388">
        <v>5.6</v>
      </c>
      <c r="I1388">
        <v>6.6</v>
      </c>
      <c r="J1388">
        <v>7.1</v>
      </c>
      <c r="K1388">
        <v>6.6</v>
      </c>
      <c r="L1388">
        <v>6.5</v>
      </c>
      <c r="M1388">
        <v>6.2</v>
      </c>
      <c r="N1388">
        <f t="shared" si="21"/>
        <v>70.7</v>
      </c>
    </row>
    <row r="1389" spans="1:14">
      <c r="A1389">
        <v>20196913</v>
      </c>
      <c r="B1389" t="s">
        <v>19</v>
      </c>
      <c r="C1389" t="str">
        <f>VLOOKUP(B1389,专业代码!$B$2:$C$8,2,FALSE)</f>
        <v>市场营销</v>
      </c>
      <c r="D1389">
        <v>7.3</v>
      </c>
      <c r="E1389">
        <v>7.7</v>
      </c>
      <c r="F1389">
        <v>8.1</v>
      </c>
      <c r="G1389">
        <v>8.5</v>
      </c>
      <c r="H1389">
        <v>5.9</v>
      </c>
      <c r="I1389">
        <v>6.7</v>
      </c>
      <c r="J1389">
        <v>6.5</v>
      </c>
      <c r="K1389">
        <v>6.9</v>
      </c>
      <c r="L1389">
        <v>6.1</v>
      </c>
      <c r="M1389">
        <v>7.3</v>
      </c>
      <c r="N1389">
        <f t="shared" si="21"/>
        <v>71</v>
      </c>
    </row>
    <row r="1390" spans="1:14">
      <c r="A1390">
        <v>20198571</v>
      </c>
      <c r="B1390" t="s">
        <v>19</v>
      </c>
      <c r="C1390" t="str">
        <f>VLOOKUP(B1390,专业代码!$B$2:$C$8,2,FALSE)</f>
        <v>市场营销</v>
      </c>
      <c r="D1390">
        <v>8.1</v>
      </c>
      <c r="E1390">
        <v>7.7</v>
      </c>
      <c r="F1390">
        <v>7.5</v>
      </c>
      <c r="G1390">
        <v>7.5</v>
      </c>
      <c r="H1390">
        <v>7.1</v>
      </c>
      <c r="I1390">
        <v>6.9</v>
      </c>
      <c r="J1390">
        <v>8.4</v>
      </c>
      <c r="K1390">
        <v>6.2</v>
      </c>
      <c r="L1390">
        <v>4.9</v>
      </c>
      <c r="M1390">
        <v>7</v>
      </c>
      <c r="N1390">
        <f t="shared" si="21"/>
        <v>71.3</v>
      </c>
    </row>
    <row r="1391" spans="1:14">
      <c r="A1391">
        <v>20191471</v>
      </c>
      <c r="B1391" t="s">
        <v>19</v>
      </c>
      <c r="C1391" t="str">
        <f>VLOOKUP(B1391,专业代码!$B$2:$C$8,2,FALSE)</f>
        <v>市场营销</v>
      </c>
      <c r="D1391">
        <v>8.6</v>
      </c>
      <c r="E1391">
        <v>8.3</v>
      </c>
      <c r="F1391">
        <v>6.8</v>
      </c>
      <c r="G1391">
        <v>6.8</v>
      </c>
      <c r="H1391">
        <v>8.3</v>
      </c>
      <c r="I1391">
        <v>6.7</v>
      </c>
      <c r="J1391">
        <v>6.3</v>
      </c>
      <c r="K1391">
        <v>6.8</v>
      </c>
      <c r="L1391">
        <v>7.2</v>
      </c>
      <c r="M1391">
        <v>5.3</v>
      </c>
      <c r="N1391">
        <f t="shared" si="21"/>
        <v>71.1</v>
      </c>
    </row>
    <row r="1392" spans="1:14">
      <c r="A1392">
        <v>20192265</v>
      </c>
      <c r="B1392" t="s">
        <v>19</v>
      </c>
      <c r="C1392" t="str">
        <f>VLOOKUP(B1392,专业代码!$B$2:$C$8,2,FALSE)</f>
        <v>市场营销</v>
      </c>
      <c r="D1392">
        <v>7.4</v>
      </c>
      <c r="E1392">
        <v>6.6</v>
      </c>
      <c r="F1392">
        <v>7.5</v>
      </c>
      <c r="G1392">
        <v>7</v>
      </c>
      <c r="H1392">
        <v>7.5</v>
      </c>
      <c r="I1392">
        <v>6.2</v>
      </c>
      <c r="J1392">
        <v>5.9</v>
      </c>
      <c r="K1392">
        <v>6.3</v>
      </c>
      <c r="L1392">
        <v>6.1</v>
      </c>
      <c r="M1392">
        <v>4.6</v>
      </c>
      <c r="N1392">
        <f t="shared" si="21"/>
        <v>65.1</v>
      </c>
    </row>
    <row r="1393" spans="1:14">
      <c r="A1393">
        <v>20194406</v>
      </c>
      <c r="B1393" t="s">
        <v>19</v>
      </c>
      <c r="C1393" t="str">
        <f>VLOOKUP(B1393,专业代码!$B$2:$C$8,2,FALSE)</f>
        <v>市场营销</v>
      </c>
      <c r="D1393">
        <v>7.2</v>
      </c>
      <c r="E1393">
        <v>7.8</v>
      </c>
      <c r="F1393">
        <v>7.5</v>
      </c>
      <c r="G1393">
        <v>7.7</v>
      </c>
      <c r="H1393">
        <v>7.5</v>
      </c>
      <c r="I1393">
        <v>6.7</v>
      </c>
      <c r="J1393">
        <v>6.7</v>
      </c>
      <c r="K1393">
        <v>7.6</v>
      </c>
      <c r="L1393">
        <v>6.2</v>
      </c>
      <c r="M1393">
        <v>7.1</v>
      </c>
      <c r="N1393">
        <f t="shared" si="21"/>
        <v>72</v>
      </c>
    </row>
    <row r="1394" spans="1:14">
      <c r="A1394">
        <v>20195092</v>
      </c>
      <c r="B1394" t="s">
        <v>19</v>
      </c>
      <c r="C1394" t="str">
        <f>VLOOKUP(B1394,专业代码!$B$2:$C$8,2,FALSE)</f>
        <v>市场营销</v>
      </c>
      <c r="D1394">
        <v>7.3</v>
      </c>
      <c r="E1394">
        <v>7.8</v>
      </c>
      <c r="F1394">
        <v>7.5</v>
      </c>
      <c r="G1394">
        <v>7.3</v>
      </c>
      <c r="H1394">
        <v>6</v>
      </c>
      <c r="I1394">
        <v>7</v>
      </c>
      <c r="J1394">
        <v>6.4</v>
      </c>
      <c r="K1394">
        <v>5.7</v>
      </c>
      <c r="L1394">
        <v>5.1</v>
      </c>
      <c r="M1394">
        <v>5.8</v>
      </c>
      <c r="N1394">
        <f t="shared" si="21"/>
        <v>65.9</v>
      </c>
    </row>
    <row r="1395" spans="1:14">
      <c r="A1395">
        <v>20197190</v>
      </c>
      <c r="B1395" t="s">
        <v>19</v>
      </c>
      <c r="C1395" t="str">
        <f>VLOOKUP(B1395,专业代码!$B$2:$C$8,2,FALSE)</f>
        <v>市场营销</v>
      </c>
      <c r="D1395">
        <v>7.8</v>
      </c>
      <c r="E1395">
        <v>7.9</v>
      </c>
      <c r="F1395">
        <v>7.7</v>
      </c>
      <c r="G1395">
        <v>6.7</v>
      </c>
      <c r="H1395">
        <v>6.6</v>
      </c>
      <c r="I1395">
        <v>5.9</v>
      </c>
      <c r="J1395">
        <v>5.5</v>
      </c>
      <c r="K1395">
        <v>6.6</v>
      </c>
      <c r="L1395">
        <v>7.1</v>
      </c>
      <c r="M1395">
        <v>6.2</v>
      </c>
      <c r="N1395">
        <f t="shared" si="21"/>
        <v>68</v>
      </c>
    </row>
    <row r="1396" spans="1:14">
      <c r="A1396">
        <v>20197480</v>
      </c>
      <c r="B1396" t="s">
        <v>19</v>
      </c>
      <c r="C1396" t="str">
        <f>VLOOKUP(B1396,专业代码!$B$2:$C$8,2,FALSE)</f>
        <v>市场营销</v>
      </c>
      <c r="D1396">
        <v>7.6</v>
      </c>
      <c r="E1396">
        <v>8.7</v>
      </c>
      <c r="F1396">
        <v>8.3</v>
      </c>
      <c r="G1396">
        <v>7.4</v>
      </c>
      <c r="H1396">
        <v>7.2</v>
      </c>
      <c r="I1396">
        <v>6.5</v>
      </c>
      <c r="J1396">
        <v>6.6</v>
      </c>
      <c r="K1396">
        <v>7.1</v>
      </c>
      <c r="L1396">
        <v>7.6</v>
      </c>
      <c r="M1396">
        <v>5.6</v>
      </c>
      <c r="N1396">
        <f t="shared" si="21"/>
        <v>72.6</v>
      </c>
    </row>
    <row r="1397" spans="1:14">
      <c r="A1397">
        <v>20197797</v>
      </c>
      <c r="B1397" t="s">
        <v>19</v>
      </c>
      <c r="C1397" t="str">
        <f>VLOOKUP(B1397,专业代码!$B$2:$C$8,2,FALSE)</f>
        <v>市场营销</v>
      </c>
      <c r="D1397">
        <v>8.3</v>
      </c>
      <c r="E1397">
        <v>7.8</v>
      </c>
      <c r="F1397">
        <v>6.8</v>
      </c>
      <c r="G1397">
        <v>6.8</v>
      </c>
      <c r="H1397">
        <v>7.2</v>
      </c>
      <c r="I1397">
        <v>6.3</v>
      </c>
      <c r="J1397">
        <v>6.2</v>
      </c>
      <c r="K1397">
        <v>5.2</v>
      </c>
      <c r="L1397">
        <v>6.2</v>
      </c>
      <c r="M1397">
        <v>2.2</v>
      </c>
      <c r="N1397">
        <f t="shared" si="21"/>
        <v>63</v>
      </c>
    </row>
    <row r="1398" spans="1:14">
      <c r="A1398">
        <v>20191156</v>
      </c>
      <c r="B1398" t="s">
        <v>19</v>
      </c>
      <c r="C1398" t="str">
        <f>VLOOKUP(B1398,专业代码!$B$2:$C$8,2,FALSE)</f>
        <v>市场营销</v>
      </c>
      <c r="D1398">
        <v>7.3</v>
      </c>
      <c r="E1398">
        <v>7.6</v>
      </c>
      <c r="F1398">
        <v>8.8</v>
      </c>
      <c r="G1398">
        <v>6.2</v>
      </c>
      <c r="H1398">
        <v>8.3</v>
      </c>
      <c r="I1398">
        <v>6.1</v>
      </c>
      <c r="J1398">
        <v>7.1</v>
      </c>
      <c r="K1398">
        <v>7</v>
      </c>
      <c r="L1398">
        <v>6.9</v>
      </c>
      <c r="M1398">
        <v>5.8</v>
      </c>
      <c r="N1398">
        <f t="shared" si="21"/>
        <v>71.1</v>
      </c>
    </row>
    <row r="1399" spans="1:14">
      <c r="A1399">
        <v>20192917</v>
      </c>
      <c r="B1399" t="s">
        <v>19</v>
      </c>
      <c r="C1399" t="str">
        <f>VLOOKUP(B1399,专业代码!$B$2:$C$8,2,FALSE)</f>
        <v>市场营销</v>
      </c>
      <c r="D1399">
        <v>7.3</v>
      </c>
      <c r="E1399">
        <v>7.5</v>
      </c>
      <c r="F1399">
        <v>7.4</v>
      </c>
      <c r="G1399">
        <v>7.5</v>
      </c>
      <c r="H1399">
        <v>6.2</v>
      </c>
      <c r="I1399">
        <v>6.2</v>
      </c>
      <c r="J1399">
        <v>6.8</v>
      </c>
      <c r="K1399">
        <v>6.4</v>
      </c>
      <c r="L1399">
        <v>4.9</v>
      </c>
      <c r="M1399">
        <v>5</v>
      </c>
      <c r="N1399">
        <f t="shared" si="21"/>
        <v>65.2</v>
      </c>
    </row>
    <row r="1400" spans="1:14">
      <c r="A1400">
        <v>20193071</v>
      </c>
      <c r="B1400" t="s">
        <v>19</v>
      </c>
      <c r="C1400" t="str">
        <f>VLOOKUP(B1400,专业代码!$B$2:$C$8,2,FALSE)</f>
        <v>市场营销</v>
      </c>
      <c r="D1400">
        <v>7.4</v>
      </c>
      <c r="E1400">
        <v>8.1</v>
      </c>
      <c r="F1400">
        <v>6.9</v>
      </c>
      <c r="G1400">
        <v>8.7</v>
      </c>
      <c r="H1400">
        <v>7.1</v>
      </c>
      <c r="I1400">
        <v>6.2</v>
      </c>
      <c r="J1400">
        <v>6</v>
      </c>
      <c r="K1400">
        <v>7.5</v>
      </c>
      <c r="L1400">
        <v>6</v>
      </c>
      <c r="M1400">
        <v>4.7</v>
      </c>
      <c r="N1400">
        <f t="shared" si="21"/>
        <v>68.6</v>
      </c>
    </row>
    <row r="1401" spans="1:14">
      <c r="A1401">
        <v>20194928</v>
      </c>
      <c r="B1401" t="s">
        <v>19</v>
      </c>
      <c r="C1401" t="str">
        <f>VLOOKUP(B1401,专业代码!$B$2:$C$8,2,FALSE)</f>
        <v>市场营销</v>
      </c>
      <c r="D1401">
        <v>7.9</v>
      </c>
      <c r="E1401">
        <v>8.4</v>
      </c>
      <c r="F1401">
        <v>7.4</v>
      </c>
      <c r="G1401">
        <v>7.9</v>
      </c>
      <c r="H1401">
        <v>6.8</v>
      </c>
      <c r="I1401">
        <v>7.4</v>
      </c>
      <c r="J1401">
        <v>6.1</v>
      </c>
      <c r="K1401">
        <v>5.4</v>
      </c>
      <c r="L1401">
        <v>6.4</v>
      </c>
      <c r="M1401">
        <v>5.7</v>
      </c>
      <c r="N1401">
        <f t="shared" si="21"/>
        <v>69.4</v>
      </c>
    </row>
    <row r="1402" spans="1:14">
      <c r="A1402">
        <v>20195730</v>
      </c>
      <c r="B1402" t="s">
        <v>19</v>
      </c>
      <c r="C1402" t="str">
        <f>VLOOKUP(B1402,专业代码!$B$2:$C$8,2,FALSE)</f>
        <v>市场营销</v>
      </c>
      <c r="D1402">
        <v>7.1</v>
      </c>
      <c r="E1402">
        <v>7.3</v>
      </c>
      <c r="F1402">
        <v>7.5</v>
      </c>
      <c r="G1402">
        <v>7.5</v>
      </c>
      <c r="H1402">
        <v>7.6</v>
      </c>
      <c r="I1402">
        <v>7.1</v>
      </c>
      <c r="J1402">
        <v>6.7</v>
      </c>
      <c r="K1402">
        <v>5.4</v>
      </c>
      <c r="L1402">
        <v>5.8</v>
      </c>
      <c r="M1402">
        <v>5.5</v>
      </c>
      <c r="N1402">
        <f t="shared" si="21"/>
        <v>67.5</v>
      </c>
    </row>
    <row r="1403" spans="1:14">
      <c r="A1403">
        <v>20196414</v>
      </c>
      <c r="B1403" t="s">
        <v>19</v>
      </c>
      <c r="C1403" t="str">
        <f>VLOOKUP(B1403,专业代码!$B$2:$C$8,2,FALSE)</f>
        <v>市场营销</v>
      </c>
      <c r="D1403">
        <v>8</v>
      </c>
      <c r="E1403">
        <v>6.4</v>
      </c>
      <c r="F1403">
        <v>8.3</v>
      </c>
      <c r="G1403">
        <v>7.5</v>
      </c>
      <c r="H1403">
        <v>6.6</v>
      </c>
      <c r="I1403">
        <v>6.6</v>
      </c>
      <c r="J1403">
        <v>7.6</v>
      </c>
      <c r="K1403">
        <v>5.7</v>
      </c>
      <c r="L1403">
        <v>6.1</v>
      </c>
      <c r="M1403">
        <v>5.6</v>
      </c>
      <c r="N1403">
        <f t="shared" si="21"/>
        <v>68.4</v>
      </c>
    </row>
    <row r="1404" spans="1:14">
      <c r="A1404">
        <v>20196428</v>
      </c>
      <c r="B1404" t="s">
        <v>19</v>
      </c>
      <c r="C1404" t="str">
        <f>VLOOKUP(B1404,专业代码!$B$2:$C$8,2,FALSE)</f>
        <v>市场营销</v>
      </c>
      <c r="D1404">
        <v>7.4</v>
      </c>
      <c r="E1404">
        <v>7.8</v>
      </c>
      <c r="F1404">
        <v>7.9</v>
      </c>
      <c r="G1404">
        <v>6.8</v>
      </c>
      <c r="H1404">
        <v>6.7</v>
      </c>
      <c r="I1404">
        <v>7.5</v>
      </c>
      <c r="J1404">
        <v>7.9</v>
      </c>
      <c r="K1404">
        <v>6.4</v>
      </c>
      <c r="L1404">
        <v>7.2</v>
      </c>
      <c r="M1404">
        <v>5.8</v>
      </c>
      <c r="N1404">
        <f t="shared" si="21"/>
        <v>71.4</v>
      </c>
    </row>
    <row r="1405" spans="1:14">
      <c r="A1405">
        <v>20196696</v>
      </c>
      <c r="B1405" t="s">
        <v>19</v>
      </c>
      <c r="C1405" t="str">
        <f>VLOOKUP(B1405,专业代码!$B$2:$C$8,2,FALSE)</f>
        <v>市场营销</v>
      </c>
      <c r="D1405">
        <v>7</v>
      </c>
      <c r="E1405">
        <v>7.2</v>
      </c>
      <c r="F1405">
        <v>7.5</v>
      </c>
      <c r="G1405">
        <v>7.8</v>
      </c>
      <c r="H1405">
        <v>8.7</v>
      </c>
      <c r="I1405">
        <v>7.1</v>
      </c>
      <c r="J1405">
        <v>7.4</v>
      </c>
      <c r="K1405">
        <v>8.2</v>
      </c>
      <c r="L1405">
        <v>5.6</v>
      </c>
      <c r="M1405">
        <v>7.6</v>
      </c>
      <c r="N1405">
        <f t="shared" si="21"/>
        <v>74.1</v>
      </c>
    </row>
    <row r="1406" spans="1:14">
      <c r="A1406">
        <v>20198512</v>
      </c>
      <c r="B1406" t="s">
        <v>19</v>
      </c>
      <c r="C1406" t="str">
        <f>VLOOKUP(B1406,专业代码!$B$2:$C$8,2,FALSE)</f>
        <v>市场营销</v>
      </c>
      <c r="D1406">
        <v>7.9</v>
      </c>
      <c r="E1406">
        <v>8.1</v>
      </c>
      <c r="F1406">
        <v>6.5</v>
      </c>
      <c r="G1406">
        <v>8</v>
      </c>
      <c r="H1406">
        <v>7.2</v>
      </c>
      <c r="I1406">
        <v>6.2</v>
      </c>
      <c r="J1406">
        <v>5.3</v>
      </c>
      <c r="K1406">
        <v>8</v>
      </c>
      <c r="L1406">
        <v>8.1</v>
      </c>
      <c r="M1406">
        <v>3.9</v>
      </c>
      <c r="N1406">
        <f t="shared" si="21"/>
        <v>69.2</v>
      </c>
    </row>
    <row r="1407" spans="1:14">
      <c r="A1407">
        <v>20199064</v>
      </c>
      <c r="B1407" t="s">
        <v>19</v>
      </c>
      <c r="C1407" t="str">
        <f>VLOOKUP(B1407,专业代码!$B$2:$C$8,2,FALSE)</f>
        <v>市场营销</v>
      </c>
      <c r="D1407">
        <v>7.2</v>
      </c>
      <c r="E1407">
        <v>7.7</v>
      </c>
      <c r="F1407">
        <v>7.2</v>
      </c>
      <c r="G1407">
        <v>7.7</v>
      </c>
      <c r="H1407">
        <v>7.6</v>
      </c>
      <c r="I1407">
        <v>8.1</v>
      </c>
      <c r="J1407">
        <v>6.4</v>
      </c>
      <c r="K1407">
        <v>6</v>
      </c>
      <c r="L1407">
        <v>6</v>
      </c>
      <c r="M1407">
        <v>4.4</v>
      </c>
      <c r="N1407">
        <f t="shared" si="21"/>
        <v>68.3</v>
      </c>
    </row>
    <row r="1408" spans="1:14">
      <c r="A1408">
        <v>20199515</v>
      </c>
      <c r="B1408" t="s">
        <v>19</v>
      </c>
      <c r="C1408" t="str">
        <f>VLOOKUP(B1408,专业代码!$B$2:$C$8,2,FALSE)</f>
        <v>市场营销</v>
      </c>
      <c r="D1408">
        <v>8.4</v>
      </c>
      <c r="E1408">
        <v>7.5</v>
      </c>
      <c r="F1408">
        <v>6.6</v>
      </c>
      <c r="G1408">
        <v>7.7</v>
      </c>
      <c r="H1408">
        <v>7.4</v>
      </c>
      <c r="I1408">
        <v>7.1</v>
      </c>
      <c r="J1408">
        <v>5.4</v>
      </c>
      <c r="K1408">
        <v>5.1</v>
      </c>
      <c r="L1408">
        <v>5</v>
      </c>
      <c r="M1408">
        <v>5.4</v>
      </c>
      <c r="N1408">
        <f t="shared" si="21"/>
        <v>65.6</v>
      </c>
    </row>
    <row r="1409" spans="1:14">
      <c r="A1409">
        <v>20191344</v>
      </c>
      <c r="B1409" t="s">
        <v>19</v>
      </c>
      <c r="C1409" t="str">
        <f>VLOOKUP(B1409,专业代码!$B$2:$C$8,2,FALSE)</f>
        <v>市场营销</v>
      </c>
      <c r="D1409">
        <v>7.5</v>
      </c>
      <c r="E1409">
        <v>6.8</v>
      </c>
      <c r="F1409">
        <v>6.4</v>
      </c>
      <c r="G1409">
        <v>8</v>
      </c>
      <c r="H1409">
        <v>8.2</v>
      </c>
      <c r="I1409">
        <v>7.3</v>
      </c>
      <c r="J1409">
        <v>6.1</v>
      </c>
      <c r="K1409">
        <v>6.1</v>
      </c>
      <c r="L1409">
        <v>8.7</v>
      </c>
      <c r="M1409">
        <v>3.1</v>
      </c>
      <c r="N1409">
        <f t="shared" si="21"/>
        <v>68.2</v>
      </c>
    </row>
    <row r="1410" spans="1:14">
      <c r="A1410">
        <v>20191403</v>
      </c>
      <c r="B1410" t="s">
        <v>19</v>
      </c>
      <c r="C1410" t="str">
        <f>VLOOKUP(B1410,专业代码!$B$2:$C$8,2,FALSE)</f>
        <v>市场营销</v>
      </c>
      <c r="D1410">
        <v>8.1</v>
      </c>
      <c r="E1410">
        <v>7.9</v>
      </c>
      <c r="F1410">
        <v>7</v>
      </c>
      <c r="G1410">
        <v>7.1</v>
      </c>
      <c r="H1410">
        <v>6.6</v>
      </c>
      <c r="I1410">
        <v>7.2</v>
      </c>
      <c r="J1410">
        <v>7</v>
      </c>
      <c r="K1410">
        <v>6.7</v>
      </c>
      <c r="L1410">
        <v>7.4</v>
      </c>
      <c r="M1410">
        <v>5.1</v>
      </c>
      <c r="N1410">
        <f t="shared" si="21"/>
        <v>70.1</v>
      </c>
    </row>
    <row r="1411" spans="1:14">
      <c r="A1411">
        <v>20192991</v>
      </c>
      <c r="B1411" t="s">
        <v>19</v>
      </c>
      <c r="C1411" t="str">
        <f>VLOOKUP(B1411,专业代码!$B$2:$C$8,2,FALSE)</f>
        <v>市场营销</v>
      </c>
      <c r="D1411">
        <v>7.6</v>
      </c>
      <c r="E1411">
        <v>6.8</v>
      </c>
      <c r="F1411">
        <v>7.6</v>
      </c>
      <c r="G1411">
        <v>8</v>
      </c>
      <c r="H1411">
        <v>6.7</v>
      </c>
      <c r="I1411">
        <v>7</v>
      </c>
      <c r="J1411">
        <v>7.3</v>
      </c>
      <c r="K1411">
        <v>5.9</v>
      </c>
      <c r="L1411">
        <v>7</v>
      </c>
      <c r="M1411">
        <v>4.1</v>
      </c>
      <c r="N1411">
        <f t="shared" ref="N1411:N1474" si="22">SUM(D1411:M1411)</f>
        <v>68</v>
      </c>
    </row>
    <row r="1412" spans="1:14">
      <c r="A1412">
        <v>20194141</v>
      </c>
      <c r="B1412" t="s">
        <v>19</v>
      </c>
      <c r="C1412" t="str">
        <f>VLOOKUP(B1412,专业代码!$B$2:$C$8,2,FALSE)</f>
        <v>市场营销</v>
      </c>
      <c r="D1412">
        <v>7.7</v>
      </c>
      <c r="E1412">
        <v>7.1</v>
      </c>
      <c r="F1412">
        <v>7.5</v>
      </c>
      <c r="G1412">
        <v>7.8</v>
      </c>
      <c r="H1412">
        <v>8.2</v>
      </c>
      <c r="I1412">
        <v>9.1</v>
      </c>
      <c r="J1412">
        <v>6.5</v>
      </c>
      <c r="K1412">
        <v>5</v>
      </c>
      <c r="L1412">
        <v>5.9</v>
      </c>
      <c r="M1412">
        <v>6.1</v>
      </c>
      <c r="N1412">
        <f t="shared" si="22"/>
        <v>70.9</v>
      </c>
    </row>
    <row r="1413" spans="1:14">
      <c r="A1413">
        <v>20195265</v>
      </c>
      <c r="B1413" t="s">
        <v>19</v>
      </c>
      <c r="C1413" t="str">
        <f>VLOOKUP(B1413,专业代码!$B$2:$C$8,2,FALSE)</f>
        <v>市场营销</v>
      </c>
      <c r="D1413">
        <v>7.7</v>
      </c>
      <c r="E1413">
        <v>7.2</v>
      </c>
      <c r="F1413">
        <v>8.1</v>
      </c>
      <c r="G1413">
        <v>7.1</v>
      </c>
      <c r="H1413">
        <v>5.9</v>
      </c>
      <c r="I1413">
        <v>7.7</v>
      </c>
      <c r="J1413">
        <v>7.6</v>
      </c>
      <c r="K1413">
        <v>6.7</v>
      </c>
      <c r="L1413">
        <v>6.6</v>
      </c>
      <c r="M1413">
        <v>5.9</v>
      </c>
      <c r="N1413">
        <f t="shared" si="22"/>
        <v>70.5</v>
      </c>
    </row>
    <row r="1414" spans="1:14">
      <c r="A1414">
        <v>20198696</v>
      </c>
      <c r="B1414" t="s">
        <v>19</v>
      </c>
      <c r="C1414" t="str">
        <f>VLOOKUP(B1414,专业代码!$B$2:$C$8,2,FALSE)</f>
        <v>市场营销</v>
      </c>
      <c r="D1414">
        <v>8</v>
      </c>
      <c r="E1414">
        <v>6.8</v>
      </c>
      <c r="F1414">
        <v>7.5</v>
      </c>
      <c r="G1414">
        <v>7.4</v>
      </c>
      <c r="H1414">
        <v>6.6</v>
      </c>
      <c r="I1414">
        <v>6.3</v>
      </c>
      <c r="J1414">
        <v>7.2</v>
      </c>
      <c r="K1414">
        <v>6.4</v>
      </c>
      <c r="L1414">
        <v>6.3</v>
      </c>
      <c r="M1414">
        <v>4.3</v>
      </c>
      <c r="N1414">
        <f t="shared" si="22"/>
        <v>66.8</v>
      </c>
    </row>
    <row r="1415" spans="1:14">
      <c r="A1415">
        <v>20198911</v>
      </c>
      <c r="B1415" t="s">
        <v>19</v>
      </c>
      <c r="C1415" t="str">
        <f>VLOOKUP(B1415,专业代码!$B$2:$C$8,2,FALSE)</f>
        <v>市场营销</v>
      </c>
      <c r="D1415">
        <v>8.4</v>
      </c>
      <c r="E1415">
        <v>7.9</v>
      </c>
      <c r="F1415">
        <v>7.3</v>
      </c>
      <c r="G1415">
        <v>7.6</v>
      </c>
      <c r="H1415">
        <v>6.5</v>
      </c>
      <c r="I1415">
        <v>7.1</v>
      </c>
      <c r="J1415">
        <v>5.5</v>
      </c>
      <c r="K1415">
        <v>6.9</v>
      </c>
      <c r="L1415">
        <v>6.1</v>
      </c>
      <c r="M1415">
        <v>4.2</v>
      </c>
      <c r="N1415">
        <f t="shared" si="22"/>
        <v>67.5</v>
      </c>
    </row>
    <row r="1416" spans="1:14">
      <c r="A1416">
        <v>20191801</v>
      </c>
      <c r="B1416" t="s">
        <v>19</v>
      </c>
      <c r="C1416" t="str">
        <f>VLOOKUP(B1416,专业代码!$B$2:$C$8,2,FALSE)</f>
        <v>市场营销</v>
      </c>
      <c r="D1416">
        <v>8</v>
      </c>
      <c r="E1416">
        <v>7.6</v>
      </c>
      <c r="F1416">
        <v>7.9</v>
      </c>
      <c r="G1416">
        <v>7.1</v>
      </c>
      <c r="H1416">
        <v>6.4</v>
      </c>
      <c r="I1416">
        <v>6.3</v>
      </c>
      <c r="J1416">
        <v>6.6</v>
      </c>
      <c r="K1416">
        <v>6.4</v>
      </c>
      <c r="L1416">
        <v>6.4</v>
      </c>
      <c r="M1416">
        <v>3.4</v>
      </c>
      <c r="N1416">
        <f t="shared" si="22"/>
        <v>66.1</v>
      </c>
    </row>
    <row r="1417" spans="1:14">
      <c r="A1417">
        <v>20191967</v>
      </c>
      <c r="B1417" t="s">
        <v>19</v>
      </c>
      <c r="C1417" t="str">
        <f>VLOOKUP(B1417,专业代码!$B$2:$C$8,2,FALSE)</f>
        <v>市场营销</v>
      </c>
      <c r="D1417">
        <v>7.7</v>
      </c>
      <c r="E1417">
        <v>8</v>
      </c>
      <c r="F1417">
        <v>7.2</v>
      </c>
      <c r="G1417">
        <v>7</v>
      </c>
      <c r="H1417">
        <v>7.5</v>
      </c>
      <c r="I1417">
        <v>6.6</v>
      </c>
      <c r="J1417">
        <v>7.7</v>
      </c>
      <c r="K1417">
        <v>6.2</v>
      </c>
      <c r="L1417">
        <v>7.7</v>
      </c>
      <c r="M1417">
        <v>4.6</v>
      </c>
      <c r="N1417">
        <f t="shared" si="22"/>
        <v>70.2</v>
      </c>
    </row>
    <row r="1418" spans="1:14">
      <c r="A1418">
        <v>20192259</v>
      </c>
      <c r="B1418" t="s">
        <v>19</v>
      </c>
      <c r="C1418" t="str">
        <f>VLOOKUP(B1418,专业代码!$B$2:$C$8,2,FALSE)</f>
        <v>市场营销</v>
      </c>
      <c r="D1418">
        <v>7.9</v>
      </c>
      <c r="E1418">
        <v>7.6</v>
      </c>
      <c r="F1418">
        <v>8.4</v>
      </c>
      <c r="G1418">
        <v>7.9</v>
      </c>
      <c r="H1418">
        <v>7.7</v>
      </c>
      <c r="I1418">
        <v>6.5</v>
      </c>
      <c r="J1418">
        <v>5.5</v>
      </c>
      <c r="K1418">
        <v>5.8</v>
      </c>
      <c r="L1418">
        <v>6.3</v>
      </c>
      <c r="M1418">
        <v>6</v>
      </c>
      <c r="N1418">
        <f t="shared" si="22"/>
        <v>69.6</v>
      </c>
    </row>
    <row r="1419" spans="1:14">
      <c r="A1419">
        <v>20192980</v>
      </c>
      <c r="B1419" t="s">
        <v>19</v>
      </c>
      <c r="C1419" t="str">
        <f>VLOOKUP(B1419,专业代码!$B$2:$C$8,2,FALSE)</f>
        <v>市场营销</v>
      </c>
      <c r="D1419">
        <v>8.2</v>
      </c>
      <c r="E1419">
        <v>7.2</v>
      </c>
      <c r="F1419">
        <v>7.5</v>
      </c>
      <c r="G1419">
        <v>7.7</v>
      </c>
      <c r="H1419">
        <v>6.2</v>
      </c>
      <c r="I1419">
        <v>5.7</v>
      </c>
      <c r="J1419">
        <v>7.3</v>
      </c>
      <c r="K1419">
        <v>7.1</v>
      </c>
      <c r="L1419">
        <v>5.8</v>
      </c>
      <c r="M1419">
        <v>4.4</v>
      </c>
      <c r="N1419">
        <f t="shared" si="22"/>
        <v>67.1</v>
      </c>
    </row>
    <row r="1420" spans="1:14">
      <c r="A1420">
        <v>20194785</v>
      </c>
      <c r="B1420" t="s">
        <v>19</v>
      </c>
      <c r="C1420" t="str">
        <f>VLOOKUP(B1420,专业代码!$B$2:$C$8,2,FALSE)</f>
        <v>市场营销</v>
      </c>
      <c r="D1420">
        <v>6.4</v>
      </c>
      <c r="E1420">
        <v>7.2</v>
      </c>
      <c r="F1420">
        <v>8</v>
      </c>
      <c r="G1420">
        <v>7.5</v>
      </c>
      <c r="H1420">
        <v>6.9</v>
      </c>
      <c r="I1420">
        <v>7.4</v>
      </c>
      <c r="J1420">
        <v>7.4</v>
      </c>
      <c r="K1420">
        <v>8</v>
      </c>
      <c r="L1420">
        <v>5</v>
      </c>
      <c r="M1420">
        <v>5.2</v>
      </c>
      <c r="N1420">
        <f t="shared" si="22"/>
        <v>69</v>
      </c>
    </row>
    <row r="1421" spans="1:14">
      <c r="A1421">
        <v>20194902</v>
      </c>
      <c r="B1421" t="s">
        <v>19</v>
      </c>
      <c r="C1421" t="str">
        <f>VLOOKUP(B1421,专业代码!$B$2:$C$8,2,FALSE)</f>
        <v>市场营销</v>
      </c>
      <c r="D1421">
        <v>7.9</v>
      </c>
      <c r="E1421">
        <v>7.6</v>
      </c>
      <c r="F1421">
        <v>7.8</v>
      </c>
      <c r="G1421">
        <v>5.9</v>
      </c>
      <c r="H1421">
        <v>7.3</v>
      </c>
      <c r="I1421">
        <v>6.5</v>
      </c>
      <c r="J1421">
        <v>5.6</v>
      </c>
      <c r="K1421">
        <v>5.6</v>
      </c>
      <c r="L1421">
        <v>7.6</v>
      </c>
      <c r="M1421">
        <v>4.4</v>
      </c>
      <c r="N1421">
        <f t="shared" si="22"/>
        <v>66.2</v>
      </c>
    </row>
    <row r="1422" spans="1:14">
      <c r="A1422">
        <v>20196194</v>
      </c>
      <c r="B1422" t="s">
        <v>19</v>
      </c>
      <c r="C1422" t="str">
        <f>VLOOKUP(B1422,专业代码!$B$2:$C$8,2,FALSE)</f>
        <v>市场营销</v>
      </c>
      <c r="D1422">
        <v>7.5</v>
      </c>
      <c r="E1422">
        <v>7.5</v>
      </c>
      <c r="F1422">
        <v>6.9</v>
      </c>
      <c r="G1422">
        <v>7.1</v>
      </c>
      <c r="H1422">
        <v>7.6</v>
      </c>
      <c r="I1422">
        <v>6.2</v>
      </c>
      <c r="J1422">
        <v>5.8</v>
      </c>
      <c r="K1422">
        <v>6.7</v>
      </c>
      <c r="L1422">
        <v>5.9</v>
      </c>
      <c r="M1422">
        <v>5.3</v>
      </c>
      <c r="N1422">
        <f t="shared" si="22"/>
        <v>66.5</v>
      </c>
    </row>
    <row r="1423" spans="1:14">
      <c r="A1423">
        <v>20196550</v>
      </c>
      <c r="B1423" t="s">
        <v>19</v>
      </c>
      <c r="C1423" t="str">
        <f>VLOOKUP(B1423,专业代码!$B$2:$C$8,2,FALSE)</f>
        <v>市场营销</v>
      </c>
      <c r="D1423">
        <v>7.6</v>
      </c>
      <c r="E1423">
        <v>8.4</v>
      </c>
      <c r="F1423">
        <v>6.3</v>
      </c>
      <c r="G1423">
        <v>7.3</v>
      </c>
      <c r="H1423">
        <v>7.6</v>
      </c>
      <c r="I1423">
        <v>5.9</v>
      </c>
      <c r="J1423">
        <v>8.4</v>
      </c>
      <c r="K1423">
        <v>5.6</v>
      </c>
      <c r="L1423">
        <v>5</v>
      </c>
      <c r="M1423">
        <v>6.1</v>
      </c>
      <c r="N1423">
        <f t="shared" si="22"/>
        <v>68.2</v>
      </c>
    </row>
    <row r="1424" spans="1:14">
      <c r="A1424">
        <v>20197811</v>
      </c>
      <c r="B1424" t="s">
        <v>19</v>
      </c>
      <c r="C1424" t="str">
        <f>VLOOKUP(B1424,专业代码!$B$2:$C$8,2,FALSE)</f>
        <v>市场营销</v>
      </c>
      <c r="D1424">
        <v>7.7</v>
      </c>
      <c r="E1424">
        <v>7.9</v>
      </c>
      <c r="F1424">
        <v>7.2</v>
      </c>
      <c r="G1424">
        <v>7.8</v>
      </c>
      <c r="H1424">
        <v>7.5</v>
      </c>
      <c r="I1424">
        <v>8</v>
      </c>
      <c r="J1424">
        <v>5.9</v>
      </c>
      <c r="K1424">
        <v>7.7</v>
      </c>
      <c r="L1424">
        <v>7.8</v>
      </c>
      <c r="M1424">
        <v>5.5</v>
      </c>
      <c r="N1424">
        <f t="shared" si="22"/>
        <v>73</v>
      </c>
    </row>
    <row r="1425" spans="1:14">
      <c r="A1425">
        <v>20197821</v>
      </c>
      <c r="B1425" t="s">
        <v>19</v>
      </c>
      <c r="C1425" t="str">
        <f>VLOOKUP(B1425,专业代码!$B$2:$C$8,2,FALSE)</f>
        <v>市场营销</v>
      </c>
      <c r="D1425">
        <v>7.6</v>
      </c>
      <c r="E1425">
        <v>7.6</v>
      </c>
      <c r="F1425">
        <v>7.7</v>
      </c>
      <c r="G1425">
        <v>7.6</v>
      </c>
      <c r="H1425">
        <v>6.3</v>
      </c>
      <c r="I1425">
        <v>7.1</v>
      </c>
      <c r="J1425">
        <v>7.2</v>
      </c>
      <c r="K1425">
        <v>6.6</v>
      </c>
      <c r="L1425">
        <v>6.4</v>
      </c>
      <c r="M1425">
        <v>6.3</v>
      </c>
      <c r="N1425">
        <f t="shared" si="22"/>
        <v>70.4</v>
      </c>
    </row>
    <row r="1426" spans="1:14">
      <c r="A1426">
        <v>20199038</v>
      </c>
      <c r="B1426" t="s">
        <v>19</v>
      </c>
      <c r="C1426" t="str">
        <f>VLOOKUP(B1426,专业代码!$B$2:$C$8,2,FALSE)</f>
        <v>市场营销</v>
      </c>
      <c r="D1426">
        <v>7.3</v>
      </c>
      <c r="E1426">
        <v>7.9</v>
      </c>
      <c r="F1426">
        <v>7.7</v>
      </c>
      <c r="G1426">
        <v>7.8</v>
      </c>
      <c r="H1426">
        <v>5.2</v>
      </c>
      <c r="I1426">
        <v>6.3</v>
      </c>
      <c r="J1426">
        <v>7.2</v>
      </c>
      <c r="K1426">
        <v>7</v>
      </c>
      <c r="L1426">
        <v>7</v>
      </c>
      <c r="M1426">
        <v>6.6</v>
      </c>
      <c r="N1426">
        <f t="shared" si="22"/>
        <v>70</v>
      </c>
    </row>
    <row r="1427" spans="1:14">
      <c r="A1427">
        <v>20191649</v>
      </c>
      <c r="B1427" t="s">
        <v>19</v>
      </c>
      <c r="C1427" t="str">
        <f>VLOOKUP(B1427,专业代码!$B$2:$C$8,2,FALSE)</f>
        <v>市场营销</v>
      </c>
      <c r="D1427">
        <v>7.4</v>
      </c>
      <c r="E1427">
        <v>7.5</v>
      </c>
      <c r="F1427">
        <v>7.5</v>
      </c>
      <c r="G1427">
        <v>7.6</v>
      </c>
      <c r="H1427">
        <v>6.3</v>
      </c>
      <c r="I1427">
        <v>6.1</v>
      </c>
      <c r="J1427">
        <v>7.3</v>
      </c>
      <c r="K1427">
        <v>7.8</v>
      </c>
      <c r="L1427">
        <v>5.3</v>
      </c>
      <c r="M1427">
        <v>7.7</v>
      </c>
      <c r="N1427">
        <f t="shared" si="22"/>
        <v>70.5</v>
      </c>
    </row>
    <row r="1428" spans="1:14">
      <c r="A1428">
        <v>20192076</v>
      </c>
      <c r="B1428" t="s">
        <v>19</v>
      </c>
      <c r="C1428" t="str">
        <f>VLOOKUP(B1428,专业代码!$B$2:$C$8,2,FALSE)</f>
        <v>市场营销</v>
      </c>
      <c r="D1428">
        <v>7.5</v>
      </c>
      <c r="E1428">
        <v>8.8</v>
      </c>
      <c r="F1428">
        <v>7.6</v>
      </c>
      <c r="G1428">
        <v>7.9</v>
      </c>
      <c r="H1428">
        <v>7.8</v>
      </c>
      <c r="I1428">
        <v>7.3</v>
      </c>
      <c r="J1428">
        <v>5.6</v>
      </c>
      <c r="K1428">
        <v>6</v>
      </c>
      <c r="L1428">
        <v>5.8</v>
      </c>
      <c r="M1428">
        <v>6.4</v>
      </c>
      <c r="N1428">
        <f t="shared" si="22"/>
        <v>70.7</v>
      </c>
    </row>
    <row r="1429" spans="1:14">
      <c r="A1429">
        <v>20192906</v>
      </c>
      <c r="B1429" t="s">
        <v>19</v>
      </c>
      <c r="C1429" t="str">
        <f>VLOOKUP(B1429,专业代码!$B$2:$C$8,2,FALSE)</f>
        <v>市场营销</v>
      </c>
      <c r="D1429">
        <v>8.5</v>
      </c>
      <c r="E1429">
        <v>7.9</v>
      </c>
      <c r="F1429">
        <v>7.2</v>
      </c>
      <c r="G1429">
        <v>6.9</v>
      </c>
      <c r="H1429">
        <v>7.5</v>
      </c>
      <c r="I1429">
        <v>7</v>
      </c>
      <c r="J1429">
        <v>7</v>
      </c>
      <c r="K1429">
        <v>6.7</v>
      </c>
      <c r="L1429">
        <v>6.7</v>
      </c>
      <c r="M1429">
        <v>5.5</v>
      </c>
      <c r="N1429">
        <f t="shared" si="22"/>
        <v>70.9</v>
      </c>
    </row>
    <row r="1430" spans="1:14">
      <c r="A1430">
        <v>20193023</v>
      </c>
      <c r="B1430" t="s">
        <v>19</v>
      </c>
      <c r="C1430" t="str">
        <f>VLOOKUP(B1430,专业代码!$B$2:$C$8,2,FALSE)</f>
        <v>市场营销</v>
      </c>
      <c r="D1430">
        <v>7.1</v>
      </c>
      <c r="E1430">
        <v>7.8</v>
      </c>
      <c r="F1430">
        <v>7</v>
      </c>
      <c r="G1430">
        <v>7.4</v>
      </c>
      <c r="H1430">
        <v>7.1</v>
      </c>
      <c r="I1430">
        <v>8.2</v>
      </c>
      <c r="J1430">
        <v>5.9</v>
      </c>
      <c r="K1430">
        <v>5.5</v>
      </c>
      <c r="L1430">
        <v>6.2</v>
      </c>
      <c r="M1430">
        <v>6</v>
      </c>
      <c r="N1430">
        <f t="shared" si="22"/>
        <v>68.2</v>
      </c>
    </row>
    <row r="1431" spans="1:14">
      <c r="A1431">
        <v>20194218</v>
      </c>
      <c r="B1431" t="s">
        <v>19</v>
      </c>
      <c r="C1431" t="str">
        <f>VLOOKUP(B1431,专业代码!$B$2:$C$8,2,FALSE)</f>
        <v>市场营销</v>
      </c>
      <c r="D1431">
        <v>6.8</v>
      </c>
      <c r="E1431">
        <v>8.3</v>
      </c>
      <c r="F1431">
        <v>7.6</v>
      </c>
      <c r="G1431">
        <v>7.5</v>
      </c>
      <c r="H1431">
        <v>7.5</v>
      </c>
      <c r="I1431">
        <v>7.4</v>
      </c>
      <c r="J1431">
        <v>7.2</v>
      </c>
      <c r="K1431">
        <v>6</v>
      </c>
      <c r="L1431">
        <v>4.1</v>
      </c>
      <c r="M1431">
        <v>5.2</v>
      </c>
      <c r="N1431">
        <f t="shared" si="22"/>
        <v>67.6</v>
      </c>
    </row>
    <row r="1432" spans="1:14">
      <c r="A1432">
        <v>20195893</v>
      </c>
      <c r="B1432" t="s">
        <v>19</v>
      </c>
      <c r="C1432" t="str">
        <f>VLOOKUP(B1432,专业代码!$B$2:$C$8,2,FALSE)</f>
        <v>市场营销</v>
      </c>
      <c r="D1432">
        <v>8.1</v>
      </c>
      <c r="E1432">
        <v>8.3</v>
      </c>
      <c r="F1432">
        <v>7.9</v>
      </c>
      <c r="G1432">
        <v>7</v>
      </c>
      <c r="H1432">
        <v>6.6</v>
      </c>
      <c r="I1432">
        <v>6.2</v>
      </c>
      <c r="J1432">
        <v>6</v>
      </c>
      <c r="K1432">
        <v>7.7</v>
      </c>
      <c r="L1432">
        <v>6.6</v>
      </c>
      <c r="M1432">
        <v>3.5</v>
      </c>
      <c r="N1432">
        <f t="shared" si="22"/>
        <v>67.9</v>
      </c>
    </row>
    <row r="1433" spans="1:14">
      <c r="A1433">
        <v>20196847</v>
      </c>
      <c r="B1433" t="s">
        <v>19</v>
      </c>
      <c r="C1433" t="str">
        <f>VLOOKUP(B1433,专业代码!$B$2:$C$8,2,FALSE)</f>
        <v>市场营销</v>
      </c>
      <c r="D1433">
        <v>8.2</v>
      </c>
      <c r="E1433">
        <v>7.2</v>
      </c>
      <c r="F1433">
        <v>7.1</v>
      </c>
      <c r="G1433">
        <v>6.9</v>
      </c>
      <c r="H1433">
        <v>6.6</v>
      </c>
      <c r="I1433">
        <v>6.5</v>
      </c>
      <c r="J1433">
        <v>7.1</v>
      </c>
      <c r="K1433">
        <v>7.7</v>
      </c>
      <c r="L1433">
        <v>7.9</v>
      </c>
      <c r="M1433">
        <v>5.3</v>
      </c>
      <c r="N1433">
        <f t="shared" si="22"/>
        <v>70.5</v>
      </c>
    </row>
    <row r="1434" spans="1:14">
      <c r="A1434">
        <v>20196998</v>
      </c>
      <c r="B1434" t="s">
        <v>19</v>
      </c>
      <c r="C1434" t="str">
        <f>VLOOKUP(B1434,专业代码!$B$2:$C$8,2,FALSE)</f>
        <v>市场营销</v>
      </c>
      <c r="D1434">
        <v>7.2</v>
      </c>
      <c r="E1434">
        <v>6.8</v>
      </c>
      <c r="F1434">
        <v>7.9</v>
      </c>
      <c r="G1434">
        <v>8.2</v>
      </c>
      <c r="H1434">
        <v>7.2</v>
      </c>
      <c r="I1434">
        <v>7.6</v>
      </c>
      <c r="J1434">
        <v>8</v>
      </c>
      <c r="K1434">
        <v>6.5</v>
      </c>
      <c r="L1434">
        <v>5.7</v>
      </c>
      <c r="M1434">
        <v>4.5</v>
      </c>
      <c r="N1434">
        <f t="shared" si="22"/>
        <v>69.6</v>
      </c>
    </row>
    <row r="1435" spans="1:14">
      <c r="A1435">
        <v>20197771</v>
      </c>
      <c r="B1435" t="s">
        <v>19</v>
      </c>
      <c r="C1435" t="str">
        <f>VLOOKUP(B1435,专业代码!$B$2:$C$8,2,FALSE)</f>
        <v>市场营销</v>
      </c>
      <c r="D1435">
        <v>7.6</v>
      </c>
      <c r="E1435">
        <v>8</v>
      </c>
      <c r="F1435">
        <v>6.5</v>
      </c>
      <c r="G1435">
        <v>8.1</v>
      </c>
      <c r="H1435">
        <v>6.1</v>
      </c>
      <c r="I1435">
        <v>6.4</v>
      </c>
      <c r="J1435">
        <v>5.6</v>
      </c>
      <c r="K1435">
        <v>6.5</v>
      </c>
      <c r="L1435">
        <v>6.5</v>
      </c>
      <c r="M1435">
        <v>6</v>
      </c>
      <c r="N1435">
        <f t="shared" si="22"/>
        <v>67.3</v>
      </c>
    </row>
    <row r="1436" spans="1:14">
      <c r="A1436">
        <v>20199184</v>
      </c>
      <c r="B1436" t="s">
        <v>19</v>
      </c>
      <c r="C1436" t="str">
        <f>VLOOKUP(B1436,专业代码!$B$2:$C$8,2,FALSE)</f>
        <v>市场营销</v>
      </c>
      <c r="D1436">
        <v>8</v>
      </c>
      <c r="E1436">
        <v>8</v>
      </c>
      <c r="F1436">
        <v>8</v>
      </c>
      <c r="G1436">
        <v>6.9</v>
      </c>
      <c r="H1436">
        <v>7.6</v>
      </c>
      <c r="I1436">
        <v>5.3</v>
      </c>
      <c r="J1436">
        <v>6.6</v>
      </c>
      <c r="K1436">
        <v>7.1</v>
      </c>
      <c r="L1436">
        <v>7.8</v>
      </c>
      <c r="M1436">
        <v>5.5</v>
      </c>
      <c r="N1436">
        <f t="shared" si="22"/>
        <v>70.8</v>
      </c>
    </row>
    <row r="1437" spans="1:14">
      <c r="A1437">
        <v>20191249</v>
      </c>
      <c r="B1437" t="s">
        <v>19</v>
      </c>
      <c r="C1437" t="str">
        <f>VLOOKUP(B1437,专业代码!$B$2:$C$8,2,FALSE)</f>
        <v>市场营销</v>
      </c>
      <c r="D1437">
        <v>9.5</v>
      </c>
      <c r="E1437">
        <v>8.2</v>
      </c>
      <c r="F1437">
        <v>8</v>
      </c>
      <c r="G1437">
        <v>8.3</v>
      </c>
      <c r="H1437">
        <v>8.7</v>
      </c>
      <c r="I1437">
        <v>8.1</v>
      </c>
      <c r="J1437">
        <v>7.5</v>
      </c>
      <c r="K1437">
        <v>7.9</v>
      </c>
      <c r="L1437">
        <v>7.2</v>
      </c>
      <c r="M1437">
        <v>4.9</v>
      </c>
      <c r="N1437">
        <f t="shared" si="22"/>
        <v>78.3</v>
      </c>
    </row>
    <row r="1438" spans="1:14">
      <c r="A1438">
        <v>20192417</v>
      </c>
      <c r="B1438" t="s">
        <v>19</v>
      </c>
      <c r="C1438" t="str">
        <f>VLOOKUP(B1438,专业代码!$B$2:$C$8,2,FALSE)</f>
        <v>市场营销</v>
      </c>
      <c r="D1438">
        <v>8.9</v>
      </c>
      <c r="E1438">
        <v>9.1</v>
      </c>
      <c r="F1438">
        <v>8</v>
      </c>
      <c r="G1438">
        <v>8.6</v>
      </c>
      <c r="H1438">
        <v>8.9</v>
      </c>
      <c r="I1438">
        <v>8</v>
      </c>
      <c r="J1438">
        <v>7.2</v>
      </c>
      <c r="K1438">
        <v>7.6</v>
      </c>
      <c r="L1438">
        <v>8.6</v>
      </c>
      <c r="M1438">
        <v>7.5</v>
      </c>
      <c r="N1438">
        <f t="shared" si="22"/>
        <v>82.4</v>
      </c>
    </row>
    <row r="1439" spans="1:14">
      <c r="A1439">
        <v>20193871</v>
      </c>
      <c r="B1439" t="s">
        <v>19</v>
      </c>
      <c r="C1439" t="str">
        <f>VLOOKUP(B1439,专业代码!$B$2:$C$8,2,FALSE)</f>
        <v>市场营销</v>
      </c>
      <c r="D1439">
        <v>9.2</v>
      </c>
      <c r="E1439">
        <v>8</v>
      </c>
      <c r="F1439">
        <v>9.4</v>
      </c>
      <c r="G1439">
        <v>8.3</v>
      </c>
      <c r="H1439">
        <v>7.9</v>
      </c>
      <c r="I1439">
        <v>7.6</v>
      </c>
      <c r="J1439">
        <v>7</v>
      </c>
      <c r="K1439">
        <v>7.2</v>
      </c>
      <c r="L1439">
        <v>6.1</v>
      </c>
      <c r="M1439">
        <v>5.8</v>
      </c>
      <c r="N1439">
        <f t="shared" si="22"/>
        <v>76.5</v>
      </c>
    </row>
    <row r="1440" spans="1:14">
      <c r="A1440">
        <v>20195128</v>
      </c>
      <c r="B1440" t="s">
        <v>19</v>
      </c>
      <c r="C1440" t="str">
        <f>VLOOKUP(B1440,专业代码!$B$2:$C$8,2,FALSE)</f>
        <v>市场营销</v>
      </c>
      <c r="D1440">
        <v>8.9</v>
      </c>
      <c r="E1440">
        <v>8.5</v>
      </c>
      <c r="F1440">
        <v>9.2</v>
      </c>
      <c r="G1440">
        <v>8.4</v>
      </c>
      <c r="H1440">
        <v>7.9</v>
      </c>
      <c r="I1440">
        <v>7.1</v>
      </c>
      <c r="J1440">
        <v>7.4</v>
      </c>
      <c r="K1440">
        <v>6.9</v>
      </c>
      <c r="L1440">
        <v>8.7</v>
      </c>
      <c r="M1440">
        <v>6.5</v>
      </c>
      <c r="N1440">
        <f t="shared" si="22"/>
        <v>79.5</v>
      </c>
    </row>
    <row r="1441" spans="1:14">
      <c r="A1441">
        <v>20196932</v>
      </c>
      <c r="B1441" t="s">
        <v>19</v>
      </c>
      <c r="C1441" t="str">
        <f>VLOOKUP(B1441,专业代码!$B$2:$C$8,2,FALSE)</f>
        <v>市场营销</v>
      </c>
      <c r="D1441">
        <v>9.3</v>
      </c>
      <c r="E1441">
        <v>9</v>
      </c>
      <c r="F1441">
        <v>9.1</v>
      </c>
      <c r="G1441">
        <v>8.8</v>
      </c>
      <c r="H1441">
        <v>7.6</v>
      </c>
      <c r="I1441">
        <v>9.1</v>
      </c>
      <c r="J1441">
        <v>7.8</v>
      </c>
      <c r="K1441">
        <v>7.9</v>
      </c>
      <c r="L1441">
        <v>7.6</v>
      </c>
      <c r="M1441">
        <v>6.6</v>
      </c>
      <c r="N1441">
        <f t="shared" si="22"/>
        <v>82.8</v>
      </c>
    </row>
    <row r="1442" spans="1:14">
      <c r="A1442">
        <v>20198543</v>
      </c>
      <c r="B1442" t="s">
        <v>19</v>
      </c>
      <c r="C1442" t="str">
        <f>VLOOKUP(B1442,专业代码!$B$2:$C$8,2,FALSE)</f>
        <v>市场营销</v>
      </c>
      <c r="D1442">
        <v>9.7</v>
      </c>
      <c r="E1442">
        <v>9.3</v>
      </c>
      <c r="F1442">
        <v>9</v>
      </c>
      <c r="G1442">
        <v>8.9</v>
      </c>
      <c r="H1442">
        <v>8.6</v>
      </c>
      <c r="I1442">
        <v>6.7</v>
      </c>
      <c r="J1442">
        <v>8.2</v>
      </c>
      <c r="K1442">
        <v>7.5</v>
      </c>
      <c r="L1442">
        <v>6.4</v>
      </c>
      <c r="M1442">
        <v>7.4</v>
      </c>
      <c r="N1442">
        <f t="shared" si="22"/>
        <v>81.7</v>
      </c>
    </row>
    <row r="1443" spans="1:14">
      <c r="A1443">
        <v>20191996</v>
      </c>
      <c r="B1443" t="s">
        <v>19</v>
      </c>
      <c r="C1443" t="str">
        <f>VLOOKUP(B1443,专业代码!$B$2:$C$8,2,FALSE)</f>
        <v>市场营销</v>
      </c>
      <c r="D1443">
        <v>7.4</v>
      </c>
      <c r="E1443">
        <v>7.5</v>
      </c>
      <c r="F1443">
        <v>7</v>
      </c>
      <c r="G1443">
        <v>7.7</v>
      </c>
      <c r="H1443">
        <v>6.3</v>
      </c>
      <c r="I1443">
        <v>6.1</v>
      </c>
      <c r="J1443">
        <v>6.3</v>
      </c>
      <c r="K1443">
        <v>5.6</v>
      </c>
      <c r="L1443">
        <v>6</v>
      </c>
      <c r="M1443">
        <v>6.1</v>
      </c>
      <c r="N1443">
        <f t="shared" si="22"/>
        <v>66</v>
      </c>
    </row>
    <row r="1444" spans="1:14">
      <c r="A1444">
        <v>20193985</v>
      </c>
      <c r="B1444" t="s">
        <v>19</v>
      </c>
      <c r="C1444" t="str">
        <f>VLOOKUP(B1444,专业代码!$B$2:$C$8,2,FALSE)</f>
        <v>市场营销</v>
      </c>
      <c r="D1444">
        <v>8.3</v>
      </c>
      <c r="E1444">
        <v>7.8</v>
      </c>
      <c r="F1444">
        <v>7.5</v>
      </c>
      <c r="G1444">
        <v>7.7</v>
      </c>
      <c r="H1444">
        <v>6.2</v>
      </c>
      <c r="I1444">
        <v>6.4</v>
      </c>
      <c r="J1444">
        <v>5.2</v>
      </c>
      <c r="K1444">
        <v>7</v>
      </c>
      <c r="L1444">
        <v>7.4</v>
      </c>
      <c r="M1444">
        <v>6</v>
      </c>
      <c r="N1444">
        <f t="shared" si="22"/>
        <v>69.5</v>
      </c>
    </row>
    <row r="1445" spans="1:14">
      <c r="A1445">
        <v>20196063</v>
      </c>
      <c r="B1445" t="s">
        <v>19</v>
      </c>
      <c r="C1445" t="str">
        <f>VLOOKUP(B1445,专业代码!$B$2:$C$8,2,FALSE)</f>
        <v>市场营销</v>
      </c>
      <c r="D1445">
        <v>7.7</v>
      </c>
      <c r="E1445">
        <v>7.3</v>
      </c>
      <c r="F1445">
        <v>7.6</v>
      </c>
      <c r="G1445">
        <v>6.7</v>
      </c>
      <c r="H1445">
        <v>6.6</v>
      </c>
      <c r="I1445">
        <v>6.1</v>
      </c>
      <c r="J1445">
        <v>7.2</v>
      </c>
      <c r="K1445">
        <v>6.2</v>
      </c>
      <c r="L1445">
        <v>6.8</v>
      </c>
      <c r="M1445">
        <v>4.6</v>
      </c>
      <c r="N1445">
        <f t="shared" si="22"/>
        <v>66.8</v>
      </c>
    </row>
    <row r="1446" spans="1:14">
      <c r="A1446">
        <v>20197964</v>
      </c>
      <c r="B1446" t="s">
        <v>19</v>
      </c>
      <c r="C1446" t="str">
        <f>VLOOKUP(B1446,专业代码!$B$2:$C$8,2,FALSE)</f>
        <v>市场营销</v>
      </c>
      <c r="D1446">
        <v>8.4</v>
      </c>
      <c r="E1446">
        <v>7.2</v>
      </c>
      <c r="F1446">
        <v>7.7</v>
      </c>
      <c r="G1446">
        <v>8.6</v>
      </c>
      <c r="H1446">
        <v>8.5</v>
      </c>
      <c r="I1446">
        <v>8</v>
      </c>
      <c r="J1446">
        <v>8.9</v>
      </c>
      <c r="K1446">
        <v>5.1</v>
      </c>
      <c r="L1446">
        <v>6.5</v>
      </c>
      <c r="M1446">
        <v>7.1</v>
      </c>
      <c r="N1446">
        <f t="shared" si="22"/>
        <v>76</v>
      </c>
    </row>
    <row r="1447" spans="1:14">
      <c r="A1447">
        <v>20197969</v>
      </c>
      <c r="B1447" t="s">
        <v>19</v>
      </c>
      <c r="C1447" t="str">
        <f>VLOOKUP(B1447,专业代码!$B$2:$C$8,2,FALSE)</f>
        <v>市场营销</v>
      </c>
      <c r="D1447">
        <v>8.6</v>
      </c>
      <c r="E1447">
        <v>7.5</v>
      </c>
      <c r="F1447">
        <v>7.7</v>
      </c>
      <c r="G1447">
        <v>8.5</v>
      </c>
      <c r="H1447">
        <v>7.8</v>
      </c>
      <c r="I1447">
        <v>6</v>
      </c>
      <c r="J1447">
        <v>6.5</v>
      </c>
      <c r="K1447">
        <v>5.5</v>
      </c>
      <c r="L1447">
        <v>6</v>
      </c>
      <c r="M1447">
        <v>7.2</v>
      </c>
      <c r="N1447">
        <f t="shared" si="22"/>
        <v>71.3</v>
      </c>
    </row>
    <row r="1448" spans="1:14">
      <c r="A1448">
        <v>20198459</v>
      </c>
      <c r="B1448" t="s">
        <v>19</v>
      </c>
      <c r="C1448" t="str">
        <f>VLOOKUP(B1448,专业代码!$B$2:$C$8,2,FALSE)</f>
        <v>市场营销</v>
      </c>
      <c r="D1448">
        <v>7.9</v>
      </c>
      <c r="E1448">
        <v>7.3</v>
      </c>
      <c r="F1448">
        <v>7.6</v>
      </c>
      <c r="G1448">
        <v>7.2</v>
      </c>
      <c r="H1448">
        <v>7.5</v>
      </c>
      <c r="I1448">
        <v>6.9</v>
      </c>
      <c r="J1448">
        <v>6.5</v>
      </c>
      <c r="K1448">
        <v>6</v>
      </c>
      <c r="L1448">
        <v>7.1</v>
      </c>
      <c r="M1448">
        <v>6.4</v>
      </c>
      <c r="N1448">
        <f t="shared" si="22"/>
        <v>70.4</v>
      </c>
    </row>
    <row r="1449" spans="1:14">
      <c r="A1449">
        <v>20198525</v>
      </c>
      <c r="B1449" t="s">
        <v>19</v>
      </c>
      <c r="C1449" t="str">
        <f>VLOOKUP(B1449,专业代码!$B$2:$C$8,2,FALSE)</f>
        <v>市场营销</v>
      </c>
      <c r="D1449">
        <v>7.5</v>
      </c>
      <c r="E1449">
        <v>7.3</v>
      </c>
      <c r="F1449">
        <v>7.9</v>
      </c>
      <c r="G1449">
        <v>6.2</v>
      </c>
      <c r="H1449">
        <v>7</v>
      </c>
      <c r="I1449">
        <v>5.3</v>
      </c>
      <c r="J1449">
        <v>5.1</v>
      </c>
      <c r="K1449">
        <v>6.5</v>
      </c>
      <c r="L1449">
        <v>6.9</v>
      </c>
      <c r="M1449">
        <v>5</v>
      </c>
      <c r="N1449">
        <f t="shared" si="22"/>
        <v>64.7</v>
      </c>
    </row>
    <row r="1450" spans="1:14">
      <c r="A1450">
        <v>20199117</v>
      </c>
      <c r="B1450" t="s">
        <v>19</v>
      </c>
      <c r="C1450" t="str">
        <f>VLOOKUP(B1450,专业代码!$B$2:$C$8,2,FALSE)</f>
        <v>市场营销</v>
      </c>
      <c r="D1450">
        <v>7.7</v>
      </c>
      <c r="E1450">
        <v>7.5</v>
      </c>
      <c r="F1450">
        <v>7.4</v>
      </c>
      <c r="G1450">
        <v>6.4</v>
      </c>
      <c r="H1450">
        <v>6.9</v>
      </c>
      <c r="I1450">
        <v>6.7</v>
      </c>
      <c r="J1450">
        <v>6.9</v>
      </c>
      <c r="K1450">
        <v>6.9</v>
      </c>
      <c r="L1450">
        <v>6.7</v>
      </c>
      <c r="M1450">
        <v>4.6</v>
      </c>
      <c r="N1450">
        <f t="shared" si="22"/>
        <v>67.7</v>
      </c>
    </row>
    <row r="1451" spans="1:14">
      <c r="A1451">
        <v>20191391</v>
      </c>
      <c r="B1451" t="s">
        <v>19</v>
      </c>
      <c r="C1451" t="str">
        <f>VLOOKUP(B1451,专业代码!$B$2:$C$8,2,FALSE)</f>
        <v>市场营销</v>
      </c>
      <c r="D1451">
        <v>7.1</v>
      </c>
      <c r="E1451">
        <v>7.3</v>
      </c>
      <c r="F1451">
        <v>7.4</v>
      </c>
      <c r="G1451">
        <v>7.1</v>
      </c>
      <c r="H1451">
        <v>6.6</v>
      </c>
      <c r="I1451">
        <v>7.2</v>
      </c>
      <c r="J1451">
        <v>6.4</v>
      </c>
      <c r="K1451">
        <v>6.9</v>
      </c>
      <c r="L1451">
        <v>6.2</v>
      </c>
      <c r="M1451">
        <v>7.2</v>
      </c>
      <c r="N1451">
        <f t="shared" si="22"/>
        <v>69.4</v>
      </c>
    </row>
    <row r="1452" spans="1:14">
      <c r="A1452">
        <v>20192803</v>
      </c>
      <c r="B1452" t="s">
        <v>19</v>
      </c>
      <c r="C1452" t="str">
        <f>VLOOKUP(B1452,专业代码!$B$2:$C$8,2,FALSE)</f>
        <v>市场营销</v>
      </c>
      <c r="D1452">
        <v>8.9</v>
      </c>
      <c r="E1452">
        <v>7.2</v>
      </c>
      <c r="F1452">
        <v>7.3</v>
      </c>
      <c r="G1452">
        <v>7.2</v>
      </c>
      <c r="H1452">
        <v>7.9</v>
      </c>
      <c r="I1452">
        <v>6.6</v>
      </c>
      <c r="J1452">
        <v>7.3</v>
      </c>
      <c r="K1452">
        <v>5.8</v>
      </c>
      <c r="L1452">
        <v>5.9</v>
      </c>
      <c r="M1452">
        <v>5.9</v>
      </c>
      <c r="N1452">
        <f t="shared" si="22"/>
        <v>70</v>
      </c>
    </row>
    <row r="1453" spans="1:14">
      <c r="A1453">
        <v>20195091</v>
      </c>
      <c r="B1453" t="s">
        <v>19</v>
      </c>
      <c r="C1453" t="str">
        <f>VLOOKUP(B1453,专业代码!$B$2:$C$8,2,FALSE)</f>
        <v>市场营销</v>
      </c>
      <c r="D1453">
        <v>7.8</v>
      </c>
      <c r="E1453">
        <v>7.7</v>
      </c>
      <c r="F1453">
        <v>8.3</v>
      </c>
      <c r="G1453">
        <v>7.2</v>
      </c>
      <c r="H1453">
        <v>7</v>
      </c>
      <c r="I1453">
        <v>7.3</v>
      </c>
      <c r="J1453">
        <v>6.8</v>
      </c>
      <c r="K1453">
        <v>5.3</v>
      </c>
      <c r="L1453">
        <v>5.1</v>
      </c>
      <c r="M1453">
        <v>5.9</v>
      </c>
      <c r="N1453">
        <f t="shared" si="22"/>
        <v>68.4</v>
      </c>
    </row>
    <row r="1454" spans="1:14">
      <c r="A1454">
        <v>20195732</v>
      </c>
      <c r="B1454" t="s">
        <v>19</v>
      </c>
      <c r="C1454" t="str">
        <f>VLOOKUP(B1454,专业代码!$B$2:$C$8,2,FALSE)</f>
        <v>市场营销</v>
      </c>
      <c r="D1454">
        <v>8</v>
      </c>
      <c r="E1454">
        <v>9.1</v>
      </c>
      <c r="F1454">
        <v>7.6</v>
      </c>
      <c r="G1454">
        <v>6.9</v>
      </c>
      <c r="H1454">
        <v>7.3</v>
      </c>
      <c r="I1454">
        <v>7</v>
      </c>
      <c r="J1454">
        <v>7</v>
      </c>
      <c r="K1454">
        <v>6.7</v>
      </c>
      <c r="L1454">
        <v>6.6</v>
      </c>
      <c r="M1454">
        <v>6.4</v>
      </c>
      <c r="N1454">
        <f t="shared" si="22"/>
        <v>72.6</v>
      </c>
    </row>
    <row r="1455" spans="1:14">
      <c r="A1455">
        <v>20196447</v>
      </c>
      <c r="B1455" t="s">
        <v>19</v>
      </c>
      <c r="C1455" t="str">
        <f>VLOOKUP(B1455,专业代码!$B$2:$C$8,2,FALSE)</f>
        <v>市场营销</v>
      </c>
      <c r="D1455">
        <v>7.9</v>
      </c>
      <c r="E1455">
        <v>8</v>
      </c>
      <c r="F1455">
        <v>7.5</v>
      </c>
      <c r="G1455">
        <v>7.1</v>
      </c>
      <c r="H1455">
        <v>8.2</v>
      </c>
      <c r="I1455">
        <v>7.6</v>
      </c>
      <c r="J1455">
        <v>5.6</v>
      </c>
      <c r="K1455">
        <v>6.7</v>
      </c>
      <c r="L1455">
        <v>6.8</v>
      </c>
      <c r="M1455">
        <v>3.9</v>
      </c>
      <c r="N1455">
        <f t="shared" si="22"/>
        <v>69.3</v>
      </c>
    </row>
    <row r="1456" spans="1:14">
      <c r="A1456">
        <v>20196579</v>
      </c>
      <c r="B1456" t="s">
        <v>19</v>
      </c>
      <c r="C1456" t="str">
        <f>VLOOKUP(B1456,专业代码!$B$2:$C$8,2,FALSE)</f>
        <v>市场营销</v>
      </c>
      <c r="D1456">
        <v>8.2</v>
      </c>
      <c r="E1456">
        <v>7.8</v>
      </c>
      <c r="F1456">
        <v>7.8</v>
      </c>
      <c r="G1456">
        <v>8.1</v>
      </c>
      <c r="H1456">
        <v>7.4</v>
      </c>
      <c r="I1456">
        <v>7.5</v>
      </c>
      <c r="J1456">
        <v>7.5</v>
      </c>
      <c r="K1456">
        <v>6.7</v>
      </c>
      <c r="L1456">
        <v>6.9</v>
      </c>
      <c r="M1456">
        <v>5.2</v>
      </c>
      <c r="N1456">
        <f t="shared" si="22"/>
        <v>73.1</v>
      </c>
    </row>
    <row r="1457" spans="1:14">
      <c r="A1457">
        <v>20198098</v>
      </c>
      <c r="B1457" t="s">
        <v>19</v>
      </c>
      <c r="C1457" t="str">
        <f>VLOOKUP(B1457,专业代码!$B$2:$C$8,2,FALSE)</f>
        <v>市场营销</v>
      </c>
      <c r="D1457">
        <v>7.8</v>
      </c>
      <c r="E1457">
        <v>7.8</v>
      </c>
      <c r="F1457">
        <v>7.1</v>
      </c>
      <c r="G1457">
        <v>7.8</v>
      </c>
      <c r="H1457">
        <v>7.4</v>
      </c>
      <c r="I1457">
        <v>6.6</v>
      </c>
      <c r="J1457">
        <v>7.7</v>
      </c>
      <c r="K1457">
        <v>7.3</v>
      </c>
      <c r="L1457">
        <v>5.1</v>
      </c>
      <c r="M1457">
        <v>4.2</v>
      </c>
      <c r="N1457">
        <f t="shared" si="22"/>
        <v>68.8</v>
      </c>
    </row>
    <row r="1458" spans="1:14">
      <c r="A1458">
        <v>20193025</v>
      </c>
      <c r="B1458" t="s">
        <v>19</v>
      </c>
      <c r="C1458" t="str">
        <f>VLOOKUP(B1458,专业代码!$B$2:$C$8,2,FALSE)</f>
        <v>市场营销</v>
      </c>
      <c r="D1458">
        <v>8</v>
      </c>
      <c r="E1458">
        <v>8</v>
      </c>
      <c r="F1458">
        <v>7.8</v>
      </c>
      <c r="G1458">
        <v>7</v>
      </c>
      <c r="H1458">
        <v>6.8</v>
      </c>
      <c r="I1458">
        <v>8.7</v>
      </c>
      <c r="J1458">
        <v>5.3</v>
      </c>
      <c r="K1458">
        <v>6.8</v>
      </c>
      <c r="L1458">
        <v>6.7</v>
      </c>
      <c r="M1458">
        <v>8.7</v>
      </c>
      <c r="N1458">
        <f t="shared" si="22"/>
        <v>73.8</v>
      </c>
    </row>
    <row r="1459" spans="1:14">
      <c r="A1459">
        <v>20199075</v>
      </c>
      <c r="B1459" t="s">
        <v>19</v>
      </c>
      <c r="C1459" t="str">
        <f>VLOOKUP(B1459,专业代码!$B$2:$C$8,2,FALSE)</f>
        <v>市场营销</v>
      </c>
      <c r="D1459">
        <v>8</v>
      </c>
      <c r="E1459">
        <v>7.4</v>
      </c>
      <c r="F1459">
        <v>6.6</v>
      </c>
      <c r="G1459">
        <v>7.6</v>
      </c>
      <c r="H1459">
        <v>6.5</v>
      </c>
      <c r="I1459">
        <v>7.7</v>
      </c>
      <c r="J1459">
        <v>6.7</v>
      </c>
      <c r="K1459">
        <v>6.6</v>
      </c>
      <c r="L1459">
        <v>6.4</v>
      </c>
      <c r="M1459">
        <v>6.5</v>
      </c>
      <c r="N1459">
        <f t="shared" si="22"/>
        <v>70</v>
      </c>
    </row>
    <row r="1460" spans="1:14">
      <c r="A1460">
        <v>20199256</v>
      </c>
      <c r="B1460" t="s">
        <v>19</v>
      </c>
      <c r="C1460" t="str">
        <f>VLOOKUP(B1460,专业代码!$B$2:$C$8,2,FALSE)</f>
        <v>市场营销</v>
      </c>
      <c r="D1460">
        <v>7.7</v>
      </c>
      <c r="E1460">
        <v>7.3</v>
      </c>
      <c r="F1460">
        <v>6.8</v>
      </c>
      <c r="G1460">
        <v>6.9</v>
      </c>
      <c r="H1460">
        <v>7.4</v>
      </c>
      <c r="I1460">
        <v>7.3</v>
      </c>
      <c r="J1460">
        <v>7</v>
      </c>
      <c r="K1460">
        <v>5.8</v>
      </c>
      <c r="L1460">
        <v>5.4</v>
      </c>
      <c r="M1460">
        <v>6.1</v>
      </c>
      <c r="N1460">
        <f t="shared" si="22"/>
        <v>67.7</v>
      </c>
    </row>
    <row r="1461" spans="1:14">
      <c r="A1461">
        <v>20199953</v>
      </c>
      <c r="B1461" t="s">
        <v>19</v>
      </c>
      <c r="C1461" t="str">
        <f>VLOOKUP(B1461,专业代码!$B$2:$C$8,2,FALSE)</f>
        <v>市场营销</v>
      </c>
      <c r="D1461">
        <v>6.7</v>
      </c>
      <c r="E1461">
        <v>8.1</v>
      </c>
      <c r="F1461">
        <v>8.4</v>
      </c>
      <c r="G1461">
        <v>6.8</v>
      </c>
      <c r="H1461">
        <v>6.4</v>
      </c>
      <c r="I1461">
        <v>7.2</v>
      </c>
      <c r="J1461">
        <v>7.7</v>
      </c>
      <c r="K1461">
        <v>6</v>
      </c>
      <c r="L1461">
        <v>5.7</v>
      </c>
      <c r="M1461">
        <v>5</v>
      </c>
      <c r="N1461">
        <f t="shared" si="22"/>
        <v>68</v>
      </c>
    </row>
    <row r="1462" spans="1:14">
      <c r="A1462">
        <v>20192261</v>
      </c>
      <c r="B1462" t="s">
        <v>19</v>
      </c>
      <c r="C1462" t="str">
        <f>VLOOKUP(B1462,专业代码!$B$2:$C$8,2,FALSE)</f>
        <v>市场营销</v>
      </c>
      <c r="D1462">
        <v>8.3</v>
      </c>
      <c r="E1462">
        <v>8.1</v>
      </c>
      <c r="F1462">
        <v>7.4</v>
      </c>
      <c r="G1462">
        <v>8</v>
      </c>
      <c r="H1462">
        <v>6.9</v>
      </c>
      <c r="I1462">
        <v>7</v>
      </c>
      <c r="J1462">
        <v>5.4</v>
      </c>
      <c r="K1462">
        <v>6.4</v>
      </c>
      <c r="L1462">
        <v>6.7</v>
      </c>
      <c r="M1462">
        <v>6.1</v>
      </c>
      <c r="N1462">
        <f t="shared" si="22"/>
        <v>70.3</v>
      </c>
    </row>
    <row r="1463" spans="1:14">
      <c r="A1463">
        <v>20192283</v>
      </c>
      <c r="B1463" t="s">
        <v>19</v>
      </c>
      <c r="C1463" t="str">
        <f>VLOOKUP(B1463,专业代码!$B$2:$C$8,2,FALSE)</f>
        <v>市场营销</v>
      </c>
      <c r="D1463">
        <v>7.6</v>
      </c>
      <c r="E1463">
        <v>7.8</v>
      </c>
      <c r="F1463">
        <v>7</v>
      </c>
      <c r="G1463">
        <v>7.7</v>
      </c>
      <c r="H1463">
        <v>6.5</v>
      </c>
      <c r="I1463">
        <v>6.9</v>
      </c>
      <c r="J1463">
        <v>7.5</v>
      </c>
      <c r="K1463">
        <v>6.8</v>
      </c>
      <c r="L1463">
        <v>4.3</v>
      </c>
      <c r="M1463">
        <v>7</v>
      </c>
      <c r="N1463">
        <f t="shared" si="22"/>
        <v>69.1</v>
      </c>
    </row>
    <row r="1464" spans="1:14">
      <c r="A1464">
        <v>20194615</v>
      </c>
      <c r="B1464" t="s">
        <v>19</v>
      </c>
      <c r="C1464" t="str">
        <f>VLOOKUP(B1464,专业代码!$B$2:$C$8,2,FALSE)</f>
        <v>市场营销</v>
      </c>
      <c r="D1464">
        <v>7.5</v>
      </c>
      <c r="E1464">
        <v>7.6</v>
      </c>
      <c r="F1464">
        <v>7</v>
      </c>
      <c r="G1464">
        <v>7.6</v>
      </c>
      <c r="H1464">
        <v>7.6</v>
      </c>
      <c r="I1464">
        <v>6.1</v>
      </c>
      <c r="J1464">
        <v>7.3</v>
      </c>
      <c r="K1464">
        <v>6.5</v>
      </c>
      <c r="L1464">
        <v>4.4</v>
      </c>
      <c r="M1464">
        <v>6.4</v>
      </c>
      <c r="N1464">
        <f t="shared" si="22"/>
        <v>68</v>
      </c>
    </row>
    <row r="1465" spans="1:14">
      <c r="A1465">
        <v>20197149</v>
      </c>
      <c r="B1465" t="s">
        <v>19</v>
      </c>
      <c r="C1465" t="str">
        <f>VLOOKUP(B1465,专业代码!$B$2:$C$8,2,FALSE)</f>
        <v>市场营销</v>
      </c>
      <c r="D1465">
        <v>9</v>
      </c>
      <c r="E1465">
        <v>6.7</v>
      </c>
      <c r="F1465">
        <v>7.6</v>
      </c>
      <c r="G1465">
        <v>7.2</v>
      </c>
      <c r="H1465">
        <v>6.5</v>
      </c>
      <c r="I1465">
        <v>6.8</v>
      </c>
      <c r="J1465">
        <v>5.8</v>
      </c>
      <c r="K1465">
        <v>7.2</v>
      </c>
      <c r="L1465">
        <v>5.6</v>
      </c>
      <c r="M1465">
        <v>5.8</v>
      </c>
      <c r="N1465">
        <f t="shared" si="22"/>
        <v>68.2</v>
      </c>
    </row>
    <row r="1466" spans="1:14">
      <c r="A1466">
        <v>20197819</v>
      </c>
      <c r="B1466" t="s">
        <v>19</v>
      </c>
      <c r="C1466" t="str">
        <f>VLOOKUP(B1466,专业代码!$B$2:$C$8,2,FALSE)</f>
        <v>市场营销</v>
      </c>
      <c r="D1466">
        <v>7.8</v>
      </c>
      <c r="E1466">
        <v>7.9</v>
      </c>
      <c r="F1466">
        <v>8</v>
      </c>
      <c r="G1466">
        <v>7.7</v>
      </c>
      <c r="H1466">
        <v>6.8</v>
      </c>
      <c r="I1466">
        <v>7.1</v>
      </c>
      <c r="J1466">
        <v>5.5</v>
      </c>
      <c r="K1466">
        <v>6.8</v>
      </c>
      <c r="L1466">
        <v>6.6</v>
      </c>
      <c r="M1466">
        <v>6.7</v>
      </c>
      <c r="N1466">
        <f t="shared" si="22"/>
        <v>70.9</v>
      </c>
    </row>
    <row r="1467" spans="1:14">
      <c r="A1467">
        <v>20199947</v>
      </c>
      <c r="B1467" t="s">
        <v>19</v>
      </c>
      <c r="C1467" t="str">
        <f>VLOOKUP(B1467,专业代码!$B$2:$C$8,2,FALSE)</f>
        <v>市场营销</v>
      </c>
      <c r="D1467">
        <v>8.7</v>
      </c>
      <c r="E1467">
        <v>7.4</v>
      </c>
      <c r="F1467">
        <v>7.7</v>
      </c>
      <c r="G1467">
        <v>8.3</v>
      </c>
      <c r="H1467">
        <v>7.2</v>
      </c>
      <c r="I1467">
        <v>6.7</v>
      </c>
      <c r="J1467">
        <v>6.2</v>
      </c>
      <c r="K1467">
        <v>8.3</v>
      </c>
      <c r="L1467">
        <v>7.5</v>
      </c>
      <c r="M1467">
        <v>7</v>
      </c>
      <c r="N1467">
        <f t="shared" si="22"/>
        <v>75</v>
      </c>
    </row>
    <row r="1468" spans="1:14">
      <c r="A1468">
        <v>20194199</v>
      </c>
      <c r="B1468" t="s">
        <v>19</v>
      </c>
      <c r="C1468" t="str">
        <f>VLOOKUP(B1468,专业代码!$B$2:$C$8,2,FALSE)</f>
        <v>市场营销</v>
      </c>
      <c r="D1468">
        <v>7.6</v>
      </c>
      <c r="E1468">
        <v>7.5</v>
      </c>
      <c r="F1468">
        <v>6.7</v>
      </c>
      <c r="G1468">
        <v>7.5</v>
      </c>
      <c r="H1468">
        <v>7</v>
      </c>
      <c r="I1468">
        <v>8</v>
      </c>
      <c r="J1468">
        <v>6.7</v>
      </c>
      <c r="K1468">
        <v>5.5</v>
      </c>
      <c r="L1468">
        <v>6.4</v>
      </c>
      <c r="M1468">
        <v>6.7</v>
      </c>
      <c r="N1468">
        <f t="shared" si="22"/>
        <v>69.6</v>
      </c>
    </row>
    <row r="1469" spans="1:14">
      <c r="A1469">
        <v>20195182</v>
      </c>
      <c r="B1469" t="s">
        <v>19</v>
      </c>
      <c r="C1469" t="str">
        <f>VLOOKUP(B1469,专业代码!$B$2:$C$8,2,FALSE)</f>
        <v>市场营销</v>
      </c>
      <c r="D1469">
        <v>7.9</v>
      </c>
      <c r="E1469">
        <v>7.4</v>
      </c>
      <c r="F1469">
        <v>7.3</v>
      </c>
      <c r="G1469">
        <v>7.2</v>
      </c>
      <c r="H1469">
        <v>7.4</v>
      </c>
      <c r="I1469">
        <v>6.9</v>
      </c>
      <c r="J1469">
        <v>6.3</v>
      </c>
      <c r="K1469">
        <v>6.8</v>
      </c>
      <c r="L1469">
        <v>5.3</v>
      </c>
      <c r="M1469">
        <v>4.4</v>
      </c>
      <c r="N1469">
        <f t="shared" si="22"/>
        <v>66.9</v>
      </c>
    </row>
    <row r="1470" spans="1:14">
      <c r="A1470">
        <v>20197008</v>
      </c>
      <c r="B1470" t="s">
        <v>19</v>
      </c>
      <c r="C1470" t="str">
        <f>VLOOKUP(B1470,专业代码!$B$2:$C$8,2,FALSE)</f>
        <v>市场营销</v>
      </c>
      <c r="D1470">
        <v>7.5</v>
      </c>
      <c r="E1470">
        <v>8.6</v>
      </c>
      <c r="F1470">
        <v>7.3</v>
      </c>
      <c r="G1470">
        <v>7.2</v>
      </c>
      <c r="H1470">
        <v>7</v>
      </c>
      <c r="I1470">
        <v>4.4</v>
      </c>
      <c r="J1470">
        <v>6.7</v>
      </c>
      <c r="K1470">
        <v>7.9</v>
      </c>
      <c r="L1470">
        <v>7</v>
      </c>
      <c r="M1470">
        <v>3.7</v>
      </c>
      <c r="N1470">
        <f t="shared" si="22"/>
        <v>67.3</v>
      </c>
    </row>
    <row r="1471" spans="1:14">
      <c r="A1471">
        <v>20197119</v>
      </c>
      <c r="B1471" t="s">
        <v>19</v>
      </c>
      <c r="C1471" t="str">
        <f>VLOOKUP(B1471,专业代码!$B$2:$C$8,2,FALSE)</f>
        <v>市场营销</v>
      </c>
      <c r="D1471">
        <v>7</v>
      </c>
      <c r="E1471">
        <v>7.4</v>
      </c>
      <c r="F1471">
        <v>8.1</v>
      </c>
      <c r="G1471">
        <v>6.4</v>
      </c>
      <c r="H1471">
        <v>8.7</v>
      </c>
      <c r="I1471">
        <v>6.4</v>
      </c>
      <c r="J1471">
        <v>7.6</v>
      </c>
      <c r="K1471">
        <v>6.3</v>
      </c>
      <c r="L1471">
        <v>6</v>
      </c>
      <c r="M1471">
        <v>6.5</v>
      </c>
      <c r="N1471">
        <f t="shared" si="22"/>
        <v>70.4</v>
      </c>
    </row>
    <row r="1472" spans="1:14">
      <c r="A1472">
        <v>20197961</v>
      </c>
      <c r="B1472" t="s">
        <v>19</v>
      </c>
      <c r="C1472" t="str">
        <f>VLOOKUP(B1472,专业代码!$B$2:$C$8,2,FALSE)</f>
        <v>市场营销</v>
      </c>
      <c r="D1472">
        <v>7.8</v>
      </c>
      <c r="E1472">
        <v>7.7</v>
      </c>
      <c r="F1472">
        <v>7.5</v>
      </c>
      <c r="G1472">
        <v>7.6</v>
      </c>
      <c r="H1472">
        <v>5.5</v>
      </c>
      <c r="I1472">
        <v>7.5</v>
      </c>
      <c r="J1472">
        <v>6.1</v>
      </c>
      <c r="K1472">
        <v>5.6</v>
      </c>
      <c r="L1472">
        <v>6.1</v>
      </c>
      <c r="M1472">
        <v>8.2</v>
      </c>
      <c r="N1472">
        <f t="shared" si="22"/>
        <v>69.6</v>
      </c>
    </row>
    <row r="1473" spans="1:14">
      <c r="A1473">
        <v>20198218</v>
      </c>
      <c r="B1473" t="s">
        <v>19</v>
      </c>
      <c r="C1473" t="str">
        <f>VLOOKUP(B1473,专业代码!$B$2:$C$8,2,FALSE)</f>
        <v>市场营销</v>
      </c>
      <c r="D1473">
        <v>7</v>
      </c>
      <c r="E1473">
        <v>7.9</v>
      </c>
      <c r="F1473">
        <v>7.3</v>
      </c>
      <c r="G1473">
        <v>7</v>
      </c>
      <c r="H1473">
        <v>6</v>
      </c>
      <c r="I1473">
        <v>7.9</v>
      </c>
      <c r="J1473">
        <v>8.4</v>
      </c>
      <c r="K1473">
        <v>6.3</v>
      </c>
      <c r="L1473">
        <v>5.4</v>
      </c>
      <c r="M1473">
        <v>5.7</v>
      </c>
      <c r="N1473">
        <f t="shared" si="22"/>
        <v>68.9</v>
      </c>
    </row>
    <row r="1474" spans="1:14">
      <c r="A1474">
        <v>20199229</v>
      </c>
      <c r="B1474" t="s">
        <v>19</v>
      </c>
      <c r="C1474" t="str">
        <f>VLOOKUP(B1474,专业代码!$B$2:$C$8,2,FALSE)</f>
        <v>市场营销</v>
      </c>
      <c r="D1474">
        <v>8.1</v>
      </c>
      <c r="E1474">
        <v>8.3</v>
      </c>
      <c r="F1474">
        <v>6.9</v>
      </c>
      <c r="G1474">
        <v>7.5</v>
      </c>
      <c r="H1474">
        <v>6.4</v>
      </c>
      <c r="I1474">
        <v>7.6</v>
      </c>
      <c r="J1474">
        <v>7</v>
      </c>
      <c r="K1474">
        <v>5.9</v>
      </c>
      <c r="L1474">
        <v>7</v>
      </c>
      <c r="M1474">
        <v>6.1</v>
      </c>
      <c r="N1474">
        <f t="shared" si="22"/>
        <v>70.8</v>
      </c>
    </row>
    <row r="1475" spans="1:14">
      <c r="A1475">
        <v>20192075</v>
      </c>
      <c r="B1475" t="s">
        <v>19</v>
      </c>
      <c r="C1475" t="str">
        <f>VLOOKUP(B1475,专业代码!$B$2:$C$8,2,FALSE)</f>
        <v>市场营销</v>
      </c>
      <c r="D1475">
        <v>7.6</v>
      </c>
      <c r="E1475">
        <v>7.1</v>
      </c>
      <c r="F1475">
        <v>6.8</v>
      </c>
      <c r="G1475">
        <v>6.4</v>
      </c>
      <c r="H1475">
        <v>7.6</v>
      </c>
      <c r="I1475">
        <v>7.8</v>
      </c>
      <c r="J1475">
        <v>5.9</v>
      </c>
      <c r="K1475">
        <v>7.7</v>
      </c>
      <c r="L1475">
        <v>5.8</v>
      </c>
      <c r="M1475">
        <v>5.1</v>
      </c>
      <c r="N1475">
        <f t="shared" ref="N1475:N1538" si="23">SUM(D1475:M1475)</f>
        <v>67.8</v>
      </c>
    </row>
    <row r="1476" spans="1:14">
      <c r="A1476">
        <v>20192170</v>
      </c>
      <c r="B1476" t="s">
        <v>19</v>
      </c>
      <c r="C1476" t="str">
        <f>VLOOKUP(B1476,专业代码!$B$2:$C$8,2,FALSE)</f>
        <v>市场营销</v>
      </c>
      <c r="D1476">
        <v>8.8</v>
      </c>
      <c r="E1476">
        <v>7.9</v>
      </c>
      <c r="F1476">
        <v>7</v>
      </c>
      <c r="G1476">
        <v>7.7</v>
      </c>
      <c r="H1476">
        <v>7.3</v>
      </c>
      <c r="I1476">
        <v>8</v>
      </c>
      <c r="J1476">
        <v>6.5</v>
      </c>
      <c r="K1476">
        <v>6.5</v>
      </c>
      <c r="L1476">
        <v>5.4</v>
      </c>
      <c r="M1476">
        <v>6.1</v>
      </c>
      <c r="N1476">
        <f t="shared" si="23"/>
        <v>71.2</v>
      </c>
    </row>
    <row r="1477" spans="1:14">
      <c r="A1477">
        <v>20193187</v>
      </c>
      <c r="B1477" t="s">
        <v>19</v>
      </c>
      <c r="C1477" t="str">
        <f>VLOOKUP(B1477,专业代码!$B$2:$C$8,2,FALSE)</f>
        <v>市场营销</v>
      </c>
      <c r="D1477">
        <v>8.6</v>
      </c>
      <c r="E1477">
        <v>7.6</v>
      </c>
      <c r="F1477">
        <v>7.5</v>
      </c>
      <c r="G1477">
        <v>7.4</v>
      </c>
      <c r="H1477">
        <v>8</v>
      </c>
      <c r="I1477">
        <v>6.9</v>
      </c>
      <c r="J1477">
        <v>6.9</v>
      </c>
      <c r="K1477">
        <v>5.7</v>
      </c>
      <c r="L1477">
        <v>6.6</v>
      </c>
      <c r="M1477">
        <v>5.9</v>
      </c>
      <c r="N1477">
        <f t="shared" si="23"/>
        <v>71.1</v>
      </c>
    </row>
    <row r="1478" spans="1:14">
      <c r="A1478">
        <v>20196441</v>
      </c>
      <c r="B1478" t="s">
        <v>19</v>
      </c>
      <c r="C1478" t="str">
        <f>VLOOKUP(B1478,专业代码!$B$2:$C$8,2,FALSE)</f>
        <v>市场营销</v>
      </c>
      <c r="D1478">
        <v>7.4</v>
      </c>
      <c r="E1478">
        <v>8.1</v>
      </c>
      <c r="F1478">
        <v>8.8</v>
      </c>
      <c r="G1478">
        <v>8.1</v>
      </c>
      <c r="H1478">
        <v>7.2</v>
      </c>
      <c r="I1478">
        <v>7.1</v>
      </c>
      <c r="J1478">
        <v>7.7</v>
      </c>
      <c r="K1478">
        <v>6.2</v>
      </c>
      <c r="L1478">
        <v>6.1</v>
      </c>
      <c r="M1478">
        <v>5.1</v>
      </c>
      <c r="N1478">
        <f t="shared" si="23"/>
        <v>71.8</v>
      </c>
    </row>
    <row r="1479" spans="1:14">
      <c r="A1479">
        <v>20197311</v>
      </c>
      <c r="B1479" t="s">
        <v>19</v>
      </c>
      <c r="C1479" t="str">
        <f>VLOOKUP(B1479,专业代码!$B$2:$C$8,2,FALSE)</f>
        <v>市场营销</v>
      </c>
      <c r="D1479">
        <v>8.2</v>
      </c>
      <c r="E1479">
        <v>7.3</v>
      </c>
      <c r="F1479">
        <v>7.5</v>
      </c>
      <c r="G1479">
        <v>8.2</v>
      </c>
      <c r="H1479">
        <v>7</v>
      </c>
      <c r="I1479">
        <v>6.1</v>
      </c>
      <c r="J1479">
        <v>6.4</v>
      </c>
      <c r="K1479">
        <v>7.2</v>
      </c>
      <c r="L1479">
        <v>6.2</v>
      </c>
      <c r="M1479">
        <v>4.6</v>
      </c>
      <c r="N1479">
        <f t="shared" si="23"/>
        <v>68.7</v>
      </c>
    </row>
    <row r="1480" spans="1:14">
      <c r="A1480">
        <v>20197562</v>
      </c>
      <c r="B1480" t="s">
        <v>19</v>
      </c>
      <c r="C1480" t="str">
        <f>VLOOKUP(B1480,专业代码!$B$2:$C$8,2,FALSE)</f>
        <v>市场营销</v>
      </c>
      <c r="D1480">
        <v>7.9</v>
      </c>
      <c r="E1480">
        <v>8.1</v>
      </c>
      <c r="F1480">
        <v>7</v>
      </c>
      <c r="G1480">
        <v>6.3</v>
      </c>
      <c r="H1480">
        <v>7</v>
      </c>
      <c r="I1480">
        <v>6.4</v>
      </c>
      <c r="J1480">
        <v>5.4</v>
      </c>
      <c r="K1480">
        <v>6.2</v>
      </c>
      <c r="L1480">
        <v>6.9</v>
      </c>
      <c r="M1480">
        <v>6.8</v>
      </c>
      <c r="N1480">
        <f t="shared" si="23"/>
        <v>68</v>
      </c>
    </row>
    <row r="1481" spans="1:14">
      <c r="A1481">
        <v>20192206</v>
      </c>
      <c r="B1481" t="s">
        <v>19</v>
      </c>
      <c r="C1481" t="str">
        <f>VLOOKUP(B1481,专业代码!$B$2:$C$8,2,FALSE)</f>
        <v>市场营销</v>
      </c>
      <c r="D1481">
        <v>8.2</v>
      </c>
      <c r="E1481">
        <v>6.4</v>
      </c>
      <c r="F1481">
        <v>6.8</v>
      </c>
      <c r="G1481">
        <v>7.5</v>
      </c>
      <c r="H1481">
        <v>6.7</v>
      </c>
      <c r="I1481">
        <v>6.3</v>
      </c>
      <c r="J1481">
        <v>6.1</v>
      </c>
      <c r="K1481">
        <v>5.7</v>
      </c>
      <c r="L1481">
        <v>4.1</v>
      </c>
      <c r="M1481">
        <v>6.7</v>
      </c>
      <c r="N1481">
        <f t="shared" si="23"/>
        <v>64.5</v>
      </c>
    </row>
    <row r="1482" spans="1:14">
      <c r="A1482">
        <v>20193975</v>
      </c>
      <c r="B1482" t="s">
        <v>19</v>
      </c>
      <c r="C1482" t="str">
        <f>VLOOKUP(B1482,专业代码!$B$2:$C$8,2,FALSE)</f>
        <v>市场营销</v>
      </c>
      <c r="D1482">
        <v>7.3</v>
      </c>
      <c r="E1482">
        <v>8</v>
      </c>
      <c r="F1482">
        <v>7.1</v>
      </c>
      <c r="G1482">
        <v>7.4</v>
      </c>
      <c r="H1482">
        <v>6.8</v>
      </c>
      <c r="I1482">
        <v>8</v>
      </c>
      <c r="J1482">
        <v>7.2</v>
      </c>
      <c r="K1482">
        <v>6.3</v>
      </c>
      <c r="L1482">
        <v>6.8</v>
      </c>
      <c r="M1482">
        <v>3.6</v>
      </c>
      <c r="N1482">
        <f t="shared" si="23"/>
        <v>68.5</v>
      </c>
    </row>
    <row r="1483" spans="1:14">
      <c r="A1483">
        <v>20194083</v>
      </c>
      <c r="B1483" t="s">
        <v>19</v>
      </c>
      <c r="C1483" t="str">
        <f>VLOOKUP(B1483,专业代码!$B$2:$C$8,2,FALSE)</f>
        <v>市场营销</v>
      </c>
      <c r="D1483">
        <v>7.7</v>
      </c>
      <c r="E1483">
        <v>8.7</v>
      </c>
      <c r="F1483">
        <v>7.9</v>
      </c>
      <c r="G1483">
        <v>7.2</v>
      </c>
      <c r="H1483">
        <v>7.9</v>
      </c>
      <c r="I1483">
        <v>7.3</v>
      </c>
      <c r="J1483">
        <v>6</v>
      </c>
      <c r="K1483">
        <v>7.7</v>
      </c>
      <c r="L1483">
        <v>7</v>
      </c>
      <c r="M1483">
        <v>5.7</v>
      </c>
      <c r="N1483">
        <f t="shared" si="23"/>
        <v>73.1</v>
      </c>
    </row>
    <row r="1484" spans="1:14">
      <c r="A1484">
        <v>20194196</v>
      </c>
      <c r="B1484" t="s">
        <v>19</v>
      </c>
      <c r="C1484" t="str">
        <f>VLOOKUP(B1484,专业代码!$B$2:$C$8,2,FALSE)</f>
        <v>市场营销</v>
      </c>
      <c r="D1484">
        <v>8.4</v>
      </c>
      <c r="E1484">
        <v>8</v>
      </c>
      <c r="F1484">
        <v>8.4</v>
      </c>
      <c r="G1484">
        <v>7.4</v>
      </c>
      <c r="H1484">
        <v>7.1</v>
      </c>
      <c r="I1484">
        <v>6.2</v>
      </c>
      <c r="J1484">
        <v>6.8</v>
      </c>
      <c r="K1484">
        <v>6.1</v>
      </c>
      <c r="L1484">
        <v>4.4</v>
      </c>
      <c r="M1484">
        <v>6</v>
      </c>
      <c r="N1484">
        <f t="shared" si="23"/>
        <v>68.8</v>
      </c>
    </row>
    <row r="1485" spans="1:14">
      <c r="A1485">
        <v>20194922</v>
      </c>
      <c r="B1485" t="s">
        <v>19</v>
      </c>
      <c r="C1485" t="str">
        <f>VLOOKUP(B1485,专业代码!$B$2:$C$8,2,FALSE)</f>
        <v>市场营销</v>
      </c>
      <c r="D1485">
        <v>8.4</v>
      </c>
      <c r="E1485">
        <v>7.9</v>
      </c>
      <c r="F1485">
        <v>6.5</v>
      </c>
      <c r="G1485">
        <v>7.6</v>
      </c>
      <c r="H1485">
        <v>6.7</v>
      </c>
      <c r="I1485">
        <v>7.2</v>
      </c>
      <c r="J1485">
        <v>7.4</v>
      </c>
      <c r="K1485">
        <v>7.9</v>
      </c>
      <c r="L1485">
        <v>6.5</v>
      </c>
      <c r="M1485">
        <v>5.8</v>
      </c>
      <c r="N1485">
        <f t="shared" si="23"/>
        <v>71.9</v>
      </c>
    </row>
    <row r="1486" spans="1:14">
      <c r="A1486">
        <v>20197539</v>
      </c>
      <c r="B1486" t="s">
        <v>19</v>
      </c>
      <c r="C1486" t="str">
        <f>VLOOKUP(B1486,专业代码!$B$2:$C$8,2,FALSE)</f>
        <v>市场营销</v>
      </c>
      <c r="D1486">
        <v>8.2</v>
      </c>
      <c r="E1486">
        <v>8</v>
      </c>
      <c r="F1486">
        <v>8.3</v>
      </c>
      <c r="G1486">
        <v>7.1</v>
      </c>
      <c r="H1486">
        <v>7.1</v>
      </c>
      <c r="I1486">
        <v>7.3</v>
      </c>
      <c r="J1486">
        <v>7.1</v>
      </c>
      <c r="K1486">
        <v>4.5</v>
      </c>
      <c r="L1486">
        <v>6.3</v>
      </c>
      <c r="M1486">
        <v>5.2</v>
      </c>
      <c r="N1486">
        <f t="shared" si="23"/>
        <v>69.1</v>
      </c>
    </row>
    <row r="1487" spans="1:14">
      <c r="A1487">
        <v>20199058</v>
      </c>
      <c r="B1487" t="s">
        <v>19</v>
      </c>
      <c r="C1487" t="str">
        <f>VLOOKUP(B1487,专业代码!$B$2:$C$8,2,FALSE)</f>
        <v>市场营销</v>
      </c>
      <c r="D1487">
        <v>7.5</v>
      </c>
      <c r="E1487">
        <v>8.1</v>
      </c>
      <c r="F1487">
        <v>7.3</v>
      </c>
      <c r="G1487">
        <v>7.5</v>
      </c>
      <c r="H1487">
        <v>7.3</v>
      </c>
      <c r="I1487">
        <v>8.2</v>
      </c>
      <c r="J1487">
        <v>6</v>
      </c>
      <c r="K1487">
        <v>5.7</v>
      </c>
      <c r="L1487">
        <v>7.2</v>
      </c>
      <c r="M1487">
        <v>5.8</v>
      </c>
      <c r="N1487">
        <f t="shared" si="23"/>
        <v>70.6</v>
      </c>
    </row>
    <row r="1488" spans="1:14">
      <c r="A1488">
        <v>20193155</v>
      </c>
      <c r="B1488" t="s">
        <v>19</v>
      </c>
      <c r="C1488" t="str">
        <f>VLOOKUP(B1488,专业代码!$B$2:$C$8,2,FALSE)</f>
        <v>市场营销</v>
      </c>
      <c r="D1488">
        <v>8</v>
      </c>
      <c r="E1488">
        <v>7.4</v>
      </c>
      <c r="F1488">
        <v>7</v>
      </c>
      <c r="G1488">
        <v>7.7</v>
      </c>
      <c r="H1488">
        <v>7.2</v>
      </c>
      <c r="I1488">
        <v>7.3</v>
      </c>
      <c r="J1488">
        <v>6.6</v>
      </c>
      <c r="K1488">
        <v>6.5</v>
      </c>
      <c r="L1488">
        <v>6.4</v>
      </c>
      <c r="M1488">
        <v>7.1</v>
      </c>
      <c r="N1488">
        <f t="shared" si="23"/>
        <v>71.2</v>
      </c>
    </row>
    <row r="1489" spans="1:14">
      <c r="A1489">
        <v>20194290</v>
      </c>
      <c r="B1489" t="s">
        <v>19</v>
      </c>
      <c r="C1489" t="str">
        <f>VLOOKUP(B1489,专业代码!$B$2:$C$8,2,FALSE)</f>
        <v>市场营销</v>
      </c>
      <c r="D1489">
        <v>7.7</v>
      </c>
      <c r="E1489">
        <v>8.1</v>
      </c>
      <c r="F1489">
        <v>7.2</v>
      </c>
      <c r="G1489">
        <v>7.5</v>
      </c>
      <c r="H1489">
        <v>7</v>
      </c>
      <c r="I1489">
        <v>7.3</v>
      </c>
      <c r="J1489">
        <v>6.8</v>
      </c>
      <c r="K1489">
        <v>6</v>
      </c>
      <c r="L1489">
        <v>5.8</v>
      </c>
      <c r="M1489">
        <v>6</v>
      </c>
      <c r="N1489">
        <f t="shared" si="23"/>
        <v>69.4</v>
      </c>
    </row>
    <row r="1490" spans="1:14">
      <c r="A1490">
        <v>20195026</v>
      </c>
      <c r="B1490" t="s">
        <v>19</v>
      </c>
      <c r="C1490" t="str">
        <f>VLOOKUP(B1490,专业代码!$B$2:$C$8,2,FALSE)</f>
        <v>市场营销</v>
      </c>
      <c r="D1490">
        <v>8.4</v>
      </c>
      <c r="E1490">
        <v>7.3</v>
      </c>
      <c r="F1490">
        <v>7.9</v>
      </c>
      <c r="G1490">
        <v>6.8</v>
      </c>
      <c r="H1490">
        <v>8</v>
      </c>
      <c r="I1490">
        <v>6.5</v>
      </c>
      <c r="J1490">
        <v>6.7</v>
      </c>
      <c r="K1490">
        <v>6.7</v>
      </c>
      <c r="L1490">
        <v>5.6</v>
      </c>
      <c r="M1490">
        <v>7.3</v>
      </c>
      <c r="N1490">
        <f t="shared" si="23"/>
        <v>71.2</v>
      </c>
    </row>
    <row r="1491" spans="1:14">
      <c r="A1491">
        <v>20196344</v>
      </c>
      <c r="B1491" t="s">
        <v>19</v>
      </c>
      <c r="C1491" t="str">
        <f>VLOOKUP(B1491,专业代码!$B$2:$C$8,2,FALSE)</f>
        <v>市场营销</v>
      </c>
      <c r="D1491">
        <v>7.9</v>
      </c>
      <c r="E1491">
        <v>7.4</v>
      </c>
      <c r="F1491">
        <v>8.5</v>
      </c>
      <c r="G1491">
        <v>7.5</v>
      </c>
      <c r="H1491">
        <v>7.1</v>
      </c>
      <c r="I1491">
        <v>8.5</v>
      </c>
      <c r="J1491">
        <v>7</v>
      </c>
      <c r="K1491">
        <v>5.7</v>
      </c>
      <c r="L1491">
        <v>6.2</v>
      </c>
      <c r="M1491">
        <v>6.8</v>
      </c>
      <c r="N1491">
        <f t="shared" si="23"/>
        <v>72.6</v>
      </c>
    </row>
    <row r="1492" spans="1:14">
      <c r="A1492">
        <v>20196604</v>
      </c>
      <c r="B1492" t="s">
        <v>19</v>
      </c>
      <c r="C1492" t="str">
        <f>VLOOKUP(B1492,专业代码!$B$2:$C$8,2,FALSE)</f>
        <v>市场营销</v>
      </c>
      <c r="D1492">
        <v>8.1</v>
      </c>
      <c r="E1492">
        <v>6.9</v>
      </c>
      <c r="F1492">
        <v>6.8</v>
      </c>
      <c r="G1492">
        <v>6.5</v>
      </c>
      <c r="H1492">
        <v>7.7</v>
      </c>
      <c r="I1492">
        <v>6.7</v>
      </c>
      <c r="J1492">
        <v>5.9</v>
      </c>
      <c r="K1492">
        <v>6.3</v>
      </c>
      <c r="L1492">
        <v>5.9</v>
      </c>
      <c r="M1492">
        <v>6</v>
      </c>
      <c r="N1492">
        <f t="shared" si="23"/>
        <v>66.8</v>
      </c>
    </row>
    <row r="1493" spans="1:14">
      <c r="A1493">
        <v>20196833</v>
      </c>
      <c r="B1493" t="s">
        <v>19</v>
      </c>
      <c r="C1493" t="str">
        <f>VLOOKUP(B1493,专业代码!$B$2:$C$8,2,FALSE)</f>
        <v>市场营销</v>
      </c>
      <c r="D1493">
        <v>7.5</v>
      </c>
      <c r="E1493">
        <v>7.9</v>
      </c>
      <c r="F1493">
        <v>8.4</v>
      </c>
      <c r="G1493">
        <v>6.6</v>
      </c>
      <c r="H1493">
        <v>6.6</v>
      </c>
      <c r="I1493">
        <v>6.7</v>
      </c>
      <c r="J1493">
        <v>6.1</v>
      </c>
      <c r="K1493">
        <v>7.6</v>
      </c>
      <c r="L1493">
        <v>5.6</v>
      </c>
      <c r="M1493">
        <v>6.9</v>
      </c>
      <c r="N1493">
        <f t="shared" si="23"/>
        <v>69.9</v>
      </c>
    </row>
    <row r="1494" spans="1:14">
      <c r="A1494">
        <v>20198427</v>
      </c>
      <c r="B1494" t="s">
        <v>19</v>
      </c>
      <c r="C1494" t="str">
        <f>VLOOKUP(B1494,专业代码!$B$2:$C$8,2,FALSE)</f>
        <v>市场营销</v>
      </c>
      <c r="D1494">
        <v>7.8</v>
      </c>
      <c r="E1494">
        <v>8.5</v>
      </c>
      <c r="F1494">
        <v>7.6</v>
      </c>
      <c r="G1494">
        <v>8.5</v>
      </c>
      <c r="H1494">
        <v>6.9</v>
      </c>
      <c r="I1494">
        <v>8.3</v>
      </c>
      <c r="J1494">
        <v>5.7</v>
      </c>
      <c r="K1494">
        <v>7.5</v>
      </c>
      <c r="L1494">
        <v>4.7</v>
      </c>
      <c r="M1494">
        <v>5.5</v>
      </c>
      <c r="N1494">
        <f t="shared" si="23"/>
        <v>71</v>
      </c>
    </row>
    <row r="1495" spans="1:14">
      <c r="A1495">
        <v>20198467</v>
      </c>
      <c r="B1495" t="s">
        <v>19</v>
      </c>
      <c r="C1495" t="str">
        <f>VLOOKUP(B1495,专业代码!$B$2:$C$8,2,FALSE)</f>
        <v>市场营销</v>
      </c>
      <c r="D1495">
        <v>7.4</v>
      </c>
      <c r="E1495">
        <v>6.8</v>
      </c>
      <c r="F1495">
        <v>7.9</v>
      </c>
      <c r="G1495">
        <v>7.2</v>
      </c>
      <c r="H1495">
        <v>6.4</v>
      </c>
      <c r="I1495">
        <v>7.4</v>
      </c>
      <c r="J1495">
        <v>5.9</v>
      </c>
      <c r="K1495">
        <v>5.3</v>
      </c>
      <c r="L1495">
        <v>6.9</v>
      </c>
      <c r="M1495">
        <v>5.2</v>
      </c>
      <c r="N1495">
        <f t="shared" si="23"/>
        <v>66.4</v>
      </c>
    </row>
    <row r="1496" spans="1:14">
      <c r="A1496">
        <v>20191814</v>
      </c>
      <c r="B1496" t="s">
        <v>19</v>
      </c>
      <c r="C1496" t="str">
        <f>VLOOKUP(B1496,专业代码!$B$2:$C$8,2,FALSE)</f>
        <v>市场营销</v>
      </c>
      <c r="D1496">
        <v>7.9</v>
      </c>
      <c r="E1496">
        <v>7.7</v>
      </c>
      <c r="F1496">
        <v>7.4</v>
      </c>
      <c r="G1496">
        <v>7.5</v>
      </c>
      <c r="H1496">
        <v>7</v>
      </c>
      <c r="I1496">
        <v>8.2</v>
      </c>
      <c r="J1496">
        <v>6.7</v>
      </c>
      <c r="K1496">
        <v>6.7</v>
      </c>
      <c r="L1496">
        <v>5.9</v>
      </c>
      <c r="M1496">
        <v>5</v>
      </c>
      <c r="N1496">
        <f t="shared" si="23"/>
        <v>70</v>
      </c>
    </row>
    <row r="1497" spans="1:14">
      <c r="A1497">
        <v>20192730</v>
      </c>
      <c r="B1497" t="s">
        <v>19</v>
      </c>
      <c r="C1497" t="str">
        <f>VLOOKUP(B1497,专业代码!$B$2:$C$8,2,FALSE)</f>
        <v>市场营销</v>
      </c>
      <c r="D1497">
        <v>7.9</v>
      </c>
      <c r="E1497">
        <v>8.2</v>
      </c>
      <c r="F1497">
        <v>8</v>
      </c>
      <c r="G1497">
        <v>8.1</v>
      </c>
      <c r="H1497">
        <v>7.8</v>
      </c>
      <c r="I1497">
        <v>8.1</v>
      </c>
      <c r="J1497">
        <v>7.2</v>
      </c>
      <c r="K1497">
        <v>6.8</v>
      </c>
      <c r="L1497">
        <v>6.7</v>
      </c>
      <c r="M1497">
        <v>6.4</v>
      </c>
      <c r="N1497">
        <f t="shared" si="23"/>
        <v>75.2</v>
      </c>
    </row>
    <row r="1498" spans="1:14">
      <c r="A1498">
        <v>20194358</v>
      </c>
      <c r="B1498" t="s">
        <v>19</v>
      </c>
      <c r="C1498" t="str">
        <f>VLOOKUP(B1498,专业代码!$B$2:$C$8,2,FALSE)</f>
        <v>市场营销</v>
      </c>
      <c r="D1498">
        <v>8</v>
      </c>
      <c r="E1498">
        <v>8.3</v>
      </c>
      <c r="F1498">
        <v>7.8</v>
      </c>
      <c r="G1498">
        <v>7.6</v>
      </c>
      <c r="H1498">
        <v>6.7</v>
      </c>
      <c r="I1498">
        <v>6.5</v>
      </c>
      <c r="J1498">
        <v>7.4</v>
      </c>
      <c r="K1498">
        <v>7.1</v>
      </c>
      <c r="L1498">
        <v>7.1</v>
      </c>
      <c r="M1498">
        <v>4.9</v>
      </c>
      <c r="N1498">
        <f t="shared" si="23"/>
        <v>71.4</v>
      </c>
    </row>
    <row r="1499" spans="1:14">
      <c r="A1499">
        <v>20196379</v>
      </c>
      <c r="B1499" t="s">
        <v>19</v>
      </c>
      <c r="C1499" t="str">
        <f>VLOOKUP(B1499,专业代码!$B$2:$C$8,2,FALSE)</f>
        <v>市场营销</v>
      </c>
      <c r="D1499">
        <v>8.1</v>
      </c>
      <c r="E1499">
        <v>7.4</v>
      </c>
      <c r="F1499">
        <v>7.6</v>
      </c>
      <c r="G1499">
        <v>6.3</v>
      </c>
      <c r="H1499">
        <v>7</v>
      </c>
      <c r="I1499">
        <v>6.4</v>
      </c>
      <c r="J1499">
        <v>7.8</v>
      </c>
      <c r="K1499">
        <v>8.4</v>
      </c>
      <c r="L1499">
        <v>5.4</v>
      </c>
      <c r="M1499">
        <v>5.9</v>
      </c>
      <c r="N1499">
        <f t="shared" si="23"/>
        <v>70.3</v>
      </c>
    </row>
    <row r="1500" spans="1:14">
      <c r="A1500">
        <v>20196920</v>
      </c>
      <c r="B1500" t="s">
        <v>19</v>
      </c>
      <c r="C1500" t="str">
        <f>VLOOKUP(B1500,专业代码!$B$2:$C$8,2,FALSE)</f>
        <v>市场营销</v>
      </c>
      <c r="D1500">
        <v>7.8</v>
      </c>
      <c r="E1500">
        <v>7.7</v>
      </c>
      <c r="F1500">
        <v>7</v>
      </c>
      <c r="G1500">
        <v>6.6</v>
      </c>
      <c r="H1500">
        <v>7.1</v>
      </c>
      <c r="I1500">
        <v>7.3</v>
      </c>
      <c r="J1500">
        <v>7</v>
      </c>
      <c r="K1500">
        <v>7.5</v>
      </c>
      <c r="L1500">
        <v>5.3</v>
      </c>
      <c r="M1500">
        <v>4.2</v>
      </c>
      <c r="N1500">
        <f t="shared" si="23"/>
        <v>67.5</v>
      </c>
    </row>
    <row r="1501" spans="1:14">
      <c r="A1501">
        <v>20197003</v>
      </c>
      <c r="B1501" t="s">
        <v>19</v>
      </c>
      <c r="C1501" t="str">
        <f>VLOOKUP(B1501,专业代码!$B$2:$C$8,2,FALSE)</f>
        <v>市场营销</v>
      </c>
      <c r="D1501">
        <v>7.9</v>
      </c>
      <c r="E1501">
        <v>8.6</v>
      </c>
      <c r="F1501">
        <v>7.6</v>
      </c>
      <c r="G1501">
        <v>6.8</v>
      </c>
      <c r="H1501">
        <v>7.6</v>
      </c>
      <c r="I1501">
        <v>7.1</v>
      </c>
      <c r="J1501">
        <v>6.4</v>
      </c>
      <c r="K1501">
        <v>6.2</v>
      </c>
      <c r="L1501">
        <v>5.5</v>
      </c>
      <c r="M1501">
        <v>5.6</v>
      </c>
      <c r="N1501">
        <f t="shared" si="23"/>
        <v>69.3</v>
      </c>
    </row>
    <row r="1502" spans="1:14">
      <c r="A1502">
        <v>20197315</v>
      </c>
      <c r="B1502" t="s">
        <v>19</v>
      </c>
      <c r="C1502" t="str">
        <f>VLOOKUP(B1502,专业代码!$B$2:$C$8,2,FALSE)</f>
        <v>市场营销</v>
      </c>
      <c r="D1502">
        <v>7.9</v>
      </c>
      <c r="E1502">
        <v>7.5</v>
      </c>
      <c r="F1502">
        <v>7.4</v>
      </c>
      <c r="G1502">
        <v>7.3</v>
      </c>
      <c r="H1502">
        <v>6</v>
      </c>
      <c r="I1502">
        <v>6.2</v>
      </c>
      <c r="J1502">
        <v>7</v>
      </c>
      <c r="K1502">
        <v>6.3</v>
      </c>
      <c r="L1502">
        <v>6.5</v>
      </c>
      <c r="M1502">
        <v>6.4</v>
      </c>
      <c r="N1502">
        <f t="shared" si="23"/>
        <v>68.5</v>
      </c>
    </row>
    <row r="1503" spans="1:14">
      <c r="A1503">
        <v>20197437</v>
      </c>
      <c r="B1503" t="s">
        <v>19</v>
      </c>
      <c r="C1503" t="str">
        <f>VLOOKUP(B1503,专业代码!$B$2:$C$8,2,FALSE)</f>
        <v>市场营销</v>
      </c>
      <c r="D1503">
        <v>7.8</v>
      </c>
      <c r="E1503">
        <v>7.9</v>
      </c>
      <c r="F1503">
        <v>7.7</v>
      </c>
      <c r="G1503">
        <v>8.2</v>
      </c>
      <c r="H1503">
        <v>7.3</v>
      </c>
      <c r="I1503">
        <v>6.4</v>
      </c>
      <c r="J1503">
        <v>6</v>
      </c>
      <c r="K1503">
        <v>6.8</v>
      </c>
      <c r="L1503">
        <v>7.2</v>
      </c>
      <c r="M1503">
        <v>4.2</v>
      </c>
      <c r="N1503">
        <f t="shared" si="23"/>
        <v>69.5</v>
      </c>
    </row>
    <row r="1504" spans="1:14">
      <c r="A1504">
        <v>20197489</v>
      </c>
      <c r="B1504" t="s">
        <v>19</v>
      </c>
      <c r="C1504" t="str">
        <f>VLOOKUP(B1504,专业代码!$B$2:$C$8,2,FALSE)</f>
        <v>市场营销</v>
      </c>
      <c r="D1504">
        <v>8.2</v>
      </c>
      <c r="E1504">
        <v>7.4</v>
      </c>
      <c r="F1504">
        <v>7.6</v>
      </c>
      <c r="G1504">
        <v>7.3</v>
      </c>
      <c r="H1504">
        <v>7.7</v>
      </c>
      <c r="I1504">
        <v>7.6</v>
      </c>
      <c r="J1504">
        <v>6.5</v>
      </c>
      <c r="K1504">
        <v>5.1</v>
      </c>
      <c r="L1504">
        <v>7.7</v>
      </c>
      <c r="M1504">
        <v>4.8</v>
      </c>
      <c r="N1504">
        <f t="shared" si="23"/>
        <v>69.9</v>
      </c>
    </row>
    <row r="1505" spans="1:14">
      <c r="A1505">
        <v>20198781</v>
      </c>
      <c r="B1505" t="s">
        <v>19</v>
      </c>
      <c r="C1505" t="str">
        <f>VLOOKUP(B1505,专业代码!$B$2:$C$8,2,FALSE)</f>
        <v>市场营销</v>
      </c>
      <c r="D1505">
        <v>7.4</v>
      </c>
      <c r="E1505">
        <v>7.7</v>
      </c>
      <c r="F1505">
        <v>7.3</v>
      </c>
      <c r="G1505">
        <v>7.1</v>
      </c>
      <c r="H1505">
        <v>7.8</v>
      </c>
      <c r="I1505">
        <v>7.2</v>
      </c>
      <c r="J1505">
        <v>7.5</v>
      </c>
      <c r="K1505">
        <v>6.9</v>
      </c>
      <c r="L1505">
        <v>6.8</v>
      </c>
      <c r="M1505">
        <v>7.2</v>
      </c>
      <c r="N1505">
        <f t="shared" si="23"/>
        <v>72.9</v>
      </c>
    </row>
    <row r="1506" spans="1:14">
      <c r="A1506">
        <v>20191035</v>
      </c>
      <c r="B1506" t="s">
        <v>19</v>
      </c>
      <c r="C1506" t="str">
        <f>VLOOKUP(B1506,专业代码!$B$2:$C$8,2,FALSE)</f>
        <v>市场营销</v>
      </c>
      <c r="D1506">
        <v>8.4</v>
      </c>
      <c r="E1506">
        <v>7.2</v>
      </c>
      <c r="F1506">
        <v>6.7</v>
      </c>
      <c r="G1506">
        <v>7.1</v>
      </c>
      <c r="H1506">
        <v>8</v>
      </c>
      <c r="I1506">
        <v>7.1</v>
      </c>
      <c r="J1506">
        <v>7.1</v>
      </c>
      <c r="K1506">
        <v>5.9</v>
      </c>
      <c r="L1506">
        <v>6.4</v>
      </c>
      <c r="M1506">
        <v>5.1</v>
      </c>
      <c r="N1506">
        <f t="shared" si="23"/>
        <v>69</v>
      </c>
    </row>
    <row r="1507" spans="1:14">
      <c r="A1507">
        <v>20192999</v>
      </c>
      <c r="B1507" t="s">
        <v>19</v>
      </c>
      <c r="C1507" t="str">
        <f>VLOOKUP(B1507,专业代码!$B$2:$C$8,2,FALSE)</f>
        <v>市场营销</v>
      </c>
      <c r="D1507">
        <v>8.2</v>
      </c>
      <c r="E1507">
        <v>7.2</v>
      </c>
      <c r="F1507">
        <v>7.6</v>
      </c>
      <c r="G1507">
        <v>7.1</v>
      </c>
      <c r="H1507">
        <v>6.6</v>
      </c>
      <c r="I1507">
        <v>6.4</v>
      </c>
      <c r="J1507">
        <v>6.3</v>
      </c>
      <c r="K1507">
        <v>6.3</v>
      </c>
      <c r="L1507">
        <v>6.4</v>
      </c>
      <c r="M1507">
        <v>5.6</v>
      </c>
      <c r="N1507">
        <f t="shared" si="23"/>
        <v>67.7</v>
      </c>
    </row>
    <row r="1508" spans="1:14">
      <c r="A1508">
        <v>20193479</v>
      </c>
      <c r="B1508" t="s">
        <v>19</v>
      </c>
      <c r="C1508" t="str">
        <f>VLOOKUP(B1508,专业代码!$B$2:$C$8,2,FALSE)</f>
        <v>市场营销</v>
      </c>
      <c r="D1508">
        <v>7.4</v>
      </c>
      <c r="E1508">
        <v>7.1</v>
      </c>
      <c r="F1508">
        <v>7.6</v>
      </c>
      <c r="G1508">
        <v>6.7</v>
      </c>
      <c r="H1508">
        <v>6.3</v>
      </c>
      <c r="I1508">
        <v>7.4</v>
      </c>
      <c r="J1508">
        <v>7.2</v>
      </c>
      <c r="K1508">
        <v>6.8</v>
      </c>
      <c r="L1508">
        <v>8.2</v>
      </c>
      <c r="M1508">
        <v>4.9</v>
      </c>
      <c r="N1508">
        <f t="shared" si="23"/>
        <v>69.6</v>
      </c>
    </row>
    <row r="1509" spans="1:14">
      <c r="A1509">
        <v>20194094</v>
      </c>
      <c r="B1509" t="s">
        <v>19</v>
      </c>
      <c r="C1509" t="str">
        <f>VLOOKUP(B1509,专业代码!$B$2:$C$8,2,FALSE)</f>
        <v>市场营销</v>
      </c>
      <c r="D1509">
        <v>8.3</v>
      </c>
      <c r="E1509">
        <v>7.2</v>
      </c>
      <c r="F1509">
        <v>8</v>
      </c>
      <c r="G1509">
        <v>7.1</v>
      </c>
      <c r="H1509">
        <v>7.6</v>
      </c>
      <c r="I1509">
        <v>7.5</v>
      </c>
      <c r="J1509">
        <v>8.7</v>
      </c>
      <c r="K1509">
        <v>7.3</v>
      </c>
      <c r="L1509">
        <v>6.1</v>
      </c>
      <c r="M1509">
        <v>4.5</v>
      </c>
      <c r="N1509">
        <f t="shared" si="23"/>
        <v>72.3</v>
      </c>
    </row>
    <row r="1510" spans="1:14">
      <c r="A1510">
        <v>20198371</v>
      </c>
      <c r="B1510" t="s">
        <v>19</v>
      </c>
      <c r="C1510" t="str">
        <f>VLOOKUP(B1510,专业代码!$B$2:$C$8,2,FALSE)</f>
        <v>市场营销</v>
      </c>
      <c r="D1510">
        <v>8.1</v>
      </c>
      <c r="E1510">
        <v>8.4</v>
      </c>
      <c r="F1510">
        <v>7.4</v>
      </c>
      <c r="G1510">
        <v>8.2</v>
      </c>
      <c r="H1510">
        <v>6.1</v>
      </c>
      <c r="I1510">
        <v>5.9</v>
      </c>
      <c r="J1510">
        <v>7.7</v>
      </c>
      <c r="K1510">
        <v>5.6</v>
      </c>
      <c r="L1510">
        <v>5.6</v>
      </c>
      <c r="M1510">
        <v>6.7</v>
      </c>
      <c r="N1510">
        <f t="shared" si="23"/>
        <v>69.7</v>
      </c>
    </row>
    <row r="1511" spans="1:14">
      <c r="A1511">
        <v>20191029</v>
      </c>
      <c r="B1511" t="s">
        <v>19</v>
      </c>
      <c r="C1511" t="str">
        <f>VLOOKUP(B1511,专业代码!$B$2:$C$8,2,FALSE)</f>
        <v>市场营销</v>
      </c>
      <c r="D1511">
        <v>8.8</v>
      </c>
      <c r="E1511">
        <v>7.7</v>
      </c>
      <c r="F1511">
        <v>7.7</v>
      </c>
      <c r="G1511">
        <v>8.2</v>
      </c>
      <c r="H1511">
        <v>6.8</v>
      </c>
      <c r="I1511">
        <v>6.1</v>
      </c>
      <c r="J1511">
        <v>6.7</v>
      </c>
      <c r="K1511">
        <v>4.9</v>
      </c>
      <c r="L1511">
        <v>7.7</v>
      </c>
      <c r="M1511">
        <v>7.2</v>
      </c>
      <c r="N1511">
        <f t="shared" si="23"/>
        <v>71.8</v>
      </c>
    </row>
    <row r="1512" spans="1:14">
      <c r="A1512">
        <v>20191546</v>
      </c>
      <c r="B1512" t="s">
        <v>19</v>
      </c>
      <c r="C1512" t="str">
        <f>VLOOKUP(B1512,专业代码!$B$2:$C$8,2,FALSE)</f>
        <v>市场营销</v>
      </c>
      <c r="D1512">
        <v>8.7</v>
      </c>
      <c r="E1512">
        <v>7.9</v>
      </c>
      <c r="F1512">
        <v>8.6</v>
      </c>
      <c r="G1512">
        <v>6.8</v>
      </c>
      <c r="H1512">
        <v>7.1</v>
      </c>
      <c r="I1512">
        <v>7.1</v>
      </c>
      <c r="J1512">
        <v>6.5</v>
      </c>
      <c r="K1512">
        <v>8.1</v>
      </c>
      <c r="L1512">
        <v>4.3</v>
      </c>
      <c r="M1512">
        <v>4.8</v>
      </c>
      <c r="N1512">
        <f t="shared" si="23"/>
        <v>69.9</v>
      </c>
    </row>
    <row r="1513" spans="1:14">
      <c r="A1513">
        <v>20192816</v>
      </c>
      <c r="B1513" t="s">
        <v>19</v>
      </c>
      <c r="C1513" t="str">
        <f>VLOOKUP(B1513,专业代码!$B$2:$C$8,2,FALSE)</f>
        <v>市场营销</v>
      </c>
      <c r="D1513">
        <v>8</v>
      </c>
      <c r="E1513">
        <v>8.2</v>
      </c>
      <c r="F1513">
        <v>7</v>
      </c>
      <c r="G1513">
        <v>7.9</v>
      </c>
      <c r="H1513">
        <v>8.4</v>
      </c>
      <c r="I1513">
        <v>6.8</v>
      </c>
      <c r="J1513">
        <v>6.6</v>
      </c>
      <c r="K1513">
        <v>5.6</v>
      </c>
      <c r="L1513">
        <v>4.6</v>
      </c>
      <c r="M1513">
        <v>5</v>
      </c>
      <c r="N1513">
        <f t="shared" si="23"/>
        <v>68.1</v>
      </c>
    </row>
    <row r="1514" spans="1:14">
      <c r="A1514">
        <v>20194672</v>
      </c>
      <c r="B1514" t="s">
        <v>19</v>
      </c>
      <c r="C1514" t="str">
        <f>VLOOKUP(B1514,专业代码!$B$2:$C$8,2,FALSE)</f>
        <v>市场营销</v>
      </c>
      <c r="D1514">
        <v>8.2</v>
      </c>
      <c r="E1514">
        <v>7</v>
      </c>
      <c r="F1514">
        <v>6.9</v>
      </c>
      <c r="G1514">
        <v>8</v>
      </c>
      <c r="H1514">
        <v>7.2</v>
      </c>
      <c r="I1514">
        <v>6</v>
      </c>
      <c r="J1514">
        <v>6.5</v>
      </c>
      <c r="K1514">
        <v>7.3</v>
      </c>
      <c r="L1514">
        <v>6.7</v>
      </c>
      <c r="M1514">
        <v>7.4</v>
      </c>
      <c r="N1514">
        <f t="shared" si="23"/>
        <v>71.2</v>
      </c>
    </row>
    <row r="1515" spans="1:14">
      <c r="A1515">
        <v>20197786</v>
      </c>
      <c r="B1515" t="s">
        <v>19</v>
      </c>
      <c r="C1515" t="str">
        <f>VLOOKUP(B1515,专业代码!$B$2:$C$8,2,FALSE)</f>
        <v>市场营销</v>
      </c>
      <c r="D1515">
        <v>7.9</v>
      </c>
      <c r="E1515">
        <v>8.2</v>
      </c>
      <c r="F1515">
        <v>9</v>
      </c>
      <c r="G1515">
        <v>7.9</v>
      </c>
      <c r="H1515">
        <v>7.4</v>
      </c>
      <c r="I1515">
        <v>6.7</v>
      </c>
      <c r="J1515">
        <v>7.8</v>
      </c>
      <c r="K1515">
        <v>7.5</v>
      </c>
      <c r="L1515">
        <v>5.6</v>
      </c>
      <c r="M1515">
        <v>5.7</v>
      </c>
      <c r="N1515">
        <f t="shared" si="23"/>
        <v>73.7</v>
      </c>
    </row>
    <row r="1516" spans="1:14">
      <c r="A1516">
        <v>20198224</v>
      </c>
      <c r="B1516" t="s">
        <v>19</v>
      </c>
      <c r="C1516" t="str">
        <f>VLOOKUP(B1516,专业代码!$B$2:$C$8,2,FALSE)</f>
        <v>市场营销</v>
      </c>
      <c r="D1516">
        <v>9.1</v>
      </c>
      <c r="E1516">
        <v>8.8</v>
      </c>
      <c r="F1516">
        <v>7.8</v>
      </c>
      <c r="G1516">
        <v>6.9</v>
      </c>
      <c r="H1516">
        <v>6.5</v>
      </c>
      <c r="I1516">
        <v>7.3</v>
      </c>
      <c r="J1516">
        <v>7.4</v>
      </c>
      <c r="K1516">
        <v>6.4</v>
      </c>
      <c r="L1516">
        <v>6.9</v>
      </c>
      <c r="M1516">
        <v>6.5</v>
      </c>
      <c r="N1516">
        <f t="shared" si="23"/>
        <v>73.6</v>
      </c>
    </row>
    <row r="1517" spans="1:14">
      <c r="A1517">
        <v>20201360</v>
      </c>
      <c r="B1517" t="s">
        <v>14</v>
      </c>
      <c r="C1517" t="str">
        <f>VLOOKUP(B1517,专业代码!$B$2:$C$8,2,FALSE)</f>
        <v>会计学</v>
      </c>
      <c r="D1517">
        <v>7.4</v>
      </c>
      <c r="E1517">
        <v>6.9</v>
      </c>
      <c r="F1517">
        <v>7.7</v>
      </c>
      <c r="G1517">
        <v>6.6</v>
      </c>
      <c r="H1517">
        <v>7</v>
      </c>
      <c r="I1517">
        <v>6.9</v>
      </c>
      <c r="J1517">
        <v>6.2</v>
      </c>
      <c r="K1517">
        <v>7.1</v>
      </c>
      <c r="L1517">
        <v>7</v>
      </c>
      <c r="M1517">
        <v>5.4</v>
      </c>
      <c r="N1517">
        <f t="shared" si="23"/>
        <v>68.2</v>
      </c>
    </row>
    <row r="1518" spans="1:14">
      <c r="A1518">
        <v>20202197</v>
      </c>
      <c r="B1518" t="s">
        <v>14</v>
      </c>
      <c r="C1518" t="str">
        <f>VLOOKUP(B1518,专业代码!$B$2:$C$8,2,FALSE)</f>
        <v>会计学</v>
      </c>
      <c r="D1518">
        <v>7.6</v>
      </c>
      <c r="E1518">
        <v>8</v>
      </c>
      <c r="F1518">
        <v>7.3</v>
      </c>
      <c r="G1518">
        <v>6.2</v>
      </c>
      <c r="H1518">
        <v>7.5</v>
      </c>
      <c r="I1518">
        <v>6.6</v>
      </c>
      <c r="J1518">
        <v>6</v>
      </c>
      <c r="K1518">
        <v>7.5</v>
      </c>
      <c r="L1518">
        <v>5.4</v>
      </c>
      <c r="M1518">
        <v>6.8</v>
      </c>
      <c r="N1518">
        <f t="shared" si="23"/>
        <v>68.9</v>
      </c>
    </row>
    <row r="1519" spans="1:14">
      <c r="A1519">
        <v>20202458</v>
      </c>
      <c r="B1519" t="s">
        <v>14</v>
      </c>
      <c r="C1519" t="str">
        <f>VLOOKUP(B1519,专业代码!$B$2:$C$8,2,FALSE)</f>
        <v>会计学</v>
      </c>
      <c r="D1519">
        <v>6.8</v>
      </c>
      <c r="E1519">
        <v>7.8</v>
      </c>
      <c r="F1519">
        <v>7.6</v>
      </c>
      <c r="G1519">
        <v>7.1</v>
      </c>
      <c r="H1519">
        <v>6.4</v>
      </c>
      <c r="I1519">
        <v>7.7</v>
      </c>
      <c r="J1519">
        <v>6.6</v>
      </c>
      <c r="K1519">
        <v>7.2</v>
      </c>
      <c r="L1519">
        <v>6.3</v>
      </c>
      <c r="M1519">
        <v>4.9</v>
      </c>
      <c r="N1519">
        <f t="shared" si="23"/>
        <v>68.4</v>
      </c>
    </row>
    <row r="1520" spans="1:14">
      <c r="A1520">
        <v>20204603</v>
      </c>
      <c r="B1520" t="s">
        <v>14</v>
      </c>
      <c r="C1520" t="str">
        <f>VLOOKUP(B1520,专业代码!$B$2:$C$8,2,FALSE)</f>
        <v>会计学</v>
      </c>
      <c r="D1520">
        <v>7.9</v>
      </c>
      <c r="E1520">
        <v>6.7</v>
      </c>
      <c r="F1520">
        <v>6.6</v>
      </c>
      <c r="G1520">
        <v>7.7</v>
      </c>
      <c r="H1520">
        <v>6.3</v>
      </c>
      <c r="I1520">
        <v>8.1</v>
      </c>
      <c r="J1520">
        <v>6</v>
      </c>
      <c r="K1520">
        <v>5</v>
      </c>
      <c r="L1520">
        <v>5.5</v>
      </c>
      <c r="M1520">
        <v>3.7</v>
      </c>
      <c r="N1520">
        <f t="shared" si="23"/>
        <v>63.5</v>
      </c>
    </row>
    <row r="1521" spans="1:14">
      <c r="A1521">
        <v>20204759</v>
      </c>
      <c r="B1521" t="s">
        <v>14</v>
      </c>
      <c r="C1521" t="str">
        <f>VLOOKUP(B1521,专业代码!$B$2:$C$8,2,FALSE)</f>
        <v>会计学</v>
      </c>
      <c r="D1521">
        <v>7.7</v>
      </c>
      <c r="E1521">
        <v>7.8</v>
      </c>
      <c r="F1521">
        <v>7.6</v>
      </c>
      <c r="G1521">
        <v>7.1</v>
      </c>
      <c r="H1521">
        <v>6</v>
      </c>
      <c r="I1521">
        <v>6.3</v>
      </c>
      <c r="J1521">
        <v>8</v>
      </c>
      <c r="K1521">
        <v>4.5</v>
      </c>
      <c r="L1521">
        <v>6.3</v>
      </c>
      <c r="M1521">
        <v>5.1</v>
      </c>
      <c r="N1521">
        <f t="shared" si="23"/>
        <v>66.4</v>
      </c>
    </row>
    <row r="1522" spans="1:14">
      <c r="A1522">
        <v>20205393</v>
      </c>
      <c r="B1522" t="s">
        <v>14</v>
      </c>
      <c r="C1522" t="str">
        <f>VLOOKUP(B1522,专业代码!$B$2:$C$8,2,FALSE)</f>
        <v>会计学</v>
      </c>
      <c r="D1522">
        <v>7.5</v>
      </c>
      <c r="E1522">
        <v>7.6</v>
      </c>
      <c r="F1522">
        <v>6.9</v>
      </c>
      <c r="G1522">
        <v>7.5</v>
      </c>
      <c r="H1522">
        <v>6.6</v>
      </c>
      <c r="I1522">
        <v>6.7</v>
      </c>
      <c r="J1522">
        <v>6.4</v>
      </c>
      <c r="K1522">
        <v>6.8</v>
      </c>
      <c r="L1522">
        <v>6.3</v>
      </c>
      <c r="M1522">
        <v>5.2</v>
      </c>
      <c r="N1522">
        <f t="shared" si="23"/>
        <v>67.5</v>
      </c>
    </row>
    <row r="1523" spans="1:14">
      <c r="A1523">
        <v>20207044</v>
      </c>
      <c r="B1523" t="s">
        <v>14</v>
      </c>
      <c r="C1523" t="str">
        <f>VLOOKUP(B1523,专业代码!$B$2:$C$8,2,FALSE)</f>
        <v>会计学</v>
      </c>
      <c r="D1523">
        <v>7.1</v>
      </c>
      <c r="E1523">
        <v>6.9</v>
      </c>
      <c r="F1523">
        <v>7.9</v>
      </c>
      <c r="G1523">
        <v>7.3</v>
      </c>
      <c r="H1523">
        <v>7.2</v>
      </c>
      <c r="I1523">
        <v>7.2</v>
      </c>
      <c r="J1523">
        <v>6.4</v>
      </c>
      <c r="K1523">
        <v>6.1</v>
      </c>
      <c r="L1523">
        <v>5.7</v>
      </c>
      <c r="M1523">
        <v>6.8</v>
      </c>
      <c r="N1523">
        <f t="shared" si="23"/>
        <v>68.6</v>
      </c>
    </row>
    <row r="1524" spans="1:14">
      <c r="A1524">
        <v>20207496</v>
      </c>
      <c r="B1524" t="s">
        <v>14</v>
      </c>
      <c r="C1524" t="str">
        <f>VLOOKUP(B1524,专业代码!$B$2:$C$8,2,FALSE)</f>
        <v>会计学</v>
      </c>
      <c r="D1524">
        <v>7.8</v>
      </c>
      <c r="E1524">
        <v>7.4</v>
      </c>
      <c r="F1524">
        <v>7</v>
      </c>
      <c r="G1524">
        <v>6.9</v>
      </c>
      <c r="H1524">
        <v>7.7</v>
      </c>
      <c r="I1524">
        <v>6.5</v>
      </c>
      <c r="J1524">
        <v>5.5</v>
      </c>
      <c r="K1524">
        <v>8.5</v>
      </c>
      <c r="L1524">
        <v>5.6</v>
      </c>
      <c r="M1524">
        <v>5.8</v>
      </c>
      <c r="N1524">
        <f t="shared" si="23"/>
        <v>68.7</v>
      </c>
    </row>
    <row r="1525" spans="1:14">
      <c r="A1525">
        <v>20208210</v>
      </c>
      <c r="B1525" t="s">
        <v>14</v>
      </c>
      <c r="C1525" t="str">
        <f>VLOOKUP(B1525,专业代码!$B$2:$C$8,2,FALSE)</f>
        <v>会计学</v>
      </c>
      <c r="D1525">
        <v>7.6</v>
      </c>
      <c r="E1525">
        <v>7.8</v>
      </c>
      <c r="F1525">
        <v>7.3</v>
      </c>
      <c r="G1525">
        <v>6.4</v>
      </c>
      <c r="H1525">
        <v>6.4</v>
      </c>
      <c r="I1525">
        <v>7.2</v>
      </c>
      <c r="J1525">
        <v>7.4</v>
      </c>
      <c r="K1525">
        <v>7</v>
      </c>
      <c r="L1525">
        <v>6.3</v>
      </c>
      <c r="M1525">
        <v>6.7</v>
      </c>
      <c r="N1525">
        <f t="shared" si="23"/>
        <v>70.1</v>
      </c>
    </row>
    <row r="1526" spans="1:14">
      <c r="A1526">
        <v>20208995</v>
      </c>
      <c r="B1526" t="s">
        <v>14</v>
      </c>
      <c r="C1526" t="str">
        <f>VLOOKUP(B1526,专业代码!$B$2:$C$8,2,FALSE)</f>
        <v>会计学</v>
      </c>
      <c r="D1526">
        <v>7</v>
      </c>
      <c r="E1526">
        <v>7.9</v>
      </c>
      <c r="F1526">
        <v>7.4</v>
      </c>
      <c r="G1526">
        <v>7</v>
      </c>
      <c r="H1526">
        <v>6.2</v>
      </c>
      <c r="I1526">
        <v>7.3</v>
      </c>
      <c r="J1526">
        <v>8.7</v>
      </c>
      <c r="K1526">
        <v>5.7</v>
      </c>
      <c r="L1526">
        <v>6.9</v>
      </c>
      <c r="M1526">
        <v>6</v>
      </c>
      <c r="N1526">
        <f t="shared" si="23"/>
        <v>70.1</v>
      </c>
    </row>
    <row r="1527" spans="1:14">
      <c r="A1527">
        <v>20209957</v>
      </c>
      <c r="B1527" t="s">
        <v>14</v>
      </c>
      <c r="C1527" t="str">
        <f>VLOOKUP(B1527,专业代码!$B$2:$C$8,2,FALSE)</f>
        <v>会计学</v>
      </c>
      <c r="D1527">
        <v>8.1</v>
      </c>
      <c r="E1527">
        <v>8.1</v>
      </c>
      <c r="F1527">
        <v>7.7</v>
      </c>
      <c r="G1527">
        <v>7</v>
      </c>
      <c r="H1527">
        <v>6.7</v>
      </c>
      <c r="I1527">
        <v>6.3</v>
      </c>
      <c r="J1527">
        <v>6</v>
      </c>
      <c r="K1527">
        <v>8.1</v>
      </c>
      <c r="L1527">
        <v>6.6</v>
      </c>
      <c r="M1527">
        <v>5.2</v>
      </c>
      <c r="N1527">
        <f t="shared" si="23"/>
        <v>69.8</v>
      </c>
    </row>
    <row r="1528" spans="1:14">
      <c r="A1528">
        <v>20201703</v>
      </c>
      <c r="B1528" t="s">
        <v>14</v>
      </c>
      <c r="C1528" t="str">
        <f>VLOOKUP(B1528,专业代码!$B$2:$C$8,2,FALSE)</f>
        <v>会计学</v>
      </c>
      <c r="D1528">
        <v>8.1</v>
      </c>
      <c r="E1528">
        <v>7.2</v>
      </c>
      <c r="F1528">
        <v>7.6</v>
      </c>
      <c r="G1528">
        <v>7.8</v>
      </c>
      <c r="H1528">
        <v>7.6</v>
      </c>
      <c r="I1528">
        <v>6.9</v>
      </c>
      <c r="J1528">
        <v>6.4</v>
      </c>
      <c r="K1528">
        <v>6.7</v>
      </c>
      <c r="L1528">
        <v>7.4</v>
      </c>
      <c r="M1528">
        <v>5.7</v>
      </c>
      <c r="N1528">
        <f t="shared" si="23"/>
        <v>71.4</v>
      </c>
    </row>
    <row r="1529" spans="1:14">
      <c r="A1529">
        <v>20201853</v>
      </c>
      <c r="B1529" t="s">
        <v>14</v>
      </c>
      <c r="C1529" t="str">
        <f>VLOOKUP(B1529,专业代码!$B$2:$C$8,2,FALSE)</f>
        <v>会计学</v>
      </c>
      <c r="D1529">
        <v>8.7</v>
      </c>
      <c r="E1529">
        <v>8.1</v>
      </c>
      <c r="F1529">
        <v>6.9</v>
      </c>
      <c r="G1529">
        <v>6.4</v>
      </c>
      <c r="H1529">
        <v>7.8</v>
      </c>
      <c r="I1529">
        <v>6.3</v>
      </c>
      <c r="J1529">
        <v>6.2</v>
      </c>
      <c r="K1529">
        <v>6.2</v>
      </c>
      <c r="L1529">
        <v>6.9</v>
      </c>
      <c r="M1529">
        <v>5.3</v>
      </c>
      <c r="N1529">
        <f t="shared" si="23"/>
        <v>68.8</v>
      </c>
    </row>
    <row r="1530" spans="1:14">
      <c r="A1530">
        <v>20202190</v>
      </c>
      <c r="B1530" t="s">
        <v>14</v>
      </c>
      <c r="C1530" t="str">
        <f>VLOOKUP(B1530,专业代码!$B$2:$C$8,2,FALSE)</f>
        <v>会计学</v>
      </c>
      <c r="D1530">
        <v>8.2</v>
      </c>
      <c r="E1530">
        <v>7.8</v>
      </c>
      <c r="F1530">
        <v>7.6</v>
      </c>
      <c r="G1530">
        <v>7.1</v>
      </c>
      <c r="H1530">
        <v>6.2</v>
      </c>
      <c r="I1530">
        <v>6.8</v>
      </c>
      <c r="J1530">
        <v>7.8</v>
      </c>
      <c r="K1530">
        <v>6.1</v>
      </c>
      <c r="L1530">
        <v>6.3</v>
      </c>
      <c r="M1530">
        <v>6.6</v>
      </c>
      <c r="N1530">
        <f t="shared" si="23"/>
        <v>70.5</v>
      </c>
    </row>
    <row r="1531" spans="1:14">
      <c r="A1531">
        <v>20206743</v>
      </c>
      <c r="B1531" t="s">
        <v>14</v>
      </c>
      <c r="C1531" t="str">
        <f>VLOOKUP(B1531,专业代码!$B$2:$C$8,2,FALSE)</f>
        <v>会计学</v>
      </c>
      <c r="D1531">
        <v>7.5</v>
      </c>
      <c r="E1531">
        <v>7.2</v>
      </c>
      <c r="F1531">
        <v>7.9</v>
      </c>
      <c r="G1531">
        <v>7.4</v>
      </c>
      <c r="H1531">
        <v>7.6</v>
      </c>
      <c r="I1531">
        <v>7.1</v>
      </c>
      <c r="J1531">
        <v>6.5</v>
      </c>
      <c r="K1531">
        <v>6.6</v>
      </c>
      <c r="L1531">
        <v>5.9</v>
      </c>
      <c r="M1531">
        <v>5.7</v>
      </c>
      <c r="N1531">
        <f t="shared" si="23"/>
        <v>69.4</v>
      </c>
    </row>
    <row r="1532" spans="1:14">
      <c r="A1532">
        <v>20209653</v>
      </c>
      <c r="B1532" t="s">
        <v>14</v>
      </c>
      <c r="C1532" t="str">
        <f>VLOOKUP(B1532,专业代码!$B$2:$C$8,2,FALSE)</f>
        <v>会计学</v>
      </c>
      <c r="D1532">
        <v>8</v>
      </c>
      <c r="E1532">
        <v>7.1</v>
      </c>
      <c r="F1532">
        <v>7.4</v>
      </c>
      <c r="G1532">
        <v>7.9</v>
      </c>
      <c r="H1532">
        <v>7.1</v>
      </c>
      <c r="I1532">
        <v>6.1</v>
      </c>
      <c r="J1532">
        <v>6.2</v>
      </c>
      <c r="K1532">
        <v>6.1</v>
      </c>
      <c r="L1532">
        <v>6.8</v>
      </c>
      <c r="M1532">
        <v>5.5</v>
      </c>
      <c r="N1532">
        <f t="shared" si="23"/>
        <v>68.2</v>
      </c>
    </row>
    <row r="1533" spans="1:14">
      <c r="A1533">
        <v>20202325</v>
      </c>
      <c r="B1533" t="s">
        <v>14</v>
      </c>
      <c r="C1533" t="str">
        <f>VLOOKUP(B1533,专业代码!$B$2:$C$8,2,FALSE)</f>
        <v>会计学</v>
      </c>
      <c r="D1533">
        <v>7.4</v>
      </c>
      <c r="E1533">
        <v>7.4</v>
      </c>
      <c r="F1533">
        <v>6.7</v>
      </c>
      <c r="G1533">
        <v>7.8</v>
      </c>
      <c r="H1533">
        <v>7.4</v>
      </c>
      <c r="I1533">
        <v>6.4</v>
      </c>
      <c r="J1533">
        <v>6.3</v>
      </c>
      <c r="K1533">
        <v>5.4</v>
      </c>
      <c r="L1533">
        <v>5.5</v>
      </c>
      <c r="M1533">
        <v>6.1</v>
      </c>
      <c r="N1533">
        <f t="shared" si="23"/>
        <v>66.4</v>
      </c>
    </row>
    <row r="1534" spans="1:14">
      <c r="A1534">
        <v>20203114</v>
      </c>
      <c r="B1534" t="s">
        <v>14</v>
      </c>
      <c r="C1534" t="str">
        <f>VLOOKUP(B1534,专业代码!$B$2:$C$8,2,FALSE)</f>
        <v>会计学</v>
      </c>
      <c r="D1534">
        <v>8.1</v>
      </c>
      <c r="E1534">
        <v>6.7</v>
      </c>
      <c r="F1534">
        <v>6.4</v>
      </c>
      <c r="G1534">
        <v>6.5</v>
      </c>
      <c r="H1534">
        <v>8.1</v>
      </c>
      <c r="I1534">
        <v>6.3</v>
      </c>
      <c r="J1534">
        <v>7.2</v>
      </c>
      <c r="K1534">
        <v>7.2</v>
      </c>
      <c r="L1534">
        <v>5.1</v>
      </c>
      <c r="M1534">
        <v>6.1</v>
      </c>
      <c r="N1534">
        <f t="shared" si="23"/>
        <v>67.7</v>
      </c>
    </row>
    <row r="1535" spans="1:14">
      <c r="A1535">
        <v>20204356</v>
      </c>
      <c r="B1535" t="s">
        <v>14</v>
      </c>
      <c r="C1535" t="str">
        <f>VLOOKUP(B1535,专业代码!$B$2:$C$8,2,FALSE)</f>
        <v>会计学</v>
      </c>
      <c r="D1535">
        <v>7.5</v>
      </c>
      <c r="E1535">
        <v>7.4</v>
      </c>
      <c r="F1535">
        <v>7.4</v>
      </c>
      <c r="G1535">
        <v>7.1</v>
      </c>
      <c r="H1535">
        <v>6.1</v>
      </c>
      <c r="I1535">
        <v>6.9</v>
      </c>
      <c r="J1535">
        <v>6.7</v>
      </c>
      <c r="K1535">
        <v>6.1</v>
      </c>
      <c r="L1535">
        <v>7</v>
      </c>
      <c r="M1535">
        <v>6.1</v>
      </c>
      <c r="N1535">
        <f t="shared" si="23"/>
        <v>68.3</v>
      </c>
    </row>
    <row r="1536" spans="1:14">
      <c r="A1536">
        <v>20208653</v>
      </c>
      <c r="B1536" t="s">
        <v>14</v>
      </c>
      <c r="C1536" t="str">
        <f>VLOOKUP(B1536,专业代码!$B$2:$C$8,2,FALSE)</f>
        <v>会计学</v>
      </c>
      <c r="D1536">
        <v>7.8</v>
      </c>
      <c r="E1536">
        <v>6.9</v>
      </c>
      <c r="F1536">
        <v>6.9</v>
      </c>
      <c r="G1536">
        <v>7.3</v>
      </c>
      <c r="H1536">
        <v>6.8</v>
      </c>
      <c r="I1536">
        <v>7.6</v>
      </c>
      <c r="J1536">
        <v>6.8</v>
      </c>
      <c r="K1536">
        <v>5.5</v>
      </c>
      <c r="L1536">
        <v>7.1</v>
      </c>
      <c r="M1536">
        <v>5.4</v>
      </c>
      <c r="N1536">
        <f t="shared" si="23"/>
        <v>68.1</v>
      </c>
    </row>
    <row r="1537" spans="1:14">
      <c r="A1537">
        <v>20209799</v>
      </c>
      <c r="B1537" t="s">
        <v>14</v>
      </c>
      <c r="C1537" t="str">
        <f>VLOOKUP(B1537,专业代码!$B$2:$C$8,2,FALSE)</f>
        <v>会计学</v>
      </c>
      <c r="D1537">
        <v>7.4</v>
      </c>
      <c r="E1537">
        <v>7</v>
      </c>
      <c r="F1537">
        <v>7.5</v>
      </c>
      <c r="G1537">
        <v>7.6</v>
      </c>
      <c r="H1537">
        <v>6.2</v>
      </c>
      <c r="I1537">
        <v>6.2</v>
      </c>
      <c r="J1537">
        <v>7.2</v>
      </c>
      <c r="K1537">
        <v>6.7</v>
      </c>
      <c r="L1537">
        <v>6.2</v>
      </c>
      <c r="M1537">
        <v>6.9</v>
      </c>
      <c r="N1537">
        <f t="shared" si="23"/>
        <v>68.9</v>
      </c>
    </row>
    <row r="1538" spans="1:14">
      <c r="A1538">
        <v>20202996</v>
      </c>
      <c r="B1538" t="s">
        <v>14</v>
      </c>
      <c r="C1538" t="str">
        <f>VLOOKUP(B1538,专业代码!$B$2:$C$8,2,FALSE)</f>
        <v>会计学</v>
      </c>
      <c r="D1538">
        <v>6.9</v>
      </c>
      <c r="E1538">
        <v>7.5</v>
      </c>
      <c r="F1538">
        <v>7.7</v>
      </c>
      <c r="G1538">
        <v>7.5</v>
      </c>
      <c r="H1538">
        <v>6.4</v>
      </c>
      <c r="I1538">
        <v>6.4</v>
      </c>
      <c r="J1538">
        <v>6.7</v>
      </c>
      <c r="K1538">
        <v>6.6</v>
      </c>
      <c r="L1538">
        <v>5.8</v>
      </c>
      <c r="M1538">
        <v>5.6</v>
      </c>
      <c r="N1538">
        <f t="shared" si="23"/>
        <v>67.1</v>
      </c>
    </row>
    <row r="1539" spans="1:14">
      <c r="A1539">
        <v>20205288</v>
      </c>
      <c r="B1539" t="s">
        <v>14</v>
      </c>
      <c r="C1539" t="str">
        <f>VLOOKUP(B1539,专业代码!$B$2:$C$8,2,FALSE)</f>
        <v>会计学</v>
      </c>
      <c r="D1539">
        <v>7.6</v>
      </c>
      <c r="E1539">
        <v>7.5</v>
      </c>
      <c r="F1539">
        <v>7.4</v>
      </c>
      <c r="G1539">
        <v>7</v>
      </c>
      <c r="H1539">
        <v>7.2</v>
      </c>
      <c r="I1539">
        <v>5.9</v>
      </c>
      <c r="J1539">
        <v>5.4</v>
      </c>
      <c r="K1539">
        <v>7.1</v>
      </c>
      <c r="L1539">
        <v>5.9</v>
      </c>
      <c r="M1539">
        <v>5.6</v>
      </c>
      <c r="N1539">
        <f t="shared" ref="N1539:N1602" si="24">SUM(D1539:M1539)</f>
        <v>66.6</v>
      </c>
    </row>
    <row r="1540" spans="1:14">
      <c r="A1540">
        <v>20205825</v>
      </c>
      <c r="B1540" t="s">
        <v>14</v>
      </c>
      <c r="C1540" t="str">
        <f>VLOOKUP(B1540,专业代码!$B$2:$C$8,2,FALSE)</f>
        <v>会计学</v>
      </c>
      <c r="D1540">
        <v>7.5</v>
      </c>
      <c r="E1540">
        <v>7.1</v>
      </c>
      <c r="F1540">
        <v>7.8</v>
      </c>
      <c r="G1540">
        <v>6.9</v>
      </c>
      <c r="H1540">
        <v>7.8</v>
      </c>
      <c r="I1540">
        <v>6.7</v>
      </c>
      <c r="J1540">
        <v>8.3</v>
      </c>
      <c r="K1540">
        <v>5.9</v>
      </c>
      <c r="L1540">
        <v>7</v>
      </c>
      <c r="M1540">
        <v>6.1</v>
      </c>
      <c r="N1540">
        <f t="shared" si="24"/>
        <v>71.1</v>
      </c>
    </row>
    <row r="1541" spans="1:14">
      <c r="A1541">
        <v>20206153</v>
      </c>
      <c r="B1541" t="s">
        <v>14</v>
      </c>
      <c r="C1541" t="str">
        <f>VLOOKUP(B1541,专业代码!$B$2:$C$8,2,FALSE)</f>
        <v>会计学</v>
      </c>
      <c r="D1541">
        <v>8</v>
      </c>
      <c r="E1541">
        <v>7</v>
      </c>
      <c r="F1541">
        <v>6.4</v>
      </c>
      <c r="G1541">
        <v>7.4</v>
      </c>
      <c r="H1541">
        <v>6.1</v>
      </c>
      <c r="I1541">
        <v>5.9</v>
      </c>
      <c r="J1541">
        <v>6.1</v>
      </c>
      <c r="K1541">
        <v>6.2</v>
      </c>
      <c r="L1541">
        <v>5.9</v>
      </c>
      <c r="M1541">
        <v>4.9</v>
      </c>
      <c r="N1541">
        <f t="shared" si="24"/>
        <v>63.9</v>
      </c>
    </row>
    <row r="1542" spans="1:14">
      <c r="A1542">
        <v>20207766</v>
      </c>
      <c r="B1542" t="s">
        <v>14</v>
      </c>
      <c r="C1542" t="str">
        <f>VLOOKUP(B1542,专业代码!$B$2:$C$8,2,FALSE)</f>
        <v>会计学</v>
      </c>
      <c r="D1542">
        <v>8.4</v>
      </c>
      <c r="E1542">
        <v>7.8</v>
      </c>
      <c r="F1542">
        <v>7.3</v>
      </c>
      <c r="G1542">
        <v>7.3</v>
      </c>
      <c r="H1542">
        <v>6.4</v>
      </c>
      <c r="I1542">
        <v>5.7</v>
      </c>
      <c r="J1542">
        <v>7.1</v>
      </c>
      <c r="K1542">
        <v>5</v>
      </c>
      <c r="L1542">
        <v>4.7</v>
      </c>
      <c r="M1542">
        <v>6.3</v>
      </c>
      <c r="N1542">
        <f t="shared" si="24"/>
        <v>66</v>
      </c>
    </row>
    <row r="1543" spans="1:14">
      <c r="A1543">
        <v>20208020</v>
      </c>
      <c r="B1543" t="s">
        <v>14</v>
      </c>
      <c r="C1543" t="str">
        <f>VLOOKUP(B1543,专业代码!$B$2:$C$8,2,FALSE)</f>
        <v>会计学</v>
      </c>
      <c r="D1543">
        <v>7.5</v>
      </c>
      <c r="E1543">
        <v>8</v>
      </c>
      <c r="F1543">
        <v>7.3</v>
      </c>
      <c r="G1543">
        <v>7.7</v>
      </c>
      <c r="H1543">
        <v>7</v>
      </c>
      <c r="I1543">
        <v>6.6</v>
      </c>
      <c r="J1543">
        <v>6</v>
      </c>
      <c r="K1543">
        <v>8.3</v>
      </c>
      <c r="L1543">
        <v>5.7</v>
      </c>
      <c r="M1543">
        <v>5.7</v>
      </c>
      <c r="N1543">
        <f t="shared" si="24"/>
        <v>69.8</v>
      </c>
    </row>
    <row r="1544" spans="1:14">
      <c r="A1544">
        <v>20202686</v>
      </c>
      <c r="B1544" t="s">
        <v>14</v>
      </c>
      <c r="C1544" t="str">
        <f>VLOOKUP(B1544,专业代码!$B$2:$C$8,2,FALSE)</f>
        <v>会计学</v>
      </c>
      <c r="D1544">
        <v>7.8</v>
      </c>
      <c r="E1544">
        <v>6.9</v>
      </c>
      <c r="F1544">
        <v>7.5</v>
      </c>
      <c r="G1544">
        <v>6.2</v>
      </c>
      <c r="H1544">
        <v>6.7</v>
      </c>
      <c r="I1544">
        <v>7.3</v>
      </c>
      <c r="J1544">
        <v>7.7</v>
      </c>
      <c r="K1544">
        <v>6.6</v>
      </c>
      <c r="L1544">
        <v>6.4</v>
      </c>
      <c r="M1544">
        <v>4.9</v>
      </c>
      <c r="N1544">
        <f t="shared" si="24"/>
        <v>68</v>
      </c>
    </row>
    <row r="1545" spans="1:14">
      <c r="A1545">
        <v>20203122</v>
      </c>
      <c r="B1545" t="s">
        <v>14</v>
      </c>
      <c r="C1545" t="str">
        <f>VLOOKUP(B1545,专业代码!$B$2:$C$8,2,FALSE)</f>
        <v>会计学</v>
      </c>
      <c r="D1545">
        <v>7.7</v>
      </c>
      <c r="E1545">
        <v>7.9</v>
      </c>
      <c r="F1545">
        <v>8</v>
      </c>
      <c r="G1545">
        <v>7</v>
      </c>
      <c r="H1545">
        <v>5.6</v>
      </c>
      <c r="I1545">
        <v>7</v>
      </c>
      <c r="J1545">
        <v>7.6</v>
      </c>
      <c r="K1545">
        <v>6.6</v>
      </c>
      <c r="L1545">
        <v>6.5</v>
      </c>
      <c r="M1545">
        <v>7.1</v>
      </c>
      <c r="N1545">
        <f t="shared" si="24"/>
        <v>71</v>
      </c>
    </row>
    <row r="1546" spans="1:14">
      <c r="A1546">
        <v>20203208</v>
      </c>
      <c r="B1546" t="s">
        <v>14</v>
      </c>
      <c r="C1546" t="str">
        <f>VLOOKUP(B1546,专业代码!$B$2:$C$8,2,FALSE)</f>
        <v>会计学</v>
      </c>
      <c r="D1546">
        <v>7.3</v>
      </c>
      <c r="E1546">
        <v>8.5</v>
      </c>
      <c r="F1546">
        <v>7.3</v>
      </c>
      <c r="G1546">
        <v>7.2</v>
      </c>
      <c r="H1546">
        <v>7.8</v>
      </c>
      <c r="I1546">
        <v>6.9</v>
      </c>
      <c r="J1546">
        <v>6.3</v>
      </c>
      <c r="K1546">
        <v>6.5</v>
      </c>
      <c r="L1546">
        <v>7</v>
      </c>
      <c r="M1546">
        <v>5.2</v>
      </c>
      <c r="N1546">
        <f t="shared" si="24"/>
        <v>70</v>
      </c>
    </row>
    <row r="1547" spans="1:14">
      <c r="A1547">
        <v>20203598</v>
      </c>
      <c r="B1547" t="s">
        <v>14</v>
      </c>
      <c r="C1547" t="str">
        <f>VLOOKUP(B1547,专业代码!$B$2:$C$8,2,FALSE)</f>
        <v>会计学</v>
      </c>
      <c r="D1547">
        <v>8</v>
      </c>
      <c r="E1547">
        <v>7.3</v>
      </c>
      <c r="F1547">
        <v>7.5</v>
      </c>
      <c r="G1547">
        <v>6.8</v>
      </c>
      <c r="H1547">
        <v>6</v>
      </c>
      <c r="I1547">
        <v>7.4</v>
      </c>
      <c r="J1547">
        <v>6.3</v>
      </c>
      <c r="K1547">
        <v>6.9</v>
      </c>
      <c r="L1547">
        <v>6.2</v>
      </c>
      <c r="M1547">
        <v>3.3</v>
      </c>
      <c r="N1547">
        <f t="shared" si="24"/>
        <v>65.7</v>
      </c>
    </row>
    <row r="1548" spans="1:14">
      <c r="A1548">
        <v>20203735</v>
      </c>
      <c r="B1548" t="s">
        <v>14</v>
      </c>
      <c r="C1548" t="str">
        <f>VLOOKUP(B1548,专业代码!$B$2:$C$8,2,FALSE)</f>
        <v>会计学</v>
      </c>
      <c r="D1548">
        <v>8.3</v>
      </c>
      <c r="E1548">
        <v>7.6</v>
      </c>
      <c r="F1548">
        <v>8.7</v>
      </c>
      <c r="G1548">
        <v>7.2</v>
      </c>
      <c r="H1548">
        <v>7.4</v>
      </c>
      <c r="I1548">
        <v>6.4</v>
      </c>
      <c r="J1548">
        <v>5.9</v>
      </c>
      <c r="K1548">
        <v>6</v>
      </c>
      <c r="L1548">
        <v>7.1</v>
      </c>
      <c r="M1548">
        <v>4.8</v>
      </c>
      <c r="N1548">
        <f t="shared" si="24"/>
        <v>69.4</v>
      </c>
    </row>
    <row r="1549" spans="1:14">
      <c r="A1549">
        <v>20204563</v>
      </c>
      <c r="B1549" t="s">
        <v>14</v>
      </c>
      <c r="C1549" t="str">
        <f>VLOOKUP(B1549,专业代码!$B$2:$C$8,2,FALSE)</f>
        <v>会计学</v>
      </c>
      <c r="D1549">
        <v>8.6</v>
      </c>
      <c r="E1549">
        <v>7.3</v>
      </c>
      <c r="F1549">
        <v>7.6</v>
      </c>
      <c r="G1549">
        <v>6.6</v>
      </c>
      <c r="H1549">
        <v>8.8</v>
      </c>
      <c r="I1549">
        <v>7.6</v>
      </c>
      <c r="J1549">
        <v>6.1</v>
      </c>
      <c r="K1549">
        <v>6.1</v>
      </c>
      <c r="L1549">
        <v>6.9</v>
      </c>
      <c r="M1549">
        <v>6</v>
      </c>
      <c r="N1549">
        <f t="shared" si="24"/>
        <v>71.6</v>
      </c>
    </row>
    <row r="1550" spans="1:14">
      <c r="A1550">
        <v>20206053</v>
      </c>
      <c r="B1550" t="s">
        <v>14</v>
      </c>
      <c r="C1550" t="str">
        <f>VLOOKUP(B1550,专业代码!$B$2:$C$8,2,FALSE)</f>
        <v>会计学</v>
      </c>
      <c r="D1550">
        <v>7.6</v>
      </c>
      <c r="E1550">
        <v>7.2</v>
      </c>
      <c r="F1550">
        <v>6.9</v>
      </c>
      <c r="G1550">
        <v>7.1</v>
      </c>
      <c r="H1550">
        <v>7.5</v>
      </c>
      <c r="I1550">
        <v>5.9</v>
      </c>
      <c r="J1550">
        <v>7.6</v>
      </c>
      <c r="K1550">
        <v>6.2</v>
      </c>
      <c r="L1550">
        <v>6.1</v>
      </c>
      <c r="M1550">
        <v>6.1</v>
      </c>
      <c r="N1550">
        <f t="shared" si="24"/>
        <v>68.2</v>
      </c>
    </row>
    <row r="1551" spans="1:14">
      <c r="A1551">
        <v>20206235</v>
      </c>
      <c r="B1551" t="s">
        <v>14</v>
      </c>
      <c r="C1551" t="str">
        <f>VLOOKUP(B1551,专业代码!$B$2:$C$8,2,FALSE)</f>
        <v>会计学</v>
      </c>
      <c r="D1551">
        <v>7.5</v>
      </c>
      <c r="E1551">
        <v>7.7</v>
      </c>
      <c r="F1551">
        <v>6.4</v>
      </c>
      <c r="G1551">
        <v>7.3</v>
      </c>
      <c r="H1551">
        <v>6.9</v>
      </c>
      <c r="I1551">
        <v>6.9</v>
      </c>
      <c r="J1551">
        <v>6.3</v>
      </c>
      <c r="K1551">
        <v>7.4</v>
      </c>
      <c r="L1551">
        <v>7.1</v>
      </c>
      <c r="M1551">
        <v>5.5</v>
      </c>
      <c r="N1551">
        <f t="shared" si="24"/>
        <v>69</v>
      </c>
    </row>
    <row r="1552" spans="1:14">
      <c r="A1552">
        <v>20206568</v>
      </c>
      <c r="B1552" t="s">
        <v>14</v>
      </c>
      <c r="C1552" t="str">
        <f>VLOOKUP(B1552,专业代码!$B$2:$C$8,2,FALSE)</f>
        <v>会计学</v>
      </c>
      <c r="D1552">
        <v>6.4</v>
      </c>
      <c r="E1552">
        <v>8.1</v>
      </c>
      <c r="F1552">
        <v>7.8</v>
      </c>
      <c r="G1552">
        <v>7.4</v>
      </c>
      <c r="H1552">
        <v>7.7</v>
      </c>
      <c r="I1552">
        <v>6.5</v>
      </c>
      <c r="J1552">
        <v>8.2</v>
      </c>
      <c r="K1552">
        <v>7.3</v>
      </c>
      <c r="L1552">
        <v>6.5</v>
      </c>
      <c r="M1552">
        <v>4</v>
      </c>
      <c r="N1552">
        <f t="shared" si="24"/>
        <v>69.9</v>
      </c>
    </row>
    <row r="1553" spans="1:14">
      <c r="A1553">
        <v>20209200</v>
      </c>
      <c r="B1553" t="s">
        <v>14</v>
      </c>
      <c r="C1553" t="str">
        <f>VLOOKUP(B1553,专业代码!$B$2:$C$8,2,FALSE)</f>
        <v>会计学</v>
      </c>
      <c r="D1553">
        <v>7.7</v>
      </c>
      <c r="E1553">
        <v>7.3</v>
      </c>
      <c r="F1553">
        <v>7.6</v>
      </c>
      <c r="G1553">
        <v>7.4</v>
      </c>
      <c r="H1553">
        <v>6.4</v>
      </c>
      <c r="I1553">
        <v>6.1</v>
      </c>
      <c r="J1553">
        <v>5.8</v>
      </c>
      <c r="K1553">
        <v>5.3</v>
      </c>
      <c r="L1553">
        <v>6.2</v>
      </c>
      <c r="M1553">
        <v>4.9</v>
      </c>
      <c r="N1553">
        <f t="shared" si="24"/>
        <v>64.7</v>
      </c>
    </row>
    <row r="1554" spans="1:14">
      <c r="A1554">
        <v>20201700</v>
      </c>
      <c r="B1554" t="s">
        <v>14</v>
      </c>
      <c r="C1554" t="str">
        <f>VLOOKUP(B1554,专业代码!$B$2:$C$8,2,FALSE)</f>
        <v>会计学</v>
      </c>
      <c r="D1554">
        <v>8.1</v>
      </c>
      <c r="E1554">
        <v>7.9</v>
      </c>
      <c r="F1554">
        <v>7.5</v>
      </c>
      <c r="G1554">
        <v>8.2</v>
      </c>
      <c r="H1554">
        <v>6.6</v>
      </c>
      <c r="I1554">
        <v>8</v>
      </c>
      <c r="J1554">
        <v>6.5</v>
      </c>
      <c r="K1554">
        <v>6.8</v>
      </c>
      <c r="L1554">
        <v>5.4</v>
      </c>
      <c r="M1554">
        <v>4.9</v>
      </c>
      <c r="N1554">
        <f t="shared" si="24"/>
        <v>69.9</v>
      </c>
    </row>
    <row r="1555" spans="1:14">
      <c r="A1555">
        <v>20201762</v>
      </c>
      <c r="B1555" t="s">
        <v>14</v>
      </c>
      <c r="C1555" t="str">
        <f>VLOOKUP(B1555,专业代码!$B$2:$C$8,2,FALSE)</f>
        <v>会计学</v>
      </c>
      <c r="D1555">
        <v>7.1</v>
      </c>
      <c r="E1555">
        <v>7</v>
      </c>
      <c r="F1555">
        <v>7.9</v>
      </c>
      <c r="G1555">
        <v>7.6</v>
      </c>
      <c r="H1555">
        <v>7.2</v>
      </c>
      <c r="I1555">
        <v>6.9</v>
      </c>
      <c r="J1555">
        <v>6.4</v>
      </c>
      <c r="K1555">
        <v>6.8</v>
      </c>
      <c r="L1555">
        <v>6.2</v>
      </c>
      <c r="M1555">
        <v>5.9</v>
      </c>
      <c r="N1555">
        <f t="shared" si="24"/>
        <v>69</v>
      </c>
    </row>
    <row r="1556" spans="1:14">
      <c r="A1556">
        <v>20202702</v>
      </c>
      <c r="B1556" t="s">
        <v>14</v>
      </c>
      <c r="C1556" t="str">
        <f>VLOOKUP(B1556,专业代码!$B$2:$C$8,2,FALSE)</f>
        <v>会计学</v>
      </c>
      <c r="D1556">
        <v>7.4</v>
      </c>
      <c r="E1556">
        <v>7.7</v>
      </c>
      <c r="F1556">
        <v>8.7</v>
      </c>
      <c r="G1556">
        <v>8.1</v>
      </c>
      <c r="H1556">
        <v>6.1</v>
      </c>
      <c r="I1556">
        <v>7.6</v>
      </c>
      <c r="J1556">
        <v>7.5</v>
      </c>
      <c r="K1556">
        <v>6</v>
      </c>
      <c r="L1556">
        <v>7.2</v>
      </c>
      <c r="M1556">
        <v>7.4</v>
      </c>
      <c r="N1556">
        <f t="shared" si="24"/>
        <v>73.7</v>
      </c>
    </row>
    <row r="1557" spans="1:14">
      <c r="A1557">
        <v>20203285</v>
      </c>
      <c r="B1557" t="s">
        <v>14</v>
      </c>
      <c r="C1557" t="str">
        <f>VLOOKUP(B1557,专业代码!$B$2:$C$8,2,FALSE)</f>
        <v>会计学</v>
      </c>
      <c r="D1557">
        <v>8.3</v>
      </c>
      <c r="E1557">
        <v>7.1</v>
      </c>
      <c r="F1557">
        <v>7.4</v>
      </c>
      <c r="G1557">
        <v>6.2</v>
      </c>
      <c r="H1557">
        <v>7.3</v>
      </c>
      <c r="I1557">
        <v>6.7</v>
      </c>
      <c r="J1557">
        <v>7.4</v>
      </c>
      <c r="K1557">
        <v>6.1</v>
      </c>
      <c r="L1557">
        <v>5.8</v>
      </c>
      <c r="M1557">
        <v>6.1</v>
      </c>
      <c r="N1557">
        <f t="shared" si="24"/>
        <v>68.4</v>
      </c>
    </row>
    <row r="1558" spans="1:14">
      <c r="A1558">
        <v>20203592</v>
      </c>
      <c r="B1558" t="s">
        <v>14</v>
      </c>
      <c r="C1558" t="str">
        <f>VLOOKUP(B1558,专业代码!$B$2:$C$8,2,FALSE)</f>
        <v>会计学</v>
      </c>
      <c r="D1558">
        <v>7.5</v>
      </c>
      <c r="E1558">
        <v>7.3</v>
      </c>
      <c r="F1558">
        <v>7.9</v>
      </c>
      <c r="G1558">
        <v>6.1</v>
      </c>
      <c r="H1558">
        <v>7.2</v>
      </c>
      <c r="I1558">
        <v>6.2</v>
      </c>
      <c r="J1558">
        <v>6.6</v>
      </c>
      <c r="K1558">
        <v>5.6</v>
      </c>
      <c r="L1558">
        <v>6.9</v>
      </c>
      <c r="M1558">
        <v>4.6</v>
      </c>
      <c r="N1558">
        <f t="shared" si="24"/>
        <v>65.9</v>
      </c>
    </row>
    <row r="1559" spans="1:14">
      <c r="A1559">
        <v>20203874</v>
      </c>
      <c r="B1559" t="s">
        <v>14</v>
      </c>
      <c r="C1559" t="str">
        <f>VLOOKUP(B1559,专业代码!$B$2:$C$8,2,FALSE)</f>
        <v>会计学</v>
      </c>
      <c r="D1559">
        <v>7.6</v>
      </c>
      <c r="E1559">
        <v>6.9</v>
      </c>
      <c r="F1559">
        <v>7.9</v>
      </c>
      <c r="G1559">
        <v>6.9</v>
      </c>
      <c r="H1559">
        <v>6.4</v>
      </c>
      <c r="I1559">
        <v>6.6</v>
      </c>
      <c r="J1559">
        <v>6.4</v>
      </c>
      <c r="K1559">
        <v>6.1</v>
      </c>
      <c r="L1559">
        <v>6.5</v>
      </c>
      <c r="M1559">
        <v>5</v>
      </c>
      <c r="N1559">
        <f t="shared" si="24"/>
        <v>66.3</v>
      </c>
    </row>
    <row r="1560" spans="1:14">
      <c r="A1560">
        <v>20208651</v>
      </c>
      <c r="B1560" t="s">
        <v>14</v>
      </c>
      <c r="C1560" t="str">
        <f>VLOOKUP(B1560,专业代码!$B$2:$C$8,2,FALSE)</f>
        <v>会计学</v>
      </c>
      <c r="D1560">
        <v>7</v>
      </c>
      <c r="E1560">
        <v>7.5</v>
      </c>
      <c r="F1560">
        <v>7.2</v>
      </c>
      <c r="G1560">
        <v>7.7</v>
      </c>
      <c r="H1560">
        <v>6</v>
      </c>
      <c r="I1560">
        <v>5.9</v>
      </c>
      <c r="J1560">
        <v>7</v>
      </c>
      <c r="K1560">
        <v>5.8</v>
      </c>
      <c r="L1560">
        <v>5.2</v>
      </c>
      <c r="M1560">
        <v>5.5</v>
      </c>
      <c r="N1560">
        <f t="shared" si="24"/>
        <v>64.8</v>
      </c>
    </row>
    <row r="1561" spans="1:14">
      <c r="A1561">
        <v>20209253</v>
      </c>
      <c r="B1561" t="s">
        <v>14</v>
      </c>
      <c r="C1561" t="str">
        <f>VLOOKUP(B1561,专业代码!$B$2:$C$8,2,FALSE)</f>
        <v>会计学</v>
      </c>
      <c r="D1561">
        <v>8</v>
      </c>
      <c r="E1561">
        <v>7.5</v>
      </c>
      <c r="F1561">
        <v>7.6</v>
      </c>
      <c r="G1561">
        <v>7.2</v>
      </c>
      <c r="H1561">
        <v>6.6</v>
      </c>
      <c r="I1561">
        <v>7.6</v>
      </c>
      <c r="J1561">
        <v>5.1</v>
      </c>
      <c r="K1561">
        <v>7.6</v>
      </c>
      <c r="L1561">
        <v>5.7</v>
      </c>
      <c r="M1561">
        <v>4.7</v>
      </c>
      <c r="N1561">
        <f t="shared" si="24"/>
        <v>67.6</v>
      </c>
    </row>
    <row r="1562" spans="1:14">
      <c r="A1562">
        <v>20209683</v>
      </c>
      <c r="B1562" t="s">
        <v>14</v>
      </c>
      <c r="C1562" t="str">
        <f>VLOOKUP(B1562,专业代码!$B$2:$C$8,2,FALSE)</f>
        <v>会计学</v>
      </c>
      <c r="D1562">
        <v>7.4</v>
      </c>
      <c r="E1562">
        <v>8.1</v>
      </c>
      <c r="F1562">
        <v>7.7</v>
      </c>
      <c r="G1562">
        <v>6.6</v>
      </c>
      <c r="H1562">
        <v>7.1</v>
      </c>
      <c r="I1562">
        <v>6.9</v>
      </c>
      <c r="J1562">
        <v>6.5</v>
      </c>
      <c r="K1562">
        <v>6.2</v>
      </c>
      <c r="L1562">
        <v>5.9</v>
      </c>
      <c r="M1562">
        <v>7.7</v>
      </c>
      <c r="N1562">
        <f t="shared" si="24"/>
        <v>70.1</v>
      </c>
    </row>
    <row r="1563" spans="1:14">
      <c r="A1563">
        <v>20209902</v>
      </c>
      <c r="B1563" t="s">
        <v>14</v>
      </c>
      <c r="C1563" t="str">
        <f>VLOOKUP(B1563,专业代码!$B$2:$C$8,2,FALSE)</f>
        <v>会计学</v>
      </c>
      <c r="D1563">
        <v>7.1</v>
      </c>
      <c r="E1563">
        <v>7.7</v>
      </c>
      <c r="F1563">
        <v>7.5</v>
      </c>
      <c r="G1563">
        <v>6.6</v>
      </c>
      <c r="H1563">
        <v>6.1</v>
      </c>
      <c r="I1563">
        <v>6.9</v>
      </c>
      <c r="J1563">
        <v>7.7</v>
      </c>
      <c r="K1563">
        <v>6.3</v>
      </c>
      <c r="L1563">
        <v>7.9</v>
      </c>
      <c r="M1563">
        <v>6.2</v>
      </c>
      <c r="N1563">
        <f t="shared" si="24"/>
        <v>70</v>
      </c>
    </row>
    <row r="1564" spans="1:14">
      <c r="A1564">
        <v>20201380</v>
      </c>
      <c r="B1564" t="s">
        <v>14</v>
      </c>
      <c r="C1564" t="str">
        <f>VLOOKUP(B1564,专业代码!$B$2:$C$8,2,FALSE)</f>
        <v>会计学</v>
      </c>
      <c r="D1564">
        <v>7.7</v>
      </c>
      <c r="E1564">
        <v>7.1</v>
      </c>
      <c r="F1564">
        <v>7.8</v>
      </c>
      <c r="G1564">
        <v>7.2</v>
      </c>
      <c r="H1564">
        <v>7.2</v>
      </c>
      <c r="I1564">
        <v>7.1</v>
      </c>
      <c r="J1564">
        <v>6.4</v>
      </c>
      <c r="K1564">
        <v>4.8</v>
      </c>
      <c r="L1564">
        <v>6.2</v>
      </c>
      <c r="M1564">
        <v>6.4</v>
      </c>
      <c r="N1564">
        <f t="shared" si="24"/>
        <v>67.9</v>
      </c>
    </row>
    <row r="1565" spans="1:14">
      <c r="A1565">
        <v>20206270</v>
      </c>
      <c r="B1565" t="s">
        <v>14</v>
      </c>
      <c r="C1565" t="str">
        <f>VLOOKUP(B1565,专业代码!$B$2:$C$8,2,FALSE)</f>
        <v>会计学</v>
      </c>
      <c r="D1565">
        <v>8</v>
      </c>
      <c r="E1565">
        <v>7.5</v>
      </c>
      <c r="F1565">
        <v>7</v>
      </c>
      <c r="G1565">
        <v>6.8</v>
      </c>
      <c r="H1565">
        <v>7</v>
      </c>
      <c r="I1565">
        <v>5.6</v>
      </c>
      <c r="J1565">
        <v>6.6</v>
      </c>
      <c r="K1565">
        <v>6.5</v>
      </c>
      <c r="L1565">
        <v>5.3</v>
      </c>
      <c r="M1565">
        <v>5.5</v>
      </c>
      <c r="N1565">
        <f t="shared" si="24"/>
        <v>65.8</v>
      </c>
    </row>
    <row r="1566" spans="1:14">
      <c r="A1566">
        <v>20207519</v>
      </c>
      <c r="B1566" t="s">
        <v>14</v>
      </c>
      <c r="C1566" t="str">
        <f>VLOOKUP(B1566,专业代码!$B$2:$C$8,2,FALSE)</f>
        <v>会计学</v>
      </c>
      <c r="D1566">
        <v>7.8</v>
      </c>
      <c r="E1566">
        <v>7.5</v>
      </c>
      <c r="F1566">
        <v>6.5</v>
      </c>
      <c r="G1566">
        <v>7.6</v>
      </c>
      <c r="H1566">
        <v>6.5</v>
      </c>
      <c r="I1566">
        <v>5.9</v>
      </c>
      <c r="J1566">
        <v>7.3</v>
      </c>
      <c r="K1566">
        <v>6.7</v>
      </c>
      <c r="L1566">
        <v>5.4</v>
      </c>
      <c r="M1566">
        <v>6.4</v>
      </c>
      <c r="N1566">
        <f t="shared" si="24"/>
        <v>67.6</v>
      </c>
    </row>
    <row r="1567" spans="1:14">
      <c r="A1567">
        <v>20201489</v>
      </c>
      <c r="B1567" t="s">
        <v>14</v>
      </c>
      <c r="C1567" t="str">
        <f>VLOOKUP(B1567,专业代码!$B$2:$C$8,2,FALSE)</f>
        <v>会计学</v>
      </c>
      <c r="D1567">
        <v>7.3</v>
      </c>
      <c r="E1567">
        <v>8.5</v>
      </c>
      <c r="F1567">
        <v>6.3</v>
      </c>
      <c r="G1567">
        <v>7.4</v>
      </c>
      <c r="H1567">
        <v>5.9</v>
      </c>
      <c r="I1567">
        <v>6.8</v>
      </c>
      <c r="J1567">
        <v>6</v>
      </c>
      <c r="K1567">
        <v>6.4</v>
      </c>
      <c r="L1567">
        <v>6.5</v>
      </c>
      <c r="M1567">
        <v>5.6</v>
      </c>
      <c r="N1567">
        <f t="shared" si="24"/>
        <v>66.7</v>
      </c>
    </row>
    <row r="1568" spans="1:14">
      <c r="A1568">
        <v>20202452</v>
      </c>
      <c r="B1568" t="s">
        <v>14</v>
      </c>
      <c r="C1568" t="str">
        <f>VLOOKUP(B1568,专业代码!$B$2:$C$8,2,FALSE)</f>
        <v>会计学</v>
      </c>
      <c r="D1568">
        <v>7.3</v>
      </c>
      <c r="E1568">
        <v>7.5</v>
      </c>
      <c r="F1568">
        <v>6.8</v>
      </c>
      <c r="G1568">
        <v>5.5</v>
      </c>
      <c r="H1568">
        <v>6.7</v>
      </c>
      <c r="I1568">
        <v>6.5</v>
      </c>
      <c r="J1568">
        <v>6.1</v>
      </c>
      <c r="K1568">
        <v>7</v>
      </c>
      <c r="L1568">
        <v>6.1</v>
      </c>
      <c r="M1568">
        <v>5.9</v>
      </c>
      <c r="N1568">
        <f t="shared" si="24"/>
        <v>65.4</v>
      </c>
    </row>
    <row r="1569" spans="1:14">
      <c r="A1569">
        <v>20203186</v>
      </c>
      <c r="B1569" t="s">
        <v>14</v>
      </c>
      <c r="C1569" t="str">
        <f>VLOOKUP(B1569,专业代码!$B$2:$C$8,2,FALSE)</f>
        <v>会计学</v>
      </c>
      <c r="D1569">
        <v>7.4</v>
      </c>
      <c r="E1569">
        <v>7.6</v>
      </c>
      <c r="F1569">
        <v>7.4</v>
      </c>
      <c r="G1569">
        <v>7.4</v>
      </c>
      <c r="H1569">
        <v>7.9</v>
      </c>
      <c r="I1569">
        <v>5.3</v>
      </c>
      <c r="J1569">
        <v>6.4</v>
      </c>
      <c r="K1569">
        <v>7.1</v>
      </c>
      <c r="L1569">
        <v>6.7</v>
      </c>
      <c r="M1569">
        <v>5</v>
      </c>
      <c r="N1569">
        <f t="shared" si="24"/>
        <v>68.2</v>
      </c>
    </row>
    <row r="1570" spans="1:14">
      <c r="A1570">
        <v>20204646</v>
      </c>
      <c r="B1570" t="s">
        <v>14</v>
      </c>
      <c r="C1570" t="str">
        <f>VLOOKUP(B1570,专业代码!$B$2:$C$8,2,FALSE)</f>
        <v>会计学</v>
      </c>
      <c r="D1570">
        <v>7.2</v>
      </c>
      <c r="E1570">
        <v>7.2</v>
      </c>
      <c r="F1570">
        <v>7.4</v>
      </c>
      <c r="G1570">
        <v>6.6</v>
      </c>
      <c r="H1570">
        <v>5.9</v>
      </c>
      <c r="I1570">
        <v>6.4</v>
      </c>
      <c r="J1570">
        <v>6.5</v>
      </c>
      <c r="K1570">
        <v>5.8</v>
      </c>
      <c r="L1570">
        <v>6.3</v>
      </c>
      <c r="M1570">
        <v>7.1</v>
      </c>
      <c r="N1570">
        <f t="shared" si="24"/>
        <v>66.4</v>
      </c>
    </row>
    <row r="1571" spans="1:14">
      <c r="A1571">
        <v>20204923</v>
      </c>
      <c r="B1571" t="s">
        <v>14</v>
      </c>
      <c r="C1571" t="str">
        <f>VLOOKUP(B1571,专业代码!$B$2:$C$8,2,FALSE)</f>
        <v>会计学</v>
      </c>
      <c r="D1571">
        <v>7</v>
      </c>
      <c r="E1571">
        <v>7.4</v>
      </c>
      <c r="F1571">
        <v>7.7</v>
      </c>
      <c r="G1571">
        <v>8.3</v>
      </c>
      <c r="H1571">
        <v>6.5</v>
      </c>
      <c r="I1571">
        <v>6.1</v>
      </c>
      <c r="J1571">
        <v>6.3</v>
      </c>
      <c r="K1571">
        <v>7.2</v>
      </c>
      <c r="L1571">
        <v>7.4</v>
      </c>
      <c r="M1571">
        <v>5.3</v>
      </c>
      <c r="N1571">
        <f t="shared" si="24"/>
        <v>69.2</v>
      </c>
    </row>
    <row r="1572" spans="1:14">
      <c r="A1572">
        <v>20208088</v>
      </c>
      <c r="B1572" t="s">
        <v>14</v>
      </c>
      <c r="C1572" t="str">
        <f>VLOOKUP(B1572,专业代码!$B$2:$C$8,2,FALSE)</f>
        <v>会计学</v>
      </c>
      <c r="D1572">
        <v>7.6</v>
      </c>
      <c r="E1572">
        <v>8</v>
      </c>
      <c r="F1572">
        <v>7.8</v>
      </c>
      <c r="G1572">
        <v>7</v>
      </c>
      <c r="H1572">
        <v>6.4</v>
      </c>
      <c r="I1572">
        <v>7.6</v>
      </c>
      <c r="J1572">
        <v>7.7</v>
      </c>
      <c r="K1572">
        <v>7</v>
      </c>
      <c r="L1572">
        <v>5.5</v>
      </c>
      <c r="M1572">
        <v>5.8</v>
      </c>
      <c r="N1572">
        <f t="shared" si="24"/>
        <v>70.4</v>
      </c>
    </row>
    <row r="1573" spans="1:14">
      <c r="A1573">
        <v>20201581</v>
      </c>
      <c r="B1573" t="s">
        <v>14</v>
      </c>
      <c r="C1573" t="str">
        <f>VLOOKUP(B1573,专业代码!$B$2:$C$8,2,FALSE)</f>
        <v>会计学</v>
      </c>
      <c r="D1573">
        <v>8.5</v>
      </c>
      <c r="E1573">
        <v>9.3</v>
      </c>
      <c r="F1573">
        <v>8.4</v>
      </c>
      <c r="G1573">
        <v>9.6</v>
      </c>
      <c r="H1573">
        <v>9</v>
      </c>
      <c r="I1573">
        <v>8.6</v>
      </c>
      <c r="J1573">
        <v>7.3</v>
      </c>
      <c r="K1573">
        <v>8.4</v>
      </c>
      <c r="L1573">
        <v>7.5</v>
      </c>
      <c r="M1573">
        <v>6.9</v>
      </c>
      <c r="N1573">
        <f t="shared" si="24"/>
        <v>83.5</v>
      </c>
    </row>
    <row r="1574" spans="1:14">
      <c r="A1574">
        <v>20203618</v>
      </c>
      <c r="B1574" t="s">
        <v>14</v>
      </c>
      <c r="C1574" t="str">
        <f>VLOOKUP(B1574,专业代码!$B$2:$C$8,2,FALSE)</f>
        <v>会计学</v>
      </c>
      <c r="D1574">
        <v>8.6</v>
      </c>
      <c r="E1574">
        <v>9.4</v>
      </c>
      <c r="F1574">
        <v>9.8</v>
      </c>
      <c r="G1574">
        <v>7</v>
      </c>
      <c r="H1574">
        <v>7.4</v>
      </c>
      <c r="I1574">
        <v>7.6</v>
      </c>
      <c r="J1574">
        <v>8.6</v>
      </c>
      <c r="K1574">
        <v>8.5</v>
      </c>
      <c r="L1574">
        <v>7.6</v>
      </c>
      <c r="M1574">
        <v>7.5</v>
      </c>
      <c r="N1574">
        <f t="shared" si="24"/>
        <v>82</v>
      </c>
    </row>
    <row r="1575" spans="1:14">
      <c r="A1575">
        <v>20204177</v>
      </c>
      <c r="B1575" t="s">
        <v>14</v>
      </c>
      <c r="C1575" t="str">
        <f>VLOOKUP(B1575,专业代码!$B$2:$C$8,2,FALSE)</f>
        <v>会计学</v>
      </c>
      <c r="D1575">
        <v>8.6</v>
      </c>
      <c r="E1575">
        <v>8.5</v>
      </c>
      <c r="F1575">
        <v>9.2</v>
      </c>
      <c r="G1575">
        <v>8.1</v>
      </c>
      <c r="H1575">
        <v>6.6</v>
      </c>
      <c r="I1575">
        <v>7.6</v>
      </c>
      <c r="J1575">
        <v>7.7</v>
      </c>
      <c r="K1575">
        <v>7.6</v>
      </c>
      <c r="L1575">
        <v>6</v>
      </c>
      <c r="M1575">
        <v>4.4</v>
      </c>
      <c r="N1575">
        <f t="shared" si="24"/>
        <v>74.3</v>
      </c>
    </row>
    <row r="1576" spans="1:14">
      <c r="A1576">
        <v>20204279</v>
      </c>
      <c r="B1576" t="s">
        <v>14</v>
      </c>
      <c r="C1576" t="str">
        <f>VLOOKUP(B1576,专业代码!$B$2:$C$8,2,FALSE)</f>
        <v>会计学</v>
      </c>
      <c r="D1576">
        <v>8</v>
      </c>
      <c r="E1576">
        <v>9.1</v>
      </c>
      <c r="F1576">
        <v>8.7</v>
      </c>
      <c r="G1576">
        <v>8.6</v>
      </c>
      <c r="H1576">
        <v>8</v>
      </c>
      <c r="I1576">
        <v>7.7</v>
      </c>
      <c r="J1576">
        <v>5.3</v>
      </c>
      <c r="K1576">
        <v>5.4</v>
      </c>
      <c r="L1576">
        <v>7.5</v>
      </c>
      <c r="M1576">
        <v>5.3</v>
      </c>
      <c r="N1576">
        <f t="shared" si="24"/>
        <v>73.6</v>
      </c>
    </row>
    <row r="1577" spans="1:14">
      <c r="A1577">
        <v>20205872</v>
      </c>
      <c r="B1577" t="s">
        <v>14</v>
      </c>
      <c r="C1577" t="str">
        <f>VLOOKUP(B1577,专业代码!$B$2:$C$8,2,FALSE)</f>
        <v>会计学</v>
      </c>
      <c r="D1577">
        <v>8.7</v>
      </c>
      <c r="E1577">
        <v>8.3</v>
      </c>
      <c r="F1577">
        <v>8.6</v>
      </c>
      <c r="G1577">
        <v>7.8</v>
      </c>
      <c r="H1577">
        <v>7.4</v>
      </c>
      <c r="I1577">
        <v>8</v>
      </c>
      <c r="J1577">
        <v>8.6</v>
      </c>
      <c r="K1577">
        <v>5.8</v>
      </c>
      <c r="L1577">
        <v>9.1</v>
      </c>
      <c r="M1577">
        <v>6.5</v>
      </c>
      <c r="N1577">
        <f t="shared" si="24"/>
        <v>78.8</v>
      </c>
    </row>
    <row r="1578" spans="1:14">
      <c r="A1578">
        <v>20207150</v>
      </c>
      <c r="B1578" t="s">
        <v>14</v>
      </c>
      <c r="C1578" t="str">
        <f>VLOOKUP(B1578,专业代码!$B$2:$C$8,2,FALSE)</f>
        <v>会计学</v>
      </c>
      <c r="D1578">
        <v>8.9</v>
      </c>
      <c r="E1578">
        <v>7.7</v>
      </c>
      <c r="F1578">
        <v>8</v>
      </c>
      <c r="G1578">
        <v>9.3</v>
      </c>
      <c r="H1578">
        <v>8.9</v>
      </c>
      <c r="I1578">
        <v>8</v>
      </c>
      <c r="J1578">
        <v>7.8</v>
      </c>
      <c r="K1578">
        <v>9.1</v>
      </c>
      <c r="L1578">
        <v>8.2</v>
      </c>
      <c r="M1578">
        <v>6.3</v>
      </c>
      <c r="N1578">
        <f t="shared" si="24"/>
        <v>82.2</v>
      </c>
    </row>
    <row r="1579" spans="1:14">
      <c r="A1579">
        <v>20208577</v>
      </c>
      <c r="B1579" t="s">
        <v>14</v>
      </c>
      <c r="C1579" t="str">
        <f>VLOOKUP(B1579,专业代码!$B$2:$C$8,2,FALSE)</f>
        <v>会计学</v>
      </c>
      <c r="D1579">
        <v>9.1</v>
      </c>
      <c r="E1579">
        <v>8.2</v>
      </c>
      <c r="F1579">
        <v>8.4</v>
      </c>
      <c r="G1579">
        <v>8.1</v>
      </c>
      <c r="H1579">
        <v>7.7</v>
      </c>
      <c r="I1579">
        <v>9.5</v>
      </c>
      <c r="J1579">
        <v>6.3</v>
      </c>
      <c r="K1579">
        <v>9.1</v>
      </c>
      <c r="L1579">
        <v>6.9</v>
      </c>
      <c r="M1579">
        <v>6.2</v>
      </c>
      <c r="N1579">
        <f t="shared" si="24"/>
        <v>79.5</v>
      </c>
    </row>
    <row r="1580" spans="1:14">
      <c r="A1580">
        <v>20209442</v>
      </c>
      <c r="B1580" t="s">
        <v>14</v>
      </c>
      <c r="C1580" t="str">
        <f>VLOOKUP(B1580,专业代码!$B$2:$C$8,2,FALSE)</f>
        <v>会计学</v>
      </c>
      <c r="D1580">
        <v>8.8</v>
      </c>
      <c r="E1580">
        <v>9.2</v>
      </c>
      <c r="F1580">
        <v>8.7</v>
      </c>
      <c r="G1580">
        <v>7.8</v>
      </c>
      <c r="H1580">
        <v>7.4</v>
      </c>
      <c r="I1580">
        <v>6.7</v>
      </c>
      <c r="J1580">
        <v>7</v>
      </c>
      <c r="K1580">
        <v>7.6</v>
      </c>
      <c r="L1580">
        <v>8.2</v>
      </c>
      <c r="M1580">
        <v>7.7</v>
      </c>
      <c r="N1580">
        <f t="shared" si="24"/>
        <v>79.1</v>
      </c>
    </row>
    <row r="1581" spans="1:14">
      <c r="A1581">
        <v>20204735</v>
      </c>
      <c r="B1581" t="s">
        <v>14</v>
      </c>
      <c r="C1581" t="str">
        <f>VLOOKUP(B1581,专业代码!$B$2:$C$8,2,FALSE)</f>
        <v>会计学</v>
      </c>
      <c r="D1581">
        <v>6.8</v>
      </c>
      <c r="E1581">
        <v>7.6</v>
      </c>
      <c r="F1581">
        <v>6.5</v>
      </c>
      <c r="G1581">
        <v>6.7</v>
      </c>
      <c r="H1581">
        <v>6.9</v>
      </c>
      <c r="I1581">
        <v>6.5</v>
      </c>
      <c r="J1581">
        <v>6.3</v>
      </c>
      <c r="K1581">
        <v>5.3</v>
      </c>
      <c r="L1581">
        <v>6</v>
      </c>
      <c r="M1581">
        <v>6.4</v>
      </c>
      <c r="N1581">
        <f t="shared" si="24"/>
        <v>65</v>
      </c>
    </row>
    <row r="1582" spans="1:14">
      <c r="A1582">
        <v>20204811</v>
      </c>
      <c r="B1582" t="s">
        <v>14</v>
      </c>
      <c r="C1582" t="str">
        <f>VLOOKUP(B1582,专业代码!$B$2:$C$8,2,FALSE)</f>
        <v>会计学</v>
      </c>
      <c r="D1582">
        <v>7</v>
      </c>
      <c r="E1582">
        <v>8</v>
      </c>
      <c r="F1582">
        <v>7.8</v>
      </c>
      <c r="G1582">
        <v>7.2</v>
      </c>
      <c r="H1582">
        <v>6.7</v>
      </c>
      <c r="I1582">
        <v>6.6</v>
      </c>
      <c r="J1582">
        <v>7</v>
      </c>
      <c r="K1582">
        <v>6.1</v>
      </c>
      <c r="L1582">
        <v>7.9</v>
      </c>
      <c r="M1582">
        <v>3.4</v>
      </c>
      <c r="N1582">
        <f t="shared" si="24"/>
        <v>67.7</v>
      </c>
    </row>
    <row r="1583" spans="1:14">
      <c r="A1583">
        <v>20204938</v>
      </c>
      <c r="B1583" t="s">
        <v>14</v>
      </c>
      <c r="C1583" t="str">
        <f>VLOOKUP(B1583,专业代码!$B$2:$C$8,2,FALSE)</f>
        <v>会计学</v>
      </c>
      <c r="D1583">
        <v>8.1</v>
      </c>
      <c r="E1583">
        <v>7.8</v>
      </c>
      <c r="F1583">
        <v>7.3</v>
      </c>
      <c r="G1583">
        <v>6.9</v>
      </c>
      <c r="H1583">
        <v>7.2</v>
      </c>
      <c r="I1583">
        <v>6.5</v>
      </c>
      <c r="J1583">
        <v>6.4</v>
      </c>
      <c r="K1583">
        <v>7.3</v>
      </c>
      <c r="L1583">
        <v>5.4</v>
      </c>
      <c r="M1583">
        <v>5.6</v>
      </c>
      <c r="N1583">
        <f t="shared" si="24"/>
        <v>68.5</v>
      </c>
    </row>
    <row r="1584" spans="1:14">
      <c r="A1584">
        <v>20204961</v>
      </c>
      <c r="B1584" t="s">
        <v>14</v>
      </c>
      <c r="C1584" t="str">
        <f>VLOOKUP(B1584,专业代码!$B$2:$C$8,2,FALSE)</f>
        <v>会计学</v>
      </c>
      <c r="D1584">
        <v>7.8</v>
      </c>
      <c r="E1584">
        <v>7.5</v>
      </c>
      <c r="F1584">
        <v>8.6</v>
      </c>
      <c r="G1584">
        <v>6.3</v>
      </c>
      <c r="H1584">
        <v>7.1</v>
      </c>
      <c r="I1584">
        <v>5.2</v>
      </c>
      <c r="J1584">
        <v>7.5</v>
      </c>
      <c r="K1584">
        <v>6.4</v>
      </c>
      <c r="L1584">
        <v>6.4</v>
      </c>
      <c r="M1584">
        <v>6.7</v>
      </c>
      <c r="N1584">
        <f t="shared" si="24"/>
        <v>69.5</v>
      </c>
    </row>
    <row r="1585" spans="1:14">
      <c r="A1585">
        <v>20207264</v>
      </c>
      <c r="B1585" t="s">
        <v>14</v>
      </c>
      <c r="C1585" t="str">
        <f>VLOOKUP(B1585,专业代码!$B$2:$C$8,2,FALSE)</f>
        <v>会计学</v>
      </c>
      <c r="D1585">
        <v>7.5</v>
      </c>
      <c r="E1585">
        <v>7.2</v>
      </c>
      <c r="F1585">
        <v>7.9</v>
      </c>
      <c r="G1585">
        <v>7.5</v>
      </c>
      <c r="H1585">
        <v>7.1</v>
      </c>
      <c r="I1585">
        <v>6.1</v>
      </c>
      <c r="J1585">
        <v>6.3</v>
      </c>
      <c r="K1585">
        <v>5.9</v>
      </c>
      <c r="L1585">
        <v>6.4</v>
      </c>
      <c r="M1585">
        <v>6.5</v>
      </c>
      <c r="N1585">
        <f t="shared" si="24"/>
        <v>68.4</v>
      </c>
    </row>
    <row r="1586" spans="1:14">
      <c r="A1586">
        <v>20208382</v>
      </c>
      <c r="B1586" t="s">
        <v>14</v>
      </c>
      <c r="C1586" t="str">
        <f>VLOOKUP(B1586,专业代码!$B$2:$C$8,2,FALSE)</f>
        <v>会计学</v>
      </c>
      <c r="D1586">
        <v>7.3</v>
      </c>
      <c r="E1586">
        <v>6.9</v>
      </c>
      <c r="F1586">
        <v>7.7</v>
      </c>
      <c r="G1586">
        <v>7.9</v>
      </c>
      <c r="H1586">
        <v>4.9</v>
      </c>
      <c r="I1586">
        <v>7.5</v>
      </c>
      <c r="J1586">
        <v>6.4</v>
      </c>
      <c r="K1586">
        <v>6.8</v>
      </c>
      <c r="L1586">
        <v>5.9</v>
      </c>
      <c r="M1586">
        <v>6.4</v>
      </c>
      <c r="N1586">
        <f t="shared" si="24"/>
        <v>67.7</v>
      </c>
    </row>
    <row r="1587" spans="1:14">
      <c r="A1587">
        <v>20204610</v>
      </c>
      <c r="B1587" t="s">
        <v>14</v>
      </c>
      <c r="C1587" t="str">
        <f>VLOOKUP(B1587,专业代码!$B$2:$C$8,2,FALSE)</f>
        <v>会计学</v>
      </c>
      <c r="D1587">
        <v>7</v>
      </c>
      <c r="E1587">
        <v>6.7</v>
      </c>
      <c r="F1587">
        <v>8.1</v>
      </c>
      <c r="G1587">
        <v>8.5</v>
      </c>
      <c r="H1587">
        <v>6.3</v>
      </c>
      <c r="I1587">
        <v>6.2</v>
      </c>
      <c r="J1587">
        <v>6</v>
      </c>
      <c r="K1587">
        <v>6.6</v>
      </c>
      <c r="L1587">
        <v>6.9</v>
      </c>
      <c r="M1587">
        <v>6.5</v>
      </c>
      <c r="N1587">
        <f t="shared" si="24"/>
        <v>68.8</v>
      </c>
    </row>
    <row r="1588" spans="1:14">
      <c r="A1588">
        <v>20204940</v>
      </c>
      <c r="B1588" t="s">
        <v>14</v>
      </c>
      <c r="C1588" t="str">
        <f>VLOOKUP(B1588,专业代码!$B$2:$C$8,2,FALSE)</f>
        <v>会计学</v>
      </c>
      <c r="D1588">
        <v>7.5</v>
      </c>
      <c r="E1588">
        <v>8.8</v>
      </c>
      <c r="F1588">
        <v>8.2</v>
      </c>
      <c r="G1588">
        <v>5.8</v>
      </c>
      <c r="H1588">
        <v>7</v>
      </c>
      <c r="I1588">
        <v>7.6</v>
      </c>
      <c r="J1588">
        <v>6.6</v>
      </c>
      <c r="K1588">
        <v>6.6</v>
      </c>
      <c r="L1588">
        <v>7.2</v>
      </c>
      <c r="M1588">
        <v>6.3</v>
      </c>
      <c r="N1588">
        <f t="shared" si="24"/>
        <v>71.6</v>
      </c>
    </row>
    <row r="1589" spans="1:14">
      <c r="A1589">
        <v>20205423</v>
      </c>
      <c r="B1589" t="s">
        <v>14</v>
      </c>
      <c r="C1589" t="str">
        <f>VLOOKUP(B1589,专业代码!$B$2:$C$8,2,FALSE)</f>
        <v>会计学</v>
      </c>
      <c r="D1589">
        <v>7.2</v>
      </c>
      <c r="E1589">
        <v>7.3</v>
      </c>
      <c r="F1589">
        <v>7.4</v>
      </c>
      <c r="G1589">
        <v>6.9</v>
      </c>
      <c r="H1589">
        <v>5.8</v>
      </c>
      <c r="I1589">
        <v>7.4</v>
      </c>
      <c r="J1589">
        <v>6.9</v>
      </c>
      <c r="K1589">
        <v>6.1</v>
      </c>
      <c r="L1589">
        <v>7.6</v>
      </c>
      <c r="M1589">
        <v>7.1</v>
      </c>
      <c r="N1589">
        <f t="shared" si="24"/>
        <v>69.7</v>
      </c>
    </row>
    <row r="1590" spans="1:14">
      <c r="A1590">
        <v>20207036</v>
      </c>
      <c r="B1590" t="s">
        <v>14</v>
      </c>
      <c r="C1590" t="str">
        <f>VLOOKUP(B1590,专业代码!$B$2:$C$8,2,FALSE)</f>
        <v>会计学</v>
      </c>
      <c r="D1590">
        <v>7.2</v>
      </c>
      <c r="E1590">
        <v>7.1</v>
      </c>
      <c r="F1590">
        <v>6.8</v>
      </c>
      <c r="G1590">
        <v>7.9</v>
      </c>
      <c r="H1590">
        <v>6.1</v>
      </c>
      <c r="I1590">
        <v>6</v>
      </c>
      <c r="J1590">
        <v>5.4</v>
      </c>
      <c r="K1590">
        <v>6.6</v>
      </c>
      <c r="L1590">
        <v>6.4</v>
      </c>
      <c r="M1590">
        <v>6.3</v>
      </c>
      <c r="N1590">
        <f t="shared" si="24"/>
        <v>65.8</v>
      </c>
    </row>
    <row r="1591" spans="1:14">
      <c r="A1591">
        <v>20208805</v>
      </c>
      <c r="B1591" t="s">
        <v>14</v>
      </c>
      <c r="C1591" t="str">
        <f>VLOOKUP(B1591,专业代码!$B$2:$C$8,2,FALSE)</f>
        <v>会计学</v>
      </c>
      <c r="D1591">
        <v>7.4</v>
      </c>
      <c r="E1591">
        <v>7.1</v>
      </c>
      <c r="F1591">
        <v>7.3</v>
      </c>
      <c r="G1591">
        <v>7.6</v>
      </c>
      <c r="H1591">
        <v>8.6</v>
      </c>
      <c r="I1591">
        <v>7.1</v>
      </c>
      <c r="J1591">
        <v>6.5</v>
      </c>
      <c r="K1591">
        <v>5.2</v>
      </c>
      <c r="L1591">
        <v>5.7</v>
      </c>
      <c r="M1591">
        <v>6.9</v>
      </c>
      <c r="N1591">
        <f t="shared" si="24"/>
        <v>69.4</v>
      </c>
    </row>
    <row r="1592" spans="1:14">
      <c r="A1592">
        <v>20209187</v>
      </c>
      <c r="B1592" t="s">
        <v>14</v>
      </c>
      <c r="C1592" t="str">
        <f>VLOOKUP(B1592,专业代码!$B$2:$C$8,2,FALSE)</f>
        <v>会计学</v>
      </c>
      <c r="D1592">
        <v>7.9</v>
      </c>
      <c r="E1592">
        <v>8.1</v>
      </c>
      <c r="F1592">
        <v>6.8</v>
      </c>
      <c r="G1592">
        <v>6.4</v>
      </c>
      <c r="H1592">
        <v>4.8</v>
      </c>
      <c r="I1592">
        <v>8</v>
      </c>
      <c r="J1592">
        <v>7.1</v>
      </c>
      <c r="K1592">
        <v>6.5</v>
      </c>
      <c r="L1592">
        <v>4.5</v>
      </c>
      <c r="M1592">
        <v>6.3</v>
      </c>
      <c r="N1592">
        <f t="shared" si="24"/>
        <v>66.4</v>
      </c>
    </row>
    <row r="1593" spans="1:14">
      <c r="A1593">
        <v>20201024</v>
      </c>
      <c r="B1593" t="s">
        <v>14</v>
      </c>
      <c r="C1593" t="str">
        <f>VLOOKUP(B1593,专业代码!$B$2:$C$8,2,FALSE)</f>
        <v>会计学</v>
      </c>
      <c r="D1593">
        <v>7</v>
      </c>
      <c r="E1593">
        <v>6.8</v>
      </c>
      <c r="F1593">
        <v>7.5</v>
      </c>
      <c r="G1593">
        <v>7.3</v>
      </c>
      <c r="H1593">
        <v>7.2</v>
      </c>
      <c r="I1593">
        <v>6.7</v>
      </c>
      <c r="J1593">
        <v>7.7</v>
      </c>
      <c r="K1593">
        <v>5.1</v>
      </c>
      <c r="L1593">
        <v>6.9</v>
      </c>
      <c r="M1593">
        <v>6.2</v>
      </c>
      <c r="N1593">
        <f t="shared" si="24"/>
        <v>68.4</v>
      </c>
    </row>
    <row r="1594" spans="1:14">
      <c r="A1594">
        <v>20203110</v>
      </c>
      <c r="B1594" t="s">
        <v>14</v>
      </c>
      <c r="C1594" t="str">
        <f>VLOOKUP(B1594,专业代码!$B$2:$C$8,2,FALSE)</f>
        <v>会计学</v>
      </c>
      <c r="D1594">
        <v>7.4</v>
      </c>
      <c r="E1594">
        <v>7.9</v>
      </c>
      <c r="F1594">
        <v>7.2</v>
      </c>
      <c r="G1594">
        <v>6.7</v>
      </c>
      <c r="H1594">
        <v>6.9</v>
      </c>
      <c r="I1594">
        <v>6.7</v>
      </c>
      <c r="J1594">
        <v>5.7</v>
      </c>
      <c r="K1594">
        <v>7.5</v>
      </c>
      <c r="L1594">
        <v>7</v>
      </c>
      <c r="M1594">
        <v>4</v>
      </c>
      <c r="N1594">
        <f t="shared" si="24"/>
        <v>67</v>
      </c>
    </row>
    <row r="1595" spans="1:14">
      <c r="A1595">
        <v>20205301</v>
      </c>
      <c r="B1595" t="s">
        <v>14</v>
      </c>
      <c r="C1595" t="str">
        <f>VLOOKUP(B1595,专业代码!$B$2:$C$8,2,FALSE)</f>
        <v>会计学</v>
      </c>
      <c r="D1595">
        <v>7.5</v>
      </c>
      <c r="E1595">
        <v>7.4</v>
      </c>
      <c r="F1595">
        <v>6.3</v>
      </c>
      <c r="G1595">
        <v>6.9</v>
      </c>
      <c r="H1595">
        <v>7.6</v>
      </c>
      <c r="I1595">
        <v>6.5</v>
      </c>
      <c r="J1595">
        <v>6.5</v>
      </c>
      <c r="K1595">
        <v>5.8</v>
      </c>
      <c r="L1595">
        <v>6.8</v>
      </c>
      <c r="M1595">
        <v>6.7</v>
      </c>
      <c r="N1595">
        <f t="shared" si="24"/>
        <v>68</v>
      </c>
    </row>
    <row r="1596" spans="1:14">
      <c r="A1596">
        <v>20205943</v>
      </c>
      <c r="B1596" t="s">
        <v>14</v>
      </c>
      <c r="C1596" t="str">
        <f>VLOOKUP(B1596,专业代码!$B$2:$C$8,2,FALSE)</f>
        <v>会计学</v>
      </c>
      <c r="D1596">
        <v>7.5</v>
      </c>
      <c r="E1596">
        <v>7</v>
      </c>
      <c r="F1596">
        <v>7.5</v>
      </c>
      <c r="G1596">
        <v>7.1</v>
      </c>
      <c r="H1596">
        <v>6.4</v>
      </c>
      <c r="I1596">
        <v>6.5</v>
      </c>
      <c r="J1596">
        <v>5.4</v>
      </c>
      <c r="K1596">
        <v>5.9</v>
      </c>
      <c r="L1596">
        <v>6.5</v>
      </c>
      <c r="M1596">
        <v>6.1</v>
      </c>
      <c r="N1596">
        <f t="shared" si="24"/>
        <v>65.9</v>
      </c>
    </row>
    <row r="1597" spans="1:14">
      <c r="A1597">
        <v>20207624</v>
      </c>
      <c r="B1597" t="s">
        <v>14</v>
      </c>
      <c r="C1597" t="str">
        <f>VLOOKUP(B1597,专业代码!$B$2:$C$8,2,FALSE)</f>
        <v>会计学</v>
      </c>
      <c r="D1597">
        <v>7.7</v>
      </c>
      <c r="E1597">
        <v>7.3</v>
      </c>
      <c r="F1597">
        <v>7.6</v>
      </c>
      <c r="G1597">
        <v>7.1</v>
      </c>
      <c r="H1597">
        <v>6.4</v>
      </c>
      <c r="I1597">
        <v>6.3</v>
      </c>
      <c r="J1597">
        <v>7.8</v>
      </c>
      <c r="K1597">
        <v>6.8</v>
      </c>
      <c r="L1597">
        <v>4.7</v>
      </c>
      <c r="M1597">
        <v>6.2</v>
      </c>
      <c r="N1597">
        <f t="shared" si="24"/>
        <v>67.9</v>
      </c>
    </row>
    <row r="1598" spans="1:14">
      <c r="A1598">
        <v>20207932</v>
      </c>
      <c r="B1598" t="s">
        <v>14</v>
      </c>
      <c r="C1598" t="str">
        <f>VLOOKUP(B1598,专业代码!$B$2:$C$8,2,FALSE)</f>
        <v>会计学</v>
      </c>
      <c r="D1598">
        <v>7.9</v>
      </c>
      <c r="E1598">
        <v>7.6</v>
      </c>
      <c r="F1598">
        <v>7.6</v>
      </c>
      <c r="G1598">
        <v>7.1</v>
      </c>
      <c r="H1598">
        <v>7.8</v>
      </c>
      <c r="I1598">
        <v>7.1</v>
      </c>
      <c r="J1598">
        <v>5.3</v>
      </c>
      <c r="K1598">
        <v>5.1</v>
      </c>
      <c r="L1598">
        <v>6.1</v>
      </c>
      <c r="M1598">
        <v>5.4</v>
      </c>
      <c r="N1598">
        <f t="shared" si="24"/>
        <v>67</v>
      </c>
    </row>
    <row r="1599" spans="1:14">
      <c r="A1599">
        <v>20209278</v>
      </c>
      <c r="B1599" t="s">
        <v>14</v>
      </c>
      <c r="C1599" t="str">
        <f>VLOOKUP(B1599,专业代码!$B$2:$C$8,2,FALSE)</f>
        <v>会计学</v>
      </c>
      <c r="D1599">
        <v>7.8</v>
      </c>
      <c r="E1599">
        <v>7.7</v>
      </c>
      <c r="F1599">
        <v>6.9</v>
      </c>
      <c r="G1599">
        <v>7.2</v>
      </c>
      <c r="H1599">
        <v>7.4</v>
      </c>
      <c r="I1599">
        <v>6.2</v>
      </c>
      <c r="J1599">
        <v>7</v>
      </c>
      <c r="K1599">
        <v>7.1</v>
      </c>
      <c r="L1599">
        <v>6.2</v>
      </c>
      <c r="M1599">
        <v>5.6</v>
      </c>
      <c r="N1599">
        <f t="shared" si="24"/>
        <v>69.1</v>
      </c>
    </row>
    <row r="1600" spans="1:14">
      <c r="A1600">
        <v>20201585</v>
      </c>
      <c r="B1600" t="s">
        <v>14</v>
      </c>
      <c r="C1600" t="str">
        <f>VLOOKUP(B1600,专业代码!$B$2:$C$8,2,FALSE)</f>
        <v>会计学</v>
      </c>
      <c r="D1600">
        <v>7.3</v>
      </c>
      <c r="E1600">
        <v>7.2</v>
      </c>
      <c r="F1600">
        <v>7.3</v>
      </c>
      <c r="G1600">
        <v>6.8</v>
      </c>
      <c r="H1600">
        <v>6.9</v>
      </c>
      <c r="I1600">
        <v>5.6</v>
      </c>
      <c r="J1600">
        <v>5.8</v>
      </c>
      <c r="K1600">
        <v>5</v>
      </c>
      <c r="L1600">
        <v>6.6</v>
      </c>
      <c r="M1600">
        <v>4.8</v>
      </c>
      <c r="N1600">
        <f t="shared" si="24"/>
        <v>63.3</v>
      </c>
    </row>
    <row r="1601" spans="1:14">
      <c r="A1601">
        <v>20202085</v>
      </c>
      <c r="B1601" t="s">
        <v>14</v>
      </c>
      <c r="C1601" t="str">
        <f>VLOOKUP(B1601,专业代码!$B$2:$C$8,2,FALSE)</f>
        <v>会计学</v>
      </c>
      <c r="D1601">
        <v>7.7</v>
      </c>
      <c r="E1601">
        <v>6.9</v>
      </c>
      <c r="F1601">
        <v>7.5</v>
      </c>
      <c r="G1601">
        <v>7</v>
      </c>
      <c r="H1601">
        <v>6.8</v>
      </c>
      <c r="I1601">
        <v>5.8</v>
      </c>
      <c r="J1601">
        <v>6.1</v>
      </c>
      <c r="K1601">
        <v>6.6</v>
      </c>
      <c r="L1601">
        <v>5.9</v>
      </c>
      <c r="M1601">
        <v>6.6</v>
      </c>
      <c r="N1601">
        <f t="shared" si="24"/>
        <v>66.9</v>
      </c>
    </row>
    <row r="1602" spans="1:14">
      <c r="A1602">
        <v>20202418</v>
      </c>
      <c r="B1602" t="s">
        <v>14</v>
      </c>
      <c r="C1602" t="str">
        <f>VLOOKUP(B1602,专业代码!$B$2:$C$8,2,FALSE)</f>
        <v>会计学</v>
      </c>
      <c r="D1602">
        <v>8.3</v>
      </c>
      <c r="E1602">
        <v>8.4</v>
      </c>
      <c r="F1602">
        <v>7.6</v>
      </c>
      <c r="G1602">
        <v>7.1</v>
      </c>
      <c r="H1602">
        <v>7.5</v>
      </c>
      <c r="I1602">
        <v>7.8</v>
      </c>
      <c r="J1602">
        <v>6.9</v>
      </c>
      <c r="K1602">
        <v>6.6</v>
      </c>
      <c r="L1602">
        <v>7</v>
      </c>
      <c r="M1602">
        <v>3.9</v>
      </c>
      <c r="N1602">
        <f t="shared" si="24"/>
        <v>71.1</v>
      </c>
    </row>
    <row r="1603" spans="1:14">
      <c r="A1603">
        <v>20203375</v>
      </c>
      <c r="B1603" t="s">
        <v>14</v>
      </c>
      <c r="C1603" t="str">
        <f>VLOOKUP(B1603,专业代码!$B$2:$C$8,2,FALSE)</f>
        <v>会计学</v>
      </c>
      <c r="D1603">
        <v>7.5</v>
      </c>
      <c r="E1603">
        <v>7.3</v>
      </c>
      <c r="F1603">
        <v>7.8</v>
      </c>
      <c r="G1603">
        <v>7.1</v>
      </c>
      <c r="H1603">
        <v>6.8</v>
      </c>
      <c r="I1603">
        <v>5.3</v>
      </c>
      <c r="J1603">
        <v>6.4</v>
      </c>
      <c r="K1603">
        <v>6.9</v>
      </c>
      <c r="L1603">
        <v>6.2</v>
      </c>
      <c r="M1603">
        <v>5.1</v>
      </c>
      <c r="N1603">
        <f t="shared" ref="N1603:N1666" si="25">SUM(D1603:M1603)</f>
        <v>66.4</v>
      </c>
    </row>
    <row r="1604" spans="1:14">
      <c r="A1604">
        <v>20208750</v>
      </c>
      <c r="B1604" t="s">
        <v>14</v>
      </c>
      <c r="C1604" t="str">
        <f>VLOOKUP(B1604,专业代码!$B$2:$C$8,2,FALSE)</f>
        <v>会计学</v>
      </c>
      <c r="D1604">
        <v>7.5</v>
      </c>
      <c r="E1604">
        <v>6.6</v>
      </c>
      <c r="F1604">
        <v>6.7</v>
      </c>
      <c r="G1604">
        <v>7.2</v>
      </c>
      <c r="H1604">
        <v>6.1</v>
      </c>
      <c r="I1604">
        <v>6.1</v>
      </c>
      <c r="J1604">
        <v>5.5</v>
      </c>
      <c r="K1604">
        <v>6.9</v>
      </c>
      <c r="L1604">
        <v>5.5</v>
      </c>
      <c r="M1604">
        <v>6.6</v>
      </c>
      <c r="N1604">
        <f t="shared" si="25"/>
        <v>64.7</v>
      </c>
    </row>
    <row r="1605" spans="1:14">
      <c r="A1605">
        <v>20209114</v>
      </c>
      <c r="B1605" t="s">
        <v>14</v>
      </c>
      <c r="C1605" t="str">
        <f>VLOOKUP(B1605,专业代码!$B$2:$C$8,2,FALSE)</f>
        <v>会计学</v>
      </c>
      <c r="D1605">
        <v>7.8</v>
      </c>
      <c r="E1605">
        <v>7.5</v>
      </c>
      <c r="F1605">
        <v>6.4</v>
      </c>
      <c r="G1605">
        <v>6.8</v>
      </c>
      <c r="H1605">
        <v>6.5</v>
      </c>
      <c r="I1605">
        <v>7.3</v>
      </c>
      <c r="J1605">
        <v>7.1</v>
      </c>
      <c r="K1605">
        <v>7.3</v>
      </c>
      <c r="L1605">
        <v>6.1</v>
      </c>
      <c r="M1605">
        <v>5.7</v>
      </c>
      <c r="N1605">
        <f t="shared" si="25"/>
        <v>68.5</v>
      </c>
    </row>
    <row r="1606" spans="1:14">
      <c r="A1606">
        <v>20209577</v>
      </c>
      <c r="B1606" t="s">
        <v>14</v>
      </c>
      <c r="C1606" t="str">
        <f>VLOOKUP(B1606,专业代码!$B$2:$C$8,2,FALSE)</f>
        <v>会计学</v>
      </c>
      <c r="D1606">
        <v>7.5</v>
      </c>
      <c r="E1606">
        <v>7.4</v>
      </c>
      <c r="F1606">
        <v>7.8</v>
      </c>
      <c r="G1606">
        <v>7.5</v>
      </c>
      <c r="H1606">
        <v>6.3</v>
      </c>
      <c r="I1606">
        <v>6.4</v>
      </c>
      <c r="J1606">
        <v>6.2</v>
      </c>
      <c r="K1606">
        <v>6.4</v>
      </c>
      <c r="L1606">
        <v>6.3</v>
      </c>
      <c r="M1606">
        <v>6.1</v>
      </c>
      <c r="N1606">
        <f t="shared" si="25"/>
        <v>67.9</v>
      </c>
    </row>
    <row r="1607" spans="1:14">
      <c r="A1607">
        <v>20202959</v>
      </c>
      <c r="B1607" t="s">
        <v>14</v>
      </c>
      <c r="C1607" t="str">
        <f>VLOOKUP(B1607,专业代码!$B$2:$C$8,2,FALSE)</f>
        <v>会计学</v>
      </c>
      <c r="D1607">
        <v>7.4</v>
      </c>
      <c r="E1607">
        <v>7.7</v>
      </c>
      <c r="F1607">
        <v>7.1</v>
      </c>
      <c r="G1607">
        <v>7.4</v>
      </c>
      <c r="H1607">
        <v>7.2</v>
      </c>
      <c r="I1607">
        <v>6.5</v>
      </c>
      <c r="J1607">
        <v>7.1</v>
      </c>
      <c r="K1607">
        <v>7.5</v>
      </c>
      <c r="L1607">
        <v>5.6</v>
      </c>
      <c r="M1607">
        <v>4.4</v>
      </c>
      <c r="N1607">
        <f t="shared" si="25"/>
        <v>67.9</v>
      </c>
    </row>
    <row r="1608" spans="1:14">
      <c r="A1608">
        <v>20204552</v>
      </c>
      <c r="B1608" t="s">
        <v>14</v>
      </c>
      <c r="C1608" t="str">
        <f>VLOOKUP(B1608,专业代码!$B$2:$C$8,2,FALSE)</f>
        <v>会计学</v>
      </c>
      <c r="D1608">
        <v>7.6</v>
      </c>
      <c r="E1608">
        <v>7.1</v>
      </c>
      <c r="F1608">
        <v>7.8</v>
      </c>
      <c r="G1608">
        <v>7.3</v>
      </c>
      <c r="H1608">
        <v>7.2</v>
      </c>
      <c r="I1608">
        <v>6.6</v>
      </c>
      <c r="J1608">
        <v>6.8</v>
      </c>
      <c r="K1608">
        <v>6.4</v>
      </c>
      <c r="L1608">
        <v>6</v>
      </c>
      <c r="M1608">
        <v>5.7</v>
      </c>
      <c r="N1608">
        <f t="shared" si="25"/>
        <v>68.5</v>
      </c>
    </row>
    <row r="1609" spans="1:14">
      <c r="A1609">
        <v>20204732</v>
      </c>
      <c r="B1609" t="s">
        <v>14</v>
      </c>
      <c r="C1609" t="str">
        <f>VLOOKUP(B1609,专业代码!$B$2:$C$8,2,FALSE)</f>
        <v>会计学</v>
      </c>
      <c r="D1609">
        <v>7.1</v>
      </c>
      <c r="E1609">
        <v>7.6</v>
      </c>
      <c r="F1609">
        <v>8.1</v>
      </c>
      <c r="G1609">
        <v>7.7</v>
      </c>
      <c r="H1609">
        <v>6.5</v>
      </c>
      <c r="I1609">
        <v>6.9</v>
      </c>
      <c r="J1609">
        <v>5.3</v>
      </c>
      <c r="K1609">
        <v>5.6</v>
      </c>
      <c r="L1609">
        <v>6.3</v>
      </c>
      <c r="M1609">
        <v>6</v>
      </c>
      <c r="N1609">
        <f t="shared" si="25"/>
        <v>67.1</v>
      </c>
    </row>
    <row r="1610" spans="1:14">
      <c r="A1610">
        <v>20204825</v>
      </c>
      <c r="B1610" t="s">
        <v>14</v>
      </c>
      <c r="C1610" t="str">
        <f>VLOOKUP(B1610,专业代码!$B$2:$C$8,2,FALSE)</f>
        <v>会计学</v>
      </c>
      <c r="D1610">
        <v>7.9</v>
      </c>
      <c r="E1610">
        <v>7.1</v>
      </c>
      <c r="F1610">
        <v>8</v>
      </c>
      <c r="G1610">
        <v>7.4</v>
      </c>
      <c r="H1610">
        <v>7.2</v>
      </c>
      <c r="I1610">
        <v>6.2</v>
      </c>
      <c r="J1610">
        <v>5.2</v>
      </c>
      <c r="K1610">
        <v>7.5</v>
      </c>
      <c r="L1610">
        <v>6.1</v>
      </c>
      <c r="M1610">
        <v>6.4</v>
      </c>
      <c r="N1610">
        <f t="shared" si="25"/>
        <v>69</v>
      </c>
    </row>
    <row r="1611" spans="1:14">
      <c r="A1611">
        <v>20205149</v>
      </c>
      <c r="B1611" t="s">
        <v>14</v>
      </c>
      <c r="C1611" t="str">
        <f>VLOOKUP(B1611,专业代码!$B$2:$C$8,2,FALSE)</f>
        <v>会计学</v>
      </c>
      <c r="D1611">
        <v>7.9</v>
      </c>
      <c r="E1611">
        <v>7.4</v>
      </c>
      <c r="F1611">
        <v>7.1</v>
      </c>
      <c r="G1611">
        <v>6.1</v>
      </c>
      <c r="H1611">
        <v>6.3</v>
      </c>
      <c r="I1611">
        <v>6.4</v>
      </c>
      <c r="J1611">
        <v>6.6</v>
      </c>
      <c r="K1611">
        <v>5.2</v>
      </c>
      <c r="L1611">
        <v>6.1</v>
      </c>
      <c r="M1611">
        <v>5.1</v>
      </c>
      <c r="N1611">
        <f t="shared" si="25"/>
        <v>64.2</v>
      </c>
    </row>
    <row r="1612" spans="1:14">
      <c r="A1612">
        <v>20209561</v>
      </c>
      <c r="B1612" t="s">
        <v>14</v>
      </c>
      <c r="C1612" t="str">
        <f>VLOOKUP(B1612,专业代码!$B$2:$C$8,2,FALSE)</f>
        <v>会计学</v>
      </c>
      <c r="D1612">
        <v>7.3</v>
      </c>
      <c r="E1612">
        <v>7.3</v>
      </c>
      <c r="F1612">
        <v>7</v>
      </c>
      <c r="G1612">
        <v>7.2</v>
      </c>
      <c r="H1612">
        <v>6.8</v>
      </c>
      <c r="I1612">
        <v>7.3</v>
      </c>
      <c r="J1612">
        <v>6.4</v>
      </c>
      <c r="K1612">
        <v>7</v>
      </c>
      <c r="L1612">
        <v>6</v>
      </c>
      <c r="M1612">
        <v>6.7</v>
      </c>
      <c r="N1612">
        <f t="shared" si="25"/>
        <v>69</v>
      </c>
    </row>
    <row r="1613" spans="1:14">
      <c r="A1613">
        <v>20201222</v>
      </c>
      <c r="B1613" t="s">
        <v>14</v>
      </c>
      <c r="C1613" t="str">
        <f>VLOOKUP(B1613,专业代码!$B$2:$C$8,2,FALSE)</f>
        <v>会计学</v>
      </c>
      <c r="D1613">
        <v>7.6</v>
      </c>
      <c r="E1613">
        <v>7.9</v>
      </c>
      <c r="F1613">
        <v>7.2</v>
      </c>
      <c r="G1613">
        <v>6.8</v>
      </c>
      <c r="H1613">
        <v>8.3</v>
      </c>
      <c r="I1613">
        <v>6.8</v>
      </c>
      <c r="J1613">
        <v>7.2</v>
      </c>
      <c r="K1613">
        <v>6.5</v>
      </c>
      <c r="L1613">
        <v>6.7</v>
      </c>
      <c r="M1613">
        <v>5.9</v>
      </c>
      <c r="N1613">
        <f t="shared" si="25"/>
        <v>70.9</v>
      </c>
    </row>
    <row r="1614" spans="1:14">
      <c r="A1614">
        <v>20202375</v>
      </c>
      <c r="B1614" t="s">
        <v>14</v>
      </c>
      <c r="C1614" t="str">
        <f>VLOOKUP(B1614,专业代码!$B$2:$C$8,2,FALSE)</f>
        <v>会计学</v>
      </c>
      <c r="D1614">
        <v>8.4</v>
      </c>
      <c r="E1614">
        <v>6.7</v>
      </c>
      <c r="F1614">
        <v>7.1</v>
      </c>
      <c r="G1614">
        <v>7.9</v>
      </c>
      <c r="H1614">
        <v>7</v>
      </c>
      <c r="I1614">
        <v>7</v>
      </c>
      <c r="J1614">
        <v>6.9</v>
      </c>
      <c r="K1614">
        <v>8.1</v>
      </c>
      <c r="L1614">
        <v>6.6</v>
      </c>
      <c r="M1614">
        <v>6.9</v>
      </c>
      <c r="N1614">
        <f t="shared" si="25"/>
        <v>72.6</v>
      </c>
    </row>
    <row r="1615" spans="1:14">
      <c r="A1615">
        <v>20202575</v>
      </c>
      <c r="B1615" t="s">
        <v>14</v>
      </c>
      <c r="C1615" t="str">
        <f>VLOOKUP(B1615,专业代码!$B$2:$C$8,2,FALSE)</f>
        <v>会计学</v>
      </c>
      <c r="D1615">
        <v>7.8</v>
      </c>
      <c r="E1615">
        <v>7.9</v>
      </c>
      <c r="F1615">
        <v>7.5</v>
      </c>
      <c r="G1615">
        <v>6.1</v>
      </c>
      <c r="H1615">
        <v>5.9</v>
      </c>
      <c r="I1615">
        <v>6.8</v>
      </c>
      <c r="J1615">
        <v>7</v>
      </c>
      <c r="K1615">
        <v>6.6</v>
      </c>
      <c r="L1615">
        <v>6.3</v>
      </c>
      <c r="M1615">
        <v>3.9</v>
      </c>
      <c r="N1615">
        <f t="shared" si="25"/>
        <v>65.8</v>
      </c>
    </row>
    <row r="1616" spans="1:14">
      <c r="A1616">
        <v>20202592</v>
      </c>
      <c r="B1616" t="s">
        <v>14</v>
      </c>
      <c r="C1616" t="str">
        <f>VLOOKUP(B1616,专业代码!$B$2:$C$8,2,FALSE)</f>
        <v>会计学</v>
      </c>
      <c r="D1616">
        <v>7.3</v>
      </c>
      <c r="E1616">
        <v>7</v>
      </c>
      <c r="F1616">
        <v>8.3</v>
      </c>
      <c r="G1616">
        <v>8</v>
      </c>
      <c r="H1616">
        <v>8.1</v>
      </c>
      <c r="I1616">
        <v>6.3</v>
      </c>
      <c r="J1616">
        <v>8.3</v>
      </c>
      <c r="K1616">
        <v>6.8</v>
      </c>
      <c r="L1616">
        <v>6.8</v>
      </c>
      <c r="M1616">
        <v>4.8</v>
      </c>
      <c r="N1616">
        <f t="shared" si="25"/>
        <v>71.7</v>
      </c>
    </row>
    <row r="1617" spans="1:14">
      <c r="A1617">
        <v>20203192</v>
      </c>
      <c r="B1617" t="s">
        <v>14</v>
      </c>
      <c r="C1617" t="str">
        <f>VLOOKUP(B1617,专业代码!$B$2:$C$8,2,FALSE)</f>
        <v>会计学</v>
      </c>
      <c r="D1617">
        <v>7.3</v>
      </c>
      <c r="E1617">
        <v>7.8</v>
      </c>
      <c r="F1617">
        <v>7.5</v>
      </c>
      <c r="G1617">
        <v>6.9</v>
      </c>
      <c r="H1617">
        <v>7.7</v>
      </c>
      <c r="I1617">
        <v>7.5</v>
      </c>
      <c r="J1617">
        <v>5.2</v>
      </c>
      <c r="K1617">
        <v>6.7</v>
      </c>
      <c r="L1617">
        <v>7.8</v>
      </c>
      <c r="M1617">
        <v>7.1</v>
      </c>
      <c r="N1617">
        <f t="shared" si="25"/>
        <v>71.5</v>
      </c>
    </row>
    <row r="1618" spans="1:14">
      <c r="A1618">
        <v>20204044</v>
      </c>
      <c r="B1618" t="s">
        <v>14</v>
      </c>
      <c r="C1618" t="str">
        <f>VLOOKUP(B1618,专业代码!$B$2:$C$8,2,FALSE)</f>
        <v>会计学</v>
      </c>
      <c r="D1618">
        <v>7.9</v>
      </c>
      <c r="E1618">
        <v>7</v>
      </c>
      <c r="F1618">
        <v>7.5</v>
      </c>
      <c r="G1618">
        <v>8.3</v>
      </c>
      <c r="H1618">
        <v>6.5</v>
      </c>
      <c r="I1618">
        <v>6.9</v>
      </c>
      <c r="J1618">
        <v>7.1</v>
      </c>
      <c r="K1618">
        <v>6.1</v>
      </c>
      <c r="L1618">
        <v>6.2</v>
      </c>
      <c r="M1618">
        <v>5.8</v>
      </c>
      <c r="N1618">
        <f t="shared" si="25"/>
        <v>69.3</v>
      </c>
    </row>
    <row r="1619" spans="1:14">
      <c r="A1619">
        <v>20204063</v>
      </c>
      <c r="B1619" t="s">
        <v>14</v>
      </c>
      <c r="C1619" t="str">
        <f>VLOOKUP(B1619,专业代码!$B$2:$C$8,2,FALSE)</f>
        <v>会计学</v>
      </c>
      <c r="D1619">
        <v>7.5</v>
      </c>
      <c r="E1619">
        <v>6.6</v>
      </c>
      <c r="F1619">
        <v>8.4</v>
      </c>
      <c r="G1619">
        <v>6.4</v>
      </c>
      <c r="H1619">
        <v>6.7</v>
      </c>
      <c r="I1619">
        <v>8</v>
      </c>
      <c r="J1619">
        <v>4.1</v>
      </c>
      <c r="K1619">
        <v>6.8</v>
      </c>
      <c r="L1619">
        <v>8.7</v>
      </c>
      <c r="M1619">
        <v>5.5</v>
      </c>
      <c r="N1619">
        <f t="shared" si="25"/>
        <v>68.7</v>
      </c>
    </row>
    <row r="1620" spans="1:14">
      <c r="A1620">
        <v>20204973</v>
      </c>
      <c r="B1620" t="s">
        <v>14</v>
      </c>
      <c r="C1620" t="str">
        <f>VLOOKUP(B1620,专业代码!$B$2:$C$8,2,FALSE)</f>
        <v>会计学</v>
      </c>
      <c r="D1620">
        <v>7.8</v>
      </c>
      <c r="E1620">
        <v>7.5</v>
      </c>
      <c r="F1620">
        <v>7.3</v>
      </c>
      <c r="G1620">
        <v>7</v>
      </c>
      <c r="H1620">
        <v>6.4</v>
      </c>
      <c r="I1620">
        <v>6.8</v>
      </c>
      <c r="J1620">
        <v>6.9</v>
      </c>
      <c r="K1620">
        <v>6</v>
      </c>
      <c r="L1620">
        <v>6.7</v>
      </c>
      <c r="M1620">
        <v>5.7</v>
      </c>
      <c r="N1620">
        <f t="shared" si="25"/>
        <v>68.1</v>
      </c>
    </row>
    <row r="1621" spans="1:14">
      <c r="A1621">
        <v>20205349</v>
      </c>
      <c r="B1621" t="s">
        <v>14</v>
      </c>
      <c r="C1621" t="str">
        <f>VLOOKUP(B1621,专业代码!$B$2:$C$8,2,FALSE)</f>
        <v>会计学</v>
      </c>
      <c r="D1621">
        <v>7.8</v>
      </c>
      <c r="E1621">
        <v>7.4</v>
      </c>
      <c r="F1621">
        <v>7</v>
      </c>
      <c r="G1621">
        <v>7</v>
      </c>
      <c r="H1621">
        <v>7.8</v>
      </c>
      <c r="I1621">
        <v>6.3</v>
      </c>
      <c r="J1621">
        <v>7</v>
      </c>
      <c r="K1621">
        <v>7.1</v>
      </c>
      <c r="L1621">
        <v>5.9</v>
      </c>
      <c r="M1621">
        <v>7.1</v>
      </c>
      <c r="N1621">
        <f t="shared" si="25"/>
        <v>70.4</v>
      </c>
    </row>
    <row r="1622" spans="1:14">
      <c r="A1622">
        <v>20206375</v>
      </c>
      <c r="B1622" t="s">
        <v>14</v>
      </c>
      <c r="C1622" t="str">
        <f>VLOOKUP(B1622,专业代码!$B$2:$C$8,2,FALSE)</f>
        <v>会计学</v>
      </c>
      <c r="D1622">
        <v>8.6</v>
      </c>
      <c r="E1622">
        <v>7.7</v>
      </c>
      <c r="F1622">
        <v>7.4</v>
      </c>
      <c r="G1622">
        <v>6.3</v>
      </c>
      <c r="H1622">
        <v>6.5</v>
      </c>
      <c r="I1622">
        <v>7.9</v>
      </c>
      <c r="J1622">
        <v>6.4</v>
      </c>
      <c r="K1622">
        <v>5.1</v>
      </c>
      <c r="L1622">
        <v>3.8</v>
      </c>
      <c r="M1622">
        <v>4.5</v>
      </c>
      <c r="N1622">
        <f t="shared" si="25"/>
        <v>64.2</v>
      </c>
    </row>
    <row r="1623" spans="1:14">
      <c r="A1623">
        <v>20206864</v>
      </c>
      <c r="B1623" t="s">
        <v>14</v>
      </c>
      <c r="C1623" t="str">
        <f>VLOOKUP(B1623,专业代码!$B$2:$C$8,2,FALSE)</f>
        <v>会计学</v>
      </c>
      <c r="D1623">
        <v>6.9</v>
      </c>
      <c r="E1623">
        <v>7.6</v>
      </c>
      <c r="F1623">
        <v>7.9</v>
      </c>
      <c r="G1623">
        <v>7.7</v>
      </c>
      <c r="H1623">
        <v>6.2</v>
      </c>
      <c r="I1623">
        <v>5.7</v>
      </c>
      <c r="J1623">
        <v>6.7</v>
      </c>
      <c r="K1623">
        <v>5.5</v>
      </c>
      <c r="L1623">
        <v>6.7</v>
      </c>
      <c r="M1623">
        <v>3.7</v>
      </c>
      <c r="N1623">
        <f t="shared" si="25"/>
        <v>64.6</v>
      </c>
    </row>
    <row r="1624" spans="1:14">
      <c r="A1624">
        <v>20208160</v>
      </c>
      <c r="B1624" t="s">
        <v>14</v>
      </c>
      <c r="C1624" t="str">
        <f>VLOOKUP(B1624,专业代码!$B$2:$C$8,2,FALSE)</f>
        <v>会计学</v>
      </c>
      <c r="D1624">
        <v>7.4</v>
      </c>
      <c r="E1624">
        <v>7.5</v>
      </c>
      <c r="F1624">
        <v>7</v>
      </c>
      <c r="G1624">
        <v>8.1</v>
      </c>
      <c r="H1624">
        <v>6.5</v>
      </c>
      <c r="I1624">
        <v>5.5</v>
      </c>
      <c r="J1624">
        <v>6.7</v>
      </c>
      <c r="K1624">
        <v>4.3</v>
      </c>
      <c r="L1624">
        <v>6.3</v>
      </c>
      <c r="M1624">
        <v>4.9</v>
      </c>
      <c r="N1624">
        <f t="shared" si="25"/>
        <v>64.2</v>
      </c>
    </row>
    <row r="1625" spans="1:14">
      <c r="A1625">
        <v>20202467</v>
      </c>
      <c r="B1625" t="s">
        <v>14</v>
      </c>
      <c r="C1625" t="str">
        <f>VLOOKUP(B1625,专业代码!$B$2:$C$8,2,FALSE)</f>
        <v>会计学</v>
      </c>
      <c r="D1625">
        <v>8.2</v>
      </c>
      <c r="E1625">
        <v>7.1</v>
      </c>
      <c r="F1625">
        <v>7.1</v>
      </c>
      <c r="G1625">
        <v>6.5</v>
      </c>
      <c r="H1625">
        <v>6</v>
      </c>
      <c r="I1625">
        <v>7.6</v>
      </c>
      <c r="J1625">
        <v>6.6</v>
      </c>
      <c r="K1625">
        <v>6.5</v>
      </c>
      <c r="L1625">
        <v>6.4</v>
      </c>
      <c r="M1625">
        <v>4.9</v>
      </c>
      <c r="N1625">
        <f t="shared" si="25"/>
        <v>66.9</v>
      </c>
    </row>
    <row r="1626" spans="1:14">
      <c r="A1626">
        <v>20202989</v>
      </c>
      <c r="B1626" t="s">
        <v>14</v>
      </c>
      <c r="C1626" t="str">
        <f>VLOOKUP(B1626,专业代码!$B$2:$C$8,2,FALSE)</f>
        <v>会计学</v>
      </c>
      <c r="D1626">
        <v>7.1</v>
      </c>
      <c r="E1626">
        <v>7.7</v>
      </c>
      <c r="F1626">
        <v>7.2</v>
      </c>
      <c r="G1626">
        <v>7.2</v>
      </c>
      <c r="H1626">
        <v>6.9</v>
      </c>
      <c r="I1626">
        <v>8</v>
      </c>
      <c r="J1626">
        <v>6.2</v>
      </c>
      <c r="K1626">
        <v>7.3</v>
      </c>
      <c r="L1626">
        <v>5.4</v>
      </c>
      <c r="M1626">
        <v>6.1</v>
      </c>
      <c r="N1626">
        <f t="shared" si="25"/>
        <v>69.1</v>
      </c>
    </row>
    <row r="1627" spans="1:14">
      <c r="A1627">
        <v>20204446</v>
      </c>
      <c r="B1627" t="s">
        <v>14</v>
      </c>
      <c r="C1627" t="str">
        <f>VLOOKUP(B1627,专业代码!$B$2:$C$8,2,FALSE)</f>
        <v>会计学</v>
      </c>
      <c r="D1627">
        <v>7.5</v>
      </c>
      <c r="E1627">
        <v>7.8</v>
      </c>
      <c r="F1627">
        <v>7.1</v>
      </c>
      <c r="G1627">
        <v>6.7</v>
      </c>
      <c r="H1627">
        <v>8</v>
      </c>
      <c r="I1627">
        <v>7.4</v>
      </c>
      <c r="J1627">
        <v>6.8</v>
      </c>
      <c r="K1627">
        <v>5.8</v>
      </c>
      <c r="L1627">
        <v>5.4</v>
      </c>
      <c r="M1627">
        <v>6.3</v>
      </c>
      <c r="N1627">
        <f t="shared" si="25"/>
        <v>68.8</v>
      </c>
    </row>
    <row r="1628" spans="1:14">
      <c r="A1628">
        <v>20208298</v>
      </c>
      <c r="B1628" t="s">
        <v>14</v>
      </c>
      <c r="C1628" t="str">
        <f>VLOOKUP(B1628,专业代码!$B$2:$C$8,2,FALSE)</f>
        <v>会计学</v>
      </c>
      <c r="D1628">
        <v>7.4</v>
      </c>
      <c r="E1628">
        <v>7.3</v>
      </c>
      <c r="F1628">
        <v>6</v>
      </c>
      <c r="G1628">
        <v>7.8</v>
      </c>
      <c r="H1628">
        <v>7.3</v>
      </c>
      <c r="I1628">
        <v>7.9</v>
      </c>
      <c r="J1628">
        <v>7.4</v>
      </c>
      <c r="K1628">
        <v>7.7</v>
      </c>
      <c r="L1628">
        <v>6.7</v>
      </c>
      <c r="M1628">
        <v>7.4</v>
      </c>
      <c r="N1628">
        <f t="shared" si="25"/>
        <v>72.9</v>
      </c>
    </row>
    <row r="1629" spans="1:14">
      <c r="A1629">
        <v>20208823</v>
      </c>
      <c r="B1629" t="s">
        <v>14</v>
      </c>
      <c r="C1629" t="str">
        <f>VLOOKUP(B1629,专业代码!$B$2:$C$8,2,FALSE)</f>
        <v>会计学</v>
      </c>
      <c r="D1629">
        <v>8</v>
      </c>
      <c r="E1629">
        <v>6.8</v>
      </c>
      <c r="F1629">
        <v>7.7</v>
      </c>
      <c r="G1629">
        <v>6.8</v>
      </c>
      <c r="H1629">
        <v>6.6</v>
      </c>
      <c r="I1629">
        <v>6.6</v>
      </c>
      <c r="J1629">
        <v>6.4</v>
      </c>
      <c r="K1629">
        <v>5.8</v>
      </c>
      <c r="L1629">
        <v>4</v>
      </c>
      <c r="M1629">
        <v>5.3</v>
      </c>
      <c r="N1629">
        <f t="shared" si="25"/>
        <v>64</v>
      </c>
    </row>
    <row r="1630" spans="1:14">
      <c r="A1630">
        <v>20201092</v>
      </c>
      <c r="B1630" t="s">
        <v>14</v>
      </c>
      <c r="C1630" t="str">
        <f>VLOOKUP(B1630,专业代码!$B$2:$C$8,2,FALSE)</f>
        <v>会计学</v>
      </c>
      <c r="D1630">
        <v>7.4</v>
      </c>
      <c r="E1630">
        <v>7.7</v>
      </c>
      <c r="F1630">
        <v>7.5</v>
      </c>
      <c r="G1630">
        <v>6.4</v>
      </c>
      <c r="H1630">
        <v>7.4</v>
      </c>
      <c r="I1630">
        <v>7.7</v>
      </c>
      <c r="J1630">
        <v>7.4</v>
      </c>
      <c r="K1630">
        <v>7.1</v>
      </c>
      <c r="L1630">
        <v>6.1</v>
      </c>
      <c r="M1630">
        <v>5.5</v>
      </c>
      <c r="N1630">
        <f t="shared" si="25"/>
        <v>70.2</v>
      </c>
    </row>
    <row r="1631" spans="1:14">
      <c r="A1631">
        <v>20201479</v>
      </c>
      <c r="B1631" t="s">
        <v>14</v>
      </c>
      <c r="C1631" t="str">
        <f>VLOOKUP(B1631,专业代码!$B$2:$C$8,2,FALSE)</f>
        <v>会计学</v>
      </c>
      <c r="D1631">
        <v>7.1</v>
      </c>
      <c r="E1631">
        <v>7.2</v>
      </c>
      <c r="F1631">
        <v>8</v>
      </c>
      <c r="G1631">
        <v>6.5</v>
      </c>
      <c r="H1631">
        <v>7</v>
      </c>
      <c r="I1631">
        <v>7.2</v>
      </c>
      <c r="J1631">
        <v>6.5</v>
      </c>
      <c r="K1631">
        <v>6</v>
      </c>
      <c r="L1631">
        <v>5.8</v>
      </c>
      <c r="M1631">
        <v>5.1</v>
      </c>
      <c r="N1631">
        <f t="shared" si="25"/>
        <v>66.4</v>
      </c>
    </row>
    <row r="1632" spans="1:14">
      <c r="A1632">
        <v>20201690</v>
      </c>
      <c r="B1632" t="s">
        <v>14</v>
      </c>
      <c r="C1632" t="str">
        <f>VLOOKUP(B1632,专业代码!$B$2:$C$8,2,FALSE)</f>
        <v>会计学</v>
      </c>
      <c r="D1632">
        <v>8.1</v>
      </c>
      <c r="E1632">
        <v>7.4</v>
      </c>
      <c r="F1632">
        <v>7.9</v>
      </c>
      <c r="G1632">
        <v>6.9</v>
      </c>
      <c r="H1632">
        <v>5.1</v>
      </c>
      <c r="I1632">
        <v>6.9</v>
      </c>
      <c r="J1632">
        <v>6.5</v>
      </c>
      <c r="K1632">
        <v>6.1</v>
      </c>
      <c r="L1632">
        <v>5.2</v>
      </c>
      <c r="M1632">
        <v>7.4</v>
      </c>
      <c r="N1632">
        <f t="shared" si="25"/>
        <v>67.5</v>
      </c>
    </row>
    <row r="1633" spans="1:14">
      <c r="A1633">
        <v>20204276</v>
      </c>
      <c r="B1633" t="s">
        <v>14</v>
      </c>
      <c r="C1633" t="str">
        <f>VLOOKUP(B1633,专业代码!$B$2:$C$8,2,FALSE)</f>
        <v>会计学</v>
      </c>
      <c r="D1633">
        <v>7.7</v>
      </c>
      <c r="E1633">
        <v>7.3</v>
      </c>
      <c r="F1633">
        <v>7.3</v>
      </c>
      <c r="G1633">
        <v>6.9</v>
      </c>
      <c r="H1633">
        <v>8.5</v>
      </c>
      <c r="I1633">
        <v>6.2</v>
      </c>
      <c r="J1633">
        <v>6.3</v>
      </c>
      <c r="K1633">
        <v>6.4</v>
      </c>
      <c r="L1633">
        <v>5.6</v>
      </c>
      <c r="M1633">
        <v>5.8</v>
      </c>
      <c r="N1633">
        <f t="shared" si="25"/>
        <v>68</v>
      </c>
    </row>
    <row r="1634" spans="1:14">
      <c r="A1634">
        <v>20206648</v>
      </c>
      <c r="B1634" t="s">
        <v>14</v>
      </c>
      <c r="C1634" t="str">
        <f>VLOOKUP(B1634,专业代码!$B$2:$C$8,2,FALSE)</f>
        <v>会计学</v>
      </c>
      <c r="D1634">
        <v>7.9</v>
      </c>
      <c r="E1634">
        <v>7.8</v>
      </c>
      <c r="F1634">
        <v>7.4</v>
      </c>
      <c r="G1634">
        <v>7.1</v>
      </c>
      <c r="H1634">
        <v>6.8</v>
      </c>
      <c r="I1634">
        <v>7.9</v>
      </c>
      <c r="J1634">
        <v>6.1</v>
      </c>
      <c r="K1634">
        <v>6</v>
      </c>
      <c r="L1634">
        <v>5.7</v>
      </c>
      <c r="M1634">
        <v>5.1</v>
      </c>
      <c r="N1634">
        <f t="shared" si="25"/>
        <v>67.8</v>
      </c>
    </row>
    <row r="1635" spans="1:14">
      <c r="A1635">
        <v>20206982</v>
      </c>
      <c r="B1635" t="s">
        <v>14</v>
      </c>
      <c r="C1635" t="str">
        <f>VLOOKUP(B1635,专业代码!$B$2:$C$8,2,FALSE)</f>
        <v>会计学</v>
      </c>
      <c r="D1635">
        <v>8.4</v>
      </c>
      <c r="E1635">
        <v>8</v>
      </c>
      <c r="F1635">
        <v>7.5</v>
      </c>
      <c r="G1635">
        <v>7.9</v>
      </c>
      <c r="H1635">
        <v>7.7</v>
      </c>
      <c r="I1635">
        <v>6.6</v>
      </c>
      <c r="J1635">
        <v>6.7</v>
      </c>
      <c r="K1635">
        <v>6.2</v>
      </c>
      <c r="L1635">
        <v>5.1</v>
      </c>
      <c r="M1635">
        <v>8.6</v>
      </c>
      <c r="N1635">
        <f t="shared" si="25"/>
        <v>72.7</v>
      </c>
    </row>
    <row r="1636" spans="1:14">
      <c r="A1636">
        <v>20207417</v>
      </c>
      <c r="B1636" t="s">
        <v>14</v>
      </c>
      <c r="C1636" t="str">
        <f>VLOOKUP(B1636,专业代码!$B$2:$C$8,2,FALSE)</f>
        <v>会计学</v>
      </c>
      <c r="D1636">
        <v>7.9</v>
      </c>
      <c r="E1636">
        <v>7.3</v>
      </c>
      <c r="F1636">
        <v>7.8</v>
      </c>
      <c r="G1636">
        <v>7.1</v>
      </c>
      <c r="H1636">
        <v>7.8</v>
      </c>
      <c r="I1636">
        <v>5.7</v>
      </c>
      <c r="J1636">
        <v>6.1</v>
      </c>
      <c r="K1636">
        <v>6.9</v>
      </c>
      <c r="L1636">
        <v>5.6</v>
      </c>
      <c r="M1636">
        <v>5.1</v>
      </c>
      <c r="N1636">
        <f t="shared" si="25"/>
        <v>67.3</v>
      </c>
    </row>
    <row r="1637" spans="1:14">
      <c r="A1637">
        <v>20208419</v>
      </c>
      <c r="B1637" t="s">
        <v>14</v>
      </c>
      <c r="C1637" t="str">
        <f>VLOOKUP(B1637,专业代码!$B$2:$C$8,2,FALSE)</f>
        <v>会计学</v>
      </c>
      <c r="D1637">
        <v>7.7</v>
      </c>
      <c r="E1637">
        <v>7.3</v>
      </c>
      <c r="F1637">
        <v>7.1</v>
      </c>
      <c r="G1637">
        <v>7.8</v>
      </c>
      <c r="H1637">
        <v>7.5</v>
      </c>
      <c r="I1637">
        <v>7.8</v>
      </c>
      <c r="J1637">
        <v>7.9</v>
      </c>
      <c r="K1637">
        <v>5.4</v>
      </c>
      <c r="L1637">
        <v>6.1</v>
      </c>
      <c r="M1637">
        <v>5.4</v>
      </c>
      <c r="N1637">
        <f t="shared" si="25"/>
        <v>70</v>
      </c>
    </row>
    <row r="1638" spans="1:14">
      <c r="A1638">
        <v>20202611</v>
      </c>
      <c r="B1638" t="s">
        <v>14</v>
      </c>
      <c r="C1638" t="str">
        <f>VLOOKUP(B1638,专业代码!$B$2:$C$8,2,FALSE)</f>
        <v>会计学</v>
      </c>
      <c r="D1638">
        <v>7.1</v>
      </c>
      <c r="E1638">
        <v>6.3</v>
      </c>
      <c r="F1638">
        <v>7</v>
      </c>
      <c r="G1638">
        <v>7</v>
      </c>
      <c r="H1638">
        <v>7.3</v>
      </c>
      <c r="I1638">
        <v>6.6</v>
      </c>
      <c r="J1638">
        <v>7.2</v>
      </c>
      <c r="K1638">
        <v>6</v>
      </c>
      <c r="L1638">
        <v>5.3</v>
      </c>
      <c r="M1638">
        <v>6</v>
      </c>
      <c r="N1638">
        <f t="shared" si="25"/>
        <v>65.8</v>
      </c>
    </row>
    <row r="1639" spans="1:14">
      <c r="A1639">
        <v>20203716</v>
      </c>
      <c r="B1639" t="s">
        <v>14</v>
      </c>
      <c r="C1639" t="str">
        <f>VLOOKUP(B1639,专业代码!$B$2:$C$8,2,FALSE)</f>
        <v>会计学</v>
      </c>
      <c r="D1639">
        <v>7.7</v>
      </c>
      <c r="E1639">
        <v>7.4</v>
      </c>
      <c r="F1639">
        <v>7.8</v>
      </c>
      <c r="G1639">
        <v>6.6</v>
      </c>
      <c r="H1639">
        <v>6.3</v>
      </c>
      <c r="I1639">
        <v>6.4</v>
      </c>
      <c r="J1639">
        <v>6.5</v>
      </c>
      <c r="K1639">
        <v>5.8</v>
      </c>
      <c r="L1639">
        <v>5.8</v>
      </c>
      <c r="M1639">
        <v>6.7</v>
      </c>
      <c r="N1639">
        <f t="shared" si="25"/>
        <v>67</v>
      </c>
    </row>
    <row r="1640" spans="1:14">
      <c r="A1640">
        <v>20204997</v>
      </c>
      <c r="B1640" t="s">
        <v>14</v>
      </c>
      <c r="C1640" t="str">
        <f>VLOOKUP(B1640,专业代码!$B$2:$C$8,2,FALSE)</f>
        <v>会计学</v>
      </c>
      <c r="D1640">
        <v>8.1</v>
      </c>
      <c r="E1640">
        <v>8.9</v>
      </c>
      <c r="F1640">
        <v>6.3</v>
      </c>
      <c r="G1640">
        <v>6.7</v>
      </c>
      <c r="H1640">
        <v>7.3</v>
      </c>
      <c r="I1640">
        <v>6.2</v>
      </c>
      <c r="J1640">
        <v>6.3</v>
      </c>
      <c r="K1640">
        <v>6.9</v>
      </c>
      <c r="L1640">
        <v>7.4</v>
      </c>
      <c r="M1640">
        <v>6.5</v>
      </c>
      <c r="N1640">
        <f t="shared" si="25"/>
        <v>70.6</v>
      </c>
    </row>
    <row r="1641" spans="1:14">
      <c r="A1641">
        <v>20206386</v>
      </c>
      <c r="B1641" t="s">
        <v>14</v>
      </c>
      <c r="C1641" t="str">
        <f>VLOOKUP(B1641,专业代码!$B$2:$C$8,2,FALSE)</f>
        <v>会计学</v>
      </c>
      <c r="D1641">
        <v>7.8</v>
      </c>
      <c r="E1641">
        <v>7.8</v>
      </c>
      <c r="F1641">
        <v>6.6</v>
      </c>
      <c r="G1641">
        <v>8.1</v>
      </c>
      <c r="H1641">
        <v>7.6</v>
      </c>
      <c r="I1641">
        <v>4.8</v>
      </c>
      <c r="J1641">
        <v>7.6</v>
      </c>
      <c r="K1641">
        <v>8.1</v>
      </c>
      <c r="L1641">
        <v>5.9</v>
      </c>
      <c r="M1641">
        <v>7.1</v>
      </c>
      <c r="N1641">
        <f t="shared" si="25"/>
        <v>71.4</v>
      </c>
    </row>
    <row r="1642" spans="1:14">
      <c r="A1642">
        <v>20207272</v>
      </c>
      <c r="B1642" t="s">
        <v>14</v>
      </c>
      <c r="C1642" t="str">
        <f>VLOOKUP(B1642,专业代码!$B$2:$C$8,2,FALSE)</f>
        <v>会计学</v>
      </c>
      <c r="D1642">
        <v>7.6</v>
      </c>
      <c r="E1642">
        <v>7.9</v>
      </c>
      <c r="F1642">
        <v>6.4</v>
      </c>
      <c r="G1642">
        <v>7.5</v>
      </c>
      <c r="H1642">
        <v>6.9</v>
      </c>
      <c r="I1642">
        <v>6.4</v>
      </c>
      <c r="J1642">
        <v>6.9</v>
      </c>
      <c r="K1642">
        <v>6.6</v>
      </c>
      <c r="L1642">
        <v>5.3</v>
      </c>
      <c r="M1642">
        <v>8.3</v>
      </c>
      <c r="N1642">
        <f t="shared" si="25"/>
        <v>69.8</v>
      </c>
    </row>
    <row r="1643" spans="1:14">
      <c r="A1643">
        <v>20207587</v>
      </c>
      <c r="B1643" t="s">
        <v>14</v>
      </c>
      <c r="C1643" t="str">
        <f>VLOOKUP(B1643,专业代码!$B$2:$C$8,2,FALSE)</f>
        <v>会计学</v>
      </c>
      <c r="D1643">
        <v>7.8</v>
      </c>
      <c r="E1643">
        <v>7.4</v>
      </c>
      <c r="F1643">
        <v>7.6</v>
      </c>
      <c r="G1643">
        <v>6</v>
      </c>
      <c r="H1643">
        <v>8.2</v>
      </c>
      <c r="I1643">
        <v>6.2</v>
      </c>
      <c r="J1643">
        <v>5.5</v>
      </c>
      <c r="K1643">
        <v>6.2</v>
      </c>
      <c r="L1643">
        <v>7.1</v>
      </c>
      <c r="M1643">
        <v>4.7</v>
      </c>
      <c r="N1643">
        <f t="shared" si="25"/>
        <v>66.7</v>
      </c>
    </row>
    <row r="1644" spans="1:14">
      <c r="A1644">
        <v>20207962</v>
      </c>
      <c r="B1644" t="s">
        <v>14</v>
      </c>
      <c r="C1644" t="str">
        <f>VLOOKUP(B1644,专业代码!$B$2:$C$8,2,FALSE)</f>
        <v>会计学</v>
      </c>
      <c r="D1644">
        <v>7.2</v>
      </c>
      <c r="E1644">
        <v>7.1</v>
      </c>
      <c r="F1644">
        <v>7.2</v>
      </c>
      <c r="G1644">
        <v>8.1</v>
      </c>
      <c r="H1644">
        <v>7</v>
      </c>
      <c r="I1644">
        <v>5.8</v>
      </c>
      <c r="J1644">
        <v>7.6</v>
      </c>
      <c r="K1644">
        <v>7.4</v>
      </c>
      <c r="L1644">
        <v>6.4</v>
      </c>
      <c r="M1644">
        <v>4.7</v>
      </c>
      <c r="N1644">
        <f t="shared" si="25"/>
        <v>68.5</v>
      </c>
    </row>
    <row r="1645" spans="1:14">
      <c r="A1645">
        <v>20202485</v>
      </c>
      <c r="B1645" t="s">
        <v>14</v>
      </c>
      <c r="C1645" t="str">
        <f>VLOOKUP(B1645,专业代码!$B$2:$C$8,2,FALSE)</f>
        <v>会计学</v>
      </c>
      <c r="D1645">
        <v>8.2</v>
      </c>
      <c r="E1645">
        <v>7.7</v>
      </c>
      <c r="F1645">
        <v>7.7</v>
      </c>
      <c r="G1645">
        <v>7.7</v>
      </c>
      <c r="H1645">
        <v>7.2</v>
      </c>
      <c r="I1645">
        <v>6.5</v>
      </c>
      <c r="J1645">
        <v>6.1</v>
      </c>
      <c r="K1645">
        <v>6.8</v>
      </c>
      <c r="L1645">
        <v>6.6</v>
      </c>
      <c r="M1645">
        <v>6.2</v>
      </c>
      <c r="N1645">
        <f t="shared" si="25"/>
        <v>70.7</v>
      </c>
    </row>
    <row r="1646" spans="1:14">
      <c r="A1646">
        <v>20202559</v>
      </c>
      <c r="B1646" t="s">
        <v>14</v>
      </c>
      <c r="C1646" t="str">
        <f>VLOOKUP(B1646,专业代码!$B$2:$C$8,2,FALSE)</f>
        <v>会计学</v>
      </c>
      <c r="D1646">
        <v>7.6</v>
      </c>
      <c r="E1646">
        <v>7.9</v>
      </c>
      <c r="F1646">
        <v>7.5</v>
      </c>
      <c r="G1646">
        <v>7.3</v>
      </c>
      <c r="H1646">
        <v>6.6</v>
      </c>
      <c r="I1646">
        <v>6.1</v>
      </c>
      <c r="J1646">
        <v>6.3</v>
      </c>
      <c r="K1646">
        <v>8</v>
      </c>
      <c r="L1646">
        <v>5.3</v>
      </c>
      <c r="M1646">
        <v>6.2</v>
      </c>
      <c r="N1646">
        <f t="shared" si="25"/>
        <v>68.8</v>
      </c>
    </row>
    <row r="1647" spans="1:14">
      <c r="A1647">
        <v>20203421</v>
      </c>
      <c r="B1647" t="s">
        <v>14</v>
      </c>
      <c r="C1647" t="str">
        <f>VLOOKUP(B1647,专业代码!$B$2:$C$8,2,FALSE)</f>
        <v>会计学</v>
      </c>
      <c r="D1647">
        <v>6.6</v>
      </c>
      <c r="E1647">
        <v>8</v>
      </c>
      <c r="F1647">
        <v>7.9</v>
      </c>
      <c r="G1647">
        <v>6.9</v>
      </c>
      <c r="H1647">
        <v>7.2</v>
      </c>
      <c r="I1647">
        <v>7</v>
      </c>
      <c r="J1647">
        <v>5.8</v>
      </c>
      <c r="K1647">
        <v>5.5</v>
      </c>
      <c r="L1647">
        <v>6.2</v>
      </c>
      <c r="M1647">
        <v>5.7</v>
      </c>
      <c r="N1647">
        <f t="shared" si="25"/>
        <v>66.8</v>
      </c>
    </row>
    <row r="1648" spans="1:14">
      <c r="A1648">
        <v>20203986</v>
      </c>
      <c r="B1648" t="s">
        <v>14</v>
      </c>
      <c r="C1648" t="str">
        <f>VLOOKUP(B1648,专业代码!$B$2:$C$8,2,FALSE)</f>
        <v>会计学</v>
      </c>
      <c r="D1648">
        <v>7.6</v>
      </c>
      <c r="E1648">
        <v>7.7</v>
      </c>
      <c r="F1648">
        <v>8.1</v>
      </c>
      <c r="G1648">
        <v>7.5</v>
      </c>
      <c r="H1648">
        <v>6.9</v>
      </c>
      <c r="I1648">
        <v>5.1</v>
      </c>
      <c r="J1648">
        <v>6.4</v>
      </c>
      <c r="K1648">
        <v>7.2</v>
      </c>
      <c r="L1648">
        <v>7.7</v>
      </c>
      <c r="M1648">
        <v>4.9</v>
      </c>
      <c r="N1648">
        <f t="shared" si="25"/>
        <v>69.1</v>
      </c>
    </row>
    <row r="1649" spans="1:14">
      <c r="A1649">
        <v>20204612</v>
      </c>
      <c r="B1649" t="s">
        <v>14</v>
      </c>
      <c r="C1649" t="str">
        <f>VLOOKUP(B1649,专业代码!$B$2:$C$8,2,FALSE)</f>
        <v>会计学</v>
      </c>
      <c r="D1649">
        <v>8</v>
      </c>
      <c r="E1649">
        <v>7.1</v>
      </c>
      <c r="F1649">
        <v>7.4</v>
      </c>
      <c r="G1649">
        <v>7.4</v>
      </c>
      <c r="H1649">
        <v>5.5</v>
      </c>
      <c r="I1649">
        <v>6</v>
      </c>
      <c r="J1649">
        <v>7</v>
      </c>
      <c r="K1649">
        <v>6.7</v>
      </c>
      <c r="L1649">
        <v>6.6</v>
      </c>
      <c r="M1649">
        <v>4.7</v>
      </c>
      <c r="N1649">
        <f t="shared" si="25"/>
        <v>66.4</v>
      </c>
    </row>
    <row r="1650" spans="1:14">
      <c r="A1650">
        <v>20209151</v>
      </c>
      <c r="B1650" t="s">
        <v>14</v>
      </c>
      <c r="C1650" t="str">
        <f>VLOOKUP(B1650,专业代码!$B$2:$C$8,2,FALSE)</f>
        <v>会计学</v>
      </c>
      <c r="D1650">
        <v>7.6</v>
      </c>
      <c r="E1650">
        <v>7.1</v>
      </c>
      <c r="F1650">
        <v>7.7</v>
      </c>
      <c r="G1650">
        <v>7.7</v>
      </c>
      <c r="H1650">
        <v>6.9</v>
      </c>
      <c r="I1650">
        <v>6.3</v>
      </c>
      <c r="J1650">
        <v>6.2</v>
      </c>
      <c r="K1650">
        <v>6.8</v>
      </c>
      <c r="L1650">
        <v>6.2</v>
      </c>
      <c r="M1650">
        <v>5.9</v>
      </c>
      <c r="N1650">
        <f t="shared" si="25"/>
        <v>68.4</v>
      </c>
    </row>
    <row r="1651" spans="1:14">
      <c r="A1651">
        <v>20201327</v>
      </c>
      <c r="B1651" t="s">
        <v>14</v>
      </c>
      <c r="C1651" t="str">
        <f>VLOOKUP(B1651,专业代码!$B$2:$C$8,2,FALSE)</f>
        <v>会计学</v>
      </c>
      <c r="D1651">
        <v>8.3</v>
      </c>
      <c r="E1651">
        <v>8.6</v>
      </c>
      <c r="F1651">
        <v>8.3</v>
      </c>
      <c r="G1651">
        <v>7.5</v>
      </c>
      <c r="H1651">
        <v>7.8</v>
      </c>
      <c r="I1651">
        <v>5.4</v>
      </c>
      <c r="J1651">
        <v>5.6</v>
      </c>
      <c r="K1651">
        <v>7.3</v>
      </c>
      <c r="L1651">
        <v>7.4</v>
      </c>
      <c r="M1651">
        <v>5.5</v>
      </c>
      <c r="N1651">
        <f t="shared" si="25"/>
        <v>71.7</v>
      </c>
    </row>
    <row r="1652" spans="1:14">
      <c r="A1652">
        <v>20201805</v>
      </c>
      <c r="B1652" t="s">
        <v>14</v>
      </c>
      <c r="C1652" t="str">
        <f>VLOOKUP(B1652,专业代码!$B$2:$C$8,2,FALSE)</f>
        <v>会计学</v>
      </c>
      <c r="D1652">
        <v>7.2</v>
      </c>
      <c r="E1652">
        <v>8.3</v>
      </c>
      <c r="F1652">
        <v>7.3</v>
      </c>
      <c r="G1652">
        <v>7.9</v>
      </c>
      <c r="H1652">
        <v>7.4</v>
      </c>
      <c r="I1652">
        <v>7.1</v>
      </c>
      <c r="J1652">
        <v>7.3</v>
      </c>
      <c r="K1652">
        <v>6.7</v>
      </c>
      <c r="L1652">
        <v>6.3</v>
      </c>
      <c r="M1652">
        <v>5.8</v>
      </c>
      <c r="N1652">
        <f t="shared" si="25"/>
        <v>71.3</v>
      </c>
    </row>
    <row r="1653" spans="1:14">
      <c r="A1653">
        <v>20202119</v>
      </c>
      <c r="B1653" t="s">
        <v>14</v>
      </c>
      <c r="C1653" t="str">
        <f>VLOOKUP(B1653,专业代码!$B$2:$C$8,2,FALSE)</f>
        <v>会计学</v>
      </c>
      <c r="D1653">
        <v>7.6</v>
      </c>
      <c r="E1653">
        <v>7.4</v>
      </c>
      <c r="F1653">
        <v>7.2</v>
      </c>
      <c r="G1653">
        <v>9</v>
      </c>
      <c r="H1653">
        <v>8.4</v>
      </c>
      <c r="I1653">
        <v>8.3</v>
      </c>
      <c r="J1653">
        <v>7.7</v>
      </c>
      <c r="K1653">
        <v>6.4</v>
      </c>
      <c r="L1653">
        <v>6.2</v>
      </c>
      <c r="M1653">
        <v>6.3</v>
      </c>
      <c r="N1653">
        <f t="shared" si="25"/>
        <v>74.5</v>
      </c>
    </row>
    <row r="1654" spans="1:14">
      <c r="A1654">
        <v>20202177</v>
      </c>
      <c r="B1654" t="s">
        <v>14</v>
      </c>
      <c r="C1654" t="str">
        <f>VLOOKUP(B1654,专业代码!$B$2:$C$8,2,FALSE)</f>
        <v>会计学</v>
      </c>
      <c r="D1654">
        <v>7.5</v>
      </c>
      <c r="E1654">
        <v>8.3</v>
      </c>
      <c r="F1654">
        <v>9.3</v>
      </c>
      <c r="G1654">
        <v>7</v>
      </c>
      <c r="H1654">
        <v>7.2</v>
      </c>
      <c r="I1654">
        <v>6.1</v>
      </c>
      <c r="J1654">
        <v>6.3</v>
      </c>
      <c r="K1654">
        <v>6.3</v>
      </c>
      <c r="L1654">
        <v>6.9</v>
      </c>
      <c r="M1654">
        <v>5.3</v>
      </c>
      <c r="N1654">
        <f t="shared" si="25"/>
        <v>70.2</v>
      </c>
    </row>
    <row r="1655" spans="1:14">
      <c r="A1655">
        <v>20202667</v>
      </c>
      <c r="B1655" t="s">
        <v>14</v>
      </c>
      <c r="C1655" t="str">
        <f>VLOOKUP(B1655,专业代码!$B$2:$C$8,2,FALSE)</f>
        <v>会计学</v>
      </c>
      <c r="D1655">
        <v>8.7</v>
      </c>
      <c r="E1655">
        <v>8.4</v>
      </c>
      <c r="F1655">
        <v>8.5</v>
      </c>
      <c r="G1655">
        <v>8.5</v>
      </c>
      <c r="H1655">
        <v>7.8</v>
      </c>
      <c r="I1655">
        <v>6.1</v>
      </c>
      <c r="J1655">
        <v>7.2</v>
      </c>
      <c r="K1655">
        <v>7.8</v>
      </c>
      <c r="L1655">
        <v>5.9</v>
      </c>
      <c r="M1655">
        <v>6.9</v>
      </c>
      <c r="N1655">
        <f t="shared" si="25"/>
        <v>75.8</v>
      </c>
    </row>
    <row r="1656" spans="1:14">
      <c r="A1656">
        <v>20203841</v>
      </c>
      <c r="B1656" t="s">
        <v>14</v>
      </c>
      <c r="C1656" t="str">
        <f>VLOOKUP(B1656,专业代码!$B$2:$C$8,2,FALSE)</f>
        <v>会计学</v>
      </c>
      <c r="D1656">
        <v>7.6</v>
      </c>
      <c r="E1656">
        <v>7.5</v>
      </c>
      <c r="F1656">
        <v>7.9</v>
      </c>
      <c r="G1656">
        <v>6.8</v>
      </c>
      <c r="H1656">
        <v>6.6</v>
      </c>
      <c r="I1656">
        <v>7.5</v>
      </c>
      <c r="J1656">
        <v>6.3</v>
      </c>
      <c r="K1656">
        <v>7.1</v>
      </c>
      <c r="L1656">
        <v>5.7</v>
      </c>
      <c r="M1656">
        <v>5.8</v>
      </c>
      <c r="N1656">
        <f t="shared" si="25"/>
        <v>68.8</v>
      </c>
    </row>
    <row r="1657" spans="1:14">
      <c r="A1657">
        <v>20206816</v>
      </c>
      <c r="B1657" t="s">
        <v>14</v>
      </c>
      <c r="C1657" t="str">
        <f>VLOOKUP(B1657,专业代码!$B$2:$C$8,2,FALSE)</f>
        <v>会计学</v>
      </c>
      <c r="D1657">
        <v>8.1</v>
      </c>
      <c r="E1657">
        <v>8.7</v>
      </c>
      <c r="F1657">
        <v>7.9</v>
      </c>
      <c r="G1657">
        <v>8</v>
      </c>
      <c r="H1657">
        <v>7.1</v>
      </c>
      <c r="I1657">
        <v>7.4</v>
      </c>
      <c r="J1657">
        <v>7.7</v>
      </c>
      <c r="K1657">
        <v>6.9</v>
      </c>
      <c r="L1657">
        <v>5.6</v>
      </c>
      <c r="M1657">
        <v>7.2</v>
      </c>
      <c r="N1657">
        <f t="shared" si="25"/>
        <v>74.6</v>
      </c>
    </row>
    <row r="1658" spans="1:14">
      <c r="A1658">
        <v>20206920</v>
      </c>
      <c r="B1658" t="s">
        <v>14</v>
      </c>
      <c r="C1658" t="str">
        <f>VLOOKUP(B1658,专业代码!$B$2:$C$8,2,FALSE)</f>
        <v>会计学</v>
      </c>
      <c r="D1658">
        <v>7.4</v>
      </c>
      <c r="E1658">
        <v>8.5</v>
      </c>
      <c r="F1658">
        <v>7.3</v>
      </c>
      <c r="G1658">
        <v>7.6</v>
      </c>
      <c r="H1658">
        <v>7.9</v>
      </c>
      <c r="I1658">
        <v>7.9</v>
      </c>
      <c r="J1658">
        <v>7.3</v>
      </c>
      <c r="K1658">
        <v>7.9</v>
      </c>
      <c r="L1658">
        <v>4</v>
      </c>
      <c r="M1658">
        <v>7.4</v>
      </c>
      <c r="N1658">
        <f t="shared" si="25"/>
        <v>73.2</v>
      </c>
    </row>
    <row r="1659" spans="1:14">
      <c r="A1659">
        <v>20209177</v>
      </c>
      <c r="B1659" t="s">
        <v>14</v>
      </c>
      <c r="C1659" t="str">
        <f>VLOOKUP(B1659,专业代码!$B$2:$C$8,2,FALSE)</f>
        <v>会计学</v>
      </c>
      <c r="D1659">
        <v>8</v>
      </c>
      <c r="E1659">
        <v>7.9</v>
      </c>
      <c r="F1659">
        <v>7.6</v>
      </c>
      <c r="G1659">
        <v>8.4</v>
      </c>
      <c r="H1659">
        <v>8.4</v>
      </c>
      <c r="I1659">
        <v>7.6</v>
      </c>
      <c r="J1659">
        <v>7.5</v>
      </c>
      <c r="K1659">
        <v>5.5</v>
      </c>
      <c r="L1659">
        <v>7</v>
      </c>
      <c r="M1659">
        <v>6.5</v>
      </c>
      <c r="N1659">
        <f t="shared" si="25"/>
        <v>74.4</v>
      </c>
    </row>
    <row r="1660" spans="1:14">
      <c r="A1660">
        <v>20209351</v>
      </c>
      <c r="B1660" t="s">
        <v>14</v>
      </c>
      <c r="C1660" t="str">
        <f>VLOOKUP(B1660,专业代码!$B$2:$C$8,2,FALSE)</f>
        <v>会计学</v>
      </c>
      <c r="D1660">
        <v>7.7</v>
      </c>
      <c r="E1660">
        <v>7.2</v>
      </c>
      <c r="F1660">
        <v>8.1</v>
      </c>
      <c r="G1660">
        <v>7.8</v>
      </c>
      <c r="H1660">
        <v>7.5</v>
      </c>
      <c r="I1660">
        <v>7.3</v>
      </c>
      <c r="J1660">
        <v>6.5</v>
      </c>
      <c r="K1660">
        <v>6.5</v>
      </c>
      <c r="L1660">
        <v>4.6</v>
      </c>
      <c r="M1660">
        <v>6.4</v>
      </c>
      <c r="N1660">
        <f t="shared" si="25"/>
        <v>69.6</v>
      </c>
    </row>
    <row r="1661" spans="1:14">
      <c r="A1661">
        <v>20203440</v>
      </c>
      <c r="B1661" t="s">
        <v>15</v>
      </c>
      <c r="C1661" t="str">
        <f>VLOOKUP(B1661,专业代码!$B$2:$C$8,2,FALSE)</f>
        <v>保险学</v>
      </c>
      <c r="D1661">
        <v>7.9</v>
      </c>
      <c r="E1661">
        <v>8.4</v>
      </c>
      <c r="F1661">
        <v>8.1</v>
      </c>
      <c r="G1661">
        <v>7</v>
      </c>
      <c r="H1661">
        <v>5.9</v>
      </c>
      <c r="I1661">
        <v>6.6</v>
      </c>
      <c r="J1661">
        <v>7.5</v>
      </c>
      <c r="K1661">
        <v>5.2</v>
      </c>
      <c r="L1661">
        <v>5.7</v>
      </c>
      <c r="M1661">
        <v>5</v>
      </c>
      <c r="N1661">
        <f t="shared" si="25"/>
        <v>67.3</v>
      </c>
    </row>
    <row r="1662" spans="1:14">
      <c r="A1662">
        <v>20206694</v>
      </c>
      <c r="B1662" t="s">
        <v>15</v>
      </c>
      <c r="C1662" t="str">
        <f>VLOOKUP(B1662,专业代码!$B$2:$C$8,2,FALSE)</f>
        <v>保险学</v>
      </c>
      <c r="D1662">
        <v>6.7</v>
      </c>
      <c r="E1662">
        <v>7</v>
      </c>
      <c r="F1662">
        <v>7.1</v>
      </c>
      <c r="G1662">
        <v>7.2</v>
      </c>
      <c r="H1662">
        <v>7</v>
      </c>
      <c r="I1662">
        <v>5.9</v>
      </c>
      <c r="J1662">
        <v>5.7</v>
      </c>
      <c r="K1662">
        <v>6.2</v>
      </c>
      <c r="L1662">
        <v>6.5</v>
      </c>
      <c r="M1662">
        <v>4.8</v>
      </c>
      <c r="N1662">
        <f t="shared" si="25"/>
        <v>64.1</v>
      </c>
    </row>
    <row r="1663" spans="1:14">
      <c r="A1663">
        <v>20206491</v>
      </c>
      <c r="B1663" t="s">
        <v>15</v>
      </c>
      <c r="C1663" t="str">
        <f>VLOOKUP(B1663,专业代码!$B$2:$C$8,2,FALSE)</f>
        <v>保险学</v>
      </c>
      <c r="D1663">
        <v>8.1</v>
      </c>
      <c r="E1663">
        <v>7.6</v>
      </c>
      <c r="F1663">
        <v>6.5</v>
      </c>
      <c r="G1663">
        <v>7.7</v>
      </c>
      <c r="H1663">
        <v>7.6</v>
      </c>
      <c r="I1663">
        <v>7.3</v>
      </c>
      <c r="J1663">
        <v>6</v>
      </c>
      <c r="K1663">
        <v>7.4</v>
      </c>
      <c r="L1663">
        <v>7.9</v>
      </c>
      <c r="M1663">
        <v>5</v>
      </c>
      <c r="N1663">
        <f t="shared" si="25"/>
        <v>71.1</v>
      </c>
    </row>
    <row r="1664" spans="1:14">
      <c r="A1664">
        <v>20208501</v>
      </c>
      <c r="B1664" t="s">
        <v>15</v>
      </c>
      <c r="C1664" t="str">
        <f>VLOOKUP(B1664,专业代码!$B$2:$C$8,2,FALSE)</f>
        <v>保险学</v>
      </c>
      <c r="D1664">
        <v>7.9</v>
      </c>
      <c r="E1664">
        <v>7.4</v>
      </c>
      <c r="F1664">
        <v>7</v>
      </c>
      <c r="G1664">
        <v>7.8</v>
      </c>
      <c r="H1664">
        <v>6.4</v>
      </c>
      <c r="I1664">
        <v>7.8</v>
      </c>
      <c r="J1664">
        <v>6.5</v>
      </c>
      <c r="K1664">
        <v>7</v>
      </c>
      <c r="L1664">
        <v>7.7</v>
      </c>
      <c r="M1664">
        <v>6.1</v>
      </c>
      <c r="N1664">
        <f t="shared" si="25"/>
        <v>71.6</v>
      </c>
    </row>
    <row r="1665" spans="1:14">
      <c r="A1665">
        <v>20201822</v>
      </c>
      <c r="B1665" t="s">
        <v>15</v>
      </c>
      <c r="C1665" t="str">
        <f>VLOOKUP(B1665,专业代码!$B$2:$C$8,2,FALSE)</f>
        <v>保险学</v>
      </c>
      <c r="D1665">
        <v>7.3</v>
      </c>
      <c r="E1665">
        <v>7.2</v>
      </c>
      <c r="F1665">
        <v>7</v>
      </c>
      <c r="G1665">
        <v>6.7</v>
      </c>
      <c r="H1665">
        <v>7.9</v>
      </c>
      <c r="I1665">
        <v>6.6</v>
      </c>
      <c r="J1665">
        <v>6.1</v>
      </c>
      <c r="K1665">
        <v>5.8</v>
      </c>
      <c r="L1665">
        <v>5.6</v>
      </c>
      <c r="M1665">
        <v>4.1</v>
      </c>
      <c r="N1665">
        <f t="shared" si="25"/>
        <v>64.3</v>
      </c>
    </row>
    <row r="1666" spans="1:14">
      <c r="A1666">
        <v>20202667</v>
      </c>
      <c r="B1666" t="s">
        <v>15</v>
      </c>
      <c r="C1666" t="str">
        <f>VLOOKUP(B1666,专业代码!$B$2:$C$8,2,FALSE)</f>
        <v>保险学</v>
      </c>
      <c r="D1666">
        <v>7.7</v>
      </c>
      <c r="E1666">
        <v>7.7</v>
      </c>
      <c r="F1666">
        <v>7.8</v>
      </c>
      <c r="G1666">
        <v>7.3</v>
      </c>
      <c r="H1666">
        <v>7.2</v>
      </c>
      <c r="I1666">
        <v>5.8</v>
      </c>
      <c r="J1666">
        <v>7.6</v>
      </c>
      <c r="K1666">
        <v>7</v>
      </c>
      <c r="L1666">
        <v>5.7</v>
      </c>
      <c r="M1666">
        <v>3.5</v>
      </c>
      <c r="N1666">
        <f t="shared" si="25"/>
        <v>67.3</v>
      </c>
    </row>
    <row r="1667" spans="1:14">
      <c r="A1667">
        <v>20205593</v>
      </c>
      <c r="B1667" t="s">
        <v>15</v>
      </c>
      <c r="C1667" t="str">
        <f>VLOOKUP(B1667,专业代码!$B$2:$C$8,2,FALSE)</f>
        <v>保险学</v>
      </c>
      <c r="D1667">
        <v>7.6</v>
      </c>
      <c r="E1667">
        <v>8.1</v>
      </c>
      <c r="F1667">
        <v>7.8</v>
      </c>
      <c r="G1667">
        <v>6.9</v>
      </c>
      <c r="H1667">
        <v>7.8</v>
      </c>
      <c r="I1667">
        <v>6</v>
      </c>
      <c r="J1667">
        <v>7.1</v>
      </c>
      <c r="K1667">
        <v>5.4</v>
      </c>
      <c r="L1667">
        <v>6.1</v>
      </c>
      <c r="M1667">
        <v>5</v>
      </c>
      <c r="N1667">
        <f t="shared" ref="N1667:N1730" si="26">SUM(D1667:M1667)</f>
        <v>67.8</v>
      </c>
    </row>
    <row r="1668" spans="1:14">
      <c r="A1668">
        <v>20207571</v>
      </c>
      <c r="B1668" t="s">
        <v>15</v>
      </c>
      <c r="C1668" t="str">
        <f>VLOOKUP(B1668,专业代码!$B$2:$C$8,2,FALSE)</f>
        <v>保险学</v>
      </c>
      <c r="D1668">
        <v>7.6</v>
      </c>
      <c r="E1668">
        <v>6.8</v>
      </c>
      <c r="F1668">
        <v>6.6</v>
      </c>
      <c r="G1668">
        <v>6.4</v>
      </c>
      <c r="H1668">
        <v>8</v>
      </c>
      <c r="I1668">
        <v>8.4</v>
      </c>
      <c r="J1668">
        <v>5.9</v>
      </c>
      <c r="K1668">
        <v>6.6</v>
      </c>
      <c r="L1668">
        <v>6.2</v>
      </c>
      <c r="M1668">
        <v>7.2</v>
      </c>
      <c r="N1668">
        <f t="shared" si="26"/>
        <v>69.7</v>
      </c>
    </row>
    <row r="1669" spans="1:14">
      <c r="A1669">
        <v>20208467</v>
      </c>
      <c r="B1669" t="s">
        <v>15</v>
      </c>
      <c r="C1669" t="str">
        <f>VLOOKUP(B1669,专业代码!$B$2:$C$8,2,FALSE)</f>
        <v>保险学</v>
      </c>
      <c r="D1669">
        <v>6.1</v>
      </c>
      <c r="E1669">
        <v>6.9</v>
      </c>
      <c r="F1669">
        <v>7.9</v>
      </c>
      <c r="G1669">
        <v>8.1</v>
      </c>
      <c r="H1669">
        <v>6.6</v>
      </c>
      <c r="I1669">
        <v>6.5</v>
      </c>
      <c r="J1669">
        <v>7.4</v>
      </c>
      <c r="K1669">
        <v>6.1</v>
      </c>
      <c r="L1669">
        <v>5.1</v>
      </c>
      <c r="M1669">
        <v>7.1</v>
      </c>
      <c r="N1669">
        <f t="shared" si="26"/>
        <v>67.8</v>
      </c>
    </row>
    <row r="1670" spans="1:14">
      <c r="A1670">
        <v>20209551</v>
      </c>
      <c r="B1670" t="s">
        <v>15</v>
      </c>
      <c r="C1670" t="str">
        <f>VLOOKUP(B1670,专业代码!$B$2:$C$8,2,FALSE)</f>
        <v>保险学</v>
      </c>
      <c r="D1670">
        <v>7.7</v>
      </c>
      <c r="E1670">
        <v>7.5</v>
      </c>
      <c r="F1670">
        <v>6.6</v>
      </c>
      <c r="G1670">
        <v>6.8</v>
      </c>
      <c r="H1670">
        <v>6</v>
      </c>
      <c r="I1670">
        <v>6.6</v>
      </c>
      <c r="J1670">
        <v>5.9</v>
      </c>
      <c r="K1670">
        <v>6.7</v>
      </c>
      <c r="L1670">
        <v>6.1</v>
      </c>
      <c r="M1670">
        <v>6.6</v>
      </c>
      <c r="N1670">
        <f t="shared" si="26"/>
        <v>66.5</v>
      </c>
    </row>
    <row r="1671" spans="1:14">
      <c r="A1671">
        <v>20201332</v>
      </c>
      <c r="B1671" t="s">
        <v>15</v>
      </c>
      <c r="C1671" t="str">
        <f>VLOOKUP(B1671,专业代码!$B$2:$C$8,2,FALSE)</f>
        <v>保险学</v>
      </c>
      <c r="D1671">
        <v>7.4</v>
      </c>
      <c r="E1671">
        <v>6.7</v>
      </c>
      <c r="F1671">
        <v>7.8</v>
      </c>
      <c r="G1671">
        <v>7.3</v>
      </c>
      <c r="H1671">
        <v>6.4</v>
      </c>
      <c r="I1671">
        <v>6.3</v>
      </c>
      <c r="J1671">
        <v>6.9</v>
      </c>
      <c r="K1671">
        <v>4.9</v>
      </c>
      <c r="L1671">
        <v>5.9</v>
      </c>
      <c r="M1671">
        <v>5.3</v>
      </c>
      <c r="N1671">
        <f t="shared" si="26"/>
        <v>64.9</v>
      </c>
    </row>
    <row r="1672" spans="1:14">
      <c r="A1672">
        <v>20202281</v>
      </c>
      <c r="B1672" t="s">
        <v>15</v>
      </c>
      <c r="C1672" t="str">
        <f>VLOOKUP(B1672,专业代码!$B$2:$C$8,2,FALSE)</f>
        <v>保险学</v>
      </c>
      <c r="D1672">
        <v>6.9</v>
      </c>
      <c r="E1672">
        <v>6.8</v>
      </c>
      <c r="F1672">
        <v>7.2</v>
      </c>
      <c r="G1672">
        <v>7.7</v>
      </c>
      <c r="H1672">
        <v>6.1</v>
      </c>
      <c r="I1672">
        <v>6.4</v>
      </c>
      <c r="J1672">
        <v>8</v>
      </c>
      <c r="K1672">
        <v>6.2</v>
      </c>
      <c r="L1672">
        <v>6.1</v>
      </c>
      <c r="M1672">
        <v>5.2</v>
      </c>
      <c r="N1672">
        <f t="shared" si="26"/>
        <v>66.6</v>
      </c>
    </row>
    <row r="1673" spans="1:14">
      <c r="A1673">
        <v>20204262</v>
      </c>
      <c r="B1673" t="s">
        <v>15</v>
      </c>
      <c r="C1673" t="str">
        <f>VLOOKUP(B1673,专业代码!$B$2:$C$8,2,FALSE)</f>
        <v>保险学</v>
      </c>
      <c r="D1673">
        <v>8.6</v>
      </c>
      <c r="E1673">
        <v>6.5</v>
      </c>
      <c r="F1673">
        <v>7.3</v>
      </c>
      <c r="G1673">
        <v>7.2</v>
      </c>
      <c r="H1673">
        <v>5.9</v>
      </c>
      <c r="I1673">
        <v>7.2</v>
      </c>
      <c r="J1673">
        <v>7</v>
      </c>
      <c r="K1673">
        <v>4.5</v>
      </c>
      <c r="L1673">
        <v>5.9</v>
      </c>
      <c r="M1673">
        <v>6.7</v>
      </c>
      <c r="N1673">
        <f t="shared" si="26"/>
        <v>66.8</v>
      </c>
    </row>
    <row r="1674" spans="1:14">
      <c r="A1674">
        <v>20203575</v>
      </c>
      <c r="B1674" t="s">
        <v>15</v>
      </c>
      <c r="C1674" t="str">
        <f>VLOOKUP(B1674,专业代码!$B$2:$C$8,2,FALSE)</f>
        <v>保险学</v>
      </c>
      <c r="D1674">
        <v>7.4</v>
      </c>
      <c r="E1674">
        <v>7.1</v>
      </c>
      <c r="F1674">
        <v>7.6</v>
      </c>
      <c r="G1674">
        <v>7.4</v>
      </c>
      <c r="H1674">
        <v>6</v>
      </c>
      <c r="I1674">
        <v>7.2</v>
      </c>
      <c r="J1674">
        <v>7.5</v>
      </c>
      <c r="K1674">
        <v>7</v>
      </c>
      <c r="L1674">
        <v>6.6</v>
      </c>
      <c r="M1674">
        <v>4.1</v>
      </c>
      <c r="N1674">
        <f t="shared" si="26"/>
        <v>67.9</v>
      </c>
    </row>
    <row r="1675" spans="1:14">
      <c r="A1675">
        <v>20205855</v>
      </c>
      <c r="B1675" t="s">
        <v>15</v>
      </c>
      <c r="C1675" t="str">
        <f>VLOOKUP(B1675,专业代码!$B$2:$C$8,2,FALSE)</f>
        <v>保险学</v>
      </c>
      <c r="D1675">
        <v>7</v>
      </c>
      <c r="E1675">
        <v>7.1</v>
      </c>
      <c r="F1675">
        <v>6.3</v>
      </c>
      <c r="G1675">
        <v>7.2</v>
      </c>
      <c r="H1675">
        <v>6.8</v>
      </c>
      <c r="I1675">
        <v>6</v>
      </c>
      <c r="J1675">
        <v>6.1</v>
      </c>
      <c r="K1675">
        <v>5.6</v>
      </c>
      <c r="L1675">
        <v>6.8</v>
      </c>
      <c r="M1675">
        <v>3.7</v>
      </c>
      <c r="N1675">
        <f t="shared" si="26"/>
        <v>62.6</v>
      </c>
    </row>
    <row r="1676" spans="1:14">
      <c r="A1676">
        <v>20206057</v>
      </c>
      <c r="B1676" t="s">
        <v>15</v>
      </c>
      <c r="C1676" t="str">
        <f>VLOOKUP(B1676,专业代码!$B$2:$C$8,2,FALSE)</f>
        <v>保险学</v>
      </c>
      <c r="D1676">
        <v>6.8</v>
      </c>
      <c r="E1676">
        <v>7.1</v>
      </c>
      <c r="F1676">
        <v>7.1</v>
      </c>
      <c r="G1676">
        <v>6.5</v>
      </c>
      <c r="H1676">
        <v>7.4</v>
      </c>
      <c r="I1676">
        <v>7</v>
      </c>
      <c r="J1676">
        <v>6.2</v>
      </c>
      <c r="K1676">
        <v>6.2</v>
      </c>
      <c r="L1676">
        <v>5.4</v>
      </c>
      <c r="M1676">
        <v>5.4</v>
      </c>
      <c r="N1676">
        <f t="shared" si="26"/>
        <v>65.1</v>
      </c>
    </row>
    <row r="1677" spans="1:14">
      <c r="A1677">
        <v>20208226</v>
      </c>
      <c r="B1677" t="s">
        <v>15</v>
      </c>
      <c r="C1677" t="str">
        <f>VLOOKUP(B1677,专业代码!$B$2:$C$8,2,FALSE)</f>
        <v>保险学</v>
      </c>
      <c r="D1677">
        <v>7.5</v>
      </c>
      <c r="E1677">
        <v>7.5</v>
      </c>
      <c r="F1677">
        <v>6.7</v>
      </c>
      <c r="G1677">
        <v>6.7</v>
      </c>
      <c r="H1677">
        <v>6.2</v>
      </c>
      <c r="I1677">
        <v>5.8</v>
      </c>
      <c r="J1677">
        <v>7.1</v>
      </c>
      <c r="K1677">
        <v>6.7</v>
      </c>
      <c r="L1677">
        <v>5.5</v>
      </c>
      <c r="M1677">
        <v>6.4</v>
      </c>
      <c r="N1677">
        <f t="shared" si="26"/>
        <v>66.1</v>
      </c>
    </row>
    <row r="1678" spans="1:14">
      <c r="A1678">
        <v>20205767</v>
      </c>
      <c r="B1678" t="s">
        <v>15</v>
      </c>
      <c r="C1678" t="str">
        <f>VLOOKUP(B1678,专业代码!$B$2:$C$8,2,FALSE)</f>
        <v>保险学</v>
      </c>
      <c r="D1678">
        <v>7.1</v>
      </c>
      <c r="E1678">
        <v>6.9</v>
      </c>
      <c r="F1678">
        <v>7.3</v>
      </c>
      <c r="G1678">
        <v>7.4</v>
      </c>
      <c r="H1678">
        <v>7.4</v>
      </c>
      <c r="I1678">
        <v>7.3</v>
      </c>
      <c r="J1678">
        <v>7</v>
      </c>
      <c r="K1678">
        <v>6.4</v>
      </c>
      <c r="L1678">
        <v>7.8</v>
      </c>
      <c r="M1678">
        <v>5.9</v>
      </c>
      <c r="N1678">
        <f t="shared" si="26"/>
        <v>70.5</v>
      </c>
    </row>
    <row r="1679" spans="1:14">
      <c r="A1679">
        <v>20207078</v>
      </c>
      <c r="B1679" t="s">
        <v>15</v>
      </c>
      <c r="C1679" t="str">
        <f>VLOOKUP(B1679,专业代码!$B$2:$C$8,2,FALSE)</f>
        <v>保险学</v>
      </c>
      <c r="D1679">
        <v>6.9</v>
      </c>
      <c r="E1679">
        <v>7.3</v>
      </c>
      <c r="F1679">
        <v>6.1</v>
      </c>
      <c r="G1679">
        <v>6.5</v>
      </c>
      <c r="H1679">
        <v>7.1</v>
      </c>
      <c r="I1679">
        <v>6.8</v>
      </c>
      <c r="J1679">
        <v>7.1</v>
      </c>
      <c r="K1679">
        <v>5.2</v>
      </c>
      <c r="L1679">
        <v>6.6</v>
      </c>
      <c r="M1679">
        <v>6.5</v>
      </c>
      <c r="N1679">
        <f t="shared" si="26"/>
        <v>66.1</v>
      </c>
    </row>
    <row r="1680" spans="1:14">
      <c r="A1680">
        <v>20207947</v>
      </c>
      <c r="B1680" t="s">
        <v>15</v>
      </c>
      <c r="C1680" t="str">
        <f>VLOOKUP(B1680,专业代码!$B$2:$C$8,2,FALSE)</f>
        <v>保险学</v>
      </c>
      <c r="D1680">
        <v>7.3</v>
      </c>
      <c r="E1680">
        <v>7.3</v>
      </c>
      <c r="F1680">
        <v>7.7</v>
      </c>
      <c r="G1680">
        <v>7.2</v>
      </c>
      <c r="H1680">
        <v>6.8</v>
      </c>
      <c r="I1680">
        <v>6.6</v>
      </c>
      <c r="J1680">
        <v>4.2</v>
      </c>
      <c r="K1680">
        <v>6.2</v>
      </c>
      <c r="L1680">
        <v>6.7</v>
      </c>
      <c r="M1680">
        <v>5.2</v>
      </c>
      <c r="N1680">
        <f t="shared" si="26"/>
        <v>65.2</v>
      </c>
    </row>
    <row r="1681" spans="1:14">
      <c r="A1681">
        <v>20202722</v>
      </c>
      <c r="B1681" t="s">
        <v>15</v>
      </c>
      <c r="C1681" t="str">
        <f>VLOOKUP(B1681,专业代码!$B$2:$C$8,2,FALSE)</f>
        <v>保险学</v>
      </c>
      <c r="D1681">
        <v>7.2</v>
      </c>
      <c r="E1681">
        <v>7.5</v>
      </c>
      <c r="F1681">
        <v>7.2</v>
      </c>
      <c r="G1681">
        <v>7.1</v>
      </c>
      <c r="H1681">
        <v>5.8</v>
      </c>
      <c r="I1681">
        <v>6.7</v>
      </c>
      <c r="J1681">
        <v>7.4</v>
      </c>
      <c r="K1681">
        <v>5.8</v>
      </c>
      <c r="L1681">
        <v>6.8</v>
      </c>
      <c r="M1681">
        <v>4.6</v>
      </c>
      <c r="N1681">
        <f t="shared" si="26"/>
        <v>66.1</v>
      </c>
    </row>
    <row r="1682" spans="1:14">
      <c r="A1682">
        <v>20207960</v>
      </c>
      <c r="B1682" t="s">
        <v>15</v>
      </c>
      <c r="C1682" t="str">
        <f>VLOOKUP(B1682,专业代码!$B$2:$C$8,2,FALSE)</f>
        <v>保险学</v>
      </c>
      <c r="D1682">
        <v>7.3</v>
      </c>
      <c r="E1682">
        <v>6.8</v>
      </c>
      <c r="F1682">
        <v>7.2</v>
      </c>
      <c r="G1682">
        <v>6.7</v>
      </c>
      <c r="H1682">
        <v>7.8</v>
      </c>
      <c r="I1682">
        <v>7.4</v>
      </c>
      <c r="J1682">
        <v>6.4</v>
      </c>
      <c r="K1682">
        <v>6.7</v>
      </c>
      <c r="L1682">
        <v>6.6</v>
      </c>
      <c r="M1682">
        <v>6</v>
      </c>
      <c r="N1682">
        <f t="shared" si="26"/>
        <v>68.9</v>
      </c>
    </row>
    <row r="1683" spans="1:14">
      <c r="A1683">
        <v>20202258</v>
      </c>
      <c r="B1683" t="s">
        <v>15</v>
      </c>
      <c r="C1683" t="str">
        <f>VLOOKUP(B1683,专业代码!$B$2:$C$8,2,FALSE)</f>
        <v>保险学</v>
      </c>
      <c r="D1683">
        <v>7.6</v>
      </c>
      <c r="E1683">
        <v>6.8</v>
      </c>
      <c r="F1683">
        <v>6.3</v>
      </c>
      <c r="G1683">
        <v>6.8</v>
      </c>
      <c r="H1683">
        <v>8.1</v>
      </c>
      <c r="I1683">
        <v>6.3</v>
      </c>
      <c r="J1683">
        <v>6.2</v>
      </c>
      <c r="K1683">
        <v>6.1</v>
      </c>
      <c r="L1683">
        <v>5.9</v>
      </c>
      <c r="M1683">
        <v>5.2</v>
      </c>
      <c r="N1683">
        <f t="shared" si="26"/>
        <v>65.3</v>
      </c>
    </row>
    <row r="1684" spans="1:14">
      <c r="A1684">
        <v>20204446</v>
      </c>
      <c r="B1684" t="s">
        <v>15</v>
      </c>
      <c r="C1684" t="str">
        <f>VLOOKUP(B1684,专业代码!$B$2:$C$8,2,FALSE)</f>
        <v>保险学</v>
      </c>
      <c r="D1684">
        <v>7.7</v>
      </c>
      <c r="E1684">
        <v>6.5</v>
      </c>
      <c r="F1684">
        <v>7.6</v>
      </c>
      <c r="G1684">
        <v>6.3</v>
      </c>
      <c r="H1684">
        <v>6.2</v>
      </c>
      <c r="I1684">
        <v>7.1</v>
      </c>
      <c r="J1684">
        <v>4.9</v>
      </c>
      <c r="K1684">
        <v>7</v>
      </c>
      <c r="L1684">
        <v>5.7</v>
      </c>
      <c r="M1684">
        <v>5.3</v>
      </c>
      <c r="N1684">
        <f t="shared" si="26"/>
        <v>64.3</v>
      </c>
    </row>
    <row r="1685" spans="1:14">
      <c r="A1685">
        <v>20201524</v>
      </c>
      <c r="B1685" t="s">
        <v>15</v>
      </c>
      <c r="C1685" t="str">
        <f>VLOOKUP(B1685,专业代码!$B$2:$C$8,2,FALSE)</f>
        <v>保险学</v>
      </c>
      <c r="D1685">
        <v>6.8</v>
      </c>
      <c r="E1685">
        <v>7.6</v>
      </c>
      <c r="F1685">
        <v>7.5</v>
      </c>
      <c r="G1685">
        <v>6.9</v>
      </c>
      <c r="H1685">
        <v>6.1</v>
      </c>
      <c r="I1685">
        <v>6.3</v>
      </c>
      <c r="J1685">
        <v>5.7</v>
      </c>
      <c r="K1685">
        <v>6</v>
      </c>
      <c r="L1685">
        <v>5.8</v>
      </c>
      <c r="M1685">
        <v>5.4</v>
      </c>
      <c r="N1685">
        <f t="shared" si="26"/>
        <v>64.1</v>
      </c>
    </row>
    <row r="1686" spans="1:14">
      <c r="A1686">
        <v>20203023</v>
      </c>
      <c r="B1686" t="s">
        <v>15</v>
      </c>
      <c r="C1686" t="str">
        <f>VLOOKUP(B1686,专业代码!$B$2:$C$8,2,FALSE)</f>
        <v>保险学</v>
      </c>
      <c r="D1686">
        <v>7.3</v>
      </c>
      <c r="E1686">
        <v>8</v>
      </c>
      <c r="F1686">
        <v>6.7</v>
      </c>
      <c r="G1686">
        <v>6.1</v>
      </c>
      <c r="H1686">
        <v>7</v>
      </c>
      <c r="I1686">
        <v>6.7</v>
      </c>
      <c r="J1686">
        <v>7.7</v>
      </c>
      <c r="K1686">
        <v>7.5</v>
      </c>
      <c r="L1686">
        <v>6.8</v>
      </c>
      <c r="M1686">
        <v>5</v>
      </c>
      <c r="N1686">
        <f t="shared" si="26"/>
        <v>68.8</v>
      </c>
    </row>
    <row r="1687" spans="1:14">
      <c r="A1687">
        <v>20206373</v>
      </c>
      <c r="B1687" t="s">
        <v>15</v>
      </c>
      <c r="C1687" t="str">
        <f>VLOOKUP(B1687,专业代码!$B$2:$C$8,2,FALSE)</f>
        <v>保险学</v>
      </c>
      <c r="D1687">
        <v>6.8</v>
      </c>
      <c r="E1687">
        <v>6.3</v>
      </c>
      <c r="F1687">
        <v>7.5</v>
      </c>
      <c r="G1687">
        <v>7.2</v>
      </c>
      <c r="H1687">
        <v>5.4</v>
      </c>
      <c r="I1687">
        <v>6.2</v>
      </c>
      <c r="J1687">
        <v>6.4</v>
      </c>
      <c r="K1687">
        <v>5.6</v>
      </c>
      <c r="L1687">
        <v>6.3</v>
      </c>
      <c r="M1687">
        <v>6.1</v>
      </c>
      <c r="N1687">
        <f t="shared" si="26"/>
        <v>63.8</v>
      </c>
    </row>
    <row r="1688" spans="1:14">
      <c r="A1688">
        <v>20207372</v>
      </c>
      <c r="B1688" t="s">
        <v>15</v>
      </c>
      <c r="C1688" t="str">
        <f>VLOOKUP(B1688,专业代码!$B$2:$C$8,2,FALSE)</f>
        <v>保险学</v>
      </c>
      <c r="D1688">
        <v>6.7</v>
      </c>
      <c r="E1688">
        <v>7.4</v>
      </c>
      <c r="F1688">
        <v>7.1</v>
      </c>
      <c r="G1688">
        <v>7.6</v>
      </c>
      <c r="H1688">
        <v>7.1</v>
      </c>
      <c r="I1688">
        <v>7.1</v>
      </c>
      <c r="J1688">
        <v>7.3</v>
      </c>
      <c r="K1688">
        <v>5.7</v>
      </c>
      <c r="L1688">
        <v>5.2</v>
      </c>
      <c r="M1688">
        <v>6.5</v>
      </c>
      <c r="N1688">
        <f t="shared" si="26"/>
        <v>67.7</v>
      </c>
    </row>
    <row r="1689" spans="1:14">
      <c r="A1689">
        <v>20208949</v>
      </c>
      <c r="B1689" t="s">
        <v>15</v>
      </c>
      <c r="C1689" t="str">
        <f>VLOOKUP(B1689,专业代码!$B$2:$C$8,2,FALSE)</f>
        <v>保险学</v>
      </c>
      <c r="D1689">
        <v>7.1</v>
      </c>
      <c r="E1689">
        <v>7</v>
      </c>
      <c r="F1689">
        <v>7.3</v>
      </c>
      <c r="G1689">
        <v>6.5</v>
      </c>
      <c r="H1689">
        <v>6.9</v>
      </c>
      <c r="I1689">
        <v>6.4</v>
      </c>
      <c r="J1689">
        <v>6.2</v>
      </c>
      <c r="K1689">
        <v>5.3</v>
      </c>
      <c r="L1689">
        <v>5.4</v>
      </c>
      <c r="M1689">
        <v>6.2</v>
      </c>
      <c r="N1689">
        <f t="shared" si="26"/>
        <v>64.3</v>
      </c>
    </row>
    <row r="1690" spans="1:14">
      <c r="A1690">
        <v>20203132</v>
      </c>
      <c r="B1690" t="s">
        <v>15</v>
      </c>
      <c r="C1690" t="str">
        <f>VLOOKUP(B1690,专业代码!$B$2:$C$8,2,FALSE)</f>
        <v>保险学</v>
      </c>
      <c r="D1690">
        <v>6.8</v>
      </c>
      <c r="E1690">
        <v>6.8</v>
      </c>
      <c r="F1690">
        <v>7</v>
      </c>
      <c r="G1690">
        <v>8.1</v>
      </c>
      <c r="H1690">
        <v>6.4</v>
      </c>
      <c r="I1690">
        <v>6.4</v>
      </c>
      <c r="J1690">
        <v>6.5</v>
      </c>
      <c r="K1690">
        <v>6.3</v>
      </c>
      <c r="L1690">
        <v>6</v>
      </c>
      <c r="M1690">
        <v>5.6</v>
      </c>
      <c r="N1690">
        <f t="shared" si="26"/>
        <v>65.9</v>
      </c>
    </row>
    <row r="1691" spans="1:14">
      <c r="A1691">
        <v>20209147</v>
      </c>
      <c r="B1691" t="s">
        <v>15</v>
      </c>
      <c r="C1691" t="str">
        <f>VLOOKUP(B1691,专业代码!$B$2:$C$8,2,FALSE)</f>
        <v>保险学</v>
      </c>
      <c r="D1691">
        <v>6.6</v>
      </c>
      <c r="E1691">
        <v>6.4</v>
      </c>
      <c r="F1691">
        <v>6.8</v>
      </c>
      <c r="G1691">
        <v>6.9</v>
      </c>
      <c r="H1691">
        <v>6.7</v>
      </c>
      <c r="I1691">
        <v>6.6</v>
      </c>
      <c r="J1691">
        <v>5.7</v>
      </c>
      <c r="K1691">
        <v>7.2</v>
      </c>
      <c r="L1691">
        <v>6.8</v>
      </c>
      <c r="M1691">
        <v>6</v>
      </c>
      <c r="N1691">
        <f t="shared" si="26"/>
        <v>65.7</v>
      </c>
    </row>
    <row r="1692" spans="1:14">
      <c r="A1692">
        <v>20201992</v>
      </c>
      <c r="B1692" t="s">
        <v>15</v>
      </c>
      <c r="C1692" t="str">
        <f>VLOOKUP(B1692,专业代码!$B$2:$C$8,2,FALSE)</f>
        <v>保险学</v>
      </c>
      <c r="D1692">
        <v>8.1</v>
      </c>
      <c r="E1692">
        <v>8</v>
      </c>
      <c r="F1692">
        <v>7.2</v>
      </c>
      <c r="G1692">
        <v>6.8</v>
      </c>
      <c r="H1692">
        <v>6.1</v>
      </c>
      <c r="I1692">
        <v>6.1</v>
      </c>
      <c r="J1692">
        <v>3.9</v>
      </c>
      <c r="K1692">
        <v>6</v>
      </c>
      <c r="L1692">
        <v>5.4</v>
      </c>
      <c r="M1692">
        <v>5.9</v>
      </c>
      <c r="N1692">
        <f t="shared" si="26"/>
        <v>63.5</v>
      </c>
    </row>
    <row r="1693" spans="1:14">
      <c r="A1693">
        <v>20205375</v>
      </c>
      <c r="B1693" t="s">
        <v>15</v>
      </c>
      <c r="C1693" t="str">
        <f>VLOOKUP(B1693,专业代码!$B$2:$C$8,2,FALSE)</f>
        <v>保险学</v>
      </c>
      <c r="D1693">
        <v>7.4</v>
      </c>
      <c r="E1693">
        <v>6.9</v>
      </c>
      <c r="F1693">
        <v>7.2</v>
      </c>
      <c r="G1693">
        <v>6.3</v>
      </c>
      <c r="H1693">
        <v>7</v>
      </c>
      <c r="I1693">
        <v>7.2</v>
      </c>
      <c r="J1693">
        <v>6.7</v>
      </c>
      <c r="K1693">
        <v>5.5</v>
      </c>
      <c r="L1693">
        <v>5.6</v>
      </c>
      <c r="M1693">
        <v>6.9</v>
      </c>
      <c r="N1693">
        <f t="shared" si="26"/>
        <v>66.7</v>
      </c>
    </row>
    <row r="1694" spans="1:14">
      <c r="A1694">
        <v>20206113</v>
      </c>
      <c r="B1694" t="s">
        <v>15</v>
      </c>
      <c r="C1694" t="str">
        <f>VLOOKUP(B1694,专业代码!$B$2:$C$8,2,FALSE)</f>
        <v>保险学</v>
      </c>
      <c r="D1694">
        <v>7.9</v>
      </c>
      <c r="E1694">
        <v>7</v>
      </c>
      <c r="F1694">
        <v>7.1</v>
      </c>
      <c r="G1694">
        <v>6.1</v>
      </c>
      <c r="H1694">
        <v>7.2</v>
      </c>
      <c r="I1694">
        <v>7.1</v>
      </c>
      <c r="J1694">
        <v>7.2</v>
      </c>
      <c r="K1694">
        <v>4.7</v>
      </c>
      <c r="L1694">
        <v>6.4</v>
      </c>
      <c r="M1694">
        <v>3.7</v>
      </c>
      <c r="N1694">
        <f t="shared" si="26"/>
        <v>64.4</v>
      </c>
    </row>
    <row r="1695" spans="1:14">
      <c r="A1695">
        <v>20202521</v>
      </c>
      <c r="B1695" t="s">
        <v>15</v>
      </c>
      <c r="C1695" t="str">
        <f>VLOOKUP(B1695,专业代码!$B$2:$C$8,2,FALSE)</f>
        <v>保险学</v>
      </c>
      <c r="D1695">
        <v>7.6</v>
      </c>
      <c r="E1695">
        <v>7.4</v>
      </c>
      <c r="F1695">
        <v>6</v>
      </c>
      <c r="G1695">
        <v>6.5</v>
      </c>
      <c r="H1695">
        <v>6.2</v>
      </c>
      <c r="I1695">
        <v>6.4</v>
      </c>
      <c r="J1695">
        <v>6.9</v>
      </c>
      <c r="K1695">
        <v>7</v>
      </c>
      <c r="L1695">
        <v>4.8</v>
      </c>
      <c r="M1695">
        <v>6.9</v>
      </c>
      <c r="N1695">
        <f t="shared" si="26"/>
        <v>65.7</v>
      </c>
    </row>
    <row r="1696" spans="1:14">
      <c r="A1696">
        <v>20205223</v>
      </c>
      <c r="B1696" t="s">
        <v>15</v>
      </c>
      <c r="C1696" t="str">
        <f>VLOOKUP(B1696,专业代码!$B$2:$C$8,2,FALSE)</f>
        <v>保险学</v>
      </c>
      <c r="D1696">
        <v>8.1</v>
      </c>
      <c r="E1696">
        <v>7</v>
      </c>
      <c r="F1696">
        <v>7.6</v>
      </c>
      <c r="G1696">
        <v>7.3</v>
      </c>
      <c r="H1696">
        <v>6.9</v>
      </c>
      <c r="I1696">
        <v>6.5</v>
      </c>
      <c r="J1696">
        <v>5.1</v>
      </c>
      <c r="K1696">
        <v>4.5</v>
      </c>
      <c r="L1696">
        <v>5.1</v>
      </c>
      <c r="M1696">
        <v>3.5</v>
      </c>
      <c r="N1696">
        <f t="shared" si="26"/>
        <v>61.6</v>
      </c>
    </row>
    <row r="1697" spans="1:14">
      <c r="A1697">
        <v>20205618</v>
      </c>
      <c r="B1697" t="s">
        <v>15</v>
      </c>
      <c r="C1697" t="str">
        <f>VLOOKUP(B1697,专业代码!$B$2:$C$8,2,FALSE)</f>
        <v>保险学</v>
      </c>
      <c r="D1697">
        <v>8.3</v>
      </c>
      <c r="E1697">
        <v>7.1</v>
      </c>
      <c r="F1697">
        <v>6.6</v>
      </c>
      <c r="G1697">
        <v>7.4</v>
      </c>
      <c r="H1697">
        <v>6.7</v>
      </c>
      <c r="I1697">
        <v>5.9</v>
      </c>
      <c r="J1697">
        <v>6.1</v>
      </c>
      <c r="K1697">
        <v>6.1</v>
      </c>
      <c r="L1697">
        <v>6.7</v>
      </c>
      <c r="M1697">
        <v>5.8</v>
      </c>
      <c r="N1697">
        <f t="shared" si="26"/>
        <v>66.7</v>
      </c>
    </row>
    <row r="1698" spans="1:14">
      <c r="A1698">
        <v>20207426</v>
      </c>
      <c r="B1698" t="s">
        <v>15</v>
      </c>
      <c r="C1698" t="str">
        <f>VLOOKUP(B1698,专业代码!$B$2:$C$8,2,FALSE)</f>
        <v>保险学</v>
      </c>
      <c r="D1698">
        <v>6.4</v>
      </c>
      <c r="E1698">
        <v>7.5</v>
      </c>
      <c r="F1698">
        <v>8.1</v>
      </c>
      <c r="G1698">
        <v>7.5</v>
      </c>
      <c r="H1698">
        <v>7</v>
      </c>
      <c r="I1698">
        <v>7.2</v>
      </c>
      <c r="J1698">
        <v>8.3</v>
      </c>
      <c r="K1698">
        <v>6.4</v>
      </c>
      <c r="L1698">
        <v>6.8</v>
      </c>
      <c r="M1698">
        <v>4.9</v>
      </c>
      <c r="N1698">
        <f t="shared" si="26"/>
        <v>70.1</v>
      </c>
    </row>
    <row r="1699" spans="1:14">
      <c r="A1699">
        <v>20207811</v>
      </c>
      <c r="B1699" t="s">
        <v>15</v>
      </c>
      <c r="C1699" t="str">
        <f>VLOOKUP(B1699,专业代码!$B$2:$C$8,2,FALSE)</f>
        <v>保险学</v>
      </c>
      <c r="D1699">
        <v>6.9</v>
      </c>
      <c r="E1699">
        <v>7.2</v>
      </c>
      <c r="F1699">
        <v>7.1</v>
      </c>
      <c r="G1699">
        <v>5.9</v>
      </c>
      <c r="H1699">
        <v>5.9</v>
      </c>
      <c r="I1699">
        <v>5.3</v>
      </c>
      <c r="J1699">
        <v>6</v>
      </c>
      <c r="K1699">
        <v>6.5</v>
      </c>
      <c r="L1699">
        <v>5</v>
      </c>
      <c r="M1699">
        <v>5.1</v>
      </c>
      <c r="N1699">
        <f t="shared" si="26"/>
        <v>60.9</v>
      </c>
    </row>
    <row r="1700" spans="1:14">
      <c r="A1700">
        <v>20204114</v>
      </c>
      <c r="B1700" t="s">
        <v>15</v>
      </c>
      <c r="C1700" t="str">
        <f>VLOOKUP(B1700,专业代码!$B$2:$C$8,2,FALSE)</f>
        <v>保险学</v>
      </c>
      <c r="D1700">
        <v>6.9</v>
      </c>
      <c r="E1700">
        <v>7</v>
      </c>
      <c r="F1700">
        <v>6.8</v>
      </c>
      <c r="G1700">
        <v>8.2</v>
      </c>
      <c r="H1700">
        <v>6.1</v>
      </c>
      <c r="I1700">
        <v>6.9</v>
      </c>
      <c r="J1700">
        <v>6.6</v>
      </c>
      <c r="K1700">
        <v>6.3</v>
      </c>
      <c r="L1700">
        <v>6.7</v>
      </c>
      <c r="M1700">
        <v>5.8</v>
      </c>
      <c r="N1700">
        <f t="shared" si="26"/>
        <v>67.3</v>
      </c>
    </row>
    <row r="1701" spans="1:14">
      <c r="A1701">
        <v>20204921</v>
      </c>
      <c r="B1701" t="s">
        <v>15</v>
      </c>
      <c r="C1701" t="str">
        <f>VLOOKUP(B1701,专业代码!$B$2:$C$8,2,FALSE)</f>
        <v>保险学</v>
      </c>
      <c r="D1701">
        <v>7.6</v>
      </c>
      <c r="E1701">
        <v>6.6</v>
      </c>
      <c r="F1701">
        <v>7.4</v>
      </c>
      <c r="G1701">
        <v>6.9</v>
      </c>
      <c r="H1701">
        <v>7.9</v>
      </c>
      <c r="I1701">
        <v>6.5</v>
      </c>
      <c r="J1701">
        <v>6.6</v>
      </c>
      <c r="K1701">
        <v>6.9</v>
      </c>
      <c r="L1701">
        <v>6.4</v>
      </c>
      <c r="M1701">
        <v>7.1</v>
      </c>
      <c r="N1701">
        <f t="shared" si="26"/>
        <v>69.9</v>
      </c>
    </row>
    <row r="1702" spans="1:14">
      <c r="A1702">
        <v>20203241</v>
      </c>
      <c r="B1702" t="s">
        <v>16</v>
      </c>
      <c r="C1702" t="str">
        <f>VLOOKUP(B1702,专业代码!$B$2:$C$8,2,FALSE)</f>
        <v>金融学</v>
      </c>
      <c r="D1702">
        <v>7.8</v>
      </c>
      <c r="E1702">
        <v>8.3</v>
      </c>
      <c r="F1702">
        <v>7.7</v>
      </c>
      <c r="G1702">
        <v>7.7</v>
      </c>
      <c r="H1702">
        <v>6.5</v>
      </c>
      <c r="I1702">
        <v>7.1</v>
      </c>
      <c r="J1702">
        <v>8.2</v>
      </c>
      <c r="K1702">
        <v>7.7</v>
      </c>
      <c r="L1702">
        <v>6.9</v>
      </c>
      <c r="M1702">
        <v>6.2</v>
      </c>
      <c r="N1702">
        <f t="shared" si="26"/>
        <v>74.1</v>
      </c>
    </row>
    <row r="1703" spans="1:14">
      <c r="A1703">
        <v>20209299</v>
      </c>
      <c r="B1703" t="s">
        <v>16</v>
      </c>
      <c r="C1703" t="str">
        <f>VLOOKUP(B1703,专业代码!$B$2:$C$8,2,FALSE)</f>
        <v>金融学</v>
      </c>
      <c r="D1703">
        <v>8</v>
      </c>
      <c r="E1703">
        <v>8</v>
      </c>
      <c r="F1703">
        <v>6.9</v>
      </c>
      <c r="G1703">
        <v>8.3</v>
      </c>
      <c r="H1703">
        <v>6.4</v>
      </c>
      <c r="I1703">
        <v>7.5</v>
      </c>
      <c r="J1703">
        <v>7.5</v>
      </c>
      <c r="K1703">
        <v>6.3</v>
      </c>
      <c r="L1703">
        <v>6.3</v>
      </c>
      <c r="M1703">
        <v>5.7</v>
      </c>
      <c r="N1703">
        <f t="shared" si="26"/>
        <v>70.9</v>
      </c>
    </row>
    <row r="1704" spans="1:14">
      <c r="A1704">
        <v>20202313</v>
      </c>
      <c r="B1704" t="s">
        <v>16</v>
      </c>
      <c r="C1704" t="str">
        <f>VLOOKUP(B1704,专业代码!$B$2:$C$8,2,FALSE)</f>
        <v>金融学</v>
      </c>
      <c r="D1704">
        <v>7.6</v>
      </c>
      <c r="E1704">
        <v>8.1</v>
      </c>
      <c r="F1704">
        <v>8.2</v>
      </c>
      <c r="G1704">
        <v>7.8</v>
      </c>
      <c r="H1704">
        <v>8</v>
      </c>
      <c r="I1704">
        <v>7.9</v>
      </c>
      <c r="J1704">
        <v>7.2</v>
      </c>
      <c r="K1704">
        <v>7.5</v>
      </c>
      <c r="L1704">
        <v>6.1</v>
      </c>
      <c r="M1704">
        <v>4.4</v>
      </c>
      <c r="N1704">
        <f t="shared" si="26"/>
        <v>72.8</v>
      </c>
    </row>
    <row r="1705" spans="1:14">
      <c r="A1705">
        <v>20205387</v>
      </c>
      <c r="B1705" t="s">
        <v>16</v>
      </c>
      <c r="C1705" t="str">
        <f>VLOOKUP(B1705,专业代码!$B$2:$C$8,2,FALSE)</f>
        <v>金融学</v>
      </c>
      <c r="D1705">
        <v>7.8</v>
      </c>
      <c r="E1705">
        <v>8.5</v>
      </c>
      <c r="F1705">
        <v>8.5</v>
      </c>
      <c r="G1705">
        <v>8.8</v>
      </c>
      <c r="H1705">
        <v>6.8</v>
      </c>
      <c r="I1705">
        <v>6.7</v>
      </c>
      <c r="J1705">
        <v>7.3</v>
      </c>
      <c r="K1705">
        <v>7.4</v>
      </c>
      <c r="L1705">
        <v>6</v>
      </c>
      <c r="M1705">
        <v>5.9</v>
      </c>
      <c r="N1705">
        <f t="shared" si="26"/>
        <v>73.7</v>
      </c>
    </row>
    <row r="1706" spans="1:14">
      <c r="A1706">
        <v>20207725</v>
      </c>
      <c r="B1706" t="s">
        <v>16</v>
      </c>
      <c r="C1706" t="str">
        <f>VLOOKUP(B1706,专业代码!$B$2:$C$8,2,FALSE)</f>
        <v>金融学</v>
      </c>
      <c r="D1706">
        <v>7.8</v>
      </c>
      <c r="E1706">
        <v>7.6</v>
      </c>
      <c r="F1706">
        <v>7.9</v>
      </c>
      <c r="G1706">
        <v>7.8</v>
      </c>
      <c r="H1706">
        <v>7.6</v>
      </c>
      <c r="I1706">
        <v>8.2</v>
      </c>
      <c r="J1706">
        <v>7</v>
      </c>
      <c r="K1706">
        <v>6.7</v>
      </c>
      <c r="L1706">
        <v>7.8</v>
      </c>
      <c r="M1706">
        <v>6.6</v>
      </c>
      <c r="N1706">
        <f t="shared" si="26"/>
        <v>75</v>
      </c>
    </row>
    <row r="1707" spans="1:14">
      <c r="A1707">
        <v>20209491</v>
      </c>
      <c r="B1707" t="s">
        <v>16</v>
      </c>
      <c r="C1707" t="str">
        <f>VLOOKUP(B1707,专业代码!$B$2:$C$8,2,FALSE)</f>
        <v>金融学</v>
      </c>
      <c r="D1707">
        <v>8.4</v>
      </c>
      <c r="E1707">
        <v>8.1</v>
      </c>
      <c r="F1707">
        <v>8.8</v>
      </c>
      <c r="G1707">
        <v>7.6</v>
      </c>
      <c r="H1707">
        <v>7.1</v>
      </c>
      <c r="I1707">
        <v>6.1</v>
      </c>
      <c r="J1707">
        <v>7.3</v>
      </c>
      <c r="K1707">
        <v>5.2</v>
      </c>
      <c r="L1707">
        <v>6.7</v>
      </c>
      <c r="M1707">
        <v>7</v>
      </c>
      <c r="N1707">
        <f t="shared" si="26"/>
        <v>72.3</v>
      </c>
    </row>
    <row r="1708" spans="1:14">
      <c r="A1708">
        <v>20205952</v>
      </c>
      <c r="B1708" t="s">
        <v>16</v>
      </c>
      <c r="C1708" t="str">
        <f>VLOOKUP(B1708,专业代码!$B$2:$C$8,2,FALSE)</f>
        <v>金融学</v>
      </c>
      <c r="D1708">
        <v>8.1</v>
      </c>
      <c r="E1708">
        <v>8.1</v>
      </c>
      <c r="F1708">
        <v>8.6</v>
      </c>
      <c r="G1708">
        <v>7.8</v>
      </c>
      <c r="H1708">
        <v>7</v>
      </c>
      <c r="I1708">
        <v>6.7</v>
      </c>
      <c r="J1708">
        <v>6.8</v>
      </c>
      <c r="K1708">
        <v>7.8</v>
      </c>
      <c r="L1708">
        <v>7.1</v>
      </c>
      <c r="M1708">
        <v>6.4</v>
      </c>
      <c r="N1708">
        <f t="shared" si="26"/>
        <v>74.4</v>
      </c>
    </row>
    <row r="1709" spans="1:14">
      <c r="A1709">
        <v>20206239</v>
      </c>
      <c r="B1709" t="s">
        <v>16</v>
      </c>
      <c r="C1709" t="str">
        <f>VLOOKUP(B1709,专业代码!$B$2:$C$8,2,FALSE)</f>
        <v>金融学</v>
      </c>
      <c r="D1709">
        <v>7.8</v>
      </c>
      <c r="E1709">
        <v>8</v>
      </c>
      <c r="F1709">
        <v>6.7</v>
      </c>
      <c r="G1709">
        <v>7.3</v>
      </c>
      <c r="H1709">
        <v>6.8</v>
      </c>
      <c r="I1709">
        <v>7.8</v>
      </c>
      <c r="J1709">
        <v>7.8</v>
      </c>
      <c r="K1709">
        <v>6.1</v>
      </c>
      <c r="L1709">
        <v>6.3</v>
      </c>
      <c r="M1709">
        <v>5.8</v>
      </c>
      <c r="N1709">
        <f t="shared" si="26"/>
        <v>70.4</v>
      </c>
    </row>
    <row r="1710" spans="1:14">
      <c r="A1710">
        <v>20207824</v>
      </c>
      <c r="B1710" t="s">
        <v>16</v>
      </c>
      <c r="C1710" t="str">
        <f>VLOOKUP(B1710,专业代码!$B$2:$C$8,2,FALSE)</f>
        <v>金融学</v>
      </c>
      <c r="D1710">
        <v>7.7</v>
      </c>
      <c r="E1710">
        <v>7.5</v>
      </c>
      <c r="F1710">
        <v>8.6</v>
      </c>
      <c r="G1710">
        <v>6.4</v>
      </c>
      <c r="H1710">
        <v>7.2</v>
      </c>
      <c r="I1710">
        <v>7.3</v>
      </c>
      <c r="J1710">
        <v>7.4</v>
      </c>
      <c r="K1710">
        <v>6.9</v>
      </c>
      <c r="L1710">
        <v>7.7</v>
      </c>
      <c r="M1710">
        <v>6.4</v>
      </c>
      <c r="N1710">
        <f t="shared" si="26"/>
        <v>73.1</v>
      </c>
    </row>
    <row r="1711" spans="1:14">
      <c r="A1711">
        <v>20202245</v>
      </c>
      <c r="B1711" t="s">
        <v>16</v>
      </c>
      <c r="C1711" t="str">
        <f>VLOOKUP(B1711,专业代码!$B$2:$C$8,2,FALSE)</f>
        <v>金融学</v>
      </c>
      <c r="D1711">
        <v>8.9</v>
      </c>
      <c r="E1711">
        <v>8</v>
      </c>
      <c r="F1711">
        <v>6.9</v>
      </c>
      <c r="G1711">
        <v>8.1</v>
      </c>
      <c r="H1711">
        <v>6.3</v>
      </c>
      <c r="I1711">
        <v>5.7</v>
      </c>
      <c r="J1711">
        <v>7</v>
      </c>
      <c r="K1711">
        <v>7</v>
      </c>
      <c r="L1711">
        <v>7.4</v>
      </c>
      <c r="M1711">
        <v>5.1</v>
      </c>
      <c r="N1711">
        <f t="shared" si="26"/>
        <v>70.4</v>
      </c>
    </row>
    <row r="1712" spans="1:14">
      <c r="A1712">
        <v>20206864</v>
      </c>
      <c r="B1712" t="s">
        <v>16</v>
      </c>
      <c r="C1712" t="str">
        <f>VLOOKUP(B1712,专业代码!$B$2:$C$8,2,FALSE)</f>
        <v>金融学</v>
      </c>
      <c r="D1712">
        <v>8</v>
      </c>
      <c r="E1712">
        <v>7.7</v>
      </c>
      <c r="F1712">
        <v>8.8</v>
      </c>
      <c r="G1712">
        <v>7.8</v>
      </c>
      <c r="H1712">
        <v>6</v>
      </c>
      <c r="I1712">
        <v>8.1</v>
      </c>
      <c r="J1712">
        <v>7.6</v>
      </c>
      <c r="K1712">
        <v>7.9</v>
      </c>
      <c r="L1712">
        <v>7</v>
      </c>
      <c r="M1712">
        <v>5.3</v>
      </c>
      <c r="N1712">
        <f t="shared" si="26"/>
        <v>74.2</v>
      </c>
    </row>
    <row r="1713" spans="1:14">
      <c r="A1713">
        <v>20205350</v>
      </c>
      <c r="B1713" t="s">
        <v>16</v>
      </c>
      <c r="C1713" t="str">
        <f>VLOOKUP(B1713,专业代码!$B$2:$C$8,2,FALSE)</f>
        <v>金融学</v>
      </c>
      <c r="D1713">
        <v>7.5</v>
      </c>
      <c r="E1713">
        <v>8.1</v>
      </c>
      <c r="F1713">
        <v>7</v>
      </c>
      <c r="G1713">
        <v>7.6</v>
      </c>
      <c r="H1713">
        <v>7.3</v>
      </c>
      <c r="I1713">
        <v>8.2</v>
      </c>
      <c r="J1713">
        <v>7.1</v>
      </c>
      <c r="K1713">
        <v>6.6</v>
      </c>
      <c r="L1713">
        <v>7.9</v>
      </c>
      <c r="M1713">
        <v>5.8</v>
      </c>
      <c r="N1713">
        <f t="shared" si="26"/>
        <v>73.1</v>
      </c>
    </row>
    <row r="1714" spans="1:14">
      <c r="A1714">
        <v>20208916</v>
      </c>
      <c r="B1714" t="s">
        <v>16</v>
      </c>
      <c r="C1714" t="str">
        <f>VLOOKUP(B1714,专业代码!$B$2:$C$8,2,FALSE)</f>
        <v>金融学</v>
      </c>
      <c r="D1714">
        <v>8.1</v>
      </c>
      <c r="E1714">
        <v>8.1</v>
      </c>
      <c r="F1714">
        <v>7.3</v>
      </c>
      <c r="G1714">
        <v>7.9</v>
      </c>
      <c r="H1714">
        <v>7.7</v>
      </c>
      <c r="I1714">
        <v>7.5</v>
      </c>
      <c r="J1714">
        <v>8.1</v>
      </c>
      <c r="K1714">
        <v>5.1</v>
      </c>
      <c r="L1714">
        <v>5.9</v>
      </c>
      <c r="M1714">
        <v>5.1</v>
      </c>
      <c r="N1714">
        <f t="shared" si="26"/>
        <v>70.8</v>
      </c>
    </row>
    <row r="1715" spans="1:14">
      <c r="A1715">
        <v>20203762</v>
      </c>
      <c r="B1715" t="s">
        <v>16</v>
      </c>
      <c r="C1715" t="str">
        <f>VLOOKUP(B1715,专业代码!$B$2:$C$8,2,FALSE)</f>
        <v>金融学</v>
      </c>
      <c r="D1715">
        <v>9.3</v>
      </c>
      <c r="E1715">
        <v>7.4</v>
      </c>
      <c r="F1715">
        <v>7.1</v>
      </c>
      <c r="G1715">
        <v>7.4</v>
      </c>
      <c r="H1715">
        <v>6.3</v>
      </c>
      <c r="I1715">
        <v>6.9</v>
      </c>
      <c r="J1715">
        <v>5.9</v>
      </c>
      <c r="K1715">
        <v>6.9</v>
      </c>
      <c r="L1715">
        <v>7.9</v>
      </c>
      <c r="M1715">
        <v>4.8</v>
      </c>
      <c r="N1715">
        <f t="shared" si="26"/>
        <v>69.9</v>
      </c>
    </row>
    <row r="1716" spans="1:14">
      <c r="A1716">
        <v>20206965</v>
      </c>
      <c r="B1716" t="s">
        <v>16</v>
      </c>
      <c r="C1716" t="str">
        <f>VLOOKUP(B1716,专业代码!$B$2:$C$8,2,FALSE)</f>
        <v>金融学</v>
      </c>
      <c r="D1716">
        <v>7.5</v>
      </c>
      <c r="E1716">
        <v>9.1</v>
      </c>
      <c r="F1716">
        <v>8.7</v>
      </c>
      <c r="G1716">
        <v>8.5</v>
      </c>
      <c r="H1716">
        <v>7.4</v>
      </c>
      <c r="I1716">
        <v>7</v>
      </c>
      <c r="J1716">
        <v>7.1</v>
      </c>
      <c r="K1716">
        <v>5.9</v>
      </c>
      <c r="L1716">
        <v>6</v>
      </c>
      <c r="M1716">
        <v>7.1</v>
      </c>
      <c r="N1716">
        <f t="shared" si="26"/>
        <v>74.3</v>
      </c>
    </row>
    <row r="1717" spans="1:14">
      <c r="A1717">
        <v>20202246</v>
      </c>
      <c r="B1717" t="s">
        <v>16</v>
      </c>
      <c r="C1717" t="str">
        <f>VLOOKUP(B1717,专业代码!$B$2:$C$8,2,FALSE)</f>
        <v>金融学</v>
      </c>
      <c r="D1717">
        <v>8.6</v>
      </c>
      <c r="E1717">
        <v>7.1</v>
      </c>
      <c r="F1717">
        <v>7.1</v>
      </c>
      <c r="G1717">
        <v>7.9</v>
      </c>
      <c r="H1717">
        <v>7.3</v>
      </c>
      <c r="I1717">
        <v>6.7</v>
      </c>
      <c r="J1717">
        <v>6.3</v>
      </c>
      <c r="K1717">
        <v>7.2</v>
      </c>
      <c r="L1717">
        <v>6.2</v>
      </c>
      <c r="M1717">
        <v>5.9</v>
      </c>
      <c r="N1717">
        <f t="shared" si="26"/>
        <v>70.3</v>
      </c>
    </row>
    <row r="1718" spans="1:14">
      <c r="A1718">
        <v>20205560</v>
      </c>
      <c r="B1718" t="s">
        <v>16</v>
      </c>
      <c r="C1718" t="str">
        <f>VLOOKUP(B1718,专业代码!$B$2:$C$8,2,FALSE)</f>
        <v>金融学</v>
      </c>
      <c r="D1718">
        <v>8.5</v>
      </c>
      <c r="E1718">
        <v>8.4</v>
      </c>
      <c r="F1718">
        <v>6.9</v>
      </c>
      <c r="G1718">
        <v>8.2</v>
      </c>
      <c r="H1718">
        <v>8</v>
      </c>
      <c r="I1718">
        <v>6.6</v>
      </c>
      <c r="J1718">
        <v>5.2</v>
      </c>
      <c r="K1718">
        <v>8.4</v>
      </c>
      <c r="L1718">
        <v>7.3</v>
      </c>
      <c r="M1718">
        <v>7.1</v>
      </c>
      <c r="N1718">
        <f t="shared" si="26"/>
        <v>74.6</v>
      </c>
    </row>
    <row r="1719" spans="1:14">
      <c r="A1719">
        <v>20206690</v>
      </c>
      <c r="B1719" t="s">
        <v>16</v>
      </c>
      <c r="C1719" t="str">
        <f>VLOOKUP(B1719,专业代码!$B$2:$C$8,2,FALSE)</f>
        <v>金融学</v>
      </c>
      <c r="D1719">
        <v>7.7</v>
      </c>
      <c r="E1719">
        <v>8.2</v>
      </c>
      <c r="F1719">
        <v>7.5</v>
      </c>
      <c r="G1719">
        <v>8.4</v>
      </c>
      <c r="H1719">
        <v>6.7</v>
      </c>
      <c r="I1719">
        <v>7.4</v>
      </c>
      <c r="J1719">
        <v>7.3</v>
      </c>
      <c r="K1719">
        <v>7.7</v>
      </c>
      <c r="L1719">
        <v>5.7</v>
      </c>
      <c r="M1719">
        <v>5.3</v>
      </c>
      <c r="N1719">
        <f t="shared" si="26"/>
        <v>71.9</v>
      </c>
    </row>
    <row r="1720" spans="1:14">
      <c r="A1720">
        <v>20201485</v>
      </c>
      <c r="B1720" t="s">
        <v>16</v>
      </c>
      <c r="C1720" t="str">
        <f>VLOOKUP(B1720,专业代码!$B$2:$C$8,2,FALSE)</f>
        <v>金融学</v>
      </c>
      <c r="D1720">
        <v>9.2</v>
      </c>
      <c r="E1720">
        <v>8.2</v>
      </c>
      <c r="F1720">
        <v>7.4</v>
      </c>
      <c r="G1720">
        <v>7.6</v>
      </c>
      <c r="H1720">
        <v>5.7</v>
      </c>
      <c r="I1720">
        <v>6</v>
      </c>
      <c r="J1720">
        <v>7.1</v>
      </c>
      <c r="K1720">
        <v>6.3</v>
      </c>
      <c r="L1720">
        <v>5.8</v>
      </c>
      <c r="M1720">
        <v>7.3</v>
      </c>
      <c r="N1720">
        <f t="shared" si="26"/>
        <v>70.6</v>
      </c>
    </row>
    <row r="1721" spans="1:14">
      <c r="A1721">
        <v>20202187</v>
      </c>
      <c r="B1721" t="s">
        <v>16</v>
      </c>
      <c r="C1721" t="str">
        <f>VLOOKUP(B1721,专业代码!$B$2:$C$8,2,FALSE)</f>
        <v>金融学</v>
      </c>
      <c r="D1721">
        <v>8.2</v>
      </c>
      <c r="E1721">
        <v>8.9</v>
      </c>
      <c r="F1721">
        <v>7.5</v>
      </c>
      <c r="G1721">
        <v>7.4</v>
      </c>
      <c r="H1721">
        <v>7.7</v>
      </c>
      <c r="I1721">
        <v>6.9</v>
      </c>
      <c r="J1721">
        <v>8.1</v>
      </c>
      <c r="K1721">
        <v>5.5</v>
      </c>
      <c r="L1721">
        <v>7.1</v>
      </c>
      <c r="M1721">
        <v>7.2</v>
      </c>
      <c r="N1721">
        <f t="shared" si="26"/>
        <v>74.5</v>
      </c>
    </row>
    <row r="1722" spans="1:14">
      <c r="A1722">
        <v>20206320</v>
      </c>
      <c r="B1722" t="s">
        <v>16</v>
      </c>
      <c r="C1722" t="str">
        <f>VLOOKUP(B1722,专业代码!$B$2:$C$8,2,FALSE)</f>
        <v>金融学</v>
      </c>
      <c r="D1722">
        <v>8.1</v>
      </c>
      <c r="E1722">
        <v>7.7</v>
      </c>
      <c r="F1722">
        <v>7.9</v>
      </c>
      <c r="G1722">
        <v>7.7</v>
      </c>
      <c r="H1722">
        <v>7.4</v>
      </c>
      <c r="I1722">
        <v>6.7</v>
      </c>
      <c r="J1722">
        <v>7.7</v>
      </c>
      <c r="K1722">
        <v>8.5</v>
      </c>
      <c r="L1722">
        <v>7.7</v>
      </c>
      <c r="M1722">
        <v>5.9</v>
      </c>
      <c r="N1722">
        <f t="shared" si="26"/>
        <v>75.3</v>
      </c>
    </row>
    <row r="1723" spans="1:14">
      <c r="A1723">
        <v>20207636</v>
      </c>
      <c r="B1723" t="s">
        <v>16</v>
      </c>
      <c r="C1723" t="str">
        <f>VLOOKUP(B1723,专业代码!$B$2:$C$8,2,FALSE)</f>
        <v>金融学</v>
      </c>
      <c r="D1723">
        <v>7.9</v>
      </c>
      <c r="E1723">
        <v>8.2</v>
      </c>
      <c r="F1723">
        <v>9.1</v>
      </c>
      <c r="G1723">
        <v>7.1</v>
      </c>
      <c r="H1723">
        <v>6.4</v>
      </c>
      <c r="I1723">
        <v>6.2</v>
      </c>
      <c r="J1723">
        <v>5.5</v>
      </c>
      <c r="K1723">
        <v>7.6</v>
      </c>
      <c r="L1723">
        <v>5.8</v>
      </c>
      <c r="M1723">
        <v>7.2</v>
      </c>
      <c r="N1723">
        <f t="shared" si="26"/>
        <v>71</v>
      </c>
    </row>
    <row r="1724" spans="1:14">
      <c r="A1724">
        <v>20208934</v>
      </c>
      <c r="B1724" t="s">
        <v>16</v>
      </c>
      <c r="C1724" t="str">
        <f>VLOOKUP(B1724,专业代码!$B$2:$C$8,2,FALSE)</f>
        <v>金融学</v>
      </c>
      <c r="D1724">
        <v>8.8</v>
      </c>
      <c r="E1724">
        <v>6.9</v>
      </c>
      <c r="F1724">
        <v>8.2</v>
      </c>
      <c r="G1724">
        <v>7</v>
      </c>
      <c r="H1724">
        <v>8</v>
      </c>
      <c r="I1724">
        <v>7.3</v>
      </c>
      <c r="J1724">
        <v>6</v>
      </c>
      <c r="K1724">
        <v>5.4</v>
      </c>
      <c r="L1724">
        <v>5.1</v>
      </c>
      <c r="M1724">
        <v>7.9</v>
      </c>
      <c r="N1724">
        <f t="shared" si="26"/>
        <v>70.6</v>
      </c>
    </row>
    <row r="1725" spans="1:14">
      <c r="A1725">
        <v>20202943</v>
      </c>
      <c r="B1725" t="s">
        <v>16</v>
      </c>
      <c r="C1725" t="str">
        <f>VLOOKUP(B1725,专业代码!$B$2:$C$8,2,FALSE)</f>
        <v>金融学</v>
      </c>
      <c r="D1725">
        <v>8.2</v>
      </c>
      <c r="E1725">
        <v>7.6</v>
      </c>
      <c r="F1725">
        <v>6.2</v>
      </c>
      <c r="G1725">
        <v>8.1</v>
      </c>
      <c r="H1725">
        <v>7.8</v>
      </c>
      <c r="I1725">
        <v>6.9</v>
      </c>
      <c r="J1725">
        <v>7.8</v>
      </c>
      <c r="K1725">
        <v>9</v>
      </c>
      <c r="L1725">
        <v>8.6</v>
      </c>
      <c r="M1725">
        <v>6.2</v>
      </c>
      <c r="N1725">
        <f t="shared" si="26"/>
        <v>76.4</v>
      </c>
    </row>
    <row r="1726" spans="1:14">
      <c r="A1726">
        <v>20207980</v>
      </c>
      <c r="B1726" t="s">
        <v>16</v>
      </c>
      <c r="C1726" t="str">
        <f>VLOOKUP(B1726,专业代码!$B$2:$C$8,2,FALSE)</f>
        <v>金融学</v>
      </c>
      <c r="D1726">
        <v>8.3</v>
      </c>
      <c r="E1726">
        <v>7.2</v>
      </c>
      <c r="F1726">
        <v>7.9</v>
      </c>
      <c r="G1726">
        <v>7.8</v>
      </c>
      <c r="H1726">
        <v>8.1</v>
      </c>
      <c r="I1726">
        <v>7.2</v>
      </c>
      <c r="J1726">
        <v>6.2</v>
      </c>
      <c r="K1726">
        <v>7.8</v>
      </c>
      <c r="L1726">
        <v>5.8</v>
      </c>
      <c r="M1726">
        <v>6.9</v>
      </c>
      <c r="N1726">
        <f t="shared" si="26"/>
        <v>73.2</v>
      </c>
    </row>
    <row r="1727" spans="1:14">
      <c r="A1727">
        <v>20208853</v>
      </c>
      <c r="B1727" t="s">
        <v>16</v>
      </c>
      <c r="C1727" t="str">
        <f>VLOOKUP(B1727,专业代码!$B$2:$C$8,2,FALSE)</f>
        <v>金融学</v>
      </c>
      <c r="D1727">
        <v>9.3</v>
      </c>
      <c r="E1727">
        <v>7.3</v>
      </c>
      <c r="F1727">
        <v>8.1</v>
      </c>
      <c r="G1727">
        <v>7.2</v>
      </c>
      <c r="H1727">
        <v>7.8</v>
      </c>
      <c r="I1727">
        <v>7.2</v>
      </c>
      <c r="J1727">
        <v>5.5</v>
      </c>
      <c r="K1727">
        <v>5.9</v>
      </c>
      <c r="L1727">
        <v>4.6</v>
      </c>
      <c r="M1727">
        <v>4.6</v>
      </c>
      <c r="N1727">
        <f t="shared" si="26"/>
        <v>67.5</v>
      </c>
    </row>
    <row r="1728" spans="1:14">
      <c r="A1728">
        <v>20207800</v>
      </c>
      <c r="B1728" t="s">
        <v>16</v>
      </c>
      <c r="C1728" t="str">
        <f>VLOOKUP(B1728,专业代码!$B$2:$C$8,2,FALSE)</f>
        <v>金融学</v>
      </c>
      <c r="D1728">
        <v>7.8</v>
      </c>
      <c r="E1728">
        <v>8</v>
      </c>
      <c r="F1728">
        <v>8.5</v>
      </c>
      <c r="G1728">
        <v>7</v>
      </c>
      <c r="H1728">
        <v>8.6</v>
      </c>
      <c r="I1728">
        <v>7.4</v>
      </c>
      <c r="J1728">
        <v>5.6</v>
      </c>
      <c r="K1728">
        <v>6.3</v>
      </c>
      <c r="L1728">
        <v>4.9</v>
      </c>
      <c r="M1728">
        <v>5.6</v>
      </c>
      <c r="N1728">
        <f t="shared" si="26"/>
        <v>69.7</v>
      </c>
    </row>
    <row r="1729" spans="1:14">
      <c r="A1729">
        <v>20208053</v>
      </c>
      <c r="B1729" t="s">
        <v>16</v>
      </c>
      <c r="C1729" t="str">
        <f>VLOOKUP(B1729,专业代码!$B$2:$C$8,2,FALSE)</f>
        <v>金融学</v>
      </c>
      <c r="D1729">
        <v>8</v>
      </c>
      <c r="E1729">
        <v>7.7</v>
      </c>
      <c r="F1729">
        <v>7</v>
      </c>
      <c r="G1729">
        <v>7.8</v>
      </c>
      <c r="H1729">
        <v>5.8</v>
      </c>
      <c r="I1729">
        <v>6.5</v>
      </c>
      <c r="J1729">
        <v>6.6</v>
      </c>
      <c r="K1729">
        <v>6.8</v>
      </c>
      <c r="L1729">
        <v>7.8</v>
      </c>
      <c r="M1729">
        <v>5.7</v>
      </c>
      <c r="N1729">
        <f t="shared" si="26"/>
        <v>69.7</v>
      </c>
    </row>
    <row r="1730" spans="1:14">
      <c r="A1730">
        <v>20208098</v>
      </c>
      <c r="B1730" t="s">
        <v>16</v>
      </c>
      <c r="C1730" t="str">
        <f>VLOOKUP(B1730,专业代码!$B$2:$C$8,2,FALSE)</f>
        <v>金融学</v>
      </c>
      <c r="D1730">
        <v>7.8</v>
      </c>
      <c r="E1730">
        <v>8.5</v>
      </c>
      <c r="F1730">
        <v>7.5</v>
      </c>
      <c r="G1730">
        <v>8.8</v>
      </c>
      <c r="H1730">
        <v>7.2</v>
      </c>
      <c r="I1730">
        <v>5.2</v>
      </c>
      <c r="J1730">
        <v>6.4</v>
      </c>
      <c r="K1730">
        <v>5.1</v>
      </c>
      <c r="L1730">
        <v>6.8</v>
      </c>
      <c r="M1730">
        <v>4.6</v>
      </c>
      <c r="N1730">
        <f t="shared" si="26"/>
        <v>67.9</v>
      </c>
    </row>
    <row r="1731" spans="1:14">
      <c r="A1731">
        <v>20203476</v>
      </c>
      <c r="B1731" t="s">
        <v>16</v>
      </c>
      <c r="C1731" t="str">
        <f>VLOOKUP(B1731,专业代码!$B$2:$C$8,2,FALSE)</f>
        <v>金融学</v>
      </c>
      <c r="D1731">
        <v>8.3</v>
      </c>
      <c r="E1731">
        <v>7.4</v>
      </c>
      <c r="F1731">
        <v>8.5</v>
      </c>
      <c r="G1731">
        <v>7.2</v>
      </c>
      <c r="H1731">
        <v>7.3</v>
      </c>
      <c r="I1731">
        <v>6.1</v>
      </c>
      <c r="J1731">
        <v>7.2</v>
      </c>
      <c r="K1731">
        <v>7.4</v>
      </c>
      <c r="L1731">
        <v>5.8</v>
      </c>
      <c r="M1731">
        <v>8.1</v>
      </c>
      <c r="N1731">
        <f t="shared" ref="N1731:N1794" si="27">SUM(D1731:M1731)</f>
        <v>73.3</v>
      </c>
    </row>
    <row r="1732" spans="1:14">
      <c r="A1732">
        <v>20206329</v>
      </c>
      <c r="B1732" t="s">
        <v>16</v>
      </c>
      <c r="C1732" t="str">
        <f>VLOOKUP(B1732,专业代码!$B$2:$C$8,2,FALSE)</f>
        <v>金融学</v>
      </c>
      <c r="D1732">
        <v>7.6</v>
      </c>
      <c r="E1732">
        <v>7.9</v>
      </c>
      <c r="F1732">
        <v>8.2</v>
      </c>
      <c r="G1732">
        <v>8.5</v>
      </c>
      <c r="H1732">
        <v>8.1</v>
      </c>
      <c r="I1732">
        <v>6.9</v>
      </c>
      <c r="J1732">
        <v>6</v>
      </c>
      <c r="K1732">
        <v>7.7</v>
      </c>
      <c r="L1732">
        <v>6.3</v>
      </c>
      <c r="M1732">
        <v>5.8</v>
      </c>
      <c r="N1732">
        <f t="shared" si="27"/>
        <v>73</v>
      </c>
    </row>
    <row r="1733" spans="1:14">
      <c r="A1733">
        <v>20206678</v>
      </c>
      <c r="B1733" t="s">
        <v>16</v>
      </c>
      <c r="C1733" t="str">
        <f>VLOOKUP(B1733,专业代码!$B$2:$C$8,2,FALSE)</f>
        <v>金融学</v>
      </c>
      <c r="D1733">
        <v>8.3</v>
      </c>
      <c r="E1733">
        <v>9.1</v>
      </c>
      <c r="F1733">
        <v>8.9</v>
      </c>
      <c r="G1733">
        <v>7.3</v>
      </c>
      <c r="H1733">
        <v>7.3</v>
      </c>
      <c r="I1733">
        <v>7.5</v>
      </c>
      <c r="J1733">
        <v>6.5</v>
      </c>
      <c r="K1733">
        <v>6.8</v>
      </c>
      <c r="L1733">
        <v>6</v>
      </c>
      <c r="M1733">
        <v>7.6</v>
      </c>
      <c r="N1733">
        <f t="shared" si="27"/>
        <v>75.3</v>
      </c>
    </row>
    <row r="1734" spans="1:14">
      <c r="A1734">
        <v>20209967</v>
      </c>
      <c r="B1734" t="s">
        <v>16</v>
      </c>
      <c r="C1734" t="str">
        <f>VLOOKUP(B1734,专业代码!$B$2:$C$8,2,FALSE)</f>
        <v>金融学</v>
      </c>
      <c r="D1734">
        <v>7.8</v>
      </c>
      <c r="E1734">
        <v>7.2</v>
      </c>
      <c r="F1734">
        <v>8.2</v>
      </c>
      <c r="G1734">
        <v>8.3</v>
      </c>
      <c r="H1734">
        <v>7.3</v>
      </c>
      <c r="I1734">
        <v>8.1</v>
      </c>
      <c r="J1734">
        <v>7.1</v>
      </c>
      <c r="K1734">
        <v>7.3</v>
      </c>
      <c r="L1734">
        <v>7.3</v>
      </c>
      <c r="M1734">
        <v>6.5</v>
      </c>
      <c r="N1734">
        <f t="shared" si="27"/>
        <v>75.1</v>
      </c>
    </row>
    <row r="1735" spans="1:14">
      <c r="A1735">
        <v>20202848</v>
      </c>
      <c r="B1735" t="s">
        <v>16</v>
      </c>
      <c r="C1735" t="str">
        <f>VLOOKUP(B1735,专业代码!$B$2:$C$8,2,FALSE)</f>
        <v>金融学</v>
      </c>
      <c r="D1735">
        <v>8.2</v>
      </c>
      <c r="E1735">
        <v>8.1</v>
      </c>
      <c r="F1735">
        <v>7.4</v>
      </c>
      <c r="G1735">
        <v>6.8</v>
      </c>
      <c r="H1735">
        <v>7</v>
      </c>
      <c r="I1735">
        <v>7.6</v>
      </c>
      <c r="J1735">
        <v>6.8</v>
      </c>
      <c r="K1735">
        <v>8.5</v>
      </c>
      <c r="L1735">
        <v>6</v>
      </c>
      <c r="M1735">
        <v>5.9</v>
      </c>
      <c r="N1735">
        <f t="shared" si="27"/>
        <v>72.3</v>
      </c>
    </row>
    <row r="1736" spans="1:14">
      <c r="A1736">
        <v>20208980</v>
      </c>
      <c r="B1736" t="s">
        <v>16</v>
      </c>
      <c r="C1736" t="str">
        <f>VLOOKUP(B1736,专业代码!$B$2:$C$8,2,FALSE)</f>
        <v>金融学</v>
      </c>
      <c r="D1736">
        <v>8.3</v>
      </c>
      <c r="E1736">
        <v>7.9</v>
      </c>
      <c r="F1736">
        <v>7.3</v>
      </c>
      <c r="G1736">
        <v>8</v>
      </c>
      <c r="H1736">
        <v>6.3</v>
      </c>
      <c r="I1736">
        <v>6.9</v>
      </c>
      <c r="J1736">
        <v>7</v>
      </c>
      <c r="K1736">
        <v>8.1</v>
      </c>
      <c r="L1736">
        <v>6.1</v>
      </c>
      <c r="M1736">
        <v>6</v>
      </c>
      <c r="N1736">
        <f t="shared" si="27"/>
        <v>71.9</v>
      </c>
    </row>
    <row r="1737" spans="1:14">
      <c r="A1737">
        <v>20205305</v>
      </c>
      <c r="B1737" t="s">
        <v>16</v>
      </c>
      <c r="C1737" t="str">
        <f>VLOOKUP(B1737,专业代码!$B$2:$C$8,2,FALSE)</f>
        <v>金融学</v>
      </c>
      <c r="D1737">
        <v>7.7</v>
      </c>
      <c r="E1737">
        <v>8.2</v>
      </c>
      <c r="F1737">
        <v>7.2</v>
      </c>
      <c r="G1737">
        <v>7.1</v>
      </c>
      <c r="H1737">
        <v>8.2</v>
      </c>
      <c r="I1737">
        <v>7</v>
      </c>
      <c r="J1737">
        <v>5.8</v>
      </c>
      <c r="K1737">
        <v>7.1</v>
      </c>
      <c r="L1737">
        <v>5.1</v>
      </c>
      <c r="M1737">
        <v>4.9</v>
      </c>
      <c r="N1737">
        <f t="shared" si="27"/>
        <v>68.3</v>
      </c>
    </row>
    <row r="1738" spans="1:14">
      <c r="A1738">
        <v>20207887</v>
      </c>
      <c r="B1738" t="s">
        <v>16</v>
      </c>
      <c r="C1738" t="str">
        <f>VLOOKUP(B1738,专业代码!$B$2:$C$8,2,FALSE)</f>
        <v>金融学</v>
      </c>
      <c r="D1738">
        <v>8.5</v>
      </c>
      <c r="E1738">
        <v>8.9</v>
      </c>
      <c r="F1738">
        <v>8.6</v>
      </c>
      <c r="G1738">
        <v>6.3</v>
      </c>
      <c r="H1738">
        <v>8.7</v>
      </c>
      <c r="I1738">
        <v>6</v>
      </c>
      <c r="J1738">
        <v>6.4</v>
      </c>
      <c r="K1738">
        <v>6</v>
      </c>
      <c r="L1738">
        <v>6.6</v>
      </c>
      <c r="M1738">
        <v>7.3</v>
      </c>
      <c r="N1738">
        <f t="shared" si="27"/>
        <v>73.3</v>
      </c>
    </row>
    <row r="1739" spans="1:14">
      <c r="A1739">
        <v>20208263</v>
      </c>
      <c r="B1739" t="s">
        <v>16</v>
      </c>
      <c r="C1739" t="str">
        <f>VLOOKUP(B1739,专业代码!$B$2:$C$8,2,FALSE)</f>
        <v>金融学</v>
      </c>
      <c r="D1739">
        <v>8.2</v>
      </c>
      <c r="E1739">
        <v>7.7</v>
      </c>
      <c r="F1739">
        <v>9.1</v>
      </c>
      <c r="G1739">
        <v>7.1</v>
      </c>
      <c r="H1739">
        <v>8</v>
      </c>
      <c r="I1739">
        <v>7.1</v>
      </c>
      <c r="J1739">
        <v>7.9</v>
      </c>
      <c r="K1739">
        <v>6.9</v>
      </c>
      <c r="L1739">
        <v>6.3</v>
      </c>
      <c r="M1739">
        <v>6.1</v>
      </c>
      <c r="N1739">
        <f t="shared" si="27"/>
        <v>74.4</v>
      </c>
    </row>
    <row r="1740" spans="1:14">
      <c r="A1740">
        <v>20203568</v>
      </c>
      <c r="B1740" t="s">
        <v>16</v>
      </c>
      <c r="C1740" t="str">
        <f>VLOOKUP(B1740,专业代码!$B$2:$C$8,2,FALSE)</f>
        <v>金融学</v>
      </c>
      <c r="D1740">
        <v>8.6</v>
      </c>
      <c r="E1740">
        <v>7.2</v>
      </c>
      <c r="F1740">
        <v>7.5</v>
      </c>
      <c r="G1740">
        <v>6.4</v>
      </c>
      <c r="H1740">
        <v>7</v>
      </c>
      <c r="I1740">
        <v>5.5</v>
      </c>
      <c r="J1740">
        <v>5.8</v>
      </c>
      <c r="K1740">
        <v>5.6</v>
      </c>
      <c r="L1740">
        <v>7.5</v>
      </c>
      <c r="M1740">
        <v>4.7</v>
      </c>
      <c r="N1740">
        <f t="shared" si="27"/>
        <v>65.8</v>
      </c>
    </row>
    <row r="1741" spans="1:14">
      <c r="A1741">
        <v>20206607</v>
      </c>
      <c r="B1741" t="s">
        <v>16</v>
      </c>
      <c r="C1741" t="str">
        <f>VLOOKUP(B1741,专业代码!$B$2:$C$8,2,FALSE)</f>
        <v>金融学</v>
      </c>
      <c r="D1741">
        <v>8</v>
      </c>
      <c r="E1741">
        <v>8.8</v>
      </c>
      <c r="F1741">
        <v>7.1</v>
      </c>
      <c r="G1741">
        <v>7.6</v>
      </c>
      <c r="H1741">
        <v>6.8</v>
      </c>
      <c r="I1741">
        <v>5.9</v>
      </c>
      <c r="J1741">
        <v>7.7</v>
      </c>
      <c r="K1741">
        <v>5.9</v>
      </c>
      <c r="L1741">
        <v>5.8</v>
      </c>
      <c r="M1741">
        <v>3.2</v>
      </c>
      <c r="N1741">
        <f t="shared" si="27"/>
        <v>66.8</v>
      </c>
    </row>
    <row r="1742" spans="1:14">
      <c r="A1742">
        <v>20202175</v>
      </c>
      <c r="B1742" t="s">
        <v>16</v>
      </c>
      <c r="C1742" t="str">
        <f>VLOOKUP(B1742,专业代码!$B$2:$C$8,2,FALSE)</f>
        <v>金融学</v>
      </c>
      <c r="D1742">
        <v>8.2</v>
      </c>
      <c r="E1742">
        <v>8.6</v>
      </c>
      <c r="F1742">
        <v>8.1</v>
      </c>
      <c r="G1742">
        <v>8.1</v>
      </c>
      <c r="H1742">
        <v>7.6</v>
      </c>
      <c r="I1742">
        <v>7.2</v>
      </c>
      <c r="J1742">
        <v>6.5</v>
      </c>
      <c r="K1742">
        <v>6.6</v>
      </c>
      <c r="L1742">
        <v>7.5</v>
      </c>
      <c r="M1742">
        <v>5.2</v>
      </c>
      <c r="N1742">
        <f t="shared" si="27"/>
        <v>73.6</v>
      </c>
    </row>
    <row r="1743" spans="1:14">
      <c r="A1743">
        <v>20203618</v>
      </c>
      <c r="B1743" t="s">
        <v>17</v>
      </c>
      <c r="C1743" t="str">
        <f>VLOOKUP(B1743,专业代码!$B$2:$C$8,2,FALSE)</f>
        <v>金融工程</v>
      </c>
      <c r="D1743">
        <v>7.1</v>
      </c>
      <c r="E1743">
        <v>6.8</v>
      </c>
      <c r="F1743">
        <v>7.5</v>
      </c>
      <c r="G1743">
        <v>6.8</v>
      </c>
      <c r="H1743">
        <v>6.1</v>
      </c>
      <c r="I1743">
        <v>7.1</v>
      </c>
      <c r="J1743">
        <v>5.4</v>
      </c>
      <c r="K1743">
        <v>5.8</v>
      </c>
      <c r="L1743">
        <v>6.1</v>
      </c>
      <c r="M1743">
        <v>6.7</v>
      </c>
      <c r="N1743">
        <f t="shared" si="27"/>
        <v>65.4</v>
      </c>
    </row>
    <row r="1744" spans="1:14">
      <c r="A1744">
        <v>20204974</v>
      </c>
      <c r="B1744" t="s">
        <v>17</v>
      </c>
      <c r="C1744" t="str">
        <f>VLOOKUP(B1744,专业代码!$B$2:$C$8,2,FALSE)</f>
        <v>金融工程</v>
      </c>
      <c r="D1744">
        <v>7.1</v>
      </c>
      <c r="E1744">
        <v>7.4</v>
      </c>
      <c r="F1744">
        <v>6.6</v>
      </c>
      <c r="G1744">
        <v>6.6</v>
      </c>
      <c r="H1744">
        <v>7.3</v>
      </c>
      <c r="I1744">
        <v>7.2</v>
      </c>
      <c r="J1744">
        <v>6.8</v>
      </c>
      <c r="K1744">
        <v>5.9</v>
      </c>
      <c r="L1744">
        <v>4.6</v>
      </c>
      <c r="M1744">
        <v>6.4</v>
      </c>
      <c r="N1744">
        <f t="shared" si="27"/>
        <v>65.9</v>
      </c>
    </row>
    <row r="1745" spans="1:14">
      <c r="A1745">
        <v>20207771</v>
      </c>
      <c r="B1745" t="s">
        <v>17</v>
      </c>
      <c r="C1745" t="str">
        <f>VLOOKUP(B1745,专业代码!$B$2:$C$8,2,FALSE)</f>
        <v>金融工程</v>
      </c>
      <c r="D1745">
        <v>7.1</v>
      </c>
      <c r="E1745">
        <v>7.4</v>
      </c>
      <c r="F1745">
        <v>7.4</v>
      </c>
      <c r="G1745">
        <v>6.7</v>
      </c>
      <c r="H1745">
        <v>5.8</v>
      </c>
      <c r="I1745">
        <v>7.4</v>
      </c>
      <c r="J1745">
        <v>5.1</v>
      </c>
      <c r="K1745">
        <v>6.7</v>
      </c>
      <c r="L1745">
        <v>4.6</v>
      </c>
      <c r="M1745">
        <v>5.8</v>
      </c>
      <c r="N1745">
        <f t="shared" si="27"/>
        <v>64</v>
      </c>
    </row>
    <row r="1746" spans="1:14">
      <c r="A1746">
        <v>20208396</v>
      </c>
      <c r="B1746" t="s">
        <v>17</v>
      </c>
      <c r="C1746" t="str">
        <f>VLOOKUP(B1746,专业代码!$B$2:$C$8,2,FALSE)</f>
        <v>金融工程</v>
      </c>
      <c r="D1746">
        <v>8.3</v>
      </c>
      <c r="E1746">
        <v>7.1</v>
      </c>
      <c r="F1746">
        <v>7.4</v>
      </c>
      <c r="G1746">
        <v>7.7</v>
      </c>
      <c r="H1746">
        <v>6.8</v>
      </c>
      <c r="I1746">
        <v>5.5</v>
      </c>
      <c r="J1746">
        <v>5.8</v>
      </c>
      <c r="K1746">
        <v>5.6</v>
      </c>
      <c r="L1746">
        <v>5.9</v>
      </c>
      <c r="M1746">
        <v>3</v>
      </c>
      <c r="N1746">
        <f t="shared" si="27"/>
        <v>63.1</v>
      </c>
    </row>
    <row r="1747" spans="1:14">
      <c r="A1747">
        <v>20209833</v>
      </c>
      <c r="B1747" t="s">
        <v>17</v>
      </c>
      <c r="C1747" t="str">
        <f>VLOOKUP(B1747,专业代码!$B$2:$C$8,2,FALSE)</f>
        <v>金融工程</v>
      </c>
      <c r="D1747">
        <v>7.4</v>
      </c>
      <c r="E1747">
        <v>7.5</v>
      </c>
      <c r="F1747">
        <v>7.9</v>
      </c>
      <c r="G1747">
        <v>6.6</v>
      </c>
      <c r="H1747">
        <v>7.1</v>
      </c>
      <c r="I1747">
        <v>5.9</v>
      </c>
      <c r="J1747">
        <v>6.6</v>
      </c>
      <c r="K1747">
        <v>5.1</v>
      </c>
      <c r="L1747">
        <v>3.8</v>
      </c>
      <c r="M1747">
        <v>6.3</v>
      </c>
      <c r="N1747">
        <f t="shared" si="27"/>
        <v>64.2</v>
      </c>
    </row>
    <row r="1748" spans="1:14">
      <c r="A1748">
        <v>20203836</v>
      </c>
      <c r="B1748" t="s">
        <v>17</v>
      </c>
      <c r="C1748" t="str">
        <f>VLOOKUP(B1748,专业代码!$B$2:$C$8,2,FALSE)</f>
        <v>金融工程</v>
      </c>
      <c r="D1748">
        <v>7.7</v>
      </c>
      <c r="E1748">
        <v>7.6</v>
      </c>
      <c r="F1748">
        <v>7</v>
      </c>
      <c r="G1748">
        <v>6.6</v>
      </c>
      <c r="H1748">
        <v>8.1</v>
      </c>
      <c r="I1748">
        <v>6.8</v>
      </c>
      <c r="J1748">
        <v>6.1</v>
      </c>
      <c r="K1748">
        <v>6.2</v>
      </c>
      <c r="L1748">
        <v>6.6</v>
      </c>
      <c r="M1748">
        <v>6.2</v>
      </c>
      <c r="N1748">
        <f t="shared" si="27"/>
        <v>68.9</v>
      </c>
    </row>
    <row r="1749" spans="1:14">
      <c r="A1749">
        <v>20208056</v>
      </c>
      <c r="B1749" t="s">
        <v>17</v>
      </c>
      <c r="C1749" t="str">
        <f>VLOOKUP(B1749,专业代码!$B$2:$C$8,2,FALSE)</f>
        <v>金融工程</v>
      </c>
      <c r="D1749">
        <v>7.9</v>
      </c>
      <c r="E1749">
        <v>5.6</v>
      </c>
      <c r="F1749">
        <v>6.6</v>
      </c>
      <c r="G1749">
        <v>7.3</v>
      </c>
      <c r="H1749">
        <v>6.8</v>
      </c>
      <c r="I1749">
        <v>7.7</v>
      </c>
      <c r="J1749">
        <v>7.7</v>
      </c>
      <c r="K1749">
        <v>5.2</v>
      </c>
      <c r="L1749">
        <v>6</v>
      </c>
      <c r="M1749">
        <v>8.5</v>
      </c>
      <c r="N1749">
        <f t="shared" si="27"/>
        <v>69.3</v>
      </c>
    </row>
    <row r="1750" spans="1:14">
      <c r="A1750">
        <v>20208359</v>
      </c>
      <c r="B1750" t="s">
        <v>17</v>
      </c>
      <c r="C1750" t="str">
        <f>VLOOKUP(B1750,专业代码!$B$2:$C$8,2,FALSE)</f>
        <v>金融工程</v>
      </c>
      <c r="D1750">
        <v>7.6</v>
      </c>
      <c r="E1750">
        <v>7.6</v>
      </c>
      <c r="F1750">
        <v>7</v>
      </c>
      <c r="G1750">
        <v>6.2</v>
      </c>
      <c r="H1750">
        <v>7.7</v>
      </c>
      <c r="I1750">
        <v>8.1</v>
      </c>
      <c r="J1750">
        <v>5.6</v>
      </c>
      <c r="K1750">
        <v>5.7</v>
      </c>
      <c r="L1750">
        <v>6.9</v>
      </c>
      <c r="M1750">
        <v>6.9</v>
      </c>
      <c r="N1750">
        <f t="shared" si="27"/>
        <v>69.3</v>
      </c>
    </row>
    <row r="1751" spans="1:14">
      <c r="A1751">
        <v>20209106</v>
      </c>
      <c r="B1751" t="s">
        <v>17</v>
      </c>
      <c r="C1751" t="str">
        <f>VLOOKUP(B1751,专业代码!$B$2:$C$8,2,FALSE)</f>
        <v>金融工程</v>
      </c>
      <c r="D1751">
        <v>7.1</v>
      </c>
      <c r="E1751">
        <v>7.9</v>
      </c>
      <c r="F1751">
        <v>7.1</v>
      </c>
      <c r="G1751">
        <v>7.6</v>
      </c>
      <c r="H1751">
        <v>6.5</v>
      </c>
      <c r="I1751">
        <v>8.3</v>
      </c>
      <c r="J1751">
        <v>6.1</v>
      </c>
      <c r="K1751">
        <v>7.1</v>
      </c>
      <c r="L1751">
        <v>5.6</v>
      </c>
      <c r="M1751">
        <v>7.8</v>
      </c>
      <c r="N1751">
        <f t="shared" si="27"/>
        <v>71.1</v>
      </c>
    </row>
    <row r="1752" spans="1:14">
      <c r="A1752">
        <v>20209339</v>
      </c>
      <c r="B1752" t="s">
        <v>17</v>
      </c>
      <c r="C1752" t="str">
        <f>VLOOKUP(B1752,专业代码!$B$2:$C$8,2,FALSE)</f>
        <v>金融工程</v>
      </c>
      <c r="D1752">
        <v>7.5</v>
      </c>
      <c r="E1752">
        <v>7.2</v>
      </c>
      <c r="F1752">
        <v>7.4</v>
      </c>
      <c r="G1752">
        <v>7.5</v>
      </c>
      <c r="H1752">
        <v>7.5</v>
      </c>
      <c r="I1752">
        <v>5.6</v>
      </c>
      <c r="J1752">
        <v>6.4</v>
      </c>
      <c r="K1752">
        <v>6.3</v>
      </c>
      <c r="L1752">
        <v>5.4</v>
      </c>
      <c r="M1752">
        <v>6.9</v>
      </c>
      <c r="N1752">
        <f t="shared" si="27"/>
        <v>67.7</v>
      </c>
    </row>
    <row r="1753" spans="1:14">
      <c r="A1753">
        <v>20202142</v>
      </c>
      <c r="B1753" t="s">
        <v>17</v>
      </c>
      <c r="C1753" t="str">
        <f>VLOOKUP(B1753,专业代码!$B$2:$C$8,2,FALSE)</f>
        <v>金融工程</v>
      </c>
      <c r="D1753">
        <v>7.9</v>
      </c>
      <c r="E1753">
        <v>6.8</v>
      </c>
      <c r="F1753">
        <v>8</v>
      </c>
      <c r="G1753">
        <v>7.5</v>
      </c>
      <c r="H1753">
        <v>6.6</v>
      </c>
      <c r="I1753">
        <v>6.6</v>
      </c>
      <c r="J1753">
        <v>5.1</v>
      </c>
      <c r="K1753">
        <v>5.9</v>
      </c>
      <c r="L1753">
        <v>8.1</v>
      </c>
      <c r="M1753">
        <v>5.7</v>
      </c>
      <c r="N1753">
        <f t="shared" si="27"/>
        <v>68.2</v>
      </c>
    </row>
    <row r="1754" spans="1:14">
      <c r="A1754">
        <v>20205173</v>
      </c>
      <c r="B1754" t="s">
        <v>17</v>
      </c>
      <c r="C1754" t="str">
        <f>VLOOKUP(B1754,专业代码!$B$2:$C$8,2,FALSE)</f>
        <v>金融工程</v>
      </c>
      <c r="D1754">
        <v>6.9</v>
      </c>
      <c r="E1754">
        <v>7.8</v>
      </c>
      <c r="F1754">
        <v>6.3</v>
      </c>
      <c r="G1754">
        <v>6.6</v>
      </c>
      <c r="H1754">
        <v>6.3</v>
      </c>
      <c r="I1754">
        <v>8.4</v>
      </c>
      <c r="J1754">
        <v>5.7</v>
      </c>
      <c r="K1754">
        <v>6.6</v>
      </c>
      <c r="L1754">
        <v>4.5</v>
      </c>
      <c r="M1754">
        <v>3.4</v>
      </c>
      <c r="N1754">
        <f t="shared" si="27"/>
        <v>62.5</v>
      </c>
    </row>
    <row r="1755" spans="1:14">
      <c r="A1755">
        <v>20206873</v>
      </c>
      <c r="B1755" t="s">
        <v>17</v>
      </c>
      <c r="C1755" t="str">
        <f>VLOOKUP(B1755,专业代码!$B$2:$C$8,2,FALSE)</f>
        <v>金融工程</v>
      </c>
      <c r="D1755">
        <v>7.6</v>
      </c>
      <c r="E1755">
        <v>6.7</v>
      </c>
      <c r="F1755">
        <v>6.9</v>
      </c>
      <c r="G1755">
        <v>7.2</v>
      </c>
      <c r="H1755">
        <v>7.1</v>
      </c>
      <c r="I1755">
        <v>6.4</v>
      </c>
      <c r="J1755">
        <v>5.8</v>
      </c>
      <c r="K1755">
        <v>6</v>
      </c>
      <c r="L1755">
        <v>4.8</v>
      </c>
      <c r="M1755">
        <v>3.7</v>
      </c>
      <c r="N1755">
        <f t="shared" si="27"/>
        <v>62.2</v>
      </c>
    </row>
    <row r="1756" spans="1:14">
      <c r="A1756">
        <v>20209166</v>
      </c>
      <c r="B1756" t="s">
        <v>17</v>
      </c>
      <c r="C1756" t="str">
        <f>VLOOKUP(B1756,专业代码!$B$2:$C$8,2,FALSE)</f>
        <v>金融工程</v>
      </c>
      <c r="D1756">
        <v>7.1</v>
      </c>
      <c r="E1756">
        <v>6.5</v>
      </c>
      <c r="F1756">
        <v>7.6</v>
      </c>
      <c r="G1756">
        <v>6.8</v>
      </c>
      <c r="H1756">
        <v>6.5</v>
      </c>
      <c r="I1756">
        <v>6.5</v>
      </c>
      <c r="J1756">
        <v>5.5</v>
      </c>
      <c r="K1756">
        <v>5.7</v>
      </c>
      <c r="L1756">
        <v>5.3</v>
      </c>
      <c r="M1756">
        <v>5.6</v>
      </c>
      <c r="N1756">
        <f t="shared" si="27"/>
        <v>63.1</v>
      </c>
    </row>
    <row r="1757" spans="1:14">
      <c r="A1757">
        <v>20209684</v>
      </c>
      <c r="B1757" t="s">
        <v>17</v>
      </c>
      <c r="C1757" t="str">
        <f>VLOOKUP(B1757,专业代码!$B$2:$C$8,2,FALSE)</f>
        <v>金融工程</v>
      </c>
      <c r="D1757">
        <v>7.6</v>
      </c>
      <c r="E1757">
        <v>7.1</v>
      </c>
      <c r="F1757">
        <v>6.9</v>
      </c>
      <c r="G1757">
        <v>7.2</v>
      </c>
      <c r="H1757">
        <v>6.5</v>
      </c>
      <c r="I1757">
        <v>6.4</v>
      </c>
      <c r="J1757">
        <v>6</v>
      </c>
      <c r="K1757">
        <v>4.3</v>
      </c>
      <c r="L1757">
        <v>6.4</v>
      </c>
      <c r="M1757">
        <v>3.9</v>
      </c>
      <c r="N1757">
        <f t="shared" si="27"/>
        <v>62.3</v>
      </c>
    </row>
    <row r="1758" spans="1:14">
      <c r="A1758">
        <v>20203885</v>
      </c>
      <c r="B1758" t="s">
        <v>17</v>
      </c>
      <c r="C1758" t="str">
        <f>VLOOKUP(B1758,专业代码!$B$2:$C$8,2,FALSE)</f>
        <v>金融工程</v>
      </c>
      <c r="D1758">
        <v>7</v>
      </c>
      <c r="E1758">
        <v>6.9</v>
      </c>
      <c r="F1758">
        <v>7.3</v>
      </c>
      <c r="G1758">
        <v>6.2</v>
      </c>
      <c r="H1758">
        <v>6.7</v>
      </c>
      <c r="I1758">
        <v>6.4</v>
      </c>
      <c r="J1758">
        <v>5.9</v>
      </c>
      <c r="K1758">
        <v>7.8</v>
      </c>
      <c r="L1758">
        <v>6.4</v>
      </c>
      <c r="M1758">
        <v>4.6</v>
      </c>
      <c r="N1758">
        <f t="shared" si="27"/>
        <v>65.2</v>
      </c>
    </row>
    <row r="1759" spans="1:14">
      <c r="A1759">
        <v>20204556</v>
      </c>
      <c r="B1759" t="s">
        <v>17</v>
      </c>
      <c r="C1759" t="str">
        <f>VLOOKUP(B1759,专业代码!$B$2:$C$8,2,FALSE)</f>
        <v>金融工程</v>
      </c>
      <c r="D1759">
        <v>7.2</v>
      </c>
      <c r="E1759">
        <v>7.2</v>
      </c>
      <c r="F1759">
        <v>7.3</v>
      </c>
      <c r="G1759">
        <v>7</v>
      </c>
      <c r="H1759">
        <v>6.6</v>
      </c>
      <c r="I1759">
        <v>6.6</v>
      </c>
      <c r="J1759">
        <v>5.9</v>
      </c>
      <c r="K1759">
        <v>5.4</v>
      </c>
      <c r="L1759">
        <v>6</v>
      </c>
      <c r="M1759">
        <v>6.1</v>
      </c>
      <c r="N1759">
        <f t="shared" si="27"/>
        <v>65.3</v>
      </c>
    </row>
    <row r="1760" spans="1:14">
      <c r="A1760">
        <v>20207904</v>
      </c>
      <c r="B1760" t="s">
        <v>17</v>
      </c>
      <c r="C1760" t="str">
        <f>VLOOKUP(B1760,专业代码!$B$2:$C$8,2,FALSE)</f>
        <v>金融工程</v>
      </c>
      <c r="D1760">
        <v>8</v>
      </c>
      <c r="E1760">
        <v>7.2</v>
      </c>
      <c r="F1760">
        <v>7.8</v>
      </c>
      <c r="G1760">
        <v>6.5</v>
      </c>
      <c r="H1760">
        <v>6.8</v>
      </c>
      <c r="I1760">
        <v>6</v>
      </c>
      <c r="J1760">
        <v>6.9</v>
      </c>
      <c r="K1760">
        <v>4.4</v>
      </c>
      <c r="L1760">
        <v>8.2</v>
      </c>
      <c r="M1760">
        <v>5</v>
      </c>
      <c r="N1760">
        <f t="shared" si="27"/>
        <v>66.8</v>
      </c>
    </row>
    <row r="1761" spans="1:14">
      <c r="A1761">
        <v>20202977</v>
      </c>
      <c r="B1761" t="s">
        <v>17</v>
      </c>
      <c r="C1761" t="str">
        <f>VLOOKUP(B1761,专业代码!$B$2:$C$8,2,FALSE)</f>
        <v>金融工程</v>
      </c>
      <c r="D1761">
        <v>7.2</v>
      </c>
      <c r="E1761">
        <v>6.6</v>
      </c>
      <c r="F1761">
        <v>7</v>
      </c>
      <c r="G1761">
        <v>7.2</v>
      </c>
      <c r="H1761">
        <v>7.1</v>
      </c>
      <c r="I1761">
        <v>6.2</v>
      </c>
      <c r="J1761">
        <v>5.1</v>
      </c>
      <c r="K1761">
        <v>7.3</v>
      </c>
      <c r="L1761">
        <v>4.8</v>
      </c>
      <c r="M1761">
        <v>7.2</v>
      </c>
      <c r="N1761">
        <f t="shared" si="27"/>
        <v>65.7</v>
      </c>
    </row>
    <row r="1762" spans="1:14">
      <c r="A1762">
        <v>20204318</v>
      </c>
      <c r="B1762" t="s">
        <v>17</v>
      </c>
      <c r="C1762" t="str">
        <f>VLOOKUP(B1762,专业代码!$B$2:$C$8,2,FALSE)</f>
        <v>金融工程</v>
      </c>
      <c r="D1762">
        <v>7.8</v>
      </c>
      <c r="E1762">
        <v>7.8</v>
      </c>
      <c r="F1762">
        <v>6.9</v>
      </c>
      <c r="G1762">
        <v>7</v>
      </c>
      <c r="H1762">
        <v>8.4</v>
      </c>
      <c r="I1762">
        <v>6.1</v>
      </c>
      <c r="J1762">
        <v>5.8</v>
      </c>
      <c r="K1762">
        <v>7.1</v>
      </c>
      <c r="L1762">
        <v>6.7</v>
      </c>
      <c r="M1762">
        <v>6.4</v>
      </c>
      <c r="N1762">
        <f t="shared" si="27"/>
        <v>70</v>
      </c>
    </row>
    <row r="1763" spans="1:14">
      <c r="A1763">
        <v>20205013</v>
      </c>
      <c r="B1763" t="s">
        <v>17</v>
      </c>
      <c r="C1763" t="str">
        <f>VLOOKUP(B1763,专业代码!$B$2:$C$8,2,FALSE)</f>
        <v>金融工程</v>
      </c>
      <c r="D1763">
        <v>7.8</v>
      </c>
      <c r="E1763">
        <v>7.7</v>
      </c>
      <c r="F1763">
        <v>7.7</v>
      </c>
      <c r="G1763">
        <v>7.2</v>
      </c>
      <c r="H1763">
        <v>4.9</v>
      </c>
      <c r="I1763">
        <v>7.2</v>
      </c>
      <c r="J1763">
        <v>6</v>
      </c>
      <c r="K1763">
        <v>5.7</v>
      </c>
      <c r="L1763">
        <v>4.4</v>
      </c>
      <c r="M1763">
        <v>7.4</v>
      </c>
      <c r="N1763">
        <f t="shared" si="27"/>
        <v>66</v>
      </c>
    </row>
    <row r="1764" spans="1:14">
      <c r="A1764">
        <v>20205906</v>
      </c>
      <c r="B1764" t="s">
        <v>17</v>
      </c>
      <c r="C1764" t="str">
        <f>VLOOKUP(B1764,专业代码!$B$2:$C$8,2,FALSE)</f>
        <v>金融工程</v>
      </c>
      <c r="D1764">
        <v>7.9</v>
      </c>
      <c r="E1764">
        <v>7.2</v>
      </c>
      <c r="F1764">
        <v>6.9</v>
      </c>
      <c r="G1764">
        <v>7.1</v>
      </c>
      <c r="H1764">
        <v>7.9</v>
      </c>
      <c r="I1764">
        <v>7.1</v>
      </c>
      <c r="J1764">
        <v>8</v>
      </c>
      <c r="K1764">
        <v>6.6</v>
      </c>
      <c r="L1764">
        <v>6.3</v>
      </c>
      <c r="M1764">
        <v>4.9</v>
      </c>
      <c r="N1764">
        <f t="shared" si="27"/>
        <v>69.9</v>
      </c>
    </row>
    <row r="1765" spans="1:14">
      <c r="A1765">
        <v>20207459</v>
      </c>
      <c r="B1765" t="s">
        <v>17</v>
      </c>
      <c r="C1765" t="str">
        <f>VLOOKUP(B1765,专业代码!$B$2:$C$8,2,FALSE)</f>
        <v>金融工程</v>
      </c>
      <c r="D1765">
        <v>7.6</v>
      </c>
      <c r="E1765">
        <v>7.7</v>
      </c>
      <c r="F1765">
        <v>6.7</v>
      </c>
      <c r="G1765">
        <v>6.9</v>
      </c>
      <c r="H1765">
        <v>6.8</v>
      </c>
      <c r="I1765">
        <v>7.9</v>
      </c>
      <c r="J1765">
        <v>4.9</v>
      </c>
      <c r="K1765">
        <v>5.8</v>
      </c>
      <c r="L1765">
        <v>6.6</v>
      </c>
      <c r="M1765">
        <v>6</v>
      </c>
      <c r="N1765">
        <f t="shared" si="27"/>
        <v>66.9</v>
      </c>
    </row>
    <row r="1766" spans="1:14">
      <c r="A1766">
        <v>20209257</v>
      </c>
      <c r="B1766" t="s">
        <v>17</v>
      </c>
      <c r="C1766" t="str">
        <f>VLOOKUP(B1766,专业代码!$B$2:$C$8,2,FALSE)</f>
        <v>金融工程</v>
      </c>
      <c r="D1766">
        <v>7.4</v>
      </c>
      <c r="E1766">
        <v>7.7</v>
      </c>
      <c r="F1766">
        <v>6.9</v>
      </c>
      <c r="G1766">
        <v>6.9</v>
      </c>
      <c r="H1766">
        <v>7.2</v>
      </c>
      <c r="I1766">
        <v>6.2</v>
      </c>
      <c r="J1766">
        <v>7.2</v>
      </c>
      <c r="K1766">
        <v>6.4</v>
      </c>
      <c r="L1766">
        <v>5.5</v>
      </c>
      <c r="M1766">
        <v>5.4</v>
      </c>
      <c r="N1766">
        <f t="shared" si="27"/>
        <v>66.8</v>
      </c>
    </row>
    <row r="1767" spans="1:14">
      <c r="A1767">
        <v>20203852</v>
      </c>
      <c r="B1767" t="s">
        <v>17</v>
      </c>
      <c r="C1767" t="str">
        <f>VLOOKUP(B1767,专业代码!$B$2:$C$8,2,FALSE)</f>
        <v>金融工程</v>
      </c>
      <c r="D1767">
        <v>7.7</v>
      </c>
      <c r="E1767">
        <v>7</v>
      </c>
      <c r="F1767">
        <v>6.9</v>
      </c>
      <c r="G1767">
        <v>6.3</v>
      </c>
      <c r="H1767">
        <v>6.5</v>
      </c>
      <c r="I1767">
        <v>5.5</v>
      </c>
      <c r="J1767">
        <v>5.9</v>
      </c>
      <c r="K1767">
        <v>6.9</v>
      </c>
      <c r="L1767">
        <v>5.6</v>
      </c>
      <c r="M1767">
        <v>4.8</v>
      </c>
      <c r="N1767">
        <f t="shared" si="27"/>
        <v>63.1</v>
      </c>
    </row>
    <row r="1768" spans="1:14">
      <c r="A1768">
        <v>20204994</v>
      </c>
      <c r="B1768" t="s">
        <v>17</v>
      </c>
      <c r="C1768" t="str">
        <f>VLOOKUP(B1768,专业代码!$B$2:$C$8,2,FALSE)</f>
        <v>金融工程</v>
      </c>
      <c r="D1768">
        <v>7.3</v>
      </c>
      <c r="E1768">
        <v>7.4</v>
      </c>
      <c r="F1768">
        <v>5.9</v>
      </c>
      <c r="G1768">
        <v>6.2</v>
      </c>
      <c r="H1768">
        <v>7.7</v>
      </c>
      <c r="I1768">
        <v>7.1</v>
      </c>
      <c r="J1768">
        <v>6.2</v>
      </c>
      <c r="K1768">
        <v>5.8</v>
      </c>
      <c r="L1768">
        <v>5.8</v>
      </c>
      <c r="M1768">
        <v>4.1</v>
      </c>
      <c r="N1768">
        <f t="shared" si="27"/>
        <v>63.5</v>
      </c>
    </row>
    <row r="1769" spans="1:14">
      <c r="A1769">
        <v>20207677</v>
      </c>
      <c r="B1769" t="s">
        <v>17</v>
      </c>
      <c r="C1769" t="str">
        <f>VLOOKUP(B1769,专业代码!$B$2:$C$8,2,FALSE)</f>
        <v>金融工程</v>
      </c>
      <c r="D1769">
        <v>7.7</v>
      </c>
      <c r="E1769">
        <v>7.3</v>
      </c>
      <c r="F1769">
        <v>7.4</v>
      </c>
      <c r="G1769">
        <v>7.2</v>
      </c>
      <c r="H1769">
        <v>6.5</v>
      </c>
      <c r="I1769">
        <v>6.1</v>
      </c>
      <c r="J1769">
        <v>5.1</v>
      </c>
      <c r="K1769">
        <v>4.7</v>
      </c>
      <c r="L1769">
        <v>5.5</v>
      </c>
      <c r="M1769">
        <v>4.2</v>
      </c>
      <c r="N1769">
        <f t="shared" si="27"/>
        <v>61.7</v>
      </c>
    </row>
    <row r="1770" spans="1:14">
      <c r="A1770">
        <v>20207993</v>
      </c>
      <c r="B1770" t="s">
        <v>17</v>
      </c>
      <c r="C1770" t="str">
        <f>VLOOKUP(B1770,专业代码!$B$2:$C$8,2,FALSE)</f>
        <v>金融工程</v>
      </c>
      <c r="D1770">
        <v>7.7</v>
      </c>
      <c r="E1770">
        <v>7.2</v>
      </c>
      <c r="F1770">
        <v>7</v>
      </c>
      <c r="G1770">
        <v>7.8</v>
      </c>
      <c r="H1770">
        <v>6.8</v>
      </c>
      <c r="I1770">
        <v>7.2</v>
      </c>
      <c r="J1770">
        <v>6.8</v>
      </c>
      <c r="K1770">
        <v>6.5</v>
      </c>
      <c r="L1770">
        <v>4.8</v>
      </c>
      <c r="M1770">
        <v>4.5</v>
      </c>
      <c r="N1770">
        <f t="shared" si="27"/>
        <v>66.3</v>
      </c>
    </row>
    <row r="1771" spans="1:14">
      <c r="A1771">
        <v>20208510</v>
      </c>
      <c r="B1771" t="s">
        <v>17</v>
      </c>
      <c r="C1771" t="str">
        <f>VLOOKUP(B1771,专业代码!$B$2:$C$8,2,FALSE)</f>
        <v>金融工程</v>
      </c>
      <c r="D1771">
        <v>7.5</v>
      </c>
      <c r="E1771">
        <v>7.3</v>
      </c>
      <c r="F1771">
        <v>7.3</v>
      </c>
      <c r="G1771">
        <v>7.5</v>
      </c>
      <c r="H1771">
        <v>6.6</v>
      </c>
      <c r="I1771">
        <v>6.2</v>
      </c>
      <c r="J1771">
        <v>7.4</v>
      </c>
      <c r="K1771">
        <v>6.4</v>
      </c>
      <c r="L1771">
        <v>7.5</v>
      </c>
      <c r="M1771">
        <v>6.3</v>
      </c>
      <c r="N1771">
        <f t="shared" si="27"/>
        <v>70</v>
      </c>
    </row>
    <row r="1772" spans="1:14">
      <c r="A1772">
        <v>20205843</v>
      </c>
      <c r="B1772" t="s">
        <v>17</v>
      </c>
      <c r="C1772" t="str">
        <f>VLOOKUP(B1772,专业代码!$B$2:$C$8,2,FALSE)</f>
        <v>金融工程</v>
      </c>
      <c r="D1772">
        <v>7.2</v>
      </c>
      <c r="E1772">
        <v>7.6</v>
      </c>
      <c r="F1772">
        <v>8.1</v>
      </c>
      <c r="G1772">
        <v>6.1</v>
      </c>
      <c r="H1772">
        <v>5.5</v>
      </c>
      <c r="I1772">
        <v>5.2</v>
      </c>
      <c r="J1772">
        <v>6.9</v>
      </c>
      <c r="K1772">
        <v>6.1</v>
      </c>
      <c r="L1772">
        <v>6.2</v>
      </c>
      <c r="M1772">
        <v>4.9</v>
      </c>
      <c r="N1772">
        <f t="shared" si="27"/>
        <v>63.8</v>
      </c>
    </row>
    <row r="1773" spans="1:14">
      <c r="A1773">
        <v>20206548</v>
      </c>
      <c r="B1773" t="s">
        <v>17</v>
      </c>
      <c r="C1773" t="str">
        <f>VLOOKUP(B1773,专业代码!$B$2:$C$8,2,FALSE)</f>
        <v>金融工程</v>
      </c>
      <c r="D1773">
        <v>7.7</v>
      </c>
      <c r="E1773">
        <v>8.3</v>
      </c>
      <c r="F1773">
        <v>7.2</v>
      </c>
      <c r="G1773">
        <v>6.6</v>
      </c>
      <c r="H1773">
        <v>5.6</v>
      </c>
      <c r="I1773">
        <v>6.6</v>
      </c>
      <c r="J1773">
        <v>6.1</v>
      </c>
      <c r="K1773">
        <v>4.8</v>
      </c>
      <c r="L1773">
        <v>5.8</v>
      </c>
      <c r="M1773">
        <v>5.2</v>
      </c>
      <c r="N1773">
        <f t="shared" si="27"/>
        <v>63.9</v>
      </c>
    </row>
    <row r="1774" spans="1:14">
      <c r="A1774">
        <v>20207542</v>
      </c>
      <c r="B1774" t="s">
        <v>17</v>
      </c>
      <c r="C1774" t="str">
        <f>VLOOKUP(B1774,专业代码!$B$2:$C$8,2,FALSE)</f>
        <v>金融工程</v>
      </c>
      <c r="D1774">
        <v>8.2</v>
      </c>
      <c r="E1774">
        <v>7.3</v>
      </c>
      <c r="F1774">
        <v>7</v>
      </c>
      <c r="G1774">
        <v>7.5</v>
      </c>
      <c r="H1774">
        <v>6.5</v>
      </c>
      <c r="I1774">
        <v>6</v>
      </c>
      <c r="J1774">
        <v>6</v>
      </c>
      <c r="K1774">
        <v>6.2</v>
      </c>
      <c r="L1774">
        <v>6</v>
      </c>
      <c r="M1774">
        <v>3.6</v>
      </c>
      <c r="N1774">
        <f t="shared" si="27"/>
        <v>64.3</v>
      </c>
    </row>
    <row r="1775" spans="1:14">
      <c r="A1775">
        <v>20209529</v>
      </c>
      <c r="B1775" t="s">
        <v>17</v>
      </c>
      <c r="C1775" t="str">
        <f>VLOOKUP(B1775,专业代码!$B$2:$C$8,2,FALSE)</f>
        <v>金融工程</v>
      </c>
      <c r="D1775">
        <v>7.4</v>
      </c>
      <c r="E1775">
        <v>7.4</v>
      </c>
      <c r="F1775">
        <v>7.2</v>
      </c>
      <c r="G1775">
        <v>7.9</v>
      </c>
      <c r="H1775">
        <v>7.5</v>
      </c>
      <c r="I1775">
        <v>7.2</v>
      </c>
      <c r="J1775">
        <v>6.2</v>
      </c>
      <c r="K1775">
        <v>6.9</v>
      </c>
      <c r="L1775">
        <v>6.5</v>
      </c>
      <c r="M1775">
        <v>6.7</v>
      </c>
      <c r="N1775">
        <f t="shared" si="27"/>
        <v>70.9</v>
      </c>
    </row>
    <row r="1776" spans="1:14">
      <c r="A1776">
        <v>20209809</v>
      </c>
      <c r="B1776" t="s">
        <v>17</v>
      </c>
      <c r="C1776" t="str">
        <f>VLOOKUP(B1776,专业代码!$B$2:$C$8,2,FALSE)</f>
        <v>金融工程</v>
      </c>
      <c r="D1776">
        <v>7</v>
      </c>
      <c r="E1776">
        <v>7.1</v>
      </c>
      <c r="F1776">
        <v>8.7</v>
      </c>
      <c r="G1776">
        <v>6.7</v>
      </c>
      <c r="H1776">
        <v>6.4</v>
      </c>
      <c r="I1776">
        <v>7.1</v>
      </c>
      <c r="J1776">
        <v>5.3</v>
      </c>
      <c r="K1776">
        <v>7.3</v>
      </c>
      <c r="L1776">
        <v>6.2</v>
      </c>
      <c r="M1776">
        <v>7.5</v>
      </c>
      <c r="N1776">
        <f t="shared" si="27"/>
        <v>69.3</v>
      </c>
    </row>
    <row r="1777" spans="1:14">
      <c r="A1777">
        <v>20201604</v>
      </c>
      <c r="B1777" t="s">
        <v>17</v>
      </c>
      <c r="C1777" t="str">
        <f>VLOOKUP(B1777,专业代码!$B$2:$C$8,2,FALSE)</f>
        <v>金融工程</v>
      </c>
      <c r="D1777">
        <v>7.3</v>
      </c>
      <c r="E1777">
        <v>6.8</v>
      </c>
      <c r="F1777">
        <v>7.1</v>
      </c>
      <c r="G1777">
        <v>6.5</v>
      </c>
      <c r="H1777">
        <v>6.6</v>
      </c>
      <c r="I1777">
        <v>6.4</v>
      </c>
      <c r="J1777">
        <v>6.2</v>
      </c>
      <c r="K1777">
        <v>5.5</v>
      </c>
      <c r="L1777">
        <v>5.7</v>
      </c>
      <c r="M1777">
        <v>6</v>
      </c>
      <c r="N1777">
        <f t="shared" si="27"/>
        <v>64.1</v>
      </c>
    </row>
    <row r="1778" spans="1:14">
      <c r="A1778">
        <v>20205060</v>
      </c>
      <c r="B1778" t="s">
        <v>17</v>
      </c>
      <c r="C1778" t="str">
        <f>VLOOKUP(B1778,专业代码!$B$2:$C$8,2,FALSE)</f>
        <v>金融工程</v>
      </c>
      <c r="D1778">
        <v>7.3</v>
      </c>
      <c r="E1778">
        <v>7.3</v>
      </c>
      <c r="F1778">
        <v>6.8</v>
      </c>
      <c r="G1778">
        <v>6.4</v>
      </c>
      <c r="H1778">
        <v>7.9</v>
      </c>
      <c r="I1778">
        <v>6</v>
      </c>
      <c r="J1778">
        <v>5.9</v>
      </c>
      <c r="K1778">
        <v>5.2</v>
      </c>
      <c r="L1778">
        <v>5.5</v>
      </c>
      <c r="M1778">
        <v>5.2</v>
      </c>
      <c r="N1778">
        <f t="shared" si="27"/>
        <v>63.5</v>
      </c>
    </row>
    <row r="1779" spans="1:14">
      <c r="A1779">
        <v>20209175</v>
      </c>
      <c r="B1779" t="s">
        <v>17</v>
      </c>
      <c r="C1779" t="str">
        <f>VLOOKUP(B1779,专业代码!$B$2:$C$8,2,FALSE)</f>
        <v>金融工程</v>
      </c>
      <c r="D1779">
        <v>8.2</v>
      </c>
      <c r="E1779">
        <v>7</v>
      </c>
      <c r="F1779">
        <v>8.2</v>
      </c>
      <c r="G1779">
        <v>6.7</v>
      </c>
      <c r="H1779">
        <v>6.1</v>
      </c>
      <c r="I1779">
        <v>6.8</v>
      </c>
      <c r="J1779">
        <v>6.5</v>
      </c>
      <c r="K1779">
        <v>6.1</v>
      </c>
      <c r="L1779">
        <v>7.8</v>
      </c>
      <c r="M1779">
        <v>6.9</v>
      </c>
      <c r="N1779">
        <f t="shared" si="27"/>
        <v>70.3</v>
      </c>
    </row>
    <row r="1780" spans="1:14">
      <c r="A1780">
        <v>20201407</v>
      </c>
      <c r="B1780" t="s">
        <v>17</v>
      </c>
      <c r="C1780" t="str">
        <f>VLOOKUP(B1780,专业代码!$B$2:$C$8,2,FALSE)</f>
        <v>金融工程</v>
      </c>
      <c r="D1780">
        <v>7.8</v>
      </c>
      <c r="E1780">
        <v>8.4</v>
      </c>
      <c r="F1780">
        <v>7.3</v>
      </c>
      <c r="G1780">
        <v>6.9</v>
      </c>
      <c r="H1780">
        <v>6</v>
      </c>
      <c r="I1780">
        <v>7.8</v>
      </c>
      <c r="J1780">
        <v>7.5</v>
      </c>
      <c r="K1780">
        <v>6.4</v>
      </c>
      <c r="L1780">
        <v>6.2</v>
      </c>
      <c r="M1780">
        <v>8.5</v>
      </c>
      <c r="N1780">
        <f t="shared" si="27"/>
        <v>72.8</v>
      </c>
    </row>
    <row r="1781" spans="1:14">
      <c r="A1781">
        <v>20202286</v>
      </c>
      <c r="B1781" t="s">
        <v>17</v>
      </c>
      <c r="C1781" t="str">
        <f>VLOOKUP(B1781,专业代码!$B$2:$C$8,2,FALSE)</f>
        <v>金融工程</v>
      </c>
      <c r="D1781">
        <v>8.6</v>
      </c>
      <c r="E1781">
        <v>8</v>
      </c>
      <c r="F1781">
        <v>9.3</v>
      </c>
      <c r="G1781">
        <v>8.4</v>
      </c>
      <c r="H1781">
        <v>7.5</v>
      </c>
      <c r="I1781">
        <v>8.6</v>
      </c>
      <c r="J1781">
        <v>8.9</v>
      </c>
      <c r="K1781">
        <v>7.5</v>
      </c>
      <c r="L1781">
        <v>7.3</v>
      </c>
      <c r="M1781">
        <v>4.7</v>
      </c>
      <c r="N1781">
        <f t="shared" si="27"/>
        <v>78.8</v>
      </c>
    </row>
    <row r="1782" spans="1:14">
      <c r="A1782">
        <v>20206940</v>
      </c>
      <c r="B1782" t="s">
        <v>17</v>
      </c>
      <c r="C1782" t="str">
        <f>VLOOKUP(B1782,专业代码!$B$2:$C$8,2,FALSE)</f>
        <v>金融工程</v>
      </c>
      <c r="D1782">
        <v>9.3</v>
      </c>
      <c r="E1782">
        <v>8.1</v>
      </c>
      <c r="F1782">
        <v>8.4</v>
      </c>
      <c r="G1782">
        <v>9</v>
      </c>
      <c r="H1782">
        <v>8.7</v>
      </c>
      <c r="I1782">
        <v>8</v>
      </c>
      <c r="J1782">
        <v>7.1</v>
      </c>
      <c r="K1782">
        <v>6.7</v>
      </c>
      <c r="L1782">
        <v>5.4</v>
      </c>
      <c r="M1782">
        <v>7.4</v>
      </c>
      <c r="N1782">
        <f t="shared" si="27"/>
        <v>78.1</v>
      </c>
    </row>
    <row r="1783" spans="1:14">
      <c r="A1783">
        <v>20208336</v>
      </c>
      <c r="B1783" t="s">
        <v>17</v>
      </c>
      <c r="C1783" t="str">
        <f>VLOOKUP(B1783,专业代码!$B$2:$C$8,2,FALSE)</f>
        <v>金融工程</v>
      </c>
      <c r="D1783">
        <v>8.9</v>
      </c>
      <c r="E1783">
        <v>8</v>
      </c>
      <c r="F1783">
        <v>7.1</v>
      </c>
      <c r="G1783">
        <v>8.2</v>
      </c>
      <c r="H1783">
        <v>9</v>
      </c>
      <c r="I1783">
        <v>8.1</v>
      </c>
      <c r="J1783">
        <v>6.9</v>
      </c>
      <c r="K1783">
        <v>7.4</v>
      </c>
      <c r="L1783">
        <v>6.2</v>
      </c>
      <c r="M1783">
        <v>6.2</v>
      </c>
      <c r="N1783">
        <f t="shared" si="27"/>
        <v>76</v>
      </c>
    </row>
    <row r="1784" spans="1:14">
      <c r="A1784">
        <v>20208935</v>
      </c>
      <c r="B1784" t="s">
        <v>17</v>
      </c>
      <c r="C1784" t="str">
        <f>VLOOKUP(B1784,专业代码!$B$2:$C$8,2,FALSE)</f>
        <v>金融工程</v>
      </c>
      <c r="D1784">
        <v>8.9</v>
      </c>
      <c r="E1784">
        <v>9.1</v>
      </c>
      <c r="F1784">
        <v>8.9</v>
      </c>
      <c r="G1784">
        <v>8.2</v>
      </c>
      <c r="H1784">
        <v>7.7</v>
      </c>
      <c r="I1784">
        <v>7.9</v>
      </c>
      <c r="J1784">
        <v>6.7</v>
      </c>
      <c r="K1784">
        <v>8.2</v>
      </c>
      <c r="L1784">
        <v>8.4</v>
      </c>
      <c r="M1784">
        <v>5.2</v>
      </c>
      <c r="N1784">
        <f t="shared" si="27"/>
        <v>79.2</v>
      </c>
    </row>
    <row r="1785" spans="1:14">
      <c r="A1785">
        <v>20208944</v>
      </c>
      <c r="B1785" t="s">
        <v>17</v>
      </c>
      <c r="C1785" t="str">
        <f>VLOOKUP(B1785,专业代码!$B$2:$C$8,2,FALSE)</f>
        <v>金融工程</v>
      </c>
      <c r="D1785">
        <v>8.9</v>
      </c>
      <c r="E1785">
        <v>8.7</v>
      </c>
      <c r="F1785">
        <v>7.6</v>
      </c>
      <c r="G1785">
        <v>7</v>
      </c>
      <c r="H1785">
        <v>6.8</v>
      </c>
      <c r="I1785">
        <v>8.1</v>
      </c>
      <c r="J1785">
        <v>6.8</v>
      </c>
      <c r="K1785">
        <v>6.6</v>
      </c>
      <c r="L1785">
        <v>8</v>
      </c>
      <c r="M1785">
        <v>6.5</v>
      </c>
      <c r="N1785">
        <f t="shared" si="27"/>
        <v>75</v>
      </c>
    </row>
    <row r="1786" spans="1:14">
      <c r="A1786">
        <v>20202351</v>
      </c>
      <c r="B1786" t="s">
        <v>17</v>
      </c>
      <c r="C1786" t="str">
        <f>VLOOKUP(B1786,专业代码!$B$2:$C$8,2,FALSE)</f>
        <v>金融工程</v>
      </c>
      <c r="D1786">
        <v>7.7</v>
      </c>
      <c r="E1786">
        <v>6.7</v>
      </c>
      <c r="F1786">
        <v>7.6</v>
      </c>
      <c r="G1786">
        <v>7</v>
      </c>
      <c r="H1786">
        <v>6.3</v>
      </c>
      <c r="I1786">
        <v>6.8</v>
      </c>
      <c r="J1786">
        <v>6</v>
      </c>
      <c r="K1786">
        <v>7.6</v>
      </c>
      <c r="L1786">
        <v>5.5</v>
      </c>
      <c r="M1786">
        <v>6.1</v>
      </c>
      <c r="N1786">
        <f t="shared" si="27"/>
        <v>67.3</v>
      </c>
    </row>
    <row r="1787" spans="1:14">
      <c r="A1787">
        <v>20206072</v>
      </c>
      <c r="B1787" t="s">
        <v>17</v>
      </c>
      <c r="C1787" t="str">
        <f>VLOOKUP(B1787,专业代码!$B$2:$C$8,2,FALSE)</f>
        <v>金融工程</v>
      </c>
      <c r="D1787">
        <v>7.6</v>
      </c>
      <c r="E1787">
        <v>6</v>
      </c>
      <c r="F1787">
        <v>7.4</v>
      </c>
      <c r="G1787">
        <v>7.1</v>
      </c>
      <c r="H1787">
        <v>6.6</v>
      </c>
      <c r="I1787">
        <v>6.4</v>
      </c>
      <c r="J1787">
        <v>6.5</v>
      </c>
      <c r="K1787">
        <v>5.7</v>
      </c>
      <c r="L1787">
        <v>5.5</v>
      </c>
      <c r="M1787">
        <v>5.6</v>
      </c>
      <c r="N1787">
        <f t="shared" si="27"/>
        <v>64.4</v>
      </c>
    </row>
    <row r="1788" spans="1:14">
      <c r="A1788">
        <v>20207598</v>
      </c>
      <c r="B1788" t="s">
        <v>17</v>
      </c>
      <c r="C1788" t="str">
        <f>VLOOKUP(B1788,专业代码!$B$2:$C$8,2,FALSE)</f>
        <v>金融工程</v>
      </c>
      <c r="D1788">
        <v>7.3</v>
      </c>
      <c r="E1788">
        <v>6.8</v>
      </c>
      <c r="F1788">
        <v>6.7</v>
      </c>
      <c r="G1788">
        <v>6.8</v>
      </c>
      <c r="H1788">
        <v>6.7</v>
      </c>
      <c r="I1788">
        <v>6.5</v>
      </c>
      <c r="J1788">
        <v>6.2</v>
      </c>
      <c r="K1788">
        <v>6.9</v>
      </c>
      <c r="L1788">
        <v>6.7</v>
      </c>
      <c r="M1788">
        <v>6.3</v>
      </c>
      <c r="N1788">
        <f t="shared" si="27"/>
        <v>66.9</v>
      </c>
    </row>
    <row r="1789" spans="1:14">
      <c r="A1789">
        <v>20207646</v>
      </c>
      <c r="B1789" t="s">
        <v>17</v>
      </c>
      <c r="C1789" t="str">
        <f>VLOOKUP(B1789,专业代码!$B$2:$C$8,2,FALSE)</f>
        <v>金融工程</v>
      </c>
      <c r="D1789">
        <v>6.8</v>
      </c>
      <c r="E1789">
        <v>7.1</v>
      </c>
      <c r="F1789">
        <v>7.5</v>
      </c>
      <c r="G1789">
        <v>6.8</v>
      </c>
      <c r="H1789">
        <v>7</v>
      </c>
      <c r="I1789">
        <v>6.3</v>
      </c>
      <c r="J1789">
        <v>6.5</v>
      </c>
      <c r="K1789">
        <v>6.3</v>
      </c>
      <c r="L1789">
        <v>4.9</v>
      </c>
      <c r="M1789">
        <v>3.5</v>
      </c>
      <c r="N1789">
        <f t="shared" si="27"/>
        <v>62.7</v>
      </c>
    </row>
    <row r="1790" spans="1:14">
      <c r="A1790">
        <v>20208008</v>
      </c>
      <c r="B1790" t="s">
        <v>17</v>
      </c>
      <c r="C1790" t="str">
        <f>VLOOKUP(B1790,专业代码!$B$2:$C$8,2,FALSE)</f>
        <v>金融工程</v>
      </c>
      <c r="D1790">
        <v>7.1</v>
      </c>
      <c r="E1790">
        <v>7.4</v>
      </c>
      <c r="F1790">
        <v>6.6</v>
      </c>
      <c r="G1790">
        <v>6.3</v>
      </c>
      <c r="H1790">
        <v>6.1</v>
      </c>
      <c r="I1790">
        <v>5.4</v>
      </c>
      <c r="J1790">
        <v>4.2</v>
      </c>
      <c r="K1790">
        <v>5.6</v>
      </c>
      <c r="L1790">
        <v>6.6</v>
      </c>
      <c r="M1790">
        <v>4.8</v>
      </c>
      <c r="N1790">
        <f t="shared" si="27"/>
        <v>60.1</v>
      </c>
    </row>
    <row r="1791" spans="1:14">
      <c r="A1791">
        <v>20209132</v>
      </c>
      <c r="B1791" t="s">
        <v>17</v>
      </c>
      <c r="C1791" t="str">
        <f>VLOOKUP(B1791,专业代码!$B$2:$C$8,2,FALSE)</f>
        <v>金融工程</v>
      </c>
      <c r="D1791">
        <v>8.1</v>
      </c>
      <c r="E1791">
        <v>7.7</v>
      </c>
      <c r="F1791">
        <v>7.2</v>
      </c>
      <c r="G1791">
        <v>7</v>
      </c>
      <c r="H1791">
        <v>7.5</v>
      </c>
      <c r="I1791">
        <v>5.7</v>
      </c>
      <c r="J1791">
        <v>5.9</v>
      </c>
      <c r="K1791">
        <v>8.2</v>
      </c>
      <c r="L1791">
        <v>6.5</v>
      </c>
      <c r="M1791">
        <v>4.4</v>
      </c>
      <c r="N1791">
        <f t="shared" si="27"/>
        <v>68.2</v>
      </c>
    </row>
    <row r="1792" spans="1:14">
      <c r="A1792">
        <v>20209453</v>
      </c>
      <c r="B1792" t="s">
        <v>17</v>
      </c>
      <c r="C1792" t="str">
        <f>VLOOKUP(B1792,专业代码!$B$2:$C$8,2,FALSE)</f>
        <v>金融工程</v>
      </c>
      <c r="D1792">
        <v>7.3</v>
      </c>
      <c r="E1792">
        <v>7.4</v>
      </c>
      <c r="F1792">
        <v>6.6</v>
      </c>
      <c r="G1792">
        <v>6.4</v>
      </c>
      <c r="H1792">
        <v>5.3</v>
      </c>
      <c r="I1792">
        <v>5.9</v>
      </c>
      <c r="J1792">
        <v>6.1</v>
      </c>
      <c r="K1792">
        <v>5.5</v>
      </c>
      <c r="L1792">
        <v>6.1</v>
      </c>
      <c r="M1792">
        <v>6.1</v>
      </c>
      <c r="N1792">
        <f t="shared" si="27"/>
        <v>62.7</v>
      </c>
    </row>
    <row r="1793" spans="1:14">
      <c r="A1793">
        <v>20203233</v>
      </c>
      <c r="B1793" t="s">
        <v>17</v>
      </c>
      <c r="C1793" t="str">
        <f>VLOOKUP(B1793,专业代码!$B$2:$C$8,2,FALSE)</f>
        <v>金融工程</v>
      </c>
      <c r="D1793">
        <v>7.3</v>
      </c>
      <c r="E1793">
        <v>7.3</v>
      </c>
      <c r="F1793">
        <v>7.1</v>
      </c>
      <c r="G1793">
        <v>6.8</v>
      </c>
      <c r="H1793">
        <v>6.8</v>
      </c>
      <c r="I1793">
        <v>6</v>
      </c>
      <c r="J1793">
        <v>7.4</v>
      </c>
      <c r="K1793">
        <v>5.7</v>
      </c>
      <c r="L1793">
        <v>6.5</v>
      </c>
      <c r="M1793">
        <v>5.8</v>
      </c>
      <c r="N1793">
        <f t="shared" si="27"/>
        <v>66.7</v>
      </c>
    </row>
    <row r="1794" spans="1:14">
      <c r="A1794">
        <v>20204524</v>
      </c>
      <c r="B1794" t="s">
        <v>17</v>
      </c>
      <c r="C1794" t="str">
        <f>VLOOKUP(B1794,专业代码!$B$2:$C$8,2,FALSE)</f>
        <v>金融工程</v>
      </c>
      <c r="D1794">
        <v>7.9</v>
      </c>
      <c r="E1794">
        <v>7.4</v>
      </c>
      <c r="F1794">
        <v>7.4</v>
      </c>
      <c r="G1794">
        <v>6.6</v>
      </c>
      <c r="H1794">
        <v>6.7</v>
      </c>
      <c r="I1794">
        <v>6.1</v>
      </c>
      <c r="J1794">
        <v>7.1</v>
      </c>
      <c r="K1794">
        <v>6.1</v>
      </c>
      <c r="L1794">
        <v>7.5</v>
      </c>
      <c r="M1794">
        <v>6.6</v>
      </c>
      <c r="N1794">
        <f t="shared" si="27"/>
        <v>69.4</v>
      </c>
    </row>
    <row r="1795" spans="1:14">
      <c r="A1795">
        <v>20205212</v>
      </c>
      <c r="B1795" t="s">
        <v>17</v>
      </c>
      <c r="C1795" t="str">
        <f>VLOOKUP(B1795,专业代码!$B$2:$C$8,2,FALSE)</f>
        <v>金融工程</v>
      </c>
      <c r="D1795">
        <v>8.1</v>
      </c>
      <c r="E1795">
        <v>6.7</v>
      </c>
      <c r="F1795">
        <v>8.2</v>
      </c>
      <c r="G1795">
        <v>6.7</v>
      </c>
      <c r="H1795">
        <v>6.2</v>
      </c>
      <c r="I1795">
        <v>6.7</v>
      </c>
      <c r="J1795">
        <v>7</v>
      </c>
      <c r="K1795">
        <v>4</v>
      </c>
      <c r="L1795">
        <v>5.7</v>
      </c>
      <c r="M1795">
        <v>6.6</v>
      </c>
      <c r="N1795">
        <f t="shared" ref="N1795:N1858" si="28">SUM(D1795:M1795)</f>
        <v>65.9</v>
      </c>
    </row>
    <row r="1796" spans="1:14">
      <c r="A1796">
        <v>20205533</v>
      </c>
      <c r="B1796" t="s">
        <v>17</v>
      </c>
      <c r="C1796" t="str">
        <f>VLOOKUP(B1796,专业代码!$B$2:$C$8,2,FALSE)</f>
        <v>金融工程</v>
      </c>
      <c r="D1796">
        <v>6.8</v>
      </c>
      <c r="E1796">
        <v>7</v>
      </c>
      <c r="F1796">
        <v>7.3</v>
      </c>
      <c r="G1796">
        <v>7.7</v>
      </c>
      <c r="H1796">
        <v>7</v>
      </c>
      <c r="I1796">
        <v>5.8</v>
      </c>
      <c r="J1796">
        <v>8.3</v>
      </c>
      <c r="K1796">
        <v>7.7</v>
      </c>
      <c r="L1796">
        <v>5.9</v>
      </c>
      <c r="M1796">
        <v>5.2</v>
      </c>
      <c r="N1796">
        <f t="shared" si="28"/>
        <v>68.7</v>
      </c>
    </row>
    <row r="1797" spans="1:14">
      <c r="A1797">
        <v>20206168</v>
      </c>
      <c r="B1797" t="s">
        <v>17</v>
      </c>
      <c r="C1797" t="str">
        <f>VLOOKUP(B1797,专业代码!$B$2:$C$8,2,FALSE)</f>
        <v>金融工程</v>
      </c>
      <c r="D1797">
        <v>7.4</v>
      </c>
      <c r="E1797">
        <v>7.5</v>
      </c>
      <c r="F1797">
        <v>7.2</v>
      </c>
      <c r="G1797">
        <v>7.3</v>
      </c>
      <c r="H1797">
        <v>7.7</v>
      </c>
      <c r="I1797">
        <v>6.1</v>
      </c>
      <c r="J1797">
        <v>6.1</v>
      </c>
      <c r="K1797">
        <v>7.2</v>
      </c>
      <c r="L1797">
        <v>5.6</v>
      </c>
      <c r="M1797">
        <v>4.7</v>
      </c>
      <c r="N1797">
        <f t="shared" si="28"/>
        <v>66.8</v>
      </c>
    </row>
    <row r="1798" spans="1:14">
      <c r="A1798">
        <v>20207787</v>
      </c>
      <c r="B1798" t="s">
        <v>17</v>
      </c>
      <c r="C1798" t="str">
        <f>VLOOKUP(B1798,专业代码!$B$2:$C$8,2,FALSE)</f>
        <v>金融工程</v>
      </c>
      <c r="D1798">
        <v>7.2</v>
      </c>
      <c r="E1798">
        <v>8.1</v>
      </c>
      <c r="F1798">
        <v>7.3</v>
      </c>
      <c r="G1798">
        <v>5.8</v>
      </c>
      <c r="H1798">
        <v>6.4</v>
      </c>
      <c r="I1798">
        <v>5.3</v>
      </c>
      <c r="J1798">
        <v>4.5</v>
      </c>
      <c r="K1798">
        <v>5.9</v>
      </c>
      <c r="L1798">
        <v>5.8</v>
      </c>
      <c r="M1798">
        <v>6.1</v>
      </c>
      <c r="N1798">
        <f t="shared" si="28"/>
        <v>62.4</v>
      </c>
    </row>
    <row r="1799" spans="1:14">
      <c r="A1799">
        <v>20208276</v>
      </c>
      <c r="B1799" t="s">
        <v>17</v>
      </c>
      <c r="C1799" t="str">
        <f>VLOOKUP(B1799,专业代码!$B$2:$C$8,2,FALSE)</f>
        <v>金融工程</v>
      </c>
      <c r="D1799">
        <v>6.9</v>
      </c>
      <c r="E1799">
        <v>7.6</v>
      </c>
      <c r="F1799">
        <v>7.8</v>
      </c>
      <c r="G1799">
        <v>7.2</v>
      </c>
      <c r="H1799">
        <v>6.1</v>
      </c>
      <c r="I1799">
        <v>6</v>
      </c>
      <c r="J1799">
        <v>7.3</v>
      </c>
      <c r="K1799">
        <v>5.9</v>
      </c>
      <c r="L1799">
        <v>5.4</v>
      </c>
      <c r="M1799">
        <v>7.8</v>
      </c>
      <c r="N1799">
        <f t="shared" si="28"/>
        <v>68</v>
      </c>
    </row>
    <row r="1800" spans="1:14">
      <c r="A1800">
        <v>20209548</v>
      </c>
      <c r="B1800" t="s">
        <v>17</v>
      </c>
      <c r="C1800" t="str">
        <f>VLOOKUP(B1800,专业代码!$B$2:$C$8,2,FALSE)</f>
        <v>金融工程</v>
      </c>
      <c r="D1800">
        <v>7.3</v>
      </c>
      <c r="E1800">
        <v>6.9</v>
      </c>
      <c r="F1800">
        <v>7.3</v>
      </c>
      <c r="G1800">
        <v>7.6</v>
      </c>
      <c r="H1800">
        <v>6.6</v>
      </c>
      <c r="I1800">
        <v>7.3</v>
      </c>
      <c r="J1800">
        <v>7</v>
      </c>
      <c r="K1800">
        <v>6.6</v>
      </c>
      <c r="L1800">
        <v>6.2</v>
      </c>
      <c r="M1800">
        <v>5</v>
      </c>
      <c r="N1800">
        <f t="shared" si="28"/>
        <v>67.8</v>
      </c>
    </row>
    <row r="1801" spans="1:14">
      <c r="A1801">
        <v>20203211</v>
      </c>
      <c r="B1801" t="s">
        <v>17</v>
      </c>
      <c r="C1801" t="str">
        <f>VLOOKUP(B1801,专业代码!$B$2:$C$8,2,FALSE)</f>
        <v>金融工程</v>
      </c>
      <c r="D1801">
        <v>8.1</v>
      </c>
      <c r="E1801">
        <v>7.2</v>
      </c>
      <c r="F1801">
        <v>6.8</v>
      </c>
      <c r="G1801">
        <v>7.5</v>
      </c>
      <c r="H1801">
        <v>8.3</v>
      </c>
      <c r="I1801">
        <v>7.3</v>
      </c>
      <c r="J1801">
        <v>6.3</v>
      </c>
      <c r="K1801">
        <v>5.4</v>
      </c>
      <c r="L1801">
        <v>4.9</v>
      </c>
      <c r="M1801">
        <v>6.9</v>
      </c>
      <c r="N1801">
        <f t="shared" si="28"/>
        <v>68.7</v>
      </c>
    </row>
    <row r="1802" spans="1:14">
      <c r="A1802">
        <v>20203950</v>
      </c>
      <c r="B1802" t="s">
        <v>17</v>
      </c>
      <c r="C1802" t="str">
        <f>VLOOKUP(B1802,专业代码!$B$2:$C$8,2,FALSE)</f>
        <v>金融工程</v>
      </c>
      <c r="D1802">
        <v>8.1</v>
      </c>
      <c r="E1802">
        <v>7.8</v>
      </c>
      <c r="F1802">
        <v>7.4</v>
      </c>
      <c r="G1802">
        <v>6.6</v>
      </c>
      <c r="H1802">
        <v>7.6</v>
      </c>
      <c r="I1802">
        <v>6.7</v>
      </c>
      <c r="J1802">
        <v>8</v>
      </c>
      <c r="K1802">
        <v>6</v>
      </c>
      <c r="L1802">
        <v>7</v>
      </c>
      <c r="M1802">
        <v>4.9</v>
      </c>
      <c r="N1802">
        <f t="shared" si="28"/>
        <v>70.1</v>
      </c>
    </row>
    <row r="1803" spans="1:14">
      <c r="A1803">
        <v>20209524</v>
      </c>
      <c r="B1803" t="s">
        <v>17</v>
      </c>
      <c r="C1803" t="str">
        <f>VLOOKUP(B1803,专业代码!$B$2:$C$8,2,FALSE)</f>
        <v>金融工程</v>
      </c>
      <c r="D1803">
        <v>7.3</v>
      </c>
      <c r="E1803">
        <v>6.9</v>
      </c>
      <c r="F1803">
        <v>7.4</v>
      </c>
      <c r="G1803">
        <v>7.4</v>
      </c>
      <c r="H1803">
        <v>6</v>
      </c>
      <c r="I1803">
        <v>6.3</v>
      </c>
      <c r="J1803">
        <v>6.1</v>
      </c>
      <c r="K1803">
        <v>6</v>
      </c>
      <c r="L1803">
        <v>6.7</v>
      </c>
      <c r="M1803">
        <v>5</v>
      </c>
      <c r="N1803">
        <f t="shared" si="28"/>
        <v>65.1</v>
      </c>
    </row>
    <row r="1804" spans="1:14">
      <c r="A1804">
        <v>20202329</v>
      </c>
      <c r="B1804" t="s">
        <v>17</v>
      </c>
      <c r="C1804" t="str">
        <f>VLOOKUP(B1804,专业代码!$B$2:$C$8,2,FALSE)</f>
        <v>金融工程</v>
      </c>
      <c r="D1804">
        <v>8</v>
      </c>
      <c r="E1804">
        <v>6.8</v>
      </c>
      <c r="F1804">
        <v>7</v>
      </c>
      <c r="G1804">
        <v>7.1</v>
      </c>
      <c r="H1804">
        <v>7.6</v>
      </c>
      <c r="I1804">
        <v>6.7</v>
      </c>
      <c r="J1804">
        <v>6.3</v>
      </c>
      <c r="K1804">
        <v>5.3</v>
      </c>
      <c r="L1804">
        <v>6.6</v>
      </c>
      <c r="M1804">
        <v>7</v>
      </c>
      <c r="N1804">
        <f t="shared" si="28"/>
        <v>68.4</v>
      </c>
    </row>
    <row r="1805" spans="1:14">
      <c r="A1805">
        <v>20206947</v>
      </c>
      <c r="B1805" t="s">
        <v>17</v>
      </c>
      <c r="C1805" t="str">
        <f>VLOOKUP(B1805,专业代码!$B$2:$C$8,2,FALSE)</f>
        <v>金融工程</v>
      </c>
      <c r="D1805">
        <v>7.1</v>
      </c>
      <c r="E1805">
        <v>7.1</v>
      </c>
      <c r="F1805">
        <v>7.9</v>
      </c>
      <c r="G1805">
        <v>7.4</v>
      </c>
      <c r="H1805">
        <v>6.2</v>
      </c>
      <c r="I1805">
        <v>7.2</v>
      </c>
      <c r="J1805">
        <v>7.5</v>
      </c>
      <c r="K1805">
        <v>7.5</v>
      </c>
      <c r="L1805">
        <v>5.3</v>
      </c>
      <c r="M1805">
        <v>6</v>
      </c>
      <c r="N1805">
        <f t="shared" si="28"/>
        <v>69.2</v>
      </c>
    </row>
    <row r="1806" spans="1:14">
      <c r="A1806">
        <v>20207248</v>
      </c>
      <c r="B1806" t="s">
        <v>17</v>
      </c>
      <c r="C1806" t="str">
        <f>VLOOKUP(B1806,专业代码!$B$2:$C$8,2,FALSE)</f>
        <v>金融工程</v>
      </c>
      <c r="D1806">
        <v>6.4</v>
      </c>
      <c r="E1806">
        <v>8</v>
      </c>
      <c r="F1806">
        <v>6.6</v>
      </c>
      <c r="G1806">
        <v>6.8</v>
      </c>
      <c r="H1806">
        <v>8</v>
      </c>
      <c r="I1806">
        <v>6.9</v>
      </c>
      <c r="J1806">
        <v>7.9</v>
      </c>
      <c r="K1806">
        <v>6.6</v>
      </c>
      <c r="L1806">
        <v>4.9</v>
      </c>
      <c r="M1806">
        <v>5.6</v>
      </c>
      <c r="N1806">
        <f t="shared" si="28"/>
        <v>67.7</v>
      </c>
    </row>
    <row r="1807" spans="1:14">
      <c r="A1807">
        <v>20203515</v>
      </c>
      <c r="B1807" t="s">
        <v>17</v>
      </c>
      <c r="C1807" t="str">
        <f>VLOOKUP(B1807,专业代码!$B$2:$C$8,2,FALSE)</f>
        <v>金融工程</v>
      </c>
      <c r="D1807">
        <v>6.9</v>
      </c>
      <c r="E1807">
        <v>7.5</v>
      </c>
      <c r="F1807">
        <v>6.8</v>
      </c>
      <c r="G1807">
        <v>8.5</v>
      </c>
      <c r="H1807">
        <v>8.5</v>
      </c>
      <c r="I1807">
        <v>6.6</v>
      </c>
      <c r="J1807">
        <v>7.1</v>
      </c>
      <c r="K1807">
        <v>5.9</v>
      </c>
      <c r="L1807">
        <v>6.2</v>
      </c>
      <c r="M1807">
        <v>7</v>
      </c>
      <c r="N1807">
        <f t="shared" si="28"/>
        <v>71</v>
      </c>
    </row>
    <row r="1808" spans="1:14">
      <c r="A1808">
        <v>20203543</v>
      </c>
      <c r="B1808" t="s">
        <v>17</v>
      </c>
      <c r="C1808" t="str">
        <f>VLOOKUP(B1808,专业代码!$B$2:$C$8,2,FALSE)</f>
        <v>金融工程</v>
      </c>
      <c r="D1808">
        <v>7.6</v>
      </c>
      <c r="E1808">
        <v>7.9</v>
      </c>
      <c r="F1808">
        <v>6.6</v>
      </c>
      <c r="G1808">
        <v>8</v>
      </c>
      <c r="H1808">
        <v>7.5</v>
      </c>
      <c r="I1808">
        <v>6.6</v>
      </c>
      <c r="J1808">
        <v>7.6</v>
      </c>
      <c r="K1808">
        <v>6.1</v>
      </c>
      <c r="L1808">
        <v>5.7</v>
      </c>
      <c r="M1808">
        <v>4.6</v>
      </c>
      <c r="N1808">
        <f t="shared" si="28"/>
        <v>68.2</v>
      </c>
    </row>
    <row r="1809" spans="1:14">
      <c r="A1809">
        <v>20202035</v>
      </c>
      <c r="B1809" t="s">
        <v>17</v>
      </c>
      <c r="C1809" t="str">
        <f>VLOOKUP(B1809,专业代码!$B$2:$C$8,2,FALSE)</f>
        <v>金融工程</v>
      </c>
      <c r="D1809">
        <v>7.5</v>
      </c>
      <c r="E1809">
        <v>7.5</v>
      </c>
      <c r="F1809">
        <v>7.6</v>
      </c>
      <c r="G1809">
        <v>6.6</v>
      </c>
      <c r="H1809">
        <v>6.3</v>
      </c>
      <c r="I1809">
        <v>7.4</v>
      </c>
      <c r="J1809">
        <v>6.9</v>
      </c>
      <c r="K1809">
        <v>7.7</v>
      </c>
      <c r="L1809">
        <v>6.2</v>
      </c>
      <c r="M1809">
        <v>5.8</v>
      </c>
      <c r="N1809">
        <f t="shared" si="28"/>
        <v>69.5</v>
      </c>
    </row>
    <row r="1810" spans="1:14">
      <c r="A1810">
        <v>20205227</v>
      </c>
      <c r="B1810" t="s">
        <v>17</v>
      </c>
      <c r="C1810" t="str">
        <f>VLOOKUP(B1810,专业代码!$B$2:$C$8,2,FALSE)</f>
        <v>金融工程</v>
      </c>
      <c r="D1810">
        <v>7.5</v>
      </c>
      <c r="E1810">
        <v>7.4</v>
      </c>
      <c r="F1810">
        <v>7</v>
      </c>
      <c r="G1810">
        <v>6.6</v>
      </c>
      <c r="H1810">
        <v>6.5</v>
      </c>
      <c r="I1810">
        <v>6.9</v>
      </c>
      <c r="J1810">
        <v>6.9</v>
      </c>
      <c r="K1810">
        <v>7.3</v>
      </c>
      <c r="L1810">
        <v>6.6</v>
      </c>
      <c r="M1810">
        <v>5</v>
      </c>
      <c r="N1810">
        <f t="shared" si="28"/>
        <v>67.7</v>
      </c>
    </row>
    <row r="1811" spans="1:14">
      <c r="A1811">
        <v>20206442</v>
      </c>
      <c r="B1811" t="s">
        <v>17</v>
      </c>
      <c r="C1811" t="str">
        <f>VLOOKUP(B1811,专业代码!$B$2:$C$8,2,FALSE)</f>
        <v>金融工程</v>
      </c>
      <c r="D1811">
        <v>7.9</v>
      </c>
      <c r="E1811">
        <v>7.4</v>
      </c>
      <c r="F1811">
        <v>7.4</v>
      </c>
      <c r="G1811">
        <v>7.4</v>
      </c>
      <c r="H1811">
        <v>5.9</v>
      </c>
      <c r="I1811">
        <v>6</v>
      </c>
      <c r="J1811">
        <v>7.9</v>
      </c>
      <c r="K1811">
        <v>4.9</v>
      </c>
      <c r="L1811">
        <v>7</v>
      </c>
      <c r="M1811">
        <v>6</v>
      </c>
      <c r="N1811">
        <f t="shared" si="28"/>
        <v>67.8</v>
      </c>
    </row>
    <row r="1812" spans="1:14">
      <c r="A1812">
        <v>20208432</v>
      </c>
      <c r="B1812" t="s">
        <v>17</v>
      </c>
      <c r="C1812" t="str">
        <f>VLOOKUP(B1812,专业代码!$B$2:$C$8,2,FALSE)</f>
        <v>金融工程</v>
      </c>
      <c r="D1812">
        <v>7.3</v>
      </c>
      <c r="E1812">
        <v>7.6</v>
      </c>
      <c r="F1812">
        <v>8.2</v>
      </c>
      <c r="G1812">
        <v>6.7</v>
      </c>
      <c r="H1812">
        <v>8</v>
      </c>
      <c r="I1812">
        <v>6.8</v>
      </c>
      <c r="J1812">
        <v>4.9</v>
      </c>
      <c r="K1812">
        <v>5.8</v>
      </c>
      <c r="L1812">
        <v>6.2</v>
      </c>
      <c r="M1812">
        <v>4.5</v>
      </c>
      <c r="N1812">
        <f t="shared" si="28"/>
        <v>66</v>
      </c>
    </row>
    <row r="1813" spans="1:14">
      <c r="A1813">
        <v>20208817</v>
      </c>
      <c r="B1813" t="s">
        <v>17</v>
      </c>
      <c r="C1813" t="str">
        <f>VLOOKUP(B1813,专业代码!$B$2:$C$8,2,FALSE)</f>
        <v>金融工程</v>
      </c>
      <c r="D1813">
        <v>7.5</v>
      </c>
      <c r="E1813">
        <v>7.3</v>
      </c>
      <c r="F1813">
        <v>6.5</v>
      </c>
      <c r="G1813">
        <v>7</v>
      </c>
      <c r="H1813">
        <v>6.2</v>
      </c>
      <c r="I1813">
        <v>7.3</v>
      </c>
      <c r="J1813">
        <v>6.4</v>
      </c>
      <c r="K1813">
        <v>6.4</v>
      </c>
      <c r="L1813">
        <v>5.2</v>
      </c>
      <c r="M1813">
        <v>4.7</v>
      </c>
      <c r="N1813">
        <f t="shared" si="28"/>
        <v>64.5</v>
      </c>
    </row>
    <row r="1814" spans="1:14">
      <c r="A1814">
        <v>20202510</v>
      </c>
      <c r="B1814" t="s">
        <v>17</v>
      </c>
      <c r="C1814" t="str">
        <f>VLOOKUP(B1814,专业代码!$B$2:$C$8,2,FALSE)</f>
        <v>金融工程</v>
      </c>
      <c r="D1814">
        <v>7.8</v>
      </c>
      <c r="E1814">
        <v>7.9</v>
      </c>
      <c r="F1814">
        <v>7.9</v>
      </c>
      <c r="G1814">
        <v>7.5</v>
      </c>
      <c r="H1814">
        <v>7.4</v>
      </c>
      <c r="I1814">
        <v>7.5</v>
      </c>
      <c r="J1814">
        <v>4.7</v>
      </c>
      <c r="K1814">
        <v>6.2</v>
      </c>
      <c r="L1814">
        <v>6.9</v>
      </c>
      <c r="M1814">
        <v>6.5</v>
      </c>
      <c r="N1814">
        <f t="shared" si="28"/>
        <v>70.3</v>
      </c>
    </row>
    <row r="1815" spans="1:14">
      <c r="A1815">
        <v>20203773</v>
      </c>
      <c r="B1815" t="s">
        <v>17</v>
      </c>
      <c r="C1815" t="str">
        <f>VLOOKUP(B1815,专业代码!$B$2:$C$8,2,FALSE)</f>
        <v>金融工程</v>
      </c>
      <c r="D1815">
        <v>7.4</v>
      </c>
      <c r="E1815">
        <v>7.3</v>
      </c>
      <c r="F1815">
        <v>6.7</v>
      </c>
      <c r="G1815">
        <v>6.6</v>
      </c>
      <c r="H1815">
        <v>6.4</v>
      </c>
      <c r="I1815">
        <v>6.9</v>
      </c>
      <c r="J1815">
        <v>8.5</v>
      </c>
      <c r="K1815">
        <v>6.1</v>
      </c>
      <c r="L1815">
        <v>5.9</v>
      </c>
      <c r="M1815">
        <v>6.5</v>
      </c>
      <c r="N1815">
        <f t="shared" si="28"/>
        <v>68.3</v>
      </c>
    </row>
    <row r="1816" spans="1:14">
      <c r="A1816">
        <v>20206301</v>
      </c>
      <c r="B1816" t="s">
        <v>17</v>
      </c>
      <c r="C1816" t="str">
        <f>VLOOKUP(B1816,专业代码!$B$2:$C$8,2,FALSE)</f>
        <v>金融工程</v>
      </c>
      <c r="D1816">
        <v>7.9</v>
      </c>
      <c r="E1816">
        <v>7.1</v>
      </c>
      <c r="F1816">
        <v>7.2</v>
      </c>
      <c r="G1816">
        <v>6.8</v>
      </c>
      <c r="H1816">
        <v>7.1</v>
      </c>
      <c r="I1816">
        <v>7</v>
      </c>
      <c r="J1816">
        <v>5.9</v>
      </c>
      <c r="K1816">
        <v>6.7</v>
      </c>
      <c r="L1816">
        <v>6.1</v>
      </c>
      <c r="M1816">
        <v>6.7</v>
      </c>
      <c r="N1816">
        <f t="shared" si="28"/>
        <v>68.5</v>
      </c>
    </row>
    <row r="1817" spans="1:14">
      <c r="A1817">
        <v>20207996</v>
      </c>
      <c r="B1817" t="s">
        <v>17</v>
      </c>
      <c r="C1817" t="str">
        <f>VLOOKUP(B1817,专业代码!$B$2:$C$8,2,FALSE)</f>
        <v>金融工程</v>
      </c>
      <c r="D1817">
        <v>6.9</v>
      </c>
      <c r="E1817">
        <v>6.7</v>
      </c>
      <c r="F1817">
        <v>7.3</v>
      </c>
      <c r="G1817">
        <v>7.1</v>
      </c>
      <c r="H1817">
        <v>6.8</v>
      </c>
      <c r="I1817">
        <v>5.4</v>
      </c>
      <c r="J1817">
        <v>7</v>
      </c>
      <c r="K1817">
        <v>6.7</v>
      </c>
      <c r="L1817">
        <v>5.6</v>
      </c>
      <c r="M1817">
        <v>5</v>
      </c>
      <c r="N1817">
        <f t="shared" si="28"/>
        <v>64.5</v>
      </c>
    </row>
    <row r="1818" spans="1:14">
      <c r="A1818">
        <v>20201349</v>
      </c>
      <c r="B1818" t="s">
        <v>17</v>
      </c>
      <c r="C1818" t="str">
        <f>VLOOKUP(B1818,专业代码!$B$2:$C$8,2,FALSE)</f>
        <v>金融工程</v>
      </c>
      <c r="D1818">
        <v>7.5</v>
      </c>
      <c r="E1818">
        <v>6.5</v>
      </c>
      <c r="F1818">
        <v>6.5</v>
      </c>
      <c r="G1818">
        <v>6.3</v>
      </c>
      <c r="H1818">
        <v>6.9</v>
      </c>
      <c r="I1818">
        <v>8</v>
      </c>
      <c r="J1818">
        <v>4.6</v>
      </c>
      <c r="K1818">
        <v>6.5</v>
      </c>
      <c r="L1818">
        <v>5.6</v>
      </c>
      <c r="M1818">
        <v>6</v>
      </c>
      <c r="N1818">
        <f t="shared" si="28"/>
        <v>64.4</v>
      </c>
    </row>
    <row r="1819" spans="1:14">
      <c r="A1819">
        <v>20204245</v>
      </c>
      <c r="B1819" t="s">
        <v>17</v>
      </c>
      <c r="C1819" t="str">
        <f>VLOOKUP(B1819,专业代码!$B$2:$C$8,2,FALSE)</f>
        <v>金融工程</v>
      </c>
      <c r="D1819">
        <v>7</v>
      </c>
      <c r="E1819">
        <v>8</v>
      </c>
      <c r="F1819">
        <v>7.5</v>
      </c>
      <c r="G1819">
        <v>7.4</v>
      </c>
      <c r="H1819">
        <v>6.7</v>
      </c>
      <c r="I1819">
        <v>6.3</v>
      </c>
      <c r="J1819">
        <v>7.3</v>
      </c>
      <c r="K1819">
        <v>7.6</v>
      </c>
      <c r="L1819">
        <v>6.9</v>
      </c>
      <c r="M1819">
        <v>4.1</v>
      </c>
      <c r="N1819">
        <f t="shared" si="28"/>
        <v>68.8</v>
      </c>
    </row>
    <row r="1820" spans="1:14">
      <c r="A1820">
        <v>20207593</v>
      </c>
      <c r="B1820" t="s">
        <v>17</v>
      </c>
      <c r="C1820" t="str">
        <f>VLOOKUP(B1820,专业代码!$B$2:$C$8,2,FALSE)</f>
        <v>金融工程</v>
      </c>
      <c r="D1820">
        <v>7.2</v>
      </c>
      <c r="E1820">
        <v>7.3</v>
      </c>
      <c r="F1820">
        <v>7.6</v>
      </c>
      <c r="G1820">
        <v>6.5</v>
      </c>
      <c r="H1820">
        <v>7.8</v>
      </c>
      <c r="I1820">
        <v>7.7</v>
      </c>
      <c r="J1820">
        <v>7.2</v>
      </c>
      <c r="K1820">
        <v>6.7</v>
      </c>
      <c r="L1820">
        <v>4.6</v>
      </c>
      <c r="M1820">
        <v>6.7</v>
      </c>
      <c r="N1820">
        <f t="shared" si="28"/>
        <v>69.3</v>
      </c>
    </row>
    <row r="1821" spans="1:14">
      <c r="A1821">
        <v>20202736</v>
      </c>
      <c r="B1821" t="s">
        <v>17</v>
      </c>
      <c r="C1821" t="str">
        <f>VLOOKUP(B1821,专业代码!$B$2:$C$8,2,FALSE)</f>
        <v>金融工程</v>
      </c>
      <c r="D1821">
        <v>7.6</v>
      </c>
      <c r="E1821">
        <v>7.6</v>
      </c>
      <c r="F1821">
        <v>7.5</v>
      </c>
      <c r="G1821">
        <v>6.9</v>
      </c>
      <c r="H1821">
        <v>6.6</v>
      </c>
      <c r="I1821">
        <v>6.5</v>
      </c>
      <c r="J1821">
        <v>5</v>
      </c>
      <c r="K1821">
        <v>6.3</v>
      </c>
      <c r="L1821">
        <v>6.1</v>
      </c>
      <c r="M1821">
        <v>5.9</v>
      </c>
      <c r="N1821">
        <f t="shared" si="28"/>
        <v>66</v>
      </c>
    </row>
    <row r="1822" spans="1:14">
      <c r="A1822">
        <v>20205952</v>
      </c>
      <c r="B1822" t="s">
        <v>17</v>
      </c>
      <c r="C1822" t="str">
        <f>VLOOKUP(B1822,专业代码!$B$2:$C$8,2,FALSE)</f>
        <v>金融工程</v>
      </c>
      <c r="D1822">
        <v>6.8</v>
      </c>
      <c r="E1822">
        <v>7.4</v>
      </c>
      <c r="F1822">
        <v>7.6</v>
      </c>
      <c r="G1822">
        <v>6.5</v>
      </c>
      <c r="H1822">
        <v>7.4</v>
      </c>
      <c r="I1822">
        <v>7.3</v>
      </c>
      <c r="J1822">
        <v>5.5</v>
      </c>
      <c r="K1822">
        <v>6.1</v>
      </c>
      <c r="L1822">
        <v>7.7</v>
      </c>
      <c r="M1822">
        <v>5</v>
      </c>
      <c r="N1822">
        <f t="shared" si="28"/>
        <v>67.3</v>
      </c>
    </row>
    <row r="1823" spans="1:14">
      <c r="A1823">
        <v>20209072</v>
      </c>
      <c r="B1823" t="s">
        <v>17</v>
      </c>
      <c r="C1823" t="str">
        <f>VLOOKUP(B1823,专业代码!$B$2:$C$8,2,FALSE)</f>
        <v>金融工程</v>
      </c>
      <c r="D1823">
        <v>7.4</v>
      </c>
      <c r="E1823">
        <v>7.4</v>
      </c>
      <c r="F1823">
        <v>7.3</v>
      </c>
      <c r="G1823">
        <v>7.1</v>
      </c>
      <c r="H1823">
        <v>6.5</v>
      </c>
      <c r="I1823">
        <v>6.8</v>
      </c>
      <c r="J1823">
        <v>6.1</v>
      </c>
      <c r="K1823">
        <v>6.2</v>
      </c>
      <c r="L1823">
        <v>6.1</v>
      </c>
      <c r="M1823">
        <v>6</v>
      </c>
      <c r="N1823">
        <f t="shared" si="28"/>
        <v>66.9</v>
      </c>
    </row>
    <row r="1824" spans="1:14">
      <c r="A1824">
        <v>20202488</v>
      </c>
      <c r="B1824" t="s">
        <v>17</v>
      </c>
      <c r="C1824" t="str">
        <f>VLOOKUP(B1824,专业代码!$B$2:$C$8,2,FALSE)</f>
        <v>金融工程</v>
      </c>
      <c r="D1824">
        <v>8</v>
      </c>
      <c r="E1824">
        <v>7.6</v>
      </c>
      <c r="F1824">
        <v>7.5</v>
      </c>
      <c r="G1824">
        <v>6.9</v>
      </c>
      <c r="H1824">
        <v>6.8</v>
      </c>
      <c r="I1824">
        <v>7.2</v>
      </c>
      <c r="J1824">
        <v>7.2</v>
      </c>
      <c r="K1824">
        <v>5.8</v>
      </c>
      <c r="L1824">
        <v>5.6</v>
      </c>
      <c r="M1824">
        <v>2</v>
      </c>
      <c r="N1824">
        <f t="shared" si="28"/>
        <v>64.6</v>
      </c>
    </row>
    <row r="1825" spans="1:14">
      <c r="A1825">
        <v>20204287</v>
      </c>
      <c r="B1825" t="s">
        <v>17</v>
      </c>
      <c r="C1825" t="str">
        <f>VLOOKUP(B1825,专业代码!$B$2:$C$8,2,FALSE)</f>
        <v>金融工程</v>
      </c>
      <c r="D1825">
        <v>7.2</v>
      </c>
      <c r="E1825">
        <v>7.6</v>
      </c>
      <c r="F1825">
        <v>8</v>
      </c>
      <c r="G1825">
        <v>7.6</v>
      </c>
      <c r="H1825">
        <v>7.9</v>
      </c>
      <c r="I1825">
        <v>7.6</v>
      </c>
      <c r="J1825">
        <v>6.7</v>
      </c>
      <c r="K1825">
        <v>7</v>
      </c>
      <c r="L1825">
        <v>6</v>
      </c>
      <c r="M1825">
        <v>5.7</v>
      </c>
      <c r="N1825">
        <f t="shared" si="28"/>
        <v>71.3</v>
      </c>
    </row>
    <row r="1826" spans="1:14">
      <c r="A1826">
        <v>20207058</v>
      </c>
      <c r="B1826" t="s">
        <v>17</v>
      </c>
      <c r="C1826" t="str">
        <f>VLOOKUP(B1826,专业代码!$B$2:$C$8,2,FALSE)</f>
        <v>金融工程</v>
      </c>
      <c r="D1826">
        <v>7.7</v>
      </c>
      <c r="E1826">
        <v>7.2</v>
      </c>
      <c r="F1826">
        <v>6.4</v>
      </c>
      <c r="G1826">
        <v>6.5</v>
      </c>
      <c r="H1826">
        <v>7.5</v>
      </c>
      <c r="I1826">
        <v>4.9</v>
      </c>
      <c r="J1826">
        <v>5.5</v>
      </c>
      <c r="K1826">
        <v>5.6</v>
      </c>
      <c r="L1826">
        <v>4.4</v>
      </c>
      <c r="M1826">
        <v>6.6</v>
      </c>
      <c r="N1826">
        <f t="shared" si="28"/>
        <v>62.3</v>
      </c>
    </row>
    <row r="1827" spans="1:14">
      <c r="A1827">
        <v>20207140</v>
      </c>
      <c r="B1827" t="s">
        <v>17</v>
      </c>
      <c r="C1827" t="str">
        <f>VLOOKUP(B1827,专业代码!$B$2:$C$8,2,FALSE)</f>
        <v>金融工程</v>
      </c>
      <c r="D1827">
        <v>7.3</v>
      </c>
      <c r="E1827">
        <v>7</v>
      </c>
      <c r="F1827">
        <v>7</v>
      </c>
      <c r="G1827">
        <v>6</v>
      </c>
      <c r="H1827">
        <v>7.5</v>
      </c>
      <c r="I1827">
        <v>6.7</v>
      </c>
      <c r="J1827">
        <v>6.6</v>
      </c>
      <c r="K1827">
        <v>6.1</v>
      </c>
      <c r="L1827">
        <v>6.9</v>
      </c>
      <c r="M1827">
        <v>5.4</v>
      </c>
      <c r="N1827">
        <f t="shared" si="28"/>
        <v>66.5</v>
      </c>
    </row>
    <row r="1828" spans="1:14">
      <c r="A1828">
        <v>20209193</v>
      </c>
      <c r="B1828" t="s">
        <v>17</v>
      </c>
      <c r="C1828" t="str">
        <f>VLOOKUP(B1828,专业代码!$B$2:$C$8,2,FALSE)</f>
        <v>金融工程</v>
      </c>
      <c r="D1828">
        <v>7.7</v>
      </c>
      <c r="E1828">
        <v>7.3</v>
      </c>
      <c r="F1828">
        <v>6.6</v>
      </c>
      <c r="G1828">
        <v>6.1</v>
      </c>
      <c r="H1828">
        <v>5.3</v>
      </c>
      <c r="I1828">
        <v>7.7</v>
      </c>
      <c r="J1828">
        <v>5.7</v>
      </c>
      <c r="K1828">
        <v>6.6</v>
      </c>
      <c r="L1828">
        <v>5.6</v>
      </c>
      <c r="M1828">
        <v>4.3</v>
      </c>
      <c r="N1828">
        <f t="shared" si="28"/>
        <v>62.9</v>
      </c>
    </row>
    <row r="1829" spans="1:14">
      <c r="A1829">
        <v>20209562</v>
      </c>
      <c r="B1829" t="s">
        <v>17</v>
      </c>
      <c r="C1829" t="str">
        <f>VLOOKUP(B1829,专业代码!$B$2:$C$8,2,FALSE)</f>
        <v>金融工程</v>
      </c>
      <c r="D1829">
        <v>7.7</v>
      </c>
      <c r="E1829">
        <v>7</v>
      </c>
      <c r="F1829">
        <v>7.3</v>
      </c>
      <c r="G1829">
        <v>7.6</v>
      </c>
      <c r="H1829">
        <v>6.4</v>
      </c>
      <c r="I1829">
        <v>7.5</v>
      </c>
      <c r="J1829">
        <v>7.1</v>
      </c>
      <c r="K1829">
        <v>6.8</v>
      </c>
      <c r="L1829">
        <v>7.1</v>
      </c>
      <c r="M1829">
        <v>4.2</v>
      </c>
      <c r="N1829">
        <f t="shared" si="28"/>
        <v>68.7</v>
      </c>
    </row>
    <row r="1830" spans="1:14">
      <c r="A1830">
        <v>20209839</v>
      </c>
      <c r="B1830" t="s">
        <v>17</v>
      </c>
      <c r="C1830" t="str">
        <f>VLOOKUP(B1830,专业代码!$B$2:$C$8,2,FALSE)</f>
        <v>金融工程</v>
      </c>
      <c r="D1830">
        <v>7.5</v>
      </c>
      <c r="E1830">
        <v>7.3</v>
      </c>
      <c r="F1830">
        <v>6.6</v>
      </c>
      <c r="G1830">
        <v>7.2</v>
      </c>
      <c r="H1830">
        <v>6.8</v>
      </c>
      <c r="I1830">
        <v>6.6</v>
      </c>
      <c r="J1830">
        <v>6.3</v>
      </c>
      <c r="K1830">
        <v>5.2</v>
      </c>
      <c r="L1830">
        <v>4.7</v>
      </c>
      <c r="M1830">
        <v>6.8</v>
      </c>
      <c r="N1830">
        <f t="shared" si="28"/>
        <v>65</v>
      </c>
    </row>
    <row r="1831" spans="1:14">
      <c r="A1831">
        <v>20209923</v>
      </c>
      <c r="B1831" t="s">
        <v>17</v>
      </c>
      <c r="C1831" t="str">
        <f>VLOOKUP(B1831,专业代码!$B$2:$C$8,2,FALSE)</f>
        <v>金融工程</v>
      </c>
      <c r="D1831">
        <v>7.4</v>
      </c>
      <c r="E1831">
        <v>7</v>
      </c>
      <c r="F1831">
        <v>7.2</v>
      </c>
      <c r="G1831">
        <v>6.2</v>
      </c>
      <c r="H1831">
        <v>7.2</v>
      </c>
      <c r="I1831">
        <v>7</v>
      </c>
      <c r="J1831">
        <v>7.3</v>
      </c>
      <c r="K1831">
        <v>5.8</v>
      </c>
      <c r="L1831">
        <v>5.5</v>
      </c>
      <c r="M1831">
        <v>5.7</v>
      </c>
      <c r="N1831">
        <f t="shared" si="28"/>
        <v>66.3</v>
      </c>
    </row>
    <row r="1832" spans="1:14">
      <c r="A1832">
        <v>20203204</v>
      </c>
      <c r="B1832" t="s">
        <v>17</v>
      </c>
      <c r="C1832" t="str">
        <f>VLOOKUP(B1832,专业代码!$B$2:$C$8,2,FALSE)</f>
        <v>金融工程</v>
      </c>
      <c r="D1832">
        <v>7.9</v>
      </c>
      <c r="E1832">
        <v>7.2</v>
      </c>
      <c r="F1832">
        <v>6.5</v>
      </c>
      <c r="G1832">
        <v>7.3</v>
      </c>
      <c r="H1832">
        <v>7.7</v>
      </c>
      <c r="I1832">
        <v>7.1</v>
      </c>
      <c r="J1832">
        <v>6.7</v>
      </c>
      <c r="K1832">
        <v>7.2</v>
      </c>
      <c r="L1832">
        <v>5.7</v>
      </c>
      <c r="M1832">
        <v>4.8</v>
      </c>
      <c r="N1832">
        <f t="shared" si="28"/>
        <v>68.1</v>
      </c>
    </row>
    <row r="1833" spans="1:14">
      <c r="A1833">
        <v>20203531</v>
      </c>
      <c r="B1833" t="s">
        <v>17</v>
      </c>
      <c r="C1833" t="str">
        <f>VLOOKUP(B1833,专业代码!$B$2:$C$8,2,FALSE)</f>
        <v>金融工程</v>
      </c>
      <c r="D1833">
        <v>7.2</v>
      </c>
      <c r="E1833">
        <v>7.6</v>
      </c>
      <c r="F1833">
        <v>7.6</v>
      </c>
      <c r="G1833">
        <v>6.4</v>
      </c>
      <c r="H1833">
        <v>5.9</v>
      </c>
      <c r="I1833">
        <v>6.4</v>
      </c>
      <c r="J1833">
        <v>6.3</v>
      </c>
      <c r="K1833">
        <v>6.9</v>
      </c>
      <c r="L1833">
        <v>4.7</v>
      </c>
      <c r="M1833">
        <v>6.1</v>
      </c>
      <c r="N1833">
        <f t="shared" si="28"/>
        <v>65.1</v>
      </c>
    </row>
    <row r="1834" spans="1:14">
      <c r="A1834">
        <v>20205710</v>
      </c>
      <c r="B1834" t="s">
        <v>17</v>
      </c>
      <c r="C1834" t="str">
        <f>VLOOKUP(B1834,专业代码!$B$2:$C$8,2,FALSE)</f>
        <v>金融工程</v>
      </c>
      <c r="D1834">
        <v>7.7</v>
      </c>
      <c r="E1834">
        <v>7.3</v>
      </c>
      <c r="F1834">
        <v>7.3</v>
      </c>
      <c r="G1834">
        <v>7.1</v>
      </c>
      <c r="H1834">
        <v>7.5</v>
      </c>
      <c r="I1834">
        <v>7.3</v>
      </c>
      <c r="J1834">
        <v>5.9</v>
      </c>
      <c r="K1834">
        <v>6.9</v>
      </c>
      <c r="L1834">
        <v>6.2</v>
      </c>
      <c r="M1834">
        <v>6.8</v>
      </c>
      <c r="N1834">
        <f t="shared" si="28"/>
        <v>70</v>
      </c>
    </row>
    <row r="1835" spans="1:14">
      <c r="A1835">
        <v>20208072</v>
      </c>
      <c r="B1835" t="s">
        <v>17</v>
      </c>
      <c r="C1835" t="str">
        <f>VLOOKUP(B1835,专业代码!$B$2:$C$8,2,FALSE)</f>
        <v>金融工程</v>
      </c>
      <c r="D1835">
        <v>8.5</v>
      </c>
      <c r="E1835">
        <v>8</v>
      </c>
      <c r="F1835">
        <v>7.4</v>
      </c>
      <c r="G1835">
        <v>8.4</v>
      </c>
      <c r="H1835">
        <v>7</v>
      </c>
      <c r="I1835">
        <v>7.4</v>
      </c>
      <c r="J1835">
        <v>7.4</v>
      </c>
      <c r="K1835">
        <v>5.6</v>
      </c>
      <c r="L1835">
        <v>6.5</v>
      </c>
      <c r="M1835">
        <v>7.3</v>
      </c>
      <c r="N1835">
        <f t="shared" si="28"/>
        <v>73.5</v>
      </c>
    </row>
    <row r="1836" spans="1:14">
      <c r="A1836">
        <v>20209637</v>
      </c>
      <c r="B1836" t="s">
        <v>17</v>
      </c>
      <c r="C1836" t="str">
        <f>VLOOKUP(B1836,专业代码!$B$2:$C$8,2,FALSE)</f>
        <v>金融工程</v>
      </c>
      <c r="D1836">
        <v>8.4</v>
      </c>
      <c r="E1836">
        <v>7.5</v>
      </c>
      <c r="F1836">
        <v>7.9</v>
      </c>
      <c r="G1836">
        <v>7.6</v>
      </c>
      <c r="H1836">
        <v>6.3</v>
      </c>
      <c r="I1836">
        <v>8.3</v>
      </c>
      <c r="J1836">
        <v>6.2</v>
      </c>
      <c r="K1836">
        <v>5.2</v>
      </c>
      <c r="L1836">
        <v>7.1</v>
      </c>
      <c r="M1836">
        <v>7.7</v>
      </c>
      <c r="N1836">
        <f t="shared" si="28"/>
        <v>72.2</v>
      </c>
    </row>
    <row r="1837" spans="1:14">
      <c r="A1837">
        <v>20209908</v>
      </c>
      <c r="B1837" t="s">
        <v>17</v>
      </c>
      <c r="C1837" t="str">
        <f>VLOOKUP(B1837,专业代码!$B$2:$C$8,2,FALSE)</f>
        <v>金融工程</v>
      </c>
      <c r="D1837">
        <v>7.1</v>
      </c>
      <c r="E1837">
        <v>7.3</v>
      </c>
      <c r="F1837">
        <v>7.6</v>
      </c>
      <c r="G1837">
        <v>6.5</v>
      </c>
      <c r="H1837">
        <v>6.4</v>
      </c>
      <c r="I1837">
        <v>6.9</v>
      </c>
      <c r="J1837">
        <v>6.3</v>
      </c>
      <c r="K1837">
        <v>6.5</v>
      </c>
      <c r="L1837">
        <v>7.5</v>
      </c>
      <c r="M1837">
        <v>7</v>
      </c>
      <c r="N1837">
        <f t="shared" si="28"/>
        <v>69.1</v>
      </c>
    </row>
    <row r="1838" spans="1:14">
      <c r="A1838">
        <v>20206849</v>
      </c>
      <c r="B1838" t="s">
        <v>18</v>
      </c>
      <c r="C1838" t="str">
        <f>VLOOKUP(B1838,专业代码!$B$2:$C$8,2,FALSE)</f>
        <v>管理信息系统</v>
      </c>
      <c r="D1838">
        <v>7.9</v>
      </c>
      <c r="E1838">
        <v>7.8</v>
      </c>
      <c r="F1838">
        <v>6.7</v>
      </c>
      <c r="G1838">
        <v>7.5</v>
      </c>
      <c r="H1838">
        <v>7.2</v>
      </c>
      <c r="I1838">
        <v>6.7</v>
      </c>
      <c r="J1838">
        <v>7</v>
      </c>
      <c r="K1838">
        <v>6.7</v>
      </c>
      <c r="L1838">
        <v>7.8</v>
      </c>
      <c r="M1838">
        <v>4.5</v>
      </c>
      <c r="N1838">
        <f t="shared" si="28"/>
        <v>69.8</v>
      </c>
    </row>
    <row r="1839" spans="1:14">
      <c r="A1839">
        <v>20208953</v>
      </c>
      <c r="B1839" t="s">
        <v>18</v>
      </c>
      <c r="C1839" t="str">
        <f>VLOOKUP(B1839,专业代码!$B$2:$C$8,2,FALSE)</f>
        <v>管理信息系统</v>
      </c>
      <c r="D1839">
        <v>7.5</v>
      </c>
      <c r="E1839">
        <v>7.5</v>
      </c>
      <c r="F1839">
        <v>7.2</v>
      </c>
      <c r="G1839">
        <v>7.7</v>
      </c>
      <c r="H1839">
        <v>6.9</v>
      </c>
      <c r="I1839">
        <v>4.9</v>
      </c>
      <c r="J1839">
        <v>7.3</v>
      </c>
      <c r="K1839">
        <v>6.4</v>
      </c>
      <c r="L1839">
        <v>7.4</v>
      </c>
      <c r="M1839">
        <v>4.7</v>
      </c>
      <c r="N1839">
        <f t="shared" si="28"/>
        <v>67.5</v>
      </c>
    </row>
    <row r="1840" spans="1:14">
      <c r="A1840">
        <v>20203085</v>
      </c>
      <c r="B1840" t="s">
        <v>18</v>
      </c>
      <c r="C1840" t="str">
        <f>VLOOKUP(B1840,专业代码!$B$2:$C$8,2,FALSE)</f>
        <v>管理信息系统</v>
      </c>
      <c r="D1840">
        <v>7.5</v>
      </c>
      <c r="E1840">
        <v>8.1</v>
      </c>
      <c r="F1840">
        <v>7.3</v>
      </c>
      <c r="G1840">
        <v>8.4</v>
      </c>
      <c r="H1840">
        <v>6.1</v>
      </c>
      <c r="I1840">
        <v>7.4</v>
      </c>
      <c r="J1840">
        <v>6.5</v>
      </c>
      <c r="K1840">
        <v>5.6</v>
      </c>
      <c r="L1840">
        <v>6.6</v>
      </c>
      <c r="M1840">
        <v>4.6</v>
      </c>
      <c r="N1840">
        <f t="shared" si="28"/>
        <v>68.1</v>
      </c>
    </row>
    <row r="1841" spans="1:14">
      <c r="A1841">
        <v>20208562</v>
      </c>
      <c r="B1841" t="s">
        <v>18</v>
      </c>
      <c r="C1841" t="str">
        <f>VLOOKUP(B1841,专业代码!$B$2:$C$8,2,FALSE)</f>
        <v>管理信息系统</v>
      </c>
      <c r="D1841">
        <v>8.2</v>
      </c>
      <c r="E1841">
        <v>7</v>
      </c>
      <c r="F1841">
        <v>7.2</v>
      </c>
      <c r="G1841">
        <v>7.8</v>
      </c>
      <c r="H1841">
        <v>7.6</v>
      </c>
      <c r="I1841">
        <v>6.8</v>
      </c>
      <c r="J1841">
        <v>6.8</v>
      </c>
      <c r="K1841">
        <v>7.5</v>
      </c>
      <c r="L1841">
        <v>6.7</v>
      </c>
      <c r="M1841">
        <v>6.1</v>
      </c>
      <c r="N1841">
        <f t="shared" si="28"/>
        <v>71.7</v>
      </c>
    </row>
    <row r="1842" spans="1:14">
      <c r="A1842">
        <v>20201283</v>
      </c>
      <c r="B1842" t="s">
        <v>18</v>
      </c>
      <c r="C1842" t="str">
        <f>VLOOKUP(B1842,专业代码!$B$2:$C$8,2,FALSE)</f>
        <v>管理信息系统</v>
      </c>
      <c r="D1842">
        <v>8.3</v>
      </c>
      <c r="E1842">
        <v>8.9</v>
      </c>
      <c r="F1842">
        <v>7.2</v>
      </c>
      <c r="G1842">
        <v>6.4</v>
      </c>
      <c r="H1842">
        <v>7.2</v>
      </c>
      <c r="I1842">
        <v>7.7</v>
      </c>
      <c r="J1842">
        <v>6.2</v>
      </c>
      <c r="K1842">
        <v>6.8</v>
      </c>
      <c r="L1842">
        <v>4.7</v>
      </c>
      <c r="M1842">
        <v>5.7</v>
      </c>
      <c r="N1842">
        <f t="shared" si="28"/>
        <v>69.1</v>
      </c>
    </row>
    <row r="1843" spans="1:14">
      <c r="A1843">
        <v>20207568</v>
      </c>
      <c r="B1843" t="s">
        <v>18</v>
      </c>
      <c r="C1843" t="str">
        <f>VLOOKUP(B1843,专业代码!$B$2:$C$8,2,FALSE)</f>
        <v>管理信息系统</v>
      </c>
      <c r="D1843">
        <v>7.3</v>
      </c>
      <c r="E1843">
        <v>7.5</v>
      </c>
      <c r="F1843">
        <v>7.7</v>
      </c>
      <c r="G1843">
        <v>7.9</v>
      </c>
      <c r="H1843">
        <v>7.1</v>
      </c>
      <c r="I1843">
        <v>6</v>
      </c>
      <c r="J1843">
        <v>7.2</v>
      </c>
      <c r="K1843">
        <v>6.2</v>
      </c>
      <c r="L1843">
        <v>6.3</v>
      </c>
      <c r="M1843">
        <v>4.8</v>
      </c>
      <c r="N1843">
        <f t="shared" si="28"/>
        <v>68</v>
      </c>
    </row>
    <row r="1844" spans="1:14">
      <c r="A1844">
        <v>20203738</v>
      </c>
      <c r="B1844" t="s">
        <v>18</v>
      </c>
      <c r="C1844" t="str">
        <f>VLOOKUP(B1844,专业代码!$B$2:$C$8,2,FALSE)</f>
        <v>管理信息系统</v>
      </c>
      <c r="D1844">
        <v>9</v>
      </c>
      <c r="E1844">
        <v>7.5</v>
      </c>
      <c r="F1844">
        <v>7.9</v>
      </c>
      <c r="G1844">
        <v>8.5</v>
      </c>
      <c r="H1844">
        <v>6.9</v>
      </c>
      <c r="I1844">
        <v>6.5</v>
      </c>
      <c r="J1844">
        <v>6.1</v>
      </c>
      <c r="K1844">
        <v>7.3</v>
      </c>
      <c r="L1844">
        <v>6.2</v>
      </c>
      <c r="M1844">
        <v>7.3</v>
      </c>
      <c r="N1844">
        <f t="shared" si="28"/>
        <v>73.2</v>
      </c>
    </row>
    <row r="1845" spans="1:14">
      <c r="A1845">
        <v>20207710</v>
      </c>
      <c r="B1845" t="s">
        <v>18</v>
      </c>
      <c r="C1845" t="str">
        <f>VLOOKUP(B1845,专业代码!$B$2:$C$8,2,FALSE)</f>
        <v>管理信息系统</v>
      </c>
      <c r="D1845">
        <v>8.1</v>
      </c>
      <c r="E1845">
        <v>7.9</v>
      </c>
      <c r="F1845">
        <v>7.9</v>
      </c>
      <c r="G1845">
        <v>7.5</v>
      </c>
      <c r="H1845">
        <v>7.1</v>
      </c>
      <c r="I1845">
        <v>7.5</v>
      </c>
      <c r="J1845">
        <v>6.4</v>
      </c>
      <c r="K1845">
        <v>6.5</v>
      </c>
      <c r="L1845">
        <v>7</v>
      </c>
      <c r="M1845">
        <v>6.4</v>
      </c>
      <c r="N1845">
        <f t="shared" si="28"/>
        <v>72.3</v>
      </c>
    </row>
    <row r="1846" spans="1:14">
      <c r="A1846">
        <v>20208866</v>
      </c>
      <c r="B1846" t="s">
        <v>18</v>
      </c>
      <c r="C1846" t="str">
        <f>VLOOKUP(B1846,专业代码!$B$2:$C$8,2,FALSE)</f>
        <v>管理信息系统</v>
      </c>
      <c r="D1846">
        <v>8.6</v>
      </c>
      <c r="E1846">
        <v>7.5</v>
      </c>
      <c r="F1846">
        <v>7.5</v>
      </c>
      <c r="G1846">
        <v>7.2</v>
      </c>
      <c r="H1846">
        <v>7</v>
      </c>
      <c r="I1846">
        <v>5.8</v>
      </c>
      <c r="J1846">
        <v>7.2</v>
      </c>
      <c r="K1846">
        <v>7.2</v>
      </c>
      <c r="L1846">
        <v>6.9</v>
      </c>
      <c r="M1846">
        <v>3.2</v>
      </c>
      <c r="N1846">
        <f t="shared" si="28"/>
        <v>68.1</v>
      </c>
    </row>
    <row r="1847" spans="1:14">
      <c r="A1847">
        <v>20203150</v>
      </c>
      <c r="B1847" t="s">
        <v>18</v>
      </c>
      <c r="C1847" t="str">
        <f>VLOOKUP(B1847,专业代码!$B$2:$C$8,2,FALSE)</f>
        <v>管理信息系统</v>
      </c>
      <c r="D1847">
        <v>7.9</v>
      </c>
      <c r="E1847">
        <v>7.7</v>
      </c>
      <c r="F1847">
        <v>7.2</v>
      </c>
      <c r="G1847">
        <v>7.1</v>
      </c>
      <c r="H1847">
        <v>7.9</v>
      </c>
      <c r="I1847">
        <v>8.2</v>
      </c>
      <c r="J1847">
        <v>6.1</v>
      </c>
      <c r="K1847">
        <v>5.9</v>
      </c>
      <c r="L1847">
        <v>5.2</v>
      </c>
      <c r="M1847">
        <v>6.8</v>
      </c>
      <c r="N1847">
        <f t="shared" si="28"/>
        <v>70</v>
      </c>
    </row>
    <row r="1848" spans="1:14">
      <c r="A1848">
        <v>20203367</v>
      </c>
      <c r="B1848" t="s">
        <v>18</v>
      </c>
      <c r="C1848" t="str">
        <f>VLOOKUP(B1848,专业代码!$B$2:$C$8,2,FALSE)</f>
        <v>管理信息系统</v>
      </c>
      <c r="D1848">
        <v>9.9</v>
      </c>
      <c r="E1848">
        <v>8.2</v>
      </c>
      <c r="F1848">
        <v>8.1</v>
      </c>
      <c r="G1848">
        <v>7.8</v>
      </c>
      <c r="H1848">
        <v>8.1</v>
      </c>
      <c r="I1848">
        <v>7.8</v>
      </c>
      <c r="J1848">
        <v>8</v>
      </c>
      <c r="K1848">
        <v>7.1</v>
      </c>
      <c r="L1848">
        <v>7.5</v>
      </c>
      <c r="M1848">
        <v>7.7</v>
      </c>
      <c r="N1848">
        <f t="shared" si="28"/>
        <v>80.2</v>
      </c>
    </row>
    <row r="1849" spans="1:14">
      <c r="A1849">
        <v>20205464</v>
      </c>
      <c r="B1849" t="s">
        <v>18</v>
      </c>
      <c r="C1849" t="str">
        <f>VLOOKUP(B1849,专业代码!$B$2:$C$8,2,FALSE)</f>
        <v>管理信息系统</v>
      </c>
      <c r="D1849">
        <v>8.9</v>
      </c>
      <c r="E1849">
        <v>8.8</v>
      </c>
      <c r="F1849">
        <v>8.9</v>
      </c>
      <c r="G1849">
        <v>7.4</v>
      </c>
      <c r="H1849">
        <v>9.1</v>
      </c>
      <c r="I1849">
        <v>9.8</v>
      </c>
      <c r="J1849">
        <v>6.9</v>
      </c>
      <c r="K1849">
        <v>7</v>
      </c>
      <c r="L1849">
        <v>6.7</v>
      </c>
      <c r="M1849">
        <v>7.4</v>
      </c>
      <c r="N1849">
        <f t="shared" si="28"/>
        <v>80.9</v>
      </c>
    </row>
    <row r="1850" spans="1:14">
      <c r="A1850">
        <v>20206532</v>
      </c>
      <c r="B1850" t="s">
        <v>18</v>
      </c>
      <c r="C1850" t="str">
        <f>VLOOKUP(B1850,专业代码!$B$2:$C$8,2,FALSE)</f>
        <v>管理信息系统</v>
      </c>
      <c r="D1850">
        <v>8.4</v>
      </c>
      <c r="E1850">
        <v>9.4</v>
      </c>
      <c r="F1850">
        <v>9.4</v>
      </c>
      <c r="G1850">
        <v>8.4</v>
      </c>
      <c r="H1850">
        <v>6.2</v>
      </c>
      <c r="I1850">
        <v>7.8</v>
      </c>
      <c r="J1850">
        <v>7.6</v>
      </c>
      <c r="K1850">
        <v>7.8</v>
      </c>
      <c r="L1850">
        <v>6.8</v>
      </c>
      <c r="M1850">
        <v>5</v>
      </c>
      <c r="N1850">
        <f t="shared" si="28"/>
        <v>76.8</v>
      </c>
    </row>
    <row r="1851" spans="1:14">
      <c r="A1851">
        <v>20208749</v>
      </c>
      <c r="B1851" t="s">
        <v>18</v>
      </c>
      <c r="C1851" t="str">
        <f>VLOOKUP(B1851,专业代码!$B$2:$C$8,2,FALSE)</f>
        <v>管理信息系统</v>
      </c>
      <c r="D1851">
        <v>9.7</v>
      </c>
      <c r="E1851">
        <v>7.6</v>
      </c>
      <c r="F1851">
        <v>9.5</v>
      </c>
      <c r="G1851">
        <v>8.8</v>
      </c>
      <c r="H1851">
        <v>9.1</v>
      </c>
      <c r="I1851">
        <v>7.7</v>
      </c>
      <c r="J1851">
        <v>8.8</v>
      </c>
      <c r="K1851">
        <v>7.4</v>
      </c>
      <c r="L1851">
        <v>8.2</v>
      </c>
      <c r="M1851">
        <v>6.7</v>
      </c>
      <c r="N1851">
        <f t="shared" si="28"/>
        <v>83.5</v>
      </c>
    </row>
    <row r="1852" spans="1:14">
      <c r="A1852">
        <v>20205513</v>
      </c>
      <c r="B1852" t="s">
        <v>18</v>
      </c>
      <c r="C1852" t="str">
        <f>VLOOKUP(B1852,专业代码!$B$2:$C$8,2,FALSE)</f>
        <v>管理信息系统</v>
      </c>
      <c r="D1852">
        <v>8.1</v>
      </c>
      <c r="E1852">
        <v>7.4</v>
      </c>
      <c r="F1852">
        <v>7.2</v>
      </c>
      <c r="G1852">
        <v>7.6</v>
      </c>
      <c r="H1852">
        <v>8.3</v>
      </c>
      <c r="I1852">
        <v>7.7</v>
      </c>
      <c r="J1852">
        <v>7.5</v>
      </c>
      <c r="K1852">
        <v>7.2</v>
      </c>
      <c r="L1852">
        <v>6.2</v>
      </c>
      <c r="M1852">
        <v>4.9</v>
      </c>
      <c r="N1852">
        <f t="shared" si="28"/>
        <v>72.1</v>
      </c>
    </row>
    <row r="1853" spans="1:14">
      <c r="A1853">
        <v>20207437</v>
      </c>
      <c r="B1853" t="s">
        <v>18</v>
      </c>
      <c r="C1853" t="str">
        <f>VLOOKUP(B1853,专业代码!$B$2:$C$8,2,FALSE)</f>
        <v>管理信息系统</v>
      </c>
      <c r="D1853">
        <v>8.2</v>
      </c>
      <c r="E1853">
        <v>6.7</v>
      </c>
      <c r="F1853">
        <v>7.6</v>
      </c>
      <c r="G1853">
        <v>7.7</v>
      </c>
      <c r="H1853">
        <v>7.2</v>
      </c>
      <c r="I1853">
        <v>6.2</v>
      </c>
      <c r="J1853">
        <v>7.2</v>
      </c>
      <c r="K1853">
        <v>6.4</v>
      </c>
      <c r="L1853">
        <v>7</v>
      </c>
      <c r="M1853">
        <v>7.2</v>
      </c>
      <c r="N1853">
        <f t="shared" si="28"/>
        <v>71.4</v>
      </c>
    </row>
    <row r="1854" spans="1:14">
      <c r="A1854">
        <v>20203475</v>
      </c>
      <c r="B1854" t="s">
        <v>18</v>
      </c>
      <c r="C1854" t="str">
        <f>VLOOKUP(B1854,专业代码!$B$2:$C$8,2,FALSE)</f>
        <v>管理信息系统</v>
      </c>
      <c r="D1854">
        <v>7.5</v>
      </c>
      <c r="E1854">
        <v>7.8</v>
      </c>
      <c r="F1854">
        <v>8.5</v>
      </c>
      <c r="G1854">
        <v>7.3</v>
      </c>
      <c r="H1854">
        <v>7.9</v>
      </c>
      <c r="I1854">
        <v>7.2</v>
      </c>
      <c r="J1854">
        <v>6</v>
      </c>
      <c r="K1854">
        <v>3.6</v>
      </c>
      <c r="L1854">
        <v>5.3</v>
      </c>
      <c r="M1854">
        <v>7.2</v>
      </c>
      <c r="N1854">
        <f t="shared" si="28"/>
        <v>68.3</v>
      </c>
    </row>
    <row r="1855" spans="1:14">
      <c r="A1855">
        <v>20206222</v>
      </c>
      <c r="B1855" t="s">
        <v>18</v>
      </c>
      <c r="C1855" t="str">
        <f>VLOOKUP(B1855,专业代码!$B$2:$C$8,2,FALSE)</f>
        <v>管理信息系统</v>
      </c>
      <c r="D1855">
        <v>7.3</v>
      </c>
      <c r="E1855">
        <v>7.2</v>
      </c>
      <c r="F1855">
        <v>7.5</v>
      </c>
      <c r="G1855">
        <v>7.7</v>
      </c>
      <c r="H1855">
        <v>7.5</v>
      </c>
      <c r="I1855">
        <v>6.4</v>
      </c>
      <c r="J1855">
        <v>6.2</v>
      </c>
      <c r="K1855">
        <v>6.3</v>
      </c>
      <c r="L1855">
        <v>5.8</v>
      </c>
      <c r="M1855">
        <v>5.7</v>
      </c>
      <c r="N1855">
        <f t="shared" si="28"/>
        <v>67.6</v>
      </c>
    </row>
    <row r="1856" spans="1:14">
      <c r="A1856">
        <v>20206446</v>
      </c>
      <c r="B1856" t="s">
        <v>18</v>
      </c>
      <c r="C1856" t="str">
        <f>VLOOKUP(B1856,专业代码!$B$2:$C$8,2,FALSE)</f>
        <v>管理信息系统</v>
      </c>
      <c r="D1856">
        <v>7.2</v>
      </c>
      <c r="E1856">
        <v>7.9</v>
      </c>
      <c r="F1856">
        <v>7.9</v>
      </c>
      <c r="G1856">
        <v>7.6</v>
      </c>
      <c r="H1856">
        <v>7.2</v>
      </c>
      <c r="I1856">
        <v>6</v>
      </c>
      <c r="J1856">
        <v>5.9</v>
      </c>
      <c r="K1856">
        <v>8.2</v>
      </c>
      <c r="L1856">
        <v>6.3</v>
      </c>
      <c r="M1856">
        <v>8</v>
      </c>
      <c r="N1856">
        <f t="shared" si="28"/>
        <v>72.2</v>
      </c>
    </row>
    <row r="1857" spans="1:14">
      <c r="A1857">
        <v>20209874</v>
      </c>
      <c r="B1857" t="s">
        <v>18</v>
      </c>
      <c r="C1857" t="str">
        <f>VLOOKUP(B1857,专业代码!$B$2:$C$8,2,FALSE)</f>
        <v>管理信息系统</v>
      </c>
      <c r="D1857">
        <v>7.8</v>
      </c>
      <c r="E1857">
        <v>7.4</v>
      </c>
      <c r="F1857">
        <v>6.9</v>
      </c>
      <c r="G1857">
        <v>7.2</v>
      </c>
      <c r="H1857">
        <v>6.1</v>
      </c>
      <c r="I1857">
        <v>7.6</v>
      </c>
      <c r="J1857">
        <v>7</v>
      </c>
      <c r="K1857">
        <v>6.4</v>
      </c>
      <c r="L1857">
        <v>8.4</v>
      </c>
      <c r="M1857">
        <v>6.7</v>
      </c>
      <c r="N1857">
        <f t="shared" si="28"/>
        <v>71.5</v>
      </c>
    </row>
    <row r="1858" spans="1:14">
      <c r="A1858">
        <v>20203223</v>
      </c>
      <c r="B1858" t="s">
        <v>18</v>
      </c>
      <c r="C1858" t="str">
        <f>VLOOKUP(B1858,专业代码!$B$2:$C$8,2,FALSE)</f>
        <v>管理信息系统</v>
      </c>
      <c r="D1858">
        <v>8.3</v>
      </c>
      <c r="E1858">
        <v>7.9</v>
      </c>
      <c r="F1858">
        <v>7.5</v>
      </c>
      <c r="G1858">
        <v>8.8</v>
      </c>
      <c r="H1858">
        <v>7.3</v>
      </c>
      <c r="I1858">
        <v>6.1</v>
      </c>
      <c r="J1858">
        <v>7.7</v>
      </c>
      <c r="K1858">
        <v>5.8</v>
      </c>
      <c r="L1858">
        <v>6.2</v>
      </c>
      <c r="M1858">
        <v>4.7</v>
      </c>
      <c r="N1858">
        <f t="shared" si="28"/>
        <v>70.3</v>
      </c>
    </row>
    <row r="1859" spans="1:14">
      <c r="A1859">
        <v>20209609</v>
      </c>
      <c r="B1859" t="s">
        <v>18</v>
      </c>
      <c r="C1859" t="str">
        <f>VLOOKUP(B1859,专业代码!$B$2:$C$8,2,FALSE)</f>
        <v>管理信息系统</v>
      </c>
      <c r="D1859">
        <v>7.6</v>
      </c>
      <c r="E1859">
        <v>7.6</v>
      </c>
      <c r="F1859">
        <v>7.8</v>
      </c>
      <c r="G1859">
        <v>7.1</v>
      </c>
      <c r="H1859">
        <v>7.8</v>
      </c>
      <c r="I1859">
        <v>6.3</v>
      </c>
      <c r="J1859">
        <v>5.3</v>
      </c>
      <c r="K1859">
        <v>7.2</v>
      </c>
      <c r="L1859">
        <v>7.1</v>
      </c>
      <c r="M1859">
        <v>6.5</v>
      </c>
      <c r="N1859">
        <f t="shared" ref="N1859:N1922" si="29">SUM(D1859:M1859)</f>
        <v>70.3</v>
      </c>
    </row>
    <row r="1860" spans="1:14">
      <c r="A1860">
        <v>20201384</v>
      </c>
      <c r="B1860" t="s">
        <v>18</v>
      </c>
      <c r="C1860" t="str">
        <f>VLOOKUP(B1860,专业代码!$B$2:$C$8,2,FALSE)</f>
        <v>管理信息系统</v>
      </c>
      <c r="D1860">
        <v>7.8</v>
      </c>
      <c r="E1860">
        <v>7.8</v>
      </c>
      <c r="F1860">
        <v>7.6</v>
      </c>
      <c r="G1860">
        <v>7.3</v>
      </c>
      <c r="H1860">
        <v>7.3</v>
      </c>
      <c r="I1860">
        <v>7.2</v>
      </c>
      <c r="J1860">
        <v>6.2</v>
      </c>
      <c r="K1860">
        <v>6.9</v>
      </c>
      <c r="L1860">
        <v>5.9</v>
      </c>
      <c r="M1860">
        <v>6.5</v>
      </c>
      <c r="N1860">
        <f t="shared" si="29"/>
        <v>70.5</v>
      </c>
    </row>
    <row r="1861" spans="1:14">
      <c r="A1861">
        <v>20206877</v>
      </c>
      <c r="B1861" t="s">
        <v>18</v>
      </c>
      <c r="C1861" t="str">
        <f>VLOOKUP(B1861,专业代码!$B$2:$C$8,2,FALSE)</f>
        <v>管理信息系统</v>
      </c>
      <c r="D1861">
        <v>8.9</v>
      </c>
      <c r="E1861">
        <v>8.2</v>
      </c>
      <c r="F1861">
        <v>6.4</v>
      </c>
      <c r="G1861">
        <v>7.6</v>
      </c>
      <c r="H1861">
        <v>5.9</v>
      </c>
      <c r="I1861">
        <v>6.6</v>
      </c>
      <c r="J1861">
        <v>6.6</v>
      </c>
      <c r="K1861">
        <v>6.8</v>
      </c>
      <c r="L1861">
        <v>7</v>
      </c>
      <c r="M1861">
        <v>8.4</v>
      </c>
      <c r="N1861">
        <f t="shared" si="29"/>
        <v>72.4</v>
      </c>
    </row>
    <row r="1862" spans="1:14">
      <c r="A1862">
        <v>20208305</v>
      </c>
      <c r="B1862" t="s">
        <v>18</v>
      </c>
      <c r="C1862" t="str">
        <f>VLOOKUP(B1862,专业代码!$B$2:$C$8,2,FALSE)</f>
        <v>管理信息系统</v>
      </c>
      <c r="D1862">
        <v>8</v>
      </c>
      <c r="E1862">
        <v>7.7</v>
      </c>
      <c r="F1862">
        <v>7.8</v>
      </c>
      <c r="G1862">
        <v>7</v>
      </c>
      <c r="H1862">
        <v>7.1</v>
      </c>
      <c r="I1862">
        <v>6.8</v>
      </c>
      <c r="J1862">
        <v>5.7</v>
      </c>
      <c r="K1862">
        <v>6.9</v>
      </c>
      <c r="L1862">
        <v>6.4</v>
      </c>
      <c r="M1862">
        <v>6.8</v>
      </c>
      <c r="N1862">
        <f t="shared" si="29"/>
        <v>70.2</v>
      </c>
    </row>
    <row r="1863" spans="1:14">
      <c r="A1863">
        <v>20201500</v>
      </c>
      <c r="B1863" t="s">
        <v>18</v>
      </c>
      <c r="C1863" t="str">
        <f>VLOOKUP(B1863,专业代码!$B$2:$C$8,2,FALSE)</f>
        <v>管理信息系统</v>
      </c>
      <c r="D1863">
        <v>7.8</v>
      </c>
      <c r="E1863">
        <v>6.7</v>
      </c>
      <c r="F1863">
        <v>8</v>
      </c>
      <c r="G1863">
        <v>7</v>
      </c>
      <c r="H1863">
        <v>6.8</v>
      </c>
      <c r="I1863">
        <v>8.3</v>
      </c>
      <c r="J1863">
        <v>7.1</v>
      </c>
      <c r="K1863">
        <v>6.4</v>
      </c>
      <c r="L1863">
        <v>4.8</v>
      </c>
      <c r="M1863">
        <v>5.2</v>
      </c>
      <c r="N1863">
        <f t="shared" si="29"/>
        <v>68.1</v>
      </c>
    </row>
    <row r="1864" spans="1:14">
      <c r="A1864">
        <v>20202286</v>
      </c>
      <c r="B1864" t="s">
        <v>18</v>
      </c>
      <c r="C1864" t="str">
        <f>VLOOKUP(B1864,专业代码!$B$2:$C$8,2,FALSE)</f>
        <v>管理信息系统</v>
      </c>
      <c r="D1864">
        <v>7.3</v>
      </c>
      <c r="E1864">
        <v>7.1</v>
      </c>
      <c r="F1864">
        <v>7.4</v>
      </c>
      <c r="G1864">
        <v>8.4</v>
      </c>
      <c r="H1864">
        <v>6.5</v>
      </c>
      <c r="I1864">
        <v>6.3</v>
      </c>
      <c r="J1864">
        <v>7.4</v>
      </c>
      <c r="K1864">
        <v>5.6</v>
      </c>
      <c r="L1864">
        <v>7.1</v>
      </c>
      <c r="M1864">
        <v>3.4</v>
      </c>
      <c r="N1864">
        <f t="shared" si="29"/>
        <v>66.5</v>
      </c>
    </row>
    <row r="1865" spans="1:14">
      <c r="A1865">
        <v>20208962</v>
      </c>
      <c r="B1865" t="s">
        <v>18</v>
      </c>
      <c r="C1865" t="str">
        <f>VLOOKUP(B1865,专业代码!$B$2:$C$8,2,FALSE)</f>
        <v>管理信息系统</v>
      </c>
      <c r="D1865">
        <v>7</v>
      </c>
      <c r="E1865">
        <v>7.1</v>
      </c>
      <c r="F1865">
        <v>8.3</v>
      </c>
      <c r="G1865">
        <v>6.5</v>
      </c>
      <c r="H1865">
        <v>7.6</v>
      </c>
      <c r="I1865">
        <v>7.8</v>
      </c>
      <c r="J1865">
        <v>5.7</v>
      </c>
      <c r="K1865">
        <v>5.4</v>
      </c>
      <c r="L1865">
        <v>7.4</v>
      </c>
      <c r="M1865">
        <v>4.3</v>
      </c>
      <c r="N1865">
        <f t="shared" si="29"/>
        <v>67.1</v>
      </c>
    </row>
    <row r="1866" spans="1:14">
      <c r="A1866">
        <v>20208412</v>
      </c>
      <c r="B1866" t="s">
        <v>18</v>
      </c>
      <c r="C1866" t="str">
        <f>VLOOKUP(B1866,专业代码!$B$2:$C$8,2,FALSE)</f>
        <v>管理信息系统</v>
      </c>
      <c r="D1866">
        <v>7.7</v>
      </c>
      <c r="E1866">
        <v>6.8</v>
      </c>
      <c r="F1866">
        <v>7.7</v>
      </c>
      <c r="G1866">
        <v>6.8</v>
      </c>
      <c r="H1866">
        <v>7.6</v>
      </c>
      <c r="I1866">
        <v>6.7</v>
      </c>
      <c r="J1866">
        <v>6.6</v>
      </c>
      <c r="K1866">
        <v>5.7</v>
      </c>
      <c r="L1866">
        <v>7.5</v>
      </c>
      <c r="M1866">
        <v>6.4</v>
      </c>
      <c r="N1866">
        <f t="shared" si="29"/>
        <v>69.5</v>
      </c>
    </row>
    <row r="1867" spans="1:14">
      <c r="A1867">
        <v>20209306</v>
      </c>
      <c r="B1867" t="s">
        <v>18</v>
      </c>
      <c r="C1867" t="str">
        <f>VLOOKUP(B1867,专业代码!$B$2:$C$8,2,FALSE)</f>
        <v>管理信息系统</v>
      </c>
      <c r="D1867">
        <v>7.4</v>
      </c>
      <c r="E1867">
        <v>7.8</v>
      </c>
      <c r="F1867">
        <v>8</v>
      </c>
      <c r="G1867">
        <v>7</v>
      </c>
      <c r="H1867">
        <v>6.2</v>
      </c>
      <c r="I1867">
        <v>7.3</v>
      </c>
      <c r="J1867">
        <v>5.9</v>
      </c>
      <c r="K1867">
        <v>5.1</v>
      </c>
      <c r="L1867">
        <v>7.9</v>
      </c>
      <c r="M1867">
        <v>6.5</v>
      </c>
      <c r="N1867">
        <f t="shared" si="29"/>
        <v>69.1</v>
      </c>
    </row>
    <row r="1868" spans="1:14">
      <c r="A1868">
        <v>20209769</v>
      </c>
      <c r="B1868" t="s">
        <v>18</v>
      </c>
      <c r="C1868" t="str">
        <f>VLOOKUP(B1868,专业代码!$B$2:$C$8,2,FALSE)</f>
        <v>管理信息系统</v>
      </c>
      <c r="D1868">
        <v>8.5</v>
      </c>
      <c r="E1868">
        <v>8</v>
      </c>
      <c r="F1868">
        <v>7.2</v>
      </c>
      <c r="G1868">
        <v>7.3</v>
      </c>
      <c r="H1868">
        <v>6.8</v>
      </c>
      <c r="I1868">
        <v>6</v>
      </c>
      <c r="J1868">
        <v>7.3</v>
      </c>
      <c r="K1868">
        <v>6.4</v>
      </c>
      <c r="L1868">
        <v>4.9</v>
      </c>
      <c r="M1868">
        <v>7.3</v>
      </c>
      <c r="N1868">
        <f t="shared" si="29"/>
        <v>69.7</v>
      </c>
    </row>
    <row r="1869" spans="1:14">
      <c r="A1869">
        <v>20202215</v>
      </c>
      <c r="B1869" t="s">
        <v>18</v>
      </c>
      <c r="C1869" t="str">
        <f>VLOOKUP(B1869,专业代码!$B$2:$C$8,2,FALSE)</f>
        <v>管理信息系统</v>
      </c>
      <c r="D1869">
        <v>8.2</v>
      </c>
      <c r="E1869">
        <v>7.1</v>
      </c>
      <c r="F1869">
        <v>7.5</v>
      </c>
      <c r="G1869">
        <v>7.3</v>
      </c>
      <c r="H1869">
        <v>7</v>
      </c>
      <c r="I1869">
        <v>6.4</v>
      </c>
      <c r="J1869">
        <v>7.3</v>
      </c>
      <c r="K1869">
        <v>7.2</v>
      </c>
      <c r="L1869">
        <v>7.2</v>
      </c>
      <c r="M1869">
        <v>6.6</v>
      </c>
      <c r="N1869">
        <f t="shared" si="29"/>
        <v>71.8</v>
      </c>
    </row>
    <row r="1870" spans="1:14">
      <c r="A1870">
        <v>20205880</v>
      </c>
      <c r="B1870" t="s">
        <v>18</v>
      </c>
      <c r="C1870" t="str">
        <f>VLOOKUP(B1870,专业代码!$B$2:$C$8,2,FALSE)</f>
        <v>管理信息系统</v>
      </c>
      <c r="D1870">
        <v>7.9</v>
      </c>
      <c r="E1870">
        <v>7.4</v>
      </c>
      <c r="F1870">
        <v>6.6</v>
      </c>
      <c r="G1870">
        <v>6.9</v>
      </c>
      <c r="H1870">
        <v>7.4</v>
      </c>
      <c r="I1870">
        <v>5.9</v>
      </c>
      <c r="J1870">
        <v>5.8</v>
      </c>
      <c r="K1870">
        <v>6.7</v>
      </c>
      <c r="L1870">
        <v>7</v>
      </c>
      <c r="M1870">
        <v>7.5</v>
      </c>
      <c r="N1870">
        <f t="shared" si="29"/>
        <v>69.1</v>
      </c>
    </row>
    <row r="1871" spans="1:14">
      <c r="A1871">
        <v>20201305</v>
      </c>
      <c r="B1871" t="s">
        <v>18</v>
      </c>
      <c r="C1871" t="str">
        <f>VLOOKUP(B1871,专业代码!$B$2:$C$8,2,FALSE)</f>
        <v>管理信息系统</v>
      </c>
      <c r="D1871">
        <v>7.5</v>
      </c>
      <c r="E1871">
        <v>8.3</v>
      </c>
      <c r="F1871">
        <v>6.7</v>
      </c>
      <c r="G1871">
        <v>7.7</v>
      </c>
      <c r="H1871">
        <v>5.8</v>
      </c>
      <c r="I1871">
        <v>8</v>
      </c>
      <c r="J1871">
        <v>6.6</v>
      </c>
      <c r="K1871">
        <v>7.9</v>
      </c>
      <c r="L1871">
        <v>7.1</v>
      </c>
      <c r="M1871">
        <v>7.1</v>
      </c>
      <c r="N1871">
        <f t="shared" si="29"/>
        <v>72.7</v>
      </c>
    </row>
    <row r="1872" spans="1:14">
      <c r="A1872">
        <v>20204360</v>
      </c>
      <c r="B1872" t="s">
        <v>18</v>
      </c>
      <c r="C1872" t="str">
        <f>VLOOKUP(B1872,专业代码!$B$2:$C$8,2,FALSE)</f>
        <v>管理信息系统</v>
      </c>
      <c r="D1872">
        <v>8</v>
      </c>
      <c r="E1872">
        <v>8.2</v>
      </c>
      <c r="F1872">
        <v>7.3</v>
      </c>
      <c r="G1872">
        <v>7.2</v>
      </c>
      <c r="H1872">
        <v>7.4</v>
      </c>
      <c r="I1872">
        <v>7.2</v>
      </c>
      <c r="J1872">
        <v>7.7</v>
      </c>
      <c r="K1872">
        <v>7.3</v>
      </c>
      <c r="L1872">
        <v>7.2</v>
      </c>
      <c r="M1872">
        <v>6.5</v>
      </c>
      <c r="N1872">
        <f t="shared" si="29"/>
        <v>74</v>
      </c>
    </row>
    <row r="1873" spans="1:14">
      <c r="A1873">
        <v>20205047</v>
      </c>
      <c r="B1873" t="s">
        <v>18</v>
      </c>
      <c r="C1873" t="str">
        <f>VLOOKUP(B1873,专业代码!$B$2:$C$8,2,FALSE)</f>
        <v>管理信息系统</v>
      </c>
      <c r="D1873">
        <v>7.7</v>
      </c>
      <c r="E1873">
        <v>8.3</v>
      </c>
      <c r="F1873">
        <v>7.3</v>
      </c>
      <c r="G1873">
        <v>8.4</v>
      </c>
      <c r="H1873">
        <v>8</v>
      </c>
      <c r="I1873">
        <v>7.4</v>
      </c>
      <c r="J1873">
        <v>7.1</v>
      </c>
      <c r="K1873">
        <v>5.5</v>
      </c>
      <c r="L1873">
        <v>7.2</v>
      </c>
      <c r="M1873">
        <v>5.3</v>
      </c>
      <c r="N1873">
        <f t="shared" si="29"/>
        <v>72.2</v>
      </c>
    </row>
    <row r="1874" spans="1:14">
      <c r="A1874">
        <v>20205629</v>
      </c>
      <c r="B1874" t="s">
        <v>18</v>
      </c>
      <c r="C1874" t="str">
        <f>VLOOKUP(B1874,专业代码!$B$2:$C$8,2,FALSE)</f>
        <v>管理信息系统</v>
      </c>
      <c r="D1874">
        <v>8</v>
      </c>
      <c r="E1874">
        <v>8.2</v>
      </c>
      <c r="F1874">
        <v>7.3</v>
      </c>
      <c r="G1874">
        <v>8.3</v>
      </c>
      <c r="H1874">
        <v>6.2</v>
      </c>
      <c r="I1874">
        <v>6.4</v>
      </c>
      <c r="J1874">
        <v>7.3</v>
      </c>
      <c r="K1874">
        <v>4.7</v>
      </c>
      <c r="L1874">
        <v>6.8</v>
      </c>
      <c r="M1874">
        <v>6.5</v>
      </c>
      <c r="N1874">
        <f t="shared" si="29"/>
        <v>69.7</v>
      </c>
    </row>
    <row r="1875" spans="1:14">
      <c r="A1875">
        <v>20206236</v>
      </c>
      <c r="B1875" t="s">
        <v>18</v>
      </c>
      <c r="C1875" t="str">
        <f>VLOOKUP(B1875,专业代码!$B$2:$C$8,2,FALSE)</f>
        <v>管理信息系统</v>
      </c>
      <c r="D1875">
        <v>8</v>
      </c>
      <c r="E1875">
        <v>8.6</v>
      </c>
      <c r="F1875">
        <v>8.4</v>
      </c>
      <c r="G1875">
        <v>7.5</v>
      </c>
      <c r="H1875">
        <v>7.3</v>
      </c>
      <c r="I1875">
        <v>7.1</v>
      </c>
      <c r="J1875">
        <v>6.7</v>
      </c>
      <c r="K1875">
        <v>5.1</v>
      </c>
      <c r="L1875">
        <v>5.8</v>
      </c>
      <c r="M1875">
        <v>6.4</v>
      </c>
      <c r="N1875">
        <f t="shared" si="29"/>
        <v>70.9</v>
      </c>
    </row>
    <row r="1876" spans="1:14">
      <c r="A1876">
        <v>20207459</v>
      </c>
      <c r="B1876" t="s">
        <v>18</v>
      </c>
      <c r="C1876" t="str">
        <f>VLOOKUP(B1876,专业代码!$B$2:$C$8,2,FALSE)</f>
        <v>管理信息系统</v>
      </c>
      <c r="D1876">
        <v>7.7</v>
      </c>
      <c r="E1876">
        <v>7.9</v>
      </c>
      <c r="F1876">
        <v>7.4</v>
      </c>
      <c r="G1876">
        <v>8</v>
      </c>
      <c r="H1876">
        <v>8.3</v>
      </c>
      <c r="I1876">
        <v>5.4</v>
      </c>
      <c r="J1876">
        <v>6.8</v>
      </c>
      <c r="K1876">
        <v>5.4</v>
      </c>
      <c r="L1876">
        <v>5.4</v>
      </c>
      <c r="M1876">
        <v>4.6</v>
      </c>
      <c r="N1876">
        <f t="shared" si="29"/>
        <v>66.9</v>
      </c>
    </row>
    <row r="1877" spans="1:14">
      <c r="A1877">
        <v>20207648</v>
      </c>
      <c r="B1877" t="s">
        <v>18</v>
      </c>
      <c r="C1877" t="str">
        <f>VLOOKUP(B1877,专业代码!$B$2:$C$8,2,FALSE)</f>
        <v>管理信息系统</v>
      </c>
      <c r="D1877">
        <v>7.9</v>
      </c>
      <c r="E1877">
        <v>8.5</v>
      </c>
      <c r="F1877">
        <v>6.8</v>
      </c>
      <c r="G1877">
        <v>6.9</v>
      </c>
      <c r="H1877">
        <v>7.7</v>
      </c>
      <c r="I1877">
        <v>7.3</v>
      </c>
      <c r="J1877">
        <v>7.3</v>
      </c>
      <c r="K1877">
        <v>6.5</v>
      </c>
      <c r="L1877">
        <v>7</v>
      </c>
      <c r="M1877">
        <v>4.9</v>
      </c>
      <c r="N1877">
        <f t="shared" si="29"/>
        <v>70.8</v>
      </c>
    </row>
    <row r="1878" spans="1:14">
      <c r="A1878">
        <v>20207873</v>
      </c>
      <c r="B1878" t="s">
        <v>18</v>
      </c>
      <c r="C1878" t="str">
        <f>VLOOKUP(B1878,专业代码!$B$2:$C$8,2,FALSE)</f>
        <v>管理信息系统</v>
      </c>
      <c r="D1878">
        <v>8.5</v>
      </c>
      <c r="E1878">
        <v>7.7</v>
      </c>
      <c r="F1878">
        <v>8.1</v>
      </c>
      <c r="G1878">
        <v>6.7</v>
      </c>
      <c r="H1878">
        <v>6.8</v>
      </c>
      <c r="I1878">
        <v>6.7</v>
      </c>
      <c r="J1878">
        <v>6.3</v>
      </c>
      <c r="K1878">
        <v>6.9</v>
      </c>
      <c r="L1878">
        <v>7.3</v>
      </c>
      <c r="M1878">
        <v>8.4</v>
      </c>
      <c r="N1878">
        <f t="shared" si="29"/>
        <v>73.4</v>
      </c>
    </row>
    <row r="1879" spans="1:14">
      <c r="A1879">
        <v>20209644</v>
      </c>
      <c r="B1879" t="s">
        <v>18</v>
      </c>
      <c r="C1879" t="str">
        <f>VLOOKUP(B1879,专业代码!$B$2:$C$8,2,FALSE)</f>
        <v>管理信息系统</v>
      </c>
      <c r="D1879">
        <v>7.5</v>
      </c>
      <c r="E1879">
        <v>6.9</v>
      </c>
      <c r="F1879">
        <v>7.3</v>
      </c>
      <c r="G1879">
        <v>7</v>
      </c>
      <c r="H1879">
        <v>7.6</v>
      </c>
      <c r="I1879">
        <v>6.1</v>
      </c>
      <c r="J1879">
        <v>5.7</v>
      </c>
      <c r="K1879">
        <v>6.1</v>
      </c>
      <c r="L1879">
        <v>6.6</v>
      </c>
      <c r="M1879">
        <v>6.7</v>
      </c>
      <c r="N1879">
        <f t="shared" si="29"/>
        <v>67.5</v>
      </c>
    </row>
    <row r="1880" spans="1:14">
      <c r="A1880">
        <v>20209612</v>
      </c>
      <c r="B1880" t="s">
        <v>18</v>
      </c>
      <c r="C1880" t="str">
        <f>VLOOKUP(B1880,专业代码!$B$2:$C$8,2,FALSE)</f>
        <v>管理信息系统</v>
      </c>
      <c r="D1880">
        <v>7.9</v>
      </c>
      <c r="E1880">
        <v>8.7</v>
      </c>
      <c r="F1880">
        <v>6.7</v>
      </c>
      <c r="G1880">
        <v>7.7</v>
      </c>
      <c r="H1880">
        <v>8.6</v>
      </c>
      <c r="I1880">
        <v>6.6</v>
      </c>
      <c r="J1880">
        <v>6.7</v>
      </c>
      <c r="K1880">
        <v>6.9</v>
      </c>
      <c r="L1880">
        <v>4.6</v>
      </c>
      <c r="M1880">
        <v>6</v>
      </c>
      <c r="N1880">
        <f t="shared" si="29"/>
        <v>70.4</v>
      </c>
    </row>
    <row r="1881" spans="1:14">
      <c r="A1881">
        <v>20205494</v>
      </c>
      <c r="B1881" t="s">
        <v>18</v>
      </c>
      <c r="C1881" t="str">
        <f>VLOOKUP(B1881,专业代码!$B$2:$C$8,2,FALSE)</f>
        <v>管理信息系统</v>
      </c>
      <c r="D1881">
        <v>7.8</v>
      </c>
      <c r="E1881">
        <v>7.6</v>
      </c>
      <c r="F1881">
        <v>7.1</v>
      </c>
      <c r="G1881">
        <v>7.1</v>
      </c>
      <c r="H1881">
        <v>7.5</v>
      </c>
      <c r="I1881">
        <v>7.6</v>
      </c>
      <c r="J1881">
        <v>7.3</v>
      </c>
      <c r="K1881">
        <v>6.8</v>
      </c>
      <c r="L1881">
        <v>6.8</v>
      </c>
      <c r="M1881">
        <v>6.2</v>
      </c>
      <c r="N1881">
        <f t="shared" si="29"/>
        <v>71.8</v>
      </c>
    </row>
    <row r="1882" spans="1:14">
      <c r="A1882">
        <v>20208724</v>
      </c>
      <c r="B1882" t="s">
        <v>18</v>
      </c>
      <c r="C1882" t="str">
        <f>VLOOKUP(B1882,专业代码!$B$2:$C$8,2,FALSE)</f>
        <v>管理信息系统</v>
      </c>
      <c r="D1882">
        <v>8.8</v>
      </c>
      <c r="E1882">
        <v>7.4</v>
      </c>
      <c r="F1882">
        <v>7.8</v>
      </c>
      <c r="G1882">
        <v>7.6</v>
      </c>
      <c r="H1882">
        <v>6.2</v>
      </c>
      <c r="I1882">
        <v>6.4</v>
      </c>
      <c r="J1882">
        <v>7.3</v>
      </c>
      <c r="K1882">
        <v>7.1</v>
      </c>
      <c r="L1882">
        <v>5.7</v>
      </c>
      <c r="M1882">
        <v>7</v>
      </c>
      <c r="N1882">
        <f t="shared" si="29"/>
        <v>71.3</v>
      </c>
    </row>
    <row r="1883" spans="1:14">
      <c r="A1883">
        <v>20209599</v>
      </c>
      <c r="B1883" t="s">
        <v>18</v>
      </c>
      <c r="C1883" t="str">
        <f>VLOOKUP(B1883,专业代码!$B$2:$C$8,2,FALSE)</f>
        <v>管理信息系统</v>
      </c>
      <c r="D1883">
        <v>8</v>
      </c>
      <c r="E1883">
        <v>8.3</v>
      </c>
      <c r="F1883">
        <v>6.7</v>
      </c>
      <c r="G1883">
        <v>6.9</v>
      </c>
      <c r="H1883">
        <v>6.5</v>
      </c>
      <c r="I1883">
        <v>7.4</v>
      </c>
      <c r="J1883">
        <v>7.3</v>
      </c>
      <c r="K1883">
        <v>5.1</v>
      </c>
      <c r="L1883">
        <v>4.6</v>
      </c>
      <c r="M1883">
        <v>5.1</v>
      </c>
      <c r="N1883">
        <f t="shared" si="29"/>
        <v>65.9</v>
      </c>
    </row>
    <row r="1884" spans="1:14">
      <c r="A1884">
        <v>20202673</v>
      </c>
      <c r="B1884" t="s">
        <v>18</v>
      </c>
      <c r="C1884" t="str">
        <f>VLOOKUP(B1884,专业代码!$B$2:$C$8,2,FALSE)</f>
        <v>管理信息系统</v>
      </c>
      <c r="D1884">
        <v>8.1</v>
      </c>
      <c r="E1884">
        <v>8.2</v>
      </c>
      <c r="F1884">
        <v>8.2</v>
      </c>
      <c r="G1884">
        <v>7.8</v>
      </c>
      <c r="H1884">
        <v>7.7</v>
      </c>
      <c r="I1884">
        <v>6.7</v>
      </c>
      <c r="J1884">
        <v>7</v>
      </c>
      <c r="K1884">
        <v>6.7</v>
      </c>
      <c r="L1884">
        <v>7</v>
      </c>
      <c r="M1884">
        <v>7.3</v>
      </c>
      <c r="N1884">
        <f t="shared" si="29"/>
        <v>74.7</v>
      </c>
    </row>
    <row r="1885" spans="1:14">
      <c r="A1885">
        <v>20204555</v>
      </c>
      <c r="B1885" t="s">
        <v>18</v>
      </c>
      <c r="C1885" t="str">
        <f>VLOOKUP(B1885,专业代码!$B$2:$C$8,2,FALSE)</f>
        <v>管理信息系统</v>
      </c>
      <c r="D1885">
        <v>8.3</v>
      </c>
      <c r="E1885">
        <v>7.5</v>
      </c>
      <c r="F1885">
        <v>7.4</v>
      </c>
      <c r="G1885">
        <v>7.3</v>
      </c>
      <c r="H1885">
        <v>7.9</v>
      </c>
      <c r="I1885">
        <v>6</v>
      </c>
      <c r="J1885">
        <v>7.3</v>
      </c>
      <c r="K1885">
        <v>6.5</v>
      </c>
      <c r="L1885">
        <v>5.8</v>
      </c>
      <c r="M1885">
        <v>6.2</v>
      </c>
      <c r="N1885">
        <f t="shared" si="29"/>
        <v>70.2</v>
      </c>
    </row>
    <row r="1886" spans="1:14">
      <c r="A1886">
        <v>20205952</v>
      </c>
      <c r="B1886" t="s">
        <v>18</v>
      </c>
      <c r="C1886" t="str">
        <f>VLOOKUP(B1886,专业代码!$B$2:$C$8,2,FALSE)</f>
        <v>管理信息系统</v>
      </c>
      <c r="D1886">
        <v>7.9</v>
      </c>
      <c r="E1886">
        <v>7.4</v>
      </c>
      <c r="F1886">
        <v>8.2</v>
      </c>
      <c r="G1886">
        <v>8</v>
      </c>
      <c r="H1886">
        <v>7.4</v>
      </c>
      <c r="I1886">
        <v>6.8</v>
      </c>
      <c r="J1886">
        <v>8.7</v>
      </c>
      <c r="K1886">
        <v>5.7</v>
      </c>
      <c r="L1886">
        <v>5.3</v>
      </c>
      <c r="M1886">
        <v>4.9</v>
      </c>
      <c r="N1886">
        <f t="shared" si="29"/>
        <v>70.3</v>
      </c>
    </row>
    <row r="1887" spans="1:14">
      <c r="A1887">
        <v>20209803</v>
      </c>
      <c r="B1887" t="s">
        <v>18</v>
      </c>
      <c r="C1887" t="str">
        <f>VLOOKUP(B1887,专业代码!$B$2:$C$8,2,FALSE)</f>
        <v>管理信息系统</v>
      </c>
      <c r="D1887">
        <v>7.6</v>
      </c>
      <c r="E1887">
        <v>7.8</v>
      </c>
      <c r="F1887">
        <v>7.2</v>
      </c>
      <c r="G1887">
        <v>7.7</v>
      </c>
      <c r="H1887">
        <v>8.4</v>
      </c>
      <c r="I1887">
        <v>7.2</v>
      </c>
      <c r="J1887">
        <v>8</v>
      </c>
      <c r="K1887">
        <v>6.7</v>
      </c>
      <c r="L1887">
        <v>7.3</v>
      </c>
      <c r="M1887">
        <v>7.6</v>
      </c>
      <c r="N1887">
        <f t="shared" si="29"/>
        <v>75.5</v>
      </c>
    </row>
    <row r="1888" spans="1:14">
      <c r="A1888">
        <v>20209838</v>
      </c>
      <c r="B1888" t="s">
        <v>18</v>
      </c>
      <c r="C1888" t="str">
        <f>VLOOKUP(B1888,专业代码!$B$2:$C$8,2,FALSE)</f>
        <v>管理信息系统</v>
      </c>
      <c r="D1888">
        <v>8.5</v>
      </c>
      <c r="E1888">
        <v>7.6</v>
      </c>
      <c r="F1888">
        <v>8.1</v>
      </c>
      <c r="G1888">
        <v>8.1</v>
      </c>
      <c r="H1888">
        <v>7.3</v>
      </c>
      <c r="I1888">
        <v>7.8</v>
      </c>
      <c r="J1888">
        <v>5.4</v>
      </c>
      <c r="K1888">
        <v>8.1</v>
      </c>
      <c r="L1888">
        <v>5.9</v>
      </c>
      <c r="M1888">
        <v>5.8</v>
      </c>
      <c r="N1888">
        <f t="shared" si="29"/>
        <v>72.6</v>
      </c>
    </row>
    <row r="1889" spans="1:14">
      <c r="A1889">
        <v>20202669</v>
      </c>
      <c r="B1889" t="s">
        <v>19</v>
      </c>
      <c r="C1889" t="str">
        <f>VLOOKUP(B1889,专业代码!$B$2:$C$8,2,FALSE)</f>
        <v>市场营销</v>
      </c>
      <c r="D1889">
        <v>7.3</v>
      </c>
      <c r="E1889">
        <v>6.4</v>
      </c>
      <c r="F1889">
        <v>6.5</v>
      </c>
      <c r="G1889">
        <v>6.8</v>
      </c>
      <c r="H1889">
        <v>6.5</v>
      </c>
      <c r="I1889">
        <v>5.7</v>
      </c>
      <c r="J1889">
        <v>5.8</v>
      </c>
      <c r="K1889">
        <v>5.5</v>
      </c>
      <c r="L1889">
        <v>4.5</v>
      </c>
      <c r="M1889">
        <v>7.3</v>
      </c>
      <c r="N1889">
        <f t="shared" si="29"/>
        <v>62.3</v>
      </c>
    </row>
    <row r="1890" spans="1:14">
      <c r="A1890">
        <v>20202705</v>
      </c>
      <c r="B1890" t="s">
        <v>19</v>
      </c>
      <c r="C1890" t="str">
        <f>VLOOKUP(B1890,专业代码!$B$2:$C$8,2,FALSE)</f>
        <v>市场营销</v>
      </c>
      <c r="D1890">
        <v>6.7</v>
      </c>
      <c r="E1890">
        <v>6.8</v>
      </c>
      <c r="F1890">
        <v>7.2</v>
      </c>
      <c r="G1890">
        <v>5.9</v>
      </c>
      <c r="H1890">
        <v>6.5</v>
      </c>
      <c r="I1890">
        <v>5.5</v>
      </c>
      <c r="J1890">
        <v>5.9</v>
      </c>
      <c r="K1890">
        <v>5.6</v>
      </c>
      <c r="L1890">
        <v>5.9</v>
      </c>
      <c r="M1890">
        <v>6.4</v>
      </c>
      <c r="N1890">
        <f t="shared" si="29"/>
        <v>62.4</v>
      </c>
    </row>
    <row r="1891" spans="1:14">
      <c r="A1891">
        <v>20203361</v>
      </c>
      <c r="B1891" t="s">
        <v>19</v>
      </c>
      <c r="C1891" t="str">
        <f>VLOOKUP(B1891,专业代码!$B$2:$C$8,2,FALSE)</f>
        <v>市场营销</v>
      </c>
      <c r="D1891">
        <v>7</v>
      </c>
      <c r="E1891">
        <v>7</v>
      </c>
      <c r="F1891">
        <v>7.4</v>
      </c>
      <c r="G1891">
        <v>6.9</v>
      </c>
      <c r="H1891">
        <v>5.6</v>
      </c>
      <c r="I1891">
        <v>6</v>
      </c>
      <c r="J1891">
        <v>6.6</v>
      </c>
      <c r="K1891">
        <v>5.9</v>
      </c>
      <c r="L1891">
        <v>5.3</v>
      </c>
      <c r="M1891">
        <v>4.3</v>
      </c>
      <c r="N1891">
        <f t="shared" si="29"/>
        <v>62</v>
      </c>
    </row>
    <row r="1892" spans="1:14">
      <c r="A1892">
        <v>20204022</v>
      </c>
      <c r="B1892" t="s">
        <v>19</v>
      </c>
      <c r="C1892" t="str">
        <f>VLOOKUP(B1892,专业代码!$B$2:$C$8,2,FALSE)</f>
        <v>市场营销</v>
      </c>
      <c r="D1892">
        <v>6.4</v>
      </c>
      <c r="E1892">
        <v>7.1</v>
      </c>
      <c r="F1892">
        <v>5.4</v>
      </c>
      <c r="G1892">
        <v>6.8</v>
      </c>
      <c r="H1892">
        <v>6.7</v>
      </c>
      <c r="I1892">
        <v>6</v>
      </c>
      <c r="J1892">
        <v>5.8</v>
      </c>
      <c r="K1892">
        <v>6.3</v>
      </c>
      <c r="L1892">
        <v>6.3</v>
      </c>
      <c r="M1892">
        <v>2.9</v>
      </c>
      <c r="N1892">
        <f t="shared" si="29"/>
        <v>59.7</v>
      </c>
    </row>
    <row r="1893" spans="1:14">
      <c r="A1893">
        <v>20205517</v>
      </c>
      <c r="B1893" t="s">
        <v>19</v>
      </c>
      <c r="C1893" t="str">
        <f>VLOOKUP(B1893,专业代码!$B$2:$C$8,2,FALSE)</f>
        <v>市场营销</v>
      </c>
      <c r="D1893">
        <v>7.3</v>
      </c>
      <c r="E1893">
        <v>7.4</v>
      </c>
      <c r="F1893">
        <v>7.4</v>
      </c>
      <c r="G1893">
        <v>6.4</v>
      </c>
      <c r="H1893">
        <v>6.2</v>
      </c>
      <c r="I1893">
        <v>5.7</v>
      </c>
      <c r="J1893">
        <v>5.4</v>
      </c>
      <c r="K1893">
        <v>4.9</v>
      </c>
      <c r="L1893">
        <v>6.2</v>
      </c>
      <c r="M1893">
        <v>3.5</v>
      </c>
      <c r="N1893">
        <f t="shared" si="29"/>
        <v>60.4</v>
      </c>
    </row>
    <row r="1894" spans="1:14">
      <c r="A1894">
        <v>20206991</v>
      </c>
      <c r="B1894" t="s">
        <v>19</v>
      </c>
      <c r="C1894" t="str">
        <f>VLOOKUP(B1894,专业代码!$B$2:$C$8,2,FALSE)</f>
        <v>市场营销</v>
      </c>
      <c r="D1894">
        <v>6.4</v>
      </c>
      <c r="E1894">
        <v>6.8</v>
      </c>
      <c r="F1894">
        <v>6.8</v>
      </c>
      <c r="G1894">
        <v>6.8</v>
      </c>
      <c r="H1894">
        <v>5.9</v>
      </c>
      <c r="I1894">
        <v>6.4</v>
      </c>
      <c r="J1894">
        <v>5.3</v>
      </c>
      <c r="K1894">
        <v>5.8</v>
      </c>
      <c r="L1894">
        <v>6</v>
      </c>
      <c r="M1894">
        <v>5.1</v>
      </c>
      <c r="N1894">
        <f t="shared" si="29"/>
        <v>61.3</v>
      </c>
    </row>
    <row r="1895" spans="1:14">
      <c r="A1895">
        <v>20207467</v>
      </c>
      <c r="B1895" t="s">
        <v>19</v>
      </c>
      <c r="C1895" t="str">
        <f>VLOOKUP(B1895,专业代码!$B$2:$C$8,2,FALSE)</f>
        <v>市场营销</v>
      </c>
      <c r="D1895">
        <v>7.2</v>
      </c>
      <c r="E1895">
        <v>6.2</v>
      </c>
      <c r="F1895">
        <v>7.1</v>
      </c>
      <c r="G1895">
        <v>6.6</v>
      </c>
      <c r="H1895">
        <v>7</v>
      </c>
      <c r="I1895">
        <v>6.3</v>
      </c>
      <c r="J1895">
        <v>7</v>
      </c>
      <c r="K1895">
        <v>5.4</v>
      </c>
      <c r="L1895">
        <v>4.2</v>
      </c>
      <c r="M1895">
        <v>7.5</v>
      </c>
      <c r="N1895">
        <f t="shared" si="29"/>
        <v>64.5</v>
      </c>
    </row>
    <row r="1896" spans="1:14">
      <c r="A1896">
        <v>20209183</v>
      </c>
      <c r="B1896" t="s">
        <v>19</v>
      </c>
      <c r="C1896" t="str">
        <f>VLOOKUP(B1896,专业代码!$B$2:$C$8,2,FALSE)</f>
        <v>市场营销</v>
      </c>
      <c r="D1896">
        <v>7.2</v>
      </c>
      <c r="E1896">
        <v>5.9</v>
      </c>
      <c r="F1896">
        <v>5.7</v>
      </c>
      <c r="G1896">
        <v>7.2</v>
      </c>
      <c r="H1896">
        <v>5.8</v>
      </c>
      <c r="I1896">
        <v>5.7</v>
      </c>
      <c r="J1896">
        <v>6.8</v>
      </c>
      <c r="K1896">
        <v>5.6</v>
      </c>
      <c r="L1896">
        <v>6.2</v>
      </c>
      <c r="M1896">
        <v>5.7</v>
      </c>
      <c r="N1896">
        <f t="shared" si="29"/>
        <v>61.8</v>
      </c>
    </row>
    <row r="1897" spans="1:14">
      <c r="A1897">
        <v>20201024</v>
      </c>
      <c r="B1897" t="s">
        <v>19</v>
      </c>
      <c r="C1897" t="str">
        <f>VLOOKUP(B1897,专业代码!$B$2:$C$8,2,FALSE)</f>
        <v>市场营销</v>
      </c>
      <c r="D1897">
        <v>7</v>
      </c>
      <c r="E1897">
        <v>6.7</v>
      </c>
      <c r="F1897">
        <v>7.1</v>
      </c>
      <c r="G1897">
        <v>6.3</v>
      </c>
      <c r="H1897">
        <v>7.2</v>
      </c>
      <c r="I1897">
        <v>6.5</v>
      </c>
      <c r="J1897">
        <v>6.7</v>
      </c>
      <c r="K1897">
        <v>5.5</v>
      </c>
      <c r="L1897">
        <v>5.2</v>
      </c>
      <c r="M1897">
        <v>4.7</v>
      </c>
      <c r="N1897">
        <f t="shared" si="29"/>
        <v>62.9</v>
      </c>
    </row>
    <row r="1898" spans="1:14">
      <c r="A1898">
        <v>20201345</v>
      </c>
      <c r="B1898" t="s">
        <v>19</v>
      </c>
      <c r="C1898" t="str">
        <f>VLOOKUP(B1898,专业代码!$B$2:$C$8,2,FALSE)</f>
        <v>市场营销</v>
      </c>
      <c r="D1898">
        <v>7.9</v>
      </c>
      <c r="E1898">
        <v>6.9</v>
      </c>
      <c r="F1898">
        <v>6.6</v>
      </c>
      <c r="G1898">
        <v>6.6</v>
      </c>
      <c r="H1898">
        <v>6.5</v>
      </c>
      <c r="I1898">
        <v>6.1</v>
      </c>
      <c r="J1898">
        <v>6.8</v>
      </c>
      <c r="K1898">
        <v>6.6</v>
      </c>
      <c r="L1898">
        <v>5.1</v>
      </c>
      <c r="M1898">
        <v>4.8</v>
      </c>
      <c r="N1898">
        <f t="shared" si="29"/>
        <v>63.9</v>
      </c>
    </row>
    <row r="1899" spans="1:14">
      <c r="A1899">
        <v>20203155</v>
      </c>
      <c r="B1899" t="s">
        <v>19</v>
      </c>
      <c r="C1899" t="str">
        <f>VLOOKUP(B1899,专业代码!$B$2:$C$8,2,FALSE)</f>
        <v>市场营销</v>
      </c>
      <c r="D1899">
        <v>7.2</v>
      </c>
      <c r="E1899">
        <v>7.1</v>
      </c>
      <c r="F1899">
        <v>7</v>
      </c>
      <c r="G1899">
        <v>6.5</v>
      </c>
      <c r="H1899">
        <v>6</v>
      </c>
      <c r="I1899">
        <v>6.2</v>
      </c>
      <c r="J1899">
        <v>4.6</v>
      </c>
      <c r="K1899">
        <v>5.3</v>
      </c>
      <c r="L1899">
        <v>5.4</v>
      </c>
      <c r="M1899">
        <v>5.1</v>
      </c>
      <c r="N1899">
        <f t="shared" si="29"/>
        <v>60.4</v>
      </c>
    </row>
    <row r="1900" spans="1:14">
      <c r="A1900">
        <v>20203761</v>
      </c>
      <c r="B1900" t="s">
        <v>19</v>
      </c>
      <c r="C1900" t="str">
        <f>VLOOKUP(B1900,专业代码!$B$2:$C$8,2,FALSE)</f>
        <v>市场营销</v>
      </c>
      <c r="D1900">
        <v>7.4</v>
      </c>
      <c r="E1900">
        <v>7.5</v>
      </c>
      <c r="F1900">
        <v>7.1</v>
      </c>
      <c r="G1900">
        <v>6.5</v>
      </c>
      <c r="H1900">
        <v>6.1</v>
      </c>
      <c r="I1900">
        <v>6.2</v>
      </c>
      <c r="J1900">
        <v>6.9</v>
      </c>
      <c r="K1900">
        <v>4.6</v>
      </c>
      <c r="L1900">
        <v>3.7</v>
      </c>
      <c r="M1900">
        <v>5.3</v>
      </c>
      <c r="N1900">
        <f t="shared" si="29"/>
        <v>61.3</v>
      </c>
    </row>
    <row r="1901" spans="1:14">
      <c r="A1901">
        <v>20205399</v>
      </c>
      <c r="B1901" t="s">
        <v>19</v>
      </c>
      <c r="C1901" t="str">
        <f>VLOOKUP(B1901,专业代码!$B$2:$C$8,2,FALSE)</f>
        <v>市场营销</v>
      </c>
      <c r="D1901">
        <v>7</v>
      </c>
      <c r="E1901">
        <v>6.9</v>
      </c>
      <c r="F1901">
        <v>7.1</v>
      </c>
      <c r="G1901">
        <v>6.6</v>
      </c>
      <c r="H1901">
        <v>4.8</v>
      </c>
      <c r="I1901">
        <v>5.4</v>
      </c>
      <c r="J1901">
        <v>6</v>
      </c>
      <c r="K1901">
        <v>4.9</v>
      </c>
      <c r="L1901">
        <v>6</v>
      </c>
      <c r="M1901">
        <v>5.4</v>
      </c>
      <c r="N1901">
        <f t="shared" si="29"/>
        <v>60.1</v>
      </c>
    </row>
    <row r="1902" spans="1:14">
      <c r="A1902">
        <v>20206625</v>
      </c>
      <c r="B1902" t="s">
        <v>19</v>
      </c>
      <c r="C1902" t="str">
        <f>VLOOKUP(B1902,专业代码!$B$2:$C$8,2,FALSE)</f>
        <v>市场营销</v>
      </c>
      <c r="D1902">
        <v>7.7</v>
      </c>
      <c r="E1902">
        <v>6.9</v>
      </c>
      <c r="F1902">
        <v>6.9</v>
      </c>
      <c r="G1902">
        <v>6</v>
      </c>
      <c r="H1902">
        <v>6.5</v>
      </c>
      <c r="I1902">
        <v>7</v>
      </c>
      <c r="J1902">
        <v>5.6</v>
      </c>
      <c r="K1902">
        <v>5.9</v>
      </c>
      <c r="L1902">
        <v>4.4</v>
      </c>
      <c r="M1902">
        <v>6.8</v>
      </c>
      <c r="N1902">
        <f t="shared" si="29"/>
        <v>63.7</v>
      </c>
    </row>
    <row r="1903" spans="1:14">
      <c r="A1903">
        <v>20206944</v>
      </c>
      <c r="B1903" t="s">
        <v>19</v>
      </c>
      <c r="C1903" t="str">
        <f>VLOOKUP(B1903,专业代码!$B$2:$C$8,2,FALSE)</f>
        <v>市场营销</v>
      </c>
      <c r="D1903">
        <v>6.9</v>
      </c>
      <c r="E1903">
        <v>6.6</v>
      </c>
      <c r="F1903">
        <v>7.9</v>
      </c>
      <c r="G1903">
        <v>6.4</v>
      </c>
      <c r="H1903">
        <v>6.7</v>
      </c>
      <c r="I1903">
        <v>6.6</v>
      </c>
      <c r="J1903">
        <v>7.3</v>
      </c>
      <c r="K1903">
        <v>6.4</v>
      </c>
      <c r="L1903">
        <v>5.5</v>
      </c>
      <c r="M1903">
        <v>6</v>
      </c>
      <c r="N1903">
        <f t="shared" si="29"/>
        <v>66.3</v>
      </c>
    </row>
    <row r="1904" spans="1:14">
      <c r="A1904">
        <v>20208851</v>
      </c>
      <c r="B1904" t="s">
        <v>19</v>
      </c>
      <c r="C1904" t="str">
        <f>VLOOKUP(B1904,专业代码!$B$2:$C$8,2,FALSE)</f>
        <v>市场营销</v>
      </c>
      <c r="D1904">
        <v>7.3</v>
      </c>
      <c r="E1904">
        <v>7.3</v>
      </c>
      <c r="F1904">
        <v>6.8</v>
      </c>
      <c r="G1904">
        <v>5.6</v>
      </c>
      <c r="H1904">
        <v>6.6</v>
      </c>
      <c r="I1904">
        <v>5.9</v>
      </c>
      <c r="J1904">
        <v>5.2</v>
      </c>
      <c r="K1904">
        <v>5.2</v>
      </c>
      <c r="L1904">
        <v>3.4</v>
      </c>
      <c r="M1904">
        <v>5.1</v>
      </c>
      <c r="N1904">
        <f t="shared" si="29"/>
        <v>58.4</v>
      </c>
    </row>
    <row r="1905" spans="1:14">
      <c r="A1905">
        <v>20202080</v>
      </c>
      <c r="B1905" t="s">
        <v>19</v>
      </c>
      <c r="C1905" t="str">
        <f>VLOOKUP(B1905,专业代码!$B$2:$C$8,2,FALSE)</f>
        <v>市场营销</v>
      </c>
      <c r="D1905">
        <v>7.1</v>
      </c>
      <c r="E1905">
        <v>6.6</v>
      </c>
      <c r="F1905">
        <v>6.5</v>
      </c>
      <c r="G1905">
        <v>6.2</v>
      </c>
      <c r="H1905">
        <v>6.4</v>
      </c>
      <c r="I1905">
        <v>5.3</v>
      </c>
      <c r="J1905">
        <v>5.1</v>
      </c>
      <c r="K1905">
        <v>4.7</v>
      </c>
      <c r="L1905">
        <v>5.7</v>
      </c>
      <c r="M1905">
        <v>4.5</v>
      </c>
      <c r="N1905">
        <f t="shared" si="29"/>
        <v>58.1</v>
      </c>
    </row>
    <row r="1906" spans="1:14">
      <c r="A1906">
        <v>20203924</v>
      </c>
      <c r="B1906" t="s">
        <v>19</v>
      </c>
      <c r="C1906" t="str">
        <f>VLOOKUP(B1906,专业代码!$B$2:$C$8,2,FALSE)</f>
        <v>市场营销</v>
      </c>
      <c r="D1906">
        <v>7.2</v>
      </c>
      <c r="E1906">
        <v>7.3</v>
      </c>
      <c r="F1906">
        <v>6.4</v>
      </c>
      <c r="G1906">
        <v>6.5</v>
      </c>
      <c r="H1906">
        <v>6.4</v>
      </c>
      <c r="I1906">
        <v>5.5</v>
      </c>
      <c r="J1906">
        <v>6.5</v>
      </c>
      <c r="K1906">
        <v>5.3</v>
      </c>
      <c r="L1906">
        <v>5.2</v>
      </c>
      <c r="M1906">
        <v>4.6</v>
      </c>
      <c r="N1906">
        <f t="shared" si="29"/>
        <v>60.9</v>
      </c>
    </row>
    <row r="1907" spans="1:14">
      <c r="A1907">
        <v>20205440</v>
      </c>
      <c r="B1907" t="s">
        <v>19</v>
      </c>
      <c r="C1907" t="str">
        <f>VLOOKUP(B1907,专业代码!$B$2:$C$8,2,FALSE)</f>
        <v>市场营销</v>
      </c>
      <c r="D1907">
        <v>6.4</v>
      </c>
      <c r="E1907">
        <v>6.6</v>
      </c>
      <c r="F1907">
        <v>6.2</v>
      </c>
      <c r="G1907">
        <v>6.5</v>
      </c>
      <c r="H1907">
        <v>6.2</v>
      </c>
      <c r="I1907">
        <v>5.7</v>
      </c>
      <c r="J1907">
        <v>5</v>
      </c>
      <c r="K1907">
        <v>5.5</v>
      </c>
      <c r="L1907">
        <v>5.1</v>
      </c>
      <c r="M1907">
        <v>4.7</v>
      </c>
      <c r="N1907">
        <f t="shared" si="29"/>
        <v>57.9</v>
      </c>
    </row>
    <row r="1908" spans="1:14">
      <c r="A1908">
        <v>20205682</v>
      </c>
      <c r="B1908" t="s">
        <v>19</v>
      </c>
      <c r="C1908" t="str">
        <f>VLOOKUP(B1908,专业代码!$B$2:$C$8,2,FALSE)</f>
        <v>市场营销</v>
      </c>
      <c r="D1908">
        <v>6.9</v>
      </c>
      <c r="E1908">
        <v>6.8</v>
      </c>
      <c r="F1908">
        <v>7.7</v>
      </c>
      <c r="G1908">
        <v>6.7</v>
      </c>
      <c r="H1908">
        <v>6</v>
      </c>
      <c r="I1908">
        <v>5.4</v>
      </c>
      <c r="J1908">
        <v>6.3</v>
      </c>
      <c r="K1908">
        <v>6.2</v>
      </c>
      <c r="L1908">
        <v>5.2</v>
      </c>
      <c r="M1908">
        <v>5</v>
      </c>
      <c r="N1908">
        <f t="shared" si="29"/>
        <v>62.2</v>
      </c>
    </row>
    <row r="1909" spans="1:14">
      <c r="A1909">
        <v>20205699</v>
      </c>
      <c r="B1909" t="s">
        <v>19</v>
      </c>
      <c r="C1909" t="str">
        <f>VLOOKUP(B1909,专业代码!$B$2:$C$8,2,FALSE)</f>
        <v>市场营销</v>
      </c>
      <c r="D1909">
        <v>6.7</v>
      </c>
      <c r="E1909">
        <v>6.9</v>
      </c>
      <c r="F1909">
        <v>6.7</v>
      </c>
      <c r="G1909">
        <v>6.3</v>
      </c>
      <c r="H1909">
        <v>6.6</v>
      </c>
      <c r="I1909">
        <v>6.7</v>
      </c>
      <c r="J1909">
        <v>4.3</v>
      </c>
      <c r="K1909">
        <v>4.8</v>
      </c>
      <c r="L1909">
        <v>4.8</v>
      </c>
      <c r="M1909">
        <v>3.3</v>
      </c>
      <c r="N1909">
        <f t="shared" si="29"/>
        <v>57.1</v>
      </c>
    </row>
    <row r="1910" spans="1:14">
      <c r="A1910">
        <v>20201876</v>
      </c>
      <c r="B1910" t="s">
        <v>19</v>
      </c>
      <c r="C1910" t="str">
        <f>VLOOKUP(B1910,专业代码!$B$2:$C$8,2,FALSE)</f>
        <v>市场营销</v>
      </c>
      <c r="D1910">
        <v>7.1</v>
      </c>
      <c r="E1910">
        <v>7.1</v>
      </c>
      <c r="F1910">
        <v>7</v>
      </c>
      <c r="G1910">
        <v>5.9</v>
      </c>
      <c r="H1910">
        <v>6.5</v>
      </c>
      <c r="I1910">
        <v>6.6</v>
      </c>
      <c r="J1910">
        <v>5.8</v>
      </c>
      <c r="K1910">
        <v>6</v>
      </c>
      <c r="L1910">
        <v>6.4</v>
      </c>
      <c r="M1910">
        <v>5.7</v>
      </c>
      <c r="N1910">
        <f t="shared" si="29"/>
        <v>64.1</v>
      </c>
    </row>
    <row r="1911" spans="1:14">
      <c r="A1911">
        <v>20202934</v>
      </c>
      <c r="B1911" t="s">
        <v>19</v>
      </c>
      <c r="C1911" t="str">
        <f>VLOOKUP(B1911,专业代码!$B$2:$C$8,2,FALSE)</f>
        <v>市场营销</v>
      </c>
      <c r="D1911">
        <v>6.9</v>
      </c>
      <c r="E1911">
        <v>7.3</v>
      </c>
      <c r="F1911">
        <v>7.2</v>
      </c>
      <c r="G1911">
        <v>7</v>
      </c>
      <c r="H1911">
        <v>7.2</v>
      </c>
      <c r="I1911">
        <v>5</v>
      </c>
      <c r="J1911">
        <v>6.4</v>
      </c>
      <c r="K1911">
        <v>7.2</v>
      </c>
      <c r="L1911">
        <v>5.8</v>
      </c>
      <c r="M1911">
        <v>5.6</v>
      </c>
      <c r="N1911">
        <f t="shared" si="29"/>
        <v>65.6</v>
      </c>
    </row>
    <row r="1912" spans="1:14">
      <c r="A1912">
        <v>20206608</v>
      </c>
      <c r="B1912" t="s">
        <v>19</v>
      </c>
      <c r="C1912" t="str">
        <f>VLOOKUP(B1912,专业代码!$B$2:$C$8,2,FALSE)</f>
        <v>市场营销</v>
      </c>
      <c r="D1912">
        <v>6.7</v>
      </c>
      <c r="E1912">
        <v>7</v>
      </c>
      <c r="F1912">
        <v>6.9</v>
      </c>
      <c r="G1912">
        <v>6.8</v>
      </c>
      <c r="H1912">
        <v>6.4</v>
      </c>
      <c r="I1912">
        <v>6.1</v>
      </c>
      <c r="J1912">
        <v>5.4</v>
      </c>
      <c r="K1912">
        <v>5.1</v>
      </c>
      <c r="L1912">
        <v>6</v>
      </c>
      <c r="M1912">
        <v>5.7</v>
      </c>
      <c r="N1912">
        <f t="shared" si="29"/>
        <v>62.1</v>
      </c>
    </row>
    <row r="1913" spans="1:14">
      <c r="A1913">
        <v>20201115</v>
      </c>
      <c r="B1913" t="s">
        <v>19</v>
      </c>
      <c r="C1913" t="str">
        <f>VLOOKUP(B1913,专业代码!$B$2:$C$8,2,FALSE)</f>
        <v>市场营销</v>
      </c>
      <c r="D1913">
        <v>7</v>
      </c>
      <c r="E1913">
        <v>6.2</v>
      </c>
      <c r="F1913">
        <v>6.9</v>
      </c>
      <c r="G1913">
        <v>5.8</v>
      </c>
      <c r="H1913">
        <v>6.2</v>
      </c>
      <c r="I1913">
        <v>5.9</v>
      </c>
      <c r="J1913">
        <v>5.5</v>
      </c>
      <c r="K1913">
        <v>4.6</v>
      </c>
      <c r="L1913">
        <v>2.9</v>
      </c>
      <c r="M1913">
        <v>4.8</v>
      </c>
      <c r="N1913">
        <f t="shared" si="29"/>
        <v>55.8</v>
      </c>
    </row>
    <row r="1914" spans="1:14">
      <c r="A1914">
        <v>20203995</v>
      </c>
      <c r="B1914" t="s">
        <v>19</v>
      </c>
      <c r="C1914" t="str">
        <f>VLOOKUP(B1914,专业代码!$B$2:$C$8,2,FALSE)</f>
        <v>市场营销</v>
      </c>
      <c r="D1914">
        <v>6.8</v>
      </c>
      <c r="E1914">
        <v>6.6</v>
      </c>
      <c r="F1914">
        <v>6.4</v>
      </c>
      <c r="G1914">
        <v>6.8</v>
      </c>
      <c r="H1914">
        <v>7.2</v>
      </c>
      <c r="I1914">
        <v>5.8</v>
      </c>
      <c r="J1914">
        <v>6.4</v>
      </c>
      <c r="K1914">
        <v>6.4</v>
      </c>
      <c r="L1914">
        <v>5</v>
      </c>
      <c r="M1914">
        <v>4.8</v>
      </c>
      <c r="N1914">
        <f t="shared" si="29"/>
        <v>62.2</v>
      </c>
    </row>
    <row r="1915" spans="1:14">
      <c r="A1915">
        <v>20204214</v>
      </c>
      <c r="B1915" t="s">
        <v>19</v>
      </c>
      <c r="C1915" t="str">
        <f>VLOOKUP(B1915,专业代码!$B$2:$C$8,2,FALSE)</f>
        <v>市场营销</v>
      </c>
      <c r="D1915">
        <v>7</v>
      </c>
      <c r="E1915">
        <v>6.6</v>
      </c>
      <c r="F1915">
        <v>6.4</v>
      </c>
      <c r="G1915">
        <v>6.6</v>
      </c>
      <c r="H1915">
        <v>6.1</v>
      </c>
      <c r="I1915">
        <v>6</v>
      </c>
      <c r="J1915">
        <v>4.7</v>
      </c>
      <c r="K1915">
        <v>5.3</v>
      </c>
      <c r="L1915">
        <v>4.4</v>
      </c>
      <c r="M1915">
        <v>4.8</v>
      </c>
      <c r="N1915">
        <f t="shared" si="29"/>
        <v>57.9</v>
      </c>
    </row>
    <row r="1916" spans="1:14">
      <c r="A1916">
        <v>20204880</v>
      </c>
      <c r="B1916" t="s">
        <v>19</v>
      </c>
      <c r="C1916" t="str">
        <f>VLOOKUP(B1916,专业代码!$B$2:$C$8,2,FALSE)</f>
        <v>市场营销</v>
      </c>
      <c r="D1916">
        <v>6.9</v>
      </c>
      <c r="E1916">
        <v>6.5</v>
      </c>
      <c r="F1916">
        <v>6.2</v>
      </c>
      <c r="G1916">
        <v>6.4</v>
      </c>
      <c r="H1916">
        <v>6.7</v>
      </c>
      <c r="I1916">
        <v>6.1</v>
      </c>
      <c r="J1916">
        <v>6</v>
      </c>
      <c r="K1916">
        <v>5.4</v>
      </c>
      <c r="L1916">
        <v>6</v>
      </c>
      <c r="M1916">
        <v>6.3</v>
      </c>
      <c r="N1916">
        <f t="shared" si="29"/>
        <v>62.5</v>
      </c>
    </row>
    <row r="1917" spans="1:14">
      <c r="A1917">
        <v>20205822</v>
      </c>
      <c r="B1917" t="s">
        <v>19</v>
      </c>
      <c r="C1917" t="str">
        <f>VLOOKUP(B1917,专业代码!$B$2:$C$8,2,FALSE)</f>
        <v>市场营销</v>
      </c>
      <c r="D1917">
        <v>6.3</v>
      </c>
      <c r="E1917">
        <v>6.3</v>
      </c>
      <c r="F1917">
        <v>6.4</v>
      </c>
      <c r="G1917">
        <v>5.7</v>
      </c>
      <c r="H1917">
        <v>6.2</v>
      </c>
      <c r="I1917">
        <v>7.1</v>
      </c>
      <c r="J1917">
        <v>5.6</v>
      </c>
      <c r="K1917">
        <v>5.1</v>
      </c>
      <c r="L1917">
        <v>6.8</v>
      </c>
      <c r="M1917">
        <v>4.4</v>
      </c>
      <c r="N1917">
        <f t="shared" si="29"/>
        <v>59.9</v>
      </c>
    </row>
    <row r="1918" spans="1:14">
      <c r="A1918">
        <v>20203263</v>
      </c>
      <c r="B1918" t="s">
        <v>19</v>
      </c>
      <c r="C1918" t="str">
        <f>VLOOKUP(B1918,专业代码!$B$2:$C$8,2,FALSE)</f>
        <v>市场营销</v>
      </c>
      <c r="D1918">
        <v>7.2</v>
      </c>
      <c r="E1918">
        <v>6.5</v>
      </c>
      <c r="F1918">
        <v>7.5</v>
      </c>
      <c r="G1918">
        <v>6.3</v>
      </c>
      <c r="H1918">
        <v>6.5</v>
      </c>
      <c r="I1918">
        <v>6</v>
      </c>
      <c r="J1918">
        <v>7.6</v>
      </c>
      <c r="K1918">
        <v>4.5</v>
      </c>
      <c r="L1918">
        <v>4.5</v>
      </c>
      <c r="M1918">
        <v>3</v>
      </c>
      <c r="N1918">
        <f t="shared" si="29"/>
        <v>59.6</v>
      </c>
    </row>
    <row r="1919" spans="1:14">
      <c r="A1919">
        <v>20203324</v>
      </c>
      <c r="B1919" t="s">
        <v>19</v>
      </c>
      <c r="C1919" t="str">
        <f>VLOOKUP(B1919,专业代码!$B$2:$C$8,2,FALSE)</f>
        <v>市场营销</v>
      </c>
      <c r="D1919">
        <v>7.4</v>
      </c>
      <c r="E1919">
        <v>6.9</v>
      </c>
      <c r="F1919">
        <v>7.4</v>
      </c>
      <c r="G1919">
        <v>6.3</v>
      </c>
      <c r="H1919">
        <v>6.1</v>
      </c>
      <c r="I1919">
        <v>5.8</v>
      </c>
      <c r="J1919">
        <v>6.6</v>
      </c>
      <c r="K1919">
        <v>6.4</v>
      </c>
      <c r="L1919">
        <v>6.9</v>
      </c>
      <c r="M1919">
        <v>4.7</v>
      </c>
      <c r="N1919">
        <f t="shared" si="29"/>
        <v>64.5</v>
      </c>
    </row>
    <row r="1920" spans="1:14">
      <c r="A1920">
        <v>20203359</v>
      </c>
      <c r="B1920" t="s">
        <v>19</v>
      </c>
      <c r="C1920" t="str">
        <f>VLOOKUP(B1920,专业代码!$B$2:$C$8,2,FALSE)</f>
        <v>市场营销</v>
      </c>
      <c r="D1920">
        <v>7.1</v>
      </c>
      <c r="E1920">
        <v>6.2</v>
      </c>
      <c r="F1920">
        <v>7.2</v>
      </c>
      <c r="G1920">
        <v>6.4</v>
      </c>
      <c r="H1920">
        <v>6.1</v>
      </c>
      <c r="I1920">
        <v>6.9</v>
      </c>
      <c r="J1920">
        <v>6.3</v>
      </c>
      <c r="K1920">
        <v>5.5</v>
      </c>
      <c r="L1920">
        <v>5.7</v>
      </c>
      <c r="M1920">
        <v>4.2</v>
      </c>
      <c r="N1920">
        <f t="shared" si="29"/>
        <v>61.6</v>
      </c>
    </row>
    <row r="1921" spans="1:14">
      <c r="A1921">
        <v>20205377</v>
      </c>
      <c r="B1921" t="s">
        <v>19</v>
      </c>
      <c r="C1921" t="str">
        <f>VLOOKUP(B1921,专业代码!$B$2:$C$8,2,FALSE)</f>
        <v>市场营销</v>
      </c>
      <c r="D1921">
        <v>6.8</v>
      </c>
      <c r="E1921">
        <v>7.8</v>
      </c>
      <c r="F1921">
        <v>6.3</v>
      </c>
      <c r="G1921">
        <v>6.6</v>
      </c>
      <c r="H1921">
        <v>5.5</v>
      </c>
      <c r="I1921">
        <v>5.4</v>
      </c>
      <c r="J1921">
        <v>5.2</v>
      </c>
      <c r="K1921">
        <v>5.5</v>
      </c>
      <c r="L1921">
        <v>5.1</v>
      </c>
      <c r="M1921">
        <v>4.3</v>
      </c>
      <c r="N1921">
        <f t="shared" si="29"/>
        <v>58.5</v>
      </c>
    </row>
    <row r="1922" spans="1:14">
      <c r="A1922">
        <v>20206843</v>
      </c>
      <c r="B1922" t="s">
        <v>19</v>
      </c>
      <c r="C1922" t="str">
        <f>VLOOKUP(B1922,专业代码!$B$2:$C$8,2,FALSE)</f>
        <v>市场营销</v>
      </c>
      <c r="D1922">
        <v>7.1</v>
      </c>
      <c r="E1922">
        <v>6.1</v>
      </c>
      <c r="F1922">
        <v>7.3</v>
      </c>
      <c r="G1922">
        <v>7.2</v>
      </c>
      <c r="H1922">
        <v>7</v>
      </c>
      <c r="I1922">
        <v>6.4</v>
      </c>
      <c r="J1922">
        <v>5.5</v>
      </c>
      <c r="K1922">
        <v>4.7</v>
      </c>
      <c r="L1922">
        <v>3.3</v>
      </c>
      <c r="M1922">
        <v>3.7</v>
      </c>
      <c r="N1922">
        <f t="shared" si="29"/>
        <v>58.3</v>
      </c>
    </row>
    <row r="1923" spans="1:14">
      <c r="A1923">
        <v>20207071</v>
      </c>
      <c r="B1923" t="s">
        <v>19</v>
      </c>
      <c r="C1923" t="str">
        <f>VLOOKUP(B1923,专业代码!$B$2:$C$8,2,FALSE)</f>
        <v>市场营销</v>
      </c>
      <c r="D1923">
        <v>7.2</v>
      </c>
      <c r="E1923">
        <v>6.7</v>
      </c>
      <c r="F1923">
        <v>7.4</v>
      </c>
      <c r="G1923">
        <v>6.7</v>
      </c>
      <c r="H1923">
        <v>5.6</v>
      </c>
      <c r="I1923">
        <v>6.2</v>
      </c>
      <c r="J1923">
        <v>6.1</v>
      </c>
      <c r="K1923">
        <v>5.6</v>
      </c>
      <c r="L1923">
        <v>6.9</v>
      </c>
      <c r="M1923">
        <v>3.7</v>
      </c>
      <c r="N1923">
        <f t="shared" ref="N1923:N1986" si="30">SUM(D1923:M1923)</f>
        <v>62.1</v>
      </c>
    </row>
    <row r="1924" spans="1:14">
      <c r="A1924">
        <v>20207334</v>
      </c>
      <c r="B1924" t="s">
        <v>19</v>
      </c>
      <c r="C1924" t="str">
        <f>VLOOKUP(B1924,专业代码!$B$2:$C$8,2,FALSE)</f>
        <v>市场营销</v>
      </c>
      <c r="D1924">
        <v>6.2</v>
      </c>
      <c r="E1924">
        <v>7.3</v>
      </c>
      <c r="F1924">
        <v>6.6</v>
      </c>
      <c r="G1924">
        <v>6.9</v>
      </c>
      <c r="H1924">
        <v>5.4</v>
      </c>
      <c r="I1924">
        <v>6.9</v>
      </c>
      <c r="J1924">
        <v>5.4</v>
      </c>
      <c r="K1924">
        <v>5.8</v>
      </c>
      <c r="L1924">
        <v>4.9</v>
      </c>
      <c r="M1924">
        <v>4.9</v>
      </c>
      <c r="N1924">
        <f t="shared" si="30"/>
        <v>60.3</v>
      </c>
    </row>
    <row r="1925" spans="1:14">
      <c r="A1925">
        <v>20207567</v>
      </c>
      <c r="B1925" t="s">
        <v>19</v>
      </c>
      <c r="C1925" t="str">
        <f>VLOOKUP(B1925,专业代码!$B$2:$C$8,2,FALSE)</f>
        <v>市场营销</v>
      </c>
      <c r="D1925">
        <v>6.3</v>
      </c>
      <c r="E1925">
        <v>6.6</v>
      </c>
      <c r="F1925">
        <v>5.7</v>
      </c>
      <c r="G1925">
        <v>6.1</v>
      </c>
      <c r="H1925">
        <v>6.6</v>
      </c>
      <c r="I1925">
        <v>6.9</v>
      </c>
      <c r="J1925">
        <v>6.7</v>
      </c>
      <c r="K1925">
        <v>6.7</v>
      </c>
      <c r="L1925">
        <v>7</v>
      </c>
      <c r="M1925">
        <v>4.9</v>
      </c>
      <c r="N1925">
        <f t="shared" si="30"/>
        <v>63.5</v>
      </c>
    </row>
    <row r="1926" spans="1:14">
      <c r="A1926">
        <v>20201557</v>
      </c>
      <c r="B1926" t="s">
        <v>19</v>
      </c>
      <c r="C1926" t="str">
        <f>VLOOKUP(B1926,专业代码!$B$2:$C$8,2,FALSE)</f>
        <v>市场营销</v>
      </c>
      <c r="D1926">
        <v>6.4</v>
      </c>
      <c r="E1926">
        <v>7.6</v>
      </c>
      <c r="F1926">
        <v>7</v>
      </c>
      <c r="G1926">
        <v>5.2</v>
      </c>
      <c r="H1926">
        <v>5.7</v>
      </c>
      <c r="I1926">
        <v>5.8</v>
      </c>
      <c r="J1926">
        <v>4.6</v>
      </c>
      <c r="K1926">
        <v>5.3</v>
      </c>
      <c r="L1926">
        <v>5.9</v>
      </c>
      <c r="M1926">
        <v>4.3</v>
      </c>
      <c r="N1926">
        <f t="shared" si="30"/>
        <v>57.8</v>
      </c>
    </row>
    <row r="1927" spans="1:14">
      <c r="A1927">
        <v>20203197</v>
      </c>
      <c r="B1927" t="s">
        <v>19</v>
      </c>
      <c r="C1927" t="str">
        <f>VLOOKUP(B1927,专业代码!$B$2:$C$8,2,FALSE)</f>
        <v>市场营销</v>
      </c>
      <c r="D1927">
        <v>7.1</v>
      </c>
      <c r="E1927">
        <v>6.5</v>
      </c>
      <c r="F1927">
        <v>6.1</v>
      </c>
      <c r="G1927">
        <v>6</v>
      </c>
      <c r="H1927">
        <v>6.2</v>
      </c>
      <c r="I1927">
        <v>6.1</v>
      </c>
      <c r="J1927">
        <v>5.1</v>
      </c>
      <c r="K1927">
        <v>5.3</v>
      </c>
      <c r="L1927">
        <v>5.5</v>
      </c>
      <c r="M1927">
        <v>2</v>
      </c>
      <c r="N1927">
        <f t="shared" si="30"/>
        <v>55.9</v>
      </c>
    </row>
    <row r="1928" spans="1:14">
      <c r="A1928">
        <v>20204279</v>
      </c>
      <c r="B1928" t="s">
        <v>19</v>
      </c>
      <c r="C1928" t="str">
        <f>VLOOKUP(B1928,专业代码!$B$2:$C$8,2,FALSE)</f>
        <v>市场营销</v>
      </c>
      <c r="D1928">
        <v>6.7</v>
      </c>
      <c r="E1928">
        <v>7</v>
      </c>
      <c r="F1928">
        <v>6.8</v>
      </c>
      <c r="G1928">
        <v>5.5</v>
      </c>
      <c r="H1928">
        <v>6.2</v>
      </c>
      <c r="I1928">
        <v>6.4</v>
      </c>
      <c r="J1928">
        <v>5.2</v>
      </c>
      <c r="K1928">
        <v>6.6</v>
      </c>
      <c r="L1928">
        <v>6.6</v>
      </c>
      <c r="M1928">
        <v>5.2</v>
      </c>
      <c r="N1928">
        <f t="shared" si="30"/>
        <v>62.2</v>
      </c>
    </row>
    <row r="1929" spans="1:14">
      <c r="A1929">
        <v>20205694</v>
      </c>
      <c r="B1929" t="s">
        <v>19</v>
      </c>
      <c r="C1929" t="str">
        <f>VLOOKUP(B1929,专业代码!$B$2:$C$8,2,FALSE)</f>
        <v>市场营销</v>
      </c>
      <c r="D1929">
        <v>7.3</v>
      </c>
      <c r="E1929">
        <v>6.7</v>
      </c>
      <c r="F1929">
        <v>5.9</v>
      </c>
      <c r="G1929">
        <v>6.9</v>
      </c>
      <c r="H1929">
        <v>5.5</v>
      </c>
      <c r="I1929">
        <v>5.5</v>
      </c>
      <c r="J1929">
        <v>6.6</v>
      </c>
      <c r="K1929">
        <v>6</v>
      </c>
      <c r="L1929">
        <v>5.5</v>
      </c>
      <c r="M1929">
        <v>4.6</v>
      </c>
      <c r="N1929">
        <f t="shared" si="30"/>
        <v>60.5</v>
      </c>
    </row>
    <row r="1930" spans="1:14">
      <c r="A1930">
        <v>20207980</v>
      </c>
      <c r="B1930" t="s">
        <v>19</v>
      </c>
      <c r="C1930" t="str">
        <f>VLOOKUP(B1930,专业代码!$B$2:$C$8,2,FALSE)</f>
        <v>市场营销</v>
      </c>
      <c r="D1930">
        <v>7.1</v>
      </c>
      <c r="E1930">
        <v>7.5</v>
      </c>
      <c r="F1930">
        <v>6.6</v>
      </c>
      <c r="G1930">
        <v>6.4</v>
      </c>
      <c r="H1930">
        <v>5.8</v>
      </c>
      <c r="I1930">
        <v>6.2</v>
      </c>
      <c r="J1930">
        <v>7</v>
      </c>
      <c r="K1930">
        <v>4.7</v>
      </c>
      <c r="L1930">
        <v>5.7</v>
      </c>
      <c r="M1930">
        <v>5.4</v>
      </c>
      <c r="N1930">
        <f t="shared" si="30"/>
        <v>62.4</v>
      </c>
    </row>
    <row r="1931" spans="1:14">
      <c r="A1931">
        <v>20201866</v>
      </c>
      <c r="B1931" t="s">
        <v>19</v>
      </c>
      <c r="C1931" t="str">
        <f>VLOOKUP(B1931,专业代码!$B$2:$C$8,2,FALSE)</f>
        <v>市场营销</v>
      </c>
      <c r="D1931">
        <v>7</v>
      </c>
      <c r="E1931">
        <v>6.9</v>
      </c>
      <c r="F1931">
        <v>6.6</v>
      </c>
      <c r="G1931">
        <v>7.5</v>
      </c>
      <c r="H1931">
        <v>5.7</v>
      </c>
      <c r="I1931">
        <v>6.5</v>
      </c>
      <c r="J1931">
        <v>6</v>
      </c>
      <c r="K1931">
        <v>6.8</v>
      </c>
      <c r="L1931">
        <v>6.5</v>
      </c>
      <c r="M1931">
        <v>5.3</v>
      </c>
      <c r="N1931">
        <f t="shared" si="30"/>
        <v>64.8</v>
      </c>
    </row>
    <row r="1932" spans="1:14">
      <c r="A1932">
        <v>20202568</v>
      </c>
      <c r="B1932" t="s">
        <v>19</v>
      </c>
      <c r="C1932" t="str">
        <f>VLOOKUP(B1932,专业代码!$B$2:$C$8,2,FALSE)</f>
        <v>市场营销</v>
      </c>
      <c r="D1932">
        <v>6.7</v>
      </c>
      <c r="E1932">
        <v>7.3</v>
      </c>
      <c r="F1932">
        <v>6.2</v>
      </c>
      <c r="G1932">
        <v>6.1</v>
      </c>
      <c r="H1932">
        <v>6.3</v>
      </c>
      <c r="I1932">
        <v>5.5</v>
      </c>
      <c r="J1932">
        <v>5.7</v>
      </c>
      <c r="K1932">
        <v>4.8</v>
      </c>
      <c r="L1932">
        <v>4.7</v>
      </c>
      <c r="M1932">
        <v>5</v>
      </c>
      <c r="N1932">
        <f t="shared" si="30"/>
        <v>58.3</v>
      </c>
    </row>
    <row r="1933" spans="1:14">
      <c r="A1933">
        <v>20203633</v>
      </c>
      <c r="B1933" t="s">
        <v>19</v>
      </c>
      <c r="C1933" t="str">
        <f>VLOOKUP(B1933,专业代码!$B$2:$C$8,2,FALSE)</f>
        <v>市场营销</v>
      </c>
      <c r="D1933">
        <v>6.9</v>
      </c>
      <c r="E1933">
        <v>6.6</v>
      </c>
      <c r="F1933">
        <v>6.7</v>
      </c>
      <c r="G1933">
        <v>6.5</v>
      </c>
      <c r="H1933">
        <v>6.9</v>
      </c>
      <c r="I1933">
        <v>6.1</v>
      </c>
      <c r="J1933">
        <v>6.1</v>
      </c>
      <c r="K1933">
        <v>6.3</v>
      </c>
      <c r="L1933">
        <v>5.4</v>
      </c>
      <c r="M1933">
        <v>5.2</v>
      </c>
      <c r="N1933">
        <f t="shared" si="30"/>
        <v>62.7</v>
      </c>
    </row>
    <row r="1934" spans="1:14">
      <c r="A1934">
        <v>20203906</v>
      </c>
      <c r="B1934" t="s">
        <v>19</v>
      </c>
      <c r="C1934" t="str">
        <f>VLOOKUP(B1934,专业代码!$B$2:$C$8,2,FALSE)</f>
        <v>市场营销</v>
      </c>
      <c r="D1934">
        <v>6.8</v>
      </c>
      <c r="E1934">
        <v>7</v>
      </c>
      <c r="F1934">
        <v>6.5</v>
      </c>
      <c r="G1934">
        <v>6.7</v>
      </c>
      <c r="H1934">
        <v>6.3</v>
      </c>
      <c r="I1934">
        <v>5.9</v>
      </c>
      <c r="J1934">
        <v>6.4</v>
      </c>
      <c r="K1934">
        <v>6</v>
      </c>
      <c r="L1934">
        <v>5</v>
      </c>
      <c r="M1934">
        <v>6</v>
      </c>
      <c r="N1934">
        <f t="shared" si="30"/>
        <v>62.6</v>
      </c>
    </row>
    <row r="1935" spans="1:14">
      <c r="A1935">
        <v>20206690</v>
      </c>
      <c r="B1935" t="s">
        <v>19</v>
      </c>
      <c r="C1935" t="str">
        <f>VLOOKUP(B1935,专业代码!$B$2:$C$8,2,FALSE)</f>
        <v>市场营销</v>
      </c>
      <c r="D1935">
        <v>6.6</v>
      </c>
      <c r="E1935">
        <v>6.7</v>
      </c>
      <c r="F1935">
        <v>6.3</v>
      </c>
      <c r="G1935">
        <v>7.1</v>
      </c>
      <c r="H1935">
        <v>6.5</v>
      </c>
      <c r="I1935">
        <v>7.4</v>
      </c>
      <c r="J1935">
        <v>7.1</v>
      </c>
      <c r="K1935">
        <v>5.5</v>
      </c>
      <c r="L1935">
        <v>6</v>
      </c>
      <c r="M1935">
        <v>3.2</v>
      </c>
      <c r="N1935">
        <f t="shared" si="30"/>
        <v>62.4</v>
      </c>
    </row>
    <row r="1936" spans="1:14">
      <c r="A1936">
        <v>20207231</v>
      </c>
      <c r="B1936" t="s">
        <v>19</v>
      </c>
      <c r="C1936" t="str">
        <f>VLOOKUP(B1936,专业代码!$B$2:$C$8,2,FALSE)</f>
        <v>市场营销</v>
      </c>
      <c r="D1936">
        <v>7.3</v>
      </c>
      <c r="E1936">
        <v>6.5</v>
      </c>
      <c r="F1936">
        <v>6.5</v>
      </c>
      <c r="G1936">
        <v>6.1</v>
      </c>
      <c r="H1936">
        <v>6.9</v>
      </c>
      <c r="I1936">
        <v>6.6</v>
      </c>
      <c r="J1936">
        <v>5.9</v>
      </c>
      <c r="K1936">
        <v>6.2</v>
      </c>
      <c r="L1936">
        <v>5.3</v>
      </c>
      <c r="M1936">
        <v>5.8</v>
      </c>
      <c r="N1936">
        <f t="shared" si="30"/>
        <v>63.1</v>
      </c>
    </row>
    <row r="1937" spans="1:14">
      <c r="A1937">
        <v>20208831</v>
      </c>
      <c r="B1937" t="s">
        <v>19</v>
      </c>
      <c r="C1937" t="str">
        <f>VLOOKUP(B1937,专业代码!$B$2:$C$8,2,FALSE)</f>
        <v>市场营销</v>
      </c>
      <c r="D1937">
        <v>7.1</v>
      </c>
      <c r="E1937">
        <v>6.5</v>
      </c>
      <c r="F1937">
        <v>6.6</v>
      </c>
      <c r="G1937">
        <v>7.9</v>
      </c>
      <c r="H1937">
        <v>6</v>
      </c>
      <c r="I1937">
        <v>6.9</v>
      </c>
      <c r="J1937">
        <v>7.3</v>
      </c>
      <c r="K1937">
        <v>5.8</v>
      </c>
      <c r="L1937">
        <v>5.1</v>
      </c>
      <c r="M1937">
        <v>5.6</v>
      </c>
      <c r="N1937">
        <f t="shared" si="30"/>
        <v>64.8</v>
      </c>
    </row>
    <row r="1938" spans="1:14">
      <c r="A1938">
        <v>20209485</v>
      </c>
      <c r="B1938" t="s">
        <v>19</v>
      </c>
      <c r="C1938" t="str">
        <f>VLOOKUP(B1938,专业代码!$B$2:$C$8,2,FALSE)</f>
        <v>市场营销</v>
      </c>
      <c r="D1938">
        <v>6.5</v>
      </c>
      <c r="E1938">
        <v>6.8</v>
      </c>
      <c r="F1938">
        <v>7</v>
      </c>
      <c r="G1938">
        <v>6.2</v>
      </c>
      <c r="H1938">
        <v>5.7</v>
      </c>
      <c r="I1938">
        <v>6.6</v>
      </c>
      <c r="J1938">
        <v>5.1</v>
      </c>
      <c r="K1938">
        <v>6.3</v>
      </c>
      <c r="L1938">
        <v>6.8</v>
      </c>
      <c r="M1938">
        <v>5.6</v>
      </c>
      <c r="N1938">
        <f t="shared" si="30"/>
        <v>62.6</v>
      </c>
    </row>
    <row r="1939" spans="1:14">
      <c r="A1939">
        <v>20209918</v>
      </c>
      <c r="B1939" t="s">
        <v>19</v>
      </c>
      <c r="C1939" t="str">
        <f>VLOOKUP(B1939,专业代码!$B$2:$C$8,2,FALSE)</f>
        <v>市场营销</v>
      </c>
      <c r="D1939">
        <v>7.6</v>
      </c>
      <c r="E1939">
        <v>6.6</v>
      </c>
      <c r="F1939">
        <v>7.5</v>
      </c>
      <c r="G1939">
        <v>5.9</v>
      </c>
      <c r="H1939">
        <v>7.7</v>
      </c>
      <c r="I1939">
        <v>6.7</v>
      </c>
      <c r="J1939">
        <v>6.5</v>
      </c>
      <c r="K1939">
        <v>5.7</v>
      </c>
      <c r="L1939">
        <v>6.9</v>
      </c>
      <c r="M1939">
        <v>5.9</v>
      </c>
      <c r="N1939">
        <f t="shared" si="30"/>
        <v>67</v>
      </c>
    </row>
    <row r="1940" spans="1:14">
      <c r="A1940">
        <v>20202073</v>
      </c>
      <c r="B1940" t="s">
        <v>19</v>
      </c>
      <c r="C1940" t="str">
        <f>VLOOKUP(B1940,专业代码!$B$2:$C$8,2,FALSE)</f>
        <v>市场营销</v>
      </c>
      <c r="D1940">
        <v>8.3</v>
      </c>
      <c r="E1940">
        <v>7.9</v>
      </c>
      <c r="F1940">
        <v>7.2</v>
      </c>
      <c r="G1940">
        <v>7.1</v>
      </c>
      <c r="H1940">
        <v>7.3</v>
      </c>
      <c r="I1940">
        <v>6.3</v>
      </c>
      <c r="J1940">
        <v>5.9</v>
      </c>
      <c r="K1940">
        <v>7.6</v>
      </c>
      <c r="L1940">
        <v>6.7</v>
      </c>
      <c r="M1940">
        <v>7.3</v>
      </c>
      <c r="N1940">
        <f t="shared" si="30"/>
        <v>71.6</v>
      </c>
    </row>
    <row r="1941" spans="1:14">
      <c r="A1941">
        <v>20203095</v>
      </c>
      <c r="B1941" t="s">
        <v>19</v>
      </c>
      <c r="C1941" t="str">
        <f>VLOOKUP(B1941,专业代码!$B$2:$C$8,2,FALSE)</f>
        <v>市场营销</v>
      </c>
      <c r="D1941">
        <v>8.9</v>
      </c>
      <c r="E1941">
        <v>7</v>
      </c>
      <c r="F1941">
        <v>6.7</v>
      </c>
      <c r="G1941">
        <v>8.2</v>
      </c>
      <c r="H1941">
        <v>7.2</v>
      </c>
      <c r="I1941">
        <v>7.1</v>
      </c>
      <c r="J1941">
        <v>6.1</v>
      </c>
      <c r="K1941">
        <v>7.4</v>
      </c>
      <c r="L1941">
        <v>6</v>
      </c>
      <c r="M1941">
        <v>5.8</v>
      </c>
      <c r="N1941">
        <f t="shared" si="30"/>
        <v>70.4</v>
      </c>
    </row>
    <row r="1942" spans="1:14">
      <c r="A1942">
        <v>20204668</v>
      </c>
      <c r="B1942" t="s">
        <v>19</v>
      </c>
      <c r="C1942" t="str">
        <f>VLOOKUP(B1942,专业代码!$B$2:$C$8,2,FALSE)</f>
        <v>市场营销</v>
      </c>
      <c r="D1942">
        <v>7.5</v>
      </c>
      <c r="E1942">
        <v>8.1</v>
      </c>
      <c r="F1942">
        <v>7.8</v>
      </c>
      <c r="G1942">
        <v>6.9</v>
      </c>
      <c r="H1942">
        <v>6.4</v>
      </c>
      <c r="I1942">
        <v>7.1</v>
      </c>
      <c r="J1942">
        <v>7.4</v>
      </c>
      <c r="K1942">
        <v>6.8</v>
      </c>
      <c r="L1942">
        <v>4.1</v>
      </c>
      <c r="M1942">
        <v>7.2</v>
      </c>
      <c r="N1942">
        <f t="shared" si="30"/>
        <v>69.3</v>
      </c>
    </row>
    <row r="1943" spans="1:14">
      <c r="A1943">
        <v>20205961</v>
      </c>
      <c r="B1943" t="s">
        <v>19</v>
      </c>
      <c r="C1943" t="str">
        <f>VLOOKUP(B1943,专业代码!$B$2:$C$8,2,FALSE)</f>
        <v>市场营销</v>
      </c>
      <c r="D1943">
        <v>8.5</v>
      </c>
      <c r="E1943">
        <v>7.5</v>
      </c>
      <c r="F1943">
        <v>7.2</v>
      </c>
      <c r="G1943">
        <v>7.7</v>
      </c>
      <c r="H1943">
        <v>7.4</v>
      </c>
      <c r="I1943">
        <v>7.3</v>
      </c>
      <c r="J1943">
        <v>6.6</v>
      </c>
      <c r="K1943">
        <v>6.9</v>
      </c>
      <c r="L1943">
        <v>6</v>
      </c>
      <c r="M1943">
        <v>5.2</v>
      </c>
      <c r="N1943">
        <f t="shared" si="30"/>
        <v>70.3</v>
      </c>
    </row>
    <row r="1944" spans="1:14">
      <c r="A1944">
        <v>20208301</v>
      </c>
      <c r="B1944" t="s">
        <v>19</v>
      </c>
      <c r="C1944" t="str">
        <f>VLOOKUP(B1944,专业代码!$B$2:$C$8,2,FALSE)</f>
        <v>市场营销</v>
      </c>
      <c r="D1944">
        <v>8.5</v>
      </c>
      <c r="E1944">
        <v>8.1</v>
      </c>
      <c r="F1944">
        <v>7.5</v>
      </c>
      <c r="G1944">
        <v>8.7</v>
      </c>
      <c r="H1944">
        <v>8.4</v>
      </c>
      <c r="I1944">
        <v>6.7</v>
      </c>
      <c r="J1944">
        <v>7.2</v>
      </c>
      <c r="K1944">
        <v>6.6</v>
      </c>
      <c r="L1944">
        <v>8.5</v>
      </c>
      <c r="M1944">
        <v>6.3</v>
      </c>
      <c r="N1944">
        <f t="shared" si="30"/>
        <v>76.5</v>
      </c>
    </row>
    <row r="1945" spans="1:14">
      <c r="A1945">
        <v>20208330</v>
      </c>
      <c r="B1945" t="s">
        <v>19</v>
      </c>
      <c r="C1945" t="str">
        <f>VLOOKUP(B1945,专业代码!$B$2:$C$8,2,FALSE)</f>
        <v>市场营销</v>
      </c>
      <c r="D1945">
        <v>7.9</v>
      </c>
      <c r="E1945">
        <v>8.5</v>
      </c>
      <c r="F1945">
        <v>7.2</v>
      </c>
      <c r="G1945">
        <v>7.7</v>
      </c>
      <c r="H1945">
        <v>7.3</v>
      </c>
      <c r="I1945">
        <v>7.5</v>
      </c>
      <c r="J1945">
        <v>7.2</v>
      </c>
      <c r="K1945">
        <v>4.4</v>
      </c>
      <c r="L1945">
        <v>6.1</v>
      </c>
      <c r="M1945">
        <v>3.6</v>
      </c>
      <c r="N1945">
        <f t="shared" si="30"/>
        <v>67.4</v>
      </c>
    </row>
    <row r="1946" spans="1:14">
      <c r="A1946">
        <v>20208338</v>
      </c>
      <c r="B1946" t="s">
        <v>19</v>
      </c>
      <c r="C1946" t="str">
        <f>VLOOKUP(B1946,专业代码!$B$2:$C$8,2,FALSE)</f>
        <v>市场营销</v>
      </c>
      <c r="D1946">
        <v>8.2</v>
      </c>
      <c r="E1946">
        <v>7.7</v>
      </c>
      <c r="F1946">
        <v>7.6</v>
      </c>
      <c r="G1946">
        <v>7.5</v>
      </c>
      <c r="H1946">
        <v>5.8</v>
      </c>
      <c r="I1946">
        <v>7.8</v>
      </c>
      <c r="J1946">
        <v>7.9</v>
      </c>
      <c r="K1946">
        <v>7.5</v>
      </c>
      <c r="L1946">
        <v>6.6</v>
      </c>
      <c r="M1946">
        <v>4.2</v>
      </c>
      <c r="N1946">
        <f t="shared" si="30"/>
        <v>70.8</v>
      </c>
    </row>
    <row r="1947" spans="1:14">
      <c r="A1947">
        <v>20209809</v>
      </c>
      <c r="B1947" t="s">
        <v>19</v>
      </c>
      <c r="C1947" t="str">
        <f>VLOOKUP(B1947,专业代码!$B$2:$C$8,2,FALSE)</f>
        <v>市场营销</v>
      </c>
      <c r="D1947">
        <v>7.8</v>
      </c>
      <c r="E1947">
        <v>7.6</v>
      </c>
      <c r="F1947">
        <v>8.2</v>
      </c>
      <c r="G1947">
        <v>7.7</v>
      </c>
      <c r="H1947">
        <v>8.2</v>
      </c>
      <c r="I1947">
        <v>7</v>
      </c>
      <c r="J1947">
        <v>4.9</v>
      </c>
      <c r="K1947">
        <v>7.9</v>
      </c>
      <c r="L1947">
        <v>6.8</v>
      </c>
      <c r="M1947">
        <v>4.6</v>
      </c>
      <c r="N1947">
        <f t="shared" si="30"/>
        <v>70.7</v>
      </c>
    </row>
    <row r="1948" spans="1:14">
      <c r="A1948">
        <v>20202059</v>
      </c>
      <c r="B1948" t="s">
        <v>19</v>
      </c>
      <c r="C1948" t="str">
        <f>VLOOKUP(B1948,专业代码!$B$2:$C$8,2,FALSE)</f>
        <v>市场营销</v>
      </c>
      <c r="D1948">
        <v>5.8</v>
      </c>
      <c r="E1948">
        <v>6.7</v>
      </c>
      <c r="F1948">
        <v>6.5</v>
      </c>
      <c r="G1948">
        <v>6.5</v>
      </c>
      <c r="H1948">
        <v>6.8</v>
      </c>
      <c r="I1948">
        <v>6.4</v>
      </c>
      <c r="J1948">
        <v>5.6</v>
      </c>
      <c r="K1948">
        <v>5.1</v>
      </c>
      <c r="L1948">
        <v>4.8</v>
      </c>
      <c r="M1948">
        <v>4.6</v>
      </c>
      <c r="N1948">
        <f t="shared" si="30"/>
        <v>58.8</v>
      </c>
    </row>
    <row r="1949" spans="1:14">
      <c r="A1949">
        <v>20203568</v>
      </c>
      <c r="B1949" t="s">
        <v>19</v>
      </c>
      <c r="C1949" t="str">
        <f>VLOOKUP(B1949,专业代码!$B$2:$C$8,2,FALSE)</f>
        <v>市场营销</v>
      </c>
      <c r="D1949">
        <v>6.5</v>
      </c>
      <c r="E1949">
        <v>7.2</v>
      </c>
      <c r="F1949">
        <v>6.9</v>
      </c>
      <c r="G1949">
        <v>6.2</v>
      </c>
      <c r="H1949">
        <v>6.6</v>
      </c>
      <c r="I1949">
        <v>6.7</v>
      </c>
      <c r="J1949">
        <v>4</v>
      </c>
      <c r="K1949">
        <v>5.8</v>
      </c>
      <c r="L1949">
        <v>6.5</v>
      </c>
      <c r="M1949">
        <v>7.1</v>
      </c>
      <c r="N1949">
        <f t="shared" si="30"/>
        <v>63.5</v>
      </c>
    </row>
    <row r="1950" spans="1:14">
      <c r="A1950">
        <v>20204150</v>
      </c>
      <c r="B1950" t="s">
        <v>19</v>
      </c>
      <c r="C1950" t="str">
        <f>VLOOKUP(B1950,专业代码!$B$2:$C$8,2,FALSE)</f>
        <v>市场营销</v>
      </c>
      <c r="D1950">
        <v>6.1</v>
      </c>
      <c r="E1950">
        <v>6.7</v>
      </c>
      <c r="F1950">
        <v>7.2</v>
      </c>
      <c r="G1950">
        <v>7.6</v>
      </c>
      <c r="H1950">
        <v>5.2</v>
      </c>
      <c r="I1950">
        <v>6.1</v>
      </c>
      <c r="J1950">
        <v>5.7</v>
      </c>
      <c r="K1950">
        <v>5.8</v>
      </c>
      <c r="L1950">
        <v>6.7</v>
      </c>
      <c r="M1950">
        <v>4.7</v>
      </c>
      <c r="N1950">
        <f t="shared" si="30"/>
        <v>61.8</v>
      </c>
    </row>
    <row r="1951" spans="1:14">
      <c r="A1951">
        <v>20206986</v>
      </c>
      <c r="B1951" t="s">
        <v>19</v>
      </c>
      <c r="C1951" t="str">
        <f>VLOOKUP(B1951,专业代码!$B$2:$C$8,2,FALSE)</f>
        <v>市场营销</v>
      </c>
      <c r="D1951">
        <v>7.7</v>
      </c>
      <c r="E1951">
        <v>6.9</v>
      </c>
      <c r="F1951">
        <v>6</v>
      </c>
      <c r="G1951">
        <v>6.4</v>
      </c>
      <c r="H1951">
        <v>6.9</v>
      </c>
      <c r="I1951">
        <v>5.4</v>
      </c>
      <c r="J1951">
        <v>4.4</v>
      </c>
      <c r="K1951">
        <v>5.6</v>
      </c>
      <c r="L1951">
        <v>5.1</v>
      </c>
      <c r="M1951">
        <v>4.7</v>
      </c>
      <c r="N1951">
        <f t="shared" si="30"/>
        <v>59.1</v>
      </c>
    </row>
    <row r="1952" spans="1:14">
      <c r="A1952">
        <v>20207559</v>
      </c>
      <c r="B1952" t="s">
        <v>19</v>
      </c>
      <c r="C1952" t="str">
        <f>VLOOKUP(B1952,专业代码!$B$2:$C$8,2,FALSE)</f>
        <v>市场营销</v>
      </c>
      <c r="D1952">
        <v>6.9</v>
      </c>
      <c r="E1952">
        <v>7.5</v>
      </c>
      <c r="F1952">
        <v>6.3</v>
      </c>
      <c r="G1952">
        <v>6.5</v>
      </c>
      <c r="H1952">
        <v>5.7</v>
      </c>
      <c r="I1952">
        <v>5.5</v>
      </c>
      <c r="J1952">
        <v>6.6</v>
      </c>
      <c r="K1952">
        <v>5.4</v>
      </c>
      <c r="L1952">
        <v>7.1</v>
      </c>
      <c r="M1952">
        <v>6.8</v>
      </c>
      <c r="N1952">
        <f t="shared" si="30"/>
        <v>64.3</v>
      </c>
    </row>
    <row r="1953" spans="1:14">
      <c r="A1953">
        <v>20209084</v>
      </c>
      <c r="B1953" t="s">
        <v>19</v>
      </c>
      <c r="C1953" t="str">
        <f>VLOOKUP(B1953,专业代码!$B$2:$C$8,2,FALSE)</f>
        <v>市场营销</v>
      </c>
      <c r="D1953">
        <v>7.3</v>
      </c>
      <c r="E1953">
        <v>6.2</v>
      </c>
      <c r="F1953">
        <v>6.9</v>
      </c>
      <c r="G1953">
        <v>6.9</v>
      </c>
      <c r="H1953">
        <v>7.8</v>
      </c>
      <c r="I1953">
        <v>6.6</v>
      </c>
      <c r="J1953">
        <v>5</v>
      </c>
      <c r="K1953">
        <v>6.5</v>
      </c>
      <c r="L1953">
        <v>5</v>
      </c>
      <c r="M1953">
        <v>5</v>
      </c>
      <c r="N1953">
        <f t="shared" si="30"/>
        <v>63.2</v>
      </c>
    </row>
    <row r="1954" spans="1:14">
      <c r="A1954">
        <v>20207123</v>
      </c>
      <c r="B1954" t="s">
        <v>19</v>
      </c>
      <c r="C1954" t="str">
        <f>VLOOKUP(B1954,专业代码!$B$2:$C$8,2,FALSE)</f>
        <v>市场营销</v>
      </c>
      <c r="D1954">
        <v>6.4</v>
      </c>
      <c r="E1954">
        <v>6.8</v>
      </c>
      <c r="F1954">
        <v>6.8</v>
      </c>
      <c r="G1954">
        <v>6.1</v>
      </c>
      <c r="H1954">
        <v>6.5</v>
      </c>
      <c r="I1954">
        <v>6.4</v>
      </c>
      <c r="J1954">
        <v>6.2</v>
      </c>
      <c r="K1954">
        <v>5.6</v>
      </c>
      <c r="L1954">
        <v>5.8</v>
      </c>
      <c r="M1954">
        <v>3.1</v>
      </c>
      <c r="N1954">
        <f t="shared" si="30"/>
        <v>59.7</v>
      </c>
    </row>
    <row r="1955" spans="1:14">
      <c r="A1955">
        <v>20209022</v>
      </c>
      <c r="B1955" t="s">
        <v>19</v>
      </c>
      <c r="C1955" t="str">
        <f>VLOOKUP(B1955,专业代码!$B$2:$C$8,2,FALSE)</f>
        <v>市场营销</v>
      </c>
      <c r="D1955">
        <v>6.9</v>
      </c>
      <c r="E1955">
        <v>6.8</v>
      </c>
      <c r="F1955">
        <v>7.2</v>
      </c>
      <c r="G1955">
        <v>6</v>
      </c>
      <c r="H1955">
        <v>5.5</v>
      </c>
      <c r="I1955">
        <v>4.9</v>
      </c>
      <c r="J1955">
        <v>7.9</v>
      </c>
      <c r="K1955">
        <v>4.9</v>
      </c>
      <c r="L1955">
        <v>6.1</v>
      </c>
      <c r="M1955">
        <v>5.5</v>
      </c>
      <c r="N1955">
        <f t="shared" si="30"/>
        <v>61.7</v>
      </c>
    </row>
    <row r="1956" spans="1:14">
      <c r="A1956">
        <v>20209238</v>
      </c>
      <c r="B1956" t="s">
        <v>19</v>
      </c>
      <c r="C1956" t="str">
        <f>VLOOKUP(B1956,专业代码!$B$2:$C$8,2,FALSE)</f>
        <v>市场营销</v>
      </c>
      <c r="D1956">
        <v>7.2</v>
      </c>
      <c r="E1956">
        <v>6.2</v>
      </c>
      <c r="F1956">
        <v>6.1</v>
      </c>
      <c r="G1956">
        <v>6.4</v>
      </c>
      <c r="H1956">
        <v>6.4</v>
      </c>
      <c r="I1956">
        <v>5.8</v>
      </c>
      <c r="J1956">
        <v>5.8</v>
      </c>
      <c r="K1956">
        <v>5.9</v>
      </c>
      <c r="L1956">
        <v>4</v>
      </c>
      <c r="M1956">
        <v>5.6</v>
      </c>
      <c r="N1956">
        <f t="shared" si="30"/>
        <v>59.4</v>
      </c>
    </row>
    <row r="1957" spans="1:14">
      <c r="A1957">
        <v>20201797</v>
      </c>
      <c r="B1957" t="s">
        <v>19</v>
      </c>
      <c r="C1957" t="str">
        <f>VLOOKUP(B1957,专业代码!$B$2:$C$8,2,FALSE)</f>
        <v>市场营销</v>
      </c>
      <c r="D1957">
        <v>6.5</v>
      </c>
      <c r="E1957">
        <v>6.4</v>
      </c>
      <c r="F1957">
        <v>6.6</v>
      </c>
      <c r="G1957">
        <v>6.5</v>
      </c>
      <c r="H1957">
        <v>6.4</v>
      </c>
      <c r="I1957">
        <v>6.4</v>
      </c>
      <c r="J1957">
        <v>6.4</v>
      </c>
      <c r="K1957">
        <v>5.9</v>
      </c>
      <c r="L1957">
        <v>5.2</v>
      </c>
      <c r="M1957">
        <v>4.8</v>
      </c>
      <c r="N1957">
        <f t="shared" si="30"/>
        <v>61.1</v>
      </c>
    </row>
    <row r="1958" spans="1:14">
      <c r="A1958">
        <v>20202262</v>
      </c>
      <c r="B1958" t="s">
        <v>19</v>
      </c>
      <c r="C1958" t="str">
        <f>VLOOKUP(B1958,专业代码!$B$2:$C$8,2,FALSE)</f>
        <v>市场营销</v>
      </c>
      <c r="D1958">
        <v>6.9</v>
      </c>
      <c r="E1958">
        <v>7.6</v>
      </c>
      <c r="F1958">
        <v>6.4</v>
      </c>
      <c r="G1958">
        <v>6.5</v>
      </c>
      <c r="H1958">
        <v>4.4</v>
      </c>
      <c r="I1958">
        <v>5.8</v>
      </c>
      <c r="J1958">
        <v>5</v>
      </c>
      <c r="K1958">
        <v>6.1</v>
      </c>
      <c r="L1958">
        <v>6.9</v>
      </c>
      <c r="M1958">
        <v>5.9</v>
      </c>
      <c r="N1958">
        <f t="shared" si="30"/>
        <v>61.5</v>
      </c>
    </row>
    <row r="1959" spans="1:14">
      <c r="A1959">
        <v>20203676</v>
      </c>
      <c r="B1959" t="s">
        <v>19</v>
      </c>
      <c r="C1959" t="str">
        <f>VLOOKUP(B1959,专业代码!$B$2:$C$8,2,FALSE)</f>
        <v>市场营销</v>
      </c>
      <c r="D1959">
        <v>7.5</v>
      </c>
      <c r="E1959">
        <v>7</v>
      </c>
      <c r="F1959">
        <v>6.3</v>
      </c>
      <c r="G1959">
        <v>7.2</v>
      </c>
      <c r="H1959">
        <v>6.8</v>
      </c>
      <c r="I1959">
        <v>4.7</v>
      </c>
      <c r="J1959">
        <v>6</v>
      </c>
      <c r="K1959">
        <v>6</v>
      </c>
      <c r="L1959">
        <v>3.9</v>
      </c>
      <c r="M1959">
        <v>3.9</v>
      </c>
      <c r="N1959">
        <f t="shared" si="30"/>
        <v>59.3</v>
      </c>
    </row>
    <row r="1960" spans="1:14">
      <c r="A1960">
        <v>20204004</v>
      </c>
      <c r="B1960" t="s">
        <v>19</v>
      </c>
      <c r="C1960" t="str">
        <f>VLOOKUP(B1960,专业代码!$B$2:$C$8,2,FALSE)</f>
        <v>市场营销</v>
      </c>
      <c r="D1960">
        <v>7.4</v>
      </c>
      <c r="E1960">
        <v>6.8</v>
      </c>
      <c r="F1960">
        <v>5.7</v>
      </c>
      <c r="G1960">
        <v>5.8</v>
      </c>
      <c r="H1960">
        <v>6.7</v>
      </c>
      <c r="I1960">
        <v>5.8</v>
      </c>
      <c r="J1960">
        <v>6.4</v>
      </c>
      <c r="K1960">
        <v>6.3</v>
      </c>
      <c r="L1960">
        <v>5.6</v>
      </c>
      <c r="M1960">
        <v>5</v>
      </c>
      <c r="N1960">
        <f t="shared" si="30"/>
        <v>61.5</v>
      </c>
    </row>
    <row r="1961" spans="1:14">
      <c r="A1961">
        <v>20203299</v>
      </c>
      <c r="B1961" t="s">
        <v>19</v>
      </c>
      <c r="C1961" t="str">
        <f>VLOOKUP(B1961,专业代码!$B$2:$C$8,2,FALSE)</f>
        <v>市场营销</v>
      </c>
      <c r="D1961">
        <v>6.1</v>
      </c>
      <c r="E1961">
        <v>6.7</v>
      </c>
      <c r="F1961">
        <v>7.5</v>
      </c>
      <c r="G1961">
        <v>6.1</v>
      </c>
      <c r="H1961">
        <v>6.2</v>
      </c>
      <c r="I1961">
        <v>6.2</v>
      </c>
      <c r="J1961">
        <v>4.6</v>
      </c>
      <c r="K1961">
        <v>4.7</v>
      </c>
      <c r="L1961">
        <v>5.6</v>
      </c>
      <c r="M1961">
        <v>3.9</v>
      </c>
      <c r="N1961">
        <f t="shared" si="30"/>
        <v>57.6</v>
      </c>
    </row>
    <row r="1962" spans="1:14">
      <c r="A1962">
        <v>20204269</v>
      </c>
      <c r="B1962" t="s">
        <v>19</v>
      </c>
      <c r="C1962" t="str">
        <f>VLOOKUP(B1962,专业代码!$B$2:$C$8,2,FALSE)</f>
        <v>市场营销</v>
      </c>
      <c r="D1962">
        <v>6.4</v>
      </c>
      <c r="E1962">
        <v>6.8</v>
      </c>
      <c r="F1962">
        <v>6.4</v>
      </c>
      <c r="G1962">
        <v>7.5</v>
      </c>
      <c r="H1962">
        <v>6.4</v>
      </c>
      <c r="I1962">
        <v>4.8</v>
      </c>
      <c r="J1962">
        <v>6.2</v>
      </c>
      <c r="K1962">
        <v>5.7</v>
      </c>
      <c r="L1962">
        <v>4.6</v>
      </c>
      <c r="M1962">
        <v>5.3</v>
      </c>
      <c r="N1962">
        <f t="shared" si="30"/>
        <v>60.1</v>
      </c>
    </row>
    <row r="1963" spans="1:14">
      <c r="A1963">
        <v>20206900</v>
      </c>
      <c r="B1963" t="s">
        <v>19</v>
      </c>
      <c r="C1963" t="str">
        <f>VLOOKUP(B1963,专业代码!$B$2:$C$8,2,FALSE)</f>
        <v>市场营销</v>
      </c>
      <c r="D1963">
        <v>6.3</v>
      </c>
      <c r="E1963">
        <v>7.6</v>
      </c>
      <c r="F1963">
        <v>6.8</v>
      </c>
      <c r="G1963">
        <v>6.8</v>
      </c>
      <c r="H1963">
        <v>6.1</v>
      </c>
      <c r="I1963">
        <v>6.4</v>
      </c>
      <c r="J1963">
        <v>5.3</v>
      </c>
      <c r="K1963">
        <v>5.7</v>
      </c>
      <c r="L1963">
        <v>5.5</v>
      </c>
      <c r="M1963">
        <v>3.3</v>
      </c>
      <c r="N1963">
        <f t="shared" si="30"/>
        <v>59.8</v>
      </c>
    </row>
    <row r="1964" spans="1:14">
      <c r="A1964">
        <v>20207412</v>
      </c>
      <c r="B1964" t="s">
        <v>19</v>
      </c>
      <c r="C1964" t="str">
        <f>VLOOKUP(B1964,专业代码!$B$2:$C$8,2,FALSE)</f>
        <v>市场营销</v>
      </c>
      <c r="D1964">
        <v>7.5</v>
      </c>
      <c r="E1964">
        <v>6</v>
      </c>
      <c r="F1964">
        <v>6.7</v>
      </c>
      <c r="G1964">
        <v>6.5</v>
      </c>
      <c r="H1964">
        <v>7.3</v>
      </c>
      <c r="I1964">
        <v>7.2</v>
      </c>
      <c r="J1964">
        <v>5.5</v>
      </c>
      <c r="K1964">
        <v>5.7</v>
      </c>
      <c r="L1964">
        <v>4.4</v>
      </c>
      <c r="M1964">
        <v>5.3</v>
      </c>
      <c r="N1964">
        <f t="shared" si="30"/>
        <v>62.1</v>
      </c>
    </row>
    <row r="1965" spans="1:14">
      <c r="A1965">
        <v>20203238</v>
      </c>
      <c r="B1965" t="s">
        <v>19</v>
      </c>
      <c r="C1965" t="str">
        <f>VLOOKUP(B1965,专业代码!$B$2:$C$8,2,FALSE)</f>
        <v>市场营销</v>
      </c>
      <c r="D1965">
        <v>6.7</v>
      </c>
      <c r="E1965">
        <v>6.2</v>
      </c>
      <c r="F1965">
        <v>6.2</v>
      </c>
      <c r="G1965">
        <v>6.1</v>
      </c>
      <c r="H1965">
        <v>6</v>
      </c>
      <c r="I1965">
        <v>4.8</v>
      </c>
      <c r="J1965">
        <v>5.8</v>
      </c>
      <c r="K1965">
        <v>4.6</v>
      </c>
      <c r="L1965">
        <v>5.8</v>
      </c>
      <c r="M1965">
        <v>4.4</v>
      </c>
      <c r="N1965">
        <f t="shared" si="30"/>
        <v>56.6</v>
      </c>
    </row>
    <row r="1966" spans="1:14">
      <c r="A1966">
        <v>20204303</v>
      </c>
      <c r="B1966" t="s">
        <v>19</v>
      </c>
      <c r="C1966" t="str">
        <f>VLOOKUP(B1966,专业代码!$B$2:$C$8,2,FALSE)</f>
        <v>市场营销</v>
      </c>
      <c r="D1966">
        <v>6.9</v>
      </c>
      <c r="E1966">
        <v>6.7</v>
      </c>
      <c r="F1966">
        <v>7.2</v>
      </c>
      <c r="G1966">
        <v>6.3</v>
      </c>
      <c r="H1966">
        <v>6.4</v>
      </c>
      <c r="I1966">
        <v>6.5</v>
      </c>
      <c r="J1966">
        <v>5.9</v>
      </c>
      <c r="K1966">
        <v>4.3</v>
      </c>
      <c r="L1966">
        <v>3.7</v>
      </c>
      <c r="M1966">
        <v>4.6</v>
      </c>
      <c r="N1966">
        <f t="shared" si="30"/>
        <v>58.5</v>
      </c>
    </row>
    <row r="1967" spans="1:14">
      <c r="A1967">
        <v>20206369</v>
      </c>
      <c r="B1967" t="s">
        <v>19</v>
      </c>
      <c r="C1967" t="str">
        <f>VLOOKUP(B1967,专业代码!$B$2:$C$8,2,FALSE)</f>
        <v>市场营销</v>
      </c>
      <c r="D1967">
        <v>7.3</v>
      </c>
      <c r="E1967">
        <v>7</v>
      </c>
      <c r="F1967">
        <v>6.1</v>
      </c>
      <c r="G1967">
        <v>5.8</v>
      </c>
      <c r="H1967">
        <v>5.6</v>
      </c>
      <c r="I1967">
        <v>7</v>
      </c>
      <c r="J1967">
        <v>6.3</v>
      </c>
      <c r="K1967">
        <v>5.7</v>
      </c>
      <c r="L1967">
        <v>4.8</v>
      </c>
      <c r="M1967">
        <v>4.7</v>
      </c>
      <c r="N1967">
        <f t="shared" si="30"/>
        <v>60.3</v>
      </c>
    </row>
    <row r="1968" spans="1:14">
      <c r="A1968">
        <v>20207163</v>
      </c>
      <c r="B1968" t="s">
        <v>19</v>
      </c>
      <c r="C1968" t="str">
        <f>VLOOKUP(B1968,专业代码!$B$2:$C$8,2,FALSE)</f>
        <v>市场营销</v>
      </c>
      <c r="D1968">
        <v>7.3</v>
      </c>
      <c r="E1968">
        <v>7.5</v>
      </c>
      <c r="F1968">
        <v>6.8</v>
      </c>
      <c r="G1968">
        <v>6.7</v>
      </c>
      <c r="H1968">
        <v>6.4</v>
      </c>
      <c r="I1968">
        <v>5.6</v>
      </c>
      <c r="J1968">
        <v>7.4</v>
      </c>
      <c r="K1968">
        <v>5.2</v>
      </c>
      <c r="L1968">
        <v>6.3</v>
      </c>
      <c r="M1968">
        <v>4.8</v>
      </c>
      <c r="N1968">
        <f t="shared" si="30"/>
        <v>64</v>
      </c>
    </row>
    <row r="1969" spans="1:14">
      <c r="A1969">
        <v>20207406</v>
      </c>
      <c r="B1969" t="s">
        <v>19</v>
      </c>
      <c r="C1969" t="str">
        <f>VLOOKUP(B1969,专业代码!$B$2:$C$8,2,FALSE)</f>
        <v>市场营销</v>
      </c>
      <c r="D1969">
        <v>6.6</v>
      </c>
      <c r="E1969">
        <v>8</v>
      </c>
      <c r="F1969">
        <v>6.9</v>
      </c>
      <c r="G1969">
        <v>7</v>
      </c>
      <c r="H1969">
        <v>6.3</v>
      </c>
      <c r="I1969">
        <v>6.6</v>
      </c>
      <c r="J1969">
        <v>6.2</v>
      </c>
      <c r="K1969">
        <v>5.7</v>
      </c>
      <c r="L1969">
        <v>6.1</v>
      </c>
      <c r="M1969">
        <v>4.4</v>
      </c>
      <c r="N1969">
        <f t="shared" si="30"/>
        <v>63.8</v>
      </c>
    </row>
    <row r="1970" spans="1:14">
      <c r="A1970">
        <v>20208366</v>
      </c>
      <c r="B1970" t="s">
        <v>19</v>
      </c>
      <c r="C1970" t="str">
        <f>VLOOKUP(B1970,专业代码!$B$2:$C$8,2,FALSE)</f>
        <v>市场营销</v>
      </c>
      <c r="D1970">
        <v>6.8</v>
      </c>
      <c r="E1970">
        <v>6.9</v>
      </c>
      <c r="F1970">
        <v>6.1</v>
      </c>
      <c r="G1970">
        <v>6.4</v>
      </c>
      <c r="H1970">
        <v>5.6</v>
      </c>
      <c r="I1970">
        <v>5.4</v>
      </c>
      <c r="J1970">
        <v>6.4</v>
      </c>
      <c r="K1970">
        <v>5.3</v>
      </c>
      <c r="L1970">
        <v>5.1</v>
      </c>
      <c r="M1970">
        <v>4.7</v>
      </c>
      <c r="N1970">
        <f t="shared" si="30"/>
        <v>58.7</v>
      </c>
    </row>
    <row r="1971" spans="1:14">
      <c r="A1971">
        <v>20203154</v>
      </c>
      <c r="B1971" t="s">
        <v>19</v>
      </c>
      <c r="C1971" t="str">
        <f>VLOOKUP(B1971,专业代码!$B$2:$C$8,2,FALSE)</f>
        <v>市场营销</v>
      </c>
      <c r="D1971">
        <v>6.4</v>
      </c>
      <c r="E1971">
        <v>6.5</v>
      </c>
      <c r="F1971">
        <v>7</v>
      </c>
      <c r="G1971">
        <v>6.7</v>
      </c>
      <c r="H1971">
        <v>6.2</v>
      </c>
      <c r="I1971">
        <v>6.1</v>
      </c>
      <c r="J1971">
        <v>5.6</v>
      </c>
      <c r="K1971">
        <v>6.4</v>
      </c>
      <c r="L1971">
        <v>6.7</v>
      </c>
      <c r="M1971">
        <v>6.2</v>
      </c>
      <c r="N1971">
        <f t="shared" si="30"/>
        <v>63.8</v>
      </c>
    </row>
    <row r="1972" spans="1:14">
      <c r="A1972">
        <v>20204307</v>
      </c>
      <c r="B1972" t="s">
        <v>19</v>
      </c>
      <c r="C1972" t="str">
        <f>VLOOKUP(B1972,专业代码!$B$2:$C$8,2,FALSE)</f>
        <v>市场营销</v>
      </c>
      <c r="D1972">
        <v>7.2</v>
      </c>
      <c r="E1972">
        <v>7.1</v>
      </c>
      <c r="F1972">
        <v>5.8</v>
      </c>
      <c r="G1972">
        <v>6.2</v>
      </c>
      <c r="H1972">
        <v>6</v>
      </c>
      <c r="I1972">
        <v>5.3</v>
      </c>
      <c r="J1972">
        <v>5.5</v>
      </c>
      <c r="K1972">
        <v>6.2</v>
      </c>
      <c r="L1972">
        <v>5.1</v>
      </c>
      <c r="M1972">
        <v>5.6</v>
      </c>
      <c r="N1972">
        <f t="shared" si="30"/>
        <v>60</v>
      </c>
    </row>
    <row r="1973" spans="1:14">
      <c r="A1973">
        <v>20206603</v>
      </c>
      <c r="B1973" t="s">
        <v>19</v>
      </c>
      <c r="C1973" t="str">
        <f>VLOOKUP(B1973,专业代码!$B$2:$C$8,2,FALSE)</f>
        <v>市场营销</v>
      </c>
      <c r="D1973">
        <v>7</v>
      </c>
      <c r="E1973">
        <v>6.4</v>
      </c>
      <c r="F1973">
        <v>7.1</v>
      </c>
      <c r="G1973">
        <v>6.5</v>
      </c>
      <c r="H1973">
        <v>6.2</v>
      </c>
      <c r="I1973">
        <v>6.3</v>
      </c>
      <c r="J1973">
        <v>5.8</v>
      </c>
      <c r="K1973">
        <v>6.8</v>
      </c>
      <c r="L1973">
        <v>6.1</v>
      </c>
      <c r="M1973">
        <v>3.9</v>
      </c>
      <c r="N1973">
        <f t="shared" si="30"/>
        <v>62.1</v>
      </c>
    </row>
    <row r="1974" spans="1:14">
      <c r="A1974">
        <v>20209960</v>
      </c>
      <c r="B1974" t="s">
        <v>19</v>
      </c>
      <c r="C1974" t="str">
        <f>VLOOKUP(B1974,专业代码!$B$2:$C$8,2,FALSE)</f>
        <v>市场营销</v>
      </c>
      <c r="D1974">
        <v>6.8</v>
      </c>
      <c r="E1974">
        <v>6.9</v>
      </c>
      <c r="F1974">
        <v>7.8</v>
      </c>
      <c r="G1974">
        <v>6.4</v>
      </c>
      <c r="H1974">
        <v>5.8</v>
      </c>
      <c r="I1974">
        <v>7.4</v>
      </c>
      <c r="J1974">
        <v>5.9</v>
      </c>
      <c r="K1974">
        <v>4.9</v>
      </c>
      <c r="L1974">
        <v>4.1</v>
      </c>
      <c r="M1974">
        <v>4.2</v>
      </c>
      <c r="N1974">
        <f t="shared" si="30"/>
        <v>60.2</v>
      </c>
    </row>
    <row r="1975" spans="1:14">
      <c r="A1975">
        <v>20201805</v>
      </c>
      <c r="B1975" t="s">
        <v>19</v>
      </c>
      <c r="C1975" t="str">
        <f>VLOOKUP(B1975,专业代码!$B$2:$C$8,2,FALSE)</f>
        <v>市场营销</v>
      </c>
      <c r="D1975">
        <v>7.3</v>
      </c>
      <c r="E1975">
        <v>7.4</v>
      </c>
      <c r="F1975">
        <v>6.6</v>
      </c>
      <c r="G1975">
        <v>6.4</v>
      </c>
      <c r="H1975">
        <v>7.2</v>
      </c>
      <c r="I1975">
        <v>6.1</v>
      </c>
      <c r="J1975">
        <v>5.8</v>
      </c>
      <c r="K1975">
        <v>6</v>
      </c>
      <c r="L1975">
        <v>7.6</v>
      </c>
      <c r="M1975">
        <v>5.3</v>
      </c>
      <c r="N1975">
        <f t="shared" si="30"/>
        <v>65.7</v>
      </c>
    </row>
    <row r="1976" spans="1:14">
      <c r="A1976">
        <v>20205727</v>
      </c>
      <c r="B1976" t="s">
        <v>19</v>
      </c>
      <c r="C1976" t="str">
        <f>VLOOKUP(B1976,专业代码!$B$2:$C$8,2,FALSE)</f>
        <v>市场营销</v>
      </c>
      <c r="D1976">
        <v>6.6</v>
      </c>
      <c r="E1976">
        <v>6.3</v>
      </c>
      <c r="F1976">
        <v>6.8</v>
      </c>
      <c r="G1976">
        <v>6.9</v>
      </c>
      <c r="H1976">
        <v>6.2</v>
      </c>
      <c r="I1976">
        <v>7</v>
      </c>
      <c r="J1976">
        <v>7</v>
      </c>
      <c r="K1976">
        <v>5.5</v>
      </c>
      <c r="L1976">
        <v>4.9</v>
      </c>
      <c r="M1976">
        <v>3</v>
      </c>
      <c r="N1976">
        <f t="shared" si="30"/>
        <v>60.2</v>
      </c>
    </row>
    <row r="1977" spans="1:14">
      <c r="A1977">
        <v>20205838</v>
      </c>
      <c r="B1977" t="s">
        <v>19</v>
      </c>
      <c r="C1977" t="str">
        <f>VLOOKUP(B1977,专业代码!$B$2:$C$8,2,FALSE)</f>
        <v>市场营销</v>
      </c>
      <c r="D1977">
        <v>6.8</v>
      </c>
      <c r="E1977">
        <v>6.8</v>
      </c>
      <c r="F1977">
        <v>6.2</v>
      </c>
      <c r="G1977">
        <v>7</v>
      </c>
      <c r="H1977">
        <v>6.1</v>
      </c>
      <c r="I1977">
        <v>6.3</v>
      </c>
      <c r="J1977">
        <v>6.6</v>
      </c>
      <c r="K1977">
        <v>6.1</v>
      </c>
      <c r="L1977">
        <v>7.7</v>
      </c>
      <c r="M1977">
        <v>6.5</v>
      </c>
      <c r="N1977">
        <f t="shared" si="30"/>
        <v>66.1</v>
      </c>
    </row>
    <row r="1978" spans="1:14">
      <c r="A1978">
        <v>20206643</v>
      </c>
      <c r="B1978" t="s">
        <v>19</v>
      </c>
      <c r="C1978" t="str">
        <f>VLOOKUP(B1978,专业代码!$B$2:$C$8,2,FALSE)</f>
        <v>市场营销</v>
      </c>
      <c r="D1978">
        <v>6.6</v>
      </c>
      <c r="E1978">
        <v>6.8</v>
      </c>
      <c r="F1978">
        <v>6.6</v>
      </c>
      <c r="G1978">
        <v>6.9</v>
      </c>
      <c r="H1978">
        <v>6.8</v>
      </c>
      <c r="I1978">
        <v>6.1</v>
      </c>
      <c r="J1978">
        <v>5.2</v>
      </c>
      <c r="K1978">
        <v>5.2</v>
      </c>
      <c r="L1978">
        <v>6.9</v>
      </c>
      <c r="M1978">
        <v>4.9</v>
      </c>
      <c r="N1978">
        <f t="shared" si="30"/>
        <v>62</v>
      </c>
    </row>
    <row r="1979" spans="1:14">
      <c r="A1979">
        <v>20208518</v>
      </c>
      <c r="B1979" t="s">
        <v>19</v>
      </c>
      <c r="C1979" t="str">
        <f>VLOOKUP(B1979,专业代码!$B$2:$C$8,2,FALSE)</f>
        <v>市场营销</v>
      </c>
      <c r="D1979">
        <v>6.7</v>
      </c>
      <c r="E1979">
        <v>6.5</v>
      </c>
      <c r="F1979">
        <v>5.9</v>
      </c>
      <c r="G1979">
        <v>6.3</v>
      </c>
      <c r="H1979">
        <v>6.5</v>
      </c>
      <c r="I1979">
        <v>6</v>
      </c>
      <c r="J1979">
        <v>6</v>
      </c>
      <c r="K1979">
        <v>5.1</v>
      </c>
      <c r="L1979">
        <v>5.5</v>
      </c>
      <c r="M1979">
        <v>5.9</v>
      </c>
      <c r="N1979">
        <f t="shared" si="30"/>
        <v>60.4</v>
      </c>
    </row>
    <row r="1980" spans="1:14">
      <c r="A1980">
        <v>20201579</v>
      </c>
      <c r="B1980" t="s">
        <v>19</v>
      </c>
      <c r="C1980" t="str">
        <f>VLOOKUP(B1980,专业代码!$B$2:$C$8,2,FALSE)</f>
        <v>市场营销</v>
      </c>
      <c r="D1980">
        <v>6.9</v>
      </c>
      <c r="E1980">
        <v>6.3</v>
      </c>
      <c r="F1980">
        <v>7</v>
      </c>
      <c r="G1980">
        <v>6.6</v>
      </c>
      <c r="H1980">
        <v>7.1</v>
      </c>
      <c r="I1980">
        <v>6.1</v>
      </c>
      <c r="J1980">
        <v>5.8</v>
      </c>
      <c r="K1980">
        <v>6.9</v>
      </c>
      <c r="L1980">
        <v>5.8</v>
      </c>
      <c r="M1980">
        <v>4</v>
      </c>
      <c r="N1980">
        <f t="shared" si="30"/>
        <v>62.5</v>
      </c>
    </row>
    <row r="1981" spans="1:14">
      <c r="A1981">
        <v>20202449</v>
      </c>
      <c r="B1981" t="s">
        <v>19</v>
      </c>
      <c r="C1981" t="str">
        <f>VLOOKUP(B1981,专业代码!$B$2:$C$8,2,FALSE)</f>
        <v>市场营销</v>
      </c>
      <c r="D1981">
        <v>6.5</v>
      </c>
      <c r="E1981">
        <v>6</v>
      </c>
      <c r="F1981">
        <v>7.1</v>
      </c>
      <c r="G1981">
        <v>6.5</v>
      </c>
      <c r="H1981">
        <v>6.6</v>
      </c>
      <c r="I1981">
        <v>7.2</v>
      </c>
      <c r="J1981">
        <v>6.3</v>
      </c>
      <c r="K1981">
        <v>5.3</v>
      </c>
      <c r="L1981">
        <v>5.9</v>
      </c>
      <c r="M1981">
        <v>6.6</v>
      </c>
      <c r="N1981">
        <f t="shared" si="30"/>
        <v>64</v>
      </c>
    </row>
    <row r="1982" spans="1:14">
      <c r="A1982">
        <v>20203555</v>
      </c>
      <c r="B1982" t="s">
        <v>19</v>
      </c>
      <c r="C1982" t="str">
        <f>VLOOKUP(B1982,专业代码!$B$2:$C$8,2,FALSE)</f>
        <v>市场营销</v>
      </c>
      <c r="D1982">
        <v>6.5</v>
      </c>
      <c r="E1982">
        <v>7.3</v>
      </c>
      <c r="F1982">
        <v>6.5</v>
      </c>
      <c r="G1982">
        <v>6.2</v>
      </c>
      <c r="H1982">
        <v>6.4</v>
      </c>
      <c r="I1982">
        <v>7.4</v>
      </c>
      <c r="J1982">
        <v>5.7</v>
      </c>
      <c r="K1982">
        <v>5.9</v>
      </c>
      <c r="L1982">
        <v>6.6</v>
      </c>
      <c r="M1982">
        <v>5.8</v>
      </c>
      <c r="N1982">
        <f t="shared" si="30"/>
        <v>64.3</v>
      </c>
    </row>
    <row r="1983" spans="1:14">
      <c r="A1983">
        <v>20204533</v>
      </c>
      <c r="B1983" t="s">
        <v>19</v>
      </c>
      <c r="C1983" t="str">
        <f>VLOOKUP(B1983,专业代码!$B$2:$C$8,2,FALSE)</f>
        <v>市场营销</v>
      </c>
      <c r="D1983">
        <v>8.1</v>
      </c>
      <c r="E1983">
        <v>6.7</v>
      </c>
      <c r="F1983">
        <v>7.7</v>
      </c>
      <c r="G1983">
        <v>6.3</v>
      </c>
      <c r="H1983">
        <v>6.4</v>
      </c>
      <c r="I1983">
        <v>5.7</v>
      </c>
      <c r="J1983">
        <v>5.4</v>
      </c>
      <c r="K1983">
        <v>5.3</v>
      </c>
      <c r="L1983">
        <v>5</v>
      </c>
      <c r="M1983">
        <v>5.2</v>
      </c>
      <c r="N1983">
        <f t="shared" si="30"/>
        <v>61.8</v>
      </c>
    </row>
    <row r="1984" spans="1:14">
      <c r="A1984">
        <v>20205613</v>
      </c>
      <c r="B1984" t="s">
        <v>19</v>
      </c>
      <c r="C1984" t="str">
        <f>VLOOKUP(B1984,专业代码!$B$2:$C$8,2,FALSE)</f>
        <v>市场营销</v>
      </c>
      <c r="D1984">
        <v>7.2</v>
      </c>
      <c r="E1984">
        <v>6.1</v>
      </c>
      <c r="F1984">
        <v>7.4</v>
      </c>
      <c r="G1984">
        <v>5.6</v>
      </c>
      <c r="H1984">
        <v>6.3</v>
      </c>
      <c r="I1984">
        <v>5.4</v>
      </c>
      <c r="J1984">
        <v>6.9</v>
      </c>
      <c r="K1984">
        <v>6.5</v>
      </c>
      <c r="L1984">
        <v>5.7</v>
      </c>
      <c r="M1984">
        <v>4.4</v>
      </c>
      <c r="N1984">
        <f t="shared" si="30"/>
        <v>61.5</v>
      </c>
    </row>
    <row r="1985" spans="1:14">
      <c r="A1985">
        <v>20208227</v>
      </c>
      <c r="B1985" t="s">
        <v>19</v>
      </c>
      <c r="C1985" t="str">
        <f>VLOOKUP(B1985,专业代码!$B$2:$C$8,2,FALSE)</f>
        <v>市场营销</v>
      </c>
      <c r="D1985">
        <v>6.7</v>
      </c>
      <c r="E1985">
        <v>6.5</v>
      </c>
      <c r="F1985">
        <v>7.3</v>
      </c>
      <c r="G1985">
        <v>6.3</v>
      </c>
      <c r="H1985">
        <v>6.6</v>
      </c>
      <c r="I1985">
        <v>4.8</v>
      </c>
      <c r="J1985">
        <v>4.4</v>
      </c>
      <c r="K1985">
        <v>6</v>
      </c>
      <c r="L1985">
        <v>5</v>
      </c>
      <c r="M1985">
        <v>7.5</v>
      </c>
      <c r="N1985">
        <f t="shared" si="30"/>
        <v>61.1</v>
      </c>
    </row>
    <row r="1986" spans="1:14">
      <c r="A1986">
        <v>20201199</v>
      </c>
      <c r="B1986" t="s">
        <v>19</v>
      </c>
      <c r="C1986" t="str">
        <f>VLOOKUP(B1986,专业代码!$B$2:$C$8,2,FALSE)</f>
        <v>市场营销</v>
      </c>
      <c r="D1986">
        <v>6.2</v>
      </c>
      <c r="E1986">
        <v>6.3</v>
      </c>
      <c r="F1986">
        <v>7.8</v>
      </c>
      <c r="G1986">
        <v>6.6</v>
      </c>
      <c r="H1986">
        <v>7</v>
      </c>
      <c r="I1986">
        <v>7</v>
      </c>
      <c r="J1986">
        <v>6.7</v>
      </c>
      <c r="K1986">
        <v>4.4</v>
      </c>
      <c r="L1986">
        <v>4.6</v>
      </c>
      <c r="M1986">
        <v>5.6</v>
      </c>
      <c r="N1986">
        <f t="shared" si="30"/>
        <v>62.2</v>
      </c>
    </row>
    <row r="1987" spans="1:14">
      <c r="A1987">
        <v>20201378</v>
      </c>
      <c r="B1987" t="s">
        <v>19</v>
      </c>
      <c r="C1987" t="str">
        <f>VLOOKUP(B1987,专业代码!$B$2:$C$8,2,FALSE)</f>
        <v>市场营销</v>
      </c>
      <c r="D1987">
        <v>6.8</v>
      </c>
      <c r="E1987">
        <v>7.3</v>
      </c>
      <c r="F1987">
        <v>5.7</v>
      </c>
      <c r="G1987">
        <v>6.1</v>
      </c>
      <c r="H1987">
        <v>7.1</v>
      </c>
      <c r="I1987">
        <v>6.8</v>
      </c>
      <c r="J1987">
        <v>5.3</v>
      </c>
      <c r="K1987">
        <v>5.2</v>
      </c>
      <c r="L1987">
        <v>5.5</v>
      </c>
      <c r="M1987">
        <v>5.2</v>
      </c>
      <c r="N1987">
        <f>SUM(D1987:M1987)</f>
        <v>61</v>
      </c>
    </row>
    <row r="1988" spans="1:14">
      <c r="A1988">
        <v>20202263</v>
      </c>
      <c r="B1988" t="s">
        <v>19</v>
      </c>
      <c r="C1988" t="str">
        <f>VLOOKUP(B1988,专业代码!$B$2:$C$8,2,FALSE)</f>
        <v>市场营销</v>
      </c>
      <c r="D1988">
        <v>6.8</v>
      </c>
      <c r="E1988">
        <v>6.5</v>
      </c>
      <c r="F1988">
        <v>6.4</v>
      </c>
      <c r="G1988">
        <v>7</v>
      </c>
      <c r="H1988">
        <v>6.3</v>
      </c>
      <c r="I1988">
        <v>5.1</v>
      </c>
      <c r="J1988">
        <v>7.1</v>
      </c>
      <c r="K1988">
        <v>6.7</v>
      </c>
      <c r="L1988">
        <v>6</v>
      </c>
      <c r="M1988">
        <v>3.5</v>
      </c>
      <c r="N1988">
        <f>SUM(D1988:M1988)</f>
        <v>61.4</v>
      </c>
    </row>
    <row r="1989" spans="1:14">
      <c r="A1989">
        <v>20202482</v>
      </c>
      <c r="B1989" t="s">
        <v>19</v>
      </c>
      <c r="C1989" t="str">
        <f>VLOOKUP(B1989,专业代码!$B$2:$C$8,2,FALSE)</f>
        <v>市场营销</v>
      </c>
      <c r="D1989">
        <v>6</v>
      </c>
      <c r="E1989">
        <v>6.9</v>
      </c>
      <c r="F1989">
        <v>5.4</v>
      </c>
      <c r="G1989">
        <v>6.8</v>
      </c>
      <c r="H1989">
        <v>6</v>
      </c>
      <c r="I1989">
        <v>7.4</v>
      </c>
      <c r="J1989">
        <v>5.4</v>
      </c>
      <c r="K1989">
        <v>6.6</v>
      </c>
      <c r="L1989">
        <v>4.7</v>
      </c>
      <c r="M1989">
        <v>3.7</v>
      </c>
      <c r="N1989">
        <f>SUM(D1989:M1989)</f>
        <v>58.9</v>
      </c>
    </row>
    <row r="1990" spans="1:14">
      <c r="A1990">
        <v>20207493</v>
      </c>
      <c r="B1990" t="s">
        <v>19</v>
      </c>
      <c r="C1990" t="str">
        <f>VLOOKUP(B1990,专业代码!$B$2:$C$8,2,FALSE)</f>
        <v>市场营销</v>
      </c>
      <c r="D1990">
        <v>7.4</v>
      </c>
      <c r="E1990">
        <v>6.6</v>
      </c>
      <c r="F1990">
        <v>7</v>
      </c>
      <c r="G1990">
        <v>6.1</v>
      </c>
      <c r="H1990">
        <v>6.6</v>
      </c>
      <c r="I1990">
        <v>6.3</v>
      </c>
      <c r="J1990">
        <v>6.2</v>
      </c>
      <c r="K1990">
        <v>7.1</v>
      </c>
      <c r="L1990">
        <v>6.4</v>
      </c>
      <c r="M1990">
        <v>4.2</v>
      </c>
      <c r="N1990">
        <f>SUM(D1990:M1990)</f>
        <v>63.9</v>
      </c>
    </row>
    <row r="1991" spans="1:14">
      <c r="A1991">
        <v>20209153</v>
      </c>
      <c r="B1991" t="s">
        <v>19</v>
      </c>
      <c r="C1991" t="str">
        <f>VLOOKUP(B1991,专业代码!$B$2:$C$8,2,FALSE)</f>
        <v>市场营销</v>
      </c>
      <c r="D1991">
        <v>7.1</v>
      </c>
      <c r="E1991">
        <v>6</v>
      </c>
      <c r="F1991">
        <v>5.6</v>
      </c>
      <c r="G1991">
        <v>7.1</v>
      </c>
      <c r="H1991">
        <v>7.3</v>
      </c>
      <c r="I1991">
        <v>6.9</v>
      </c>
      <c r="J1991">
        <v>4.7</v>
      </c>
      <c r="K1991">
        <v>6.7</v>
      </c>
      <c r="L1991">
        <v>4.9</v>
      </c>
      <c r="M1991">
        <v>6.6</v>
      </c>
      <c r="N1991">
        <f>SUM(D1991:M1991)</f>
        <v>62.9</v>
      </c>
    </row>
    <row r="1992" spans="1:14">
      <c r="A1992">
        <v>20205502</v>
      </c>
      <c r="B1992" t="s">
        <v>19</v>
      </c>
      <c r="C1992" t="str">
        <f>VLOOKUP(B1992,专业代码!$B$2:$C$8,2,FALSE)</f>
        <v>市场营销</v>
      </c>
      <c r="D1992">
        <v>7.2</v>
      </c>
      <c r="E1992">
        <v>6.9</v>
      </c>
      <c r="F1992">
        <v>7.1</v>
      </c>
      <c r="G1992">
        <v>6.7</v>
      </c>
      <c r="H1992">
        <v>6.8</v>
      </c>
      <c r="I1992">
        <v>6.1</v>
      </c>
      <c r="J1992">
        <v>5.9</v>
      </c>
      <c r="K1992">
        <v>6.7</v>
      </c>
      <c r="L1992">
        <v>5.1</v>
      </c>
      <c r="M1992">
        <v>4.9</v>
      </c>
      <c r="N1992">
        <f>SUM(D1992:M1992)</f>
        <v>63.4</v>
      </c>
    </row>
    <row r="1993" spans="1:14">
      <c r="A1993">
        <v>20207377</v>
      </c>
      <c r="B1993" t="s">
        <v>19</v>
      </c>
      <c r="C1993" t="str">
        <f>VLOOKUP(B1993,专业代码!$B$2:$C$8,2,FALSE)</f>
        <v>市场营销</v>
      </c>
      <c r="D1993">
        <v>6.5</v>
      </c>
      <c r="E1993">
        <v>5.9</v>
      </c>
      <c r="F1993">
        <v>6.4</v>
      </c>
      <c r="G1993">
        <v>7</v>
      </c>
      <c r="H1993">
        <v>6.6</v>
      </c>
      <c r="I1993">
        <v>6.4</v>
      </c>
      <c r="J1993">
        <v>7.9</v>
      </c>
      <c r="K1993">
        <v>5.4</v>
      </c>
      <c r="L1993">
        <v>5</v>
      </c>
      <c r="M1993">
        <v>4.7</v>
      </c>
      <c r="N1993">
        <f>SUM(D1993:M1993)</f>
        <v>61.8</v>
      </c>
    </row>
    <row r="1994" spans="1:14">
      <c r="A1994">
        <v>20205024</v>
      </c>
      <c r="B1994" t="s">
        <v>19</v>
      </c>
      <c r="C1994" t="str">
        <f>VLOOKUP(B1994,专业代码!$B$2:$C$8,2,FALSE)</f>
        <v>市场营销</v>
      </c>
      <c r="D1994">
        <v>7</v>
      </c>
      <c r="E1994">
        <v>7.4</v>
      </c>
      <c r="F1994">
        <v>7.6</v>
      </c>
      <c r="G1994">
        <v>6.6</v>
      </c>
      <c r="H1994">
        <v>6.2</v>
      </c>
      <c r="I1994">
        <v>5.4</v>
      </c>
      <c r="J1994">
        <v>7.2</v>
      </c>
      <c r="K1994">
        <v>4.9</v>
      </c>
      <c r="L1994">
        <v>5.4</v>
      </c>
      <c r="M1994">
        <v>4.7</v>
      </c>
      <c r="N1994">
        <f>SUM(D1994:M1994)</f>
        <v>62.4</v>
      </c>
    </row>
    <row r="1995" spans="1:14">
      <c r="A1995">
        <v>20208911</v>
      </c>
      <c r="B1995" t="s">
        <v>19</v>
      </c>
      <c r="C1995" t="str">
        <f>VLOOKUP(B1995,专业代码!$B$2:$C$8,2,FALSE)</f>
        <v>市场营销</v>
      </c>
      <c r="D1995">
        <v>7.6</v>
      </c>
      <c r="E1995">
        <v>7.1</v>
      </c>
      <c r="F1995">
        <v>6.2</v>
      </c>
      <c r="G1995">
        <v>7.2</v>
      </c>
      <c r="H1995">
        <v>5.4</v>
      </c>
      <c r="I1995">
        <v>5.6</v>
      </c>
      <c r="J1995">
        <v>7.2</v>
      </c>
      <c r="K1995">
        <v>5.3</v>
      </c>
      <c r="L1995">
        <v>3.8</v>
      </c>
      <c r="M1995">
        <v>5.8</v>
      </c>
      <c r="N1995">
        <f>SUM(D1995:M1995)</f>
        <v>61.2</v>
      </c>
    </row>
  </sheetData>
  <printOptions gridLines="1"/>
  <pageMargins left="0.751388888888889" right="0.751388888888889" top="1" bottom="1" header="0.5" footer="0.5"/>
  <pageSetup paperSize="9" orientation="landscape" horizontalDpi="600"/>
  <headerFooter>
    <oddHeader>&amp;R&amp;D</oddHeader>
    <oddFooter>&amp;C第 &amp;P 页，共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23"/>
  <sheetViews>
    <sheetView workbookViewId="0">
      <selection activeCell="O4" sqref="O4"/>
    </sheetView>
  </sheetViews>
  <sheetFormatPr defaultColWidth="9" defaultRowHeight="14.4" outlineLevelCol="3"/>
  <cols>
    <col min="1" max="1" width="5.37837837837838" customWidth="1"/>
    <col min="2" max="2" width="21" customWidth="1"/>
    <col min="3" max="3" width="18.3783783783784" customWidth="1"/>
    <col min="4" max="4" width="13.5045045045045" customWidth="1"/>
    <col min="7" max="7" width="10.5045045045045" customWidth="1"/>
    <col min="8" max="8" width="10.2522522522523" customWidth="1"/>
  </cols>
  <sheetData>
    <row r="1" ht="18" customHeight="1"/>
    <row r="2" ht="18" customHeight="1"/>
    <row r="3" ht="27.75" customHeight="1" spans="2:4">
      <c r="B3" s="28"/>
      <c r="C3" s="29" t="s">
        <v>20</v>
      </c>
      <c r="D3" s="29"/>
    </row>
    <row r="4" ht="18" customHeight="1" spans="3:4">
      <c r="C4" s="2" t="s">
        <v>21</v>
      </c>
      <c r="D4" s="3" t="s">
        <v>22</v>
      </c>
    </row>
    <row r="5" ht="18.95" customHeight="1" spans="3:4">
      <c r="C5" s="30" t="s">
        <v>23</v>
      </c>
      <c r="D5" s="31">
        <f>COUNTIF(成绩!N:N,"&lt;60")</f>
        <v>26</v>
      </c>
    </row>
    <row r="6" ht="18.95" customHeight="1" spans="3:4">
      <c r="C6" s="30" t="s">
        <v>24</v>
      </c>
      <c r="D6" s="31">
        <f>COUNTIFS(成绩!N:N,"&gt;=60",成绩!N:N,"&lt;70")</f>
        <v>521</v>
      </c>
    </row>
    <row r="7" ht="18.95" customHeight="1" spans="3:4">
      <c r="C7" s="30" t="s">
        <v>25</v>
      </c>
      <c r="D7" s="31">
        <f>COUNTIFS(成绩!N:N,"&gt;=70",成绩!N:N,"&lt;80")</f>
        <v>1121</v>
      </c>
    </row>
    <row r="8" ht="18.95" customHeight="1" spans="3:4">
      <c r="C8" s="30" t="s">
        <v>26</v>
      </c>
      <c r="D8" s="31">
        <f>COUNTIFS(成绩!N:N,"&gt;=80",成绩!N:N,"&lt;90")</f>
        <v>310</v>
      </c>
    </row>
    <row r="9" ht="18.95" customHeight="1" spans="3:4">
      <c r="C9" s="32" t="s">
        <v>27</v>
      </c>
      <c r="D9" s="33">
        <f>COUNTIF(成绩!N:N,"&gt;=90")</f>
        <v>16</v>
      </c>
    </row>
    <row r="10" ht="18.95" customHeight="1"/>
    <row r="11" ht="18.95" customHeight="1"/>
    <row r="12" ht="18.95" customHeight="1"/>
    <row r="13" ht="18.95" customHeight="1"/>
    <row r="14" ht="18.95" customHeight="1"/>
    <row r="15" ht="18.95" customHeight="1"/>
    <row r="16" ht="18.95" customHeight="1"/>
    <row r="17" ht="18.95" customHeight="1"/>
    <row r="18" ht="18.95" customHeight="1"/>
    <row r="19" ht="18.95" customHeight="1"/>
    <row r="20" ht="18.95" customHeight="1"/>
    <row r="21" ht="18.95" customHeight="1"/>
    <row r="22" ht="18.95" customHeight="1"/>
    <row r="23" ht="18.95" customHeight="1"/>
  </sheetData>
  <mergeCells count="1">
    <mergeCell ref="C3:D3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31"/>
  <sheetViews>
    <sheetView tabSelected="1" topLeftCell="A11" workbookViewId="0">
      <selection activeCell="H26" sqref="H26"/>
    </sheetView>
  </sheetViews>
  <sheetFormatPr defaultColWidth="9" defaultRowHeight="14.4"/>
  <cols>
    <col min="1" max="1" width="3.74774774774775" customWidth="1"/>
    <col min="2" max="2" width="23.8738738738739" customWidth="1"/>
    <col min="3" max="3" width="11.1261261261261" customWidth="1"/>
    <col min="4" max="4" width="11.7477477477477" customWidth="1"/>
    <col min="5" max="5" width="13.5045045045045" customWidth="1"/>
    <col min="6" max="6" width="11.1261261261261" customWidth="1"/>
    <col min="7" max="7" width="10.2522522522523" customWidth="1"/>
    <col min="8" max="8" width="11.1261261261261" customWidth="1"/>
    <col min="9" max="9" width="12.8738738738739" customWidth="1"/>
    <col min="10" max="10" width="10.2522522522523" customWidth="1"/>
    <col min="11" max="11" width="10" customWidth="1"/>
    <col min="12" max="12" width="9.37837837837838" customWidth="1"/>
  </cols>
  <sheetData>
    <row r="1" ht="21" customHeight="1" spans="2:12">
      <c r="B1" s="12" t="s">
        <v>28</v>
      </c>
      <c r="C1" s="12"/>
      <c r="D1" s="12"/>
      <c r="E1" s="12"/>
      <c r="F1" s="12"/>
      <c r="G1" s="12"/>
      <c r="H1" s="12"/>
      <c r="I1" s="12"/>
      <c r="J1" s="12"/>
      <c r="K1" s="12"/>
      <c r="L1" s="12"/>
    </row>
    <row r="2" ht="18" customHeight="1" spans="2:12">
      <c r="B2" s="13"/>
      <c r="C2" s="14" t="s">
        <v>3</v>
      </c>
      <c r="D2" s="14" t="s">
        <v>4</v>
      </c>
      <c r="E2" s="14" t="s">
        <v>5</v>
      </c>
      <c r="F2" s="14" t="s">
        <v>6</v>
      </c>
      <c r="G2" s="14" t="s">
        <v>7</v>
      </c>
      <c r="H2" s="14" t="s">
        <v>8</v>
      </c>
      <c r="I2" s="14" t="s">
        <v>9</v>
      </c>
      <c r="J2" s="14" t="s">
        <v>10</v>
      </c>
      <c r="K2" s="14" t="s">
        <v>11</v>
      </c>
      <c r="L2" s="27" t="s">
        <v>12</v>
      </c>
    </row>
    <row r="3" ht="18" customHeight="1" spans="2:12">
      <c r="B3" s="15" t="s">
        <v>29</v>
      </c>
      <c r="C3" s="16">
        <f>AVERAGE(成绩!D:D)</f>
        <v>8.3002006018054</v>
      </c>
      <c r="D3" s="16">
        <f>AVERAGE(成绩!E:E)</f>
        <v>8.11354062186559</v>
      </c>
      <c r="E3" s="16">
        <f>AVERAGE(成绩!F:F)</f>
        <v>7.9974924774323</v>
      </c>
      <c r="F3" s="16">
        <f>AVERAGE(成绩!G:G)</f>
        <v>7.81865596790371</v>
      </c>
      <c r="G3" s="16">
        <f>AVERAGE(成绩!H:H)</f>
        <v>7.5141925777332</v>
      </c>
      <c r="H3" s="16">
        <f>AVERAGE(成绩!I:I)</f>
        <v>7.31840521564694</v>
      </c>
      <c r="I3" s="16">
        <f>AVERAGE(成绩!J:J)</f>
        <v>7.11659979939819</v>
      </c>
      <c r="J3" s="16">
        <f>AVERAGE(成绩!K:K)</f>
        <v>6.92342026078235</v>
      </c>
      <c r="K3" s="16">
        <f>AVERAGE(成绩!L:L)</f>
        <v>6.7042627883651</v>
      </c>
      <c r="L3" s="16">
        <f>AVERAGE(成绩!M:M)</f>
        <v>6.10927783350051</v>
      </c>
    </row>
    <row r="4" ht="18" customHeight="1" spans="2:12">
      <c r="B4" s="15" t="s">
        <v>30</v>
      </c>
      <c r="C4" s="17">
        <f>MAX(成绩!D:D)</f>
        <v>10</v>
      </c>
      <c r="D4" s="17">
        <f>MAX(成绩!E:E)</f>
        <v>10</v>
      </c>
      <c r="E4" s="17">
        <f>MAX(成绩!F:F)</f>
        <v>10</v>
      </c>
      <c r="F4" s="17">
        <f>MAX(成绩!G:G)</f>
        <v>10</v>
      </c>
      <c r="G4" s="17">
        <f>MAX(成绩!H:H)</f>
        <v>10</v>
      </c>
      <c r="H4" s="17">
        <f>MAX(成绩!I:I)</f>
        <v>10</v>
      </c>
      <c r="I4" s="17">
        <f>MAX(成绩!J:J)</f>
        <v>10</v>
      </c>
      <c r="J4" s="17">
        <f>MAX(成绩!K:K)</f>
        <v>9.9</v>
      </c>
      <c r="K4" s="17">
        <f>MAX(成绩!L:L)</f>
        <v>10</v>
      </c>
      <c r="L4" s="17">
        <f>MAX(成绩!M:M)</f>
        <v>9.9</v>
      </c>
    </row>
    <row r="5" ht="18" customHeight="1" spans="2:12">
      <c r="B5" s="15" t="s">
        <v>31</v>
      </c>
      <c r="C5" s="17">
        <f>MIN(成绩!D:D)</f>
        <v>5.8</v>
      </c>
      <c r="D5" s="17">
        <f>MIN(成绩!E:E)</f>
        <v>5.6</v>
      </c>
      <c r="E5" s="17">
        <f>MIN(成绩!F:F)</f>
        <v>3</v>
      </c>
      <c r="F5" s="17">
        <f>MIN(成绩!G:G)</f>
        <v>5</v>
      </c>
      <c r="G5" s="17">
        <f>MIN(成绩!H:H)</f>
        <v>4.4</v>
      </c>
      <c r="H5" s="17">
        <f>MIN(成绩!I:I)</f>
        <v>4</v>
      </c>
      <c r="I5" s="17">
        <f>MIN(成绩!J:J)</f>
        <v>2</v>
      </c>
      <c r="J5" s="17">
        <f>MIN(成绩!K:K)</f>
        <v>3.6</v>
      </c>
      <c r="K5" s="17">
        <f>MIN(成绩!L:L)</f>
        <v>2.9</v>
      </c>
      <c r="L5" s="17">
        <f>MIN(成绩!M:M)</f>
        <v>1.9</v>
      </c>
    </row>
    <row r="6" ht="18" customHeight="1" spans="2:12">
      <c r="B6" s="15" t="s">
        <v>32</v>
      </c>
      <c r="C6" s="17">
        <f>COUNTIF(成绩!D:D,"&gt;=9")</f>
        <v>432</v>
      </c>
      <c r="D6" s="17">
        <f>COUNTIF(成绩!E:E,"&gt;=9")</f>
        <v>326</v>
      </c>
      <c r="E6" s="17">
        <f>COUNTIF(成绩!F:F,"&gt;=9")</f>
        <v>258</v>
      </c>
      <c r="F6" s="17">
        <f>COUNTIF(成绩!G:G,"&gt;=9")</f>
        <v>185</v>
      </c>
      <c r="G6" s="17">
        <f>COUNTIF(成绩!H:H,"&gt;=9")</f>
        <v>149</v>
      </c>
      <c r="H6" s="17">
        <f>COUNTIF(成绩!I:I,"&gt;=9")</f>
        <v>93</v>
      </c>
      <c r="I6" s="17">
        <f>COUNTIF(成绩!J:J,"&gt;=9")</f>
        <v>93</v>
      </c>
      <c r="J6" s="17">
        <f>COUNTIF(成绩!K:K,"&gt;=9")</f>
        <v>69</v>
      </c>
      <c r="K6" s="17">
        <f>COUNTIF(成绩!L:L,"&gt;=9")</f>
        <v>55</v>
      </c>
      <c r="L6" s="17">
        <f>COUNTIF(成绩!M:M,"&gt;=9")</f>
        <v>25</v>
      </c>
    </row>
    <row r="7" ht="18" customHeight="1" spans="2:12">
      <c r="B7" s="18" t="s">
        <v>33</v>
      </c>
      <c r="C7" s="19">
        <f>COUNTIF(成绩!D:D,"&lt;5")</f>
        <v>0</v>
      </c>
      <c r="D7" s="19">
        <f>COUNTIF(成绩!E:E,"&lt;5")</f>
        <v>0</v>
      </c>
      <c r="E7" s="19">
        <f>COUNTIF(成绩!F:F,"&lt;5")</f>
        <v>1</v>
      </c>
      <c r="F7" s="19">
        <f>COUNTIF(成绩!G:G,"&lt;5")</f>
        <v>0</v>
      </c>
      <c r="G7" s="19">
        <f>COUNTIF(成绩!H:H,"&lt;5")</f>
        <v>6</v>
      </c>
      <c r="H7" s="19">
        <f>COUNTIF(成绩!I:I,"&lt;5")</f>
        <v>13</v>
      </c>
      <c r="I7" s="19">
        <f>COUNTIF(成绩!J:J,"&lt;5")</f>
        <v>32</v>
      </c>
      <c r="J7" s="19">
        <f>COUNTIF(成绩!K:K,"&lt;5")</f>
        <v>54</v>
      </c>
      <c r="K7" s="19">
        <f>COUNTIF(成绩!L:L,"&lt;5")</f>
        <v>118</v>
      </c>
      <c r="L7" s="19">
        <f>COUNTIF(成绩!M:M,"&lt;5")</f>
        <v>375</v>
      </c>
    </row>
    <row r="8" ht="18" customHeight="1"/>
    <row r="10" ht="42.95" customHeight="1" spans="3:11">
      <c r="C10" s="12" t="s">
        <v>34</v>
      </c>
      <c r="D10" s="12"/>
      <c r="E10" s="12"/>
      <c r="F10" s="12"/>
      <c r="G10" s="20"/>
      <c r="H10" s="21" t="s">
        <v>35</v>
      </c>
      <c r="I10" s="21"/>
      <c r="J10" s="21"/>
      <c r="K10" s="21"/>
    </row>
    <row r="11" ht="18" customHeight="1" spans="3:10">
      <c r="C11" s="22" t="s">
        <v>36</v>
      </c>
      <c r="D11" s="23" t="s">
        <v>0</v>
      </c>
      <c r="E11" s="23" t="s">
        <v>2</v>
      </c>
      <c r="F11" s="24" t="s">
        <v>13</v>
      </c>
      <c r="I11" s="22" t="s">
        <v>2</v>
      </c>
      <c r="J11" s="24" t="s">
        <v>37</v>
      </c>
    </row>
    <row r="12" spans="3:10">
      <c r="C12" s="6">
        <v>1</v>
      </c>
      <c r="D12" s="25">
        <f>INDEX(成绩!A:A,MATCH(F12,成绩!N:N,0))</f>
        <v>20182386</v>
      </c>
      <c r="E12" s="25" t="str">
        <f>INDEX(成绩!C:C,MATCH(F12,成绩!N:N,0))</f>
        <v>管理信息系统</v>
      </c>
      <c r="F12" s="8">
        <f>LARGE(成绩!N:N,C12)</f>
        <v>95</v>
      </c>
      <c r="I12" s="15" t="s">
        <v>38</v>
      </c>
      <c r="J12" s="8">
        <f>COUNTIF(E:E,I12)</f>
        <v>6</v>
      </c>
    </row>
    <row r="13" spans="3:10">
      <c r="C13" s="6">
        <v>2</v>
      </c>
      <c r="D13" s="25">
        <f>INDEX(成绩!A:A,MATCH(F13,成绩!N:N,0))</f>
        <v>20182064</v>
      </c>
      <c r="E13" s="25" t="str">
        <f>INDEX(成绩!C:C,MATCH(F13,成绩!N:N,0))</f>
        <v>管理信息系统</v>
      </c>
      <c r="F13" s="8">
        <f>LARGE(成绩!N:N,C13)</f>
        <v>94.7</v>
      </c>
      <c r="I13" s="15" t="s">
        <v>39</v>
      </c>
      <c r="J13" s="8">
        <f>COUNTIF(E:E,I13)</f>
        <v>2</v>
      </c>
    </row>
    <row r="14" spans="3:10">
      <c r="C14" s="6">
        <v>3</v>
      </c>
      <c r="D14" s="25">
        <f>INDEX(成绩!A:A,MATCH(F14,成绩!N:N,0))</f>
        <v>20186621</v>
      </c>
      <c r="E14" s="25" t="str">
        <f>INDEX(成绩!C:C,MATCH(F14,成绩!N:N,0))</f>
        <v>金融学</v>
      </c>
      <c r="F14" s="8">
        <f>LARGE(成绩!N:N,C14)</f>
        <v>93</v>
      </c>
      <c r="I14" s="15" t="s">
        <v>40</v>
      </c>
      <c r="J14" s="8">
        <f>COUNTIF(E:E,I14)</f>
        <v>5</v>
      </c>
    </row>
    <row r="15" spans="3:10">
      <c r="C15" s="6">
        <v>4</v>
      </c>
      <c r="D15" s="25">
        <f>INDEX(成绩!A:A,MATCH(F15,成绩!N:N,0))</f>
        <v>20181819</v>
      </c>
      <c r="E15" s="25" t="str">
        <f>INDEX(成绩!C:C,MATCH(F15,成绩!N:N,0))</f>
        <v>金融学</v>
      </c>
      <c r="F15" s="8">
        <f>LARGE(成绩!N:N,C15)</f>
        <v>92.2</v>
      </c>
      <c r="I15" s="15" t="s">
        <v>41</v>
      </c>
      <c r="J15" s="8">
        <f>COUNTIF(E:E,I15)</f>
        <v>1</v>
      </c>
    </row>
    <row r="16" spans="3:10">
      <c r="C16" s="6">
        <v>5</v>
      </c>
      <c r="D16" s="25">
        <f>INDEX(成绩!A:A,MATCH(F16,成绩!N:N,0))</f>
        <v>20196268</v>
      </c>
      <c r="E16" s="25" t="str">
        <f>INDEX(成绩!C:C,MATCH(F16,成绩!N:N,0))</f>
        <v>管理信息系统</v>
      </c>
      <c r="F16" s="8">
        <f>LARGE(成绩!N:N,C16)</f>
        <v>91.7</v>
      </c>
      <c r="I16" s="15" t="s">
        <v>42</v>
      </c>
      <c r="J16" s="8">
        <f>COUNTIF(E:E,I16)</f>
        <v>5</v>
      </c>
    </row>
    <row r="17" ht="15.15" spans="3:10">
      <c r="C17" s="6">
        <v>6</v>
      </c>
      <c r="D17" s="25">
        <f>INDEX(成绩!A:A,MATCH(F17,成绩!N:N,0))</f>
        <v>20191310</v>
      </c>
      <c r="E17" s="25" t="str">
        <f>INDEX(成绩!C:C,MATCH(F17,成绩!N:N,0))</f>
        <v>金融工程</v>
      </c>
      <c r="F17" s="8">
        <f>LARGE(成绩!N:N,C17)</f>
        <v>91.6</v>
      </c>
      <c r="I17" s="18" t="s">
        <v>43</v>
      </c>
      <c r="J17" s="8">
        <f>COUNTIF(E:E,I17)</f>
        <v>1</v>
      </c>
    </row>
    <row r="18" spans="3:6">
      <c r="C18" s="6">
        <v>7</v>
      </c>
      <c r="D18" s="25">
        <f>INDEX(成绩!A:A,MATCH(F18,成绩!N:N,0))</f>
        <v>20195342</v>
      </c>
      <c r="E18" s="25" t="str">
        <f>INDEX(成绩!C:C,MATCH(F18,成绩!N:N,0))</f>
        <v>会计学</v>
      </c>
      <c r="F18" s="8">
        <f>LARGE(成绩!N:N,C18)</f>
        <v>91.5</v>
      </c>
    </row>
    <row r="19" spans="3:6">
      <c r="C19" s="6">
        <v>8</v>
      </c>
      <c r="D19" s="25">
        <f>INDEX(成绩!A:A,MATCH(F19,成绩!N:N,0))</f>
        <v>20182083</v>
      </c>
      <c r="E19" s="25" t="str">
        <f>INDEX(成绩!C:C,MATCH(F19,成绩!N:N,0))</f>
        <v>金融学</v>
      </c>
      <c r="F19" s="8">
        <f>LARGE(成绩!N:N,C19)</f>
        <v>91.3</v>
      </c>
    </row>
    <row r="20" spans="3:6">
      <c r="C20" s="6">
        <v>9</v>
      </c>
      <c r="D20" s="25">
        <f>INDEX(成绩!A:A,MATCH(F20,成绩!N:N,0))</f>
        <v>20186282</v>
      </c>
      <c r="E20" s="25" t="str">
        <f>INDEX(成绩!C:C,MATCH(F20,成绩!N:N,0))</f>
        <v>管理信息系统</v>
      </c>
      <c r="F20" s="8">
        <f>LARGE(成绩!N:N,C20)</f>
        <v>91.1</v>
      </c>
    </row>
    <row r="21" spans="3:6">
      <c r="C21" s="6">
        <v>10</v>
      </c>
      <c r="D21" s="25">
        <f>INDEX(成绩!A:A,MATCH(F21,成绩!N:N,0))</f>
        <v>20196008</v>
      </c>
      <c r="E21" s="25" t="str">
        <f>INDEX(成绩!C:C,MATCH(F21,成绩!N:N,0))</f>
        <v>会计学</v>
      </c>
      <c r="F21" s="8">
        <f>LARGE(成绩!N:N,C21)</f>
        <v>91</v>
      </c>
    </row>
    <row r="22" spans="3:6">
      <c r="C22" s="6">
        <v>11</v>
      </c>
      <c r="D22" s="25">
        <f>INDEX(成绩!A:A,MATCH(F22,成绩!N:N,0))</f>
        <v>20178664</v>
      </c>
      <c r="E22" s="25" t="str">
        <f>INDEX(成绩!C:C,MATCH(F22,成绩!N:N,0))</f>
        <v>保险学</v>
      </c>
      <c r="F22" s="8">
        <f>LARGE(成绩!N:N,C22)</f>
        <v>90.8</v>
      </c>
    </row>
    <row r="23" spans="3:6">
      <c r="C23" s="6">
        <v>12</v>
      </c>
      <c r="D23" s="25">
        <f>INDEX(成绩!A:A,MATCH(F23,成绩!N:N,0))</f>
        <v>20184332</v>
      </c>
      <c r="E23" s="25" t="str">
        <f>INDEX(成绩!C:C,MATCH(F23,成绩!N:N,0))</f>
        <v>会计学</v>
      </c>
      <c r="F23" s="8">
        <f>LARGE(成绩!N:N,C23)</f>
        <v>90.7</v>
      </c>
    </row>
    <row r="24" spans="3:6">
      <c r="C24" s="6">
        <v>13</v>
      </c>
      <c r="D24" s="25">
        <f>INDEX(成绩!A:A,MATCH(F24,成绩!N:N,0))</f>
        <v>20194588</v>
      </c>
      <c r="E24" s="25" t="str">
        <f>INDEX(成绩!C:C,MATCH(F24,成绩!N:N,0))</f>
        <v>会计学</v>
      </c>
      <c r="F24" s="8">
        <f>LARGE(成绩!N:N,C24)</f>
        <v>90.5</v>
      </c>
    </row>
    <row r="25" spans="3:6">
      <c r="C25" s="6">
        <v>14</v>
      </c>
      <c r="D25" s="25">
        <f>INDEX(成绩!A:A,MATCH(F25,成绩!N:N,0))</f>
        <v>20192361</v>
      </c>
      <c r="E25" s="25" t="str">
        <f>INDEX(成绩!C:C,MATCH(F25,成绩!N:N,0))</f>
        <v>金融工程</v>
      </c>
      <c r="F25" s="8">
        <f>LARGE(成绩!N:N,C25)</f>
        <v>90.3</v>
      </c>
    </row>
    <row r="26" spans="3:6">
      <c r="C26" s="6">
        <v>15</v>
      </c>
      <c r="D26" s="25">
        <f>INDEX(成绩!A:A,MATCH(F26,成绩!N:N,0))</f>
        <v>20191856</v>
      </c>
      <c r="E26" s="25" t="str">
        <f>INDEX(成绩!C:C,MATCH(F26,成绩!N:N,0))</f>
        <v>金融学</v>
      </c>
      <c r="F26" s="8">
        <f>LARGE(成绩!N:N,C26)</f>
        <v>90.1</v>
      </c>
    </row>
    <row r="27" spans="3:6">
      <c r="C27" s="6">
        <v>16</v>
      </c>
      <c r="D27" s="25">
        <f>INDEX(成绩!A:A,MATCH(F27,成绩!N:N,0))</f>
        <v>20198053</v>
      </c>
      <c r="E27" s="25" t="str">
        <f>INDEX(成绩!C:C,MATCH(F27,成绩!N:N,0))</f>
        <v>会计学</v>
      </c>
      <c r="F27" s="8">
        <f>LARGE(成绩!N:N,C27)</f>
        <v>90</v>
      </c>
    </row>
    <row r="28" spans="3:6">
      <c r="C28" s="6">
        <v>17</v>
      </c>
      <c r="D28" s="25">
        <f>INDEX(成绩!A:A,MATCH(F28,成绩!N:N,0))</f>
        <v>20179500</v>
      </c>
      <c r="E28" s="25" t="str">
        <f>INDEX(成绩!C:C,MATCH(F28,成绩!N:N,0))</f>
        <v>市场营销</v>
      </c>
      <c r="F28" s="8">
        <f>LARGE(成绩!N:N,C28)</f>
        <v>89.9</v>
      </c>
    </row>
    <row r="29" spans="3:6">
      <c r="C29" s="6">
        <v>18</v>
      </c>
      <c r="D29" s="25">
        <f>INDEX(成绩!A:A,MATCH(F29,成绩!N:N,0))</f>
        <v>20197004</v>
      </c>
      <c r="E29" s="25" t="str">
        <f>INDEX(成绩!C:C,MATCH(F29,成绩!N:N,0))</f>
        <v>金融学</v>
      </c>
      <c r="F29" s="8">
        <f>LARGE(成绩!N:N,C29)</f>
        <v>89.7</v>
      </c>
    </row>
    <row r="30" spans="3:6">
      <c r="C30" s="6">
        <v>19</v>
      </c>
      <c r="D30" s="25">
        <f>INDEX(成绩!A:A,MATCH(F30,成绩!N:N,0))</f>
        <v>20186566</v>
      </c>
      <c r="E30" s="25" t="str">
        <f>INDEX(成绩!C:C,MATCH(F30,成绩!N:N,0))</f>
        <v>会计学</v>
      </c>
      <c r="F30" s="8">
        <f>LARGE(成绩!N:N,C30)</f>
        <v>89.3</v>
      </c>
    </row>
    <row r="31" ht="15.15" spans="3:6">
      <c r="C31" s="26">
        <v>20</v>
      </c>
      <c r="D31" s="25">
        <f>INDEX(成绩!A:A,MATCH(F31,成绩!N:N,0))</f>
        <v>20195846</v>
      </c>
      <c r="E31" s="25" t="str">
        <f>INDEX(成绩!C:C,MATCH(F31,成绩!N:N,0))</f>
        <v>管理信息系统</v>
      </c>
      <c r="F31" s="8">
        <f>LARGE(成绩!N:N,C31)</f>
        <v>89.2</v>
      </c>
    </row>
  </sheetData>
  <mergeCells count="3">
    <mergeCell ref="B1:L1"/>
    <mergeCell ref="C10:F10"/>
    <mergeCell ref="H10:K1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G12" sqref="G12"/>
    </sheetView>
  </sheetViews>
  <sheetFormatPr defaultColWidth="9" defaultRowHeight="14.4" outlineLevelCol="2"/>
  <cols>
    <col min="1" max="2" width="14.0900900900901"/>
    <col min="3" max="3" width="9.99099099099099"/>
  </cols>
  <sheetData>
    <row r="1" spans="1:3">
      <c r="A1" t="s">
        <v>44</v>
      </c>
      <c r="B1" t="s">
        <v>2</v>
      </c>
      <c r="C1" t="s">
        <v>45</v>
      </c>
    </row>
    <row r="2" spans="1:3">
      <c r="A2" t="s">
        <v>46</v>
      </c>
      <c r="B2"/>
      <c r="C2" s="11"/>
    </row>
    <row r="3" spans="2:3">
      <c r="B3" t="s">
        <v>41</v>
      </c>
      <c r="C3" s="11">
        <v>73.6942857142857</v>
      </c>
    </row>
    <row r="4" spans="2:3">
      <c r="B4" t="s">
        <v>39</v>
      </c>
      <c r="C4" s="11">
        <v>73.4155844155844</v>
      </c>
    </row>
    <row r="5" spans="2:3">
      <c r="B5" t="s">
        <v>40</v>
      </c>
      <c r="C5" s="11">
        <v>79.3855</v>
      </c>
    </row>
    <row r="6" spans="1:3">
      <c r="A6" t="s">
        <v>47</v>
      </c>
      <c r="B6"/>
      <c r="C6" s="11"/>
    </row>
    <row r="7" spans="2:3">
      <c r="B7" t="s">
        <v>42</v>
      </c>
      <c r="C7" s="11">
        <v>77.1622549019608</v>
      </c>
    </row>
    <row r="8" spans="2:3">
      <c r="B8" t="s">
        <v>38</v>
      </c>
      <c r="C8" s="11">
        <v>75.5387858347386</v>
      </c>
    </row>
    <row r="9" spans="2:3">
      <c r="B9" t="s">
        <v>43</v>
      </c>
      <c r="C9" s="11">
        <v>67.7490049751244</v>
      </c>
    </row>
    <row r="10" spans="1:3">
      <c r="A10" t="s">
        <v>48</v>
      </c>
      <c r="B10"/>
      <c r="C10" s="11">
        <v>73.9160481444333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C8"/>
  <sheetViews>
    <sheetView workbookViewId="0">
      <selection activeCell="F10" sqref="F10"/>
    </sheetView>
  </sheetViews>
  <sheetFormatPr defaultColWidth="9" defaultRowHeight="14.4" outlineLevelRow="7" outlineLevelCol="2"/>
  <cols>
    <col min="1" max="1" width="2.74774774774775" customWidth="1"/>
    <col min="2" max="2" width="13.5045045045045" customWidth="1"/>
    <col min="3" max="3" width="14" customWidth="1"/>
  </cols>
  <sheetData>
    <row r="1" ht="15.15"/>
    <row r="2" ht="18" customHeight="1" spans="2:3">
      <c r="B2" s="2" t="s">
        <v>49</v>
      </c>
      <c r="C2" s="3" t="s">
        <v>2</v>
      </c>
    </row>
    <row r="3" ht="18" customHeight="1" spans="2:3">
      <c r="B3" s="4" t="s">
        <v>14</v>
      </c>
      <c r="C3" s="5" t="s">
        <v>38</v>
      </c>
    </row>
    <row r="4" ht="18" customHeight="1" spans="2:3">
      <c r="B4" s="6" t="s">
        <v>17</v>
      </c>
      <c r="C4" s="7" t="s">
        <v>39</v>
      </c>
    </row>
    <row r="5" ht="18" customHeight="1" spans="2:3">
      <c r="B5" s="4" t="s">
        <v>16</v>
      </c>
      <c r="C5" s="5" t="s">
        <v>40</v>
      </c>
    </row>
    <row r="6" ht="18" customHeight="1" spans="2:3">
      <c r="B6" s="6" t="s">
        <v>15</v>
      </c>
      <c r="C6" s="8" t="s">
        <v>41</v>
      </c>
    </row>
    <row r="7" ht="18" customHeight="1" spans="2:3">
      <c r="B7" s="4" t="s">
        <v>18</v>
      </c>
      <c r="C7" s="5" t="s">
        <v>42</v>
      </c>
    </row>
    <row r="8" ht="18" customHeight="1" spans="2:3">
      <c r="B8" s="9" t="s">
        <v>19</v>
      </c>
      <c r="C8" s="10" t="s">
        <v>43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95"/>
  <sheetViews>
    <sheetView workbookViewId="0">
      <selection activeCell="M4" sqref="M4"/>
    </sheetView>
  </sheetViews>
  <sheetFormatPr defaultColWidth="16.5045045045045" defaultRowHeight="14.4"/>
  <cols>
    <col min="1" max="1" width="16.5045045045045" customWidth="1"/>
    <col min="2" max="11" width="7.37837837837838" customWidth="1"/>
    <col min="12" max="12" width="8.25225225225225" customWidth="1"/>
    <col min="13" max="16383" width="16.5045045045045" customWidth="1"/>
  </cols>
  <sheetData>
    <row r="1" spans="1:12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 spans="1:12">
      <c r="A2" t="s">
        <v>50</v>
      </c>
      <c r="B2">
        <v>8.8</v>
      </c>
      <c r="C2">
        <v>8</v>
      </c>
      <c r="D2">
        <v>6.6</v>
      </c>
      <c r="E2">
        <v>7.6</v>
      </c>
      <c r="F2">
        <v>6.6</v>
      </c>
      <c r="G2">
        <v>7.5</v>
      </c>
      <c r="H2">
        <v>7.4</v>
      </c>
      <c r="I2">
        <v>6.7</v>
      </c>
      <c r="J2">
        <v>6.7</v>
      </c>
      <c r="K2">
        <v>5.8</v>
      </c>
      <c r="L2" s="1"/>
    </row>
    <row r="3" spans="1:12">
      <c r="A3" t="s">
        <v>51</v>
      </c>
      <c r="B3">
        <v>7.3</v>
      </c>
      <c r="C3">
        <v>8.3</v>
      </c>
      <c r="D3">
        <v>7</v>
      </c>
      <c r="E3">
        <v>8.5</v>
      </c>
      <c r="F3">
        <v>8.4</v>
      </c>
      <c r="G3">
        <v>7.7</v>
      </c>
      <c r="H3">
        <v>7.7</v>
      </c>
      <c r="I3">
        <v>5.8</v>
      </c>
      <c r="J3">
        <v>6.2</v>
      </c>
      <c r="K3">
        <v>5.8</v>
      </c>
      <c r="L3" s="1"/>
    </row>
    <row r="4" spans="1:12">
      <c r="A4" t="s">
        <v>52</v>
      </c>
      <c r="B4">
        <v>8.6</v>
      </c>
      <c r="C4">
        <v>7.2</v>
      </c>
      <c r="D4">
        <v>8.3</v>
      </c>
      <c r="E4">
        <v>8.2</v>
      </c>
      <c r="F4">
        <v>7</v>
      </c>
      <c r="G4">
        <v>8.7</v>
      </c>
      <c r="H4">
        <v>7.8</v>
      </c>
      <c r="I4">
        <v>6.2</v>
      </c>
      <c r="J4">
        <v>6.8</v>
      </c>
      <c r="K4">
        <v>5.7</v>
      </c>
      <c r="L4" s="1"/>
    </row>
    <row r="5" spans="1:12">
      <c r="A5" t="s">
        <v>53</v>
      </c>
      <c r="B5">
        <v>8.2</v>
      </c>
      <c r="C5">
        <v>8</v>
      </c>
      <c r="D5">
        <v>8.2</v>
      </c>
      <c r="E5">
        <v>7.8</v>
      </c>
      <c r="F5">
        <v>7.3</v>
      </c>
      <c r="G5">
        <v>8.5</v>
      </c>
      <c r="H5">
        <v>8</v>
      </c>
      <c r="I5">
        <v>6.9</v>
      </c>
      <c r="J5">
        <v>6.5</v>
      </c>
      <c r="K5">
        <v>6.2</v>
      </c>
      <c r="L5" s="1"/>
    </row>
    <row r="6" spans="1:12">
      <c r="A6" t="s">
        <v>54</v>
      </c>
      <c r="B6">
        <v>8.4</v>
      </c>
      <c r="C6">
        <v>8.5</v>
      </c>
      <c r="D6">
        <v>7.1</v>
      </c>
      <c r="E6">
        <v>7.7</v>
      </c>
      <c r="F6">
        <v>9.2</v>
      </c>
      <c r="G6">
        <v>8.3</v>
      </c>
      <c r="H6">
        <v>6</v>
      </c>
      <c r="I6">
        <v>5.4</v>
      </c>
      <c r="J6">
        <v>7.1</v>
      </c>
      <c r="K6">
        <v>5</v>
      </c>
      <c r="L6" s="1"/>
    </row>
    <row r="7" spans="1:12">
      <c r="A7" t="s">
        <v>55</v>
      </c>
      <c r="B7">
        <v>7.5</v>
      </c>
      <c r="C7">
        <v>8.3</v>
      </c>
      <c r="D7">
        <v>8.1</v>
      </c>
      <c r="E7">
        <v>8.4</v>
      </c>
      <c r="F7">
        <v>7.6</v>
      </c>
      <c r="G7">
        <v>6.9</v>
      </c>
      <c r="H7">
        <v>7.2</v>
      </c>
      <c r="I7">
        <v>7.9</v>
      </c>
      <c r="J7">
        <v>6.6</v>
      </c>
      <c r="K7">
        <v>8.6</v>
      </c>
      <c r="L7" s="1"/>
    </row>
    <row r="8" spans="1:12">
      <c r="A8" t="s">
        <v>56</v>
      </c>
      <c r="B8">
        <v>8</v>
      </c>
      <c r="C8">
        <v>7.5</v>
      </c>
      <c r="D8">
        <v>8.6</v>
      </c>
      <c r="E8">
        <v>7.7</v>
      </c>
      <c r="F8">
        <v>7.5</v>
      </c>
      <c r="G8">
        <v>6</v>
      </c>
      <c r="H8">
        <v>6.7</v>
      </c>
      <c r="I8">
        <v>5.4</v>
      </c>
      <c r="J8">
        <v>8.6</v>
      </c>
      <c r="K8">
        <v>7.7</v>
      </c>
      <c r="L8" s="1"/>
    </row>
    <row r="9" spans="1:12">
      <c r="A9" t="s">
        <v>57</v>
      </c>
      <c r="B9">
        <v>8.5</v>
      </c>
      <c r="C9">
        <v>8</v>
      </c>
      <c r="D9">
        <v>6.9</v>
      </c>
      <c r="E9">
        <v>7.6</v>
      </c>
      <c r="F9">
        <v>8.8</v>
      </c>
      <c r="G9">
        <v>7.1</v>
      </c>
      <c r="H9">
        <v>6.8</v>
      </c>
      <c r="I9">
        <v>7.5</v>
      </c>
      <c r="J9">
        <v>6.7</v>
      </c>
      <c r="K9">
        <v>6.1</v>
      </c>
      <c r="L9" s="1"/>
    </row>
    <row r="10" spans="1:12">
      <c r="A10" t="s">
        <v>58</v>
      </c>
      <c r="B10">
        <v>8.7</v>
      </c>
      <c r="C10">
        <v>8</v>
      </c>
      <c r="D10">
        <v>7.2</v>
      </c>
      <c r="E10">
        <v>7.3</v>
      </c>
      <c r="F10">
        <v>7.4</v>
      </c>
      <c r="G10">
        <v>6.9</v>
      </c>
      <c r="H10">
        <v>7.9</v>
      </c>
      <c r="I10">
        <v>5.7</v>
      </c>
      <c r="J10">
        <v>7.5</v>
      </c>
      <c r="K10">
        <v>6.4</v>
      </c>
      <c r="L10" s="1"/>
    </row>
    <row r="11" spans="1:12">
      <c r="A11" t="s">
        <v>59</v>
      </c>
      <c r="B11">
        <v>8</v>
      </c>
      <c r="C11">
        <v>8.6</v>
      </c>
      <c r="D11">
        <v>7.4</v>
      </c>
      <c r="E11">
        <v>8.2</v>
      </c>
      <c r="F11">
        <v>6.4</v>
      </c>
      <c r="G11">
        <v>7.2</v>
      </c>
      <c r="H11">
        <v>7.1</v>
      </c>
      <c r="I11">
        <v>6.9</v>
      </c>
      <c r="J11">
        <v>6.9</v>
      </c>
      <c r="K11">
        <v>6.4</v>
      </c>
      <c r="L11" s="1"/>
    </row>
    <row r="12" spans="1:12">
      <c r="A12" t="s">
        <v>60</v>
      </c>
      <c r="B12">
        <v>8.3</v>
      </c>
      <c r="C12">
        <v>7.8</v>
      </c>
      <c r="D12">
        <v>8</v>
      </c>
      <c r="E12">
        <v>7.7</v>
      </c>
      <c r="F12">
        <v>7.7</v>
      </c>
      <c r="G12">
        <v>7.5</v>
      </c>
      <c r="H12">
        <v>7.8</v>
      </c>
      <c r="I12">
        <v>7.6</v>
      </c>
      <c r="J12">
        <v>5.6</v>
      </c>
      <c r="K12">
        <v>6.7</v>
      </c>
      <c r="L12" s="1"/>
    </row>
    <row r="13" spans="1:12">
      <c r="A13" t="s">
        <v>61</v>
      </c>
      <c r="B13">
        <v>8.7</v>
      </c>
      <c r="C13">
        <v>7.8</v>
      </c>
      <c r="D13">
        <v>8.3</v>
      </c>
      <c r="E13">
        <v>6.7</v>
      </c>
      <c r="F13">
        <v>7.9</v>
      </c>
      <c r="G13">
        <v>8.1</v>
      </c>
      <c r="H13">
        <v>7.3</v>
      </c>
      <c r="I13">
        <v>6.7</v>
      </c>
      <c r="J13">
        <v>5.3</v>
      </c>
      <c r="K13">
        <v>8.5</v>
      </c>
      <c r="L13" s="1"/>
    </row>
    <row r="14" spans="1:12">
      <c r="A14" t="s">
        <v>62</v>
      </c>
      <c r="B14">
        <v>8.4</v>
      </c>
      <c r="C14">
        <v>8.2</v>
      </c>
      <c r="D14">
        <v>7.4</v>
      </c>
      <c r="E14">
        <v>9</v>
      </c>
      <c r="F14">
        <v>7.3</v>
      </c>
      <c r="G14">
        <v>7.4</v>
      </c>
      <c r="H14">
        <v>8.3</v>
      </c>
      <c r="I14">
        <v>6.4</v>
      </c>
      <c r="J14">
        <v>6.4</v>
      </c>
      <c r="K14">
        <v>6.6</v>
      </c>
      <c r="L14" s="1"/>
    </row>
    <row r="15" spans="1:12">
      <c r="A15" t="s">
        <v>63</v>
      </c>
      <c r="B15">
        <v>7.3</v>
      </c>
      <c r="C15">
        <v>7.9</v>
      </c>
      <c r="D15">
        <v>8.2</v>
      </c>
      <c r="E15">
        <v>7.8</v>
      </c>
      <c r="F15">
        <v>7.5</v>
      </c>
      <c r="G15">
        <v>6.7</v>
      </c>
      <c r="H15">
        <v>5.9</v>
      </c>
      <c r="I15">
        <v>7.2</v>
      </c>
      <c r="J15">
        <v>6.3</v>
      </c>
      <c r="K15">
        <v>6.1</v>
      </c>
      <c r="L15" s="1"/>
    </row>
    <row r="16" spans="1:12">
      <c r="A16" t="s">
        <v>64</v>
      </c>
      <c r="B16">
        <v>8.1</v>
      </c>
      <c r="C16">
        <v>8.1</v>
      </c>
      <c r="D16">
        <v>7.4</v>
      </c>
      <c r="E16">
        <v>7.7</v>
      </c>
      <c r="F16">
        <v>7</v>
      </c>
      <c r="G16">
        <v>7.6</v>
      </c>
      <c r="H16">
        <v>5.4</v>
      </c>
      <c r="I16">
        <v>5.3</v>
      </c>
      <c r="J16">
        <v>6.5</v>
      </c>
      <c r="K16">
        <v>3.7</v>
      </c>
      <c r="L16" s="1"/>
    </row>
    <row r="17" spans="1:12">
      <c r="A17" t="s">
        <v>65</v>
      </c>
      <c r="B17">
        <v>7.5</v>
      </c>
      <c r="C17">
        <v>7.9</v>
      </c>
      <c r="D17">
        <v>8.5</v>
      </c>
      <c r="E17">
        <v>6.8</v>
      </c>
      <c r="F17">
        <v>8.3</v>
      </c>
      <c r="G17">
        <v>7.2</v>
      </c>
      <c r="H17">
        <v>8.2</v>
      </c>
      <c r="I17">
        <v>8.1</v>
      </c>
      <c r="J17">
        <v>6.6</v>
      </c>
      <c r="K17">
        <v>4.8</v>
      </c>
      <c r="L17" s="1"/>
    </row>
    <row r="18" spans="1:12">
      <c r="A18" t="s">
        <v>66</v>
      </c>
      <c r="B18">
        <v>8.7</v>
      </c>
      <c r="C18">
        <v>8</v>
      </c>
      <c r="D18">
        <v>8.9</v>
      </c>
      <c r="E18">
        <v>7.5</v>
      </c>
      <c r="F18">
        <v>6.7</v>
      </c>
      <c r="G18">
        <v>7.8</v>
      </c>
      <c r="H18">
        <v>6.2</v>
      </c>
      <c r="I18">
        <v>4.9</v>
      </c>
      <c r="J18">
        <v>5.8</v>
      </c>
      <c r="K18">
        <v>5.7</v>
      </c>
      <c r="L18" s="1"/>
    </row>
    <row r="19" spans="1:12">
      <c r="A19" t="s">
        <v>67</v>
      </c>
      <c r="B19">
        <v>8.6</v>
      </c>
      <c r="C19">
        <v>7.3</v>
      </c>
      <c r="D19">
        <v>8.3</v>
      </c>
      <c r="E19">
        <v>7</v>
      </c>
      <c r="F19">
        <v>7.6</v>
      </c>
      <c r="G19">
        <v>6.5</v>
      </c>
      <c r="H19">
        <v>7.6</v>
      </c>
      <c r="I19">
        <v>6.5</v>
      </c>
      <c r="J19">
        <v>5.3</v>
      </c>
      <c r="K19">
        <v>7.5</v>
      </c>
      <c r="L19" s="1"/>
    </row>
    <row r="20" spans="1:12">
      <c r="A20" t="s">
        <v>68</v>
      </c>
      <c r="B20">
        <v>8.6</v>
      </c>
      <c r="C20">
        <v>8.6</v>
      </c>
      <c r="D20">
        <v>7.9</v>
      </c>
      <c r="E20">
        <v>7.9</v>
      </c>
      <c r="F20">
        <v>6.8</v>
      </c>
      <c r="G20">
        <v>8.5</v>
      </c>
      <c r="H20">
        <v>6.9</v>
      </c>
      <c r="I20">
        <v>5.4</v>
      </c>
      <c r="J20">
        <v>8.4</v>
      </c>
      <c r="K20">
        <v>6.9</v>
      </c>
      <c r="L20" s="1"/>
    </row>
    <row r="21" spans="1:12">
      <c r="A21" t="s">
        <v>69</v>
      </c>
      <c r="B21">
        <v>7.3</v>
      </c>
      <c r="C21">
        <v>7.9</v>
      </c>
      <c r="D21">
        <v>8.3</v>
      </c>
      <c r="E21">
        <v>7.8</v>
      </c>
      <c r="F21">
        <v>6.4</v>
      </c>
      <c r="G21">
        <v>8.3</v>
      </c>
      <c r="H21">
        <v>7.1</v>
      </c>
      <c r="I21">
        <v>7.3</v>
      </c>
      <c r="J21">
        <v>4.8</v>
      </c>
      <c r="K21">
        <v>5.1</v>
      </c>
      <c r="L21" s="1"/>
    </row>
    <row r="22" spans="1:12">
      <c r="A22" t="s">
        <v>70</v>
      </c>
      <c r="B22">
        <v>7.3</v>
      </c>
      <c r="C22">
        <v>8.1</v>
      </c>
      <c r="D22">
        <v>8.5</v>
      </c>
      <c r="E22">
        <v>8</v>
      </c>
      <c r="F22">
        <v>6.7</v>
      </c>
      <c r="G22">
        <v>7.2</v>
      </c>
      <c r="H22">
        <v>7.7</v>
      </c>
      <c r="I22">
        <v>6.7</v>
      </c>
      <c r="J22">
        <v>6.2</v>
      </c>
      <c r="K22">
        <v>5.2</v>
      </c>
      <c r="L22" s="1"/>
    </row>
    <row r="23" spans="1:12">
      <c r="A23" t="s">
        <v>71</v>
      </c>
      <c r="B23">
        <v>9</v>
      </c>
      <c r="C23">
        <v>8.6</v>
      </c>
      <c r="D23">
        <v>7.7</v>
      </c>
      <c r="E23">
        <v>7.3</v>
      </c>
      <c r="F23">
        <v>8.4</v>
      </c>
      <c r="G23">
        <v>7.5</v>
      </c>
      <c r="H23">
        <v>7.4</v>
      </c>
      <c r="I23">
        <v>7.5</v>
      </c>
      <c r="J23">
        <v>5.6</v>
      </c>
      <c r="K23">
        <v>5.8</v>
      </c>
      <c r="L23" s="1"/>
    </row>
    <row r="24" spans="1:12">
      <c r="A24" t="s">
        <v>72</v>
      </c>
      <c r="B24">
        <v>7.3</v>
      </c>
      <c r="C24">
        <v>8.2</v>
      </c>
      <c r="D24">
        <v>7.8</v>
      </c>
      <c r="E24">
        <v>6.8</v>
      </c>
      <c r="F24">
        <v>9.1</v>
      </c>
      <c r="G24">
        <v>7.3</v>
      </c>
      <c r="H24">
        <v>7.9</v>
      </c>
      <c r="I24">
        <v>6.8</v>
      </c>
      <c r="J24">
        <v>5.8</v>
      </c>
      <c r="K24">
        <v>5.3</v>
      </c>
      <c r="L24" s="1"/>
    </row>
    <row r="25" spans="1:12">
      <c r="A25" t="s">
        <v>73</v>
      </c>
      <c r="B25">
        <v>8.7</v>
      </c>
      <c r="C25">
        <v>8.2</v>
      </c>
      <c r="D25">
        <v>7.2</v>
      </c>
      <c r="E25">
        <v>7.2</v>
      </c>
      <c r="F25">
        <v>7.8</v>
      </c>
      <c r="G25">
        <v>7.1</v>
      </c>
      <c r="H25">
        <v>6.6</v>
      </c>
      <c r="I25">
        <v>6.9</v>
      </c>
      <c r="J25">
        <v>6.7</v>
      </c>
      <c r="K25">
        <v>6.8</v>
      </c>
      <c r="L25" s="1"/>
    </row>
    <row r="26" spans="1:12">
      <c r="A26" t="s">
        <v>74</v>
      </c>
      <c r="B26">
        <v>8.2</v>
      </c>
      <c r="C26">
        <v>7.1</v>
      </c>
      <c r="D26">
        <v>7.5</v>
      </c>
      <c r="E26">
        <v>8</v>
      </c>
      <c r="F26">
        <v>7.5</v>
      </c>
      <c r="G26">
        <v>8.5</v>
      </c>
      <c r="H26">
        <v>7.3</v>
      </c>
      <c r="I26">
        <v>6.4</v>
      </c>
      <c r="J26">
        <v>8.7</v>
      </c>
      <c r="K26">
        <v>6.2</v>
      </c>
      <c r="L26" s="1"/>
    </row>
    <row r="27" spans="1:12">
      <c r="A27" t="s">
        <v>75</v>
      </c>
      <c r="B27">
        <v>7.7</v>
      </c>
      <c r="C27">
        <v>8.3</v>
      </c>
      <c r="D27">
        <v>8.5</v>
      </c>
      <c r="E27">
        <v>8.1</v>
      </c>
      <c r="F27">
        <v>7.4</v>
      </c>
      <c r="G27">
        <v>7.5</v>
      </c>
      <c r="H27">
        <v>8.3</v>
      </c>
      <c r="I27">
        <v>7.3</v>
      </c>
      <c r="J27">
        <v>5.6</v>
      </c>
      <c r="K27">
        <v>6.9</v>
      </c>
      <c r="L27" s="1"/>
    </row>
    <row r="28" spans="1:12">
      <c r="A28" t="s">
        <v>76</v>
      </c>
      <c r="B28">
        <v>7.6</v>
      </c>
      <c r="C28">
        <v>8.2</v>
      </c>
      <c r="D28">
        <v>8.3</v>
      </c>
      <c r="E28">
        <v>7</v>
      </c>
      <c r="F28">
        <v>6</v>
      </c>
      <c r="G28">
        <v>7.5</v>
      </c>
      <c r="H28">
        <v>7.6</v>
      </c>
      <c r="I28">
        <v>4.6</v>
      </c>
      <c r="J28">
        <v>6.6</v>
      </c>
      <c r="K28">
        <v>8</v>
      </c>
      <c r="L28" s="1"/>
    </row>
    <row r="29" spans="1:12">
      <c r="A29" t="s">
        <v>77</v>
      </c>
      <c r="B29">
        <v>8.5</v>
      </c>
      <c r="C29">
        <v>8.2</v>
      </c>
      <c r="D29">
        <v>7.8</v>
      </c>
      <c r="E29">
        <v>8.2</v>
      </c>
      <c r="F29">
        <v>6.9</v>
      </c>
      <c r="G29">
        <v>7.6</v>
      </c>
      <c r="H29">
        <v>6.8</v>
      </c>
      <c r="I29">
        <v>8.1</v>
      </c>
      <c r="J29">
        <v>6.9</v>
      </c>
      <c r="K29">
        <v>7.5</v>
      </c>
      <c r="L29" s="1"/>
    </row>
    <row r="30" spans="1:12">
      <c r="A30" t="s">
        <v>78</v>
      </c>
      <c r="B30">
        <v>8.6</v>
      </c>
      <c r="C30">
        <v>9.2</v>
      </c>
      <c r="D30">
        <v>8</v>
      </c>
      <c r="E30">
        <v>7.7</v>
      </c>
      <c r="F30">
        <v>7.3</v>
      </c>
      <c r="G30">
        <v>7.8</v>
      </c>
      <c r="H30">
        <v>7.3</v>
      </c>
      <c r="I30">
        <v>7.6</v>
      </c>
      <c r="J30">
        <v>7.1</v>
      </c>
      <c r="K30">
        <v>5.8</v>
      </c>
      <c r="L30" s="1"/>
    </row>
    <row r="31" spans="1:12">
      <c r="A31" t="s">
        <v>79</v>
      </c>
      <c r="B31">
        <v>8</v>
      </c>
      <c r="C31">
        <v>6.6</v>
      </c>
      <c r="D31">
        <v>8.4</v>
      </c>
      <c r="E31">
        <v>7.8</v>
      </c>
      <c r="F31">
        <v>7.8</v>
      </c>
      <c r="G31">
        <v>7.6</v>
      </c>
      <c r="H31">
        <v>6.5</v>
      </c>
      <c r="I31">
        <v>4.9</v>
      </c>
      <c r="J31">
        <v>6.7</v>
      </c>
      <c r="K31">
        <v>4.2</v>
      </c>
      <c r="L31" s="1"/>
    </row>
    <row r="32" spans="1:12">
      <c r="A32" t="s">
        <v>80</v>
      </c>
      <c r="B32">
        <v>8</v>
      </c>
      <c r="C32">
        <v>7.3</v>
      </c>
      <c r="D32">
        <v>8.2</v>
      </c>
      <c r="E32">
        <v>7.6</v>
      </c>
      <c r="F32">
        <v>8.6</v>
      </c>
      <c r="G32">
        <v>7.1</v>
      </c>
      <c r="H32">
        <v>6.1</v>
      </c>
      <c r="I32">
        <v>7.7</v>
      </c>
      <c r="J32">
        <v>6.1</v>
      </c>
      <c r="K32">
        <v>4.7</v>
      </c>
      <c r="L32" s="1"/>
    </row>
    <row r="33" spans="1:12">
      <c r="A33" t="s">
        <v>81</v>
      </c>
      <c r="B33">
        <v>8.8</v>
      </c>
      <c r="C33">
        <v>9</v>
      </c>
      <c r="D33">
        <v>9.4</v>
      </c>
      <c r="E33">
        <v>7.8</v>
      </c>
      <c r="F33">
        <v>8.5</v>
      </c>
      <c r="G33">
        <v>7.8</v>
      </c>
      <c r="H33">
        <v>9.2</v>
      </c>
      <c r="I33">
        <v>6.3</v>
      </c>
      <c r="J33">
        <v>8</v>
      </c>
      <c r="K33">
        <v>7.2</v>
      </c>
      <c r="L33" s="1"/>
    </row>
    <row r="34" spans="1:12">
      <c r="A34" t="s">
        <v>82</v>
      </c>
      <c r="B34">
        <v>9.4</v>
      </c>
      <c r="C34">
        <v>9.4</v>
      </c>
      <c r="D34">
        <v>9.4</v>
      </c>
      <c r="E34">
        <v>8.6</v>
      </c>
      <c r="F34">
        <v>9.4</v>
      </c>
      <c r="G34">
        <v>9.1</v>
      </c>
      <c r="H34">
        <v>9.4</v>
      </c>
      <c r="I34">
        <v>6.6</v>
      </c>
      <c r="J34">
        <v>6.5</v>
      </c>
      <c r="K34">
        <v>8.3</v>
      </c>
      <c r="L34" s="1"/>
    </row>
    <row r="35" spans="1:12">
      <c r="A35" t="s">
        <v>83</v>
      </c>
      <c r="B35">
        <v>9.4</v>
      </c>
      <c r="C35">
        <v>8.3</v>
      </c>
      <c r="D35">
        <v>9.4</v>
      </c>
      <c r="E35">
        <v>9.4</v>
      </c>
      <c r="F35">
        <v>8.9</v>
      </c>
      <c r="G35">
        <v>8.6</v>
      </c>
      <c r="H35">
        <v>8.7</v>
      </c>
      <c r="I35">
        <v>5.8</v>
      </c>
      <c r="J35">
        <v>7.1</v>
      </c>
      <c r="K35">
        <v>9.1</v>
      </c>
      <c r="L35" s="1"/>
    </row>
    <row r="36" spans="1:12">
      <c r="A36" t="s">
        <v>84</v>
      </c>
      <c r="B36">
        <v>9.4</v>
      </c>
      <c r="C36">
        <v>8.7</v>
      </c>
      <c r="D36">
        <v>8.4</v>
      </c>
      <c r="E36">
        <v>9.4</v>
      </c>
      <c r="F36">
        <v>9</v>
      </c>
      <c r="G36">
        <v>8.2</v>
      </c>
      <c r="H36">
        <v>6.7</v>
      </c>
      <c r="I36">
        <v>7.7</v>
      </c>
      <c r="J36">
        <v>7.8</v>
      </c>
      <c r="K36">
        <v>6.4</v>
      </c>
      <c r="L36" s="1"/>
    </row>
    <row r="37" spans="1:12">
      <c r="A37" t="s">
        <v>85</v>
      </c>
      <c r="B37">
        <v>8.4</v>
      </c>
      <c r="C37">
        <v>8.2</v>
      </c>
      <c r="D37">
        <v>8</v>
      </c>
      <c r="E37">
        <v>8.3</v>
      </c>
      <c r="F37">
        <v>7.8</v>
      </c>
      <c r="G37">
        <v>6.7</v>
      </c>
      <c r="H37">
        <v>6.2</v>
      </c>
      <c r="I37">
        <v>6.1</v>
      </c>
      <c r="J37">
        <v>6.1</v>
      </c>
      <c r="K37">
        <v>5.8</v>
      </c>
      <c r="L37" s="1"/>
    </row>
    <row r="38" spans="1:12">
      <c r="A38" t="s">
        <v>86</v>
      </c>
      <c r="B38">
        <v>8</v>
      </c>
      <c r="C38">
        <v>8.2</v>
      </c>
      <c r="D38">
        <v>8.1</v>
      </c>
      <c r="E38">
        <v>7.7</v>
      </c>
      <c r="F38">
        <v>6.6</v>
      </c>
      <c r="G38">
        <v>8.3</v>
      </c>
      <c r="H38">
        <v>5.7</v>
      </c>
      <c r="I38">
        <v>6.6</v>
      </c>
      <c r="J38">
        <v>7.1</v>
      </c>
      <c r="K38">
        <v>6.7</v>
      </c>
      <c r="L38" s="1"/>
    </row>
    <row r="39" spans="1:12">
      <c r="A39" t="s">
        <v>87</v>
      </c>
      <c r="B39">
        <v>7.4</v>
      </c>
      <c r="C39">
        <v>7.5</v>
      </c>
      <c r="D39">
        <v>7.6</v>
      </c>
      <c r="E39">
        <v>7.6</v>
      </c>
      <c r="F39">
        <v>7.4</v>
      </c>
      <c r="G39">
        <v>8.4</v>
      </c>
      <c r="H39">
        <v>8.2</v>
      </c>
      <c r="I39">
        <v>7.2</v>
      </c>
      <c r="J39">
        <v>5.9</v>
      </c>
      <c r="K39">
        <v>7.5</v>
      </c>
      <c r="L39" s="1"/>
    </row>
    <row r="40" spans="1:12">
      <c r="A40" t="s">
        <v>88</v>
      </c>
      <c r="B40">
        <v>8.5</v>
      </c>
      <c r="C40">
        <v>8.6</v>
      </c>
      <c r="D40">
        <v>7.6</v>
      </c>
      <c r="E40">
        <v>7.1</v>
      </c>
      <c r="F40">
        <v>8.6</v>
      </c>
      <c r="G40">
        <v>5.9</v>
      </c>
      <c r="H40">
        <v>8.6</v>
      </c>
      <c r="I40">
        <v>6.8</v>
      </c>
      <c r="J40">
        <v>7.8</v>
      </c>
      <c r="K40">
        <v>6.7</v>
      </c>
      <c r="L40" s="1"/>
    </row>
    <row r="41" spans="1:12">
      <c r="A41" t="s">
        <v>89</v>
      </c>
      <c r="B41">
        <v>8.7</v>
      </c>
      <c r="C41">
        <v>7.7</v>
      </c>
      <c r="D41">
        <v>8</v>
      </c>
      <c r="E41">
        <v>8.6</v>
      </c>
      <c r="F41">
        <v>8.5</v>
      </c>
      <c r="G41">
        <v>7.3</v>
      </c>
      <c r="H41">
        <v>8</v>
      </c>
      <c r="I41">
        <v>6.8</v>
      </c>
      <c r="J41">
        <v>4.7</v>
      </c>
      <c r="K41">
        <v>5.1</v>
      </c>
      <c r="L41" s="1"/>
    </row>
    <row r="42" spans="1:12">
      <c r="A42" t="s">
        <v>90</v>
      </c>
      <c r="B42">
        <v>7.8</v>
      </c>
      <c r="C42">
        <v>8.5</v>
      </c>
      <c r="D42">
        <v>8.6</v>
      </c>
      <c r="E42">
        <v>7.9</v>
      </c>
      <c r="F42">
        <v>8.5</v>
      </c>
      <c r="G42">
        <v>8.1</v>
      </c>
      <c r="H42">
        <v>5</v>
      </c>
      <c r="I42">
        <v>6.3</v>
      </c>
      <c r="J42">
        <v>6.6</v>
      </c>
      <c r="K42">
        <v>5.7</v>
      </c>
      <c r="L42" s="1"/>
    </row>
    <row r="43" spans="1:12">
      <c r="A43" t="s">
        <v>91</v>
      </c>
      <c r="B43">
        <v>8.6</v>
      </c>
      <c r="C43">
        <v>7.7</v>
      </c>
      <c r="D43">
        <v>7.8</v>
      </c>
      <c r="E43">
        <v>7.9</v>
      </c>
      <c r="F43">
        <v>7.2</v>
      </c>
      <c r="G43">
        <v>6.7</v>
      </c>
      <c r="H43">
        <v>7.4</v>
      </c>
      <c r="I43">
        <v>6.4</v>
      </c>
      <c r="J43">
        <v>8.1</v>
      </c>
      <c r="K43">
        <v>5.5</v>
      </c>
      <c r="L43" s="1"/>
    </row>
    <row r="44" spans="1:12">
      <c r="A44" t="s">
        <v>92</v>
      </c>
      <c r="B44">
        <v>8.1</v>
      </c>
      <c r="C44">
        <v>8.7</v>
      </c>
      <c r="D44">
        <v>7.4</v>
      </c>
      <c r="E44">
        <v>7.2</v>
      </c>
      <c r="F44">
        <v>6.8</v>
      </c>
      <c r="G44">
        <v>5.8</v>
      </c>
      <c r="H44">
        <v>8</v>
      </c>
      <c r="I44">
        <v>6.6</v>
      </c>
      <c r="J44">
        <v>7.2</v>
      </c>
      <c r="K44">
        <v>6.7</v>
      </c>
      <c r="L44" s="1"/>
    </row>
    <row r="45" spans="1:12">
      <c r="A45" t="s">
        <v>93</v>
      </c>
      <c r="B45">
        <v>8.5</v>
      </c>
      <c r="C45">
        <v>7.7</v>
      </c>
      <c r="D45">
        <v>7.1</v>
      </c>
      <c r="E45">
        <v>7.9</v>
      </c>
      <c r="F45">
        <v>7.2</v>
      </c>
      <c r="G45">
        <v>6.7</v>
      </c>
      <c r="H45">
        <v>7.8</v>
      </c>
      <c r="I45">
        <v>6.9</v>
      </c>
      <c r="J45">
        <v>8.6</v>
      </c>
      <c r="K45">
        <v>5.2</v>
      </c>
      <c r="L45" s="1"/>
    </row>
    <row r="46" spans="1:12">
      <c r="A46" t="s">
        <v>94</v>
      </c>
      <c r="B46">
        <v>8.1</v>
      </c>
      <c r="C46">
        <v>8.3</v>
      </c>
      <c r="D46">
        <v>7.3</v>
      </c>
      <c r="E46">
        <v>6.8</v>
      </c>
      <c r="F46">
        <v>8.6</v>
      </c>
      <c r="G46">
        <v>7.9</v>
      </c>
      <c r="H46">
        <v>7.6</v>
      </c>
      <c r="I46">
        <v>7.9</v>
      </c>
      <c r="J46">
        <v>6.7</v>
      </c>
      <c r="K46">
        <v>6.5</v>
      </c>
      <c r="L46" s="1"/>
    </row>
    <row r="47" spans="1:12">
      <c r="A47" t="s">
        <v>95</v>
      </c>
      <c r="B47">
        <v>8.6</v>
      </c>
      <c r="C47">
        <v>7.9</v>
      </c>
      <c r="D47">
        <v>7.1</v>
      </c>
      <c r="E47">
        <v>8.9</v>
      </c>
      <c r="F47">
        <v>7.3</v>
      </c>
      <c r="G47">
        <v>7.8</v>
      </c>
      <c r="H47">
        <v>7.7</v>
      </c>
      <c r="I47">
        <v>5.7</v>
      </c>
      <c r="J47">
        <v>7.6</v>
      </c>
      <c r="K47">
        <v>6.7</v>
      </c>
      <c r="L47" s="1"/>
    </row>
    <row r="48" spans="1:12">
      <c r="A48" t="s">
        <v>96</v>
      </c>
      <c r="B48">
        <v>8.9</v>
      </c>
      <c r="C48">
        <v>6.7</v>
      </c>
      <c r="D48">
        <v>8</v>
      </c>
      <c r="E48">
        <v>8.5</v>
      </c>
      <c r="F48">
        <v>7.9</v>
      </c>
      <c r="G48">
        <v>7.6</v>
      </c>
      <c r="H48">
        <v>7.1</v>
      </c>
      <c r="I48">
        <v>6.7</v>
      </c>
      <c r="J48">
        <v>7.5</v>
      </c>
      <c r="K48">
        <v>6.2</v>
      </c>
      <c r="L48" s="1"/>
    </row>
    <row r="49" spans="1:12">
      <c r="A49" t="s">
        <v>97</v>
      </c>
      <c r="B49">
        <v>8.6</v>
      </c>
      <c r="C49">
        <v>6.6</v>
      </c>
      <c r="D49">
        <v>9.2</v>
      </c>
      <c r="E49">
        <v>7.5</v>
      </c>
      <c r="F49">
        <v>7.7</v>
      </c>
      <c r="G49">
        <v>9.4</v>
      </c>
      <c r="H49">
        <v>6.7</v>
      </c>
      <c r="I49">
        <v>6.7</v>
      </c>
      <c r="J49">
        <v>8</v>
      </c>
      <c r="K49">
        <v>4.3</v>
      </c>
      <c r="L49" s="1"/>
    </row>
    <row r="50" spans="1:12">
      <c r="A50" t="s">
        <v>98</v>
      </c>
      <c r="B50">
        <v>8.2</v>
      </c>
      <c r="C50">
        <v>8.2</v>
      </c>
      <c r="D50">
        <v>7.8</v>
      </c>
      <c r="E50">
        <v>7.5</v>
      </c>
      <c r="F50">
        <v>6.7</v>
      </c>
      <c r="G50">
        <v>6.7</v>
      </c>
      <c r="H50">
        <v>7.7</v>
      </c>
      <c r="I50">
        <v>8.3</v>
      </c>
      <c r="J50">
        <v>7.5</v>
      </c>
      <c r="K50">
        <v>5.9</v>
      </c>
      <c r="L50" s="1"/>
    </row>
    <row r="51" spans="1:12">
      <c r="A51" t="s">
        <v>99</v>
      </c>
      <c r="B51">
        <v>8.3</v>
      </c>
      <c r="C51">
        <v>8.6</v>
      </c>
      <c r="D51">
        <v>8.3</v>
      </c>
      <c r="E51">
        <v>7.4</v>
      </c>
      <c r="F51">
        <v>9.4</v>
      </c>
      <c r="G51">
        <v>6.3</v>
      </c>
      <c r="H51">
        <v>6.8</v>
      </c>
      <c r="I51">
        <v>6</v>
      </c>
      <c r="J51">
        <v>6.7</v>
      </c>
      <c r="K51">
        <v>6.7</v>
      </c>
      <c r="L51" s="1"/>
    </row>
    <row r="52" spans="1:12">
      <c r="A52" t="s">
        <v>100</v>
      </c>
      <c r="B52">
        <v>8.5</v>
      </c>
      <c r="C52">
        <v>7.8</v>
      </c>
      <c r="D52">
        <v>7.1</v>
      </c>
      <c r="E52">
        <v>6.9</v>
      </c>
      <c r="F52">
        <v>6.9</v>
      </c>
      <c r="G52">
        <v>7.5</v>
      </c>
      <c r="H52">
        <v>6.4</v>
      </c>
      <c r="I52">
        <v>6.7</v>
      </c>
      <c r="J52">
        <v>7.9</v>
      </c>
      <c r="K52">
        <v>4.6</v>
      </c>
      <c r="L52" s="1"/>
    </row>
    <row r="53" spans="1:12">
      <c r="A53" t="s">
        <v>101</v>
      </c>
      <c r="B53">
        <v>7.8</v>
      </c>
      <c r="C53">
        <v>6.4</v>
      </c>
      <c r="D53">
        <v>8.3</v>
      </c>
      <c r="E53">
        <v>7.8</v>
      </c>
      <c r="F53">
        <v>6</v>
      </c>
      <c r="G53">
        <v>6.9</v>
      </c>
      <c r="H53">
        <v>8.1</v>
      </c>
      <c r="I53">
        <v>7.6</v>
      </c>
      <c r="J53">
        <v>5.9</v>
      </c>
      <c r="K53">
        <v>4.8</v>
      </c>
      <c r="L53" s="1"/>
    </row>
    <row r="54" spans="1:12">
      <c r="A54" t="s">
        <v>102</v>
      </c>
      <c r="B54">
        <v>7.8</v>
      </c>
      <c r="C54">
        <v>8.6</v>
      </c>
      <c r="D54">
        <v>7.7</v>
      </c>
      <c r="E54">
        <v>6.9</v>
      </c>
      <c r="F54">
        <v>7.9</v>
      </c>
      <c r="G54">
        <v>6.1</v>
      </c>
      <c r="H54">
        <v>7.9</v>
      </c>
      <c r="I54">
        <v>6.9</v>
      </c>
      <c r="J54">
        <v>7.3</v>
      </c>
      <c r="K54">
        <v>7.5</v>
      </c>
      <c r="L54" s="1"/>
    </row>
    <row r="55" spans="1:12">
      <c r="A55" t="s">
        <v>103</v>
      </c>
      <c r="B55">
        <v>8.7</v>
      </c>
      <c r="C55">
        <v>8.5</v>
      </c>
      <c r="D55">
        <v>8.6</v>
      </c>
      <c r="E55">
        <v>7.2</v>
      </c>
      <c r="F55">
        <v>7.5</v>
      </c>
      <c r="G55">
        <v>6.8</v>
      </c>
      <c r="H55">
        <v>6.7</v>
      </c>
      <c r="I55">
        <v>6.4</v>
      </c>
      <c r="J55">
        <v>6.6</v>
      </c>
      <c r="K55">
        <v>4.6</v>
      </c>
      <c r="L55" s="1"/>
    </row>
    <row r="56" spans="1:12">
      <c r="A56" t="s">
        <v>104</v>
      </c>
      <c r="B56">
        <v>7.3</v>
      </c>
      <c r="C56">
        <v>7.6</v>
      </c>
      <c r="D56">
        <v>7.5</v>
      </c>
      <c r="E56">
        <v>8.1</v>
      </c>
      <c r="F56">
        <v>7.7</v>
      </c>
      <c r="G56">
        <v>7.2</v>
      </c>
      <c r="H56">
        <v>7</v>
      </c>
      <c r="I56">
        <v>6.4</v>
      </c>
      <c r="J56">
        <v>6.6</v>
      </c>
      <c r="K56">
        <v>4.8</v>
      </c>
      <c r="L56" s="1"/>
    </row>
    <row r="57" spans="1:12">
      <c r="A57" t="s">
        <v>105</v>
      </c>
      <c r="B57">
        <v>8.4</v>
      </c>
      <c r="C57">
        <v>7.6</v>
      </c>
      <c r="D57">
        <v>7.5</v>
      </c>
      <c r="E57">
        <v>8.1</v>
      </c>
      <c r="F57">
        <v>7.9</v>
      </c>
      <c r="G57">
        <v>7.2</v>
      </c>
      <c r="H57">
        <v>6.9</v>
      </c>
      <c r="I57">
        <v>6.3</v>
      </c>
      <c r="J57">
        <v>7</v>
      </c>
      <c r="K57">
        <v>7.2</v>
      </c>
      <c r="L57" s="1"/>
    </row>
    <row r="58" spans="1:12">
      <c r="A58" t="s">
        <v>106</v>
      </c>
      <c r="B58">
        <v>8.6</v>
      </c>
      <c r="C58">
        <v>7.4</v>
      </c>
      <c r="D58">
        <v>8.2</v>
      </c>
      <c r="E58">
        <v>7.5</v>
      </c>
      <c r="F58">
        <v>7.4</v>
      </c>
      <c r="G58">
        <v>6.8</v>
      </c>
      <c r="H58">
        <v>6.2</v>
      </c>
      <c r="I58">
        <v>7</v>
      </c>
      <c r="J58">
        <v>5</v>
      </c>
      <c r="K58">
        <v>6.5</v>
      </c>
      <c r="L58" s="1"/>
    </row>
    <row r="59" spans="1:12">
      <c r="A59" t="s">
        <v>107</v>
      </c>
      <c r="B59">
        <v>8</v>
      </c>
      <c r="C59">
        <v>7.9</v>
      </c>
      <c r="D59">
        <v>8.6</v>
      </c>
      <c r="E59">
        <v>7.3</v>
      </c>
      <c r="F59">
        <v>7.6</v>
      </c>
      <c r="G59">
        <v>6.7</v>
      </c>
      <c r="H59">
        <v>6.8</v>
      </c>
      <c r="I59">
        <v>7.3</v>
      </c>
      <c r="J59">
        <v>7.3</v>
      </c>
      <c r="K59">
        <v>6.7</v>
      </c>
      <c r="L59" s="1"/>
    </row>
    <row r="60" spans="1:12">
      <c r="A60" t="s">
        <v>108</v>
      </c>
      <c r="B60">
        <v>7.2</v>
      </c>
      <c r="C60">
        <v>8.5</v>
      </c>
      <c r="D60">
        <v>9</v>
      </c>
      <c r="E60">
        <v>8.1</v>
      </c>
      <c r="F60">
        <v>8.7</v>
      </c>
      <c r="G60">
        <v>8.7</v>
      </c>
      <c r="H60">
        <v>7.9</v>
      </c>
      <c r="I60">
        <v>5.4</v>
      </c>
      <c r="J60">
        <v>5.1</v>
      </c>
      <c r="K60">
        <v>6.8</v>
      </c>
      <c r="L60" s="1"/>
    </row>
    <row r="61" spans="1:12">
      <c r="A61" t="s">
        <v>109</v>
      </c>
      <c r="B61">
        <v>8.4</v>
      </c>
      <c r="C61">
        <v>8.5</v>
      </c>
      <c r="D61">
        <v>6.9</v>
      </c>
      <c r="E61">
        <v>7.3</v>
      </c>
      <c r="F61">
        <v>7.9</v>
      </c>
      <c r="G61">
        <v>6.7</v>
      </c>
      <c r="H61">
        <v>5.7</v>
      </c>
      <c r="I61">
        <v>5.2</v>
      </c>
      <c r="J61">
        <v>6.2</v>
      </c>
      <c r="K61">
        <v>5.4</v>
      </c>
      <c r="L61" s="1"/>
    </row>
    <row r="62" spans="1:12">
      <c r="A62" t="s">
        <v>110</v>
      </c>
      <c r="B62">
        <v>8.6</v>
      </c>
      <c r="C62">
        <v>8.2</v>
      </c>
      <c r="D62">
        <v>6.9</v>
      </c>
      <c r="E62">
        <v>7.6</v>
      </c>
      <c r="F62">
        <v>6.8</v>
      </c>
      <c r="G62">
        <v>8.2</v>
      </c>
      <c r="H62">
        <v>9.4</v>
      </c>
      <c r="I62">
        <v>5.9</v>
      </c>
      <c r="J62">
        <v>5</v>
      </c>
      <c r="K62">
        <v>6.8</v>
      </c>
      <c r="L62" s="1"/>
    </row>
    <row r="63" spans="1:12">
      <c r="A63" t="s">
        <v>111</v>
      </c>
      <c r="B63">
        <v>8</v>
      </c>
      <c r="C63">
        <v>7.4</v>
      </c>
      <c r="D63">
        <v>8.8</v>
      </c>
      <c r="E63">
        <v>8.3</v>
      </c>
      <c r="F63">
        <v>6.9</v>
      </c>
      <c r="G63">
        <v>8</v>
      </c>
      <c r="H63">
        <v>7.4</v>
      </c>
      <c r="I63">
        <v>7.2</v>
      </c>
      <c r="J63">
        <v>6.5</v>
      </c>
      <c r="K63">
        <v>5.4</v>
      </c>
      <c r="L63" s="1"/>
    </row>
    <row r="64" spans="1:12">
      <c r="A64" t="s">
        <v>112</v>
      </c>
      <c r="B64">
        <v>7.6</v>
      </c>
      <c r="C64">
        <v>8.2</v>
      </c>
      <c r="D64">
        <v>7.8</v>
      </c>
      <c r="E64">
        <v>8</v>
      </c>
      <c r="F64">
        <v>7.9</v>
      </c>
      <c r="G64">
        <v>6.7</v>
      </c>
      <c r="H64">
        <v>5.7</v>
      </c>
      <c r="I64">
        <v>6.8</v>
      </c>
      <c r="J64">
        <v>8.3</v>
      </c>
      <c r="K64">
        <v>8.1</v>
      </c>
      <c r="L64" s="1"/>
    </row>
    <row r="65" spans="1:12">
      <c r="A65" t="s">
        <v>113</v>
      </c>
      <c r="B65">
        <v>8.1</v>
      </c>
      <c r="C65">
        <v>7.5</v>
      </c>
      <c r="D65">
        <v>7.9</v>
      </c>
      <c r="E65">
        <v>7.9</v>
      </c>
      <c r="F65">
        <v>8</v>
      </c>
      <c r="G65">
        <v>7.9</v>
      </c>
      <c r="H65">
        <v>5.6</v>
      </c>
      <c r="I65">
        <v>8.7</v>
      </c>
      <c r="J65">
        <v>7.8</v>
      </c>
      <c r="K65">
        <v>7.2</v>
      </c>
      <c r="L65" s="1"/>
    </row>
    <row r="66" spans="1:12">
      <c r="A66" t="s">
        <v>114</v>
      </c>
      <c r="B66">
        <v>7.4</v>
      </c>
      <c r="C66">
        <v>8.4</v>
      </c>
      <c r="D66">
        <v>8.9</v>
      </c>
      <c r="E66">
        <v>8.5</v>
      </c>
      <c r="F66">
        <v>7.9</v>
      </c>
      <c r="G66">
        <v>6.5</v>
      </c>
      <c r="H66">
        <v>6.1</v>
      </c>
      <c r="I66">
        <v>6.9</v>
      </c>
      <c r="J66">
        <v>8.3</v>
      </c>
      <c r="K66">
        <v>5</v>
      </c>
      <c r="L66" s="1"/>
    </row>
    <row r="67" spans="1:12">
      <c r="A67" t="s">
        <v>115</v>
      </c>
      <c r="B67">
        <v>8.1</v>
      </c>
      <c r="C67">
        <v>8.7</v>
      </c>
      <c r="D67">
        <v>8</v>
      </c>
      <c r="E67">
        <v>6.9</v>
      </c>
      <c r="F67">
        <v>7.7</v>
      </c>
      <c r="G67">
        <v>8.6</v>
      </c>
      <c r="H67">
        <v>8.1</v>
      </c>
      <c r="I67">
        <v>7.1</v>
      </c>
      <c r="J67">
        <v>7.7</v>
      </c>
      <c r="K67">
        <v>5.5</v>
      </c>
      <c r="L67" s="1"/>
    </row>
    <row r="68" spans="1:12">
      <c r="A68" t="s">
        <v>116</v>
      </c>
      <c r="B68">
        <v>8.9</v>
      </c>
      <c r="C68">
        <v>8.4</v>
      </c>
      <c r="D68">
        <v>7.1</v>
      </c>
      <c r="E68">
        <v>8.7</v>
      </c>
      <c r="F68">
        <v>8.9</v>
      </c>
      <c r="G68">
        <v>6.7</v>
      </c>
      <c r="H68">
        <v>8.9</v>
      </c>
      <c r="I68">
        <v>6.5</v>
      </c>
      <c r="J68">
        <v>6.2</v>
      </c>
      <c r="K68">
        <v>4.8</v>
      </c>
      <c r="L68" s="1"/>
    </row>
    <row r="69" spans="1:12">
      <c r="A69" t="s">
        <v>117</v>
      </c>
      <c r="B69">
        <v>8.9</v>
      </c>
      <c r="C69">
        <v>8.5</v>
      </c>
      <c r="D69">
        <v>7.7</v>
      </c>
      <c r="E69">
        <v>8.7</v>
      </c>
      <c r="F69">
        <v>7.4</v>
      </c>
      <c r="G69">
        <v>7.3</v>
      </c>
      <c r="H69">
        <v>6.6</v>
      </c>
      <c r="I69">
        <v>6.7</v>
      </c>
      <c r="J69">
        <v>7.4</v>
      </c>
      <c r="K69">
        <v>4.8</v>
      </c>
      <c r="L69" s="1"/>
    </row>
    <row r="70" spans="1:12">
      <c r="A70" t="s">
        <v>118</v>
      </c>
      <c r="B70">
        <v>8.2</v>
      </c>
      <c r="C70">
        <v>7.3</v>
      </c>
      <c r="D70">
        <v>8.1</v>
      </c>
      <c r="E70">
        <v>8.2</v>
      </c>
      <c r="F70">
        <v>7.2</v>
      </c>
      <c r="G70">
        <v>6.7</v>
      </c>
      <c r="H70">
        <v>5.5</v>
      </c>
      <c r="I70">
        <v>7.8</v>
      </c>
      <c r="J70">
        <v>7.1</v>
      </c>
      <c r="K70">
        <v>4.9</v>
      </c>
      <c r="L70" s="1"/>
    </row>
    <row r="71" spans="1:12">
      <c r="A71" t="s">
        <v>119</v>
      </c>
      <c r="B71">
        <v>7.9</v>
      </c>
      <c r="C71">
        <v>7.2</v>
      </c>
      <c r="D71">
        <v>8.1</v>
      </c>
      <c r="E71">
        <v>8.2</v>
      </c>
      <c r="F71">
        <v>7.9</v>
      </c>
      <c r="G71">
        <v>7.9</v>
      </c>
      <c r="H71">
        <v>7</v>
      </c>
      <c r="I71">
        <v>6.3</v>
      </c>
      <c r="J71">
        <v>5.4</v>
      </c>
      <c r="K71">
        <v>6.4</v>
      </c>
      <c r="L71" s="1"/>
    </row>
    <row r="72" spans="1:12">
      <c r="A72" t="s">
        <v>120</v>
      </c>
      <c r="B72">
        <v>8.2</v>
      </c>
      <c r="C72">
        <v>8.5</v>
      </c>
      <c r="D72">
        <v>6.7</v>
      </c>
      <c r="E72">
        <v>7.5</v>
      </c>
      <c r="F72">
        <v>8.1</v>
      </c>
      <c r="G72">
        <v>6.4</v>
      </c>
      <c r="H72">
        <v>7.6</v>
      </c>
      <c r="I72">
        <v>8.6</v>
      </c>
      <c r="J72">
        <v>7.4</v>
      </c>
      <c r="K72">
        <v>7</v>
      </c>
      <c r="L72" s="1"/>
    </row>
    <row r="73" spans="1:12">
      <c r="A73" t="s">
        <v>121</v>
      </c>
      <c r="B73">
        <v>7.3</v>
      </c>
      <c r="C73">
        <v>8.4</v>
      </c>
      <c r="D73">
        <v>7.8</v>
      </c>
      <c r="E73">
        <v>7.2</v>
      </c>
      <c r="F73">
        <v>7.6</v>
      </c>
      <c r="G73">
        <v>7.1</v>
      </c>
      <c r="H73">
        <v>6.8</v>
      </c>
      <c r="I73">
        <v>6</v>
      </c>
      <c r="J73">
        <v>8.5</v>
      </c>
      <c r="K73">
        <v>7.5</v>
      </c>
      <c r="L73" s="1"/>
    </row>
    <row r="74" spans="1:12">
      <c r="A74" t="s">
        <v>122</v>
      </c>
      <c r="B74">
        <v>7.6</v>
      </c>
      <c r="C74">
        <v>7.3</v>
      </c>
      <c r="D74">
        <v>7.9</v>
      </c>
      <c r="E74">
        <v>7.9</v>
      </c>
      <c r="F74">
        <v>6.5</v>
      </c>
      <c r="G74">
        <v>6.3</v>
      </c>
      <c r="H74">
        <v>5.2</v>
      </c>
      <c r="I74">
        <v>7.3</v>
      </c>
      <c r="J74">
        <v>6.5</v>
      </c>
      <c r="K74">
        <v>6.8</v>
      </c>
      <c r="L74" s="1"/>
    </row>
    <row r="75" spans="1:12">
      <c r="A75" t="s">
        <v>123</v>
      </c>
      <c r="B75">
        <v>7.8</v>
      </c>
      <c r="C75">
        <v>7.3</v>
      </c>
      <c r="D75">
        <v>7.6</v>
      </c>
      <c r="E75">
        <v>7</v>
      </c>
      <c r="F75">
        <v>6.6</v>
      </c>
      <c r="G75">
        <v>7.1</v>
      </c>
      <c r="H75">
        <v>8.4</v>
      </c>
      <c r="I75">
        <v>6.4</v>
      </c>
      <c r="J75">
        <v>6.7</v>
      </c>
      <c r="K75">
        <v>6.7</v>
      </c>
      <c r="L75" s="1"/>
    </row>
    <row r="76" spans="1:12">
      <c r="A76" t="s">
        <v>124</v>
      </c>
      <c r="B76">
        <v>8.1</v>
      </c>
      <c r="C76">
        <v>6.7</v>
      </c>
      <c r="D76">
        <v>7.4</v>
      </c>
      <c r="E76">
        <v>7.4</v>
      </c>
      <c r="F76">
        <v>7.8</v>
      </c>
      <c r="G76">
        <v>6.3</v>
      </c>
      <c r="H76">
        <v>6.1</v>
      </c>
      <c r="I76">
        <v>4.8</v>
      </c>
      <c r="J76">
        <v>7.4</v>
      </c>
      <c r="K76">
        <v>5</v>
      </c>
      <c r="L76" s="1"/>
    </row>
    <row r="77" spans="1:12">
      <c r="A77" t="s">
        <v>125</v>
      </c>
      <c r="B77">
        <v>9.4</v>
      </c>
      <c r="C77">
        <v>9.4</v>
      </c>
      <c r="D77">
        <v>8.9</v>
      </c>
      <c r="E77">
        <v>8.3</v>
      </c>
      <c r="F77">
        <v>7.3</v>
      </c>
      <c r="G77">
        <v>8.8</v>
      </c>
      <c r="H77">
        <v>6.3</v>
      </c>
      <c r="I77">
        <v>8.5</v>
      </c>
      <c r="J77">
        <v>7.4</v>
      </c>
      <c r="K77">
        <v>4.6</v>
      </c>
      <c r="L77" s="1"/>
    </row>
    <row r="78" spans="1:12">
      <c r="A78" t="s">
        <v>126</v>
      </c>
      <c r="B78">
        <v>8.5</v>
      </c>
      <c r="C78">
        <v>9</v>
      </c>
      <c r="D78">
        <v>8.6</v>
      </c>
      <c r="E78">
        <v>9</v>
      </c>
      <c r="F78">
        <v>8</v>
      </c>
      <c r="G78">
        <v>8</v>
      </c>
      <c r="H78">
        <v>8.4</v>
      </c>
      <c r="I78">
        <v>6.4</v>
      </c>
      <c r="J78">
        <v>7.1</v>
      </c>
      <c r="K78">
        <v>6.7</v>
      </c>
      <c r="L78" s="1"/>
    </row>
    <row r="79" spans="1:12">
      <c r="A79" t="s">
        <v>127</v>
      </c>
      <c r="B79">
        <v>8.4</v>
      </c>
      <c r="C79">
        <v>8.3</v>
      </c>
      <c r="D79">
        <v>8.5</v>
      </c>
      <c r="E79">
        <v>7.6</v>
      </c>
      <c r="F79">
        <v>8</v>
      </c>
      <c r="G79">
        <v>6.5</v>
      </c>
      <c r="H79">
        <v>8.1</v>
      </c>
      <c r="I79">
        <v>7.1</v>
      </c>
      <c r="J79">
        <v>6.1</v>
      </c>
      <c r="K79">
        <v>5.3</v>
      </c>
      <c r="L79" s="1"/>
    </row>
    <row r="80" spans="1:12">
      <c r="A80" t="s">
        <v>128</v>
      </c>
      <c r="B80">
        <v>8</v>
      </c>
      <c r="C80">
        <v>7.8</v>
      </c>
      <c r="D80">
        <v>7.8</v>
      </c>
      <c r="E80">
        <v>6.9</v>
      </c>
      <c r="F80">
        <v>7.1</v>
      </c>
      <c r="G80">
        <v>7.3</v>
      </c>
      <c r="H80">
        <v>4.9</v>
      </c>
      <c r="I80">
        <v>7</v>
      </c>
      <c r="J80">
        <v>8.5</v>
      </c>
      <c r="K80">
        <v>3.9</v>
      </c>
      <c r="L80" s="1"/>
    </row>
    <row r="81" spans="1:12">
      <c r="A81" t="s">
        <v>129</v>
      </c>
      <c r="B81">
        <v>8</v>
      </c>
      <c r="C81">
        <v>7.9</v>
      </c>
      <c r="D81">
        <v>7.1</v>
      </c>
      <c r="E81">
        <v>7.9</v>
      </c>
      <c r="F81">
        <v>6.8</v>
      </c>
      <c r="G81">
        <v>7.5</v>
      </c>
      <c r="H81">
        <v>5.9</v>
      </c>
      <c r="I81">
        <v>6.7</v>
      </c>
      <c r="J81">
        <v>7</v>
      </c>
      <c r="K81">
        <v>4.4</v>
      </c>
      <c r="L81" s="1"/>
    </row>
    <row r="82" spans="1:12">
      <c r="A82" t="s">
        <v>130</v>
      </c>
      <c r="B82">
        <v>8.7</v>
      </c>
      <c r="C82">
        <v>7.2</v>
      </c>
      <c r="D82">
        <v>7.5</v>
      </c>
      <c r="E82">
        <v>7.8</v>
      </c>
      <c r="F82">
        <v>7.5</v>
      </c>
      <c r="G82">
        <v>7.5</v>
      </c>
      <c r="H82">
        <v>8</v>
      </c>
      <c r="I82">
        <v>5.8</v>
      </c>
      <c r="J82">
        <v>5.3</v>
      </c>
      <c r="K82">
        <v>8</v>
      </c>
      <c r="L82" s="1"/>
    </row>
    <row r="83" spans="1:12">
      <c r="A83" t="s">
        <v>131</v>
      </c>
      <c r="B83">
        <v>8.1</v>
      </c>
      <c r="C83">
        <v>7.4</v>
      </c>
      <c r="D83">
        <v>6.7</v>
      </c>
      <c r="E83">
        <v>7.6</v>
      </c>
      <c r="F83">
        <v>7.7</v>
      </c>
      <c r="G83">
        <v>6.6</v>
      </c>
      <c r="H83">
        <v>6.5</v>
      </c>
      <c r="I83">
        <v>6.8</v>
      </c>
      <c r="J83">
        <v>6.4</v>
      </c>
      <c r="K83">
        <v>4.5</v>
      </c>
      <c r="L83" s="1"/>
    </row>
    <row r="84" spans="1:12">
      <c r="A84" t="s">
        <v>132</v>
      </c>
      <c r="B84">
        <v>6.9</v>
      </c>
      <c r="C84">
        <v>8.2</v>
      </c>
      <c r="D84">
        <v>8.2</v>
      </c>
      <c r="E84">
        <v>8.1</v>
      </c>
      <c r="F84">
        <v>7.4</v>
      </c>
      <c r="G84">
        <v>6.4</v>
      </c>
      <c r="H84">
        <v>6.7</v>
      </c>
      <c r="I84">
        <v>6.1</v>
      </c>
      <c r="J84">
        <v>5.8</v>
      </c>
      <c r="K84">
        <v>5.5</v>
      </c>
      <c r="L84" s="1"/>
    </row>
    <row r="85" spans="1:12">
      <c r="A85" t="s">
        <v>133</v>
      </c>
      <c r="B85">
        <v>7.9</v>
      </c>
      <c r="C85">
        <v>8</v>
      </c>
      <c r="D85">
        <v>7.8</v>
      </c>
      <c r="E85">
        <v>8.1</v>
      </c>
      <c r="F85">
        <v>8.5</v>
      </c>
      <c r="G85">
        <v>6.3</v>
      </c>
      <c r="H85">
        <v>5</v>
      </c>
      <c r="I85">
        <v>6.7</v>
      </c>
      <c r="J85">
        <v>4.9</v>
      </c>
      <c r="K85">
        <v>6.4</v>
      </c>
      <c r="L85" s="1"/>
    </row>
    <row r="86" spans="1:12">
      <c r="A86" t="s">
        <v>134</v>
      </c>
      <c r="B86">
        <v>7.7</v>
      </c>
      <c r="C86">
        <v>7.7</v>
      </c>
      <c r="D86">
        <v>7.9</v>
      </c>
      <c r="E86">
        <v>7.6</v>
      </c>
      <c r="F86">
        <v>7.5</v>
      </c>
      <c r="G86">
        <v>6.7</v>
      </c>
      <c r="H86">
        <v>6.7</v>
      </c>
      <c r="I86">
        <v>5.9</v>
      </c>
      <c r="J86">
        <v>6.1</v>
      </c>
      <c r="K86">
        <v>4.6</v>
      </c>
      <c r="L86" s="1"/>
    </row>
    <row r="87" spans="1:12">
      <c r="A87" t="s">
        <v>135</v>
      </c>
      <c r="B87">
        <v>7.3</v>
      </c>
      <c r="C87">
        <v>7.1</v>
      </c>
      <c r="D87">
        <v>7.4</v>
      </c>
      <c r="E87">
        <v>8.1</v>
      </c>
      <c r="F87">
        <v>7.4</v>
      </c>
      <c r="G87">
        <v>6.9</v>
      </c>
      <c r="H87">
        <v>7.2</v>
      </c>
      <c r="I87">
        <v>5</v>
      </c>
      <c r="J87">
        <v>6.4</v>
      </c>
      <c r="K87">
        <v>5.6</v>
      </c>
      <c r="L87" s="1"/>
    </row>
    <row r="88" spans="1:12">
      <c r="A88" t="s">
        <v>136</v>
      </c>
      <c r="B88">
        <v>9</v>
      </c>
      <c r="C88">
        <v>7</v>
      </c>
      <c r="D88">
        <v>6.7</v>
      </c>
      <c r="E88">
        <v>7.3</v>
      </c>
      <c r="F88">
        <v>7.5</v>
      </c>
      <c r="G88">
        <v>5.9</v>
      </c>
      <c r="H88">
        <v>7.6</v>
      </c>
      <c r="I88">
        <v>5.5</v>
      </c>
      <c r="J88">
        <v>5.9</v>
      </c>
      <c r="K88">
        <v>5.6</v>
      </c>
      <c r="L88" s="1"/>
    </row>
    <row r="89" spans="1:12">
      <c r="A89" t="s">
        <v>137</v>
      </c>
      <c r="B89">
        <v>8.5</v>
      </c>
      <c r="C89">
        <v>7.6</v>
      </c>
      <c r="D89">
        <v>8.2</v>
      </c>
      <c r="E89">
        <v>8.1</v>
      </c>
      <c r="F89">
        <v>7.4</v>
      </c>
      <c r="G89">
        <v>7.3</v>
      </c>
      <c r="H89">
        <v>5.8</v>
      </c>
      <c r="I89">
        <v>7.6</v>
      </c>
      <c r="J89">
        <v>7.9</v>
      </c>
      <c r="K89">
        <v>5.2</v>
      </c>
      <c r="L89" s="1"/>
    </row>
    <row r="90" spans="1:12">
      <c r="A90" t="s">
        <v>138</v>
      </c>
      <c r="B90">
        <v>8.1</v>
      </c>
      <c r="C90">
        <v>8.2</v>
      </c>
      <c r="D90">
        <v>8.3</v>
      </c>
      <c r="E90">
        <v>7.6</v>
      </c>
      <c r="F90">
        <v>7.6</v>
      </c>
      <c r="G90">
        <v>7.3</v>
      </c>
      <c r="H90">
        <v>7.2</v>
      </c>
      <c r="I90">
        <v>5.9</v>
      </c>
      <c r="J90">
        <v>8</v>
      </c>
      <c r="K90">
        <v>4.9</v>
      </c>
      <c r="L90" s="1"/>
    </row>
    <row r="91" spans="1:12">
      <c r="A91" t="s">
        <v>139</v>
      </c>
      <c r="B91">
        <v>8.2</v>
      </c>
      <c r="C91">
        <v>8.2</v>
      </c>
      <c r="D91">
        <v>7.6</v>
      </c>
      <c r="E91">
        <v>8</v>
      </c>
      <c r="F91">
        <v>6.9</v>
      </c>
      <c r="G91">
        <v>7.8</v>
      </c>
      <c r="H91">
        <v>7</v>
      </c>
      <c r="I91">
        <v>7.2</v>
      </c>
      <c r="J91">
        <v>6.9</v>
      </c>
      <c r="K91">
        <v>6.7</v>
      </c>
      <c r="L91" s="1"/>
    </row>
    <row r="92" spans="1:12">
      <c r="A92" t="s">
        <v>140</v>
      </c>
      <c r="B92">
        <v>8.7</v>
      </c>
      <c r="C92">
        <v>7.6</v>
      </c>
      <c r="D92">
        <v>7.4</v>
      </c>
      <c r="E92">
        <v>7</v>
      </c>
      <c r="F92">
        <v>8.2</v>
      </c>
      <c r="G92">
        <v>7.8</v>
      </c>
      <c r="H92">
        <v>5.7</v>
      </c>
      <c r="I92">
        <v>6.8</v>
      </c>
      <c r="J92">
        <v>6.8</v>
      </c>
      <c r="K92">
        <v>5.1</v>
      </c>
      <c r="L92" s="1"/>
    </row>
    <row r="93" spans="1:12">
      <c r="A93" t="s">
        <v>141</v>
      </c>
      <c r="B93">
        <v>8.3</v>
      </c>
      <c r="C93">
        <v>7.9</v>
      </c>
      <c r="D93">
        <v>8.7</v>
      </c>
      <c r="E93">
        <v>8.2</v>
      </c>
      <c r="F93">
        <v>8.1</v>
      </c>
      <c r="G93">
        <v>7.8</v>
      </c>
      <c r="H93">
        <v>7.1</v>
      </c>
      <c r="I93">
        <v>9.2</v>
      </c>
      <c r="J93">
        <v>8.7</v>
      </c>
      <c r="K93">
        <v>6.3</v>
      </c>
      <c r="L93" s="1"/>
    </row>
    <row r="94" spans="1:12">
      <c r="A94" t="s">
        <v>142</v>
      </c>
      <c r="B94">
        <v>8.8</v>
      </c>
      <c r="C94">
        <v>7.8</v>
      </c>
      <c r="D94">
        <v>8.6</v>
      </c>
      <c r="E94">
        <v>7.5</v>
      </c>
      <c r="F94">
        <v>9</v>
      </c>
      <c r="G94">
        <v>7.3</v>
      </c>
      <c r="H94">
        <v>8.6</v>
      </c>
      <c r="I94">
        <v>6.8</v>
      </c>
      <c r="J94">
        <v>6.7</v>
      </c>
      <c r="K94">
        <v>5.2</v>
      </c>
      <c r="L94" s="1"/>
    </row>
    <row r="95" spans="1:12">
      <c r="A95" t="s">
        <v>143</v>
      </c>
      <c r="B95">
        <v>8.6</v>
      </c>
      <c r="C95">
        <v>8.6</v>
      </c>
      <c r="D95">
        <v>8.6</v>
      </c>
      <c r="E95">
        <v>8</v>
      </c>
      <c r="F95">
        <v>8.6</v>
      </c>
      <c r="G95">
        <v>7.2</v>
      </c>
      <c r="H95">
        <v>7</v>
      </c>
      <c r="I95">
        <v>8.6</v>
      </c>
      <c r="J95">
        <v>6.9</v>
      </c>
      <c r="K95">
        <v>8</v>
      </c>
      <c r="L95" s="1"/>
    </row>
    <row r="96" spans="1:12">
      <c r="A96" t="s">
        <v>144</v>
      </c>
      <c r="B96">
        <v>8.5</v>
      </c>
      <c r="C96">
        <v>8.9</v>
      </c>
      <c r="D96">
        <v>9.4</v>
      </c>
      <c r="E96">
        <v>8.3</v>
      </c>
      <c r="F96">
        <v>7.4</v>
      </c>
      <c r="G96">
        <v>7.9</v>
      </c>
      <c r="H96">
        <v>5.4</v>
      </c>
      <c r="I96">
        <v>8.4</v>
      </c>
      <c r="J96">
        <v>6.5</v>
      </c>
      <c r="K96">
        <v>4.9</v>
      </c>
      <c r="L96" s="1"/>
    </row>
    <row r="97" spans="1:12">
      <c r="A97" t="s">
        <v>145</v>
      </c>
      <c r="B97">
        <v>8.5</v>
      </c>
      <c r="C97">
        <v>8.3</v>
      </c>
      <c r="D97">
        <v>9.4</v>
      </c>
      <c r="E97">
        <v>9</v>
      </c>
      <c r="F97">
        <v>6.6</v>
      </c>
      <c r="G97">
        <v>6.7</v>
      </c>
      <c r="H97">
        <v>6.1</v>
      </c>
      <c r="I97">
        <v>7.4</v>
      </c>
      <c r="J97">
        <v>5.3</v>
      </c>
      <c r="K97">
        <v>4.4</v>
      </c>
      <c r="L97" s="1"/>
    </row>
    <row r="98" spans="1:12">
      <c r="A98" t="s">
        <v>146</v>
      </c>
      <c r="B98">
        <v>8</v>
      </c>
      <c r="C98">
        <v>9.4</v>
      </c>
      <c r="D98">
        <v>8.8</v>
      </c>
      <c r="E98">
        <v>8.4</v>
      </c>
      <c r="F98">
        <v>6.7</v>
      </c>
      <c r="G98">
        <v>7.5</v>
      </c>
      <c r="H98">
        <v>5.9</v>
      </c>
      <c r="I98">
        <v>7.9</v>
      </c>
      <c r="J98">
        <v>5.3</v>
      </c>
      <c r="K98">
        <v>6</v>
      </c>
      <c r="L98" s="1"/>
    </row>
    <row r="99" spans="1:12">
      <c r="A99" t="s">
        <v>147</v>
      </c>
      <c r="B99">
        <v>9.1</v>
      </c>
      <c r="C99">
        <v>9.1</v>
      </c>
      <c r="D99">
        <v>9</v>
      </c>
      <c r="E99">
        <v>7.8</v>
      </c>
      <c r="F99">
        <v>8.8</v>
      </c>
      <c r="G99">
        <v>8.1</v>
      </c>
      <c r="H99">
        <v>7.2</v>
      </c>
      <c r="I99">
        <v>7.6</v>
      </c>
      <c r="J99">
        <v>8.6</v>
      </c>
      <c r="K99">
        <v>7.8</v>
      </c>
      <c r="L99" s="1"/>
    </row>
    <row r="100" spans="1:12">
      <c r="A100" t="s">
        <v>148</v>
      </c>
      <c r="B100">
        <v>9.4</v>
      </c>
      <c r="C100">
        <v>9.4</v>
      </c>
      <c r="D100">
        <v>9.4</v>
      </c>
      <c r="E100">
        <v>9.1</v>
      </c>
      <c r="F100">
        <v>7.8</v>
      </c>
      <c r="G100">
        <v>8.8</v>
      </c>
      <c r="H100">
        <v>9.1</v>
      </c>
      <c r="I100">
        <v>6.8</v>
      </c>
      <c r="J100">
        <v>8.7</v>
      </c>
      <c r="K100">
        <v>7.2</v>
      </c>
      <c r="L100" s="1"/>
    </row>
    <row r="101" spans="1:12">
      <c r="A101" t="s">
        <v>149</v>
      </c>
      <c r="B101">
        <v>8.9</v>
      </c>
      <c r="C101">
        <v>8</v>
      </c>
      <c r="D101">
        <v>9.4</v>
      </c>
      <c r="E101">
        <v>7.4</v>
      </c>
      <c r="F101">
        <v>7.8</v>
      </c>
      <c r="G101">
        <v>8.2</v>
      </c>
      <c r="H101">
        <v>8.1</v>
      </c>
      <c r="I101">
        <v>7.1</v>
      </c>
      <c r="J101">
        <v>8.4</v>
      </c>
      <c r="K101">
        <v>5.2</v>
      </c>
      <c r="L101" s="1"/>
    </row>
    <row r="102" spans="1:12">
      <c r="A102" t="s">
        <v>150</v>
      </c>
      <c r="B102">
        <v>8.4</v>
      </c>
      <c r="C102">
        <v>8.7</v>
      </c>
      <c r="D102">
        <v>8.6</v>
      </c>
      <c r="E102">
        <v>8.4</v>
      </c>
      <c r="F102">
        <v>7.4</v>
      </c>
      <c r="G102">
        <v>7.4</v>
      </c>
      <c r="H102">
        <v>7.6</v>
      </c>
      <c r="I102">
        <v>6.2</v>
      </c>
      <c r="J102">
        <v>5.6</v>
      </c>
      <c r="K102">
        <v>4.7</v>
      </c>
      <c r="L102" s="1"/>
    </row>
    <row r="103" spans="1:12">
      <c r="A103" t="s">
        <v>151</v>
      </c>
      <c r="B103">
        <v>8.1</v>
      </c>
      <c r="C103">
        <v>9</v>
      </c>
      <c r="D103">
        <v>8.1</v>
      </c>
      <c r="E103">
        <v>8.5</v>
      </c>
      <c r="F103">
        <v>7.8</v>
      </c>
      <c r="G103">
        <v>8.4</v>
      </c>
      <c r="H103">
        <v>8.5</v>
      </c>
      <c r="I103">
        <v>7.1</v>
      </c>
      <c r="J103">
        <v>6.5</v>
      </c>
      <c r="K103">
        <v>5.7</v>
      </c>
      <c r="L103" s="1"/>
    </row>
    <row r="104" spans="1:12">
      <c r="A104" t="s">
        <v>152</v>
      </c>
      <c r="B104">
        <v>9.4</v>
      </c>
      <c r="C104">
        <v>9.1</v>
      </c>
      <c r="D104">
        <v>8</v>
      </c>
      <c r="E104">
        <v>7.6</v>
      </c>
      <c r="F104">
        <v>6.7</v>
      </c>
      <c r="G104">
        <v>6.9</v>
      </c>
      <c r="H104">
        <v>7.4</v>
      </c>
      <c r="I104">
        <v>6.3</v>
      </c>
      <c r="J104">
        <v>8.2</v>
      </c>
      <c r="K104">
        <v>3.3</v>
      </c>
      <c r="L104" s="1"/>
    </row>
    <row r="105" spans="1:12">
      <c r="A105" t="s">
        <v>153</v>
      </c>
      <c r="B105">
        <v>8.6</v>
      </c>
      <c r="C105">
        <v>8.9</v>
      </c>
      <c r="D105">
        <v>7.6</v>
      </c>
      <c r="E105">
        <v>8</v>
      </c>
      <c r="F105">
        <v>7.8</v>
      </c>
      <c r="G105">
        <v>8.6</v>
      </c>
      <c r="H105">
        <v>7</v>
      </c>
      <c r="I105">
        <v>7.2</v>
      </c>
      <c r="J105">
        <v>7.3</v>
      </c>
      <c r="K105">
        <v>8.3</v>
      </c>
      <c r="L105" s="1"/>
    </row>
    <row r="106" spans="1:12">
      <c r="A106" t="s">
        <v>154</v>
      </c>
      <c r="B106">
        <v>9.1</v>
      </c>
      <c r="C106">
        <v>8.8</v>
      </c>
      <c r="D106">
        <v>8.3</v>
      </c>
      <c r="E106">
        <v>9.1</v>
      </c>
      <c r="F106">
        <v>6.7</v>
      </c>
      <c r="G106">
        <v>7.5</v>
      </c>
      <c r="H106">
        <v>6.7</v>
      </c>
      <c r="I106">
        <v>8</v>
      </c>
      <c r="J106">
        <v>7.9</v>
      </c>
      <c r="K106">
        <v>6.7</v>
      </c>
      <c r="L106" s="1"/>
    </row>
    <row r="107" spans="1:12">
      <c r="A107" t="s">
        <v>155</v>
      </c>
      <c r="B107">
        <v>8.6</v>
      </c>
      <c r="C107">
        <v>8.3</v>
      </c>
      <c r="D107">
        <v>8.6</v>
      </c>
      <c r="E107">
        <v>8.4</v>
      </c>
      <c r="F107">
        <v>7.5</v>
      </c>
      <c r="G107">
        <v>6.1</v>
      </c>
      <c r="H107">
        <v>7.9</v>
      </c>
      <c r="I107">
        <v>8.1</v>
      </c>
      <c r="J107">
        <v>4.9</v>
      </c>
      <c r="K107">
        <v>6.4</v>
      </c>
      <c r="L107" s="1"/>
    </row>
    <row r="108" spans="1:12">
      <c r="A108" t="s">
        <v>156</v>
      </c>
      <c r="B108">
        <v>9.3</v>
      </c>
      <c r="C108">
        <v>8.5</v>
      </c>
      <c r="D108">
        <v>8.2</v>
      </c>
      <c r="E108">
        <v>8.2</v>
      </c>
      <c r="F108">
        <v>8</v>
      </c>
      <c r="G108">
        <v>7.2</v>
      </c>
      <c r="H108">
        <v>5.8</v>
      </c>
      <c r="I108">
        <v>6.5</v>
      </c>
      <c r="J108">
        <v>9</v>
      </c>
      <c r="K108">
        <v>6.7</v>
      </c>
      <c r="L108" s="1"/>
    </row>
    <row r="109" spans="1:12">
      <c r="A109" t="s">
        <v>157</v>
      </c>
      <c r="B109">
        <v>8.1</v>
      </c>
      <c r="C109">
        <v>8.8</v>
      </c>
      <c r="D109">
        <v>9.4</v>
      </c>
      <c r="E109">
        <v>8.3</v>
      </c>
      <c r="F109">
        <v>8.6</v>
      </c>
      <c r="G109">
        <v>7.1</v>
      </c>
      <c r="H109">
        <v>8.5</v>
      </c>
      <c r="I109">
        <v>6.4</v>
      </c>
      <c r="J109">
        <v>6.6</v>
      </c>
      <c r="K109">
        <v>5.8</v>
      </c>
      <c r="L109" s="1"/>
    </row>
    <row r="110" spans="1:12">
      <c r="A110" t="s">
        <v>158</v>
      </c>
      <c r="B110">
        <v>9.3</v>
      </c>
      <c r="C110">
        <v>8.3</v>
      </c>
      <c r="D110">
        <v>8.4</v>
      </c>
      <c r="E110">
        <v>9.1</v>
      </c>
      <c r="F110">
        <v>9.1</v>
      </c>
      <c r="G110">
        <v>7.1</v>
      </c>
      <c r="H110">
        <v>7.7</v>
      </c>
      <c r="I110">
        <v>6.7</v>
      </c>
      <c r="J110">
        <v>6.4</v>
      </c>
      <c r="K110">
        <v>4.2</v>
      </c>
      <c r="L110" s="1"/>
    </row>
    <row r="111" spans="1:12">
      <c r="A111" t="s">
        <v>159</v>
      </c>
      <c r="B111">
        <v>9.3</v>
      </c>
      <c r="C111">
        <v>8.7</v>
      </c>
      <c r="D111">
        <v>7.6</v>
      </c>
      <c r="E111">
        <v>8.4</v>
      </c>
      <c r="F111">
        <v>8.6</v>
      </c>
      <c r="G111">
        <v>7.6</v>
      </c>
      <c r="H111">
        <v>6.4</v>
      </c>
      <c r="I111">
        <v>9.1</v>
      </c>
      <c r="J111">
        <v>6.5</v>
      </c>
      <c r="K111">
        <v>6</v>
      </c>
      <c r="L111" s="1"/>
    </row>
    <row r="112" spans="1:12">
      <c r="A112" t="s">
        <v>160</v>
      </c>
      <c r="B112">
        <v>8.6</v>
      </c>
      <c r="C112">
        <v>7.5</v>
      </c>
      <c r="D112">
        <v>7.8</v>
      </c>
      <c r="E112">
        <v>8</v>
      </c>
      <c r="F112">
        <v>8</v>
      </c>
      <c r="G112">
        <v>6.9</v>
      </c>
      <c r="H112">
        <v>6.6</v>
      </c>
      <c r="I112">
        <v>6</v>
      </c>
      <c r="J112">
        <v>7</v>
      </c>
      <c r="K112">
        <v>7.3</v>
      </c>
      <c r="L112" s="1"/>
    </row>
    <row r="113" spans="1:12">
      <c r="A113" t="s">
        <v>161</v>
      </c>
      <c r="B113">
        <v>8.4</v>
      </c>
      <c r="C113">
        <v>7.9</v>
      </c>
      <c r="D113">
        <v>8.7</v>
      </c>
      <c r="E113">
        <v>7.5</v>
      </c>
      <c r="F113">
        <v>6.7</v>
      </c>
      <c r="G113">
        <v>7.9</v>
      </c>
      <c r="H113">
        <v>7.7</v>
      </c>
      <c r="I113">
        <v>4.8</v>
      </c>
      <c r="J113">
        <v>6.3</v>
      </c>
      <c r="K113">
        <v>6.8</v>
      </c>
      <c r="L113" s="1"/>
    </row>
    <row r="114" spans="1:12">
      <c r="A114" t="s">
        <v>162</v>
      </c>
      <c r="B114">
        <v>8.9</v>
      </c>
      <c r="C114">
        <v>6.8</v>
      </c>
      <c r="D114">
        <v>8.9</v>
      </c>
      <c r="E114">
        <v>8.6</v>
      </c>
      <c r="F114">
        <v>8.1</v>
      </c>
      <c r="G114">
        <v>8.5</v>
      </c>
      <c r="H114">
        <v>6.4</v>
      </c>
      <c r="I114">
        <v>6.6</v>
      </c>
      <c r="J114">
        <v>6.5</v>
      </c>
      <c r="K114">
        <v>6</v>
      </c>
      <c r="L114" s="1"/>
    </row>
    <row r="115" spans="1:12">
      <c r="A115" t="s">
        <v>163</v>
      </c>
      <c r="B115">
        <v>8.8</v>
      </c>
      <c r="C115">
        <v>8.7</v>
      </c>
      <c r="D115">
        <v>8.6</v>
      </c>
      <c r="E115">
        <v>7.8</v>
      </c>
      <c r="F115">
        <v>7.7</v>
      </c>
      <c r="G115">
        <v>8</v>
      </c>
      <c r="H115">
        <v>8</v>
      </c>
      <c r="I115">
        <v>9.4</v>
      </c>
      <c r="J115">
        <v>7.3</v>
      </c>
      <c r="K115">
        <v>6</v>
      </c>
      <c r="L115" s="1"/>
    </row>
    <row r="116" spans="1:12">
      <c r="A116" t="s">
        <v>164</v>
      </c>
      <c r="B116">
        <v>8.5</v>
      </c>
      <c r="C116">
        <v>8.1</v>
      </c>
      <c r="D116">
        <v>8.6</v>
      </c>
      <c r="E116">
        <v>8.8</v>
      </c>
      <c r="F116">
        <v>8.7</v>
      </c>
      <c r="G116">
        <v>7.7</v>
      </c>
      <c r="H116">
        <v>7.8</v>
      </c>
      <c r="I116">
        <v>9.1</v>
      </c>
      <c r="J116">
        <v>6.1</v>
      </c>
      <c r="K116">
        <v>8.1</v>
      </c>
      <c r="L116" s="1"/>
    </row>
    <row r="117" spans="1:12">
      <c r="A117" t="s">
        <v>165</v>
      </c>
      <c r="B117">
        <v>8.8</v>
      </c>
      <c r="C117">
        <v>8.6</v>
      </c>
      <c r="D117">
        <v>8.8</v>
      </c>
      <c r="E117">
        <v>9.4</v>
      </c>
      <c r="F117">
        <v>8.4</v>
      </c>
      <c r="G117">
        <v>8.1</v>
      </c>
      <c r="H117">
        <v>6.8</v>
      </c>
      <c r="I117">
        <v>7.5</v>
      </c>
      <c r="J117">
        <v>8.8</v>
      </c>
      <c r="K117">
        <v>6.7</v>
      </c>
      <c r="L117" s="1"/>
    </row>
    <row r="118" spans="1:12">
      <c r="A118" t="s">
        <v>166</v>
      </c>
      <c r="B118">
        <v>9.1</v>
      </c>
      <c r="C118">
        <v>8.4</v>
      </c>
      <c r="D118">
        <v>7.6</v>
      </c>
      <c r="E118">
        <v>7.3</v>
      </c>
      <c r="F118">
        <v>8.7</v>
      </c>
      <c r="G118">
        <v>6.8</v>
      </c>
      <c r="H118">
        <v>8.9</v>
      </c>
      <c r="I118">
        <v>7.2</v>
      </c>
      <c r="J118">
        <v>7.4</v>
      </c>
      <c r="K118">
        <v>5</v>
      </c>
      <c r="L118" s="1"/>
    </row>
    <row r="119" spans="1:12">
      <c r="A119" t="s">
        <v>167</v>
      </c>
      <c r="B119">
        <v>9.4</v>
      </c>
      <c r="C119">
        <v>8.5</v>
      </c>
      <c r="D119">
        <v>8.2</v>
      </c>
      <c r="E119">
        <v>8.2</v>
      </c>
      <c r="F119">
        <v>8.7</v>
      </c>
      <c r="G119">
        <v>8.1</v>
      </c>
      <c r="H119">
        <v>6.7</v>
      </c>
      <c r="I119">
        <v>8.2</v>
      </c>
      <c r="J119">
        <v>7.7</v>
      </c>
      <c r="K119">
        <v>9.4</v>
      </c>
      <c r="L119" s="1"/>
    </row>
    <row r="120" spans="1:12">
      <c r="A120" t="s">
        <v>168</v>
      </c>
      <c r="B120">
        <v>9.2</v>
      </c>
      <c r="C120">
        <v>8.9</v>
      </c>
      <c r="D120">
        <v>8.2</v>
      </c>
      <c r="E120">
        <v>8.2</v>
      </c>
      <c r="F120">
        <v>7.5</v>
      </c>
      <c r="G120">
        <v>6.8</v>
      </c>
      <c r="H120">
        <v>6.9</v>
      </c>
      <c r="I120">
        <v>8.6</v>
      </c>
      <c r="J120">
        <v>6.1</v>
      </c>
      <c r="K120">
        <v>6.5</v>
      </c>
      <c r="L120" s="1"/>
    </row>
    <row r="121" spans="1:12">
      <c r="A121" t="s">
        <v>169</v>
      </c>
      <c r="B121">
        <v>8.6</v>
      </c>
      <c r="C121">
        <v>8.1</v>
      </c>
      <c r="D121">
        <v>8.1</v>
      </c>
      <c r="E121">
        <v>6.4</v>
      </c>
      <c r="F121">
        <v>9.3</v>
      </c>
      <c r="G121">
        <v>6.9</v>
      </c>
      <c r="H121">
        <v>6.8</v>
      </c>
      <c r="I121">
        <v>7.2</v>
      </c>
      <c r="J121">
        <v>7.4</v>
      </c>
      <c r="K121">
        <v>3.7</v>
      </c>
      <c r="L121" s="1"/>
    </row>
    <row r="122" spans="1:12">
      <c r="A122" t="s">
        <v>170</v>
      </c>
      <c r="B122">
        <v>8.5</v>
      </c>
      <c r="C122">
        <v>7.9</v>
      </c>
      <c r="D122">
        <v>7.2</v>
      </c>
      <c r="E122">
        <v>6.7</v>
      </c>
      <c r="F122">
        <v>8.3</v>
      </c>
      <c r="G122">
        <v>7.2</v>
      </c>
      <c r="H122">
        <v>6.8</v>
      </c>
      <c r="I122">
        <v>5</v>
      </c>
      <c r="J122">
        <v>6.9</v>
      </c>
      <c r="K122">
        <v>8.3</v>
      </c>
      <c r="L122" s="1"/>
    </row>
    <row r="123" spans="1:12">
      <c r="A123" t="s">
        <v>171</v>
      </c>
      <c r="B123">
        <v>8.7</v>
      </c>
      <c r="C123">
        <v>8.1</v>
      </c>
      <c r="D123">
        <v>6.8</v>
      </c>
      <c r="E123">
        <v>7.1</v>
      </c>
      <c r="F123">
        <v>5</v>
      </c>
      <c r="G123">
        <v>6.9</v>
      </c>
      <c r="H123">
        <v>6.2</v>
      </c>
      <c r="I123">
        <v>7.1</v>
      </c>
      <c r="J123">
        <v>6.1</v>
      </c>
      <c r="K123">
        <v>6</v>
      </c>
      <c r="L123" s="1"/>
    </row>
    <row r="124" spans="1:12">
      <c r="A124" t="s">
        <v>172</v>
      </c>
      <c r="B124">
        <v>8.2</v>
      </c>
      <c r="C124">
        <v>6.4</v>
      </c>
      <c r="D124">
        <v>7.1</v>
      </c>
      <c r="E124">
        <v>7.1</v>
      </c>
      <c r="F124">
        <v>7.1</v>
      </c>
      <c r="G124">
        <v>6.5</v>
      </c>
      <c r="H124">
        <v>7</v>
      </c>
      <c r="I124">
        <v>7.4</v>
      </c>
      <c r="J124">
        <v>8.2</v>
      </c>
      <c r="K124">
        <v>6</v>
      </c>
      <c r="L124" s="1"/>
    </row>
    <row r="125" spans="1:12">
      <c r="A125" t="s">
        <v>173</v>
      </c>
      <c r="B125">
        <v>7.6</v>
      </c>
      <c r="C125">
        <v>7.9</v>
      </c>
      <c r="D125">
        <v>6.8</v>
      </c>
      <c r="E125">
        <v>7.4</v>
      </c>
      <c r="F125">
        <v>7.9</v>
      </c>
      <c r="G125">
        <v>7.8</v>
      </c>
      <c r="H125">
        <v>7.3</v>
      </c>
      <c r="I125">
        <v>5.6</v>
      </c>
      <c r="J125">
        <v>7.3</v>
      </c>
      <c r="K125">
        <v>4.2</v>
      </c>
      <c r="L125" s="1"/>
    </row>
    <row r="126" spans="1:12">
      <c r="A126" t="s">
        <v>174</v>
      </c>
      <c r="B126">
        <v>7.3</v>
      </c>
      <c r="C126">
        <v>7.5</v>
      </c>
      <c r="D126">
        <v>7.5</v>
      </c>
      <c r="E126">
        <v>7.2</v>
      </c>
      <c r="F126">
        <v>8.2</v>
      </c>
      <c r="G126">
        <v>6.4</v>
      </c>
      <c r="H126">
        <v>5.5</v>
      </c>
      <c r="I126">
        <v>6.9</v>
      </c>
      <c r="J126">
        <v>6.7</v>
      </c>
      <c r="K126">
        <v>7.5</v>
      </c>
      <c r="L126" s="1"/>
    </row>
    <row r="127" spans="1:12">
      <c r="A127" t="s">
        <v>175</v>
      </c>
      <c r="B127">
        <v>7.8</v>
      </c>
      <c r="C127">
        <v>7.4</v>
      </c>
      <c r="D127">
        <v>7.2</v>
      </c>
      <c r="E127">
        <v>7.4</v>
      </c>
      <c r="F127">
        <v>7</v>
      </c>
      <c r="G127">
        <v>8.3</v>
      </c>
      <c r="H127">
        <v>6.1</v>
      </c>
      <c r="I127">
        <v>5.5</v>
      </c>
      <c r="J127">
        <v>5.6</v>
      </c>
      <c r="K127">
        <v>8.6</v>
      </c>
      <c r="L127" s="1"/>
    </row>
    <row r="128" spans="1:12">
      <c r="A128" t="s">
        <v>176</v>
      </c>
      <c r="B128">
        <v>7.7</v>
      </c>
      <c r="C128">
        <v>7.5</v>
      </c>
      <c r="D128">
        <v>7.1</v>
      </c>
      <c r="E128">
        <v>6.9</v>
      </c>
      <c r="F128">
        <v>7.2</v>
      </c>
      <c r="G128">
        <v>6.8</v>
      </c>
      <c r="H128">
        <v>7</v>
      </c>
      <c r="I128">
        <v>8</v>
      </c>
      <c r="J128">
        <v>5.3</v>
      </c>
      <c r="K128">
        <v>6.1</v>
      </c>
      <c r="L128" s="1"/>
    </row>
    <row r="129" spans="1:12">
      <c r="A129" t="s">
        <v>177</v>
      </c>
      <c r="B129">
        <v>7.7</v>
      </c>
      <c r="C129">
        <v>7.3</v>
      </c>
      <c r="D129">
        <v>8.2</v>
      </c>
      <c r="E129">
        <v>7</v>
      </c>
      <c r="F129">
        <v>6.8</v>
      </c>
      <c r="G129">
        <v>6.8</v>
      </c>
      <c r="H129">
        <v>7.8</v>
      </c>
      <c r="I129">
        <v>6.7</v>
      </c>
      <c r="J129">
        <v>7.2</v>
      </c>
      <c r="K129">
        <v>5.2</v>
      </c>
      <c r="L129" s="1"/>
    </row>
    <row r="130" spans="1:12">
      <c r="A130" t="s">
        <v>178</v>
      </c>
      <c r="B130">
        <v>7.5</v>
      </c>
      <c r="C130">
        <v>7.8</v>
      </c>
      <c r="D130">
        <v>7.7</v>
      </c>
      <c r="E130">
        <v>7.1</v>
      </c>
      <c r="F130">
        <v>7.1</v>
      </c>
      <c r="G130">
        <v>6.6</v>
      </c>
      <c r="H130">
        <v>7.5</v>
      </c>
      <c r="I130">
        <v>6.8</v>
      </c>
      <c r="J130">
        <v>7.7</v>
      </c>
      <c r="K130">
        <v>6.8</v>
      </c>
      <c r="L130" s="1"/>
    </row>
    <row r="131" spans="1:12">
      <c r="A131" t="s">
        <v>179</v>
      </c>
      <c r="B131">
        <v>8.1</v>
      </c>
      <c r="C131">
        <v>7.9</v>
      </c>
      <c r="D131">
        <v>8</v>
      </c>
      <c r="E131">
        <v>6.3</v>
      </c>
      <c r="F131">
        <v>6.6</v>
      </c>
      <c r="G131">
        <v>5.5</v>
      </c>
      <c r="H131">
        <v>7.2</v>
      </c>
      <c r="I131">
        <v>7.5</v>
      </c>
      <c r="J131">
        <v>6.7</v>
      </c>
      <c r="K131">
        <v>5.2</v>
      </c>
      <c r="L131" s="1"/>
    </row>
    <row r="132" spans="1:12">
      <c r="A132" t="s">
        <v>180</v>
      </c>
      <c r="B132">
        <v>8.1</v>
      </c>
      <c r="C132">
        <v>7.5</v>
      </c>
      <c r="D132">
        <v>8.3</v>
      </c>
      <c r="E132">
        <v>8.6</v>
      </c>
      <c r="F132">
        <v>6.1</v>
      </c>
      <c r="G132">
        <v>5.9</v>
      </c>
      <c r="H132">
        <v>7.4</v>
      </c>
      <c r="I132">
        <v>6.8</v>
      </c>
      <c r="J132">
        <v>7.5</v>
      </c>
      <c r="K132">
        <v>5.3</v>
      </c>
      <c r="L132" s="1"/>
    </row>
    <row r="133" spans="1:12">
      <c r="A133" t="s">
        <v>181</v>
      </c>
      <c r="B133">
        <v>7.9</v>
      </c>
      <c r="C133">
        <v>7.3</v>
      </c>
      <c r="D133">
        <v>7.2</v>
      </c>
      <c r="E133">
        <v>7.7</v>
      </c>
      <c r="F133">
        <v>6.7</v>
      </c>
      <c r="G133">
        <v>7.7</v>
      </c>
      <c r="H133">
        <v>4.8</v>
      </c>
      <c r="I133">
        <v>7.8</v>
      </c>
      <c r="J133">
        <v>7</v>
      </c>
      <c r="K133">
        <v>5.7</v>
      </c>
      <c r="L133" s="1"/>
    </row>
    <row r="134" spans="1:12">
      <c r="A134" t="s">
        <v>182</v>
      </c>
      <c r="B134">
        <v>8.3</v>
      </c>
      <c r="C134">
        <v>8.6</v>
      </c>
      <c r="D134">
        <v>8.2</v>
      </c>
      <c r="E134">
        <v>6.9</v>
      </c>
      <c r="F134">
        <v>7.6</v>
      </c>
      <c r="G134">
        <v>6.1</v>
      </c>
      <c r="H134">
        <v>5.9</v>
      </c>
      <c r="I134">
        <v>6.5</v>
      </c>
      <c r="J134">
        <v>6.8</v>
      </c>
      <c r="K134">
        <v>6.8</v>
      </c>
      <c r="L134" s="1"/>
    </row>
    <row r="135" spans="1:12">
      <c r="A135" t="s">
        <v>183</v>
      </c>
      <c r="B135">
        <v>7.7</v>
      </c>
      <c r="C135">
        <v>7</v>
      </c>
      <c r="D135">
        <v>8</v>
      </c>
      <c r="E135">
        <v>8.1</v>
      </c>
      <c r="F135">
        <v>7.7</v>
      </c>
      <c r="G135">
        <v>7.8</v>
      </c>
      <c r="H135">
        <v>5.5</v>
      </c>
      <c r="I135">
        <v>7.4</v>
      </c>
      <c r="J135">
        <v>5.8</v>
      </c>
      <c r="K135">
        <v>4.3</v>
      </c>
      <c r="L135" s="1"/>
    </row>
    <row r="136" spans="1:12">
      <c r="A136" t="s">
        <v>184</v>
      </c>
      <c r="B136">
        <v>7.5</v>
      </c>
      <c r="C136">
        <v>8.1</v>
      </c>
      <c r="D136">
        <v>6.8</v>
      </c>
      <c r="E136">
        <v>7.9</v>
      </c>
      <c r="F136">
        <v>7.2</v>
      </c>
      <c r="G136">
        <v>8.1</v>
      </c>
      <c r="H136">
        <v>6.6</v>
      </c>
      <c r="I136">
        <v>6.8</v>
      </c>
      <c r="J136">
        <v>7.2</v>
      </c>
      <c r="K136">
        <v>6.5</v>
      </c>
      <c r="L136" s="1"/>
    </row>
    <row r="137" spans="1:12">
      <c r="A137" t="s">
        <v>185</v>
      </c>
      <c r="B137">
        <v>7.9</v>
      </c>
      <c r="C137">
        <v>7.8</v>
      </c>
      <c r="D137">
        <v>8.7</v>
      </c>
      <c r="E137">
        <v>7.4</v>
      </c>
      <c r="F137">
        <v>8.6</v>
      </c>
      <c r="G137">
        <v>7.5</v>
      </c>
      <c r="H137">
        <v>6.8</v>
      </c>
      <c r="I137">
        <v>5.7</v>
      </c>
      <c r="J137">
        <v>5.8</v>
      </c>
      <c r="K137">
        <v>6.2</v>
      </c>
      <c r="L137" s="1"/>
    </row>
    <row r="138" spans="1:12">
      <c r="A138" t="s">
        <v>186</v>
      </c>
      <c r="B138">
        <v>8.8</v>
      </c>
      <c r="C138">
        <v>8.9</v>
      </c>
      <c r="D138">
        <v>9.4</v>
      </c>
      <c r="E138">
        <v>8.5</v>
      </c>
      <c r="F138">
        <v>8.6</v>
      </c>
      <c r="G138">
        <v>6.8</v>
      </c>
      <c r="H138">
        <v>7.4</v>
      </c>
      <c r="I138">
        <v>6.7</v>
      </c>
      <c r="J138">
        <v>7.7</v>
      </c>
      <c r="K138">
        <v>7.8</v>
      </c>
      <c r="L138" s="1"/>
    </row>
    <row r="139" spans="1:12">
      <c r="A139" t="s">
        <v>187</v>
      </c>
      <c r="B139">
        <v>9.1</v>
      </c>
      <c r="C139">
        <v>7.8</v>
      </c>
      <c r="D139">
        <v>8.4</v>
      </c>
      <c r="E139">
        <v>8.6</v>
      </c>
      <c r="F139">
        <v>8.3</v>
      </c>
      <c r="G139">
        <v>8</v>
      </c>
      <c r="H139">
        <v>8.8</v>
      </c>
      <c r="I139">
        <v>8.8</v>
      </c>
      <c r="J139">
        <v>6.5</v>
      </c>
      <c r="K139">
        <v>7.6</v>
      </c>
      <c r="L139" s="1"/>
    </row>
    <row r="140" spans="1:12">
      <c r="A140" t="s">
        <v>188</v>
      </c>
      <c r="B140">
        <v>9.3</v>
      </c>
      <c r="C140">
        <v>9</v>
      </c>
      <c r="D140">
        <v>9.2</v>
      </c>
      <c r="E140">
        <v>9.1</v>
      </c>
      <c r="F140">
        <v>8.5</v>
      </c>
      <c r="G140">
        <v>6.7</v>
      </c>
      <c r="H140">
        <v>8.2</v>
      </c>
      <c r="I140">
        <v>7.6</v>
      </c>
      <c r="J140">
        <v>6.3</v>
      </c>
      <c r="K140">
        <v>6.8</v>
      </c>
      <c r="L140" s="1"/>
    </row>
    <row r="141" spans="1:12">
      <c r="A141" t="s">
        <v>189</v>
      </c>
      <c r="B141">
        <v>8.6</v>
      </c>
      <c r="C141">
        <v>7.5</v>
      </c>
      <c r="D141">
        <v>7.5</v>
      </c>
      <c r="E141">
        <v>7.7</v>
      </c>
      <c r="F141">
        <v>6.6</v>
      </c>
      <c r="G141">
        <v>8.8</v>
      </c>
      <c r="H141">
        <v>9</v>
      </c>
      <c r="I141">
        <v>8.1</v>
      </c>
      <c r="J141">
        <v>6.5</v>
      </c>
      <c r="K141">
        <v>6.3</v>
      </c>
      <c r="L141" s="1"/>
    </row>
    <row r="142" spans="1:12">
      <c r="A142" t="s">
        <v>190</v>
      </c>
      <c r="B142">
        <v>8.4</v>
      </c>
      <c r="C142">
        <v>8.2</v>
      </c>
      <c r="D142">
        <v>7.2</v>
      </c>
      <c r="E142">
        <v>8</v>
      </c>
      <c r="F142">
        <v>8.3</v>
      </c>
      <c r="G142">
        <v>6.8</v>
      </c>
      <c r="H142">
        <v>8.3</v>
      </c>
      <c r="I142">
        <v>7.2</v>
      </c>
      <c r="J142">
        <v>5.6</v>
      </c>
      <c r="K142">
        <v>5.1</v>
      </c>
      <c r="L142" s="1"/>
    </row>
    <row r="143" spans="1:12">
      <c r="A143" t="s">
        <v>191</v>
      </c>
      <c r="B143">
        <v>7.1</v>
      </c>
      <c r="C143">
        <v>7.6</v>
      </c>
      <c r="D143">
        <v>7.6</v>
      </c>
      <c r="E143">
        <v>6.8</v>
      </c>
      <c r="F143">
        <v>7.1</v>
      </c>
      <c r="G143">
        <v>6.9</v>
      </c>
      <c r="H143">
        <v>6.5</v>
      </c>
      <c r="I143">
        <v>6.9</v>
      </c>
      <c r="J143">
        <v>6.7</v>
      </c>
      <c r="K143">
        <v>4.7</v>
      </c>
      <c r="L143" s="1"/>
    </row>
    <row r="144" spans="1:12">
      <c r="A144" t="s">
        <v>192</v>
      </c>
      <c r="B144">
        <v>7.8</v>
      </c>
      <c r="C144">
        <v>8.6</v>
      </c>
      <c r="D144">
        <v>6.9</v>
      </c>
      <c r="E144">
        <v>8.1</v>
      </c>
      <c r="F144">
        <v>8.4</v>
      </c>
      <c r="G144">
        <v>6.4</v>
      </c>
      <c r="H144">
        <v>7</v>
      </c>
      <c r="I144">
        <v>4.8</v>
      </c>
      <c r="J144">
        <v>5.6</v>
      </c>
      <c r="K144">
        <v>6.9</v>
      </c>
      <c r="L144" s="1"/>
    </row>
    <row r="145" spans="1:12">
      <c r="A145" t="s">
        <v>193</v>
      </c>
      <c r="B145">
        <v>8.4</v>
      </c>
      <c r="C145">
        <v>6.7</v>
      </c>
      <c r="D145">
        <v>8.4</v>
      </c>
      <c r="E145">
        <v>7.1</v>
      </c>
      <c r="F145">
        <v>6.2</v>
      </c>
      <c r="G145">
        <v>7.4</v>
      </c>
      <c r="H145">
        <v>7.2</v>
      </c>
      <c r="I145">
        <v>8.2</v>
      </c>
      <c r="J145">
        <v>6.7</v>
      </c>
      <c r="K145">
        <v>5.4</v>
      </c>
      <c r="L145" s="1"/>
    </row>
    <row r="146" spans="1:12">
      <c r="A146" t="s">
        <v>194</v>
      </c>
      <c r="B146">
        <v>8.2</v>
      </c>
      <c r="C146">
        <v>7.3</v>
      </c>
      <c r="D146">
        <v>7.4</v>
      </c>
      <c r="E146">
        <v>7.5</v>
      </c>
      <c r="F146">
        <v>7.6</v>
      </c>
      <c r="G146">
        <v>5.9</v>
      </c>
      <c r="H146">
        <v>7.1</v>
      </c>
      <c r="I146">
        <v>6.4</v>
      </c>
      <c r="J146">
        <v>6.8</v>
      </c>
      <c r="K146">
        <v>6.7</v>
      </c>
      <c r="L146" s="1"/>
    </row>
    <row r="147" spans="1:12">
      <c r="A147" t="s">
        <v>195</v>
      </c>
      <c r="B147">
        <v>7.5</v>
      </c>
      <c r="C147">
        <v>7.8</v>
      </c>
      <c r="D147">
        <v>7.5</v>
      </c>
      <c r="E147">
        <v>6.9</v>
      </c>
      <c r="F147">
        <v>5.7</v>
      </c>
      <c r="G147">
        <v>6.6</v>
      </c>
      <c r="H147">
        <v>5.9</v>
      </c>
      <c r="I147">
        <v>7.7</v>
      </c>
      <c r="J147">
        <v>7.4</v>
      </c>
      <c r="K147">
        <v>6.7</v>
      </c>
      <c r="L147" s="1"/>
    </row>
    <row r="148" spans="1:12">
      <c r="A148" t="s">
        <v>196</v>
      </c>
      <c r="B148">
        <v>7.8</v>
      </c>
      <c r="C148">
        <v>7.3</v>
      </c>
      <c r="D148">
        <v>8.9</v>
      </c>
      <c r="E148">
        <v>7.3</v>
      </c>
      <c r="F148">
        <v>7.7</v>
      </c>
      <c r="G148">
        <v>6.8</v>
      </c>
      <c r="H148">
        <v>6.8</v>
      </c>
      <c r="I148">
        <v>7.2</v>
      </c>
      <c r="J148">
        <v>5.6</v>
      </c>
      <c r="K148">
        <v>5.9</v>
      </c>
      <c r="L148" s="1"/>
    </row>
    <row r="149" spans="1:12">
      <c r="A149" t="s">
        <v>197</v>
      </c>
      <c r="B149">
        <v>7.7</v>
      </c>
      <c r="C149">
        <v>7.7</v>
      </c>
      <c r="D149">
        <v>7.4</v>
      </c>
      <c r="E149">
        <v>7.1</v>
      </c>
      <c r="F149">
        <v>6.3</v>
      </c>
      <c r="G149">
        <v>6.7</v>
      </c>
      <c r="H149">
        <v>6.8</v>
      </c>
      <c r="I149">
        <v>6.6</v>
      </c>
      <c r="J149">
        <v>5.6</v>
      </c>
      <c r="K149">
        <v>5</v>
      </c>
      <c r="L149" s="1"/>
    </row>
    <row r="150" spans="1:12">
      <c r="A150" t="s">
        <v>198</v>
      </c>
      <c r="B150">
        <v>8.3</v>
      </c>
      <c r="C150">
        <v>8</v>
      </c>
      <c r="D150">
        <v>7.4</v>
      </c>
      <c r="E150">
        <v>6.8</v>
      </c>
      <c r="F150">
        <v>6.4</v>
      </c>
      <c r="G150">
        <v>6.6</v>
      </c>
      <c r="H150">
        <v>7.1</v>
      </c>
      <c r="I150">
        <v>5.8</v>
      </c>
      <c r="J150">
        <v>6.8</v>
      </c>
      <c r="K150">
        <v>4.9</v>
      </c>
      <c r="L150" s="1"/>
    </row>
    <row r="151" spans="1:12">
      <c r="A151" t="s">
        <v>199</v>
      </c>
      <c r="B151">
        <v>8.2</v>
      </c>
      <c r="C151">
        <v>7.4</v>
      </c>
      <c r="D151">
        <v>8.1</v>
      </c>
      <c r="E151">
        <v>7.8</v>
      </c>
      <c r="F151">
        <v>7.2</v>
      </c>
      <c r="G151">
        <v>4.9</v>
      </c>
      <c r="H151">
        <v>6.1</v>
      </c>
      <c r="I151">
        <v>7.3</v>
      </c>
      <c r="J151">
        <v>6</v>
      </c>
      <c r="K151">
        <v>3.5</v>
      </c>
      <c r="L151" s="1"/>
    </row>
    <row r="152" spans="1:12">
      <c r="A152" t="s">
        <v>200</v>
      </c>
      <c r="B152">
        <v>8.6</v>
      </c>
      <c r="C152">
        <v>8</v>
      </c>
      <c r="D152">
        <v>9</v>
      </c>
      <c r="E152">
        <v>8.6</v>
      </c>
      <c r="F152">
        <v>6.3</v>
      </c>
      <c r="G152">
        <v>6.9</v>
      </c>
      <c r="H152">
        <v>6.8</v>
      </c>
      <c r="I152">
        <v>6.7</v>
      </c>
      <c r="J152">
        <v>5.7</v>
      </c>
      <c r="K152">
        <v>6.7</v>
      </c>
      <c r="L152" s="1"/>
    </row>
    <row r="153" spans="1:12">
      <c r="A153" t="s">
        <v>201</v>
      </c>
      <c r="B153">
        <v>8.1</v>
      </c>
      <c r="C153">
        <v>6.9</v>
      </c>
      <c r="D153">
        <v>8.2</v>
      </c>
      <c r="E153">
        <v>6.5</v>
      </c>
      <c r="F153">
        <v>8.2</v>
      </c>
      <c r="G153">
        <v>6.5</v>
      </c>
      <c r="H153">
        <v>7.2</v>
      </c>
      <c r="I153">
        <v>5.6</v>
      </c>
      <c r="J153">
        <v>6.3</v>
      </c>
      <c r="K153">
        <v>4.5</v>
      </c>
      <c r="L153" s="1"/>
    </row>
    <row r="154" spans="1:12">
      <c r="A154" t="s">
        <v>202</v>
      </c>
      <c r="B154">
        <v>8.5</v>
      </c>
      <c r="C154">
        <v>7.8</v>
      </c>
      <c r="D154">
        <v>8.6</v>
      </c>
      <c r="E154">
        <v>7.3</v>
      </c>
      <c r="F154">
        <v>6.1</v>
      </c>
      <c r="G154">
        <v>7</v>
      </c>
      <c r="H154">
        <v>8.3</v>
      </c>
      <c r="I154">
        <v>5.7</v>
      </c>
      <c r="J154">
        <v>6.3</v>
      </c>
      <c r="K154">
        <v>6.1</v>
      </c>
      <c r="L154" s="1"/>
    </row>
    <row r="155" spans="1:12">
      <c r="A155" t="s">
        <v>203</v>
      </c>
      <c r="B155">
        <v>7.6</v>
      </c>
      <c r="C155">
        <v>7.9</v>
      </c>
      <c r="D155">
        <v>8.3</v>
      </c>
      <c r="E155">
        <v>6.6</v>
      </c>
      <c r="F155">
        <v>6.1</v>
      </c>
      <c r="G155">
        <v>6.6</v>
      </c>
      <c r="H155">
        <v>6.2</v>
      </c>
      <c r="I155">
        <v>6.3</v>
      </c>
      <c r="J155">
        <v>5.5</v>
      </c>
      <c r="K155">
        <v>4</v>
      </c>
      <c r="L155" s="1"/>
    </row>
    <row r="156" spans="1:12">
      <c r="A156" t="s">
        <v>204</v>
      </c>
      <c r="B156">
        <v>7.7</v>
      </c>
      <c r="C156">
        <v>7.9</v>
      </c>
      <c r="D156">
        <v>7.7</v>
      </c>
      <c r="E156">
        <v>7.6</v>
      </c>
      <c r="F156">
        <v>7.8</v>
      </c>
      <c r="G156">
        <v>6.9</v>
      </c>
      <c r="H156">
        <v>6.3</v>
      </c>
      <c r="I156">
        <v>6</v>
      </c>
      <c r="J156">
        <v>5.9</v>
      </c>
      <c r="K156">
        <v>7.3</v>
      </c>
      <c r="L156" s="1"/>
    </row>
    <row r="157" spans="1:12">
      <c r="A157" t="s">
        <v>205</v>
      </c>
      <c r="B157">
        <v>6.8</v>
      </c>
      <c r="C157">
        <v>8.6</v>
      </c>
      <c r="D157">
        <v>7.6</v>
      </c>
      <c r="E157">
        <v>7.7</v>
      </c>
      <c r="F157">
        <v>8.9</v>
      </c>
      <c r="G157">
        <v>6.7</v>
      </c>
      <c r="H157">
        <v>6.8</v>
      </c>
      <c r="I157">
        <v>6.7</v>
      </c>
      <c r="J157">
        <v>7.8</v>
      </c>
      <c r="K157">
        <v>7.8</v>
      </c>
      <c r="L157" s="1"/>
    </row>
    <row r="158" spans="1:12">
      <c r="A158" t="s">
        <v>206</v>
      </c>
      <c r="B158">
        <v>8.4</v>
      </c>
      <c r="C158">
        <v>7.3</v>
      </c>
      <c r="D158">
        <v>8.2</v>
      </c>
      <c r="E158">
        <v>7</v>
      </c>
      <c r="F158">
        <v>7.2</v>
      </c>
      <c r="G158">
        <v>7.9</v>
      </c>
      <c r="H158">
        <v>6.8</v>
      </c>
      <c r="I158">
        <v>5.2</v>
      </c>
      <c r="J158">
        <v>6.9</v>
      </c>
      <c r="K158">
        <v>5.1</v>
      </c>
      <c r="L158" s="1"/>
    </row>
    <row r="159" spans="1:12">
      <c r="A159" t="s">
        <v>207</v>
      </c>
      <c r="B159">
        <v>7.6</v>
      </c>
      <c r="C159">
        <v>7.1</v>
      </c>
      <c r="D159">
        <v>8.2</v>
      </c>
      <c r="E159">
        <v>6.4</v>
      </c>
      <c r="F159">
        <v>6.5</v>
      </c>
      <c r="G159">
        <v>5.5</v>
      </c>
      <c r="H159">
        <v>6.9</v>
      </c>
      <c r="I159">
        <v>6.6</v>
      </c>
      <c r="J159">
        <v>4.9</v>
      </c>
      <c r="K159">
        <v>8.5</v>
      </c>
      <c r="L159" s="1"/>
    </row>
    <row r="160" spans="1:12">
      <c r="A160" t="s">
        <v>208</v>
      </c>
      <c r="B160">
        <v>7.8</v>
      </c>
      <c r="C160">
        <v>6.8</v>
      </c>
      <c r="D160">
        <v>6.9</v>
      </c>
      <c r="E160">
        <v>7.2</v>
      </c>
      <c r="F160">
        <v>7.3</v>
      </c>
      <c r="G160">
        <v>6.7</v>
      </c>
      <c r="H160">
        <v>6.6</v>
      </c>
      <c r="I160">
        <v>7</v>
      </c>
      <c r="J160">
        <v>5.5</v>
      </c>
      <c r="K160">
        <v>5.3</v>
      </c>
      <c r="L160" s="1"/>
    </row>
    <row r="161" spans="1:12">
      <c r="A161" t="s">
        <v>209</v>
      </c>
      <c r="B161">
        <v>8.5</v>
      </c>
      <c r="C161">
        <v>8.2</v>
      </c>
      <c r="D161">
        <v>7.8</v>
      </c>
      <c r="E161">
        <v>9</v>
      </c>
      <c r="F161">
        <v>8.5</v>
      </c>
      <c r="G161">
        <v>7.4</v>
      </c>
      <c r="H161">
        <v>7.2</v>
      </c>
      <c r="I161">
        <v>8.5</v>
      </c>
      <c r="J161">
        <v>6.7</v>
      </c>
      <c r="K161">
        <v>5.6</v>
      </c>
      <c r="L161" s="1"/>
    </row>
    <row r="162" spans="1:12">
      <c r="A162" t="s">
        <v>210</v>
      </c>
      <c r="B162">
        <v>8.5</v>
      </c>
      <c r="C162">
        <v>9.5</v>
      </c>
      <c r="D162">
        <v>6.6</v>
      </c>
      <c r="E162">
        <v>7.1</v>
      </c>
      <c r="F162">
        <v>6.1</v>
      </c>
      <c r="G162">
        <v>8.7</v>
      </c>
      <c r="H162">
        <v>6.2</v>
      </c>
      <c r="I162">
        <v>6.8</v>
      </c>
      <c r="J162">
        <v>7.7</v>
      </c>
      <c r="K162">
        <v>6.7</v>
      </c>
      <c r="L162" s="1"/>
    </row>
    <row r="163" spans="1:12">
      <c r="A163" t="s">
        <v>211</v>
      </c>
      <c r="B163">
        <v>8.4</v>
      </c>
      <c r="C163">
        <v>7.8</v>
      </c>
      <c r="D163">
        <v>7.5</v>
      </c>
      <c r="E163">
        <v>8</v>
      </c>
      <c r="F163">
        <v>8</v>
      </c>
      <c r="G163">
        <v>6.6</v>
      </c>
      <c r="H163">
        <v>7</v>
      </c>
      <c r="I163">
        <v>7.1</v>
      </c>
      <c r="J163">
        <v>7.7</v>
      </c>
      <c r="K163">
        <v>6</v>
      </c>
      <c r="L163" s="1"/>
    </row>
    <row r="164" spans="1:12">
      <c r="A164" t="s">
        <v>212</v>
      </c>
      <c r="B164">
        <v>8.1</v>
      </c>
      <c r="C164">
        <v>8</v>
      </c>
      <c r="D164">
        <v>8.2</v>
      </c>
      <c r="E164">
        <v>7.2</v>
      </c>
      <c r="F164">
        <v>8.1</v>
      </c>
      <c r="G164">
        <v>7.9</v>
      </c>
      <c r="H164">
        <v>6.1</v>
      </c>
      <c r="I164">
        <v>7.4</v>
      </c>
      <c r="J164">
        <v>6.1</v>
      </c>
      <c r="K164">
        <v>5.1</v>
      </c>
      <c r="L164" s="1"/>
    </row>
    <row r="165" spans="1:12">
      <c r="A165" t="s">
        <v>213</v>
      </c>
      <c r="B165">
        <v>8.6</v>
      </c>
      <c r="C165">
        <v>9.1</v>
      </c>
      <c r="D165">
        <v>8.4</v>
      </c>
      <c r="E165">
        <v>8.1</v>
      </c>
      <c r="F165">
        <v>8.8</v>
      </c>
      <c r="G165">
        <v>7.3</v>
      </c>
      <c r="H165">
        <v>7.9</v>
      </c>
      <c r="I165">
        <v>5.7</v>
      </c>
      <c r="J165">
        <v>7.3</v>
      </c>
      <c r="K165">
        <v>4.8</v>
      </c>
      <c r="L165" s="1"/>
    </row>
    <row r="166" spans="1:12">
      <c r="A166" t="s">
        <v>214</v>
      </c>
      <c r="B166">
        <v>8.2</v>
      </c>
      <c r="C166">
        <v>7.9</v>
      </c>
      <c r="D166">
        <v>7.8</v>
      </c>
      <c r="E166">
        <v>7.8</v>
      </c>
      <c r="F166">
        <v>6.2</v>
      </c>
      <c r="G166">
        <v>5.1</v>
      </c>
      <c r="H166">
        <v>7.6</v>
      </c>
      <c r="I166">
        <v>6.2</v>
      </c>
      <c r="J166">
        <v>6.6</v>
      </c>
      <c r="K166">
        <v>6.3</v>
      </c>
      <c r="L166" s="1"/>
    </row>
    <row r="167" spans="1:12">
      <c r="A167" t="s">
        <v>215</v>
      </c>
      <c r="B167">
        <v>7.5</v>
      </c>
      <c r="C167">
        <v>9.2</v>
      </c>
      <c r="D167">
        <v>8.9</v>
      </c>
      <c r="E167">
        <v>7.9</v>
      </c>
      <c r="F167">
        <v>9.5</v>
      </c>
      <c r="G167">
        <v>8.1</v>
      </c>
      <c r="H167">
        <v>8.6</v>
      </c>
      <c r="I167">
        <v>7.1</v>
      </c>
      <c r="J167">
        <v>4.6</v>
      </c>
      <c r="K167">
        <v>5.7</v>
      </c>
      <c r="L167" s="1"/>
    </row>
    <row r="168" spans="1:12">
      <c r="A168" t="s">
        <v>216</v>
      </c>
      <c r="B168">
        <v>8.5</v>
      </c>
      <c r="C168">
        <v>7.9</v>
      </c>
      <c r="D168">
        <v>7.8</v>
      </c>
      <c r="E168">
        <v>8.8</v>
      </c>
      <c r="F168">
        <v>8.3</v>
      </c>
      <c r="G168">
        <v>9.4</v>
      </c>
      <c r="H168">
        <v>6.3</v>
      </c>
      <c r="I168">
        <v>6.9</v>
      </c>
      <c r="J168">
        <v>7.2</v>
      </c>
      <c r="K168">
        <v>6.8</v>
      </c>
      <c r="L168" s="1"/>
    </row>
    <row r="169" spans="1:12">
      <c r="A169" t="s">
        <v>217</v>
      </c>
      <c r="B169">
        <v>8.3</v>
      </c>
      <c r="C169">
        <v>8</v>
      </c>
      <c r="D169">
        <v>8.9</v>
      </c>
      <c r="E169">
        <v>8.2</v>
      </c>
      <c r="F169">
        <v>6.8</v>
      </c>
      <c r="G169">
        <v>5.6</v>
      </c>
      <c r="H169">
        <v>6.7</v>
      </c>
      <c r="I169">
        <v>6.7</v>
      </c>
      <c r="J169">
        <v>5.7</v>
      </c>
      <c r="K169">
        <v>7.4</v>
      </c>
      <c r="L169" s="1"/>
    </row>
    <row r="170" spans="1:12">
      <c r="A170" t="s">
        <v>218</v>
      </c>
      <c r="B170">
        <v>8.9</v>
      </c>
      <c r="C170">
        <v>8.9</v>
      </c>
      <c r="D170">
        <v>8.4</v>
      </c>
      <c r="E170">
        <v>7</v>
      </c>
      <c r="F170">
        <v>7.3</v>
      </c>
      <c r="G170">
        <v>6.7</v>
      </c>
      <c r="H170">
        <v>7.1</v>
      </c>
      <c r="I170">
        <v>7.2</v>
      </c>
      <c r="J170">
        <v>5.9</v>
      </c>
      <c r="K170">
        <v>6.6</v>
      </c>
      <c r="L170" s="1"/>
    </row>
    <row r="171" spans="1:12">
      <c r="A171" t="s">
        <v>219</v>
      </c>
      <c r="B171">
        <v>8.6</v>
      </c>
      <c r="C171">
        <v>8.6</v>
      </c>
      <c r="D171">
        <v>7.6</v>
      </c>
      <c r="E171">
        <v>6.7</v>
      </c>
      <c r="F171">
        <v>7.5</v>
      </c>
      <c r="G171">
        <v>6.1</v>
      </c>
      <c r="H171">
        <v>7.5</v>
      </c>
      <c r="I171">
        <v>9.4</v>
      </c>
      <c r="J171">
        <v>6.4</v>
      </c>
      <c r="K171">
        <v>6</v>
      </c>
      <c r="L171" s="1"/>
    </row>
    <row r="172" spans="1:12">
      <c r="A172" t="s">
        <v>220</v>
      </c>
      <c r="B172">
        <v>7.8</v>
      </c>
      <c r="C172">
        <v>8.1</v>
      </c>
      <c r="D172">
        <v>8.8</v>
      </c>
      <c r="E172">
        <v>7</v>
      </c>
      <c r="F172">
        <v>8.6</v>
      </c>
      <c r="G172">
        <v>5.4</v>
      </c>
      <c r="H172">
        <v>7</v>
      </c>
      <c r="I172">
        <v>7.5</v>
      </c>
      <c r="J172">
        <v>8.3</v>
      </c>
      <c r="K172">
        <v>8.6</v>
      </c>
      <c r="L172" s="1"/>
    </row>
    <row r="173" spans="1:12">
      <c r="A173" t="s">
        <v>221</v>
      </c>
      <c r="B173">
        <v>8.7</v>
      </c>
      <c r="C173">
        <v>7.9</v>
      </c>
      <c r="D173">
        <v>8.4</v>
      </c>
      <c r="E173">
        <v>7.3</v>
      </c>
      <c r="F173">
        <v>6.7</v>
      </c>
      <c r="G173">
        <v>8.1</v>
      </c>
      <c r="H173">
        <v>7.1</v>
      </c>
      <c r="I173">
        <v>7.5</v>
      </c>
      <c r="J173">
        <v>8</v>
      </c>
      <c r="K173">
        <v>5.9</v>
      </c>
      <c r="L173" s="1"/>
    </row>
    <row r="174" spans="1:12">
      <c r="A174" t="s">
        <v>222</v>
      </c>
      <c r="B174">
        <v>9</v>
      </c>
      <c r="C174">
        <v>7.3</v>
      </c>
      <c r="D174">
        <v>8</v>
      </c>
      <c r="E174">
        <v>7.3</v>
      </c>
      <c r="F174">
        <v>7</v>
      </c>
      <c r="G174">
        <v>7.9</v>
      </c>
      <c r="H174">
        <v>7</v>
      </c>
      <c r="I174">
        <v>6.8</v>
      </c>
      <c r="J174">
        <v>6.7</v>
      </c>
      <c r="K174">
        <v>3.9</v>
      </c>
      <c r="L174" s="1"/>
    </row>
    <row r="175" spans="1:12">
      <c r="A175" t="s">
        <v>223</v>
      </c>
      <c r="B175">
        <v>8.5</v>
      </c>
      <c r="C175">
        <v>7</v>
      </c>
      <c r="D175">
        <v>7.3</v>
      </c>
      <c r="E175">
        <v>7.3</v>
      </c>
      <c r="F175">
        <v>8.2</v>
      </c>
      <c r="G175">
        <v>8.8</v>
      </c>
      <c r="H175">
        <v>7.9</v>
      </c>
      <c r="I175">
        <v>6.3</v>
      </c>
      <c r="J175">
        <v>6.9</v>
      </c>
      <c r="K175">
        <v>7.3</v>
      </c>
      <c r="L175" s="1"/>
    </row>
    <row r="176" spans="1:12">
      <c r="A176" t="s">
        <v>224</v>
      </c>
      <c r="B176">
        <v>7.7</v>
      </c>
      <c r="C176">
        <v>8</v>
      </c>
      <c r="D176">
        <v>8.1</v>
      </c>
      <c r="E176">
        <v>8.1</v>
      </c>
      <c r="F176">
        <v>5.8</v>
      </c>
      <c r="G176">
        <v>7.5</v>
      </c>
      <c r="H176">
        <v>5.4</v>
      </c>
      <c r="I176">
        <v>7</v>
      </c>
      <c r="J176">
        <v>6.4</v>
      </c>
      <c r="K176">
        <v>4.6</v>
      </c>
      <c r="L176" s="1"/>
    </row>
    <row r="177" spans="1:12">
      <c r="A177" t="s">
        <v>225</v>
      </c>
      <c r="B177">
        <v>8.3</v>
      </c>
      <c r="C177">
        <v>8.7</v>
      </c>
      <c r="D177">
        <v>8</v>
      </c>
      <c r="E177">
        <v>7.5</v>
      </c>
      <c r="F177">
        <v>5.8</v>
      </c>
      <c r="G177">
        <v>7.9</v>
      </c>
      <c r="H177">
        <v>6.8</v>
      </c>
      <c r="I177">
        <v>5</v>
      </c>
      <c r="J177">
        <v>5.8</v>
      </c>
      <c r="K177">
        <v>6.6</v>
      </c>
      <c r="L177" s="1"/>
    </row>
    <row r="178" spans="1:12">
      <c r="A178" t="s">
        <v>226</v>
      </c>
      <c r="B178">
        <v>8</v>
      </c>
      <c r="C178">
        <v>8.8</v>
      </c>
      <c r="D178">
        <v>7.5</v>
      </c>
      <c r="E178">
        <v>7.2</v>
      </c>
      <c r="F178">
        <v>7</v>
      </c>
      <c r="G178">
        <v>7.7</v>
      </c>
      <c r="H178">
        <v>8.1</v>
      </c>
      <c r="I178">
        <v>8.5</v>
      </c>
      <c r="J178">
        <v>5.8</v>
      </c>
      <c r="K178">
        <v>7.5</v>
      </c>
      <c r="L178" s="1"/>
    </row>
    <row r="179" spans="1:12">
      <c r="A179" t="s">
        <v>227</v>
      </c>
      <c r="B179">
        <v>8.3</v>
      </c>
      <c r="C179">
        <v>8.3</v>
      </c>
      <c r="D179">
        <v>8.8</v>
      </c>
      <c r="E179">
        <v>8.5</v>
      </c>
      <c r="F179">
        <v>6.9</v>
      </c>
      <c r="G179">
        <v>6.6</v>
      </c>
      <c r="H179">
        <v>6.9</v>
      </c>
      <c r="I179">
        <v>6.9</v>
      </c>
      <c r="J179">
        <v>5.4</v>
      </c>
      <c r="K179">
        <v>5.6</v>
      </c>
      <c r="L179" s="1"/>
    </row>
    <row r="180" spans="1:12">
      <c r="A180" t="s">
        <v>228</v>
      </c>
      <c r="B180">
        <v>7.9</v>
      </c>
      <c r="C180">
        <v>8.3</v>
      </c>
      <c r="D180">
        <v>8.5</v>
      </c>
      <c r="E180">
        <v>7.3</v>
      </c>
      <c r="F180">
        <v>8.1</v>
      </c>
      <c r="G180">
        <v>7.1</v>
      </c>
      <c r="H180">
        <v>8.5</v>
      </c>
      <c r="I180">
        <v>6.7</v>
      </c>
      <c r="J180">
        <v>6.5</v>
      </c>
      <c r="K180">
        <v>5.7</v>
      </c>
      <c r="L180" s="1"/>
    </row>
    <row r="181" spans="1:12">
      <c r="A181" t="s">
        <v>229</v>
      </c>
      <c r="B181">
        <v>8.3</v>
      </c>
      <c r="C181">
        <v>8.7</v>
      </c>
      <c r="D181">
        <v>7.6</v>
      </c>
      <c r="E181">
        <v>7.7</v>
      </c>
      <c r="F181">
        <v>7.4</v>
      </c>
      <c r="G181">
        <v>6.9</v>
      </c>
      <c r="H181">
        <v>9</v>
      </c>
      <c r="I181">
        <v>6.6</v>
      </c>
      <c r="J181">
        <v>8.3</v>
      </c>
      <c r="K181">
        <v>6.8</v>
      </c>
      <c r="L181" s="1"/>
    </row>
    <row r="182" spans="1:12">
      <c r="A182" t="s">
        <v>230</v>
      </c>
      <c r="B182">
        <v>9</v>
      </c>
      <c r="C182">
        <v>8.1</v>
      </c>
      <c r="D182">
        <v>8.1</v>
      </c>
      <c r="E182">
        <v>8.1</v>
      </c>
      <c r="F182">
        <v>8.8</v>
      </c>
      <c r="G182">
        <v>7.5</v>
      </c>
      <c r="H182">
        <v>6.8</v>
      </c>
      <c r="I182">
        <v>7.1</v>
      </c>
      <c r="J182">
        <v>7</v>
      </c>
      <c r="K182">
        <v>5.9</v>
      </c>
      <c r="L182" s="1"/>
    </row>
    <row r="183" spans="1:12">
      <c r="A183" t="s">
        <v>231</v>
      </c>
      <c r="B183">
        <v>8.6</v>
      </c>
      <c r="C183">
        <v>8.4</v>
      </c>
      <c r="D183">
        <v>6.8</v>
      </c>
      <c r="E183">
        <v>7.5</v>
      </c>
      <c r="F183">
        <v>7.4</v>
      </c>
      <c r="G183">
        <v>8.9</v>
      </c>
      <c r="H183">
        <v>8.1</v>
      </c>
      <c r="I183">
        <v>8.2</v>
      </c>
      <c r="J183">
        <v>7.6</v>
      </c>
      <c r="K183">
        <v>4.8</v>
      </c>
      <c r="L183" s="1"/>
    </row>
    <row r="184" spans="1:12">
      <c r="A184" t="s">
        <v>232</v>
      </c>
      <c r="B184">
        <v>8.2</v>
      </c>
      <c r="C184">
        <v>8.9</v>
      </c>
      <c r="D184">
        <v>7.6</v>
      </c>
      <c r="E184">
        <v>8.4</v>
      </c>
      <c r="F184">
        <v>7.3</v>
      </c>
      <c r="G184">
        <v>7.1</v>
      </c>
      <c r="H184">
        <v>6.2</v>
      </c>
      <c r="I184">
        <v>5.3</v>
      </c>
      <c r="J184">
        <v>7.2</v>
      </c>
      <c r="K184">
        <v>6.9</v>
      </c>
      <c r="L184" s="1"/>
    </row>
    <row r="185" spans="1:12">
      <c r="A185" t="s">
        <v>233</v>
      </c>
      <c r="B185">
        <v>8.6</v>
      </c>
      <c r="C185">
        <v>8.2</v>
      </c>
      <c r="D185">
        <v>7.6</v>
      </c>
      <c r="E185">
        <v>8.5</v>
      </c>
      <c r="F185">
        <v>7.9</v>
      </c>
      <c r="G185">
        <v>7.5</v>
      </c>
      <c r="H185">
        <v>6.8</v>
      </c>
      <c r="I185">
        <v>7.1</v>
      </c>
      <c r="J185">
        <v>6</v>
      </c>
      <c r="K185">
        <v>7.1</v>
      </c>
      <c r="L185" s="1"/>
    </row>
    <row r="186" spans="1:12">
      <c r="A186" t="s">
        <v>234</v>
      </c>
      <c r="B186">
        <v>8</v>
      </c>
      <c r="C186">
        <v>7.7</v>
      </c>
      <c r="D186">
        <v>8.9</v>
      </c>
      <c r="E186">
        <v>8.5</v>
      </c>
      <c r="F186">
        <v>8.6</v>
      </c>
      <c r="G186">
        <v>7.1</v>
      </c>
      <c r="H186">
        <v>7.2</v>
      </c>
      <c r="I186">
        <v>4.8</v>
      </c>
      <c r="J186">
        <v>6.2</v>
      </c>
      <c r="K186">
        <v>6.3</v>
      </c>
      <c r="L186" s="1"/>
    </row>
    <row r="187" spans="1:12">
      <c r="A187" t="s">
        <v>235</v>
      </c>
      <c r="B187">
        <v>8.7</v>
      </c>
      <c r="C187">
        <v>7.5</v>
      </c>
      <c r="D187">
        <v>7.7</v>
      </c>
      <c r="E187">
        <v>7.5</v>
      </c>
      <c r="F187">
        <v>7.6</v>
      </c>
      <c r="G187">
        <v>6.7</v>
      </c>
      <c r="H187">
        <v>8.3</v>
      </c>
      <c r="I187">
        <v>7.6</v>
      </c>
      <c r="J187">
        <v>7.3</v>
      </c>
      <c r="K187">
        <v>4.6</v>
      </c>
      <c r="L187" s="1"/>
    </row>
    <row r="188" spans="1:12">
      <c r="A188" t="s">
        <v>236</v>
      </c>
      <c r="B188">
        <v>8.6</v>
      </c>
      <c r="C188">
        <v>8.9</v>
      </c>
      <c r="D188">
        <v>7.4</v>
      </c>
      <c r="E188">
        <v>7.1</v>
      </c>
      <c r="F188">
        <v>6.4</v>
      </c>
      <c r="G188">
        <v>5.9</v>
      </c>
      <c r="H188">
        <v>8.8</v>
      </c>
      <c r="I188">
        <v>5.8</v>
      </c>
      <c r="J188">
        <v>7.2</v>
      </c>
      <c r="K188">
        <v>6.1</v>
      </c>
      <c r="L188" s="1"/>
    </row>
    <row r="189" spans="1:12">
      <c r="A189" t="s">
        <v>237</v>
      </c>
      <c r="B189">
        <v>8.2</v>
      </c>
      <c r="C189">
        <v>8.2</v>
      </c>
      <c r="D189">
        <v>7.1</v>
      </c>
      <c r="E189">
        <v>7.1</v>
      </c>
      <c r="F189">
        <v>8.4</v>
      </c>
      <c r="G189">
        <v>9</v>
      </c>
      <c r="H189">
        <v>6.7</v>
      </c>
      <c r="I189">
        <v>6.5</v>
      </c>
      <c r="J189">
        <v>6.6</v>
      </c>
      <c r="K189">
        <v>3.1</v>
      </c>
      <c r="L189" s="1"/>
    </row>
    <row r="190" spans="1:12">
      <c r="A190" t="s">
        <v>238</v>
      </c>
      <c r="B190">
        <v>6.7</v>
      </c>
      <c r="C190">
        <v>8.9</v>
      </c>
      <c r="D190">
        <v>7.5</v>
      </c>
      <c r="E190">
        <v>8.3</v>
      </c>
      <c r="F190">
        <v>8.1</v>
      </c>
      <c r="G190">
        <v>7.8</v>
      </c>
      <c r="H190">
        <v>8.2</v>
      </c>
      <c r="I190">
        <v>6.8</v>
      </c>
      <c r="J190">
        <v>8</v>
      </c>
      <c r="K190">
        <v>4.3</v>
      </c>
      <c r="L190" s="1"/>
    </row>
    <row r="191" spans="1:12">
      <c r="A191" t="s">
        <v>239</v>
      </c>
      <c r="B191">
        <v>8.6</v>
      </c>
      <c r="C191">
        <v>8.6</v>
      </c>
      <c r="D191">
        <v>7.8</v>
      </c>
      <c r="E191">
        <v>8</v>
      </c>
      <c r="F191">
        <v>6.9</v>
      </c>
      <c r="G191">
        <v>6.6</v>
      </c>
      <c r="H191">
        <v>6.8</v>
      </c>
      <c r="I191">
        <v>7.5</v>
      </c>
      <c r="J191">
        <v>8.2</v>
      </c>
      <c r="K191">
        <v>7</v>
      </c>
      <c r="L191" s="1"/>
    </row>
    <row r="192" spans="1:12">
      <c r="A192" t="s">
        <v>240</v>
      </c>
      <c r="B192">
        <v>8.3</v>
      </c>
      <c r="C192">
        <v>7.5</v>
      </c>
      <c r="D192">
        <v>8.9</v>
      </c>
      <c r="E192">
        <v>7.7</v>
      </c>
      <c r="F192">
        <v>7</v>
      </c>
      <c r="G192">
        <v>7</v>
      </c>
      <c r="H192">
        <v>5.8</v>
      </c>
      <c r="I192">
        <v>5.9</v>
      </c>
      <c r="J192">
        <v>6</v>
      </c>
      <c r="K192">
        <v>4.2</v>
      </c>
      <c r="L192" s="1"/>
    </row>
    <row r="193" spans="1:12">
      <c r="A193" t="s">
        <v>241</v>
      </c>
      <c r="B193">
        <v>8.6</v>
      </c>
      <c r="C193">
        <v>8.4</v>
      </c>
      <c r="D193">
        <v>8.2</v>
      </c>
      <c r="E193">
        <v>8.1</v>
      </c>
      <c r="F193">
        <v>7.2</v>
      </c>
      <c r="G193">
        <v>7.9</v>
      </c>
      <c r="H193">
        <v>6.8</v>
      </c>
      <c r="I193">
        <v>7.6</v>
      </c>
      <c r="J193">
        <v>8.6</v>
      </c>
      <c r="K193">
        <v>6.8</v>
      </c>
      <c r="L193" s="1"/>
    </row>
    <row r="194" spans="1:12">
      <c r="A194" t="s">
        <v>242</v>
      </c>
      <c r="B194">
        <v>8.4</v>
      </c>
      <c r="C194">
        <v>8.6</v>
      </c>
      <c r="D194">
        <v>7.9</v>
      </c>
      <c r="E194">
        <v>7</v>
      </c>
      <c r="F194">
        <v>8.5</v>
      </c>
      <c r="G194">
        <v>6.2</v>
      </c>
      <c r="H194">
        <v>7.9</v>
      </c>
      <c r="I194">
        <v>6.6</v>
      </c>
      <c r="J194">
        <v>9.4</v>
      </c>
      <c r="K194">
        <v>7.6</v>
      </c>
      <c r="L194" s="1"/>
    </row>
    <row r="195" spans="1:12">
      <c r="A195" t="s">
        <v>243</v>
      </c>
      <c r="B195">
        <v>7.8</v>
      </c>
      <c r="C195">
        <v>7.3</v>
      </c>
      <c r="D195">
        <v>6.7</v>
      </c>
      <c r="E195">
        <v>7.6</v>
      </c>
      <c r="F195">
        <v>7.8</v>
      </c>
      <c r="G195">
        <v>6</v>
      </c>
      <c r="H195">
        <v>5.3</v>
      </c>
      <c r="I195">
        <v>6.5</v>
      </c>
      <c r="J195">
        <v>5.4</v>
      </c>
      <c r="K195">
        <v>6.7</v>
      </c>
      <c r="L195" s="1"/>
    </row>
    <row r="196" spans="1:12">
      <c r="A196" t="s">
        <v>244</v>
      </c>
      <c r="B196">
        <v>7.9</v>
      </c>
      <c r="C196">
        <v>6.9</v>
      </c>
      <c r="D196">
        <v>6.5</v>
      </c>
      <c r="E196">
        <v>8</v>
      </c>
      <c r="F196">
        <v>6.9</v>
      </c>
      <c r="G196">
        <v>6.3</v>
      </c>
      <c r="H196">
        <v>7.2</v>
      </c>
      <c r="I196">
        <v>6.7</v>
      </c>
      <c r="J196">
        <v>4.9</v>
      </c>
      <c r="K196">
        <v>4.1</v>
      </c>
      <c r="L196" s="1"/>
    </row>
    <row r="197" spans="1:12">
      <c r="A197" t="s">
        <v>245</v>
      </c>
      <c r="B197">
        <v>7.5</v>
      </c>
      <c r="C197">
        <v>7.4</v>
      </c>
      <c r="D197">
        <v>7.6</v>
      </c>
      <c r="E197">
        <v>5.8</v>
      </c>
      <c r="F197">
        <v>7.4</v>
      </c>
      <c r="G197">
        <v>5.2</v>
      </c>
      <c r="H197">
        <v>5.4</v>
      </c>
      <c r="I197">
        <v>5.3</v>
      </c>
      <c r="J197">
        <v>6.3</v>
      </c>
      <c r="K197">
        <v>6.2</v>
      </c>
      <c r="L197" s="1"/>
    </row>
    <row r="198" spans="1:12">
      <c r="A198" t="s">
        <v>246</v>
      </c>
      <c r="B198">
        <v>6.6</v>
      </c>
      <c r="C198">
        <v>7.3</v>
      </c>
      <c r="D198">
        <v>6.8</v>
      </c>
      <c r="E198">
        <v>6.9</v>
      </c>
      <c r="F198">
        <v>6.5</v>
      </c>
      <c r="G198">
        <v>6.6</v>
      </c>
      <c r="H198">
        <v>7.6</v>
      </c>
      <c r="I198">
        <v>5.8</v>
      </c>
      <c r="J198">
        <v>5.6</v>
      </c>
      <c r="K198">
        <v>4.4</v>
      </c>
      <c r="L198" s="1"/>
    </row>
    <row r="199" spans="1:12">
      <c r="A199" t="s">
        <v>247</v>
      </c>
      <c r="B199">
        <v>7.1</v>
      </c>
      <c r="C199">
        <v>7.3</v>
      </c>
      <c r="D199">
        <v>8</v>
      </c>
      <c r="E199">
        <v>6.7</v>
      </c>
      <c r="F199">
        <v>6.7</v>
      </c>
      <c r="G199">
        <v>6.5</v>
      </c>
      <c r="H199">
        <v>5.8</v>
      </c>
      <c r="I199">
        <v>7.2</v>
      </c>
      <c r="J199">
        <v>6</v>
      </c>
      <c r="K199">
        <v>5.4</v>
      </c>
      <c r="L199" s="1"/>
    </row>
    <row r="200" spans="1:12">
      <c r="A200" t="s">
        <v>248</v>
      </c>
      <c r="B200">
        <v>7.4</v>
      </c>
      <c r="C200">
        <v>7.4</v>
      </c>
      <c r="D200">
        <v>7.8</v>
      </c>
      <c r="E200">
        <v>6.8</v>
      </c>
      <c r="F200">
        <v>5.7</v>
      </c>
      <c r="G200">
        <v>6.9</v>
      </c>
      <c r="H200">
        <v>7.2</v>
      </c>
      <c r="I200">
        <v>6.7</v>
      </c>
      <c r="J200">
        <v>5.3</v>
      </c>
      <c r="K200">
        <v>6</v>
      </c>
      <c r="L200" s="1"/>
    </row>
    <row r="201" spans="1:12">
      <c r="A201" t="s">
        <v>249</v>
      </c>
      <c r="B201">
        <v>7.1</v>
      </c>
      <c r="C201">
        <v>7</v>
      </c>
      <c r="D201">
        <v>7</v>
      </c>
      <c r="E201">
        <v>6.4</v>
      </c>
      <c r="F201">
        <v>6.5</v>
      </c>
      <c r="G201">
        <v>7.5</v>
      </c>
      <c r="H201">
        <v>7</v>
      </c>
      <c r="I201">
        <v>5.5</v>
      </c>
      <c r="J201">
        <v>6.4</v>
      </c>
      <c r="K201">
        <v>4.6</v>
      </c>
      <c r="L201" s="1"/>
    </row>
    <row r="202" spans="1:12">
      <c r="A202" t="s">
        <v>250</v>
      </c>
      <c r="B202">
        <v>8</v>
      </c>
      <c r="C202">
        <v>8.3</v>
      </c>
      <c r="D202">
        <v>6.8</v>
      </c>
      <c r="E202">
        <v>7.5</v>
      </c>
      <c r="F202">
        <v>7.1</v>
      </c>
      <c r="G202">
        <v>5.8</v>
      </c>
      <c r="H202">
        <v>7.7</v>
      </c>
      <c r="I202">
        <v>7.1</v>
      </c>
      <c r="J202">
        <v>4.7</v>
      </c>
      <c r="K202">
        <v>6.5</v>
      </c>
      <c r="L202" s="1"/>
    </row>
    <row r="203" spans="1:12">
      <c r="A203" t="s">
        <v>251</v>
      </c>
      <c r="B203">
        <v>8</v>
      </c>
      <c r="C203">
        <v>7.1</v>
      </c>
      <c r="D203">
        <v>7</v>
      </c>
      <c r="E203">
        <v>6.5</v>
      </c>
      <c r="F203">
        <v>7.3</v>
      </c>
      <c r="G203">
        <v>7.1</v>
      </c>
      <c r="H203">
        <v>6.5</v>
      </c>
      <c r="I203">
        <v>5.6</v>
      </c>
      <c r="J203">
        <v>4.9</v>
      </c>
      <c r="K203">
        <v>5.5</v>
      </c>
      <c r="L203" s="1"/>
    </row>
    <row r="204" spans="1:12">
      <c r="A204" t="s">
        <v>252</v>
      </c>
      <c r="B204">
        <v>7.4</v>
      </c>
      <c r="C204">
        <v>6.9</v>
      </c>
      <c r="D204">
        <v>8.5</v>
      </c>
      <c r="E204">
        <v>5.7</v>
      </c>
      <c r="F204">
        <v>6.1</v>
      </c>
      <c r="G204">
        <v>7.2</v>
      </c>
      <c r="H204">
        <v>5.9</v>
      </c>
      <c r="I204">
        <v>7.2</v>
      </c>
      <c r="J204">
        <v>5.3</v>
      </c>
      <c r="K204">
        <v>5.2</v>
      </c>
      <c r="L204" s="1"/>
    </row>
    <row r="205" spans="1:12">
      <c r="A205" t="s">
        <v>253</v>
      </c>
      <c r="B205">
        <v>7.4</v>
      </c>
      <c r="C205">
        <v>6.8</v>
      </c>
      <c r="D205">
        <v>7.7</v>
      </c>
      <c r="E205">
        <v>6.7</v>
      </c>
      <c r="F205">
        <v>7.7</v>
      </c>
      <c r="G205">
        <v>7.3</v>
      </c>
      <c r="H205">
        <v>4.5</v>
      </c>
      <c r="I205">
        <v>6.7</v>
      </c>
      <c r="J205">
        <v>6.1</v>
      </c>
      <c r="K205">
        <v>8</v>
      </c>
      <c r="L205" s="1"/>
    </row>
    <row r="206" spans="1:12">
      <c r="A206" t="s">
        <v>254</v>
      </c>
      <c r="B206">
        <v>6.7</v>
      </c>
      <c r="C206">
        <v>7.6</v>
      </c>
      <c r="D206">
        <v>5.8</v>
      </c>
      <c r="E206">
        <v>7.4</v>
      </c>
      <c r="F206">
        <v>7</v>
      </c>
      <c r="G206">
        <v>6.6</v>
      </c>
      <c r="H206">
        <v>6.7</v>
      </c>
      <c r="I206">
        <v>6.8</v>
      </c>
      <c r="J206">
        <v>6.7</v>
      </c>
      <c r="K206">
        <v>5.3</v>
      </c>
      <c r="L206" s="1"/>
    </row>
    <row r="207" spans="1:12">
      <c r="A207" t="s">
        <v>255</v>
      </c>
      <c r="B207">
        <v>7.7</v>
      </c>
      <c r="C207">
        <v>7.3</v>
      </c>
      <c r="D207">
        <v>6.7</v>
      </c>
      <c r="E207">
        <v>8.2</v>
      </c>
      <c r="F207">
        <v>6.6</v>
      </c>
      <c r="G207">
        <v>5.8</v>
      </c>
      <c r="H207">
        <v>6.6</v>
      </c>
      <c r="I207">
        <v>6.9</v>
      </c>
      <c r="J207">
        <v>6.6</v>
      </c>
      <c r="K207">
        <v>5.3</v>
      </c>
      <c r="L207" s="1"/>
    </row>
    <row r="208" spans="1:12">
      <c r="A208" t="s">
        <v>256</v>
      </c>
      <c r="B208">
        <v>7.3</v>
      </c>
      <c r="C208">
        <v>7.5</v>
      </c>
      <c r="D208">
        <v>5.8</v>
      </c>
      <c r="E208">
        <v>6.9</v>
      </c>
      <c r="F208">
        <v>7</v>
      </c>
      <c r="G208">
        <v>6.5</v>
      </c>
      <c r="H208">
        <v>7</v>
      </c>
      <c r="I208">
        <v>5.3</v>
      </c>
      <c r="J208">
        <v>5.6</v>
      </c>
      <c r="K208">
        <v>7.5</v>
      </c>
      <c r="L208" s="1"/>
    </row>
    <row r="209" spans="1:12">
      <c r="A209" t="s">
        <v>257</v>
      </c>
      <c r="B209">
        <v>8.7</v>
      </c>
      <c r="C209">
        <v>6.7</v>
      </c>
      <c r="D209">
        <v>7.2</v>
      </c>
      <c r="E209">
        <v>6.4</v>
      </c>
      <c r="F209">
        <v>7.2</v>
      </c>
      <c r="G209">
        <v>6.3</v>
      </c>
      <c r="H209">
        <v>6.8</v>
      </c>
      <c r="I209">
        <v>6.1</v>
      </c>
      <c r="J209">
        <v>6.6</v>
      </c>
      <c r="K209">
        <v>3</v>
      </c>
      <c r="L209" s="1"/>
    </row>
    <row r="210" spans="1:12">
      <c r="A210" t="s">
        <v>258</v>
      </c>
      <c r="B210">
        <v>7.9</v>
      </c>
      <c r="C210">
        <v>6.5</v>
      </c>
      <c r="D210">
        <v>7.5</v>
      </c>
      <c r="E210">
        <v>6.8</v>
      </c>
      <c r="F210">
        <v>6.6</v>
      </c>
      <c r="G210">
        <v>7.1</v>
      </c>
      <c r="H210">
        <v>5.9</v>
      </c>
      <c r="I210">
        <v>4.6</v>
      </c>
      <c r="J210">
        <v>5.5</v>
      </c>
      <c r="K210">
        <v>5.1</v>
      </c>
      <c r="L210" s="1"/>
    </row>
    <row r="211" spans="1:12">
      <c r="A211" t="s">
        <v>259</v>
      </c>
      <c r="B211">
        <v>7.5</v>
      </c>
      <c r="C211">
        <v>6.9</v>
      </c>
      <c r="D211">
        <v>7.1</v>
      </c>
      <c r="E211">
        <v>7.5</v>
      </c>
      <c r="F211">
        <v>5.7</v>
      </c>
      <c r="G211">
        <v>6.6</v>
      </c>
      <c r="H211">
        <v>6.6</v>
      </c>
      <c r="I211">
        <v>6.5</v>
      </c>
      <c r="J211">
        <v>7.4</v>
      </c>
      <c r="K211">
        <v>6.2</v>
      </c>
      <c r="L211" s="1"/>
    </row>
    <row r="212" spans="1:12">
      <c r="A212" t="s">
        <v>260</v>
      </c>
      <c r="B212">
        <v>7.1</v>
      </c>
      <c r="C212">
        <v>8</v>
      </c>
      <c r="D212">
        <v>7.4</v>
      </c>
      <c r="E212">
        <v>6.4</v>
      </c>
      <c r="F212">
        <v>6.1</v>
      </c>
      <c r="G212">
        <v>7.1</v>
      </c>
      <c r="H212">
        <v>6.7</v>
      </c>
      <c r="I212">
        <v>8.1</v>
      </c>
      <c r="J212">
        <v>4.8</v>
      </c>
      <c r="K212">
        <v>6.9</v>
      </c>
      <c r="L212" s="1"/>
    </row>
    <row r="213" spans="1:12">
      <c r="A213" t="s">
        <v>261</v>
      </c>
      <c r="B213">
        <v>7.3</v>
      </c>
      <c r="C213">
        <v>8.3</v>
      </c>
      <c r="D213">
        <v>5.6</v>
      </c>
      <c r="E213">
        <v>6.6</v>
      </c>
      <c r="F213">
        <v>7.1</v>
      </c>
      <c r="G213">
        <v>6.3</v>
      </c>
      <c r="H213">
        <v>5.6</v>
      </c>
      <c r="I213">
        <v>7.7</v>
      </c>
      <c r="J213">
        <v>7</v>
      </c>
      <c r="K213">
        <v>6.6</v>
      </c>
      <c r="L213" s="1"/>
    </row>
    <row r="214" spans="1:12">
      <c r="A214" t="s">
        <v>262</v>
      </c>
      <c r="B214">
        <v>7</v>
      </c>
      <c r="C214">
        <v>7.1</v>
      </c>
      <c r="D214">
        <v>7.5</v>
      </c>
      <c r="E214">
        <v>6.8</v>
      </c>
      <c r="F214">
        <v>6.7</v>
      </c>
      <c r="G214">
        <v>5.8</v>
      </c>
      <c r="H214">
        <v>5.6</v>
      </c>
      <c r="I214">
        <v>6.7</v>
      </c>
      <c r="J214">
        <v>5.3</v>
      </c>
      <c r="K214">
        <v>7.2</v>
      </c>
      <c r="L214" s="1"/>
    </row>
    <row r="215" spans="1:12">
      <c r="A215" t="s">
        <v>263</v>
      </c>
      <c r="B215">
        <v>7.2</v>
      </c>
      <c r="C215">
        <v>6.9</v>
      </c>
      <c r="D215">
        <v>6.5</v>
      </c>
      <c r="E215">
        <v>7.6</v>
      </c>
      <c r="F215">
        <v>6.9</v>
      </c>
      <c r="G215">
        <v>6.7</v>
      </c>
      <c r="H215">
        <v>6.6</v>
      </c>
      <c r="I215">
        <v>7.7</v>
      </c>
      <c r="J215">
        <v>4</v>
      </c>
      <c r="K215">
        <v>4.2</v>
      </c>
      <c r="L215" s="1"/>
    </row>
    <row r="216" spans="1:12">
      <c r="A216" t="s">
        <v>264</v>
      </c>
      <c r="B216">
        <v>8.6</v>
      </c>
      <c r="C216">
        <v>8.5</v>
      </c>
      <c r="D216">
        <v>8</v>
      </c>
      <c r="E216">
        <v>8.7</v>
      </c>
      <c r="F216">
        <v>7.2</v>
      </c>
      <c r="G216">
        <v>6.6</v>
      </c>
      <c r="H216">
        <v>7.3</v>
      </c>
      <c r="I216">
        <v>6.1</v>
      </c>
      <c r="J216">
        <v>7.1</v>
      </c>
      <c r="K216">
        <v>5.3</v>
      </c>
      <c r="L216" s="1"/>
    </row>
    <row r="217" spans="1:12">
      <c r="A217" t="s">
        <v>265</v>
      </c>
      <c r="B217">
        <v>7.7</v>
      </c>
      <c r="C217">
        <v>8.8</v>
      </c>
      <c r="D217">
        <v>7.4</v>
      </c>
      <c r="E217">
        <v>7.3</v>
      </c>
      <c r="F217">
        <v>7.3</v>
      </c>
      <c r="G217">
        <v>6.5</v>
      </c>
      <c r="H217">
        <v>7.3</v>
      </c>
      <c r="I217">
        <v>7.3</v>
      </c>
      <c r="J217">
        <v>8.4</v>
      </c>
      <c r="K217">
        <v>6.8</v>
      </c>
      <c r="L217" s="1"/>
    </row>
    <row r="218" spans="1:12">
      <c r="A218" t="s">
        <v>266</v>
      </c>
      <c r="B218">
        <v>8.6</v>
      </c>
      <c r="C218">
        <v>7.6</v>
      </c>
      <c r="D218">
        <v>7.9</v>
      </c>
      <c r="E218">
        <v>8.1</v>
      </c>
      <c r="F218">
        <v>6.7</v>
      </c>
      <c r="G218">
        <v>7.6</v>
      </c>
      <c r="H218">
        <v>5.4</v>
      </c>
      <c r="I218">
        <v>7.9</v>
      </c>
      <c r="J218">
        <v>8.5</v>
      </c>
      <c r="K218">
        <v>5.7</v>
      </c>
      <c r="L218" s="1"/>
    </row>
    <row r="219" spans="1:12">
      <c r="A219" t="s">
        <v>267</v>
      </c>
      <c r="B219">
        <v>7.3</v>
      </c>
      <c r="C219">
        <v>7.8</v>
      </c>
      <c r="D219">
        <v>7.1</v>
      </c>
      <c r="E219">
        <v>7.2</v>
      </c>
      <c r="F219">
        <v>6.7</v>
      </c>
      <c r="G219">
        <v>6.3</v>
      </c>
      <c r="H219">
        <v>6.7</v>
      </c>
      <c r="I219">
        <v>6.1</v>
      </c>
      <c r="J219">
        <v>4.8</v>
      </c>
      <c r="K219">
        <v>5.2</v>
      </c>
      <c r="L219" s="1"/>
    </row>
    <row r="220" spans="1:12">
      <c r="A220" t="s">
        <v>268</v>
      </c>
      <c r="B220">
        <v>7.6</v>
      </c>
      <c r="C220">
        <v>8.1</v>
      </c>
      <c r="D220">
        <v>6.8</v>
      </c>
      <c r="E220">
        <v>7.7</v>
      </c>
      <c r="F220">
        <v>7.1</v>
      </c>
      <c r="G220">
        <v>7.6</v>
      </c>
      <c r="H220">
        <v>6.3</v>
      </c>
      <c r="I220">
        <v>5.2</v>
      </c>
      <c r="J220">
        <v>5.2</v>
      </c>
      <c r="K220">
        <v>4.8</v>
      </c>
      <c r="L220" s="1"/>
    </row>
    <row r="221" spans="1:12">
      <c r="A221" t="s">
        <v>269</v>
      </c>
      <c r="B221">
        <v>8.3</v>
      </c>
      <c r="C221">
        <v>6.7</v>
      </c>
      <c r="D221">
        <v>7.6</v>
      </c>
      <c r="E221">
        <v>7.2</v>
      </c>
      <c r="F221">
        <v>5.8</v>
      </c>
      <c r="G221">
        <v>5.7</v>
      </c>
      <c r="H221">
        <v>6.8</v>
      </c>
      <c r="I221">
        <v>5.2</v>
      </c>
      <c r="J221">
        <v>5.9</v>
      </c>
      <c r="K221">
        <v>5.5</v>
      </c>
      <c r="L221" s="1"/>
    </row>
    <row r="222" spans="1:12">
      <c r="A222" t="s">
        <v>270</v>
      </c>
      <c r="B222">
        <v>7.2</v>
      </c>
      <c r="C222">
        <v>5.8</v>
      </c>
      <c r="D222">
        <v>7.1</v>
      </c>
      <c r="E222">
        <v>7.3</v>
      </c>
      <c r="F222">
        <v>7.4</v>
      </c>
      <c r="G222">
        <v>7.8</v>
      </c>
      <c r="H222">
        <v>7.2</v>
      </c>
      <c r="I222">
        <v>5.6</v>
      </c>
      <c r="J222">
        <v>5.8</v>
      </c>
      <c r="K222">
        <v>6.7</v>
      </c>
      <c r="L222" s="1"/>
    </row>
    <row r="223" spans="1:12">
      <c r="A223" t="s">
        <v>271</v>
      </c>
      <c r="B223">
        <v>7.4</v>
      </c>
      <c r="C223">
        <v>6.1</v>
      </c>
      <c r="D223">
        <v>7.1</v>
      </c>
      <c r="E223">
        <v>7.3</v>
      </c>
      <c r="F223">
        <v>6</v>
      </c>
      <c r="G223">
        <v>6.1</v>
      </c>
      <c r="H223">
        <v>6.5</v>
      </c>
      <c r="I223">
        <v>6.7</v>
      </c>
      <c r="J223">
        <v>6.6</v>
      </c>
      <c r="K223">
        <v>6.1</v>
      </c>
      <c r="L223" s="1"/>
    </row>
    <row r="224" spans="1:12">
      <c r="A224" t="s">
        <v>272</v>
      </c>
      <c r="B224">
        <v>7</v>
      </c>
      <c r="C224">
        <v>7.1</v>
      </c>
      <c r="D224">
        <v>6.9</v>
      </c>
      <c r="E224">
        <v>7</v>
      </c>
      <c r="F224">
        <v>6.6</v>
      </c>
      <c r="G224">
        <v>6.6</v>
      </c>
      <c r="H224">
        <v>5.7</v>
      </c>
      <c r="I224">
        <v>5.9</v>
      </c>
      <c r="J224">
        <v>6.1</v>
      </c>
      <c r="K224">
        <v>2.5</v>
      </c>
      <c r="L224" s="1"/>
    </row>
    <row r="225" spans="1:12">
      <c r="A225" t="s">
        <v>273</v>
      </c>
      <c r="B225">
        <v>7.7</v>
      </c>
      <c r="C225">
        <v>6.7</v>
      </c>
      <c r="D225">
        <v>7</v>
      </c>
      <c r="E225">
        <v>7.4</v>
      </c>
      <c r="F225">
        <v>5.4</v>
      </c>
      <c r="G225">
        <v>8.1</v>
      </c>
      <c r="H225">
        <v>8.2</v>
      </c>
      <c r="I225">
        <v>6.7</v>
      </c>
      <c r="J225">
        <v>6.4</v>
      </c>
      <c r="K225">
        <v>4.5</v>
      </c>
      <c r="L225" s="1"/>
    </row>
    <row r="226" spans="1:12">
      <c r="A226" t="s">
        <v>274</v>
      </c>
      <c r="B226">
        <v>6.7</v>
      </c>
      <c r="C226">
        <v>6.7</v>
      </c>
      <c r="D226">
        <v>7.6</v>
      </c>
      <c r="E226">
        <v>6.6</v>
      </c>
      <c r="F226">
        <v>6.7</v>
      </c>
      <c r="G226">
        <v>7</v>
      </c>
      <c r="H226">
        <v>6.8</v>
      </c>
      <c r="I226">
        <v>5.9</v>
      </c>
      <c r="J226">
        <v>5.2</v>
      </c>
      <c r="K226">
        <v>5.6</v>
      </c>
      <c r="L226" s="1"/>
    </row>
    <row r="227" spans="1:12">
      <c r="A227" t="s">
        <v>275</v>
      </c>
      <c r="B227">
        <v>7.8</v>
      </c>
      <c r="C227">
        <v>6.5</v>
      </c>
      <c r="D227">
        <v>7.1</v>
      </c>
      <c r="E227">
        <v>7.7</v>
      </c>
      <c r="F227">
        <v>6.4</v>
      </c>
      <c r="G227">
        <v>6.3</v>
      </c>
      <c r="H227">
        <v>5</v>
      </c>
      <c r="I227">
        <v>6.1</v>
      </c>
      <c r="J227">
        <v>5.6</v>
      </c>
      <c r="K227">
        <v>5.5</v>
      </c>
      <c r="L227" s="1"/>
    </row>
    <row r="228" spans="1:12">
      <c r="A228" t="s">
        <v>276</v>
      </c>
      <c r="B228">
        <v>7.4</v>
      </c>
      <c r="C228">
        <v>7.9</v>
      </c>
      <c r="D228">
        <v>7.3</v>
      </c>
      <c r="E228">
        <v>6.4</v>
      </c>
      <c r="F228">
        <v>5.8</v>
      </c>
      <c r="G228">
        <v>4.5</v>
      </c>
      <c r="H228">
        <v>5.4</v>
      </c>
      <c r="I228">
        <v>6.1</v>
      </c>
      <c r="J228">
        <v>5.6</v>
      </c>
      <c r="K228">
        <v>6.7</v>
      </c>
      <c r="L228" s="1"/>
    </row>
    <row r="229" spans="1:12">
      <c r="A229" t="s">
        <v>277</v>
      </c>
      <c r="B229">
        <v>7.5</v>
      </c>
      <c r="C229">
        <v>8</v>
      </c>
      <c r="D229">
        <v>7.4</v>
      </c>
      <c r="E229">
        <v>6.2</v>
      </c>
      <c r="F229">
        <v>5.7</v>
      </c>
      <c r="G229">
        <v>6.9</v>
      </c>
      <c r="H229">
        <v>7.5</v>
      </c>
      <c r="I229">
        <v>6.7</v>
      </c>
      <c r="J229">
        <v>5.5</v>
      </c>
      <c r="K229">
        <v>5</v>
      </c>
      <c r="L229" s="1"/>
    </row>
    <row r="230" spans="1:12">
      <c r="A230" t="s">
        <v>278</v>
      </c>
      <c r="B230">
        <v>7.5</v>
      </c>
      <c r="C230">
        <v>5.9</v>
      </c>
      <c r="D230">
        <v>7.7</v>
      </c>
      <c r="E230">
        <v>7.3</v>
      </c>
      <c r="F230">
        <v>7.6</v>
      </c>
      <c r="G230">
        <v>6.5</v>
      </c>
      <c r="H230">
        <v>7.4</v>
      </c>
      <c r="I230">
        <v>6</v>
      </c>
      <c r="J230">
        <v>6.6</v>
      </c>
      <c r="K230">
        <v>5.4</v>
      </c>
      <c r="L230" s="1"/>
    </row>
    <row r="231" spans="1:12">
      <c r="A231" t="s">
        <v>279</v>
      </c>
      <c r="B231">
        <v>6.8</v>
      </c>
      <c r="C231">
        <v>6.9</v>
      </c>
      <c r="D231">
        <v>7.3</v>
      </c>
      <c r="E231">
        <v>5.4</v>
      </c>
      <c r="F231">
        <v>8.3</v>
      </c>
      <c r="G231">
        <v>5.6</v>
      </c>
      <c r="H231">
        <v>6.1</v>
      </c>
      <c r="I231">
        <v>6.6</v>
      </c>
      <c r="J231">
        <v>5.6</v>
      </c>
      <c r="K231">
        <v>4.4</v>
      </c>
      <c r="L231" s="1"/>
    </row>
    <row r="232" spans="1:12">
      <c r="A232" t="s">
        <v>280</v>
      </c>
      <c r="B232">
        <v>7.5</v>
      </c>
      <c r="C232">
        <v>6.3</v>
      </c>
      <c r="D232">
        <v>7.2</v>
      </c>
      <c r="E232">
        <v>7.6</v>
      </c>
      <c r="F232">
        <v>7.1</v>
      </c>
      <c r="G232">
        <v>7.4</v>
      </c>
      <c r="H232">
        <v>6.3</v>
      </c>
      <c r="I232">
        <v>7.8</v>
      </c>
      <c r="J232">
        <v>4.6</v>
      </c>
      <c r="K232">
        <v>3.8</v>
      </c>
      <c r="L232" s="1"/>
    </row>
    <row r="233" spans="1:12">
      <c r="A233" t="s">
        <v>281</v>
      </c>
      <c r="B233">
        <v>6.7</v>
      </c>
      <c r="C233">
        <v>6.9</v>
      </c>
      <c r="D233">
        <v>7.7</v>
      </c>
      <c r="E233">
        <v>6.6</v>
      </c>
      <c r="F233">
        <v>7.1</v>
      </c>
      <c r="G233">
        <v>6.4</v>
      </c>
      <c r="H233">
        <v>6.4</v>
      </c>
      <c r="I233">
        <v>5.1</v>
      </c>
      <c r="J233">
        <v>4.7</v>
      </c>
      <c r="K233">
        <v>6.7</v>
      </c>
      <c r="L233" s="1"/>
    </row>
    <row r="234" spans="1:12">
      <c r="A234" t="s">
        <v>282</v>
      </c>
      <c r="B234">
        <v>8.2</v>
      </c>
      <c r="C234">
        <v>6.5</v>
      </c>
      <c r="D234">
        <v>7.1</v>
      </c>
      <c r="E234">
        <v>7</v>
      </c>
      <c r="F234">
        <v>6.8</v>
      </c>
      <c r="G234">
        <v>7.5</v>
      </c>
      <c r="H234">
        <v>6.4</v>
      </c>
      <c r="I234">
        <v>5.3</v>
      </c>
      <c r="J234">
        <v>7.1</v>
      </c>
      <c r="K234">
        <v>5.9</v>
      </c>
      <c r="L234" s="1"/>
    </row>
    <row r="235" spans="1:12">
      <c r="A235" t="s">
        <v>283</v>
      </c>
      <c r="B235">
        <v>8.2</v>
      </c>
      <c r="C235">
        <v>6.6</v>
      </c>
      <c r="D235">
        <v>7.3</v>
      </c>
      <c r="E235">
        <v>7.5</v>
      </c>
      <c r="F235">
        <v>6.5</v>
      </c>
      <c r="G235">
        <v>6.6</v>
      </c>
      <c r="H235">
        <v>8.1</v>
      </c>
      <c r="I235">
        <v>7.1</v>
      </c>
      <c r="J235">
        <v>4.7</v>
      </c>
      <c r="K235">
        <v>4.4</v>
      </c>
      <c r="L235" s="1"/>
    </row>
    <row r="236" spans="1:12">
      <c r="A236" t="s">
        <v>284</v>
      </c>
      <c r="B236">
        <v>8.4</v>
      </c>
      <c r="C236">
        <v>7.4</v>
      </c>
      <c r="D236">
        <v>6.8</v>
      </c>
      <c r="E236">
        <v>6.7</v>
      </c>
      <c r="F236">
        <v>7.1</v>
      </c>
      <c r="G236">
        <v>6.3</v>
      </c>
      <c r="H236">
        <v>7.1</v>
      </c>
      <c r="I236">
        <v>6.3</v>
      </c>
      <c r="J236">
        <v>6.7</v>
      </c>
      <c r="K236">
        <v>6.9</v>
      </c>
      <c r="L236" s="1"/>
    </row>
    <row r="237" spans="1:12">
      <c r="A237" t="s">
        <v>285</v>
      </c>
      <c r="B237">
        <v>7</v>
      </c>
      <c r="C237">
        <v>6.9</v>
      </c>
      <c r="D237">
        <v>6.4</v>
      </c>
      <c r="E237">
        <v>6.7</v>
      </c>
      <c r="F237">
        <v>7.2</v>
      </c>
      <c r="G237">
        <v>6.7</v>
      </c>
      <c r="H237">
        <v>4.9</v>
      </c>
      <c r="I237">
        <v>6.8</v>
      </c>
      <c r="J237">
        <v>5.9</v>
      </c>
      <c r="K237">
        <v>6.6</v>
      </c>
      <c r="L237" s="1"/>
    </row>
    <row r="238" spans="1:12">
      <c r="A238" t="s">
        <v>286</v>
      </c>
      <c r="B238">
        <v>7.3</v>
      </c>
      <c r="C238">
        <v>7.4</v>
      </c>
      <c r="D238">
        <v>6.7</v>
      </c>
      <c r="E238">
        <v>7.6</v>
      </c>
      <c r="F238">
        <v>6.6</v>
      </c>
      <c r="G238">
        <v>5.8</v>
      </c>
      <c r="H238">
        <v>6.4</v>
      </c>
      <c r="I238">
        <v>5.3</v>
      </c>
      <c r="J238">
        <v>6.1</v>
      </c>
      <c r="K238">
        <v>5</v>
      </c>
      <c r="L238" s="1"/>
    </row>
    <row r="239" spans="1:12">
      <c r="A239" t="s">
        <v>287</v>
      </c>
      <c r="B239">
        <v>7.6</v>
      </c>
      <c r="C239">
        <v>7.5</v>
      </c>
      <c r="D239">
        <v>8.2</v>
      </c>
      <c r="E239">
        <v>6.8</v>
      </c>
      <c r="F239">
        <v>6.2</v>
      </c>
      <c r="G239">
        <v>7.3</v>
      </c>
      <c r="H239">
        <v>5.1</v>
      </c>
      <c r="I239">
        <v>6.1</v>
      </c>
      <c r="J239">
        <v>6.5</v>
      </c>
      <c r="K239">
        <v>7</v>
      </c>
      <c r="L239" s="1"/>
    </row>
    <row r="240" spans="1:12">
      <c r="A240" t="s">
        <v>288</v>
      </c>
      <c r="B240">
        <v>7.5</v>
      </c>
      <c r="C240">
        <v>7.1</v>
      </c>
      <c r="D240">
        <v>8.2</v>
      </c>
      <c r="E240">
        <v>7</v>
      </c>
      <c r="F240">
        <v>6</v>
      </c>
      <c r="G240">
        <v>6</v>
      </c>
      <c r="H240">
        <v>6.8</v>
      </c>
      <c r="I240">
        <v>5.7</v>
      </c>
      <c r="J240">
        <v>5.8</v>
      </c>
      <c r="K240">
        <v>6.9</v>
      </c>
      <c r="L240" s="1"/>
    </row>
    <row r="241" spans="1:12">
      <c r="A241" t="s">
        <v>289</v>
      </c>
      <c r="B241">
        <v>9</v>
      </c>
      <c r="C241">
        <v>8.1</v>
      </c>
      <c r="D241">
        <v>7.7</v>
      </c>
      <c r="E241">
        <v>8.7</v>
      </c>
      <c r="F241">
        <v>7.8</v>
      </c>
      <c r="G241">
        <v>8.2</v>
      </c>
      <c r="H241">
        <v>7</v>
      </c>
      <c r="I241">
        <v>8.9</v>
      </c>
      <c r="J241">
        <v>6.2</v>
      </c>
      <c r="K241">
        <v>9.8</v>
      </c>
      <c r="L241" s="1"/>
    </row>
    <row r="242" spans="1:12">
      <c r="A242" t="s">
        <v>290</v>
      </c>
      <c r="B242">
        <v>7.7</v>
      </c>
      <c r="C242">
        <v>8.3</v>
      </c>
      <c r="D242">
        <v>7.5</v>
      </c>
      <c r="E242">
        <v>8</v>
      </c>
      <c r="F242">
        <v>7.1</v>
      </c>
      <c r="G242">
        <v>7.4</v>
      </c>
      <c r="H242">
        <v>8.7</v>
      </c>
      <c r="I242">
        <v>7.6</v>
      </c>
      <c r="J242">
        <v>5.4</v>
      </c>
      <c r="K242">
        <v>7.3</v>
      </c>
      <c r="L242" s="1"/>
    </row>
    <row r="243" spans="1:12">
      <c r="A243" t="s">
        <v>291</v>
      </c>
      <c r="B243">
        <v>9</v>
      </c>
      <c r="C243">
        <v>7.6</v>
      </c>
      <c r="D243">
        <v>7.5</v>
      </c>
      <c r="E243">
        <v>7.6</v>
      </c>
      <c r="F243">
        <v>8.8</v>
      </c>
      <c r="G243">
        <v>7.1</v>
      </c>
      <c r="H243">
        <v>7.4</v>
      </c>
      <c r="I243">
        <v>7.6</v>
      </c>
      <c r="J243">
        <v>7.7</v>
      </c>
      <c r="K243">
        <v>7.5</v>
      </c>
      <c r="L243" s="1"/>
    </row>
    <row r="244" spans="1:12">
      <c r="A244" t="s">
        <v>292</v>
      </c>
      <c r="B244">
        <v>7.9</v>
      </c>
      <c r="C244">
        <v>7.9</v>
      </c>
      <c r="D244">
        <v>8.8</v>
      </c>
      <c r="E244">
        <v>7.8</v>
      </c>
      <c r="F244">
        <v>7.2</v>
      </c>
      <c r="G244">
        <v>9</v>
      </c>
      <c r="H244">
        <v>9.3</v>
      </c>
      <c r="I244">
        <v>8.8</v>
      </c>
      <c r="J244">
        <v>6.2</v>
      </c>
      <c r="K244">
        <v>8.9</v>
      </c>
      <c r="L244" s="1"/>
    </row>
    <row r="245" spans="1:12">
      <c r="A245" t="s">
        <v>293</v>
      </c>
      <c r="B245">
        <v>9.2</v>
      </c>
      <c r="C245">
        <v>7.9</v>
      </c>
      <c r="D245">
        <v>7.9</v>
      </c>
      <c r="E245">
        <v>7.2</v>
      </c>
      <c r="F245">
        <v>7.3</v>
      </c>
      <c r="G245">
        <v>8.5</v>
      </c>
      <c r="H245">
        <v>8.9</v>
      </c>
      <c r="I245">
        <v>8</v>
      </c>
      <c r="J245">
        <v>7.5</v>
      </c>
      <c r="K245">
        <v>4.9</v>
      </c>
      <c r="L245" s="1"/>
    </row>
    <row r="246" spans="1:12">
      <c r="A246" t="s">
        <v>294</v>
      </c>
      <c r="B246">
        <v>8.4</v>
      </c>
      <c r="C246">
        <v>9</v>
      </c>
      <c r="D246">
        <v>8.1</v>
      </c>
      <c r="E246">
        <v>8.7</v>
      </c>
      <c r="F246">
        <v>8.4</v>
      </c>
      <c r="G246">
        <v>7.3</v>
      </c>
      <c r="H246">
        <v>6.5</v>
      </c>
      <c r="I246">
        <v>6.8</v>
      </c>
      <c r="J246">
        <v>5.4</v>
      </c>
      <c r="K246">
        <v>6</v>
      </c>
      <c r="L246" s="1"/>
    </row>
    <row r="247" spans="1:12">
      <c r="A247" t="s">
        <v>295</v>
      </c>
      <c r="B247">
        <v>9.4</v>
      </c>
      <c r="C247">
        <v>8.6</v>
      </c>
      <c r="D247">
        <v>9.8</v>
      </c>
      <c r="E247">
        <v>8.4</v>
      </c>
      <c r="F247">
        <v>6.9</v>
      </c>
      <c r="G247">
        <v>7.5</v>
      </c>
      <c r="H247">
        <v>7.7</v>
      </c>
      <c r="I247">
        <v>7.6</v>
      </c>
      <c r="J247">
        <v>7</v>
      </c>
      <c r="K247">
        <v>6.1</v>
      </c>
      <c r="L247" s="1"/>
    </row>
    <row r="248" spans="1:12">
      <c r="A248" t="s">
        <v>296</v>
      </c>
      <c r="B248">
        <v>8.1</v>
      </c>
      <c r="C248">
        <v>9.9</v>
      </c>
      <c r="D248">
        <v>7.7</v>
      </c>
      <c r="E248">
        <v>7.9</v>
      </c>
      <c r="F248">
        <v>7.3</v>
      </c>
      <c r="G248">
        <v>7.6</v>
      </c>
      <c r="H248">
        <v>7.7</v>
      </c>
      <c r="I248">
        <v>6.7</v>
      </c>
      <c r="J248">
        <v>7.4</v>
      </c>
      <c r="K248">
        <v>4.1</v>
      </c>
      <c r="L248" s="1"/>
    </row>
    <row r="249" spans="1:12">
      <c r="A249" t="s">
        <v>297</v>
      </c>
      <c r="B249">
        <v>9.2</v>
      </c>
      <c r="C249">
        <v>9.4</v>
      </c>
      <c r="D249">
        <v>8.7</v>
      </c>
      <c r="E249">
        <v>8.4</v>
      </c>
      <c r="F249">
        <v>8.5</v>
      </c>
      <c r="G249">
        <v>7.9</v>
      </c>
      <c r="H249">
        <v>8.2</v>
      </c>
      <c r="I249">
        <v>8.2</v>
      </c>
      <c r="J249">
        <v>8.7</v>
      </c>
      <c r="K249">
        <v>7.7</v>
      </c>
      <c r="L249" s="1"/>
    </row>
    <row r="250" spans="1:12">
      <c r="A250" t="s">
        <v>298</v>
      </c>
      <c r="B250">
        <v>8.5</v>
      </c>
      <c r="C250">
        <v>8.7</v>
      </c>
      <c r="D250">
        <v>8.4</v>
      </c>
      <c r="E250">
        <v>8.9</v>
      </c>
      <c r="F250">
        <v>8.3</v>
      </c>
      <c r="G250">
        <v>7.2</v>
      </c>
      <c r="H250">
        <v>6.9</v>
      </c>
      <c r="I250">
        <v>8.8</v>
      </c>
      <c r="J250">
        <v>8.1</v>
      </c>
      <c r="K250">
        <v>5.2</v>
      </c>
      <c r="L250" s="1"/>
    </row>
    <row r="251" spans="1:12">
      <c r="A251" t="s">
        <v>299</v>
      </c>
      <c r="B251">
        <v>8.9</v>
      </c>
      <c r="C251">
        <v>8.7</v>
      </c>
      <c r="D251">
        <v>8.7</v>
      </c>
      <c r="E251">
        <v>8.3</v>
      </c>
      <c r="F251">
        <v>8.3</v>
      </c>
      <c r="G251">
        <v>6.9</v>
      </c>
      <c r="H251">
        <v>7.8</v>
      </c>
      <c r="I251">
        <v>8.1</v>
      </c>
      <c r="J251">
        <v>5.8</v>
      </c>
      <c r="K251">
        <v>7.2</v>
      </c>
      <c r="L251" s="1"/>
    </row>
    <row r="252" spans="1:12">
      <c r="A252" t="s">
        <v>300</v>
      </c>
      <c r="B252">
        <v>9.5</v>
      </c>
      <c r="C252">
        <v>8.2</v>
      </c>
      <c r="D252">
        <v>8.2</v>
      </c>
      <c r="E252">
        <v>8.5</v>
      </c>
      <c r="F252">
        <v>9</v>
      </c>
      <c r="G252">
        <v>7.8</v>
      </c>
      <c r="H252">
        <v>8.5</v>
      </c>
      <c r="I252">
        <v>7.5</v>
      </c>
      <c r="J252">
        <v>5.9</v>
      </c>
      <c r="K252">
        <v>8.3</v>
      </c>
      <c r="L252" s="1"/>
    </row>
    <row r="253" spans="1:12">
      <c r="A253" t="s">
        <v>301</v>
      </c>
      <c r="B253">
        <v>8.7</v>
      </c>
      <c r="C253">
        <v>7.5</v>
      </c>
      <c r="D253">
        <v>8.3</v>
      </c>
      <c r="E253">
        <v>8.4</v>
      </c>
      <c r="F253">
        <v>6.9</v>
      </c>
      <c r="G253">
        <v>7.7</v>
      </c>
      <c r="H253">
        <v>6.6</v>
      </c>
      <c r="I253">
        <v>8.8</v>
      </c>
      <c r="J253">
        <v>7.1</v>
      </c>
      <c r="K253">
        <v>7.5</v>
      </c>
      <c r="L253" s="1"/>
    </row>
    <row r="254" spans="1:12">
      <c r="A254" t="s">
        <v>302</v>
      </c>
      <c r="B254">
        <v>9.2</v>
      </c>
      <c r="C254">
        <v>9.1</v>
      </c>
      <c r="D254">
        <v>8.9</v>
      </c>
      <c r="E254">
        <v>8.7</v>
      </c>
      <c r="F254">
        <v>7.6</v>
      </c>
      <c r="G254">
        <v>8.4</v>
      </c>
      <c r="H254">
        <v>6</v>
      </c>
      <c r="I254">
        <v>7.7</v>
      </c>
      <c r="J254">
        <v>7.2</v>
      </c>
      <c r="K254">
        <v>7.3</v>
      </c>
      <c r="L254" s="1"/>
    </row>
    <row r="255" spans="1:12">
      <c r="A255" t="s">
        <v>303</v>
      </c>
      <c r="B255">
        <v>9.4</v>
      </c>
      <c r="C255">
        <v>9.7</v>
      </c>
      <c r="D255">
        <v>9</v>
      </c>
      <c r="E255">
        <v>7.8</v>
      </c>
      <c r="F255">
        <v>7.4</v>
      </c>
      <c r="G255">
        <v>9.1</v>
      </c>
      <c r="H255">
        <v>8.6</v>
      </c>
      <c r="I255">
        <v>8.1</v>
      </c>
      <c r="J255">
        <v>6.3</v>
      </c>
      <c r="K255">
        <v>6.5</v>
      </c>
      <c r="L255" s="1"/>
    </row>
    <row r="256" spans="1:12">
      <c r="A256" t="s">
        <v>304</v>
      </c>
      <c r="B256">
        <v>9.3</v>
      </c>
      <c r="C256">
        <v>9.1</v>
      </c>
      <c r="D256">
        <v>9.7</v>
      </c>
      <c r="E256">
        <v>9.3</v>
      </c>
      <c r="F256">
        <v>6.9</v>
      </c>
      <c r="G256">
        <v>8.8</v>
      </c>
      <c r="H256">
        <v>7.1</v>
      </c>
      <c r="I256">
        <v>7.4</v>
      </c>
      <c r="J256">
        <v>6.6</v>
      </c>
      <c r="K256">
        <v>4.9</v>
      </c>
      <c r="L256" s="1"/>
    </row>
    <row r="257" spans="1:12">
      <c r="A257" t="s">
        <v>305</v>
      </c>
      <c r="B257">
        <v>8.5</v>
      </c>
      <c r="C257">
        <v>8.3</v>
      </c>
      <c r="D257">
        <v>9.2</v>
      </c>
      <c r="E257">
        <v>8.4</v>
      </c>
      <c r="F257">
        <v>9.6</v>
      </c>
      <c r="G257">
        <v>7.2</v>
      </c>
      <c r="H257">
        <v>8.7</v>
      </c>
      <c r="I257">
        <v>8.8</v>
      </c>
      <c r="J257">
        <v>5.3</v>
      </c>
      <c r="K257">
        <v>6.3</v>
      </c>
      <c r="L257" s="1"/>
    </row>
    <row r="258" spans="1:12">
      <c r="A258" t="s">
        <v>306</v>
      </c>
      <c r="B258">
        <v>8.6</v>
      </c>
      <c r="C258">
        <v>8.5</v>
      </c>
      <c r="D258">
        <v>7.4</v>
      </c>
      <c r="E258">
        <v>8.9</v>
      </c>
      <c r="F258">
        <v>9.1</v>
      </c>
      <c r="G258">
        <v>7.4</v>
      </c>
      <c r="H258">
        <v>6.9</v>
      </c>
      <c r="I258">
        <v>8.4</v>
      </c>
      <c r="J258">
        <v>6.9</v>
      </c>
      <c r="K258">
        <v>7.1</v>
      </c>
      <c r="L258" s="1"/>
    </row>
    <row r="259" spans="1:12">
      <c r="A259" t="s">
        <v>307</v>
      </c>
      <c r="B259">
        <v>9.6</v>
      </c>
      <c r="C259">
        <v>9.8</v>
      </c>
      <c r="D259">
        <v>7.6</v>
      </c>
      <c r="E259">
        <v>8.3</v>
      </c>
      <c r="F259">
        <v>7.5</v>
      </c>
      <c r="G259">
        <v>9.6</v>
      </c>
      <c r="H259">
        <v>9.3</v>
      </c>
      <c r="I259">
        <v>6.2</v>
      </c>
      <c r="J259">
        <v>7.6</v>
      </c>
      <c r="K259">
        <v>5.8</v>
      </c>
      <c r="L259" s="1"/>
    </row>
    <row r="260" spans="1:12">
      <c r="A260" t="s">
        <v>308</v>
      </c>
      <c r="B260">
        <v>9.1</v>
      </c>
      <c r="C260">
        <v>7.9</v>
      </c>
      <c r="D260">
        <v>8.8</v>
      </c>
      <c r="E260">
        <v>8.2</v>
      </c>
      <c r="F260">
        <v>7.9</v>
      </c>
      <c r="G260">
        <v>7.7</v>
      </c>
      <c r="H260">
        <v>7.2</v>
      </c>
      <c r="I260">
        <v>7.8</v>
      </c>
      <c r="J260">
        <v>6.7</v>
      </c>
      <c r="K260">
        <v>5.6</v>
      </c>
      <c r="L260" s="1"/>
    </row>
    <row r="261" spans="1:12">
      <c r="A261" t="s">
        <v>309</v>
      </c>
      <c r="B261">
        <v>8.3</v>
      </c>
      <c r="C261">
        <v>8.6</v>
      </c>
      <c r="D261">
        <v>8.8</v>
      </c>
      <c r="E261">
        <v>8.5</v>
      </c>
      <c r="F261">
        <v>8.4</v>
      </c>
      <c r="G261">
        <v>8.1</v>
      </c>
      <c r="H261">
        <v>8</v>
      </c>
      <c r="I261">
        <v>5.8</v>
      </c>
      <c r="J261">
        <v>7</v>
      </c>
      <c r="K261">
        <v>5.6</v>
      </c>
      <c r="L261" s="1"/>
    </row>
    <row r="262" spans="1:12">
      <c r="A262" t="s">
        <v>310</v>
      </c>
      <c r="B262">
        <v>8.5</v>
      </c>
      <c r="C262">
        <v>8.6</v>
      </c>
      <c r="D262">
        <v>8.6</v>
      </c>
      <c r="E262">
        <v>8.1</v>
      </c>
      <c r="F262">
        <v>8</v>
      </c>
      <c r="G262">
        <v>7.4</v>
      </c>
      <c r="H262">
        <v>7.4</v>
      </c>
      <c r="I262">
        <v>7.2</v>
      </c>
      <c r="J262">
        <v>8.5</v>
      </c>
      <c r="K262">
        <v>7.2</v>
      </c>
      <c r="L262" s="1"/>
    </row>
    <row r="263" spans="1:12">
      <c r="A263" t="s">
        <v>311</v>
      </c>
      <c r="B263">
        <v>8.9</v>
      </c>
      <c r="C263">
        <v>9</v>
      </c>
      <c r="D263">
        <v>7.8</v>
      </c>
      <c r="E263">
        <v>8</v>
      </c>
      <c r="F263">
        <v>8</v>
      </c>
      <c r="G263">
        <v>7.8</v>
      </c>
      <c r="H263">
        <v>7.6</v>
      </c>
      <c r="I263">
        <v>7.3</v>
      </c>
      <c r="J263">
        <v>7.6</v>
      </c>
      <c r="K263">
        <v>3.8</v>
      </c>
      <c r="L263" s="1"/>
    </row>
    <row r="264" spans="1:12">
      <c r="A264" t="s">
        <v>312</v>
      </c>
      <c r="B264">
        <v>9.4</v>
      </c>
      <c r="C264">
        <v>8.9</v>
      </c>
      <c r="D264">
        <v>8.7</v>
      </c>
      <c r="E264">
        <v>7.8</v>
      </c>
      <c r="F264">
        <v>7.8</v>
      </c>
      <c r="G264">
        <v>8.2</v>
      </c>
      <c r="H264">
        <v>6.5</v>
      </c>
      <c r="I264">
        <v>7.4</v>
      </c>
      <c r="J264">
        <v>9.3</v>
      </c>
      <c r="K264">
        <v>4.9</v>
      </c>
      <c r="L264" s="1"/>
    </row>
    <row r="265" spans="1:12">
      <c r="A265" t="s">
        <v>313</v>
      </c>
      <c r="B265">
        <v>9.7</v>
      </c>
      <c r="C265">
        <v>8.4</v>
      </c>
      <c r="D265">
        <v>8.5</v>
      </c>
      <c r="E265">
        <v>8</v>
      </c>
      <c r="F265">
        <v>8</v>
      </c>
      <c r="G265">
        <v>8.3</v>
      </c>
      <c r="H265">
        <v>6.9</v>
      </c>
      <c r="I265">
        <v>7.7</v>
      </c>
      <c r="J265">
        <v>6.1</v>
      </c>
      <c r="K265">
        <v>7</v>
      </c>
      <c r="L265" s="1"/>
    </row>
    <row r="266" spans="1:12">
      <c r="A266" t="s">
        <v>314</v>
      </c>
      <c r="B266">
        <v>8.4</v>
      </c>
      <c r="C266">
        <v>9.2</v>
      </c>
      <c r="D266">
        <v>7.6</v>
      </c>
      <c r="E266">
        <v>7.5</v>
      </c>
      <c r="F266">
        <v>7.4</v>
      </c>
      <c r="G266">
        <v>7.5</v>
      </c>
      <c r="H266">
        <v>7.5</v>
      </c>
      <c r="I266">
        <v>8.4</v>
      </c>
      <c r="J266">
        <v>6.8</v>
      </c>
      <c r="K266">
        <v>6</v>
      </c>
      <c r="L266" s="1"/>
    </row>
    <row r="267" spans="1:12">
      <c r="A267" t="s">
        <v>315</v>
      </c>
      <c r="B267">
        <v>8.2</v>
      </c>
      <c r="C267">
        <v>7.1</v>
      </c>
      <c r="D267">
        <v>8.9</v>
      </c>
      <c r="E267">
        <v>9</v>
      </c>
      <c r="F267">
        <v>8</v>
      </c>
      <c r="G267">
        <v>8</v>
      </c>
      <c r="H267">
        <v>6.8</v>
      </c>
      <c r="I267">
        <v>7.1</v>
      </c>
      <c r="J267">
        <v>7.1</v>
      </c>
      <c r="K267">
        <v>5.9</v>
      </c>
      <c r="L267" s="1"/>
    </row>
    <row r="268" spans="1:12">
      <c r="A268" t="s">
        <v>316</v>
      </c>
      <c r="B268">
        <v>8.3</v>
      </c>
      <c r="C268">
        <v>8</v>
      </c>
      <c r="D268">
        <v>8.3</v>
      </c>
      <c r="E268">
        <v>7.4</v>
      </c>
      <c r="F268">
        <v>8.3</v>
      </c>
      <c r="G268">
        <v>7.1</v>
      </c>
      <c r="H268">
        <v>7.3</v>
      </c>
      <c r="I268">
        <v>6.3</v>
      </c>
      <c r="J268">
        <v>8.2</v>
      </c>
      <c r="K268">
        <v>4.3</v>
      </c>
      <c r="L268" s="1"/>
    </row>
    <row r="269" spans="1:12">
      <c r="A269" t="s">
        <v>317</v>
      </c>
      <c r="B269">
        <v>9.6</v>
      </c>
      <c r="C269">
        <v>8.7</v>
      </c>
      <c r="D269">
        <v>8</v>
      </c>
      <c r="E269">
        <v>8.2</v>
      </c>
      <c r="F269">
        <v>6</v>
      </c>
      <c r="G269">
        <v>7.2</v>
      </c>
      <c r="H269">
        <v>8.8</v>
      </c>
      <c r="I269">
        <v>7</v>
      </c>
      <c r="J269">
        <v>8.3</v>
      </c>
      <c r="K269">
        <v>5.3</v>
      </c>
      <c r="L269" s="1"/>
    </row>
    <row r="270" spans="1:12">
      <c r="A270" t="s">
        <v>318</v>
      </c>
      <c r="B270">
        <v>9.4</v>
      </c>
      <c r="C270">
        <v>8.9</v>
      </c>
      <c r="D270">
        <v>7.8</v>
      </c>
      <c r="E270">
        <v>8.5</v>
      </c>
      <c r="F270">
        <v>6.9</v>
      </c>
      <c r="G270">
        <v>8.1</v>
      </c>
      <c r="H270">
        <v>9.3</v>
      </c>
      <c r="I270">
        <v>6.4</v>
      </c>
      <c r="J270">
        <v>6.7</v>
      </c>
      <c r="K270">
        <v>4.9</v>
      </c>
      <c r="L270" s="1"/>
    </row>
    <row r="271" spans="1:12">
      <c r="A271" t="s">
        <v>319</v>
      </c>
      <c r="B271">
        <v>8.4</v>
      </c>
      <c r="C271">
        <v>8.4</v>
      </c>
      <c r="D271">
        <v>7.6</v>
      </c>
      <c r="E271">
        <v>9</v>
      </c>
      <c r="F271">
        <v>7.5</v>
      </c>
      <c r="G271">
        <v>8.4</v>
      </c>
      <c r="H271">
        <v>9.4</v>
      </c>
      <c r="I271">
        <v>8</v>
      </c>
      <c r="J271">
        <v>7.4</v>
      </c>
      <c r="K271">
        <v>7.5</v>
      </c>
      <c r="L271" s="1"/>
    </row>
    <row r="272" spans="1:12">
      <c r="A272" t="s">
        <v>320</v>
      </c>
      <c r="B272">
        <v>8</v>
      </c>
      <c r="C272">
        <v>8.1</v>
      </c>
      <c r="D272">
        <v>7.9</v>
      </c>
      <c r="E272">
        <v>7.7</v>
      </c>
      <c r="F272">
        <v>8.6</v>
      </c>
      <c r="G272">
        <v>6.1</v>
      </c>
      <c r="H272">
        <v>6.2</v>
      </c>
      <c r="I272">
        <v>8</v>
      </c>
      <c r="J272">
        <v>6.7</v>
      </c>
      <c r="K272">
        <v>7</v>
      </c>
      <c r="L272" s="1"/>
    </row>
    <row r="273" spans="1:12">
      <c r="A273" t="s">
        <v>321</v>
      </c>
      <c r="B273">
        <v>8.6</v>
      </c>
      <c r="C273">
        <v>8.6</v>
      </c>
      <c r="D273">
        <v>8.6</v>
      </c>
      <c r="E273">
        <v>8.3</v>
      </c>
      <c r="F273">
        <v>8.2</v>
      </c>
      <c r="G273">
        <v>6.7</v>
      </c>
      <c r="H273">
        <v>7.5</v>
      </c>
      <c r="I273">
        <v>7.5</v>
      </c>
      <c r="J273">
        <v>8.4</v>
      </c>
      <c r="K273">
        <v>5.5</v>
      </c>
      <c r="L273" s="1"/>
    </row>
    <row r="274" spans="1:12">
      <c r="A274" t="s">
        <v>322</v>
      </c>
      <c r="B274">
        <v>9.6</v>
      </c>
      <c r="C274">
        <v>9.4</v>
      </c>
      <c r="D274">
        <v>7.7</v>
      </c>
      <c r="E274">
        <v>7.9</v>
      </c>
      <c r="F274">
        <v>7.1</v>
      </c>
      <c r="G274">
        <v>7.7</v>
      </c>
      <c r="H274">
        <v>6.2</v>
      </c>
      <c r="I274">
        <v>9.9</v>
      </c>
      <c r="J274">
        <v>7.2</v>
      </c>
      <c r="K274">
        <v>4.9</v>
      </c>
      <c r="L274" s="1"/>
    </row>
    <row r="275" spans="1:12">
      <c r="A275" t="s">
        <v>323</v>
      </c>
      <c r="B275">
        <v>8.8</v>
      </c>
      <c r="C275">
        <v>8.7</v>
      </c>
      <c r="D275">
        <v>8.3</v>
      </c>
      <c r="E275">
        <v>8.9</v>
      </c>
      <c r="F275">
        <v>7.1</v>
      </c>
      <c r="G275">
        <v>8.1</v>
      </c>
      <c r="H275">
        <v>6</v>
      </c>
      <c r="I275">
        <v>8.2</v>
      </c>
      <c r="J275">
        <v>6.8</v>
      </c>
      <c r="K275">
        <v>7.3</v>
      </c>
      <c r="L275" s="1"/>
    </row>
    <row r="276" spans="1:12">
      <c r="A276" t="s">
        <v>324</v>
      </c>
      <c r="B276">
        <v>8.6</v>
      </c>
      <c r="C276">
        <v>8.6</v>
      </c>
      <c r="D276">
        <v>8.9</v>
      </c>
      <c r="E276">
        <v>8.3</v>
      </c>
      <c r="F276">
        <v>8.2</v>
      </c>
      <c r="G276">
        <v>8.6</v>
      </c>
      <c r="H276">
        <v>6.7</v>
      </c>
      <c r="I276">
        <v>6.7</v>
      </c>
      <c r="J276">
        <v>7.1</v>
      </c>
      <c r="K276">
        <v>6.4</v>
      </c>
      <c r="L276" s="1"/>
    </row>
    <row r="277" spans="1:12">
      <c r="A277" t="s">
        <v>325</v>
      </c>
      <c r="B277">
        <v>9.1</v>
      </c>
      <c r="C277">
        <v>8.4</v>
      </c>
      <c r="D277">
        <v>9</v>
      </c>
      <c r="E277">
        <v>8.9</v>
      </c>
      <c r="F277">
        <v>8.2</v>
      </c>
      <c r="G277">
        <v>8.2</v>
      </c>
      <c r="H277">
        <v>7.8</v>
      </c>
      <c r="I277">
        <v>7.8</v>
      </c>
      <c r="J277">
        <v>6.2</v>
      </c>
      <c r="K277">
        <v>6</v>
      </c>
      <c r="L277" s="1"/>
    </row>
    <row r="278" spans="1:12">
      <c r="A278" t="s">
        <v>326</v>
      </c>
      <c r="B278">
        <v>8.6</v>
      </c>
      <c r="C278">
        <v>9</v>
      </c>
      <c r="D278">
        <v>9.8</v>
      </c>
      <c r="E278">
        <v>9.4</v>
      </c>
      <c r="F278">
        <v>7.9</v>
      </c>
      <c r="G278">
        <v>7.8</v>
      </c>
      <c r="H278">
        <v>7.2</v>
      </c>
      <c r="I278">
        <v>7.1</v>
      </c>
      <c r="J278">
        <v>8.3</v>
      </c>
      <c r="K278">
        <v>5.9</v>
      </c>
      <c r="L278" s="1"/>
    </row>
    <row r="279" spans="1:12">
      <c r="A279" t="s">
        <v>327</v>
      </c>
      <c r="B279">
        <v>8.8</v>
      </c>
      <c r="C279">
        <v>8.5</v>
      </c>
      <c r="D279">
        <v>8</v>
      </c>
      <c r="E279">
        <v>7.9</v>
      </c>
      <c r="F279">
        <v>8.1</v>
      </c>
      <c r="G279">
        <v>6.9</v>
      </c>
      <c r="H279">
        <v>7.6</v>
      </c>
      <c r="I279">
        <v>5.2</v>
      </c>
      <c r="J279">
        <v>6.1</v>
      </c>
      <c r="K279">
        <v>7.8</v>
      </c>
      <c r="L279" s="1"/>
    </row>
    <row r="280" spans="1:12">
      <c r="A280" t="s">
        <v>328</v>
      </c>
      <c r="B280">
        <v>9.2</v>
      </c>
      <c r="C280">
        <v>8</v>
      </c>
      <c r="D280">
        <v>7.7</v>
      </c>
      <c r="E280">
        <v>9.2</v>
      </c>
      <c r="F280">
        <v>7.8</v>
      </c>
      <c r="G280">
        <v>8.3</v>
      </c>
      <c r="H280">
        <v>6.9</v>
      </c>
      <c r="I280">
        <v>8.1</v>
      </c>
      <c r="J280">
        <v>7.9</v>
      </c>
      <c r="K280">
        <v>4.1</v>
      </c>
      <c r="L280" s="1"/>
    </row>
    <row r="281" spans="1:12">
      <c r="A281" t="s">
        <v>329</v>
      </c>
      <c r="B281">
        <v>8.1</v>
      </c>
      <c r="C281">
        <v>8.5</v>
      </c>
      <c r="D281">
        <v>8.6</v>
      </c>
      <c r="E281">
        <v>9.4</v>
      </c>
      <c r="F281">
        <v>6.2</v>
      </c>
      <c r="G281">
        <v>6.2</v>
      </c>
      <c r="H281">
        <v>8.2</v>
      </c>
      <c r="I281">
        <v>7.1</v>
      </c>
      <c r="J281">
        <v>5.7</v>
      </c>
      <c r="K281">
        <v>6</v>
      </c>
      <c r="L281" s="1"/>
    </row>
    <row r="282" spans="1:12">
      <c r="A282" t="s">
        <v>330</v>
      </c>
      <c r="B282">
        <v>9.5</v>
      </c>
      <c r="C282">
        <v>8.3</v>
      </c>
      <c r="D282">
        <v>8.3</v>
      </c>
      <c r="E282">
        <v>7.4</v>
      </c>
      <c r="F282">
        <v>8</v>
      </c>
      <c r="G282">
        <v>6.7</v>
      </c>
      <c r="H282">
        <v>8</v>
      </c>
      <c r="I282">
        <v>9.1</v>
      </c>
      <c r="J282">
        <v>8.8</v>
      </c>
      <c r="K282">
        <v>8.1</v>
      </c>
      <c r="L282" s="1"/>
    </row>
    <row r="283" spans="1:12">
      <c r="A283" t="s">
        <v>331</v>
      </c>
      <c r="B283">
        <v>8.2</v>
      </c>
      <c r="C283">
        <v>7.9</v>
      </c>
      <c r="D283">
        <v>9.4</v>
      </c>
      <c r="E283">
        <v>9.7</v>
      </c>
      <c r="F283">
        <v>7.1</v>
      </c>
      <c r="G283">
        <v>8.3</v>
      </c>
      <c r="H283">
        <v>9.8</v>
      </c>
      <c r="I283">
        <v>7</v>
      </c>
      <c r="J283">
        <v>6.8</v>
      </c>
      <c r="K283">
        <v>6</v>
      </c>
      <c r="L283" s="1"/>
    </row>
    <row r="284" spans="1:12">
      <c r="A284" t="s">
        <v>332</v>
      </c>
      <c r="B284">
        <v>8.4</v>
      </c>
      <c r="C284">
        <v>8.2</v>
      </c>
      <c r="D284">
        <v>8.6</v>
      </c>
      <c r="E284">
        <v>8.2</v>
      </c>
      <c r="F284">
        <v>9.4</v>
      </c>
      <c r="G284">
        <v>8.1</v>
      </c>
      <c r="H284">
        <v>7.3</v>
      </c>
      <c r="I284">
        <v>8.1</v>
      </c>
      <c r="J284">
        <v>9</v>
      </c>
      <c r="K284">
        <v>5.8</v>
      </c>
      <c r="L284" s="1"/>
    </row>
    <row r="285" spans="1:12">
      <c r="A285" t="s">
        <v>333</v>
      </c>
      <c r="B285">
        <v>8.8</v>
      </c>
      <c r="C285">
        <v>9.1</v>
      </c>
      <c r="D285">
        <v>8.6</v>
      </c>
      <c r="E285">
        <v>8.7</v>
      </c>
      <c r="F285">
        <v>7.2</v>
      </c>
      <c r="G285">
        <v>7.1</v>
      </c>
      <c r="H285">
        <v>6.8</v>
      </c>
      <c r="I285">
        <v>6.7</v>
      </c>
      <c r="J285">
        <v>6.8</v>
      </c>
      <c r="K285">
        <v>6.6</v>
      </c>
      <c r="L285" s="1"/>
    </row>
    <row r="286" spans="1:12">
      <c r="A286" t="s">
        <v>334</v>
      </c>
      <c r="B286">
        <v>8.3</v>
      </c>
      <c r="C286">
        <v>8.5</v>
      </c>
      <c r="D286">
        <v>8.5</v>
      </c>
      <c r="E286">
        <v>6.7</v>
      </c>
      <c r="F286">
        <v>6.8</v>
      </c>
      <c r="G286">
        <v>8</v>
      </c>
      <c r="H286">
        <v>7.1</v>
      </c>
      <c r="I286">
        <v>6.2</v>
      </c>
      <c r="J286">
        <v>6.8</v>
      </c>
      <c r="K286">
        <v>5.4</v>
      </c>
      <c r="L286" s="1"/>
    </row>
    <row r="287" spans="1:12">
      <c r="A287" t="s">
        <v>335</v>
      </c>
      <c r="B287">
        <v>9.4</v>
      </c>
      <c r="C287">
        <v>8</v>
      </c>
      <c r="D287">
        <v>9.1</v>
      </c>
      <c r="E287">
        <v>8.1</v>
      </c>
      <c r="F287">
        <v>6.9</v>
      </c>
      <c r="G287">
        <v>8.7</v>
      </c>
      <c r="H287">
        <v>8.3</v>
      </c>
      <c r="I287">
        <v>7.6</v>
      </c>
      <c r="J287">
        <v>6.7</v>
      </c>
      <c r="K287">
        <v>4.6</v>
      </c>
      <c r="L287" s="1"/>
    </row>
    <row r="288" spans="1:12">
      <c r="A288" t="s">
        <v>336</v>
      </c>
      <c r="B288">
        <v>8.9</v>
      </c>
      <c r="C288">
        <v>8.1</v>
      </c>
      <c r="D288">
        <v>8.6</v>
      </c>
      <c r="E288">
        <v>7.7</v>
      </c>
      <c r="F288">
        <v>7.6</v>
      </c>
      <c r="G288">
        <v>7.4</v>
      </c>
      <c r="H288">
        <v>7.8</v>
      </c>
      <c r="I288">
        <v>5.5</v>
      </c>
      <c r="J288">
        <v>7</v>
      </c>
      <c r="K288">
        <v>6.9</v>
      </c>
      <c r="L288" s="1"/>
    </row>
    <row r="289" spans="1:12">
      <c r="A289" t="s">
        <v>337</v>
      </c>
      <c r="B289">
        <v>7.7</v>
      </c>
      <c r="C289">
        <v>8.9</v>
      </c>
      <c r="D289">
        <v>8.6</v>
      </c>
      <c r="E289">
        <v>8.3</v>
      </c>
      <c r="F289">
        <v>6.7</v>
      </c>
      <c r="G289">
        <v>7.6</v>
      </c>
      <c r="H289">
        <v>5.7</v>
      </c>
      <c r="I289">
        <v>5.3</v>
      </c>
      <c r="J289">
        <v>5.9</v>
      </c>
      <c r="K289">
        <v>3.8</v>
      </c>
      <c r="L289" s="1"/>
    </row>
    <row r="290" spans="1:12">
      <c r="A290" t="s">
        <v>338</v>
      </c>
      <c r="B290">
        <v>8.6</v>
      </c>
      <c r="C290">
        <v>8.4</v>
      </c>
      <c r="D290">
        <v>8.2</v>
      </c>
      <c r="E290">
        <v>8.2</v>
      </c>
      <c r="F290">
        <v>8.7</v>
      </c>
      <c r="G290">
        <v>7.2</v>
      </c>
      <c r="H290">
        <v>5.2</v>
      </c>
      <c r="I290">
        <v>7.6</v>
      </c>
      <c r="J290">
        <v>8.3</v>
      </c>
      <c r="K290">
        <v>8.2</v>
      </c>
      <c r="L290" s="1"/>
    </row>
    <row r="291" spans="1:12">
      <c r="A291" t="s">
        <v>339</v>
      </c>
      <c r="B291">
        <v>9.2</v>
      </c>
      <c r="C291">
        <v>8.7</v>
      </c>
      <c r="D291">
        <v>8.2</v>
      </c>
      <c r="E291">
        <v>8.9</v>
      </c>
      <c r="F291">
        <v>6.6</v>
      </c>
      <c r="G291">
        <v>6.9</v>
      </c>
      <c r="H291">
        <v>7.3</v>
      </c>
      <c r="I291">
        <v>7</v>
      </c>
      <c r="J291">
        <v>6.8</v>
      </c>
      <c r="K291">
        <v>7.5</v>
      </c>
      <c r="L291" s="1"/>
    </row>
    <row r="292" spans="1:12">
      <c r="A292" t="s">
        <v>340</v>
      </c>
      <c r="B292">
        <v>9</v>
      </c>
      <c r="C292">
        <v>8.9</v>
      </c>
      <c r="D292">
        <v>8.1</v>
      </c>
      <c r="E292">
        <v>7.7</v>
      </c>
      <c r="F292">
        <v>9.1</v>
      </c>
      <c r="G292">
        <v>7.5</v>
      </c>
      <c r="H292">
        <v>6.8</v>
      </c>
      <c r="I292">
        <v>5.2</v>
      </c>
      <c r="J292">
        <v>6.4</v>
      </c>
      <c r="K292">
        <v>7.2</v>
      </c>
      <c r="L292" s="1"/>
    </row>
    <row r="293" spans="1:12">
      <c r="A293" t="s">
        <v>341</v>
      </c>
      <c r="B293">
        <v>9.1</v>
      </c>
      <c r="C293">
        <v>9.3</v>
      </c>
      <c r="D293">
        <v>9</v>
      </c>
      <c r="E293">
        <v>9.4</v>
      </c>
      <c r="F293">
        <v>7.8</v>
      </c>
      <c r="G293">
        <v>7.2</v>
      </c>
      <c r="H293">
        <v>6.1</v>
      </c>
      <c r="I293">
        <v>8.1</v>
      </c>
      <c r="J293">
        <v>6</v>
      </c>
      <c r="K293">
        <v>5.7</v>
      </c>
      <c r="L293" s="1"/>
    </row>
    <row r="294" spans="1:12">
      <c r="A294" t="s">
        <v>342</v>
      </c>
      <c r="B294">
        <v>7.6</v>
      </c>
      <c r="C294">
        <v>8.5</v>
      </c>
      <c r="D294">
        <v>7.5</v>
      </c>
      <c r="E294">
        <v>7.6</v>
      </c>
      <c r="F294">
        <v>8.1</v>
      </c>
      <c r="G294">
        <v>7.1</v>
      </c>
      <c r="H294">
        <v>8.2</v>
      </c>
      <c r="I294">
        <v>8.1</v>
      </c>
      <c r="J294">
        <v>5.3</v>
      </c>
      <c r="K294">
        <v>6.1</v>
      </c>
      <c r="L294" s="1"/>
    </row>
    <row r="295" spans="1:12">
      <c r="A295" t="s">
        <v>343</v>
      </c>
      <c r="B295">
        <v>8.4</v>
      </c>
      <c r="C295">
        <v>7.9</v>
      </c>
      <c r="D295">
        <v>8.5</v>
      </c>
      <c r="E295">
        <v>7.6</v>
      </c>
      <c r="F295">
        <v>8</v>
      </c>
      <c r="G295">
        <v>6</v>
      </c>
      <c r="H295">
        <v>7.4</v>
      </c>
      <c r="I295">
        <v>7.3</v>
      </c>
      <c r="J295">
        <v>7.7</v>
      </c>
      <c r="K295">
        <v>6.7</v>
      </c>
      <c r="L295" s="1"/>
    </row>
    <row r="296" spans="1:12">
      <c r="A296" t="s">
        <v>344</v>
      </c>
      <c r="B296">
        <v>8.6</v>
      </c>
      <c r="C296">
        <v>9.3</v>
      </c>
      <c r="D296">
        <v>8.6</v>
      </c>
      <c r="E296">
        <v>8.7</v>
      </c>
      <c r="F296">
        <v>6.6</v>
      </c>
      <c r="G296">
        <v>8.6</v>
      </c>
      <c r="H296">
        <v>6.6</v>
      </c>
      <c r="I296">
        <v>7.4</v>
      </c>
      <c r="J296">
        <v>8.7</v>
      </c>
      <c r="K296">
        <v>6.5</v>
      </c>
      <c r="L296" s="1"/>
    </row>
    <row r="297" spans="1:12">
      <c r="A297" t="s">
        <v>345</v>
      </c>
      <c r="B297">
        <v>7.8</v>
      </c>
      <c r="C297">
        <v>8</v>
      </c>
      <c r="D297">
        <v>8.4</v>
      </c>
      <c r="E297">
        <v>8.4</v>
      </c>
      <c r="F297">
        <v>7.7</v>
      </c>
      <c r="G297">
        <v>6.7</v>
      </c>
      <c r="H297">
        <v>8.8</v>
      </c>
      <c r="I297">
        <v>7.7</v>
      </c>
      <c r="J297">
        <v>8.4</v>
      </c>
      <c r="K297">
        <v>4.2</v>
      </c>
      <c r="L297" s="1"/>
    </row>
    <row r="298" spans="1:12">
      <c r="A298" t="s">
        <v>346</v>
      </c>
      <c r="B298">
        <v>8.8</v>
      </c>
      <c r="C298">
        <v>9.1</v>
      </c>
      <c r="D298">
        <v>9.4</v>
      </c>
      <c r="E298">
        <v>8.5</v>
      </c>
      <c r="F298">
        <v>8.1</v>
      </c>
      <c r="G298">
        <v>8.1</v>
      </c>
      <c r="H298">
        <v>6.7</v>
      </c>
      <c r="I298">
        <v>7.1</v>
      </c>
      <c r="J298">
        <v>7.3</v>
      </c>
      <c r="K298">
        <v>7.6</v>
      </c>
      <c r="L298" s="1"/>
    </row>
    <row r="299" spans="1:12">
      <c r="A299" t="s">
        <v>347</v>
      </c>
      <c r="B299">
        <v>8.8</v>
      </c>
      <c r="C299">
        <v>7.9</v>
      </c>
      <c r="D299">
        <v>9.2</v>
      </c>
      <c r="E299">
        <v>8</v>
      </c>
      <c r="F299">
        <v>7.6</v>
      </c>
      <c r="G299">
        <v>6.4</v>
      </c>
      <c r="H299">
        <v>7.2</v>
      </c>
      <c r="I299">
        <v>7.9</v>
      </c>
      <c r="J299">
        <v>6.6</v>
      </c>
      <c r="K299">
        <v>6.2</v>
      </c>
      <c r="L299" s="1"/>
    </row>
    <row r="300" spans="1:12">
      <c r="A300" t="s">
        <v>348</v>
      </c>
      <c r="B300">
        <v>9.1</v>
      </c>
      <c r="C300">
        <v>8.7</v>
      </c>
      <c r="D300">
        <v>8.3</v>
      </c>
      <c r="E300">
        <v>7.7</v>
      </c>
      <c r="F300">
        <v>7.4</v>
      </c>
      <c r="G300">
        <v>7.3</v>
      </c>
      <c r="H300">
        <v>9</v>
      </c>
      <c r="I300">
        <v>8.3</v>
      </c>
      <c r="J300">
        <v>8.2</v>
      </c>
      <c r="K300">
        <v>6.8</v>
      </c>
      <c r="L300" s="1"/>
    </row>
    <row r="301" spans="1:12">
      <c r="A301" t="s">
        <v>349</v>
      </c>
      <c r="B301">
        <v>7.6</v>
      </c>
      <c r="C301">
        <v>8.6</v>
      </c>
      <c r="D301">
        <v>9</v>
      </c>
      <c r="E301">
        <v>7.8</v>
      </c>
      <c r="F301">
        <v>7.8</v>
      </c>
      <c r="G301">
        <v>9.3</v>
      </c>
      <c r="H301">
        <v>7.3</v>
      </c>
      <c r="I301">
        <v>6.8</v>
      </c>
      <c r="J301">
        <v>8.5</v>
      </c>
      <c r="K301">
        <v>8.4</v>
      </c>
      <c r="L301" s="1"/>
    </row>
    <row r="302" spans="1:12">
      <c r="A302" t="s">
        <v>350</v>
      </c>
      <c r="B302">
        <v>8.8</v>
      </c>
      <c r="C302">
        <v>8.9</v>
      </c>
      <c r="D302">
        <v>7.4</v>
      </c>
      <c r="E302">
        <v>8.2</v>
      </c>
      <c r="F302">
        <v>8.2</v>
      </c>
      <c r="G302">
        <v>7.6</v>
      </c>
      <c r="H302">
        <v>7.9</v>
      </c>
      <c r="I302">
        <v>6.4</v>
      </c>
      <c r="J302">
        <v>7</v>
      </c>
      <c r="K302">
        <v>7.6</v>
      </c>
      <c r="L302" s="1"/>
    </row>
    <row r="303" spans="1:12">
      <c r="A303" t="s">
        <v>351</v>
      </c>
      <c r="B303">
        <v>8.8</v>
      </c>
      <c r="C303">
        <v>8.3</v>
      </c>
      <c r="D303">
        <v>8.4</v>
      </c>
      <c r="E303">
        <v>8.1</v>
      </c>
      <c r="F303">
        <v>9.4</v>
      </c>
      <c r="G303">
        <v>8.2</v>
      </c>
      <c r="H303">
        <v>7</v>
      </c>
      <c r="I303">
        <v>7.2</v>
      </c>
      <c r="J303">
        <v>7.1</v>
      </c>
      <c r="K303">
        <v>6.1</v>
      </c>
      <c r="L303" s="1"/>
    </row>
    <row r="304" spans="1:12">
      <c r="A304" t="s">
        <v>352</v>
      </c>
      <c r="B304">
        <v>9.1</v>
      </c>
      <c r="C304">
        <v>8</v>
      </c>
      <c r="D304">
        <v>8.8</v>
      </c>
      <c r="E304">
        <v>8.9</v>
      </c>
      <c r="F304">
        <v>6</v>
      </c>
      <c r="G304">
        <v>8.7</v>
      </c>
      <c r="H304">
        <v>7.1</v>
      </c>
      <c r="I304">
        <v>8.6</v>
      </c>
      <c r="J304">
        <v>8</v>
      </c>
      <c r="K304">
        <v>6.3</v>
      </c>
      <c r="L304" s="1"/>
    </row>
    <row r="305" spans="1:12">
      <c r="A305" t="s">
        <v>353</v>
      </c>
      <c r="B305">
        <v>8.3</v>
      </c>
      <c r="C305">
        <v>8.3</v>
      </c>
      <c r="D305">
        <v>9</v>
      </c>
      <c r="E305">
        <v>8.5</v>
      </c>
      <c r="F305">
        <v>9.1</v>
      </c>
      <c r="G305">
        <v>7.8</v>
      </c>
      <c r="H305">
        <v>7.8</v>
      </c>
      <c r="I305">
        <v>7</v>
      </c>
      <c r="J305">
        <v>6.6</v>
      </c>
      <c r="K305">
        <v>6.2</v>
      </c>
      <c r="L305" s="1"/>
    </row>
    <row r="306" spans="1:12">
      <c r="A306" t="s">
        <v>354</v>
      </c>
      <c r="B306">
        <v>8.7</v>
      </c>
      <c r="C306">
        <v>8.8</v>
      </c>
      <c r="D306">
        <v>8.3</v>
      </c>
      <c r="E306">
        <v>8.8</v>
      </c>
      <c r="F306">
        <v>7.4</v>
      </c>
      <c r="G306">
        <v>7.6</v>
      </c>
      <c r="H306">
        <v>6.3</v>
      </c>
      <c r="I306">
        <v>7.2</v>
      </c>
      <c r="J306">
        <v>6.7</v>
      </c>
      <c r="K306">
        <v>6.7</v>
      </c>
      <c r="L306" s="1"/>
    </row>
    <row r="307" spans="1:12">
      <c r="A307" t="s">
        <v>355</v>
      </c>
      <c r="B307">
        <v>8.6</v>
      </c>
      <c r="C307">
        <v>8.5</v>
      </c>
      <c r="D307">
        <v>8.2</v>
      </c>
      <c r="E307">
        <v>9.1</v>
      </c>
      <c r="F307">
        <v>7</v>
      </c>
      <c r="G307">
        <v>8.4</v>
      </c>
      <c r="H307">
        <v>8.7</v>
      </c>
      <c r="I307">
        <v>6.8</v>
      </c>
      <c r="J307">
        <v>8.7</v>
      </c>
      <c r="K307">
        <v>7.3</v>
      </c>
      <c r="L307" s="1"/>
    </row>
    <row r="308" spans="1:12">
      <c r="A308" t="s">
        <v>356</v>
      </c>
      <c r="B308">
        <v>9</v>
      </c>
      <c r="C308">
        <v>8.6</v>
      </c>
      <c r="D308">
        <v>8.3</v>
      </c>
      <c r="E308">
        <v>8</v>
      </c>
      <c r="F308">
        <v>7.3</v>
      </c>
      <c r="G308">
        <v>8.8</v>
      </c>
      <c r="H308">
        <v>9</v>
      </c>
      <c r="I308">
        <v>8.2</v>
      </c>
      <c r="J308">
        <v>7.6</v>
      </c>
      <c r="K308">
        <v>9.6</v>
      </c>
      <c r="L308" s="1"/>
    </row>
    <row r="309" spans="1:12">
      <c r="A309" t="s">
        <v>357</v>
      </c>
      <c r="B309">
        <v>9.1</v>
      </c>
      <c r="C309">
        <v>8.2</v>
      </c>
      <c r="D309">
        <v>8.2</v>
      </c>
      <c r="E309">
        <v>8.6</v>
      </c>
      <c r="F309">
        <v>7.3</v>
      </c>
      <c r="G309">
        <v>8.2</v>
      </c>
      <c r="H309">
        <v>5.3</v>
      </c>
      <c r="I309">
        <v>7.2</v>
      </c>
      <c r="J309">
        <v>7.2</v>
      </c>
      <c r="K309">
        <v>6.2</v>
      </c>
      <c r="L309" s="1"/>
    </row>
    <row r="310" spans="1:12">
      <c r="A310" t="s">
        <v>358</v>
      </c>
      <c r="B310">
        <v>9.2</v>
      </c>
      <c r="C310">
        <v>9.9</v>
      </c>
      <c r="D310">
        <v>8.7</v>
      </c>
      <c r="E310">
        <v>9.9</v>
      </c>
      <c r="F310">
        <v>8.8</v>
      </c>
      <c r="G310">
        <v>8.7</v>
      </c>
      <c r="H310">
        <v>6.9</v>
      </c>
      <c r="I310">
        <v>9.9</v>
      </c>
      <c r="J310">
        <v>7.5</v>
      </c>
      <c r="K310">
        <v>6.2</v>
      </c>
      <c r="L310" s="1"/>
    </row>
    <row r="311" spans="1:12">
      <c r="A311" t="s">
        <v>359</v>
      </c>
      <c r="B311">
        <v>9.8</v>
      </c>
      <c r="C311">
        <v>9.9</v>
      </c>
      <c r="D311">
        <v>9.9</v>
      </c>
      <c r="E311">
        <v>9.9</v>
      </c>
      <c r="F311">
        <v>8.4</v>
      </c>
      <c r="G311">
        <v>9</v>
      </c>
      <c r="H311">
        <v>6.6</v>
      </c>
      <c r="I311">
        <v>7.8</v>
      </c>
      <c r="J311">
        <v>5.9</v>
      </c>
      <c r="K311">
        <v>8.8</v>
      </c>
      <c r="L311" s="1"/>
    </row>
    <row r="312" spans="1:12">
      <c r="A312" t="s">
        <v>360</v>
      </c>
      <c r="B312">
        <v>9.9</v>
      </c>
      <c r="C312">
        <v>8.8</v>
      </c>
      <c r="D312">
        <v>9.9</v>
      </c>
      <c r="E312">
        <v>9.3</v>
      </c>
      <c r="F312">
        <v>9.9</v>
      </c>
      <c r="G312">
        <v>9</v>
      </c>
      <c r="H312">
        <v>9.1</v>
      </c>
      <c r="I312">
        <v>9.1</v>
      </c>
      <c r="J312">
        <v>8.6</v>
      </c>
      <c r="K312">
        <v>6.8</v>
      </c>
      <c r="L312" s="1"/>
    </row>
    <row r="313" spans="1:12">
      <c r="A313" t="s">
        <v>361</v>
      </c>
      <c r="B313">
        <v>9.9</v>
      </c>
      <c r="C313">
        <v>9.9</v>
      </c>
      <c r="D313">
        <v>9.1</v>
      </c>
      <c r="E313">
        <v>9.9</v>
      </c>
      <c r="F313">
        <v>6.3</v>
      </c>
      <c r="G313">
        <v>8.5</v>
      </c>
      <c r="H313">
        <v>6.8</v>
      </c>
      <c r="I313">
        <v>9.4</v>
      </c>
      <c r="J313">
        <v>8.4</v>
      </c>
      <c r="K313">
        <v>7.7</v>
      </c>
      <c r="L313" s="1"/>
    </row>
    <row r="314" spans="1:12">
      <c r="A314" t="s">
        <v>362</v>
      </c>
      <c r="B314">
        <v>9.9</v>
      </c>
      <c r="C314">
        <v>9.9</v>
      </c>
      <c r="D314">
        <v>9.8</v>
      </c>
      <c r="E314">
        <v>9.9</v>
      </c>
      <c r="F314">
        <v>8.3</v>
      </c>
      <c r="G314">
        <v>9.9</v>
      </c>
      <c r="H314">
        <v>6.8</v>
      </c>
      <c r="I314">
        <v>9.1</v>
      </c>
      <c r="J314">
        <v>7.9</v>
      </c>
      <c r="K314">
        <v>7.8</v>
      </c>
      <c r="L314" s="1"/>
    </row>
    <row r="315" spans="1:12">
      <c r="A315" t="s">
        <v>363</v>
      </c>
      <c r="B315">
        <v>9.4</v>
      </c>
      <c r="C315">
        <v>9.9</v>
      </c>
      <c r="D315">
        <v>9.2</v>
      </c>
      <c r="E315">
        <v>9.9</v>
      </c>
      <c r="F315">
        <v>9.9</v>
      </c>
      <c r="G315">
        <v>9.9</v>
      </c>
      <c r="H315">
        <v>8.1</v>
      </c>
      <c r="I315">
        <v>7.4</v>
      </c>
      <c r="J315">
        <v>8.2</v>
      </c>
      <c r="K315">
        <v>4.1</v>
      </c>
      <c r="L315" s="1"/>
    </row>
    <row r="316" spans="1:12">
      <c r="A316" t="s">
        <v>364</v>
      </c>
      <c r="B316">
        <v>9.9</v>
      </c>
      <c r="C316">
        <v>9.6</v>
      </c>
      <c r="D316">
        <v>8.6</v>
      </c>
      <c r="E316">
        <v>8.5</v>
      </c>
      <c r="F316">
        <v>9.9</v>
      </c>
      <c r="G316">
        <v>9.6</v>
      </c>
      <c r="H316">
        <v>8.9</v>
      </c>
      <c r="I316">
        <v>7.1</v>
      </c>
      <c r="J316">
        <v>8.6</v>
      </c>
      <c r="K316">
        <v>6</v>
      </c>
      <c r="L316" s="1"/>
    </row>
    <row r="317" spans="1:12">
      <c r="A317" t="s">
        <v>365</v>
      </c>
      <c r="B317">
        <v>8.9</v>
      </c>
      <c r="C317">
        <v>8.2</v>
      </c>
      <c r="D317">
        <v>7.5</v>
      </c>
      <c r="E317">
        <v>7.5</v>
      </c>
      <c r="F317">
        <v>7.1</v>
      </c>
      <c r="G317">
        <v>7.6</v>
      </c>
      <c r="H317">
        <v>7.4</v>
      </c>
      <c r="I317">
        <v>9.3</v>
      </c>
      <c r="J317">
        <v>7.8</v>
      </c>
      <c r="K317">
        <v>5.4</v>
      </c>
      <c r="L317" s="1"/>
    </row>
    <row r="318" spans="1:12">
      <c r="A318" t="s">
        <v>366</v>
      </c>
      <c r="B318">
        <v>7.7</v>
      </c>
      <c r="C318">
        <v>9.4</v>
      </c>
      <c r="D318">
        <v>8.2</v>
      </c>
      <c r="E318">
        <v>7.4</v>
      </c>
      <c r="F318">
        <v>7.9</v>
      </c>
      <c r="G318">
        <v>7.9</v>
      </c>
      <c r="H318">
        <v>8</v>
      </c>
      <c r="I318">
        <v>7.1</v>
      </c>
      <c r="J318">
        <v>6.7</v>
      </c>
      <c r="K318">
        <v>7.6</v>
      </c>
      <c r="L318" s="1"/>
    </row>
    <row r="319" spans="1:12">
      <c r="A319" t="s">
        <v>367</v>
      </c>
      <c r="B319">
        <v>9.2</v>
      </c>
      <c r="C319">
        <v>8.1</v>
      </c>
      <c r="D319">
        <v>8.1</v>
      </c>
      <c r="E319">
        <v>7.6</v>
      </c>
      <c r="F319">
        <v>7.5</v>
      </c>
      <c r="G319">
        <v>8.8</v>
      </c>
      <c r="H319">
        <v>8.5</v>
      </c>
      <c r="I319">
        <v>8.2</v>
      </c>
      <c r="J319">
        <v>9.5</v>
      </c>
      <c r="K319">
        <v>5.2</v>
      </c>
      <c r="L319" s="1"/>
    </row>
    <row r="320" spans="1:12">
      <c r="A320" t="s">
        <v>368</v>
      </c>
      <c r="B320">
        <v>9.7</v>
      </c>
      <c r="C320">
        <v>7.6</v>
      </c>
      <c r="D320">
        <v>7.6</v>
      </c>
      <c r="E320">
        <v>7.8</v>
      </c>
      <c r="F320">
        <v>7.6</v>
      </c>
      <c r="G320">
        <v>5.9</v>
      </c>
      <c r="H320">
        <v>5.8</v>
      </c>
      <c r="I320">
        <v>6.7</v>
      </c>
      <c r="J320">
        <v>6.4</v>
      </c>
      <c r="K320">
        <v>4.6</v>
      </c>
      <c r="L320" s="1"/>
    </row>
    <row r="321" spans="1:12">
      <c r="A321" t="s">
        <v>369</v>
      </c>
      <c r="B321">
        <v>8.3</v>
      </c>
      <c r="C321">
        <v>8</v>
      </c>
      <c r="D321">
        <v>8.3</v>
      </c>
      <c r="E321">
        <v>7.9</v>
      </c>
      <c r="F321">
        <v>7.2</v>
      </c>
      <c r="G321">
        <v>9</v>
      </c>
      <c r="H321">
        <v>7.1</v>
      </c>
      <c r="I321">
        <v>8</v>
      </c>
      <c r="J321">
        <v>6.6</v>
      </c>
      <c r="K321">
        <v>8.2</v>
      </c>
      <c r="L321" s="1"/>
    </row>
    <row r="322" spans="1:12">
      <c r="A322" t="s">
        <v>370</v>
      </c>
      <c r="B322">
        <v>9.2</v>
      </c>
      <c r="C322">
        <v>8.6</v>
      </c>
      <c r="D322">
        <v>8.2</v>
      </c>
      <c r="E322">
        <v>7.9</v>
      </c>
      <c r="F322">
        <v>8.9</v>
      </c>
      <c r="G322">
        <v>7.5</v>
      </c>
      <c r="H322">
        <v>6.9</v>
      </c>
      <c r="I322">
        <v>6.8</v>
      </c>
      <c r="J322">
        <v>6.6</v>
      </c>
      <c r="K322">
        <v>5.9</v>
      </c>
      <c r="L322" s="1"/>
    </row>
    <row r="323" spans="1:12">
      <c r="A323" t="s">
        <v>371</v>
      </c>
      <c r="B323">
        <v>8.9</v>
      </c>
      <c r="C323">
        <v>8.6</v>
      </c>
      <c r="D323">
        <v>7.9</v>
      </c>
      <c r="E323">
        <v>8.6</v>
      </c>
      <c r="F323">
        <v>8.4</v>
      </c>
      <c r="G323">
        <v>7.3</v>
      </c>
      <c r="H323">
        <v>8.2</v>
      </c>
      <c r="I323">
        <v>8</v>
      </c>
      <c r="J323">
        <v>6.6</v>
      </c>
      <c r="K323">
        <v>4.7</v>
      </c>
      <c r="L323" s="1"/>
    </row>
    <row r="324" spans="1:12">
      <c r="A324" t="s">
        <v>372</v>
      </c>
      <c r="B324">
        <v>8.4</v>
      </c>
      <c r="C324">
        <v>8.3</v>
      </c>
      <c r="D324">
        <v>8</v>
      </c>
      <c r="E324">
        <v>9.5</v>
      </c>
      <c r="F324">
        <v>6.4</v>
      </c>
      <c r="G324">
        <v>6.3</v>
      </c>
      <c r="H324">
        <v>6.6</v>
      </c>
      <c r="I324">
        <v>8.4</v>
      </c>
      <c r="J324">
        <v>5.7</v>
      </c>
      <c r="K324">
        <v>6.4</v>
      </c>
      <c r="L324" s="1"/>
    </row>
    <row r="325" spans="1:12">
      <c r="A325" t="s">
        <v>373</v>
      </c>
      <c r="B325">
        <v>8.4</v>
      </c>
      <c r="C325">
        <v>8.4</v>
      </c>
      <c r="D325">
        <v>8</v>
      </c>
      <c r="E325">
        <v>6.8</v>
      </c>
      <c r="F325">
        <v>8</v>
      </c>
      <c r="G325">
        <v>7.6</v>
      </c>
      <c r="H325">
        <v>8.6</v>
      </c>
      <c r="I325">
        <v>7.5</v>
      </c>
      <c r="J325">
        <v>6.8</v>
      </c>
      <c r="K325">
        <v>5.9</v>
      </c>
      <c r="L325" s="1"/>
    </row>
    <row r="326" spans="1:12">
      <c r="A326" t="s">
        <v>374</v>
      </c>
      <c r="B326">
        <v>8.3</v>
      </c>
      <c r="C326">
        <v>8.3</v>
      </c>
      <c r="D326">
        <v>7.7</v>
      </c>
      <c r="E326">
        <v>7.7</v>
      </c>
      <c r="F326">
        <v>7.3</v>
      </c>
      <c r="G326">
        <v>7.6</v>
      </c>
      <c r="H326">
        <v>8.3</v>
      </c>
      <c r="I326">
        <v>6.7</v>
      </c>
      <c r="J326">
        <v>4.5</v>
      </c>
      <c r="K326">
        <v>7.3</v>
      </c>
      <c r="L326" s="1"/>
    </row>
    <row r="327" spans="1:12">
      <c r="A327" t="s">
        <v>375</v>
      </c>
      <c r="B327">
        <v>8.9</v>
      </c>
      <c r="C327">
        <v>8.4</v>
      </c>
      <c r="D327">
        <v>8.5</v>
      </c>
      <c r="E327">
        <v>7.6</v>
      </c>
      <c r="F327">
        <v>8.4</v>
      </c>
      <c r="G327">
        <v>8.7</v>
      </c>
      <c r="H327">
        <v>6.8</v>
      </c>
      <c r="I327">
        <v>6.8</v>
      </c>
      <c r="J327">
        <v>7.9</v>
      </c>
      <c r="K327">
        <v>6.2</v>
      </c>
      <c r="L327" s="1"/>
    </row>
    <row r="328" spans="1:12">
      <c r="A328" t="s">
        <v>376</v>
      </c>
      <c r="B328">
        <v>8.4</v>
      </c>
      <c r="C328">
        <v>8.4</v>
      </c>
      <c r="D328">
        <v>7.8</v>
      </c>
      <c r="E328">
        <v>8.3</v>
      </c>
      <c r="F328">
        <v>9.9</v>
      </c>
      <c r="G328">
        <v>7.5</v>
      </c>
      <c r="H328">
        <v>7.7</v>
      </c>
      <c r="I328">
        <v>8.4</v>
      </c>
      <c r="J328">
        <v>6.4</v>
      </c>
      <c r="K328">
        <v>4.5</v>
      </c>
      <c r="L328" s="1"/>
    </row>
    <row r="329" spans="1:12">
      <c r="A329" t="s">
        <v>377</v>
      </c>
      <c r="B329">
        <v>9.7</v>
      </c>
      <c r="C329">
        <v>8.6</v>
      </c>
      <c r="D329">
        <v>8.7</v>
      </c>
      <c r="E329">
        <v>7.8</v>
      </c>
      <c r="F329">
        <v>8.4</v>
      </c>
      <c r="G329">
        <v>8.8</v>
      </c>
      <c r="H329">
        <v>7.2</v>
      </c>
      <c r="I329">
        <v>5.1</v>
      </c>
      <c r="J329">
        <v>8.6</v>
      </c>
      <c r="K329">
        <v>4.6</v>
      </c>
      <c r="L329" s="1"/>
    </row>
    <row r="330" spans="1:12">
      <c r="A330" t="s">
        <v>378</v>
      </c>
      <c r="B330">
        <v>8.5</v>
      </c>
      <c r="C330">
        <v>7.8</v>
      </c>
      <c r="D330">
        <v>8.6</v>
      </c>
      <c r="E330">
        <v>7.6</v>
      </c>
      <c r="F330">
        <v>8.1</v>
      </c>
      <c r="G330">
        <v>7.3</v>
      </c>
      <c r="H330">
        <v>7.9</v>
      </c>
      <c r="I330">
        <v>6.8</v>
      </c>
      <c r="J330">
        <v>7</v>
      </c>
      <c r="K330">
        <v>7</v>
      </c>
      <c r="L330" s="1"/>
    </row>
    <row r="331" spans="1:12">
      <c r="A331" t="s">
        <v>379</v>
      </c>
      <c r="B331">
        <v>8.3</v>
      </c>
      <c r="C331">
        <v>8</v>
      </c>
      <c r="D331">
        <v>7.9</v>
      </c>
      <c r="E331">
        <v>9.4</v>
      </c>
      <c r="F331">
        <v>7.9</v>
      </c>
      <c r="G331">
        <v>6.5</v>
      </c>
      <c r="H331">
        <v>7.4</v>
      </c>
      <c r="I331">
        <v>6.2</v>
      </c>
      <c r="J331">
        <v>8.9</v>
      </c>
      <c r="K331">
        <v>6</v>
      </c>
      <c r="L331" s="1"/>
    </row>
    <row r="332" spans="1:12">
      <c r="A332" t="s">
        <v>380</v>
      </c>
      <c r="B332">
        <v>8.5</v>
      </c>
      <c r="C332">
        <v>8.2</v>
      </c>
      <c r="D332">
        <v>8.3</v>
      </c>
      <c r="E332">
        <v>8.3</v>
      </c>
      <c r="F332">
        <v>8</v>
      </c>
      <c r="G332">
        <v>8</v>
      </c>
      <c r="H332">
        <v>9.1</v>
      </c>
      <c r="I332">
        <v>6.7</v>
      </c>
      <c r="J332">
        <v>7.3</v>
      </c>
      <c r="K332">
        <v>7.9</v>
      </c>
      <c r="L332" s="1"/>
    </row>
    <row r="333" spans="1:12">
      <c r="A333" t="s">
        <v>381</v>
      </c>
      <c r="B333">
        <v>9.3</v>
      </c>
      <c r="C333">
        <v>8.1</v>
      </c>
      <c r="D333">
        <v>8</v>
      </c>
      <c r="E333">
        <v>8.6</v>
      </c>
      <c r="F333">
        <v>7.5</v>
      </c>
      <c r="G333">
        <v>9</v>
      </c>
      <c r="H333">
        <v>7.8</v>
      </c>
      <c r="I333">
        <v>7.3</v>
      </c>
      <c r="J333">
        <v>6.6</v>
      </c>
      <c r="K333">
        <v>5</v>
      </c>
      <c r="L333" s="1"/>
    </row>
    <row r="334" spans="1:12">
      <c r="A334" t="s">
        <v>382</v>
      </c>
      <c r="B334">
        <v>8.7</v>
      </c>
      <c r="C334">
        <v>8.2</v>
      </c>
      <c r="D334">
        <v>8.1</v>
      </c>
      <c r="E334">
        <v>9.6</v>
      </c>
      <c r="F334">
        <v>6.6</v>
      </c>
      <c r="G334">
        <v>7.5</v>
      </c>
      <c r="H334">
        <v>7.7</v>
      </c>
      <c r="I334">
        <v>7.8</v>
      </c>
      <c r="J334">
        <v>6.9</v>
      </c>
      <c r="K334">
        <v>6.5</v>
      </c>
      <c r="L334" s="1"/>
    </row>
    <row r="335" spans="1:12">
      <c r="A335" t="s">
        <v>383</v>
      </c>
      <c r="B335">
        <v>8.9</v>
      </c>
      <c r="C335">
        <v>8.7</v>
      </c>
      <c r="D335">
        <v>9.2</v>
      </c>
      <c r="E335">
        <v>7.5</v>
      </c>
      <c r="F335">
        <v>7.7</v>
      </c>
      <c r="G335">
        <v>8.1</v>
      </c>
      <c r="H335">
        <v>8.3</v>
      </c>
      <c r="I335">
        <v>7.8</v>
      </c>
      <c r="J335">
        <v>4.6</v>
      </c>
      <c r="K335">
        <v>6.1</v>
      </c>
      <c r="L335" s="1"/>
    </row>
    <row r="336" spans="1:12">
      <c r="A336" t="s">
        <v>384</v>
      </c>
      <c r="B336">
        <v>7.8</v>
      </c>
      <c r="C336">
        <v>8.5</v>
      </c>
      <c r="D336">
        <v>7.4</v>
      </c>
      <c r="E336">
        <v>8.1</v>
      </c>
      <c r="F336">
        <v>7.5</v>
      </c>
      <c r="G336">
        <v>9</v>
      </c>
      <c r="H336">
        <v>7.6</v>
      </c>
      <c r="I336">
        <v>7.5</v>
      </c>
      <c r="J336">
        <v>5.6</v>
      </c>
      <c r="K336">
        <v>6.8</v>
      </c>
      <c r="L336" s="1"/>
    </row>
    <row r="337" spans="1:12">
      <c r="A337" t="s">
        <v>385</v>
      </c>
      <c r="B337">
        <v>9.5</v>
      </c>
      <c r="C337">
        <v>8.8</v>
      </c>
      <c r="D337">
        <v>8.2</v>
      </c>
      <c r="E337">
        <v>8.5</v>
      </c>
      <c r="F337">
        <v>7.8</v>
      </c>
      <c r="G337">
        <v>8.7</v>
      </c>
      <c r="H337">
        <v>6.3</v>
      </c>
      <c r="I337">
        <v>8.6</v>
      </c>
      <c r="J337">
        <v>7.7</v>
      </c>
      <c r="K337">
        <v>6.2</v>
      </c>
      <c r="L337" s="1"/>
    </row>
    <row r="338" spans="1:12">
      <c r="A338" t="s">
        <v>386</v>
      </c>
      <c r="B338">
        <v>8.6</v>
      </c>
      <c r="C338">
        <v>8.4</v>
      </c>
      <c r="D338">
        <v>8.7</v>
      </c>
      <c r="E338">
        <v>7.8</v>
      </c>
      <c r="F338">
        <v>7.3</v>
      </c>
      <c r="G338">
        <v>7.1</v>
      </c>
      <c r="H338">
        <v>6.6</v>
      </c>
      <c r="I338">
        <v>6.9</v>
      </c>
      <c r="J338">
        <v>4.2</v>
      </c>
      <c r="K338">
        <v>5.9</v>
      </c>
      <c r="L338" s="1"/>
    </row>
    <row r="339" spans="1:12">
      <c r="A339" t="s">
        <v>387</v>
      </c>
      <c r="B339">
        <v>8.3</v>
      </c>
      <c r="C339">
        <v>8.3</v>
      </c>
      <c r="D339">
        <v>8.5</v>
      </c>
      <c r="E339">
        <v>7.6</v>
      </c>
      <c r="F339">
        <v>6.9</v>
      </c>
      <c r="G339">
        <v>8.4</v>
      </c>
      <c r="H339">
        <v>7.8</v>
      </c>
      <c r="I339">
        <v>8</v>
      </c>
      <c r="J339">
        <v>8</v>
      </c>
      <c r="K339">
        <v>5</v>
      </c>
      <c r="L339" s="1"/>
    </row>
    <row r="340" spans="1:12">
      <c r="A340" t="s">
        <v>388</v>
      </c>
      <c r="B340">
        <v>7.6</v>
      </c>
      <c r="C340">
        <v>8.5</v>
      </c>
      <c r="D340">
        <v>8</v>
      </c>
      <c r="E340">
        <v>8</v>
      </c>
      <c r="F340">
        <v>9.1</v>
      </c>
      <c r="G340">
        <v>7.1</v>
      </c>
      <c r="H340">
        <v>7.7</v>
      </c>
      <c r="I340">
        <v>7.1</v>
      </c>
      <c r="J340">
        <v>6.9</v>
      </c>
      <c r="K340">
        <v>3.7</v>
      </c>
      <c r="L340" s="1"/>
    </row>
    <row r="341" spans="1:12">
      <c r="A341" t="s">
        <v>389</v>
      </c>
      <c r="B341">
        <v>8.5</v>
      </c>
      <c r="C341">
        <v>8.3</v>
      </c>
      <c r="D341">
        <v>8.9</v>
      </c>
      <c r="E341">
        <v>7.9</v>
      </c>
      <c r="F341">
        <v>8.9</v>
      </c>
      <c r="G341">
        <v>8.1</v>
      </c>
      <c r="H341">
        <v>7.2</v>
      </c>
      <c r="I341">
        <v>6.3</v>
      </c>
      <c r="J341">
        <v>8.2</v>
      </c>
      <c r="K341">
        <v>6.7</v>
      </c>
      <c r="L341" s="1"/>
    </row>
    <row r="342" spans="1:12">
      <c r="A342" t="s">
        <v>390</v>
      </c>
      <c r="B342">
        <v>8.7</v>
      </c>
      <c r="C342">
        <v>9.7</v>
      </c>
      <c r="D342">
        <v>8.4</v>
      </c>
      <c r="E342">
        <v>7.9</v>
      </c>
      <c r="F342">
        <v>7.5</v>
      </c>
      <c r="G342">
        <v>7.4</v>
      </c>
      <c r="H342">
        <v>6.7</v>
      </c>
      <c r="I342">
        <v>7.4</v>
      </c>
      <c r="J342">
        <v>7</v>
      </c>
      <c r="K342">
        <v>5.9</v>
      </c>
      <c r="L342" s="1"/>
    </row>
    <row r="343" spans="1:12">
      <c r="A343" t="s">
        <v>391</v>
      </c>
      <c r="B343">
        <v>8.1</v>
      </c>
      <c r="C343">
        <v>8.6</v>
      </c>
      <c r="D343">
        <v>9</v>
      </c>
      <c r="E343">
        <v>8.6</v>
      </c>
      <c r="F343">
        <v>6.5</v>
      </c>
      <c r="G343">
        <v>7.7</v>
      </c>
      <c r="H343">
        <v>6.6</v>
      </c>
      <c r="I343">
        <v>5.8</v>
      </c>
      <c r="J343">
        <v>7.5</v>
      </c>
      <c r="K343">
        <v>7.1</v>
      </c>
      <c r="L343" s="1"/>
    </row>
    <row r="344" spans="1:12">
      <c r="A344" t="s">
        <v>392</v>
      </c>
      <c r="B344">
        <v>9.2</v>
      </c>
      <c r="C344">
        <v>8.7</v>
      </c>
      <c r="D344">
        <v>8.2</v>
      </c>
      <c r="E344">
        <v>7.5</v>
      </c>
      <c r="F344">
        <v>8.1</v>
      </c>
      <c r="G344">
        <v>7.9</v>
      </c>
      <c r="H344">
        <v>7.3</v>
      </c>
      <c r="I344">
        <v>7.5</v>
      </c>
      <c r="J344">
        <v>8</v>
      </c>
      <c r="K344">
        <v>6.5</v>
      </c>
      <c r="L344" s="1"/>
    </row>
    <row r="345" spans="1:12">
      <c r="A345" t="s">
        <v>393</v>
      </c>
      <c r="B345">
        <v>8.1</v>
      </c>
      <c r="C345">
        <v>8.8</v>
      </c>
      <c r="D345">
        <v>7.8</v>
      </c>
      <c r="E345">
        <v>9</v>
      </c>
      <c r="F345">
        <v>8.5</v>
      </c>
      <c r="G345">
        <v>7.1</v>
      </c>
      <c r="H345">
        <v>7.8</v>
      </c>
      <c r="I345">
        <v>6.3</v>
      </c>
      <c r="J345">
        <v>6</v>
      </c>
      <c r="K345">
        <v>8</v>
      </c>
      <c r="L345" s="1"/>
    </row>
    <row r="346" spans="1:12">
      <c r="A346" t="s">
        <v>394</v>
      </c>
      <c r="B346">
        <v>8.6</v>
      </c>
      <c r="C346">
        <v>7.6</v>
      </c>
      <c r="D346">
        <v>8</v>
      </c>
      <c r="E346">
        <v>8.3</v>
      </c>
      <c r="F346">
        <v>9.8</v>
      </c>
      <c r="G346">
        <v>6.4</v>
      </c>
      <c r="H346">
        <v>7.4</v>
      </c>
      <c r="I346">
        <v>6.6</v>
      </c>
      <c r="J346">
        <v>7.7</v>
      </c>
      <c r="K346">
        <v>7.2</v>
      </c>
      <c r="L346" s="1"/>
    </row>
    <row r="347" spans="1:12">
      <c r="A347" t="s">
        <v>395</v>
      </c>
      <c r="B347">
        <v>8.2</v>
      </c>
      <c r="C347">
        <v>9.4</v>
      </c>
      <c r="D347">
        <v>7.6</v>
      </c>
      <c r="E347">
        <v>7.8</v>
      </c>
      <c r="F347">
        <v>8</v>
      </c>
      <c r="G347">
        <v>7.5</v>
      </c>
      <c r="H347">
        <v>6.4</v>
      </c>
      <c r="I347">
        <v>9.1</v>
      </c>
      <c r="J347">
        <v>5.2</v>
      </c>
      <c r="K347">
        <v>7.3</v>
      </c>
      <c r="L347" s="1"/>
    </row>
    <row r="348" spans="1:12">
      <c r="A348" t="s">
        <v>396</v>
      </c>
      <c r="B348">
        <v>8.8</v>
      </c>
      <c r="C348">
        <v>8.7</v>
      </c>
      <c r="D348">
        <v>8.2</v>
      </c>
      <c r="E348">
        <v>8</v>
      </c>
      <c r="F348">
        <v>8.8</v>
      </c>
      <c r="G348">
        <v>8.3</v>
      </c>
      <c r="H348">
        <v>8.1</v>
      </c>
      <c r="I348">
        <v>7.7</v>
      </c>
      <c r="J348">
        <v>7.1</v>
      </c>
      <c r="K348">
        <v>7</v>
      </c>
      <c r="L348" s="1"/>
    </row>
    <row r="349" spans="1:12">
      <c r="A349" t="s">
        <v>397</v>
      </c>
      <c r="B349">
        <v>7.8</v>
      </c>
      <c r="C349">
        <v>8.5</v>
      </c>
      <c r="D349">
        <v>9.3</v>
      </c>
      <c r="E349">
        <v>7.7</v>
      </c>
      <c r="F349">
        <v>7.9</v>
      </c>
      <c r="G349">
        <v>7.7</v>
      </c>
      <c r="H349">
        <v>8.1</v>
      </c>
      <c r="I349">
        <v>5.9</v>
      </c>
      <c r="J349">
        <v>7.9</v>
      </c>
      <c r="K349">
        <v>7.4</v>
      </c>
      <c r="L349" s="1"/>
    </row>
    <row r="350" spans="1:12">
      <c r="A350" t="s">
        <v>398</v>
      </c>
      <c r="B350">
        <v>8.5</v>
      </c>
      <c r="C350">
        <v>8.8</v>
      </c>
      <c r="D350">
        <v>9.2</v>
      </c>
      <c r="E350">
        <v>8.5</v>
      </c>
      <c r="F350">
        <v>6.7</v>
      </c>
      <c r="G350">
        <v>7.7</v>
      </c>
      <c r="H350">
        <v>6.7</v>
      </c>
      <c r="I350">
        <v>7.1</v>
      </c>
      <c r="J350">
        <v>7.5</v>
      </c>
      <c r="K350">
        <v>6.5</v>
      </c>
      <c r="L350" s="1"/>
    </row>
    <row r="351" spans="1:12">
      <c r="A351" t="s">
        <v>399</v>
      </c>
      <c r="B351">
        <v>8.7</v>
      </c>
      <c r="C351">
        <v>9.1</v>
      </c>
      <c r="D351">
        <v>8.6</v>
      </c>
      <c r="E351">
        <v>8.1</v>
      </c>
      <c r="F351">
        <v>7.4</v>
      </c>
      <c r="G351">
        <v>6.5</v>
      </c>
      <c r="H351">
        <v>7.6</v>
      </c>
      <c r="I351">
        <v>7.6</v>
      </c>
      <c r="J351">
        <v>9.2</v>
      </c>
      <c r="K351">
        <v>8.7</v>
      </c>
      <c r="L351" s="1"/>
    </row>
    <row r="352" spans="1:12">
      <c r="A352" t="s">
        <v>400</v>
      </c>
      <c r="B352">
        <v>8.3</v>
      </c>
      <c r="C352">
        <v>8.6</v>
      </c>
      <c r="D352">
        <v>7.8</v>
      </c>
      <c r="E352">
        <v>8.2</v>
      </c>
      <c r="F352">
        <v>7.8</v>
      </c>
      <c r="G352">
        <v>7.7</v>
      </c>
      <c r="H352">
        <v>8.6</v>
      </c>
      <c r="I352">
        <v>8</v>
      </c>
      <c r="J352">
        <v>8</v>
      </c>
      <c r="K352">
        <v>7.1</v>
      </c>
      <c r="L352" s="1"/>
    </row>
    <row r="353" spans="1:12">
      <c r="A353" t="s">
        <v>401</v>
      </c>
      <c r="B353">
        <v>8.2</v>
      </c>
      <c r="C353">
        <v>9.4</v>
      </c>
      <c r="D353">
        <v>7.6</v>
      </c>
      <c r="E353">
        <v>9.8</v>
      </c>
      <c r="F353">
        <v>7.9</v>
      </c>
      <c r="G353">
        <v>7.2</v>
      </c>
      <c r="H353">
        <v>9.2</v>
      </c>
      <c r="I353">
        <v>7.6</v>
      </c>
      <c r="J353">
        <v>6.9</v>
      </c>
      <c r="K353">
        <v>6.9</v>
      </c>
      <c r="L353" s="1"/>
    </row>
    <row r="354" spans="1:12">
      <c r="A354" t="s">
        <v>402</v>
      </c>
      <c r="B354">
        <v>8.6</v>
      </c>
      <c r="C354">
        <v>7.9</v>
      </c>
      <c r="D354">
        <v>8.2</v>
      </c>
      <c r="E354">
        <v>9.1</v>
      </c>
      <c r="F354">
        <v>8.3</v>
      </c>
      <c r="G354">
        <v>8</v>
      </c>
      <c r="H354">
        <v>6.2</v>
      </c>
      <c r="I354">
        <v>6.4</v>
      </c>
      <c r="J354">
        <v>7.6</v>
      </c>
      <c r="K354">
        <v>6.4</v>
      </c>
      <c r="L354" s="1"/>
    </row>
    <row r="355" spans="1:12">
      <c r="A355" t="s">
        <v>403</v>
      </c>
      <c r="B355">
        <v>8.4</v>
      </c>
      <c r="C355">
        <v>8.6</v>
      </c>
      <c r="D355">
        <v>8.3</v>
      </c>
      <c r="E355">
        <v>8.3</v>
      </c>
      <c r="F355">
        <v>7.1</v>
      </c>
      <c r="G355">
        <v>7.4</v>
      </c>
      <c r="H355">
        <v>9.1</v>
      </c>
      <c r="I355">
        <v>9.3</v>
      </c>
      <c r="J355">
        <v>7.1</v>
      </c>
      <c r="K355">
        <v>6.8</v>
      </c>
      <c r="L355" s="1"/>
    </row>
    <row r="356" spans="1:12">
      <c r="A356" t="s">
        <v>404</v>
      </c>
      <c r="B356">
        <v>8.4</v>
      </c>
      <c r="C356">
        <v>8.4</v>
      </c>
      <c r="D356">
        <v>9.4</v>
      </c>
      <c r="E356">
        <v>7.7</v>
      </c>
      <c r="F356">
        <v>8</v>
      </c>
      <c r="G356">
        <v>6.5</v>
      </c>
      <c r="H356">
        <v>7.7</v>
      </c>
      <c r="I356">
        <v>7.3</v>
      </c>
      <c r="J356">
        <v>6.2</v>
      </c>
      <c r="K356">
        <v>6.8</v>
      </c>
      <c r="L356" s="1"/>
    </row>
    <row r="357" spans="1:12">
      <c r="A357" t="s">
        <v>405</v>
      </c>
      <c r="B357">
        <v>8.7</v>
      </c>
      <c r="C357">
        <v>8.4</v>
      </c>
      <c r="D357">
        <v>8.4</v>
      </c>
      <c r="E357">
        <v>8.3</v>
      </c>
      <c r="F357">
        <v>7.6</v>
      </c>
      <c r="G357">
        <v>7.6</v>
      </c>
      <c r="H357">
        <v>7</v>
      </c>
      <c r="I357">
        <v>7.4</v>
      </c>
      <c r="J357">
        <v>7</v>
      </c>
      <c r="K357">
        <v>7</v>
      </c>
      <c r="L357" s="1"/>
    </row>
    <row r="358" spans="1:12">
      <c r="A358" t="s">
        <v>406</v>
      </c>
      <c r="B358">
        <v>8.9</v>
      </c>
      <c r="C358">
        <v>9.4</v>
      </c>
      <c r="D358">
        <v>9</v>
      </c>
      <c r="E358">
        <v>8.5</v>
      </c>
      <c r="F358">
        <v>7.1</v>
      </c>
      <c r="G358">
        <v>8.9</v>
      </c>
      <c r="H358">
        <v>5.5</v>
      </c>
      <c r="I358">
        <v>9.6</v>
      </c>
      <c r="J358">
        <v>8</v>
      </c>
      <c r="K358">
        <v>7.5</v>
      </c>
      <c r="L358" s="1"/>
    </row>
    <row r="359" spans="1:12">
      <c r="A359" t="s">
        <v>407</v>
      </c>
      <c r="B359">
        <v>8.2</v>
      </c>
      <c r="C359">
        <v>8.5</v>
      </c>
      <c r="D359">
        <v>8</v>
      </c>
      <c r="E359">
        <v>9.3</v>
      </c>
      <c r="F359">
        <v>7.7</v>
      </c>
      <c r="G359">
        <v>7.5</v>
      </c>
      <c r="H359">
        <v>7.7</v>
      </c>
      <c r="I359">
        <v>7.5</v>
      </c>
      <c r="J359">
        <v>7.8</v>
      </c>
      <c r="K359">
        <v>8</v>
      </c>
      <c r="L359" s="1"/>
    </row>
    <row r="360" spans="1:12">
      <c r="A360" t="s">
        <v>408</v>
      </c>
      <c r="B360">
        <v>9.5</v>
      </c>
      <c r="C360">
        <v>8.2</v>
      </c>
      <c r="D360">
        <v>9</v>
      </c>
      <c r="E360">
        <v>7.9</v>
      </c>
      <c r="F360">
        <v>6.9</v>
      </c>
      <c r="G360">
        <v>8</v>
      </c>
      <c r="H360">
        <v>6</v>
      </c>
      <c r="I360">
        <v>6.8</v>
      </c>
      <c r="J360">
        <v>3.3</v>
      </c>
      <c r="K360">
        <v>5.8</v>
      </c>
      <c r="L360" s="1"/>
    </row>
    <row r="361" spans="1:12">
      <c r="A361" t="s">
        <v>409</v>
      </c>
      <c r="B361">
        <v>9</v>
      </c>
      <c r="C361">
        <v>8.5</v>
      </c>
      <c r="D361">
        <v>7.3</v>
      </c>
      <c r="E361">
        <v>7.8</v>
      </c>
      <c r="F361">
        <v>7.6</v>
      </c>
      <c r="G361">
        <v>7.4</v>
      </c>
      <c r="H361">
        <v>7.7</v>
      </c>
      <c r="I361">
        <v>9</v>
      </c>
      <c r="J361">
        <v>4.6</v>
      </c>
      <c r="K361">
        <v>6.1</v>
      </c>
      <c r="L361" s="1"/>
    </row>
    <row r="362" spans="1:12">
      <c r="A362" t="s">
        <v>410</v>
      </c>
      <c r="B362">
        <v>9.3</v>
      </c>
      <c r="C362">
        <v>8.7</v>
      </c>
      <c r="D362">
        <v>8.3</v>
      </c>
      <c r="E362">
        <v>7.8</v>
      </c>
      <c r="F362">
        <v>8</v>
      </c>
      <c r="G362">
        <v>7.1</v>
      </c>
      <c r="H362">
        <v>5.1</v>
      </c>
      <c r="I362">
        <v>5.8</v>
      </c>
      <c r="J362">
        <v>6.9</v>
      </c>
      <c r="K362">
        <v>6.9</v>
      </c>
      <c r="L362" s="1"/>
    </row>
    <row r="363" spans="1:12">
      <c r="A363" t="s">
        <v>411</v>
      </c>
      <c r="B363">
        <v>9.1</v>
      </c>
      <c r="C363">
        <v>9.1</v>
      </c>
      <c r="D363">
        <v>8.4</v>
      </c>
      <c r="E363">
        <v>7.8</v>
      </c>
      <c r="F363">
        <v>7.4</v>
      </c>
      <c r="G363">
        <v>7.3</v>
      </c>
      <c r="H363">
        <v>8.5</v>
      </c>
      <c r="I363">
        <v>7.1</v>
      </c>
      <c r="J363">
        <v>7.9</v>
      </c>
      <c r="K363">
        <v>5.8</v>
      </c>
      <c r="L363" s="1"/>
    </row>
    <row r="364" spans="1:12">
      <c r="A364" t="s">
        <v>412</v>
      </c>
      <c r="B364">
        <v>8.7</v>
      </c>
      <c r="C364">
        <v>8.1</v>
      </c>
      <c r="D364">
        <v>9.5</v>
      </c>
      <c r="E364">
        <v>8.1</v>
      </c>
      <c r="F364">
        <v>8.7</v>
      </c>
      <c r="G364">
        <v>7.5</v>
      </c>
      <c r="H364">
        <v>5.5</v>
      </c>
      <c r="I364">
        <v>7.2</v>
      </c>
      <c r="J364">
        <v>7.6</v>
      </c>
      <c r="K364">
        <v>5.3</v>
      </c>
      <c r="L364" s="1"/>
    </row>
    <row r="365" spans="1:12">
      <c r="A365" t="s">
        <v>413</v>
      </c>
      <c r="B365">
        <v>8.8</v>
      </c>
      <c r="C365">
        <v>9</v>
      </c>
      <c r="D365">
        <v>8</v>
      </c>
      <c r="E365">
        <v>7.6</v>
      </c>
      <c r="F365">
        <v>7</v>
      </c>
      <c r="G365">
        <v>6.2</v>
      </c>
      <c r="H365">
        <v>6.5</v>
      </c>
      <c r="I365">
        <v>7.5</v>
      </c>
      <c r="J365">
        <v>6.7</v>
      </c>
      <c r="K365">
        <v>7.3</v>
      </c>
      <c r="L365" s="1"/>
    </row>
    <row r="366" spans="1:12">
      <c r="A366" t="s">
        <v>414</v>
      </c>
      <c r="B366">
        <v>9.3</v>
      </c>
      <c r="C366">
        <v>8.1</v>
      </c>
      <c r="D366">
        <v>8.3</v>
      </c>
      <c r="E366">
        <v>8.6</v>
      </c>
      <c r="F366">
        <v>8.7</v>
      </c>
      <c r="G366">
        <v>6.6</v>
      </c>
      <c r="H366">
        <v>6.4</v>
      </c>
      <c r="I366">
        <v>6.5</v>
      </c>
      <c r="J366">
        <v>7.9</v>
      </c>
      <c r="K366">
        <v>5</v>
      </c>
      <c r="L366" s="1"/>
    </row>
    <row r="367" spans="1:12">
      <c r="A367" t="s">
        <v>415</v>
      </c>
      <c r="B367">
        <v>8.8</v>
      </c>
      <c r="C367">
        <v>8.6</v>
      </c>
      <c r="D367">
        <v>9</v>
      </c>
      <c r="E367">
        <v>7.7</v>
      </c>
      <c r="F367">
        <v>8.8</v>
      </c>
      <c r="G367">
        <v>7.3</v>
      </c>
      <c r="H367">
        <v>6.9</v>
      </c>
      <c r="I367">
        <v>7.5</v>
      </c>
      <c r="J367">
        <v>7.1</v>
      </c>
      <c r="K367">
        <v>7.8</v>
      </c>
      <c r="L367" s="1"/>
    </row>
    <row r="368" spans="1:12">
      <c r="A368" t="s">
        <v>416</v>
      </c>
      <c r="B368">
        <v>8.8</v>
      </c>
      <c r="C368">
        <v>8.3</v>
      </c>
      <c r="D368">
        <v>8.3</v>
      </c>
      <c r="E368">
        <v>7.9</v>
      </c>
      <c r="F368">
        <v>7.7</v>
      </c>
      <c r="G368">
        <v>8</v>
      </c>
      <c r="H368">
        <v>6.9</v>
      </c>
      <c r="I368">
        <v>5.9</v>
      </c>
      <c r="J368">
        <v>8.1</v>
      </c>
      <c r="K368">
        <v>6.1</v>
      </c>
      <c r="L368" s="1"/>
    </row>
    <row r="369" spans="1:12">
      <c r="A369" t="s">
        <v>417</v>
      </c>
      <c r="B369">
        <v>8.8</v>
      </c>
      <c r="C369">
        <v>8.8</v>
      </c>
      <c r="D369">
        <v>8.5</v>
      </c>
      <c r="E369">
        <v>7.6</v>
      </c>
      <c r="F369">
        <v>7.7</v>
      </c>
      <c r="G369">
        <v>7.6</v>
      </c>
      <c r="H369">
        <v>7.2</v>
      </c>
      <c r="I369">
        <v>8.3</v>
      </c>
      <c r="J369">
        <v>6.2</v>
      </c>
      <c r="K369">
        <v>7.6</v>
      </c>
      <c r="L369" s="1"/>
    </row>
    <row r="370" spans="1:12">
      <c r="A370" t="s">
        <v>418</v>
      </c>
      <c r="B370">
        <v>8.4</v>
      </c>
      <c r="C370">
        <v>8.4</v>
      </c>
      <c r="D370">
        <v>8.7</v>
      </c>
      <c r="E370">
        <v>7.9</v>
      </c>
      <c r="F370">
        <v>8.7</v>
      </c>
      <c r="G370">
        <v>8.5</v>
      </c>
      <c r="H370">
        <v>6.7</v>
      </c>
      <c r="I370">
        <v>6.9</v>
      </c>
      <c r="J370">
        <v>7.2</v>
      </c>
      <c r="K370">
        <v>5.3</v>
      </c>
      <c r="L370" s="1"/>
    </row>
    <row r="371" spans="1:12">
      <c r="A371" t="s">
        <v>419</v>
      </c>
      <c r="B371">
        <v>8.1</v>
      </c>
      <c r="C371">
        <v>8.2</v>
      </c>
      <c r="D371">
        <v>9.4</v>
      </c>
      <c r="E371">
        <v>8.1</v>
      </c>
      <c r="F371">
        <v>7.2</v>
      </c>
      <c r="G371">
        <v>7.9</v>
      </c>
      <c r="H371">
        <v>7</v>
      </c>
      <c r="I371">
        <v>7.4</v>
      </c>
      <c r="J371">
        <v>8.3</v>
      </c>
      <c r="K371">
        <v>5.2</v>
      </c>
      <c r="L371" s="1"/>
    </row>
    <row r="372" spans="1:12">
      <c r="A372" t="s">
        <v>420</v>
      </c>
      <c r="B372">
        <v>8.9</v>
      </c>
      <c r="C372">
        <v>8.3</v>
      </c>
      <c r="D372">
        <v>7.9</v>
      </c>
      <c r="E372">
        <v>8.2</v>
      </c>
      <c r="F372">
        <v>7.3</v>
      </c>
      <c r="G372">
        <v>6.9</v>
      </c>
      <c r="H372">
        <v>4.2</v>
      </c>
      <c r="I372">
        <v>8.3</v>
      </c>
      <c r="J372">
        <v>7.6</v>
      </c>
      <c r="K372">
        <v>4.4</v>
      </c>
      <c r="L372" s="1"/>
    </row>
    <row r="373" spans="1:12">
      <c r="A373" t="s">
        <v>421</v>
      </c>
      <c r="B373">
        <v>8.2</v>
      </c>
      <c r="C373">
        <v>8.4</v>
      </c>
      <c r="D373">
        <v>8.4</v>
      </c>
      <c r="E373">
        <v>7.3</v>
      </c>
      <c r="F373">
        <v>7.5</v>
      </c>
      <c r="G373">
        <v>7.1</v>
      </c>
      <c r="H373">
        <v>6.8</v>
      </c>
      <c r="I373">
        <v>6.5</v>
      </c>
      <c r="J373">
        <v>6.6</v>
      </c>
      <c r="K373">
        <v>7.5</v>
      </c>
      <c r="L373" s="1"/>
    </row>
    <row r="374" spans="1:12">
      <c r="A374" t="s">
        <v>422</v>
      </c>
      <c r="B374">
        <v>8.2</v>
      </c>
      <c r="C374">
        <v>9.8</v>
      </c>
      <c r="D374">
        <v>8.2</v>
      </c>
      <c r="E374">
        <v>7.7</v>
      </c>
      <c r="F374">
        <v>9.8</v>
      </c>
      <c r="G374">
        <v>8</v>
      </c>
      <c r="H374">
        <v>7.7</v>
      </c>
      <c r="I374">
        <v>6.4</v>
      </c>
      <c r="J374">
        <v>6.5</v>
      </c>
      <c r="K374">
        <v>6.8</v>
      </c>
      <c r="L374" s="1"/>
    </row>
    <row r="375" spans="1:12">
      <c r="A375" t="s">
        <v>423</v>
      </c>
      <c r="B375">
        <v>9.5</v>
      </c>
      <c r="C375">
        <v>9.4</v>
      </c>
      <c r="D375">
        <v>9</v>
      </c>
      <c r="E375">
        <v>7</v>
      </c>
      <c r="F375">
        <v>8.1</v>
      </c>
      <c r="G375">
        <v>8.6</v>
      </c>
      <c r="H375">
        <v>8.2</v>
      </c>
      <c r="I375">
        <v>6.2</v>
      </c>
      <c r="J375">
        <v>7.3</v>
      </c>
      <c r="K375">
        <v>8.7</v>
      </c>
      <c r="L375" s="1"/>
    </row>
    <row r="376" spans="1:12">
      <c r="A376" t="s">
        <v>424</v>
      </c>
      <c r="B376">
        <v>8.9</v>
      </c>
      <c r="C376">
        <v>8</v>
      </c>
      <c r="D376">
        <v>8.4</v>
      </c>
      <c r="E376">
        <v>7.1</v>
      </c>
      <c r="F376">
        <v>6.8</v>
      </c>
      <c r="G376">
        <v>7</v>
      </c>
      <c r="H376">
        <v>6</v>
      </c>
      <c r="I376">
        <v>8.2</v>
      </c>
      <c r="J376">
        <v>8.4</v>
      </c>
      <c r="K376">
        <v>6.1</v>
      </c>
      <c r="L376" s="1"/>
    </row>
    <row r="377" spans="1:12">
      <c r="A377" t="s">
        <v>425</v>
      </c>
      <c r="B377">
        <v>9</v>
      </c>
      <c r="C377">
        <v>8.6</v>
      </c>
      <c r="D377">
        <v>8</v>
      </c>
      <c r="E377">
        <v>8.1</v>
      </c>
      <c r="F377">
        <v>8</v>
      </c>
      <c r="G377">
        <v>9.9</v>
      </c>
      <c r="H377">
        <v>7.3</v>
      </c>
      <c r="I377">
        <v>7.7</v>
      </c>
      <c r="J377">
        <v>6.7</v>
      </c>
      <c r="K377">
        <v>8</v>
      </c>
      <c r="L377" s="1"/>
    </row>
    <row r="378" spans="1:12">
      <c r="A378" t="s">
        <v>426</v>
      </c>
      <c r="B378">
        <v>8.4</v>
      </c>
      <c r="C378">
        <v>9.6</v>
      </c>
      <c r="D378">
        <v>8.3</v>
      </c>
      <c r="E378">
        <v>7.1</v>
      </c>
      <c r="F378">
        <v>6.9</v>
      </c>
      <c r="G378">
        <v>6.2</v>
      </c>
      <c r="H378">
        <v>8.2</v>
      </c>
      <c r="I378">
        <v>6.3</v>
      </c>
      <c r="J378">
        <v>6.7</v>
      </c>
      <c r="K378">
        <v>6.7</v>
      </c>
      <c r="L378" s="1"/>
    </row>
    <row r="379" spans="1:12">
      <c r="A379" t="s">
        <v>427</v>
      </c>
      <c r="B379">
        <v>8.1</v>
      </c>
      <c r="C379">
        <v>9</v>
      </c>
      <c r="D379">
        <v>8.4</v>
      </c>
      <c r="E379">
        <v>8.2</v>
      </c>
      <c r="F379">
        <v>7.7</v>
      </c>
      <c r="G379">
        <v>8.5</v>
      </c>
      <c r="H379">
        <v>7.1</v>
      </c>
      <c r="I379">
        <v>7.5</v>
      </c>
      <c r="J379">
        <v>6.5</v>
      </c>
      <c r="K379">
        <v>5.2</v>
      </c>
      <c r="L379" s="1"/>
    </row>
    <row r="380" spans="1:12">
      <c r="A380" t="s">
        <v>428</v>
      </c>
      <c r="B380">
        <v>8.9</v>
      </c>
      <c r="C380">
        <v>9</v>
      </c>
      <c r="D380">
        <v>8.5</v>
      </c>
      <c r="E380">
        <v>8.6</v>
      </c>
      <c r="F380">
        <v>7.4</v>
      </c>
      <c r="G380">
        <v>6.9</v>
      </c>
      <c r="H380">
        <v>7.9</v>
      </c>
      <c r="I380">
        <v>7.8</v>
      </c>
      <c r="J380">
        <v>9.5</v>
      </c>
      <c r="K380">
        <v>5.4</v>
      </c>
      <c r="L380" s="1"/>
    </row>
    <row r="381" spans="1:12">
      <c r="A381" t="s">
        <v>429</v>
      </c>
      <c r="B381">
        <v>8.8</v>
      </c>
      <c r="C381">
        <v>7.9</v>
      </c>
      <c r="D381">
        <v>9.6</v>
      </c>
      <c r="E381">
        <v>7.5</v>
      </c>
      <c r="F381">
        <v>7.7</v>
      </c>
      <c r="G381">
        <v>6.2</v>
      </c>
      <c r="H381">
        <v>8.1</v>
      </c>
      <c r="I381">
        <v>5.4</v>
      </c>
      <c r="J381">
        <v>7.8</v>
      </c>
      <c r="K381">
        <v>7.2</v>
      </c>
      <c r="L381" s="1"/>
    </row>
    <row r="382" spans="1:12">
      <c r="A382" t="s">
        <v>430</v>
      </c>
      <c r="B382">
        <v>9</v>
      </c>
      <c r="C382">
        <v>8.9</v>
      </c>
      <c r="D382">
        <v>9.4</v>
      </c>
      <c r="E382">
        <v>7.2</v>
      </c>
      <c r="F382">
        <v>8.7</v>
      </c>
      <c r="G382">
        <v>7.6</v>
      </c>
      <c r="H382">
        <v>8.1</v>
      </c>
      <c r="I382">
        <v>4.8</v>
      </c>
      <c r="J382">
        <v>8.3</v>
      </c>
      <c r="K382">
        <v>6.1</v>
      </c>
      <c r="L382" s="1"/>
    </row>
    <row r="383" spans="1:12">
      <c r="A383" t="s">
        <v>431</v>
      </c>
      <c r="B383">
        <v>9.1</v>
      </c>
      <c r="C383">
        <v>8.5</v>
      </c>
      <c r="D383">
        <v>8</v>
      </c>
      <c r="E383">
        <v>8.3</v>
      </c>
      <c r="F383">
        <v>7.9</v>
      </c>
      <c r="G383">
        <v>7.8</v>
      </c>
      <c r="H383">
        <v>6.7</v>
      </c>
      <c r="I383">
        <v>7.4</v>
      </c>
      <c r="J383">
        <v>4.9</v>
      </c>
      <c r="K383">
        <v>5.4</v>
      </c>
      <c r="L383" s="1"/>
    </row>
    <row r="384" spans="1:12">
      <c r="A384" t="s">
        <v>432</v>
      </c>
      <c r="B384">
        <v>8.3</v>
      </c>
      <c r="C384">
        <v>8.4</v>
      </c>
      <c r="D384">
        <v>8.1</v>
      </c>
      <c r="E384">
        <v>8.1</v>
      </c>
      <c r="F384">
        <v>8.9</v>
      </c>
      <c r="G384">
        <v>7.2</v>
      </c>
      <c r="H384">
        <v>7.3</v>
      </c>
      <c r="I384">
        <v>6.4</v>
      </c>
      <c r="J384">
        <v>7.3</v>
      </c>
      <c r="K384">
        <v>8.7</v>
      </c>
      <c r="L384" s="1"/>
    </row>
    <row r="385" spans="1:12">
      <c r="A385" t="s">
        <v>433</v>
      </c>
      <c r="B385">
        <v>8.1</v>
      </c>
      <c r="C385">
        <v>8.4</v>
      </c>
      <c r="D385">
        <v>8.7</v>
      </c>
      <c r="E385">
        <v>8.2</v>
      </c>
      <c r="F385">
        <v>8.3</v>
      </c>
      <c r="G385">
        <v>7.8</v>
      </c>
      <c r="H385">
        <v>7.5</v>
      </c>
      <c r="I385">
        <v>7.1</v>
      </c>
      <c r="J385">
        <v>5.2</v>
      </c>
      <c r="K385">
        <v>6.2</v>
      </c>
      <c r="L385" s="1"/>
    </row>
    <row r="386" spans="1:12">
      <c r="A386" t="s">
        <v>434</v>
      </c>
      <c r="B386">
        <v>8.6</v>
      </c>
      <c r="C386">
        <v>7.8</v>
      </c>
      <c r="D386">
        <v>9.6</v>
      </c>
      <c r="E386">
        <v>7.9</v>
      </c>
      <c r="F386">
        <v>7.5</v>
      </c>
      <c r="G386">
        <v>9.5</v>
      </c>
      <c r="H386">
        <v>8.5</v>
      </c>
      <c r="I386">
        <v>7.8</v>
      </c>
      <c r="J386">
        <v>7.8</v>
      </c>
      <c r="K386">
        <v>2.3</v>
      </c>
      <c r="L386" s="1"/>
    </row>
    <row r="387" spans="1:12">
      <c r="A387" t="s">
        <v>435</v>
      </c>
      <c r="B387">
        <v>9.1</v>
      </c>
      <c r="C387">
        <v>8</v>
      </c>
      <c r="D387">
        <v>8.9</v>
      </c>
      <c r="E387">
        <v>8.4</v>
      </c>
      <c r="F387">
        <v>7</v>
      </c>
      <c r="G387">
        <v>7.1</v>
      </c>
      <c r="H387">
        <v>7.8</v>
      </c>
      <c r="I387">
        <v>6.2</v>
      </c>
      <c r="J387">
        <v>9.2</v>
      </c>
      <c r="K387">
        <v>8</v>
      </c>
      <c r="L387" s="1"/>
    </row>
    <row r="388" spans="1:12">
      <c r="A388" t="s">
        <v>436</v>
      </c>
      <c r="B388">
        <v>9.9</v>
      </c>
      <c r="C388">
        <v>9.5</v>
      </c>
      <c r="D388">
        <v>8.8</v>
      </c>
      <c r="E388">
        <v>8.6</v>
      </c>
      <c r="F388">
        <v>9.1</v>
      </c>
      <c r="G388">
        <v>7.3</v>
      </c>
      <c r="H388">
        <v>8</v>
      </c>
      <c r="I388">
        <v>7.9</v>
      </c>
      <c r="J388">
        <v>9.1</v>
      </c>
      <c r="K388">
        <v>5.9</v>
      </c>
      <c r="L388" s="1"/>
    </row>
    <row r="389" spans="1:12">
      <c r="A389" t="s">
        <v>437</v>
      </c>
      <c r="B389">
        <v>8.9</v>
      </c>
      <c r="C389">
        <v>8.2</v>
      </c>
      <c r="D389">
        <v>8.9</v>
      </c>
      <c r="E389">
        <v>8.4</v>
      </c>
      <c r="F389">
        <v>9.2</v>
      </c>
      <c r="G389">
        <v>7.2</v>
      </c>
      <c r="H389">
        <v>8.2</v>
      </c>
      <c r="I389">
        <v>8.3</v>
      </c>
      <c r="J389">
        <v>5.9</v>
      </c>
      <c r="K389">
        <v>7</v>
      </c>
      <c r="L389" s="1"/>
    </row>
    <row r="390" spans="1:12">
      <c r="A390" t="s">
        <v>438</v>
      </c>
      <c r="B390">
        <v>8.7</v>
      </c>
      <c r="C390">
        <v>8.8</v>
      </c>
      <c r="D390">
        <v>8.8</v>
      </c>
      <c r="E390">
        <v>8.8</v>
      </c>
      <c r="F390">
        <v>8</v>
      </c>
      <c r="G390">
        <v>7</v>
      </c>
      <c r="H390">
        <v>8.3</v>
      </c>
      <c r="I390">
        <v>7.6</v>
      </c>
      <c r="J390">
        <v>7.1</v>
      </c>
      <c r="K390">
        <v>7.6</v>
      </c>
      <c r="L390" s="1"/>
    </row>
    <row r="391" spans="1:12">
      <c r="A391" t="s">
        <v>439</v>
      </c>
      <c r="B391">
        <v>8.1</v>
      </c>
      <c r="C391">
        <v>9.5</v>
      </c>
      <c r="D391">
        <v>8.8</v>
      </c>
      <c r="E391">
        <v>9.2</v>
      </c>
      <c r="F391">
        <v>9.2</v>
      </c>
      <c r="G391">
        <v>6.5</v>
      </c>
      <c r="H391">
        <v>7.6</v>
      </c>
      <c r="I391">
        <v>8.1</v>
      </c>
      <c r="J391">
        <v>7</v>
      </c>
      <c r="K391">
        <v>5.6</v>
      </c>
      <c r="L391" s="1"/>
    </row>
    <row r="392" spans="1:12">
      <c r="A392" t="s">
        <v>440</v>
      </c>
      <c r="B392">
        <v>8.6</v>
      </c>
      <c r="C392">
        <v>8.2</v>
      </c>
      <c r="D392">
        <v>8.4</v>
      </c>
      <c r="E392">
        <v>9.2</v>
      </c>
      <c r="F392">
        <v>8.3</v>
      </c>
      <c r="G392">
        <v>6.8</v>
      </c>
      <c r="H392">
        <v>8.5</v>
      </c>
      <c r="I392">
        <v>8.9</v>
      </c>
      <c r="J392">
        <v>7.6</v>
      </c>
      <c r="K392">
        <v>7</v>
      </c>
      <c r="L392" s="1"/>
    </row>
    <row r="393" spans="1:12">
      <c r="A393" t="s">
        <v>441</v>
      </c>
      <c r="B393">
        <v>8.4</v>
      </c>
      <c r="C393">
        <v>9.3</v>
      </c>
      <c r="D393">
        <v>6.8</v>
      </c>
      <c r="E393">
        <v>7.4</v>
      </c>
      <c r="F393">
        <v>7.6</v>
      </c>
      <c r="G393">
        <v>6.5</v>
      </c>
      <c r="H393">
        <v>5.5</v>
      </c>
      <c r="I393">
        <v>6.8</v>
      </c>
      <c r="J393">
        <v>8.3</v>
      </c>
      <c r="K393">
        <v>6.8</v>
      </c>
      <c r="L393" s="1"/>
    </row>
    <row r="394" spans="1:12">
      <c r="A394" t="s">
        <v>442</v>
      </c>
      <c r="B394">
        <v>8.5</v>
      </c>
      <c r="C394">
        <v>8.4</v>
      </c>
      <c r="D394">
        <v>7.6</v>
      </c>
      <c r="E394">
        <v>8.1</v>
      </c>
      <c r="F394">
        <v>7.6</v>
      </c>
      <c r="G394">
        <v>7.1</v>
      </c>
      <c r="H394">
        <v>8</v>
      </c>
      <c r="I394">
        <v>6.2</v>
      </c>
      <c r="J394">
        <v>5.7</v>
      </c>
      <c r="K394">
        <v>6.4</v>
      </c>
      <c r="L394" s="1"/>
    </row>
    <row r="395" spans="1:12">
      <c r="A395" t="s">
        <v>443</v>
      </c>
      <c r="B395">
        <v>7.9</v>
      </c>
      <c r="C395">
        <v>9</v>
      </c>
      <c r="D395">
        <v>8.2</v>
      </c>
      <c r="E395">
        <v>8.4</v>
      </c>
      <c r="F395">
        <v>7.3</v>
      </c>
      <c r="G395">
        <v>7</v>
      </c>
      <c r="H395">
        <v>6.5</v>
      </c>
      <c r="I395">
        <v>7.7</v>
      </c>
      <c r="J395">
        <v>6.3</v>
      </c>
      <c r="K395">
        <v>7.3</v>
      </c>
      <c r="L395" s="1"/>
    </row>
    <row r="396" spans="1:12">
      <c r="A396" t="s">
        <v>444</v>
      </c>
      <c r="B396">
        <v>8.5</v>
      </c>
      <c r="C396">
        <v>7.9</v>
      </c>
      <c r="D396">
        <v>7.6</v>
      </c>
      <c r="E396">
        <v>8</v>
      </c>
      <c r="F396">
        <v>8.3</v>
      </c>
      <c r="G396">
        <v>7</v>
      </c>
      <c r="H396">
        <v>8.3</v>
      </c>
      <c r="I396">
        <v>8.1</v>
      </c>
      <c r="J396">
        <v>6.5</v>
      </c>
      <c r="K396">
        <v>4.3</v>
      </c>
      <c r="L396" s="1"/>
    </row>
    <row r="397" spans="1:12">
      <c r="A397" t="s">
        <v>445</v>
      </c>
      <c r="B397">
        <v>8.4</v>
      </c>
      <c r="C397">
        <v>8.5</v>
      </c>
      <c r="D397">
        <v>7.2</v>
      </c>
      <c r="E397">
        <v>7.1</v>
      </c>
      <c r="F397">
        <v>9.3</v>
      </c>
      <c r="G397">
        <v>7.7</v>
      </c>
      <c r="H397">
        <v>8.9</v>
      </c>
      <c r="I397">
        <v>7</v>
      </c>
      <c r="J397">
        <v>7.6</v>
      </c>
      <c r="K397">
        <v>8</v>
      </c>
      <c r="L397" s="1"/>
    </row>
    <row r="398" spans="1:12">
      <c r="A398" t="s">
        <v>446</v>
      </c>
      <c r="B398">
        <v>8.4</v>
      </c>
      <c r="C398">
        <v>9.2</v>
      </c>
      <c r="D398">
        <v>9.2</v>
      </c>
      <c r="E398">
        <v>7.3</v>
      </c>
      <c r="F398">
        <v>7.4</v>
      </c>
      <c r="G398">
        <v>6.9</v>
      </c>
      <c r="H398">
        <v>7.3</v>
      </c>
      <c r="I398">
        <v>6.3</v>
      </c>
      <c r="J398">
        <v>6.5</v>
      </c>
      <c r="K398">
        <v>6</v>
      </c>
      <c r="L398" s="1"/>
    </row>
    <row r="399" spans="1:12">
      <c r="A399" t="s">
        <v>447</v>
      </c>
      <c r="B399">
        <v>8.8</v>
      </c>
      <c r="C399">
        <v>7.8</v>
      </c>
      <c r="D399">
        <v>7.9</v>
      </c>
      <c r="E399">
        <v>7.2</v>
      </c>
      <c r="F399">
        <v>6.9</v>
      </c>
      <c r="G399">
        <v>8</v>
      </c>
      <c r="H399">
        <v>7.2</v>
      </c>
      <c r="I399">
        <v>8.6</v>
      </c>
      <c r="J399">
        <v>7.2</v>
      </c>
      <c r="K399">
        <v>4.1</v>
      </c>
      <c r="L399" s="1"/>
    </row>
    <row r="400" spans="1:12">
      <c r="A400" t="s">
        <v>448</v>
      </c>
      <c r="B400">
        <v>9.3</v>
      </c>
      <c r="C400">
        <v>8.9</v>
      </c>
      <c r="D400">
        <v>8.3</v>
      </c>
      <c r="E400">
        <v>7.7</v>
      </c>
      <c r="F400">
        <v>6</v>
      </c>
      <c r="G400">
        <v>6.7</v>
      </c>
      <c r="H400">
        <v>8.5</v>
      </c>
      <c r="I400">
        <v>5.8</v>
      </c>
      <c r="J400">
        <v>8.1</v>
      </c>
      <c r="K400">
        <v>6.2</v>
      </c>
      <c r="L400" s="1"/>
    </row>
    <row r="401" spans="1:12">
      <c r="A401" t="s">
        <v>449</v>
      </c>
      <c r="B401">
        <v>8.3</v>
      </c>
      <c r="C401">
        <v>8</v>
      </c>
      <c r="D401">
        <v>8</v>
      </c>
      <c r="E401">
        <v>8.3</v>
      </c>
      <c r="F401">
        <v>7</v>
      </c>
      <c r="G401">
        <v>8.1</v>
      </c>
      <c r="H401">
        <v>7.4</v>
      </c>
      <c r="I401">
        <v>8.4</v>
      </c>
      <c r="J401">
        <v>7.2</v>
      </c>
      <c r="K401">
        <v>6.2</v>
      </c>
      <c r="L401" s="1"/>
    </row>
    <row r="402" spans="1:12">
      <c r="A402" t="s">
        <v>450</v>
      </c>
      <c r="B402">
        <v>7.7</v>
      </c>
      <c r="C402">
        <v>7.7</v>
      </c>
      <c r="D402">
        <v>7.7</v>
      </c>
      <c r="E402">
        <v>8.3</v>
      </c>
      <c r="F402">
        <v>9.4</v>
      </c>
      <c r="G402">
        <v>5.3</v>
      </c>
      <c r="H402">
        <v>6.2</v>
      </c>
      <c r="I402">
        <v>6.8</v>
      </c>
      <c r="J402">
        <v>5.4</v>
      </c>
      <c r="K402">
        <v>8.1</v>
      </c>
      <c r="L402" s="1"/>
    </row>
    <row r="403" spans="1:12">
      <c r="A403" t="s">
        <v>451</v>
      </c>
      <c r="B403">
        <v>8.2</v>
      </c>
      <c r="C403">
        <v>9.3</v>
      </c>
      <c r="D403">
        <v>8.2</v>
      </c>
      <c r="E403">
        <v>8.8</v>
      </c>
      <c r="F403">
        <v>6.9</v>
      </c>
      <c r="G403">
        <v>6.4</v>
      </c>
      <c r="H403">
        <v>7.7</v>
      </c>
      <c r="I403">
        <v>7.2</v>
      </c>
      <c r="J403">
        <v>7.9</v>
      </c>
      <c r="K403">
        <v>5</v>
      </c>
      <c r="L403" s="1"/>
    </row>
    <row r="404" spans="1:12">
      <c r="A404" t="s">
        <v>452</v>
      </c>
      <c r="B404">
        <v>8.7</v>
      </c>
      <c r="C404">
        <v>8.2</v>
      </c>
      <c r="D404">
        <v>9</v>
      </c>
      <c r="E404">
        <v>8</v>
      </c>
      <c r="F404">
        <v>8.5</v>
      </c>
      <c r="G404">
        <v>7</v>
      </c>
      <c r="H404">
        <v>6.6</v>
      </c>
      <c r="I404">
        <v>7.2</v>
      </c>
      <c r="J404">
        <v>6.9</v>
      </c>
      <c r="K404">
        <v>2.3</v>
      </c>
      <c r="L404" s="1"/>
    </row>
    <row r="405" spans="1:12">
      <c r="A405" t="s">
        <v>453</v>
      </c>
      <c r="B405">
        <v>8.5</v>
      </c>
      <c r="C405">
        <v>7.7</v>
      </c>
      <c r="D405">
        <v>8.1</v>
      </c>
      <c r="E405">
        <v>7.5</v>
      </c>
      <c r="F405">
        <v>7.5</v>
      </c>
      <c r="G405">
        <v>8.4</v>
      </c>
      <c r="H405">
        <v>7.6</v>
      </c>
      <c r="I405">
        <v>6.4</v>
      </c>
      <c r="J405">
        <v>3.9</v>
      </c>
      <c r="K405">
        <v>4.8</v>
      </c>
      <c r="L405" s="1"/>
    </row>
    <row r="406" spans="1:12">
      <c r="A406" t="s">
        <v>454</v>
      </c>
      <c r="B406">
        <v>8.3</v>
      </c>
      <c r="C406">
        <v>8.1</v>
      </c>
      <c r="D406">
        <v>8.5</v>
      </c>
      <c r="E406">
        <v>7.9</v>
      </c>
      <c r="F406">
        <v>9</v>
      </c>
      <c r="G406">
        <v>6.9</v>
      </c>
      <c r="H406">
        <v>6.7</v>
      </c>
      <c r="I406">
        <v>5.2</v>
      </c>
      <c r="J406">
        <v>5.7</v>
      </c>
      <c r="K406">
        <v>5.8</v>
      </c>
      <c r="L406" s="1"/>
    </row>
    <row r="407" spans="1:12">
      <c r="A407" t="s">
        <v>455</v>
      </c>
      <c r="B407">
        <v>9.4</v>
      </c>
      <c r="C407">
        <v>7.1</v>
      </c>
      <c r="D407">
        <v>8.3</v>
      </c>
      <c r="E407">
        <v>8.9</v>
      </c>
      <c r="F407">
        <v>7.8</v>
      </c>
      <c r="G407">
        <v>7.6</v>
      </c>
      <c r="H407">
        <v>6.9</v>
      </c>
      <c r="I407">
        <v>5.9</v>
      </c>
      <c r="J407">
        <v>4.8</v>
      </c>
      <c r="K407">
        <v>5.3</v>
      </c>
      <c r="L407" s="1"/>
    </row>
    <row r="408" spans="1:12">
      <c r="A408" t="s">
        <v>456</v>
      </c>
      <c r="B408">
        <v>8.2</v>
      </c>
      <c r="C408">
        <v>8.1</v>
      </c>
      <c r="D408">
        <v>7.8</v>
      </c>
      <c r="E408">
        <v>7.9</v>
      </c>
      <c r="F408">
        <v>8.7</v>
      </c>
      <c r="G408">
        <v>8.5</v>
      </c>
      <c r="H408">
        <v>7.5</v>
      </c>
      <c r="I408">
        <v>5.6</v>
      </c>
      <c r="J408">
        <v>6.3</v>
      </c>
      <c r="K408">
        <v>9.2</v>
      </c>
      <c r="L408" s="1"/>
    </row>
    <row r="409" spans="1:12">
      <c r="A409" t="s">
        <v>457</v>
      </c>
      <c r="B409">
        <v>8.4</v>
      </c>
      <c r="C409">
        <v>8.5</v>
      </c>
      <c r="D409">
        <v>8.8</v>
      </c>
      <c r="E409">
        <v>7.8</v>
      </c>
      <c r="F409">
        <v>7</v>
      </c>
      <c r="G409">
        <v>7.8</v>
      </c>
      <c r="H409">
        <v>8.9</v>
      </c>
      <c r="I409">
        <v>6.4</v>
      </c>
      <c r="J409">
        <v>7.3</v>
      </c>
      <c r="K409">
        <v>6.9</v>
      </c>
      <c r="L409" s="1"/>
    </row>
    <row r="410" spans="1:12">
      <c r="A410" t="s">
        <v>458</v>
      </c>
      <c r="B410">
        <v>8.4</v>
      </c>
      <c r="C410">
        <v>8.4</v>
      </c>
      <c r="D410">
        <v>8</v>
      </c>
      <c r="E410">
        <v>7.8</v>
      </c>
      <c r="F410">
        <v>7.2</v>
      </c>
      <c r="G410">
        <v>6.9</v>
      </c>
      <c r="H410">
        <v>6.7</v>
      </c>
      <c r="I410">
        <v>7.1</v>
      </c>
      <c r="J410">
        <v>6.6</v>
      </c>
      <c r="K410">
        <v>6.1</v>
      </c>
      <c r="L410" s="1"/>
    </row>
    <row r="411" spans="1:12">
      <c r="A411" t="s">
        <v>459</v>
      </c>
      <c r="B411">
        <v>8.4</v>
      </c>
      <c r="C411">
        <v>7.9</v>
      </c>
      <c r="D411">
        <v>7.8</v>
      </c>
      <c r="E411">
        <v>8.7</v>
      </c>
      <c r="F411">
        <v>7.3</v>
      </c>
      <c r="G411">
        <v>7.7</v>
      </c>
      <c r="H411">
        <v>9.2</v>
      </c>
      <c r="I411">
        <v>5.3</v>
      </c>
      <c r="J411">
        <v>8.2</v>
      </c>
      <c r="K411">
        <v>6.3</v>
      </c>
      <c r="L411" s="1"/>
    </row>
    <row r="412" spans="1:12">
      <c r="A412" t="s">
        <v>460</v>
      </c>
      <c r="B412">
        <v>8.9</v>
      </c>
      <c r="C412">
        <v>8.3</v>
      </c>
      <c r="D412">
        <v>7.9</v>
      </c>
      <c r="E412">
        <v>8.1</v>
      </c>
      <c r="F412">
        <v>6.9</v>
      </c>
      <c r="G412">
        <v>7.7</v>
      </c>
      <c r="H412">
        <v>8</v>
      </c>
      <c r="I412">
        <v>7.4</v>
      </c>
      <c r="J412">
        <v>7</v>
      </c>
      <c r="K412">
        <v>6.4</v>
      </c>
      <c r="L412" s="1"/>
    </row>
    <row r="413" spans="1:12">
      <c r="A413" t="s">
        <v>461</v>
      </c>
      <c r="B413">
        <v>8.7</v>
      </c>
      <c r="C413">
        <v>8.4</v>
      </c>
      <c r="D413">
        <v>7.8</v>
      </c>
      <c r="E413">
        <v>8</v>
      </c>
      <c r="F413">
        <v>8.3</v>
      </c>
      <c r="G413">
        <v>9.5</v>
      </c>
      <c r="H413">
        <v>7.6</v>
      </c>
      <c r="I413">
        <v>5.8</v>
      </c>
      <c r="J413">
        <v>9.5</v>
      </c>
      <c r="K413">
        <v>7.8</v>
      </c>
      <c r="L413" s="1"/>
    </row>
    <row r="414" spans="1:12">
      <c r="A414" t="s">
        <v>462</v>
      </c>
      <c r="B414">
        <v>8.5</v>
      </c>
      <c r="C414">
        <v>7.3</v>
      </c>
      <c r="D414">
        <v>8.8</v>
      </c>
      <c r="E414">
        <v>9.2</v>
      </c>
      <c r="F414">
        <v>7.6</v>
      </c>
      <c r="G414">
        <v>7.5</v>
      </c>
      <c r="H414">
        <v>8.1</v>
      </c>
      <c r="I414">
        <v>7</v>
      </c>
      <c r="J414">
        <v>6.1</v>
      </c>
      <c r="K414">
        <v>3.4</v>
      </c>
      <c r="L414" s="1"/>
    </row>
    <row r="415" spans="1:12">
      <c r="A415" t="s">
        <v>463</v>
      </c>
      <c r="B415">
        <v>9.8</v>
      </c>
      <c r="C415">
        <v>9.4</v>
      </c>
      <c r="D415">
        <v>8.4</v>
      </c>
      <c r="E415">
        <v>9.7</v>
      </c>
      <c r="F415">
        <v>8.9</v>
      </c>
      <c r="G415">
        <v>8.7</v>
      </c>
      <c r="H415">
        <v>9.7</v>
      </c>
      <c r="I415">
        <v>8</v>
      </c>
      <c r="J415">
        <v>7.9</v>
      </c>
      <c r="K415">
        <v>5.5</v>
      </c>
      <c r="L415" s="1"/>
    </row>
    <row r="416" spans="1:12">
      <c r="A416" t="s">
        <v>464</v>
      </c>
      <c r="B416">
        <v>9.9</v>
      </c>
      <c r="C416">
        <v>9.9</v>
      </c>
      <c r="D416">
        <v>9.6</v>
      </c>
      <c r="E416">
        <v>8.8</v>
      </c>
      <c r="F416">
        <v>9.9</v>
      </c>
      <c r="G416">
        <v>7.9</v>
      </c>
      <c r="H416">
        <v>8.1</v>
      </c>
      <c r="I416">
        <v>9.9</v>
      </c>
      <c r="J416">
        <v>7.4</v>
      </c>
      <c r="K416">
        <v>5.6</v>
      </c>
      <c r="L416" s="1"/>
    </row>
    <row r="417" spans="1:12">
      <c r="A417" t="s">
        <v>465</v>
      </c>
      <c r="B417">
        <v>9.9</v>
      </c>
      <c r="C417">
        <v>9.3</v>
      </c>
      <c r="D417">
        <v>9.2</v>
      </c>
      <c r="E417">
        <v>8.7</v>
      </c>
      <c r="F417">
        <v>8.2</v>
      </c>
      <c r="G417">
        <v>8.8</v>
      </c>
      <c r="H417">
        <v>7.2</v>
      </c>
      <c r="I417">
        <v>8.1</v>
      </c>
      <c r="J417">
        <v>8.4</v>
      </c>
      <c r="K417">
        <v>6.7</v>
      </c>
      <c r="L417" s="1"/>
    </row>
    <row r="418" spans="1:12">
      <c r="A418" t="s">
        <v>466</v>
      </c>
      <c r="B418">
        <v>9.9</v>
      </c>
      <c r="C418">
        <v>9.7</v>
      </c>
      <c r="D418">
        <v>8.9</v>
      </c>
      <c r="E418">
        <v>9.9</v>
      </c>
      <c r="F418">
        <v>7.8</v>
      </c>
      <c r="G418">
        <v>8.3</v>
      </c>
      <c r="H418">
        <v>9.1</v>
      </c>
      <c r="I418">
        <v>8.9</v>
      </c>
      <c r="J418">
        <v>6.6</v>
      </c>
      <c r="K418">
        <v>7.2</v>
      </c>
      <c r="L418" s="1"/>
    </row>
    <row r="419" spans="1:12">
      <c r="A419" t="s">
        <v>467</v>
      </c>
      <c r="B419">
        <v>7.7</v>
      </c>
      <c r="C419">
        <v>8.8</v>
      </c>
      <c r="D419">
        <v>8.1</v>
      </c>
      <c r="E419">
        <v>7.8</v>
      </c>
      <c r="F419">
        <v>7.8</v>
      </c>
      <c r="G419">
        <v>7.7</v>
      </c>
      <c r="H419">
        <v>6.5</v>
      </c>
      <c r="I419">
        <v>7.6</v>
      </c>
      <c r="J419">
        <v>7.2</v>
      </c>
      <c r="K419">
        <v>5.1</v>
      </c>
      <c r="L419" s="1"/>
    </row>
    <row r="420" spans="1:12">
      <c r="A420" t="s">
        <v>468</v>
      </c>
      <c r="B420">
        <v>8.6</v>
      </c>
      <c r="C420">
        <v>8.8</v>
      </c>
      <c r="D420">
        <v>8</v>
      </c>
      <c r="E420">
        <v>8.2</v>
      </c>
      <c r="F420">
        <v>7.8</v>
      </c>
      <c r="G420">
        <v>7.6</v>
      </c>
      <c r="H420">
        <v>6.4</v>
      </c>
      <c r="I420">
        <v>7.6</v>
      </c>
      <c r="J420">
        <v>7.5</v>
      </c>
      <c r="K420">
        <v>4.4</v>
      </c>
      <c r="L420" s="1"/>
    </row>
    <row r="421" spans="1:12">
      <c r="A421" t="s">
        <v>469</v>
      </c>
      <c r="B421">
        <v>8.9</v>
      </c>
      <c r="C421">
        <v>7.3</v>
      </c>
      <c r="D421">
        <v>8.8</v>
      </c>
      <c r="E421">
        <v>8.4</v>
      </c>
      <c r="F421">
        <v>8.3</v>
      </c>
      <c r="G421">
        <v>8.2</v>
      </c>
      <c r="H421">
        <v>7.5</v>
      </c>
      <c r="I421">
        <v>6.7</v>
      </c>
      <c r="J421">
        <v>6.2</v>
      </c>
      <c r="K421">
        <v>7.1</v>
      </c>
      <c r="L421" s="1"/>
    </row>
    <row r="422" spans="1:12">
      <c r="A422" t="s">
        <v>470</v>
      </c>
      <c r="B422">
        <v>8.2</v>
      </c>
      <c r="C422">
        <v>8.6</v>
      </c>
      <c r="D422">
        <v>7.9</v>
      </c>
      <c r="E422">
        <v>8.5</v>
      </c>
      <c r="F422">
        <v>8.1</v>
      </c>
      <c r="G422">
        <v>8</v>
      </c>
      <c r="H422">
        <v>7.3</v>
      </c>
      <c r="I422">
        <v>8.6</v>
      </c>
      <c r="J422">
        <v>7.5</v>
      </c>
      <c r="K422">
        <v>5.6</v>
      </c>
      <c r="L422" s="1"/>
    </row>
    <row r="423" spans="1:12">
      <c r="A423" t="s">
        <v>471</v>
      </c>
      <c r="B423">
        <v>7.9</v>
      </c>
      <c r="C423">
        <v>8.2</v>
      </c>
      <c r="D423">
        <v>6.9</v>
      </c>
      <c r="E423">
        <v>7.7</v>
      </c>
      <c r="F423">
        <v>8.1</v>
      </c>
      <c r="G423">
        <v>8.4</v>
      </c>
      <c r="H423">
        <v>6.6</v>
      </c>
      <c r="I423">
        <v>7.8</v>
      </c>
      <c r="J423">
        <v>5.4</v>
      </c>
      <c r="K423">
        <v>5.6</v>
      </c>
      <c r="L423" s="1"/>
    </row>
    <row r="424" spans="1:12">
      <c r="A424" t="s">
        <v>472</v>
      </c>
      <c r="B424">
        <v>9.1</v>
      </c>
      <c r="C424">
        <v>7.2</v>
      </c>
      <c r="D424">
        <v>8.9</v>
      </c>
      <c r="E424">
        <v>8.6</v>
      </c>
      <c r="F424">
        <v>7.7</v>
      </c>
      <c r="G424">
        <v>6.7</v>
      </c>
      <c r="H424">
        <v>7.8</v>
      </c>
      <c r="I424">
        <v>7.6</v>
      </c>
      <c r="J424">
        <v>6.8</v>
      </c>
      <c r="K424">
        <v>6.3</v>
      </c>
      <c r="L424" s="1"/>
    </row>
    <row r="425" spans="1:12">
      <c r="A425" t="s">
        <v>473</v>
      </c>
      <c r="B425">
        <v>8.7</v>
      </c>
      <c r="C425">
        <v>7.7</v>
      </c>
      <c r="D425">
        <v>7.5</v>
      </c>
      <c r="E425">
        <v>8</v>
      </c>
      <c r="F425">
        <v>7.5</v>
      </c>
      <c r="G425">
        <v>7.6</v>
      </c>
      <c r="H425">
        <v>8.6</v>
      </c>
      <c r="I425">
        <v>7.4</v>
      </c>
      <c r="J425">
        <v>5.8</v>
      </c>
      <c r="K425">
        <v>6.3</v>
      </c>
      <c r="L425" s="1"/>
    </row>
    <row r="426" spans="1:12">
      <c r="A426" t="s">
        <v>474</v>
      </c>
      <c r="B426">
        <v>9.3</v>
      </c>
      <c r="C426">
        <v>8.4</v>
      </c>
      <c r="D426">
        <v>7.7</v>
      </c>
      <c r="E426">
        <v>7.2</v>
      </c>
      <c r="F426">
        <v>8.2</v>
      </c>
      <c r="G426">
        <v>6.9</v>
      </c>
      <c r="H426">
        <v>7</v>
      </c>
      <c r="I426">
        <v>8.1</v>
      </c>
      <c r="J426">
        <v>6.9</v>
      </c>
      <c r="K426">
        <v>6.3</v>
      </c>
      <c r="L426" s="1"/>
    </row>
    <row r="427" spans="1:12">
      <c r="A427" t="s">
        <v>475</v>
      </c>
      <c r="B427">
        <v>7.8</v>
      </c>
      <c r="C427">
        <v>8.4</v>
      </c>
      <c r="D427">
        <v>8.4</v>
      </c>
      <c r="E427">
        <v>7.8</v>
      </c>
      <c r="F427">
        <v>8.7</v>
      </c>
      <c r="G427">
        <v>8.6</v>
      </c>
      <c r="H427">
        <v>7.8</v>
      </c>
      <c r="I427">
        <v>8</v>
      </c>
      <c r="J427">
        <v>5.1</v>
      </c>
      <c r="K427">
        <v>6.1</v>
      </c>
      <c r="L427" s="1"/>
    </row>
    <row r="428" spans="1:12">
      <c r="A428" t="s">
        <v>476</v>
      </c>
      <c r="B428">
        <v>8.5</v>
      </c>
      <c r="C428">
        <v>8.2</v>
      </c>
      <c r="D428">
        <v>7.7</v>
      </c>
      <c r="E428">
        <v>7.4</v>
      </c>
      <c r="F428">
        <v>8.9</v>
      </c>
      <c r="G428">
        <v>7.2</v>
      </c>
      <c r="H428">
        <v>7.2</v>
      </c>
      <c r="I428">
        <v>8.2</v>
      </c>
      <c r="J428">
        <v>8.7</v>
      </c>
      <c r="K428">
        <v>5.3</v>
      </c>
      <c r="L428" s="1"/>
    </row>
    <row r="429" spans="1:12">
      <c r="A429" t="s">
        <v>477</v>
      </c>
      <c r="B429">
        <v>8.9</v>
      </c>
      <c r="C429">
        <v>8.9</v>
      </c>
      <c r="D429">
        <v>8.2</v>
      </c>
      <c r="E429">
        <v>8</v>
      </c>
      <c r="F429">
        <v>6.9</v>
      </c>
      <c r="G429">
        <v>6.7</v>
      </c>
      <c r="H429">
        <v>6.3</v>
      </c>
      <c r="I429">
        <v>8.2</v>
      </c>
      <c r="J429">
        <v>5.5</v>
      </c>
      <c r="K429">
        <v>6.3</v>
      </c>
      <c r="L429" s="1"/>
    </row>
    <row r="430" spans="1:12">
      <c r="A430" t="s">
        <v>478</v>
      </c>
      <c r="B430">
        <v>8.1</v>
      </c>
      <c r="C430">
        <v>8</v>
      </c>
      <c r="D430">
        <v>8.2</v>
      </c>
      <c r="E430">
        <v>7.8</v>
      </c>
      <c r="F430">
        <v>8.5</v>
      </c>
      <c r="G430">
        <v>7.6</v>
      </c>
      <c r="H430">
        <v>7.5</v>
      </c>
      <c r="I430">
        <v>7.5</v>
      </c>
      <c r="J430">
        <v>6.8</v>
      </c>
      <c r="K430">
        <v>4.3</v>
      </c>
      <c r="L430" s="1"/>
    </row>
    <row r="431" spans="1:12">
      <c r="A431" t="s">
        <v>479</v>
      </c>
      <c r="B431">
        <v>8</v>
      </c>
      <c r="C431">
        <v>8.3</v>
      </c>
      <c r="D431">
        <v>8.6</v>
      </c>
      <c r="E431">
        <v>7.9</v>
      </c>
      <c r="F431">
        <v>7.7</v>
      </c>
      <c r="G431">
        <v>8.6</v>
      </c>
      <c r="H431">
        <v>7.6</v>
      </c>
      <c r="I431">
        <v>7.4</v>
      </c>
      <c r="J431">
        <v>6.6</v>
      </c>
      <c r="K431">
        <v>8.8</v>
      </c>
      <c r="L431" s="1"/>
    </row>
    <row r="432" spans="1:12">
      <c r="A432" t="s">
        <v>480</v>
      </c>
      <c r="B432">
        <v>8.9</v>
      </c>
      <c r="C432">
        <v>9.2</v>
      </c>
      <c r="D432">
        <v>7.8</v>
      </c>
      <c r="E432">
        <v>6.7</v>
      </c>
      <c r="F432">
        <v>7.1</v>
      </c>
      <c r="G432">
        <v>6.3</v>
      </c>
      <c r="H432">
        <v>7.8</v>
      </c>
      <c r="I432">
        <v>6.5</v>
      </c>
      <c r="J432">
        <v>7.6</v>
      </c>
      <c r="K432">
        <v>6</v>
      </c>
      <c r="L432" s="1"/>
    </row>
    <row r="433" spans="1:12">
      <c r="A433" t="s">
        <v>481</v>
      </c>
      <c r="B433">
        <v>8.7</v>
      </c>
      <c r="C433">
        <v>8.7</v>
      </c>
      <c r="D433">
        <v>8.7</v>
      </c>
      <c r="E433">
        <v>8.4</v>
      </c>
      <c r="F433">
        <v>7.5</v>
      </c>
      <c r="G433">
        <v>7</v>
      </c>
      <c r="H433">
        <v>7.8</v>
      </c>
      <c r="I433">
        <v>7.8</v>
      </c>
      <c r="J433">
        <v>7.3</v>
      </c>
      <c r="K433">
        <v>6.2</v>
      </c>
      <c r="L433" s="1"/>
    </row>
    <row r="434" spans="1:12">
      <c r="A434" t="s">
        <v>482</v>
      </c>
      <c r="B434">
        <v>7.9</v>
      </c>
      <c r="C434">
        <v>8.4</v>
      </c>
      <c r="D434">
        <v>7.5</v>
      </c>
      <c r="E434">
        <v>9.2</v>
      </c>
      <c r="F434">
        <v>7.6</v>
      </c>
      <c r="G434">
        <v>8.7</v>
      </c>
      <c r="H434">
        <v>7.5</v>
      </c>
      <c r="I434">
        <v>7.4</v>
      </c>
      <c r="J434">
        <v>6.2</v>
      </c>
      <c r="K434">
        <v>4.5</v>
      </c>
      <c r="L434" s="1"/>
    </row>
    <row r="435" spans="1:12">
      <c r="A435" t="s">
        <v>483</v>
      </c>
      <c r="B435">
        <v>8.9</v>
      </c>
      <c r="C435">
        <v>7.9</v>
      </c>
      <c r="D435">
        <v>8</v>
      </c>
      <c r="E435">
        <v>8.6</v>
      </c>
      <c r="F435">
        <v>7.5</v>
      </c>
      <c r="G435">
        <v>7.5</v>
      </c>
      <c r="H435">
        <v>7.1</v>
      </c>
      <c r="I435">
        <v>7</v>
      </c>
      <c r="J435">
        <v>6.6</v>
      </c>
      <c r="K435">
        <v>3.9</v>
      </c>
      <c r="L435" s="1"/>
    </row>
    <row r="436" spans="1:12">
      <c r="A436" t="s">
        <v>484</v>
      </c>
      <c r="B436">
        <v>8.3</v>
      </c>
      <c r="C436">
        <v>9.4</v>
      </c>
      <c r="D436">
        <v>8.1</v>
      </c>
      <c r="E436">
        <v>8.5</v>
      </c>
      <c r="F436">
        <v>8.9</v>
      </c>
      <c r="G436">
        <v>8.3</v>
      </c>
      <c r="H436">
        <v>5</v>
      </c>
      <c r="I436">
        <v>7.3</v>
      </c>
      <c r="J436">
        <v>5</v>
      </c>
      <c r="K436">
        <v>6.4</v>
      </c>
      <c r="L436" s="1"/>
    </row>
    <row r="437" spans="1:12">
      <c r="A437" t="s">
        <v>485</v>
      </c>
      <c r="B437">
        <v>8.5</v>
      </c>
      <c r="C437">
        <v>8.5</v>
      </c>
      <c r="D437">
        <v>8.4</v>
      </c>
      <c r="E437">
        <v>7.5</v>
      </c>
      <c r="F437">
        <v>6.5</v>
      </c>
      <c r="G437">
        <v>7.6</v>
      </c>
      <c r="H437">
        <v>7.2</v>
      </c>
      <c r="I437">
        <v>6.7</v>
      </c>
      <c r="J437">
        <v>7.1</v>
      </c>
      <c r="K437">
        <v>6.1</v>
      </c>
      <c r="L437" s="1"/>
    </row>
    <row r="438" spans="1:12">
      <c r="A438" t="s">
        <v>486</v>
      </c>
      <c r="B438">
        <v>8</v>
      </c>
      <c r="C438">
        <v>8.5</v>
      </c>
      <c r="D438">
        <v>8.2</v>
      </c>
      <c r="E438">
        <v>8.5</v>
      </c>
      <c r="F438">
        <v>6.7</v>
      </c>
      <c r="G438">
        <v>7.4</v>
      </c>
      <c r="H438">
        <v>7</v>
      </c>
      <c r="I438">
        <v>8.7</v>
      </c>
      <c r="J438">
        <v>6.9</v>
      </c>
      <c r="K438">
        <v>8.1</v>
      </c>
      <c r="L438" s="1"/>
    </row>
    <row r="439" spans="1:12">
      <c r="A439" t="s">
        <v>487</v>
      </c>
      <c r="B439">
        <v>7.5</v>
      </c>
      <c r="C439">
        <v>8.8</v>
      </c>
      <c r="D439">
        <v>8.4</v>
      </c>
      <c r="E439">
        <v>7.8</v>
      </c>
      <c r="F439">
        <v>7.7</v>
      </c>
      <c r="G439">
        <v>6.5</v>
      </c>
      <c r="H439">
        <v>5.1</v>
      </c>
      <c r="I439">
        <v>5</v>
      </c>
      <c r="J439">
        <v>7</v>
      </c>
      <c r="K439">
        <v>6.2</v>
      </c>
      <c r="L439" s="1"/>
    </row>
    <row r="440" spans="1:12">
      <c r="A440" t="s">
        <v>488</v>
      </c>
      <c r="B440">
        <v>8.3</v>
      </c>
      <c r="C440">
        <v>9.1</v>
      </c>
      <c r="D440">
        <v>7.9</v>
      </c>
      <c r="E440">
        <v>9</v>
      </c>
      <c r="F440">
        <v>8.7</v>
      </c>
      <c r="G440">
        <v>6.7</v>
      </c>
      <c r="H440">
        <v>7.4</v>
      </c>
      <c r="I440">
        <v>7.9</v>
      </c>
      <c r="J440">
        <v>4.7</v>
      </c>
      <c r="K440">
        <v>5.5</v>
      </c>
      <c r="L440" s="1"/>
    </row>
    <row r="441" spans="1:12">
      <c r="A441" t="s">
        <v>489</v>
      </c>
      <c r="B441">
        <v>8.2</v>
      </c>
      <c r="C441">
        <v>8.6</v>
      </c>
      <c r="D441">
        <v>8.3</v>
      </c>
      <c r="E441">
        <v>7.2</v>
      </c>
      <c r="F441">
        <v>8.5</v>
      </c>
      <c r="G441">
        <v>8.1</v>
      </c>
      <c r="H441">
        <v>8.6</v>
      </c>
      <c r="I441">
        <v>8.1</v>
      </c>
      <c r="J441">
        <v>7</v>
      </c>
      <c r="K441">
        <v>6</v>
      </c>
      <c r="L441" s="1"/>
    </row>
    <row r="442" spans="1:12">
      <c r="A442" t="s">
        <v>490</v>
      </c>
      <c r="B442">
        <v>7.8</v>
      </c>
      <c r="C442">
        <v>8.3</v>
      </c>
      <c r="D442">
        <v>8</v>
      </c>
      <c r="E442">
        <v>8.4</v>
      </c>
      <c r="F442">
        <v>7.3</v>
      </c>
      <c r="G442">
        <v>8.4</v>
      </c>
      <c r="H442">
        <v>7.9</v>
      </c>
      <c r="I442">
        <v>7.9</v>
      </c>
      <c r="J442">
        <v>7.4</v>
      </c>
      <c r="K442">
        <v>6.2</v>
      </c>
      <c r="L442" s="1"/>
    </row>
    <row r="443" spans="1:12">
      <c r="A443" t="s">
        <v>491</v>
      </c>
      <c r="B443">
        <v>8.6</v>
      </c>
      <c r="C443">
        <v>8.7</v>
      </c>
      <c r="D443">
        <v>7.9</v>
      </c>
      <c r="E443">
        <v>7.8</v>
      </c>
      <c r="F443">
        <v>7.4</v>
      </c>
      <c r="G443">
        <v>7.8</v>
      </c>
      <c r="H443">
        <v>7</v>
      </c>
      <c r="I443">
        <v>5.8</v>
      </c>
      <c r="J443">
        <v>7.9</v>
      </c>
      <c r="K443">
        <v>4.9</v>
      </c>
      <c r="L443" s="1"/>
    </row>
    <row r="444" spans="1:12">
      <c r="A444" t="s">
        <v>492</v>
      </c>
      <c r="B444">
        <v>8</v>
      </c>
      <c r="C444">
        <v>8.6</v>
      </c>
      <c r="D444">
        <v>7.3</v>
      </c>
      <c r="E444">
        <v>7.7</v>
      </c>
      <c r="F444">
        <v>7.4</v>
      </c>
      <c r="G444">
        <v>5.9</v>
      </c>
      <c r="H444">
        <v>6.6</v>
      </c>
      <c r="I444">
        <v>8.3</v>
      </c>
      <c r="J444">
        <v>7</v>
      </c>
      <c r="K444">
        <v>6.5</v>
      </c>
      <c r="L444" s="1"/>
    </row>
    <row r="445" spans="1:12">
      <c r="A445" t="s">
        <v>493</v>
      </c>
      <c r="B445">
        <v>8.1</v>
      </c>
      <c r="C445">
        <v>7.1</v>
      </c>
      <c r="D445">
        <v>7.6</v>
      </c>
      <c r="E445">
        <v>8.9</v>
      </c>
      <c r="F445">
        <v>8.4</v>
      </c>
      <c r="G445">
        <v>8</v>
      </c>
      <c r="H445">
        <v>8.2</v>
      </c>
      <c r="I445">
        <v>7.5</v>
      </c>
      <c r="J445">
        <v>7.1</v>
      </c>
      <c r="K445">
        <v>5.3</v>
      </c>
      <c r="L445" s="1"/>
    </row>
    <row r="446" spans="1:12">
      <c r="A446" t="s">
        <v>494</v>
      </c>
      <c r="B446">
        <v>8.2</v>
      </c>
      <c r="C446">
        <v>8.3</v>
      </c>
      <c r="D446">
        <v>8</v>
      </c>
      <c r="E446">
        <v>9.8</v>
      </c>
      <c r="F446">
        <v>6.8</v>
      </c>
      <c r="G446">
        <v>7</v>
      </c>
      <c r="H446">
        <v>6.4</v>
      </c>
      <c r="I446">
        <v>7.5</v>
      </c>
      <c r="J446">
        <v>7.3</v>
      </c>
      <c r="K446">
        <v>7.1</v>
      </c>
      <c r="L446" s="1"/>
    </row>
    <row r="447" spans="1:12">
      <c r="A447" t="s">
        <v>495</v>
      </c>
      <c r="B447">
        <v>9.5</v>
      </c>
      <c r="C447">
        <v>8.4</v>
      </c>
      <c r="D447">
        <v>8.8</v>
      </c>
      <c r="E447">
        <v>7.5</v>
      </c>
      <c r="F447">
        <v>7.9</v>
      </c>
      <c r="G447">
        <v>7.8</v>
      </c>
      <c r="H447">
        <v>8.1</v>
      </c>
      <c r="I447">
        <v>8</v>
      </c>
      <c r="J447">
        <v>7.1</v>
      </c>
      <c r="K447">
        <v>7.5</v>
      </c>
      <c r="L447" s="1"/>
    </row>
    <row r="448" spans="1:12">
      <c r="A448" t="s">
        <v>496</v>
      </c>
      <c r="B448">
        <v>8.5</v>
      </c>
      <c r="C448">
        <v>8.2</v>
      </c>
      <c r="D448">
        <v>7.7</v>
      </c>
      <c r="E448">
        <v>7</v>
      </c>
      <c r="F448">
        <v>7.8</v>
      </c>
      <c r="G448">
        <v>7.6</v>
      </c>
      <c r="H448">
        <v>6.2</v>
      </c>
      <c r="I448">
        <v>4.7</v>
      </c>
      <c r="J448">
        <v>7.6</v>
      </c>
      <c r="K448">
        <v>4.9</v>
      </c>
      <c r="L448" s="1"/>
    </row>
    <row r="449" spans="1:12">
      <c r="A449" t="s">
        <v>497</v>
      </c>
      <c r="B449">
        <v>9</v>
      </c>
      <c r="C449">
        <v>7.4</v>
      </c>
      <c r="D449">
        <v>7.8</v>
      </c>
      <c r="E449">
        <v>8.8</v>
      </c>
      <c r="F449">
        <v>8.3</v>
      </c>
      <c r="G449">
        <v>8.6</v>
      </c>
      <c r="H449">
        <v>6.5</v>
      </c>
      <c r="I449">
        <v>8.5</v>
      </c>
      <c r="J449">
        <v>6.5</v>
      </c>
      <c r="K449">
        <v>7.3</v>
      </c>
      <c r="L449" s="1"/>
    </row>
    <row r="450" spans="1:12">
      <c r="A450" t="s">
        <v>498</v>
      </c>
      <c r="B450">
        <v>8.7</v>
      </c>
      <c r="C450">
        <v>8.3</v>
      </c>
      <c r="D450">
        <v>8.8</v>
      </c>
      <c r="E450">
        <v>8.3</v>
      </c>
      <c r="F450">
        <v>7.9</v>
      </c>
      <c r="G450">
        <v>8.6</v>
      </c>
      <c r="H450">
        <v>9</v>
      </c>
      <c r="I450">
        <v>6.9</v>
      </c>
      <c r="J450">
        <v>6.5</v>
      </c>
      <c r="K450">
        <v>5.7</v>
      </c>
      <c r="L450" s="1"/>
    </row>
    <row r="451" spans="1:12">
      <c r="A451" t="s">
        <v>499</v>
      </c>
      <c r="B451">
        <v>9.2</v>
      </c>
      <c r="C451">
        <v>7.7</v>
      </c>
      <c r="D451">
        <v>8.9</v>
      </c>
      <c r="E451">
        <v>8.4</v>
      </c>
      <c r="F451">
        <v>7.3</v>
      </c>
      <c r="G451">
        <v>7.2</v>
      </c>
      <c r="H451">
        <v>7.6</v>
      </c>
      <c r="I451">
        <v>8.5</v>
      </c>
      <c r="J451">
        <v>6.6</v>
      </c>
      <c r="K451">
        <v>6.7</v>
      </c>
      <c r="L451" s="1"/>
    </row>
    <row r="452" spans="1:12">
      <c r="A452" t="s">
        <v>500</v>
      </c>
      <c r="B452">
        <v>8.1</v>
      </c>
      <c r="C452">
        <v>9.1</v>
      </c>
      <c r="D452">
        <v>8.6</v>
      </c>
      <c r="E452">
        <v>8.8</v>
      </c>
      <c r="F452">
        <v>8.5</v>
      </c>
      <c r="G452">
        <v>6.7</v>
      </c>
      <c r="H452">
        <v>6.1</v>
      </c>
      <c r="I452">
        <v>8.1</v>
      </c>
      <c r="J452">
        <v>6.9</v>
      </c>
      <c r="K452">
        <v>6.3</v>
      </c>
      <c r="L452" s="1"/>
    </row>
    <row r="453" spans="1:12">
      <c r="A453" t="s">
        <v>501</v>
      </c>
      <c r="B453">
        <v>8.8</v>
      </c>
      <c r="C453">
        <v>9.2</v>
      </c>
      <c r="D453">
        <v>7.9</v>
      </c>
      <c r="E453">
        <v>9.2</v>
      </c>
      <c r="F453">
        <v>8.5</v>
      </c>
      <c r="G453">
        <v>7.1</v>
      </c>
      <c r="H453">
        <v>7.9</v>
      </c>
      <c r="I453">
        <v>8.5</v>
      </c>
      <c r="J453">
        <v>6</v>
      </c>
      <c r="K453">
        <v>8.1</v>
      </c>
      <c r="L453" s="1"/>
    </row>
    <row r="454" spans="1:12">
      <c r="A454" t="s">
        <v>502</v>
      </c>
      <c r="B454">
        <v>8.7</v>
      </c>
      <c r="C454">
        <v>9.3</v>
      </c>
      <c r="D454">
        <v>8.8</v>
      </c>
      <c r="E454">
        <v>9.7</v>
      </c>
      <c r="F454">
        <v>7.3</v>
      </c>
      <c r="G454">
        <v>8.8</v>
      </c>
      <c r="H454">
        <v>8.2</v>
      </c>
      <c r="I454">
        <v>5.1</v>
      </c>
      <c r="J454">
        <v>7.7</v>
      </c>
      <c r="K454">
        <v>6.4</v>
      </c>
      <c r="L454" s="1"/>
    </row>
    <row r="455" spans="1:12">
      <c r="A455" t="s">
        <v>503</v>
      </c>
      <c r="B455">
        <v>8.5</v>
      </c>
      <c r="C455">
        <v>9.4</v>
      </c>
      <c r="D455">
        <v>8.5</v>
      </c>
      <c r="E455">
        <v>8.4</v>
      </c>
      <c r="F455">
        <v>7.9</v>
      </c>
      <c r="G455">
        <v>6.2</v>
      </c>
      <c r="H455">
        <v>6.9</v>
      </c>
      <c r="I455">
        <v>6.7</v>
      </c>
      <c r="J455">
        <v>7.5</v>
      </c>
      <c r="K455">
        <v>4.8</v>
      </c>
      <c r="L455" s="1"/>
    </row>
    <row r="456" spans="1:12">
      <c r="A456" t="s">
        <v>504</v>
      </c>
      <c r="B456">
        <v>9.5</v>
      </c>
      <c r="C456">
        <v>9.6</v>
      </c>
      <c r="D456">
        <v>10</v>
      </c>
      <c r="E456">
        <v>8.7</v>
      </c>
      <c r="F456">
        <v>8.4</v>
      </c>
      <c r="G456">
        <v>7</v>
      </c>
      <c r="H456">
        <v>9.8</v>
      </c>
      <c r="I456">
        <v>8.5</v>
      </c>
      <c r="J456">
        <v>6.7</v>
      </c>
      <c r="K456">
        <v>8.2</v>
      </c>
      <c r="L456" s="1"/>
    </row>
    <row r="457" spans="1:12">
      <c r="A457" t="s">
        <v>505</v>
      </c>
      <c r="B457">
        <v>9.8</v>
      </c>
      <c r="C457">
        <v>8.3</v>
      </c>
      <c r="D457">
        <v>8.6</v>
      </c>
      <c r="E457">
        <v>8.9</v>
      </c>
      <c r="F457">
        <v>8.5</v>
      </c>
      <c r="G457">
        <v>7.6</v>
      </c>
      <c r="H457">
        <v>6.9</v>
      </c>
      <c r="I457">
        <v>8.4</v>
      </c>
      <c r="J457">
        <v>7.3</v>
      </c>
      <c r="K457">
        <v>6.4</v>
      </c>
      <c r="L457" s="1"/>
    </row>
    <row r="458" spans="1:12">
      <c r="A458" t="s">
        <v>506</v>
      </c>
      <c r="B458">
        <v>8</v>
      </c>
      <c r="C458">
        <v>8.2</v>
      </c>
      <c r="D458">
        <v>8.5</v>
      </c>
      <c r="E458">
        <v>8.9</v>
      </c>
      <c r="F458">
        <v>9.1</v>
      </c>
      <c r="G458">
        <v>8.4</v>
      </c>
      <c r="H458">
        <v>7.1</v>
      </c>
      <c r="I458">
        <v>7.1</v>
      </c>
      <c r="J458">
        <v>7.8</v>
      </c>
      <c r="K458">
        <v>6.6</v>
      </c>
      <c r="L458" s="1"/>
    </row>
    <row r="459" spans="1:12">
      <c r="A459" t="s">
        <v>507</v>
      </c>
      <c r="B459">
        <v>9.1</v>
      </c>
      <c r="C459">
        <v>9.6</v>
      </c>
      <c r="D459">
        <v>8.8</v>
      </c>
      <c r="E459">
        <v>8.7</v>
      </c>
      <c r="F459">
        <v>7.3</v>
      </c>
      <c r="G459">
        <v>8.3</v>
      </c>
      <c r="H459">
        <v>7.6</v>
      </c>
      <c r="I459">
        <v>7.9</v>
      </c>
      <c r="J459">
        <v>8.6</v>
      </c>
      <c r="K459">
        <v>8</v>
      </c>
      <c r="L459" s="1"/>
    </row>
    <row r="460" spans="1:12">
      <c r="A460" t="s">
        <v>508</v>
      </c>
      <c r="B460">
        <v>8.6</v>
      </c>
      <c r="C460">
        <v>8.9</v>
      </c>
      <c r="D460">
        <v>8.4</v>
      </c>
      <c r="E460">
        <v>8.5</v>
      </c>
      <c r="F460">
        <v>9.1</v>
      </c>
      <c r="G460">
        <v>8.2</v>
      </c>
      <c r="H460">
        <v>7.9</v>
      </c>
      <c r="I460">
        <v>7.8</v>
      </c>
      <c r="J460">
        <v>6.6</v>
      </c>
      <c r="K460">
        <v>8.4</v>
      </c>
      <c r="L460" s="1"/>
    </row>
    <row r="461" spans="1:12">
      <c r="A461" t="s">
        <v>509</v>
      </c>
      <c r="B461">
        <v>7.9</v>
      </c>
      <c r="C461">
        <v>9.2</v>
      </c>
      <c r="D461">
        <v>8.6</v>
      </c>
      <c r="E461">
        <v>8.1</v>
      </c>
      <c r="F461">
        <v>8.5</v>
      </c>
      <c r="G461">
        <v>7.7</v>
      </c>
      <c r="H461">
        <v>9.3</v>
      </c>
      <c r="I461">
        <v>6.2</v>
      </c>
      <c r="J461">
        <v>7</v>
      </c>
      <c r="K461">
        <v>8.5</v>
      </c>
      <c r="L461" s="1"/>
    </row>
    <row r="462" spans="1:12">
      <c r="A462" t="s">
        <v>510</v>
      </c>
      <c r="B462">
        <v>9.4</v>
      </c>
      <c r="C462">
        <v>9.9</v>
      </c>
      <c r="D462">
        <v>10</v>
      </c>
      <c r="E462">
        <v>8.3</v>
      </c>
      <c r="F462">
        <v>8.4</v>
      </c>
      <c r="G462">
        <v>7.6</v>
      </c>
      <c r="H462">
        <v>7.5</v>
      </c>
      <c r="I462">
        <v>6.8</v>
      </c>
      <c r="J462">
        <v>9</v>
      </c>
      <c r="K462">
        <v>8.5</v>
      </c>
      <c r="L462" s="1"/>
    </row>
    <row r="463" spans="1:12">
      <c r="A463" t="s">
        <v>511</v>
      </c>
      <c r="B463">
        <v>9.4</v>
      </c>
      <c r="C463">
        <v>9.5</v>
      </c>
      <c r="D463">
        <v>7.7</v>
      </c>
      <c r="E463">
        <v>8.4</v>
      </c>
      <c r="F463">
        <v>8.5</v>
      </c>
      <c r="G463">
        <v>8.7</v>
      </c>
      <c r="H463">
        <v>8.8</v>
      </c>
      <c r="I463">
        <v>6.7</v>
      </c>
      <c r="J463">
        <v>7.5</v>
      </c>
      <c r="K463">
        <v>7.6</v>
      </c>
      <c r="L463" s="1"/>
    </row>
    <row r="464" spans="1:12">
      <c r="A464" t="s">
        <v>512</v>
      </c>
      <c r="B464">
        <v>9.4</v>
      </c>
      <c r="C464">
        <v>8.4</v>
      </c>
      <c r="D464">
        <v>8.4</v>
      </c>
      <c r="E464">
        <v>9.4</v>
      </c>
      <c r="F464">
        <v>9.8</v>
      </c>
      <c r="G464">
        <v>7.8</v>
      </c>
      <c r="H464">
        <v>9.9</v>
      </c>
      <c r="I464">
        <v>9.2</v>
      </c>
      <c r="J464">
        <v>9.9</v>
      </c>
      <c r="K464">
        <v>6.5</v>
      </c>
      <c r="L464" s="1"/>
    </row>
    <row r="465" spans="1:12">
      <c r="A465" t="s">
        <v>513</v>
      </c>
      <c r="B465">
        <v>8.4</v>
      </c>
      <c r="C465">
        <v>8.1</v>
      </c>
      <c r="D465">
        <v>9.7</v>
      </c>
      <c r="E465">
        <v>8.9</v>
      </c>
      <c r="F465">
        <v>8.6</v>
      </c>
      <c r="G465">
        <v>8.4</v>
      </c>
      <c r="H465">
        <v>8.7</v>
      </c>
      <c r="I465">
        <v>8.8</v>
      </c>
      <c r="J465">
        <v>8.2</v>
      </c>
      <c r="K465">
        <v>5.1</v>
      </c>
      <c r="L465" s="1"/>
    </row>
    <row r="466" spans="1:12">
      <c r="A466" t="s">
        <v>514</v>
      </c>
      <c r="B466">
        <v>9.6</v>
      </c>
      <c r="C466">
        <v>8.3</v>
      </c>
      <c r="D466">
        <v>9.1</v>
      </c>
      <c r="E466">
        <v>9</v>
      </c>
      <c r="F466">
        <v>8.9</v>
      </c>
      <c r="G466">
        <v>9</v>
      </c>
      <c r="H466">
        <v>7.2</v>
      </c>
      <c r="I466">
        <v>7.6</v>
      </c>
      <c r="J466">
        <v>7.7</v>
      </c>
      <c r="K466">
        <v>7.6</v>
      </c>
      <c r="L466" s="1"/>
    </row>
    <row r="467" spans="1:12">
      <c r="A467" t="s">
        <v>515</v>
      </c>
      <c r="B467">
        <v>9.2</v>
      </c>
      <c r="C467">
        <v>9.7</v>
      </c>
      <c r="D467">
        <v>9</v>
      </c>
      <c r="E467">
        <v>8.7</v>
      </c>
      <c r="F467">
        <v>8</v>
      </c>
      <c r="G467">
        <v>7.5</v>
      </c>
      <c r="H467">
        <v>7.3</v>
      </c>
      <c r="I467">
        <v>6.9</v>
      </c>
      <c r="J467">
        <v>8.4</v>
      </c>
      <c r="K467">
        <v>6.8</v>
      </c>
      <c r="L467" s="1"/>
    </row>
    <row r="468" spans="1:12">
      <c r="A468" t="s">
        <v>516</v>
      </c>
      <c r="B468">
        <v>9.9</v>
      </c>
      <c r="C468">
        <v>8.6</v>
      </c>
      <c r="D468">
        <v>8.6</v>
      </c>
      <c r="E468">
        <v>9.1</v>
      </c>
      <c r="F468">
        <v>9.8</v>
      </c>
      <c r="G468">
        <v>8.1</v>
      </c>
      <c r="H468">
        <v>7</v>
      </c>
      <c r="I468">
        <v>8.7</v>
      </c>
      <c r="J468">
        <v>8</v>
      </c>
      <c r="K468">
        <v>8</v>
      </c>
      <c r="L468" s="1"/>
    </row>
    <row r="469" spans="1:12">
      <c r="A469" t="s">
        <v>517</v>
      </c>
      <c r="B469">
        <v>9.9</v>
      </c>
      <c r="C469">
        <v>9.7</v>
      </c>
      <c r="D469">
        <v>9.8</v>
      </c>
      <c r="E469">
        <v>9.7</v>
      </c>
      <c r="F469">
        <v>8.2</v>
      </c>
      <c r="G469">
        <v>9.6</v>
      </c>
      <c r="H469">
        <v>8.7</v>
      </c>
      <c r="I469">
        <v>8.3</v>
      </c>
      <c r="J469">
        <v>9.5</v>
      </c>
      <c r="K469">
        <v>8.8</v>
      </c>
      <c r="L469" s="1"/>
    </row>
    <row r="470" spans="1:12">
      <c r="A470" t="s">
        <v>518</v>
      </c>
      <c r="B470">
        <v>9.9</v>
      </c>
      <c r="C470">
        <v>9.3</v>
      </c>
      <c r="D470">
        <v>9.9</v>
      </c>
      <c r="E470">
        <v>9.9</v>
      </c>
      <c r="F470">
        <v>8.7</v>
      </c>
      <c r="G470">
        <v>9.9</v>
      </c>
      <c r="H470">
        <v>8.7</v>
      </c>
      <c r="I470">
        <v>8.6</v>
      </c>
      <c r="J470">
        <v>8.9</v>
      </c>
      <c r="K470">
        <v>7.2</v>
      </c>
      <c r="L470" s="1"/>
    </row>
    <row r="471" spans="1:12">
      <c r="A471" t="s">
        <v>519</v>
      </c>
      <c r="B471">
        <v>9.9</v>
      </c>
      <c r="C471">
        <v>9.9</v>
      </c>
      <c r="D471">
        <v>9.9</v>
      </c>
      <c r="E471">
        <v>9.9</v>
      </c>
      <c r="F471">
        <v>8.3</v>
      </c>
      <c r="G471">
        <v>8.5</v>
      </c>
      <c r="H471">
        <v>8.9</v>
      </c>
      <c r="I471">
        <v>9.9</v>
      </c>
      <c r="J471">
        <v>9.9</v>
      </c>
      <c r="K471">
        <v>7.9</v>
      </c>
      <c r="L471" s="1"/>
    </row>
    <row r="472" spans="1:12">
      <c r="A472" t="s">
        <v>520</v>
      </c>
      <c r="B472">
        <v>9</v>
      </c>
      <c r="C472">
        <v>8.5</v>
      </c>
      <c r="D472">
        <v>9.4</v>
      </c>
      <c r="E472">
        <v>9.3</v>
      </c>
      <c r="F472">
        <v>9.3</v>
      </c>
      <c r="G472">
        <v>6.9</v>
      </c>
      <c r="H472">
        <v>7.3</v>
      </c>
      <c r="I472">
        <v>6</v>
      </c>
      <c r="J472">
        <v>6.9</v>
      </c>
      <c r="K472">
        <v>5.4</v>
      </c>
      <c r="L472" s="1"/>
    </row>
    <row r="473" spans="1:12">
      <c r="A473" t="s">
        <v>521</v>
      </c>
      <c r="B473">
        <v>8.9</v>
      </c>
      <c r="C473">
        <v>9.3</v>
      </c>
      <c r="D473">
        <v>7.3</v>
      </c>
      <c r="E473">
        <v>8</v>
      </c>
      <c r="F473">
        <v>8.9</v>
      </c>
      <c r="G473">
        <v>9.9</v>
      </c>
      <c r="H473">
        <v>7</v>
      </c>
      <c r="I473">
        <v>6.8</v>
      </c>
      <c r="J473">
        <v>8.1</v>
      </c>
      <c r="K473">
        <v>7.4</v>
      </c>
      <c r="L473" s="1"/>
    </row>
    <row r="474" spans="1:12">
      <c r="A474" t="s">
        <v>522</v>
      </c>
      <c r="B474">
        <v>9.4</v>
      </c>
      <c r="C474">
        <v>9.1</v>
      </c>
      <c r="D474">
        <v>9.4</v>
      </c>
      <c r="E474">
        <v>8.3</v>
      </c>
      <c r="F474">
        <v>8.7</v>
      </c>
      <c r="G474">
        <v>8.5</v>
      </c>
      <c r="H474">
        <v>8.5</v>
      </c>
      <c r="I474">
        <v>8.4</v>
      </c>
      <c r="J474">
        <v>6.8</v>
      </c>
      <c r="K474">
        <v>8.2</v>
      </c>
      <c r="L474" s="1"/>
    </row>
    <row r="475" spans="1:12">
      <c r="A475" t="s">
        <v>523</v>
      </c>
      <c r="B475">
        <v>9.5</v>
      </c>
      <c r="C475">
        <v>9.5</v>
      </c>
      <c r="D475">
        <v>9.1</v>
      </c>
      <c r="E475">
        <v>8.7</v>
      </c>
      <c r="F475">
        <v>8.9</v>
      </c>
      <c r="G475">
        <v>7</v>
      </c>
      <c r="H475">
        <v>6.6</v>
      </c>
      <c r="I475">
        <v>6.6</v>
      </c>
      <c r="J475">
        <v>6.1</v>
      </c>
      <c r="K475">
        <v>6.2</v>
      </c>
      <c r="L475" s="1"/>
    </row>
    <row r="476" spans="1:12">
      <c r="A476" t="s">
        <v>524</v>
      </c>
      <c r="B476">
        <v>8.5</v>
      </c>
      <c r="C476">
        <v>8.4</v>
      </c>
      <c r="D476">
        <v>9.1</v>
      </c>
      <c r="E476">
        <v>9.4</v>
      </c>
      <c r="F476">
        <v>9.5</v>
      </c>
      <c r="G476">
        <v>8.3</v>
      </c>
      <c r="H476">
        <v>5.6</v>
      </c>
      <c r="I476">
        <v>7.7</v>
      </c>
      <c r="J476">
        <v>7.1</v>
      </c>
      <c r="K476">
        <v>8.3</v>
      </c>
      <c r="L476" s="1"/>
    </row>
    <row r="477" spans="1:12">
      <c r="A477" t="s">
        <v>525</v>
      </c>
      <c r="B477">
        <v>8.8</v>
      </c>
      <c r="C477">
        <v>8.8</v>
      </c>
      <c r="D477">
        <v>8.3</v>
      </c>
      <c r="E477">
        <v>7.6</v>
      </c>
      <c r="F477">
        <v>7.9</v>
      </c>
      <c r="G477">
        <v>8.2</v>
      </c>
      <c r="H477">
        <v>7.9</v>
      </c>
      <c r="I477">
        <v>7.1</v>
      </c>
      <c r="J477">
        <v>9.6</v>
      </c>
      <c r="K477">
        <v>5.8</v>
      </c>
      <c r="L477" s="1"/>
    </row>
    <row r="478" spans="1:12">
      <c r="A478" t="s">
        <v>526</v>
      </c>
      <c r="B478">
        <v>9.9</v>
      </c>
      <c r="C478">
        <v>7.6</v>
      </c>
      <c r="D478">
        <v>8.5</v>
      </c>
      <c r="E478">
        <v>8.6</v>
      </c>
      <c r="F478">
        <v>8.1</v>
      </c>
      <c r="G478">
        <v>8.4</v>
      </c>
      <c r="H478">
        <v>7.1</v>
      </c>
      <c r="I478">
        <v>8.5</v>
      </c>
      <c r="J478">
        <v>8</v>
      </c>
      <c r="K478">
        <v>9.3</v>
      </c>
      <c r="L478" s="1"/>
    </row>
    <row r="479" spans="1:12">
      <c r="A479" t="s">
        <v>527</v>
      </c>
      <c r="B479">
        <v>9.7</v>
      </c>
      <c r="C479">
        <v>8.4</v>
      </c>
      <c r="D479">
        <v>8.4</v>
      </c>
      <c r="E479">
        <v>9.5</v>
      </c>
      <c r="F479">
        <v>7.8</v>
      </c>
      <c r="G479">
        <v>7.9</v>
      </c>
      <c r="H479">
        <v>9.6</v>
      </c>
      <c r="I479">
        <v>8</v>
      </c>
      <c r="J479">
        <v>7.4</v>
      </c>
      <c r="K479">
        <v>6.5</v>
      </c>
      <c r="L479" s="1"/>
    </row>
    <row r="480" spans="1:12">
      <c r="A480" t="s">
        <v>528</v>
      </c>
      <c r="B480">
        <v>9.8</v>
      </c>
      <c r="C480">
        <v>9.4</v>
      </c>
      <c r="D480">
        <v>8.2</v>
      </c>
      <c r="E480">
        <v>9.1</v>
      </c>
      <c r="F480">
        <v>6.4</v>
      </c>
      <c r="G480">
        <v>7.9</v>
      </c>
      <c r="H480">
        <v>8.3</v>
      </c>
      <c r="I480">
        <v>8.5</v>
      </c>
      <c r="J480">
        <v>6.7</v>
      </c>
      <c r="K480">
        <v>6.4</v>
      </c>
      <c r="L480" s="1"/>
    </row>
    <row r="481" spans="1:12">
      <c r="A481" t="s">
        <v>529</v>
      </c>
      <c r="B481">
        <v>9.9</v>
      </c>
      <c r="C481">
        <v>8.5</v>
      </c>
      <c r="D481">
        <v>7.8</v>
      </c>
      <c r="E481">
        <v>9.3</v>
      </c>
      <c r="F481">
        <v>7.1</v>
      </c>
      <c r="G481">
        <v>7</v>
      </c>
      <c r="H481">
        <v>8.9</v>
      </c>
      <c r="I481">
        <v>6.2</v>
      </c>
      <c r="J481">
        <v>7.6</v>
      </c>
      <c r="K481">
        <v>6.9</v>
      </c>
      <c r="L481" s="1"/>
    </row>
    <row r="482" spans="1:12">
      <c r="A482" t="s">
        <v>530</v>
      </c>
      <c r="B482">
        <v>9.9</v>
      </c>
      <c r="C482">
        <v>7.8</v>
      </c>
      <c r="D482">
        <v>7.6</v>
      </c>
      <c r="E482">
        <v>8.6</v>
      </c>
      <c r="F482">
        <v>7.9</v>
      </c>
      <c r="G482">
        <v>9.4</v>
      </c>
      <c r="H482">
        <v>6.5</v>
      </c>
      <c r="I482">
        <v>7.1</v>
      </c>
      <c r="J482">
        <v>5.7</v>
      </c>
      <c r="K482">
        <v>5.6</v>
      </c>
      <c r="L482" s="1"/>
    </row>
    <row r="483" spans="1:12">
      <c r="A483" t="s">
        <v>531</v>
      </c>
      <c r="B483">
        <v>9.5</v>
      </c>
      <c r="C483">
        <v>8.8</v>
      </c>
      <c r="D483">
        <v>8.7</v>
      </c>
      <c r="E483">
        <v>8.1</v>
      </c>
      <c r="F483">
        <v>8.4</v>
      </c>
      <c r="G483">
        <v>9</v>
      </c>
      <c r="H483">
        <v>8.6</v>
      </c>
      <c r="I483">
        <v>8.9</v>
      </c>
      <c r="J483">
        <v>6.7</v>
      </c>
      <c r="K483">
        <v>8.1</v>
      </c>
      <c r="L483" s="1"/>
    </row>
    <row r="484" spans="1:12">
      <c r="A484" t="s">
        <v>532</v>
      </c>
      <c r="B484">
        <v>9.4</v>
      </c>
      <c r="C484">
        <v>9.3</v>
      </c>
      <c r="D484">
        <v>8.2</v>
      </c>
      <c r="E484">
        <v>9</v>
      </c>
      <c r="F484">
        <v>7.3</v>
      </c>
      <c r="G484">
        <v>7.8</v>
      </c>
      <c r="H484">
        <v>7.2</v>
      </c>
      <c r="I484">
        <v>6.2</v>
      </c>
      <c r="J484">
        <v>4.9</v>
      </c>
      <c r="K484">
        <v>4.8</v>
      </c>
      <c r="L484" s="1"/>
    </row>
    <row r="485" spans="1:12">
      <c r="A485" t="s">
        <v>533</v>
      </c>
      <c r="B485">
        <v>9.9</v>
      </c>
      <c r="C485">
        <v>9.8</v>
      </c>
      <c r="D485">
        <v>8.8</v>
      </c>
      <c r="E485">
        <v>9.4</v>
      </c>
      <c r="F485">
        <v>9.5</v>
      </c>
      <c r="G485">
        <v>8.2</v>
      </c>
      <c r="H485">
        <v>6.5</v>
      </c>
      <c r="I485">
        <v>7.2</v>
      </c>
      <c r="J485">
        <v>4.9</v>
      </c>
      <c r="K485">
        <v>6.6</v>
      </c>
      <c r="L485" s="1"/>
    </row>
    <row r="486" spans="1:12">
      <c r="A486" t="s">
        <v>534</v>
      </c>
      <c r="B486">
        <v>9</v>
      </c>
      <c r="C486">
        <v>8.8</v>
      </c>
      <c r="D486">
        <v>8.3</v>
      </c>
      <c r="E486">
        <v>9.4</v>
      </c>
      <c r="F486">
        <v>9.3</v>
      </c>
      <c r="G486">
        <v>8.6</v>
      </c>
      <c r="H486">
        <v>9.9</v>
      </c>
      <c r="I486">
        <v>9.3</v>
      </c>
      <c r="J486">
        <v>6.3</v>
      </c>
      <c r="K486">
        <v>5.1</v>
      </c>
      <c r="L486" s="1"/>
    </row>
    <row r="487" spans="1:12">
      <c r="A487" t="s">
        <v>535</v>
      </c>
      <c r="B487">
        <v>9.2</v>
      </c>
      <c r="C487">
        <v>9</v>
      </c>
      <c r="D487">
        <v>8.9</v>
      </c>
      <c r="E487">
        <v>9.2</v>
      </c>
      <c r="F487">
        <v>6.8</v>
      </c>
      <c r="G487">
        <v>9.2</v>
      </c>
      <c r="H487">
        <v>8.4</v>
      </c>
      <c r="I487">
        <v>9.9</v>
      </c>
      <c r="J487">
        <v>6.8</v>
      </c>
      <c r="K487">
        <v>4.1</v>
      </c>
      <c r="L487" s="1"/>
    </row>
    <row r="488" spans="1:12">
      <c r="A488" t="s">
        <v>536</v>
      </c>
      <c r="B488">
        <v>9.2</v>
      </c>
      <c r="C488">
        <v>9.8</v>
      </c>
      <c r="D488">
        <v>8.2</v>
      </c>
      <c r="E488">
        <v>8.5</v>
      </c>
      <c r="F488">
        <v>8.8</v>
      </c>
      <c r="G488">
        <v>6</v>
      </c>
      <c r="H488">
        <v>6.2</v>
      </c>
      <c r="I488">
        <v>8.3</v>
      </c>
      <c r="J488">
        <v>7.7</v>
      </c>
      <c r="K488">
        <v>8</v>
      </c>
      <c r="L488" s="1"/>
    </row>
    <row r="489" spans="1:12">
      <c r="A489" t="s">
        <v>537</v>
      </c>
      <c r="B489">
        <v>8.2</v>
      </c>
      <c r="C489">
        <v>8.5</v>
      </c>
      <c r="D489">
        <v>7.5</v>
      </c>
      <c r="E489">
        <v>8.7</v>
      </c>
      <c r="F489">
        <v>7.4</v>
      </c>
      <c r="G489">
        <v>6.9</v>
      </c>
      <c r="H489">
        <v>6.8</v>
      </c>
      <c r="I489">
        <v>9</v>
      </c>
      <c r="J489">
        <v>8.5</v>
      </c>
      <c r="K489">
        <v>7.4</v>
      </c>
      <c r="L489" s="1"/>
    </row>
    <row r="490" spans="1:12">
      <c r="A490" t="s">
        <v>538</v>
      </c>
      <c r="B490">
        <v>8.9</v>
      </c>
      <c r="C490">
        <v>9.9</v>
      </c>
      <c r="D490">
        <v>8.4</v>
      </c>
      <c r="E490">
        <v>8.6</v>
      </c>
      <c r="F490">
        <v>8.2</v>
      </c>
      <c r="G490">
        <v>9.9</v>
      </c>
      <c r="H490">
        <v>9.6</v>
      </c>
      <c r="I490">
        <v>6.9</v>
      </c>
      <c r="J490">
        <v>7.2</v>
      </c>
      <c r="K490">
        <v>6.8</v>
      </c>
      <c r="L490" s="1"/>
    </row>
    <row r="491" spans="1:12">
      <c r="A491" t="s">
        <v>539</v>
      </c>
      <c r="B491">
        <v>9.9</v>
      </c>
      <c r="C491">
        <v>9.5</v>
      </c>
      <c r="D491">
        <v>9.2</v>
      </c>
      <c r="E491">
        <v>8.9</v>
      </c>
      <c r="F491">
        <v>8.8</v>
      </c>
      <c r="G491">
        <v>7.9</v>
      </c>
      <c r="H491">
        <v>9.5</v>
      </c>
      <c r="I491">
        <v>8.8</v>
      </c>
      <c r="J491">
        <v>5.6</v>
      </c>
      <c r="K491">
        <v>5.6</v>
      </c>
      <c r="L491" s="1"/>
    </row>
    <row r="492" spans="1:12">
      <c r="A492" t="s">
        <v>540</v>
      </c>
      <c r="B492">
        <v>9.1</v>
      </c>
      <c r="C492">
        <v>9.5</v>
      </c>
      <c r="D492">
        <v>8.6</v>
      </c>
      <c r="E492">
        <v>9.7</v>
      </c>
      <c r="F492">
        <v>8.7</v>
      </c>
      <c r="G492">
        <v>7.2</v>
      </c>
      <c r="H492">
        <v>8.9</v>
      </c>
      <c r="I492">
        <v>8</v>
      </c>
      <c r="J492">
        <v>7.5</v>
      </c>
      <c r="K492">
        <v>5.1</v>
      </c>
      <c r="L492" s="1"/>
    </row>
    <row r="493" spans="1:12">
      <c r="A493" t="s">
        <v>541</v>
      </c>
      <c r="B493">
        <v>8.2</v>
      </c>
      <c r="C493">
        <v>9.7</v>
      </c>
      <c r="D493">
        <v>8.8</v>
      </c>
      <c r="E493">
        <v>8.3</v>
      </c>
      <c r="F493">
        <v>7.7</v>
      </c>
      <c r="G493">
        <v>7.7</v>
      </c>
      <c r="H493">
        <v>5.9</v>
      </c>
      <c r="I493">
        <v>7.5</v>
      </c>
      <c r="J493">
        <v>6.4</v>
      </c>
      <c r="K493">
        <v>6</v>
      </c>
      <c r="L493" s="1"/>
    </row>
    <row r="494" spans="1:12">
      <c r="A494" t="s">
        <v>542</v>
      </c>
      <c r="B494">
        <v>9.9</v>
      </c>
      <c r="C494">
        <v>8.9</v>
      </c>
      <c r="D494">
        <v>7.3</v>
      </c>
      <c r="E494">
        <v>8.2</v>
      </c>
      <c r="F494">
        <v>8.1</v>
      </c>
      <c r="G494">
        <v>8.3</v>
      </c>
      <c r="H494">
        <v>7.2</v>
      </c>
      <c r="I494">
        <v>8.8</v>
      </c>
      <c r="J494">
        <v>7.2</v>
      </c>
      <c r="K494">
        <v>7.1</v>
      </c>
      <c r="L494" s="1"/>
    </row>
    <row r="495" spans="1:12">
      <c r="A495" t="s">
        <v>543</v>
      </c>
      <c r="B495">
        <v>9.3</v>
      </c>
      <c r="C495">
        <v>9.6</v>
      </c>
      <c r="D495">
        <v>8</v>
      </c>
      <c r="E495">
        <v>8.4</v>
      </c>
      <c r="F495">
        <v>7.1</v>
      </c>
      <c r="G495">
        <v>6.7</v>
      </c>
      <c r="H495">
        <v>8.6</v>
      </c>
      <c r="I495">
        <v>6.8</v>
      </c>
      <c r="J495">
        <v>6.7</v>
      </c>
      <c r="K495">
        <v>4.8</v>
      </c>
      <c r="L495" s="1"/>
    </row>
    <row r="496" spans="1:12">
      <c r="A496" t="s">
        <v>544</v>
      </c>
      <c r="B496">
        <v>7.9</v>
      </c>
      <c r="C496">
        <v>8.6</v>
      </c>
      <c r="D496">
        <v>9</v>
      </c>
      <c r="E496">
        <v>9.9</v>
      </c>
      <c r="F496">
        <v>7.2</v>
      </c>
      <c r="G496">
        <v>7.8</v>
      </c>
      <c r="H496">
        <v>7.4</v>
      </c>
      <c r="I496">
        <v>6.9</v>
      </c>
      <c r="J496">
        <v>7.6</v>
      </c>
      <c r="K496">
        <v>6.1</v>
      </c>
      <c r="L496" s="1"/>
    </row>
    <row r="497" spans="1:12">
      <c r="A497" t="s">
        <v>545</v>
      </c>
      <c r="B497">
        <v>9.9</v>
      </c>
      <c r="C497">
        <v>9.9</v>
      </c>
      <c r="D497">
        <v>8.3</v>
      </c>
      <c r="E497">
        <v>8.8</v>
      </c>
      <c r="F497">
        <v>7.9</v>
      </c>
      <c r="G497">
        <v>8.6</v>
      </c>
      <c r="H497">
        <v>9.9</v>
      </c>
      <c r="I497">
        <v>9.1</v>
      </c>
      <c r="J497">
        <v>8.1</v>
      </c>
      <c r="K497">
        <v>5.9</v>
      </c>
      <c r="L497" s="1"/>
    </row>
    <row r="498" spans="1:12">
      <c r="A498" t="s">
        <v>546</v>
      </c>
      <c r="B498">
        <v>9.3</v>
      </c>
      <c r="C498">
        <v>9.2</v>
      </c>
      <c r="D498">
        <v>9.9</v>
      </c>
      <c r="E498">
        <v>9.9</v>
      </c>
      <c r="F498">
        <v>8.4</v>
      </c>
      <c r="G498">
        <v>9.2</v>
      </c>
      <c r="H498">
        <v>8.4</v>
      </c>
      <c r="I498">
        <v>9.4</v>
      </c>
      <c r="J498">
        <v>8.2</v>
      </c>
      <c r="K498">
        <v>5.4</v>
      </c>
      <c r="L498" s="1"/>
    </row>
    <row r="499" spans="1:12">
      <c r="A499" t="s">
        <v>547</v>
      </c>
      <c r="B499">
        <v>9.8</v>
      </c>
      <c r="C499">
        <v>9.9</v>
      </c>
      <c r="D499">
        <v>8.2</v>
      </c>
      <c r="E499">
        <v>9.4</v>
      </c>
      <c r="F499">
        <v>8.3</v>
      </c>
      <c r="G499">
        <v>8.1</v>
      </c>
      <c r="H499">
        <v>7.9</v>
      </c>
      <c r="I499">
        <v>7.2</v>
      </c>
      <c r="J499">
        <v>6.6</v>
      </c>
      <c r="K499">
        <v>6.2</v>
      </c>
      <c r="L499" s="1"/>
    </row>
    <row r="500" spans="1:12">
      <c r="A500" t="s">
        <v>548</v>
      </c>
      <c r="B500">
        <v>9.5</v>
      </c>
      <c r="C500">
        <v>9.9</v>
      </c>
      <c r="D500">
        <v>9.4</v>
      </c>
      <c r="E500">
        <v>9.5</v>
      </c>
      <c r="F500">
        <v>7.2</v>
      </c>
      <c r="G500">
        <v>8.2</v>
      </c>
      <c r="H500">
        <v>7.4</v>
      </c>
      <c r="I500">
        <v>8.4</v>
      </c>
      <c r="J500">
        <v>7.3</v>
      </c>
      <c r="K500">
        <v>5.6</v>
      </c>
      <c r="L500" s="1"/>
    </row>
    <row r="501" spans="1:12">
      <c r="A501" t="s">
        <v>549</v>
      </c>
      <c r="B501">
        <v>8.5</v>
      </c>
      <c r="C501">
        <v>9.1</v>
      </c>
      <c r="D501">
        <v>8.2</v>
      </c>
      <c r="E501">
        <v>8</v>
      </c>
      <c r="F501">
        <v>7</v>
      </c>
      <c r="G501">
        <v>9</v>
      </c>
      <c r="H501">
        <v>8.4</v>
      </c>
      <c r="I501">
        <v>6.1</v>
      </c>
      <c r="J501">
        <v>6</v>
      </c>
      <c r="K501">
        <v>4.7</v>
      </c>
      <c r="L501" s="1"/>
    </row>
    <row r="502" spans="1:12">
      <c r="A502" t="s">
        <v>550</v>
      </c>
      <c r="B502">
        <v>8.3</v>
      </c>
      <c r="C502">
        <v>8.3</v>
      </c>
      <c r="D502">
        <v>8.5</v>
      </c>
      <c r="E502">
        <v>7.4</v>
      </c>
      <c r="F502">
        <v>7</v>
      </c>
      <c r="G502">
        <v>6.6</v>
      </c>
      <c r="H502">
        <v>9.3</v>
      </c>
      <c r="I502">
        <v>6.1</v>
      </c>
      <c r="J502">
        <v>7.4</v>
      </c>
      <c r="K502">
        <v>5</v>
      </c>
      <c r="L502" s="1"/>
    </row>
    <row r="503" spans="1:12">
      <c r="A503" t="s">
        <v>551</v>
      </c>
      <c r="B503">
        <v>8.2</v>
      </c>
      <c r="C503">
        <v>7.2</v>
      </c>
      <c r="D503">
        <v>7.3</v>
      </c>
      <c r="E503">
        <v>7.7</v>
      </c>
      <c r="F503">
        <v>6.5</v>
      </c>
      <c r="G503">
        <v>6.8</v>
      </c>
      <c r="H503">
        <v>8.9</v>
      </c>
      <c r="I503">
        <v>6.9</v>
      </c>
      <c r="J503">
        <v>6.8</v>
      </c>
      <c r="K503">
        <v>6.8</v>
      </c>
      <c r="L503" s="1"/>
    </row>
    <row r="504" spans="1:12">
      <c r="A504" t="s">
        <v>552</v>
      </c>
      <c r="B504">
        <v>8.9</v>
      </c>
      <c r="C504">
        <v>8.4</v>
      </c>
      <c r="D504">
        <v>8</v>
      </c>
      <c r="E504">
        <v>8.2</v>
      </c>
      <c r="F504">
        <v>8</v>
      </c>
      <c r="G504">
        <v>6</v>
      </c>
      <c r="H504">
        <v>7.6</v>
      </c>
      <c r="I504">
        <v>6.1</v>
      </c>
      <c r="J504">
        <v>5.2</v>
      </c>
      <c r="K504">
        <v>4.6</v>
      </c>
      <c r="L504" s="1"/>
    </row>
    <row r="505" spans="1:12">
      <c r="A505" t="s">
        <v>553</v>
      </c>
      <c r="B505">
        <v>9.1</v>
      </c>
      <c r="C505">
        <v>8.3</v>
      </c>
      <c r="D505">
        <v>7.9</v>
      </c>
      <c r="E505">
        <v>7.6</v>
      </c>
      <c r="F505">
        <v>6.9</v>
      </c>
      <c r="G505">
        <v>7.1</v>
      </c>
      <c r="H505">
        <v>7.4</v>
      </c>
      <c r="I505">
        <v>6.9</v>
      </c>
      <c r="J505">
        <v>7.8</v>
      </c>
      <c r="K505">
        <v>6.1</v>
      </c>
      <c r="L505" s="1"/>
    </row>
    <row r="506" spans="1:12">
      <c r="A506" t="s">
        <v>554</v>
      </c>
      <c r="B506">
        <v>8.4</v>
      </c>
      <c r="C506">
        <v>9.2</v>
      </c>
      <c r="D506">
        <v>8.5</v>
      </c>
      <c r="E506">
        <v>7.8</v>
      </c>
      <c r="F506">
        <v>9.8</v>
      </c>
      <c r="G506">
        <v>7.4</v>
      </c>
      <c r="H506">
        <v>6.2</v>
      </c>
      <c r="I506">
        <v>6.4</v>
      </c>
      <c r="J506">
        <v>7.1</v>
      </c>
      <c r="K506">
        <v>6.9</v>
      </c>
      <c r="L506" s="1"/>
    </row>
    <row r="507" spans="1:12">
      <c r="A507" t="s">
        <v>555</v>
      </c>
      <c r="B507">
        <v>8.6</v>
      </c>
      <c r="C507">
        <v>7.3</v>
      </c>
      <c r="D507">
        <v>8.2</v>
      </c>
      <c r="E507">
        <v>7.5</v>
      </c>
      <c r="F507">
        <v>8.1</v>
      </c>
      <c r="G507">
        <v>8.1</v>
      </c>
      <c r="H507">
        <v>7.6</v>
      </c>
      <c r="I507">
        <v>7.2</v>
      </c>
      <c r="J507">
        <v>6.4</v>
      </c>
      <c r="K507">
        <v>6</v>
      </c>
      <c r="L507" s="1"/>
    </row>
    <row r="508" spans="1:12">
      <c r="A508" t="s">
        <v>556</v>
      </c>
      <c r="B508">
        <v>9.3</v>
      </c>
      <c r="C508">
        <v>7.9</v>
      </c>
      <c r="D508">
        <v>7.2</v>
      </c>
      <c r="E508">
        <v>7.4</v>
      </c>
      <c r="F508">
        <v>7.6</v>
      </c>
      <c r="G508">
        <v>6.4</v>
      </c>
      <c r="H508">
        <v>7.6</v>
      </c>
      <c r="I508">
        <v>6.7</v>
      </c>
      <c r="J508">
        <v>7.6</v>
      </c>
      <c r="K508">
        <v>5.8</v>
      </c>
      <c r="L508" s="1"/>
    </row>
    <row r="509" spans="1:12">
      <c r="A509" t="s">
        <v>557</v>
      </c>
      <c r="B509">
        <v>8.4</v>
      </c>
      <c r="C509">
        <v>8</v>
      </c>
      <c r="D509">
        <v>8.3</v>
      </c>
      <c r="E509">
        <v>8</v>
      </c>
      <c r="F509">
        <v>7.2</v>
      </c>
      <c r="G509">
        <v>7</v>
      </c>
      <c r="H509">
        <v>7.9</v>
      </c>
      <c r="I509">
        <v>7.1</v>
      </c>
      <c r="J509">
        <v>7.5</v>
      </c>
      <c r="K509">
        <v>6.3</v>
      </c>
      <c r="L509" s="1"/>
    </row>
    <row r="510" spans="1:12">
      <c r="A510" t="s">
        <v>558</v>
      </c>
      <c r="B510">
        <v>8.5</v>
      </c>
      <c r="C510">
        <v>7.7</v>
      </c>
      <c r="D510">
        <v>8.5</v>
      </c>
      <c r="E510">
        <v>7.8</v>
      </c>
      <c r="F510">
        <v>7.1</v>
      </c>
      <c r="G510">
        <v>8</v>
      </c>
      <c r="H510">
        <v>7.1</v>
      </c>
      <c r="I510">
        <v>4</v>
      </c>
      <c r="J510">
        <v>6.8</v>
      </c>
      <c r="K510">
        <v>7.2</v>
      </c>
      <c r="L510" s="1"/>
    </row>
    <row r="511" spans="1:12">
      <c r="A511" t="s">
        <v>559</v>
      </c>
      <c r="B511">
        <v>9</v>
      </c>
      <c r="C511">
        <v>8</v>
      </c>
      <c r="D511">
        <v>7.8</v>
      </c>
      <c r="E511">
        <v>7.2</v>
      </c>
      <c r="F511">
        <v>7</v>
      </c>
      <c r="G511">
        <v>8.2</v>
      </c>
      <c r="H511">
        <v>6.3</v>
      </c>
      <c r="I511">
        <v>6.2</v>
      </c>
      <c r="J511">
        <v>7.7</v>
      </c>
      <c r="K511">
        <v>4.3</v>
      </c>
      <c r="L511" s="1"/>
    </row>
    <row r="512" spans="1:12">
      <c r="A512" t="s">
        <v>560</v>
      </c>
      <c r="B512">
        <v>8.4</v>
      </c>
      <c r="C512">
        <v>7.9</v>
      </c>
      <c r="D512">
        <v>7.9</v>
      </c>
      <c r="E512">
        <v>7.6</v>
      </c>
      <c r="F512">
        <v>5.8</v>
      </c>
      <c r="G512">
        <v>6.2</v>
      </c>
      <c r="H512">
        <v>7.5</v>
      </c>
      <c r="I512">
        <v>6.2</v>
      </c>
      <c r="J512">
        <v>6.1</v>
      </c>
      <c r="K512">
        <v>7.4</v>
      </c>
      <c r="L512" s="1"/>
    </row>
    <row r="513" spans="1:12">
      <c r="A513" t="s">
        <v>561</v>
      </c>
      <c r="B513">
        <v>9.5</v>
      </c>
      <c r="C513">
        <v>9</v>
      </c>
      <c r="D513">
        <v>9.2</v>
      </c>
      <c r="E513">
        <v>7.4</v>
      </c>
      <c r="F513">
        <v>7.1</v>
      </c>
      <c r="G513">
        <v>7.1</v>
      </c>
      <c r="H513">
        <v>7.7</v>
      </c>
      <c r="I513">
        <v>8.4</v>
      </c>
      <c r="J513">
        <v>6</v>
      </c>
      <c r="K513">
        <v>7</v>
      </c>
      <c r="L513" s="1"/>
    </row>
    <row r="514" spans="1:12">
      <c r="A514" t="s">
        <v>562</v>
      </c>
      <c r="B514">
        <v>8.6</v>
      </c>
      <c r="C514">
        <v>8.1</v>
      </c>
      <c r="D514">
        <v>7.9</v>
      </c>
      <c r="E514">
        <v>8.1</v>
      </c>
      <c r="F514">
        <v>8.9</v>
      </c>
      <c r="G514">
        <v>7.3</v>
      </c>
      <c r="H514">
        <v>8</v>
      </c>
      <c r="I514">
        <v>5.2</v>
      </c>
      <c r="J514">
        <v>7.1</v>
      </c>
      <c r="K514">
        <v>6.1</v>
      </c>
      <c r="L514" s="1"/>
    </row>
    <row r="515" spans="1:12">
      <c r="A515" t="s">
        <v>563</v>
      </c>
      <c r="B515">
        <v>8.9</v>
      </c>
      <c r="C515">
        <v>9</v>
      </c>
      <c r="D515">
        <v>8.3</v>
      </c>
      <c r="E515">
        <v>8.4</v>
      </c>
      <c r="F515">
        <v>6.8</v>
      </c>
      <c r="G515">
        <v>8.1</v>
      </c>
      <c r="H515">
        <v>7.4</v>
      </c>
      <c r="I515">
        <v>7.1</v>
      </c>
      <c r="J515">
        <v>7.3</v>
      </c>
      <c r="K515">
        <v>5.6</v>
      </c>
      <c r="L515" s="1"/>
    </row>
    <row r="516" spans="1:12">
      <c r="A516" t="s">
        <v>564</v>
      </c>
      <c r="B516">
        <v>8.8</v>
      </c>
      <c r="C516">
        <v>8</v>
      </c>
      <c r="D516">
        <v>8.1</v>
      </c>
      <c r="E516">
        <v>7.5</v>
      </c>
      <c r="F516">
        <v>8.4</v>
      </c>
      <c r="G516">
        <v>6.3</v>
      </c>
      <c r="H516">
        <v>7.7</v>
      </c>
      <c r="I516">
        <v>7.6</v>
      </c>
      <c r="J516">
        <v>6.7</v>
      </c>
      <c r="K516">
        <v>4.6</v>
      </c>
      <c r="L516" s="1"/>
    </row>
    <row r="517" spans="1:12">
      <c r="A517" t="s">
        <v>565</v>
      </c>
      <c r="B517">
        <v>8.6</v>
      </c>
      <c r="C517">
        <v>7.8</v>
      </c>
      <c r="D517">
        <v>8.4</v>
      </c>
      <c r="E517">
        <v>8.7</v>
      </c>
      <c r="F517">
        <v>8.1</v>
      </c>
      <c r="G517">
        <v>8</v>
      </c>
      <c r="H517">
        <v>8.2</v>
      </c>
      <c r="I517">
        <v>6.8</v>
      </c>
      <c r="J517">
        <v>7.5</v>
      </c>
      <c r="K517">
        <v>6.5</v>
      </c>
      <c r="L517" s="1"/>
    </row>
    <row r="518" spans="1:12">
      <c r="A518" t="s">
        <v>566</v>
      </c>
      <c r="B518">
        <v>8.8</v>
      </c>
      <c r="C518">
        <v>8.3</v>
      </c>
      <c r="D518">
        <v>8</v>
      </c>
      <c r="E518">
        <v>7.7</v>
      </c>
      <c r="F518">
        <v>7.7</v>
      </c>
      <c r="G518">
        <v>6.7</v>
      </c>
      <c r="H518">
        <v>6.9</v>
      </c>
      <c r="I518">
        <v>6.6</v>
      </c>
      <c r="J518">
        <v>6.2</v>
      </c>
      <c r="K518">
        <v>7.7</v>
      </c>
      <c r="L518" s="1"/>
    </row>
    <row r="519" spans="1:12">
      <c r="A519" t="s">
        <v>567</v>
      </c>
      <c r="B519">
        <v>7.8</v>
      </c>
      <c r="C519">
        <v>7.8</v>
      </c>
      <c r="D519">
        <v>8.7</v>
      </c>
      <c r="E519">
        <v>8.1</v>
      </c>
      <c r="F519">
        <v>7.8</v>
      </c>
      <c r="G519">
        <v>7.2</v>
      </c>
      <c r="H519">
        <v>8.3</v>
      </c>
      <c r="I519">
        <v>6.9</v>
      </c>
      <c r="J519">
        <v>7.7</v>
      </c>
      <c r="K519">
        <v>6.7</v>
      </c>
      <c r="L519" s="1"/>
    </row>
    <row r="520" spans="1:12">
      <c r="A520" t="s">
        <v>568</v>
      </c>
      <c r="B520">
        <v>8.6</v>
      </c>
      <c r="C520">
        <v>9.1</v>
      </c>
      <c r="D520">
        <v>7.7</v>
      </c>
      <c r="E520">
        <v>6.6</v>
      </c>
      <c r="F520">
        <v>8.6</v>
      </c>
      <c r="G520">
        <v>8.3</v>
      </c>
      <c r="H520">
        <v>8.4</v>
      </c>
      <c r="I520">
        <v>7.4</v>
      </c>
      <c r="J520">
        <v>6.4</v>
      </c>
      <c r="K520">
        <v>6.2</v>
      </c>
      <c r="L520" s="1"/>
    </row>
    <row r="521" spans="1:12">
      <c r="A521" t="s">
        <v>569</v>
      </c>
      <c r="B521">
        <v>8.4</v>
      </c>
      <c r="C521">
        <v>8.5</v>
      </c>
      <c r="D521">
        <v>8.9</v>
      </c>
      <c r="E521">
        <v>7.9</v>
      </c>
      <c r="F521">
        <v>7.5</v>
      </c>
      <c r="G521">
        <v>7.8</v>
      </c>
      <c r="H521">
        <v>6.4</v>
      </c>
      <c r="I521">
        <v>5</v>
      </c>
      <c r="J521">
        <v>9</v>
      </c>
      <c r="K521">
        <v>7.1</v>
      </c>
      <c r="L521" s="1"/>
    </row>
    <row r="522" spans="1:12">
      <c r="A522" t="s">
        <v>570</v>
      </c>
      <c r="B522">
        <v>9.5</v>
      </c>
      <c r="C522">
        <v>8.4</v>
      </c>
      <c r="D522">
        <v>8</v>
      </c>
      <c r="E522">
        <v>8</v>
      </c>
      <c r="F522">
        <v>7.3</v>
      </c>
      <c r="G522">
        <v>7.6</v>
      </c>
      <c r="H522">
        <v>8.5</v>
      </c>
      <c r="I522">
        <v>7.7</v>
      </c>
      <c r="J522">
        <v>8.1</v>
      </c>
      <c r="K522">
        <v>5.7</v>
      </c>
      <c r="L522" s="1"/>
    </row>
    <row r="523" spans="1:12">
      <c r="A523" t="s">
        <v>571</v>
      </c>
      <c r="B523">
        <v>8.9</v>
      </c>
      <c r="C523">
        <v>7.2</v>
      </c>
      <c r="D523">
        <v>8.4</v>
      </c>
      <c r="E523">
        <v>8.9</v>
      </c>
      <c r="F523">
        <v>5.4</v>
      </c>
      <c r="G523">
        <v>7.6</v>
      </c>
      <c r="H523">
        <v>8.2</v>
      </c>
      <c r="I523">
        <v>8.3</v>
      </c>
      <c r="J523">
        <v>9.2</v>
      </c>
      <c r="K523">
        <v>7.5</v>
      </c>
      <c r="L523" s="1"/>
    </row>
    <row r="524" spans="1:12">
      <c r="A524" t="s">
        <v>572</v>
      </c>
      <c r="B524">
        <v>8.6</v>
      </c>
      <c r="C524">
        <v>8</v>
      </c>
      <c r="D524">
        <v>8.3</v>
      </c>
      <c r="E524">
        <v>7.5</v>
      </c>
      <c r="F524">
        <v>5.5</v>
      </c>
      <c r="G524">
        <v>6.6</v>
      </c>
      <c r="H524">
        <v>8.3</v>
      </c>
      <c r="I524">
        <v>6.1</v>
      </c>
      <c r="J524">
        <v>5.9</v>
      </c>
      <c r="K524">
        <v>6.7</v>
      </c>
      <c r="L524" s="1"/>
    </row>
    <row r="525" spans="1:12">
      <c r="A525" t="s">
        <v>573</v>
      </c>
      <c r="B525">
        <v>8.7</v>
      </c>
      <c r="C525">
        <v>8.3</v>
      </c>
      <c r="D525">
        <v>8.3</v>
      </c>
      <c r="E525">
        <v>8</v>
      </c>
      <c r="F525">
        <v>7.1</v>
      </c>
      <c r="G525">
        <v>6.7</v>
      </c>
      <c r="H525">
        <v>7.2</v>
      </c>
      <c r="I525">
        <v>8</v>
      </c>
      <c r="J525">
        <v>7.1</v>
      </c>
      <c r="K525">
        <v>7.2</v>
      </c>
      <c r="L525" s="1"/>
    </row>
    <row r="526" spans="1:12">
      <c r="A526" t="s">
        <v>574</v>
      </c>
      <c r="B526">
        <v>9.9</v>
      </c>
      <c r="C526">
        <v>9.9</v>
      </c>
      <c r="D526">
        <v>9.8</v>
      </c>
      <c r="E526">
        <v>9.6</v>
      </c>
      <c r="F526">
        <v>8</v>
      </c>
      <c r="G526">
        <v>8.1</v>
      </c>
      <c r="H526">
        <v>7.9</v>
      </c>
      <c r="I526">
        <v>8</v>
      </c>
      <c r="J526">
        <v>9.4</v>
      </c>
      <c r="K526">
        <v>5.6</v>
      </c>
      <c r="L526" s="1"/>
    </row>
    <row r="527" spans="1:12">
      <c r="A527" t="s">
        <v>575</v>
      </c>
      <c r="B527">
        <v>9.4</v>
      </c>
      <c r="C527">
        <v>9.9</v>
      </c>
      <c r="D527">
        <v>9</v>
      </c>
      <c r="E527">
        <v>9.9</v>
      </c>
      <c r="F527">
        <v>7.2</v>
      </c>
      <c r="G527">
        <v>9.7</v>
      </c>
      <c r="H527">
        <v>9</v>
      </c>
      <c r="I527">
        <v>9.5</v>
      </c>
      <c r="J527">
        <v>7.1</v>
      </c>
      <c r="K527">
        <v>7</v>
      </c>
      <c r="L527" s="1"/>
    </row>
    <row r="528" spans="1:12">
      <c r="A528" t="s">
        <v>576</v>
      </c>
      <c r="B528">
        <v>9.5</v>
      </c>
      <c r="C528">
        <v>9.1</v>
      </c>
      <c r="D528">
        <v>8.8</v>
      </c>
      <c r="E528">
        <v>9.2</v>
      </c>
      <c r="F528">
        <v>6.4</v>
      </c>
      <c r="G528">
        <v>8.2</v>
      </c>
      <c r="H528">
        <v>8.8</v>
      </c>
      <c r="I528">
        <v>8.3</v>
      </c>
      <c r="J528">
        <v>7.1</v>
      </c>
      <c r="K528">
        <v>7.3</v>
      </c>
      <c r="L528" s="1"/>
    </row>
    <row r="529" spans="1:12">
      <c r="A529" t="s">
        <v>577</v>
      </c>
      <c r="B529">
        <v>9.7</v>
      </c>
      <c r="C529">
        <v>9.2</v>
      </c>
      <c r="D529">
        <v>8.9</v>
      </c>
      <c r="E529">
        <v>9.3</v>
      </c>
      <c r="F529">
        <v>7.3</v>
      </c>
      <c r="G529">
        <v>8.2</v>
      </c>
      <c r="H529">
        <v>8.1</v>
      </c>
      <c r="I529">
        <v>7.9</v>
      </c>
      <c r="J529">
        <v>9.9</v>
      </c>
      <c r="K529">
        <v>7.9</v>
      </c>
      <c r="L529" s="1"/>
    </row>
    <row r="530" spans="1:12">
      <c r="A530" t="s">
        <v>578</v>
      </c>
      <c r="B530">
        <v>8.8</v>
      </c>
      <c r="C530">
        <v>9.3</v>
      </c>
      <c r="D530">
        <v>8.9</v>
      </c>
      <c r="E530">
        <v>9</v>
      </c>
      <c r="F530">
        <v>7.6</v>
      </c>
      <c r="G530">
        <v>9.5</v>
      </c>
      <c r="H530">
        <v>8.8</v>
      </c>
      <c r="I530">
        <v>7.6</v>
      </c>
      <c r="J530">
        <v>7.1</v>
      </c>
      <c r="K530">
        <v>8.6</v>
      </c>
      <c r="L530" s="1"/>
    </row>
    <row r="531" spans="1:12">
      <c r="A531" t="s">
        <v>579</v>
      </c>
      <c r="B531">
        <v>9.9</v>
      </c>
      <c r="C531">
        <v>8.4</v>
      </c>
      <c r="D531">
        <v>9.1</v>
      </c>
      <c r="E531">
        <v>9.5</v>
      </c>
      <c r="F531">
        <v>9.3</v>
      </c>
      <c r="G531">
        <v>8.8</v>
      </c>
      <c r="H531">
        <v>7.4</v>
      </c>
      <c r="I531">
        <v>7.8</v>
      </c>
      <c r="J531">
        <v>8.4</v>
      </c>
      <c r="K531">
        <v>7.5</v>
      </c>
      <c r="L531" s="1"/>
    </row>
    <row r="532" spans="1:12">
      <c r="A532" t="s">
        <v>580</v>
      </c>
      <c r="B532">
        <v>9.9</v>
      </c>
      <c r="C532">
        <v>9.9</v>
      </c>
      <c r="D532">
        <v>9.1</v>
      </c>
      <c r="E532">
        <v>9.5</v>
      </c>
      <c r="F532">
        <v>7.8</v>
      </c>
      <c r="G532">
        <v>9.5</v>
      </c>
      <c r="H532">
        <v>9.9</v>
      </c>
      <c r="I532">
        <v>8</v>
      </c>
      <c r="J532">
        <v>5.6</v>
      </c>
      <c r="K532">
        <v>7.2</v>
      </c>
      <c r="L532" s="1"/>
    </row>
    <row r="533" spans="1:12">
      <c r="A533" t="s">
        <v>581</v>
      </c>
      <c r="B533">
        <v>9</v>
      </c>
      <c r="C533">
        <v>9.9</v>
      </c>
      <c r="D533">
        <v>8.6</v>
      </c>
      <c r="E533">
        <v>9.3</v>
      </c>
      <c r="F533">
        <v>8.2</v>
      </c>
      <c r="G533">
        <v>9.2</v>
      </c>
      <c r="H533">
        <v>9.9</v>
      </c>
      <c r="I533">
        <v>8</v>
      </c>
      <c r="J533">
        <v>8.1</v>
      </c>
      <c r="K533">
        <v>6.2</v>
      </c>
      <c r="L533" s="1"/>
    </row>
    <row r="534" spans="1:12">
      <c r="A534" t="s">
        <v>582</v>
      </c>
      <c r="B534">
        <v>7.8</v>
      </c>
      <c r="C534">
        <v>8.9</v>
      </c>
      <c r="D534">
        <v>8.2</v>
      </c>
      <c r="E534">
        <v>8</v>
      </c>
      <c r="F534">
        <v>7</v>
      </c>
      <c r="G534">
        <v>7.2</v>
      </c>
      <c r="H534">
        <v>6.9</v>
      </c>
      <c r="I534">
        <v>6.9</v>
      </c>
      <c r="J534">
        <v>7.1</v>
      </c>
      <c r="K534">
        <v>5.9</v>
      </c>
      <c r="L534" s="1"/>
    </row>
    <row r="535" spans="1:12">
      <c r="A535" t="s">
        <v>583</v>
      </c>
      <c r="B535">
        <v>8.5</v>
      </c>
      <c r="C535">
        <v>8.2</v>
      </c>
      <c r="D535">
        <v>8.1</v>
      </c>
      <c r="E535">
        <v>8.6</v>
      </c>
      <c r="F535">
        <v>8.6</v>
      </c>
      <c r="G535">
        <v>7.1</v>
      </c>
      <c r="H535">
        <v>6.4</v>
      </c>
      <c r="I535">
        <v>5.6</v>
      </c>
      <c r="J535">
        <v>8.1</v>
      </c>
      <c r="K535">
        <v>5.7</v>
      </c>
      <c r="L535" s="1"/>
    </row>
    <row r="536" spans="1:12">
      <c r="A536" t="s">
        <v>584</v>
      </c>
      <c r="B536">
        <v>8.5</v>
      </c>
      <c r="C536">
        <v>7.9</v>
      </c>
      <c r="D536">
        <v>8.2</v>
      </c>
      <c r="E536">
        <v>8.7</v>
      </c>
      <c r="F536">
        <v>7.4</v>
      </c>
      <c r="G536">
        <v>9</v>
      </c>
      <c r="H536">
        <v>8</v>
      </c>
      <c r="I536">
        <v>7.2</v>
      </c>
      <c r="J536">
        <v>5.3</v>
      </c>
      <c r="K536">
        <v>4.5</v>
      </c>
      <c r="L536" s="1"/>
    </row>
    <row r="537" spans="1:12">
      <c r="A537" t="s">
        <v>585</v>
      </c>
      <c r="B537">
        <v>8.5</v>
      </c>
      <c r="C537">
        <v>7.2</v>
      </c>
      <c r="D537">
        <v>8.9</v>
      </c>
      <c r="E537">
        <v>8.8</v>
      </c>
      <c r="F537">
        <v>7.9</v>
      </c>
      <c r="G537">
        <v>7.4</v>
      </c>
      <c r="H537">
        <v>7.6</v>
      </c>
      <c r="I537">
        <v>8.3</v>
      </c>
      <c r="J537">
        <v>6.7</v>
      </c>
      <c r="K537">
        <v>4.8</v>
      </c>
      <c r="L537" s="1"/>
    </row>
    <row r="538" spans="1:12">
      <c r="A538" t="s">
        <v>586</v>
      </c>
      <c r="B538">
        <v>8.3</v>
      </c>
      <c r="C538">
        <v>7.9</v>
      </c>
      <c r="D538">
        <v>8.3</v>
      </c>
      <c r="E538">
        <v>6.7</v>
      </c>
      <c r="F538">
        <v>8.5</v>
      </c>
      <c r="G538">
        <v>8</v>
      </c>
      <c r="H538">
        <v>7.7</v>
      </c>
      <c r="I538">
        <v>8.5</v>
      </c>
      <c r="J538">
        <v>6.2</v>
      </c>
      <c r="K538">
        <v>8.7</v>
      </c>
      <c r="L538" s="1"/>
    </row>
    <row r="539" spans="1:12">
      <c r="A539" t="s">
        <v>587</v>
      </c>
      <c r="B539">
        <v>8.7</v>
      </c>
      <c r="C539">
        <v>8.1</v>
      </c>
      <c r="D539">
        <v>7.7</v>
      </c>
      <c r="E539">
        <v>9.5</v>
      </c>
      <c r="F539">
        <v>7.8</v>
      </c>
      <c r="G539">
        <v>8.2</v>
      </c>
      <c r="H539">
        <v>6.4</v>
      </c>
      <c r="I539">
        <v>7.6</v>
      </c>
      <c r="J539">
        <v>6.7</v>
      </c>
      <c r="K539">
        <v>8.9</v>
      </c>
      <c r="L539" s="1"/>
    </row>
    <row r="540" spans="1:12">
      <c r="A540" t="s">
        <v>588</v>
      </c>
      <c r="B540">
        <v>8.4</v>
      </c>
      <c r="C540">
        <v>7.9</v>
      </c>
      <c r="D540">
        <v>7.2</v>
      </c>
      <c r="E540">
        <v>8.6</v>
      </c>
      <c r="F540">
        <v>8.1</v>
      </c>
      <c r="G540">
        <v>7.8</v>
      </c>
      <c r="H540">
        <v>6.7</v>
      </c>
      <c r="I540">
        <v>6.1</v>
      </c>
      <c r="J540">
        <v>6</v>
      </c>
      <c r="K540">
        <v>6.9</v>
      </c>
      <c r="L540" s="1"/>
    </row>
    <row r="541" spans="1:12">
      <c r="A541" t="s">
        <v>589</v>
      </c>
      <c r="B541">
        <v>8.4</v>
      </c>
      <c r="C541">
        <v>8.6</v>
      </c>
      <c r="D541">
        <v>8.5</v>
      </c>
      <c r="E541">
        <v>7.4</v>
      </c>
      <c r="F541">
        <v>8.9</v>
      </c>
      <c r="G541">
        <v>7.8</v>
      </c>
      <c r="H541">
        <v>9</v>
      </c>
      <c r="I541">
        <v>6.8</v>
      </c>
      <c r="J541">
        <v>4.9</v>
      </c>
      <c r="K541">
        <v>4.4</v>
      </c>
      <c r="L541" s="1"/>
    </row>
    <row r="542" spans="1:12">
      <c r="A542" t="s">
        <v>590</v>
      </c>
      <c r="B542">
        <v>9.5</v>
      </c>
      <c r="C542">
        <v>8.4</v>
      </c>
      <c r="D542">
        <v>8.6</v>
      </c>
      <c r="E542">
        <v>7.9</v>
      </c>
      <c r="F542">
        <v>8.1</v>
      </c>
      <c r="G542">
        <v>7.8</v>
      </c>
      <c r="H542">
        <v>7.1</v>
      </c>
      <c r="I542">
        <v>7.1</v>
      </c>
      <c r="J542">
        <v>8.5</v>
      </c>
      <c r="K542">
        <v>5.8</v>
      </c>
      <c r="L542" s="1"/>
    </row>
    <row r="543" spans="1:12">
      <c r="A543" t="s">
        <v>591</v>
      </c>
      <c r="B543">
        <v>8.8</v>
      </c>
      <c r="C543">
        <v>8.7</v>
      </c>
      <c r="D543">
        <v>8.3</v>
      </c>
      <c r="E543">
        <v>8.8</v>
      </c>
      <c r="F543">
        <v>7.8</v>
      </c>
      <c r="G543">
        <v>7.9</v>
      </c>
      <c r="H543">
        <v>7.9</v>
      </c>
      <c r="I543">
        <v>7.6</v>
      </c>
      <c r="J543">
        <v>6.4</v>
      </c>
      <c r="K543">
        <v>6.8</v>
      </c>
      <c r="L543" s="1"/>
    </row>
    <row r="544" spans="1:12">
      <c r="A544" t="s">
        <v>592</v>
      </c>
      <c r="B544">
        <v>8.3</v>
      </c>
      <c r="C544">
        <v>8.4</v>
      </c>
      <c r="D544">
        <v>7.6</v>
      </c>
      <c r="E544">
        <v>8.2</v>
      </c>
      <c r="F544">
        <v>8</v>
      </c>
      <c r="G544">
        <v>6.7</v>
      </c>
      <c r="H544">
        <v>7.6</v>
      </c>
      <c r="I544">
        <v>6.4</v>
      </c>
      <c r="J544">
        <v>6.5</v>
      </c>
      <c r="K544">
        <v>6.6</v>
      </c>
      <c r="L544" s="1"/>
    </row>
    <row r="545" spans="1:12">
      <c r="A545" t="s">
        <v>593</v>
      </c>
      <c r="B545">
        <v>9.3</v>
      </c>
      <c r="C545">
        <v>7.8</v>
      </c>
      <c r="D545">
        <v>7.4</v>
      </c>
      <c r="E545">
        <v>7.5</v>
      </c>
      <c r="F545">
        <v>8.4</v>
      </c>
      <c r="G545">
        <v>8.5</v>
      </c>
      <c r="H545">
        <v>7.2</v>
      </c>
      <c r="I545">
        <v>5.4</v>
      </c>
      <c r="J545">
        <v>7.2</v>
      </c>
      <c r="K545">
        <v>5.6</v>
      </c>
      <c r="L545" s="1"/>
    </row>
    <row r="546" spans="1:12">
      <c r="A546" t="s">
        <v>594</v>
      </c>
      <c r="B546">
        <v>7.9</v>
      </c>
      <c r="C546">
        <v>8.3</v>
      </c>
      <c r="D546">
        <v>9.1</v>
      </c>
      <c r="E546">
        <v>7.9</v>
      </c>
      <c r="F546">
        <v>8.1</v>
      </c>
      <c r="G546">
        <v>7.4</v>
      </c>
      <c r="H546">
        <v>8.6</v>
      </c>
      <c r="I546">
        <v>7.3</v>
      </c>
      <c r="J546">
        <v>7.9</v>
      </c>
      <c r="K546">
        <v>6.1</v>
      </c>
      <c r="L546" s="1"/>
    </row>
    <row r="547" spans="1:12">
      <c r="A547" t="s">
        <v>595</v>
      </c>
      <c r="B547">
        <v>8.6</v>
      </c>
      <c r="C547">
        <v>7.6</v>
      </c>
      <c r="D547">
        <v>7</v>
      </c>
      <c r="E547">
        <v>8.5</v>
      </c>
      <c r="F547">
        <v>8</v>
      </c>
      <c r="G547">
        <v>6.8</v>
      </c>
      <c r="H547">
        <v>7.4</v>
      </c>
      <c r="I547">
        <v>7.8</v>
      </c>
      <c r="J547">
        <v>4.4</v>
      </c>
      <c r="K547">
        <v>4.9</v>
      </c>
      <c r="L547" s="1"/>
    </row>
    <row r="548" spans="1:12">
      <c r="A548" t="s">
        <v>596</v>
      </c>
      <c r="B548">
        <v>9.1</v>
      </c>
      <c r="C548">
        <v>8.3</v>
      </c>
      <c r="D548">
        <v>7.9</v>
      </c>
      <c r="E548">
        <v>7.2</v>
      </c>
      <c r="F548">
        <v>8.6</v>
      </c>
      <c r="G548">
        <v>7.5</v>
      </c>
      <c r="H548">
        <v>7.4</v>
      </c>
      <c r="I548">
        <v>5.6</v>
      </c>
      <c r="J548">
        <v>8.5</v>
      </c>
      <c r="K548">
        <v>5.9</v>
      </c>
      <c r="L548" s="1"/>
    </row>
    <row r="549" spans="1:12">
      <c r="A549" t="s">
        <v>597</v>
      </c>
      <c r="B549">
        <v>8.6</v>
      </c>
      <c r="C549">
        <v>8.4</v>
      </c>
      <c r="D549">
        <v>7.7</v>
      </c>
      <c r="E549">
        <v>8.3</v>
      </c>
      <c r="F549">
        <v>7.9</v>
      </c>
      <c r="G549">
        <v>7.1</v>
      </c>
      <c r="H549">
        <v>5.9</v>
      </c>
      <c r="I549">
        <v>6.5</v>
      </c>
      <c r="J549">
        <v>7.4</v>
      </c>
      <c r="K549">
        <v>9</v>
      </c>
      <c r="L549" s="1"/>
    </row>
    <row r="550" spans="1:12">
      <c r="A550" t="s">
        <v>598</v>
      </c>
      <c r="B550">
        <v>8.8</v>
      </c>
      <c r="C550">
        <v>8.5</v>
      </c>
      <c r="D550">
        <v>8.4</v>
      </c>
      <c r="E550">
        <v>7.2</v>
      </c>
      <c r="F550">
        <v>8.2</v>
      </c>
      <c r="G550">
        <v>7.1</v>
      </c>
      <c r="H550">
        <v>8.6</v>
      </c>
      <c r="I550">
        <v>8.1</v>
      </c>
      <c r="J550">
        <v>7.8</v>
      </c>
      <c r="K550">
        <v>6.2</v>
      </c>
      <c r="L550" s="1"/>
    </row>
    <row r="551" spans="1:12">
      <c r="A551" t="s">
        <v>599</v>
      </c>
      <c r="B551">
        <v>8.6</v>
      </c>
      <c r="C551">
        <v>7.6</v>
      </c>
      <c r="D551">
        <v>7.9</v>
      </c>
      <c r="E551">
        <v>8.6</v>
      </c>
      <c r="F551">
        <v>8.2</v>
      </c>
      <c r="G551">
        <v>8.2</v>
      </c>
      <c r="H551">
        <v>5.2</v>
      </c>
      <c r="I551">
        <v>6.6</v>
      </c>
      <c r="J551">
        <v>5.8</v>
      </c>
      <c r="K551">
        <v>7.2</v>
      </c>
      <c r="L551" s="1"/>
    </row>
    <row r="552" spans="1:12">
      <c r="A552" t="s">
        <v>600</v>
      </c>
      <c r="B552">
        <v>8.6</v>
      </c>
      <c r="C552">
        <v>7.9</v>
      </c>
      <c r="D552">
        <v>9</v>
      </c>
      <c r="E552">
        <v>6.4</v>
      </c>
      <c r="F552">
        <v>5.8</v>
      </c>
      <c r="G552">
        <v>6.3</v>
      </c>
      <c r="H552">
        <v>8.3</v>
      </c>
      <c r="I552">
        <v>7.9</v>
      </c>
      <c r="J552">
        <v>8.5</v>
      </c>
      <c r="K552">
        <v>7.8</v>
      </c>
      <c r="L552" s="1"/>
    </row>
    <row r="553" spans="1:12">
      <c r="A553" t="s">
        <v>601</v>
      </c>
      <c r="B553">
        <v>9</v>
      </c>
      <c r="C553">
        <v>8.3</v>
      </c>
      <c r="D553">
        <v>7.6</v>
      </c>
      <c r="E553">
        <v>8.6</v>
      </c>
      <c r="F553">
        <v>7.8</v>
      </c>
      <c r="G553">
        <v>7.5</v>
      </c>
      <c r="H553">
        <v>6.8</v>
      </c>
      <c r="I553">
        <v>8.1</v>
      </c>
      <c r="J553">
        <v>6.1</v>
      </c>
      <c r="K553">
        <v>6.1</v>
      </c>
      <c r="L553" s="1"/>
    </row>
    <row r="554" spans="1:12">
      <c r="A554" t="s">
        <v>602</v>
      </c>
      <c r="B554">
        <v>9.1</v>
      </c>
      <c r="C554">
        <v>7.7</v>
      </c>
      <c r="D554">
        <v>7.3</v>
      </c>
      <c r="E554">
        <v>7.6</v>
      </c>
      <c r="F554">
        <v>8.8</v>
      </c>
      <c r="G554">
        <v>7.9</v>
      </c>
      <c r="H554">
        <v>7</v>
      </c>
      <c r="I554">
        <v>6.8</v>
      </c>
      <c r="J554">
        <v>8</v>
      </c>
      <c r="K554">
        <v>6.1</v>
      </c>
      <c r="L554" s="1"/>
    </row>
    <row r="555" spans="1:12">
      <c r="A555" t="s">
        <v>603</v>
      </c>
      <c r="B555">
        <v>8.5</v>
      </c>
      <c r="C555">
        <v>8.9</v>
      </c>
      <c r="D555">
        <v>8.8</v>
      </c>
      <c r="E555">
        <v>8.8</v>
      </c>
      <c r="F555">
        <v>9.1</v>
      </c>
      <c r="G555">
        <v>7.2</v>
      </c>
      <c r="H555">
        <v>7.8</v>
      </c>
      <c r="I555">
        <v>6.8</v>
      </c>
      <c r="J555">
        <v>6.4</v>
      </c>
      <c r="K555">
        <v>6.2</v>
      </c>
      <c r="L555" s="1"/>
    </row>
    <row r="556" spans="1:12">
      <c r="A556" t="s">
        <v>604</v>
      </c>
      <c r="B556">
        <v>9.5</v>
      </c>
      <c r="C556">
        <v>8.2</v>
      </c>
      <c r="D556">
        <v>8</v>
      </c>
      <c r="E556">
        <v>8.1</v>
      </c>
      <c r="F556">
        <v>7.5</v>
      </c>
      <c r="G556">
        <v>7.7</v>
      </c>
      <c r="H556">
        <v>6.1</v>
      </c>
      <c r="I556">
        <v>8.5</v>
      </c>
      <c r="J556">
        <v>9</v>
      </c>
      <c r="K556">
        <v>5.1</v>
      </c>
      <c r="L556" s="1"/>
    </row>
    <row r="557" spans="1:12">
      <c r="A557" t="s">
        <v>605</v>
      </c>
      <c r="B557">
        <v>9.3</v>
      </c>
      <c r="C557">
        <v>8.4</v>
      </c>
      <c r="D557">
        <v>8.7</v>
      </c>
      <c r="E557">
        <v>8.4</v>
      </c>
      <c r="F557">
        <v>7.5</v>
      </c>
      <c r="G557">
        <v>7.3</v>
      </c>
      <c r="H557">
        <v>6.7</v>
      </c>
      <c r="I557">
        <v>7.3</v>
      </c>
      <c r="J557">
        <v>7</v>
      </c>
      <c r="K557">
        <v>7.6</v>
      </c>
      <c r="L557" s="1"/>
    </row>
    <row r="558" spans="1:12">
      <c r="A558" t="s">
        <v>606</v>
      </c>
      <c r="B558">
        <v>9</v>
      </c>
      <c r="C558">
        <v>8.8</v>
      </c>
      <c r="D558">
        <v>8.3</v>
      </c>
      <c r="E558">
        <v>7.2</v>
      </c>
      <c r="F558">
        <v>6.3</v>
      </c>
      <c r="G558">
        <v>7.1</v>
      </c>
      <c r="H558">
        <v>7</v>
      </c>
      <c r="I558">
        <v>6.8</v>
      </c>
      <c r="J558">
        <v>7.4</v>
      </c>
      <c r="K558">
        <v>5.1</v>
      </c>
      <c r="L558" s="1"/>
    </row>
    <row r="559" spans="1:12">
      <c r="A559" t="s">
        <v>607</v>
      </c>
      <c r="B559">
        <v>8.3</v>
      </c>
      <c r="C559">
        <v>7.9</v>
      </c>
      <c r="D559">
        <v>8.4</v>
      </c>
      <c r="E559">
        <v>8.4</v>
      </c>
      <c r="F559">
        <v>7.9</v>
      </c>
      <c r="G559">
        <v>7.1</v>
      </c>
      <c r="H559">
        <v>7.6</v>
      </c>
      <c r="I559">
        <v>7</v>
      </c>
      <c r="J559">
        <v>6.1</v>
      </c>
      <c r="K559">
        <v>6.6</v>
      </c>
      <c r="L559" s="1"/>
    </row>
    <row r="560" spans="1:12">
      <c r="A560" t="s">
        <v>608</v>
      </c>
      <c r="B560">
        <v>8.3</v>
      </c>
      <c r="C560">
        <v>8.1</v>
      </c>
      <c r="D560">
        <v>7.5</v>
      </c>
      <c r="E560">
        <v>7.4</v>
      </c>
      <c r="F560">
        <v>7</v>
      </c>
      <c r="G560">
        <v>7.6</v>
      </c>
      <c r="H560">
        <v>9.7</v>
      </c>
      <c r="I560">
        <v>6.6</v>
      </c>
      <c r="J560">
        <v>7.4</v>
      </c>
      <c r="K560">
        <v>7.9</v>
      </c>
      <c r="L560" s="1"/>
    </row>
    <row r="561" spans="1:12">
      <c r="A561" t="s">
        <v>609</v>
      </c>
      <c r="B561">
        <v>8.8</v>
      </c>
      <c r="C561">
        <v>8</v>
      </c>
      <c r="D561">
        <v>8.2</v>
      </c>
      <c r="E561">
        <v>8.4</v>
      </c>
      <c r="F561">
        <v>7.4</v>
      </c>
      <c r="G561">
        <v>8</v>
      </c>
      <c r="H561">
        <v>9</v>
      </c>
      <c r="I561">
        <v>5.8</v>
      </c>
      <c r="J561">
        <v>5.2</v>
      </c>
      <c r="K561">
        <v>5.9</v>
      </c>
      <c r="L561" s="1"/>
    </row>
    <row r="562" spans="1:12">
      <c r="A562" t="s">
        <v>610</v>
      </c>
      <c r="B562">
        <v>9.2</v>
      </c>
      <c r="C562">
        <v>9</v>
      </c>
      <c r="D562">
        <v>9</v>
      </c>
      <c r="E562">
        <v>7.8</v>
      </c>
      <c r="F562">
        <v>8.9</v>
      </c>
      <c r="G562">
        <v>7.8</v>
      </c>
      <c r="H562">
        <v>7</v>
      </c>
      <c r="I562">
        <v>6.4</v>
      </c>
      <c r="J562">
        <v>7.6</v>
      </c>
      <c r="K562">
        <v>7.3</v>
      </c>
      <c r="L562" s="1"/>
    </row>
    <row r="563" spans="1:12">
      <c r="A563" t="s">
        <v>611</v>
      </c>
      <c r="B563">
        <v>9.3</v>
      </c>
      <c r="C563">
        <v>9</v>
      </c>
      <c r="D563">
        <v>8.5</v>
      </c>
      <c r="E563">
        <v>7.3</v>
      </c>
      <c r="F563">
        <v>5.9</v>
      </c>
      <c r="G563">
        <v>7.1</v>
      </c>
      <c r="H563">
        <v>6.8</v>
      </c>
      <c r="I563">
        <v>7.6</v>
      </c>
      <c r="J563">
        <v>7.1</v>
      </c>
      <c r="K563">
        <v>7.2</v>
      </c>
      <c r="L563" s="1"/>
    </row>
    <row r="564" spans="1:12">
      <c r="A564" t="s">
        <v>612</v>
      </c>
      <c r="B564">
        <v>9.7</v>
      </c>
      <c r="C564">
        <v>9.6</v>
      </c>
      <c r="D564">
        <v>8.2</v>
      </c>
      <c r="E564">
        <v>8.1</v>
      </c>
      <c r="F564">
        <v>7.1</v>
      </c>
      <c r="G564">
        <v>7</v>
      </c>
      <c r="H564">
        <v>8.4</v>
      </c>
      <c r="I564">
        <v>6.9</v>
      </c>
      <c r="J564">
        <v>7.1</v>
      </c>
      <c r="K564">
        <v>5.5</v>
      </c>
      <c r="L564" s="1"/>
    </row>
    <row r="565" spans="1:12">
      <c r="A565" t="s">
        <v>613</v>
      </c>
      <c r="B565">
        <v>7.7</v>
      </c>
      <c r="C565">
        <v>8.2</v>
      </c>
      <c r="D565">
        <v>8.7</v>
      </c>
      <c r="E565">
        <v>8.5</v>
      </c>
      <c r="F565">
        <v>7.7</v>
      </c>
      <c r="G565">
        <v>6.1</v>
      </c>
      <c r="H565">
        <v>9.3</v>
      </c>
      <c r="I565">
        <v>5.5</v>
      </c>
      <c r="J565">
        <v>6.5</v>
      </c>
      <c r="K565">
        <v>4.9</v>
      </c>
      <c r="L565" s="1"/>
    </row>
    <row r="566" spans="1:12">
      <c r="A566" t="s">
        <v>614</v>
      </c>
      <c r="B566">
        <v>8.6</v>
      </c>
      <c r="C566">
        <v>8.1</v>
      </c>
      <c r="D566">
        <v>8.4</v>
      </c>
      <c r="E566">
        <v>7.7</v>
      </c>
      <c r="F566">
        <v>8.4</v>
      </c>
      <c r="G566">
        <v>7.6</v>
      </c>
      <c r="H566">
        <v>6.7</v>
      </c>
      <c r="I566">
        <v>7.1</v>
      </c>
      <c r="J566">
        <v>6</v>
      </c>
      <c r="K566">
        <v>8.4</v>
      </c>
      <c r="L566" s="1"/>
    </row>
    <row r="567" spans="1:12">
      <c r="A567" t="s">
        <v>615</v>
      </c>
      <c r="B567">
        <v>8.3</v>
      </c>
      <c r="C567">
        <v>8.8</v>
      </c>
      <c r="D567">
        <v>7.5</v>
      </c>
      <c r="E567">
        <v>8</v>
      </c>
      <c r="F567">
        <v>6.2</v>
      </c>
      <c r="G567">
        <v>6.9</v>
      </c>
      <c r="H567">
        <v>7</v>
      </c>
      <c r="I567">
        <v>7.1</v>
      </c>
      <c r="J567">
        <v>6.9</v>
      </c>
      <c r="K567">
        <v>5.3</v>
      </c>
      <c r="L567" s="1"/>
    </row>
    <row r="568" spans="1:12">
      <c r="A568" t="s">
        <v>616</v>
      </c>
      <c r="B568">
        <v>8.7</v>
      </c>
      <c r="C568">
        <v>8.3</v>
      </c>
      <c r="D568">
        <v>7.5</v>
      </c>
      <c r="E568">
        <v>8.8</v>
      </c>
      <c r="F568">
        <v>7.5</v>
      </c>
      <c r="G568">
        <v>8.2</v>
      </c>
      <c r="H568">
        <v>8.3</v>
      </c>
      <c r="I568">
        <v>7.3</v>
      </c>
      <c r="J568">
        <v>6.5</v>
      </c>
      <c r="K568">
        <v>7.5</v>
      </c>
      <c r="L568" s="1"/>
    </row>
    <row r="569" spans="1:12">
      <c r="A569" t="s">
        <v>617</v>
      </c>
      <c r="B569">
        <v>8.2</v>
      </c>
      <c r="C569">
        <v>7.7</v>
      </c>
      <c r="D569">
        <v>8</v>
      </c>
      <c r="E569">
        <v>7.5</v>
      </c>
      <c r="F569">
        <v>6.7</v>
      </c>
      <c r="G569">
        <v>6.4</v>
      </c>
      <c r="H569">
        <v>8.3</v>
      </c>
      <c r="I569">
        <v>7.5</v>
      </c>
      <c r="J569">
        <v>5.8</v>
      </c>
      <c r="K569">
        <v>4.9</v>
      </c>
      <c r="L569" s="1"/>
    </row>
    <row r="570" spans="1:12">
      <c r="A570" t="s">
        <v>618</v>
      </c>
      <c r="B570">
        <v>8.2</v>
      </c>
      <c r="C570">
        <v>7.6</v>
      </c>
      <c r="D570">
        <v>8.1</v>
      </c>
      <c r="E570">
        <v>8.5</v>
      </c>
      <c r="F570">
        <v>6.7</v>
      </c>
      <c r="G570">
        <v>6.2</v>
      </c>
      <c r="H570">
        <v>7</v>
      </c>
      <c r="I570">
        <v>8.1</v>
      </c>
      <c r="J570">
        <v>8.2</v>
      </c>
      <c r="K570">
        <v>5.8</v>
      </c>
      <c r="L570" s="1"/>
    </row>
    <row r="571" spans="1:12">
      <c r="A571" t="s">
        <v>619</v>
      </c>
      <c r="B571">
        <v>8.1</v>
      </c>
      <c r="C571">
        <v>7.9</v>
      </c>
      <c r="D571">
        <v>7.9</v>
      </c>
      <c r="E571">
        <v>8.3</v>
      </c>
      <c r="F571">
        <v>8.9</v>
      </c>
      <c r="G571">
        <v>7.2</v>
      </c>
      <c r="H571">
        <v>5.9</v>
      </c>
      <c r="I571">
        <v>6.9</v>
      </c>
      <c r="J571">
        <v>6.9</v>
      </c>
      <c r="K571">
        <v>8.4</v>
      </c>
      <c r="L571" s="1"/>
    </row>
    <row r="572" spans="1:12">
      <c r="A572" t="s">
        <v>620</v>
      </c>
      <c r="B572">
        <v>9.2</v>
      </c>
      <c r="C572">
        <v>8.2</v>
      </c>
      <c r="D572">
        <v>8.2</v>
      </c>
      <c r="E572">
        <v>8.6</v>
      </c>
      <c r="F572">
        <v>7.2</v>
      </c>
      <c r="G572">
        <v>7.1</v>
      </c>
      <c r="H572">
        <v>8.2</v>
      </c>
      <c r="I572">
        <v>6.1</v>
      </c>
      <c r="J572">
        <v>6.1</v>
      </c>
      <c r="K572">
        <v>5.5</v>
      </c>
      <c r="L572" s="1"/>
    </row>
    <row r="573" spans="1:12">
      <c r="A573" t="s">
        <v>621</v>
      </c>
      <c r="B573">
        <v>8.4</v>
      </c>
      <c r="C573">
        <v>7.6</v>
      </c>
      <c r="D573">
        <v>8.2</v>
      </c>
      <c r="E573">
        <v>8.5</v>
      </c>
      <c r="F573">
        <v>7.9</v>
      </c>
      <c r="G573">
        <v>8.1</v>
      </c>
      <c r="H573">
        <v>6.1</v>
      </c>
      <c r="I573">
        <v>6.5</v>
      </c>
      <c r="J573">
        <v>9.1</v>
      </c>
      <c r="K573">
        <v>6.5</v>
      </c>
      <c r="L573" s="1"/>
    </row>
    <row r="574" spans="1:12">
      <c r="A574" t="s">
        <v>622</v>
      </c>
      <c r="B574">
        <v>7.6</v>
      </c>
      <c r="C574">
        <v>8</v>
      </c>
      <c r="D574">
        <v>7.6</v>
      </c>
      <c r="E574">
        <v>6.9</v>
      </c>
      <c r="F574">
        <v>7</v>
      </c>
      <c r="G574">
        <v>7.8</v>
      </c>
      <c r="H574">
        <v>6.1</v>
      </c>
      <c r="I574">
        <v>6.2</v>
      </c>
      <c r="J574">
        <v>8.2</v>
      </c>
      <c r="K574">
        <v>6</v>
      </c>
      <c r="L574" s="1"/>
    </row>
    <row r="575" spans="1:12">
      <c r="A575" t="s">
        <v>623</v>
      </c>
      <c r="B575">
        <v>8.9</v>
      </c>
      <c r="C575">
        <v>8.4</v>
      </c>
      <c r="D575">
        <v>8</v>
      </c>
      <c r="E575">
        <v>8</v>
      </c>
      <c r="F575">
        <v>8.7</v>
      </c>
      <c r="G575">
        <v>7.6</v>
      </c>
      <c r="H575">
        <v>7.8</v>
      </c>
      <c r="I575">
        <v>6.9</v>
      </c>
      <c r="J575">
        <v>6.9</v>
      </c>
      <c r="K575">
        <v>3.4</v>
      </c>
      <c r="L575" s="1"/>
    </row>
    <row r="576" spans="1:12">
      <c r="A576" t="s">
        <v>624</v>
      </c>
      <c r="B576">
        <v>8.6</v>
      </c>
      <c r="C576">
        <v>8.4</v>
      </c>
      <c r="D576">
        <v>8.8</v>
      </c>
      <c r="E576">
        <v>8.6</v>
      </c>
      <c r="F576">
        <v>8.1</v>
      </c>
      <c r="G576">
        <v>8.7</v>
      </c>
      <c r="H576">
        <v>7.2</v>
      </c>
      <c r="I576">
        <v>6.8</v>
      </c>
      <c r="J576">
        <v>6.6</v>
      </c>
      <c r="K576">
        <v>6.3</v>
      </c>
      <c r="L576" s="1"/>
    </row>
    <row r="577" spans="1:12">
      <c r="A577" t="s">
        <v>625</v>
      </c>
      <c r="B577">
        <v>8.6</v>
      </c>
      <c r="C577">
        <v>8.4</v>
      </c>
      <c r="D577">
        <v>7.9</v>
      </c>
      <c r="E577">
        <v>7.9</v>
      </c>
      <c r="F577">
        <v>7.6</v>
      </c>
      <c r="G577">
        <v>7.3</v>
      </c>
      <c r="H577">
        <v>8.2</v>
      </c>
      <c r="I577">
        <v>7.2</v>
      </c>
      <c r="J577">
        <v>7.5</v>
      </c>
      <c r="K577">
        <v>6.2</v>
      </c>
      <c r="L577" s="1"/>
    </row>
    <row r="578" spans="1:12">
      <c r="A578" t="s">
        <v>626</v>
      </c>
      <c r="B578">
        <v>8</v>
      </c>
      <c r="C578">
        <v>7.4</v>
      </c>
      <c r="D578">
        <v>8.1</v>
      </c>
      <c r="E578">
        <v>8.5</v>
      </c>
      <c r="F578">
        <v>7.8</v>
      </c>
      <c r="G578">
        <v>7.3</v>
      </c>
      <c r="H578">
        <v>7</v>
      </c>
      <c r="I578">
        <v>6</v>
      </c>
      <c r="J578">
        <v>6.5</v>
      </c>
      <c r="K578">
        <v>6</v>
      </c>
      <c r="L578" s="1"/>
    </row>
    <row r="579" spans="1:12">
      <c r="A579" t="s">
        <v>627</v>
      </c>
      <c r="B579">
        <v>9.5</v>
      </c>
      <c r="C579">
        <v>8.8</v>
      </c>
      <c r="D579">
        <v>7.1</v>
      </c>
      <c r="E579">
        <v>7.2</v>
      </c>
      <c r="F579">
        <v>7.4</v>
      </c>
      <c r="G579">
        <v>8.4</v>
      </c>
      <c r="H579">
        <v>7.1</v>
      </c>
      <c r="I579">
        <v>7.3</v>
      </c>
      <c r="J579">
        <v>5.2</v>
      </c>
      <c r="K579">
        <v>5.2</v>
      </c>
      <c r="L579" s="1"/>
    </row>
    <row r="580" spans="1:12">
      <c r="A580" t="s">
        <v>628</v>
      </c>
      <c r="B580">
        <v>8.2</v>
      </c>
      <c r="C580">
        <v>7.2</v>
      </c>
      <c r="D580">
        <v>7.1</v>
      </c>
      <c r="E580">
        <v>9.2</v>
      </c>
      <c r="F580">
        <v>9.6</v>
      </c>
      <c r="G580">
        <v>6.5</v>
      </c>
      <c r="H580">
        <v>5.8</v>
      </c>
      <c r="I580">
        <v>8</v>
      </c>
      <c r="J580">
        <v>7.8</v>
      </c>
      <c r="K580">
        <v>7.9</v>
      </c>
      <c r="L580" s="1"/>
    </row>
    <row r="581" spans="1:12">
      <c r="A581" t="s">
        <v>629</v>
      </c>
      <c r="B581">
        <v>7.9</v>
      </c>
      <c r="C581">
        <v>9.3</v>
      </c>
      <c r="D581">
        <v>7.5</v>
      </c>
      <c r="E581">
        <v>8</v>
      </c>
      <c r="F581">
        <v>7.3</v>
      </c>
      <c r="G581">
        <v>6.7</v>
      </c>
      <c r="H581">
        <v>6.4</v>
      </c>
      <c r="I581">
        <v>6.3</v>
      </c>
      <c r="J581">
        <v>7.1</v>
      </c>
      <c r="K581">
        <v>4.5</v>
      </c>
      <c r="L581" s="1"/>
    </row>
    <row r="582" spans="1:12">
      <c r="A582" t="s">
        <v>630</v>
      </c>
      <c r="B582">
        <v>7.9</v>
      </c>
      <c r="C582">
        <v>7.5</v>
      </c>
      <c r="D582">
        <v>8.8</v>
      </c>
      <c r="E582">
        <v>7.5</v>
      </c>
      <c r="F582">
        <v>8.6</v>
      </c>
      <c r="G582">
        <v>7.1</v>
      </c>
      <c r="H582">
        <v>5.6</v>
      </c>
      <c r="I582">
        <v>6.8</v>
      </c>
      <c r="J582">
        <v>6.3</v>
      </c>
      <c r="K582">
        <v>7.9</v>
      </c>
      <c r="L582" s="1"/>
    </row>
    <row r="583" spans="1:12">
      <c r="A583" t="s">
        <v>631</v>
      </c>
      <c r="B583">
        <v>8.7</v>
      </c>
      <c r="C583">
        <v>8.8</v>
      </c>
      <c r="D583">
        <v>9.1</v>
      </c>
      <c r="E583">
        <v>7.8</v>
      </c>
      <c r="F583">
        <v>5.6</v>
      </c>
      <c r="G583">
        <v>7.5</v>
      </c>
      <c r="H583">
        <v>6.3</v>
      </c>
      <c r="I583">
        <v>6.3</v>
      </c>
      <c r="J583">
        <v>6.5</v>
      </c>
      <c r="K583">
        <v>6.9</v>
      </c>
      <c r="L583" s="1"/>
    </row>
    <row r="584" spans="1:12">
      <c r="A584" t="s">
        <v>632</v>
      </c>
      <c r="B584">
        <v>8.9</v>
      </c>
      <c r="C584">
        <v>8</v>
      </c>
      <c r="D584">
        <v>7.7</v>
      </c>
      <c r="E584">
        <v>8.4</v>
      </c>
      <c r="F584">
        <v>8.1</v>
      </c>
      <c r="G584">
        <v>7.9</v>
      </c>
      <c r="H584">
        <v>7</v>
      </c>
      <c r="I584">
        <v>7.1</v>
      </c>
      <c r="J584">
        <v>6.5</v>
      </c>
      <c r="K584">
        <v>7</v>
      </c>
      <c r="L584" s="1"/>
    </row>
    <row r="585" spans="1:12">
      <c r="A585" t="s">
        <v>633</v>
      </c>
      <c r="B585">
        <v>8</v>
      </c>
      <c r="C585">
        <v>8.1</v>
      </c>
      <c r="D585">
        <v>8.2</v>
      </c>
      <c r="E585">
        <v>8.2</v>
      </c>
      <c r="F585">
        <v>7.1</v>
      </c>
      <c r="G585">
        <v>6.8</v>
      </c>
      <c r="H585">
        <v>7.8</v>
      </c>
      <c r="I585">
        <v>6.3</v>
      </c>
      <c r="J585">
        <v>5.2</v>
      </c>
      <c r="K585">
        <v>6.7</v>
      </c>
      <c r="L585" s="1"/>
    </row>
    <row r="586" spans="1:12">
      <c r="A586" t="s">
        <v>634</v>
      </c>
      <c r="B586">
        <v>7.4</v>
      </c>
      <c r="C586">
        <v>8.1</v>
      </c>
      <c r="D586">
        <v>8.9</v>
      </c>
      <c r="E586">
        <v>8.7</v>
      </c>
      <c r="F586">
        <v>7.3</v>
      </c>
      <c r="G586">
        <v>7.1</v>
      </c>
      <c r="H586">
        <v>8.2</v>
      </c>
      <c r="I586">
        <v>5.7</v>
      </c>
      <c r="J586">
        <v>8</v>
      </c>
      <c r="K586">
        <v>6.1</v>
      </c>
      <c r="L586" s="1"/>
    </row>
    <row r="587" spans="1:12">
      <c r="A587" t="s">
        <v>635</v>
      </c>
      <c r="B587">
        <v>8</v>
      </c>
      <c r="C587">
        <v>6</v>
      </c>
      <c r="D587">
        <v>3</v>
      </c>
      <c r="E587">
        <v>5</v>
      </c>
      <c r="F587">
        <v>6</v>
      </c>
      <c r="G587">
        <v>4</v>
      </c>
      <c r="H587">
        <v>2</v>
      </c>
      <c r="I587">
        <v>6</v>
      </c>
      <c r="J587">
        <v>8</v>
      </c>
      <c r="K587">
        <v>2</v>
      </c>
      <c r="L587" s="1"/>
    </row>
    <row r="588" spans="1:12">
      <c r="A588" t="s">
        <v>636</v>
      </c>
      <c r="B588">
        <v>8.5</v>
      </c>
      <c r="C588">
        <v>8.7</v>
      </c>
      <c r="D588">
        <v>7.9</v>
      </c>
      <c r="E588">
        <v>8.2</v>
      </c>
      <c r="F588">
        <v>9.3</v>
      </c>
      <c r="G588">
        <v>7.4</v>
      </c>
      <c r="H588">
        <v>8.7</v>
      </c>
      <c r="I588">
        <v>6.8</v>
      </c>
      <c r="J588">
        <v>7.4</v>
      </c>
      <c r="K588">
        <v>6.8</v>
      </c>
      <c r="L588" s="1"/>
    </row>
    <row r="589" spans="1:12">
      <c r="A589" t="s">
        <v>637</v>
      </c>
      <c r="B589">
        <v>9.9</v>
      </c>
      <c r="C589">
        <v>8.6</v>
      </c>
      <c r="D589">
        <v>8.2</v>
      </c>
      <c r="E589">
        <v>8.8</v>
      </c>
      <c r="F589">
        <v>7.2</v>
      </c>
      <c r="G589">
        <v>7.3</v>
      </c>
      <c r="H589">
        <v>7.1</v>
      </c>
      <c r="I589">
        <v>8</v>
      </c>
      <c r="J589">
        <v>7.5</v>
      </c>
      <c r="K589">
        <v>6.9</v>
      </c>
      <c r="L589" s="1"/>
    </row>
    <row r="590" spans="1:12">
      <c r="A590" t="s">
        <v>638</v>
      </c>
      <c r="B590">
        <v>8.7</v>
      </c>
      <c r="C590">
        <v>6.9</v>
      </c>
      <c r="D590">
        <v>9.2</v>
      </c>
      <c r="E590">
        <v>8.7</v>
      </c>
      <c r="F590">
        <v>6.1</v>
      </c>
      <c r="G590">
        <v>5.9</v>
      </c>
      <c r="H590">
        <v>7.3</v>
      </c>
      <c r="I590">
        <v>7.6</v>
      </c>
      <c r="J590">
        <v>7.5</v>
      </c>
      <c r="K590">
        <v>7.9</v>
      </c>
      <c r="L590" s="1"/>
    </row>
    <row r="591" spans="1:12">
      <c r="A591" t="s">
        <v>639</v>
      </c>
      <c r="B591">
        <v>9.4</v>
      </c>
      <c r="C591">
        <v>8.7</v>
      </c>
      <c r="D591">
        <v>9</v>
      </c>
      <c r="E591">
        <v>7.4</v>
      </c>
      <c r="F591">
        <v>6.8</v>
      </c>
      <c r="G591">
        <v>6.8</v>
      </c>
      <c r="H591">
        <v>8.6</v>
      </c>
      <c r="I591">
        <v>7.6</v>
      </c>
      <c r="J591">
        <v>6.2</v>
      </c>
      <c r="K591">
        <v>5.9</v>
      </c>
      <c r="L591" s="1"/>
    </row>
    <row r="592" spans="1:12">
      <c r="A592" t="s">
        <v>640</v>
      </c>
      <c r="B592">
        <v>9.8</v>
      </c>
      <c r="C592">
        <v>8.1</v>
      </c>
      <c r="D592">
        <v>8.4</v>
      </c>
      <c r="E592">
        <v>7.1</v>
      </c>
      <c r="F592">
        <v>6.6</v>
      </c>
      <c r="G592">
        <v>8.9</v>
      </c>
      <c r="H592">
        <v>5.8</v>
      </c>
      <c r="I592">
        <v>7.4</v>
      </c>
      <c r="J592">
        <v>7.3</v>
      </c>
      <c r="K592">
        <v>7.4</v>
      </c>
      <c r="L592" s="1"/>
    </row>
    <row r="593" spans="1:12">
      <c r="A593" t="s">
        <v>641</v>
      </c>
      <c r="B593">
        <v>9.3</v>
      </c>
      <c r="C593">
        <v>9</v>
      </c>
      <c r="D593">
        <v>9.3</v>
      </c>
      <c r="E593">
        <v>9.2</v>
      </c>
      <c r="F593">
        <v>9.4</v>
      </c>
      <c r="G593">
        <v>7.6</v>
      </c>
      <c r="H593">
        <v>6.9</v>
      </c>
      <c r="I593">
        <v>7.2</v>
      </c>
      <c r="J593">
        <v>7.1</v>
      </c>
      <c r="K593">
        <v>6.7</v>
      </c>
      <c r="L593" s="1"/>
    </row>
    <row r="594" spans="1:12">
      <c r="A594" t="s">
        <v>642</v>
      </c>
      <c r="B594">
        <v>10</v>
      </c>
      <c r="C594">
        <v>9.5</v>
      </c>
      <c r="D594">
        <v>8.6</v>
      </c>
      <c r="E594">
        <v>9.1</v>
      </c>
      <c r="F594">
        <v>8.1</v>
      </c>
      <c r="G594">
        <v>8.3</v>
      </c>
      <c r="H594">
        <v>6.6</v>
      </c>
      <c r="I594">
        <v>7.9</v>
      </c>
      <c r="J594">
        <v>7.9</v>
      </c>
      <c r="K594">
        <v>8.2</v>
      </c>
      <c r="L594" s="1"/>
    </row>
    <row r="595" spans="1:12">
      <c r="A595" t="s">
        <v>643</v>
      </c>
      <c r="B595">
        <v>9.9</v>
      </c>
      <c r="C595">
        <v>8.2</v>
      </c>
      <c r="D595">
        <v>8.2</v>
      </c>
      <c r="E595">
        <v>7.8</v>
      </c>
      <c r="F595">
        <v>10</v>
      </c>
      <c r="G595">
        <v>8.7</v>
      </c>
      <c r="H595">
        <v>8.2</v>
      </c>
      <c r="I595">
        <v>7.8</v>
      </c>
      <c r="J595">
        <v>6.5</v>
      </c>
      <c r="K595">
        <v>5.9</v>
      </c>
      <c r="L595" s="1"/>
    </row>
    <row r="596" spans="1:12">
      <c r="A596" t="s">
        <v>644</v>
      </c>
      <c r="B596">
        <v>7.9</v>
      </c>
      <c r="C596">
        <v>10</v>
      </c>
      <c r="D596">
        <v>8.5</v>
      </c>
      <c r="E596">
        <v>9</v>
      </c>
      <c r="F596">
        <v>9.3</v>
      </c>
      <c r="G596">
        <v>9.1</v>
      </c>
      <c r="H596">
        <v>7.1</v>
      </c>
      <c r="I596">
        <v>8.2</v>
      </c>
      <c r="J596">
        <v>5</v>
      </c>
      <c r="K596">
        <v>6.1</v>
      </c>
      <c r="L596" s="1"/>
    </row>
    <row r="597" spans="1:12">
      <c r="A597" t="s">
        <v>645</v>
      </c>
      <c r="B597">
        <v>9.1</v>
      </c>
      <c r="C597">
        <v>8.9</v>
      </c>
      <c r="D597">
        <v>9.4</v>
      </c>
      <c r="E597">
        <v>8.5</v>
      </c>
      <c r="F597">
        <v>8.1</v>
      </c>
      <c r="G597">
        <v>8.5</v>
      </c>
      <c r="H597">
        <v>8.3</v>
      </c>
      <c r="I597">
        <v>7.2</v>
      </c>
      <c r="J597">
        <v>8.8</v>
      </c>
      <c r="K597">
        <v>6.4</v>
      </c>
      <c r="L597" s="1"/>
    </row>
    <row r="598" spans="1:12">
      <c r="A598" t="s">
        <v>646</v>
      </c>
      <c r="B598">
        <v>9.1</v>
      </c>
      <c r="C598">
        <v>7.8</v>
      </c>
      <c r="D598">
        <v>9.4</v>
      </c>
      <c r="E598">
        <v>7.7</v>
      </c>
      <c r="F598">
        <v>10</v>
      </c>
      <c r="G598">
        <v>9.2</v>
      </c>
      <c r="H598">
        <v>7.3</v>
      </c>
      <c r="I598">
        <v>8</v>
      </c>
      <c r="J598">
        <v>6.1</v>
      </c>
      <c r="K598">
        <v>5.6</v>
      </c>
      <c r="L598" s="1"/>
    </row>
    <row r="599" spans="1:12">
      <c r="A599" t="s">
        <v>647</v>
      </c>
      <c r="B599">
        <v>9.5</v>
      </c>
      <c r="C599">
        <v>8.9</v>
      </c>
      <c r="D599">
        <v>7.9</v>
      </c>
      <c r="E599">
        <v>7.8</v>
      </c>
      <c r="F599">
        <v>9.9</v>
      </c>
      <c r="G599">
        <v>6.4</v>
      </c>
      <c r="H599">
        <v>7.1</v>
      </c>
      <c r="I599">
        <v>7.8</v>
      </c>
      <c r="J599">
        <v>5</v>
      </c>
      <c r="K599">
        <v>7.3</v>
      </c>
      <c r="L599" s="1"/>
    </row>
    <row r="600" spans="1:12">
      <c r="A600" t="s">
        <v>648</v>
      </c>
      <c r="B600">
        <v>8.7</v>
      </c>
      <c r="C600">
        <v>7.6</v>
      </c>
      <c r="D600">
        <v>9</v>
      </c>
      <c r="E600">
        <v>8.6</v>
      </c>
      <c r="F600">
        <v>7.9</v>
      </c>
      <c r="G600">
        <v>8.4</v>
      </c>
      <c r="H600">
        <v>9</v>
      </c>
      <c r="I600">
        <v>8.2</v>
      </c>
      <c r="J600">
        <v>6.8</v>
      </c>
      <c r="K600">
        <v>7.3</v>
      </c>
      <c r="L600" s="1"/>
    </row>
    <row r="601" spans="1:12">
      <c r="A601" t="s">
        <v>649</v>
      </c>
      <c r="B601">
        <v>9.2</v>
      </c>
      <c r="C601">
        <v>8.7</v>
      </c>
      <c r="D601">
        <v>8.5</v>
      </c>
      <c r="E601">
        <v>7.5</v>
      </c>
      <c r="F601">
        <v>7.7</v>
      </c>
      <c r="G601">
        <v>8.6</v>
      </c>
      <c r="H601">
        <v>5.1</v>
      </c>
      <c r="I601">
        <v>8.3</v>
      </c>
      <c r="J601">
        <v>5.5</v>
      </c>
      <c r="K601">
        <v>5.5</v>
      </c>
      <c r="L601" s="1"/>
    </row>
    <row r="602" spans="1:12">
      <c r="A602" t="s">
        <v>650</v>
      </c>
      <c r="B602">
        <v>8.6</v>
      </c>
      <c r="C602">
        <v>8.5</v>
      </c>
      <c r="D602">
        <v>7.4</v>
      </c>
      <c r="E602">
        <v>8.2</v>
      </c>
      <c r="F602">
        <v>8.7</v>
      </c>
      <c r="G602">
        <v>8.7</v>
      </c>
      <c r="H602">
        <v>6.3</v>
      </c>
      <c r="I602">
        <v>7.2</v>
      </c>
      <c r="J602">
        <v>7.8</v>
      </c>
      <c r="K602">
        <v>6.8</v>
      </c>
      <c r="L602" s="1"/>
    </row>
    <row r="603" spans="1:12">
      <c r="A603" t="s">
        <v>651</v>
      </c>
      <c r="B603">
        <v>8.7</v>
      </c>
      <c r="C603">
        <v>8.1</v>
      </c>
      <c r="D603">
        <v>9.5</v>
      </c>
      <c r="E603">
        <v>9.4</v>
      </c>
      <c r="F603">
        <v>9</v>
      </c>
      <c r="G603">
        <v>6.7</v>
      </c>
      <c r="H603">
        <v>7.2</v>
      </c>
      <c r="I603">
        <v>6.6</v>
      </c>
      <c r="J603">
        <v>5.6</v>
      </c>
      <c r="K603">
        <v>5</v>
      </c>
      <c r="L603" s="1"/>
    </row>
    <row r="604" spans="1:12">
      <c r="A604" t="s">
        <v>652</v>
      </c>
      <c r="B604">
        <v>9.5</v>
      </c>
      <c r="C604">
        <v>9.3</v>
      </c>
      <c r="D604">
        <v>8.6</v>
      </c>
      <c r="E604">
        <v>9</v>
      </c>
      <c r="F604">
        <v>7</v>
      </c>
      <c r="G604">
        <v>8.2</v>
      </c>
      <c r="H604">
        <v>7.6</v>
      </c>
      <c r="I604">
        <v>7.7</v>
      </c>
      <c r="J604">
        <v>5.7</v>
      </c>
      <c r="K604">
        <v>7.2</v>
      </c>
      <c r="L604" s="1"/>
    </row>
    <row r="605" spans="1:12">
      <c r="A605" t="s">
        <v>653</v>
      </c>
      <c r="B605">
        <v>8.3</v>
      </c>
      <c r="C605">
        <v>9</v>
      </c>
      <c r="D605">
        <v>8.1</v>
      </c>
      <c r="E605">
        <v>9.2</v>
      </c>
      <c r="F605">
        <v>7.9</v>
      </c>
      <c r="G605">
        <v>9.3</v>
      </c>
      <c r="H605">
        <v>6.9</v>
      </c>
      <c r="I605">
        <v>4.9</v>
      </c>
      <c r="J605">
        <v>7.3</v>
      </c>
      <c r="K605">
        <v>6.3</v>
      </c>
      <c r="L605" s="1"/>
    </row>
    <row r="606" spans="1:12">
      <c r="A606" t="s">
        <v>654</v>
      </c>
      <c r="B606">
        <v>8</v>
      </c>
      <c r="C606">
        <v>8.5</v>
      </c>
      <c r="D606">
        <v>6.5</v>
      </c>
      <c r="E606">
        <v>8.6</v>
      </c>
      <c r="F606">
        <v>7.7</v>
      </c>
      <c r="G606">
        <v>9</v>
      </c>
      <c r="H606">
        <v>7</v>
      </c>
      <c r="I606">
        <v>9.2</v>
      </c>
      <c r="J606">
        <v>9.6</v>
      </c>
      <c r="K606">
        <v>8.3</v>
      </c>
      <c r="L606" s="1"/>
    </row>
    <row r="607" spans="1:12">
      <c r="A607" t="s">
        <v>655</v>
      </c>
      <c r="B607">
        <v>9.9</v>
      </c>
      <c r="C607">
        <v>9.9</v>
      </c>
      <c r="D607">
        <v>9.9</v>
      </c>
      <c r="E607">
        <v>9.9</v>
      </c>
      <c r="F607">
        <v>9.8</v>
      </c>
      <c r="G607">
        <v>9.7</v>
      </c>
      <c r="H607">
        <v>9.3</v>
      </c>
      <c r="I607">
        <v>9.6</v>
      </c>
      <c r="J607">
        <v>9.2</v>
      </c>
      <c r="K607">
        <v>7.5</v>
      </c>
      <c r="L607" s="1"/>
    </row>
    <row r="608" spans="1:12">
      <c r="A608" t="s">
        <v>656</v>
      </c>
      <c r="B608">
        <v>9.2</v>
      </c>
      <c r="C608">
        <v>9.7</v>
      </c>
      <c r="D608">
        <v>9.6</v>
      </c>
      <c r="E608">
        <v>9.9</v>
      </c>
      <c r="F608">
        <v>9.9</v>
      </c>
      <c r="G608">
        <v>9.9</v>
      </c>
      <c r="H608">
        <v>9.4</v>
      </c>
      <c r="I608">
        <v>9.9</v>
      </c>
      <c r="J608">
        <v>9.6</v>
      </c>
      <c r="K608">
        <v>7.9</v>
      </c>
      <c r="L608" s="1"/>
    </row>
    <row r="609" spans="1:12">
      <c r="A609" t="s">
        <v>657</v>
      </c>
      <c r="B609">
        <v>8.9</v>
      </c>
      <c r="C609">
        <v>7.8</v>
      </c>
      <c r="D609">
        <v>7.8</v>
      </c>
      <c r="E609">
        <v>9.5</v>
      </c>
      <c r="F609">
        <v>9.2</v>
      </c>
      <c r="G609">
        <v>8.6</v>
      </c>
      <c r="H609">
        <v>7.6</v>
      </c>
      <c r="I609">
        <v>6.3</v>
      </c>
      <c r="J609">
        <v>8.4</v>
      </c>
      <c r="K609">
        <v>8</v>
      </c>
      <c r="L609" s="1"/>
    </row>
    <row r="610" spans="1:12">
      <c r="A610" t="s">
        <v>658</v>
      </c>
      <c r="B610">
        <v>8.7</v>
      </c>
      <c r="C610">
        <v>8.9</v>
      </c>
      <c r="D610">
        <v>8.4</v>
      </c>
      <c r="E610">
        <v>8.7</v>
      </c>
      <c r="F610">
        <v>9.5</v>
      </c>
      <c r="G610">
        <v>8</v>
      </c>
      <c r="H610">
        <v>9.1</v>
      </c>
      <c r="I610">
        <v>6.8</v>
      </c>
      <c r="J610">
        <v>8.2</v>
      </c>
      <c r="K610">
        <v>7.2</v>
      </c>
      <c r="L610" s="1"/>
    </row>
    <row r="611" spans="1:12">
      <c r="A611" t="s">
        <v>659</v>
      </c>
      <c r="B611">
        <v>9.4</v>
      </c>
      <c r="C611">
        <v>8.8</v>
      </c>
      <c r="D611">
        <v>8.9</v>
      </c>
      <c r="E611">
        <v>8.9</v>
      </c>
      <c r="F611">
        <v>9.5</v>
      </c>
      <c r="G611">
        <v>8.4</v>
      </c>
      <c r="H611">
        <v>8.3</v>
      </c>
      <c r="I611">
        <v>8</v>
      </c>
      <c r="J611">
        <v>8.9</v>
      </c>
      <c r="K611">
        <v>5.7</v>
      </c>
      <c r="L611" s="1"/>
    </row>
    <row r="612" spans="1:12">
      <c r="A612" t="s">
        <v>660</v>
      </c>
      <c r="B612">
        <v>8.5</v>
      </c>
      <c r="C612">
        <v>9.7</v>
      </c>
      <c r="D612">
        <v>8.5</v>
      </c>
      <c r="E612">
        <v>8.9</v>
      </c>
      <c r="F612">
        <v>6.9</v>
      </c>
      <c r="G612">
        <v>7.8</v>
      </c>
      <c r="H612">
        <v>6.7</v>
      </c>
      <c r="I612">
        <v>7.4</v>
      </c>
      <c r="J612">
        <v>7.2</v>
      </c>
      <c r="K612">
        <v>7.7</v>
      </c>
      <c r="L612" s="1"/>
    </row>
    <row r="613" spans="1:12">
      <c r="A613" t="s">
        <v>661</v>
      </c>
      <c r="B613">
        <v>8.9</v>
      </c>
      <c r="C613">
        <v>9.1</v>
      </c>
      <c r="D613">
        <v>8.2</v>
      </c>
      <c r="E613">
        <v>8.5</v>
      </c>
      <c r="F613">
        <v>7.7</v>
      </c>
      <c r="G613">
        <v>7.5</v>
      </c>
      <c r="H613">
        <v>8.3</v>
      </c>
      <c r="I613">
        <v>8</v>
      </c>
      <c r="J613">
        <v>6.3</v>
      </c>
      <c r="K613">
        <v>7.1</v>
      </c>
      <c r="L613" s="1"/>
    </row>
    <row r="614" spans="1:12">
      <c r="A614" t="s">
        <v>662</v>
      </c>
      <c r="B614">
        <v>8</v>
      </c>
      <c r="C614">
        <v>9.6</v>
      </c>
      <c r="D614">
        <v>7.8</v>
      </c>
      <c r="E614">
        <v>8.6</v>
      </c>
      <c r="F614">
        <v>6.3</v>
      </c>
      <c r="G614">
        <v>7.2</v>
      </c>
      <c r="H614">
        <v>9</v>
      </c>
      <c r="I614">
        <v>7.1</v>
      </c>
      <c r="J614">
        <v>7</v>
      </c>
      <c r="K614">
        <v>8</v>
      </c>
      <c r="L614" s="1"/>
    </row>
    <row r="615" spans="1:12">
      <c r="A615" t="s">
        <v>663</v>
      </c>
      <c r="B615">
        <v>9</v>
      </c>
      <c r="C615">
        <v>7.9</v>
      </c>
      <c r="D615">
        <v>7.8</v>
      </c>
      <c r="E615">
        <v>9.4</v>
      </c>
      <c r="F615">
        <v>7.8</v>
      </c>
      <c r="G615">
        <v>9.7</v>
      </c>
      <c r="H615">
        <v>9</v>
      </c>
      <c r="I615">
        <v>6.9</v>
      </c>
      <c r="J615">
        <v>7.5</v>
      </c>
      <c r="K615">
        <v>5.3</v>
      </c>
      <c r="L615" s="1"/>
    </row>
    <row r="616" spans="1:12">
      <c r="A616" t="s">
        <v>664</v>
      </c>
      <c r="B616">
        <v>8.3</v>
      </c>
      <c r="C616">
        <v>9.3</v>
      </c>
      <c r="D616">
        <v>7.9</v>
      </c>
      <c r="E616">
        <v>7.9</v>
      </c>
      <c r="F616">
        <v>8.5</v>
      </c>
      <c r="G616">
        <v>8.3</v>
      </c>
      <c r="H616">
        <v>6.8</v>
      </c>
      <c r="I616">
        <v>9.6</v>
      </c>
      <c r="J616">
        <v>6.7</v>
      </c>
      <c r="K616">
        <v>7.4</v>
      </c>
      <c r="L616" s="1"/>
    </row>
    <row r="617" spans="1:12">
      <c r="A617" t="s">
        <v>665</v>
      </c>
      <c r="B617">
        <v>8.5</v>
      </c>
      <c r="C617">
        <v>8.9</v>
      </c>
      <c r="D617">
        <v>7.8</v>
      </c>
      <c r="E617">
        <v>7.9</v>
      </c>
      <c r="F617">
        <v>8.6</v>
      </c>
      <c r="G617">
        <v>9.4</v>
      </c>
      <c r="H617">
        <v>8.1</v>
      </c>
      <c r="I617">
        <v>7.2</v>
      </c>
      <c r="J617">
        <v>8.1</v>
      </c>
      <c r="K617">
        <v>7.1</v>
      </c>
      <c r="L617" s="1"/>
    </row>
    <row r="618" spans="1:12">
      <c r="A618" t="s">
        <v>666</v>
      </c>
      <c r="B618">
        <v>8.8</v>
      </c>
      <c r="C618">
        <v>8.6</v>
      </c>
      <c r="D618">
        <v>9</v>
      </c>
      <c r="E618">
        <v>8.8</v>
      </c>
      <c r="F618">
        <v>7.7</v>
      </c>
      <c r="G618">
        <v>8.8</v>
      </c>
      <c r="H618">
        <v>7.7</v>
      </c>
      <c r="I618">
        <v>7.5</v>
      </c>
      <c r="J618">
        <v>6.8</v>
      </c>
      <c r="K618">
        <v>7.7</v>
      </c>
      <c r="L618" s="1"/>
    </row>
    <row r="619" spans="1:12">
      <c r="A619" t="s">
        <v>667</v>
      </c>
      <c r="B619">
        <v>9.6</v>
      </c>
      <c r="C619">
        <v>9.9</v>
      </c>
      <c r="D619">
        <v>8.7</v>
      </c>
      <c r="E619">
        <v>8.1</v>
      </c>
      <c r="F619">
        <v>8.6</v>
      </c>
      <c r="G619">
        <v>7.1</v>
      </c>
      <c r="H619">
        <v>7.7</v>
      </c>
      <c r="I619">
        <v>6.6</v>
      </c>
      <c r="J619">
        <v>9.2</v>
      </c>
      <c r="K619">
        <v>7.3</v>
      </c>
      <c r="L619" s="1"/>
    </row>
    <row r="620" spans="1:12">
      <c r="A620" t="s">
        <v>668</v>
      </c>
      <c r="B620">
        <v>8.8</v>
      </c>
      <c r="C620">
        <v>8.6</v>
      </c>
      <c r="D620">
        <v>9.3</v>
      </c>
      <c r="E620">
        <v>8.9</v>
      </c>
      <c r="F620">
        <v>8.7</v>
      </c>
      <c r="G620">
        <v>9.1</v>
      </c>
      <c r="H620">
        <v>8.1</v>
      </c>
      <c r="I620">
        <v>7.4</v>
      </c>
      <c r="J620">
        <v>5.3</v>
      </c>
      <c r="K620">
        <v>5</v>
      </c>
      <c r="L620" s="1"/>
    </row>
    <row r="621" spans="1:12">
      <c r="A621" t="s">
        <v>669</v>
      </c>
      <c r="B621">
        <v>9.1</v>
      </c>
      <c r="C621">
        <v>8.4</v>
      </c>
      <c r="D621">
        <v>8.5</v>
      </c>
      <c r="E621">
        <v>8.6</v>
      </c>
      <c r="F621">
        <v>8.9</v>
      </c>
      <c r="G621">
        <v>7.5</v>
      </c>
      <c r="H621">
        <v>5.3</v>
      </c>
      <c r="I621">
        <v>7.8</v>
      </c>
      <c r="J621">
        <v>7.3</v>
      </c>
      <c r="K621">
        <v>7.5</v>
      </c>
      <c r="L621" s="1"/>
    </row>
    <row r="622" spans="1:12">
      <c r="A622" t="s">
        <v>670</v>
      </c>
      <c r="B622">
        <v>8.2</v>
      </c>
      <c r="C622">
        <v>8.8</v>
      </c>
      <c r="D622">
        <v>7.9</v>
      </c>
      <c r="E622">
        <v>8.6</v>
      </c>
      <c r="F622">
        <v>8.1</v>
      </c>
      <c r="G622">
        <v>7.3</v>
      </c>
      <c r="H622">
        <v>7.3</v>
      </c>
      <c r="I622">
        <v>8</v>
      </c>
      <c r="J622">
        <v>6.3</v>
      </c>
      <c r="K622">
        <v>7</v>
      </c>
      <c r="L622" s="1"/>
    </row>
    <row r="623" spans="1:12">
      <c r="A623" t="s">
        <v>671</v>
      </c>
      <c r="B623">
        <v>8.2</v>
      </c>
      <c r="C623">
        <v>9.5</v>
      </c>
      <c r="D623">
        <v>7.1</v>
      </c>
      <c r="E623">
        <v>9.9</v>
      </c>
      <c r="F623">
        <v>8.7</v>
      </c>
      <c r="G623">
        <v>6.9</v>
      </c>
      <c r="H623">
        <v>6.4</v>
      </c>
      <c r="I623">
        <v>7.3</v>
      </c>
      <c r="J623">
        <v>7.6</v>
      </c>
      <c r="K623">
        <v>4.3</v>
      </c>
      <c r="L623" s="1"/>
    </row>
    <row r="624" spans="1:12">
      <c r="A624" t="s">
        <v>672</v>
      </c>
      <c r="B624">
        <v>9.2</v>
      </c>
      <c r="C624">
        <v>9.2</v>
      </c>
      <c r="D624">
        <v>9.3</v>
      </c>
      <c r="E624">
        <v>8.1</v>
      </c>
      <c r="F624">
        <v>8.9</v>
      </c>
      <c r="G624">
        <v>8.3</v>
      </c>
      <c r="H624">
        <v>6.6</v>
      </c>
      <c r="I624">
        <v>7.2</v>
      </c>
      <c r="J624">
        <v>7.7</v>
      </c>
      <c r="K624">
        <v>7.7</v>
      </c>
      <c r="L624" s="1"/>
    </row>
    <row r="625" spans="1:12">
      <c r="A625" t="s">
        <v>673</v>
      </c>
      <c r="B625">
        <v>8.7</v>
      </c>
      <c r="C625">
        <v>8.3</v>
      </c>
      <c r="D625">
        <v>8.6</v>
      </c>
      <c r="E625">
        <v>7.7</v>
      </c>
      <c r="F625">
        <v>8.5</v>
      </c>
      <c r="G625">
        <v>7.4</v>
      </c>
      <c r="H625">
        <v>5.9</v>
      </c>
      <c r="I625">
        <v>8.5</v>
      </c>
      <c r="J625">
        <v>8.6</v>
      </c>
      <c r="K625">
        <v>8.7</v>
      </c>
      <c r="L625" s="1"/>
    </row>
    <row r="626" spans="1:12">
      <c r="A626" t="s">
        <v>674</v>
      </c>
      <c r="B626">
        <v>8.4</v>
      </c>
      <c r="C626">
        <v>9.2</v>
      </c>
      <c r="D626">
        <v>9.5</v>
      </c>
      <c r="E626">
        <v>8.6</v>
      </c>
      <c r="F626">
        <v>8.9</v>
      </c>
      <c r="G626">
        <v>8.9</v>
      </c>
      <c r="H626">
        <v>8.3</v>
      </c>
      <c r="I626">
        <v>7.8</v>
      </c>
      <c r="J626">
        <v>7.5</v>
      </c>
      <c r="K626">
        <v>4.3</v>
      </c>
      <c r="L626" s="1"/>
    </row>
    <row r="627" spans="1:12">
      <c r="A627" t="s">
        <v>675</v>
      </c>
      <c r="B627">
        <v>9.6</v>
      </c>
      <c r="C627">
        <v>8.4</v>
      </c>
      <c r="D627">
        <v>9.1</v>
      </c>
      <c r="E627">
        <v>8.3</v>
      </c>
      <c r="F627">
        <v>6.8</v>
      </c>
      <c r="G627">
        <v>7.4</v>
      </c>
      <c r="H627">
        <v>7.6</v>
      </c>
      <c r="I627">
        <v>5.9</v>
      </c>
      <c r="J627">
        <v>8.2</v>
      </c>
      <c r="K627">
        <v>7.1</v>
      </c>
      <c r="L627" s="1"/>
    </row>
    <row r="628" spans="1:12">
      <c r="A628" t="s">
        <v>676</v>
      </c>
      <c r="B628">
        <v>9</v>
      </c>
      <c r="C628">
        <v>8</v>
      </c>
      <c r="D628">
        <v>8.7</v>
      </c>
      <c r="E628">
        <v>8.5</v>
      </c>
      <c r="F628">
        <v>6.9</v>
      </c>
      <c r="G628">
        <v>7.6</v>
      </c>
      <c r="H628">
        <v>9.2</v>
      </c>
      <c r="I628">
        <v>5.8</v>
      </c>
      <c r="J628">
        <v>4.6</v>
      </c>
      <c r="K628">
        <v>5</v>
      </c>
      <c r="L628" s="1"/>
    </row>
    <row r="629" spans="1:12">
      <c r="A629" t="s">
        <v>677</v>
      </c>
      <c r="B629">
        <v>9.7</v>
      </c>
      <c r="C629">
        <v>8</v>
      </c>
      <c r="D629">
        <v>8.4</v>
      </c>
      <c r="E629">
        <v>8.2</v>
      </c>
      <c r="F629">
        <v>9.5</v>
      </c>
      <c r="G629">
        <v>7.8</v>
      </c>
      <c r="H629">
        <v>6.6</v>
      </c>
      <c r="I629">
        <v>7.3</v>
      </c>
      <c r="J629">
        <v>4.9</v>
      </c>
      <c r="K629">
        <v>3.9</v>
      </c>
      <c r="L629" s="1"/>
    </row>
    <row r="630" spans="1:12">
      <c r="A630" t="s">
        <v>678</v>
      </c>
      <c r="B630">
        <v>9.5</v>
      </c>
      <c r="C630">
        <v>7.6</v>
      </c>
      <c r="D630">
        <v>8.3</v>
      </c>
      <c r="E630">
        <v>8.6</v>
      </c>
      <c r="F630">
        <v>6.5</v>
      </c>
      <c r="G630">
        <v>7.6</v>
      </c>
      <c r="H630">
        <v>8.9</v>
      </c>
      <c r="I630">
        <v>9.2</v>
      </c>
      <c r="J630">
        <v>7.4</v>
      </c>
      <c r="K630">
        <v>6</v>
      </c>
      <c r="L630" s="1"/>
    </row>
    <row r="631" spans="1:12">
      <c r="A631" t="s">
        <v>679</v>
      </c>
      <c r="B631">
        <v>9.4</v>
      </c>
      <c r="C631">
        <v>9.6</v>
      </c>
      <c r="D631">
        <v>8.4</v>
      </c>
      <c r="E631">
        <v>8.8</v>
      </c>
      <c r="F631">
        <v>7.3</v>
      </c>
      <c r="G631">
        <v>6.8</v>
      </c>
      <c r="H631">
        <v>7.4</v>
      </c>
      <c r="I631">
        <v>8.2</v>
      </c>
      <c r="J631">
        <v>8.4</v>
      </c>
      <c r="K631">
        <v>8.5</v>
      </c>
      <c r="L631" s="1"/>
    </row>
    <row r="632" spans="1:12">
      <c r="A632" t="s">
        <v>680</v>
      </c>
      <c r="B632">
        <v>9.3</v>
      </c>
      <c r="C632">
        <v>8.5</v>
      </c>
      <c r="D632">
        <v>9.1</v>
      </c>
      <c r="E632">
        <v>8.8</v>
      </c>
      <c r="F632">
        <v>7.5</v>
      </c>
      <c r="G632">
        <v>8.4</v>
      </c>
      <c r="H632">
        <v>6.8</v>
      </c>
      <c r="I632">
        <v>9.9</v>
      </c>
      <c r="J632">
        <v>8</v>
      </c>
      <c r="K632">
        <v>6.4</v>
      </c>
      <c r="L632" s="1"/>
    </row>
    <row r="633" spans="1:12">
      <c r="A633" t="s">
        <v>681</v>
      </c>
      <c r="B633">
        <v>9.3</v>
      </c>
      <c r="C633">
        <v>8.8</v>
      </c>
      <c r="D633">
        <v>9.6</v>
      </c>
      <c r="E633">
        <v>8.8</v>
      </c>
      <c r="F633">
        <v>8.6</v>
      </c>
      <c r="G633">
        <v>7.7</v>
      </c>
      <c r="H633">
        <v>7.4</v>
      </c>
      <c r="I633">
        <v>8.2</v>
      </c>
      <c r="J633">
        <v>6.7</v>
      </c>
      <c r="K633">
        <v>7.5</v>
      </c>
      <c r="L633" s="1"/>
    </row>
    <row r="634" spans="1:12">
      <c r="A634" t="s">
        <v>682</v>
      </c>
      <c r="B634">
        <v>9.4</v>
      </c>
      <c r="C634">
        <v>8.5</v>
      </c>
      <c r="D634">
        <v>9.4</v>
      </c>
      <c r="E634">
        <v>8.4</v>
      </c>
      <c r="F634">
        <v>7.6</v>
      </c>
      <c r="G634">
        <v>9</v>
      </c>
      <c r="H634">
        <v>5.6</v>
      </c>
      <c r="I634">
        <v>7.4</v>
      </c>
      <c r="J634">
        <v>9.1</v>
      </c>
      <c r="K634">
        <v>6.5</v>
      </c>
      <c r="L634" s="1"/>
    </row>
    <row r="635" spans="1:12">
      <c r="A635" t="s">
        <v>683</v>
      </c>
      <c r="B635">
        <v>9.9</v>
      </c>
      <c r="C635">
        <v>9.3</v>
      </c>
      <c r="D635">
        <v>9.3</v>
      </c>
      <c r="E635">
        <v>9.1</v>
      </c>
      <c r="F635">
        <v>9.8</v>
      </c>
      <c r="G635">
        <v>9.2</v>
      </c>
      <c r="H635">
        <v>8.5</v>
      </c>
      <c r="I635">
        <v>8.7</v>
      </c>
      <c r="J635">
        <v>8</v>
      </c>
      <c r="K635">
        <v>8.8</v>
      </c>
      <c r="L635" s="1"/>
    </row>
    <row r="636" spans="1:12">
      <c r="A636" t="s">
        <v>684</v>
      </c>
      <c r="B636">
        <v>7</v>
      </c>
      <c r="C636">
        <v>8.2</v>
      </c>
      <c r="D636">
        <v>7.4</v>
      </c>
      <c r="E636">
        <v>6.9</v>
      </c>
      <c r="F636">
        <v>7</v>
      </c>
      <c r="G636">
        <v>6.7</v>
      </c>
      <c r="H636">
        <v>7.6</v>
      </c>
      <c r="I636">
        <v>6.7</v>
      </c>
      <c r="J636">
        <v>7.4</v>
      </c>
      <c r="K636">
        <v>5.7</v>
      </c>
      <c r="L636" s="1"/>
    </row>
    <row r="637" spans="1:12">
      <c r="A637" t="s">
        <v>685</v>
      </c>
      <c r="B637">
        <v>6.8</v>
      </c>
      <c r="C637">
        <v>7.8</v>
      </c>
      <c r="D637">
        <v>7.3</v>
      </c>
      <c r="E637">
        <v>7.2</v>
      </c>
      <c r="F637">
        <v>6.9</v>
      </c>
      <c r="G637">
        <v>7</v>
      </c>
      <c r="H637">
        <v>6.2</v>
      </c>
      <c r="I637">
        <v>6.2</v>
      </c>
      <c r="J637">
        <v>6.2</v>
      </c>
      <c r="K637">
        <v>4.8</v>
      </c>
      <c r="L637" s="1"/>
    </row>
    <row r="638" spans="1:12">
      <c r="A638" t="s">
        <v>686</v>
      </c>
      <c r="B638">
        <v>7.6</v>
      </c>
      <c r="C638">
        <v>7.6</v>
      </c>
      <c r="D638">
        <v>7.5</v>
      </c>
      <c r="E638">
        <v>7.2</v>
      </c>
      <c r="F638">
        <v>8.4</v>
      </c>
      <c r="G638">
        <v>8.1</v>
      </c>
      <c r="H638">
        <v>7.4</v>
      </c>
      <c r="I638">
        <v>6.9</v>
      </c>
      <c r="J638">
        <v>7.7</v>
      </c>
      <c r="K638">
        <v>7.1</v>
      </c>
      <c r="L638" s="1"/>
    </row>
    <row r="639" spans="1:12">
      <c r="A639" t="s">
        <v>687</v>
      </c>
      <c r="B639">
        <v>8.3</v>
      </c>
      <c r="C639">
        <v>7.5</v>
      </c>
      <c r="D639">
        <v>7.6</v>
      </c>
      <c r="E639">
        <v>6.9</v>
      </c>
      <c r="F639">
        <v>6.1</v>
      </c>
      <c r="G639">
        <v>6.4</v>
      </c>
      <c r="H639">
        <v>5.5</v>
      </c>
      <c r="I639">
        <v>6.2</v>
      </c>
      <c r="J639">
        <v>6</v>
      </c>
      <c r="K639">
        <v>3.9</v>
      </c>
      <c r="L639" s="1"/>
    </row>
    <row r="640" spans="1:12">
      <c r="A640" t="s">
        <v>688</v>
      </c>
      <c r="B640">
        <v>8.1</v>
      </c>
      <c r="C640">
        <v>6.8</v>
      </c>
      <c r="D640">
        <v>7.3</v>
      </c>
      <c r="E640">
        <v>6.7</v>
      </c>
      <c r="F640">
        <v>7.5</v>
      </c>
      <c r="G640">
        <v>7.8</v>
      </c>
      <c r="H640">
        <v>8.1</v>
      </c>
      <c r="I640">
        <v>6.6</v>
      </c>
      <c r="J640">
        <v>7.7</v>
      </c>
      <c r="K640">
        <v>6.1</v>
      </c>
      <c r="L640" s="1"/>
    </row>
    <row r="641" spans="1:12">
      <c r="A641" t="s">
        <v>689</v>
      </c>
      <c r="B641">
        <v>8.4</v>
      </c>
      <c r="C641">
        <v>8.1</v>
      </c>
      <c r="D641">
        <v>8.3</v>
      </c>
      <c r="E641">
        <v>8.6</v>
      </c>
      <c r="F641">
        <v>6.7</v>
      </c>
      <c r="G641">
        <v>8</v>
      </c>
      <c r="H641">
        <v>5.8</v>
      </c>
      <c r="I641">
        <v>5.7</v>
      </c>
      <c r="J641">
        <v>7.1</v>
      </c>
      <c r="K641">
        <v>5.5</v>
      </c>
      <c r="L641" s="1"/>
    </row>
    <row r="642" spans="1:12">
      <c r="A642" t="s">
        <v>690</v>
      </c>
      <c r="B642">
        <v>8.2</v>
      </c>
      <c r="C642">
        <v>7.6</v>
      </c>
      <c r="D642">
        <v>7.8</v>
      </c>
      <c r="E642">
        <v>7.8</v>
      </c>
      <c r="F642">
        <v>8.1</v>
      </c>
      <c r="G642">
        <v>7.2</v>
      </c>
      <c r="H642">
        <v>7.3</v>
      </c>
      <c r="I642">
        <v>6.6</v>
      </c>
      <c r="J642">
        <v>6.1</v>
      </c>
      <c r="K642">
        <v>6.7</v>
      </c>
      <c r="L642" s="1"/>
    </row>
    <row r="643" spans="1:12">
      <c r="A643" t="s">
        <v>691</v>
      </c>
      <c r="B643">
        <v>8.1</v>
      </c>
      <c r="C643">
        <v>7.7</v>
      </c>
      <c r="D643">
        <v>7.9</v>
      </c>
      <c r="E643">
        <v>7.5</v>
      </c>
      <c r="F643">
        <v>7.1</v>
      </c>
      <c r="G643">
        <v>7.7</v>
      </c>
      <c r="H643">
        <v>6.8</v>
      </c>
      <c r="I643">
        <v>5.5</v>
      </c>
      <c r="J643">
        <v>4.8</v>
      </c>
      <c r="K643">
        <v>5.8</v>
      </c>
      <c r="L643" s="1"/>
    </row>
    <row r="644" spans="1:12">
      <c r="A644" t="s">
        <v>692</v>
      </c>
      <c r="B644">
        <v>7.8</v>
      </c>
      <c r="C644">
        <v>7.7</v>
      </c>
      <c r="D644">
        <v>8.5</v>
      </c>
      <c r="E644">
        <v>6.4</v>
      </c>
      <c r="F644">
        <v>7.7</v>
      </c>
      <c r="G644">
        <v>6.8</v>
      </c>
      <c r="H644">
        <v>7.2</v>
      </c>
      <c r="I644">
        <v>4.2</v>
      </c>
      <c r="J644">
        <v>5.7</v>
      </c>
      <c r="K644">
        <v>7.1</v>
      </c>
      <c r="L644" s="1"/>
    </row>
    <row r="645" spans="1:12">
      <c r="A645" t="s">
        <v>693</v>
      </c>
      <c r="B645">
        <v>8.2</v>
      </c>
      <c r="C645">
        <v>7.4</v>
      </c>
      <c r="D645">
        <v>8.3</v>
      </c>
      <c r="E645">
        <v>7</v>
      </c>
      <c r="F645">
        <v>7.2</v>
      </c>
      <c r="G645">
        <v>7.6</v>
      </c>
      <c r="H645">
        <v>6.5</v>
      </c>
      <c r="I645">
        <v>7.4</v>
      </c>
      <c r="J645">
        <v>6.1</v>
      </c>
      <c r="K645">
        <v>5.3</v>
      </c>
      <c r="L645" s="1"/>
    </row>
    <row r="646" spans="1:12">
      <c r="A646" t="s">
        <v>694</v>
      </c>
      <c r="B646">
        <v>8.2</v>
      </c>
      <c r="C646">
        <v>7</v>
      </c>
      <c r="D646">
        <v>6.9</v>
      </c>
      <c r="E646">
        <v>8</v>
      </c>
      <c r="F646">
        <v>6.7</v>
      </c>
      <c r="G646">
        <v>6</v>
      </c>
      <c r="H646">
        <v>6.9</v>
      </c>
      <c r="I646">
        <v>5.4</v>
      </c>
      <c r="J646">
        <v>5.9</v>
      </c>
      <c r="K646">
        <v>5.5</v>
      </c>
      <c r="L646" s="1"/>
    </row>
    <row r="647" spans="1:12">
      <c r="A647" t="s">
        <v>695</v>
      </c>
      <c r="B647">
        <v>7.6</v>
      </c>
      <c r="C647">
        <v>7.1</v>
      </c>
      <c r="D647">
        <v>7</v>
      </c>
      <c r="E647">
        <v>7.8</v>
      </c>
      <c r="F647">
        <v>6.6</v>
      </c>
      <c r="G647">
        <v>5.8</v>
      </c>
      <c r="H647">
        <v>7.3</v>
      </c>
      <c r="I647">
        <v>6.5</v>
      </c>
      <c r="J647">
        <v>4.4</v>
      </c>
      <c r="K647">
        <v>5.8</v>
      </c>
      <c r="L647" s="1"/>
    </row>
    <row r="648" spans="1:12">
      <c r="A648" t="s">
        <v>696</v>
      </c>
      <c r="B648">
        <v>8.1</v>
      </c>
      <c r="C648">
        <v>7.4</v>
      </c>
      <c r="D648">
        <v>7.4</v>
      </c>
      <c r="E648">
        <v>7</v>
      </c>
      <c r="F648">
        <v>7</v>
      </c>
      <c r="G648">
        <v>7.6</v>
      </c>
      <c r="H648">
        <v>4.9</v>
      </c>
      <c r="I648">
        <v>6.5</v>
      </c>
      <c r="J648">
        <v>5.6</v>
      </c>
      <c r="K648">
        <v>6.2</v>
      </c>
      <c r="L648" s="1"/>
    </row>
    <row r="649" spans="1:12">
      <c r="A649" t="s">
        <v>697</v>
      </c>
      <c r="B649">
        <v>9.2</v>
      </c>
      <c r="C649">
        <v>8.3</v>
      </c>
      <c r="D649">
        <v>7.2</v>
      </c>
      <c r="E649">
        <v>7</v>
      </c>
      <c r="F649">
        <v>7.1</v>
      </c>
      <c r="G649">
        <v>6.8</v>
      </c>
      <c r="H649">
        <v>5.3</v>
      </c>
      <c r="I649">
        <v>5.8</v>
      </c>
      <c r="J649">
        <v>6.4</v>
      </c>
      <c r="K649">
        <v>5.1</v>
      </c>
      <c r="L649" s="1"/>
    </row>
    <row r="650" spans="1:12">
      <c r="A650" t="s">
        <v>698</v>
      </c>
      <c r="B650">
        <v>7.8</v>
      </c>
      <c r="C650">
        <v>7.6</v>
      </c>
      <c r="D650">
        <v>7.1</v>
      </c>
      <c r="E650">
        <v>7.6</v>
      </c>
      <c r="F650">
        <v>7.2</v>
      </c>
      <c r="G650">
        <v>5.3</v>
      </c>
      <c r="H650">
        <v>5.8</v>
      </c>
      <c r="I650">
        <v>5.1</v>
      </c>
      <c r="J650">
        <v>6.7</v>
      </c>
      <c r="K650">
        <v>6.4</v>
      </c>
      <c r="L650" s="1"/>
    </row>
    <row r="651" spans="1:12">
      <c r="A651" t="s">
        <v>699</v>
      </c>
      <c r="B651">
        <v>7.4</v>
      </c>
      <c r="C651">
        <v>7.1</v>
      </c>
      <c r="D651">
        <v>8.4</v>
      </c>
      <c r="E651">
        <v>8.4</v>
      </c>
      <c r="F651">
        <v>7.2</v>
      </c>
      <c r="G651">
        <v>6.6</v>
      </c>
      <c r="H651">
        <v>6.5</v>
      </c>
      <c r="I651">
        <v>7</v>
      </c>
      <c r="J651">
        <v>6.8</v>
      </c>
      <c r="K651">
        <v>8</v>
      </c>
      <c r="L651" s="1"/>
    </row>
    <row r="652" spans="1:12">
      <c r="A652" t="s">
        <v>700</v>
      </c>
      <c r="B652">
        <v>8.4</v>
      </c>
      <c r="C652">
        <v>7.7</v>
      </c>
      <c r="D652">
        <v>7.3</v>
      </c>
      <c r="E652">
        <v>8.8</v>
      </c>
      <c r="F652">
        <v>7.4</v>
      </c>
      <c r="G652">
        <v>6.8</v>
      </c>
      <c r="H652">
        <v>6.5</v>
      </c>
      <c r="I652">
        <v>6.3</v>
      </c>
      <c r="J652">
        <v>6</v>
      </c>
      <c r="K652">
        <v>4.8</v>
      </c>
      <c r="L652" s="1"/>
    </row>
    <row r="653" spans="1:12">
      <c r="A653" t="s">
        <v>701</v>
      </c>
      <c r="B653">
        <v>7.6</v>
      </c>
      <c r="C653">
        <v>8.1</v>
      </c>
      <c r="D653">
        <v>8.2</v>
      </c>
      <c r="E653">
        <v>6.6</v>
      </c>
      <c r="F653">
        <v>6.9</v>
      </c>
      <c r="G653">
        <v>7.3</v>
      </c>
      <c r="H653">
        <v>6.5</v>
      </c>
      <c r="I653">
        <v>8</v>
      </c>
      <c r="J653">
        <v>5.2</v>
      </c>
      <c r="K653">
        <v>5.7</v>
      </c>
      <c r="L653" s="1"/>
    </row>
    <row r="654" spans="1:12">
      <c r="A654" t="s">
        <v>702</v>
      </c>
      <c r="B654">
        <v>8.1</v>
      </c>
      <c r="C654">
        <v>8.2</v>
      </c>
      <c r="D654">
        <v>8.3</v>
      </c>
      <c r="E654">
        <v>8.1</v>
      </c>
      <c r="F654">
        <v>7.3</v>
      </c>
      <c r="G654">
        <v>5.2</v>
      </c>
      <c r="H654">
        <v>5.5</v>
      </c>
      <c r="I654">
        <v>5.9</v>
      </c>
      <c r="J654">
        <v>8.1</v>
      </c>
      <c r="K654">
        <v>5.4</v>
      </c>
      <c r="L654" s="1"/>
    </row>
    <row r="655" spans="1:12">
      <c r="A655" t="s">
        <v>703</v>
      </c>
      <c r="B655">
        <v>7.7</v>
      </c>
      <c r="C655">
        <v>8</v>
      </c>
      <c r="D655">
        <v>7.5</v>
      </c>
      <c r="E655">
        <v>7</v>
      </c>
      <c r="F655">
        <v>6.7</v>
      </c>
      <c r="G655">
        <v>7.5</v>
      </c>
      <c r="H655">
        <v>4.9</v>
      </c>
      <c r="I655">
        <v>5.2</v>
      </c>
      <c r="J655">
        <v>6.6</v>
      </c>
      <c r="K655">
        <v>4.4</v>
      </c>
      <c r="L655" s="1"/>
    </row>
    <row r="656" spans="1:12">
      <c r="A656" t="s">
        <v>704</v>
      </c>
      <c r="B656">
        <v>8.2</v>
      </c>
      <c r="C656">
        <v>7.4</v>
      </c>
      <c r="D656">
        <v>7.9</v>
      </c>
      <c r="E656">
        <v>6.9</v>
      </c>
      <c r="F656">
        <v>6.9</v>
      </c>
      <c r="G656">
        <v>6.8</v>
      </c>
      <c r="H656">
        <v>8.4</v>
      </c>
      <c r="I656">
        <v>7</v>
      </c>
      <c r="J656">
        <v>5.2</v>
      </c>
      <c r="K656">
        <v>5.5</v>
      </c>
      <c r="L656" s="1"/>
    </row>
    <row r="657" spans="1:12">
      <c r="A657" t="s">
        <v>705</v>
      </c>
      <c r="B657">
        <v>7.8</v>
      </c>
      <c r="C657">
        <v>8.1</v>
      </c>
      <c r="D657">
        <v>7.4</v>
      </c>
      <c r="E657">
        <v>7.8</v>
      </c>
      <c r="F657">
        <v>7</v>
      </c>
      <c r="G657">
        <v>6.7</v>
      </c>
      <c r="H657">
        <v>6.3</v>
      </c>
      <c r="I657">
        <v>6</v>
      </c>
      <c r="J657">
        <v>5.9</v>
      </c>
      <c r="K657">
        <v>4.7</v>
      </c>
      <c r="L657" s="1"/>
    </row>
    <row r="658" spans="1:12">
      <c r="A658" t="s">
        <v>706</v>
      </c>
      <c r="B658">
        <v>7.3</v>
      </c>
      <c r="C658">
        <v>7.1</v>
      </c>
      <c r="D658">
        <v>7</v>
      </c>
      <c r="E658">
        <v>8.7</v>
      </c>
      <c r="F658">
        <v>8.5</v>
      </c>
      <c r="G658">
        <v>5.8</v>
      </c>
      <c r="H658">
        <v>7.5</v>
      </c>
      <c r="I658">
        <v>6.3</v>
      </c>
      <c r="J658">
        <v>5.7</v>
      </c>
      <c r="K658">
        <v>7.7</v>
      </c>
      <c r="L658" s="1"/>
    </row>
    <row r="659" spans="1:12">
      <c r="A659" t="s">
        <v>707</v>
      </c>
      <c r="B659">
        <v>7</v>
      </c>
      <c r="C659">
        <v>8</v>
      </c>
      <c r="D659">
        <v>7.5</v>
      </c>
      <c r="E659">
        <v>7.2</v>
      </c>
      <c r="F659">
        <v>6.5</v>
      </c>
      <c r="G659">
        <v>5.9</v>
      </c>
      <c r="H659">
        <v>8.3</v>
      </c>
      <c r="I659">
        <v>6.6</v>
      </c>
      <c r="J659">
        <v>6</v>
      </c>
      <c r="K659">
        <v>4.9</v>
      </c>
      <c r="L659" s="1"/>
    </row>
    <row r="660" spans="1:12">
      <c r="A660" t="s">
        <v>708</v>
      </c>
      <c r="B660">
        <v>8.1</v>
      </c>
      <c r="C660">
        <v>8.3</v>
      </c>
      <c r="D660">
        <v>7.8</v>
      </c>
      <c r="E660">
        <v>6.9</v>
      </c>
      <c r="F660">
        <v>7.3</v>
      </c>
      <c r="G660">
        <v>5.5</v>
      </c>
      <c r="H660">
        <v>6.8</v>
      </c>
      <c r="I660">
        <v>6</v>
      </c>
      <c r="J660">
        <v>6</v>
      </c>
      <c r="K660">
        <v>3.6</v>
      </c>
      <c r="L660" s="1"/>
    </row>
    <row r="661" spans="1:12">
      <c r="A661" t="s">
        <v>709</v>
      </c>
      <c r="B661">
        <v>8.5</v>
      </c>
      <c r="C661">
        <v>7</v>
      </c>
      <c r="D661">
        <v>7.7</v>
      </c>
      <c r="E661">
        <v>7.2</v>
      </c>
      <c r="F661">
        <v>7.6</v>
      </c>
      <c r="G661">
        <v>6.8</v>
      </c>
      <c r="H661">
        <v>6.6</v>
      </c>
      <c r="I661">
        <v>5.7</v>
      </c>
      <c r="J661">
        <v>5.9</v>
      </c>
      <c r="K661">
        <v>6.1</v>
      </c>
      <c r="L661" s="1"/>
    </row>
    <row r="662" spans="1:12">
      <c r="A662" t="s">
        <v>710</v>
      </c>
      <c r="B662">
        <v>8.2</v>
      </c>
      <c r="C662">
        <v>7.7</v>
      </c>
      <c r="D662">
        <v>6.6</v>
      </c>
      <c r="E662">
        <v>8.3</v>
      </c>
      <c r="F662">
        <v>6.5</v>
      </c>
      <c r="G662">
        <v>6.7</v>
      </c>
      <c r="H662">
        <v>6.7</v>
      </c>
      <c r="I662">
        <v>5.9</v>
      </c>
      <c r="J662">
        <v>6.2</v>
      </c>
      <c r="K662">
        <v>5.7</v>
      </c>
      <c r="L662" s="1"/>
    </row>
    <row r="663" spans="1:12">
      <c r="A663" t="s">
        <v>711</v>
      </c>
      <c r="B663">
        <v>7.7</v>
      </c>
      <c r="C663">
        <v>8.1</v>
      </c>
      <c r="D663">
        <v>7.7</v>
      </c>
      <c r="E663">
        <v>7.3</v>
      </c>
      <c r="F663">
        <v>7.5</v>
      </c>
      <c r="G663">
        <v>6.7</v>
      </c>
      <c r="H663">
        <v>6.2</v>
      </c>
      <c r="I663">
        <v>7.5</v>
      </c>
      <c r="J663">
        <v>6.4</v>
      </c>
      <c r="K663">
        <v>6.8</v>
      </c>
      <c r="L663" s="1"/>
    </row>
    <row r="664" spans="1:12">
      <c r="A664" t="s">
        <v>712</v>
      </c>
      <c r="B664">
        <v>7.9</v>
      </c>
      <c r="C664">
        <v>7</v>
      </c>
      <c r="D664">
        <v>6.7</v>
      </c>
      <c r="E664">
        <v>7.6</v>
      </c>
      <c r="F664">
        <v>5.2</v>
      </c>
      <c r="G664">
        <v>7.4</v>
      </c>
      <c r="H664">
        <v>6.9</v>
      </c>
      <c r="I664">
        <v>7.8</v>
      </c>
      <c r="J664">
        <v>6</v>
      </c>
      <c r="K664">
        <v>6</v>
      </c>
      <c r="L664" s="1"/>
    </row>
    <row r="665" spans="1:12">
      <c r="A665" t="s">
        <v>713</v>
      </c>
      <c r="B665">
        <v>7.6</v>
      </c>
      <c r="C665">
        <v>7.9</v>
      </c>
      <c r="D665">
        <v>7.2</v>
      </c>
      <c r="E665">
        <v>7.5</v>
      </c>
      <c r="F665">
        <v>6.3</v>
      </c>
      <c r="G665">
        <v>6.8</v>
      </c>
      <c r="H665">
        <v>6.4</v>
      </c>
      <c r="I665">
        <v>5.8</v>
      </c>
      <c r="J665">
        <v>5.5</v>
      </c>
      <c r="K665">
        <v>6.1</v>
      </c>
      <c r="L665" s="1"/>
    </row>
    <row r="666" spans="1:12">
      <c r="A666" t="s">
        <v>714</v>
      </c>
      <c r="B666">
        <v>7.7</v>
      </c>
      <c r="C666">
        <v>8.4</v>
      </c>
      <c r="D666">
        <v>7.9</v>
      </c>
      <c r="E666">
        <v>7.3</v>
      </c>
      <c r="F666">
        <v>8.1</v>
      </c>
      <c r="G666">
        <v>6.2</v>
      </c>
      <c r="H666">
        <v>5.3</v>
      </c>
      <c r="I666">
        <v>7</v>
      </c>
      <c r="J666">
        <v>5.6</v>
      </c>
      <c r="K666">
        <v>7.1</v>
      </c>
      <c r="L666" s="1"/>
    </row>
    <row r="667" spans="1:12">
      <c r="A667" t="s">
        <v>715</v>
      </c>
      <c r="B667">
        <v>8</v>
      </c>
      <c r="C667">
        <v>7.4</v>
      </c>
      <c r="D667">
        <v>8.3</v>
      </c>
      <c r="E667">
        <v>7.9</v>
      </c>
      <c r="F667">
        <v>7</v>
      </c>
      <c r="G667">
        <v>7.3</v>
      </c>
      <c r="H667">
        <v>7.4</v>
      </c>
      <c r="I667">
        <v>6.5</v>
      </c>
      <c r="J667">
        <v>7.4</v>
      </c>
      <c r="K667">
        <v>4.2</v>
      </c>
      <c r="L667" s="1"/>
    </row>
    <row r="668" spans="1:12">
      <c r="A668" t="s">
        <v>716</v>
      </c>
      <c r="B668">
        <v>7.3</v>
      </c>
      <c r="C668">
        <v>7.4</v>
      </c>
      <c r="D668">
        <v>7.6</v>
      </c>
      <c r="E668">
        <v>7.7</v>
      </c>
      <c r="F668">
        <v>6.1</v>
      </c>
      <c r="G668">
        <v>8</v>
      </c>
      <c r="H668">
        <v>8.7</v>
      </c>
      <c r="I668">
        <v>6</v>
      </c>
      <c r="J668">
        <v>6.1</v>
      </c>
      <c r="K668">
        <v>5.1</v>
      </c>
      <c r="L668" s="1"/>
    </row>
    <row r="669" spans="1:12">
      <c r="A669" t="s">
        <v>717</v>
      </c>
      <c r="B669">
        <v>7.9</v>
      </c>
      <c r="C669">
        <v>7.6</v>
      </c>
      <c r="D669">
        <v>6.3</v>
      </c>
      <c r="E669">
        <v>6.8</v>
      </c>
      <c r="F669">
        <v>7.1</v>
      </c>
      <c r="G669">
        <v>7</v>
      </c>
      <c r="H669">
        <v>8</v>
      </c>
      <c r="I669">
        <v>7.1</v>
      </c>
      <c r="J669">
        <v>6.2</v>
      </c>
      <c r="K669">
        <v>5.4</v>
      </c>
      <c r="L669" s="1"/>
    </row>
    <row r="670" spans="1:12">
      <c r="A670" t="s">
        <v>718</v>
      </c>
      <c r="B670">
        <v>7.3</v>
      </c>
      <c r="C670">
        <v>7.2</v>
      </c>
      <c r="D670">
        <v>7.7</v>
      </c>
      <c r="E670">
        <v>8.1</v>
      </c>
      <c r="F670">
        <v>6.9</v>
      </c>
      <c r="G670">
        <v>7</v>
      </c>
      <c r="H670">
        <v>8</v>
      </c>
      <c r="I670">
        <v>6.3</v>
      </c>
      <c r="J670">
        <v>8.4</v>
      </c>
      <c r="K670">
        <v>5.6</v>
      </c>
      <c r="L670" s="1"/>
    </row>
    <row r="671" spans="1:12">
      <c r="A671" t="s">
        <v>719</v>
      </c>
      <c r="B671">
        <v>8.5</v>
      </c>
      <c r="C671">
        <v>6.7</v>
      </c>
      <c r="D671">
        <v>6.7</v>
      </c>
      <c r="E671">
        <v>7.3</v>
      </c>
      <c r="F671">
        <v>6</v>
      </c>
      <c r="G671">
        <v>6.3</v>
      </c>
      <c r="H671">
        <v>5.9</v>
      </c>
      <c r="I671">
        <v>7.3</v>
      </c>
      <c r="J671">
        <v>4.8</v>
      </c>
      <c r="K671">
        <v>4.9</v>
      </c>
      <c r="L671" s="1"/>
    </row>
    <row r="672" spans="1:12">
      <c r="A672" t="s">
        <v>720</v>
      </c>
      <c r="B672">
        <v>7.2</v>
      </c>
      <c r="C672">
        <v>8</v>
      </c>
      <c r="D672">
        <v>8</v>
      </c>
      <c r="E672">
        <v>8.8</v>
      </c>
      <c r="F672">
        <v>6.7</v>
      </c>
      <c r="G672">
        <v>7.7</v>
      </c>
      <c r="H672">
        <v>7.1</v>
      </c>
      <c r="I672">
        <v>5.1</v>
      </c>
      <c r="J672">
        <v>5.6</v>
      </c>
      <c r="K672">
        <v>4.5</v>
      </c>
      <c r="L672" s="1"/>
    </row>
    <row r="673" spans="1:12">
      <c r="A673" t="s">
        <v>721</v>
      </c>
      <c r="B673">
        <v>8.3</v>
      </c>
      <c r="C673">
        <v>8.5</v>
      </c>
      <c r="D673">
        <v>8</v>
      </c>
      <c r="E673">
        <v>6.9</v>
      </c>
      <c r="F673">
        <v>7.2</v>
      </c>
      <c r="G673">
        <v>6.2</v>
      </c>
      <c r="H673">
        <v>9.1</v>
      </c>
      <c r="I673">
        <v>6.9</v>
      </c>
      <c r="J673">
        <v>7.7</v>
      </c>
      <c r="K673">
        <v>6.8</v>
      </c>
      <c r="L673" s="1"/>
    </row>
    <row r="674" spans="1:12">
      <c r="A674" t="s">
        <v>722</v>
      </c>
      <c r="B674">
        <v>7.6</v>
      </c>
      <c r="C674">
        <v>8.4</v>
      </c>
      <c r="D674">
        <v>8.2</v>
      </c>
      <c r="E674">
        <v>7.5</v>
      </c>
      <c r="F674">
        <v>7.2</v>
      </c>
      <c r="G674">
        <v>6.8</v>
      </c>
      <c r="H674">
        <v>5.9</v>
      </c>
      <c r="I674">
        <v>7.1</v>
      </c>
      <c r="J674">
        <v>5.9</v>
      </c>
      <c r="K674">
        <v>3.9</v>
      </c>
      <c r="L674" s="1"/>
    </row>
    <row r="675" spans="1:12">
      <c r="A675" t="s">
        <v>723</v>
      </c>
      <c r="B675">
        <v>7.5</v>
      </c>
      <c r="C675">
        <v>8.2</v>
      </c>
      <c r="D675">
        <v>8.2</v>
      </c>
      <c r="E675">
        <v>8.5</v>
      </c>
      <c r="F675">
        <v>5.5</v>
      </c>
      <c r="G675">
        <v>4.9</v>
      </c>
      <c r="H675">
        <v>7.4</v>
      </c>
      <c r="I675">
        <v>5.8</v>
      </c>
      <c r="J675">
        <v>6.9</v>
      </c>
      <c r="K675">
        <v>3.9</v>
      </c>
      <c r="L675" s="1"/>
    </row>
    <row r="676" spans="1:12">
      <c r="A676" t="s">
        <v>724</v>
      </c>
      <c r="B676">
        <v>7.1</v>
      </c>
      <c r="C676">
        <v>7.7</v>
      </c>
      <c r="D676">
        <v>7.3</v>
      </c>
      <c r="E676">
        <v>7.4</v>
      </c>
      <c r="F676">
        <v>7.3</v>
      </c>
      <c r="G676">
        <v>7.8</v>
      </c>
      <c r="H676">
        <v>6.9</v>
      </c>
      <c r="I676">
        <v>7.4</v>
      </c>
      <c r="J676">
        <v>6.7</v>
      </c>
      <c r="K676">
        <v>4.9</v>
      </c>
      <c r="L676" s="1"/>
    </row>
    <row r="677" spans="1:12">
      <c r="A677" t="s">
        <v>725</v>
      </c>
      <c r="B677">
        <v>8.1</v>
      </c>
      <c r="C677">
        <v>6.8</v>
      </c>
      <c r="D677">
        <v>6.5</v>
      </c>
      <c r="E677">
        <v>6.7</v>
      </c>
      <c r="F677">
        <v>8.1</v>
      </c>
      <c r="G677">
        <v>6.4</v>
      </c>
      <c r="H677">
        <v>8.1</v>
      </c>
      <c r="I677">
        <v>7.2</v>
      </c>
      <c r="J677">
        <v>7.7</v>
      </c>
      <c r="K677">
        <v>5.6</v>
      </c>
      <c r="L677" s="1"/>
    </row>
    <row r="678" spans="1:12">
      <c r="A678" t="s">
        <v>726</v>
      </c>
      <c r="B678">
        <v>6.8</v>
      </c>
      <c r="C678">
        <v>7.6</v>
      </c>
      <c r="D678">
        <v>7.1</v>
      </c>
      <c r="E678">
        <v>6.7</v>
      </c>
      <c r="F678">
        <v>8.1</v>
      </c>
      <c r="G678">
        <v>8.1</v>
      </c>
      <c r="H678">
        <v>5.6</v>
      </c>
      <c r="I678">
        <v>6.8</v>
      </c>
      <c r="J678">
        <v>6.2</v>
      </c>
      <c r="K678">
        <v>8.3</v>
      </c>
      <c r="L678" s="1"/>
    </row>
    <row r="679" spans="1:12">
      <c r="A679" t="s">
        <v>727</v>
      </c>
      <c r="B679">
        <v>7.9</v>
      </c>
      <c r="C679">
        <v>7.9</v>
      </c>
      <c r="D679">
        <v>7.7</v>
      </c>
      <c r="E679">
        <v>7.5</v>
      </c>
      <c r="F679">
        <v>7.9</v>
      </c>
      <c r="G679">
        <v>7.8</v>
      </c>
      <c r="H679">
        <v>4.5</v>
      </c>
      <c r="I679">
        <v>6.5</v>
      </c>
      <c r="J679">
        <v>5.5</v>
      </c>
      <c r="K679">
        <v>7.1</v>
      </c>
      <c r="L679" s="1"/>
    </row>
    <row r="680" spans="1:12">
      <c r="A680" t="s">
        <v>728</v>
      </c>
      <c r="B680">
        <v>8</v>
      </c>
      <c r="C680">
        <v>8.5</v>
      </c>
      <c r="D680">
        <v>7.6</v>
      </c>
      <c r="E680">
        <v>7.8</v>
      </c>
      <c r="F680">
        <v>7.5</v>
      </c>
      <c r="G680">
        <v>7.5</v>
      </c>
      <c r="H680">
        <v>6.8</v>
      </c>
      <c r="I680">
        <v>7.4</v>
      </c>
      <c r="J680">
        <v>7.3</v>
      </c>
      <c r="K680">
        <v>5.4</v>
      </c>
      <c r="L680" s="1"/>
    </row>
    <row r="681" spans="1:12">
      <c r="A681" t="s">
        <v>729</v>
      </c>
      <c r="B681">
        <v>8.1</v>
      </c>
      <c r="C681">
        <v>7.6</v>
      </c>
      <c r="D681">
        <v>8.3</v>
      </c>
      <c r="E681">
        <v>6.9</v>
      </c>
      <c r="F681">
        <v>7.1</v>
      </c>
      <c r="G681">
        <v>6.8</v>
      </c>
      <c r="H681">
        <v>5.4</v>
      </c>
      <c r="I681">
        <v>7.9</v>
      </c>
      <c r="J681">
        <v>5.3</v>
      </c>
      <c r="K681">
        <v>5.9</v>
      </c>
      <c r="L681" s="1"/>
    </row>
    <row r="682" spans="1:12">
      <c r="A682" t="s">
        <v>730</v>
      </c>
      <c r="B682">
        <v>8.1</v>
      </c>
      <c r="C682">
        <v>9.1</v>
      </c>
      <c r="D682">
        <v>8.7</v>
      </c>
      <c r="E682">
        <v>8.9</v>
      </c>
      <c r="F682">
        <v>8.6</v>
      </c>
      <c r="G682">
        <v>7.4</v>
      </c>
      <c r="H682">
        <v>7.3</v>
      </c>
      <c r="I682">
        <v>5.8</v>
      </c>
      <c r="J682">
        <v>7.2</v>
      </c>
      <c r="K682">
        <v>6.6</v>
      </c>
      <c r="L682" s="1"/>
    </row>
    <row r="683" spans="1:12">
      <c r="A683" t="s">
        <v>731</v>
      </c>
      <c r="B683">
        <v>8.6</v>
      </c>
      <c r="C683">
        <v>7.9</v>
      </c>
      <c r="D683">
        <v>8.6</v>
      </c>
      <c r="E683">
        <v>9</v>
      </c>
      <c r="F683">
        <v>8.1</v>
      </c>
      <c r="G683">
        <v>8.2</v>
      </c>
      <c r="H683">
        <v>7.6</v>
      </c>
      <c r="I683">
        <v>6</v>
      </c>
      <c r="J683">
        <v>6.1</v>
      </c>
      <c r="K683">
        <v>6.1</v>
      </c>
      <c r="L683" s="1"/>
    </row>
    <row r="684" spans="1:12">
      <c r="A684" t="s">
        <v>732</v>
      </c>
      <c r="B684">
        <v>9</v>
      </c>
      <c r="C684">
        <v>8.4</v>
      </c>
      <c r="D684">
        <v>9.9</v>
      </c>
      <c r="E684">
        <v>9.9</v>
      </c>
      <c r="F684">
        <v>7.5</v>
      </c>
      <c r="G684">
        <v>9.9</v>
      </c>
      <c r="H684">
        <v>9.4</v>
      </c>
      <c r="I684">
        <v>5.9</v>
      </c>
      <c r="J684">
        <v>5.5</v>
      </c>
      <c r="K684">
        <v>9.7</v>
      </c>
      <c r="L684" s="1"/>
    </row>
    <row r="685" spans="1:12">
      <c r="A685" t="s">
        <v>733</v>
      </c>
      <c r="B685">
        <v>9</v>
      </c>
      <c r="C685">
        <v>7.7</v>
      </c>
      <c r="D685">
        <v>9.9</v>
      </c>
      <c r="E685">
        <v>8</v>
      </c>
      <c r="F685">
        <v>6</v>
      </c>
      <c r="G685">
        <v>8.6</v>
      </c>
      <c r="H685">
        <v>7.7</v>
      </c>
      <c r="I685">
        <v>7.1</v>
      </c>
      <c r="J685">
        <v>6.7</v>
      </c>
      <c r="K685">
        <v>6.8</v>
      </c>
      <c r="L685" s="1"/>
    </row>
    <row r="686" spans="1:12">
      <c r="A686" t="s">
        <v>734</v>
      </c>
      <c r="B686">
        <v>7.5</v>
      </c>
      <c r="C686">
        <v>7.9</v>
      </c>
      <c r="D686">
        <v>8</v>
      </c>
      <c r="E686">
        <v>6.6</v>
      </c>
      <c r="F686">
        <v>6.3</v>
      </c>
      <c r="G686">
        <v>7.1</v>
      </c>
      <c r="H686">
        <v>6.7</v>
      </c>
      <c r="I686">
        <v>5.8</v>
      </c>
      <c r="J686">
        <v>6.2</v>
      </c>
      <c r="K686">
        <v>6.3</v>
      </c>
      <c r="L686" s="1"/>
    </row>
    <row r="687" spans="1:12">
      <c r="A687" t="s">
        <v>735</v>
      </c>
      <c r="B687">
        <v>7.9</v>
      </c>
      <c r="C687">
        <v>7.7</v>
      </c>
      <c r="D687">
        <v>8.2</v>
      </c>
      <c r="E687">
        <v>8</v>
      </c>
      <c r="F687">
        <v>7.8</v>
      </c>
      <c r="G687">
        <v>7.3</v>
      </c>
      <c r="H687">
        <v>5.9</v>
      </c>
      <c r="I687">
        <v>7.2</v>
      </c>
      <c r="J687">
        <v>5.3</v>
      </c>
      <c r="K687">
        <v>5.8</v>
      </c>
      <c r="L687" s="1"/>
    </row>
    <row r="688" spans="1:12">
      <c r="A688" t="s">
        <v>736</v>
      </c>
      <c r="B688">
        <v>7.5</v>
      </c>
      <c r="C688">
        <v>7.3</v>
      </c>
      <c r="D688">
        <v>7.2</v>
      </c>
      <c r="E688">
        <v>7.5</v>
      </c>
      <c r="F688">
        <v>6.7</v>
      </c>
      <c r="G688">
        <v>6.9</v>
      </c>
      <c r="H688">
        <v>6.8</v>
      </c>
      <c r="I688">
        <v>7.1</v>
      </c>
      <c r="J688">
        <v>7.8</v>
      </c>
      <c r="K688">
        <v>4.7</v>
      </c>
      <c r="L688" s="1"/>
    </row>
    <row r="689" spans="1:12">
      <c r="A689" t="s">
        <v>737</v>
      </c>
      <c r="B689">
        <v>8.6</v>
      </c>
      <c r="C689">
        <v>7.9</v>
      </c>
      <c r="D689">
        <v>6.6</v>
      </c>
      <c r="E689">
        <v>7.4</v>
      </c>
      <c r="F689">
        <v>5.3</v>
      </c>
      <c r="G689">
        <v>7.7</v>
      </c>
      <c r="H689">
        <v>5.8</v>
      </c>
      <c r="I689">
        <v>7.1</v>
      </c>
      <c r="J689">
        <v>6.2</v>
      </c>
      <c r="K689">
        <v>4.5</v>
      </c>
      <c r="L689" s="1"/>
    </row>
    <row r="690" spans="1:12">
      <c r="A690" t="s">
        <v>738</v>
      </c>
      <c r="B690">
        <v>7.7</v>
      </c>
      <c r="C690">
        <v>7.9</v>
      </c>
      <c r="D690">
        <v>7</v>
      </c>
      <c r="E690">
        <v>7.5</v>
      </c>
      <c r="F690">
        <v>7.2</v>
      </c>
      <c r="G690">
        <v>7</v>
      </c>
      <c r="H690">
        <v>5.9</v>
      </c>
      <c r="I690">
        <v>6.9</v>
      </c>
      <c r="J690">
        <v>6.6</v>
      </c>
      <c r="K690">
        <v>5.3</v>
      </c>
      <c r="L690" s="1"/>
    </row>
    <row r="691" spans="1:12">
      <c r="A691" t="s">
        <v>739</v>
      </c>
      <c r="B691">
        <v>7.8</v>
      </c>
      <c r="C691">
        <v>7.5</v>
      </c>
      <c r="D691">
        <v>8.1</v>
      </c>
      <c r="E691">
        <v>7.9</v>
      </c>
      <c r="F691">
        <v>7.1</v>
      </c>
      <c r="G691">
        <v>6.7</v>
      </c>
      <c r="H691">
        <v>6</v>
      </c>
      <c r="I691">
        <v>6.2</v>
      </c>
      <c r="J691">
        <v>5.8</v>
      </c>
      <c r="K691">
        <v>5.7</v>
      </c>
      <c r="L691" s="1"/>
    </row>
    <row r="692" spans="1:12">
      <c r="A692" t="s">
        <v>740</v>
      </c>
      <c r="B692">
        <v>8.5</v>
      </c>
      <c r="C692">
        <v>8</v>
      </c>
      <c r="D692">
        <v>7.8</v>
      </c>
      <c r="E692">
        <v>7</v>
      </c>
      <c r="F692">
        <v>7.8</v>
      </c>
      <c r="G692">
        <v>5.4</v>
      </c>
      <c r="H692">
        <v>7.4</v>
      </c>
      <c r="I692">
        <v>5.6</v>
      </c>
      <c r="J692">
        <v>5.4</v>
      </c>
      <c r="K692">
        <v>5.4</v>
      </c>
      <c r="L692" s="1"/>
    </row>
    <row r="693" spans="1:12">
      <c r="A693" t="s">
        <v>741</v>
      </c>
      <c r="B693">
        <v>7.8</v>
      </c>
      <c r="C693">
        <v>7.6</v>
      </c>
      <c r="D693">
        <v>7.7</v>
      </c>
      <c r="E693">
        <v>6.1</v>
      </c>
      <c r="F693">
        <v>6.9</v>
      </c>
      <c r="G693">
        <v>7</v>
      </c>
      <c r="H693">
        <v>5.6</v>
      </c>
      <c r="I693">
        <v>7.2</v>
      </c>
      <c r="J693">
        <v>7.1</v>
      </c>
      <c r="K693">
        <v>7.4</v>
      </c>
      <c r="L693" s="1"/>
    </row>
    <row r="694" spans="1:12">
      <c r="A694" t="s">
        <v>742</v>
      </c>
      <c r="B694">
        <v>8.1</v>
      </c>
      <c r="C694">
        <v>7.5</v>
      </c>
      <c r="D694">
        <v>8.1</v>
      </c>
      <c r="E694">
        <v>6.7</v>
      </c>
      <c r="F694">
        <v>7.7</v>
      </c>
      <c r="G694">
        <v>6.7</v>
      </c>
      <c r="H694">
        <v>7.3</v>
      </c>
      <c r="I694">
        <v>7.6</v>
      </c>
      <c r="J694">
        <v>8.2</v>
      </c>
      <c r="K694">
        <v>6.6</v>
      </c>
      <c r="L694" s="1"/>
    </row>
    <row r="695" spans="1:12">
      <c r="A695" t="s">
        <v>743</v>
      </c>
      <c r="B695">
        <v>7.7</v>
      </c>
      <c r="C695">
        <v>7.4</v>
      </c>
      <c r="D695">
        <v>7.8</v>
      </c>
      <c r="E695">
        <v>7.7</v>
      </c>
      <c r="F695">
        <v>8.1</v>
      </c>
      <c r="G695">
        <v>5.9</v>
      </c>
      <c r="H695">
        <v>5.8</v>
      </c>
      <c r="I695">
        <v>6.7</v>
      </c>
      <c r="J695">
        <v>5.2</v>
      </c>
      <c r="K695">
        <v>5.4</v>
      </c>
      <c r="L695" s="1"/>
    </row>
    <row r="696" spans="1:12">
      <c r="A696" t="s">
        <v>744</v>
      </c>
      <c r="B696">
        <v>8.3</v>
      </c>
      <c r="C696">
        <v>8</v>
      </c>
      <c r="D696">
        <v>8.7</v>
      </c>
      <c r="E696">
        <v>6.7</v>
      </c>
      <c r="F696">
        <v>7.2</v>
      </c>
      <c r="G696">
        <v>6.8</v>
      </c>
      <c r="H696">
        <v>7.3</v>
      </c>
      <c r="I696">
        <v>7.6</v>
      </c>
      <c r="J696">
        <v>5.7</v>
      </c>
      <c r="K696">
        <v>9</v>
      </c>
      <c r="L696" s="1"/>
    </row>
    <row r="697" spans="1:12">
      <c r="A697" t="s">
        <v>745</v>
      </c>
      <c r="B697">
        <v>7.9</v>
      </c>
      <c r="C697">
        <v>7.6</v>
      </c>
      <c r="D697">
        <v>8.3</v>
      </c>
      <c r="E697">
        <v>7.4</v>
      </c>
      <c r="F697">
        <v>6.6</v>
      </c>
      <c r="G697">
        <v>7</v>
      </c>
      <c r="H697">
        <v>4.3</v>
      </c>
      <c r="I697">
        <v>6</v>
      </c>
      <c r="J697">
        <v>5.8</v>
      </c>
      <c r="K697">
        <v>6.4</v>
      </c>
      <c r="L697" s="1"/>
    </row>
    <row r="698" spans="1:12">
      <c r="A698" t="s">
        <v>746</v>
      </c>
      <c r="B698">
        <v>7.1</v>
      </c>
      <c r="C698">
        <v>7.8</v>
      </c>
      <c r="D698">
        <v>8.7</v>
      </c>
      <c r="E698">
        <v>6.7</v>
      </c>
      <c r="F698">
        <v>5.6</v>
      </c>
      <c r="G698">
        <v>6.9</v>
      </c>
      <c r="H698">
        <v>5.2</v>
      </c>
      <c r="I698">
        <v>5.3</v>
      </c>
      <c r="J698">
        <v>6.2</v>
      </c>
      <c r="K698">
        <v>4.2</v>
      </c>
      <c r="L698" s="1"/>
    </row>
    <row r="699" spans="1:12">
      <c r="A699" t="s">
        <v>747</v>
      </c>
      <c r="B699">
        <v>7.3</v>
      </c>
      <c r="C699">
        <v>7.1</v>
      </c>
      <c r="D699">
        <v>7.4</v>
      </c>
      <c r="E699">
        <v>6.9</v>
      </c>
      <c r="F699">
        <v>5.7</v>
      </c>
      <c r="G699">
        <v>7.1</v>
      </c>
      <c r="H699">
        <v>6.4</v>
      </c>
      <c r="I699">
        <v>7.3</v>
      </c>
      <c r="J699">
        <v>6.2</v>
      </c>
      <c r="K699">
        <v>6.3</v>
      </c>
      <c r="L699" s="1"/>
    </row>
    <row r="700" spans="1:12">
      <c r="A700" t="s">
        <v>748</v>
      </c>
      <c r="B700">
        <v>8.3</v>
      </c>
      <c r="C700">
        <v>8.8</v>
      </c>
      <c r="D700">
        <v>7.7</v>
      </c>
      <c r="E700">
        <v>7.8</v>
      </c>
      <c r="F700">
        <v>7.2</v>
      </c>
      <c r="G700">
        <v>7.1</v>
      </c>
      <c r="H700">
        <v>7</v>
      </c>
      <c r="I700">
        <v>7.7</v>
      </c>
      <c r="J700">
        <v>7.5</v>
      </c>
      <c r="K700">
        <v>4.4</v>
      </c>
      <c r="L700" s="1"/>
    </row>
    <row r="701" spans="1:12">
      <c r="A701" t="s">
        <v>749</v>
      </c>
      <c r="B701">
        <v>8.4</v>
      </c>
      <c r="C701">
        <v>7.3</v>
      </c>
      <c r="D701">
        <v>7.1</v>
      </c>
      <c r="E701">
        <v>7.4</v>
      </c>
      <c r="F701">
        <v>5.6</v>
      </c>
      <c r="G701">
        <v>6.8</v>
      </c>
      <c r="H701">
        <v>6.6</v>
      </c>
      <c r="I701">
        <v>6</v>
      </c>
      <c r="J701">
        <v>6.9</v>
      </c>
      <c r="K701">
        <v>8.1</v>
      </c>
      <c r="L701" s="1"/>
    </row>
    <row r="702" spans="1:12">
      <c r="A702" t="s">
        <v>750</v>
      </c>
      <c r="B702">
        <v>8.1</v>
      </c>
      <c r="C702">
        <v>8.3</v>
      </c>
      <c r="D702">
        <v>7.5</v>
      </c>
      <c r="E702">
        <v>7.9</v>
      </c>
      <c r="F702">
        <v>7.8</v>
      </c>
      <c r="G702">
        <v>7.4</v>
      </c>
      <c r="H702">
        <v>5.9</v>
      </c>
      <c r="I702">
        <v>7</v>
      </c>
      <c r="J702">
        <v>6</v>
      </c>
      <c r="K702">
        <v>7.1</v>
      </c>
      <c r="L702" s="1"/>
    </row>
    <row r="703" spans="1:12">
      <c r="A703" t="s">
        <v>751</v>
      </c>
      <c r="B703">
        <v>7.8</v>
      </c>
      <c r="C703">
        <v>8</v>
      </c>
      <c r="D703">
        <v>7.7</v>
      </c>
      <c r="E703">
        <v>7.1</v>
      </c>
      <c r="F703">
        <v>7.7</v>
      </c>
      <c r="G703">
        <v>7.6</v>
      </c>
      <c r="H703">
        <v>6.2</v>
      </c>
      <c r="I703">
        <v>7</v>
      </c>
      <c r="J703">
        <v>6.8</v>
      </c>
      <c r="K703">
        <v>5.9</v>
      </c>
      <c r="L703" s="1"/>
    </row>
    <row r="704" spans="1:12">
      <c r="A704" t="s">
        <v>752</v>
      </c>
      <c r="B704">
        <v>7.6</v>
      </c>
      <c r="C704">
        <v>7</v>
      </c>
      <c r="D704">
        <v>6.8</v>
      </c>
      <c r="E704">
        <v>7.4</v>
      </c>
      <c r="F704">
        <v>8.3</v>
      </c>
      <c r="G704">
        <v>6.9</v>
      </c>
      <c r="H704">
        <v>6.9</v>
      </c>
      <c r="I704">
        <v>7.7</v>
      </c>
      <c r="J704">
        <v>5.8</v>
      </c>
      <c r="K704">
        <v>5.7</v>
      </c>
      <c r="L704" s="1"/>
    </row>
    <row r="705" spans="1:12">
      <c r="A705" t="s">
        <v>753</v>
      </c>
      <c r="B705">
        <v>7.7</v>
      </c>
      <c r="C705">
        <v>7.9</v>
      </c>
      <c r="D705">
        <v>8</v>
      </c>
      <c r="E705">
        <v>8.2</v>
      </c>
      <c r="F705">
        <v>6.4</v>
      </c>
      <c r="G705">
        <v>7.1</v>
      </c>
      <c r="H705">
        <v>7.6</v>
      </c>
      <c r="I705">
        <v>6.8</v>
      </c>
      <c r="J705">
        <v>5.8</v>
      </c>
      <c r="K705">
        <v>7.9</v>
      </c>
      <c r="L705" s="1"/>
    </row>
    <row r="706" spans="1:12">
      <c r="A706" t="s">
        <v>754</v>
      </c>
      <c r="B706">
        <v>7.5</v>
      </c>
      <c r="C706">
        <v>8.5</v>
      </c>
      <c r="D706">
        <v>6.8</v>
      </c>
      <c r="E706">
        <v>8.2</v>
      </c>
      <c r="F706">
        <v>6.5</v>
      </c>
      <c r="G706">
        <v>7.2</v>
      </c>
      <c r="H706">
        <v>6.2</v>
      </c>
      <c r="I706">
        <v>6.5</v>
      </c>
      <c r="J706">
        <v>6.5</v>
      </c>
      <c r="K706">
        <v>3.2</v>
      </c>
      <c r="L706" s="1"/>
    </row>
    <row r="707" spans="1:12">
      <c r="A707" t="s">
        <v>755</v>
      </c>
      <c r="B707">
        <v>7.2</v>
      </c>
      <c r="C707">
        <v>7.5</v>
      </c>
      <c r="D707">
        <v>7.5</v>
      </c>
      <c r="E707">
        <v>7.7</v>
      </c>
      <c r="F707">
        <v>7.1</v>
      </c>
      <c r="G707">
        <v>7.2</v>
      </c>
      <c r="H707">
        <v>7.9</v>
      </c>
      <c r="I707">
        <v>6.8</v>
      </c>
      <c r="J707">
        <v>5.3</v>
      </c>
      <c r="K707">
        <v>7.3</v>
      </c>
      <c r="L707" s="1"/>
    </row>
    <row r="708" spans="1:12">
      <c r="A708" t="s">
        <v>756</v>
      </c>
      <c r="B708">
        <v>8.1</v>
      </c>
      <c r="C708">
        <v>7</v>
      </c>
      <c r="D708">
        <v>8.2</v>
      </c>
      <c r="E708">
        <v>7.5</v>
      </c>
      <c r="F708">
        <v>7.1</v>
      </c>
      <c r="G708">
        <v>5.2</v>
      </c>
      <c r="H708">
        <v>8.4</v>
      </c>
      <c r="I708">
        <v>5.2</v>
      </c>
      <c r="J708">
        <v>6.7</v>
      </c>
      <c r="K708">
        <v>7.9</v>
      </c>
      <c r="L708" s="1"/>
    </row>
    <row r="709" spans="1:12">
      <c r="A709" t="s">
        <v>757</v>
      </c>
      <c r="B709">
        <v>7.2</v>
      </c>
      <c r="C709">
        <v>7.5</v>
      </c>
      <c r="D709">
        <v>7.3</v>
      </c>
      <c r="E709">
        <v>6.9</v>
      </c>
      <c r="F709">
        <v>5.4</v>
      </c>
      <c r="G709">
        <v>6.2</v>
      </c>
      <c r="H709">
        <v>5.4</v>
      </c>
      <c r="I709">
        <v>7.6</v>
      </c>
      <c r="J709">
        <v>5</v>
      </c>
      <c r="K709">
        <v>5.1</v>
      </c>
      <c r="L709" s="1"/>
    </row>
    <row r="710" spans="1:12">
      <c r="A710" t="s">
        <v>758</v>
      </c>
      <c r="B710">
        <v>8.5</v>
      </c>
      <c r="C710">
        <v>7.8</v>
      </c>
      <c r="D710">
        <v>6.9</v>
      </c>
      <c r="E710">
        <v>7.6</v>
      </c>
      <c r="F710">
        <v>6.2</v>
      </c>
      <c r="G710">
        <v>5.9</v>
      </c>
      <c r="H710">
        <v>5.8</v>
      </c>
      <c r="I710">
        <v>6.3</v>
      </c>
      <c r="J710">
        <v>6.9</v>
      </c>
      <c r="K710">
        <v>7.3</v>
      </c>
      <c r="L710" s="1"/>
    </row>
    <row r="711" spans="1:12">
      <c r="A711" t="s">
        <v>759</v>
      </c>
      <c r="B711">
        <v>7.5</v>
      </c>
      <c r="C711">
        <v>7.9</v>
      </c>
      <c r="D711">
        <v>8.3</v>
      </c>
      <c r="E711">
        <v>8.7</v>
      </c>
      <c r="F711">
        <v>6.9</v>
      </c>
      <c r="G711">
        <v>7.4</v>
      </c>
      <c r="H711">
        <v>6.6</v>
      </c>
      <c r="I711">
        <v>7.4</v>
      </c>
      <c r="J711">
        <v>6.7</v>
      </c>
      <c r="K711">
        <v>7.4</v>
      </c>
      <c r="L711" s="1"/>
    </row>
    <row r="712" spans="1:12">
      <c r="A712" t="s">
        <v>760</v>
      </c>
      <c r="B712">
        <v>8.1</v>
      </c>
      <c r="C712">
        <v>8</v>
      </c>
      <c r="D712">
        <v>8.7</v>
      </c>
      <c r="E712">
        <v>7</v>
      </c>
      <c r="F712">
        <v>7.5</v>
      </c>
      <c r="G712">
        <v>6.8</v>
      </c>
      <c r="H712">
        <v>6.6</v>
      </c>
      <c r="I712">
        <v>6.4</v>
      </c>
      <c r="J712">
        <v>5.8</v>
      </c>
      <c r="K712">
        <v>7.9</v>
      </c>
      <c r="L712" s="1"/>
    </row>
    <row r="713" spans="1:12">
      <c r="A713" t="s">
        <v>761</v>
      </c>
      <c r="B713">
        <v>7.8</v>
      </c>
      <c r="C713">
        <v>7.5</v>
      </c>
      <c r="D713">
        <v>8.4</v>
      </c>
      <c r="E713">
        <v>7.4</v>
      </c>
      <c r="F713">
        <v>5.9</v>
      </c>
      <c r="G713">
        <v>7</v>
      </c>
      <c r="H713">
        <v>6.6</v>
      </c>
      <c r="I713">
        <v>5.7</v>
      </c>
      <c r="J713">
        <v>6</v>
      </c>
      <c r="K713">
        <v>6.9</v>
      </c>
      <c r="L713" s="1"/>
    </row>
    <row r="714" spans="1:12">
      <c r="A714" t="s">
        <v>762</v>
      </c>
      <c r="B714">
        <v>7.5</v>
      </c>
      <c r="C714">
        <v>6.8</v>
      </c>
      <c r="D714">
        <v>7.1</v>
      </c>
      <c r="E714">
        <v>7.4</v>
      </c>
      <c r="F714">
        <v>6.5</v>
      </c>
      <c r="G714">
        <v>7.4</v>
      </c>
      <c r="H714">
        <v>6.9</v>
      </c>
      <c r="I714">
        <v>6.6</v>
      </c>
      <c r="J714">
        <v>6.7</v>
      </c>
      <c r="K714">
        <v>5</v>
      </c>
      <c r="L714" s="1"/>
    </row>
    <row r="715" spans="1:12">
      <c r="A715" t="s">
        <v>763</v>
      </c>
      <c r="B715">
        <v>7.5</v>
      </c>
      <c r="C715">
        <v>7.8</v>
      </c>
      <c r="D715">
        <v>8.1</v>
      </c>
      <c r="E715">
        <v>8</v>
      </c>
      <c r="F715">
        <v>7.5</v>
      </c>
      <c r="G715">
        <v>6.8</v>
      </c>
      <c r="H715">
        <v>5.9</v>
      </c>
      <c r="I715">
        <v>7.3</v>
      </c>
      <c r="J715">
        <v>7.5</v>
      </c>
      <c r="K715">
        <v>5.6</v>
      </c>
      <c r="L715" s="1"/>
    </row>
    <row r="716" spans="1:12">
      <c r="A716" t="s">
        <v>764</v>
      </c>
      <c r="B716">
        <v>7.1</v>
      </c>
      <c r="C716">
        <v>7.2</v>
      </c>
      <c r="D716">
        <v>7.9</v>
      </c>
      <c r="E716">
        <v>8.4</v>
      </c>
      <c r="F716">
        <v>7.3</v>
      </c>
      <c r="G716">
        <v>6.5</v>
      </c>
      <c r="H716">
        <v>7</v>
      </c>
      <c r="I716">
        <v>7</v>
      </c>
      <c r="J716">
        <v>6.4</v>
      </c>
      <c r="K716">
        <v>5.6</v>
      </c>
      <c r="L716" s="1"/>
    </row>
    <row r="717" spans="1:12">
      <c r="A717" t="s">
        <v>765</v>
      </c>
      <c r="B717">
        <v>8.2</v>
      </c>
      <c r="C717">
        <v>8.4</v>
      </c>
      <c r="D717">
        <v>6.7</v>
      </c>
      <c r="E717">
        <v>6.5</v>
      </c>
      <c r="F717">
        <v>7.1</v>
      </c>
      <c r="G717">
        <v>6.9</v>
      </c>
      <c r="H717">
        <v>7.5</v>
      </c>
      <c r="I717">
        <v>7.1</v>
      </c>
      <c r="J717">
        <v>7.1</v>
      </c>
      <c r="K717">
        <v>6.2</v>
      </c>
      <c r="L717" s="1"/>
    </row>
    <row r="718" spans="1:12">
      <c r="A718" t="s">
        <v>766</v>
      </c>
      <c r="B718">
        <v>8.1</v>
      </c>
      <c r="C718">
        <v>7.7</v>
      </c>
      <c r="D718">
        <v>7.8</v>
      </c>
      <c r="E718">
        <v>7.8</v>
      </c>
      <c r="F718">
        <v>7.6</v>
      </c>
      <c r="G718">
        <v>7</v>
      </c>
      <c r="H718">
        <v>6.5</v>
      </c>
      <c r="I718">
        <v>6.7</v>
      </c>
      <c r="J718">
        <v>8</v>
      </c>
      <c r="K718">
        <v>6.7</v>
      </c>
      <c r="L718" s="1"/>
    </row>
    <row r="719" spans="1:12">
      <c r="A719" t="s">
        <v>767</v>
      </c>
      <c r="B719">
        <v>7.2</v>
      </c>
      <c r="C719">
        <v>7.9</v>
      </c>
      <c r="D719">
        <v>7.9</v>
      </c>
      <c r="E719">
        <v>8.1</v>
      </c>
      <c r="F719">
        <v>7.4</v>
      </c>
      <c r="G719">
        <v>6.1</v>
      </c>
      <c r="H719">
        <v>6.6</v>
      </c>
      <c r="I719">
        <v>6.6</v>
      </c>
      <c r="J719">
        <v>5.7</v>
      </c>
      <c r="K719">
        <v>5.6</v>
      </c>
      <c r="L719" s="1"/>
    </row>
    <row r="720" spans="1:12">
      <c r="A720" t="s">
        <v>768</v>
      </c>
      <c r="B720">
        <v>7.4</v>
      </c>
      <c r="C720">
        <v>7.8</v>
      </c>
      <c r="D720">
        <v>8.2</v>
      </c>
      <c r="E720">
        <v>6.3</v>
      </c>
      <c r="F720">
        <v>7.9</v>
      </c>
      <c r="G720">
        <v>7.5</v>
      </c>
      <c r="H720">
        <v>8.1</v>
      </c>
      <c r="I720">
        <v>7.3</v>
      </c>
      <c r="J720">
        <v>6.8</v>
      </c>
      <c r="K720">
        <v>6.9</v>
      </c>
      <c r="L720" s="1"/>
    </row>
    <row r="721" spans="1:12">
      <c r="A721" t="s">
        <v>769</v>
      </c>
      <c r="B721">
        <v>7.9</v>
      </c>
      <c r="C721">
        <v>7.3</v>
      </c>
      <c r="D721">
        <v>8.4</v>
      </c>
      <c r="E721">
        <v>7.7</v>
      </c>
      <c r="F721">
        <v>7.2</v>
      </c>
      <c r="G721">
        <v>6.4</v>
      </c>
      <c r="H721">
        <v>6.3</v>
      </c>
      <c r="I721">
        <v>6.9</v>
      </c>
      <c r="J721">
        <v>6.6</v>
      </c>
      <c r="K721">
        <v>6.6</v>
      </c>
      <c r="L721" s="1"/>
    </row>
    <row r="722" spans="1:12">
      <c r="A722" t="s">
        <v>770</v>
      </c>
      <c r="B722">
        <v>7</v>
      </c>
      <c r="C722">
        <v>7.7</v>
      </c>
      <c r="D722">
        <v>8</v>
      </c>
      <c r="E722">
        <v>7.9</v>
      </c>
      <c r="F722">
        <v>5.8</v>
      </c>
      <c r="G722">
        <v>6.7</v>
      </c>
      <c r="H722">
        <v>7.4</v>
      </c>
      <c r="I722">
        <v>6.8</v>
      </c>
      <c r="J722">
        <v>6.7</v>
      </c>
      <c r="K722">
        <v>3.8</v>
      </c>
      <c r="L722" s="1"/>
    </row>
    <row r="723" spans="1:12">
      <c r="A723" t="s">
        <v>771</v>
      </c>
      <c r="B723">
        <v>8.1</v>
      </c>
      <c r="C723">
        <v>7.5</v>
      </c>
      <c r="D723">
        <v>7</v>
      </c>
      <c r="E723">
        <v>6.9</v>
      </c>
      <c r="F723">
        <v>7.6</v>
      </c>
      <c r="G723">
        <v>6.8</v>
      </c>
      <c r="H723">
        <v>5.6</v>
      </c>
      <c r="I723">
        <v>7.2</v>
      </c>
      <c r="J723">
        <v>4.9</v>
      </c>
      <c r="K723">
        <v>5.8</v>
      </c>
      <c r="L723" s="1"/>
    </row>
    <row r="724" spans="1:12">
      <c r="A724" t="s">
        <v>772</v>
      </c>
      <c r="B724">
        <v>6.7</v>
      </c>
      <c r="C724">
        <v>7.7</v>
      </c>
      <c r="D724">
        <v>7.5</v>
      </c>
      <c r="E724">
        <v>8</v>
      </c>
      <c r="F724">
        <v>6.6</v>
      </c>
      <c r="G724">
        <v>6.8</v>
      </c>
      <c r="H724">
        <v>7</v>
      </c>
      <c r="I724">
        <v>4.8</v>
      </c>
      <c r="J724">
        <v>7.9</v>
      </c>
      <c r="K724">
        <v>5.6</v>
      </c>
      <c r="L724" s="1"/>
    </row>
    <row r="725" spans="1:12">
      <c r="A725" t="s">
        <v>773</v>
      </c>
      <c r="B725">
        <v>8.5</v>
      </c>
      <c r="C725">
        <v>6.8</v>
      </c>
      <c r="D725">
        <v>8</v>
      </c>
      <c r="E725">
        <v>7.6</v>
      </c>
      <c r="F725">
        <v>9.1</v>
      </c>
      <c r="G725">
        <v>7.5</v>
      </c>
      <c r="H725">
        <v>4.9</v>
      </c>
      <c r="I725">
        <v>6.8</v>
      </c>
      <c r="J725">
        <v>6.2</v>
      </c>
      <c r="K725">
        <v>4.3</v>
      </c>
      <c r="L725" s="1"/>
    </row>
    <row r="726" spans="1:12">
      <c r="A726" t="s">
        <v>774</v>
      </c>
      <c r="B726">
        <v>8.6</v>
      </c>
      <c r="C726">
        <v>7.3</v>
      </c>
      <c r="D726">
        <v>7</v>
      </c>
      <c r="E726">
        <v>6.7</v>
      </c>
      <c r="F726">
        <v>7.5</v>
      </c>
      <c r="G726">
        <v>6.2</v>
      </c>
      <c r="H726">
        <v>7.8</v>
      </c>
      <c r="I726">
        <v>5.8</v>
      </c>
      <c r="J726">
        <v>6.8</v>
      </c>
      <c r="K726">
        <v>6.3</v>
      </c>
      <c r="L726" s="1"/>
    </row>
    <row r="727" spans="1:12">
      <c r="A727" t="s">
        <v>775</v>
      </c>
      <c r="B727">
        <v>8.6</v>
      </c>
      <c r="C727">
        <v>7.6</v>
      </c>
      <c r="D727">
        <v>7.4</v>
      </c>
      <c r="E727">
        <v>6.9</v>
      </c>
      <c r="F727">
        <v>6</v>
      </c>
      <c r="G727">
        <v>6.6</v>
      </c>
      <c r="H727">
        <v>7</v>
      </c>
      <c r="I727">
        <v>7.3</v>
      </c>
      <c r="J727">
        <v>8</v>
      </c>
      <c r="K727">
        <v>4.8</v>
      </c>
      <c r="L727" s="1"/>
    </row>
    <row r="728" spans="1:12">
      <c r="A728" t="s">
        <v>776</v>
      </c>
      <c r="B728">
        <v>7.5</v>
      </c>
      <c r="C728">
        <v>7.8</v>
      </c>
      <c r="D728">
        <v>8.4</v>
      </c>
      <c r="E728">
        <v>7.3</v>
      </c>
      <c r="F728">
        <v>6.7</v>
      </c>
      <c r="G728">
        <v>7.9</v>
      </c>
      <c r="H728">
        <v>7.5</v>
      </c>
      <c r="I728">
        <v>6.8</v>
      </c>
      <c r="J728">
        <v>7.4</v>
      </c>
      <c r="K728">
        <v>3.9</v>
      </c>
      <c r="L728" s="1"/>
    </row>
    <row r="729" spans="1:12">
      <c r="A729" t="s">
        <v>777</v>
      </c>
      <c r="B729">
        <v>8</v>
      </c>
      <c r="C729">
        <v>8</v>
      </c>
      <c r="D729">
        <v>8.3</v>
      </c>
      <c r="E729">
        <v>7.5</v>
      </c>
      <c r="F729">
        <v>7.2</v>
      </c>
      <c r="G729">
        <v>6.3</v>
      </c>
      <c r="H729">
        <v>7.2</v>
      </c>
      <c r="I729">
        <v>6.7</v>
      </c>
      <c r="J729">
        <v>5.5</v>
      </c>
      <c r="K729">
        <v>6.8</v>
      </c>
      <c r="L729" s="1"/>
    </row>
    <row r="730" spans="1:12">
      <c r="A730" t="s">
        <v>778</v>
      </c>
      <c r="B730">
        <v>7.9</v>
      </c>
      <c r="C730">
        <v>8.9</v>
      </c>
      <c r="D730">
        <v>7.3</v>
      </c>
      <c r="E730">
        <v>7.1</v>
      </c>
      <c r="F730">
        <v>8.7</v>
      </c>
      <c r="G730">
        <v>7.2</v>
      </c>
      <c r="H730">
        <v>6</v>
      </c>
      <c r="I730">
        <v>5.8</v>
      </c>
      <c r="J730">
        <v>7</v>
      </c>
      <c r="K730">
        <v>4.5</v>
      </c>
      <c r="L730" s="1"/>
    </row>
    <row r="731" spans="1:12">
      <c r="A731" t="s">
        <v>779</v>
      </c>
      <c r="B731">
        <v>8.3</v>
      </c>
      <c r="C731">
        <v>8.5</v>
      </c>
      <c r="D731">
        <v>7.7</v>
      </c>
      <c r="E731">
        <v>7.3</v>
      </c>
      <c r="F731">
        <v>7.1</v>
      </c>
      <c r="G731">
        <v>7</v>
      </c>
      <c r="H731">
        <v>8.6</v>
      </c>
      <c r="I731">
        <v>6.9</v>
      </c>
      <c r="J731">
        <v>6.8</v>
      </c>
      <c r="K731">
        <v>3.1</v>
      </c>
      <c r="L731" s="1"/>
    </row>
    <row r="732" spans="1:12">
      <c r="A732" t="s">
        <v>780</v>
      </c>
      <c r="B732">
        <v>8.1</v>
      </c>
      <c r="C732">
        <v>8.1</v>
      </c>
      <c r="D732">
        <v>7.3</v>
      </c>
      <c r="E732">
        <v>6.7</v>
      </c>
      <c r="F732">
        <v>6.5</v>
      </c>
      <c r="G732">
        <v>7.8</v>
      </c>
      <c r="H732">
        <v>5.9</v>
      </c>
      <c r="I732">
        <v>6.9</v>
      </c>
      <c r="J732">
        <v>6.7</v>
      </c>
      <c r="K732">
        <v>6.7</v>
      </c>
      <c r="L732" s="1"/>
    </row>
    <row r="733" spans="1:12">
      <c r="A733" t="s">
        <v>781</v>
      </c>
      <c r="B733">
        <v>8</v>
      </c>
      <c r="C733">
        <v>7.7</v>
      </c>
      <c r="D733">
        <v>6.7</v>
      </c>
      <c r="E733">
        <v>7.6</v>
      </c>
      <c r="F733">
        <v>7.1</v>
      </c>
      <c r="G733">
        <v>7.5</v>
      </c>
      <c r="H733">
        <v>5.6</v>
      </c>
      <c r="I733">
        <v>5.8</v>
      </c>
      <c r="J733">
        <v>7.6</v>
      </c>
      <c r="K733">
        <v>5.5</v>
      </c>
      <c r="L733" s="1"/>
    </row>
    <row r="734" spans="1:12">
      <c r="A734" t="s">
        <v>782</v>
      </c>
      <c r="B734">
        <v>8.5</v>
      </c>
      <c r="C734">
        <v>7.9</v>
      </c>
      <c r="D734">
        <v>8.3</v>
      </c>
      <c r="E734">
        <v>7.9</v>
      </c>
      <c r="F734">
        <v>8</v>
      </c>
      <c r="G734">
        <v>6.4</v>
      </c>
      <c r="H734">
        <v>4.6</v>
      </c>
      <c r="I734">
        <v>7.4</v>
      </c>
      <c r="J734">
        <v>7.7</v>
      </c>
      <c r="K734">
        <v>6.2</v>
      </c>
      <c r="L734" s="1"/>
    </row>
    <row r="735" spans="1:12">
      <c r="A735" t="s">
        <v>783</v>
      </c>
      <c r="B735">
        <v>7.2</v>
      </c>
      <c r="C735">
        <v>7.6</v>
      </c>
      <c r="D735">
        <v>8.5</v>
      </c>
      <c r="E735">
        <v>6.9</v>
      </c>
      <c r="F735">
        <v>6.9</v>
      </c>
      <c r="G735">
        <v>6.4</v>
      </c>
      <c r="H735">
        <v>6.9</v>
      </c>
      <c r="I735">
        <v>6.5</v>
      </c>
      <c r="J735">
        <v>7.4</v>
      </c>
      <c r="K735">
        <v>6.3</v>
      </c>
      <c r="L735" s="1"/>
    </row>
    <row r="736" spans="1:12">
      <c r="A736" t="s">
        <v>784</v>
      </c>
      <c r="B736">
        <v>8.6</v>
      </c>
      <c r="C736">
        <v>7.2</v>
      </c>
      <c r="D736">
        <v>7.9</v>
      </c>
      <c r="E736">
        <v>7.6</v>
      </c>
      <c r="F736">
        <v>6.7</v>
      </c>
      <c r="G736">
        <v>5.6</v>
      </c>
      <c r="H736">
        <v>6.4</v>
      </c>
      <c r="I736">
        <v>6.9</v>
      </c>
      <c r="J736">
        <v>6.6</v>
      </c>
      <c r="K736">
        <v>5.5</v>
      </c>
      <c r="L736" s="1"/>
    </row>
    <row r="737" spans="1:12">
      <c r="A737" t="s">
        <v>785</v>
      </c>
      <c r="B737">
        <v>7.5</v>
      </c>
      <c r="C737">
        <v>7.9</v>
      </c>
      <c r="D737">
        <v>8.8</v>
      </c>
      <c r="E737">
        <v>7.2</v>
      </c>
      <c r="F737">
        <v>6.5</v>
      </c>
      <c r="G737">
        <v>6.8</v>
      </c>
      <c r="H737">
        <v>7.3</v>
      </c>
      <c r="I737">
        <v>7</v>
      </c>
      <c r="J737">
        <v>5.2</v>
      </c>
      <c r="K737">
        <v>4.3</v>
      </c>
      <c r="L737" s="1"/>
    </row>
    <row r="738" spans="1:12">
      <c r="A738" t="s">
        <v>786</v>
      </c>
      <c r="B738">
        <v>7.6</v>
      </c>
      <c r="C738">
        <v>8.1</v>
      </c>
      <c r="D738">
        <v>7.8</v>
      </c>
      <c r="E738">
        <v>6.9</v>
      </c>
      <c r="F738">
        <v>5.8</v>
      </c>
      <c r="G738">
        <v>6.4</v>
      </c>
      <c r="H738">
        <v>6.4</v>
      </c>
      <c r="I738">
        <v>7</v>
      </c>
      <c r="J738">
        <v>5.9</v>
      </c>
      <c r="K738">
        <v>6.2</v>
      </c>
      <c r="L738" s="1"/>
    </row>
    <row r="739" spans="1:12">
      <c r="A739" t="s">
        <v>787</v>
      </c>
      <c r="B739">
        <v>7.9</v>
      </c>
      <c r="C739">
        <v>7.7</v>
      </c>
      <c r="D739">
        <v>7.5</v>
      </c>
      <c r="E739">
        <v>6.9</v>
      </c>
      <c r="F739">
        <v>7.2</v>
      </c>
      <c r="G739">
        <v>7.2</v>
      </c>
      <c r="H739">
        <v>7.2</v>
      </c>
      <c r="I739">
        <v>7</v>
      </c>
      <c r="J739">
        <v>7.3</v>
      </c>
      <c r="K739">
        <v>5.4</v>
      </c>
      <c r="L739" s="1"/>
    </row>
    <row r="740" spans="1:12">
      <c r="A740" t="s">
        <v>788</v>
      </c>
      <c r="B740">
        <v>7.7</v>
      </c>
      <c r="C740">
        <v>8.6</v>
      </c>
      <c r="D740">
        <v>7.9</v>
      </c>
      <c r="E740">
        <v>7.1</v>
      </c>
      <c r="F740">
        <v>7.2</v>
      </c>
      <c r="G740">
        <v>6.5</v>
      </c>
      <c r="H740">
        <v>5.9</v>
      </c>
      <c r="I740">
        <v>6.2</v>
      </c>
      <c r="J740">
        <v>4.5</v>
      </c>
      <c r="K740">
        <v>5.6</v>
      </c>
      <c r="L740" s="1"/>
    </row>
    <row r="741" spans="1:12">
      <c r="A741" t="s">
        <v>789</v>
      </c>
      <c r="B741">
        <v>6.6</v>
      </c>
      <c r="C741">
        <v>8.5</v>
      </c>
      <c r="D741">
        <v>6.8</v>
      </c>
      <c r="E741">
        <v>7.6</v>
      </c>
      <c r="F741">
        <v>7.1</v>
      </c>
      <c r="G741">
        <v>6.3</v>
      </c>
      <c r="H741">
        <v>6.5</v>
      </c>
      <c r="I741">
        <v>6.3</v>
      </c>
      <c r="J741">
        <v>7</v>
      </c>
      <c r="K741">
        <v>4.3</v>
      </c>
      <c r="L741" s="1"/>
    </row>
    <row r="742" spans="1:12">
      <c r="A742" t="s">
        <v>790</v>
      </c>
      <c r="B742">
        <v>8.2</v>
      </c>
      <c r="C742">
        <v>8.2</v>
      </c>
      <c r="D742">
        <v>7.7</v>
      </c>
      <c r="E742">
        <v>6.9</v>
      </c>
      <c r="F742">
        <v>7.1</v>
      </c>
      <c r="G742">
        <v>8.5</v>
      </c>
      <c r="H742">
        <v>6.4</v>
      </c>
      <c r="I742">
        <v>7.2</v>
      </c>
      <c r="J742">
        <v>6</v>
      </c>
      <c r="K742">
        <v>6.8</v>
      </c>
      <c r="L742" s="1"/>
    </row>
    <row r="743" spans="1:12">
      <c r="A743" t="s">
        <v>791</v>
      </c>
      <c r="B743">
        <v>7.8</v>
      </c>
      <c r="C743">
        <v>8.1</v>
      </c>
      <c r="D743">
        <v>7.8</v>
      </c>
      <c r="E743">
        <v>8.6</v>
      </c>
      <c r="F743">
        <v>8.5</v>
      </c>
      <c r="G743">
        <v>6.4</v>
      </c>
      <c r="H743">
        <v>6.3</v>
      </c>
      <c r="I743">
        <v>6</v>
      </c>
      <c r="J743">
        <v>5.9</v>
      </c>
      <c r="K743">
        <v>6.7</v>
      </c>
      <c r="L743" s="1"/>
    </row>
    <row r="744" spans="1:12">
      <c r="A744" t="s">
        <v>792</v>
      </c>
      <c r="B744">
        <v>7.7</v>
      </c>
      <c r="C744">
        <v>8.5</v>
      </c>
      <c r="D744">
        <v>7.6</v>
      </c>
      <c r="E744">
        <v>8.2</v>
      </c>
      <c r="F744">
        <v>7.3</v>
      </c>
      <c r="G744">
        <v>6.6</v>
      </c>
      <c r="H744">
        <v>6.7</v>
      </c>
      <c r="I744">
        <v>6.5</v>
      </c>
      <c r="J744">
        <v>5.7</v>
      </c>
      <c r="K744">
        <v>6.3</v>
      </c>
      <c r="L744" s="1"/>
    </row>
    <row r="745" spans="1:12">
      <c r="A745" t="s">
        <v>793</v>
      </c>
      <c r="B745">
        <v>8.7</v>
      </c>
      <c r="C745">
        <v>8.4</v>
      </c>
      <c r="D745">
        <v>7.9</v>
      </c>
      <c r="E745">
        <v>8.5</v>
      </c>
      <c r="F745">
        <v>9.1</v>
      </c>
      <c r="G745">
        <v>6.4</v>
      </c>
      <c r="H745">
        <v>8</v>
      </c>
      <c r="I745">
        <v>6.4</v>
      </c>
      <c r="J745">
        <v>4.9</v>
      </c>
      <c r="K745">
        <v>4.1</v>
      </c>
      <c r="L745" s="1"/>
    </row>
    <row r="746" spans="1:12">
      <c r="A746" t="s">
        <v>794</v>
      </c>
      <c r="B746">
        <v>8.7</v>
      </c>
      <c r="C746">
        <v>8.3</v>
      </c>
      <c r="D746">
        <v>8.5</v>
      </c>
      <c r="E746">
        <v>9.1</v>
      </c>
      <c r="F746">
        <v>9.3</v>
      </c>
      <c r="G746">
        <v>8.5</v>
      </c>
      <c r="H746">
        <v>7.8</v>
      </c>
      <c r="I746">
        <v>6.4</v>
      </c>
      <c r="J746">
        <v>7</v>
      </c>
      <c r="K746">
        <v>7.3</v>
      </c>
      <c r="L746" s="1"/>
    </row>
    <row r="747" spans="1:12">
      <c r="A747" t="s">
        <v>795</v>
      </c>
      <c r="B747">
        <v>9.3</v>
      </c>
      <c r="C747">
        <v>8.9</v>
      </c>
      <c r="D747">
        <v>8.3</v>
      </c>
      <c r="E747">
        <v>7.3</v>
      </c>
      <c r="F747">
        <v>5.7</v>
      </c>
      <c r="G747">
        <v>7.1</v>
      </c>
      <c r="H747">
        <v>7.4</v>
      </c>
      <c r="I747">
        <v>8.1</v>
      </c>
      <c r="J747">
        <v>5.5</v>
      </c>
      <c r="K747">
        <v>6.5</v>
      </c>
      <c r="L747" s="1"/>
    </row>
    <row r="748" spans="1:12">
      <c r="A748" t="s">
        <v>796</v>
      </c>
      <c r="B748">
        <v>9</v>
      </c>
      <c r="C748">
        <v>8.1</v>
      </c>
      <c r="D748">
        <v>8.6</v>
      </c>
      <c r="E748">
        <v>8.6</v>
      </c>
      <c r="F748">
        <v>8.2</v>
      </c>
      <c r="G748">
        <v>6.8</v>
      </c>
      <c r="H748">
        <v>9</v>
      </c>
      <c r="I748">
        <v>6.8</v>
      </c>
      <c r="J748">
        <v>6.6</v>
      </c>
      <c r="K748">
        <v>7</v>
      </c>
      <c r="L748" s="1"/>
    </row>
    <row r="749" spans="1:12">
      <c r="A749" t="s">
        <v>797</v>
      </c>
      <c r="B749">
        <v>8.9</v>
      </c>
      <c r="C749">
        <v>9</v>
      </c>
      <c r="D749">
        <v>8.4</v>
      </c>
      <c r="E749">
        <v>8.3</v>
      </c>
      <c r="F749">
        <v>8.4</v>
      </c>
      <c r="G749">
        <v>8.6</v>
      </c>
      <c r="H749">
        <v>8.3</v>
      </c>
      <c r="I749">
        <v>9.4</v>
      </c>
      <c r="J749">
        <v>9.1</v>
      </c>
      <c r="K749">
        <v>5.5</v>
      </c>
      <c r="L749" s="1"/>
    </row>
    <row r="750" spans="1:12">
      <c r="A750" t="s">
        <v>798</v>
      </c>
      <c r="B750">
        <v>8.8</v>
      </c>
      <c r="C750">
        <v>9.3</v>
      </c>
      <c r="D750">
        <v>9.1</v>
      </c>
      <c r="E750">
        <v>7.8</v>
      </c>
      <c r="F750">
        <v>8.9</v>
      </c>
      <c r="G750">
        <v>9.2</v>
      </c>
      <c r="H750">
        <v>7</v>
      </c>
      <c r="I750">
        <v>6.1</v>
      </c>
      <c r="J750">
        <v>5.6</v>
      </c>
      <c r="K750">
        <v>5</v>
      </c>
      <c r="L750" s="1"/>
    </row>
    <row r="751" spans="1:12">
      <c r="A751" t="s">
        <v>799</v>
      </c>
      <c r="B751">
        <v>8.9</v>
      </c>
      <c r="C751">
        <v>8.6</v>
      </c>
      <c r="D751">
        <v>7.6</v>
      </c>
      <c r="E751">
        <v>9</v>
      </c>
      <c r="F751">
        <v>7.8</v>
      </c>
      <c r="G751">
        <v>7.2</v>
      </c>
      <c r="H751">
        <v>7.8</v>
      </c>
      <c r="I751">
        <v>7.2</v>
      </c>
      <c r="J751">
        <v>5</v>
      </c>
      <c r="K751">
        <v>5.5</v>
      </c>
      <c r="L751" s="1"/>
    </row>
    <row r="752" spans="1:12">
      <c r="A752" t="s">
        <v>800</v>
      </c>
      <c r="B752">
        <v>9.3</v>
      </c>
      <c r="C752">
        <v>8.7</v>
      </c>
      <c r="D752">
        <v>8.6</v>
      </c>
      <c r="E752">
        <v>8.1</v>
      </c>
      <c r="F752">
        <v>7.9</v>
      </c>
      <c r="G752">
        <v>7.6</v>
      </c>
      <c r="H752">
        <v>7.2</v>
      </c>
      <c r="I752">
        <v>7.8</v>
      </c>
      <c r="J752">
        <v>6.8</v>
      </c>
      <c r="K752">
        <v>5.8</v>
      </c>
      <c r="L752" s="1"/>
    </row>
    <row r="753" spans="1:12">
      <c r="A753" t="s">
        <v>801</v>
      </c>
      <c r="B753">
        <v>8</v>
      </c>
      <c r="C753">
        <v>8.8</v>
      </c>
      <c r="D753">
        <v>9.3</v>
      </c>
      <c r="E753">
        <v>8.8</v>
      </c>
      <c r="F753">
        <v>7.7</v>
      </c>
      <c r="G753">
        <v>9.1</v>
      </c>
      <c r="H753">
        <v>7.1</v>
      </c>
      <c r="I753">
        <v>7.7</v>
      </c>
      <c r="J753">
        <v>8.3</v>
      </c>
      <c r="K753">
        <v>5.2</v>
      </c>
      <c r="L753" s="1"/>
    </row>
    <row r="754" spans="1:12">
      <c r="A754" t="s">
        <v>802</v>
      </c>
      <c r="B754">
        <v>9.1</v>
      </c>
      <c r="C754">
        <v>8.9</v>
      </c>
      <c r="D754">
        <v>9.1</v>
      </c>
      <c r="E754">
        <v>7.9</v>
      </c>
      <c r="F754">
        <v>8.6</v>
      </c>
      <c r="G754">
        <v>6.9</v>
      </c>
      <c r="H754">
        <v>8.9</v>
      </c>
      <c r="I754">
        <v>7.3</v>
      </c>
      <c r="J754">
        <v>5.2</v>
      </c>
      <c r="K754">
        <v>5.7</v>
      </c>
      <c r="L754" s="1"/>
    </row>
    <row r="755" spans="1:12">
      <c r="A755" t="s">
        <v>803</v>
      </c>
      <c r="B755">
        <v>9.3</v>
      </c>
      <c r="C755">
        <v>8.4</v>
      </c>
      <c r="D755">
        <v>8.5</v>
      </c>
      <c r="E755">
        <v>7.9</v>
      </c>
      <c r="F755">
        <v>8.2</v>
      </c>
      <c r="G755">
        <v>7.3</v>
      </c>
      <c r="H755">
        <v>6.5</v>
      </c>
      <c r="I755">
        <v>6.9</v>
      </c>
      <c r="J755">
        <v>7.3</v>
      </c>
      <c r="K755">
        <v>6.3</v>
      </c>
      <c r="L755" s="1"/>
    </row>
    <row r="756" spans="1:12">
      <c r="A756" t="s">
        <v>804</v>
      </c>
      <c r="B756">
        <v>8.9</v>
      </c>
      <c r="C756">
        <v>8.1</v>
      </c>
      <c r="D756">
        <v>8.9</v>
      </c>
      <c r="E756">
        <v>8.4</v>
      </c>
      <c r="F756">
        <v>7.7</v>
      </c>
      <c r="G756">
        <v>8.3</v>
      </c>
      <c r="H756">
        <v>7.5</v>
      </c>
      <c r="I756">
        <v>7.4</v>
      </c>
      <c r="J756">
        <v>6.1</v>
      </c>
      <c r="K756">
        <v>7.7</v>
      </c>
      <c r="L756" s="1"/>
    </row>
    <row r="757" spans="1:12">
      <c r="A757" t="s">
        <v>805</v>
      </c>
      <c r="B757">
        <v>9</v>
      </c>
      <c r="C757">
        <v>8.8</v>
      </c>
      <c r="D757">
        <v>8.8</v>
      </c>
      <c r="E757">
        <v>7.1</v>
      </c>
      <c r="F757">
        <v>7.4</v>
      </c>
      <c r="G757">
        <v>5.8</v>
      </c>
      <c r="H757">
        <v>7.4</v>
      </c>
      <c r="I757">
        <v>7.8</v>
      </c>
      <c r="J757">
        <v>7.2</v>
      </c>
      <c r="K757">
        <v>6.4</v>
      </c>
      <c r="L757" s="1"/>
    </row>
    <row r="758" spans="1:12">
      <c r="A758" t="s">
        <v>806</v>
      </c>
      <c r="B758">
        <v>8.2</v>
      </c>
      <c r="C758">
        <v>8.9</v>
      </c>
      <c r="D758">
        <v>7.2</v>
      </c>
      <c r="E758">
        <v>8.2</v>
      </c>
      <c r="F758">
        <v>7.7</v>
      </c>
      <c r="G758">
        <v>5.5</v>
      </c>
      <c r="H758">
        <v>7.3</v>
      </c>
      <c r="I758">
        <v>6.7</v>
      </c>
      <c r="J758">
        <v>8.3</v>
      </c>
      <c r="K758">
        <v>7.3</v>
      </c>
      <c r="L758" s="1"/>
    </row>
    <row r="759" spans="1:12">
      <c r="A759" t="s">
        <v>807</v>
      </c>
      <c r="B759">
        <v>9.5</v>
      </c>
      <c r="C759">
        <v>8.6</v>
      </c>
      <c r="D759">
        <v>9.2</v>
      </c>
      <c r="E759">
        <v>8.2</v>
      </c>
      <c r="F759">
        <v>7.6</v>
      </c>
      <c r="G759">
        <v>7.4</v>
      </c>
      <c r="H759">
        <v>7.9</v>
      </c>
      <c r="I759">
        <v>7.4</v>
      </c>
      <c r="J759">
        <v>7.9</v>
      </c>
      <c r="K759">
        <v>7.2</v>
      </c>
      <c r="L759" s="1"/>
    </row>
    <row r="760" spans="1:12">
      <c r="A760" t="s">
        <v>808</v>
      </c>
      <c r="B760">
        <v>8.6</v>
      </c>
      <c r="C760">
        <v>8.4</v>
      </c>
      <c r="D760">
        <v>8.7</v>
      </c>
      <c r="E760">
        <v>7.1</v>
      </c>
      <c r="F760">
        <v>8.4</v>
      </c>
      <c r="G760">
        <v>7.4</v>
      </c>
      <c r="H760">
        <v>6.4</v>
      </c>
      <c r="I760">
        <v>7.3</v>
      </c>
      <c r="J760">
        <v>7.6</v>
      </c>
      <c r="K760">
        <v>4.6</v>
      </c>
      <c r="L760" s="1"/>
    </row>
    <row r="761" spans="1:12">
      <c r="A761" t="s">
        <v>809</v>
      </c>
      <c r="B761">
        <v>9.1</v>
      </c>
      <c r="C761">
        <v>9.8</v>
      </c>
      <c r="D761">
        <v>8.7</v>
      </c>
      <c r="E761">
        <v>7</v>
      </c>
      <c r="F761">
        <v>7.6</v>
      </c>
      <c r="G761">
        <v>7.7</v>
      </c>
      <c r="H761">
        <v>7.7</v>
      </c>
      <c r="I761">
        <v>9.5</v>
      </c>
      <c r="J761">
        <v>8.1</v>
      </c>
      <c r="K761">
        <v>7.6</v>
      </c>
      <c r="L761" s="1"/>
    </row>
    <row r="762" spans="1:12">
      <c r="A762" t="s">
        <v>810</v>
      </c>
      <c r="B762">
        <v>7.5</v>
      </c>
      <c r="C762">
        <v>9.4</v>
      </c>
      <c r="D762">
        <v>9</v>
      </c>
      <c r="E762">
        <v>8.6</v>
      </c>
      <c r="F762">
        <v>8.2</v>
      </c>
      <c r="G762">
        <v>7.7</v>
      </c>
      <c r="H762">
        <v>9.5</v>
      </c>
      <c r="I762">
        <v>7.9</v>
      </c>
      <c r="J762">
        <v>7.4</v>
      </c>
      <c r="K762">
        <v>6.8</v>
      </c>
      <c r="L762" s="1"/>
    </row>
    <row r="763" spans="1:12">
      <c r="A763" t="s">
        <v>811</v>
      </c>
      <c r="B763">
        <v>9.3</v>
      </c>
      <c r="C763">
        <v>8.6</v>
      </c>
      <c r="D763">
        <v>8.8</v>
      </c>
      <c r="E763">
        <v>7.9</v>
      </c>
      <c r="F763">
        <v>8.4</v>
      </c>
      <c r="G763">
        <v>7.2</v>
      </c>
      <c r="H763">
        <v>7.4</v>
      </c>
      <c r="I763">
        <v>6</v>
      </c>
      <c r="J763">
        <v>7.3</v>
      </c>
      <c r="K763">
        <v>6.9</v>
      </c>
      <c r="L763" s="1"/>
    </row>
    <row r="764" spans="1:12">
      <c r="A764" t="s">
        <v>812</v>
      </c>
      <c r="B764">
        <v>9</v>
      </c>
      <c r="C764">
        <v>9.1</v>
      </c>
      <c r="D764">
        <v>9.3</v>
      </c>
      <c r="E764">
        <v>9.1</v>
      </c>
      <c r="F764">
        <v>7.1</v>
      </c>
      <c r="G764">
        <v>7.5</v>
      </c>
      <c r="H764">
        <v>10</v>
      </c>
      <c r="I764">
        <v>6.7</v>
      </c>
      <c r="J764">
        <v>6.5</v>
      </c>
      <c r="K764">
        <v>7.7</v>
      </c>
      <c r="L764" s="1"/>
    </row>
    <row r="765" spans="1:12">
      <c r="A765" t="s">
        <v>813</v>
      </c>
      <c r="B765">
        <v>8.6</v>
      </c>
      <c r="C765">
        <v>9.3</v>
      </c>
      <c r="D765">
        <v>8.8</v>
      </c>
      <c r="E765">
        <v>9.2</v>
      </c>
      <c r="F765">
        <v>6.1</v>
      </c>
      <c r="G765">
        <v>7.2</v>
      </c>
      <c r="H765">
        <v>8.4</v>
      </c>
      <c r="I765">
        <v>7.2</v>
      </c>
      <c r="J765">
        <v>9</v>
      </c>
      <c r="K765">
        <v>8.4</v>
      </c>
      <c r="L765" s="1"/>
    </row>
    <row r="766" spans="1:12">
      <c r="A766" t="s">
        <v>814</v>
      </c>
      <c r="B766">
        <v>8.2</v>
      </c>
      <c r="C766">
        <v>7.7</v>
      </c>
      <c r="D766">
        <v>9</v>
      </c>
      <c r="E766">
        <v>8.3</v>
      </c>
      <c r="F766">
        <v>6.9</v>
      </c>
      <c r="G766">
        <v>6.5</v>
      </c>
      <c r="H766">
        <v>7.7</v>
      </c>
      <c r="I766">
        <v>6.7</v>
      </c>
      <c r="J766">
        <v>8.7</v>
      </c>
      <c r="K766">
        <v>4.4</v>
      </c>
      <c r="L766" s="1"/>
    </row>
    <row r="767" spans="1:12">
      <c r="A767" t="s">
        <v>815</v>
      </c>
      <c r="B767">
        <v>8.6</v>
      </c>
      <c r="C767">
        <v>8.7</v>
      </c>
      <c r="D767">
        <v>8.3</v>
      </c>
      <c r="E767">
        <v>8.2</v>
      </c>
      <c r="F767">
        <v>7.8</v>
      </c>
      <c r="G767">
        <v>8.7</v>
      </c>
      <c r="H767">
        <v>7.1</v>
      </c>
      <c r="I767">
        <v>6.6</v>
      </c>
      <c r="J767">
        <v>8.9</v>
      </c>
      <c r="K767">
        <v>4.2</v>
      </c>
      <c r="L767" s="1"/>
    </row>
    <row r="768" spans="1:12">
      <c r="A768" t="s">
        <v>816</v>
      </c>
      <c r="B768">
        <v>8.9</v>
      </c>
      <c r="C768">
        <v>8.5</v>
      </c>
      <c r="D768">
        <v>9.1</v>
      </c>
      <c r="E768">
        <v>8.1</v>
      </c>
      <c r="F768">
        <v>7.7</v>
      </c>
      <c r="G768">
        <v>7.1</v>
      </c>
      <c r="H768">
        <v>7.8</v>
      </c>
      <c r="I768">
        <v>7.4</v>
      </c>
      <c r="J768">
        <v>8.7</v>
      </c>
      <c r="K768">
        <v>5.5</v>
      </c>
      <c r="L768" s="1"/>
    </row>
    <row r="769" spans="1:12">
      <c r="A769" t="s">
        <v>817</v>
      </c>
      <c r="B769">
        <v>8.6</v>
      </c>
      <c r="C769">
        <v>7.9</v>
      </c>
      <c r="D769">
        <v>9.4</v>
      </c>
      <c r="E769">
        <v>8.7</v>
      </c>
      <c r="F769">
        <v>8.1</v>
      </c>
      <c r="G769">
        <v>8.1</v>
      </c>
      <c r="H769">
        <v>8.4</v>
      </c>
      <c r="I769">
        <v>7.2</v>
      </c>
      <c r="J769">
        <v>8</v>
      </c>
      <c r="K769">
        <v>7.7</v>
      </c>
      <c r="L769" s="1"/>
    </row>
    <row r="770" spans="1:12">
      <c r="A770" t="s">
        <v>818</v>
      </c>
      <c r="B770">
        <v>9.2</v>
      </c>
      <c r="C770">
        <v>8.3</v>
      </c>
      <c r="D770">
        <v>8.6</v>
      </c>
      <c r="E770">
        <v>8.1</v>
      </c>
      <c r="F770">
        <v>7.9</v>
      </c>
      <c r="G770">
        <v>6.8</v>
      </c>
      <c r="H770">
        <v>9</v>
      </c>
      <c r="I770">
        <v>6.7</v>
      </c>
      <c r="J770">
        <v>8.7</v>
      </c>
      <c r="K770">
        <v>5.8</v>
      </c>
      <c r="L770" s="1"/>
    </row>
    <row r="771" spans="1:12">
      <c r="A771" t="s">
        <v>819</v>
      </c>
      <c r="B771">
        <v>8.6</v>
      </c>
      <c r="C771">
        <v>7.9</v>
      </c>
      <c r="D771">
        <v>9</v>
      </c>
      <c r="E771">
        <v>7.6</v>
      </c>
      <c r="F771">
        <v>9.1</v>
      </c>
      <c r="G771">
        <v>6.6</v>
      </c>
      <c r="H771">
        <v>5.5</v>
      </c>
      <c r="I771">
        <v>7.8</v>
      </c>
      <c r="J771">
        <v>8.5</v>
      </c>
      <c r="K771">
        <v>6.6</v>
      </c>
      <c r="L771" s="1"/>
    </row>
    <row r="772" spans="1:12">
      <c r="A772" t="s">
        <v>820</v>
      </c>
      <c r="B772">
        <v>8.6</v>
      </c>
      <c r="C772">
        <v>8.8</v>
      </c>
      <c r="D772">
        <v>9.2</v>
      </c>
      <c r="E772">
        <v>9.3</v>
      </c>
      <c r="F772">
        <v>7.6</v>
      </c>
      <c r="G772">
        <v>8.4</v>
      </c>
      <c r="H772">
        <v>7.7</v>
      </c>
      <c r="I772">
        <v>7.1</v>
      </c>
      <c r="J772">
        <v>8.5</v>
      </c>
      <c r="K772">
        <v>1.9</v>
      </c>
      <c r="L772" s="1"/>
    </row>
    <row r="773" spans="1:12">
      <c r="A773" t="s">
        <v>821</v>
      </c>
      <c r="B773">
        <v>8.9</v>
      </c>
      <c r="C773">
        <v>9.3</v>
      </c>
      <c r="D773">
        <v>8.3</v>
      </c>
      <c r="E773">
        <v>7.4</v>
      </c>
      <c r="F773">
        <v>8.4</v>
      </c>
      <c r="G773">
        <v>8.3</v>
      </c>
      <c r="H773">
        <v>9.7</v>
      </c>
      <c r="I773">
        <v>7.9</v>
      </c>
      <c r="J773">
        <v>7</v>
      </c>
      <c r="K773">
        <v>6.1</v>
      </c>
      <c r="L773" s="1"/>
    </row>
    <row r="774" spans="1:12">
      <c r="A774" t="s">
        <v>822</v>
      </c>
      <c r="B774">
        <v>8.4</v>
      </c>
      <c r="C774">
        <v>8.2</v>
      </c>
      <c r="D774">
        <v>8.5</v>
      </c>
      <c r="E774">
        <v>9</v>
      </c>
      <c r="F774">
        <v>8.6</v>
      </c>
      <c r="G774">
        <v>7.3</v>
      </c>
      <c r="H774">
        <v>8.3</v>
      </c>
      <c r="I774">
        <v>8.5</v>
      </c>
      <c r="J774">
        <v>7.7</v>
      </c>
      <c r="K774">
        <v>4.6</v>
      </c>
      <c r="L774" s="1"/>
    </row>
    <row r="775" spans="1:12">
      <c r="A775" t="s">
        <v>823</v>
      </c>
      <c r="B775">
        <v>9.1</v>
      </c>
      <c r="C775">
        <v>8.9</v>
      </c>
      <c r="D775">
        <v>8</v>
      </c>
      <c r="E775">
        <v>8.8</v>
      </c>
      <c r="F775">
        <v>8.3</v>
      </c>
      <c r="G775">
        <v>9.3</v>
      </c>
      <c r="H775">
        <v>7.8</v>
      </c>
      <c r="I775">
        <v>6.3</v>
      </c>
      <c r="J775">
        <v>7.8</v>
      </c>
      <c r="K775">
        <v>7.1</v>
      </c>
      <c r="L775" s="1"/>
    </row>
    <row r="776" spans="1:12">
      <c r="A776" t="s">
        <v>824</v>
      </c>
      <c r="B776">
        <v>8.2</v>
      </c>
      <c r="C776">
        <v>9.4</v>
      </c>
      <c r="D776">
        <v>8.8</v>
      </c>
      <c r="E776">
        <v>8</v>
      </c>
      <c r="F776">
        <v>8.4</v>
      </c>
      <c r="G776">
        <v>6.1</v>
      </c>
      <c r="H776">
        <v>7.7</v>
      </c>
      <c r="I776">
        <v>6.9</v>
      </c>
      <c r="J776">
        <v>7.9</v>
      </c>
      <c r="K776">
        <v>7.3</v>
      </c>
      <c r="L776" s="1"/>
    </row>
    <row r="777" spans="1:12">
      <c r="A777" t="s">
        <v>825</v>
      </c>
      <c r="B777">
        <v>7.6</v>
      </c>
      <c r="C777">
        <v>8.1</v>
      </c>
      <c r="D777">
        <v>8.6</v>
      </c>
      <c r="E777">
        <v>8.6</v>
      </c>
      <c r="F777">
        <v>9.1</v>
      </c>
      <c r="G777">
        <v>8.7</v>
      </c>
      <c r="H777">
        <v>8.2</v>
      </c>
      <c r="I777">
        <v>6.1</v>
      </c>
      <c r="J777">
        <v>7.6</v>
      </c>
      <c r="K777">
        <v>6.9</v>
      </c>
      <c r="L777" s="1"/>
    </row>
    <row r="778" spans="1:12">
      <c r="A778" t="s">
        <v>826</v>
      </c>
      <c r="B778">
        <v>9</v>
      </c>
      <c r="C778">
        <v>7.8</v>
      </c>
      <c r="D778">
        <v>8.4</v>
      </c>
      <c r="E778">
        <v>8.6</v>
      </c>
      <c r="F778">
        <v>7.4</v>
      </c>
      <c r="G778">
        <v>7.5</v>
      </c>
      <c r="H778">
        <v>8.1</v>
      </c>
      <c r="I778">
        <v>7.6</v>
      </c>
      <c r="J778">
        <v>7.2</v>
      </c>
      <c r="K778">
        <v>5.5</v>
      </c>
      <c r="L778" s="1"/>
    </row>
    <row r="779" spans="1:12">
      <c r="A779" t="s">
        <v>827</v>
      </c>
      <c r="B779">
        <v>9.5</v>
      </c>
      <c r="C779">
        <v>8.3</v>
      </c>
      <c r="D779">
        <v>7.9</v>
      </c>
      <c r="E779">
        <v>9.5</v>
      </c>
      <c r="F779">
        <v>8.7</v>
      </c>
      <c r="G779">
        <v>7</v>
      </c>
      <c r="H779">
        <v>7.3</v>
      </c>
      <c r="I779">
        <v>6.6</v>
      </c>
      <c r="J779">
        <v>9.3</v>
      </c>
      <c r="K779">
        <v>4.9</v>
      </c>
      <c r="L779" s="1"/>
    </row>
    <row r="780" spans="1:12">
      <c r="A780" t="s">
        <v>828</v>
      </c>
      <c r="B780">
        <v>8.2</v>
      </c>
      <c r="C780">
        <v>9.3</v>
      </c>
      <c r="D780">
        <v>7.5</v>
      </c>
      <c r="E780">
        <v>9.2</v>
      </c>
      <c r="F780">
        <v>8.1</v>
      </c>
      <c r="G780">
        <v>7</v>
      </c>
      <c r="H780">
        <v>6.5</v>
      </c>
      <c r="I780">
        <v>8.4</v>
      </c>
      <c r="J780">
        <v>6.6</v>
      </c>
      <c r="K780">
        <v>6.1</v>
      </c>
      <c r="L780" s="1"/>
    </row>
    <row r="781" spans="1:12">
      <c r="A781" t="s">
        <v>829</v>
      </c>
      <c r="B781">
        <v>9.6</v>
      </c>
      <c r="C781">
        <v>8.5</v>
      </c>
      <c r="D781">
        <v>8.6</v>
      </c>
      <c r="E781">
        <v>9.2</v>
      </c>
      <c r="F781">
        <v>8.4</v>
      </c>
      <c r="G781">
        <v>7.6</v>
      </c>
      <c r="H781">
        <v>7.4</v>
      </c>
      <c r="I781">
        <v>6.9</v>
      </c>
      <c r="J781">
        <v>7.6</v>
      </c>
      <c r="K781">
        <v>8.8</v>
      </c>
      <c r="L781" s="1"/>
    </row>
    <row r="782" spans="1:12">
      <c r="A782" t="s">
        <v>830</v>
      </c>
      <c r="B782">
        <v>8.4</v>
      </c>
      <c r="C782">
        <v>8.7</v>
      </c>
      <c r="D782">
        <v>7.7</v>
      </c>
      <c r="E782">
        <v>8.6</v>
      </c>
      <c r="F782">
        <v>8.4</v>
      </c>
      <c r="G782">
        <v>7.2</v>
      </c>
      <c r="H782">
        <v>7.5</v>
      </c>
      <c r="I782">
        <v>8</v>
      </c>
      <c r="J782">
        <v>5.9</v>
      </c>
      <c r="K782">
        <v>6</v>
      </c>
      <c r="L782" s="1"/>
    </row>
    <row r="783" spans="1:12">
      <c r="A783" t="s">
        <v>831</v>
      </c>
      <c r="B783">
        <v>8.4</v>
      </c>
      <c r="C783">
        <v>8.4</v>
      </c>
      <c r="D783">
        <v>8.8</v>
      </c>
      <c r="E783">
        <v>8.2</v>
      </c>
      <c r="F783">
        <v>7.5</v>
      </c>
      <c r="G783">
        <v>7.5</v>
      </c>
      <c r="H783">
        <v>9.4</v>
      </c>
      <c r="I783">
        <v>8.1</v>
      </c>
      <c r="J783">
        <v>5.8</v>
      </c>
      <c r="K783">
        <v>6.9</v>
      </c>
      <c r="L783" s="1"/>
    </row>
    <row r="784" spans="1:12">
      <c r="A784" t="s">
        <v>832</v>
      </c>
      <c r="B784">
        <v>8.3</v>
      </c>
      <c r="C784">
        <v>8.4</v>
      </c>
      <c r="D784">
        <v>7.8</v>
      </c>
      <c r="E784">
        <v>8.5</v>
      </c>
      <c r="F784">
        <v>7.8</v>
      </c>
      <c r="G784">
        <v>7.1</v>
      </c>
      <c r="H784">
        <v>7</v>
      </c>
      <c r="I784">
        <v>7</v>
      </c>
      <c r="J784">
        <v>5.4</v>
      </c>
      <c r="K784">
        <v>4.7</v>
      </c>
      <c r="L784" s="1"/>
    </row>
    <row r="785" spans="1:12">
      <c r="A785" t="s">
        <v>833</v>
      </c>
      <c r="B785">
        <v>9.2</v>
      </c>
      <c r="C785">
        <v>9</v>
      </c>
      <c r="D785">
        <v>8.3</v>
      </c>
      <c r="E785">
        <v>7.8</v>
      </c>
      <c r="F785">
        <v>8</v>
      </c>
      <c r="G785">
        <v>7.4</v>
      </c>
      <c r="H785">
        <v>8.8</v>
      </c>
      <c r="I785">
        <v>7.4</v>
      </c>
      <c r="J785">
        <v>5.1</v>
      </c>
      <c r="K785">
        <v>7.2</v>
      </c>
      <c r="L785" s="1"/>
    </row>
    <row r="786" spans="1:12">
      <c r="A786" t="s">
        <v>834</v>
      </c>
      <c r="B786">
        <v>9.3</v>
      </c>
      <c r="C786">
        <v>9.3</v>
      </c>
      <c r="D786">
        <v>9</v>
      </c>
      <c r="E786">
        <v>8</v>
      </c>
      <c r="F786">
        <v>7.6</v>
      </c>
      <c r="G786">
        <v>7.2</v>
      </c>
      <c r="H786">
        <v>7.9</v>
      </c>
      <c r="I786">
        <v>7.8</v>
      </c>
      <c r="J786">
        <v>7.3</v>
      </c>
      <c r="K786">
        <v>7.6</v>
      </c>
      <c r="L786" s="1"/>
    </row>
    <row r="787" spans="1:12">
      <c r="A787" t="s">
        <v>835</v>
      </c>
      <c r="B787">
        <v>9.6</v>
      </c>
      <c r="C787">
        <v>7.8</v>
      </c>
      <c r="D787">
        <v>9.3</v>
      </c>
      <c r="E787">
        <v>8.4</v>
      </c>
      <c r="F787">
        <v>7.8</v>
      </c>
      <c r="G787">
        <v>8.8</v>
      </c>
      <c r="H787">
        <v>7.7</v>
      </c>
      <c r="I787">
        <v>7</v>
      </c>
      <c r="J787">
        <v>6.4</v>
      </c>
      <c r="K787">
        <v>5.5</v>
      </c>
      <c r="L787" s="1"/>
    </row>
    <row r="788" spans="1:12">
      <c r="A788" t="s">
        <v>836</v>
      </c>
      <c r="B788">
        <v>8.9</v>
      </c>
      <c r="C788">
        <v>8.7</v>
      </c>
      <c r="D788">
        <v>8.5</v>
      </c>
      <c r="E788">
        <v>8.3</v>
      </c>
      <c r="F788">
        <v>9.5</v>
      </c>
      <c r="G788">
        <v>8.6</v>
      </c>
      <c r="H788">
        <v>5.5</v>
      </c>
      <c r="I788">
        <v>8.2</v>
      </c>
      <c r="J788">
        <v>6.4</v>
      </c>
      <c r="K788">
        <v>8.5</v>
      </c>
      <c r="L788" s="1"/>
    </row>
    <row r="789" spans="1:12">
      <c r="A789" t="s">
        <v>837</v>
      </c>
      <c r="B789">
        <v>8.3</v>
      </c>
      <c r="C789">
        <v>8.2</v>
      </c>
      <c r="D789">
        <v>8.1</v>
      </c>
      <c r="E789">
        <v>7.7</v>
      </c>
      <c r="F789">
        <v>7.7</v>
      </c>
      <c r="G789">
        <v>8.6</v>
      </c>
      <c r="H789">
        <v>8.4</v>
      </c>
      <c r="I789">
        <v>4.9</v>
      </c>
      <c r="J789">
        <v>7.1</v>
      </c>
      <c r="K789">
        <v>5.5</v>
      </c>
      <c r="L789" s="1"/>
    </row>
    <row r="790" spans="1:12">
      <c r="A790" t="s">
        <v>838</v>
      </c>
      <c r="B790">
        <v>7.7</v>
      </c>
      <c r="C790">
        <v>9.4</v>
      </c>
      <c r="D790">
        <v>9.2</v>
      </c>
      <c r="E790">
        <v>7.5</v>
      </c>
      <c r="F790">
        <v>8.8</v>
      </c>
      <c r="G790">
        <v>8.3</v>
      </c>
      <c r="H790">
        <v>8.1</v>
      </c>
      <c r="I790">
        <v>5.7</v>
      </c>
      <c r="J790">
        <v>7.2</v>
      </c>
      <c r="K790">
        <v>5.4</v>
      </c>
      <c r="L790" s="1"/>
    </row>
    <row r="791" spans="1:12">
      <c r="A791" t="s">
        <v>839</v>
      </c>
      <c r="B791">
        <v>8.5</v>
      </c>
      <c r="C791">
        <v>9.4</v>
      </c>
      <c r="D791">
        <v>6.9</v>
      </c>
      <c r="E791">
        <v>7.9</v>
      </c>
      <c r="F791">
        <v>7.6</v>
      </c>
      <c r="G791">
        <v>8.1</v>
      </c>
      <c r="H791">
        <v>7.9</v>
      </c>
      <c r="I791">
        <v>6.3</v>
      </c>
      <c r="J791">
        <v>6.2</v>
      </c>
      <c r="K791">
        <v>6.7</v>
      </c>
      <c r="L791" s="1"/>
    </row>
    <row r="792" spans="1:12">
      <c r="A792" t="s">
        <v>840</v>
      </c>
      <c r="B792">
        <v>8.9</v>
      </c>
      <c r="C792">
        <v>8.9</v>
      </c>
      <c r="D792">
        <v>8.5</v>
      </c>
      <c r="E792">
        <v>8.5</v>
      </c>
      <c r="F792">
        <v>9.5</v>
      </c>
      <c r="G792">
        <v>8.2</v>
      </c>
      <c r="H792">
        <v>6.8</v>
      </c>
      <c r="I792">
        <v>8.6</v>
      </c>
      <c r="J792">
        <v>6.2</v>
      </c>
      <c r="K792">
        <v>5.1</v>
      </c>
      <c r="L792" s="1"/>
    </row>
    <row r="793" spans="1:12">
      <c r="A793" t="s">
        <v>841</v>
      </c>
      <c r="B793">
        <v>9.2</v>
      </c>
      <c r="C793">
        <v>9.6</v>
      </c>
      <c r="D793">
        <v>7.9</v>
      </c>
      <c r="E793">
        <v>7.6</v>
      </c>
      <c r="F793">
        <v>7.2</v>
      </c>
      <c r="G793">
        <v>8</v>
      </c>
      <c r="H793">
        <v>7</v>
      </c>
      <c r="I793">
        <v>6.5</v>
      </c>
      <c r="J793">
        <v>7.5</v>
      </c>
      <c r="K793">
        <v>5.8</v>
      </c>
      <c r="L793" s="1"/>
    </row>
    <row r="794" spans="1:12">
      <c r="A794" t="s">
        <v>842</v>
      </c>
      <c r="B794">
        <v>9.8</v>
      </c>
      <c r="C794">
        <v>7.6</v>
      </c>
      <c r="D794">
        <v>9.7</v>
      </c>
      <c r="E794">
        <v>8</v>
      </c>
      <c r="F794">
        <v>6.5</v>
      </c>
      <c r="G794">
        <v>7</v>
      </c>
      <c r="H794">
        <v>6.9</v>
      </c>
      <c r="I794">
        <v>7.9</v>
      </c>
      <c r="J794">
        <v>7.3</v>
      </c>
      <c r="K794">
        <v>7.3</v>
      </c>
      <c r="L794" s="1"/>
    </row>
    <row r="795" spans="1:12">
      <c r="A795" t="s">
        <v>843</v>
      </c>
      <c r="B795">
        <v>8.9</v>
      </c>
      <c r="C795">
        <v>8.2</v>
      </c>
      <c r="D795">
        <v>6.8</v>
      </c>
      <c r="E795">
        <v>8.2</v>
      </c>
      <c r="F795">
        <v>9.2</v>
      </c>
      <c r="G795">
        <v>7.3</v>
      </c>
      <c r="H795">
        <v>8.4</v>
      </c>
      <c r="I795">
        <v>9</v>
      </c>
      <c r="J795">
        <v>7.2</v>
      </c>
      <c r="K795">
        <v>7.9</v>
      </c>
      <c r="L795" s="1"/>
    </row>
    <row r="796" spans="1:12">
      <c r="A796" t="s">
        <v>844</v>
      </c>
      <c r="B796">
        <v>9.2</v>
      </c>
      <c r="C796">
        <v>8.9</v>
      </c>
      <c r="D796">
        <v>8.5</v>
      </c>
      <c r="E796">
        <v>8.4</v>
      </c>
      <c r="F796">
        <v>8.9</v>
      </c>
      <c r="G796">
        <v>6.5</v>
      </c>
      <c r="H796">
        <v>7.2</v>
      </c>
      <c r="I796">
        <v>7.1</v>
      </c>
      <c r="J796">
        <v>7.6</v>
      </c>
      <c r="K796">
        <v>4.9</v>
      </c>
      <c r="L796" s="1"/>
    </row>
    <row r="797" spans="1:12">
      <c r="A797" t="s">
        <v>845</v>
      </c>
      <c r="B797">
        <v>9.2</v>
      </c>
      <c r="C797">
        <v>8.9</v>
      </c>
      <c r="D797">
        <v>8.9</v>
      </c>
      <c r="E797">
        <v>9.1</v>
      </c>
      <c r="F797">
        <v>8.1</v>
      </c>
      <c r="G797">
        <v>6.5</v>
      </c>
      <c r="H797">
        <v>7.4</v>
      </c>
      <c r="I797">
        <v>7.7</v>
      </c>
      <c r="J797">
        <v>7</v>
      </c>
      <c r="K797">
        <v>6.1</v>
      </c>
      <c r="L797" s="1"/>
    </row>
    <row r="798" spans="1:12">
      <c r="A798" t="s">
        <v>846</v>
      </c>
      <c r="B798">
        <v>8.1</v>
      </c>
      <c r="C798">
        <v>7.4</v>
      </c>
      <c r="D798">
        <v>8.5</v>
      </c>
      <c r="E798">
        <v>8.2</v>
      </c>
      <c r="F798">
        <v>8.4</v>
      </c>
      <c r="G798">
        <v>7.8</v>
      </c>
      <c r="H798">
        <v>7</v>
      </c>
      <c r="I798">
        <v>5.9</v>
      </c>
      <c r="J798">
        <v>6.6</v>
      </c>
      <c r="K798">
        <v>4.7</v>
      </c>
      <c r="L798" s="1"/>
    </row>
    <row r="799" spans="1:12">
      <c r="A799" t="s">
        <v>847</v>
      </c>
      <c r="B799">
        <v>8.8</v>
      </c>
      <c r="C799">
        <v>8.6</v>
      </c>
      <c r="D799">
        <v>7.5</v>
      </c>
      <c r="E799">
        <v>8.2</v>
      </c>
      <c r="F799">
        <v>8.5</v>
      </c>
      <c r="G799">
        <v>6.7</v>
      </c>
      <c r="H799">
        <v>6.9</v>
      </c>
      <c r="I799">
        <v>8.5</v>
      </c>
      <c r="J799">
        <v>8.3</v>
      </c>
      <c r="K799">
        <v>7.4</v>
      </c>
      <c r="L799" s="1"/>
    </row>
    <row r="800" spans="1:12">
      <c r="A800" t="s">
        <v>848</v>
      </c>
      <c r="B800">
        <v>9.2</v>
      </c>
      <c r="C800">
        <v>8.9</v>
      </c>
      <c r="D800">
        <v>9.2</v>
      </c>
      <c r="E800">
        <v>8</v>
      </c>
      <c r="F800">
        <v>7.6</v>
      </c>
      <c r="G800">
        <v>7.3</v>
      </c>
      <c r="H800">
        <v>9.4</v>
      </c>
      <c r="I800">
        <v>7.6</v>
      </c>
      <c r="J800">
        <v>5.5</v>
      </c>
      <c r="K800">
        <v>5.9</v>
      </c>
      <c r="L800" s="1"/>
    </row>
    <row r="801" spans="1:12">
      <c r="A801" t="s">
        <v>849</v>
      </c>
      <c r="B801">
        <v>9.3</v>
      </c>
      <c r="C801">
        <v>8.9</v>
      </c>
      <c r="D801">
        <v>9</v>
      </c>
      <c r="E801">
        <v>8.7</v>
      </c>
      <c r="F801">
        <v>10</v>
      </c>
      <c r="G801">
        <v>8.5</v>
      </c>
      <c r="H801">
        <v>7.9</v>
      </c>
      <c r="I801">
        <v>7.6</v>
      </c>
      <c r="J801">
        <v>6.4</v>
      </c>
      <c r="K801">
        <v>5.6</v>
      </c>
      <c r="L801" s="1"/>
    </row>
    <row r="802" spans="1:12">
      <c r="A802" t="s">
        <v>850</v>
      </c>
      <c r="B802">
        <v>8.3</v>
      </c>
      <c r="C802">
        <v>7.3</v>
      </c>
      <c r="D802">
        <v>8.3</v>
      </c>
      <c r="E802">
        <v>7.7</v>
      </c>
      <c r="F802">
        <v>7.6</v>
      </c>
      <c r="G802">
        <v>7.4</v>
      </c>
      <c r="H802">
        <v>7.8</v>
      </c>
      <c r="I802">
        <v>8.8</v>
      </c>
      <c r="J802">
        <v>5.6</v>
      </c>
      <c r="K802">
        <v>6.5</v>
      </c>
      <c r="L802" s="1"/>
    </row>
    <row r="803" spans="1:12">
      <c r="A803" t="s">
        <v>851</v>
      </c>
      <c r="B803">
        <v>8.8</v>
      </c>
      <c r="C803">
        <v>7.7</v>
      </c>
      <c r="D803">
        <v>9.4</v>
      </c>
      <c r="E803">
        <v>8.9</v>
      </c>
      <c r="F803">
        <v>7.7</v>
      </c>
      <c r="G803">
        <v>9.4</v>
      </c>
      <c r="H803">
        <v>7.4</v>
      </c>
      <c r="I803">
        <v>8</v>
      </c>
      <c r="J803">
        <v>7</v>
      </c>
      <c r="K803">
        <v>5.1</v>
      </c>
      <c r="L803" s="1"/>
    </row>
    <row r="804" spans="1:12">
      <c r="A804" t="s">
        <v>852</v>
      </c>
      <c r="B804">
        <v>7.9</v>
      </c>
      <c r="C804">
        <v>9.4</v>
      </c>
      <c r="D804">
        <v>8.9</v>
      </c>
      <c r="E804">
        <v>7.7</v>
      </c>
      <c r="F804">
        <v>7.8</v>
      </c>
      <c r="G804">
        <v>7</v>
      </c>
      <c r="H804">
        <v>7.9</v>
      </c>
      <c r="I804">
        <v>6.4</v>
      </c>
      <c r="J804">
        <v>7.8</v>
      </c>
      <c r="K804">
        <v>6.2</v>
      </c>
      <c r="L804" s="1"/>
    </row>
    <row r="805" spans="1:12">
      <c r="A805" t="s">
        <v>853</v>
      </c>
      <c r="B805">
        <v>9</v>
      </c>
      <c r="C805">
        <v>7.8</v>
      </c>
      <c r="D805">
        <v>8.1</v>
      </c>
      <c r="E805">
        <v>8.1</v>
      </c>
      <c r="F805">
        <v>8.6</v>
      </c>
      <c r="G805">
        <v>8.1</v>
      </c>
      <c r="H805">
        <v>6.1</v>
      </c>
      <c r="I805">
        <v>7.1</v>
      </c>
      <c r="J805">
        <v>7.2</v>
      </c>
      <c r="K805">
        <v>4.9</v>
      </c>
      <c r="L805" s="1"/>
    </row>
    <row r="806" spans="1:12">
      <c r="A806" t="s">
        <v>854</v>
      </c>
      <c r="B806">
        <v>8.9</v>
      </c>
      <c r="C806">
        <v>9.1</v>
      </c>
      <c r="D806">
        <v>9.4</v>
      </c>
      <c r="E806">
        <v>8.3</v>
      </c>
      <c r="F806">
        <v>8.6</v>
      </c>
      <c r="G806">
        <v>9</v>
      </c>
      <c r="H806">
        <v>6.7</v>
      </c>
      <c r="I806">
        <v>6</v>
      </c>
      <c r="J806">
        <v>9.3</v>
      </c>
      <c r="K806">
        <v>6.6</v>
      </c>
      <c r="L806" s="1"/>
    </row>
    <row r="807" spans="1:12">
      <c r="A807" t="s">
        <v>855</v>
      </c>
      <c r="B807">
        <v>8.3</v>
      </c>
      <c r="C807">
        <v>9.4</v>
      </c>
      <c r="D807">
        <v>7.8</v>
      </c>
      <c r="E807">
        <v>7.5</v>
      </c>
      <c r="F807">
        <v>7.3</v>
      </c>
      <c r="G807">
        <v>7.3</v>
      </c>
      <c r="H807">
        <v>8.5</v>
      </c>
      <c r="I807">
        <v>7</v>
      </c>
      <c r="J807">
        <v>7.4</v>
      </c>
      <c r="K807">
        <v>6.9</v>
      </c>
      <c r="L807" s="1"/>
    </row>
    <row r="808" spans="1:12">
      <c r="A808" t="s">
        <v>856</v>
      </c>
      <c r="B808">
        <v>8.7</v>
      </c>
      <c r="C808">
        <v>9.9</v>
      </c>
      <c r="D808">
        <v>9.1</v>
      </c>
      <c r="E808">
        <v>9.3</v>
      </c>
      <c r="F808">
        <v>8.9</v>
      </c>
      <c r="G808">
        <v>6.6</v>
      </c>
      <c r="H808">
        <v>6.1</v>
      </c>
      <c r="I808">
        <v>7.7</v>
      </c>
      <c r="J808">
        <v>7.7</v>
      </c>
      <c r="K808">
        <v>5.6</v>
      </c>
      <c r="L808" s="1"/>
    </row>
    <row r="809" spans="1:12">
      <c r="A809" t="s">
        <v>857</v>
      </c>
      <c r="B809">
        <v>9</v>
      </c>
      <c r="C809">
        <v>8.7</v>
      </c>
      <c r="D809">
        <v>8.4</v>
      </c>
      <c r="E809">
        <v>8.2</v>
      </c>
      <c r="F809">
        <v>6.7</v>
      </c>
      <c r="G809">
        <v>7.4</v>
      </c>
      <c r="H809">
        <v>6.9</v>
      </c>
      <c r="I809">
        <v>5.4</v>
      </c>
      <c r="J809">
        <v>7.1</v>
      </c>
      <c r="K809">
        <v>7.9</v>
      </c>
      <c r="L809" s="1"/>
    </row>
    <row r="810" spans="1:12">
      <c r="A810" t="s">
        <v>858</v>
      </c>
      <c r="B810">
        <v>8.7</v>
      </c>
      <c r="C810">
        <v>9.2</v>
      </c>
      <c r="D810">
        <v>8.1</v>
      </c>
      <c r="E810">
        <v>7.7</v>
      </c>
      <c r="F810">
        <v>9.1</v>
      </c>
      <c r="G810">
        <v>8.1</v>
      </c>
      <c r="H810">
        <v>7.1</v>
      </c>
      <c r="I810">
        <v>7</v>
      </c>
      <c r="J810">
        <v>7.5</v>
      </c>
      <c r="K810">
        <v>7.4</v>
      </c>
      <c r="L810" s="1"/>
    </row>
    <row r="811" spans="1:12">
      <c r="A811" t="s">
        <v>859</v>
      </c>
      <c r="B811">
        <v>7.9</v>
      </c>
      <c r="C811">
        <v>8.4</v>
      </c>
      <c r="D811">
        <v>8</v>
      </c>
      <c r="E811">
        <v>8.7</v>
      </c>
      <c r="F811">
        <v>8.7</v>
      </c>
      <c r="G811">
        <v>7.5</v>
      </c>
      <c r="H811">
        <v>8.3</v>
      </c>
      <c r="I811">
        <v>8.7</v>
      </c>
      <c r="J811">
        <v>5.9</v>
      </c>
      <c r="K811">
        <v>6.8</v>
      </c>
      <c r="L811" s="1"/>
    </row>
    <row r="812" spans="1:12">
      <c r="A812" t="s">
        <v>860</v>
      </c>
      <c r="B812">
        <v>8.2</v>
      </c>
      <c r="C812">
        <v>9</v>
      </c>
      <c r="D812">
        <v>8</v>
      </c>
      <c r="E812">
        <v>7.8</v>
      </c>
      <c r="F812">
        <v>8.3</v>
      </c>
      <c r="G812">
        <v>7.1</v>
      </c>
      <c r="H812">
        <v>7.3</v>
      </c>
      <c r="I812">
        <v>7</v>
      </c>
      <c r="J812">
        <v>5.7</v>
      </c>
      <c r="K812">
        <v>6.2</v>
      </c>
      <c r="L812" s="1"/>
    </row>
    <row r="813" spans="1:12">
      <c r="A813" t="s">
        <v>861</v>
      </c>
      <c r="B813">
        <v>8.7</v>
      </c>
      <c r="C813">
        <v>9</v>
      </c>
      <c r="D813">
        <v>8.3</v>
      </c>
      <c r="E813">
        <v>8.4</v>
      </c>
      <c r="F813">
        <v>7.7</v>
      </c>
      <c r="G813">
        <v>6.6</v>
      </c>
      <c r="H813">
        <v>6.9</v>
      </c>
      <c r="I813">
        <v>7.3</v>
      </c>
      <c r="J813">
        <v>7.9</v>
      </c>
      <c r="K813">
        <v>7.6</v>
      </c>
      <c r="L813" s="1"/>
    </row>
    <row r="814" spans="1:12">
      <c r="A814" t="s">
        <v>862</v>
      </c>
      <c r="B814">
        <v>9.3</v>
      </c>
      <c r="C814">
        <v>8.3</v>
      </c>
      <c r="D814">
        <v>8.2</v>
      </c>
      <c r="E814">
        <v>8.4</v>
      </c>
      <c r="F814">
        <v>4.9</v>
      </c>
      <c r="G814">
        <v>5.6</v>
      </c>
      <c r="H814">
        <v>8.3</v>
      </c>
      <c r="I814">
        <v>8.9</v>
      </c>
      <c r="J814">
        <v>6</v>
      </c>
      <c r="K814">
        <v>6.3</v>
      </c>
      <c r="L814" s="1"/>
    </row>
    <row r="815" spans="1:12">
      <c r="A815" t="s">
        <v>863</v>
      </c>
      <c r="B815">
        <v>9.6</v>
      </c>
      <c r="C815">
        <v>8.1</v>
      </c>
      <c r="D815">
        <v>8.1</v>
      </c>
      <c r="E815">
        <v>8.2</v>
      </c>
      <c r="F815">
        <v>8.2</v>
      </c>
      <c r="G815">
        <v>7.1</v>
      </c>
      <c r="H815">
        <v>8.8</v>
      </c>
      <c r="I815">
        <v>7.5</v>
      </c>
      <c r="J815">
        <v>4.2</v>
      </c>
      <c r="K815">
        <v>6.4</v>
      </c>
      <c r="L815" s="1"/>
    </row>
    <row r="816" spans="1:12">
      <c r="A816" t="s">
        <v>864</v>
      </c>
      <c r="B816">
        <v>8.2</v>
      </c>
      <c r="C816">
        <v>8.3</v>
      </c>
      <c r="D816">
        <v>8.6</v>
      </c>
      <c r="E816">
        <v>9</v>
      </c>
      <c r="F816">
        <v>8.4</v>
      </c>
      <c r="G816">
        <v>7.6</v>
      </c>
      <c r="H816">
        <v>7.6</v>
      </c>
      <c r="I816">
        <v>5.7</v>
      </c>
      <c r="J816">
        <v>6.1</v>
      </c>
      <c r="K816">
        <v>5.3</v>
      </c>
      <c r="L816" s="1"/>
    </row>
    <row r="817" spans="1:12">
      <c r="A817" t="s">
        <v>865</v>
      </c>
      <c r="B817">
        <v>9.1</v>
      </c>
      <c r="C817">
        <v>8.7</v>
      </c>
      <c r="D817">
        <v>8.6</v>
      </c>
      <c r="E817">
        <v>8.9</v>
      </c>
      <c r="F817">
        <v>7.9</v>
      </c>
      <c r="G817">
        <v>7.4</v>
      </c>
      <c r="H817">
        <v>8.4</v>
      </c>
      <c r="I817">
        <v>7.4</v>
      </c>
      <c r="J817">
        <v>8.1</v>
      </c>
      <c r="K817">
        <v>5.5</v>
      </c>
      <c r="L817" s="1"/>
    </row>
    <row r="818" spans="1:12">
      <c r="A818" t="s">
        <v>866</v>
      </c>
      <c r="B818">
        <v>8.9</v>
      </c>
      <c r="C818">
        <v>8.9</v>
      </c>
      <c r="D818">
        <v>8.7</v>
      </c>
      <c r="E818">
        <v>7.8</v>
      </c>
      <c r="F818">
        <v>8</v>
      </c>
      <c r="G818">
        <v>7.1</v>
      </c>
      <c r="H818">
        <v>7.8</v>
      </c>
      <c r="I818">
        <v>8.2</v>
      </c>
      <c r="J818">
        <v>6.1</v>
      </c>
      <c r="K818">
        <v>8.6</v>
      </c>
      <c r="L818" s="1"/>
    </row>
    <row r="819" spans="1:12">
      <c r="A819" t="s">
        <v>867</v>
      </c>
      <c r="B819">
        <v>8.3</v>
      </c>
      <c r="C819">
        <v>7.8</v>
      </c>
      <c r="D819">
        <v>9.1</v>
      </c>
      <c r="E819">
        <v>7.7</v>
      </c>
      <c r="F819">
        <v>7.5</v>
      </c>
      <c r="G819">
        <v>7.5</v>
      </c>
      <c r="H819">
        <v>7.2</v>
      </c>
      <c r="I819">
        <v>6.1</v>
      </c>
      <c r="J819">
        <v>5.8</v>
      </c>
      <c r="K819">
        <v>6.4</v>
      </c>
      <c r="L819" s="1"/>
    </row>
    <row r="820" spans="1:12">
      <c r="A820" t="s">
        <v>868</v>
      </c>
      <c r="B820">
        <v>9</v>
      </c>
      <c r="C820">
        <v>7.5</v>
      </c>
      <c r="D820">
        <v>8.7</v>
      </c>
      <c r="E820">
        <v>8.4</v>
      </c>
      <c r="F820">
        <v>8.2</v>
      </c>
      <c r="G820">
        <v>7.1</v>
      </c>
      <c r="H820">
        <v>6.9</v>
      </c>
      <c r="I820">
        <v>6.3</v>
      </c>
      <c r="J820">
        <v>6.4</v>
      </c>
      <c r="K820">
        <v>4.1</v>
      </c>
      <c r="L820" s="1"/>
    </row>
    <row r="821" spans="1:12">
      <c r="A821" t="s">
        <v>869</v>
      </c>
      <c r="B821">
        <v>8</v>
      </c>
      <c r="C821">
        <v>8.7</v>
      </c>
      <c r="D821">
        <v>9.1</v>
      </c>
      <c r="E821">
        <v>7.8</v>
      </c>
      <c r="F821">
        <v>7.7</v>
      </c>
      <c r="G821">
        <v>6.9</v>
      </c>
      <c r="H821">
        <v>8.6</v>
      </c>
      <c r="I821">
        <v>7.4</v>
      </c>
      <c r="J821">
        <v>7.4</v>
      </c>
      <c r="K821">
        <v>6.7</v>
      </c>
      <c r="L821" s="1"/>
    </row>
    <row r="822" spans="1:12">
      <c r="A822" t="s">
        <v>870</v>
      </c>
      <c r="B822">
        <v>8</v>
      </c>
      <c r="C822">
        <v>8.3</v>
      </c>
      <c r="D822">
        <v>8.5</v>
      </c>
      <c r="E822">
        <v>8</v>
      </c>
      <c r="F822">
        <v>8.3</v>
      </c>
      <c r="G822">
        <v>7.2</v>
      </c>
      <c r="H822">
        <v>8.4</v>
      </c>
      <c r="I822">
        <v>6.9</v>
      </c>
      <c r="J822">
        <v>5.7</v>
      </c>
      <c r="K822">
        <v>6.8</v>
      </c>
      <c r="L822" s="1"/>
    </row>
    <row r="823" spans="1:12">
      <c r="A823" t="s">
        <v>871</v>
      </c>
      <c r="B823">
        <v>8.2</v>
      </c>
      <c r="C823">
        <v>9.5</v>
      </c>
      <c r="D823">
        <v>8</v>
      </c>
      <c r="E823">
        <v>7.1</v>
      </c>
      <c r="F823">
        <v>7.7</v>
      </c>
      <c r="G823">
        <v>7.2</v>
      </c>
      <c r="H823">
        <v>7.5</v>
      </c>
      <c r="I823">
        <v>7.7</v>
      </c>
      <c r="J823">
        <v>7</v>
      </c>
      <c r="K823">
        <v>9.9</v>
      </c>
      <c r="L823" s="1"/>
    </row>
    <row r="824" spans="1:12">
      <c r="A824" t="s">
        <v>872</v>
      </c>
      <c r="B824">
        <v>9</v>
      </c>
      <c r="C824">
        <v>8.2</v>
      </c>
      <c r="D824">
        <v>8</v>
      </c>
      <c r="E824">
        <v>7.2</v>
      </c>
      <c r="F824">
        <v>9</v>
      </c>
      <c r="G824">
        <v>7.6</v>
      </c>
      <c r="H824">
        <v>8.3</v>
      </c>
      <c r="I824">
        <v>7.3</v>
      </c>
      <c r="J824">
        <v>5.4</v>
      </c>
      <c r="K824">
        <v>8.8</v>
      </c>
      <c r="L824" s="1"/>
    </row>
    <row r="825" spans="1:12">
      <c r="A825" t="s">
        <v>873</v>
      </c>
      <c r="B825">
        <v>7.7</v>
      </c>
      <c r="C825">
        <v>8.6</v>
      </c>
      <c r="D825">
        <v>8.9</v>
      </c>
      <c r="E825">
        <v>8.1</v>
      </c>
      <c r="F825">
        <v>7.4</v>
      </c>
      <c r="G825">
        <v>7.7</v>
      </c>
      <c r="H825">
        <v>7.3</v>
      </c>
      <c r="I825">
        <v>7.1</v>
      </c>
      <c r="J825">
        <v>7.1</v>
      </c>
      <c r="K825">
        <v>6.3</v>
      </c>
      <c r="L825" s="1"/>
    </row>
    <row r="826" spans="1:12">
      <c r="A826" t="s">
        <v>874</v>
      </c>
      <c r="B826">
        <v>9.6</v>
      </c>
      <c r="C826">
        <v>9.1</v>
      </c>
      <c r="D826">
        <v>7.9</v>
      </c>
      <c r="E826">
        <v>7.6</v>
      </c>
      <c r="F826">
        <v>8.3</v>
      </c>
      <c r="G826">
        <v>7.2</v>
      </c>
      <c r="H826">
        <v>7.2</v>
      </c>
      <c r="I826">
        <v>7.6</v>
      </c>
      <c r="J826">
        <v>7.3</v>
      </c>
      <c r="K826">
        <v>7.7</v>
      </c>
      <c r="L826" s="1"/>
    </row>
    <row r="827" spans="1:12">
      <c r="A827" t="s">
        <v>875</v>
      </c>
      <c r="B827">
        <v>8.9</v>
      </c>
      <c r="C827">
        <v>8.9</v>
      </c>
      <c r="D827">
        <v>7.6</v>
      </c>
      <c r="E827">
        <v>7.9</v>
      </c>
      <c r="F827">
        <v>6.6</v>
      </c>
      <c r="G827">
        <v>8.3</v>
      </c>
      <c r="H827">
        <v>8.6</v>
      </c>
      <c r="I827">
        <v>6.5</v>
      </c>
      <c r="J827">
        <v>7.5</v>
      </c>
      <c r="K827">
        <v>6.8</v>
      </c>
      <c r="L827" s="1"/>
    </row>
    <row r="828" spans="1:12">
      <c r="A828" t="s">
        <v>876</v>
      </c>
      <c r="B828">
        <v>8.6</v>
      </c>
      <c r="C828">
        <v>9.3</v>
      </c>
      <c r="D828">
        <v>7.8</v>
      </c>
      <c r="E828">
        <v>8.5</v>
      </c>
      <c r="F828">
        <v>9.1</v>
      </c>
      <c r="G828">
        <v>6.2</v>
      </c>
      <c r="H828">
        <v>7.9</v>
      </c>
      <c r="I828">
        <v>7.2</v>
      </c>
      <c r="J828">
        <v>7.2</v>
      </c>
      <c r="K828">
        <v>6.8</v>
      </c>
      <c r="L828" s="1"/>
    </row>
    <row r="829" spans="1:12">
      <c r="A829" t="s">
        <v>877</v>
      </c>
      <c r="B829">
        <v>9.1</v>
      </c>
      <c r="C829">
        <v>8.4</v>
      </c>
      <c r="D829">
        <v>8.9</v>
      </c>
      <c r="E829">
        <v>8.7</v>
      </c>
      <c r="F829">
        <v>8.4</v>
      </c>
      <c r="G829">
        <v>7</v>
      </c>
      <c r="H829">
        <v>6.5</v>
      </c>
      <c r="I829">
        <v>7.1</v>
      </c>
      <c r="J829">
        <v>8.9</v>
      </c>
      <c r="K829">
        <v>4.9</v>
      </c>
      <c r="L829" s="1"/>
    </row>
    <row r="830" spans="1:12">
      <c r="A830" t="s">
        <v>878</v>
      </c>
      <c r="B830">
        <v>9</v>
      </c>
      <c r="C830">
        <v>8.4</v>
      </c>
      <c r="D830">
        <v>8</v>
      </c>
      <c r="E830">
        <v>8.7</v>
      </c>
      <c r="F830">
        <v>9.4</v>
      </c>
      <c r="G830">
        <v>8.5</v>
      </c>
      <c r="H830">
        <v>8.5</v>
      </c>
      <c r="I830">
        <v>7.9</v>
      </c>
      <c r="J830">
        <v>6.8</v>
      </c>
      <c r="K830">
        <v>6.6</v>
      </c>
      <c r="L830" s="1"/>
    </row>
    <row r="831" spans="1:12">
      <c r="A831" t="s">
        <v>879</v>
      </c>
      <c r="B831">
        <v>8.6</v>
      </c>
      <c r="C831">
        <v>8.2</v>
      </c>
      <c r="D831">
        <v>9.4</v>
      </c>
      <c r="E831">
        <v>8.7</v>
      </c>
      <c r="F831">
        <v>7.3</v>
      </c>
      <c r="G831">
        <v>7.5</v>
      </c>
      <c r="H831">
        <v>7.1</v>
      </c>
      <c r="I831">
        <v>6.8</v>
      </c>
      <c r="J831">
        <v>7</v>
      </c>
      <c r="K831">
        <v>4.5</v>
      </c>
      <c r="L831" s="1"/>
    </row>
    <row r="832" spans="1:12">
      <c r="A832" t="s">
        <v>880</v>
      </c>
      <c r="B832">
        <v>8</v>
      </c>
      <c r="C832">
        <v>8.4</v>
      </c>
      <c r="D832">
        <v>8</v>
      </c>
      <c r="E832">
        <v>7.8</v>
      </c>
      <c r="F832">
        <v>7.6</v>
      </c>
      <c r="G832">
        <v>7.9</v>
      </c>
      <c r="H832">
        <v>8</v>
      </c>
      <c r="I832">
        <v>6.4</v>
      </c>
      <c r="J832">
        <v>6.4</v>
      </c>
      <c r="K832">
        <v>6.1</v>
      </c>
      <c r="L832" s="1"/>
    </row>
    <row r="833" spans="1:12">
      <c r="A833" t="s">
        <v>881</v>
      </c>
      <c r="B833">
        <v>8.1</v>
      </c>
      <c r="C833">
        <v>8.5</v>
      </c>
      <c r="D833">
        <v>8.1</v>
      </c>
      <c r="E833">
        <v>7.8</v>
      </c>
      <c r="F833">
        <v>8.3</v>
      </c>
      <c r="G833">
        <v>7.7</v>
      </c>
      <c r="H833">
        <v>7.4</v>
      </c>
      <c r="I833">
        <v>6.7</v>
      </c>
      <c r="J833">
        <v>4.7</v>
      </c>
      <c r="K833">
        <v>6.6</v>
      </c>
      <c r="L833" s="1"/>
    </row>
    <row r="834" spans="1:12">
      <c r="A834" t="s">
        <v>882</v>
      </c>
      <c r="B834">
        <v>8.3</v>
      </c>
      <c r="C834">
        <v>8.8</v>
      </c>
      <c r="D834">
        <v>8.8</v>
      </c>
      <c r="E834">
        <v>8.8</v>
      </c>
      <c r="F834">
        <v>7.5</v>
      </c>
      <c r="G834">
        <v>7.6</v>
      </c>
      <c r="H834">
        <v>6.7</v>
      </c>
      <c r="I834">
        <v>6.6</v>
      </c>
      <c r="J834">
        <v>7.1</v>
      </c>
      <c r="K834">
        <v>5.1</v>
      </c>
      <c r="L834" s="1"/>
    </row>
    <row r="835" spans="1:12">
      <c r="A835" t="s">
        <v>883</v>
      </c>
      <c r="B835">
        <v>9</v>
      </c>
      <c r="C835">
        <v>7.9</v>
      </c>
      <c r="D835">
        <v>8.9</v>
      </c>
      <c r="E835">
        <v>9.1</v>
      </c>
      <c r="F835">
        <v>7.2</v>
      </c>
      <c r="G835">
        <v>7.5</v>
      </c>
      <c r="H835">
        <v>8.1</v>
      </c>
      <c r="I835">
        <v>6.5</v>
      </c>
      <c r="J835">
        <v>6.9</v>
      </c>
      <c r="K835">
        <v>6.2</v>
      </c>
      <c r="L835" s="1"/>
    </row>
    <row r="836" spans="1:12">
      <c r="A836" t="s">
        <v>884</v>
      </c>
      <c r="B836">
        <v>8.2</v>
      </c>
      <c r="C836">
        <v>8</v>
      </c>
      <c r="D836">
        <v>8.4</v>
      </c>
      <c r="E836">
        <v>8.4</v>
      </c>
      <c r="F836">
        <v>7.4</v>
      </c>
      <c r="G836">
        <v>8.3</v>
      </c>
      <c r="H836">
        <v>7.2</v>
      </c>
      <c r="I836">
        <v>6.7</v>
      </c>
      <c r="J836">
        <v>7.2</v>
      </c>
      <c r="K836">
        <v>5.7</v>
      </c>
      <c r="L836" s="1"/>
    </row>
    <row r="837" spans="1:12">
      <c r="A837" t="s">
        <v>885</v>
      </c>
      <c r="B837">
        <v>8.9</v>
      </c>
      <c r="C837">
        <v>8.4</v>
      </c>
      <c r="D837">
        <v>8.6</v>
      </c>
      <c r="E837">
        <v>9</v>
      </c>
      <c r="F837">
        <v>8.2</v>
      </c>
      <c r="G837">
        <v>7.7</v>
      </c>
      <c r="H837">
        <v>6.9</v>
      </c>
      <c r="I837">
        <v>5.3</v>
      </c>
      <c r="J837">
        <v>6.4</v>
      </c>
      <c r="K837">
        <v>5.9</v>
      </c>
      <c r="L837" s="1"/>
    </row>
    <row r="838" spans="1:12">
      <c r="A838" t="s">
        <v>886</v>
      </c>
      <c r="B838">
        <v>8.7</v>
      </c>
      <c r="C838">
        <v>9.4</v>
      </c>
      <c r="D838">
        <v>8.2</v>
      </c>
      <c r="E838">
        <v>7.6</v>
      </c>
      <c r="F838">
        <v>6.7</v>
      </c>
      <c r="G838">
        <v>6.1</v>
      </c>
      <c r="H838">
        <v>6.2</v>
      </c>
      <c r="I838">
        <v>7.4</v>
      </c>
      <c r="J838">
        <v>7.6</v>
      </c>
      <c r="K838">
        <v>7.4</v>
      </c>
      <c r="L838" s="1"/>
    </row>
    <row r="839" spans="1:12">
      <c r="A839" t="s">
        <v>887</v>
      </c>
      <c r="B839">
        <v>6.6</v>
      </c>
      <c r="C839">
        <v>8.1</v>
      </c>
      <c r="D839">
        <v>8.4</v>
      </c>
      <c r="E839">
        <v>8.4</v>
      </c>
      <c r="F839">
        <v>8.2</v>
      </c>
      <c r="G839">
        <v>6.6</v>
      </c>
      <c r="H839">
        <v>7.5</v>
      </c>
      <c r="I839">
        <v>6.5</v>
      </c>
      <c r="J839">
        <v>6</v>
      </c>
      <c r="K839">
        <v>4.8</v>
      </c>
      <c r="L839" s="1"/>
    </row>
    <row r="840" spans="1:12">
      <c r="A840" t="s">
        <v>888</v>
      </c>
      <c r="B840">
        <v>8.7</v>
      </c>
      <c r="C840">
        <v>8.8</v>
      </c>
      <c r="D840">
        <v>7.7</v>
      </c>
      <c r="E840">
        <v>8.1</v>
      </c>
      <c r="F840">
        <v>8</v>
      </c>
      <c r="G840">
        <v>8.4</v>
      </c>
      <c r="H840">
        <v>7.3</v>
      </c>
      <c r="I840">
        <v>7.9</v>
      </c>
      <c r="J840">
        <v>7.4</v>
      </c>
      <c r="K840">
        <v>5.3</v>
      </c>
      <c r="L840" s="1"/>
    </row>
    <row r="841" spans="1:12">
      <c r="A841" t="s">
        <v>889</v>
      </c>
      <c r="B841">
        <v>9.4</v>
      </c>
      <c r="C841">
        <v>9.9</v>
      </c>
      <c r="D841">
        <v>9.8</v>
      </c>
      <c r="E841">
        <v>9.9</v>
      </c>
      <c r="F841">
        <v>9.9</v>
      </c>
      <c r="G841">
        <v>8.5</v>
      </c>
      <c r="H841">
        <v>7.9</v>
      </c>
      <c r="I841">
        <v>7</v>
      </c>
      <c r="J841">
        <v>7.7</v>
      </c>
      <c r="K841">
        <v>5.8</v>
      </c>
      <c r="L841" s="1"/>
    </row>
    <row r="842" spans="1:12">
      <c r="A842" t="s">
        <v>890</v>
      </c>
      <c r="B842">
        <v>9.6</v>
      </c>
      <c r="C842">
        <v>9.3</v>
      </c>
      <c r="D842">
        <v>7.8</v>
      </c>
      <c r="E842">
        <v>9.3</v>
      </c>
      <c r="F842">
        <v>9.8</v>
      </c>
      <c r="G842">
        <v>8.7</v>
      </c>
      <c r="H842">
        <v>6.1</v>
      </c>
      <c r="I842">
        <v>8</v>
      </c>
      <c r="J842">
        <v>7.5</v>
      </c>
      <c r="K842">
        <v>8.2</v>
      </c>
      <c r="L842" s="1"/>
    </row>
    <row r="843" spans="1:12">
      <c r="A843" t="s">
        <v>891</v>
      </c>
      <c r="B843">
        <v>9.8</v>
      </c>
      <c r="C843">
        <v>9.8</v>
      </c>
      <c r="D843">
        <v>9.9</v>
      </c>
      <c r="E843">
        <v>9</v>
      </c>
      <c r="F843">
        <v>7.9</v>
      </c>
      <c r="G843">
        <v>8.2</v>
      </c>
      <c r="H843">
        <v>8.6</v>
      </c>
      <c r="I843">
        <v>9.6</v>
      </c>
      <c r="J843">
        <v>5.7</v>
      </c>
      <c r="K843">
        <v>6.7</v>
      </c>
      <c r="L843" s="1"/>
    </row>
    <row r="844" spans="1:12">
      <c r="A844" t="s">
        <v>892</v>
      </c>
      <c r="B844">
        <v>9.9</v>
      </c>
      <c r="C844">
        <v>9.4</v>
      </c>
      <c r="D844">
        <v>9.9</v>
      </c>
      <c r="E844">
        <v>9.2</v>
      </c>
      <c r="F844">
        <v>9.4</v>
      </c>
      <c r="G844">
        <v>8</v>
      </c>
      <c r="H844">
        <v>8.6</v>
      </c>
      <c r="I844">
        <v>8.8</v>
      </c>
      <c r="J844">
        <v>8.8</v>
      </c>
      <c r="K844">
        <v>8.4</v>
      </c>
      <c r="L844" s="1"/>
    </row>
    <row r="845" spans="1:12">
      <c r="A845" t="s">
        <v>893</v>
      </c>
      <c r="B845">
        <v>9.9</v>
      </c>
      <c r="C845">
        <v>9.9</v>
      </c>
      <c r="D845">
        <v>9.6</v>
      </c>
      <c r="E845">
        <v>9</v>
      </c>
      <c r="F845">
        <v>7.6</v>
      </c>
      <c r="G845">
        <v>9.9</v>
      </c>
      <c r="H845">
        <v>8.4</v>
      </c>
      <c r="I845">
        <v>7.5</v>
      </c>
      <c r="J845">
        <v>4.2</v>
      </c>
      <c r="K845">
        <v>9.9</v>
      </c>
      <c r="L845" s="1"/>
    </row>
    <row r="846" spans="1:12">
      <c r="A846" t="s">
        <v>894</v>
      </c>
      <c r="B846">
        <v>9.6</v>
      </c>
      <c r="C846">
        <v>9.9</v>
      </c>
      <c r="D846">
        <v>9.9</v>
      </c>
      <c r="E846">
        <v>9.4</v>
      </c>
      <c r="F846">
        <v>8.9</v>
      </c>
      <c r="G846">
        <v>7.4</v>
      </c>
      <c r="H846">
        <v>9.9</v>
      </c>
      <c r="I846">
        <v>9</v>
      </c>
      <c r="J846">
        <v>9.3</v>
      </c>
      <c r="K846">
        <v>8.2</v>
      </c>
      <c r="L846" s="1"/>
    </row>
    <row r="847" spans="1:12">
      <c r="A847" t="s">
        <v>895</v>
      </c>
      <c r="B847">
        <v>9.9</v>
      </c>
      <c r="C847">
        <v>9.5</v>
      </c>
      <c r="D847">
        <v>9.1</v>
      </c>
      <c r="E847">
        <v>9.8</v>
      </c>
      <c r="F847">
        <v>8.9</v>
      </c>
      <c r="G847">
        <v>9</v>
      </c>
      <c r="H847">
        <v>7.9</v>
      </c>
      <c r="I847">
        <v>9.9</v>
      </c>
      <c r="J847">
        <v>8.5</v>
      </c>
      <c r="K847">
        <v>8.1</v>
      </c>
      <c r="L847" s="1"/>
    </row>
    <row r="848" spans="1:12">
      <c r="A848" t="s">
        <v>896</v>
      </c>
      <c r="B848">
        <v>9.9</v>
      </c>
      <c r="C848">
        <v>9.4</v>
      </c>
      <c r="D848">
        <v>9.7</v>
      </c>
      <c r="E848">
        <v>8.4</v>
      </c>
      <c r="F848">
        <v>9.7</v>
      </c>
      <c r="G848">
        <v>8.9</v>
      </c>
      <c r="H848">
        <v>8</v>
      </c>
      <c r="I848">
        <v>7</v>
      </c>
      <c r="J848">
        <v>7.9</v>
      </c>
      <c r="K848">
        <v>6.6</v>
      </c>
      <c r="L848" s="1"/>
    </row>
    <row r="849" spans="1:12">
      <c r="A849" t="s">
        <v>897</v>
      </c>
      <c r="B849">
        <v>9.9</v>
      </c>
      <c r="C849">
        <v>9.9</v>
      </c>
      <c r="D849">
        <v>8.6</v>
      </c>
      <c r="E849">
        <v>9.9</v>
      </c>
      <c r="F849">
        <v>9.9</v>
      </c>
      <c r="G849">
        <v>7.6</v>
      </c>
      <c r="H849">
        <v>5.4</v>
      </c>
      <c r="I849">
        <v>9.9</v>
      </c>
      <c r="J849">
        <v>7.3</v>
      </c>
      <c r="K849">
        <v>6.2</v>
      </c>
      <c r="L849" s="1"/>
    </row>
    <row r="850" spans="1:12">
      <c r="A850" t="s">
        <v>898</v>
      </c>
      <c r="B850">
        <v>9.9</v>
      </c>
      <c r="C850">
        <v>8.9</v>
      </c>
      <c r="D850">
        <v>9.9</v>
      </c>
      <c r="E850">
        <v>8.6</v>
      </c>
      <c r="F850">
        <v>9.9</v>
      </c>
      <c r="G850">
        <v>8.7</v>
      </c>
      <c r="H850">
        <v>8</v>
      </c>
      <c r="I850">
        <v>9.7</v>
      </c>
      <c r="J850">
        <v>8</v>
      </c>
      <c r="K850">
        <v>7.2</v>
      </c>
      <c r="L850" s="1"/>
    </row>
    <row r="851" spans="1:12">
      <c r="A851" t="s">
        <v>899</v>
      </c>
      <c r="B851">
        <v>9.9</v>
      </c>
      <c r="C851">
        <v>9.9</v>
      </c>
      <c r="D851">
        <v>8.8</v>
      </c>
      <c r="E851">
        <v>9.9</v>
      </c>
      <c r="F851">
        <v>8.2</v>
      </c>
      <c r="G851">
        <v>9.9</v>
      </c>
      <c r="H851">
        <v>8.8</v>
      </c>
      <c r="I851">
        <v>8.9</v>
      </c>
      <c r="J851">
        <v>7.2</v>
      </c>
      <c r="K851">
        <v>8.5</v>
      </c>
      <c r="L851" s="1"/>
    </row>
    <row r="852" spans="1:12">
      <c r="A852" t="s">
        <v>900</v>
      </c>
      <c r="B852">
        <v>9.9</v>
      </c>
      <c r="C852">
        <v>9.2</v>
      </c>
      <c r="D852">
        <v>9.9</v>
      </c>
      <c r="E852">
        <v>9.2</v>
      </c>
      <c r="F852">
        <v>8.9</v>
      </c>
      <c r="G852">
        <v>8.7</v>
      </c>
      <c r="H852">
        <v>9.1</v>
      </c>
      <c r="I852">
        <v>6.8</v>
      </c>
      <c r="J852">
        <v>8.4</v>
      </c>
      <c r="K852">
        <v>6.4</v>
      </c>
      <c r="L852" s="1"/>
    </row>
    <row r="853" spans="1:12">
      <c r="A853" t="s">
        <v>901</v>
      </c>
      <c r="B853">
        <v>9.1</v>
      </c>
      <c r="C853">
        <v>9.8</v>
      </c>
      <c r="D853">
        <v>9.9</v>
      </c>
      <c r="E853">
        <v>8.9</v>
      </c>
      <c r="F853">
        <v>8</v>
      </c>
      <c r="G853">
        <v>8.6</v>
      </c>
      <c r="H853">
        <v>9.9</v>
      </c>
      <c r="I853">
        <v>9.9</v>
      </c>
      <c r="J853">
        <v>7.9</v>
      </c>
      <c r="K853">
        <v>8.6</v>
      </c>
      <c r="L853" s="1"/>
    </row>
    <row r="854" spans="1:12">
      <c r="A854" t="s">
        <v>902</v>
      </c>
      <c r="B854">
        <v>9.9</v>
      </c>
      <c r="C854">
        <v>9.9</v>
      </c>
      <c r="D854">
        <v>9.9</v>
      </c>
      <c r="E854">
        <v>9.5</v>
      </c>
      <c r="F854">
        <v>9.6</v>
      </c>
      <c r="G854">
        <v>9.1</v>
      </c>
      <c r="H854">
        <v>9.3</v>
      </c>
      <c r="I854">
        <v>8.3</v>
      </c>
      <c r="J854">
        <v>7</v>
      </c>
      <c r="K854">
        <v>7.4</v>
      </c>
      <c r="L854" s="1"/>
    </row>
    <row r="855" spans="1:12">
      <c r="A855" t="s">
        <v>903</v>
      </c>
      <c r="B855">
        <v>9.9</v>
      </c>
      <c r="C855">
        <v>9.4</v>
      </c>
      <c r="D855">
        <v>9.9</v>
      </c>
      <c r="E855">
        <v>8.8</v>
      </c>
      <c r="F855">
        <v>9.4</v>
      </c>
      <c r="G855">
        <v>6.7</v>
      </c>
      <c r="H855">
        <v>8.9</v>
      </c>
      <c r="I855">
        <v>6.6</v>
      </c>
      <c r="J855">
        <v>5.5</v>
      </c>
      <c r="K855">
        <v>6.1</v>
      </c>
      <c r="L855" s="1"/>
    </row>
    <row r="856" spans="1:12">
      <c r="A856" t="s">
        <v>904</v>
      </c>
      <c r="B856">
        <v>8.8</v>
      </c>
      <c r="C856">
        <v>8.3</v>
      </c>
      <c r="D856">
        <v>8.9</v>
      </c>
      <c r="E856">
        <v>8.1</v>
      </c>
      <c r="F856">
        <v>7.4</v>
      </c>
      <c r="G856">
        <v>8.4</v>
      </c>
      <c r="H856">
        <v>8</v>
      </c>
      <c r="I856">
        <v>8</v>
      </c>
      <c r="J856">
        <v>6.8</v>
      </c>
      <c r="K856">
        <v>7.8</v>
      </c>
      <c r="L856" s="1"/>
    </row>
    <row r="857" spans="1:12">
      <c r="A857" t="s">
        <v>905</v>
      </c>
      <c r="B857">
        <v>8.5</v>
      </c>
      <c r="C857">
        <v>9.2</v>
      </c>
      <c r="D857">
        <v>8.2</v>
      </c>
      <c r="E857">
        <v>8.8</v>
      </c>
      <c r="F857">
        <v>6.6</v>
      </c>
      <c r="G857">
        <v>8.6</v>
      </c>
      <c r="H857">
        <v>6.7</v>
      </c>
      <c r="I857">
        <v>8.3</v>
      </c>
      <c r="J857">
        <v>7.6</v>
      </c>
      <c r="K857">
        <v>6.2</v>
      </c>
      <c r="L857" s="1"/>
    </row>
    <row r="858" spans="1:12">
      <c r="A858" t="s">
        <v>906</v>
      </c>
      <c r="B858">
        <v>9.1</v>
      </c>
      <c r="C858">
        <v>8.9</v>
      </c>
      <c r="D858">
        <v>8.8</v>
      </c>
      <c r="E858">
        <v>7.9</v>
      </c>
      <c r="F858">
        <v>9.1</v>
      </c>
      <c r="G858">
        <v>6.1</v>
      </c>
      <c r="H858">
        <v>7.5</v>
      </c>
      <c r="I858">
        <v>6.5</v>
      </c>
      <c r="J858">
        <v>7.3</v>
      </c>
      <c r="K858">
        <v>6.6</v>
      </c>
      <c r="L858" s="1"/>
    </row>
    <row r="859" spans="1:12">
      <c r="A859" t="s">
        <v>907</v>
      </c>
      <c r="B859">
        <v>9.2</v>
      </c>
      <c r="C859">
        <v>8.4</v>
      </c>
      <c r="D859">
        <v>8.4</v>
      </c>
      <c r="E859">
        <v>8.3</v>
      </c>
      <c r="F859">
        <v>7.5</v>
      </c>
      <c r="G859">
        <v>7.6</v>
      </c>
      <c r="H859">
        <v>7.8</v>
      </c>
      <c r="I859">
        <v>7.2</v>
      </c>
      <c r="J859">
        <v>6.4</v>
      </c>
      <c r="K859">
        <v>7</v>
      </c>
      <c r="L859" s="1"/>
    </row>
    <row r="860" spans="1:12">
      <c r="A860" t="s">
        <v>908</v>
      </c>
      <c r="B860">
        <v>8.7</v>
      </c>
      <c r="C860">
        <v>8.2</v>
      </c>
      <c r="D860">
        <v>8.2</v>
      </c>
      <c r="E860">
        <v>7.7</v>
      </c>
      <c r="F860">
        <v>6.5</v>
      </c>
      <c r="G860">
        <v>8.5</v>
      </c>
      <c r="H860">
        <v>7</v>
      </c>
      <c r="I860">
        <v>7.5</v>
      </c>
      <c r="J860">
        <v>5.8</v>
      </c>
      <c r="K860">
        <v>6.6</v>
      </c>
      <c r="L860" s="1"/>
    </row>
    <row r="861" spans="1:12">
      <c r="A861" t="s">
        <v>909</v>
      </c>
      <c r="B861">
        <v>8.9</v>
      </c>
      <c r="C861">
        <v>8.3</v>
      </c>
      <c r="D861">
        <v>8.1</v>
      </c>
      <c r="E861">
        <v>8.7</v>
      </c>
      <c r="F861">
        <v>8.6</v>
      </c>
      <c r="G861">
        <v>7.3</v>
      </c>
      <c r="H861">
        <v>6.4</v>
      </c>
      <c r="I861">
        <v>4.6</v>
      </c>
      <c r="J861">
        <v>6.1</v>
      </c>
      <c r="K861">
        <v>6.9</v>
      </c>
      <c r="L861" s="1"/>
    </row>
    <row r="862" spans="1:12">
      <c r="A862" t="s">
        <v>910</v>
      </c>
      <c r="B862">
        <v>8</v>
      </c>
      <c r="C862">
        <v>8.2</v>
      </c>
      <c r="D862">
        <v>8.7</v>
      </c>
      <c r="E862">
        <v>8</v>
      </c>
      <c r="F862">
        <v>5.9</v>
      </c>
      <c r="G862">
        <v>6.8</v>
      </c>
      <c r="H862">
        <v>9.4</v>
      </c>
      <c r="I862">
        <v>6.8</v>
      </c>
      <c r="J862">
        <v>7</v>
      </c>
      <c r="K862">
        <v>6.9</v>
      </c>
      <c r="L862" s="1"/>
    </row>
    <row r="863" spans="1:12">
      <c r="A863" t="s">
        <v>911</v>
      </c>
      <c r="B863">
        <v>8.6</v>
      </c>
      <c r="C863">
        <v>8.5</v>
      </c>
      <c r="D863">
        <v>8.5</v>
      </c>
      <c r="E863">
        <v>7.4</v>
      </c>
      <c r="F863">
        <v>8.8</v>
      </c>
      <c r="G863">
        <v>7.4</v>
      </c>
      <c r="H863">
        <v>9.4</v>
      </c>
      <c r="I863">
        <v>8.8</v>
      </c>
      <c r="J863">
        <v>7.1</v>
      </c>
      <c r="K863">
        <v>7.2</v>
      </c>
      <c r="L863" s="1"/>
    </row>
    <row r="864" spans="1:12">
      <c r="A864" t="s">
        <v>912</v>
      </c>
      <c r="B864">
        <v>8.7</v>
      </c>
      <c r="C864">
        <v>9.3</v>
      </c>
      <c r="D864">
        <v>8.4</v>
      </c>
      <c r="E864">
        <v>7.8</v>
      </c>
      <c r="F864">
        <v>8.1</v>
      </c>
      <c r="G864">
        <v>8.6</v>
      </c>
      <c r="H864">
        <v>8.7</v>
      </c>
      <c r="I864">
        <v>6.6</v>
      </c>
      <c r="J864">
        <v>5.2</v>
      </c>
      <c r="K864">
        <v>6</v>
      </c>
      <c r="L864" s="1"/>
    </row>
    <row r="865" spans="1:12">
      <c r="A865" t="s">
        <v>913</v>
      </c>
      <c r="B865">
        <v>8.6</v>
      </c>
      <c r="C865">
        <v>9.4</v>
      </c>
      <c r="D865">
        <v>8.8</v>
      </c>
      <c r="E865">
        <v>6.9</v>
      </c>
      <c r="F865">
        <v>6.5</v>
      </c>
      <c r="G865">
        <v>8.2</v>
      </c>
      <c r="H865">
        <v>8.3</v>
      </c>
      <c r="I865">
        <v>4.8</v>
      </c>
      <c r="J865">
        <v>6.6</v>
      </c>
      <c r="K865">
        <v>6</v>
      </c>
      <c r="L865" s="1"/>
    </row>
    <row r="866" spans="1:12">
      <c r="A866" t="s">
        <v>914</v>
      </c>
      <c r="B866">
        <v>9.6</v>
      </c>
      <c r="C866">
        <v>8.1</v>
      </c>
      <c r="D866">
        <v>8.9</v>
      </c>
      <c r="E866">
        <v>9</v>
      </c>
      <c r="F866">
        <v>8.2</v>
      </c>
      <c r="G866">
        <v>7.9</v>
      </c>
      <c r="H866">
        <v>5.9</v>
      </c>
      <c r="I866">
        <v>9.5</v>
      </c>
      <c r="J866">
        <v>7.2</v>
      </c>
      <c r="K866">
        <v>7</v>
      </c>
      <c r="L866" s="1"/>
    </row>
    <row r="867" spans="1:12">
      <c r="A867" t="s">
        <v>915</v>
      </c>
      <c r="B867">
        <v>8.7</v>
      </c>
      <c r="C867">
        <v>8.1</v>
      </c>
      <c r="D867">
        <v>9</v>
      </c>
      <c r="E867">
        <v>8</v>
      </c>
      <c r="F867">
        <v>9</v>
      </c>
      <c r="G867">
        <v>6.6</v>
      </c>
      <c r="H867">
        <v>8.6</v>
      </c>
      <c r="I867">
        <v>7.3</v>
      </c>
      <c r="J867">
        <v>6.2</v>
      </c>
      <c r="K867">
        <v>8.7</v>
      </c>
      <c r="L867" s="1"/>
    </row>
    <row r="868" spans="1:12">
      <c r="A868" t="s">
        <v>916</v>
      </c>
      <c r="B868">
        <v>8.6</v>
      </c>
      <c r="C868">
        <v>8.7</v>
      </c>
      <c r="D868">
        <v>8.8</v>
      </c>
      <c r="E868">
        <v>7.9</v>
      </c>
      <c r="F868">
        <v>8.2</v>
      </c>
      <c r="G868">
        <v>7.7</v>
      </c>
      <c r="H868">
        <v>8.8</v>
      </c>
      <c r="I868">
        <v>6.1</v>
      </c>
      <c r="J868">
        <v>7.6</v>
      </c>
      <c r="K868">
        <v>7.1</v>
      </c>
      <c r="L868" s="1"/>
    </row>
    <row r="869" spans="1:12">
      <c r="A869" t="s">
        <v>917</v>
      </c>
      <c r="B869">
        <v>9.1</v>
      </c>
      <c r="C869">
        <v>9.1</v>
      </c>
      <c r="D869">
        <v>7.3</v>
      </c>
      <c r="E869">
        <v>7.5</v>
      </c>
      <c r="F869">
        <v>9.3</v>
      </c>
      <c r="G869">
        <v>8.7</v>
      </c>
      <c r="H869">
        <v>9.6</v>
      </c>
      <c r="I869">
        <v>8.3</v>
      </c>
      <c r="J869">
        <v>7.3</v>
      </c>
      <c r="K869">
        <v>6.5</v>
      </c>
      <c r="L869" s="1"/>
    </row>
    <row r="870" spans="1:12">
      <c r="A870" t="s">
        <v>918</v>
      </c>
      <c r="B870">
        <v>8.9</v>
      </c>
      <c r="C870">
        <v>8.3</v>
      </c>
      <c r="D870">
        <v>8.2</v>
      </c>
      <c r="E870">
        <v>8.4</v>
      </c>
      <c r="F870">
        <v>6.9</v>
      </c>
      <c r="G870">
        <v>8.4</v>
      </c>
      <c r="H870">
        <v>6.4</v>
      </c>
      <c r="I870">
        <v>7.3</v>
      </c>
      <c r="J870">
        <v>6.8</v>
      </c>
      <c r="K870">
        <v>6.4</v>
      </c>
      <c r="L870" s="1"/>
    </row>
    <row r="871" spans="1:12">
      <c r="A871" t="s">
        <v>919</v>
      </c>
      <c r="B871">
        <v>9.9</v>
      </c>
      <c r="C871">
        <v>8</v>
      </c>
      <c r="D871">
        <v>9.4</v>
      </c>
      <c r="E871">
        <v>8</v>
      </c>
      <c r="F871">
        <v>7.1</v>
      </c>
      <c r="G871">
        <v>8.3</v>
      </c>
      <c r="H871">
        <v>8.1</v>
      </c>
      <c r="I871">
        <v>6.9</v>
      </c>
      <c r="J871">
        <v>7</v>
      </c>
      <c r="K871">
        <v>6.3</v>
      </c>
      <c r="L871" s="1"/>
    </row>
    <row r="872" spans="1:12">
      <c r="A872" t="s">
        <v>920</v>
      </c>
      <c r="B872">
        <v>9</v>
      </c>
      <c r="C872">
        <v>8.4</v>
      </c>
      <c r="D872">
        <v>9.9</v>
      </c>
      <c r="E872">
        <v>7.9</v>
      </c>
      <c r="F872">
        <v>8.6</v>
      </c>
      <c r="G872">
        <v>7.9</v>
      </c>
      <c r="H872">
        <v>7.5</v>
      </c>
      <c r="I872">
        <v>8.4</v>
      </c>
      <c r="J872">
        <v>6.7</v>
      </c>
      <c r="K872">
        <v>4.4</v>
      </c>
      <c r="L872" s="1"/>
    </row>
    <row r="873" spans="1:12">
      <c r="A873" t="s">
        <v>921</v>
      </c>
      <c r="B873">
        <v>8.4</v>
      </c>
      <c r="C873">
        <v>8.6</v>
      </c>
      <c r="D873">
        <v>8.3</v>
      </c>
      <c r="E873">
        <v>8.3</v>
      </c>
      <c r="F873">
        <v>8.7</v>
      </c>
      <c r="G873">
        <v>8.6</v>
      </c>
      <c r="H873">
        <v>9.4</v>
      </c>
      <c r="I873">
        <v>6.5</v>
      </c>
      <c r="J873">
        <v>7.7</v>
      </c>
      <c r="K873">
        <v>7.2</v>
      </c>
      <c r="L873" s="1"/>
    </row>
    <row r="874" spans="1:12">
      <c r="A874" t="s">
        <v>922</v>
      </c>
      <c r="B874">
        <v>8.6</v>
      </c>
      <c r="C874">
        <v>8.6</v>
      </c>
      <c r="D874">
        <v>7.6</v>
      </c>
      <c r="E874">
        <v>8.2</v>
      </c>
      <c r="F874">
        <v>8.5</v>
      </c>
      <c r="G874">
        <v>8.2</v>
      </c>
      <c r="H874">
        <v>7.4</v>
      </c>
      <c r="I874">
        <v>8.5</v>
      </c>
      <c r="J874">
        <v>5</v>
      </c>
      <c r="K874">
        <v>5.5</v>
      </c>
      <c r="L874" s="1"/>
    </row>
    <row r="875" spans="1:12">
      <c r="A875" t="s">
        <v>923</v>
      </c>
      <c r="B875">
        <v>9.1</v>
      </c>
      <c r="C875">
        <v>8.8</v>
      </c>
      <c r="D875">
        <v>8.9</v>
      </c>
      <c r="E875">
        <v>8</v>
      </c>
      <c r="F875">
        <v>7.9</v>
      </c>
      <c r="G875">
        <v>7.9</v>
      </c>
      <c r="H875">
        <v>7</v>
      </c>
      <c r="I875">
        <v>7.6</v>
      </c>
      <c r="J875">
        <v>7.8</v>
      </c>
      <c r="K875">
        <v>5.6</v>
      </c>
      <c r="L875" s="1"/>
    </row>
    <row r="876" spans="1:12">
      <c r="A876" t="s">
        <v>924</v>
      </c>
      <c r="B876">
        <v>9</v>
      </c>
      <c r="C876">
        <v>7.8</v>
      </c>
      <c r="D876">
        <v>7.5</v>
      </c>
      <c r="E876">
        <v>8.3</v>
      </c>
      <c r="F876">
        <v>8.9</v>
      </c>
      <c r="G876">
        <v>8.6</v>
      </c>
      <c r="H876">
        <v>7.1</v>
      </c>
      <c r="I876">
        <v>7.3</v>
      </c>
      <c r="J876">
        <v>6.3</v>
      </c>
      <c r="K876">
        <v>5</v>
      </c>
      <c r="L876" s="1"/>
    </row>
    <row r="877" spans="1:12">
      <c r="A877" t="s">
        <v>925</v>
      </c>
      <c r="B877">
        <v>9.1</v>
      </c>
      <c r="C877">
        <v>8.7</v>
      </c>
      <c r="D877">
        <v>8.9</v>
      </c>
      <c r="E877">
        <v>7</v>
      </c>
      <c r="F877">
        <v>7.7</v>
      </c>
      <c r="G877">
        <v>7.9</v>
      </c>
      <c r="H877">
        <v>8.5</v>
      </c>
      <c r="I877">
        <v>5.7</v>
      </c>
      <c r="J877">
        <v>9.5</v>
      </c>
      <c r="K877">
        <v>5.8</v>
      </c>
      <c r="L877" s="1"/>
    </row>
    <row r="878" spans="1:12">
      <c r="A878" t="s">
        <v>926</v>
      </c>
      <c r="B878">
        <v>8.5</v>
      </c>
      <c r="C878">
        <v>8.4</v>
      </c>
      <c r="D878">
        <v>7.9</v>
      </c>
      <c r="E878">
        <v>8.4</v>
      </c>
      <c r="F878">
        <v>7.5</v>
      </c>
      <c r="G878">
        <v>8.5</v>
      </c>
      <c r="H878">
        <v>8.2</v>
      </c>
      <c r="I878">
        <v>6</v>
      </c>
      <c r="J878">
        <v>5.8</v>
      </c>
      <c r="K878">
        <v>6.6</v>
      </c>
      <c r="L878" s="1"/>
    </row>
    <row r="879" spans="1:12">
      <c r="A879" t="s">
        <v>927</v>
      </c>
      <c r="B879">
        <v>8.7</v>
      </c>
      <c r="C879">
        <v>8.2</v>
      </c>
      <c r="D879">
        <v>8.1</v>
      </c>
      <c r="E879">
        <v>8.1</v>
      </c>
      <c r="F879">
        <v>7.7</v>
      </c>
      <c r="G879">
        <v>7.6</v>
      </c>
      <c r="H879">
        <v>6.3</v>
      </c>
      <c r="I879">
        <v>7.7</v>
      </c>
      <c r="J879">
        <v>6.6</v>
      </c>
      <c r="K879">
        <v>6.8</v>
      </c>
      <c r="L879" s="1"/>
    </row>
    <row r="880" spans="1:12">
      <c r="A880" t="s">
        <v>928</v>
      </c>
      <c r="B880">
        <v>9.2</v>
      </c>
      <c r="C880">
        <v>9.9</v>
      </c>
      <c r="D880">
        <v>8.3</v>
      </c>
      <c r="E880">
        <v>8</v>
      </c>
      <c r="F880">
        <v>8.1</v>
      </c>
      <c r="G880">
        <v>7.9</v>
      </c>
      <c r="H880">
        <v>7.8</v>
      </c>
      <c r="I880">
        <v>6</v>
      </c>
      <c r="J880">
        <v>8.3</v>
      </c>
      <c r="K880">
        <v>4.6</v>
      </c>
      <c r="L880" s="1"/>
    </row>
    <row r="881" spans="1:12">
      <c r="A881" t="s">
        <v>929</v>
      </c>
      <c r="B881">
        <v>8.2</v>
      </c>
      <c r="C881">
        <v>8.6</v>
      </c>
      <c r="D881">
        <v>9</v>
      </c>
      <c r="E881">
        <v>8</v>
      </c>
      <c r="F881">
        <v>9</v>
      </c>
      <c r="G881">
        <v>8.6</v>
      </c>
      <c r="H881">
        <v>5.7</v>
      </c>
      <c r="I881">
        <v>7.4</v>
      </c>
      <c r="J881">
        <v>6.7</v>
      </c>
      <c r="K881">
        <v>6.8</v>
      </c>
      <c r="L881" s="1"/>
    </row>
    <row r="882" spans="1:12">
      <c r="A882" t="s">
        <v>930</v>
      </c>
      <c r="B882">
        <v>9</v>
      </c>
      <c r="C882">
        <v>8.8</v>
      </c>
      <c r="D882">
        <v>8.1</v>
      </c>
      <c r="E882">
        <v>8.7</v>
      </c>
      <c r="F882">
        <v>7</v>
      </c>
      <c r="G882">
        <v>6.6</v>
      </c>
      <c r="H882">
        <v>8.6</v>
      </c>
      <c r="I882">
        <v>5.9</v>
      </c>
      <c r="J882">
        <v>7.5</v>
      </c>
      <c r="K882">
        <v>6.2</v>
      </c>
      <c r="L882" s="1"/>
    </row>
    <row r="883" spans="1:12">
      <c r="A883" t="s">
        <v>931</v>
      </c>
      <c r="B883">
        <v>8.4</v>
      </c>
      <c r="C883">
        <v>9.3</v>
      </c>
      <c r="D883">
        <v>9.3</v>
      </c>
      <c r="E883">
        <v>8</v>
      </c>
      <c r="F883">
        <v>6.6</v>
      </c>
      <c r="G883">
        <v>6.7</v>
      </c>
      <c r="H883">
        <v>7.9</v>
      </c>
      <c r="I883">
        <v>6.7</v>
      </c>
      <c r="J883">
        <v>6.6</v>
      </c>
      <c r="K883">
        <v>7.7</v>
      </c>
      <c r="L883" s="1"/>
    </row>
    <row r="884" spans="1:12">
      <c r="A884" t="s">
        <v>932</v>
      </c>
      <c r="B884">
        <v>9</v>
      </c>
      <c r="C884">
        <v>8.8</v>
      </c>
      <c r="D884">
        <v>8.3</v>
      </c>
      <c r="E884">
        <v>8.4</v>
      </c>
      <c r="F884">
        <v>8.9</v>
      </c>
      <c r="G884">
        <v>6.9</v>
      </c>
      <c r="H884">
        <v>6.6</v>
      </c>
      <c r="I884">
        <v>6.5</v>
      </c>
      <c r="J884">
        <v>7.3</v>
      </c>
      <c r="K884">
        <v>4.9</v>
      </c>
      <c r="L884" s="1"/>
    </row>
    <row r="885" spans="1:12">
      <c r="A885" t="s">
        <v>933</v>
      </c>
      <c r="B885">
        <v>8.5</v>
      </c>
      <c r="C885">
        <v>9</v>
      </c>
      <c r="D885">
        <v>7.3</v>
      </c>
      <c r="E885">
        <v>7.7</v>
      </c>
      <c r="F885">
        <v>8.4</v>
      </c>
      <c r="G885">
        <v>8.6</v>
      </c>
      <c r="H885">
        <v>8</v>
      </c>
      <c r="I885">
        <v>8.4</v>
      </c>
      <c r="J885">
        <v>5.8</v>
      </c>
      <c r="K885">
        <v>5.6</v>
      </c>
      <c r="L885" s="1"/>
    </row>
    <row r="886" spans="1:12">
      <c r="A886" t="s">
        <v>934</v>
      </c>
      <c r="B886">
        <v>9</v>
      </c>
      <c r="C886">
        <v>8.2</v>
      </c>
      <c r="D886">
        <v>8.4</v>
      </c>
      <c r="E886">
        <v>7.1</v>
      </c>
      <c r="F886">
        <v>7</v>
      </c>
      <c r="G886">
        <v>6.5</v>
      </c>
      <c r="H886">
        <v>6</v>
      </c>
      <c r="I886">
        <v>5.1</v>
      </c>
      <c r="J886">
        <v>7.2</v>
      </c>
      <c r="K886">
        <v>7.3</v>
      </c>
      <c r="L886" s="1"/>
    </row>
    <row r="887" spans="1:12">
      <c r="A887" t="s">
        <v>935</v>
      </c>
      <c r="B887">
        <v>8.8</v>
      </c>
      <c r="C887">
        <v>8.2</v>
      </c>
      <c r="D887">
        <v>8.3</v>
      </c>
      <c r="E887">
        <v>8</v>
      </c>
      <c r="F887">
        <v>8</v>
      </c>
      <c r="G887">
        <v>8.3</v>
      </c>
      <c r="H887">
        <v>7.5</v>
      </c>
      <c r="I887">
        <v>7.4</v>
      </c>
      <c r="J887">
        <v>7.5</v>
      </c>
      <c r="K887">
        <v>6.1</v>
      </c>
      <c r="L887" s="1"/>
    </row>
    <row r="888" spans="1:12">
      <c r="A888" t="s">
        <v>936</v>
      </c>
      <c r="B888">
        <v>9.1</v>
      </c>
      <c r="C888">
        <v>8.1</v>
      </c>
      <c r="D888">
        <v>8.1</v>
      </c>
      <c r="E888">
        <v>8.9</v>
      </c>
      <c r="F888">
        <v>7.6</v>
      </c>
      <c r="G888">
        <v>6.9</v>
      </c>
      <c r="H888">
        <v>7.2</v>
      </c>
      <c r="I888">
        <v>7.6</v>
      </c>
      <c r="J888">
        <v>7.5</v>
      </c>
      <c r="K888">
        <v>4.9</v>
      </c>
      <c r="L888" s="1"/>
    </row>
    <row r="889" spans="1:12">
      <c r="A889" t="s">
        <v>937</v>
      </c>
      <c r="B889">
        <v>8.4</v>
      </c>
      <c r="C889">
        <v>9.2</v>
      </c>
      <c r="D889">
        <v>8.9</v>
      </c>
      <c r="E889">
        <v>9</v>
      </c>
      <c r="F889">
        <v>6.1</v>
      </c>
      <c r="G889">
        <v>6.8</v>
      </c>
      <c r="H889">
        <v>6.3</v>
      </c>
      <c r="I889">
        <v>7.5</v>
      </c>
      <c r="J889">
        <v>6.6</v>
      </c>
      <c r="K889">
        <v>5.7</v>
      </c>
      <c r="L889" s="1"/>
    </row>
    <row r="890" spans="1:12">
      <c r="A890" t="s">
        <v>938</v>
      </c>
      <c r="B890">
        <v>8.3</v>
      </c>
      <c r="C890">
        <v>8.7</v>
      </c>
      <c r="D890">
        <v>8.3</v>
      </c>
      <c r="E890">
        <v>8</v>
      </c>
      <c r="F890">
        <v>8.1</v>
      </c>
      <c r="G890">
        <v>6.8</v>
      </c>
      <c r="H890">
        <v>6.7</v>
      </c>
      <c r="I890">
        <v>7.2</v>
      </c>
      <c r="J890">
        <v>7.3</v>
      </c>
      <c r="K890">
        <v>7.7</v>
      </c>
      <c r="L890" s="1"/>
    </row>
    <row r="891" spans="1:12">
      <c r="A891" t="s">
        <v>939</v>
      </c>
      <c r="B891">
        <v>7.7</v>
      </c>
      <c r="C891">
        <v>8.4</v>
      </c>
      <c r="D891">
        <v>8.2</v>
      </c>
      <c r="E891">
        <v>8</v>
      </c>
      <c r="F891">
        <v>8.6</v>
      </c>
      <c r="G891">
        <v>7.2</v>
      </c>
      <c r="H891">
        <v>7.3</v>
      </c>
      <c r="I891">
        <v>8.4</v>
      </c>
      <c r="J891">
        <v>5.7</v>
      </c>
      <c r="K891">
        <v>7.3</v>
      </c>
      <c r="L891" s="1"/>
    </row>
    <row r="892" spans="1:12">
      <c r="A892" t="s">
        <v>940</v>
      </c>
      <c r="B892">
        <v>8.6</v>
      </c>
      <c r="C892">
        <v>8.1</v>
      </c>
      <c r="D892">
        <v>8.1</v>
      </c>
      <c r="E892">
        <v>8</v>
      </c>
      <c r="F892">
        <v>7.4</v>
      </c>
      <c r="G892">
        <v>6.5</v>
      </c>
      <c r="H892">
        <v>8.8</v>
      </c>
      <c r="I892">
        <v>6.8</v>
      </c>
      <c r="J892">
        <v>6.4</v>
      </c>
      <c r="K892">
        <v>6</v>
      </c>
      <c r="L892" s="1"/>
    </row>
    <row r="893" spans="1:12">
      <c r="A893" t="s">
        <v>941</v>
      </c>
      <c r="B893">
        <v>9.5</v>
      </c>
      <c r="C893">
        <v>9.2</v>
      </c>
      <c r="D893">
        <v>8.6</v>
      </c>
      <c r="E893">
        <v>8.1</v>
      </c>
      <c r="F893">
        <v>8.6</v>
      </c>
      <c r="G893">
        <v>8.7</v>
      </c>
      <c r="H893">
        <v>9.1</v>
      </c>
      <c r="I893">
        <v>8.2</v>
      </c>
      <c r="J893">
        <v>8.9</v>
      </c>
      <c r="K893">
        <v>5.8</v>
      </c>
      <c r="L893" s="1"/>
    </row>
    <row r="894" spans="1:12">
      <c r="A894" t="s">
        <v>942</v>
      </c>
      <c r="B894">
        <v>8.9</v>
      </c>
      <c r="C894">
        <v>8.3</v>
      </c>
      <c r="D894">
        <v>7.5</v>
      </c>
      <c r="E894">
        <v>8.7</v>
      </c>
      <c r="F894">
        <v>7</v>
      </c>
      <c r="G894">
        <v>7.3</v>
      </c>
      <c r="H894">
        <v>7.6</v>
      </c>
      <c r="I894">
        <v>7.2</v>
      </c>
      <c r="J894">
        <v>7.2</v>
      </c>
      <c r="K894">
        <v>5.6</v>
      </c>
      <c r="L894" s="1"/>
    </row>
    <row r="895" spans="1:12">
      <c r="A895" t="s">
        <v>943</v>
      </c>
      <c r="B895">
        <v>8.9</v>
      </c>
      <c r="C895">
        <v>8.5</v>
      </c>
      <c r="D895">
        <v>8.3</v>
      </c>
      <c r="E895">
        <v>7.7</v>
      </c>
      <c r="F895">
        <v>6.7</v>
      </c>
      <c r="G895">
        <v>8.8</v>
      </c>
      <c r="H895">
        <v>6.8</v>
      </c>
      <c r="I895">
        <v>7</v>
      </c>
      <c r="J895">
        <v>8</v>
      </c>
      <c r="K895">
        <v>3.9</v>
      </c>
      <c r="L895" s="1"/>
    </row>
    <row r="896" spans="1:12">
      <c r="A896" t="s">
        <v>944</v>
      </c>
      <c r="B896">
        <v>8.2</v>
      </c>
      <c r="C896">
        <v>8.4</v>
      </c>
      <c r="D896">
        <v>7.4</v>
      </c>
      <c r="E896">
        <v>9.4</v>
      </c>
      <c r="F896">
        <v>6</v>
      </c>
      <c r="G896">
        <v>6.2</v>
      </c>
      <c r="H896">
        <v>8.8</v>
      </c>
      <c r="I896">
        <v>7.6</v>
      </c>
      <c r="J896">
        <v>7.4</v>
      </c>
      <c r="K896">
        <v>5.5</v>
      </c>
      <c r="L896" s="1"/>
    </row>
    <row r="897" spans="1:12">
      <c r="A897" t="s">
        <v>945</v>
      </c>
      <c r="B897">
        <v>9.4</v>
      </c>
      <c r="C897">
        <v>8.3</v>
      </c>
      <c r="D897">
        <v>7.9</v>
      </c>
      <c r="E897">
        <v>9.6</v>
      </c>
      <c r="F897">
        <v>7.1</v>
      </c>
      <c r="G897">
        <v>8.2</v>
      </c>
      <c r="H897">
        <v>6.4</v>
      </c>
      <c r="I897">
        <v>8.3</v>
      </c>
      <c r="J897">
        <v>6.9</v>
      </c>
      <c r="K897">
        <v>6.6</v>
      </c>
      <c r="L897" s="1"/>
    </row>
    <row r="898" spans="1:12">
      <c r="A898" t="s">
        <v>946</v>
      </c>
      <c r="B898">
        <v>7.3</v>
      </c>
      <c r="C898">
        <v>8.4</v>
      </c>
      <c r="D898">
        <v>8.7</v>
      </c>
      <c r="E898">
        <v>8.3</v>
      </c>
      <c r="F898">
        <v>9.4</v>
      </c>
      <c r="G898">
        <v>8.7</v>
      </c>
      <c r="H898">
        <v>9.2</v>
      </c>
      <c r="I898">
        <v>7.9</v>
      </c>
      <c r="J898">
        <v>7.2</v>
      </c>
      <c r="K898">
        <v>7.4</v>
      </c>
      <c r="L898" s="1"/>
    </row>
    <row r="899" spans="1:12">
      <c r="A899" t="s">
        <v>947</v>
      </c>
      <c r="B899">
        <v>8.2</v>
      </c>
      <c r="C899">
        <v>8.8</v>
      </c>
      <c r="D899">
        <v>8.9</v>
      </c>
      <c r="E899">
        <v>7.9</v>
      </c>
      <c r="F899">
        <v>8.2</v>
      </c>
      <c r="G899">
        <v>7.2</v>
      </c>
      <c r="H899">
        <v>7.7</v>
      </c>
      <c r="I899">
        <v>8.3</v>
      </c>
      <c r="J899">
        <v>6.2</v>
      </c>
      <c r="K899">
        <v>3.5</v>
      </c>
      <c r="L899" s="1"/>
    </row>
    <row r="900" spans="1:12">
      <c r="A900" t="s">
        <v>948</v>
      </c>
      <c r="B900">
        <v>8.3</v>
      </c>
      <c r="C900">
        <v>8.2</v>
      </c>
      <c r="D900">
        <v>9.8</v>
      </c>
      <c r="E900">
        <v>8</v>
      </c>
      <c r="F900">
        <v>7.9</v>
      </c>
      <c r="G900">
        <v>8.2</v>
      </c>
      <c r="H900">
        <v>7</v>
      </c>
      <c r="I900">
        <v>7.4</v>
      </c>
      <c r="J900">
        <v>8.1</v>
      </c>
      <c r="K900">
        <v>5.1</v>
      </c>
      <c r="L900" s="1"/>
    </row>
    <row r="901" spans="1:12">
      <c r="A901" t="s">
        <v>949</v>
      </c>
      <c r="B901">
        <v>8.7</v>
      </c>
      <c r="C901">
        <v>7.8</v>
      </c>
      <c r="D901">
        <v>8.8</v>
      </c>
      <c r="E901">
        <v>8</v>
      </c>
      <c r="F901">
        <v>8.2</v>
      </c>
      <c r="G901">
        <v>7.1</v>
      </c>
      <c r="H901">
        <v>8.5</v>
      </c>
      <c r="I901">
        <v>9.5</v>
      </c>
      <c r="J901">
        <v>9.5</v>
      </c>
      <c r="K901">
        <v>6.6</v>
      </c>
      <c r="L901" s="1"/>
    </row>
    <row r="902" spans="1:12">
      <c r="A902" t="s">
        <v>950</v>
      </c>
      <c r="B902">
        <v>8.2</v>
      </c>
      <c r="C902">
        <v>7.9</v>
      </c>
      <c r="D902">
        <v>7.7</v>
      </c>
      <c r="E902">
        <v>7.3</v>
      </c>
      <c r="F902">
        <v>7.9</v>
      </c>
      <c r="G902">
        <v>8</v>
      </c>
      <c r="H902">
        <v>8.8</v>
      </c>
      <c r="I902">
        <v>8.3</v>
      </c>
      <c r="J902">
        <v>7.4</v>
      </c>
      <c r="K902">
        <v>7.8</v>
      </c>
      <c r="L902" s="1"/>
    </row>
    <row r="903" spans="1:12">
      <c r="A903" t="s">
        <v>951</v>
      </c>
      <c r="B903">
        <v>9.6</v>
      </c>
      <c r="C903">
        <v>9.1</v>
      </c>
      <c r="D903">
        <v>8.6</v>
      </c>
      <c r="E903">
        <v>8.7</v>
      </c>
      <c r="F903">
        <v>6.9</v>
      </c>
      <c r="G903">
        <v>7.9</v>
      </c>
      <c r="H903">
        <v>8.1</v>
      </c>
      <c r="I903">
        <v>5.9</v>
      </c>
      <c r="J903">
        <v>6.7</v>
      </c>
      <c r="K903">
        <v>9.3</v>
      </c>
      <c r="L903" s="1"/>
    </row>
    <row r="904" spans="1:12">
      <c r="A904" t="s">
        <v>952</v>
      </c>
      <c r="B904">
        <v>9.8</v>
      </c>
      <c r="C904">
        <v>9.1</v>
      </c>
      <c r="D904">
        <v>7.7</v>
      </c>
      <c r="E904">
        <v>8.2</v>
      </c>
      <c r="F904">
        <v>8.3</v>
      </c>
      <c r="G904">
        <v>7.8</v>
      </c>
      <c r="H904">
        <v>7.6</v>
      </c>
      <c r="I904">
        <v>6.3</v>
      </c>
      <c r="J904">
        <v>7.6</v>
      </c>
      <c r="K904">
        <v>6.7</v>
      </c>
      <c r="L904" s="1"/>
    </row>
    <row r="905" spans="1:12">
      <c r="A905" t="s">
        <v>953</v>
      </c>
      <c r="B905">
        <v>8.1</v>
      </c>
      <c r="C905">
        <v>8.1</v>
      </c>
      <c r="D905">
        <v>8.4</v>
      </c>
      <c r="E905">
        <v>7.9</v>
      </c>
      <c r="F905">
        <v>7.2</v>
      </c>
      <c r="G905">
        <v>8.3</v>
      </c>
      <c r="H905">
        <v>6.9</v>
      </c>
      <c r="I905">
        <v>7.8</v>
      </c>
      <c r="J905">
        <v>7.3</v>
      </c>
      <c r="K905">
        <v>6.8</v>
      </c>
      <c r="L905" s="1"/>
    </row>
    <row r="906" spans="1:12">
      <c r="A906" t="s">
        <v>954</v>
      </c>
      <c r="B906">
        <v>8.6</v>
      </c>
      <c r="C906">
        <v>8.7</v>
      </c>
      <c r="D906">
        <v>7.7</v>
      </c>
      <c r="E906">
        <v>9.3</v>
      </c>
      <c r="F906">
        <v>8.1</v>
      </c>
      <c r="G906">
        <v>6.8</v>
      </c>
      <c r="H906">
        <v>9.2</v>
      </c>
      <c r="I906">
        <v>8.7</v>
      </c>
      <c r="J906">
        <v>7.2</v>
      </c>
      <c r="K906">
        <v>8.2</v>
      </c>
      <c r="L906" s="1"/>
    </row>
    <row r="907" spans="1:12">
      <c r="A907" t="s">
        <v>955</v>
      </c>
      <c r="B907">
        <v>8.9</v>
      </c>
      <c r="C907">
        <v>8.4</v>
      </c>
      <c r="D907">
        <v>8.8</v>
      </c>
      <c r="E907">
        <v>7.6</v>
      </c>
      <c r="F907">
        <v>7.6</v>
      </c>
      <c r="G907">
        <v>6.2</v>
      </c>
      <c r="H907">
        <v>7.7</v>
      </c>
      <c r="I907">
        <v>8.5</v>
      </c>
      <c r="J907">
        <v>7.2</v>
      </c>
      <c r="K907">
        <v>9.3</v>
      </c>
      <c r="L907" s="1"/>
    </row>
    <row r="908" spans="1:12">
      <c r="A908" t="s">
        <v>956</v>
      </c>
      <c r="B908">
        <v>8.9</v>
      </c>
      <c r="C908">
        <v>8.6</v>
      </c>
      <c r="D908">
        <v>8.7</v>
      </c>
      <c r="E908">
        <v>8.7</v>
      </c>
      <c r="F908">
        <v>7.4</v>
      </c>
      <c r="G908">
        <v>8.1</v>
      </c>
      <c r="H908">
        <v>6.7</v>
      </c>
      <c r="I908">
        <v>7.8</v>
      </c>
      <c r="J908">
        <v>6.7</v>
      </c>
      <c r="K908">
        <v>7</v>
      </c>
      <c r="L908" s="1"/>
    </row>
    <row r="909" spans="1:12">
      <c r="A909" t="s">
        <v>957</v>
      </c>
      <c r="B909">
        <v>8.2</v>
      </c>
      <c r="C909">
        <v>8.7</v>
      </c>
      <c r="D909">
        <v>8.1</v>
      </c>
      <c r="E909">
        <v>9</v>
      </c>
      <c r="F909">
        <v>7.2</v>
      </c>
      <c r="G909">
        <v>7.9</v>
      </c>
      <c r="H909">
        <v>8.7</v>
      </c>
      <c r="I909">
        <v>7.3</v>
      </c>
      <c r="J909">
        <v>8.3</v>
      </c>
      <c r="K909">
        <v>3.7</v>
      </c>
      <c r="L909" s="1"/>
    </row>
    <row r="910" spans="1:12">
      <c r="A910" t="s">
        <v>958</v>
      </c>
      <c r="B910">
        <v>7.9</v>
      </c>
      <c r="C910">
        <v>9.3</v>
      </c>
      <c r="D910">
        <v>9</v>
      </c>
      <c r="E910">
        <v>6.7</v>
      </c>
      <c r="F910">
        <v>8.6</v>
      </c>
      <c r="G910">
        <v>9</v>
      </c>
      <c r="H910">
        <v>6.4</v>
      </c>
      <c r="I910">
        <v>8.9</v>
      </c>
      <c r="J910">
        <v>7.6</v>
      </c>
      <c r="K910">
        <v>6</v>
      </c>
      <c r="L910" s="1"/>
    </row>
    <row r="911" spans="1:12">
      <c r="A911" t="s">
        <v>959</v>
      </c>
      <c r="B911">
        <v>9.3</v>
      </c>
      <c r="C911">
        <v>7.2</v>
      </c>
      <c r="D911">
        <v>7.6</v>
      </c>
      <c r="E911">
        <v>8.6</v>
      </c>
      <c r="F911">
        <v>7.7</v>
      </c>
      <c r="G911">
        <v>8.3</v>
      </c>
      <c r="H911">
        <v>7</v>
      </c>
      <c r="I911">
        <v>8.9</v>
      </c>
      <c r="J911">
        <v>7.4</v>
      </c>
      <c r="K911">
        <v>6.2</v>
      </c>
      <c r="L911" s="1"/>
    </row>
    <row r="912" spans="1:12">
      <c r="A912" t="s">
        <v>960</v>
      </c>
      <c r="B912">
        <v>9.5</v>
      </c>
      <c r="C912">
        <v>8.4</v>
      </c>
      <c r="D912">
        <v>8.3</v>
      </c>
      <c r="E912">
        <v>9.1</v>
      </c>
      <c r="F912">
        <v>7.4</v>
      </c>
      <c r="G912">
        <v>7.7</v>
      </c>
      <c r="H912">
        <v>8</v>
      </c>
      <c r="I912">
        <v>6.1</v>
      </c>
      <c r="J912">
        <v>8.1</v>
      </c>
      <c r="K912">
        <v>6</v>
      </c>
      <c r="L912" s="1"/>
    </row>
    <row r="913" spans="1:12">
      <c r="A913" t="s">
        <v>961</v>
      </c>
      <c r="B913">
        <v>8.1</v>
      </c>
      <c r="C913">
        <v>8.1</v>
      </c>
      <c r="D913">
        <v>9.2</v>
      </c>
      <c r="E913">
        <v>8.6</v>
      </c>
      <c r="F913">
        <v>8.4</v>
      </c>
      <c r="G913">
        <v>8.8</v>
      </c>
      <c r="H913">
        <v>7.6</v>
      </c>
      <c r="I913">
        <v>7.2</v>
      </c>
      <c r="J913">
        <v>6.7</v>
      </c>
      <c r="K913">
        <v>9.2</v>
      </c>
      <c r="L913" s="1"/>
    </row>
    <row r="914" spans="1:12">
      <c r="A914" t="s">
        <v>962</v>
      </c>
      <c r="B914">
        <v>9.1</v>
      </c>
      <c r="C914">
        <v>8.2</v>
      </c>
      <c r="D914">
        <v>8.4</v>
      </c>
      <c r="E914">
        <v>8.7</v>
      </c>
      <c r="F914">
        <v>6.4</v>
      </c>
      <c r="G914">
        <v>7.7</v>
      </c>
      <c r="H914">
        <v>8.4</v>
      </c>
      <c r="I914">
        <v>7.1</v>
      </c>
      <c r="J914">
        <v>5.8</v>
      </c>
      <c r="K914">
        <v>6.4</v>
      </c>
      <c r="L914" s="1"/>
    </row>
    <row r="915" spans="1:12">
      <c r="A915" t="s">
        <v>963</v>
      </c>
      <c r="B915">
        <v>9</v>
      </c>
      <c r="C915">
        <v>8.9</v>
      </c>
      <c r="D915">
        <v>8.4</v>
      </c>
      <c r="E915">
        <v>8.5</v>
      </c>
      <c r="F915">
        <v>8.1</v>
      </c>
      <c r="G915">
        <v>7.8</v>
      </c>
      <c r="H915">
        <v>7.6</v>
      </c>
      <c r="I915">
        <v>6</v>
      </c>
      <c r="J915">
        <v>7.1</v>
      </c>
      <c r="K915">
        <v>6.2</v>
      </c>
      <c r="L915" s="1"/>
    </row>
    <row r="916" spans="1:12">
      <c r="A916" t="s">
        <v>964</v>
      </c>
      <c r="B916">
        <v>8.7</v>
      </c>
      <c r="C916">
        <v>9.2</v>
      </c>
      <c r="D916">
        <v>9.1</v>
      </c>
      <c r="E916">
        <v>8</v>
      </c>
      <c r="F916">
        <v>7.8</v>
      </c>
      <c r="G916">
        <v>6.6</v>
      </c>
      <c r="H916">
        <v>9</v>
      </c>
      <c r="I916">
        <v>7.3</v>
      </c>
      <c r="J916">
        <v>7.7</v>
      </c>
      <c r="K916">
        <v>4.8</v>
      </c>
      <c r="L916" s="1"/>
    </row>
    <row r="917" spans="1:12">
      <c r="A917" t="s">
        <v>965</v>
      </c>
      <c r="B917">
        <v>8.9</v>
      </c>
      <c r="C917">
        <v>8.5</v>
      </c>
      <c r="D917">
        <v>8.3</v>
      </c>
      <c r="E917">
        <v>8.7</v>
      </c>
      <c r="F917">
        <v>9.2</v>
      </c>
      <c r="G917">
        <v>8.2</v>
      </c>
      <c r="H917">
        <v>8.4</v>
      </c>
      <c r="I917">
        <v>6.7</v>
      </c>
      <c r="J917">
        <v>5.5</v>
      </c>
      <c r="K917">
        <v>5.7</v>
      </c>
      <c r="L917" s="1"/>
    </row>
    <row r="918" spans="1:12">
      <c r="A918" t="s">
        <v>966</v>
      </c>
      <c r="B918">
        <v>9.2</v>
      </c>
      <c r="C918">
        <v>9</v>
      </c>
      <c r="D918">
        <v>8.3</v>
      </c>
      <c r="E918">
        <v>7.6</v>
      </c>
      <c r="F918">
        <v>7.1</v>
      </c>
      <c r="G918">
        <v>7.7</v>
      </c>
      <c r="H918">
        <v>8.7</v>
      </c>
      <c r="I918">
        <v>6.5</v>
      </c>
      <c r="J918">
        <v>5.1</v>
      </c>
      <c r="K918">
        <v>4.9</v>
      </c>
      <c r="L918" s="1"/>
    </row>
    <row r="919" spans="1:12">
      <c r="A919" t="s">
        <v>967</v>
      </c>
      <c r="B919">
        <v>8.2</v>
      </c>
      <c r="C919">
        <v>7.8</v>
      </c>
      <c r="D919">
        <v>6.9</v>
      </c>
      <c r="E919">
        <v>8.1</v>
      </c>
      <c r="F919">
        <v>8.5</v>
      </c>
      <c r="G919">
        <v>8.4</v>
      </c>
      <c r="H919">
        <v>7.6</v>
      </c>
      <c r="I919">
        <v>8.7</v>
      </c>
      <c r="J919">
        <v>8.7</v>
      </c>
      <c r="K919">
        <v>6</v>
      </c>
      <c r="L919" s="1"/>
    </row>
    <row r="920" spans="1:12">
      <c r="A920" t="s">
        <v>968</v>
      </c>
      <c r="B920">
        <v>8.3</v>
      </c>
      <c r="C920">
        <v>9.6</v>
      </c>
      <c r="D920">
        <v>8.7</v>
      </c>
      <c r="E920">
        <v>8.6</v>
      </c>
      <c r="F920">
        <v>7.5</v>
      </c>
      <c r="G920">
        <v>5.8</v>
      </c>
      <c r="H920">
        <v>7.9</v>
      </c>
      <c r="I920">
        <v>7.8</v>
      </c>
      <c r="J920">
        <v>6.1</v>
      </c>
      <c r="K920">
        <v>6.4</v>
      </c>
      <c r="L920" s="1"/>
    </row>
    <row r="921" spans="1:12">
      <c r="A921" t="s">
        <v>969</v>
      </c>
      <c r="B921">
        <v>7.9</v>
      </c>
      <c r="C921">
        <v>9.1</v>
      </c>
      <c r="D921">
        <v>8.2</v>
      </c>
      <c r="E921">
        <v>8.2</v>
      </c>
      <c r="F921">
        <v>8.6</v>
      </c>
      <c r="G921">
        <v>7.6</v>
      </c>
      <c r="H921">
        <v>6.6</v>
      </c>
      <c r="I921">
        <v>7.3</v>
      </c>
      <c r="J921">
        <v>8.1</v>
      </c>
      <c r="K921">
        <v>7.5</v>
      </c>
      <c r="L921" s="1"/>
    </row>
    <row r="922" spans="1:12">
      <c r="A922" t="s">
        <v>970</v>
      </c>
      <c r="B922">
        <v>8.6</v>
      </c>
      <c r="C922">
        <v>8.6</v>
      </c>
      <c r="D922">
        <v>8.7</v>
      </c>
      <c r="E922">
        <v>7.7</v>
      </c>
      <c r="F922">
        <v>9.4</v>
      </c>
      <c r="G922">
        <v>6.4</v>
      </c>
      <c r="H922">
        <v>8.3</v>
      </c>
      <c r="I922">
        <v>7.4</v>
      </c>
      <c r="J922">
        <v>7.9</v>
      </c>
      <c r="K922">
        <v>5.4</v>
      </c>
      <c r="L922" s="1"/>
    </row>
    <row r="923" spans="1:12">
      <c r="A923" t="s">
        <v>971</v>
      </c>
      <c r="B923">
        <v>9.5</v>
      </c>
      <c r="C923">
        <v>8.2</v>
      </c>
      <c r="D923">
        <v>9.3</v>
      </c>
      <c r="E923">
        <v>7.3</v>
      </c>
      <c r="F923">
        <v>8.3</v>
      </c>
      <c r="G923">
        <v>7.7</v>
      </c>
      <c r="H923">
        <v>6.5</v>
      </c>
      <c r="I923">
        <v>7.5</v>
      </c>
      <c r="J923">
        <v>7.4</v>
      </c>
      <c r="K923">
        <v>5</v>
      </c>
      <c r="L923" s="1"/>
    </row>
    <row r="924" spans="1:12">
      <c r="A924" t="s">
        <v>972</v>
      </c>
      <c r="B924">
        <v>8.5</v>
      </c>
      <c r="C924">
        <v>7.8</v>
      </c>
      <c r="D924">
        <v>8.3</v>
      </c>
      <c r="E924">
        <v>8</v>
      </c>
      <c r="F924">
        <v>7.4</v>
      </c>
      <c r="G924">
        <v>8.3</v>
      </c>
      <c r="H924">
        <v>7.2</v>
      </c>
      <c r="I924">
        <v>7.9</v>
      </c>
      <c r="J924">
        <v>6.1</v>
      </c>
      <c r="K924">
        <v>6.8</v>
      </c>
      <c r="L924" s="1"/>
    </row>
    <row r="925" spans="1:12">
      <c r="A925" t="s">
        <v>973</v>
      </c>
      <c r="B925">
        <v>9.6</v>
      </c>
      <c r="C925">
        <v>8.4</v>
      </c>
      <c r="D925">
        <v>8.3</v>
      </c>
      <c r="E925">
        <v>7.1</v>
      </c>
      <c r="F925">
        <v>9</v>
      </c>
      <c r="G925">
        <v>9.1</v>
      </c>
      <c r="H925">
        <v>6.4</v>
      </c>
      <c r="I925">
        <v>7.7</v>
      </c>
      <c r="J925">
        <v>7.3</v>
      </c>
      <c r="K925">
        <v>6.3</v>
      </c>
      <c r="L925" s="1"/>
    </row>
    <row r="926" spans="1:12">
      <c r="A926" t="s">
        <v>974</v>
      </c>
      <c r="B926">
        <v>8.6</v>
      </c>
      <c r="C926">
        <v>9.7</v>
      </c>
      <c r="D926">
        <v>8.3</v>
      </c>
      <c r="E926">
        <v>8.1</v>
      </c>
      <c r="F926">
        <v>7.1</v>
      </c>
      <c r="G926">
        <v>8.1</v>
      </c>
      <c r="H926">
        <v>9.1</v>
      </c>
      <c r="I926">
        <v>7.1</v>
      </c>
      <c r="J926">
        <v>8</v>
      </c>
      <c r="K926">
        <v>6.1</v>
      </c>
      <c r="L926" s="1"/>
    </row>
    <row r="927" spans="1:12">
      <c r="A927" t="s">
        <v>975</v>
      </c>
      <c r="B927">
        <v>8.8</v>
      </c>
      <c r="C927">
        <v>8.9</v>
      </c>
      <c r="D927">
        <v>9.5</v>
      </c>
      <c r="E927">
        <v>8.6</v>
      </c>
      <c r="F927">
        <v>7.6</v>
      </c>
      <c r="G927">
        <v>8.3</v>
      </c>
      <c r="H927">
        <v>7.7</v>
      </c>
      <c r="I927">
        <v>7.1</v>
      </c>
      <c r="J927">
        <v>5.6</v>
      </c>
      <c r="K927">
        <v>7</v>
      </c>
      <c r="L927" s="1"/>
    </row>
    <row r="928" spans="1:12">
      <c r="A928" t="s">
        <v>976</v>
      </c>
      <c r="B928">
        <v>9.2</v>
      </c>
      <c r="C928">
        <v>8.8</v>
      </c>
      <c r="D928">
        <v>9.8</v>
      </c>
      <c r="E928">
        <v>6.8</v>
      </c>
      <c r="F928">
        <v>8.4</v>
      </c>
      <c r="G928">
        <v>8.9</v>
      </c>
      <c r="H928">
        <v>5.5</v>
      </c>
      <c r="I928">
        <v>8.8</v>
      </c>
      <c r="J928">
        <v>7.2</v>
      </c>
      <c r="K928">
        <v>6.3</v>
      </c>
      <c r="L928" s="1"/>
    </row>
    <row r="929" spans="1:12">
      <c r="A929" t="s">
        <v>977</v>
      </c>
      <c r="B929">
        <v>8.4</v>
      </c>
      <c r="C929">
        <v>8.7</v>
      </c>
      <c r="D929">
        <v>7.9</v>
      </c>
      <c r="E929">
        <v>7.5</v>
      </c>
      <c r="F929">
        <v>8.3</v>
      </c>
      <c r="G929">
        <v>7.9</v>
      </c>
      <c r="H929">
        <v>7.1</v>
      </c>
      <c r="I929">
        <v>7.7</v>
      </c>
      <c r="J929">
        <v>7.8</v>
      </c>
      <c r="K929">
        <v>5.5</v>
      </c>
      <c r="L929" s="1"/>
    </row>
    <row r="930" spans="1:12">
      <c r="A930" t="s">
        <v>978</v>
      </c>
      <c r="B930">
        <v>9</v>
      </c>
      <c r="C930">
        <v>8.2</v>
      </c>
      <c r="D930">
        <v>9</v>
      </c>
      <c r="E930">
        <v>8</v>
      </c>
      <c r="F930">
        <v>7.4</v>
      </c>
      <c r="G930">
        <v>7.3</v>
      </c>
      <c r="H930">
        <v>8.1</v>
      </c>
      <c r="I930">
        <v>7</v>
      </c>
      <c r="J930">
        <v>8.3</v>
      </c>
      <c r="K930">
        <v>6.5</v>
      </c>
      <c r="L930" s="1"/>
    </row>
    <row r="931" spans="1:12">
      <c r="A931" t="s">
        <v>979</v>
      </c>
      <c r="B931">
        <v>8.7</v>
      </c>
      <c r="C931">
        <v>9.5</v>
      </c>
      <c r="D931">
        <v>8.5</v>
      </c>
      <c r="E931">
        <v>7.5</v>
      </c>
      <c r="F931">
        <v>8.3</v>
      </c>
      <c r="G931">
        <v>8.2</v>
      </c>
      <c r="H931">
        <v>6.3</v>
      </c>
      <c r="I931">
        <v>6.3</v>
      </c>
      <c r="J931">
        <v>6.5</v>
      </c>
      <c r="K931">
        <v>5.7</v>
      </c>
      <c r="L931" s="1"/>
    </row>
    <row r="932" spans="1:12">
      <c r="A932" t="s">
        <v>980</v>
      </c>
      <c r="B932">
        <v>9.2</v>
      </c>
      <c r="C932">
        <v>8.1</v>
      </c>
      <c r="D932">
        <v>7.8</v>
      </c>
      <c r="E932">
        <v>8.4</v>
      </c>
      <c r="F932">
        <v>7.7</v>
      </c>
      <c r="G932">
        <v>6.8</v>
      </c>
      <c r="H932">
        <v>7.6</v>
      </c>
      <c r="I932">
        <v>7.1</v>
      </c>
      <c r="J932">
        <v>8.9</v>
      </c>
      <c r="K932">
        <v>4.6</v>
      </c>
      <c r="L932" s="1"/>
    </row>
    <row r="933" spans="1:12">
      <c r="A933" t="s">
        <v>981</v>
      </c>
      <c r="B933">
        <v>9.2</v>
      </c>
      <c r="C933">
        <v>8.4</v>
      </c>
      <c r="D933">
        <v>8.6</v>
      </c>
      <c r="E933">
        <v>8.5</v>
      </c>
      <c r="F933">
        <v>7.3</v>
      </c>
      <c r="G933">
        <v>7.4</v>
      </c>
      <c r="H933">
        <v>7.6</v>
      </c>
      <c r="I933">
        <v>8.7</v>
      </c>
      <c r="J933">
        <v>8.1</v>
      </c>
      <c r="K933">
        <v>5.6</v>
      </c>
      <c r="L933" s="1"/>
    </row>
    <row r="934" spans="1:12">
      <c r="A934" t="s">
        <v>982</v>
      </c>
      <c r="B934">
        <v>9</v>
      </c>
      <c r="C934">
        <v>9.2</v>
      </c>
      <c r="D934">
        <v>7.5</v>
      </c>
      <c r="E934">
        <v>9.1</v>
      </c>
      <c r="F934">
        <v>7.9</v>
      </c>
      <c r="G934">
        <v>8.5</v>
      </c>
      <c r="H934">
        <v>7.5</v>
      </c>
      <c r="I934">
        <v>7.8</v>
      </c>
      <c r="J934">
        <v>8</v>
      </c>
      <c r="K934">
        <v>6.4</v>
      </c>
      <c r="L934" s="1"/>
    </row>
    <row r="935" spans="1:12">
      <c r="A935" t="s">
        <v>983</v>
      </c>
      <c r="B935">
        <v>7.9</v>
      </c>
      <c r="C935">
        <v>8.1</v>
      </c>
      <c r="D935">
        <v>9.2</v>
      </c>
      <c r="E935">
        <v>8.7</v>
      </c>
      <c r="F935">
        <v>7</v>
      </c>
      <c r="G935">
        <v>7.6</v>
      </c>
      <c r="H935">
        <v>7.9</v>
      </c>
      <c r="I935">
        <v>7.7</v>
      </c>
      <c r="J935">
        <v>5.6</v>
      </c>
      <c r="K935">
        <v>7.8</v>
      </c>
      <c r="L935" s="1"/>
    </row>
    <row r="936" spans="1:12">
      <c r="A936" t="s">
        <v>984</v>
      </c>
      <c r="B936">
        <v>9.4</v>
      </c>
      <c r="C936">
        <v>8.6</v>
      </c>
      <c r="D936">
        <v>7.7</v>
      </c>
      <c r="E936">
        <v>8.5</v>
      </c>
      <c r="F936">
        <v>8.4</v>
      </c>
      <c r="G936">
        <v>8.2</v>
      </c>
      <c r="H936">
        <v>5.9</v>
      </c>
      <c r="I936">
        <v>6.5</v>
      </c>
      <c r="J936">
        <v>5.3</v>
      </c>
      <c r="K936">
        <v>5.1</v>
      </c>
      <c r="L936" s="1"/>
    </row>
    <row r="937" spans="1:12">
      <c r="A937" t="s">
        <v>985</v>
      </c>
      <c r="B937">
        <v>8.9</v>
      </c>
      <c r="C937">
        <v>8.7</v>
      </c>
      <c r="D937">
        <v>8.6</v>
      </c>
      <c r="E937">
        <v>8.3</v>
      </c>
      <c r="F937">
        <v>6.9</v>
      </c>
      <c r="G937">
        <v>7.7</v>
      </c>
      <c r="H937">
        <v>6.2</v>
      </c>
      <c r="I937">
        <v>6.9</v>
      </c>
      <c r="J937">
        <v>5.9</v>
      </c>
      <c r="K937">
        <v>6.4</v>
      </c>
      <c r="L937" s="1"/>
    </row>
    <row r="938" spans="1:12">
      <c r="A938" t="s">
        <v>986</v>
      </c>
      <c r="B938">
        <v>8.5</v>
      </c>
      <c r="C938">
        <v>8.6</v>
      </c>
      <c r="D938">
        <v>8.4</v>
      </c>
      <c r="E938">
        <v>7.3</v>
      </c>
      <c r="F938">
        <v>8.3</v>
      </c>
      <c r="G938">
        <v>6.8</v>
      </c>
      <c r="H938">
        <v>5.3</v>
      </c>
      <c r="I938">
        <v>6.4</v>
      </c>
      <c r="J938">
        <v>7.8</v>
      </c>
      <c r="K938">
        <v>6.4</v>
      </c>
      <c r="L938" s="1"/>
    </row>
    <row r="939" spans="1:12">
      <c r="A939" t="s">
        <v>987</v>
      </c>
      <c r="B939">
        <v>8.6</v>
      </c>
      <c r="C939">
        <v>9</v>
      </c>
      <c r="D939">
        <v>9</v>
      </c>
      <c r="E939">
        <v>9</v>
      </c>
      <c r="F939">
        <v>7.8</v>
      </c>
      <c r="G939">
        <v>7.2</v>
      </c>
      <c r="H939">
        <v>8.8</v>
      </c>
      <c r="I939">
        <v>6.2</v>
      </c>
      <c r="J939">
        <v>6.9</v>
      </c>
      <c r="K939">
        <v>3.9</v>
      </c>
      <c r="L939" s="1"/>
    </row>
    <row r="940" spans="1:12">
      <c r="A940" t="s">
        <v>988</v>
      </c>
      <c r="B940">
        <v>7.6</v>
      </c>
      <c r="C940">
        <v>8.8</v>
      </c>
      <c r="D940">
        <v>8.4</v>
      </c>
      <c r="E940">
        <v>7.5</v>
      </c>
      <c r="F940">
        <v>8</v>
      </c>
      <c r="G940">
        <v>8.6</v>
      </c>
      <c r="H940">
        <v>6.9</v>
      </c>
      <c r="I940">
        <v>8.2</v>
      </c>
      <c r="J940">
        <v>7.3</v>
      </c>
      <c r="K940">
        <v>8.1</v>
      </c>
      <c r="L940" s="1"/>
    </row>
    <row r="941" spans="1:12">
      <c r="A941" t="s">
        <v>989</v>
      </c>
      <c r="B941">
        <v>8.5</v>
      </c>
      <c r="C941">
        <v>8.9</v>
      </c>
      <c r="D941">
        <v>7.9</v>
      </c>
      <c r="E941">
        <v>9.2</v>
      </c>
      <c r="F941">
        <v>8.3</v>
      </c>
      <c r="G941">
        <v>8.1</v>
      </c>
      <c r="H941">
        <v>6.5</v>
      </c>
      <c r="I941">
        <v>6.8</v>
      </c>
      <c r="J941">
        <v>6.1</v>
      </c>
      <c r="K941">
        <v>5.7</v>
      </c>
      <c r="L941" s="1"/>
    </row>
    <row r="942" spans="1:12">
      <c r="A942" t="s">
        <v>990</v>
      </c>
      <c r="B942">
        <v>8.3</v>
      </c>
      <c r="C942">
        <v>8.2</v>
      </c>
      <c r="D942">
        <v>8.2</v>
      </c>
      <c r="E942">
        <v>8.4</v>
      </c>
      <c r="F942">
        <v>9.2</v>
      </c>
      <c r="G942">
        <v>8.1</v>
      </c>
      <c r="H942">
        <v>7.3</v>
      </c>
      <c r="I942">
        <v>7.5</v>
      </c>
      <c r="J942">
        <v>8.3</v>
      </c>
      <c r="K942">
        <v>6.6</v>
      </c>
      <c r="L942" s="1"/>
    </row>
    <row r="943" spans="1:12">
      <c r="A943" t="s">
        <v>991</v>
      </c>
      <c r="B943">
        <v>8.2</v>
      </c>
      <c r="C943">
        <v>9</v>
      </c>
      <c r="D943">
        <v>7.9</v>
      </c>
      <c r="E943">
        <v>8.1</v>
      </c>
      <c r="F943">
        <v>6.4</v>
      </c>
      <c r="G943">
        <v>7</v>
      </c>
      <c r="H943">
        <v>7.4</v>
      </c>
      <c r="I943">
        <v>7.3</v>
      </c>
      <c r="J943">
        <v>5.7</v>
      </c>
      <c r="K943">
        <v>4.5</v>
      </c>
      <c r="L943" s="1"/>
    </row>
    <row r="944" spans="1:12">
      <c r="A944" t="s">
        <v>992</v>
      </c>
      <c r="B944">
        <v>8.8</v>
      </c>
      <c r="C944">
        <v>9.2</v>
      </c>
      <c r="D944">
        <v>9.7</v>
      </c>
      <c r="E944">
        <v>8.5</v>
      </c>
      <c r="F944">
        <v>6.2</v>
      </c>
      <c r="G944">
        <v>7.6</v>
      </c>
      <c r="H944">
        <v>8.5</v>
      </c>
      <c r="I944">
        <v>7.3</v>
      </c>
      <c r="J944">
        <v>6.2</v>
      </c>
      <c r="K944">
        <v>6.1</v>
      </c>
      <c r="L944" s="1"/>
    </row>
    <row r="945" spans="1:12">
      <c r="A945" t="s">
        <v>993</v>
      </c>
      <c r="B945">
        <v>9.2</v>
      </c>
      <c r="C945">
        <v>8.3</v>
      </c>
      <c r="D945">
        <v>8.7</v>
      </c>
      <c r="E945">
        <v>8.1</v>
      </c>
      <c r="F945">
        <v>8</v>
      </c>
      <c r="G945">
        <v>7.7</v>
      </c>
      <c r="H945">
        <v>8.1</v>
      </c>
      <c r="I945">
        <v>7.5</v>
      </c>
      <c r="J945">
        <v>6.3</v>
      </c>
      <c r="K945">
        <v>6</v>
      </c>
      <c r="L945" s="1"/>
    </row>
    <row r="946" spans="1:12">
      <c r="A946" t="s">
        <v>994</v>
      </c>
      <c r="B946">
        <v>8.2</v>
      </c>
      <c r="C946">
        <v>9.3</v>
      </c>
      <c r="D946">
        <v>9</v>
      </c>
      <c r="E946">
        <v>8.8</v>
      </c>
      <c r="F946">
        <v>7.2</v>
      </c>
      <c r="G946">
        <v>7.3</v>
      </c>
      <c r="H946">
        <v>8.4</v>
      </c>
      <c r="I946">
        <v>7.1</v>
      </c>
      <c r="J946">
        <v>6.2</v>
      </c>
      <c r="K946">
        <v>3.4</v>
      </c>
      <c r="L946" s="1"/>
    </row>
    <row r="947" spans="1:12">
      <c r="A947" t="s">
        <v>995</v>
      </c>
      <c r="B947">
        <v>8.8</v>
      </c>
      <c r="C947">
        <v>8.9</v>
      </c>
      <c r="D947">
        <v>8.6</v>
      </c>
      <c r="E947">
        <v>8.1</v>
      </c>
      <c r="F947">
        <v>8.6</v>
      </c>
      <c r="G947">
        <v>7.8</v>
      </c>
      <c r="H947">
        <v>5.5</v>
      </c>
      <c r="I947">
        <v>7.6</v>
      </c>
      <c r="J947">
        <v>7.6</v>
      </c>
      <c r="K947">
        <v>7.1</v>
      </c>
      <c r="L947" s="1"/>
    </row>
    <row r="948" spans="1:12">
      <c r="A948" t="s">
        <v>996</v>
      </c>
      <c r="B948">
        <v>9.3</v>
      </c>
      <c r="C948">
        <v>7.6</v>
      </c>
      <c r="D948">
        <v>8.7</v>
      </c>
      <c r="E948">
        <v>8.2</v>
      </c>
      <c r="F948">
        <v>7</v>
      </c>
      <c r="G948">
        <v>8.9</v>
      </c>
      <c r="H948">
        <v>6.8</v>
      </c>
      <c r="I948">
        <v>6.6</v>
      </c>
      <c r="J948">
        <v>5.8</v>
      </c>
      <c r="K948">
        <v>5.5</v>
      </c>
      <c r="L948" s="1"/>
    </row>
    <row r="949" spans="1:12">
      <c r="A949" t="s">
        <v>997</v>
      </c>
      <c r="B949">
        <v>9.6</v>
      </c>
      <c r="C949">
        <v>9.2</v>
      </c>
      <c r="D949">
        <v>7.8</v>
      </c>
      <c r="E949">
        <v>8.2</v>
      </c>
      <c r="F949">
        <v>7.4</v>
      </c>
      <c r="G949">
        <v>8.9</v>
      </c>
      <c r="H949">
        <v>8.4</v>
      </c>
      <c r="I949">
        <v>8.3</v>
      </c>
      <c r="J949">
        <v>6.5</v>
      </c>
      <c r="K949">
        <v>6.8</v>
      </c>
      <c r="L949" s="1"/>
    </row>
    <row r="950" spans="1:12">
      <c r="A950" t="s">
        <v>998</v>
      </c>
      <c r="B950">
        <v>8.1</v>
      </c>
      <c r="C950">
        <v>7.9</v>
      </c>
      <c r="D950">
        <v>8.2</v>
      </c>
      <c r="E950">
        <v>8.5</v>
      </c>
      <c r="F950">
        <v>8.7</v>
      </c>
      <c r="G950">
        <v>8.7</v>
      </c>
      <c r="H950">
        <v>6.5</v>
      </c>
      <c r="I950">
        <v>7.3</v>
      </c>
      <c r="J950">
        <v>6.8</v>
      </c>
      <c r="K950">
        <v>6.7</v>
      </c>
      <c r="L950" s="1"/>
    </row>
    <row r="951" spans="1:12">
      <c r="A951" t="s">
        <v>999</v>
      </c>
      <c r="B951">
        <v>8.8</v>
      </c>
      <c r="C951">
        <v>8.3</v>
      </c>
      <c r="D951">
        <v>7.7</v>
      </c>
      <c r="E951">
        <v>9.5</v>
      </c>
      <c r="F951">
        <v>6.6</v>
      </c>
      <c r="G951">
        <v>7.2</v>
      </c>
      <c r="H951">
        <v>7.4</v>
      </c>
      <c r="I951">
        <v>7.5</v>
      </c>
      <c r="J951">
        <v>6.8</v>
      </c>
      <c r="K951">
        <v>5.3</v>
      </c>
      <c r="L951" s="1"/>
    </row>
    <row r="952" spans="1:12">
      <c r="A952" t="s">
        <v>1000</v>
      </c>
      <c r="B952">
        <v>9.2</v>
      </c>
      <c r="C952">
        <v>9.4</v>
      </c>
      <c r="D952">
        <v>8.7</v>
      </c>
      <c r="E952">
        <v>7.3</v>
      </c>
      <c r="F952">
        <v>8.4</v>
      </c>
      <c r="G952">
        <v>7.3</v>
      </c>
      <c r="H952">
        <v>6.4</v>
      </c>
      <c r="I952">
        <v>9.6</v>
      </c>
      <c r="J952">
        <v>6.9</v>
      </c>
      <c r="K952">
        <v>6.7</v>
      </c>
      <c r="L952" s="1"/>
    </row>
    <row r="953" spans="1:12">
      <c r="A953" t="s">
        <v>1001</v>
      </c>
      <c r="B953">
        <v>9.1</v>
      </c>
      <c r="C953">
        <v>8.6</v>
      </c>
      <c r="D953">
        <v>7.9</v>
      </c>
      <c r="E953">
        <v>8.9</v>
      </c>
      <c r="F953">
        <v>8.2</v>
      </c>
      <c r="G953">
        <v>8</v>
      </c>
      <c r="H953">
        <v>7.4</v>
      </c>
      <c r="I953">
        <v>6.4</v>
      </c>
      <c r="J953">
        <v>4.4</v>
      </c>
      <c r="K953">
        <v>7.6</v>
      </c>
      <c r="L953" s="1"/>
    </row>
    <row r="954" spans="1:12">
      <c r="A954" t="s">
        <v>1002</v>
      </c>
      <c r="B954">
        <v>9.1</v>
      </c>
      <c r="C954">
        <v>8.7</v>
      </c>
      <c r="D954">
        <v>8.1</v>
      </c>
      <c r="E954">
        <v>8.1</v>
      </c>
      <c r="F954">
        <v>8</v>
      </c>
      <c r="G954">
        <v>7.9</v>
      </c>
      <c r="H954">
        <v>9.3</v>
      </c>
      <c r="I954">
        <v>8.1</v>
      </c>
      <c r="J954">
        <v>5.3</v>
      </c>
      <c r="K954">
        <v>5.2</v>
      </c>
      <c r="L954" s="1"/>
    </row>
    <row r="955" spans="1:12">
      <c r="A955" t="s">
        <v>1003</v>
      </c>
      <c r="B955">
        <v>9</v>
      </c>
      <c r="C955">
        <v>9.4</v>
      </c>
      <c r="D955">
        <v>8.5</v>
      </c>
      <c r="E955">
        <v>8.3</v>
      </c>
      <c r="F955">
        <v>8.8</v>
      </c>
      <c r="G955">
        <v>7.3</v>
      </c>
      <c r="H955">
        <v>6.3</v>
      </c>
      <c r="I955">
        <v>8.4</v>
      </c>
      <c r="J955">
        <v>7</v>
      </c>
      <c r="K955">
        <v>6.2</v>
      </c>
      <c r="L955" s="1"/>
    </row>
    <row r="956" spans="1:12">
      <c r="A956" t="s">
        <v>1004</v>
      </c>
      <c r="B956">
        <v>8.7</v>
      </c>
      <c r="C956">
        <v>9</v>
      </c>
      <c r="D956">
        <v>8.8</v>
      </c>
      <c r="E956">
        <v>7.8</v>
      </c>
      <c r="F956">
        <v>7.4</v>
      </c>
      <c r="G956">
        <v>8.1</v>
      </c>
      <c r="H956">
        <v>7.5</v>
      </c>
      <c r="I956">
        <v>6.6</v>
      </c>
      <c r="J956">
        <v>7.7</v>
      </c>
      <c r="K956">
        <v>8.5</v>
      </c>
      <c r="L956" s="1"/>
    </row>
    <row r="957" spans="1:12">
      <c r="A957" t="s">
        <v>1005</v>
      </c>
      <c r="B957">
        <v>8.3</v>
      </c>
      <c r="C957">
        <v>7.8</v>
      </c>
      <c r="D957">
        <v>8.7</v>
      </c>
      <c r="E957">
        <v>8.5</v>
      </c>
      <c r="F957">
        <v>7.7</v>
      </c>
      <c r="G957">
        <v>7</v>
      </c>
      <c r="H957">
        <v>7.1</v>
      </c>
      <c r="I957">
        <v>6.8</v>
      </c>
      <c r="J957">
        <v>5.2</v>
      </c>
      <c r="K957">
        <v>8.1</v>
      </c>
      <c r="L957" s="1"/>
    </row>
    <row r="958" spans="1:12">
      <c r="A958" t="s">
        <v>1006</v>
      </c>
      <c r="B958">
        <v>8.2</v>
      </c>
      <c r="C958">
        <v>8.7</v>
      </c>
      <c r="D958">
        <v>8.7</v>
      </c>
      <c r="E958">
        <v>8.6</v>
      </c>
      <c r="F958">
        <v>7.9</v>
      </c>
      <c r="G958">
        <v>8.7</v>
      </c>
      <c r="H958">
        <v>7.8</v>
      </c>
      <c r="I958">
        <v>5.1</v>
      </c>
      <c r="J958">
        <v>5.2</v>
      </c>
      <c r="K958">
        <v>6.1</v>
      </c>
      <c r="L958" s="1"/>
    </row>
    <row r="959" spans="1:12">
      <c r="A959" t="s">
        <v>1007</v>
      </c>
      <c r="B959">
        <v>8.3</v>
      </c>
      <c r="C959">
        <v>9</v>
      </c>
      <c r="D959">
        <v>8.4</v>
      </c>
      <c r="E959">
        <v>8.8</v>
      </c>
      <c r="F959">
        <v>9.1</v>
      </c>
      <c r="G959">
        <v>7.8</v>
      </c>
      <c r="H959">
        <v>6.6</v>
      </c>
      <c r="I959">
        <v>7.3</v>
      </c>
      <c r="J959">
        <v>5.1</v>
      </c>
      <c r="K959">
        <v>5.8</v>
      </c>
      <c r="L959" s="1"/>
    </row>
    <row r="960" spans="1:12">
      <c r="A960" t="s">
        <v>1008</v>
      </c>
      <c r="B960">
        <v>9.9</v>
      </c>
      <c r="C960">
        <v>8.8</v>
      </c>
      <c r="D960">
        <v>7.8</v>
      </c>
      <c r="E960">
        <v>8</v>
      </c>
      <c r="F960">
        <v>7.5</v>
      </c>
      <c r="G960">
        <v>8</v>
      </c>
      <c r="H960">
        <v>8</v>
      </c>
      <c r="I960">
        <v>8.7</v>
      </c>
      <c r="J960">
        <v>9.2</v>
      </c>
      <c r="K960">
        <v>8.4</v>
      </c>
      <c r="L960" s="1"/>
    </row>
    <row r="961" spans="1:12">
      <c r="A961" t="s">
        <v>1009</v>
      </c>
      <c r="B961">
        <v>9</v>
      </c>
      <c r="C961">
        <v>8.1</v>
      </c>
      <c r="D961">
        <v>8.3</v>
      </c>
      <c r="E961">
        <v>8</v>
      </c>
      <c r="F961">
        <v>6.9</v>
      </c>
      <c r="G961">
        <v>7.2</v>
      </c>
      <c r="H961">
        <v>7.1</v>
      </c>
      <c r="I961">
        <v>6.3</v>
      </c>
      <c r="J961">
        <v>7.3</v>
      </c>
      <c r="K961">
        <v>5</v>
      </c>
      <c r="L961" s="1"/>
    </row>
    <row r="962" spans="1:12">
      <c r="A962" t="s">
        <v>1010</v>
      </c>
      <c r="B962">
        <v>8.4</v>
      </c>
      <c r="C962">
        <v>8.7</v>
      </c>
      <c r="D962">
        <v>8.7</v>
      </c>
      <c r="E962">
        <v>9.1</v>
      </c>
      <c r="F962">
        <v>6.6</v>
      </c>
      <c r="G962">
        <v>7.7</v>
      </c>
      <c r="H962">
        <v>7.3</v>
      </c>
      <c r="I962">
        <v>7.7</v>
      </c>
      <c r="J962">
        <v>7</v>
      </c>
      <c r="K962">
        <v>7.8</v>
      </c>
      <c r="L962" s="1"/>
    </row>
    <row r="963" spans="1:12">
      <c r="A963" t="s">
        <v>1011</v>
      </c>
      <c r="B963">
        <v>8.9</v>
      </c>
      <c r="C963">
        <v>8.4</v>
      </c>
      <c r="D963">
        <v>8.6</v>
      </c>
      <c r="E963">
        <v>8.2</v>
      </c>
      <c r="F963">
        <v>8.8</v>
      </c>
      <c r="G963">
        <v>7.8</v>
      </c>
      <c r="H963">
        <v>8.5</v>
      </c>
      <c r="I963">
        <v>7.1</v>
      </c>
      <c r="J963">
        <v>6.6</v>
      </c>
      <c r="K963">
        <v>8</v>
      </c>
      <c r="L963" s="1"/>
    </row>
    <row r="964" spans="1:12">
      <c r="A964" t="s">
        <v>1012</v>
      </c>
      <c r="B964">
        <v>8.9</v>
      </c>
      <c r="C964">
        <v>8.8</v>
      </c>
      <c r="D964">
        <v>7.9</v>
      </c>
      <c r="E964">
        <v>8.3</v>
      </c>
      <c r="F964">
        <v>8.6</v>
      </c>
      <c r="G964">
        <v>6.9</v>
      </c>
      <c r="H964">
        <v>6.8</v>
      </c>
      <c r="I964">
        <v>6.8</v>
      </c>
      <c r="J964">
        <v>6.8</v>
      </c>
      <c r="K964">
        <v>7.7</v>
      </c>
      <c r="L964" s="1"/>
    </row>
    <row r="965" spans="1:12">
      <c r="A965" t="s">
        <v>1013</v>
      </c>
      <c r="B965">
        <v>8.7</v>
      </c>
      <c r="C965">
        <v>8.2</v>
      </c>
      <c r="D965">
        <v>8.5</v>
      </c>
      <c r="E965">
        <v>8.2</v>
      </c>
      <c r="F965">
        <v>7.8</v>
      </c>
      <c r="G965">
        <v>8.5</v>
      </c>
      <c r="H965">
        <v>6.4</v>
      </c>
      <c r="I965">
        <v>7.2</v>
      </c>
      <c r="J965">
        <v>4.7</v>
      </c>
      <c r="K965">
        <v>6.7</v>
      </c>
      <c r="L965" s="1"/>
    </row>
    <row r="966" spans="1:12">
      <c r="A966" t="s">
        <v>1014</v>
      </c>
      <c r="B966">
        <v>9.2</v>
      </c>
      <c r="C966">
        <v>8</v>
      </c>
      <c r="D966">
        <v>8</v>
      </c>
      <c r="E966">
        <v>7.5</v>
      </c>
      <c r="F966">
        <v>8.9</v>
      </c>
      <c r="G966">
        <v>6.8</v>
      </c>
      <c r="H966">
        <v>6.9</v>
      </c>
      <c r="I966">
        <v>7.6</v>
      </c>
      <c r="J966">
        <v>7.7</v>
      </c>
      <c r="K966">
        <v>5.6</v>
      </c>
      <c r="L966" s="1"/>
    </row>
    <row r="967" spans="1:12">
      <c r="A967" t="s">
        <v>1015</v>
      </c>
      <c r="B967">
        <v>7.9</v>
      </c>
      <c r="C967">
        <v>8.7</v>
      </c>
      <c r="D967">
        <v>7.9</v>
      </c>
      <c r="E967">
        <v>8</v>
      </c>
      <c r="F967">
        <v>6.8</v>
      </c>
      <c r="G967">
        <v>7.7</v>
      </c>
      <c r="H967">
        <v>9.1</v>
      </c>
      <c r="I967">
        <v>8.7</v>
      </c>
      <c r="J967">
        <v>6.1</v>
      </c>
      <c r="K967">
        <v>5</v>
      </c>
      <c r="L967" s="1"/>
    </row>
    <row r="968" spans="1:12">
      <c r="A968" t="s">
        <v>1016</v>
      </c>
      <c r="B968">
        <v>9.6</v>
      </c>
      <c r="C968">
        <v>9.7</v>
      </c>
      <c r="D968">
        <v>7.7</v>
      </c>
      <c r="E968">
        <v>8.5</v>
      </c>
      <c r="F968">
        <v>7.8</v>
      </c>
      <c r="G968">
        <v>8.6</v>
      </c>
      <c r="H968">
        <v>6.3</v>
      </c>
      <c r="I968">
        <v>7</v>
      </c>
      <c r="J968">
        <v>9.8</v>
      </c>
      <c r="K968">
        <v>5.9</v>
      </c>
      <c r="L968" s="1"/>
    </row>
    <row r="969" spans="1:12">
      <c r="A969" t="s">
        <v>1017</v>
      </c>
      <c r="B969">
        <v>9.8</v>
      </c>
      <c r="C969">
        <v>8</v>
      </c>
      <c r="D969">
        <v>8.6</v>
      </c>
      <c r="E969">
        <v>8.4</v>
      </c>
      <c r="F969">
        <v>6.9</v>
      </c>
      <c r="G969">
        <v>8.5</v>
      </c>
      <c r="H969">
        <v>7.4</v>
      </c>
      <c r="I969">
        <v>9.9</v>
      </c>
      <c r="J969">
        <v>9.7</v>
      </c>
      <c r="K969">
        <v>5.6</v>
      </c>
      <c r="L969" s="1"/>
    </row>
    <row r="970" spans="1:12">
      <c r="A970" t="s">
        <v>1018</v>
      </c>
      <c r="B970">
        <v>9.7</v>
      </c>
      <c r="C970">
        <v>9.2</v>
      </c>
      <c r="D970">
        <v>8.5</v>
      </c>
      <c r="E970">
        <v>9.5</v>
      </c>
      <c r="F970">
        <v>8.3</v>
      </c>
      <c r="G970">
        <v>6.5</v>
      </c>
      <c r="H970">
        <v>7.3</v>
      </c>
      <c r="I970">
        <v>8.4</v>
      </c>
      <c r="J970">
        <v>6.6</v>
      </c>
      <c r="K970">
        <v>6.7</v>
      </c>
      <c r="L970" s="1"/>
    </row>
    <row r="971" spans="1:12">
      <c r="A971" t="s">
        <v>1019</v>
      </c>
      <c r="B971">
        <v>9.4</v>
      </c>
      <c r="C971">
        <v>9.2</v>
      </c>
      <c r="D971">
        <v>8.8</v>
      </c>
      <c r="E971">
        <v>8.8</v>
      </c>
      <c r="F971">
        <v>7.4</v>
      </c>
      <c r="G971">
        <v>8.4</v>
      </c>
      <c r="H971">
        <v>6.9</v>
      </c>
      <c r="I971">
        <v>7.1</v>
      </c>
      <c r="J971">
        <v>7.4</v>
      </c>
      <c r="K971">
        <v>8.3</v>
      </c>
      <c r="L971" s="1"/>
    </row>
    <row r="972" spans="1:12">
      <c r="A972" t="s">
        <v>1020</v>
      </c>
      <c r="B972">
        <v>9.3</v>
      </c>
      <c r="C972">
        <v>8.8</v>
      </c>
      <c r="D972">
        <v>7.2</v>
      </c>
      <c r="E972">
        <v>8</v>
      </c>
      <c r="F972">
        <v>8.6</v>
      </c>
      <c r="G972">
        <v>7.9</v>
      </c>
      <c r="H972">
        <v>7.6</v>
      </c>
      <c r="I972">
        <v>8</v>
      </c>
      <c r="J972">
        <v>6.1</v>
      </c>
      <c r="K972">
        <v>7.3</v>
      </c>
      <c r="L972" s="1"/>
    </row>
    <row r="973" spans="1:12">
      <c r="A973" t="s">
        <v>1021</v>
      </c>
      <c r="B973">
        <v>9.7</v>
      </c>
      <c r="C973">
        <v>8.7</v>
      </c>
      <c r="D973">
        <v>8.9</v>
      </c>
      <c r="E973">
        <v>9.9</v>
      </c>
      <c r="F973">
        <v>7.7</v>
      </c>
      <c r="G973">
        <v>6.3</v>
      </c>
      <c r="H973">
        <v>8.2</v>
      </c>
      <c r="I973">
        <v>7.6</v>
      </c>
      <c r="J973">
        <v>8.2</v>
      </c>
      <c r="K973">
        <v>8.6</v>
      </c>
      <c r="L973" s="1"/>
    </row>
    <row r="974" spans="1:12">
      <c r="A974" t="s">
        <v>1022</v>
      </c>
      <c r="B974">
        <v>9</v>
      </c>
      <c r="C974">
        <v>8.6</v>
      </c>
      <c r="D974">
        <v>8.8</v>
      </c>
      <c r="E974">
        <v>9.9</v>
      </c>
      <c r="F974">
        <v>8.7</v>
      </c>
      <c r="G974">
        <v>8.6</v>
      </c>
      <c r="H974">
        <v>6.8</v>
      </c>
      <c r="I974">
        <v>7.3</v>
      </c>
      <c r="J974">
        <v>8.1</v>
      </c>
      <c r="K974">
        <v>7</v>
      </c>
      <c r="L974" s="1"/>
    </row>
    <row r="975" spans="1:12">
      <c r="A975" t="s">
        <v>1023</v>
      </c>
      <c r="B975">
        <v>8.2</v>
      </c>
      <c r="C975">
        <v>7.6</v>
      </c>
      <c r="D975">
        <v>8.5</v>
      </c>
      <c r="E975">
        <v>8.3</v>
      </c>
      <c r="F975">
        <v>7.8</v>
      </c>
      <c r="G975">
        <v>8.3</v>
      </c>
      <c r="H975">
        <v>8.4</v>
      </c>
      <c r="I975">
        <v>8.5</v>
      </c>
      <c r="J975">
        <v>9.5</v>
      </c>
      <c r="K975">
        <v>9.5</v>
      </c>
      <c r="L975" s="1"/>
    </row>
    <row r="976" spans="1:12">
      <c r="A976" t="s">
        <v>1024</v>
      </c>
      <c r="B976">
        <v>9.2</v>
      </c>
      <c r="C976">
        <v>8.8</v>
      </c>
      <c r="D976">
        <v>8.3</v>
      </c>
      <c r="E976">
        <v>9</v>
      </c>
      <c r="F976">
        <v>7.5</v>
      </c>
      <c r="G976">
        <v>7.8</v>
      </c>
      <c r="H976">
        <v>7.1</v>
      </c>
      <c r="I976">
        <v>5.9</v>
      </c>
      <c r="J976">
        <v>5</v>
      </c>
      <c r="K976">
        <v>6.5</v>
      </c>
      <c r="L976" s="1"/>
    </row>
    <row r="977" spans="1:12">
      <c r="A977" t="s">
        <v>1025</v>
      </c>
      <c r="B977">
        <v>7.2</v>
      </c>
      <c r="C977">
        <v>8.8</v>
      </c>
      <c r="D977">
        <v>8.6</v>
      </c>
      <c r="E977">
        <v>8.1</v>
      </c>
      <c r="F977">
        <v>7.7</v>
      </c>
      <c r="G977">
        <v>7.9</v>
      </c>
      <c r="H977">
        <v>6.3</v>
      </c>
      <c r="I977">
        <v>7.1</v>
      </c>
      <c r="J977">
        <v>7.6</v>
      </c>
      <c r="K977">
        <v>4.9</v>
      </c>
      <c r="L977" s="1"/>
    </row>
    <row r="978" spans="1:12">
      <c r="A978" t="s">
        <v>1026</v>
      </c>
      <c r="B978">
        <v>8.2</v>
      </c>
      <c r="C978">
        <v>9</v>
      </c>
      <c r="D978">
        <v>9.2</v>
      </c>
      <c r="E978">
        <v>8.6</v>
      </c>
      <c r="F978">
        <v>7.8</v>
      </c>
      <c r="G978">
        <v>7.2</v>
      </c>
      <c r="H978">
        <v>6.1</v>
      </c>
      <c r="I978">
        <v>7.3</v>
      </c>
      <c r="J978">
        <v>7.3</v>
      </c>
      <c r="K978">
        <v>7.5</v>
      </c>
      <c r="L978" s="1"/>
    </row>
    <row r="979" spans="1:12">
      <c r="A979" t="s">
        <v>1027</v>
      </c>
      <c r="B979">
        <v>8.8</v>
      </c>
      <c r="C979">
        <v>7.7</v>
      </c>
      <c r="D979">
        <v>8.2</v>
      </c>
      <c r="E979">
        <v>7.7</v>
      </c>
      <c r="F979">
        <v>8.1</v>
      </c>
      <c r="G979">
        <v>8</v>
      </c>
      <c r="H979">
        <v>8.4</v>
      </c>
      <c r="I979">
        <v>7</v>
      </c>
      <c r="J979">
        <v>6.3</v>
      </c>
      <c r="K979">
        <v>7</v>
      </c>
      <c r="L979" s="1"/>
    </row>
    <row r="980" spans="1:12">
      <c r="A980" t="s">
        <v>1028</v>
      </c>
      <c r="B980">
        <v>7.8</v>
      </c>
      <c r="C980">
        <v>8.6</v>
      </c>
      <c r="D980">
        <v>7.5</v>
      </c>
      <c r="E980">
        <v>7.7</v>
      </c>
      <c r="F980">
        <v>7.6</v>
      </c>
      <c r="G980">
        <v>8.5</v>
      </c>
      <c r="H980">
        <v>6</v>
      </c>
      <c r="I980">
        <v>7.1</v>
      </c>
      <c r="J980">
        <v>7.6</v>
      </c>
      <c r="K980">
        <v>7.9</v>
      </c>
      <c r="L980" s="1"/>
    </row>
    <row r="981" spans="1:12">
      <c r="A981" t="s">
        <v>1029</v>
      </c>
      <c r="B981">
        <v>8.1</v>
      </c>
      <c r="C981">
        <v>8.9</v>
      </c>
      <c r="D981">
        <v>7.8</v>
      </c>
      <c r="E981">
        <v>9.2</v>
      </c>
      <c r="F981">
        <v>6.6</v>
      </c>
      <c r="G981">
        <v>6.4</v>
      </c>
      <c r="H981">
        <v>8.1</v>
      </c>
      <c r="I981">
        <v>6</v>
      </c>
      <c r="J981">
        <v>7.5</v>
      </c>
      <c r="K981">
        <v>6.3</v>
      </c>
      <c r="L981" s="1"/>
    </row>
    <row r="982" spans="1:12">
      <c r="A982" t="s">
        <v>1030</v>
      </c>
      <c r="B982">
        <v>8.6</v>
      </c>
      <c r="C982">
        <v>8</v>
      </c>
      <c r="D982">
        <v>8.7</v>
      </c>
      <c r="E982">
        <v>7.5</v>
      </c>
      <c r="F982">
        <v>8.1</v>
      </c>
      <c r="G982">
        <v>6.9</v>
      </c>
      <c r="H982">
        <v>6.9</v>
      </c>
      <c r="I982">
        <v>7.3</v>
      </c>
      <c r="J982">
        <v>6.6</v>
      </c>
      <c r="K982">
        <v>6.1</v>
      </c>
      <c r="L982" s="1"/>
    </row>
    <row r="983" spans="1:12">
      <c r="A983" t="s">
        <v>1031</v>
      </c>
      <c r="B983">
        <v>7.8</v>
      </c>
      <c r="C983">
        <v>9.5</v>
      </c>
      <c r="D983">
        <v>7.5</v>
      </c>
      <c r="E983">
        <v>7.3</v>
      </c>
      <c r="F983">
        <v>6.9</v>
      </c>
      <c r="G983">
        <v>6.5</v>
      </c>
      <c r="H983">
        <v>8.2</v>
      </c>
      <c r="I983">
        <v>6.2</v>
      </c>
      <c r="J983">
        <v>7.4</v>
      </c>
      <c r="K983">
        <v>4.7</v>
      </c>
      <c r="L983" s="1"/>
    </row>
    <row r="984" spans="1:12">
      <c r="A984" t="s">
        <v>1032</v>
      </c>
      <c r="B984">
        <v>9.3</v>
      </c>
      <c r="C984">
        <v>8.6</v>
      </c>
      <c r="D984">
        <v>6.6</v>
      </c>
      <c r="E984">
        <v>7.5</v>
      </c>
      <c r="F984">
        <v>8.2</v>
      </c>
      <c r="G984">
        <v>7.6</v>
      </c>
      <c r="H984">
        <v>5.2</v>
      </c>
      <c r="I984">
        <v>7.2</v>
      </c>
      <c r="J984">
        <v>7.2</v>
      </c>
      <c r="K984">
        <v>4.8</v>
      </c>
      <c r="L984" s="1"/>
    </row>
    <row r="985" spans="1:12">
      <c r="A985" t="s">
        <v>1033</v>
      </c>
      <c r="B985">
        <v>9.5</v>
      </c>
      <c r="C985">
        <v>8.8</v>
      </c>
      <c r="D985">
        <v>8.2</v>
      </c>
      <c r="E985">
        <v>8.6</v>
      </c>
      <c r="F985">
        <v>5.9</v>
      </c>
      <c r="G985">
        <v>7.7</v>
      </c>
      <c r="H985">
        <v>7.2</v>
      </c>
      <c r="I985">
        <v>7.2</v>
      </c>
      <c r="J985">
        <v>5.3</v>
      </c>
      <c r="K985">
        <v>4.3</v>
      </c>
      <c r="L985" s="1"/>
    </row>
    <row r="986" spans="1:12">
      <c r="A986" t="s">
        <v>1034</v>
      </c>
      <c r="B986">
        <v>9.4</v>
      </c>
      <c r="C986">
        <v>7.7</v>
      </c>
      <c r="D986">
        <v>8</v>
      </c>
      <c r="E986">
        <v>7.8</v>
      </c>
      <c r="F986">
        <v>7.2</v>
      </c>
      <c r="G986">
        <v>7.3</v>
      </c>
      <c r="H986">
        <v>7.1</v>
      </c>
      <c r="I986">
        <v>5.8</v>
      </c>
      <c r="J986">
        <v>7.6</v>
      </c>
      <c r="K986">
        <v>7.2</v>
      </c>
      <c r="L986" s="1"/>
    </row>
    <row r="987" spans="1:12">
      <c r="A987" t="s">
        <v>1035</v>
      </c>
      <c r="B987">
        <v>8.6</v>
      </c>
      <c r="C987">
        <v>8.4</v>
      </c>
      <c r="D987">
        <v>8.5</v>
      </c>
      <c r="E987">
        <v>8.1</v>
      </c>
      <c r="F987">
        <v>9</v>
      </c>
      <c r="G987">
        <v>5.1</v>
      </c>
      <c r="H987">
        <v>8.5</v>
      </c>
      <c r="I987">
        <v>6.7</v>
      </c>
      <c r="J987">
        <v>7</v>
      </c>
      <c r="K987">
        <v>6.8</v>
      </c>
      <c r="L987" s="1"/>
    </row>
    <row r="988" spans="1:12">
      <c r="A988" t="s">
        <v>1036</v>
      </c>
      <c r="B988">
        <v>8.4</v>
      </c>
      <c r="C988">
        <v>8.4</v>
      </c>
      <c r="D988">
        <v>7.5</v>
      </c>
      <c r="E988">
        <v>8.5</v>
      </c>
      <c r="F988">
        <v>9</v>
      </c>
      <c r="G988">
        <v>6.5</v>
      </c>
      <c r="H988">
        <v>6.2</v>
      </c>
      <c r="I988">
        <v>6.4</v>
      </c>
      <c r="J988">
        <v>6.9</v>
      </c>
      <c r="K988">
        <v>6.8</v>
      </c>
      <c r="L988" s="1"/>
    </row>
    <row r="989" spans="1:12">
      <c r="A989" t="s">
        <v>1037</v>
      </c>
      <c r="B989">
        <v>8.3</v>
      </c>
      <c r="C989">
        <v>8</v>
      </c>
      <c r="D989">
        <v>8</v>
      </c>
      <c r="E989">
        <v>8.7</v>
      </c>
      <c r="F989">
        <v>6.4</v>
      </c>
      <c r="G989">
        <v>8.4</v>
      </c>
      <c r="H989">
        <v>6.6</v>
      </c>
      <c r="I989">
        <v>6.9</v>
      </c>
      <c r="J989">
        <v>5.4</v>
      </c>
      <c r="K989">
        <v>5.2</v>
      </c>
      <c r="L989" s="1"/>
    </row>
    <row r="990" spans="1:12">
      <c r="A990" t="s">
        <v>1038</v>
      </c>
      <c r="B990">
        <v>8.6</v>
      </c>
      <c r="C990">
        <v>8.6</v>
      </c>
      <c r="D990">
        <v>6.6</v>
      </c>
      <c r="E990">
        <v>8.8</v>
      </c>
      <c r="F990">
        <v>6.7</v>
      </c>
      <c r="G990">
        <v>8.2</v>
      </c>
      <c r="H990">
        <v>6.5</v>
      </c>
      <c r="I990">
        <v>5.9</v>
      </c>
      <c r="J990">
        <v>8</v>
      </c>
      <c r="K990">
        <v>5</v>
      </c>
      <c r="L990" s="1"/>
    </row>
    <row r="991" spans="1:12">
      <c r="A991" t="s">
        <v>1039</v>
      </c>
      <c r="B991">
        <v>8.5</v>
      </c>
      <c r="C991">
        <v>8.2</v>
      </c>
      <c r="D991">
        <v>9</v>
      </c>
      <c r="E991">
        <v>7.1</v>
      </c>
      <c r="F991">
        <v>6.9</v>
      </c>
      <c r="G991">
        <v>7.6</v>
      </c>
      <c r="H991">
        <v>6.8</v>
      </c>
      <c r="I991">
        <v>7</v>
      </c>
      <c r="J991">
        <v>7</v>
      </c>
      <c r="K991">
        <v>6.2</v>
      </c>
      <c r="L991" s="1"/>
    </row>
    <row r="992" spans="1:12">
      <c r="A992" t="s">
        <v>1040</v>
      </c>
      <c r="B992">
        <v>8.3</v>
      </c>
      <c r="C992">
        <v>7.5</v>
      </c>
      <c r="D992">
        <v>8.1</v>
      </c>
      <c r="E992">
        <v>7.9</v>
      </c>
      <c r="F992">
        <v>6.6</v>
      </c>
      <c r="G992">
        <v>8.8</v>
      </c>
      <c r="H992">
        <v>8.7</v>
      </c>
      <c r="I992">
        <v>6.2</v>
      </c>
      <c r="J992">
        <v>7.1</v>
      </c>
      <c r="K992">
        <v>6.9</v>
      </c>
      <c r="L992" s="1"/>
    </row>
    <row r="993" spans="1:12">
      <c r="A993" t="s">
        <v>1041</v>
      </c>
      <c r="B993">
        <v>8.4</v>
      </c>
      <c r="C993">
        <v>8.8</v>
      </c>
      <c r="D993">
        <v>7.8</v>
      </c>
      <c r="E993">
        <v>8.2</v>
      </c>
      <c r="F993">
        <v>5.4</v>
      </c>
      <c r="G993">
        <v>8.2</v>
      </c>
      <c r="H993">
        <v>7.1</v>
      </c>
      <c r="I993">
        <v>6.5</v>
      </c>
      <c r="J993">
        <v>6.3</v>
      </c>
      <c r="K993">
        <v>4.8</v>
      </c>
      <c r="L993" s="1"/>
    </row>
    <row r="994" spans="1:12">
      <c r="A994" t="s">
        <v>1042</v>
      </c>
      <c r="B994">
        <v>8.2</v>
      </c>
      <c r="C994">
        <v>8.1</v>
      </c>
      <c r="D994">
        <v>8.6</v>
      </c>
      <c r="E994">
        <v>7.6</v>
      </c>
      <c r="F994">
        <v>8.1</v>
      </c>
      <c r="G994">
        <v>7.9</v>
      </c>
      <c r="H994">
        <v>7.5</v>
      </c>
      <c r="I994">
        <v>6.2</v>
      </c>
      <c r="J994">
        <v>7.2</v>
      </c>
      <c r="K994">
        <v>5</v>
      </c>
      <c r="L994" s="1"/>
    </row>
    <row r="995" spans="1:12">
      <c r="A995" t="s">
        <v>1043</v>
      </c>
      <c r="B995">
        <v>8.8</v>
      </c>
      <c r="C995">
        <v>7.8</v>
      </c>
      <c r="D995">
        <v>8.5</v>
      </c>
      <c r="E995">
        <v>8.8</v>
      </c>
      <c r="F995">
        <v>8.1</v>
      </c>
      <c r="G995">
        <v>6.4</v>
      </c>
      <c r="H995">
        <v>6.2</v>
      </c>
      <c r="I995">
        <v>7.4</v>
      </c>
      <c r="J995">
        <v>7.1</v>
      </c>
      <c r="K995">
        <v>7</v>
      </c>
      <c r="L995" s="1"/>
    </row>
    <row r="996" spans="1:12">
      <c r="A996" t="s">
        <v>1044</v>
      </c>
      <c r="B996">
        <v>7.2</v>
      </c>
      <c r="C996">
        <v>7.7</v>
      </c>
      <c r="D996">
        <v>8.5</v>
      </c>
      <c r="E996">
        <v>8.6</v>
      </c>
      <c r="F996">
        <v>7.7</v>
      </c>
      <c r="G996">
        <v>6.6</v>
      </c>
      <c r="H996">
        <v>7.3</v>
      </c>
      <c r="I996">
        <v>7.9</v>
      </c>
      <c r="J996">
        <v>6.4</v>
      </c>
      <c r="K996">
        <v>5.7</v>
      </c>
      <c r="L996" s="1"/>
    </row>
    <row r="997" spans="1:12">
      <c r="A997" t="s">
        <v>1045</v>
      </c>
      <c r="B997">
        <v>8.8</v>
      </c>
      <c r="C997">
        <v>8.2</v>
      </c>
      <c r="D997">
        <v>8.1</v>
      </c>
      <c r="E997">
        <v>8.2</v>
      </c>
      <c r="F997">
        <v>6.5</v>
      </c>
      <c r="G997">
        <v>7.3</v>
      </c>
      <c r="H997">
        <v>8.4</v>
      </c>
      <c r="I997">
        <v>6.5</v>
      </c>
      <c r="J997">
        <v>8.4</v>
      </c>
      <c r="K997">
        <v>8.2</v>
      </c>
      <c r="L997" s="1"/>
    </row>
    <row r="998" spans="1:12">
      <c r="A998" t="s">
        <v>1046</v>
      </c>
      <c r="B998">
        <v>8.6</v>
      </c>
      <c r="C998">
        <v>9.1</v>
      </c>
      <c r="D998">
        <v>8.4</v>
      </c>
      <c r="E998">
        <v>8</v>
      </c>
      <c r="F998">
        <v>7.3</v>
      </c>
      <c r="G998">
        <v>7.2</v>
      </c>
      <c r="H998">
        <v>7</v>
      </c>
      <c r="I998">
        <v>8.2</v>
      </c>
      <c r="J998">
        <v>7.2</v>
      </c>
      <c r="K998">
        <v>4.2</v>
      </c>
      <c r="L998" s="1"/>
    </row>
    <row r="999" spans="1:12">
      <c r="A999" t="s">
        <v>1047</v>
      </c>
      <c r="B999">
        <v>8.5</v>
      </c>
      <c r="C999">
        <v>7.9</v>
      </c>
      <c r="D999">
        <v>8.6</v>
      </c>
      <c r="E999">
        <v>7.4</v>
      </c>
      <c r="F999">
        <v>8</v>
      </c>
      <c r="G999">
        <v>7.3</v>
      </c>
      <c r="H999">
        <v>7.1</v>
      </c>
      <c r="I999">
        <v>6.3</v>
      </c>
      <c r="J999">
        <v>6.1</v>
      </c>
      <c r="K999">
        <v>7.2</v>
      </c>
      <c r="L999" s="1"/>
    </row>
    <row r="1000" spans="1:12">
      <c r="A1000" t="s">
        <v>1048</v>
      </c>
      <c r="B1000">
        <v>8.5</v>
      </c>
      <c r="C1000">
        <v>8</v>
      </c>
      <c r="D1000">
        <v>8.2</v>
      </c>
      <c r="E1000">
        <v>8</v>
      </c>
      <c r="F1000">
        <v>7.7</v>
      </c>
      <c r="G1000">
        <v>7</v>
      </c>
      <c r="H1000">
        <v>7.5</v>
      </c>
      <c r="I1000">
        <v>8.6</v>
      </c>
      <c r="J1000">
        <v>6.6</v>
      </c>
      <c r="K1000">
        <v>7.3</v>
      </c>
      <c r="L1000" s="1"/>
    </row>
    <row r="1001" spans="1:12">
      <c r="A1001" t="s">
        <v>1049</v>
      </c>
      <c r="B1001">
        <v>8.3</v>
      </c>
      <c r="C1001">
        <v>9.4</v>
      </c>
      <c r="D1001">
        <v>7.8</v>
      </c>
      <c r="E1001">
        <v>7.9</v>
      </c>
      <c r="F1001">
        <v>8.3</v>
      </c>
      <c r="G1001">
        <v>7.2</v>
      </c>
      <c r="H1001">
        <v>7.8</v>
      </c>
      <c r="I1001">
        <v>6.6</v>
      </c>
      <c r="J1001">
        <v>5.8</v>
      </c>
      <c r="K1001">
        <v>7.2</v>
      </c>
      <c r="L1001" s="1"/>
    </row>
    <row r="1002" spans="1:12">
      <c r="A1002" t="s">
        <v>1050</v>
      </c>
      <c r="B1002">
        <v>8.1</v>
      </c>
      <c r="C1002">
        <v>7.7</v>
      </c>
      <c r="D1002">
        <v>8.1</v>
      </c>
      <c r="E1002">
        <v>7.1</v>
      </c>
      <c r="F1002">
        <v>8.2</v>
      </c>
      <c r="G1002">
        <v>7.2</v>
      </c>
      <c r="H1002">
        <v>8.1</v>
      </c>
      <c r="I1002">
        <v>6.9</v>
      </c>
      <c r="J1002">
        <v>7.5</v>
      </c>
      <c r="K1002">
        <v>5.4</v>
      </c>
      <c r="L1002" s="1"/>
    </row>
    <row r="1003" spans="1:12">
      <c r="A1003" t="s">
        <v>1051</v>
      </c>
      <c r="B1003">
        <v>8.8</v>
      </c>
      <c r="C1003">
        <v>8.3</v>
      </c>
      <c r="D1003">
        <v>7.7</v>
      </c>
      <c r="E1003">
        <v>7.4</v>
      </c>
      <c r="F1003">
        <v>7.9</v>
      </c>
      <c r="G1003">
        <v>6.5</v>
      </c>
      <c r="H1003">
        <v>7.2</v>
      </c>
      <c r="I1003">
        <v>8.7</v>
      </c>
      <c r="J1003">
        <v>7</v>
      </c>
      <c r="K1003">
        <v>5.4</v>
      </c>
      <c r="L1003" s="1"/>
    </row>
    <row r="1004" spans="1:12">
      <c r="A1004" t="s">
        <v>1052</v>
      </c>
      <c r="B1004">
        <v>9.3</v>
      </c>
      <c r="C1004">
        <v>8.8</v>
      </c>
      <c r="D1004">
        <v>8.8</v>
      </c>
      <c r="E1004">
        <v>8</v>
      </c>
      <c r="F1004">
        <v>6.9</v>
      </c>
      <c r="G1004">
        <v>6.1</v>
      </c>
      <c r="H1004">
        <v>8.5</v>
      </c>
      <c r="I1004">
        <v>6.7</v>
      </c>
      <c r="J1004">
        <v>8</v>
      </c>
      <c r="K1004">
        <v>8.1</v>
      </c>
      <c r="L1004" s="1"/>
    </row>
    <row r="1005" spans="1:12">
      <c r="A1005" t="s">
        <v>1053</v>
      </c>
      <c r="B1005">
        <v>8.6</v>
      </c>
      <c r="C1005">
        <v>9.3</v>
      </c>
      <c r="D1005">
        <v>8.9</v>
      </c>
      <c r="E1005">
        <v>8.8</v>
      </c>
      <c r="F1005">
        <v>8.8</v>
      </c>
      <c r="G1005">
        <v>6.8</v>
      </c>
      <c r="H1005">
        <v>7.4</v>
      </c>
      <c r="I1005">
        <v>8</v>
      </c>
      <c r="J1005">
        <v>9.2</v>
      </c>
      <c r="K1005">
        <v>5.2</v>
      </c>
      <c r="L1005" s="1"/>
    </row>
    <row r="1006" spans="1:12">
      <c r="A1006" t="s">
        <v>1054</v>
      </c>
      <c r="B1006">
        <v>8.7</v>
      </c>
      <c r="C1006">
        <v>7.9</v>
      </c>
      <c r="D1006">
        <v>8.3</v>
      </c>
      <c r="E1006">
        <v>8.8</v>
      </c>
      <c r="F1006">
        <v>8.5</v>
      </c>
      <c r="G1006">
        <v>8.8</v>
      </c>
      <c r="H1006">
        <v>7.2</v>
      </c>
      <c r="I1006">
        <v>6.7</v>
      </c>
      <c r="J1006">
        <v>7.9</v>
      </c>
      <c r="K1006">
        <v>7.9</v>
      </c>
      <c r="L1006" s="1"/>
    </row>
    <row r="1007" spans="1:12">
      <c r="A1007" t="s">
        <v>1055</v>
      </c>
      <c r="B1007">
        <v>9.4</v>
      </c>
      <c r="C1007">
        <v>7.7</v>
      </c>
      <c r="D1007">
        <v>7.7</v>
      </c>
      <c r="E1007">
        <v>8.1</v>
      </c>
      <c r="F1007">
        <v>6.4</v>
      </c>
      <c r="G1007">
        <v>8.1</v>
      </c>
      <c r="H1007">
        <v>6.5</v>
      </c>
      <c r="I1007">
        <v>6.3</v>
      </c>
      <c r="J1007">
        <v>5.5</v>
      </c>
      <c r="K1007">
        <v>6.4</v>
      </c>
      <c r="L1007" s="1"/>
    </row>
    <row r="1008" spans="1:12">
      <c r="A1008" t="s">
        <v>1056</v>
      </c>
      <c r="B1008">
        <v>8.4</v>
      </c>
      <c r="C1008">
        <v>8.7</v>
      </c>
      <c r="D1008">
        <v>6.7</v>
      </c>
      <c r="E1008">
        <v>8.5</v>
      </c>
      <c r="F1008">
        <v>7.7</v>
      </c>
      <c r="G1008">
        <v>8.2</v>
      </c>
      <c r="H1008">
        <v>6.4</v>
      </c>
      <c r="I1008">
        <v>7.6</v>
      </c>
      <c r="J1008">
        <v>7.4</v>
      </c>
      <c r="K1008">
        <v>5.8</v>
      </c>
      <c r="L1008" s="1"/>
    </row>
    <row r="1009" spans="1:12">
      <c r="A1009" t="s">
        <v>1057</v>
      </c>
      <c r="B1009">
        <v>8.4</v>
      </c>
      <c r="C1009">
        <v>8</v>
      </c>
      <c r="D1009">
        <v>8.5</v>
      </c>
      <c r="E1009">
        <v>7.9</v>
      </c>
      <c r="F1009">
        <v>7.3</v>
      </c>
      <c r="G1009">
        <v>7.7</v>
      </c>
      <c r="H1009">
        <v>8.1</v>
      </c>
      <c r="I1009">
        <v>7</v>
      </c>
      <c r="J1009">
        <v>6.6</v>
      </c>
      <c r="K1009">
        <v>5.5</v>
      </c>
      <c r="L1009" s="1"/>
    </row>
    <row r="1010" spans="1:12">
      <c r="A1010" t="s">
        <v>1058</v>
      </c>
      <c r="B1010">
        <v>7.8</v>
      </c>
      <c r="C1010">
        <v>8.6</v>
      </c>
      <c r="D1010">
        <v>7.6</v>
      </c>
      <c r="E1010">
        <v>7.7</v>
      </c>
      <c r="F1010">
        <v>9</v>
      </c>
      <c r="G1010">
        <v>6.2</v>
      </c>
      <c r="H1010">
        <v>7.7</v>
      </c>
      <c r="I1010">
        <v>7.6</v>
      </c>
      <c r="J1010">
        <v>7</v>
      </c>
      <c r="K1010">
        <v>7.3</v>
      </c>
      <c r="L1010" s="1"/>
    </row>
    <row r="1011" spans="1:12">
      <c r="A1011" t="s">
        <v>1059</v>
      </c>
      <c r="B1011">
        <v>8</v>
      </c>
      <c r="C1011">
        <v>7.2</v>
      </c>
      <c r="D1011">
        <v>8.2</v>
      </c>
      <c r="E1011">
        <v>7.5</v>
      </c>
      <c r="F1011">
        <v>8.5</v>
      </c>
      <c r="G1011">
        <v>7.7</v>
      </c>
      <c r="H1011">
        <v>7</v>
      </c>
      <c r="I1011">
        <v>7.1</v>
      </c>
      <c r="J1011">
        <v>7</v>
      </c>
      <c r="K1011">
        <v>6</v>
      </c>
      <c r="L1011" s="1"/>
    </row>
    <row r="1012" spans="1:12">
      <c r="A1012" t="s">
        <v>1060</v>
      </c>
      <c r="B1012">
        <v>7.3</v>
      </c>
      <c r="C1012">
        <v>9.2</v>
      </c>
      <c r="D1012">
        <v>8.5</v>
      </c>
      <c r="E1012">
        <v>7.2</v>
      </c>
      <c r="F1012">
        <v>7.3</v>
      </c>
      <c r="G1012">
        <v>8</v>
      </c>
      <c r="H1012">
        <v>6.6</v>
      </c>
      <c r="I1012">
        <v>7.2</v>
      </c>
      <c r="J1012">
        <v>6.3</v>
      </c>
      <c r="K1012">
        <v>7.1</v>
      </c>
      <c r="L1012" s="1"/>
    </row>
    <row r="1013" spans="1:12">
      <c r="A1013" t="s">
        <v>1061</v>
      </c>
      <c r="B1013">
        <v>8.1</v>
      </c>
      <c r="C1013">
        <v>7.2</v>
      </c>
      <c r="D1013">
        <v>6.1</v>
      </c>
      <c r="E1013">
        <v>8.6</v>
      </c>
      <c r="F1013">
        <v>6.9</v>
      </c>
      <c r="G1013">
        <v>7.1</v>
      </c>
      <c r="H1013">
        <v>7.1</v>
      </c>
      <c r="I1013">
        <v>7.8</v>
      </c>
      <c r="J1013">
        <v>8.5</v>
      </c>
      <c r="K1013">
        <v>6</v>
      </c>
      <c r="L1013" s="1"/>
    </row>
    <row r="1014" spans="1:12">
      <c r="A1014" t="s">
        <v>1062</v>
      </c>
      <c r="B1014">
        <v>8.1</v>
      </c>
      <c r="C1014">
        <v>7.9</v>
      </c>
      <c r="D1014">
        <v>7.7</v>
      </c>
      <c r="E1014">
        <v>8</v>
      </c>
      <c r="F1014">
        <v>7.8</v>
      </c>
      <c r="G1014">
        <v>6.8</v>
      </c>
      <c r="H1014">
        <v>8.1</v>
      </c>
      <c r="I1014">
        <v>8.3</v>
      </c>
      <c r="J1014">
        <v>7.8</v>
      </c>
      <c r="K1014">
        <v>6.2</v>
      </c>
      <c r="L1014" s="1"/>
    </row>
    <row r="1015" spans="1:12">
      <c r="A1015" t="s">
        <v>1063</v>
      </c>
      <c r="B1015">
        <v>8.4</v>
      </c>
      <c r="C1015">
        <v>8.1</v>
      </c>
      <c r="D1015">
        <v>8.1</v>
      </c>
      <c r="E1015">
        <v>7.6</v>
      </c>
      <c r="F1015">
        <v>6.4</v>
      </c>
      <c r="G1015">
        <v>7.9</v>
      </c>
      <c r="H1015">
        <v>7.9</v>
      </c>
      <c r="I1015">
        <v>6.3</v>
      </c>
      <c r="J1015">
        <v>7.4</v>
      </c>
      <c r="K1015">
        <v>3.9</v>
      </c>
      <c r="L1015" s="1"/>
    </row>
    <row r="1016" spans="1:12">
      <c r="A1016" t="s">
        <v>1064</v>
      </c>
      <c r="B1016">
        <v>9</v>
      </c>
      <c r="C1016">
        <v>8</v>
      </c>
      <c r="D1016">
        <v>7.5</v>
      </c>
      <c r="E1016">
        <v>7.3</v>
      </c>
      <c r="F1016">
        <v>8.7</v>
      </c>
      <c r="G1016">
        <v>8.1</v>
      </c>
      <c r="H1016">
        <v>5.4</v>
      </c>
      <c r="I1016">
        <v>6.5</v>
      </c>
      <c r="J1016">
        <v>8.7</v>
      </c>
      <c r="K1016">
        <v>5.9</v>
      </c>
      <c r="L1016" s="1"/>
    </row>
    <row r="1017" spans="1:12">
      <c r="A1017" t="s">
        <v>1065</v>
      </c>
      <c r="B1017">
        <v>9.3</v>
      </c>
      <c r="C1017">
        <v>8.5</v>
      </c>
      <c r="D1017">
        <v>7.3</v>
      </c>
      <c r="E1017">
        <v>8.3</v>
      </c>
      <c r="F1017">
        <v>7.5</v>
      </c>
      <c r="G1017">
        <v>7.5</v>
      </c>
      <c r="H1017">
        <v>6.5</v>
      </c>
      <c r="I1017">
        <v>7.4</v>
      </c>
      <c r="J1017">
        <v>6.6</v>
      </c>
      <c r="K1017">
        <v>6.5</v>
      </c>
      <c r="L1017" s="1"/>
    </row>
    <row r="1018" spans="1:12">
      <c r="A1018" t="s">
        <v>1066</v>
      </c>
      <c r="B1018">
        <v>8.4</v>
      </c>
      <c r="C1018">
        <v>8</v>
      </c>
      <c r="D1018">
        <v>8.2</v>
      </c>
      <c r="E1018">
        <v>7.4</v>
      </c>
      <c r="F1018">
        <v>7.1</v>
      </c>
      <c r="G1018">
        <v>8.9</v>
      </c>
      <c r="H1018">
        <v>6.8</v>
      </c>
      <c r="I1018">
        <v>6</v>
      </c>
      <c r="J1018">
        <v>6.3</v>
      </c>
      <c r="K1018">
        <v>6</v>
      </c>
      <c r="L1018" s="1"/>
    </row>
    <row r="1019" spans="1:12">
      <c r="A1019" t="s">
        <v>1067</v>
      </c>
      <c r="B1019">
        <v>8.4</v>
      </c>
      <c r="C1019">
        <v>7.7</v>
      </c>
      <c r="D1019">
        <v>9.9</v>
      </c>
      <c r="E1019">
        <v>7.6</v>
      </c>
      <c r="F1019">
        <v>8.6</v>
      </c>
      <c r="G1019">
        <v>8.7</v>
      </c>
      <c r="H1019">
        <v>7.4</v>
      </c>
      <c r="I1019">
        <v>6.1</v>
      </c>
      <c r="J1019">
        <v>6.3</v>
      </c>
      <c r="K1019">
        <v>6.6</v>
      </c>
      <c r="L1019" s="1"/>
    </row>
    <row r="1020" spans="1:12">
      <c r="A1020" t="s">
        <v>1068</v>
      </c>
      <c r="B1020">
        <v>8.9</v>
      </c>
      <c r="C1020">
        <v>8.5</v>
      </c>
      <c r="D1020">
        <v>8.1</v>
      </c>
      <c r="E1020">
        <v>7.7</v>
      </c>
      <c r="F1020">
        <v>9.3</v>
      </c>
      <c r="G1020">
        <v>6.9</v>
      </c>
      <c r="H1020">
        <v>7.8</v>
      </c>
      <c r="I1020">
        <v>6</v>
      </c>
      <c r="J1020">
        <v>5.3</v>
      </c>
      <c r="K1020">
        <v>3.5</v>
      </c>
      <c r="L1020" s="1"/>
    </row>
    <row r="1021" spans="1:12">
      <c r="A1021" t="s">
        <v>1069</v>
      </c>
      <c r="B1021">
        <v>8.9</v>
      </c>
      <c r="C1021">
        <v>7.8</v>
      </c>
      <c r="D1021">
        <v>8.7</v>
      </c>
      <c r="E1021">
        <v>8.9</v>
      </c>
      <c r="F1021">
        <v>9.5</v>
      </c>
      <c r="G1021">
        <v>6.7</v>
      </c>
      <c r="H1021">
        <v>7.5</v>
      </c>
      <c r="I1021">
        <v>6.8</v>
      </c>
      <c r="J1021">
        <v>5.3</v>
      </c>
      <c r="K1021">
        <v>6.7</v>
      </c>
      <c r="L1021" s="1"/>
    </row>
    <row r="1022" spans="1:12">
      <c r="A1022" t="s">
        <v>1070</v>
      </c>
      <c r="B1022">
        <v>8.9</v>
      </c>
      <c r="C1022">
        <v>8.2</v>
      </c>
      <c r="D1022">
        <v>7.9</v>
      </c>
      <c r="E1022">
        <v>7.9</v>
      </c>
      <c r="F1022">
        <v>9</v>
      </c>
      <c r="G1022">
        <v>7.2</v>
      </c>
      <c r="H1022">
        <v>6.4</v>
      </c>
      <c r="I1022">
        <v>9.1</v>
      </c>
      <c r="J1022">
        <v>5.1</v>
      </c>
      <c r="K1022">
        <v>5</v>
      </c>
      <c r="L1022" s="1"/>
    </row>
    <row r="1023" spans="1:12">
      <c r="A1023" t="s">
        <v>1071</v>
      </c>
      <c r="B1023">
        <v>8.9</v>
      </c>
      <c r="C1023">
        <v>8.3</v>
      </c>
      <c r="D1023">
        <v>7.4</v>
      </c>
      <c r="E1023">
        <v>8.8</v>
      </c>
      <c r="F1023">
        <v>6.5</v>
      </c>
      <c r="G1023">
        <v>7.6</v>
      </c>
      <c r="H1023">
        <v>6.8</v>
      </c>
      <c r="I1023">
        <v>5.8</v>
      </c>
      <c r="J1023">
        <v>6.9</v>
      </c>
      <c r="K1023">
        <v>5.7</v>
      </c>
      <c r="L1023" s="1"/>
    </row>
    <row r="1024" spans="1:12">
      <c r="A1024" t="s">
        <v>1072</v>
      </c>
      <c r="B1024">
        <v>8.9</v>
      </c>
      <c r="C1024">
        <v>9</v>
      </c>
      <c r="D1024">
        <v>8.2</v>
      </c>
      <c r="E1024">
        <v>7.9</v>
      </c>
      <c r="F1024">
        <v>7.6</v>
      </c>
      <c r="G1024">
        <v>6.2</v>
      </c>
      <c r="H1024">
        <v>6.5</v>
      </c>
      <c r="I1024">
        <v>7.8</v>
      </c>
      <c r="J1024">
        <v>5.9</v>
      </c>
      <c r="K1024">
        <v>4.5</v>
      </c>
      <c r="L1024" s="1"/>
    </row>
    <row r="1025" spans="1:12">
      <c r="A1025" t="s">
        <v>1073</v>
      </c>
      <c r="B1025">
        <v>9.9</v>
      </c>
      <c r="C1025">
        <v>9.9</v>
      </c>
      <c r="D1025">
        <v>8.5</v>
      </c>
      <c r="E1025">
        <v>9.9</v>
      </c>
      <c r="F1025">
        <v>7.5</v>
      </c>
      <c r="G1025">
        <v>8</v>
      </c>
      <c r="H1025">
        <v>8.8</v>
      </c>
      <c r="I1025">
        <v>7.8</v>
      </c>
      <c r="J1025">
        <v>8</v>
      </c>
      <c r="K1025">
        <v>8.1</v>
      </c>
      <c r="L1025" s="1"/>
    </row>
    <row r="1026" spans="1:12">
      <c r="A1026" t="s">
        <v>1074</v>
      </c>
      <c r="B1026">
        <v>9.9</v>
      </c>
      <c r="C1026">
        <v>9.8</v>
      </c>
      <c r="D1026">
        <v>8.1</v>
      </c>
      <c r="E1026">
        <v>8.6</v>
      </c>
      <c r="F1026">
        <v>7.9</v>
      </c>
      <c r="G1026">
        <v>7.2</v>
      </c>
      <c r="H1026">
        <v>7</v>
      </c>
      <c r="I1026">
        <v>7.8</v>
      </c>
      <c r="J1026">
        <v>7.3</v>
      </c>
      <c r="K1026">
        <v>6.1</v>
      </c>
      <c r="L1026" s="1"/>
    </row>
    <row r="1027" spans="1:12">
      <c r="A1027" t="s">
        <v>1075</v>
      </c>
      <c r="B1027">
        <v>9.9</v>
      </c>
      <c r="C1027">
        <v>9.8</v>
      </c>
      <c r="D1027">
        <v>9.7</v>
      </c>
      <c r="E1027">
        <v>8.8</v>
      </c>
      <c r="F1027">
        <v>9.2</v>
      </c>
      <c r="G1027">
        <v>7.9</v>
      </c>
      <c r="H1027">
        <v>7.7</v>
      </c>
      <c r="I1027">
        <v>7.9</v>
      </c>
      <c r="J1027">
        <v>6.6</v>
      </c>
      <c r="K1027">
        <v>4.1</v>
      </c>
      <c r="L1027" s="1"/>
    </row>
    <row r="1028" spans="1:12">
      <c r="A1028" t="s">
        <v>1076</v>
      </c>
      <c r="B1028">
        <v>9.9</v>
      </c>
      <c r="C1028">
        <v>9.3</v>
      </c>
      <c r="D1028">
        <v>8.8</v>
      </c>
      <c r="E1028">
        <v>8.5</v>
      </c>
      <c r="F1028">
        <v>9.2</v>
      </c>
      <c r="G1028">
        <v>7.8</v>
      </c>
      <c r="H1028">
        <v>8.4</v>
      </c>
      <c r="I1028">
        <v>7.4</v>
      </c>
      <c r="J1028">
        <v>8</v>
      </c>
      <c r="K1028">
        <v>8.2</v>
      </c>
      <c r="L1028" s="1"/>
    </row>
    <row r="1029" spans="1:12">
      <c r="A1029" t="s">
        <v>1077</v>
      </c>
      <c r="B1029">
        <v>8.7</v>
      </c>
      <c r="C1029">
        <v>8.3</v>
      </c>
      <c r="D1029">
        <v>7.2</v>
      </c>
      <c r="E1029">
        <v>7.9</v>
      </c>
      <c r="F1029">
        <v>7.8</v>
      </c>
      <c r="G1029">
        <v>7.8</v>
      </c>
      <c r="H1029">
        <v>9.6</v>
      </c>
      <c r="I1029">
        <v>7</v>
      </c>
      <c r="J1029">
        <v>6.4</v>
      </c>
      <c r="K1029">
        <v>5.7</v>
      </c>
      <c r="L1029" s="1"/>
    </row>
    <row r="1030" spans="1:12">
      <c r="A1030" t="s">
        <v>1078</v>
      </c>
      <c r="B1030">
        <v>8</v>
      </c>
      <c r="C1030">
        <v>7.3</v>
      </c>
      <c r="D1030">
        <v>7.8</v>
      </c>
      <c r="E1030">
        <v>6.8</v>
      </c>
      <c r="F1030">
        <v>8.6</v>
      </c>
      <c r="G1030">
        <v>5.7</v>
      </c>
      <c r="H1030">
        <v>7.7</v>
      </c>
      <c r="I1030">
        <v>7</v>
      </c>
      <c r="J1030">
        <v>6.9</v>
      </c>
      <c r="K1030">
        <v>4.7</v>
      </c>
      <c r="L1030" s="1"/>
    </row>
    <row r="1031" spans="1:12">
      <c r="A1031" t="s">
        <v>1079</v>
      </c>
      <c r="B1031">
        <v>8.7</v>
      </c>
      <c r="C1031">
        <v>8.3</v>
      </c>
      <c r="D1031">
        <v>7.3</v>
      </c>
      <c r="E1031">
        <v>7.8</v>
      </c>
      <c r="F1031">
        <v>8.8</v>
      </c>
      <c r="G1031">
        <v>7.3</v>
      </c>
      <c r="H1031">
        <v>8.2</v>
      </c>
      <c r="I1031">
        <v>6.9</v>
      </c>
      <c r="J1031">
        <v>8.3</v>
      </c>
      <c r="K1031">
        <v>6.9</v>
      </c>
      <c r="L1031" s="1"/>
    </row>
    <row r="1032" spans="1:12">
      <c r="A1032" t="s">
        <v>1080</v>
      </c>
      <c r="B1032">
        <v>8.6</v>
      </c>
      <c r="C1032">
        <v>8.7</v>
      </c>
      <c r="D1032">
        <v>7.7</v>
      </c>
      <c r="E1032">
        <v>8.8</v>
      </c>
      <c r="F1032">
        <v>8.6</v>
      </c>
      <c r="G1032">
        <v>7.3</v>
      </c>
      <c r="H1032">
        <v>7.5</v>
      </c>
      <c r="I1032">
        <v>7.1</v>
      </c>
      <c r="J1032">
        <v>7.1</v>
      </c>
      <c r="K1032">
        <v>4</v>
      </c>
      <c r="L1032" s="1"/>
    </row>
    <row r="1033" spans="1:12">
      <c r="A1033" t="s">
        <v>1081</v>
      </c>
      <c r="B1033">
        <v>8.6</v>
      </c>
      <c r="C1033">
        <v>8.1</v>
      </c>
      <c r="D1033">
        <v>8.3</v>
      </c>
      <c r="E1033">
        <v>7.7</v>
      </c>
      <c r="F1033">
        <v>7.3</v>
      </c>
      <c r="G1033">
        <v>7.3</v>
      </c>
      <c r="H1033">
        <v>6.8</v>
      </c>
      <c r="I1033">
        <v>7.7</v>
      </c>
      <c r="J1033">
        <v>7.3</v>
      </c>
      <c r="K1033">
        <v>6.2</v>
      </c>
      <c r="L1033" s="1"/>
    </row>
    <row r="1034" spans="1:12">
      <c r="A1034" t="s">
        <v>1082</v>
      </c>
      <c r="B1034">
        <v>8.1</v>
      </c>
      <c r="C1034">
        <v>8.4</v>
      </c>
      <c r="D1034">
        <v>9</v>
      </c>
      <c r="E1034">
        <v>7.2</v>
      </c>
      <c r="F1034">
        <v>7.4</v>
      </c>
      <c r="G1034">
        <v>8.1</v>
      </c>
      <c r="H1034">
        <v>8.9</v>
      </c>
      <c r="I1034">
        <v>7.4</v>
      </c>
      <c r="J1034">
        <v>6.3</v>
      </c>
      <c r="K1034">
        <v>6.4</v>
      </c>
      <c r="L1034" s="1"/>
    </row>
    <row r="1035" spans="1:12">
      <c r="A1035" t="s">
        <v>1083</v>
      </c>
      <c r="B1035">
        <v>8.2</v>
      </c>
      <c r="C1035">
        <v>7.7</v>
      </c>
      <c r="D1035">
        <v>7.1</v>
      </c>
      <c r="E1035">
        <v>9.3</v>
      </c>
      <c r="F1035">
        <v>8.5</v>
      </c>
      <c r="G1035">
        <v>8.1</v>
      </c>
      <c r="H1035">
        <v>7</v>
      </c>
      <c r="I1035">
        <v>7.1</v>
      </c>
      <c r="J1035">
        <v>5.6</v>
      </c>
      <c r="K1035">
        <v>4.9</v>
      </c>
      <c r="L1035" s="1"/>
    </row>
    <row r="1036" spans="1:12">
      <c r="A1036" t="s">
        <v>1084</v>
      </c>
      <c r="B1036">
        <v>8.1</v>
      </c>
      <c r="C1036">
        <v>7.2</v>
      </c>
      <c r="D1036">
        <v>8.4</v>
      </c>
      <c r="E1036">
        <v>9</v>
      </c>
      <c r="F1036">
        <v>9.2</v>
      </c>
      <c r="G1036">
        <v>7.6</v>
      </c>
      <c r="H1036">
        <v>6.7</v>
      </c>
      <c r="I1036">
        <v>7.3</v>
      </c>
      <c r="J1036">
        <v>7.7</v>
      </c>
      <c r="K1036">
        <v>7.7</v>
      </c>
      <c r="L1036" s="1"/>
    </row>
    <row r="1037" spans="1:12">
      <c r="A1037" t="s">
        <v>1085</v>
      </c>
      <c r="B1037">
        <v>8.3</v>
      </c>
      <c r="C1037">
        <v>8</v>
      </c>
      <c r="D1037">
        <v>8</v>
      </c>
      <c r="E1037">
        <v>8.5</v>
      </c>
      <c r="F1037">
        <v>7.5</v>
      </c>
      <c r="G1037">
        <v>7.4</v>
      </c>
      <c r="H1037">
        <v>9.5</v>
      </c>
      <c r="I1037">
        <v>6.2</v>
      </c>
      <c r="J1037">
        <v>5.4</v>
      </c>
      <c r="K1037">
        <v>8.5</v>
      </c>
      <c r="L1037" s="1"/>
    </row>
    <row r="1038" spans="1:12">
      <c r="A1038" t="s">
        <v>1086</v>
      </c>
      <c r="B1038">
        <v>9.2</v>
      </c>
      <c r="C1038">
        <v>8.2</v>
      </c>
      <c r="D1038">
        <v>8</v>
      </c>
      <c r="E1038">
        <v>8.9</v>
      </c>
      <c r="F1038">
        <v>7.8</v>
      </c>
      <c r="G1038">
        <v>6.3</v>
      </c>
      <c r="H1038">
        <v>7.2</v>
      </c>
      <c r="I1038">
        <v>8.2</v>
      </c>
      <c r="J1038">
        <v>7</v>
      </c>
      <c r="K1038">
        <v>4.8</v>
      </c>
      <c r="L1038" s="1"/>
    </row>
    <row r="1039" spans="1:12">
      <c r="A1039" t="s">
        <v>1087</v>
      </c>
      <c r="B1039">
        <v>8.8</v>
      </c>
      <c r="C1039">
        <v>7.8</v>
      </c>
      <c r="D1039">
        <v>8.5</v>
      </c>
      <c r="E1039">
        <v>8.8</v>
      </c>
      <c r="F1039">
        <v>8.5</v>
      </c>
      <c r="G1039">
        <v>7.2</v>
      </c>
      <c r="H1039">
        <v>7</v>
      </c>
      <c r="I1039">
        <v>7.3</v>
      </c>
      <c r="J1039">
        <v>6.9</v>
      </c>
      <c r="K1039">
        <v>5.3</v>
      </c>
      <c r="L1039" s="1"/>
    </row>
    <row r="1040" spans="1:12">
      <c r="A1040" t="s">
        <v>1088</v>
      </c>
      <c r="B1040">
        <v>8.9</v>
      </c>
      <c r="C1040">
        <v>7.7</v>
      </c>
      <c r="D1040">
        <v>9.2</v>
      </c>
      <c r="E1040">
        <v>8.8</v>
      </c>
      <c r="F1040">
        <v>7.6</v>
      </c>
      <c r="G1040">
        <v>8.1</v>
      </c>
      <c r="H1040">
        <v>8.7</v>
      </c>
      <c r="I1040">
        <v>7.4</v>
      </c>
      <c r="J1040">
        <v>6.8</v>
      </c>
      <c r="K1040">
        <v>4.9</v>
      </c>
      <c r="L1040" s="1"/>
    </row>
    <row r="1041" spans="1:12">
      <c r="A1041" t="s">
        <v>1089</v>
      </c>
      <c r="B1041">
        <v>7.2</v>
      </c>
      <c r="C1041">
        <v>8.3</v>
      </c>
      <c r="D1041">
        <v>7.4</v>
      </c>
      <c r="E1041">
        <v>8.4</v>
      </c>
      <c r="F1041">
        <v>7.5</v>
      </c>
      <c r="G1041">
        <v>8.5</v>
      </c>
      <c r="H1041">
        <v>7.4</v>
      </c>
      <c r="I1041">
        <v>6.4</v>
      </c>
      <c r="J1041">
        <v>5.1</v>
      </c>
      <c r="K1041">
        <v>5.5</v>
      </c>
      <c r="L1041" s="1"/>
    </row>
    <row r="1042" spans="1:12">
      <c r="A1042" t="s">
        <v>1090</v>
      </c>
      <c r="B1042">
        <v>8.3</v>
      </c>
      <c r="C1042">
        <v>7.6</v>
      </c>
      <c r="D1042">
        <v>8.9</v>
      </c>
      <c r="E1042">
        <v>7.6</v>
      </c>
      <c r="F1042">
        <v>8</v>
      </c>
      <c r="G1042">
        <v>7.9</v>
      </c>
      <c r="H1042">
        <v>7.4</v>
      </c>
      <c r="I1042">
        <v>5.7</v>
      </c>
      <c r="J1042">
        <v>5.4</v>
      </c>
      <c r="K1042">
        <v>4.6</v>
      </c>
      <c r="L1042" s="1"/>
    </row>
    <row r="1043" spans="1:12">
      <c r="A1043" t="s">
        <v>1091</v>
      </c>
      <c r="B1043">
        <v>7.8</v>
      </c>
      <c r="C1043">
        <v>9.2</v>
      </c>
      <c r="D1043">
        <v>9</v>
      </c>
      <c r="E1043">
        <v>7.4</v>
      </c>
      <c r="F1043">
        <v>7.5</v>
      </c>
      <c r="G1043">
        <v>7.2</v>
      </c>
      <c r="H1043">
        <v>8</v>
      </c>
      <c r="I1043">
        <v>7</v>
      </c>
      <c r="J1043">
        <v>6.4</v>
      </c>
      <c r="K1043">
        <v>6.5</v>
      </c>
      <c r="L1043" s="1"/>
    </row>
    <row r="1044" spans="1:12">
      <c r="A1044" t="s">
        <v>1092</v>
      </c>
      <c r="B1044">
        <v>8.9</v>
      </c>
      <c r="C1044">
        <v>8.2</v>
      </c>
      <c r="D1044">
        <v>8.8</v>
      </c>
      <c r="E1044">
        <v>8</v>
      </c>
      <c r="F1044">
        <v>8.1</v>
      </c>
      <c r="G1044">
        <v>7</v>
      </c>
      <c r="H1044">
        <v>8.4</v>
      </c>
      <c r="I1044">
        <v>7.5</v>
      </c>
      <c r="J1044">
        <v>6.6</v>
      </c>
      <c r="K1044">
        <v>6.5</v>
      </c>
      <c r="L1044" s="1"/>
    </row>
    <row r="1045" spans="1:12">
      <c r="A1045" t="s">
        <v>1093</v>
      </c>
      <c r="B1045">
        <v>8.7</v>
      </c>
      <c r="C1045">
        <v>8.5</v>
      </c>
      <c r="D1045">
        <v>8.7</v>
      </c>
      <c r="E1045">
        <v>7.5</v>
      </c>
      <c r="F1045">
        <v>8.4</v>
      </c>
      <c r="G1045">
        <v>8.3</v>
      </c>
      <c r="H1045">
        <v>6.8</v>
      </c>
      <c r="I1045">
        <v>7.6</v>
      </c>
      <c r="J1045">
        <v>6.2</v>
      </c>
      <c r="K1045">
        <v>7.8</v>
      </c>
      <c r="L1045" s="1"/>
    </row>
    <row r="1046" spans="1:12">
      <c r="A1046" t="s">
        <v>1094</v>
      </c>
      <c r="B1046">
        <v>8.2</v>
      </c>
      <c r="C1046">
        <v>7.6</v>
      </c>
      <c r="D1046">
        <v>8.2</v>
      </c>
      <c r="E1046">
        <v>7.7</v>
      </c>
      <c r="F1046">
        <v>7.1</v>
      </c>
      <c r="G1046">
        <v>6</v>
      </c>
      <c r="H1046">
        <v>8.8</v>
      </c>
      <c r="I1046">
        <v>6.3</v>
      </c>
      <c r="J1046">
        <v>6.4</v>
      </c>
      <c r="K1046">
        <v>5.1</v>
      </c>
      <c r="L1046" s="1"/>
    </row>
    <row r="1047" spans="1:12">
      <c r="A1047" t="s">
        <v>1095</v>
      </c>
      <c r="B1047">
        <v>8.4</v>
      </c>
      <c r="C1047">
        <v>7.8</v>
      </c>
      <c r="D1047">
        <v>8.8</v>
      </c>
      <c r="E1047">
        <v>7.2</v>
      </c>
      <c r="F1047">
        <v>7</v>
      </c>
      <c r="G1047">
        <v>8.1</v>
      </c>
      <c r="H1047">
        <v>6.6</v>
      </c>
      <c r="I1047">
        <v>7.8</v>
      </c>
      <c r="J1047">
        <v>7.1</v>
      </c>
      <c r="K1047">
        <v>4.7</v>
      </c>
      <c r="L1047" s="1"/>
    </row>
    <row r="1048" spans="1:12">
      <c r="A1048" t="s">
        <v>1096</v>
      </c>
      <c r="B1048">
        <v>8.5</v>
      </c>
      <c r="C1048">
        <v>8.5</v>
      </c>
      <c r="D1048">
        <v>7.6</v>
      </c>
      <c r="E1048">
        <v>7.1</v>
      </c>
      <c r="F1048">
        <v>6.9</v>
      </c>
      <c r="G1048">
        <v>7.3</v>
      </c>
      <c r="H1048">
        <v>6.3</v>
      </c>
      <c r="I1048">
        <v>6.8</v>
      </c>
      <c r="J1048">
        <v>7.1</v>
      </c>
      <c r="K1048">
        <v>5.5</v>
      </c>
      <c r="L1048" s="1"/>
    </row>
    <row r="1049" spans="1:12">
      <c r="A1049" t="s">
        <v>1097</v>
      </c>
      <c r="B1049">
        <v>8.3</v>
      </c>
      <c r="C1049">
        <v>8.6</v>
      </c>
      <c r="D1049">
        <v>8.7</v>
      </c>
      <c r="E1049">
        <v>7.3</v>
      </c>
      <c r="F1049">
        <v>7</v>
      </c>
      <c r="G1049">
        <v>7.4</v>
      </c>
      <c r="H1049">
        <v>6.4</v>
      </c>
      <c r="I1049">
        <v>5.2</v>
      </c>
      <c r="J1049">
        <v>4.3</v>
      </c>
      <c r="K1049">
        <v>6</v>
      </c>
      <c r="L1049" s="1"/>
    </row>
    <row r="1050" spans="1:12">
      <c r="A1050" t="s">
        <v>1098</v>
      </c>
      <c r="B1050">
        <v>9.4</v>
      </c>
      <c r="C1050">
        <v>7.5</v>
      </c>
      <c r="D1050">
        <v>8.1</v>
      </c>
      <c r="E1050">
        <v>7.9</v>
      </c>
      <c r="F1050">
        <v>6.7</v>
      </c>
      <c r="G1050">
        <v>8.2</v>
      </c>
      <c r="H1050">
        <v>7.5</v>
      </c>
      <c r="I1050">
        <v>6.1</v>
      </c>
      <c r="J1050">
        <v>7</v>
      </c>
      <c r="K1050">
        <v>5.8</v>
      </c>
      <c r="L1050" s="1"/>
    </row>
    <row r="1051" spans="1:12">
      <c r="A1051" t="s">
        <v>1099</v>
      </c>
      <c r="B1051">
        <v>8.6</v>
      </c>
      <c r="C1051">
        <v>8.8</v>
      </c>
      <c r="D1051">
        <v>7.5</v>
      </c>
      <c r="E1051">
        <v>7.6</v>
      </c>
      <c r="F1051">
        <v>7.8</v>
      </c>
      <c r="G1051">
        <v>6.7</v>
      </c>
      <c r="H1051">
        <v>8.4</v>
      </c>
      <c r="I1051">
        <v>7.9</v>
      </c>
      <c r="J1051">
        <v>6.8</v>
      </c>
      <c r="K1051">
        <v>5.9</v>
      </c>
      <c r="L1051" s="1"/>
    </row>
    <row r="1052" spans="1:12">
      <c r="A1052" t="s">
        <v>1100</v>
      </c>
      <c r="B1052">
        <v>8.2</v>
      </c>
      <c r="C1052">
        <v>8.4</v>
      </c>
      <c r="D1052">
        <v>9.2</v>
      </c>
      <c r="E1052">
        <v>7.3</v>
      </c>
      <c r="F1052">
        <v>6.8</v>
      </c>
      <c r="G1052">
        <v>8.5</v>
      </c>
      <c r="H1052">
        <v>7.8</v>
      </c>
      <c r="I1052">
        <v>7.3</v>
      </c>
      <c r="J1052">
        <v>7.5</v>
      </c>
      <c r="K1052">
        <v>6.5</v>
      </c>
      <c r="L1052" s="1"/>
    </row>
    <row r="1053" spans="1:12">
      <c r="A1053" t="s">
        <v>1101</v>
      </c>
      <c r="B1053">
        <v>8.6</v>
      </c>
      <c r="C1053">
        <v>8</v>
      </c>
      <c r="D1053">
        <v>8.3</v>
      </c>
      <c r="E1053">
        <v>8.4</v>
      </c>
      <c r="F1053">
        <v>7.5</v>
      </c>
      <c r="G1053">
        <v>9.1</v>
      </c>
      <c r="H1053">
        <v>8.2</v>
      </c>
      <c r="I1053">
        <v>6.4</v>
      </c>
      <c r="J1053">
        <v>7.7</v>
      </c>
      <c r="K1053">
        <v>7.9</v>
      </c>
      <c r="L1053" s="1"/>
    </row>
    <row r="1054" spans="1:12">
      <c r="A1054" t="s">
        <v>1102</v>
      </c>
      <c r="B1054">
        <v>8.9</v>
      </c>
      <c r="C1054">
        <v>8.7</v>
      </c>
      <c r="D1054">
        <v>8.5</v>
      </c>
      <c r="E1054">
        <v>8.9</v>
      </c>
      <c r="F1054">
        <v>7.5</v>
      </c>
      <c r="G1054">
        <v>8.4</v>
      </c>
      <c r="H1054">
        <v>5.7</v>
      </c>
      <c r="I1054">
        <v>9.7</v>
      </c>
      <c r="J1054">
        <v>6.5</v>
      </c>
      <c r="K1054">
        <v>7.5</v>
      </c>
      <c r="L1054" s="1"/>
    </row>
    <row r="1055" spans="1:12">
      <c r="A1055" t="s">
        <v>1103</v>
      </c>
      <c r="B1055">
        <v>8.1</v>
      </c>
      <c r="C1055">
        <v>8.7</v>
      </c>
      <c r="D1055">
        <v>9</v>
      </c>
      <c r="E1055">
        <v>8.1</v>
      </c>
      <c r="F1055">
        <v>6.6</v>
      </c>
      <c r="G1055">
        <v>8.7</v>
      </c>
      <c r="H1055">
        <v>7.7</v>
      </c>
      <c r="I1055">
        <v>6.9</v>
      </c>
      <c r="J1055">
        <v>8.2</v>
      </c>
      <c r="K1055">
        <v>4.1</v>
      </c>
      <c r="L1055" s="1"/>
    </row>
    <row r="1056" spans="1:12">
      <c r="A1056" t="s">
        <v>1104</v>
      </c>
      <c r="B1056">
        <v>8.7</v>
      </c>
      <c r="C1056">
        <v>8.4</v>
      </c>
      <c r="D1056">
        <v>7.4</v>
      </c>
      <c r="E1056">
        <v>7.7</v>
      </c>
      <c r="F1056">
        <v>8.2</v>
      </c>
      <c r="G1056">
        <v>8.2</v>
      </c>
      <c r="H1056">
        <v>6.2</v>
      </c>
      <c r="I1056">
        <v>8</v>
      </c>
      <c r="J1056">
        <v>8.7</v>
      </c>
      <c r="K1056">
        <v>7.3</v>
      </c>
      <c r="L1056" s="1"/>
    </row>
    <row r="1057" spans="1:12">
      <c r="A1057" t="s">
        <v>1105</v>
      </c>
      <c r="B1057">
        <v>7.8</v>
      </c>
      <c r="C1057">
        <v>8.6</v>
      </c>
      <c r="D1057">
        <v>7.1</v>
      </c>
      <c r="E1057">
        <v>7.4</v>
      </c>
      <c r="F1057">
        <v>8.5</v>
      </c>
      <c r="G1057">
        <v>6.4</v>
      </c>
      <c r="H1057">
        <v>7.9</v>
      </c>
      <c r="I1057">
        <v>7.4</v>
      </c>
      <c r="J1057">
        <v>7.3</v>
      </c>
      <c r="K1057">
        <v>6.8</v>
      </c>
      <c r="L1057" s="1"/>
    </row>
    <row r="1058" spans="1:12">
      <c r="A1058" t="s">
        <v>1106</v>
      </c>
      <c r="B1058">
        <v>9.1</v>
      </c>
      <c r="C1058">
        <v>8.4</v>
      </c>
      <c r="D1058">
        <v>7.7</v>
      </c>
      <c r="E1058">
        <v>7.3</v>
      </c>
      <c r="F1058">
        <v>8</v>
      </c>
      <c r="G1058">
        <v>6.3</v>
      </c>
      <c r="H1058">
        <v>6.6</v>
      </c>
      <c r="I1058">
        <v>7.5</v>
      </c>
      <c r="J1058">
        <v>6.5</v>
      </c>
      <c r="K1058">
        <v>5.6</v>
      </c>
      <c r="L1058" s="1"/>
    </row>
    <row r="1059" spans="1:12">
      <c r="A1059" t="s">
        <v>1107</v>
      </c>
      <c r="B1059">
        <v>8.5</v>
      </c>
      <c r="C1059">
        <v>8.7</v>
      </c>
      <c r="D1059">
        <v>7.5</v>
      </c>
      <c r="E1059">
        <v>8.1</v>
      </c>
      <c r="F1059">
        <v>7</v>
      </c>
      <c r="G1059">
        <v>6.4</v>
      </c>
      <c r="H1059">
        <v>8.5</v>
      </c>
      <c r="I1059">
        <v>8</v>
      </c>
      <c r="J1059">
        <v>7.2</v>
      </c>
      <c r="K1059">
        <v>6.9</v>
      </c>
      <c r="L1059" s="1"/>
    </row>
    <row r="1060" spans="1:12">
      <c r="A1060" t="s">
        <v>1108</v>
      </c>
      <c r="B1060">
        <v>9.8</v>
      </c>
      <c r="C1060">
        <v>6.9</v>
      </c>
      <c r="D1060">
        <v>9.3</v>
      </c>
      <c r="E1060">
        <v>8.5</v>
      </c>
      <c r="F1060">
        <v>7.5</v>
      </c>
      <c r="G1060">
        <v>8</v>
      </c>
      <c r="H1060">
        <v>8.7</v>
      </c>
      <c r="I1060">
        <v>6.9</v>
      </c>
      <c r="J1060">
        <v>6.8</v>
      </c>
      <c r="K1060">
        <v>7.4</v>
      </c>
      <c r="L1060" s="1"/>
    </row>
    <row r="1061" spans="1:12">
      <c r="A1061" t="s">
        <v>1109</v>
      </c>
      <c r="B1061">
        <v>8.6</v>
      </c>
      <c r="C1061">
        <v>8.8</v>
      </c>
      <c r="D1061">
        <v>8.5</v>
      </c>
      <c r="E1061">
        <v>7.2</v>
      </c>
      <c r="F1061">
        <v>6.4</v>
      </c>
      <c r="G1061">
        <v>8.5</v>
      </c>
      <c r="H1061">
        <v>7.9</v>
      </c>
      <c r="I1061">
        <v>7.1</v>
      </c>
      <c r="J1061">
        <v>6.1</v>
      </c>
      <c r="K1061">
        <v>8.3</v>
      </c>
      <c r="L1061" s="1"/>
    </row>
    <row r="1062" spans="1:12">
      <c r="A1062" t="s">
        <v>1110</v>
      </c>
      <c r="B1062">
        <v>8.7</v>
      </c>
      <c r="C1062">
        <v>8.6</v>
      </c>
      <c r="D1062">
        <v>8.2</v>
      </c>
      <c r="E1062">
        <v>8</v>
      </c>
      <c r="F1062">
        <v>8.9</v>
      </c>
      <c r="G1062">
        <v>8</v>
      </c>
      <c r="H1062">
        <v>6.4</v>
      </c>
      <c r="I1062">
        <v>7</v>
      </c>
      <c r="J1062">
        <v>6.6</v>
      </c>
      <c r="K1062">
        <v>6.1</v>
      </c>
      <c r="L1062" s="1"/>
    </row>
    <row r="1063" spans="1:12">
      <c r="A1063" t="s">
        <v>1111</v>
      </c>
      <c r="B1063">
        <v>8.2</v>
      </c>
      <c r="C1063">
        <v>8.6</v>
      </c>
      <c r="D1063">
        <v>8.3</v>
      </c>
      <c r="E1063">
        <v>7.8</v>
      </c>
      <c r="F1063">
        <v>7.2</v>
      </c>
      <c r="G1063">
        <v>7.5</v>
      </c>
      <c r="H1063">
        <v>5.9</v>
      </c>
      <c r="I1063">
        <v>8</v>
      </c>
      <c r="J1063">
        <v>7.6</v>
      </c>
      <c r="K1063">
        <v>6.6</v>
      </c>
      <c r="L1063" s="1"/>
    </row>
    <row r="1064" spans="1:12">
      <c r="A1064" t="s">
        <v>1112</v>
      </c>
      <c r="B1064">
        <v>9.5</v>
      </c>
      <c r="C1064">
        <v>10</v>
      </c>
      <c r="D1064">
        <v>9.2</v>
      </c>
      <c r="E1064">
        <v>8.3</v>
      </c>
      <c r="F1064">
        <v>8.3</v>
      </c>
      <c r="G1064">
        <v>7.2</v>
      </c>
      <c r="H1064">
        <v>6.6</v>
      </c>
      <c r="I1064">
        <v>7</v>
      </c>
      <c r="J1064">
        <v>5.7</v>
      </c>
      <c r="K1064">
        <v>7.9</v>
      </c>
      <c r="L1064" s="1"/>
    </row>
    <row r="1065" spans="1:12">
      <c r="A1065" t="s">
        <v>1113</v>
      </c>
      <c r="B1065">
        <v>9.3</v>
      </c>
      <c r="C1065">
        <v>9.1</v>
      </c>
      <c r="D1065">
        <v>9.1</v>
      </c>
      <c r="E1065">
        <v>8.7</v>
      </c>
      <c r="F1065">
        <v>9.3</v>
      </c>
      <c r="G1065">
        <v>9.4</v>
      </c>
      <c r="H1065">
        <v>8.4</v>
      </c>
      <c r="I1065">
        <v>7.7</v>
      </c>
      <c r="J1065">
        <v>6.9</v>
      </c>
      <c r="K1065">
        <v>7.3</v>
      </c>
      <c r="L1065" s="1"/>
    </row>
    <row r="1066" spans="1:12">
      <c r="A1066" t="s">
        <v>1114</v>
      </c>
      <c r="B1066">
        <v>7.8</v>
      </c>
      <c r="C1066">
        <v>8.2</v>
      </c>
      <c r="D1066">
        <v>9.4</v>
      </c>
      <c r="E1066">
        <v>7.8</v>
      </c>
      <c r="F1066">
        <v>7.8</v>
      </c>
      <c r="G1066">
        <v>9</v>
      </c>
      <c r="H1066">
        <v>7.4</v>
      </c>
      <c r="I1066">
        <v>7.5</v>
      </c>
      <c r="J1066">
        <v>7.3</v>
      </c>
      <c r="K1066">
        <v>5.5</v>
      </c>
      <c r="L1066" s="1"/>
    </row>
    <row r="1067" spans="1:12">
      <c r="A1067" t="s">
        <v>1115</v>
      </c>
      <c r="B1067">
        <v>10</v>
      </c>
      <c r="C1067">
        <v>9.5</v>
      </c>
      <c r="D1067">
        <v>8.7</v>
      </c>
      <c r="E1067">
        <v>8.7</v>
      </c>
      <c r="F1067">
        <v>9.1</v>
      </c>
      <c r="G1067">
        <v>9.4</v>
      </c>
      <c r="H1067">
        <v>8.2</v>
      </c>
      <c r="I1067">
        <v>7.1</v>
      </c>
      <c r="J1067">
        <v>7</v>
      </c>
      <c r="K1067">
        <v>8.2</v>
      </c>
      <c r="L1067" s="1"/>
    </row>
    <row r="1068" spans="1:12">
      <c r="A1068" t="s">
        <v>1116</v>
      </c>
      <c r="B1068">
        <v>9.2</v>
      </c>
      <c r="C1068">
        <v>9.2</v>
      </c>
      <c r="D1068">
        <v>8</v>
      </c>
      <c r="E1068">
        <v>8.9</v>
      </c>
      <c r="F1068">
        <v>8.9</v>
      </c>
      <c r="G1068">
        <v>8.3</v>
      </c>
      <c r="H1068">
        <v>7.8</v>
      </c>
      <c r="I1068">
        <v>8.6</v>
      </c>
      <c r="J1068">
        <v>10</v>
      </c>
      <c r="K1068">
        <v>7.8</v>
      </c>
      <c r="L1068" s="1"/>
    </row>
    <row r="1069" spans="1:12">
      <c r="A1069" t="s">
        <v>1117</v>
      </c>
      <c r="B1069">
        <v>8.1</v>
      </c>
      <c r="C1069">
        <v>9.3</v>
      </c>
      <c r="D1069">
        <v>9.5</v>
      </c>
      <c r="E1069">
        <v>8.6</v>
      </c>
      <c r="F1069">
        <v>8.6</v>
      </c>
      <c r="G1069">
        <v>8.6</v>
      </c>
      <c r="H1069">
        <v>7.9</v>
      </c>
      <c r="I1069">
        <v>8.8</v>
      </c>
      <c r="J1069">
        <v>8.3</v>
      </c>
      <c r="K1069">
        <v>5.8</v>
      </c>
      <c r="L1069" s="1"/>
    </row>
    <row r="1070" spans="1:12">
      <c r="A1070" t="s">
        <v>1118</v>
      </c>
      <c r="B1070">
        <v>9.9</v>
      </c>
      <c r="C1070">
        <v>8.4</v>
      </c>
      <c r="D1070">
        <v>9.3</v>
      </c>
      <c r="E1070">
        <v>9.6</v>
      </c>
      <c r="F1070">
        <v>7.3</v>
      </c>
      <c r="G1070">
        <v>8.1</v>
      </c>
      <c r="H1070">
        <v>7.9</v>
      </c>
      <c r="I1070">
        <v>9</v>
      </c>
      <c r="J1070">
        <v>6.5</v>
      </c>
      <c r="K1070">
        <v>6.9</v>
      </c>
      <c r="L1070" s="1"/>
    </row>
    <row r="1071" spans="1:12">
      <c r="A1071" t="s">
        <v>1119</v>
      </c>
      <c r="B1071">
        <v>9.2</v>
      </c>
      <c r="C1071">
        <v>8.8</v>
      </c>
      <c r="D1071">
        <v>9.4</v>
      </c>
      <c r="E1071">
        <v>9.4</v>
      </c>
      <c r="F1071">
        <v>6</v>
      </c>
      <c r="G1071">
        <v>7</v>
      </c>
      <c r="H1071">
        <v>9.4</v>
      </c>
      <c r="I1071">
        <v>7.3</v>
      </c>
      <c r="J1071">
        <v>8.3</v>
      </c>
      <c r="K1071">
        <v>6.5</v>
      </c>
      <c r="L1071" s="1"/>
    </row>
    <row r="1072" spans="1:12">
      <c r="A1072" t="s">
        <v>1120</v>
      </c>
      <c r="B1072">
        <v>9.5</v>
      </c>
      <c r="C1072">
        <v>10</v>
      </c>
      <c r="D1072">
        <v>8.7</v>
      </c>
      <c r="E1072">
        <v>8.1</v>
      </c>
      <c r="F1072">
        <v>8.6</v>
      </c>
      <c r="G1072">
        <v>7.4</v>
      </c>
      <c r="H1072">
        <v>7.4</v>
      </c>
      <c r="I1072">
        <v>8.2</v>
      </c>
      <c r="J1072">
        <v>8.2</v>
      </c>
      <c r="K1072">
        <v>9.3</v>
      </c>
      <c r="L1072" s="1"/>
    </row>
    <row r="1073" spans="1:12">
      <c r="A1073" t="s">
        <v>1121</v>
      </c>
      <c r="B1073">
        <v>9</v>
      </c>
      <c r="C1073">
        <v>9</v>
      </c>
      <c r="D1073">
        <v>9.6</v>
      </c>
      <c r="E1073">
        <v>8.7</v>
      </c>
      <c r="F1073">
        <v>7.4</v>
      </c>
      <c r="G1073">
        <v>7.4</v>
      </c>
      <c r="H1073">
        <v>8</v>
      </c>
      <c r="I1073">
        <v>7.9</v>
      </c>
      <c r="J1073">
        <v>7.9</v>
      </c>
      <c r="K1073">
        <v>6</v>
      </c>
      <c r="L1073" s="1"/>
    </row>
    <row r="1074" spans="1:12">
      <c r="A1074" t="s">
        <v>1122</v>
      </c>
      <c r="B1074">
        <v>8.6</v>
      </c>
      <c r="C1074">
        <v>8.9</v>
      </c>
      <c r="D1074">
        <v>9.7</v>
      </c>
      <c r="E1074">
        <v>8.4</v>
      </c>
      <c r="F1074">
        <v>9.1</v>
      </c>
      <c r="G1074">
        <v>8.4</v>
      </c>
      <c r="H1074">
        <v>7.7</v>
      </c>
      <c r="I1074">
        <v>6.7</v>
      </c>
      <c r="J1074">
        <v>8.3</v>
      </c>
      <c r="K1074">
        <v>4.3</v>
      </c>
      <c r="L1074" s="1"/>
    </row>
    <row r="1075" spans="1:12">
      <c r="A1075" t="s">
        <v>1123</v>
      </c>
      <c r="B1075">
        <v>9.4</v>
      </c>
      <c r="C1075">
        <v>9.6</v>
      </c>
      <c r="D1075">
        <v>8.5</v>
      </c>
      <c r="E1075">
        <v>8.5</v>
      </c>
      <c r="F1075">
        <v>7.4</v>
      </c>
      <c r="G1075">
        <v>6.8</v>
      </c>
      <c r="H1075">
        <v>7.2</v>
      </c>
      <c r="I1075">
        <v>8.6</v>
      </c>
      <c r="J1075">
        <v>6.8</v>
      </c>
      <c r="K1075">
        <v>7.5</v>
      </c>
      <c r="L1075" s="1"/>
    </row>
    <row r="1076" spans="1:12">
      <c r="A1076" t="s">
        <v>1124</v>
      </c>
      <c r="B1076">
        <v>9</v>
      </c>
      <c r="C1076">
        <v>9.3</v>
      </c>
      <c r="D1076">
        <v>8.6</v>
      </c>
      <c r="E1076">
        <v>8.8</v>
      </c>
      <c r="F1076">
        <v>10</v>
      </c>
      <c r="G1076">
        <v>7.6</v>
      </c>
      <c r="H1076">
        <v>6.6</v>
      </c>
      <c r="I1076">
        <v>8.1</v>
      </c>
      <c r="J1076">
        <v>7.9</v>
      </c>
      <c r="K1076">
        <v>7.1</v>
      </c>
      <c r="L1076" s="1"/>
    </row>
    <row r="1077" spans="1:12">
      <c r="A1077" t="s">
        <v>1125</v>
      </c>
      <c r="B1077">
        <v>8.5</v>
      </c>
      <c r="C1077">
        <v>9.3</v>
      </c>
      <c r="D1077">
        <v>8.6</v>
      </c>
      <c r="E1077">
        <v>9.3</v>
      </c>
      <c r="F1077">
        <v>9.5</v>
      </c>
      <c r="G1077">
        <v>7.2</v>
      </c>
      <c r="H1077">
        <v>7.3</v>
      </c>
      <c r="I1077">
        <v>6.9</v>
      </c>
      <c r="J1077">
        <v>6.8</v>
      </c>
      <c r="K1077">
        <v>8.6</v>
      </c>
      <c r="L1077" s="1"/>
    </row>
    <row r="1078" spans="1:12">
      <c r="A1078" t="s">
        <v>1126</v>
      </c>
      <c r="B1078">
        <v>9.4</v>
      </c>
      <c r="C1078">
        <v>9.2</v>
      </c>
      <c r="D1078">
        <v>7.4</v>
      </c>
      <c r="E1078">
        <v>10</v>
      </c>
      <c r="F1078">
        <v>7.4</v>
      </c>
      <c r="G1078">
        <v>8.9</v>
      </c>
      <c r="H1078">
        <v>7.7</v>
      </c>
      <c r="I1078">
        <v>8.6</v>
      </c>
      <c r="J1078">
        <v>7.6</v>
      </c>
      <c r="K1078">
        <v>7</v>
      </c>
      <c r="L1078" s="1"/>
    </row>
    <row r="1079" spans="1:12">
      <c r="A1079" t="s">
        <v>1127</v>
      </c>
      <c r="B1079">
        <v>8.8</v>
      </c>
      <c r="C1079">
        <v>9.8</v>
      </c>
      <c r="D1079">
        <v>9</v>
      </c>
      <c r="E1079">
        <v>10</v>
      </c>
      <c r="F1079">
        <v>8.4</v>
      </c>
      <c r="G1079">
        <v>7.9</v>
      </c>
      <c r="H1079">
        <v>8</v>
      </c>
      <c r="I1079">
        <v>9.2</v>
      </c>
      <c r="J1079">
        <v>6.5</v>
      </c>
      <c r="K1079">
        <v>8.4</v>
      </c>
      <c r="L1079" s="1"/>
    </row>
    <row r="1080" spans="1:12">
      <c r="A1080" t="s">
        <v>1128</v>
      </c>
      <c r="B1080">
        <v>10</v>
      </c>
      <c r="C1080">
        <v>9.6</v>
      </c>
      <c r="D1080">
        <v>9.1</v>
      </c>
      <c r="E1080">
        <v>8.3</v>
      </c>
      <c r="F1080">
        <v>8.2</v>
      </c>
      <c r="G1080">
        <v>8.1</v>
      </c>
      <c r="H1080">
        <v>7.3</v>
      </c>
      <c r="I1080">
        <v>8.5</v>
      </c>
      <c r="J1080">
        <v>6.2</v>
      </c>
      <c r="K1080">
        <v>6.8</v>
      </c>
      <c r="L1080" s="1"/>
    </row>
    <row r="1081" spans="1:12">
      <c r="A1081" t="s">
        <v>1129</v>
      </c>
      <c r="B1081">
        <v>9.9</v>
      </c>
      <c r="C1081">
        <v>7.7</v>
      </c>
      <c r="D1081">
        <v>8.7</v>
      </c>
      <c r="E1081">
        <v>8.3</v>
      </c>
      <c r="F1081">
        <v>7.8</v>
      </c>
      <c r="G1081">
        <v>9.3</v>
      </c>
      <c r="H1081">
        <v>8.6</v>
      </c>
      <c r="I1081">
        <v>7.2</v>
      </c>
      <c r="J1081">
        <v>7.6</v>
      </c>
      <c r="K1081">
        <v>4.7</v>
      </c>
      <c r="L1081" s="1"/>
    </row>
    <row r="1082" spans="1:12">
      <c r="A1082" t="s">
        <v>1130</v>
      </c>
      <c r="B1082">
        <v>9.8</v>
      </c>
      <c r="C1082">
        <v>10</v>
      </c>
      <c r="D1082">
        <v>8.7</v>
      </c>
      <c r="E1082">
        <v>9.9</v>
      </c>
      <c r="F1082">
        <v>10</v>
      </c>
      <c r="G1082">
        <v>10</v>
      </c>
      <c r="H1082">
        <v>7.9</v>
      </c>
      <c r="I1082">
        <v>9.4</v>
      </c>
      <c r="J1082">
        <v>9.2</v>
      </c>
      <c r="K1082">
        <v>4.8</v>
      </c>
      <c r="L1082" s="1"/>
    </row>
    <row r="1083" spans="1:12">
      <c r="A1083" t="s">
        <v>1131</v>
      </c>
      <c r="B1083">
        <v>9.2</v>
      </c>
      <c r="C1083">
        <v>9.1</v>
      </c>
      <c r="D1083">
        <v>9.2</v>
      </c>
      <c r="E1083">
        <v>8.7</v>
      </c>
      <c r="F1083">
        <v>7.2</v>
      </c>
      <c r="G1083">
        <v>8</v>
      </c>
      <c r="H1083">
        <v>8.2</v>
      </c>
      <c r="I1083">
        <v>8.9</v>
      </c>
      <c r="J1083">
        <v>7.7</v>
      </c>
      <c r="K1083">
        <v>6.8</v>
      </c>
      <c r="L1083" s="1"/>
    </row>
    <row r="1084" spans="1:12">
      <c r="A1084" t="s">
        <v>1132</v>
      </c>
      <c r="B1084">
        <v>9.4</v>
      </c>
      <c r="C1084">
        <v>8.2</v>
      </c>
      <c r="D1084">
        <v>9.3</v>
      </c>
      <c r="E1084">
        <v>8.7</v>
      </c>
      <c r="F1084">
        <v>8.5</v>
      </c>
      <c r="G1084">
        <v>8.4</v>
      </c>
      <c r="H1084">
        <v>6.7</v>
      </c>
      <c r="I1084">
        <v>9.2</v>
      </c>
      <c r="J1084">
        <v>7.5</v>
      </c>
      <c r="K1084">
        <v>5.9</v>
      </c>
      <c r="L1084" s="1"/>
    </row>
    <row r="1085" spans="1:12">
      <c r="A1085" t="s">
        <v>1133</v>
      </c>
      <c r="B1085">
        <v>8.9</v>
      </c>
      <c r="C1085">
        <v>8.1</v>
      </c>
      <c r="D1085">
        <v>9.5</v>
      </c>
      <c r="E1085">
        <v>9.4</v>
      </c>
      <c r="F1085">
        <v>7.3</v>
      </c>
      <c r="G1085">
        <v>6</v>
      </c>
      <c r="H1085">
        <v>9.1</v>
      </c>
      <c r="I1085">
        <v>6.7</v>
      </c>
      <c r="J1085">
        <v>7.1</v>
      </c>
      <c r="K1085">
        <v>5.2</v>
      </c>
      <c r="L1085" s="1"/>
    </row>
    <row r="1086" spans="1:12">
      <c r="A1086" t="s">
        <v>1134</v>
      </c>
      <c r="B1086">
        <v>8.8</v>
      </c>
      <c r="C1086">
        <v>8.9</v>
      </c>
      <c r="D1086">
        <v>8.6</v>
      </c>
      <c r="E1086">
        <v>8.4</v>
      </c>
      <c r="F1086">
        <v>8.8</v>
      </c>
      <c r="G1086">
        <v>8.6</v>
      </c>
      <c r="H1086">
        <v>7.9</v>
      </c>
      <c r="I1086">
        <v>8.5</v>
      </c>
      <c r="J1086">
        <v>5.6</v>
      </c>
      <c r="K1086">
        <v>6.7</v>
      </c>
      <c r="L1086" s="1"/>
    </row>
    <row r="1087" spans="1:12">
      <c r="A1087" t="s">
        <v>1135</v>
      </c>
      <c r="B1087">
        <v>8.6</v>
      </c>
      <c r="C1087">
        <v>9.9</v>
      </c>
      <c r="D1087">
        <v>9.7</v>
      </c>
      <c r="E1087">
        <v>8.3</v>
      </c>
      <c r="F1087">
        <v>8.4</v>
      </c>
      <c r="G1087">
        <v>8.9</v>
      </c>
      <c r="H1087">
        <v>7.9</v>
      </c>
      <c r="I1087">
        <v>6.1</v>
      </c>
      <c r="J1087">
        <v>8.3</v>
      </c>
      <c r="K1087">
        <v>7.4</v>
      </c>
      <c r="L1087" s="1"/>
    </row>
    <row r="1088" spans="1:12">
      <c r="A1088" t="s">
        <v>1136</v>
      </c>
      <c r="B1088">
        <v>9.6</v>
      </c>
      <c r="C1088">
        <v>9.2</v>
      </c>
      <c r="D1088">
        <v>9.3</v>
      </c>
      <c r="E1088">
        <v>8.9</v>
      </c>
      <c r="F1088">
        <v>9</v>
      </c>
      <c r="G1088">
        <v>7.2</v>
      </c>
      <c r="H1088">
        <v>7.9</v>
      </c>
      <c r="I1088">
        <v>7.1</v>
      </c>
      <c r="J1088">
        <v>8.3</v>
      </c>
      <c r="K1088">
        <v>7.4</v>
      </c>
      <c r="L1088" s="1"/>
    </row>
    <row r="1089" spans="1:12">
      <c r="A1089" t="s">
        <v>1137</v>
      </c>
      <c r="B1089">
        <v>9.1</v>
      </c>
      <c r="C1089">
        <v>8.8</v>
      </c>
      <c r="D1089">
        <v>9.8</v>
      </c>
      <c r="E1089">
        <v>9.4</v>
      </c>
      <c r="F1089">
        <v>9.7</v>
      </c>
      <c r="G1089">
        <v>9.9</v>
      </c>
      <c r="H1089">
        <v>7.5</v>
      </c>
      <c r="I1089">
        <v>5.9</v>
      </c>
      <c r="J1089">
        <v>6.7</v>
      </c>
      <c r="K1089">
        <v>8.1</v>
      </c>
      <c r="L1089" s="1"/>
    </row>
    <row r="1090" spans="1:12">
      <c r="A1090" t="s">
        <v>1138</v>
      </c>
      <c r="B1090">
        <v>9.9</v>
      </c>
      <c r="C1090">
        <v>9.9</v>
      </c>
      <c r="D1090">
        <v>9.9</v>
      </c>
      <c r="E1090">
        <v>8.8</v>
      </c>
      <c r="F1090">
        <v>8.8</v>
      </c>
      <c r="G1090">
        <v>7.6</v>
      </c>
      <c r="H1090">
        <v>7.8</v>
      </c>
      <c r="I1090">
        <v>6.9</v>
      </c>
      <c r="J1090">
        <v>8.3</v>
      </c>
      <c r="K1090">
        <v>7.7</v>
      </c>
      <c r="L1090" s="1"/>
    </row>
    <row r="1091" spans="1:12">
      <c r="A1091" t="s">
        <v>1139</v>
      </c>
      <c r="B1091">
        <v>9</v>
      </c>
      <c r="C1091">
        <v>9.9</v>
      </c>
      <c r="D1091">
        <v>8.1</v>
      </c>
      <c r="E1091">
        <v>8.1</v>
      </c>
      <c r="F1091">
        <v>7.6</v>
      </c>
      <c r="G1091">
        <v>7.9</v>
      </c>
      <c r="H1091">
        <v>7.5</v>
      </c>
      <c r="I1091">
        <v>7.8</v>
      </c>
      <c r="J1091">
        <v>8.9</v>
      </c>
      <c r="K1091">
        <v>8.1</v>
      </c>
      <c r="L1091" s="1"/>
    </row>
    <row r="1092" spans="1:12">
      <c r="A1092" t="s">
        <v>1140</v>
      </c>
      <c r="B1092">
        <v>9.3</v>
      </c>
      <c r="C1092">
        <v>8.7</v>
      </c>
      <c r="D1092">
        <v>9.1</v>
      </c>
      <c r="E1092">
        <v>7.9</v>
      </c>
      <c r="F1092">
        <v>7</v>
      </c>
      <c r="G1092">
        <v>8.5</v>
      </c>
      <c r="H1092">
        <v>8.5</v>
      </c>
      <c r="I1092">
        <v>8.3</v>
      </c>
      <c r="J1092">
        <v>8.4</v>
      </c>
      <c r="K1092">
        <v>7.4</v>
      </c>
      <c r="L1092" s="1"/>
    </row>
    <row r="1093" spans="1:12">
      <c r="A1093" t="s">
        <v>1141</v>
      </c>
      <c r="B1093">
        <v>8.7</v>
      </c>
      <c r="C1093">
        <v>9.1</v>
      </c>
      <c r="D1093">
        <v>9.4</v>
      </c>
      <c r="E1093">
        <v>8.5</v>
      </c>
      <c r="F1093">
        <v>8.2</v>
      </c>
      <c r="G1093">
        <v>8.8</v>
      </c>
      <c r="H1093">
        <v>8.5</v>
      </c>
      <c r="I1093">
        <v>8</v>
      </c>
      <c r="J1093">
        <v>8.8</v>
      </c>
      <c r="K1093">
        <v>7.1</v>
      </c>
      <c r="L1093" s="1"/>
    </row>
    <row r="1094" spans="1:12">
      <c r="A1094" t="s">
        <v>1142</v>
      </c>
      <c r="B1094">
        <v>9.6</v>
      </c>
      <c r="C1094">
        <v>9.9</v>
      </c>
      <c r="D1094">
        <v>8.1</v>
      </c>
      <c r="E1094">
        <v>7.1</v>
      </c>
      <c r="F1094">
        <v>9</v>
      </c>
      <c r="G1094">
        <v>8.6</v>
      </c>
      <c r="H1094">
        <v>7.4</v>
      </c>
      <c r="I1094">
        <v>5.7</v>
      </c>
      <c r="J1094">
        <v>6.9</v>
      </c>
      <c r="K1094">
        <v>7.9</v>
      </c>
      <c r="L1094" s="1"/>
    </row>
    <row r="1095" spans="1:12">
      <c r="A1095" t="s">
        <v>1143</v>
      </c>
      <c r="B1095">
        <v>9.5</v>
      </c>
      <c r="C1095">
        <v>9.4</v>
      </c>
      <c r="D1095">
        <v>9.9</v>
      </c>
      <c r="E1095">
        <v>9</v>
      </c>
      <c r="F1095">
        <v>9.2</v>
      </c>
      <c r="G1095">
        <v>8.1</v>
      </c>
      <c r="H1095">
        <v>8.5</v>
      </c>
      <c r="I1095">
        <v>7</v>
      </c>
      <c r="J1095">
        <v>8.4</v>
      </c>
      <c r="K1095">
        <v>7.9</v>
      </c>
      <c r="L1095" s="1"/>
    </row>
    <row r="1096" spans="1:12">
      <c r="A1096" t="s">
        <v>1144</v>
      </c>
      <c r="B1096">
        <v>7.9</v>
      </c>
      <c r="C1096">
        <v>8.4</v>
      </c>
      <c r="D1096">
        <v>9.6</v>
      </c>
      <c r="E1096">
        <v>7.6</v>
      </c>
      <c r="F1096">
        <v>8.4</v>
      </c>
      <c r="G1096">
        <v>9.4</v>
      </c>
      <c r="H1096">
        <v>7.7</v>
      </c>
      <c r="I1096">
        <v>7.4</v>
      </c>
      <c r="J1096">
        <v>7.2</v>
      </c>
      <c r="K1096">
        <v>5.5</v>
      </c>
      <c r="L1096" s="1"/>
    </row>
    <row r="1097" spans="1:12">
      <c r="A1097" t="s">
        <v>1145</v>
      </c>
      <c r="B1097">
        <v>9.9</v>
      </c>
      <c r="C1097">
        <v>9.9</v>
      </c>
      <c r="D1097">
        <v>9.7</v>
      </c>
      <c r="E1097">
        <v>8.6</v>
      </c>
      <c r="F1097">
        <v>9.9</v>
      </c>
      <c r="G1097">
        <v>8.8</v>
      </c>
      <c r="H1097">
        <v>9.7</v>
      </c>
      <c r="I1097">
        <v>9.4</v>
      </c>
      <c r="J1097">
        <v>8.1</v>
      </c>
      <c r="K1097">
        <v>6.1</v>
      </c>
      <c r="L1097" s="1"/>
    </row>
    <row r="1098" spans="1:12">
      <c r="A1098" t="s">
        <v>1146</v>
      </c>
      <c r="B1098">
        <v>9.3</v>
      </c>
      <c r="C1098">
        <v>9.3</v>
      </c>
      <c r="D1098">
        <v>9.5</v>
      </c>
      <c r="E1098">
        <v>8.6</v>
      </c>
      <c r="F1098">
        <v>8.6</v>
      </c>
      <c r="G1098">
        <v>8.3</v>
      </c>
      <c r="H1098">
        <v>8.6</v>
      </c>
      <c r="I1098">
        <v>7.6</v>
      </c>
      <c r="J1098">
        <v>8</v>
      </c>
      <c r="K1098">
        <v>6.9</v>
      </c>
      <c r="L1098" s="1"/>
    </row>
    <row r="1099" spans="1:12">
      <c r="A1099" t="s">
        <v>1147</v>
      </c>
      <c r="B1099">
        <v>9.9</v>
      </c>
      <c r="C1099">
        <v>8.7</v>
      </c>
      <c r="D1099">
        <v>7.3</v>
      </c>
      <c r="E1099">
        <v>8.4</v>
      </c>
      <c r="F1099">
        <v>8.6</v>
      </c>
      <c r="G1099">
        <v>6.5</v>
      </c>
      <c r="H1099">
        <v>7</v>
      </c>
      <c r="I1099">
        <v>6.1</v>
      </c>
      <c r="J1099">
        <v>7.9</v>
      </c>
      <c r="K1099">
        <v>7</v>
      </c>
      <c r="L1099" s="1"/>
    </row>
    <row r="1100" spans="1:12">
      <c r="A1100" t="s">
        <v>1148</v>
      </c>
      <c r="B1100">
        <v>9</v>
      </c>
      <c r="C1100">
        <v>9.7</v>
      </c>
      <c r="D1100">
        <v>8.2</v>
      </c>
      <c r="E1100">
        <v>9.5</v>
      </c>
      <c r="F1100">
        <v>9.4</v>
      </c>
      <c r="G1100">
        <v>7.3</v>
      </c>
      <c r="H1100">
        <v>8.3</v>
      </c>
      <c r="I1100">
        <v>7.5</v>
      </c>
      <c r="J1100">
        <v>7.1</v>
      </c>
      <c r="K1100">
        <v>6.8</v>
      </c>
      <c r="L1100" s="1"/>
    </row>
    <row r="1101" spans="1:12">
      <c r="A1101" t="s">
        <v>1149</v>
      </c>
      <c r="B1101">
        <v>9</v>
      </c>
      <c r="C1101">
        <v>9.5</v>
      </c>
      <c r="D1101">
        <v>9.3</v>
      </c>
      <c r="E1101">
        <v>9.3</v>
      </c>
      <c r="F1101">
        <v>8.6</v>
      </c>
      <c r="G1101">
        <v>8.6</v>
      </c>
      <c r="H1101">
        <v>8.4</v>
      </c>
      <c r="I1101">
        <v>8</v>
      </c>
      <c r="J1101">
        <v>6.2</v>
      </c>
      <c r="K1101">
        <v>7.9</v>
      </c>
      <c r="L1101" s="1"/>
    </row>
    <row r="1102" spans="1:12">
      <c r="A1102" t="s">
        <v>1150</v>
      </c>
      <c r="B1102">
        <v>8.9</v>
      </c>
      <c r="C1102">
        <v>9.7</v>
      </c>
      <c r="D1102">
        <v>8.4</v>
      </c>
      <c r="E1102">
        <v>9.2</v>
      </c>
      <c r="F1102">
        <v>8.3</v>
      </c>
      <c r="G1102">
        <v>6.4</v>
      </c>
      <c r="H1102">
        <v>7</v>
      </c>
      <c r="I1102">
        <v>8.9</v>
      </c>
      <c r="J1102">
        <v>8</v>
      </c>
      <c r="K1102">
        <v>7</v>
      </c>
      <c r="L1102" s="1"/>
    </row>
    <row r="1103" spans="1:12">
      <c r="A1103" t="s">
        <v>1151</v>
      </c>
      <c r="B1103">
        <v>9</v>
      </c>
      <c r="C1103">
        <v>9</v>
      </c>
      <c r="D1103">
        <v>9.3</v>
      </c>
      <c r="E1103">
        <v>7.8</v>
      </c>
      <c r="F1103">
        <v>9</v>
      </c>
      <c r="G1103">
        <v>7.8</v>
      </c>
      <c r="H1103">
        <v>6.1</v>
      </c>
      <c r="I1103">
        <v>7.1</v>
      </c>
      <c r="J1103">
        <v>7.2</v>
      </c>
      <c r="K1103">
        <v>6.7</v>
      </c>
      <c r="L1103" s="1"/>
    </row>
    <row r="1104" spans="1:12">
      <c r="A1104" t="s">
        <v>1152</v>
      </c>
      <c r="B1104">
        <v>9</v>
      </c>
      <c r="C1104">
        <v>9.3</v>
      </c>
      <c r="D1104">
        <v>8.6</v>
      </c>
      <c r="E1104">
        <v>8.5</v>
      </c>
      <c r="F1104">
        <v>9.2</v>
      </c>
      <c r="G1104">
        <v>8.8</v>
      </c>
      <c r="H1104">
        <v>6.3</v>
      </c>
      <c r="I1104">
        <v>6.5</v>
      </c>
      <c r="J1104">
        <v>8.2</v>
      </c>
      <c r="K1104">
        <v>5.9</v>
      </c>
      <c r="L1104" s="1"/>
    </row>
    <row r="1105" spans="1:12">
      <c r="A1105" t="s">
        <v>1153</v>
      </c>
      <c r="B1105">
        <v>9.2</v>
      </c>
      <c r="C1105">
        <v>9</v>
      </c>
      <c r="D1105">
        <v>9.9</v>
      </c>
      <c r="E1105">
        <v>8.7</v>
      </c>
      <c r="F1105">
        <v>8</v>
      </c>
      <c r="G1105">
        <v>7.8</v>
      </c>
      <c r="H1105">
        <v>7.3</v>
      </c>
      <c r="I1105">
        <v>7.3</v>
      </c>
      <c r="J1105">
        <v>9</v>
      </c>
      <c r="K1105">
        <v>7.7</v>
      </c>
      <c r="L1105" s="1"/>
    </row>
    <row r="1106" spans="1:12">
      <c r="A1106" t="s">
        <v>1154</v>
      </c>
      <c r="B1106">
        <v>9.3</v>
      </c>
      <c r="C1106">
        <v>8.6</v>
      </c>
      <c r="D1106">
        <v>9.8</v>
      </c>
      <c r="E1106">
        <v>9.9</v>
      </c>
      <c r="F1106">
        <v>7.6</v>
      </c>
      <c r="G1106">
        <v>7.5</v>
      </c>
      <c r="H1106">
        <v>7.4</v>
      </c>
      <c r="I1106">
        <v>6</v>
      </c>
      <c r="J1106">
        <v>7.5</v>
      </c>
      <c r="K1106">
        <v>5.4</v>
      </c>
      <c r="L1106" s="1"/>
    </row>
    <row r="1107" spans="1:12">
      <c r="A1107" t="s">
        <v>1155</v>
      </c>
      <c r="B1107">
        <v>9.5</v>
      </c>
      <c r="C1107">
        <v>9.3</v>
      </c>
      <c r="D1107">
        <v>8.8</v>
      </c>
      <c r="E1107">
        <v>8.3</v>
      </c>
      <c r="F1107">
        <v>8.1</v>
      </c>
      <c r="G1107">
        <v>7</v>
      </c>
      <c r="H1107">
        <v>7.8</v>
      </c>
      <c r="I1107">
        <v>6.9</v>
      </c>
      <c r="J1107">
        <v>7.8</v>
      </c>
      <c r="K1107">
        <v>4</v>
      </c>
      <c r="L1107" s="1"/>
    </row>
    <row r="1108" spans="1:12">
      <c r="A1108" t="s">
        <v>1156</v>
      </c>
      <c r="B1108">
        <v>9.1</v>
      </c>
      <c r="C1108">
        <v>9.9</v>
      </c>
      <c r="D1108">
        <v>9.3</v>
      </c>
      <c r="E1108">
        <v>8.1</v>
      </c>
      <c r="F1108">
        <v>7.5</v>
      </c>
      <c r="G1108">
        <v>7.8</v>
      </c>
      <c r="H1108">
        <v>8.5</v>
      </c>
      <c r="I1108">
        <v>7.3</v>
      </c>
      <c r="J1108">
        <v>8.8</v>
      </c>
      <c r="K1108">
        <v>6.1</v>
      </c>
      <c r="L1108" s="1"/>
    </row>
    <row r="1109" spans="1:12">
      <c r="A1109" t="s">
        <v>1157</v>
      </c>
      <c r="B1109">
        <v>9.2</v>
      </c>
      <c r="C1109">
        <v>9.7</v>
      </c>
      <c r="D1109">
        <v>8.1</v>
      </c>
      <c r="E1109">
        <v>9</v>
      </c>
      <c r="F1109">
        <v>9</v>
      </c>
      <c r="G1109">
        <v>8.2</v>
      </c>
      <c r="H1109">
        <v>8.2</v>
      </c>
      <c r="I1109">
        <v>8.4</v>
      </c>
      <c r="J1109">
        <v>5.7</v>
      </c>
      <c r="K1109">
        <v>6.7</v>
      </c>
      <c r="L1109" s="1"/>
    </row>
    <row r="1110" spans="1:12">
      <c r="A1110" t="s">
        <v>1158</v>
      </c>
      <c r="B1110">
        <v>9.9</v>
      </c>
      <c r="C1110">
        <v>8.1</v>
      </c>
      <c r="D1110">
        <v>8.7</v>
      </c>
      <c r="E1110">
        <v>9.4</v>
      </c>
      <c r="F1110">
        <v>8.2</v>
      </c>
      <c r="G1110">
        <v>8.5</v>
      </c>
      <c r="H1110">
        <v>8.3</v>
      </c>
      <c r="I1110">
        <v>7.8</v>
      </c>
      <c r="J1110">
        <v>6.2</v>
      </c>
      <c r="K1110">
        <v>7</v>
      </c>
      <c r="L1110" s="1"/>
    </row>
    <row r="1111" spans="1:12">
      <c r="A1111" t="s">
        <v>1159</v>
      </c>
      <c r="B1111">
        <v>9.2</v>
      </c>
      <c r="C1111">
        <v>9.6</v>
      </c>
      <c r="D1111">
        <v>9.3</v>
      </c>
      <c r="E1111">
        <v>8.1</v>
      </c>
      <c r="F1111">
        <v>7.9</v>
      </c>
      <c r="G1111">
        <v>8.1</v>
      </c>
      <c r="H1111">
        <v>9.7</v>
      </c>
      <c r="I1111">
        <v>7.4</v>
      </c>
      <c r="J1111">
        <v>8.4</v>
      </c>
      <c r="K1111">
        <v>5.5</v>
      </c>
      <c r="L1111" s="1"/>
    </row>
    <row r="1112" spans="1:12">
      <c r="A1112" t="s">
        <v>1160</v>
      </c>
      <c r="B1112">
        <v>9.3</v>
      </c>
      <c r="C1112">
        <v>9</v>
      </c>
      <c r="D1112">
        <v>9.4</v>
      </c>
      <c r="E1112">
        <v>8.6</v>
      </c>
      <c r="F1112">
        <v>7.7</v>
      </c>
      <c r="G1112">
        <v>7.6</v>
      </c>
      <c r="H1112">
        <v>7.6</v>
      </c>
      <c r="I1112">
        <v>8.2</v>
      </c>
      <c r="J1112">
        <v>7.6</v>
      </c>
      <c r="K1112">
        <v>3.8</v>
      </c>
      <c r="L1112" s="1"/>
    </row>
    <row r="1113" spans="1:12">
      <c r="A1113" t="s">
        <v>1161</v>
      </c>
      <c r="B1113">
        <v>8.8</v>
      </c>
      <c r="C1113">
        <v>7.5</v>
      </c>
      <c r="D1113">
        <v>9.2</v>
      </c>
      <c r="E1113">
        <v>8</v>
      </c>
      <c r="F1113">
        <v>8.9</v>
      </c>
      <c r="G1113">
        <v>7</v>
      </c>
      <c r="H1113">
        <v>9</v>
      </c>
      <c r="I1113">
        <v>8</v>
      </c>
      <c r="J1113">
        <v>9.2</v>
      </c>
      <c r="K1113">
        <v>6.7</v>
      </c>
      <c r="L1113" s="1"/>
    </row>
    <row r="1114" spans="1:12">
      <c r="A1114" t="s">
        <v>1162</v>
      </c>
      <c r="B1114">
        <v>8.2</v>
      </c>
      <c r="C1114">
        <v>8.8</v>
      </c>
      <c r="D1114">
        <v>8.7</v>
      </c>
      <c r="E1114">
        <v>8</v>
      </c>
      <c r="F1114">
        <v>8</v>
      </c>
      <c r="G1114">
        <v>8.1</v>
      </c>
      <c r="H1114">
        <v>9.3</v>
      </c>
      <c r="I1114">
        <v>6.8</v>
      </c>
      <c r="J1114">
        <v>6.2</v>
      </c>
      <c r="K1114">
        <v>9.4</v>
      </c>
      <c r="L1114" s="1"/>
    </row>
    <row r="1115" spans="1:12">
      <c r="A1115" t="s">
        <v>1163</v>
      </c>
      <c r="B1115">
        <v>9.3</v>
      </c>
      <c r="C1115">
        <v>8.5</v>
      </c>
      <c r="D1115">
        <v>8.7</v>
      </c>
      <c r="E1115">
        <v>7.9</v>
      </c>
      <c r="F1115">
        <v>8.1</v>
      </c>
      <c r="G1115">
        <v>8.3</v>
      </c>
      <c r="H1115">
        <v>8.5</v>
      </c>
      <c r="I1115">
        <v>7.4</v>
      </c>
      <c r="J1115">
        <v>7.5</v>
      </c>
      <c r="K1115">
        <v>6</v>
      </c>
      <c r="L1115" s="1"/>
    </row>
    <row r="1116" spans="1:12">
      <c r="A1116" t="s">
        <v>1164</v>
      </c>
      <c r="B1116">
        <v>9</v>
      </c>
      <c r="C1116">
        <v>7.9</v>
      </c>
      <c r="D1116">
        <v>8.5</v>
      </c>
      <c r="E1116">
        <v>8.1</v>
      </c>
      <c r="F1116">
        <v>8.2</v>
      </c>
      <c r="G1116">
        <v>6.9</v>
      </c>
      <c r="H1116">
        <v>9.1</v>
      </c>
      <c r="I1116">
        <v>6.7</v>
      </c>
      <c r="J1116">
        <v>7.6</v>
      </c>
      <c r="K1116">
        <v>6.9</v>
      </c>
      <c r="L1116" s="1"/>
    </row>
    <row r="1117" spans="1:12">
      <c r="A1117" t="s">
        <v>1165</v>
      </c>
      <c r="B1117">
        <v>9.9</v>
      </c>
      <c r="C1117">
        <v>9.3</v>
      </c>
      <c r="D1117">
        <v>9</v>
      </c>
      <c r="E1117">
        <v>8.8</v>
      </c>
      <c r="F1117">
        <v>8.2</v>
      </c>
      <c r="G1117">
        <v>8.6</v>
      </c>
      <c r="H1117">
        <v>8.7</v>
      </c>
      <c r="I1117">
        <v>8.1</v>
      </c>
      <c r="J1117">
        <v>9.8</v>
      </c>
      <c r="K1117">
        <v>6.3</v>
      </c>
      <c r="L1117" s="1"/>
    </row>
    <row r="1118" spans="1:12">
      <c r="A1118" t="s">
        <v>1166</v>
      </c>
      <c r="B1118">
        <v>9.4</v>
      </c>
      <c r="C1118">
        <v>9.9</v>
      </c>
      <c r="D1118">
        <v>9.6</v>
      </c>
      <c r="E1118">
        <v>8</v>
      </c>
      <c r="F1118">
        <v>7.5</v>
      </c>
      <c r="G1118">
        <v>6.2</v>
      </c>
      <c r="H1118">
        <v>8</v>
      </c>
      <c r="I1118">
        <v>7.7</v>
      </c>
      <c r="J1118">
        <v>8.3</v>
      </c>
      <c r="K1118">
        <v>6.1</v>
      </c>
      <c r="L1118" s="1"/>
    </row>
    <row r="1119" spans="1:12">
      <c r="A1119" t="s">
        <v>1167</v>
      </c>
      <c r="B1119">
        <v>8.3</v>
      </c>
      <c r="C1119">
        <v>9</v>
      </c>
      <c r="D1119">
        <v>9.5</v>
      </c>
      <c r="E1119">
        <v>9.4</v>
      </c>
      <c r="F1119">
        <v>8.7</v>
      </c>
      <c r="G1119">
        <v>8</v>
      </c>
      <c r="H1119">
        <v>7.5</v>
      </c>
      <c r="I1119">
        <v>7.4</v>
      </c>
      <c r="J1119">
        <v>5.5</v>
      </c>
      <c r="K1119">
        <v>7.2</v>
      </c>
      <c r="L1119" s="1"/>
    </row>
    <row r="1120" spans="1:12">
      <c r="A1120" t="s">
        <v>1168</v>
      </c>
      <c r="B1120">
        <v>8.7</v>
      </c>
      <c r="C1120">
        <v>9.8</v>
      </c>
      <c r="D1120">
        <v>8.7</v>
      </c>
      <c r="E1120">
        <v>9.6</v>
      </c>
      <c r="F1120">
        <v>7.6</v>
      </c>
      <c r="G1120">
        <v>7.6</v>
      </c>
      <c r="H1120">
        <v>8.9</v>
      </c>
      <c r="I1120">
        <v>7.3</v>
      </c>
      <c r="J1120">
        <v>7.7</v>
      </c>
      <c r="K1120">
        <v>3.4</v>
      </c>
      <c r="L1120" s="1"/>
    </row>
    <row r="1121" spans="1:12">
      <c r="A1121" t="s">
        <v>1169</v>
      </c>
      <c r="B1121">
        <v>9.6</v>
      </c>
      <c r="C1121">
        <v>8.8</v>
      </c>
      <c r="D1121">
        <v>8.4</v>
      </c>
      <c r="E1121">
        <v>8.5</v>
      </c>
      <c r="F1121">
        <v>8.9</v>
      </c>
      <c r="G1121">
        <v>9</v>
      </c>
      <c r="H1121">
        <v>7.3</v>
      </c>
      <c r="I1121">
        <v>8.7</v>
      </c>
      <c r="J1121">
        <v>8</v>
      </c>
      <c r="K1121">
        <v>6.3</v>
      </c>
      <c r="L1121" s="1"/>
    </row>
    <row r="1122" spans="1:12">
      <c r="A1122" t="s">
        <v>1170</v>
      </c>
      <c r="B1122">
        <v>9.2</v>
      </c>
      <c r="C1122">
        <v>9.7</v>
      </c>
      <c r="D1122">
        <v>8.4</v>
      </c>
      <c r="E1122">
        <v>8.8</v>
      </c>
      <c r="F1122">
        <v>8.5</v>
      </c>
      <c r="G1122">
        <v>6.3</v>
      </c>
      <c r="H1122">
        <v>8.8</v>
      </c>
      <c r="I1122">
        <v>9.9</v>
      </c>
      <c r="J1122">
        <v>7.6</v>
      </c>
      <c r="K1122">
        <v>7.1</v>
      </c>
      <c r="L1122" s="1"/>
    </row>
    <row r="1123" spans="1:12">
      <c r="A1123" t="s">
        <v>1171</v>
      </c>
      <c r="B1123">
        <v>9.9</v>
      </c>
      <c r="C1123">
        <v>9.2</v>
      </c>
      <c r="D1123">
        <v>9.4</v>
      </c>
      <c r="E1123">
        <v>8.5</v>
      </c>
      <c r="F1123">
        <v>8.5</v>
      </c>
      <c r="G1123">
        <v>9.4</v>
      </c>
      <c r="H1123">
        <v>7.8</v>
      </c>
      <c r="I1123">
        <v>8.3</v>
      </c>
      <c r="J1123">
        <v>7.1</v>
      </c>
      <c r="K1123">
        <v>8.5</v>
      </c>
      <c r="L1123" s="1"/>
    </row>
    <row r="1124" spans="1:12">
      <c r="A1124" t="s">
        <v>1172</v>
      </c>
      <c r="B1124">
        <v>8.7</v>
      </c>
      <c r="C1124">
        <v>8.9</v>
      </c>
      <c r="D1124">
        <v>7.8</v>
      </c>
      <c r="E1124">
        <v>8.8</v>
      </c>
      <c r="F1124">
        <v>7.5</v>
      </c>
      <c r="G1124">
        <v>6.8</v>
      </c>
      <c r="H1124">
        <v>6.7</v>
      </c>
      <c r="I1124">
        <v>7.9</v>
      </c>
      <c r="J1124">
        <v>5.5</v>
      </c>
      <c r="K1124">
        <v>7.8</v>
      </c>
      <c r="L1124" s="1"/>
    </row>
    <row r="1125" spans="1:12">
      <c r="A1125" t="s">
        <v>1173</v>
      </c>
      <c r="B1125">
        <v>9.9</v>
      </c>
      <c r="C1125">
        <v>9.9</v>
      </c>
      <c r="D1125">
        <v>9.8</v>
      </c>
      <c r="E1125">
        <v>9.4</v>
      </c>
      <c r="F1125">
        <v>9.8</v>
      </c>
      <c r="G1125">
        <v>7.3</v>
      </c>
      <c r="H1125">
        <v>6.3</v>
      </c>
      <c r="I1125">
        <v>8.1</v>
      </c>
      <c r="J1125">
        <v>7.6</v>
      </c>
      <c r="K1125">
        <v>6.1</v>
      </c>
      <c r="L1125" s="1"/>
    </row>
    <row r="1126" spans="1:12">
      <c r="A1126" t="s">
        <v>1174</v>
      </c>
      <c r="B1126">
        <v>9.2</v>
      </c>
      <c r="C1126">
        <v>8.3</v>
      </c>
      <c r="D1126">
        <v>9.3</v>
      </c>
      <c r="E1126">
        <v>9</v>
      </c>
      <c r="F1126">
        <v>7.5</v>
      </c>
      <c r="G1126">
        <v>8.4</v>
      </c>
      <c r="H1126">
        <v>6.9</v>
      </c>
      <c r="I1126">
        <v>8</v>
      </c>
      <c r="J1126">
        <v>6.5</v>
      </c>
      <c r="K1126">
        <v>9.4</v>
      </c>
      <c r="L1126" s="1"/>
    </row>
    <row r="1127" spans="1:12">
      <c r="A1127" t="s">
        <v>1175</v>
      </c>
      <c r="B1127">
        <v>9.7</v>
      </c>
      <c r="C1127">
        <v>8.2</v>
      </c>
      <c r="D1127">
        <v>8.9</v>
      </c>
      <c r="E1127">
        <v>8.9</v>
      </c>
      <c r="F1127">
        <v>9.3</v>
      </c>
      <c r="G1127">
        <v>7.3</v>
      </c>
      <c r="H1127">
        <v>7.5</v>
      </c>
      <c r="I1127">
        <v>9.4</v>
      </c>
      <c r="J1127">
        <v>6</v>
      </c>
      <c r="K1127">
        <v>6.7</v>
      </c>
      <c r="L1127" s="1"/>
    </row>
    <row r="1128" spans="1:12">
      <c r="A1128" t="s">
        <v>1176</v>
      </c>
      <c r="B1128">
        <v>9.2</v>
      </c>
      <c r="C1128">
        <v>8.4</v>
      </c>
      <c r="D1128">
        <v>8.6</v>
      </c>
      <c r="E1128">
        <v>7.9</v>
      </c>
      <c r="F1128">
        <v>8</v>
      </c>
      <c r="G1128">
        <v>8.7</v>
      </c>
      <c r="H1128">
        <v>7.5</v>
      </c>
      <c r="I1128">
        <v>7.5</v>
      </c>
      <c r="J1128">
        <v>8.8</v>
      </c>
      <c r="K1128">
        <v>6.5</v>
      </c>
      <c r="L1128" s="1"/>
    </row>
    <row r="1129" spans="1:12">
      <c r="A1129" t="s">
        <v>1177</v>
      </c>
      <c r="B1129">
        <v>9.7</v>
      </c>
      <c r="C1129">
        <v>8.6</v>
      </c>
      <c r="D1129">
        <v>8.6</v>
      </c>
      <c r="E1129">
        <v>8.2</v>
      </c>
      <c r="F1129">
        <v>9.1</v>
      </c>
      <c r="G1129">
        <v>7.6</v>
      </c>
      <c r="H1129">
        <v>7.4</v>
      </c>
      <c r="I1129">
        <v>5.9</v>
      </c>
      <c r="J1129">
        <v>9.1</v>
      </c>
      <c r="K1129">
        <v>9.4</v>
      </c>
      <c r="L1129" s="1"/>
    </row>
    <row r="1130" spans="1:12">
      <c r="A1130" t="s">
        <v>1178</v>
      </c>
      <c r="B1130">
        <v>8.3</v>
      </c>
      <c r="C1130">
        <v>8.5</v>
      </c>
      <c r="D1130">
        <v>8.6</v>
      </c>
      <c r="E1130">
        <v>8.8</v>
      </c>
      <c r="F1130">
        <v>9.2</v>
      </c>
      <c r="G1130">
        <v>8.6</v>
      </c>
      <c r="H1130">
        <v>5.5</v>
      </c>
      <c r="I1130">
        <v>8.2</v>
      </c>
      <c r="J1130">
        <v>9</v>
      </c>
      <c r="K1130">
        <v>7.2</v>
      </c>
      <c r="L1130" s="1"/>
    </row>
    <row r="1131" spans="1:12">
      <c r="A1131" t="s">
        <v>1179</v>
      </c>
      <c r="B1131">
        <v>9.5</v>
      </c>
      <c r="C1131">
        <v>9.4</v>
      </c>
      <c r="D1131">
        <v>8.7</v>
      </c>
      <c r="E1131">
        <v>7.4</v>
      </c>
      <c r="F1131">
        <v>7.1</v>
      </c>
      <c r="G1131">
        <v>7.4</v>
      </c>
      <c r="H1131">
        <v>8.3</v>
      </c>
      <c r="I1131">
        <v>9.9</v>
      </c>
      <c r="J1131">
        <v>7.4</v>
      </c>
      <c r="K1131">
        <v>5.5</v>
      </c>
      <c r="L1131" s="1"/>
    </row>
    <row r="1132" spans="1:12">
      <c r="A1132" t="s">
        <v>1180</v>
      </c>
      <c r="B1132">
        <v>9</v>
      </c>
      <c r="C1132">
        <v>9.7</v>
      </c>
      <c r="D1132">
        <v>8.2</v>
      </c>
      <c r="E1132">
        <v>8.4</v>
      </c>
      <c r="F1132">
        <v>6.8</v>
      </c>
      <c r="G1132">
        <v>8.8</v>
      </c>
      <c r="H1132">
        <v>9.1</v>
      </c>
      <c r="I1132">
        <v>8.6</v>
      </c>
      <c r="J1132">
        <v>6.8</v>
      </c>
      <c r="K1132">
        <v>4.5</v>
      </c>
      <c r="L1132" s="1"/>
    </row>
    <row r="1133" spans="1:12">
      <c r="A1133" t="s">
        <v>1181</v>
      </c>
      <c r="B1133">
        <v>9.7</v>
      </c>
      <c r="C1133">
        <v>8.8</v>
      </c>
      <c r="D1133">
        <v>8.2</v>
      </c>
      <c r="E1133">
        <v>8.6</v>
      </c>
      <c r="F1133">
        <v>8.6</v>
      </c>
      <c r="G1133">
        <v>9.3</v>
      </c>
      <c r="H1133">
        <v>8.8</v>
      </c>
      <c r="I1133">
        <v>6.2</v>
      </c>
      <c r="J1133">
        <v>6</v>
      </c>
      <c r="K1133">
        <v>7.8</v>
      </c>
      <c r="L1133" s="1"/>
    </row>
    <row r="1134" spans="1:12">
      <c r="A1134" t="s">
        <v>1182</v>
      </c>
      <c r="B1134">
        <v>8.7</v>
      </c>
      <c r="C1134">
        <v>9.3</v>
      </c>
      <c r="D1134">
        <v>9.4</v>
      </c>
      <c r="E1134">
        <v>8.8</v>
      </c>
      <c r="F1134">
        <v>8.8</v>
      </c>
      <c r="G1134">
        <v>7.4</v>
      </c>
      <c r="H1134">
        <v>7.3</v>
      </c>
      <c r="I1134">
        <v>8.1</v>
      </c>
      <c r="J1134">
        <v>8</v>
      </c>
      <c r="K1134">
        <v>5.2</v>
      </c>
      <c r="L1134" s="1"/>
    </row>
    <row r="1135" spans="1:12">
      <c r="A1135" t="s">
        <v>1183</v>
      </c>
      <c r="B1135">
        <v>9</v>
      </c>
      <c r="C1135">
        <v>8.8</v>
      </c>
      <c r="D1135">
        <v>7.7</v>
      </c>
      <c r="E1135">
        <v>7.5</v>
      </c>
      <c r="F1135">
        <v>8.9</v>
      </c>
      <c r="G1135">
        <v>9.7</v>
      </c>
      <c r="H1135">
        <v>7.3</v>
      </c>
      <c r="I1135">
        <v>7.6</v>
      </c>
      <c r="J1135">
        <v>7.1</v>
      </c>
      <c r="K1135">
        <v>6.7</v>
      </c>
      <c r="L1135" s="1"/>
    </row>
    <row r="1136" spans="1:12">
      <c r="A1136" t="s">
        <v>1184</v>
      </c>
      <c r="B1136">
        <v>8.8</v>
      </c>
      <c r="C1136">
        <v>9.1</v>
      </c>
      <c r="D1136">
        <v>9.2</v>
      </c>
      <c r="E1136">
        <v>8.7</v>
      </c>
      <c r="F1136">
        <v>7.7</v>
      </c>
      <c r="G1136">
        <v>7.2</v>
      </c>
      <c r="H1136">
        <v>8.3</v>
      </c>
      <c r="I1136">
        <v>6.1</v>
      </c>
      <c r="J1136">
        <v>7.7</v>
      </c>
      <c r="K1136">
        <v>7.6</v>
      </c>
      <c r="L1136" s="1"/>
    </row>
    <row r="1137" spans="1:12">
      <c r="A1137" t="s">
        <v>1185</v>
      </c>
      <c r="B1137">
        <v>9</v>
      </c>
      <c r="C1137">
        <v>8.2</v>
      </c>
      <c r="D1137">
        <v>8.6</v>
      </c>
      <c r="E1137">
        <v>9.1</v>
      </c>
      <c r="F1137">
        <v>7</v>
      </c>
      <c r="G1137">
        <v>8.4</v>
      </c>
      <c r="H1137">
        <v>6.8</v>
      </c>
      <c r="I1137">
        <v>9.2</v>
      </c>
      <c r="J1137">
        <v>7.9</v>
      </c>
      <c r="K1137">
        <v>8</v>
      </c>
      <c r="L1137" s="1"/>
    </row>
    <row r="1138" spans="1:12">
      <c r="A1138" t="s">
        <v>1186</v>
      </c>
      <c r="B1138">
        <v>9.1</v>
      </c>
      <c r="C1138">
        <v>8.8</v>
      </c>
      <c r="D1138">
        <v>7.9</v>
      </c>
      <c r="E1138">
        <v>8.1</v>
      </c>
      <c r="F1138">
        <v>7</v>
      </c>
      <c r="G1138">
        <v>8.7</v>
      </c>
      <c r="H1138">
        <v>6.1</v>
      </c>
      <c r="I1138">
        <v>6.9</v>
      </c>
      <c r="J1138">
        <v>6.7</v>
      </c>
      <c r="K1138">
        <v>4.3</v>
      </c>
      <c r="L1138" s="1"/>
    </row>
    <row r="1139" spans="1:12">
      <c r="A1139" t="s">
        <v>1187</v>
      </c>
      <c r="B1139">
        <v>9.4</v>
      </c>
      <c r="C1139">
        <v>8.4</v>
      </c>
      <c r="D1139">
        <v>9.9</v>
      </c>
      <c r="E1139">
        <v>8.4</v>
      </c>
      <c r="F1139">
        <v>8</v>
      </c>
      <c r="G1139">
        <v>9.2</v>
      </c>
      <c r="H1139">
        <v>8.2</v>
      </c>
      <c r="I1139">
        <v>7.3</v>
      </c>
      <c r="J1139">
        <v>9.5</v>
      </c>
      <c r="K1139">
        <v>5.3</v>
      </c>
      <c r="L1139" s="1"/>
    </row>
    <row r="1140" spans="1:12">
      <c r="A1140" t="s">
        <v>1188</v>
      </c>
      <c r="B1140">
        <v>9</v>
      </c>
      <c r="C1140">
        <v>8.4</v>
      </c>
      <c r="D1140">
        <v>9.4</v>
      </c>
      <c r="E1140">
        <v>7.2</v>
      </c>
      <c r="F1140">
        <v>9.9</v>
      </c>
      <c r="G1140">
        <v>7.5</v>
      </c>
      <c r="H1140">
        <v>8.2</v>
      </c>
      <c r="I1140">
        <v>7.6</v>
      </c>
      <c r="J1140">
        <v>9.8</v>
      </c>
      <c r="K1140">
        <v>5.8</v>
      </c>
      <c r="L1140" s="1"/>
    </row>
    <row r="1141" spans="1:12">
      <c r="A1141" t="s">
        <v>1189</v>
      </c>
      <c r="B1141">
        <v>9.3</v>
      </c>
      <c r="C1141">
        <v>9.3</v>
      </c>
      <c r="D1141">
        <v>9.3</v>
      </c>
      <c r="E1141">
        <v>9.3</v>
      </c>
      <c r="F1141">
        <v>7.7</v>
      </c>
      <c r="G1141">
        <v>7</v>
      </c>
      <c r="H1141">
        <v>5</v>
      </c>
      <c r="I1141">
        <v>6.5</v>
      </c>
      <c r="J1141">
        <v>7.1</v>
      </c>
      <c r="K1141">
        <v>7.5</v>
      </c>
      <c r="L1141" s="1"/>
    </row>
    <row r="1142" spans="1:12">
      <c r="A1142" t="s">
        <v>1190</v>
      </c>
      <c r="B1142">
        <v>9.3</v>
      </c>
      <c r="C1142">
        <v>8.4</v>
      </c>
      <c r="D1142">
        <v>8.7</v>
      </c>
      <c r="E1142">
        <v>8.6</v>
      </c>
      <c r="F1142">
        <v>7.7</v>
      </c>
      <c r="G1142">
        <v>6.8</v>
      </c>
      <c r="H1142">
        <v>7.9</v>
      </c>
      <c r="I1142">
        <v>8.5</v>
      </c>
      <c r="J1142">
        <v>7.6</v>
      </c>
      <c r="K1142">
        <v>6.6</v>
      </c>
      <c r="L1142" s="1"/>
    </row>
    <row r="1143" spans="1:12">
      <c r="A1143" t="s">
        <v>1191</v>
      </c>
      <c r="B1143">
        <v>9.9</v>
      </c>
      <c r="C1143">
        <v>9.1</v>
      </c>
      <c r="D1143">
        <v>9.4</v>
      </c>
      <c r="E1143">
        <v>7.9</v>
      </c>
      <c r="F1143">
        <v>9.8</v>
      </c>
      <c r="G1143">
        <v>7.4</v>
      </c>
      <c r="H1143">
        <v>9.9</v>
      </c>
      <c r="I1143">
        <v>6.2</v>
      </c>
      <c r="J1143">
        <v>8.5</v>
      </c>
      <c r="K1143">
        <v>7.3</v>
      </c>
      <c r="L1143" s="1"/>
    </row>
    <row r="1144" spans="1:12">
      <c r="A1144" t="s">
        <v>1192</v>
      </c>
      <c r="B1144">
        <v>9.1</v>
      </c>
      <c r="C1144">
        <v>9.6</v>
      </c>
      <c r="D1144">
        <v>9.6</v>
      </c>
      <c r="E1144">
        <v>7.8</v>
      </c>
      <c r="F1144">
        <v>8.3</v>
      </c>
      <c r="G1144">
        <v>6.7</v>
      </c>
      <c r="H1144">
        <v>6.5</v>
      </c>
      <c r="I1144">
        <v>8</v>
      </c>
      <c r="J1144">
        <v>6.4</v>
      </c>
      <c r="K1144">
        <v>8.2</v>
      </c>
      <c r="L1144" s="1"/>
    </row>
    <row r="1145" spans="1:12">
      <c r="A1145" t="s">
        <v>1193</v>
      </c>
      <c r="B1145">
        <v>7.8</v>
      </c>
      <c r="C1145">
        <v>8</v>
      </c>
      <c r="D1145">
        <v>8.4</v>
      </c>
      <c r="E1145">
        <v>7.2</v>
      </c>
      <c r="F1145">
        <v>7.9</v>
      </c>
      <c r="G1145">
        <v>7.9</v>
      </c>
      <c r="H1145">
        <v>8.1</v>
      </c>
      <c r="I1145">
        <v>7.6</v>
      </c>
      <c r="J1145">
        <v>8.1</v>
      </c>
      <c r="K1145">
        <v>8.1</v>
      </c>
      <c r="L1145" s="1"/>
    </row>
    <row r="1146" spans="1:12">
      <c r="A1146" t="s">
        <v>1194</v>
      </c>
      <c r="B1146">
        <v>8.3</v>
      </c>
      <c r="C1146">
        <v>9.4</v>
      </c>
      <c r="D1146">
        <v>9.7</v>
      </c>
      <c r="E1146">
        <v>8.2</v>
      </c>
      <c r="F1146">
        <v>7.4</v>
      </c>
      <c r="G1146">
        <v>7.5</v>
      </c>
      <c r="H1146">
        <v>7.7</v>
      </c>
      <c r="I1146">
        <v>7.1</v>
      </c>
      <c r="J1146">
        <v>7.8</v>
      </c>
      <c r="K1146">
        <v>5.6</v>
      </c>
      <c r="L1146" s="1"/>
    </row>
    <row r="1147" spans="1:12">
      <c r="A1147" t="s">
        <v>1195</v>
      </c>
      <c r="B1147">
        <v>8.1</v>
      </c>
      <c r="C1147">
        <v>9.5</v>
      </c>
      <c r="D1147">
        <v>8.2</v>
      </c>
      <c r="E1147">
        <v>7.2</v>
      </c>
      <c r="F1147">
        <v>8</v>
      </c>
      <c r="G1147">
        <v>6.9</v>
      </c>
      <c r="H1147">
        <v>6.3</v>
      </c>
      <c r="I1147">
        <v>8.5</v>
      </c>
      <c r="J1147">
        <v>7.2</v>
      </c>
      <c r="K1147">
        <v>5.5</v>
      </c>
      <c r="L1147" s="1"/>
    </row>
    <row r="1148" spans="1:12">
      <c r="A1148" t="s">
        <v>1196</v>
      </c>
      <c r="B1148">
        <v>9.4</v>
      </c>
      <c r="C1148">
        <v>7.6</v>
      </c>
      <c r="D1148">
        <v>9</v>
      </c>
      <c r="E1148">
        <v>7.9</v>
      </c>
      <c r="F1148">
        <v>8.9</v>
      </c>
      <c r="G1148">
        <v>7.9</v>
      </c>
      <c r="H1148">
        <v>7</v>
      </c>
      <c r="I1148">
        <v>7.2</v>
      </c>
      <c r="J1148">
        <v>6.4</v>
      </c>
      <c r="K1148">
        <v>7.5</v>
      </c>
      <c r="L1148" s="1"/>
    </row>
    <row r="1149" spans="1:12">
      <c r="A1149" t="s">
        <v>1197</v>
      </c>
      <c r="B1149">
        <v>8.9</v>
      </c>
      <c r="C1149">
        <v>7.6</v>
      </c>
      <c r="D1149">
        <v>7</v>
      </c>
      <c r="E1149">
        <v>7.5</v>
      </c>
      <c r="F1149">
        <v>6.9</v>
      </c>
      <c r="G1149">
        <v>6.8</v>
      </c>
      <c r="H1149">
        <v>8.3</v>
      </c>
      <c r="I1149">
        <v>6.3</v>
      </c>
      <c r="J1149">
        <v>7.1</v>
      </c>
      <c r="K1149">
        <v>7.8</v>
      </c>
      <c r="L1149" s="1"/>
    </row>
    <row r="1150" spans="1:12">
      <c r="A1150" t="s">
        <v>1198</v>
      </c>
      <c r="B1150">
        <v>7.8</v>
      </c>
      <c r="C1150">
        <v>8.3</v>
      </c>
      <c r="D1150">
        <v>8.1</v>
      </c>
      <c r="E1150">
        <v>8.4</v>
      </c>
      <c r="F1150">
        <v>6.8</v>
      </c>
      <c r="G1150">
        <v>7.6</v>
      </c>
      <c r="H1150">
        <v>6.7</v>
      </c>
      <c r="I1150">
        <v>6.8</v>
      </c>
      <c r="J1150">
        <v>7.4</v>
      </c>
      <c r="K1150">
        <v>7.3</v>
      </c>
      <c r="L1150" s="1"/>
    </row>
    <row r="1151" spans="1:12">
      <c r="A1151" t="s">
        <v>1199</v>
      </c>
      <c r="B1151">
        <v>8.4</v>
      </c>
      <c r="C1151">
        <v>6.5</v>
      </c>
      <c r="D1151">
        <v>8.3</v>
      </c>
      <c r="E1151">
        <v>8.2</v>
      </c>
      <c r="F1151">
        <v>8.3</v>
      </c>
      <c r="G1151">
        <v>8.4</v>
      </c>
      <c r="H1151">
        <v>6.7</v>
      </c>
      <c r="I1151">
        <v>8.3</v>
      </c>
      <c r="J1151">
        <v>5.9</v>
      </c>
      <c r="K1151">
        <v>6.1</v>
      </c>
      <c r="L1151" s="1"/>
    </row>
    <row r="1152" spans="1:12">
      <c r="A1152" t="s">
        <v>1200</v>
      </c>
      <c r="B1152">
        <v>7.9</v>
      </c>
      <c r="C1152">
        <v>7.9</v>
      </c>
      <c r="D1152">
        <v>7.8</v>
      </c>
      <c r="E1152">
        <v>7.3</v>
      </c>
      <c r="F1152">
        <v>7.1</v>
      </c>
      <c r="G1152">
        <v>8.5</v>
      </c>
      <c r="H1152">
        <v>6</v>
      </c>
      <c r="I1152">
        <v>8.1</v>
      </c>
      <c r="J1152">
        <v>7.6</v>
      </c>
      <c r="K1152">
        <v>4.8</v>
      </c>
      <c r="L1152" s="1"/>
    </row>
    <row r="1153" spans="1:12">
      <c r="A1153" t="s">
        <v>1201</v>
      </c>
      <c r="B1153">
        <v>7.8</v>
      </c>
      <c r="C1153">
        <v>8.6</v>
      </c>
      <c r="D1153">
        <v>8.4</v>
      </c>
      <c r="E1153">
        <v>7.4</v>
      </c>
      <c r="F1153">
        <v>8.4</v>
      </c>
      <c r="G1153">
        <v>7.3</v>
      </c>
      <c r="H1153">
        <v>8</v>
      </c>
      <c r="I1153">
        <v>7.9</v>
      </c>
      <c r="J1153">
        <v>6.2</v>
      </c>
      <c r="K1153">
        <v>6.9</v>
      </c>
      <c r="L1153" s="1"/>
    </row>
    <row r="1154" spans="1:12">
      <c r="A1154" t="s">
        <v>1202</v>
      </c>
      <c r="B1154">
        <v>8</v>
      </c>
      <c r="C1154">
        <v>9.4</v>
      </c>
      <c r="D1154">
        <v>8.1</v>
      </c>
      <c r="E1154">
        <v>8.2</v>
      </c>
      <c r="F1154">
        <v>7.6</v>
      </c>
      <c r="G1154">
        <v>8.1</v>
      </c>
      <c r="H1154">
        <v>7</v>
      </c>
      <c r="I1154">
        <v>6.9</v>
      </c>
      <c r="J1154">
        <v>5.8</v>
      </c>
      <c r="K1154">
        <v>8.4</v>
      </c>
      <c r="L1154" s="1"/>
    </row>
    <row r="1155" spans="1:12">
      <c r="A1155" t="s">
        <v>1203</v>
      </c>
      <c r="B1155">
        <v>8.2</v>
      </c>
      <c r="C1155">
        <v>8.9</v>
      </c>
      <c r="D1155">
        <v>8.8</v>
      </c>
      <c r="E1155">
        <v>8</v>
      </c>
      <c r="F1155">
        <v>6.9</v>
      </c>
      <c r="G1155">
        <v>6.6</v>
      </c>
      <c r="H1155">
        <v>7.8</v>
      </c>
      <c r="I1155">
        <v>7.8</v>
      </c>
      <c r="J1155">
        <v>6.9</v>
      </c>
      <c r="K1155">
        <v>6.5</v>
      </c>
      <c r="L1155" s="1"/>
    </row>
    <row r="1156" spans="1:12">
      <c r="A1156" t="s">
        <v>1204</v>
      </c>
      <c r="B1156">
        <v>8.3</v>
      </c>
      <c r="C1156">
        <v>8</v>
      </c>
      <c r="D1156">
        <v>7.8</v>
      </c>
      <c r="E1156">
        <v>7.9</v>
      </c>
      <c r="F1156">
        <v>8.1</v>
      </c>
      <c r="G1156">
        <v>7.4</v>
      </c>
      <c r="H1156">
        <v>7.5</v>
      </c>
      <c r="I1156">
        <v>7.2</v>
      </c>
      <c r="J1156">
        <v>7.2</v>
      </c>
      <c r="K1156">
        <v>7.7</v>
      </c>
      <c r="L1156" s="1"/>
    </row>
    <row r="1157" spans="1:12">
      <c r="A1157" t="s">
        <v>1205</v>
      </c>
      <c r="B1157">
        <v>8.2</v>
      </c>
      <c r="C1157">
        <v>8</v>
      </c>
      <c r="D1157">
        <v>8.3</v>
      </c>
      <c r="E1157">
        <v>8.2</v>
      </c>
      <c r="F1157">
        <v>7.7</v>
      </c>
      <c r="G1157">
        <v>7.5</v>
      </c>
      <c r="H1157">
        <v>7.2</v>
      </c>
      <c r="I1157">
        <v>8.4</v>
      </c>
      <c r="J1157">
        <v>7.7</v>
      </c>
      <c r="K1157">
        <v>6.2</v>
      </c>
      <c r="L1157" s="1"/>
    </row>
    <row r="1158" spans="1:12">
      <c r="A1158" t="s">
        <v>1206</v>
      </c>
      <c r="B1158">
        <v>8.2</v>
      </c>
      <c r="C1158">
        <v>8.9</v>
      </c>
      <c r="D1158">
        <v>7.9</v>
      </c>
      <c r="E1158">
        <v>7.3</v>
      </c>
      <c r="F1158">
        <v>7.3</v>
      </c>
      <c r="G1158">
        <v>8.7</v>
      </c>
      <c r="H1158">
        <v>5.9</v>
      </c>
      <c r="I1158">
        <v>8.3</v>
      </c>
      <c r="J1158">
        <v>6.2</v>
      </c>
      <c r="K1158">
        <v>8</v>
      </c>
      <c r="L1158" s="1"/>
    </row>
    <row r="1159" spans="1:12">
      <c r="A1159" t="s">
        <v>1207</v>
      </c>
      <c r="B1159">
        <v>8.7</v>
      </c>
      <c r="C1159">
        <v>8.6</v>
      </c>
      <c r="D1159">
        <v>8.4</v>
      </c>
      <c r="E1159">
        <v>8.4</v>
      </c>
      <c r="F1159">
        <v>7.9</v>
      </c>
      <c r="G1159">
        <v>7.3</v>
      </c>
      <c r="H1159">
        <v>6.1</v>
      </c>
      <c r="I1159">
        <v>7.4</v>
      </c>
      <c r="J1159">
        <v>8.7</v>
      </c>
      <c r="K1159">
        <v>5.1</v>
      </c>
      <c r="L1159" s="1"/>
    </row>
    <row r="1160" spans="1:12">
      <c r="A1160" t="s">
        <v>1208</v>
      </c>
      <c r="B1160">
        <v>9.3</v>
      </c>
      <c r="C1160">
        <v>7.8</v>
      </c>
      <c r="D1160">
        <v>8.4</v>
      </c>
      <c r="E1160">
        <v>8.2</v>
      </c>
      <c r="F1160">
        <v>8.7</v>
      </c>
      <c r="G1160">
        <v>7.1</v>
      </c>
      <c r="H1160">
        <v>9.6</v>
      </c>
      <c r="I1160">
        <v>9</v>
      </c>
      <c r="J1160">
        <v>7.5</v>
      </c>
      <c r="K1160">
        <v>8.6</v>
      </c>
      <c r="L1160" s="1"/>
    </row>
    <row r="1161" spans="1:12">
      <c r="A1161" t="s">
        <v>1209</v>
      </c>
      <c r="B1161">
        <v>8.4</v>
      </c>
      <c r="C1161">
        <v>8.6</v>
      </c>
      <c r="D1161">
        <v>8.2</v>
      </c>
      <c r="E1161">
        <v>7.6</v>
      </c>
      <c r="F1161">
        <v>9.1</v>
      </c>
      <c r="G1161">
        <v>7.6</v>
      </c>
      <c r="H1161">
        <v>6.7</v>
      </c>
      <c r="I1161">
        <v>6.6</v>
      </c>
      <c r="J1161">
        <v>7.4</v>
      </c>
      <c r="K1161">
        <v>6.3</v>
      </c>
      <c r="L1161" s="1"/>
    </row>
    <row r="1162" spans="1:12">
      <c r="A1162" t="s">
        <v>1210</v>
      </c>
      <c r="B1162">
        <v>9.9</v>
      </c>
      <c r="C1162">
        <v>8.6</v>
      </c>
      <c r="D1162">
        <v>8</v>
      </c>
      <c r="E1162">
        <v>7.9</v>
      </c>
      <c r="F1162">
        <v>6.6</v>
      </c>
      <c r="G1162">
        <v>6.5</v>
      </c>
      <c r="H1162">
        <v>5.8</v>
      </c>
      <c r="I1162">
        <v>7</v>
      </c>
      <c r="J1162">
        <v>6.9</v>
      </c>
      <c r="K1162">
        <v>5.4</v>
      </c>
      <c r="L1162" s="1"/>
    </row>
    <row r="1163" spans="1:12">
      <c r="A1163" t="s">
        <v>1211</v>
      </c>
      <c r="B1163">
        <v>9.4</v>
      </c>
      <c r="C1163">
        <v>9.2</v>
      </c>
      <c r="D1163">
        <v>9.4</v>
      </c>
      <c r="E1163">
        <v>7.8</v>
      </c>
      <c r="F1163">
        <v>8.2</v>
      </c>
      <c r="G1163">
        <v>7.1</v>
      </c>
      <c r="H1163">
        <v>7.3</v>
      </c>
      <c r="I1163">
        <v>7.4</v>
      </c>
      <c r="J1163">
        <v>8.2</v>
      </c>
      <c r="K1163">
        <v>7.7</v>
      </c>
      <c r="L1163" s="1"/>
    </row>
    <row r="1164" spans="1:12">
      <c r="A1164" t="s">
        <v>1212</v>
      </c>
      <c r="B1164">
        <v>8.9</v>
      </c>
      <c r="C1164">
        <v>9.3</v>
      </c>
      <c r="D1164">
        <v>7.2</v>
      </c>
      <c r="E1164">
        <v>7.8</v>
      </c>
      <c r="F1164">
        <v>8.8</v>
      </c>
      <c r="G1164">
        <v>7.7</v>
      </c>
      <c r="H1164">
        <v>6.8</v>
      </c>
      <c r="I1164">
        <v>7</v>
      </c>
      <c r="J1164">
        <v>8.1</v>
      </c>
      <c r="K1164">
        <v>7.2</v>
      </c>
      <c r="L1164" s="1"/>
    </row>
    <row r="1165" spans="1:12">
      <c r="A1165" t="s">
        <v>1213</v>
      </c>
      <c r="B1165">
        <v>8.5</v>
      </c>
      <c r="C1165">
        <v>8.7</v>
      </c>
      <c r="D1165">
        <v>8.1</v>
      </c>
      <c r="E1165">
        <v>8.8</v>
      </c>
      <c r="F1165">
        <v>8.4</v>
      </c>
      <c r="G1165">
        <v>8.4</v>
      </c>
      <c r="H1165">
        <v>7.3</v>
      </c>
      <c r="I1165">
        <v>8</v>
      </c>
      <c r="J1165">
        <v>6.2</v>
      </c>
      <c r="K1165">
        <v>8.3</v>
      </c>
      <c r="L1165" s="1"/>
    </row>
    <row r="1166" spans="1:12">
      <c r="A1166" t="s">
        <v>1214</v>
      </c>
      <c r="B1166">
        <v>8.8</v>
      </c>
      <c r="C1166">
        <v>8.1</v>
      </c>
      <c r="D1166">
        <v>8.8</v>
      </c>
      <c r="E1166">
        <v>8.7</v>
      </c>
      <c r="F1166">
        <v>7.1</v>
      </c>
      <c r="G1166">
        <v>8.6</v>
      </c>
      <c r="H1166">
        <v>7.2</v>
      </c>
      <c r="I1166">
        <v>7.9</v>
      </c>
      <c r="J1166">
        <v>6.2</v>
      </c>
      <c r="K1166">
        <v>4.1</v>
      </c>
      <c r="L1166" s="1"/>
    </row>
    <row r="1167" spans="1:12">
      <c r="A1167" t="s">
        <v>1215</v>
      </c>
      <c r="B1167">
        <v>8.1</v>
      </c>
      <c r="C1167">
        <v>7.8</v>
      </c>
      <c r="D1167">
        <v>8.2</v>
      </c>
      <c r="E1167">
        <v>7.8</v>
      </c>
      <c r="F1167">
        <v>7.7</v>
      </c>
      <c r="G1167">
        <v>7.2</v>
      </c>
      <c r="H1167">
        <v>6.6</v>
      </c>
      <c r="I1167">
        <v>6</v>
      </c>
      <c r="J1167">
        <v>6.1</v>
      </c>
      <c r="K1167">
        <v>6.9</v>
      </c>
      <c r="L1167" s="1"/>
    </row>
    <row r="1168" spans="1:12">
      <c r="A1168" t="s">
        <v>1216</v>
      </c>
      <c r="B1168">
        <v>8.9</v>
      </c>
      <c r="C1168">
        <v>7.1</v>
      </c>
      <c r="D1168">
        <v>8.4</v>
      </c>
      <c r="E1168">
        <v>8.4</v>
      </c>
      <c r="F1168">
        <v>7.3</v>
      </c>
      <c r="G1168">
        <v>8.6</v>
      </c>
      <c r="H1168">
        <v>8.8</v>
      </c>
      <c r="I1168">
        <v>7.5</v>
      </c>
      <c r="J1168">
        <v>6.4</v>
      </c>
      <c r="K1168">
        <v>5.5</v>
      </c>
      <c r="L1168" s="1"/>
    </row>
    <row r="1169" spans="1:12">
      <c r="A1169" t="s">
        <v>1217</v>
      </c>
      <c r="B1169">
        <v>8.6</v>
      </c>
      <c r="C1169">
        <v>8.7</v>
      </c>
      <c r="D1169">
        <v>7.5</v>
      </c>
      <c r="E1169">
        <v>8</v>
      </c>
      <c r="F1169">
        <v>8</v>
      </c>
      <c r="G1169">
        <v>6.4</v>
      </c>
      <c r="H1169">
        <v>8.4</v>
      </c>
      <c r="I1169">
        <v>6.5</v>
      </c>
      <c r="J1169">
        <v>7.8</v>
      </c>
      <c r="K1169">
        <v>5</v>
      </c>
      <c r="L1169" s="1"/>
    </row>
    <row r="1170" spans="1:12">
      <c r="A1170" t="s">
        <v>1218</v>
      </c>
      <c r="B1170">
        <v>8.6</v>
      </c>
      <c r="C1170">
        <v>8.5</v>
      </c>
      <c r="D1170">
        <v>7.4</v>
      </c>
      <c r="E1170">
        <v>7.5</v>
      </c>
      <c r="F1170">
        <v>6.9</v>
      </c>
      <c r="G1170">
        <v>9.1</v>
      </c>
      <c r="H1170">
        <v>5.7</v>
      </c>
      <c r="I1170">
        <v>7.9</v>
      </c>
      <c r="J1170">
        <v>8.3</v>
      </c>
      <c r="K1170">
        <v>5.1</v>
      </c>
      <c r="L1170" s="1"/>
    </row>
    <row r="1171" spans="1:12">
      <c r="A1171" t="s">
        <v>1219</v>
      </c>
      <c r="B1171">
        <v>9.3</v>
      </c>
      <c r="C1171">
        <v>7.5</v>
      </c>
      <c r="D1171">
        <v>8.1</v>
      </c>
      <c r="E1171">
        <v>7</v>
      </c>
      <c r="F1171">
        <v>6.5</v>
      </c>
      <c r="G1171">
        <v>7.9</v>
      </c>
      <c r="H1171">
        <v>7.1</v>
      </c>
      <c r="I1171">
        <v>7.2</v>
      </c>
      <c r="J1171">
        <v>4</v>
      </c>
      <c r="K1171">
        <v>7.1</v>
      </c>
      <c r="L1171" s="1"/>
    </row>
    <row r="1172" spans="1:12">
      <c r="A1172" t="s">
        <v>1220</v>
      </c>
      <c r="B1172">
        <v>8</v>
      </c>
      <c r="C1172">
        <v>8.6</v>
      </c>
      <c r="D1172">
        <v>8.7</v>
      </c>
      <c r="E1172">
        <v>7.9</v>
      </c>
      <c r="F1172">
        <v>6.7</v>
      </c>
      <c r="G1172">
        <v>8.5</v>
      </c>
      <c r="H1172">
        <v>6.7</v>
      </c>
      <c r="I1172">
        <v>6.9</v>
      </c>
      <c r="J1172">
        <v>8.5</v>
      </c>
      <c r="K1172">
        <v>5.1</v>
      </c>
      <c r="L1172" s="1"/>
    </row>
    <row r="1173" spans="1:12">
      <c r="A1173" t="s">
        <v>1221</v>
      </c>
      <c r="B1173">
        <v>9.1</v>
      </c>
      <c r="C1173">
        <v>7.6</v>
      </c>
      <c r="D1173">
        <v>7.8</v>
      </c>
      <c r="E1173">
        <v>7.9</v>
      </c>
      <c r="F1173">
        <v>6.5</v>
      </c>
      <c r="G1173">
        <v>7</v>
      </c>
      <c r="H1173">
        <v>7.4</v>
      </c>
      <c r="I1173">
        <v>7.3</v>
      </c>
      <c r="J1173">
        <v>7.5</v>
      </c>
      <c r="K1173">
        <v>6.3</v>
      </c>
      <c r="L1173" s="1"/>
    </row>
    <row r="1174" spans="1:12">
      <c r="A1174" t="s">
        <v>1222</v>
      </c>
      <c r="B1174">
        <v>9.3</v>
      </c>
      <c r="C1174">
        <v>8.8</v>
      </c>
      <c r="D1174">
        <v>7.9</v>
      </c>
      <c r="E1174">
        <v>7</v>
      </c>
      <c r="F1174">
        <v>8.8</v>
      </c>
      <c r="G1174">
        <v>7</v>
      </c>
      <c r="H1174">
        <v>7.8</v>
      </c>
      <c r="I1174">
        <v>7.9</v>
      </c>
      <c r="J1174">
        <v>5.8</v>
      </c>
      <c r="K1174">
        <v>6.8</v>
      </c>
      <c r="L1174" s="1"/>
    </row>
    <row r="1175" spans="1:12">
      <c r="A1175" t="s">
        <v>1223</v>
      </c>
      <c r="B1175">
        <v>7.9</v>
      </c>
      <c r="C1175">
        <v>7.9</v>
      </c>
      <c r="D1175">
        <v>7.9</v>
      </c>
      <c r="E1175">
        <v>8.2</v>
      </c>
      <c r="F1175">
        <v>7.7</v>
      </c>
      <c r="G1175">
        <v>7.2</v>
      </c>
      <c r="H1175">
        <v>7.6</v>
      </c>
      <c r="I1175">
        <v>6.9</v>
      </c>
      <c r="J1175">
        <v>4.9</v>
      </c>
      <c r="K1175">
        <v>6.3</v>
      </c>
      <c r="L1175" s="1"/>
    </row>
    <row r="1176" spans="1:12">
      <c r="A1176" t="s">
        <v>1224</v>
      </c>
      <c r="B1176">
        <v>8.6</v>
      </c>
      <c r="C1176">
        <v>8.1</v>
      </c>
      <c r="D1176">
        <v>9.5</v>
      </c>
      <c r="E1176">
        <v>8.6</v>
      </c>
      <c r="F1176">
        <v>7.6</v>
      </c>
      <c r="G1176">
        <v>8.4</v>
      </c>
      <c r="H1176">
        <v>9.2</v>
      </c>
      <c r="I1176">
        <v>5.9</v>
      </c>
      <c r="J1176">
        <v>6.9</v>
      </c>
      <c r="K1176">
        <v>6.8</v>
      </c>
      <c r="L1176" s="1"/>
    </row>
    <row r="1177" spans="1:12">
      <c r="A1177" t="s">
        <v>1225</v>
      </c>
      <c r="B1177">
        <v>9.1</v>
      </c>
      <c r="C1177">
        <v>9.1</v>
      </c>
      <c r="D1177">
        <v>7.8</v>
      </c>
      <c r="E1177">
        <v>8.4</v>
      </c>
      <c r="F1177">
        <v>8.1</v>
      </c>
      <c r="G1177">
        <v>6.1</v>
      </c>
      <c r="H1177">
        <v>7.5</v>
      </c>
      <c r="I1177">
        <v>6.6</v>
      </c>
      <c r="J1177">
        <v>7.3</v>
      </c>
      <c r="K1177">
        <v>6</v>
      </c>
      <c r="L1177" s="1"/>
    </row>
    <row r="1178" spans="1:12">
      <c r="A1178" t="s">
        <v>1226</v>
      </c>
      <c r="B1178">
        <v>8.1</v>
      </c>
      <c r="C1178">
        <v>7.8</v>
      </c>
      <c r="D1178">
        <v>6.8</v>
      </c>
      <c r="E1178">
        <v>6.5</v>
      </c>
      <c r="F1178">
        <v>9.4</v>
      </c>
      <c r="G1178">
        <v>8.4</v>
      </c>
      <c r="H1178">
        <v>5.5</v>
      </c>
      <c r="I1178">
        <v>7.2</v>
      </c>
      <c r="J1178">
        <v>7.2</v>
      </c>
      <c r="K1178">
        <v>8</v>
      </c>
      <c r="L1178" s="1"/>
    </row>
    <row r="1179" spans="1:12">
      <c r="A1179" t="s">
        <v>1227</v>
      </c>
      <c r="B1179">
        <v>8.1</v>
      </c>
      <c r="C1179">
        <v>8.3</v>
      </c>
      <c r="D1179">
        <v>6.6</v>
      </c>
      <c r="E1179">
        <v>6.9</v>
      </c>
      <c r="F1179">
        <v>7.2</v>
      </c>
      <c r="G1179">
        <v>7.5</v>
      </c>
      <c r="H1179">
        <v>8.5</v>
      </c>
      <c r="I1179">
        <v>7.4</v>
      </c>
      <c r="J1179">
        <v>6.4</v>
      </c>
      <c r="K1179">
        <v>8.5</v>
      </c>
      <c r="L1179" s="1"/>
    </row>
    <row r="1180" spans="1:12">
      <c r="A1180" t="s">
        <v>1228</v>
      </c>
      <c r="B1180">
        <v>7.9</v>
      </c>
      <c r="C1180">
        <v>8.5</v>
      </c>
      <c r="D1180">
        <v>7.4</v>
      </c>
      <c r="E1180">
        <v>7.2</v>
      </c>
      <c r="F1180">
        <v>8.5</v>
      </c>
      <c r="G1180">
        <v>7.3</v>
      </c>
      <c r="H1180">
        <v>8.7</v>
      </c>
      <c r="I1180">
        <v>6.9</v>
      </c>
      <c r="J1180">
        <v>7.6</v>
      </c>
      <c r="K1180">
        <v>6.7</v>
      </c>
      <c r="L1180" s="1"/>
    </row>
    <row r="1181" spans="1:12">
      <c r="A1181" t="s">
        <v>1229</v>
      </c>
      <c r="B1181">
        <v>8.7</v>
      </c>
      <c r="C1181">
        <v>8.3</v>
      </c>
      <c r="D1181">
        <v>7.5</v>
      </c>
      <c r="E1181">
        <v>9.2</v>
      </c>
      <c r="F1181">
        <v>7.4</v>
      </c>
      <c r="G1181">
        <v>6.8</v>
      </c>
      <c r="H1181">
        <v>6.2</v>
      </c>
      <c r="I1181">
        <v>6</v>
      </c>
      <c r="J1181">
        <v>5.4</v>
      </c>
      <c r="K1181">
        <v>7.9</v>
      </c>
      <c r="L1181" s="1"/>
    </row>
    <row r="1182" spans="1:12">
      <c r="A1182" t="s">
        <v>1230</v>
      </c>
      <c r="B1182">
        <v>7.9</v>
      </c>
      <c r="C1182">
        <v>8.7</v>
      </c>
      <c r="D1182">
        <v>8.2</v>
      </c>
      <c r="E1182">
        <v>7.5</v>
      </c>
      <c r="F1182">
        <v>7.8</v>
      </c>
      <c r="G1182">
        <v>8.1</v>
      </c>
      <c r="H1182">
        <v>7.2</v>
      </c>
      <c r="I1182">
        <v>7.8</v>
      </c>
      <c r="J1182">
        <v>7.2</v>
      </c>
      <c r="K1182">
        <v>4</v>
      </c>
      <c r="L1182" s="1"/>
    </row>
    <row r="1183" spans="1:12">
      <c r="A1183" t="s">
        <v>1231</v>
      </c>
      <c r="B1183">
        <v>8.2</v>
      </c>
      <c r="C1183">
        <v>8</v>
      </c>
      <c r="D1183">
        <v>7.7</v>
      </c>
      <c r="E1183">
        <v>9.1</v>
      </c>
      <c r="F1183">
        <v>8.1</v>
      </c>
      <c r="G1183">
        <v>8.8</v>
      </c>
      <c r="H1183">
        <v>7.3</v>
      </c>
      <c r="I1183">
        <v>8.6</v>
      </c>
      <c r="J1183">
        <v>7.3</v>
      </c>
      <c r="K1183">
        <v>3.9</v>
      </c>
      <c r="L1183" s="1"/>
    </row>
    <row r="1184" spans="1:12">
      <c r="A1184" t="s">
        <v>1232</v>
      </c>
      <c r="B1184">
        <v>8.6</v>
      </c>
      <c r="C1184">
        <v>7.1</v>
      </c>
      <c r="D1184">
        <v>8.2</v>
      </c>
      <c r="E1184">
        <v>7.1</v>
      </c>
      <c r="F1184">
        <v>7.1</v>
      </c>
      <c r="G1184">
        <v>8.6</v>
      </c>
      <c r="H1184">
        <v>7.3</v>
      </c>
      <c r="I1184">
        <v>6</v>
      </c>
      <c r="J1184">
        <v>7</v>
      </c>
      <c r="K1184">
        <v>5.2</v>
      </c>
      <c r="L1184" s="1"/>
    </row>
    <row r="1185" spans="1:12">
      <c r="A1185" t="s">
        <v>1233</v>
      </c>
      <c r="B1185">
        <v>8.1</v>
      </c>
      <c r="C1185">
        <v>8.8</v>
      </c>
      <c r="D1185">
        <v>7.6</v>
      </c>
      <c r="E1185">
        <v>8.3</v>
      </c>
      <c r="F1185">
        <v>7.6</v>
      </c>
      <c r="G1185">
        <v>7</v>
      </c>
      <c r="H1185">
        <v>6.6</v>
      </c>
      <c r="I1185">
        <v>6.6</v>
      </c>
      <c r="J1185">
        <v>8</v>
      </c>
      <c r="K1185">
        <v>6.7</v>
      </c>
      <c r="L1185" s="1"/>
    </row>
    <row r="1186" spans="1:12">
      <c r="A1186" t="s">
        <v>1234</v>
      </c>
      <c r="B1186">
        <v>8.6</v>
      </c>
      <c r="C1186">
        <v>7.2</v>
      </c>
      <c r="D1186">
        <v>8.8</v>
      </c>
      <c r="E1186">
        <v>7.9</v>
      </c>
      <c r="F1186">
        <v>7.8</v>
      </c>
      <c r="G1186">
        <v>8</v>
      </c>
      <c r="H1186">
        <v>9</v>
      </c>
      <c r="I1186">
        <v>6.5</v>
      </c>
      <c r="J1186">
        <v>6.7</v>
      </c>
      <c r="K1186">
        <v>4.9</v>
      </c>
      <c r="L1186" s="1"/>
    </row>
    <row r="1187" spans="1:12">
      <c r="A1187" t="s">
        <v>1235</v>
      </c>
      <c r="B1187">
        <v>7.8</v>
      </c>
      <c r="C1187">
        <v>8.2</v>
      </c>
      <c r="D1187">
        <v>7.9</v>
      </c>
      <c r="E1187">
        <v>8.7</v>
      </c>
      <c r="F1187">
        <v>7.5</v>
      </c>
      <c r="G1187">
        <v>7.6</v>
      </c>
      <c r="H1187">
        <v>6.9</v>
      </c>
      <c r="I1187">
        <v>7.4</v>
      </c>
      <c r="J1187">
        <v>8.2</v>
      </c>
      <c r="K1187">
        <v>5.9</v>
      </c>
      <c r="L1187" s="1"/>
    </row>
    <row r="1188" spans="1:12">
      <c r="A1188" t="s">
        <v>1236</v>
      </c>
      <c r="B1188">
        <v>8.6</v>
      </c>
      <c r="C1188">
        <v>7.8</v>
      </c>
      <c r="D1188">
        <v>8.1</v>
      </c>
      <c r="E1188">
        <v>8.6</v>
      </c>
      <c r="F1188">
        <v>7.7</v>
      </c>
      <c r="G1188">
        <v>7.6</v>
      </c>
      <c r="H1188">
        <v>6.9</v>
      </c>
      <c r="I1188">
        <v>7.6</v>
      </c>
      <c r="J1188">
        <v>7.4</v>
      </c>
      <c r="K1188">
        <v>7.6</v>
      </c>
      <c r="L1188" s="1"/>
    </row>
    <row r="1189" spans="1:12">
      <c r="A1189" t="s">
        <v>1237</v>
      </c>
      <c r="B1189">
        <v>8</v>
      </c>
      <c r="C1189">
        <v>8.4</v>
      </c>
      <c r="D1189">
        <v>8</v>
      </c>
      <c r="E1189">
        <v>9.4</v>
      </c>
      <c r="F1189">
        <v>8.3</v>
      </c>
      <c r="G1189">
        <v>7.2</v>
      </c>
      <c r="H1189">
        <v>7.5</v>
      </c>
      <c r="I1189">
        <v>6.7</v>
      </c>
      <c r="J1189">
        <v>7.2</v>
      </c>
      <c r="K1189">
        <v>6.9</v>
      </c>
      <c r="L1189" s="1"/>
    </row>
    <row r="1190" spans="1:12">
      <c r="A1190" t="s">
        <v>1238</v>
      </c>
      <c r="B1190">
        <v>9</v>
      </c>
      <c r="C1190">
        <v>9.7</v>
      </c>
      <c r="D1190">
        <v>7</v>
      </c>
      <c r="E1190">
        <v>7.3</v>
      </c>
      <c r="F1190">
        <v>8.2</v>
      </c>
      <c r="G1190">
        <v>8.1</v>
      </c>
      <c r="H1190">
        <v>6.4</v>
      </c>
      <c r="I1190">
        <v>6.1</v>
      </c>
      <c r="J1190">
        <v>4.6</v>
      </c>
      <c r="K1190">
        <v>8.2</v>
      </c>
      <c r="L1190" s="1"/>
    </row>
    <row r="1191" spans="1:12">
      <c r="A1191" t="s">
        <v>1239</v>
      </c>
      <c r="B1191">
        <v>8.4</v>
      </c>
      <c r="C1191">
        <v>7.9</v>
      </c>
      <c r="D1191">
        <v>8.5</v>
      </c>
      <c r="E1191">
        <v>8.2</v>
      </c>
      <c r="F1191">
        <v>7.2</v>
      </c>
      <c r="G1191">
        <v>7.2</v>
      </c>
      <c r="H1191">
        <v>5.5</v>
      </c>
      <c r="I1191">
        <v>8.6</v>
      </c>
      <c r="J1191">
        <v>5.9</v>
      </c>
      <c r="K1191">
        <v>7.2</v>
      </c>
      <c r="L1191" s="1"/>
    </row>
    <row r="1192" spans="1:12">
      <c r="A1192" t="s">
        <v>1240</v>
      </c>
      <c r="B1192">
        <v>7.5</v>
      </c>
      <c r="C1192">
        <v>7.8</v>
      </c>
      <c r="D1192">
        <v>8.2</v>
      </c>
      <c r="E1192">
        <v>8</v>
      </c>
      <c r="F1192">
        <v>7</v>
      </c>
      <c r="G1192">
        <v>6.8</v>
      </c>
      <c r="H1192">
        <v>7.8</v>
      </c>
      <c r="I1192">
        <v>7.5</v>
      </c>
      <c r="J1192">
        <v>5.2</v>
      </c>
      <c r="K1192">
        <v>4.8</v>
      </c>
      <c r="L1192" s="1"/>
    </row>
    <row r="1193" spans="1:12">
      <c r="A1193" t="s">
        <v>1241</v>
      </c>
      <c r="B1193">
        <v>8.4</v>
      </c>
      <c r="C1193">
        <v>9.1</v>
      </c>
      <c r="D1193">
        <v>8.6</v>
      </c>
      <c r="E1193">
        <v>8.4</v>
      </c>
      <c r="F1193">
        <v>7.5</v>
      </c>
      <c r="G1193">
        <v>6.6</v>
      </c>
      <c r="H1193">
        <v>8.7</v>
      </c>
      <c r="I1193">
        <v>7.4</v>
      </c>
      <c r="J1193">
        <v>9.7</v>
      </c>
      <c r="K1193">
        <v>6.4</v>
      </c>
      <c r="L1193" s="1"/>
    </row>
    <row r="1194" spans="1:12">
      <c r="A1194" t="s">
        <v>1242</v>
      </c>
      <c r="B1194">
        <v>8.5</v>
      </c>
      <c r="C1194">
        <v>7.6</v>
      </c>
      <c r="D1194">
        <v>8.3</v>
      </c>
      <c r="E1194">
        <v>8</v>
      </c>
      <c r="F1194">
        <v>8.5</v>
      </c>
      <c r="G1194">
        <v>7.2</v>
      </c>
      <c r="H1194">
        <v>7.6</v>
      </c>
      <c r="I1194">
        <v>6.8</v>
      </c>
      <c r="J1194">
        <v>4.8</v>
      </c>
      <c r="K1194">
        <v>6.1</v>
      </c>
      <c r="L1194" s="1"/>
    </row>
    <row r="1195" spans="1:12">
      <c r="A1195" t="s">
        <v>1243</v>
      </c>
      <c r="B1195">
        <v>8.6</v>
      </c>
      <c r="C1195">
        <v>8.6</v>
      </c>
      <c r="D1195">
        <v>8.3</v>
      </c>
      <c r="E1195">
        <v>8</v>
      </c>
      <c r="F1195">
        <v>7.6</v>
      </c>
      <c r="G1195">
        <v>8.3</v>
      </c>
      <c r="H1195">
        <v>5.7</v>
      </c>
      <c r="I1195">
        <v>7</v>
      </c>
      <c r="J1195">
        <v>6.7</v>
      </c>
      <c r="K1195">
        <v>4.7</v>
      </c>
      <c r="L1195" s="1"/>
    </row>
    <row r="1196" spans="1:12">
      <c r="A1196" t="s">
        <v>1244</v>
      </c>
      <c r="B1196">
        <v>9.6</v>
      </c>
      <c r="C1196">
        <v>7.6</v>
      </c>
      <c r="D1196">
        <v>8.6</v>
      </c>
      <c r="E1196">
        <v>8.5</v>
      </c>
      <c r="F1196">
        <v>8.8</v>
      </c>
      <c r="G1196">
        <v>7.6</v>
      </c>
      <c r="H1196">
        <v>6.2</v>
      </c>
      <c r="I1196">
        <v>6.3</v>
      </c>
      <c r="J1196">
        <v>7.6</v>
      </c>
      <c r="K1196">
        <v>3.9</v>
      </c>
      <c r="L1196" s="1"/>
    </row>
    <row r="1197" spans="1:12">
      <c r="A1197" t="s">
        <v>1245</v>
      </c>
      <c r="B1197">
        <v>8.2</v>
      </c>
      <c r="C1197">
        <v>8.8</v>
      </c>
      <c r="D1197">
        <v>7.7</v>
      </c>
      <c r="E1197">
        <v>7.7</v>
      </c>
      <c r="F1197">
        <v>7.8</v>
      </c>
      <c r="G1197">
        <v>7.9</v>
      </c>
      <c r="H1197">
        <v>7.9</v>
      </c>
      <c r="I1197">
        <v>7.1</v>
      </c>
      <c r="J1197">
        <v>8</v>
      </c>
      <c r="K1197">
        <v>3.8</v>
      </c>
      <c r="L1197" s="1"/>
    </row>
    <row r="1198" spans="1:12">
      <c r="A1198" t="s">
        <v>1246</v>
      </c>
      <c r="B1198">
        <v>8.3</v>
      </c>
      <c r="C1198">
        <v>7.7</v>
      </c>
      <c r="D1198">
        <v>8.2</v>
      </c>
      <c r="E1198">
        <v>7.8</v>
      </c>
      <c r="F1198">
        <v>6.9</v>
      </c>
      <c r="G1198">
        <v>8</v>
      </c>
      <c r="H1198">
        <v>8.1</v>
      </c>
      <c r="I1198">
        <v>7.2</v>
      </c>
      <c r="J1198">
        <v>7</v>
      </c>
      <c r="K1198">
        <v>8.2</v>
      </c>
      <c r="L1198" s="1"/>
    </row>
    <row r="1199" spans="1:12">
      <c r="A1199" t="s">
        <v>1247</v>
      </c>
      <c r="B1199">
        <v>8.7</v>
      </c>
      <c r="C1199">
        <v>7.6</v>
      </c>
      <c r="D1199">
        <v>7.8</v>
      </c>
      <c r="E1199">
        <v>7.2</v>
      </c>
      <c r="F1199">
        <v>8.9</v>
      </c>
      <c r="G1199">
        <v>8.3</v>
      </c>
      <c r="H1199">
        <v>7.4</v>
      </c>
      <c r="I1199">
        <v>6.7</v>
      </c>
      <c r="J1199">
        <v>7.1</v>
      </c>
      <c r="K1199">
        <v>5.8</v>
      </c>
      <c r="L1199" s="1"/>
    </row>
    <row r="1200" spans="1:12">
      <c r="A1200" t="s">
        <v>1248</v>
      </c>
      <c r="B1200">
        <v>9.4</v>
      </c>
      <c r="C1200">
        <v>7.8</v>
      </c>
      <c r="D1200">
        <v>7.6</v>
      </c>
      <c r="E1200">
        <v>8.3</v>
      </c>
      <c r="F1200">
        <v>7</v>
      </c>
      <c r="G1200">
        <v>8.3</v>
      </c>
      <c r="H1200">
        <v>7</v>
      </c>
      <c r="I1200">
        <v>6.3</v>
      </c>
      <c r="J1200">
        <v>7.5</v>
      </c>
      <c r="K1200">
        <v>6.9</v>
      </c>
      <c r="L1200" s="1"/>
    </row>
    <row r="1201" spans="1:12">
      <c r="A1201" t="s">
        <v>1249</v>
      </c>
      <c r="B1201">
        <v>8.8</v>
      </c>
      <c r="C1201">
        <v>7</v>
      </c>
      <c r="D1201">
        <v>7.9</v>
      </c>
      <c r="E1201">
        <v>8.2</v>
      </c>
      <c r="F1201">
        <v>7</v>
      </c>
      <c r="G1201">
        <v>7.3</v>
      </c>
      <c r="H1201">
        <v>7.4</v>
      </c>
      <c r="I1201">
        <v>6.6</v>
      </c>
      <c r="J1201">
        <v>6.8</v>
      </c>
      <c r="K1201">
        <v>6.8</v>
      </c>
      <c r="L1201" s="1"/>
    </row>
    <row r="1202" spans="1:12">
      <c r="A1202" t="s">
        <v>1250</v>
      </c>
      <c r="B1202">
        <v>8.8</v>
      </c>
      <c r="C1202">
        <v>8.1</v>
      </c>
      <c r="D1202">
        <v>8.4</v>
      </c>
      <c r="E1202">
        <v>8.4</v>
      </c>
      <c r="F1202">
        <v>8.7</v>
      </c>
      <c r="G1202">
        <v>7.6</v>
      </c>
      <c r="H1202">
        <v>5.8</v>
      </c>
      <c r="I1202">
        <v>6.1</v>
      </c>
      <c r="J1202">
        <v>7.8</v>
      </c>
      <c r="K1202">
        <v>5.2</v>
      </c>
      <c r="L1202" s="1"/>
    </row>
    <row r="1203" spans="1:12">
      <c r="A1203" t="s">
        <v>1251</v>
      </c>
      <c r="B1203">
        <v>9.4</v>
      </c>
      <c r="C1203">
        <v>9.2</v>
      </c>
      <c r="D1203">
        <v>7.8</v>
      </c>
      <c r="E1203">
        <v>7.7</v>
      </c>
      <c r="F1203">
        <v>7.6</v>
      </c>
      <c r="G1203">
        <v>7.9</v>
      </c>
      <c r="H1203">
        <v>7.5</v>
      </c>
      <c r="I1203">
        <v>6.6</v>
      </c>
      <c r="J1203">
        <v>7.7</v>
      </c>
      <c r="K1203">
        <v>7</v>
      </c>
      <c r="L1203" s="1"/>
    </row>
    <row r="1204" spans="1:12">
      <c r="A1204" t="s">
        <v>1252</v>
      </c>
      <c r="B1204">
        <v>8.3</v>
      </c>
      <c r="C1204">
        <v>8.8</v>
      </c>
      <c r="D1204">
        <v>7.8</v>
      </c>
      <c r="E1204">
        <v>9.1</v>
      </c>
      <c r="F1204">
        <v>8.8</v>
      </c>
      <c r="G1204">
        <v>8</v>
      </c>
      <c r="H1204">
        <v>9.1</v>
      </c>
      <c r="I1204">
        <v>6.7</v>
      </c>
      <c r="J1204">
        <v>5.4</v>
      </c>
      <c r="K1204">
        <v>5.5</v>
      </c>
      <c r="L1204" s="1"/>
    </row>
    <row r="1205" spans="1:12">
      <c r="A1205" t="s">
        <v>1253</v>
      </c>
      <c r="B1205">
        <v>8.9</v>
      </c>
      <c r="C1205">
        <v>8.7</v>
      </c>
      <c r="D1205">
        <v>8</v>
      </c>
      <c r="E1205">
        <v>7.4</v>
      </c>
      <c r="F1205">
        <v>7.3</v>
      </c>
      <c r="G1205">
        <v>8.6</v>
      </c>
      <c r="H1205">
        <v>8.3</v>
      </c>
      <c r="I1205">
        <v>6</v>
      </c>
      <c r="J1205">
        <v>6</v>
      </c>
      <c r="K1205">
        <v>5.7</v>
      </c>
      <c r="L1205" s="1"/>
    </row>
    <row r="1206" spans="1:12">
      <c r="A1206" t="s">
        <v>1254</v>
      </c>
      <c r="B1206">
        <v>8.8</v>
      </c>
      <c r="C1206">
        <v>7.8</v>
      </c>
      <c r="D1206">
        <v>7.6</v>
      </c>
      <c r="E1206">
        <v>8.7</v>
      </c>
      <c r="F1206">
        <v>7.5</v>
      </c>
      <c r="G1206">
        <v>7.4</v>
      </c>
      <c r="H1206">
        <v>5.8</v>
      </c>
      <c r="I1206">
        <v>9.1</v>
      </c>
      <c r="J1206">
        <v>5.5</v>
      </c>
      <c r="K1206">
        <v>5</v>
      </c>
      <c r="L1206" s="1"/>
    </row>
    <row r="1207" spans="1:12">
      <c r="A1207" t="s">
        <v>1255</v>
      </c>
      <c r="B1207">
        <v>8.5</v>
      </c>
      <c r="C1207">
        <v>9.1</v>
      </c>
      <c r="D1207">
        <v>7.7</v>
      </c>
      <c r="E1207">
        <v>7.8</v>
      </c>
      <c r="F1207">
        <v>6.1</v>
      </c>
      <c r="G1207">
        <v>8.7</v>
      </c>
      <c r="H1207">
        <v>7.2</v>
      </c>
      <c r="I1207">
        <v>8.1</v>
      </c>
      <c r="J1207">
        <v>5.9</v>
      </c>
      <c r="K1207">
        <v>4.2</v>
      </c>
      <c r="L1207" s="1"/>
    </row>
    <row r="1208" spans="1:12">
      <c r="A1208" t="s">
        <v>1256</v>
      </c>
      <c r="B1208">
        <v>8.6</v>
      </c>
      <c r="C1208">
        <v>8.1</v>
      </c>
      <c r="D1208">
        <v>7.7</v>
      </c>
      <c r="E1208">
        <v>7.1</v>
      </c>
      <c r="F1208">
        <v>9.5</v>
      </c>
      <c r="G1208">
        <v>7.4</v>
      </c>
      <c r="H1208">
        <v>8.5</v>
      </c>
      <c r="I1208">
        <v>6.9</v>
      </c>
      <c r="J1208">
        <v>7.3</v>
      </c>
      <c r="K1208">
        <v>7.1</v>
      </c>
      <c r="L1208" s="1"/>
    </row>
    <row r="1209" spans="1:12">
      <c r="A1209" t="s">
        <v>1257</v>
      </c>
      <c r="B1209">
        <v>7.6</v>
      </c>
      <c r="C1209">
        <v>8.4</v>
      </c>
      <c r="D1209">
        <v>8.2</v>
      </c>
      <c r="E1209">
        <v>7.8</v>
      </c>
      <c r="F1209">
        <v>8.2</v>
      </c>
      <c r="G1209">
        <v>7</v>
      </c>
      <c r="H1209">
        <v>7</v>
      </c>
      <c r="I1209">
        <v>6.3</v>
      </c>
      <c r="J1209">
        <v>8.6</v>
      </c>
      <c r="K1209">
        <v>5.8</v>
      </c>
      <c r="L1209" s="1"/>
    </row>
    <row r="1210" spans="1:12">
      <c r="A1210" t="s">
        <v>1258</v>
      </c>
      <c r="B1210">
        <v>8.2</v>
      </c>
      <c r="C1210">
        <v>7.4</v>
      </c>
      <c r="D1210">
        <v>7.8</v>
      </c>
      <c r="E1210">
        <v>7.5</v>
      </c>
      <c r="F1210">
        <v>6.7</v>
      </c>
      <c r="G1210">
        <v>6.2</v>
      </c>
      <c r="H1210">
        <v>8.2</v>
      </c>
      <c r="I1210">
        <v>7.1</v>
      </c>
      <c r="J1210">
        <v>7.9</v>
      </c>
      <c r="K1210">
        <v>7</v>
      </c>
      <c r="L1210" s="1"/>
    </row>
    <row r="1211" spans="1:12">
      <c r="A1211" t="s">
        <v>1259</v>
      </c>
      <c r="B1211">
        <v>8.9</v>
      </c>
      <c r="C1211">
        <v>8.4</v>
      </c>
      <c r="D1211">
        <v>8.1</v>
      </c>
      <c r="E1211">
        <v>8.3</v>
      </c>
      <c r="F1211">
        <v>7</v>
      </c>
      <c r="G1211">
        <v>8.2</v>
      </c>
      <c r="H1211">
        <v>6.5</v>
      </c>
      <c r="I1211">
        <v>8.4</v>
      </c>
      <c r="J1211">
        <v>4.8</v>
      </c>
      <c r="K1211">
        <v>6.8</v>
      </c>
      <c r="L1211" s="1"/>
    </row>
    <row r="1212" spans="1:12">
      <c r="A1212" t="s">
        <v>1260</v>
      </c>
      <c r="B1212">
        <v>9.2</v>
      </c>
      <c r="C1212">
        <v>7.6</v>
      </c>
      <c r="D1212">
        <v>8.7</v>
      </c>
      <c r="E1212">
        <v>7.3</v>
      </c>
      <c r="F1212">
        <v>7.1</v>
      </c>
      <c r="G1212">
        <v>8</v>
      </c>
      <c r="H1212">
        <v>6.6</v>
      </c>
      <c r="I1212">
        <v>6.3</v>
      </c>
      <c r="J1212">
        <v>9.5</v>
      </c>
      <c r="K1212">
        <v>8</v>
      </c>
      <c r="L1212" s="1"/>
    </row>
    <row r="1213" spans="1:12">
      <c r="A1213" t="s">
        <v>1261</v>
      </c>
      <c r="B1213">
        <v>8.2</v>
      </c>
      <c r="C1213">
        <v>7.7</v>
      </c>
      <c r="D1213">
        <v>7.7</v>
      </c>
      <c r="E1213">
        <v>8.4</v>
      </c>
      <c r="F1213">
        <v>8</v>
      </c>
      <c r="G1213">
        <v>7.7</v>
      </c>
      <c r="H1213">
        <v>6.8</v>
      </c>
      <c r="I1213">
        <v>7.2</v>
      </c>
      <c r="J1213">
        <v>5.3</v>
      </c>
      <c r="K1213">
        <v>8.7</v>
      </c>
      <c r="L1213" s="1"/>
    </row>
    <row r="1214" spans="1:12">
      <c r="A1214" t="s">
        <v>1262</v>
      </c>
      <c r="B1214">
        <v>7.7</v>
      </c>
      <c r="C1214">
        <v>8.4</v>
      </c>
      <c r="D1214">
        <v>9.1</v>
      </c>
      <c r="E1214">
        <v>8.1</v>
      </c>
      <c r="F1214">
        <v>6.9</v>
      </c>
      <c r="G1214">
        <v>6.1</v>
      </c>
      <c r="H1214">
        <v>7.9</v>
      </c>
      <c r="I1214">
        <v>6.1</v>
      </c>
      <c r="J1214">
        <v>5.6</v>
      </c>
      <c r="K1214">
        <v>5.7</v>
      </c>
      <c r="L1214" s="1"/>
    </row>
    <row r="1215" spans="1:12">
      <c r="A1215" t="s">
        <v>1263</v>
      </c>
      <c r="B1215">
        <v>8.4</v>
      </c>
      <c r="C1215">
        <v>7.6</v>
      </c>
      <c r="D1215">
        <v>7.7</v>
      </c>
      <c r="E1215">
        <v>7.5</v>
      </c>
      <c r="F1215">
        <v>6.3</v>
      </c>
      <c r="G1215">
        <v>6.7</v>
      </c>
      <c r="H1215">
        <v>8.7</v>
      </c>
      <c r="I1215">
        <v>6.2</v>
      </c>
      <c r="J1215">
        <v>7</v>
      </c>
      <c r="K1215">
        <v>6.4</v>
      </c>
      <c r="L1215" s="1"/>
    </row>
    <row r="1216" spans="1:12">
      <c r="A1216" t="s">
        <v>1264</v>
      </c>
      <c r="B1216">
        <v>8.6</v>
      </c>
      <c r="C1216">
        <v>7.5</v>
      </c>
      <c r="D1216">
        <v>8.4</v>
      </c>
      <c r="E1216">
        <v>8.3</v>
      </c>
      <c r="F1216">
        <v>8.6</v>
      </c>
      <c r="G1216">
        <v>7.8</v>
      </c>
      <c r="H1216">
        <v>7.9</v>
      </c>
      <c r="I1216">
        <v>6.4</v>
      </c>
      <c r="J1216">
        <v>8</v>
      </c>
      <c r="K1216">
        <v>5.7</v>
      </c>
      <c r="L1216" s="1"/>
    </row>
    <row r="1217" spans="1:12">
      <c r="A1217" t="s">
        <v>1265</v>
      </c>
      <c r="B1217">
        <v>8.2</v>
      </c>
      <c r="C1217">
        <v>7.1</v>
      </c>
      <c r="D1217">
        <v>8.5</v>
      </c>
      <c r="E1217">
        <v>8.3</v>
      </c>
      <c r="F1217">
        <v>7.5</v>
      </c>
      <c r="G1217">
        <v>7.7</v>
      </c>
      <c r="H1217">
        <v>7.8</v>
      </c>
      <c r="I1217">
        <v>7</v>
      </c>
      <c r="J1217">
        <v>6</v>
      </c>
      <c r="K1217">
        <v>5.9</v>
      </c>
      <c r="L1217" s="1"/>
    </row>
    <row r="1218" spans="1:12">
      <c r="A1218" t="s">
        <v>1266</v>
      </c>
      <c r="B1218">
        <v>7.9</v>
      </c>
      <c r="C1218">
        <v>8.2</v>
      </c>
      <c r="D1218">
        <v>7.7</v>
      </c>
      <c r="E1218">
        <v>8.3</v>
      </c>
      <c r="F1218">
        <v>8.7</v>
      </c>
      <c r="G1218">
        <v>7.5</v>
      </c>
      <c r="H1218">
        <v>6.9</v>
      </c>
      <c r="I1218">
        <v>7</v>
      </c>
      <c r="J1218">
        <v>6.3</v>
      </c>
      <c r="K1218">
        <v>6.2</v>
      </c>
      <c r="L1218" s="1"/>
    </row>
    <row r="1219" spans="1:12">
      <c r="A1219" t="s">
        <v>1267</v>
      </c>
      <c r="B1219">
        <v>8.7</v>
      </c>
      <c r="C1219">
        <v>7.8</v>
      </c>
      <c r="D1219">
        <v>6.9</v>
      </c>
      <c r="E1219">
        <v>7.9</v>
      </c>
      <c r="F1219">
        <v>9.5</v>
      </c>
      <c r="G1219">
        <v>7.5</v>
      </c>
      <c r="H1219">
        <v>7.8</v>
      </c>
      <c r="I1219">
        <v>7.3</v>
      </c>
      <c r="J1219">
        <v>7.4</v>
      </c>
      <c r="K1219">
        <v>7.8</v>
      </c>
      <c r="L1219" s="1"/>
    </row>
    <row r="1220" spans="1:12">
      <c r="A1220" t="s">
        <v>1268</v>
      </c>
      <c r="B1220">
        <v>8.3</v>
      </c>
      <c r="C1220">
        <v>7.4</v>
      </c>
      <c r="D1220">
        <v>7.9</v>
      </c>
      <c r="E1220">
        <v>7.8</v>
      </c>
      <c r="F1220">
        <v>8.2</v>
      </c>
      <c r="G1220">
        <v>8.4</v>
      </c>
      <c r="H1220">
        <v>5.6</v>
      </c>
      <c r="I1220">
        <v>8.4</v>
      </c>
      <c r="J1220">
        <v>8.5</v>
      </c>
      <c r="K1220">
        <v>8.7</v>
      </c>
      <c r="L1220" s="1"/>
    </row>
    <row r="1221" spans="1:12">
      <c r="A1221" t="s">
        <v>1269</v>
      </c>
      <c r="B1221">
        <v>9.1</v>
      </c>
      <c r="C1221">
        <v>8.2</v>
      </c>
      <c r="D1221">
        <v>9.1</v>
      </c>
      <c r="E1221">
        <v>7.8</v>
      </c>
      <c r="F1221">
        <v>6.4</v>
      </c>
      <c r="G1221">
        <v>8.7</v>
      </c>
      <c r="H1221">
        <v>6.2</v>
      </c>
      <c r="I1221">
        <v>5.2</v>
      </c>
      <c r="J1221">
        <v>5.7</v>
      </c>
      <c r="K1221">
        <v>3.9</v>
      </c>
      <c r="L1221" s="1"/>
    </row>
    <row r="1222" spans="1:12">
      <c r="A1222" t="s">
        <v>1270</v>
      </c>
      <c r="B1222">
        <v>9.9</v>
      </c>
      <c r="C1222">
        <v>9.8</v>
      </c>
      <c r="D1222">
        <v>9.7</v>
      </c>
      <c r="E1222">
        <v>9.9</v>
      </c>
      <c r="F1222">
        <v>8.5</v>
      </c>
      <c r="G1222">
        <v>9.4</v>
      </c>
      <c r="H1222">
        <v>9.9</v>
      </c>
      <c r="I1222">
        <v>9.4</v>
      </c>
      <c r="J1222">
        <v>8.2</v>
      </c>
      <c r="K1222">
        <v>6.9</v>
      </c>
      <c r="L1222" s="1"/>
    </row>
    <row r="1223" spans="1:12">
      <c r="A1223" t="s">
        <v>1271</v>
      </c>
      <c r="B1223">
        <v>9.4</v>
      </c>
      <c r="C1223">
        <v>9.8</v>
      </c>
      <c r="D1223">
        <v>9.4</v>
      </c>
      <c r="E1223">
        <v>9.6</v>
      </c>
      <c r="F1223">
        <v>9.6</v>
      </c>
      <c r="G1223">
        <v>8.5</v>
      </c>
      <c r="H1223">
        <v>7.2</v>
      </c>
      <c r="I1223">
        <v>9.1</v>
      </c>
      <c r="J1223">
        <v>7.9</v>
      </c>
      <c r="K1223">
        <v>8.3</v>
      </c>
      <c r="L1223" s="1"/>
    </row>
    <row r="1224" spans="1:12">
      <c r="A1224" t="s">
        <v>1272</v>
      </c>
      <c r="B1224">
        <v>9.2</v>
      </c>
      <c r="C1224">
        <v>9.8</v>
      </c>
      <c r="D1224">
        <v>9.9</v>
      </c>
      <c r="E1224">
        <v>9.7</v>
      </c>
      <c r="F1224">
        <v>9.1</v>
      </c>
      <c r="G1224">
        <v>7.6</v>
      </c>
      <c r="H1224">
        <v>9</v>
      </c>
      <c r="I1224">
        <v>8.6</v>
      </c>
      <c r="J1224">
        <v>8.1</v>
      </c>
      <c r="K1224">
        <v>9.3</v>
      </c>
      <c r="L1224" s="1"/>
    </row>
    <row r="1225" spans="1:12">
      <c r="A1225" t="s">
        <v>1273</v>
      </c>
      <c r="B1225">
        <v>9.9</v>
      </c>
      <c r="C1225">
        <v>8.9</v>
      </c>
      <c r="D1225">
        <v>9.2</v>
      </c>
      <c r="E1225">
        <v>9.4</v>
      </c>
      <c r="F1225">
        <v>8.5</v>
      </c>
      <c r="G1225">
        <v>8.7</v>
      </c>
      <c r="H1225">
        <v>8.8</v>
      </c>
      <c r="I1225">
        <v>7.6</v>
      </c>
      <c r="J1225">
        <v>8.1</v>
      </c>
      <c r="K1225">
        <v>7.1</v>
      </c>
      <c r="L1225" s="1"/>
    </row>
    <row r="1226" spans="1:12">
      <c r="A1226" t="s">
        <v>1274</v>
      </c>
      <c r="B1226">
        <v>8.2</v>
      </c>
      <c r="C1226">
        <v>8.3</v>
      </c>
      <c r="D1226">
        <v>9.2</v>
      </c>
      <c r="E1226">
        <v>9</v>
      </c>
      <c r="F1226">
        <v>9</v>
      </c>
      <c r="G1226">
        <v>8.4</v>
      </c>
      <c r="H1226">
        <v>8.5</v>
      </c>
      <c r="I1226">
        <v>8.7</v>
      </c>
      <c r="J1226">
        <v>7.4</v>
      </c>
      <c r="K1226">
        <v>8.5</v>
      </c>
      <c r="L1226" s="1"/>
    </row>
    <row r="1227" spans="1:12">
      <c r="A1227" t="s">
        <v>1275</v>
      </c>
      <c r="B1227">
        <v>9.9</v>
      </c>
      <c r="C1227">
        <v>9.9</v>
      </c>
      <c r="D1227">
        <v>9.4</v>
      </c>
      <c r="E1227">
        <v>9.9</v>
      </c>
      <c r="F1227">
        <v>6.7</v>
      </c>
      <c r="G1227">
        <v>8.1</v>
      </c>
      <c r="H1227">
        <v>7.4</v>
      </c>
      <c r="I1227">
        <v>6.1</v>
      </c>
      <c r="J1227">
        <v>6.7</v>
      </c>
      <c r="K1227">
        <v>8</v>
      </c>
      <c r="L1227" s="1"/>
    </row>
    <row r="1228" spans="1:12">
      <c r="A1228" t="s">
        <v>1276</v>
      </c>
      <c r="B1228">
        <v>8.5</v>
      </c>
      <c r="C1228">
        <v>8.1</v>
      </c>
      <c r="D1228">
        <v>8.7</v>
      </c>
      <c r="E1228">
        <v>7.1</v>
      </c>
      <c r="F1228">
        <v>8</v>
      </c>
      <c r="G1228">
        <v>7.7</v>
      </c>
      <c r="H1228">
        <v>8</v>
      </c>
      <c r="I1228">
        <v>9.1</v>
      </c>
      <c r="J1228">
        <v>9.4</v>
      </c>
      <c r="K1228">
        <v>7.3</v>
      </c>
      <c r="L1228" s="1"/>
    </row>
    <row r="1229" spans="1:12">
      <c r="A1229" t="s">
        <v>1277</v>
      </c>
      <c r="B1229">
        <v>7.9</v>
      </c>
      <c r="C1229">
        <v>8.4</v>
      </c>
      <c r="D1229">
        <v>8.2</v>
      </c>
      <c r="E1229">
        <v>6.2</v>
      </c>
      <c r="F1229">
        <v>7.9</v>
      </c>
      <c r="G1229">
        <v>8.8</v>
      </c>
      <c r="H1229">
        <v>7.7</v>
      </c>
      <c r="I1229">
        <v>4.7</v>
      </c>
      <c r="J1229">
        <v>4.7</v>
      </c>
      <c r="K1229">
        <v>7.3</v>
      </c>
      <c r="L1229" s="1"/>
    </row>
    <row r="1230" spans="1:12">
      <c r="A1230" t="s">
        <v>1278</v>
      </c>
      <c r="B1230">
        <v>7.9</v>
      </c>
      <c r="C1230">
        <v>8.7</v>
      </c>
      <c r="D1230">
        <v>8</v>
      </c>
      <c r="E1230">
        <v>7.7</v>
      </c>
      <c r="F1230">
        <v>6.2</v>
      </c>
      <c r="G1230">
        <v>6.7</v>
      </c>
      <c r="H1230">
        <v>6.7</v>
      </c>
      <c r="I1230">
        <v>6.8</v>
      </c>
      <c r="J1230">
        <v>5.5</v>
      </c>
      <c r="K1230">
        <v>7.1</v>
      </c>
      <c r="L1230" s="1"/>
    </row>
    <row r="1231" spans="1:12">
      <c r="A1231" t="s">
        <v>1279</v>
      </c>
      <c r="B1231">
        <v>8.2</v>
      </c>
      <c r="C1231">
        <v>7.7</v>
      </c>
      <c r="D1231">
        <v>8.3</v>
      </c>
      <c r="E1231">
        <v>7.7</v>
      </c>
      <c r="F1231">
        <v>8.6</v>
      </c>
      <c r="G1231">
        <v>7.7</v>
      </c>
      <c r="H1231">
        <v>7.4</v>
      </c>
      <c r="I1231">
        <v>7.3</v>
      </c>
      <c r="J1231">
        <v>5.4</v>
      </c>
      <c r="K1231">
        <v>7.8</v>
      </c>
      <c r="L1231" s="1"/>
    </row>
    <row r="1232" spans="1:12">
      <c r="A1232" t="s">
        <v>1280</v>
      </c>
      <c r="B1232">
        <v>7.8</v>
      </c>
      <c r="C1232">
        <v>7.8</v>
      </c>
      <c r="D1232">
        <v>7.3</v>
      </c>
      <c r="E1232">
        <v>7.2</v>
      </c>
      <c r="F1232">
        <v>5.8</v>
      </c>
      <c r="G1232">
        <v>7.5</v>
      </c>
      <c r="H1232">
        <v>7.4</v>
      </c>
      <c r="I1232">
        <v>7.3</v>
      </c>
      <c r="J1232">
        <v>6.6</v>
      </c>
      <c r="K1232">
        <v>6.1</v>
      </c>
      <c r="L1232" s="1"/>
    </row>
    <row r="1233" spans="1:12">
      <c r="A1233" t="s">
        <v>1281</v>
      </c>
      <c r="B1233">
        <v>8.7</v>
      </c>
      <c r="C1233">
        <v>7.9</v>
      </c>
      <c r="D1233">
        <v>8.4</v>
      </c>
      <c r="E1233">
        <v>7.6</v>
      </c>
      <c r="F1233">
        <v>7.5</v>
      </c>
      <c r="G1233">
        <v>8.3</v>
      </c>
      <c r="H1233">
        <v>6.3</v>
      </c>
      <c r="I1233">
        <v>6.5</v>
      </c>
      <c r="J1233">
        <v>6</v>
      </c>
      <c r="K1233">
        <v>5.9</v>
      </c>
      <c r="L1233" s="1"/>
    </row>
    <row r="1234" spans="1:12">
      <c r="A1234" t="s">
        <v>1282</v>
      </c>
      <c r="B1234">
        <v>8</v>
      </c>
      <c r="C1234">
        <v>8.2</v>
      </c>
      <c r="D1234">
        <v>8</v>
      </c>
      <c r="E1234">
        <v>7.4</v>
      </c>
      <c r="F1234">
        <v>7.5</v>
      </c>
      <c r="G1234">
        <v>6.7</v>
      </c>
      <c r="H1234">
        <v>6.9</v>
      </c>
      <c r="I1234">
        <v>7.2</v>
      </c>
      <c r="J1234">
        <v>7.8</v>
      </c>
      <c r="K1234">
        <v>8.1</v>
      </c>
      <c r="L1234" s="1"/>
    </row>
    <row r="1235" spans="1:12">
      <c r="A1235" t="s">
        <v>1283</v>
      </c>
      <c r="B1235">
        <v>8.2</v>
      </c>
      <c r="C1235">
        <v>7.6</v>
      </c>
      <c r="D1235">
        <v>8.4</v>
      </c>
      <c r="E1235">
        <v>8</v>
      </c>
      <c r="F1235">
        <v>5.9</v>
      </c>
      <c r="G1235">
        <v>5.7</v>
      </c>
      <c r="H1235">
        <v>7.1</v>
      </c>
      <c r="I1235">
        <v>6.8</v>
      </c>
      <c r="J1235">
        <v>8.3</v>
      </c>
      <c r="K1235">
        <v>4</v>
      </c>
      <c r="L1235" s="1"/>
    </row>
    <row r="1236" spans="1:12">
      <c r="A1236" t="s">
        <v>1284</v>
      </c>
      <c r="B1236">
        <v>9.1</v>
      </c>
      <c r="C1236">
        <v>7.3</v>
      </c>
      <c r="D1236">
        <v>8</v>
      </c>
      <c r="E1236">
        <v>8.3</v>
      </c>
      <c r="F1236">
        <v>7.4</v>
      </c>
      <c r="G1236">
        <v>6.5</v>
      </c>
      <c r="H1236">
        <v>7.1</v>
      </c>
      <c r="I1236">
        <v>7.9</v>
      </c>
      <c r="J1236">
        <v>6.2</v>
      </c>
      <c r="K1236">
        <v>6.4</v>
      </c>
      <c r="L1236" s="1"/>
    </row>
    <row r="1237" spans="1:12">
      <c r="A1237" t="s">
        <v>1285</v>
      </c>
      <c r="B1237">
        <v>8.4</v>
      </c>
      <c r="C1237">
        <v>7.8</v>
      </c>
      <c r="D1237">
        <v>8.6</v>
      </c>
      <c r="E1237">
        <v>8</v>
      </c>
      <c r="F1237">
        <v>6.9</v>
      </c>
      <c r="G1237">
        <v>7.6</v>
      </c>
      <c r="H1237">
        <v>9.2</v>
      </c>
      <c r="I1237">
        <v>6.1</v>
      </c>
      <c r="J1237">
        <v>7.3</v>
      </c>
      <c r="K1237">
        <v>6.3</v>
      </c>
      <c r="L1237" s="1"/>
    </row>
    <row r="1238" spans="1:12">
      <c r="A1238" t="s">
        <v>1286</v>
      </c>
      <c r="B1238">
        <v>8.4</v>
      </c>
      <c r="C1238">
        <v>8.1</v>
      </c>
      <c r="D1238">
        <v>7.9</v>
      </c>
      <c r="E1238">
        <v>8</v>
      </c>
      <c r="F1238">
        <v>7.1</v>
      </c>
      <c r="G1238">
        <v>7.8</v>
      </c>
      <c r="H1238">
        <v>7.5</v>
      </c>
      <c r="I1238">
        <v>7</v>
      </c>
      <c r="J1238">
        <v>7.9</v>
      </c>
      <c r="K1238">
        <v>6.5</v>
      </c>
      <c r="L1238" s="1"/>
    </row>
    <row r="1239" spans="1:12">
      <c r="A1239" t="s">
        <v>1287</v>
      </c>
      <c r="B1239">
        <v>8.4</v>
      </c>
      <c r="C1239">
        <v>7.5</v>
      </c>
      <c r="D1239">
        <v>9</v>
      </c>
      <c r="E1239">
        <v>7.9</v>
      </c>
      <c r="F1239">
        <v>7.4</v>
      </c>
      <c r="G1239">
        <v>7.8</v>
      </c>
      <c r="H1239">
        <v>6.6</v>
      </c>
      <c r="I1239">
        <v>7.3</v>
      </c>
      <c r="J1239">
        <v>6.9</v>
      </c>
      <c r="K1239">
        <v>6.7</v>
      </c>
      <c r="L1239" s="1"/>
    </row>
    <row r="1240" spans="1:12">
      <c r="A1240" t="s">
        <v>1288</v>
      </c>
      <c r="B1240">
        <v>9.1</v>
      </c>
      <c r="C1240">
        <v>9.2</v>
      </c>
      <c r="D1240">
        <v>8.6</v>
      </c>
      <c r="E1240">
        <v>7.1</v>
      </c>
      <c r="F1240">
        <v>7.4</v>
      </c>
      <c r="G1240">
        <v>7.9</v>
      </c>
      <c r="H1240">
        <v>7.1</v>
      </c>
      <c r="I1240">
        <v>6.5</v>
      </c>
      <c r="J1240">
        <v>7.7</v>
      </c>
      <c r="K1240">
        <v>8.5</v>
      </c>
      <c r="L1240" s="1"/>
    </row>
    <row r="1241" spans="1:12">
      <c r="A1241" t="s">
        <v>1289</v>
      </c>
      <c r="B1241">
        <v>8.2</v>
      </c>
      <c r="C1241">
        <v>7.7</v>
      </c>
      <c r="D1241">
        <v>8.2</v>
      </c>
      <c r="E1241">
        <v>8.3</v>
      </c>
      <c r="F1241">
        <v>7.1</v>
      </c>
      <c r="G1241">
        <v>7.7</v>
      </c>
      <c r="H1241">
        <v>7.4</v>
      </c>
      <c r="I1241">
        <v>8.2</v>
      </c>
      <c r="J1241">
        <v>7</v>
      </c>
      <c r="K1241">
        <v>6.7</v>
      </c>
      <c r="L1241" s="1"/>
    </row>
    <row r="1242" spans="1:12">
      <c r="A1242" t="s">
        <v>1290</v>
      </c>
      <c r="B1242">
        <v>9.5</v>
      </c>
      <c r="C1242">
        <v>7.7</v>
      </c>
      <c r="D1242">
        <v>8.4</v>
      </c>
      <c r="E1242">
        <v>7.6</v>
      </c>
      <c r="F1242">
        <v>7.5</v>
      </c>
      <c r="G1242">
        <v>7.9</v>
      </c>
      <c r="H1242">
        <v>6.3</v>
      </c>
      <c r="I1242">
        <v>6.9</v>
      </c>
      <c r="J1242">
        <v>6.9</v>
      </c>
      <c r="K1242">
        <v>4.9</v>
      </c>
      <c r="L1242" s="1"/>
    </row>
    <row r="1243" spans="1:12">
      <c r="A1243" t="s">
        <v>1291</v>
      </c>
      <c r="B1243">
        <v>8.7</v>
      </c>
      <c r="C1243">
        <v>8.6</v>
      </c>
      <c r="D1243">
        <v>9.7</v>
      </c>
      <c r="E1243">
        <v>7.8</v>
      </c>
      <c r="F1243">
        <v>7.6</v>
      </c>
      <c r="G1243">
        <v>8.4</v>
      </c>
      <c r="H1243">
        <v>6.5</v>
      </c>
      <c r="I1243">
        <v>6.7</v>
      </c>
      <c r="J1243">
        <v>8.1</v>
      </c>
      <c r="K1243">
        <v>7.1</v>
      </c>
      <c r="L1243" s="1"/>
    </row>
    <row r="1244" spans="1:12">
      <c r="A1244" t="s">
        <v>1292</v>
      </c>
      <c r="B1244">
        <v>8.7</v>
      </c>
      <c r="C1244">
        <v>7.3</v>
      </c>
      <c r="D1244">
        <v>7.1</v>
      </c>
      <c r="E1244">
        <v>7.3</v>
      </c>
      <c r="F1244">
        <v>9.1</v>
      </c>
      <c r="G1244">
        <v>7.1</v>
      </c>
      <c r="H1244">
        <v>7.1</v>
      </c>
      <c r="I1244">
        <v>6.3</v>
      </c>
      <c r="J1244">
        <v>7</v>
      </c>
      <c r="K1244">
        <v>4.2</v>
      </c>
      <c r="L1244" s="1"/>
    </row>
    <row r="1245" spans="1:12">
      <c r="A1245" t="s">
        <v>1293</v>
      </c>
      <c r="B1245">
        <v>8.3</v>
      </c>
      <c r="C1245">
        <v>7.1</v>
      </c>
      <c r="D1245">
        <v>8.2</v>
      </c>
      <c r="E1245">
        <v>8.2</v>
      </c>
      <c r="F1245">
        <v>7.6</v>
      </c>
      <c r="G1245">
        <v>6.7</v>
      </c>
      <c r="H1245">
        <v>7.5</v>
      </c>
      <c r="I1245">
        <v>6.8</v>
      </c>
      <c r="J1245">
        <v>4.3</v>
      </c>
      <c r="K1245">
        <v>7.9</v>
      </c>
      <c r="L1245" s="1"/>
    </row>
    <row r="1246" spans="1:12">
      <c r="A1246" t="s">
        <v>1294</v>
      </c>
      <c r="B1246">
        <v>8.4</v>
      </c>
      <c r="C1246">
        <v>7.4</v>
      </c>
      <c r="D1246">
        <v>8.8</v>
      </c>
      <c r="E1246">
        <v>7.5</v>
      </c>
      <c r="F1246">
        <v>5.8</v>
      </c>
      <c r="G1246">
        <v>7.3</v>
      </c>
      <c r="H1246">
        <v>7</v>
      </c>
      <c r="I1246">
        <v>6.2</v>
      </c>
      <c r="J1246">
        <v>5.7</v>
      </c>
      <c r="K1246">
        <v>5.8</v>
      </c>
      <c r="L1246" s="1"/>
    </row>
    <row r="1247" spans="1:12">
      <c r="A1247" t="s">
        <v>1295</v>
      </c>
      <c r="B1247">
        <v>7.9</v>
      </c>
      <c r="C1247">
        <v>7.7</v>
      </c>
      <c r="D1247">
        <v>8.5</v>
      </c>
      <c r="E1247">
        <v>7.6</v>
      </c>
      <c r="F1247">
        <v>7.4</v>
      </c>
      <c r="G1247">
        <v>7.4</v>
      </c>
      <c r="H1247">
        <v>6.9</v>
      </c>
      <c r="I1247">
        <v>7.2</v>
      </c>
      <c r="J1247">
        <v>5.7</v>
      </c>
      <c r="K1247">
        <v>5.4</v>
      </c>
      <c r="L1247" s="1"/>
    </row>
    <row r="1248" spans="1:12">
      <c r="A1248" t="s">
        <v>1296</v>
      </c>
      <c r="B1248">
        <v>8.9</v>
      </c>
      <c r="C1248">
        <v>8.6</v>
      </c>
      <c r="D1248">
        <v>8.5</v>
      </c>
      <c r="E1248">
        <v>8</v>
      </c>
      <c r="F1248">
        <v>6.8</v>
      </c>
      <c r="G1248">
        <v>9.5</v>
      </c>
      <c r="H1248">
        <v>7.1</v>
      </c>
      <c r="I1248">
        <v>5.6</v>
      </c>
      <c r="J1248">
        <v>3.3</v>
      </c>
      <c r="K1248">
        <v>4.7</v>
      </c>
      <c r="L1248" s="1"/>
    </row>
    <row r="1249" spans="1:12">
      <c r="A1249" t="s">
        <v>1297</v>
      </c>
      <c r="B1249">
        <v>7.9</v>
      </c>
      <c r="C1249">
        <v>8</v>
      </c>
      <c r="D1249">
        <v>9.4</v>
      </c>
      <c r="E1249">
        <v>8.9</v>
      </c>
      <c r="F1249">
        <v>6.7</v>
      </c>
      <c r="G1249">
        <v>8.8</v>
      </c>
      <c r="H1249">
        <v>7.5</v>
      </c>
      <c r="I1249">
        <v>6.9</v>
      </c>
      <c r="J1249">
        <v>7.1</v>
      </c>
      <c r="K1249">
        <v>4.5</v>
      </c>
      <c r="L1249" s="1"/>
    </row>
    <row r="1250" spans="1:12">
      <c r="A1250" t="s">
        <v>1298</v>
      </c>
      <c r="B1250">
        <v>8.3</v>
      </c>
      <c r="C1250">
        <v>8.2</v>
      </c>
      <c r="D1250">
        <v>7</v>
      </c>
      <c r="E1250">
        <v>7.6</v>
      </c>
      <c r="F1250">
        <v>7.6</v>
      </c>
      <c r="G1250">
        <v>9</v>
      </c>
      <c r="H1250">
        <v>5.8</v>
      </c>
      <c r="I1250">
        <v>6</v>
      </c>
      <c r="J1250">
        <v>6.7</v>
      </c>
      <c r="K1250">
        <v>7.2</v>
      </c>
      <c r="L1250" s="1"/>
    </row>
    <row r="1251" spans="1:12">
      <c r="A1251" t="s">
        <v>1299</v>
      </c>
      <c r="B1251">
        <v>8.7</v>
      </c>
      <c r="C1251">
        <v>7.6</v>
      </c>
      <c r="D1251">
        <v>8.8</v>
      </c>
      <c r="E1251">
        <v>7.9</v>
      </c>
      <c r="F1251">
        <v>6.4</v>
      </c>
      <c r="G1251">
        <v>9.4</v>
      </c>
      <c r="H1251">
        <v>7.4</v>
      </c>
      <c r="I1251">
        <v>8</v>
      </c>
      <c r="J1251">
        <v>6.7</v>
      </c>
      <c r="K1251">
        <v>6.2</v>
      </c>
      <c r="L1251" s="1"/>
    </row>
    <row r="1252" spans="1:12">
      <c r="A1252" t="s">
        <v>1300</v>
      </c>
      <c r="B1252">
        <v>7.8</v>
      </c>
      <c r="C1252">
        <v>8.2</v>
      </c>
      <c r="D1252">
        <v>8.2</v>
      </c>
      <c r="E1252">
        <v>8.2</v>
      </c>
      <c r="F1252">
        <v>7</v>
      </c>
      <c r="G1252">
        <v>7</v>
      </c>
      <c r="H1252">
        <v>6.8</v>
      </c>
      <c r="I1252">
        <v>7.5</v>
      </c>
      <c r="J1252">
        <v>7.6</v>
      </c>
      <c r="K1252">
        <v>7.3</v>
      </c>
      <c r="L1252" s="1"/>
    </row>
    <row r="1253" spans="1:12">
      <c r="A1253" t="s">
        <v>1301</v>
      </c>
      <c r="B1253">
        <v>8.3</v>
      </c>
      <c r="C1253">
        <v>8.1</v>
      </c>
      <c r="D1253">
        <v>8.2</v>
      </c>
      <c r="E1253">
        <v>8</v>
      </c>
      <c r="F1253">
        <v>7</v>
      </c>
      <c r="G1253">
        <v>8.1</v>
      </c>
      <c r="H1253">
        <v>7.1</v>
      </c>
      <c r="I1253">
        <v>7.1</v>
      </c>
      <c r="J1253">
        <v>8.5</v>
      </c>
      <c r="K1253">
        <v>6.5</v>
      </c>
      <c r="L1253" s="1"/>
    </row>
    <row r="1254" spans="1:12">
      <c r="A1254" t="s">
        <v>1302</v>
      </c>
      <c r="B1254">
        <v>8.4</v>
      </c>
      <c r="C1254">
        <v>7.1</v>
      </c>
      <c r="D1254">
        <v>8.4</v>
      </c>
      <c r="E1254">
        <v>7.7</v>
      </c>
      <c r="F1254">
        <v>7.5</v>
      </c>
      <c r="G1254">
        <v>6.8</v>
      </c>
      <c r="H1254">
        <v>8.2</v>
      </c>
      <c r="I1254">
        <v>7</v>
      </c>
      <c r="J1254">
        <v>6.5</v>
      </c>
      <c r="K1254">
        <v>5.6</v>
      </c>
      <c r="L1254" s="1"/>
    </row>
    <row r="1255" spans="1:12">
      <c r="A1255" t="s">
        <v>1303</v>
      </c>
      <c r="B1255">
        <v>8.4</v>
      </c>
      <c r="C1255">
        <v>8.1</v>
      </c>
      <c r="D1255">
        <v>8</v>
      </c>
      <c r="E1255">
        <v>7.3</v>
      </c>
      <c r="F1255">
        <v>7.8</v>
      </c>
      <c r="G1255">
        <v>6.9</v>
      </c>
      <c r="H1255">
        <v>9.5</v>
      </c>
      <c r="I1255">
        <v>6.8</v>
      </c>
      <c r="J1255">
        <v>6.5</v>
      </c>
      <c r="K1255">
        <v>6.1</v>
      </c>
      <c r="L1255" s="1"/>
    </row>
    <row r="1256" spans="1:12">
      <c r="A1256" t="s">
        <v>1304</v>
      </c>
      <c r="B1256">
        <v>8.3</v>
      </c>
      <c r="C1256">
        <v>8.2</v>
      </c>
      <c r="D1256">
        <v>7.1</v>
      </c>
      <c r="E1256">
        <v>6.5</v>
      </c>
      <c r="F1256">
        <v>6.7</v>
      </c>
      <c r="G1256">
        <v>8.2</v>
      </c>
      <c r="H1256">
        <v>9.2</v>
      </c>
      <c r="I1256">
        <v>7.4</v>
      </c>
      <c r="J1256">
        <v>7.1</v>
      </c>
      <c r="K1256">
        <v>4.7</v>
      </c>
      <c r="L1256" s="1"/>
    </row>
    <row r="1257" spans="1:12">
      <c r="A1257" t="s">
        <v>1305</v>
      </c>
      <c r="B1257">
        <v>8</v>
      </c>
      <c r="C1257">
        <v>8.5</v>
      </c>
      <c r="D1257">
        <v>8.5</v>
      </c>
      <c r="E1257">
        <v>8.3</v>
      </c>
      <c r="F1257">
        <v>7.5</v>
      </c>
      <c r="G1257">
        <v>7</v>
      </c>
      <c r="H1257">
        <v>7.7</v>
      </c>
      <c r="I1257">
        <v>5.8</v>
      </c>
      <c r="J1257">
        <v>6.5</v>
      </c>
      <c r="K1257">
        <v>6.5</v>
      </c>
      <c r="L1257" s="1"/>
    </row>
    <row r="1258" spans="1:12">
      <c r="A1258" t="s">
        <v>1306</v>
      </c>
      <c r="B1258">
        <v>8.2</v>
      </c>
      <c r="C1258">
        <v>9.1</v>
      </c>
      <c r="D1258">
        <v>7.7</v>
      </c>
      <c r="E1258">
        <v>7.1</v>
      </c>
      <c r="F1258">
        <v>7.9</v>
      </c>
      <c r="G1258">
        <v>6.8</v>
      </c>
      <c r="H1258">
        <v>7.2</v>
      </c>
      <c r="I1258">
        <v>6</v>
      </c>
      <c r="J1258">
        <v>8.3</v>
      </c>
      <c r="K1258">
        <v>3.5</v>
      </c>
      <c r="L1258" s="1"/>
    </row>
    <row r="1259" spans="1:12">
      <c r="A1259" t="s">
        <v>1307</v>
      </c>
      <c r="B1259">
        <v>8.2</v>
      </c>
      <c r="C1259">
        <v>8.3</v>
      </c>
      <c r="D1259">
        <v>7.2</v>
      </c>
      <c r="E1259">
        <v>7.7</v>
      </c>
      <c r="F1259">
        <v>7.5</v>
      </c>
      <c r="G1259">
        <v>7.3</v>
      </c>
      <c r="H1259">
        <v>6.5</v>
      </c>
      <c r="I1259">
        <v>6.6</v>
      </c>
      <c r="J1259">
        <v>5.5</v>
      </c>
      <c r="K1259">
        <v>8.8</v>
      </c>
      <c r="L1259" s="1"/>
    </row>
    <row r="1260" spans="1:12">
      <c r="A1260" t="s">
        <v>1308</v>
      </c>
      <c r="B1260">
        <v>8.1</v>
      </c>
      <c r="C1260">
        <v>8.1</v>
      </c>
      <c r="D1260">
        <v>8.6</v>
      </c>
      <c r="E1260">
        <v>7.8</v>
      </c>
      <c r="F1260">
        <v>6.6</v>
      </c>
      <c r="G1260">
        <v>7.1</v>
      </c>
      <c r="H1260">
        <v>8.3</v>
      </c>
      <c r="I1260">
        <v>7.7</v>
      </c>
      <c r="J1260">
        <v>6.1</v>
      </c>
      <c r="K1260">
        <v>7.3</v>
      </c>
      <c r="L1260" s="1"/>
    </row>
    <row r="1261" spans="1:12">
      <c r="A1261" t="s">
        <v>1309</v>
      </c>
      <c r="B1261">
        <v>9.5</v>
      </c>
      <c r="C1261">
        <v>7.9</v>
      </c>
      <c r="D1261">
        <v>7</v>
      </c>
      <c r="E1261">
        <v>8.9</v>
      </c>
      <c r="F1261">
        <v>7.1</v>
      </c>
      <c r="G1261">
        <v>7.2</v>
      </c>
      <c r="H1261">
        <v>6.3</v>
      </c>
      <c r="I1261">
        <v>7.3</v>
      </c>
      <c r="J1261">
        <v>6.5</v>
      </c>
      <c r="K1261">
        <v>7.7</v>
      </c>
      <c r="L1261" s="1"/>
    </row>
    <row r="1262" spans="1:12">
      <c r="A1262" t="s">
        <v>1310</v>
      </c>
      <c r="B1262">
        <v>7.8</v>
      </c>
      <c r="C1262">
        <v>8</v>
      </c>
      <c r="D1262">
        <v>7.6</v>
      </c>
      <c r="E1262">
        <v>7.9</v>
      </c>
      <c r="F1262">
        <v>8.7</v>
      </c>
      <c r="G1262">
        <v>6.7</v>
      </c>
      <c r="H1262">
        <v>7.6</v>
      </c>
      <c r="I1262">
        <v>7.3</v>
      </c>
      <c r="J1262">
        <v>6</v>
      </c>
      <c r="K1262">
        <v>7.6</v>
      </c>
      <c r="L1262" s="1"/>
    </row>
    <row r="1263" spans="1:12">
      <c r="A1263" t="s">
        <v>1311</v>
      </c>
      <c r="B1263">
        <v>8.4</v>
      </c>
      <c r="C1263">
        <v>8.8</v>
      </c>
      <c r="D1263">
        <v>6.7</v>
      </c>
      <c r="E1263">
        <v>7.9</v>
      </c>
      <c r="F1263">
        <v>8.5</v>
      </c>
      <c r="G1263">
        <v>9.1</v>
      </c>
      <c r="H1263">
        <v>6.8</v>
      </c>
      <c r="I1263">
        <v>7.6</v>
      </c>
      <c r="J1263">
        <v>5.6</v>
      </c>
      <c r="K1263">
        <v>7.4</v>
      </c>
      <c r="L1263" s="1"/>
    </row>
    <row r="1264" spans="1:12">
      <c r="A1264" t="s">
        <v>1312</v>
      </c>
      <c r="B1264">
        <v>8.9</v>
      </c>
      <c r="C1264">
        <v>8.1</v>
      </c>
      <c r="D1264">
        <v>8.3</v>
      </c>
      <c r="E1264">
        <v>8.4</v>
      </c>
      <c r="F1264">
        <v>9</v>
      </c>
      <c r="G1264">
        <v>6.9</v>
      </c>
      <c r="H1264">
        <v>7.5</v>
      </c>
      <c r="I1264">
        <v>7.7</v>
      </c>
      <c r="J1264">
        <v>7</v>
      </c>
      <c r="K1264">
        <v>7.3</v>
      </c>
      <c r="L1264" s="1"/>
    </row>
    <row r="1265" spans="1:12">
      <c r="A1265" t="s">
        <v>1313</v>
      </c>
      <c r="B1265">
        <v>8</v>
      </c>
      <c r="C1265">
        <v>7.3</v>
      </c>
      <c r="D1265">
        <v>8</v>
      </c>
      <c r="E1265">
        <v>8.9</v>
      </c>
      <c r="F1265">
        <v>6.7</v>
      </c>
      <c r="G1265">
        <v>7.9</v>
      </c>
      <c r="H1265">
        <v>6.6</v>
      </c>
      <c r="I1265">
        <v>7.7</v>
      </c>
      <c r="J1265">
        <v>8</v>
      </c>
      <c r="K1265">
        <v>5.5</v>
      </c>
      <c r="L1265" s="1"/>
    </row>
    <row r="1266" spans="1:12">
      <c r="A1266" t="s">
        <v>1314</v>
      </c>
      <c r="B1266">
        <v>9.1</v>
      </c>
      <c r="C1266">
        <v>7.5</v>
      </c>
      <c r="D1266">
        <v>8.2</v>
      </c>
      <c r="E1266">
        <v>8.1</v>
      </c>
      <c r="F1266">
        <v>8.8</v>
      </c>
      <c r="G1266">
        <v>7.9</v>
      </c>
      <c r="H1266">
        <v>8.1</v>
      </c>
      <c r="I1266">
        <v>6.2</v>
      </c>
      <c r="J1266">
        <v>7.9</v>
      </c>
      <c r="K1266">
        <v>6.1</v>
      </c>
      <c r="L1266" s="1"/>
    </row>
    <row r="1267" spans="1:12">
      <c r="A1267" t="s">
        <v>1315</v>
      </c>
      <c r="B1267">
        <v>8.9</v>
      </c>
      <c r="C1267">
        <v>8.3</v>
      </c>
      <c r="D1267">
        <v>8.3</v>
      </c>
      <c r="E1267">
        <v>7.6</v>
      </c>
      <c r="F1267">
        <v>9.3</v>
      </c>
      <c r="G1267">
        <v>7.5</v>
      </c>
      <c r="H1267">
        <v>6.3</v>
      </c>
      <c r="I1267">
        <v>6.2</v>
      </c>
      <c r="J1267">
        <v>7.2</v>
      </c>
      <c r="K1267">
        <v>6.2</v>
      </c>
      <c r="L1267" s="1"/>
    </row>
    <row r="1268" spans="1:12">
      <c r="A1268" t="s">
        <v>1316</v>
      </c>
      <c r="B1268">
        <v>8.2</v>
      </c>
      <c r="C1268">
        <v>9</v>
      </c>
      <c r="D1268">
        <v>8.5</v>
      </c>
      <c r="E1268">
        <v>7.9</v>
      </c>
      <c r="F1268">
        <v>8.3</v>
      </c>
      <c r="G1268">
        <v>8.1</v>
      </c>
      <c r="H1268">
        <v>6.4</v>
      </c>
      <c r="I1268">
        <v>6.1</v>
      </c>
      <c r="J1268">
        <v>7.1</v>
      </c>
      <c r="K1268">
        <v>6.7</v>
      </c>
      <c r="L1268" s="1"/>
    </row>
    <row r="1269" spans="1:12">
      <c r="A1269" t="s">
        <v>1317</v>
      </c>
      <c r="B1269">
        <v>8.4</v>
      </c>
      <c r="C1269">
        <v>7.4</v>
      </c>
      <c r="D1269">
        <v>8.5</v>
      </c>
      <c r="E1269">
        <v>8.3</v>
      </c>
      <c r="F1269">
        <v>7.7</v>
      </c>
      <c r="G1269">
        <v>7.7</v>
      </c>
      <c r="H1269">
        <v>8.2</v>
      </c>
      <c r="I1269">
        <v>7.8</v>
      </c>
      <c r="J1269">
        <v>7.3</v>
      </c>
      <c r="K1269">
        <v>5.6</v>
      </c>
      <c r="L1269" s="1"/>
    </row>
    <row r="1270" spans="1:12">
      <c r="A1270" t="s">
        <v>1318</v>
      </c>
      <c r="B1270">
        <v>8.1</v>
      </c>
      <c r="C1270">
        <v>9</v>
      </c>
      <c r="D1270">
        <v>8.8</v>
      </c>
      <c r="E1270">
        <v>8.3</v>
      </c>
      <c r="F1270">
        <v>6.4</v>
      </c>
      <c r="G1270">
        <v>7</v>
      </c>
      <c r="H1270">
        <v>7.8</v>
      </c>
      <c r="I1270">
        <v>7.4</v>
      </c>
      <c r="J1270">
        <v>7.5</v>
      </c>
      <c r="K1270">
        <v>8.4</v>
      </c>
      <c r="L1270" s="1"/>
    </row>
    <row r="1271" spans="1:12">
      <c r="A1271" t="s">
        <v>1319</v>
      </c>
      <c r="B1271">
        <v>9</v>
      </c>
      <c r="C1271">
        <v>8.2</v>
      </c>
      <c r="D1271">
        <v>8.9</v>
      </c>
      <c r="E1271">
        <v>8.1</v>
      </c>
      <c r="F1271">
        <v>6.9</v>
      </c>
      <c r="G1271">
        <v>7.6</v>
      </c>
      <c r="H1271">
        <v>7</v>
      </c>
      <c r="I1271">
        <v>7.4</v>
      </c>
      <c r="J1271">
        <v>5.9</v>
      </c>
      <c r="K1271">
        <v>6.8</v>
      </c>
      <c r="L1271" s="1"/>
    </row>
    <row r="1272" spans="1:12">
      <c r="A1272" t="s">
        <v>1320</v>
      </c>
      <c r="B1272">
        <v>8.2</v>
      </c>
      <c r="C1272">
        <v>7.4</v>
      </c>
      <c r="D1272">
        <v>8.9</v>
      </c>
      <c r="E1272">
        <v>8.7</v>
      </c>
      <c r="F1272">
        <v>8.7</v>
      </c>
      <c r="G1272">
        <v>8.4</v>
      </c>
      <c r="H1272">
        <v>7.4</v>
      </c>
      <c r="I1272">
        <v>6.5</v>
      </c>
      <c r="J1272">
        <v>6.8</v>
      </c>
      <c r="K1272">
        <v>5.6</v>
      </c>
      <c r="L1272" s="1"/>
    </row>
    <row r="1273" spans="1:12">
      <c r="A1273" t="s">
        <v>1321</v>
      </c>
      <c r="B1273">
        <v>8.2</v>
      </c>
      <c r="C1273">
        <v>8.7</v>
      </c>
      <c r="D1273">
        <v>8.2</v>
      </c>
      <c r="E1273">
        <v>7.2</v>
      </c>
      <c r="F1273">
        <v>7.2</v>
      </c>
      <c r="G1273">
        <v>6.8</v>
      </c>
      <c r="H1273">
        <v>8.8</v>
      </c>
      <c r="I1273">
        <v>6.4</v>
      </c>
      <c r="J1273">
        <v>8.3</v>
      </c>
      <c r="K1273">
        <v>5.6</v>
      </c>
      <c r="L1273" s="1"/>
    </row>
    <row r="1274" spans="1:12">
      <c r="A1274" t="s">
        <v>1322</v>
      </c>
      <c r="B1274">
        <v>8.3</v>
      </c>
      <c r="C1274">
        <v>7.7</v>
      </c>
      <c r="D1274">
        <v>9</v>
      </c>
      <c r="E1274">
        <v>8.2</v>
      </c>
      <c r="F1274">
        <v>6.6</v>
      </c>
      <c r="G1274">
        <v>7.2</v>
      </c>
      <c r="H1274">
        <v>5.7</v>
      </c>
      <c r="I1274">
        <v>6.2</v>
      </c>
      <c r="J1274">
        <v>6.6</v>
      </c>
      <c r="K1274">
        <v>5.4</v>
      </c>
      <c r="L1274" s="1"/>
    </row>
    <row r="1275" spans="1:12">
      <c r="A1275" t="s">
        <v>1323</v>
      </c>
      <c r="B1275">
        <v>8.5</v>
      </c>
      <c r="C1275">
        <v>8.4</v>
      </c>
      <c r="D1275">
        <v>8.2</v>
      </c>
      <c r="E1275">
        <v>7.5</v>
      </c>
      <c r="F1275">
        <v>8.4</v>
      </c>
      <c r="G1275">
        <v>7.9</v>
      </c>
      <c r="H1275">
        <v>7.9</v>
      </c>
      <c r="I1275">
        <v>4.4</v>
      </c>
      <c r="J1275">
        <v>7.6</v>
      </c>
      <c r="K1275">
        <v>5</v>
      </c>
      <c r="L1275" s="1"/>
    </row>
    <row r="1276" spans="1:12">
      <c r="A1276" t="s">
        <v>1324</v>
      </c>
      <c r="B1276">
        <v>7.9</v>
      </c>
      <c r="C1276">
        <v>8.7</v>
      </c>
      <c r="D1276">
        <v>7.4</v>
      </c>
      <c r="E1276">
        <v>8.3</v>
      </c>
      <c r="F1276">
        <v>8.8</v>
      </c>
      <c r="G1276">
        <v>8.3</v>
      </c>
      <c r="H1276">
        <v>7.6</v>
      </c>
      <c r="I1276">
        <v>6.2</v>
      </c>
      <c r="J1276">
        <v>8.2</v>
      </c>
      <c r="K1276">
        <v>5.3</v>
      </c>
      <c r="L1276" s="1"/>
    </row>
    <row r="1277" spans="1:12">
      <c r="A1277" t="s">
        <v>1325</v>
      </c>
      <c r="B1277">
        <v>9.2</v>
      </c>
      <c r="C1277">
        <v>8.3</v>
      </c>
      <c r="D1277">
        <v>8.2</v>
      </c>
      <c r="E1277">
        <v>7.7</v>
      </c>
      <c r="F1277">
        <v>8.8</v>
      </c>
      <c r="G1277">
        <v>8.5</v>
      </c>
      <c r="H1277">
        <v>6.2</v>
      </c>
      <c r="I1277">
        <v>6.9</v>
      </c>
      <c r="J1277">
        <v>6.8</v>
      </c>
      <c r="K1277">
        <v>5.9</v>
      </c>
      <c r="L1277" s="1"/>
    </row>
    <row r="1278" spans="1:12">
      <c r="A1278" t="s">
        <v>1326</v>
      </c>
      <c r="B1278">
        <v>8</v>
      </c>
      <c r="C1278">
        <v>8.9</v>
      </c>
      <c r="D1278">
        <v>7.1</v>
      </c>
      <c r="E1278">
        <v>8</v>
      </c>
      <c r="F1278">
        <v>9.5</v>
      </c>
      <c r="G1278">
        <v>6.7</v>
      </c>
      <c r="H1278">
        <v>7.3</v>
      </c>
      <c r="I1278">
        <v>6.7</v>
      </c>
      <c r="J1278">
        <v>7.4</v>
      </c>
      <c r="K1278">
        <v>5.4</v>
      </c>
      <c r="L1278" s="1"/>
    </row>
    <row r="1279" spans="1:12">
      <c r="A1279" t="s">
        <v>1327</v>
      </c>
      <c r="B1279">
        <v>9.3</v>
      </c>
      <c r="C1279">
        <v>8.7</v>
      </c>
      <c r="D1279">
        <v>9</v>
      </c>
      <c r="E1279">
        <v>7.8</v>
      </c>
      <c r="F1279">
        <v>8</v>
      </c>
      <c r="G1279">
        <v>6.9</v>
      </c>
      <c r="H1279">
        <v>7.6</v>
      </c>
      <c r="I1279">
        <v>7.9</v>
      </c>
      <c r="J1279">
        <v>6.3</v>
      </c>
      <c r="K1279">
        <v>6.3</v>
      </c>
      <c r="L1279" s="1"/>
    </row>
    <row r="1280" spans="1:12">
      <c r="A1280" t="s">
        <v>1328</v>
      </c>
      <c r="B1280">
        <v>8.4</v>
      </c>
      <c r="C1280">
        <v>8.7</v>
      </c>
      <c r="D1280">
        <v>8.9</v>
      </c>
      <c r="E1280">
        <v>7.4</v>
      </c>
      <c r="F1280">
        <v>7.9</v>
      </c>
      <c r="G1280">
        <v>7.8</v>
      </c>
      <c r="H1280">
        <v>7.7</v>
      </c>
      <c r="I1280">
        <v>6.6</v>
      </c>
      <c r="J1280">
        <v>6.1</v>
      </c>
      <c r="K1280">
        <v>3.8</v>
      </c>
      <c r="L1280" s="1"/>
    </row>
    <row r="1281" spans="1:12">
      <c r="A1281" t="s">
        <v>1329</v>
      </c>
      <c r="B1281">
        <v>8.5</v>
      </c>
      <c r="C1281">
        <v>8.4</v>
      </c>
      <c r="D1281">
        <v>8.6</v>
      </c>
      <c r="E1281">
        <v>8</v>
      </c>
      <c r="F1281">
        <v>8.1</v>
      </c>
      <c r="G1281">
        <v>8.4</v>
      </c>
      <c r="H1281">
        <v>8.4</v>
      </c>
      <c r="I1281">
        <v>7.1</v>
      </c>
      <c r="J1281">
        <v>6.7</v>
      </c>
      <c r="K1281">
        <v>5.7</v>
      </c>
      <c r="L1281" s="1"/>
    </row>
    <row r="1282" spans="1:12">
      <c r="A1282" t="s">
        <v>1330</v>
      </c>
      <c r="B1282">
        <v>8.4</v>
      </c>
      <c r="C1282">
        <v>7.2</v>
      </c>
      <c r="D1282">
        <v>8.8</v>
      </c>
      <c r="E1282">
        <v>7.7</v>
      </c>
      <c r="F1282">
        <v>7.3</v>
      </c>
      <c r="G1282">
        <v>6.6</v>
      </c>
      <c r="H1282">
        <v>8.9</v>
      </c>
      <c r="I1282">
        <v>7.4</v>
      </c>
      <c r="J1282">
        <v>7.4</v>
      </c>
      <c r="K1282">
        <v>2.7</v>
      </c>
      <c r="L1282" s="1"/>
    </row>
    <row r="1283" spans="1:12">
      <c r="A1283" t="s">
        <v>1331</v>
      </c>
      <c r="B1283">
        <v>8.3</v>
      </c>
      <c r="C1283">
        <v>8.5</v>
      </c>
      <c r="D1283">
        <v>8.8</v>
      </c>
      <c r="E1283">
        <v>7.8</v>
      </c>
      <c r="F1283">
        <v>7.8</v>
      </c>
      <c r="G1283">
        <v>7.2</v>
      </c>
      <c r="H1283">
        <v>6.9</v>
      </c>
      <c r="I1283">
        <v>6.9</v>
      </c>
      <c r="J1283">
        <v>7</v>
      </c>
      <c r="K1283">
        <v>6.8</v>
      </c>
      <c r="L1283" s="1"/>
    </row>
    <row r="1284" spans="1:12">
      <c r="A1284" t="s">
        <v>1332</v>
      </c>
      <c r="B1284">
        <v>9.2</v>
      </c>
      <c r="C1284">
        <v>8.3</v>
      </c>
      <c r="D1284">
        <v>8.9</v>
      </c>
      <c r="E1284">
        <v>8.2</v>
      </c>
      <c r="F1284">
        <v>7.4</v>
      </c>
      <c r="G1284">
        <v>7.3</v>
      </c>
      <c r="H1284">
        <v>5.6</v>
      </c>
      <c r="I1284">
        <v>6.8</v>
      </c>
      <c r="J1284">
        <v>6.1</v>
      </c>
      <c r="K1284">
        <v>6.1</v>
      </c>
      <c r="L1284" s="1"/>
    </row>
    <row r="1285" spans="1:12">
      <c r="A1285" t="s">
        <v>1333</v>
      </c>
      <c r="B1285">
        <v>8.7</v>
      </c>
      <c r="C1285">
        <v>8.8</v>
      </c>
      <c r="D1285">
        <v>7.6</v>
      </c>
      <c r="E1285">
        <v>7.3</v>
      </c>
      <c r="F1285">
        <v>8.3</v>
      </c>
      <c r="G1285">
        <v>7.2</v>
      </c>
      <c r="H1285">
        <v>7.9</v>
      </c>
      <c r="I1285">
        <v>6.2</v>
      </c>
      <c r="J1285">
        <v>6.5</v>
      </c>
      <c r="K1285">
        <v>7.7</v>
      </c>
      <c r="L1285" s="1"/>
    </row>
    <row r="1286" spans="1:12">
      <c r="A1286" t="s">
        <v>1334</v>
      </c>
      <c r="B1286">
        <v>9</v>
      </c>
      <c r="C1286">
        <v>9.1</v>
      </c>
      <c r="D1286">
        <v>7.9</v>
      </c>
      <c r="E1286">
        <v>8.6</v>
      </c>
      <c r="F1286">
        <v>6.7</v>
      </c>
      <c r="G1286">
        <v>7.8</v>
      </c>
      <c r="H1286">
        <v>7.9</v>
      </c>
      <c r="I1286">
        <v>6.5</v>
      </c>
      <c r="J1286">
        <v>8.1</v>
      </c>
      <c r="K1286">
        <v>6.7</v>
      </c>
      <c r="L1286" s="1"/>
    </row>
    <row r="1287" spans="1:12">
      <c r="A1287" t="s">
        <v>1335</v>
      </c>
      <c r="B1287">
        <v>8.6</v>
      </c>
      <c r="C1287">
        <v>8</v>
      </c>
      <c r="D1287">
        <v>7.2</v>
      </c>
      <c r="E1287">
        <v>8.1</v>
      </c>
      <c r="F1287">
        <v>7.2</v>
      </c>
      <c r="G1287">
        <v>8</v>
      </c>
      <c r="H1287">
        <v>6.8</v>
      </c>
      <c r="I1287">
        <v>7.1</v>
      </c>
      <c r="J1287">
        <v>6.7</v>
      </c>
      <c r="K1287">
        <v>6.8</v>
      </c>
      <c r="L1287" s="1"/>
    </row>
    <row r="1288" spans="1:12">
      <c r="A1288" t="s">
        <v>1336</v>
      </c>
      <c r="B1288">
        <v>8.4</v>
      </c>
      <c r="C1288">
        <v>8.2</v>
      </c>
      <c r="D1288">
        <v>8.2</v>
      </c>
      <c r="E1288">
        <v>6.9</v>
      </c>
      <c r="F1288">
        <v>7.9</v>
      </c>
      <c r="G1288">
        <v>8.5</v>
      </c>
      <c r="H1288">
        <v>6</v>
      </c>
      <c r="I1288">
        <v>7.3</v>
      </c>
      <c r="J1288">
        <v>4.9</v>
      </c>
      <c r="K1288">
        <v>6.9</v>
      </c>
      <c r="L1288" s="1"/>
    </row>
    <row r="1289" spans="1:12">
      <c r="A1289" t="s">
        <v>1337</v>
      </c>
      <c r="B1289">
        <v>8.5</v>
      </c>
      <c r="C1289">
        <v>8.2</v>
      </c>
      <c r="D1289">
        <v>8.2</v>
      </c>
      <c r="E1289">
        <v>8.1</v>
      </c>
      <c r="F1289">
        <v>5.7</v>
      </c>
      <c r="G1289">
        <v>7.7</v>
      </c>
      <c r="H1289">
        <v>6.8</v>
      </c>
      <c r="I1289">
        <v>6.6</v>
      </c>
      <c r="J1289">
        <v>5.5</v>
      </c>
      <c r="K1289">
        <v>4.2</v>
      </c>
      <c r="L1289" s="1"/>
    </row>
    <row r="1290" spans="1:12">
      <c r="A1290" t="s">
        <v>1338</v>
      </c>
      <c r="B1290">
        <v>8.6</v>
      </c>
      <c r="C1290">
        <v>9.2</v>
      </c>
      <c r="D1290">
        <v>7.9</v>
      </c>
      <c r="E1290">
        <v>8.3</v>
      </c>
      <c r="F1290">
        <v>6.9</v>
      </c>
      <c r="G1290">
        <v>7.8</v>
      </c>
      <c r="H1290">
        <v>6.7</v>
      </c>
      <c r="I1290">
        <v>7.9</v>
      </c>
      <c r="J1290">
        <v>6.1</v>
      </c>
      <c r="K1290">
        <v>6.7</v>
      </c>
      <c r="L1290" s="1"/>
    </row>
    <row r="1291" spans="1:12">
      <c r="A1291" t="s">
        <v>1339</v>
      </c>
      <c r="B1291">
        <v>8.4</v>
      </c>
      <c r="C1291">
        <v>9.2</v>
      </c>
      <c r="D1291">
        <v>8.6</v>
      </c>
      <c r="E1291">
        <v>7.4</v>
      </c>
      <c r="F1291">
        <v>8.4</v>
      </c>
      <c r="G1291">
        <v>8.2</v>
      </c>
      <c r="H1291">
        <v>7.8</v>
      </c>
      <c r="I1291">
        <v>8.3</v>
      </c>
      <c r="J1291">
        <v>7.8</v>
      </c>
      <c r="K1291">
        <v>7.5</v>
      </c>
      <c r="L1291" s="1"/>
    </row>
    <row r="1292" spans="1:12">
      <c r="A1292" t="s">
        <v>1340</v>
      </c>
      <c r="B1292">
        <v>8.7</v>
      </c>
      <c r="C1292">
        <v>8.5</v>
      </c>
      <c r="D1292">
        <v>8.3</v>
      </c>
      <c r="E1292">
        <v>7.1</v>
      </c>
      <c r="F1292">
        <v>8.4</v>
      </c>
      <c r="G1292">
        <v>5.6</v>
      </c>
      <c r="H1292">
        <v>6.5</v>
      </c>
      <c r="I1292">
        <v>8.1</v>
      </c>
      <c r="J1292">
        <v>6.7</v>
      </c>
      <c r="K1292">
        <v>5.7</v>
      </c>
      <c r="L1292" s="1"/>
    </row>
    <row r="1293" spans="1:12">
      <c r="A1293" t="s">
        <v>1341</v>
      </c>
      <c r="B1293">
        <v>8.9</v>
      </c>
      <c r="C1293">
        <v>8.3</v>
      </c>
      <c r="D1293">
        <v>8.5</v>
      </c>
      <c r="E1293">
        <v>7.3</v>
      </c>
      <c r="F1293">
        <v>7</v>
      </c>
      <c r="G1293">
        <v>7.6</v>
      </c>
      <c r="H1293">
        <v>8.7</v>
      </c>
      <c r="I1293">
        <v>7.9</v>
      </c>
      <c r="J1293">
        <v>6.1</v>
      </c>
      <c r="K1293">
        <v>6.4</v>
      </c>
      <c r="L1293" s="1"/>
    </row>
    <row r="1294" spans="1:12">
      <c r="A1294" t="s">
        <v>1342</v>
      </c>
      <c r="B1294">
        <v>7.9</v>
      </c>
      <c r="C1294">
        <v>9.1</v>
      </c>
      <c r="D1294">
        <v>8.3</v>
      </c>
      <c r="E1294">
        <v>8.1</v>
      </c>
      <c r="F1294">
        <v>7.3</v>
      </c>
      <c r="G1294">
        <v>8.6</v>
      </c>
      <c r="H1294">
        <v>8.7</v>
      </c>
      <c r="I1294">
        <v>7.2</v>
      </c>
      <c r="J1294">
        <v>6.7</v>
      </c>
      <c r="K1294">
        <v>6.3</v>
      </c>
      <c r="L1294" s="1"/>
    </row>
    <row r="1295" spans="1:12">
      <c r="A1295" t="s">
        <v>1343</v>
      </c>
      <c r="B1295">
        <v>8</v>
      </c>
      <c r="C1295">
        <v>9.1</v>
      </c>
      <c r="D1295">
        <v>8.5</v>
      </c>
      <c r="E1295">
        <v>7.2</v>
      </c>
      <c r="F1295">
        <v>7.8</v>
      </c>
      <c r="G1295">
        <v>7.9</v>
      </c>
      <c r="H1295">
        <v>7.3</v>
      </c>
      <c r="I1295">
        <v>6.5</v>
      </c>
      <c r="J1295">
        <v>6.7</v>
      </c>
      <c r="K1295">
        <v>4.6</v>
      </c>
      <c r="L1295" s="1"/>
    </row>
    <row r="1296" spans="1:12">
      <c r="A1296" t="s">
        <v>1344</v>
      </c>
      <c r="B1296">
        <v>8.4</v>
      </c>
      <c r="C1296">
        <v>7.8</v>
      </c>
      <c r="D1296">
        <v>8.6</v>
      </c>
      <c r="E1296">
        <v>8</v>
      </c>
      <c r="F1296">
        <v>6.7</v>
      </c>
      <c r="G1296">
        <v>7.8</v>
      </c>
      <c r="H1296">
        <v>8.2</v>
      </c>
      <c r="I1296">
        <v>5.7</v>
      </c>
      <c r="J1296">
        <v>7</v>
      </c>
      <c r="K1296">
        <v>6.6</v>
      </c>
      <c r="L1296" s="1"/>
    </row>
    <row r="1297" spans="1:12">
      <c r="A1297" t="s">
        <v>1345</v>
      </c>
      <c r="B1297">
        <v>8.4</v>
      </c>
      <c r="C1297">
        <v>9</v>
      </c>
      <c r="D1297">
        <v>8</v>
      </c>
      <c r="E1297">
        <v>8</v>
      </c>
      <c r="F1297">
        <v>9</v>
      </c>
      <c r="G1297">
        <v>7.9</v>
      </c>
      <c r="H1297">
        <v>6</v>
      </c>
      <c r="I1297">
        <v>8.3</v>
      </c>
      <c r="J1297">
        <v>7.4</v>
      </c>
      <c r="K1297">
        <v>6.8</v>
      </c>
      <c r="L1297" s="1"/>
    </row>
    <row r="1298" spans="1:12">
      <c r="A1298" t="s">
        <v>1346</v>
      </c>
      <c r="B1298">
        <v>9.2</v>
      </c>
      <c r="C1298">
        <v>8.6</v>
      </c>
      <c r="D1298">
        <v>7.1</v>
      </c>
      <c r="E1298">
        <v>8.7</v>
      </c>
      <c r="F1298">
        <v>9.2</v>
      </c>
      <c r="G1298">
        <v>7.4</v>
      </c>
      <c r="H1298">
        <v>7</v>
      </c>
      <c r="I1298">
        <v>7.3</v>
      </c>
      <c r="J1298">
        <v>8.2</v>
      </c>
      <c r="K1298">
        <v>6.3</v>
      </c>
      <c r="L1298" s="1"/>
    </row>
    <row r="1299" spans="1:12">
      <c r="A1299" t="s">
        <v>1347</v>
      </c>
      <c r="B1299">
        <v>8.1</v>
      </c>
      <c r="C1299">
        <v>8.1</v>
      </c>
      <c r="D1299">
        <v>9.2</v>
      </c>
      <c r="E1299">
        <v>8.5</v>
      </c>
      <c r="F1299">
        <v>8.3</v>
      </c>
      <c r="G1299">
        <v>8.6</v>
      </c>
      <c r="H1299">
        <v>7</v>
      </c>
      <c r="I1299">
        <v>9.1</v>
      </c>
      <c r="J1299">
        <v>5.9</v>
      </c>
      <c r="K1299">
        <v>5.4</v>
      </c>
      <c r="L1299" s="1"/>
    </row>
    <row r="1300" spans="1:12">
      <c r="A1300" t="s">
        <v>1348</v>
      </c>
      <c r="B1300">
        <v>8.8</v>
      </c>
      <c r="C1300">
        <v>8.1</v>
      </c>
      <c r="D1300">
        <v>8.3</v>
      </c>
      <c r="E1300">
        <v>8</v>
      </c>
      <c r="F1300">
        <v>8.6</v>
      </c>
      <c r="G1300">
        <v>7.4</v>
      </c>
      <c r="H1300">
        <v>8.2</v>
      </c>
      <c r="I1300">
        <v>5.2</v>
      </c>
      <c r="J1300">
        <v>5.3</v>
      </c>
      <c r="K1300">
        <v>6.8</v>
      </c>
      <c r="L1300" s="1"/>
    </row>
    <row r="1301" spans="1:12">
      <c r="A1301" t="s">
        <v>1349</v>
      </c>
      <c r="B1301">
        <v>8.9</v>
      </c>
      <c r="C1301">
        <v>9.2</v>
      </c>
      <c r="D1301">
        <v>8.1</v>
      </c>
      <c r="E1301">
        <v>8.2</v>
      </c>
      <c r="F1301">
        <v>7.5</v>
      </c>
      <c r="G1301">
        <v>8.3</v>
      </c>
      <c r="H1301">
        <v>6.7</v>
      </c>
      <c r="I1301">
        <v>7.2</v>
      </c>
      <c r="J1301">
        <v>6</v>
      </c>
      <c r="K1301">
        <v>5.7</v>
      </c>
      <c r="L1301" s="1"/>
    </row>
    <row r="1302" spans="1:12">
      <c r="A1302" t="s">
        <v>1350</v>
      </c>
      <c r="B1302">
        <v>9.1</v>
      </c>
      <c r="C1302">
        <v>9</v>
      </c>
      <c r="D1302">
        <v>8.4</v>
      </c>
      <c r="E1302">
        <v>8.1</v>
      </c>
      <c r="F1302">
        <v>8.4</v>
      </c>
      <c r="G1302">
        <v>7.6</v>
      </c>
      <c r="H1302">
        <v>7.7</v>
      </c>
      <c r="I1302">
        <v>6.3</v>
      </c>
      <c r="J1302">
        <v>8.4</v>
      </c>
      <c r="K1302">
        <v>5.9</v>
      </c>
      <c r="L1302" s="1"/>
    </row>
    <row r="1303" spans="1:12">
      <c r="A1303" t="s">
        <v>1351</v>
      </c>
      <c r="B1303">
        <v>9.1</v>
      </c>
      <c r="C1303">
        <v>9.7</v>
      </c>
      <c r="D1303">
        <v>8.6</v>
      </c>
      <c r="E1303">
        <v>8.6</v>
      </c>
      <c r="F1303">
        <v>7.1</v>
      </c>
      <c r="G1303">
        <v>6.8</v>
      </c>
      <c r="H1303">
        <v>8.3</v>
      </c>
      <c r="I1303">
        <v>7.4</v>
      </c>
      <c r="J1303">
        <v>7</v>
      </c>
      <c r="K1303">
        <v>6.8</v>
      </c>
      <c r="L1303" s="1"/>
    </row>
    <row r="1304" spans="1:12">
      <c r="A1304" t="s">
        <v>1352</v>
      </c>
      <c r="B1304">
        <v>8.7</v>
      </c>
      <c r="C1304">
        <v>9.1</v>
      </c>
      <c r="D1304">
        <v>8.7</v>
      </c>
      <c r="E1304">
        <v>8.5</v>
      </c>
      <c r="F1304">
        <v>8.5</v>
      </c>
      <c r="G1304">
        <v>9.2</v>
      </c>
      <c r="H1304">
        <v>8.2</v>
      </c>
      <c r="I1304">
        <v>6.3</v>
      </c>
      <c r="J1304">
        <v>8.2</v>
      </c>
      <c r="K1304">
        <v>5.3</v>
      </c>
      <c r="L1304" s="1"/>
    </row>
    <row r="1305" spans="1:12">
      <c r="A1305" t="s">
        <v>1353</v>
      </c>
      <c r="B1305">
        <v>8.5</v>
      </c>
      <c r="C1305">
        <v>8.6</v>
      </c>
      <c r="D1305">
        <v>10</v>
      </c>
      <c r="E1305">
        <v>10</v>
      </c>
      <c r="F1305">
        <v>7.6</v>
      </c>
      <c r="G1305">
        <v>6.7</v>
      </c>
      <c r="H1305">
        <v>6.8</v>
      </c>
      <c r="I1305">
        <v>7.5</v>
      </c>
      <c r="J1305">
        <v>7.3</v>
      </c>
      <c r="K1305">
        <v>5.7</v>
      </c>
      <c r="L1305" s="1"/>
    </row>
    <row r="1306" spans="1:12">
      <c r="A1306" t="s">
        <v>1354</v>
      </c>
      <c r="B1306">
        <v>8.8</v>
      </c>
      <c r="C1306">
        <v>9.2</v>
      </c>
      <c r="D1306">
        <v>8.5</v>
      </c>
      <c r="E1306">
        <v>8.3</v>
      </c>
      <c r="F1306">
        <v>7.6</v>
      </c>
      <c r="G1306">
        <v>8.4</v>
      </c>
      <c r="H1306">
        <v>6.3</v>
      </c>
      <c r="I1306">
        <v>8</v>
      </c>
      <c r="J1306">
        <v>8.4</v>
      </c>
      <c r="K1306">
        <v>6.3</v>
      </c>
      <c r="L1306" s="1"/>
    </row>
    <row r="1307" spans="1:12">
      <c r="A1307" t="s">
        <v>1355</v>
      </c>
      <c r="B1307">
        <v>8.5</v>
      </c>
      <c r="C1307">
        <v>8.9</v>
      </c>
      <c r="D1307">
        <v>8.9</v>
      </c>
      <c r="E1307">
        <v>8.3</v>
      </c>
      <c r="F1307">
        <v>9.1</v>
      </c>
      <c r="G1307">
        <v>7.6</v>
      </c>
      <c r="H1307">
        <v>7.3</v>
      </c>
      <c r="I1307">
        <v>7.4</v>
      </c>
      <c r="J1307">
        <v>7.8</v>
      </c>
      <c r="K1307">
        <v>5.8</v>
      </c>
      <c r="L1307" s="1"/>
    </row>
    <row r="1308" spans="1:12">
      <c r="A1308" t="s">
        <v>1356</v>
      </c>
      <c r="B1308">
        <v>9.3</v>
      </c>
      <c r="C1308">
        <v>8.8</v>
      </c>
      <c r="D1308">
        <v>8.8</v>
      </c>
      <c r="E1308">
        <v>8.5</v>
      </c>
      <c r="F1308">
        <v>8.9</v>
      </c>
      <c r="G1308">
        <v>9.2</v>
      </c>
      <c r="H1308">
        <v>6.8</v>
      </c>
      <c r="I1308">
        <v>7.4</v>
      </c>
      <c r="J1308">
        <v>7.8</v>
      </c>
      <c r="K1308">
        <v>5.5</v>
      </c>
      <c r="L1308" s="1"/>
    </row>
    <row r="1309" spans="1:12">
      <c r="A1309" t="s">
        <v>1357</v>
      </c>
      <c r="B1309">
        <v>8.5</v>
      </c>
      <c r="C1309">
        <v>8.3</v>
      </c>
      <c r="D1309">
        <v>8.5</v>
      </c>
      <c r="E1309">
        <v>8.9</v>
      </c>
      <c r="F1309">
        <v>8.3</v>
      </c>
      <c r="G1309">
        <v>6.7</v>
      </c>
      <c r="H1309">
        <v>7.7</v>
      </c>
      <c r="I1309">
        <v>8.5</v>
      </c>
      <c r="J1309">
        <v>5.7</v>
      </c>
      <c r="K1309">
        <v>6.8</v>
      </c>
      <c r="L1309" s="1"/>
    </row>
    <row r="1310" spans="1:12">
      <c r="A1310" t="s">
        <v>1358</v>
      </c>
      <c r="B1310">
        <v>8.2</v>
      </c>
      <c r="C1310">
        <v>9.2</v>
      </c>
      <c r="D1310">
        <v>8.2</v>
      </c>
      <c r="E1310">
        <v>8.7</v>
      </c>
      <c r="F1310">
        <v>6.4</v>
      </c>
      <c r="G1310">
        <v>7.5</v>
      </c>
      <c r="H1310">
        <v>7.9</v>
      </c>
      <c r="I1310">
        <v>8.7</v>
      </c>
      <c r="J1310">
        <v>7.5</v>
      </c>
      <c r="K1310">
        <v>8</v>
      </c>
      <c r="L1310" s="1"/>
    </row>
    <row r="1311" spans="1:12">
      <c r="A1311" t="s">
        <v>1359</v>
      </c>
      <c r="B1311">
        <v>9.9</v>
      </c>
      <c r="C1311">
        <v>8.9</v>
      </c>
      <c r="D1311">
        <v>8.3</v>
      </c>
      <c r="E1311">
        <v>9.3</v>
      </c>
      <c r="F1311">
        <v>7.9</v>
      </c>
      <c r="G1311">
        <v>9.1</v>
      </c>
      <c r="H1311">
        <v>7</v>
      </c>
      <c r="I1311">
        <v>8.3</v>
      </c>
      <c r="J1311">
        <v>6.5</v>
      </c>
      <c r="K1311">
        <v>4.4</v>
      </c>
      <c r="L1311" s="1"/>
    </row>
    <row r="1312" spans="1:12">
      <c r="A1312" t="s">
        <v>1360</v>
      </c>
      <c r="B1312">
        <v>10</v>
      </c>
      <c r="C1312">
        <v>9.1</v>
      </c>
      <c r="D1312">
        <v>9.6</v>
      </c>
      <c r="E1312">
        <v>8.7</v>
      </c>
      <c r="F1312">
        <v>7.6</v>
      </c>
      <c r="G1312">
        <v>8.4</v>
      </c>
      <c r="H1312">
        <v>6.8</v>
      </c>
      <c r="I1312">
        <v>6.8</v>
      </c>
      <c r="J1312">
        <v>7</v>
      </c>
      <c r="K1312">
        <v>6.4</v>
      </c>
      <c r="L1312" s="1"/>
    </row>
    <row r="1313" spans="1:12">
      <c r="A1313" t="s">
        <v>1361</v>
      </c>
      <c r="B1313">
        <v>8.4</v>
      </c>
      <c r="C1313">
        <v>9.5</v>
      </c>
      <c r="D1313">
        <v>7.8</v>
      </c>
      <c r="E1313">
        <v>8</v>
      </c>
      <c r="F1313">
        <v>8.4</v>
      </c>
      <c r="G1313">
        <v>7.7</v>
      </c>
      <c r="H1313">
        <v>7.3</v>
      </c>
      <c r="I1313">
        <v>7</v>
      </c>
      <c r="J1313">
        <v>6.2</v>
      </c>
      <c r="K1313">
        <v>9</v>
      </c>
      <c r="L1313" s="1"/>
    </row>
    <row r="1314" spans="1:12">
      <c r="A1314" t="s">
        <v>1362</v>
      </c>
      <c r="B1314">
        <v>9.3</v>
      </c>
      <c r="C1314">
        <v>7.9</v>
      </c>
      <c r="D1314">
        <v>9.4</v>
      </c>
      <c r="E1314">
        <v>7.5</v>
      </c>
      <c r="F1314">
        <v>7.2</v>
      </c>
      <c r="G1314">
        <v>6.6</v>
      </c>
      <c r="H1314">
        <v>9.1</v>
      </c>
      <c r="I1314">
        <v>7.6</v>
      </c>
      <c r="J1314">
        <v>5.8</v>
      </c>
      <c r="K1314">
        <v>7.3</v>
      </c>
      <c r="L1314" s="1"/>
    </row>
    <row r="1315" spans="1:12">
      <c r="A1315" t="s">
        <v>1363</v>
      </c>
      <c r="B1315">
        <v>8.4</v>
      </c>
      <c r="C1315">
        <v>9.8</v>
      </c>
      <c r="D1315">
        <v>9.1</v>
      </c>
      <c r="E1315">
        <v>8.9</v>
      </c>
      <c r="F1315">
        <v>6.9</v>
      </c>
      <c r="G1315">
        <v>7.9</v>
      </c>
      <c r="H1315">
        <v>7.1</v>
      </c>
      <c r="I1315">
        <v>5.9</v>
      </c>
      <c r="J1315">
        <v>7.4</v>
      </c>
      <c r="K1315">
        <v>8.2</v>
      </c>
      <c r="L1315" s="1"/>
    </row>
    <row r="1316" spans="1:12">
      <c r="A1316" t="s">
        <v>1364</v>
      </c>
      <c r="B1316">
        <v>9.9</v>
      </c>
      <c r="C1316">
        <v>7.6</v>
      </c>
      <c r="D1316">
        <v>8.9</v>
      </c>
      <c r="E1316">
        <v>8.4</v>
      </c>
      <c r="F1316">
        <v>7</v>
      </c>
      <c r="G1316">
        <v>7.9</v>
      </c>
      <c r="H1316">
        <v>8.1</v>
      </c>
      <c r="I1316">
        <v>5.2</v>
      </c>
      <c r="J1316">
        <v>8.5</v>
      </c>
      <c r="K1316">
        <v>6.3</v>
      </c>
      <c r="L1316" s="1"/>
    </row>
    <row r="1317" spans="1:12">
      <c r="A1317" t="s">
        <v>1365</v>
      </c>
      <c r="B1317">
        <v>9.2</v>
      </c>
      <c r="C1317">
        <v>9.9</v>
      </c>
      <c r="D1317">
        <v>7.6</v>
      </c>
      <c r="E1317">
        <v>7.2</v>
      </c>
      <c r="F1317">
        <v>8.8</v>
      </c>
      <c r="G1317">
        <v>6.3</v>
      </c>
      <c r="H1317">
        <v>7.1</v>
      </c>
      <c r="I1317">
        <v>8</v>
      </c>
      <c r="J1317">
        <v>8.1</v>
      </c>
      <c r="K1317">
        <v>7.8</v>
      </c>
      <c r="L1317" s="1"/>
    </row>
    <row r="1318" spans="1:12">
      <c r="A1318" t="s">
        <v>1366</v>
      </c>
      <c r="B1318">
        <v>8.8</v>
      </c>
      <c r="C1318">
        <v>8.9</v>
      </c>
      <c r="D1318">
        <v>8.6</v>
      </c>
      <c r="E1318">
        <v>8.7</v>
      </c>
      <c r="F1318">
        <v>9.4</v>
      </c>
      <c r="G1318">
        <v>8.8</v>
      </c>
      <c r="H1318">
        <v>6.3</v>
      </c>
      <c r="I1318">
        <v>6.2</v>
      </c>
      <c r="J1318">
        <v>8.6</v>
      </c>
      <c r="K1318">
        <v>5.2</v>
      </c>
      <c r="L1318" s="1"/>
    </row>
    <row r="1319" spans="1:12">
      <c r="A1319" t="s">
        <v>1367</v>
      </c>
      <c r="B1319">
        <v>8.6</v>
      </c>
      <c r="C1319">
        <v>8.4</v>
      </c>
      <c r="D1319">
        <v>8.7</v>
      </c>
      <c r="E1319">
        <v>8.3</v>
      </c>
      <c r="F1319">
        <v>9</v>
      </c>
      <c r="G1319">
        <v>7.7</v>
      </c>
      <c r="H1319">
        <v>6.6</v>
      </c>
      <c r="I1319">
        <v>8.2</v>
      </c>
      <c r="J1319">
        <v>8.5</v>
      </c>
      <c r="K1319">
        <v>5.3</v>
      </c>
      <c r="L1319" s="1"/>
    </row>
    <row r="1320" spans="1:12">
      <c r="A1320" t="s">
        <v>1368</v>
      </c>
      <c r="B1320">
        <v>8.9</v>
      </c>
      <c r="C1320">
        <v>9</v>
      </c>
      <c r="D1320">
        <v>8.3</v>
      </c>
      <c r="E1320">
        <v>8.6</v>
      </c>
      <c r="F1320">
        <v>8.8</v>
      </c>
      <c r="G1320">
        <v>8</v>
      </c>
      <c r="H1320">
        <v>6.9</v>
      </c>
      <c r="I1320">
        <v>7.5</v>
      </c>
      <c r="J1320">
        <v>6.2</v>
      </c>
      <c r="K1320">
        <v>8.2</v>
      </c>
      <c r="L1320" s="1"/>
    </row>
    <row r="1321" spans="1:12">
      <c r="A1321" t="s">
        <v>1369</v>
      </c>
      <c r="B1321">
        <v>9</v>
      </c>
      <c r="C1321">
        <v>8.3</v>
      </c>
      <c r="D1321">
        <v>8.6</v>
      </c>
      <c r="E1321">
        <v>9.6</v>
      </c>
      <c r="F1321">
        <v>7.6</v>
      </c>
      <c r="G1321">
        <v>8.4</v>
      </c>
      <c r="H1321">
        <v>8.7</v>
      </c>
      <c r="I1321">
        <v>6.8</v>
      </c>
      <c r="J1321">
        <v>7.2</v>
      </c>
      <c r="K1321">
        <v>5.3</v>
      </c>
      <c r="L1321" s="1"/>
    </row>
    <row r="1322" spans="1:12">
      <c r="A1322" t="s">
        <v>1370</v>
      </c>
      <c r="B1322">
        <v>9.3</v>
      </c>
      <c r="C1322">
        <v>7.9</v>
      </c>
      <c r="D1322">
        <v>8.7</v>
      </c>
      <c r="E1322">
        <v>8.3</v>
      </c>
      <c r="F1322">
        <v>7.5</v>
      </c>
      <c r="G1322">
        <v>7</v>
      </c>
      <c r="H1322">
        <v>7.6</v>
      </c>
      <c r="I1322">
        <v>6.9</v>
      </c>
      <c r="J1322">
        <v>7</v>
      </c>
      <c r="K1322">
        <v>6.9</v>
      </c>
      <c r="L1322" s="1"/>
    </row>
    <row r="1323" spans="1:12">
      <c r="A1323" t="s">
        <v>1371</v>
      </c>
      <c r="B1323">
        <v>7.9</v>
      </c>
      <c r="C1323">
        <v>8.7</v>
      </c>
      <c r="D1323">
        <v>8.3</v>
      </c>
      <c r="E1323">
        <v>8.7</v>
      </c>
      <c r="F1323">
        <v>8.6</v>
      </c>
      <c r="G1323">
        <v>9.5</v>
      </c>
      <c r="H1323">
        <v>6.7</v>
      </c>
      <c r="I1323">
        <v>7.5</v>
      </c>
      <c r="J1323">
        <v>7.3</v>
      </c>
      <c r="K1323">
        <v>5.3</v>
      </c>
      <c r="L1323" s="1"/>
    </row>
    <row r="1324" spans="1:12">
      <c r="A1324" t="s">
        <v>1372</v>
      </c>
      <c r="B1324">
        <v>7.6</v>
      </c>
      <c r="C1324">
        <v>8.9</v>
      </c>
      <c r="D1324">
        <v>8.4</v>
      </c>
      <c r="E1324">
        <v>9.4</v>
      </c>
      <c r="F1324">
        <v>8.3</v>
      </c>
      <c r="G1324">
        <v>7.4</v>
      </c>
      <c r="H1324">
        <v>7.6</v>
      </c>
      <c r="I1324">
        <v>6.2</v>
      </c>
      <c r="J1324">
        <v>6.5</v>
      </c>
      <c r="K1324">
        <v>5.4</v>
      </c>
      <c r="L1324" s="1"/>
    </row>
    <row r="1325" spans="1:12">
      <c r="A1325" t="s">
        <v>1373</v>
      </c>
      <c r="B1325">
        <v>9.2</v>
      </c>
      <c r="C1325">
        <v>8.5</v>
      </c>
      <c r="D1325">
        <v>8.9</v>
      </c>
      <c r="E1325">
        <v>8.9</v>
      </c>
      <c r="F1325">
        <v>7.1</v>
      </c>
      <c r="G1325">
        <v>8.9</v>
      </c>
      <c r="H1325">
        <v>8.6</v>
      </c>
      <c r="I1325">
        <v>7.4</v>
      </c>
      <c r="J1325">
        <v>7.5</v>
      </c>
      <c r="K1325">
        <v>6.4</v>
      </c>
      <c r="L1325" s="1"/>
    </row>
    <row r="1326" spans="1:12">
      <c r="A1326" t="s">
        <v>1374</v>
      </c>
      <c r="B1326">
        <v>9.4</v>
      </c>
      <c r="C1326">
        <v>8.4</v>
      </c>
      <c r="D1326">
        <v>8.5</v>
      </c>
      <c r="E1326">
        <v>7.2</v>
      </c>
      <c r="F1326">
        <v>8.7</v>
      </c>
      <c r="G1326">
        <v>7.5</v>
      </c>
      <c r="H1326">
        <v>7.6</v>
      </c>
      <c r="I1326">
        <v>7.1</v>
      </c>
      <c r="J1326">
        <v>5.7</v>
      </c>
      <c r="K1326">
        <v>8.9</v>
      </c>
      <c r="L1326" s="1"/>
    </row>
    <row r="1327" spans="1:12">
      <c r="A1327" t="s">
        <v>1375</v>
      </c>
      <c r="B1327">
        <v>9.9</v>
      </c>
      <c r="C1327">
        <v>9.9</v>
      </c>
      <c r="D1327">
        <v>9.2</v>
      </c>
      <c r="E1327">
        <v>8.9</v>
      </c>
      <c r="F1327">
        <v>9.5</v>
      </c>
      <c r="G1327">
        <v>8.5</v>
      </c>
      <c r="H1327">
        <v>9.7</v>
      </c>
      <c r="I1327">
        <v>8.4</v>
      </c>
      <c r="J1327">
        <v>8.5</v>
      </c>
      <c r="K1327">
        <v>6.7</v>
      </c>
      <c r="L1327" s="1"/>
    </row>
    <row r="1328" spans="1:12">
      <c r="A1328" t="s">
        <v>1376</v>
      </c>
      <c r="B1328">
        <v>9.9</v>
      </c>
      <c r="C1328">
        <v>9.9</v>
      </c>
      <c r="D1328">
        <v>9.9</v>
      </c>
      <c r="E1328">
        <v>9.8</v>
      </c>
      <c r="F1328">
        <v>9.3</v>
      </c>
      <c r="G1328">
        <v>9.6</v>
      </c>
      <c r="H1328">
        <v>8.1</v>
      </c>
      <c r="I1328">
        <v>8.7</v>
      </c>
      <c r="J1328">
        <v>9.9</v>
      </c>
      <c r="K1328">
        <v>6.6</v>
      </c>
      <c r="L1328" s="1"/>
    </row>
    <row r="1329" spans="1:12">
      <c r="A1329" t="s">
        <v>1377</v>
      </c>
      <c r="B1329">
        <v>9.9</v>
      </c>
      <c r="C1329">
        <v>9.9</v>
      </c>
      <c r="D1329">
        <v>9.9</v>
      </c>
      <c r="E1329">
        <v>8.3</v>
      </c>
      <c r="F1329">
        <v>9.3</v>
      </c>
      <c r="G1329">
        <v>9.7</v>
      </c>
      <c r="H1329">
        <v>8.9</v>
      </c>
      <c r="I1329">
        <v>9.6</v>
      </c>
      <c r="J1329">
        <v>8</v>
      </c>
      <c r="K1329">
        <v>3.5</v>
      </c>
      <c r="L1329" s="1"/>
    </row>
    <row r="1330" spans="1:12">
      <c r="A1330" t="s">
        <v>1378</v>
      </c>
      <c r="B1330">
        <v>8.7</v>
      </c>
      <c r="C1330">
        <v>9.1</v>
      </c>
      <c r="D1330">
        <v>7.8</v>
      </c>
      <c r="E1330">
        <v>7.6</v>
      </c>
      <c r="F1330">
        <v>6.7</v>
      </c>
      <c r="G1330">
        <v>8.3</v>
      </c>
      <c r="H1330">
        <v>7.3</v>
      </c>
      <c r="I1330">
        <v>6.3</v>
      </c>
      <c r="J1330">
        <v>9.1</v>
      </c>
      <c r="K1330">
        <v>7.6</v>
      </c>
      <c r="L1330" s="1"/>
    </row>
    <row r="1331" spans="1:12">
      <c r="A1331" t="s">
        <v>1379</v>
      </c>
      <c r="B1331">
        <v>8.5</v>
      </c>
      <c r="C1331">
        <v>8.3</v>
      </c>
      <c r="D1331">
        <v>9.2</v>
      </c>
      <c r="E1331">
        <v>8.3</v>
      </c>
      <c r="F1331">
        <v>8.1</v>
      </c>
      <c r="G1331">
        <v>7.7</v>
      </c>
      <c r="H1331">
        <v>8.6</v>
      </c>
      <c r="I1331">
        <v>7.8</v>
      </c>
      <c r="J1331">
        <v>5.7</v>
      </c>
      <c r="K1331">
        <v>5.2</v>
      </c>
      <c r="L1331" s="1"/>
    </row>
    <row r="1332" spans="1:12">
      <c r="A1332" t="s">
        <v>1380</v>
      </c>
      <c r="B1332">
        <v>9.1</v>
      </c>
      <c r="C1332">
        <v>9.7</v>
      </c>
      <c r="D1332">
        <v>8.6</v>
      </c>
      <c r="E1332">
        <v>8.7</v>
      </c>
      <c r="F1332">
        <v>8.5</v>
      </c>
      <c r="G1332">
        <v>7.6</v>
      </c>
      <c r="H1332">
        <v>9.1</v>
      </c>
      <c r="I1332">
        <v>8</v>
      </c>
      <c r="J1332">
        <v>6.9</v>
      </c>
      <c r="K1332">
        <v>6.5</v>
      </c>
      <c r="L1332" s="1"/>
    </row>
    <row r="1333" spans="1:12">
      <c r="A1333" t="s">
        <v>1381</v>
      </c>
      <c r="B1333">
        <v>9.4</v>
      </c>
      <c r="C1333">
        <v>8.1</v>
      </c>
      <c r="D1333">
        <v>9.2</v>
      </c>
      <c r="E1333">
        <v>8.9</v>
      </c>
      <c r="F1333">
        <v>8</v>
      </c>
      <c r="G1333">
        <v>8.3</v>
      </c>
      <c r="H1333">
        <v>8.8</v>
      </c>
      <c r="I1333">
        <v>8</v>
      </c>
      <c r="J1333">
        <v>7.4</v>
      </c>
      <c r="K1333">
        <v>7.4</v>
      </c>
      <c r="L1333" s="1"/>
    </row>
    <row r="1334" spans="1:12">
      <c r="A1334" t="s">
        <v>1382</v>
      </c>
      <c r="B1334">
        <v>9.5</v>
      </c>
      <c r="C1334">
        <v>9.2</v>
      </c>
      <c r="D1334">
        <v>8.3</v>
      </c>
      <c r="E1334">
        <v>8.6</v>
      </c>
      <c r="F1334">
        <v>8.4</v>
      </c>
      <c r="G1334">
        <v>7.9</v>
      </c>
      <c r="H1334">
        <v>7.7</v>
      </c>
      <c r="I1334">
        <v>6.6</v>
      </c>
      <c r="J1334">
        <v>8.3</v>
      </c>
      <c r="K1334">
        <v>7</v>
      </c>
      <c r="L1334" s="1"/>
    </row>
    <row r="1335" spans="1:12">
      <c r="A1335" t="s">
        <v>1383</v>
      </c>
      <c r="B1335">
        <v>8.6</v>
      </c>
      <c r="C1335">
        <v>8.1</v>
      </c>
      <c r="D1335">
        <v>9.6</v>
      </c>
      <c r="E1335">
        <v>8.9</v>
      </c>
      <c r="F1335">
        <v>7.6</v>
      </c>
      <c r="G1335">
        <v>8.1</v>
      </c>
      <c r="H1335">
        <v>7.4</v>
      </c>
      <c r="I1335">
        <v>8.2</v>
      </c>
      <c r="J1335">
        <v>4.9</v>
      </c>
      <c r="K1335">
        <v>6.8</v>
      </c>
      <c r="L1335" s="1"/>
    </row>
    <row r="1336" spans="1:12">
      <c r="A1336" t="s">
        <v>1384</v>
      </c>
      <c r="B1336">
        <v>9.5</v>
      </c>
      <c r="C1336">
        <v>8.6</v>
      </c>
      <c r="D1336">
        <v>8.6</v>
      </c>
      <c r="E1336">
        <v>7.6</v>
      </c>
      <c r="F1336">
        <v>8.3</v>
      </c>
      <c r="G1336">
        <v>8.1</v>
      </c>
      <c r="H1336">
        <v>8.3</v>
      </c>
      <c r="I1336">
        <v>7.5</v>
      </c>
      <c r="J1336">
        <v>7.3</v>
      </c>
      <c r="K1336">
        <v>7.9</v>
      </c>
      <c r="L1336" s="1"/>
    </row>
    <row r="1337" spans="1:12">
      <c r="A1337" t="s">
        <v>1385</v>
      </c>
      <c r="B1337">
        <v>9.4</v>
      </c>
      <c r="C1337">
        <v>7.8</v>
      </c>
      <c r="D1337">
        <v>9.5</v>
      </c>
      <c r="E1337">
        <v>8.7</v>
      </c>
      <c r="F1337">
        <v>6.6</v>
      </c>
      <c r="G1337">
        <v>8.8</v>
      </c>
      <c r="H1337">
        <v>7.3</v>
      </c>
      <c r="I1337">
        <v>6.8</v>
      </c>
      <c r="J1337">
        <v>5.4</v>
      </c>
      <c r="K1337">
        <v>6.6</v>
      </c>
      <c r="L1337" s="1"/>
    </row>
    <row r="1338" spans="1:12">
      <c r="A1338" t="s">
        <v>1386</v>
      </c>
      <c r="B1338">
        <v>9.9</v>
      </c>
      <c r="C1338">
        <v>7.8</v>
      </c>
      <c r="D1338">
        <v>8.6</v>
      </c>
      <c r="E1338">
        <v>8.2</v>
      </c>
      <c r="F1338">
        <v>7.4</v>
      </c>
      <c r="G1338">
        <v>8.7</v>
      </c>
      <c r="H1338">
        <v>9.1</v>
      </c>
      <c r="I1338">
        <v>8</v>
      </c>
      <c r="J1338">
        <v>7.2</v>
      </c>
      <c r="K1338">
        <v>5.3</v>
      </c>
      <c r="L1338" s="1"/>
    </row>
    <row r="1339" spans="1:12">
      <c r="A1339" t="s">
        <v>1387</v>
      </c>
      <c r="B1339">
        <v>8.9</v>
      </c>
      <c r="C1339">
        <v>8.6</v>
      </c>
      <c r="D1339">
        <v>9.1</v>
      </c>
      <c r="E1339">
        <v>8.1</v>
      </c>
      <c r="F1339">
        <v>9.1</v>
      </c>
      <c r="G1339">
        <v>8.5</v>
      </c>
      <c r="H1339">
        <v>7.9</v>
      </c>
      <c r="I1339">
        <v>7.5</v>
      </c>
      <c r="J1339">
        <v>7.5</v>
      </c>
      <c r="K1339">
        <v>5.4</v>
      </c>
      <c r="L1339" s="1"/>
    </row>
    <row r="1340" spans="1:12">
      <c r="A1340" t="s">
        <v>1388</v>
      </c>
      <c r="B1340">
        <v>9.1</v>
      </c>
      <c r="C1340">
        <v>8.7</v>
      </c>
      <c r="D1340">
        <v>9.7</v>
      </c>
      <c r="E1340">
        <v>8.1</v>
      </c>
      <c r="F1340">
        <v>8.9</v>
      </c>
      <c r="G1340">
        <v>8.4</v>
      </c>
      <c r="H1340">
        <v>7.8</v>
      </c>
      <c r="I1340">
        <v>7.4</v>
      </c>
      <c r="J1340">
        <v>6.7</v>
      </c>
      <c r="K1340">
        <v>5.5</v>
      </c>
      <c r="L1340" s="1"/>
    </row>
    <row r="1341" spans="1:12">
      <c r="A1341" t="s">
        <v>1389</v>
      </c>
      <c r="B1341">
        <v>8.5</v>
      </c>
      <c r="C1341">
        <v>8.4</v>
      </c>
      <c r="D1341">
        <v>9</v>
      </c>
      <c r="E1341">
        <v>9.2</v>
      </c>
      <c r="F1341">
        <v>7.4</v>
      </c>
      <c r="G1341">
        <v>7.1</v>
      </c>
      <c r="H1341">
        <v>8.1</v>
      </c>
      <c r="I1341">
        <v>6.2</v>
      </c>
      <c r="J1341">
        <v>5.3</v>
      </c>
      <c r="K1341">
        <v>7.3</v>
      </c>
      <c r="L1341" s="1"/>
    </row>
    <row r="1342" spans="1:12">
      <c r="A1342" t="s">
        <v>1390</v>
      </c>
      <c r="B1342">
        <v>9.2</v>
      </c>
      <c r="C1342">
        <v>8.9</v>
      </c>
      <c r="D1342">
        <v>9.1</v>
      </c>
      <c r="E1342">
        <v>8.1</v>
      </c>
      <c r="F1342">
        <v>9.2</v>
      </c>
      <c r="G1342">
        <v>6.5</v>
      </c>
      <c r="H1342">
        <v>8</v>
      </c>
      <c r="I1342">
        <v>7</v>
      </c>
      <c r="J1342">
        <v>8.3</v>
      </c>
      <c r="K1342">
        <v>6.5</v>
      </c>
      <c r="L1342" s="1"/>
    </row>
    <row r="1343" spans="1:12">
      <c r="A1343" t="s">
        <v>1391</v>
      </c>
      <c r="B1343">
        <v>8.8</v>
      </c>
      <c r="C1343">
        <v>9.2</v>
      </c>
      <c r="D1343">
        <v>9</v>
      </c>
      <c r="E1343">
        <v>8.3</v>
      </c>
      <c r="F1343">
        <v>7.8</v>
      </c>
      <c r="G1343">
        <v>8.3</v>
      </c>
      <c r="H1343">
        <v>7.9</v>
      </c>
      <c r="I1343">
        <v>5.9</v>
      </c>
      <c r="J1343">
        <v>6.7</v>
      </c>
      <c r="K1343">
        <v>6</v>
      </c>
      <c r="L1343" s="1"/>
    </row>
    <row r="1344" spans="1:12">
      <c r="A1344" t="s">
        <v>1392</v>
      </c>
      <c r="B1344">
        <v>9.4</v>
      </c>
      <c r="C1344">
        <v>8</v>
      </c>
      <c r="D1344">
        <v>8.2</v>
      </c>
      <c r="E1344">
        <v>8.4</v>
      </c>
      <c r="F1344">
        <v>9.5</v>
      </c>
      <c r="G1344">
        <v>8.9</v>
      </c>
      <c r="H1344">
        <v>8.7</v>
      </c>
      <c r="I1344">
        <v>7.9</v>
      </c>
      <c r="J1344">
        <v>6.1</v>
      </c>
      <c r="K1344">
        <v>7.2</v>
      </c>
      <c r="L1344" s="1"/>
    </row>
    <row r="1345" spans="1:12">
      <c r="A1345" t="s">
        <v>1393</v>
      </c>
      <c r="B1345">
        <v>8.9</v>
      </c>
      <c r="C1345">
        <v>8.1</v>
      </c>
      <c r="D1345">
        <v>9.2</v>
      </c>
      <c r="E1345">
        <v>8.3</v>
      </c>
      <c r="F1345">
        <v>7.3</v>
      </c>
      <c r="G1345">
        <v>8.2</v>
      </c>
      <c r="H1345">
        <v>7.3</v>
      </c>
      <c r="I1345">
        <v>7.8</v>
      </c>
      <c r="J1345">
        <v>6.8</v>
      </c>
      <c r="K1345">
        <v>6.4</v>
      </c>
      <c r="L1345" s="1"/>
    </row>
    <row r="1346" spans="1:12">
      <c r="A1346" t="s">
        <v>1394</v>
      </c>
      <c r="B1346">
        <v>9.9</v>
      </c>
      <c r="C1346">
        <v>8.1</v>
      </c>
      <c r="D1346">
        <v>8</v>
      </c>
      <c r="E1346">
        <v>9.5</v>
      </c>
      <c r="F1346">
        <v>8.8</v>
      </c>
      <c r="G1346">
        <v>8.6</v>
      </c>
      <c r="H1346">
        <v>8.1</v>
      </c>
      <c r="I1346">
        <v>7.4</v>
      </c>
      <c r="J1346">
        <v>5.7</v>
      </c>
      <c r="K1346">
        <v>3.2</v>
      </c>
      <c r="L1346" s="1"/>
    </row>
    <row r="1347" spans="1:12">
      <c r="A1347" t="s">
        <v>1395</v>
      </c>
      <c r="B1347">
        <v>9.1</v>
      </c>
      <c r="C1347">
        <v>8.4</v>
      </c>
      <c r="D1347">
        <v>8.6</v>
      </c>
      <c r="E1347">
        <v>8.5</v>
      </c>
      <c r="F1347">
        <v>7.5</v>
      </c>
      <c r="G1347">
        <v>8.1</v>
      </c>
      <c r="H1347">
        <v>9.1</v>
      </c>
      <c r="I1347">
        <v>5.8</v>
      </c>
      <c r="J1347">
        <v>9.6</v>
      </c>
      <c r="K1347">
        <v>9</v>
      </c>
      <c r="L1347" s="1"/>
    </row>
    <row r="1348" spans="1:12">
      <c r="A1348" t="s">
        <v>1396</v>
      </c>
      <c r="B1348">
        <v>8.5</v>
      </c>
      <c r="C1348">
        <v>9.4</v>
      </c>
      <c r="D1348">
        <v>7.4</v>
      </c>
      <c r="E1348">
        <v>8.7</v>
      </c>
      <c r="F1348">
        <v>8</v>
      </c>
      <c r="G1348">
        <v>8.4</v>
      </c>
      <c r="H1348">
        <v>6.6</v>
      </c>
      <c r="I1348">
        <v>7.9</v>
      </c>
      <c r="J1348">
        <v>8</v>
      </c>
      <c r="K1348">
        <v>9.9</v>
      </c>
      <c r="L1348" s="1"/>
    </row>
    <row r="1349" spans="1:12">
      <c r="A1349" t="s">
        <v>1397</v>
      </c>
      <c r="B1349">
        <v>9.1</v>
      </c>
      <c r="C1349">
        <v>9.1</v>
      </c>
      <c r="D1349">
        <v>8.7</v>
      </c>
      <c r="E1349">
        <v>8.3</v>
      </c>
      <c r="F1349">
        <v>9.5</v>
      </c>
      <c r="G1349">
        <v>8.4</v>
      </c>
      <c r="H1349">
        <v>7.3</v>
      </c>
      <c r="I1349">
        <v>7.7</v>
      </c>
      <c r="J1349">
        <v>7</v>
      </c>
      <c r="K1349">
        <v>7.7</v>
      </c>
      <c r="L1349" s="1"/>
    </row>
    <row r="1350" spans="1:12">
      <c r="A1350" t="s">
        <v>1398</v>
      </c>
      <c r="B1350">
        <v>8.6</v>
      </c>
      <c r="C1350">
        <v>8.6</v>
      </c>
      <c r="D1350">
        <v>7.7</v>
      </c>
      <c r="E1350">
        <v>9.1</v>
      </c>
      <c r="F1350">
        <v>8</v>
      </c>
      <c r="G1350">
        <v>8.9</v>
      </c>
      <c r="H1350">
        <v>8.3</v>
      </c>
      <c r="I1350">
        <v>7.1</v>
      </c>
      <c r="J1350">
        <v>6.3</v>
      </c>
      <c r="K1350">
        <v>9.1</v>
      </c>
      <c r="L1350" s="1"/>
    </row>
    <row r="1351" spans="1:12">
      <c r="A1351" t="s">
        <v>1399</v>
      </c>
      <c r="B1351">
        <v>9</v>
      </c>
      <c r="C1351">
        <v>8.5</v>
      </c>
      <c r="D1351">
        <v>8.5</v>
      </c>
      <c r="E1351">
        <v>7.8</v>
      </c>
      <c r="F1351">
        <v>8.6</v>
      </c>
      <c r="G1351">
        <v>7.6</v>
      </c>
      <c r="H1351">
        <v>8.3</v>
      </c>
      <c r="I1351">
        <v>7.1</v>
      </c>
      <c r="J1351">
        <v>6.4</v>
      </c>
      <c r="K1351">
        <v>5.3</v>
      </c>
      <c r="L1351" s="1"/>
    </row>
    <row r="1352" spans="1:12">
      <c r="A1352" t="s">
        <v>1400</v>
      </c>
      <c r="B1352">
        <v>9</v>
      </c>
      <c r="C1352">
        <v>8.2</v>
      </c>
      <c r="D1352">
        <v>8.7</v>
      </c>
      <c r="E1352">
        <v>8.1</v>
      </c>
      <c r="F1352">
        <v>8.5</v>
      </c>
      <c r="G1352">
        <v>8.2</v>
      </c>
      <c r="H1352">
        <v>8.4</v>
      </c>
      <c r="I1352">
        <v>7.6</v>
      </c>
      <c r="J1352">
        <v>6</v>
      </c>
      <c r="K1352">
        <v>5.2</v>
      </c>
      <c r="L1352" s="1"/>
    </row>
    <row r="1353" spans="1:12">
      <c r="A1353" t="s">
        <v>1401</v>
      </c>
      <c r="B1353">
        <v>8.8</v>
      </c>
      <c r="C1353">
        <v>9.2</v>
      </c>
      <c r="D1353">
        <v>8.6</v>
      </c>
      <c r="E1353">
        <v>8.2</v>
      </c>
      <c r="F1353">
        <v>7.7</v>
      </c>
      <c r="G1353">
        <v>9.3</v>
      </c>
      <c r="H1353">
        <v>7.1</v>
      </c>
      <c r="I1353">
        <v>6</v>
      </c>
      <c r="J1353">
        <v>5.1</v>
      </c>
      <c r="K1353">
        <v>7.5</v>
      </c>
      <c r="L1353" s="1"/>
    </row>
    <row r="1354" spans="1:12">
      <c r="A1354" t="s">
        <v>1402</v>
      </c>
      <c r="B1354">
        <v>8.5</v>
      </c>
      <c r="C1354">
        <v>8.8</v>
      </c>
      <c r="D1354">
        <v>7.9</v>
      </c>
      <c r="E1354">
        <v>8.2</v>
      </c>
      <c r="F1354">
        <v>8.1</v>
      </c>
      <c r="G1354">
        <v>6.5</v>
      </c>
      <c r="H1354">
        <v>6.7</v>
      </c>
      <c r="I1354">
        <v>7.2</v>
      </c>
      <c r="J1354">
        <v>7.2</v>
      </c>
      <c r="K1354">
        <v>7</v>
      </c>
      <c r="L1354" s="1"/>
    </row>
    <row r="1355" spans="1:12">
      <c r="A1355" t="s">
        <v>1403</v>
      </c>
      <c r="B1355">
        <v>8</v>
      </c>
      <c r="C1355">
        <v>9.1</v>
      </c>
      <c r="D1355">
        <v>8.9</v>
      </c>
      <c r="E1355">
        <v>8.4</v>
      </c>
      <c r="F1355">
        <v>8.8</v>
      </c>
      <c r="G1355">
        <v>8</v>
      </c>
      <c r="H1355">
        <v>6.4</v>
      </c>
      <c r="I1355">
        <v>7.9</v>
      </c>
      <c r="J1355">
        <v>6.8</v>
      </c>
      <c r="K1355">
        <v>4.5</v>
      </c>
      <c r="L1355" s="1"/>
    </row>
    <row r="1356" spans="1:12">
      <c r="A1356" t="s">
        <v>1404</v>
      </c>
      <c r="B1356">
        <v>9.1</v>
      </c>
      <c r="C1356">
        <v>9.5</v>
      </c>
      <c r="D1356">
        <v>9.5</v>
      </c>
      <c r="E1356">
        <v>8.6</v>
      </c>
      <c r="F1356">
        <v>8.9</v>
      </c>
      <c r="G1356">
        <v>8.4</v>
      </c>
      <c r="H1356">
        <v>7.8</v>
      </c>
      <c r="I1356">
        <v>9</v>
      </c>
      <c r="J1356">
        <v>8.8</v>
      </c>
      <c r="K1356">
        <v>8.6</v>
      </c>
      <c r="L1356" s="1"/>
    </row>
    <row r="1357" spans="1:12">
      <c r="A1357" t="s">
        <v>1405</v>
      </c>
      <c r="B1357">
        <v>8.4</v>
      </c>
      <c r="C1357">
        <v>8.7</v>
      </c>
      <c r="D1357">
        <v>9</v>
      </c>
      <c r="E1357">
        <v>9</v>
      </c>
      <c r="F1357">
        <v>7.8</v>
      </c>
      <c r="G1357">
        <v>9.1</v>
      </c>
      <c r="H1357">
        <v>5.9</v>
      </c>
      <c r="I1357">
        <v>8</v>
      </c>
      <c r="J1357">
        <v>7.8</v>
      </c>
      <c r="K1357">
        <v>5.9</v>
      </c>
      <c r="L1357" s="1"/>
    </row>
    <row r="1358" spans="1:12">
      <c r="A1358" t="s">
        <v>1406</v>
      </c>
      <c r="B1358">
        <v>8.7</v>
      </c>
      <c r="C1358">
        <v>8.8</v>
      </c>
      <c r="D1358">
        <v>9.6</v>
      </c>
      <c r="E1358">
        <v>7.5</v>
      </c>
      <c r="F1358">
        <v>7.8</v>
      </c>
      <c r="G1358">
        <v>9.5</v>
      </c>
      <c r="H1358">
        <v>8.8</v>
      </c>
      <c r="I1358">
        <v>9</v>
      </c>
      <c r="J1358">
        <v>5.6</v>
      </c>
      <c r="K1358">
        <v>7.2</v>
      </c>
      <c r="L1358" s="1"/>
    </row>
    <row r="1359" spans="1:12">
      <c r="A1359" t="s">
        <v>1407</v>
      </c>
      <c r="B1359">
        <v>8.3</v>
      </c>
      <c r="C1359">
        <v>8.6</v>
      </c>
      <c r="D1359">
        <v>8.8</v>
      </c>
      <c r="E1359">
        <v>9.1</v>
      </c>
      <c r="F1359">
        <v>9.3</v>
      </c>
      <c r="G1359">
        <v>8.2</v>
      </c>
      <c r="H1359">
        <v>8.3</v>
      </c>
      <c r="I1359">
        <v>9</v>
      </c>
      <c r="J1359">
        <v>6.8</v>
      </c>
      <c r="K1359">
        <v>7.7</v>
      </c>
      <c r="L1359" s="1"/>
    </row>
    <row r="1360" spans="1:12">
      <c r="A1360" t="s">
        <v>1408</v>
      </c>
      <c r="B1360">
        <v>8.6</v>
      </c>
      <c r="C1360">
        <v>8.7</v>
      </c>
      <c r="D1360">
        <v>8.8</v>
      </c>
      <c r="E1360">
        <v>8.5</v>
      </c>
      <c r="F1360">
        <v>8</v>
      </c>
      <c r="G1360">
        <v>7.2</v>
      </c>
      <c r="H1360">
        <v>6.6</v>
      </c>
      <c r="I1360">
        <v>8.4</v>
      </c>
      <c r="J1360">
        <v>6.2</v>
      </c>
      <c r="K1360">
        <v>5.5</v>
      </c>
      <c r="L1360" s="1"/>
    </row>
    <row r="1361" spans="1:12">
      <c r="A1361" t="s">
        <v>1409</v>
      </c>
      <c r="B1361">
        <v>7.8</v>
      </c>
      <c r="C1361">
        <v>8.7</v>
      </c>
      <c r="D1361">
        <v>8.2</v>
      </c>
      <c r="E1361">
        <v>8.3</v>
      </c>
      <c r="F1361">
        <v>7.8</v>
      </c>
      <c r="G1361">
        <v>7.5</v>
      </c>
      <c r="H1361">
        <v>6.8</v>
      </c>
      <c r="I1361">
        <v>8.5</v>
      </c>
      <c r="J1361">
        <v>6.6</v>
      </c>
      <c r="K1361">
        <v>5.7</v>
      </c>
      <c r="L1361" s="1"/>
    </row>
    <row r="1362" spans="1:12">
      <c r="A1362" t="s">
        <v>1410</v>
      </c>
      <c r="B1362">
        <v>9.1</v>
      </c>
      <c r="C1362">
        <v>8.2</v>
      </c>
      <c r="D1362">
        <v>8.7</v>
      </c>
      <c r="E1362">
        <v>7.6</v>
      </c>
      <c r="F1362">
        <v>8.5</v>
      </c>
      <c r="G1362">
        <v>6.9</v>
      </c>
      <c r="H1362">
        <v>7.3</v>
      </c>
      <c r="I1362">
        <v>6.9</v>
      </c>
      <c r="J1362">
        <v>7.6</v>
      </c>
      <c r="K1362">
        <v>6.8</v>
      </c>
      <c r="L1362" s="1"/>
    </row>
    <row r="1363" spans="1:12">
      <c r="A1363" t="s">
        <v>1411</v>
      </c>
      <c r="B1363">
        <v>8.1</v>
      </c>
      <c r="C1363">
        <v>9.4</v>
      </c>
      <c r="D1363">
        <v>9.9</v>
      </c>
      <c r="E1363">
        <v>6.8</v>
      </c>
      <c r="F1363">
        <v>8.2</v>
      </c>
      <c r="G1363">
        <v>8.8</v>
      </c>
      <c r="H1363">
        <v>7.7</v>
      </c>
      <c r="I1363">
        <v>7.7</v>
      </c>
      <c r="J1363">
        <v>6.7</v>
      </c>
      <c r="K1363">
        <v>6.1</v>
      </c>
      <c r="L1363" s="1"/>
    </row>
    <row r="1364" spans="1:12">
      <c r="A1364" t="s">
        <v>1412</v>
      </c>
      <c r="B1364">
        <v>8.9</v>
      </c>
      <c r="C1364">
        <v>8.1</v>
      </c>
      <c r="D1364">
        <v>8.7</v>
      </c>
      <c r="E1364">
        <v>8.7</v>
      </c>
      <c r="F1364">
        <v>9.9</v>
      </c>
      <c r="G1364">
        <v>9.6</v>
      </c>
      <c r="H1364">
        <v>8.8</v>
      </c>
      <c r="I1364">
        <v>6.2</v>
      </c>
      <c r="J1364">
        <v>7.3</v>
      </c>
      <c r="K1364">
        <v>9.3</v>
      </c>
      <c r="L1364" s="1"/>
    </row>
    <row r="1365" spans="1:12">
      <c r="A1365" t="s">
        <v>1413</v>
      </c>
      <c r="B1365">
        <v>8.3</v>
      </c>
      <c r="C1365">
        <v>9.8</v>
      </c>
      <c r="D1365">
        <v>8</v>
      </c>
      <c r="E1365">
        <v>8.4</v>
      </c>
      <c r="F1365">
        <v>7.1</v>
      </c>
      <c r="G1365">
        <v>8.5</v>
      </c>
      <c r="H1365">
        <v>8.5</v>
      </c>
      <c r="I1365">
        <v>6.3</v>
      </c>
      <c r="J1365">
        <v>6.9</v>
      </c>
      <c r="K1365">
        <v>7.2</v>
      </c>
      <c r="L1365" s="1"/>
    </row>
    <row r="1366" spans="1:12">
      <c r="A1366" t="s">
        <v>1414</v>
      </c>
      <c r="B1366">
        <v>9</v>
      </c>
      <c r="C1366">
        <v>9.3</v>
      </c>
      <c r="D1366">
        <v>8.8</v>
      </c>
      <c r="E1366">
        <v>7.9</v>
      </c>
      <c r="F1366">
        <v>7.9</v>
      </c>
      <c r="G1366">
        <v>6.1</v>
      </c>
      <c r="H1366">
        <v>6.6</v>
      </c>
      <c r="I1366">
        <v>5.5</v>
      </c>
      <c r="J1366">
        <v>7.6</v>
      </c>
      <c r="K1366">
        <v>8.1</v>
      </c>
      <c r="L1366" s="1"/>
    </row>
    <row r="1367" spans="1:12">
      <c r="A1367" t="s">
        <v>1415</v>
      </c>
      <c r="B1367">
        <v>9.1</v>
      </c>
      <c r="C1367">
        <v>8.5</v>
      </c>
      <c r="D1367">
        <v>9.9</v>
      </c>
      <c r="E1367">
        <v>8.9</v>
      </c>
      <c r="F1367">
        <v>8.2</v>
      </c>
      <c r="G1367">
        <v>8.8</v>
      </c>
      <c r="H1367">
        <v>8.6</v>
      </c>
      <c r="I1367">
        <v>7.9</v>
      </c>
      <c r="J1367">
        <v>7.6</v>
      </c>
      <c r="K1367">
        <v>6.5</v>
      </c>
      <c r="L1367" s="1"/>
    </row>
    <row r="1368" spans="1:12">
      <c r="A1368" t="s">
        <v>1416</v>
      </c>
      <c r="B1368">
        <v>8.9</v>
      </c>
      <c r="C1368">
        <v>9.1</v>
      </c>
      <c r="D1368">
        <v>8.4</v>
      </c>
      <c r="E1368">
        <v>8.5</v>
      </c>
      <c r="F1368">
        <v>7.6</v>
      </c>
      <c r="G1368">
        <v>9</v>
      </c>
      <c r="H1368">
        <v>7.2</v>
      </c>
      <c r="I1368">
        <v>8.1</v>
      </c>
      <c r="J1368">
        <v>6.3</v>
      </c>
      <c r="K1368">
        <v>6.5</v>
      </c>
      <c r="L1368" s="1"/>
    </row>
    <row r="1369" spans="1:12">
      <c r="A1369" t="s">
        <v>1417</v>
      </c>
      <c r="B1369">
        <v>8.8</v>
      </c>
      <c r="C1369">
        <v>9</v>
      </c>
      <c r="D1369">
        <v>8.5</v>
      </c>
      <c r="E1369">
        <v>9.2</v>
      </c>
      <c r="F1369">
        <v>8.1</v>
      </c>
      <c r="G1369">
        <v>8.2</v>
      </c>
      <c r="H1369">
        <v>7.6</v>
      </c>
      <c r="I1369">
        <v>8.2</v>
      </c>
      <c r="J1369">
        <v>6.8</v>
      </c>
      <c r="K1369">
        <v>7.6</v>
      </c>
      <c r="L1369" s="1"/>
    </row>
    <row r="1370" spans="1:12">
      <c r="A1370" t="s">
        <v>1418</v>
      </c>
      <c r="B1370">
        <v>9</v>
      </c>
      <c r="C1370">
        <v>8.6</v>
      </c>
      <c r="D1370">
        <v>8.3</v>
      </c>
      <c r="E1370">
        <v>9.2</v>
      </c>
      <c r="F1370">
        <v>8.3</v>
      </c>
      <c r="G1370">
        <v>8</v>
      </c>
      <c r="H1370">
        <v>7</v>
      </c>
      <c r="I1370">
        <v>6.5</v>
      </c>
      <c r="J1370">
        <v>8.8</v>
      </c>
      <c r="K1370">
        <v>6.5</v>
      </c>
      <c r="L1370" s="1"/>
    </row>
    <row r="1371" spans="1:12">
      <c r="A1371" t="s">
        <v>1419</v>
      </c>
      <c r="B1371">
        <v>8.6</v>
      </c>
      <c r="C1371">
        <v>8.7</v>
      </c>
      <c r="D1371">
        <v>8.6</v>
      </c>
      <c r="E1371">
        <v>8.1</v>
      </c>
      <c r="F1371">
        <v>7.3</v>
      </c>
      <c r="G1371">
        <v>6.9</v>
      </c>
      <c r="H1371">
        <v>8.4</v>
      </c>
      <c r="I1371">
        <v>7.6</v>
      </c>
      <c r="J1371">
        <v>7.3</v>
      </c>
      <c r="K1371">
        <v>7.9</v>
      </c>
      <c r="L1371" s="1"/>
    </row>
    <row r="1372" spans="1:12">
      <c r="A1372" t="s">
        <v>1420</v>
      </c>
      <c r="B1372">
        <v>9.2</v>
      </c>
      <c r="C1372">
        <v>9.4</v>
      </c>
      <c r="D1372">
        <v>8.3</v>
      </c>
      <c r="E1372">
        <v>8.2</v>
      </c>
      <c r="F1372">
        <v>7.2</v>
      </c>
      <c r="G1372">
        <v>8</v>
      </c>
      <c r="H1372">
        <v>6.1</v>
      </c>
      <c r="I1372">
        <v>8.2</v>
      </c>
      <c r="J1372">
        <v>7.5</v>
      </c>
      <c r="K1372">
        <v>5</v>
      </c>
      <c r="L1372" s="1"/>
    </row>
    <row r="1373" spans="1:12">
      <c r="A1373" t="s">
        <v>1421</v>
      </c>
      <c r="B1373">
        <v>8.9</v>
      </c>
      <c r="C1373">
        <v>9.8</v>
      </c>
      <c r="D1373">
        <v>9.1</v>
      </c>
      <c r="E1373">
        <v>9.3</v>
      </c>
      <c r="F1373">
        <v>8.8</v>
      </c>
      <c r="G1373">
        <v>7.9</v>
      </c>
      <c r="H1373">
        <v>7.1</v>
      </c>
      <c r="I1373">
        <v>7</v>
      </c>
      <c r="J1373">
        <v>6</v>
      </c>
      <c r="K1373">
        <v>3.7</v>
      </c>
      <c r="L1373" s="1"/>
    </row>
    <row r="1374" spans="1:12">
      <c r="A1374" t="s">
        <v>1422</v>
      </c>
      <c r="B1374">
        <v>9.9</v>
      </c>
      <c r="C1374">
        <v>8.4</v>
      </c>
      <c r="D1374">
        <v>9.2</v>
      </c>
      <c r="E1374">
        <v>8.1</v>
      </c>
      <c r="F1374">
        <v>9</v>
      </c>
      <c r="G1374">
        <v>9</v>
      </c>
      <c r="H1374">
        <v>8.5</v>
      </c>
      <c r="I1374">
        <v>6.7</v>
      </c>
      <c r="J1374">
        <v>7.1</v>
      </c>
      <c r="K1374">
        <v>7.4</v>
      </c>
      <c r="L1374" s="1"/>
    </row>
    <row r="1375" spans="1:12">
      <c r="A1375" t="s">
        <v>1423</v>
      </c>
      <c r="B1375">
        <v>9.4</v>
      </c>
      <c r="C1375">
        <v>9.5</v>
      </c>
      <c r="D1375">
        <v>9.2</v>
      </c>
      <c r="E1375">
        <v>9.2</v>
      </c>
      <c r="F1375">
        <v>7.5</v>
      </c>
      <c r="G1375">
        <v>8.7</v>
      </c>
      <c r="H1375">
        <v>6.8</v>
      </c>
      <c r="I1375">
        <v>7.9</v>
      </c>
      <c r="J1375">
        <v>8.5</v>
      </c>
      <c r="K1375">
        <v>6.3</v>
      </c>
      <c r="L1375" s="1"/>
    </row>
    <row r="1376" spans="1:12">
      <c r="A1376" t="s">
        <v>1424</v>
      </c>
      <c r="B1376">
        <v>8.5</v>
      </c>
      <c r="C1376">
        <v>9.1</v>
      </c>
      <c r="D1376">
        <v>9.9</v>
      </c>
      <c r="E1376">
        <v>9.3</v>
      </c>
      <c r="F1376">
        <v>7.4</v>
      </c>
      <c r="G1376">
        <v>8.8</v>
      </c>
      <c r="H1376">
        <v>6.2</v>
      </c>
      <c r="I1376">
        <v>6.5</v>
      </c>
      <c r="J1376">
        <v>9.2</v>
      </c>
      <c r="K1376">
        <v>7.6</v>
      </c>
      <c r="L1376" s="1"/>
    </row>
    <row r="1377" spans="1:12">
      <c r="A1377" t="s">
        <v>1425</v>
      </c>
      <c r="B1377">
        <v>9.6</v>
      </c>
      <c r="C1377">
        <v>8.8</v>
      </c>
      <c r="D1377">
        <v>8.9</v>
      </c>
      <c r="E1377">
        <v>9.2</v>
      </c>
      <c r="F1377">
        <v>8.3</v>
      </c>
      <c r="G1377">
        <v>9.2</v>
      </c>
      <c r="H1377">
        <v>7.3</v>
      </c>
      <c r="I1377">
        <v>9.9</v>
      </c>
      <c r="J1377">
        <v>7.8</v>
      </c>
      <c r="K1377">
        <v>6.4</v>
      </c>
      <c r="L1377" s="1"/>
    </row>
    <row r="1378" spans="1:12">
      <c r="A1378" t="s">
        <v>1426</v>
      </c>
      <c r="B1378">
        <v>9.3</v>
      </c>
      <c r="C1378">
        <v>9.1</v>
      </c>
      <c r="D1378">
        <v>8.8</v>
      </c>
      <c r="E1378">
        <v>9.1</v>
      </c>
      <c r="F1378">
        <v>9.5</v>
      </c>
      <c r="G1378">
        <v>8.4</v>
      </c>
      <c r="H1378">
        <v>6.4</v>
      </c>
      <c r="I1378">
        <v>8.2</v>
      </c>
      <c r="J1378">
        <v>8.7</v>
      </c>
      <c r="K1378">
        <v>8.8</v>
      </c>
      <c r="L1378" s="1"/>
    </row>
    <row r="1379" spans="1:12">
      <c r="A1379" t="s">
        <v>1427</v>
      </c>
      <c r="B1379">
        <v>8</v>
      </c>
      <c r="C1379">
        <v>8.2</v>
      </c>
      <c r="D1379">
        <v>7.4</v>
      </c>
      <c r="E1379">
        <v>6.7</v>
      </c>
      <c r="F1379">
        <v>6.8</v>
      </c>
      <c r="G1379">
        <v>7.5</v>
      </c>
      <c r="H1379">
        <v>5.5</v>
      </c>
      <c r="I1379">
        <v>6.4</v>
      </c>
      <c r="J1379">
        <v>6.3</v>
      </c>
      <c r="K1379">
        <v>4.7</v>
      </c>
      <c r="L1379" s="1"/>
    </row>
    <row r="1380" spans="1:12">
      <c r="A1380" t="s">
        <v>1428</v>
      </c>
      <c r="B1380">
        <v>7</v>
      </c>
      <c r="C1380">
        <v>7.5</v>
      </c>
      <c r="D1380">
        <v>7.2</v>
      </c>
      <c r="E1380">
        <v>7.7</v>
      </c>
      <c r="F1380">
        <v>7.1</v>
      </c>
      <c r="G1380">
        <v>6.8</v>
      </c>
      <c r="H1380">
        <v>7.6</v>
      </c>
      <c r="I1380">
        <v>6.4</v>
      </c>
      <c r="J1380">
        <v>6.1</v>
      </c>
      <c r="K1380">
        <v>5.2</v>
      </c>
      <c r="L1380" s="1"/>
    </row>
    <row r="1381" spans="1:12">
      <c r="A1381" t="s">
        <v>1429</v>
      </c>
      <c r="B1381">
        <v>8</v>
      </c>
      <c r="C1381">
        <v>8.3</v>
      </c>
      <c r="D1381">
        <v>8</v>
      </c>
      <c r="E1381">
        <v>6.4</v>
      </c>
      <c r="F1381">
        <v>7.4</v>
      </c>
      <c r="G1381">
        <v>7</v>
      </c>
      <c r="H1381">
        <v>6.4</v>
      </c>
      <c r="I1381">
        <v>6.4</v>
      </c>
      <c r="J1381">
        <v>5.9</v>
      </c>
      <c r="K1381">
        <v>5.1</v>
      </c>
      <c r="L1381" s="1"/>
    </row>
    <row r="1382" spans="1:12">
      <c r="A1382" t="s">
        <v>1430</v>
      </c>
      <c r="B1382">
        <v>8.1</v>
      </c>
      <c r="C1382">
        <v>8.6</v>
      </c>
      <c r="D1382">
        <v>7.3</v>
      </c>
      <c r="E1382">
        <v>7.7</v>
      </c>
      <c r="F1382">
        <v>7.9</v>
      </c>
      <c r="G1382">
        <v>7.2</v>
      </c>
      <c r="H1382">
        <v>6.5</v>
      </c>
      <c r="I1382">
        <v>6.4</v>
      </c>
      <c r="J1382">
        <v>5.9</v>
      </c>
      <c r="K1382">
        <v>5.2</v>
      </c>
      <c r="L1382" s="1"/>
    </row>
    <row r="1383" spans="1:12">
      <c r="A1383" t="s">
        <v>1431</v>
      </c>
      <c r="B1383">
        <v>7.1</v>
      </c>
      <c r="C1383">
        <v>6.8</v>
      </c>
      <c r="D1383">
        <v>7.5</v>
      </c>
      <c r="E1383">
        <v>7.9</v>
      </c>
      <c r="F1383">
        <v>6.3</v>
      </c>
      <c r="G1383">
        <v>6.8</v>
      </c>
      <c r="H1383">
        <v>8.1</v>
      </c>
      <c r="I1383">
        <v>8.2</v>
      </c>
      <c r="J1383">
        <v>7.2</v>
      </c>
      <c r="K1383">
        <v>5</v>
      </c>
      <c r="L1383" s="1"/>
    </row>
    <row r="1384" spans="1:12">
      <c r="A1384" t="s">
        <v>1432</v>
      </c>
      <c r="B1384">
        <v>8.5</v>
      </c>
      <c r="C1384">
        <v>7.6</v>
      </c>
      <c r="D1384">
        <v>7.7</v>
      </c>
      <c r="E1384">
        <v>7.7</v>
      </c>
      <c r="F1384">
        <v>6.9</v>
      </c>
      <c r="G1384">
        <v>6.7</v>
      </c>
      <c r="H1384">
        <v>7.2</v>
      </c>
      <c r="I1384">
        <v>7.9</v>
      </c>
      <c r="J1384">
        <v>6</v>
      </c>
      <c r="K1384">
        <v>6.4</v>
      </c>
      <c r="L1384" s="1"/>
    </row>
    <row r="1385" spans="1:12">
      <c r="A1385" t="s">
        <v>1433</v>
      </c>
      <c r="B1385">
        <v>8.3</v>
      </c>
      <c r="C1385">
        <v>8.7</v>
      </c>
      <c r="D1385">
        <v>8.6</v>
      </c>
      <c r="E1385">
        <v>8</v>
      </c>
      <c r="F1385">
        <v>7.8</v>
      </c>
      <c r="G1385">
        <v>7.4</v>
      </c>
      <c r="H1385">
        <v>5.6</v>
      </c>
      <c r="I1385">
        <v>7</v>
      </c>
      <c r="J1385">
        <v>5.8</v>
      </c>
      <c r="K1385">
        <v>6.8</v>
      </c>
      <c r="L1385" s="1"/>
    </row>
    <row r="1386" spans="1:12">
      <c r="A1386" t="s">
        <v>1434</v>
      </c>
      <c r="B1386">
        <v>8.1</v>
      </c>
      <c r="C1386">
        <v>7.2</v>
      </c>
      <c r="D1386">
        <v>7.7</v>
      </c>
      <c r="E1386">
        <v>7.8</v>
      </c>
      <c r="F1386">
        <v>8.5</v>
      </c>
      <c r="G1386">
        <v>8.1</v>
      </c>
      <c r="H1386">
        <v>6.4</v>
      </c>
      <c r="I1386">
        <v>6.8</v>
      </c>
      <c r="J1386">
        <v>7.2</v>
      </c>
      <c r="K1386">
        <v>6.3</v>
      </c>
      <c r="L1386" s="1"/>
    </row>
    <row r="1387" spans="1:12">
      <c r="A1387" t="s">
        <v>1435</v>
      </c>
      <c r="B1387">
        <v>7.8</v>
      </c>
      <c r="C1387">
        <v>6.4</v>
      </c>
      <c r="D1387">
        <v>7.9</v>
      </c>
      <c r="E1387">
        <v>7.4</v>
      </c>
      <c r="F1387">
        <v>6.2</v>
      </c>
      <c r="G1387">
        <v>6.8</v>
      </c>
      <c r="H1387">
        <v>5.9</v>
      </c>
      <c r="I1387">
        <v>5.7</v>
      </c>
      <c r="J1387">
        <v>8.4</v>
      </c>
      <c r="K1387">
        <v>6.1</v>
      </c>
      <c r="L1387" s="1"/>
    </row>
    <row r="1388" spans="1:12">
      <c r="A1388" t="s">
        <v>1436</v>
      </c>
      <c r="B1388">
        <v>8.7</v>
      </c>
      <c r="C1388">
        <v>8</v>
      </c>
      <c r="D1388">
        <v>8</v>
      </c>
      <c r="E1388">
        <v>7.4</v>
      </c>
      <c r="F1388">
        <v>5.6</v>
      </c>
      <c r="G1388">
        <v>6.6</v>
      </c>
      <c r="H1388">
        <v>7.1</v>
      </c>
      <c r="I1388">
        <v>6.6</v>
      </c>
      <c r="J1388">
        <v>6.5</v>
      </c>
      <c r="K1388">
        <v>6.2</v>
      </c>
      <c r="L1388" s="1"/>
    </row>
    <row r="1389" spans="1:12">
      <c r="A1389" t="s">
        <v>1437</v>
      </c>
      <c r="B1389">
        <v>7.3</v>
      </c>
      <c r="C1389">
        <v>7.7</v>
      </c>
      <c r="D1389">
        <v>8.1</v>
      </c>
      <c r="E1389">
        <v>8.5</v>
      </c>
      <c r="F1389">
        <v>5.9</v>
      </c>
      <c r="G1389">
        <v>6.7</v>
      </c>
      <c r="H1389">
        <v>6.5</v>
      </c>
      <c r="I1389">
        <v>6.9</v>
      </c>
      <c r="J1389">
        <v>6.1</v>
      </c>
      <c r="K1389">
        <v>7.3</v>
      </c>
      <c r="L1389" s="1"/>
    </row>
    <row r="1390" spans="1:12">
      <c r="A1390" t="s">
        <v>1438</v>
      </c>
      <c r="B1390">
        <v>8.1</v>
      </c>
      <c r="C1390">
        <v>7.7</v>
      </c>
      <c r="D1390">
        <v>7.5</v>
      </c>
      <c r="E1390">
        <v>7.5</v>
      </c>
      <c r="F1390">
        <v>7.1</v>
      </c>
      <c r="G1390">
        <v>6.9</v>
      </c>
      <c r="H1390">
        <v>8.4</v>
      </c>
      <c r="I1390">
        <v>6.2</v>
      </c>
      <c r="J1390">
        <v>4.9</v>
      </c>
      <c r="K1390">
        <v>7</v>
      </c>
      <c r="L1390" s="1"/>
    </row>
    <row r="1391" spans="1:12">
      <c r="A1391" t="s">
        <v>1439</v>
      </c>
      <c r="B1391">
        <v>8.6</v>
      </c>
      <c r="C1391">
        <v>8.3</v>
      </c>
      <c r="D1391">
        <v>6.8</v>
      </c>
      <c r="E1391">
        <v>6.8</v>
      </c>
      <c r="F1391">
        <v>8.3</v>
      </c>
      <c r="G1391">
        <v>6.7</v>
      </c>
      <c r="H1391">
        <v>6.3</v>
      </c>
      <c r="I1391">
        <v>6.8</v>
      </c>
      <c r="J1391">
        <v>7.2</v>
      </c>
      <c r="K1391">
        <v>5.3</v>
      </c>
      <c r="L1391" s="1"/>
    </row>
    <row r="1392" spans="1:12">
      <c r="A1392" t="s">
        <v>1440</v>
      </c>
      <c r="B1392">
        <v>7.4</v>
      </c>
      <c r="C1392">
        <v>6.6</v>
      </c>
      <c r="D1392">
        <v>7.5</v>
      </c>
      <c r="E1392">
        <v>7</v>
      </c>
      <c r="F1392">
        <v>7.5</v>
      </c>
      <c r="G1392">
        <v>6.2</v>
      </c>
      <c r="H1392">
        <v>5.9</v>
      </c>
      <c r="I1392">
        <v>6.3</v>
      </c>
      <c r="J1392">
        <v>6.1</v>
      </c>
      <c r="K1392">
        <v>4.6</v>
      </c>
      <c r="L1392" s="1"/>
    </row>
    <row r="1393" spans="1:12">
      <c r="A1393" t="s">
        <v>1441</v>
      </c>
      <c r="B1393">
        <v>7.2</v>
      </c>
      <c r="C1393">
        <v>7.8</v>
      </c>
      <c r="D1393">
        <v>7.5</v>
      </c>
      <c r="E1393">
        <v>7.7</v>
      </c>
      <c r="F1393">
        <v>7.5</v>
      </c>
      <c r="G1393">
        <v>6.7</v>
      </c>
      <c r="H1393">
        <v>6.7</v>
      </c>
      <c r="I1393">
        <v>7.6</v>
      </c>
      <c r="J1393">
        <v>6.2</v>
      </c>
      <c r="K1393">
        <v>7.1</v>
      </c>
      <c r="L1393" s="1"/>
    </row>
    <row r="1394" spans="1:12">
      <c r="A1394" t="s">
        <v>1442</v>
      </c>
      <c r="B1394">
        <v>7.3</v>
      </c>
      <c r="C1394">
        <v>7.8</v>
      </c>
      <c r="D1394">
        <v>7.5</v>
      </c>
      <c r="E1394">
        <v>7.3</v>
      </c>
      <c r="F1394">
        <v>6</v>
      </c>
      <c r="G1394">
        <v>7</v>
      </c>
      <c r="H1394">
        <v>6.4</v>
      </c>
      <c r="I1394">
        <v>5.7</v>
      </c>
      <c r="J1394">
        <v>5.1</v>
      </c>
      <c r="K1394">
        <v>5.8</v>
      </c>
      <c r="L1394" s="1"/>
    </row>
    <row r="1395" spans="1:12">
      <c r="A1395" t="s">
        <v>1443</v>
      </c>
      <c r="B1395">
        <v>7.8</v>
      </c>
      <c r="C1395">
        <v>7.9</v>
      </c>
      <c r="D1395">
        <v>7.7</v>
      </c>
      <c r="E1395">
        <v>6.7</v>
      </c>
      <c r="F1395">
        <v>6.6</v>
      </c>
      <c r="G1395">
        <v>5.9</v>
      </c>
      <c r="H1395">
        <v>5.5</v>
      </c>
      <c r="I1395">
        <v>6.6</v>
      </c>
      <c r="J1395">
        <v>7.1</v>
      </c>
      <c r="K1395">
        <v>6.2</v>
      </c>
      <c r="L1395" s="1"/>
    </row>
    <row r="1396" spans="1:12">
      <c r="A1396" t="s">
        <v>1444</v>
      </c>
      <c r="B1396">
        <v>7.6</v>
      </c>
      <c r="C1396">
        <v>8.7</v>
      </c>
      <c r="D1396">
        <v>8.3</v>
      </c>
      <c r="E1396">
        <v>7.4</v>
      </c>
      <c r="F1396">
        <v>7.2</v>
      </c>
      <c r="G1396">
        <v>6.5</v>
      </c>
      <c r="H1396">
        <v>6.6</v>
      </c>
      <c r="I1396">
        <v>7.1</v>
      </c>
      <c r="J1396">
        <v>7.6</v>
      </c>
      <c r="K1396">
        <v>5.6</v>
      </c>
      <c r="L1396" s="1"/>
    </row>
    <row r="1397" spans="1:12">
      <c r="A1397" t="s">
        <v>1445</v>
      </c>
      <c r="B1397">
        <v>8.3</v>
      </c>
      <c r="C1397">
        <v>7.8</v>
      </c>
      <c r="D1397">
        <v>6.8</v>
      </c>
      <c r="E1397">
        <v>6.8</v>
      </c>
      <c r="F1397">
        <v>7.2</v>
      </c>
      <c r="G1397">
        <v>6.3</v>
      </c>
      <c r="H1397">
        <v>6.2</v>
      </c>
      <c r="I1397">
        <v>5.2</v>
      </c>
      <c r="J1397">
        <v>6.2</v>
      </c>
      <c r="K1397">
        <v>2.2</v>
      </c>
      <c r="L1397" s="1"/>
    </row>
    <row r="1398" spans="1:12">
      <c r="A1398" t="s">
        <v>1446</v>
      </c>
      <c r="B1398">
        <v>7.3</v>
      </c>
      <c r="C1398">
        <v>7.6</v>
      </c>
      <c r="D1398">
        <v>8.8</v>
      </c>
      <c r="E1398">
        <v>6.2</v>
      </c>
      <c r="F1398">
        <v>8.3</v>
      </c>
      <c r="G1398">
        <v>6.1</v>
      </c>
      <c r="H1398">
        <v>7.1</v>
      </c>
      <c r="I1398">
        <v>7</v>
      </c>
      <c r="J1398">
        <v>6.9</v>
      </c>
      <c r="K1398">
        <v>5.8</v>
      </c>
      <c r="L1398" s="1"/>
    </row>
    <row r="1399" spans="1:12">
      <c r="A1399" t="s">
        <v>1447</v>
      </c>
      <c r="B1399">
        <v>7.3</v>
      </c>
      <c r="C1399">
        <v>7.5</v>
      </c>
      <c r="D1399">
        <v>7.4</v>
      </c>
      <c r="E1399">
        <v>7.5</v>
      </c>
      <c r="F1399">
        <v>6.2</v>
      </c>
      <c r="G1399">
        <v>6.2</v>
      </c>
      <c r="H1399">
        <v>6.8</v>
      </c>
      <c r="I1399">
        <v>6.4</v>
      </c>
      <c r="J1399">
        <v>4.9</v>
      </c>
      <c r="K1399">
        <v>5</v>
      </c>
      <c r="L1399" s="1"/>
    </row>
    <row r="1400" spans="1:12">
      <c r="A1400" t="s">
        <v>1448</v>
      </c>
      <c r="B1400">
        <v>7.4</v>
      </c>
      <c r="C1400">
        <v>8.1</v>
      </c>
      <c r="D1400">
        <v>6.9</v>
      </c>
      <c r="E1400">
        <v>8.7</v>
      </c>
      <c r="F1400">
        <v>7.1</v>
      </c>
      <c r="G1400">
        <v>6.2</v>
      </c>
      <c r="H1400">
        <v>6</v>
      </c>
      <c r="I1400">
        <v>7.5</v>
      </c>
      <c r="J1400">
        <v>6</v>
      </c>
      <c r="K1400">
        <v>4.7</v>
      </c>
      <c r="L1400" s="1"/>
    </row>
    <row r="1401" spans="1:12">
      <c r="A1401" t="s">
        <v>1449</v>
      </c>
      <c r="B1401">
        <v>7.9</v>
      </c>
      <c r="C1401">
        <v>8.4</v>
      </c>
      <c r="D1401">
        <v>7.4</v>
      </c>
      <c r="E1401">
        <v>7.9</v>
      </c>
      <c r="F1401">
        <v>6.8</v>
      </c>
      <c r="G1401">
        <v>7.4</v>
      </c>
      <c r="H1401">
        <v>6.1</v>
      </c>
      <c r="I1401">
        <v>5.4</v>
      </c>
      <c r="J1401">
        <v>6.4</v>
      </c>
      <c r="K1401">
        <v>5.7</v>
      </c>
      <c r="L1401" s="1"/>
    </row>
    <row r="1402" spans="1:12">
      <c r="A1402" t="s">
        <v>1450</v>
      </c>
      <c r="B1402">
        <v>7.1</v>
      </c>
      <c r="C1402">
        <v>7.3</v>
      </c>
      <c r="D1402">
        <v>7.5</v>
      </c>
      <c r="E1402">
        <v>7.5</v>
      </c>
      <c r="F1402">
        <v>7.6</v>
      </c>
      <c r="G1402">
        <v>7.1</v>
      </c>
      <c r="H1402">
        <v>6.7</v>
      </c>
      <c r="I1402">
        <v>5.4</v>
      </c>
      <c r="J1402">
        <v>5.8</v>
      </c>
      <c r="K1402">
        <v>5.5</v>
      </c>
      <c r="L1402" s="1"/>
    </row>
    <row r="1403" spans="1:12">
      <c r="A1403" t="s">
        <v>1451</v>
      </c>
      <c r="B1403">
        <v>8</v>
      </c>
      <c r="C1403">
        <v>6.4</v>
      </c>
      <c r="D1403">
        <v>8.3</v>
      </c>
      <c r="E1403">
        <v>7.5</v>
      </c>
      <c r="F1403">
        <v>6.6</v>
      </c>
      <c r="G1403">
        <v>6.6</v>
      </c>
      <c r="H1403">
        <v>7.6</v>
      </c>
      <c r="I1403">
        <v>5.7</v>
      </c>
      <c r="J1403">
        <v>6.1</v>
      </c>
      <c r="K1403">
        <v>5.6</v>
      </c>
      <c r="L1403" s="1"/>
    </row>
    <row r="1404" spans="1:12">
      <c r="A1404" t="s">
        <v>1452</v>
      </c>
      <c r="B1404">
        <v>7.4</v>
      </c>
      <c r="C1404">
        <v>7.8</v>
      </c>
      <c r="D1404">
        <v>7.9</v>
      </c>
      <c r="E1404">
        <v>6.8</v>
      </c>
      <c r="F1404">
        <v>6.7</v>
      </c>
      <c r="G1404">
        <v>7.5</v>
      </c>
      <c r="H1404">
        <v>7.9</v>
      </c>
      <c r="I1404">
        <v>6.4</v>
      </c>
      <c r="J1404">
        <v>7.2</v>
      </c>
      <c r="K1404">
        <v>5.8</v>
      </c>
      <c r="L1404" s="1"/>
    </row>
    <row r="1405" spans="1:12">
      <c r="A1405" t="s">
        <v>1453</v>
      </c>
      <c r="B1405">
        <v>7</v>
      </c>
      <c r="C1405">
        <v>7.2</v>
      </c>
      <c r="D1405">
        <v>7.5</v>
      </c>
      <c r="E1405">
        <v>7.8</v>
      </c>
      <c r="F1405">
        <v>8.7</v>
      </c>
      <c r="G1405">
        <v>7.1</v>
      </c>
      <c r="H1405">
        <v>7.4</v>
      </c>
      <c r="I1405">
        <v>8.2</v>
      </c>
      <c r="J1405">
        <v>5.6</v>
      </c>
      <c r="K1405">
        <v>7.6</v>
      </c>
      <c r="L1405" s="1"/>
    </row>
    <row r="1406" spans="1:12">
      <c r="A1406" t="s">
        <v>1454</v>
      </c>
      <c r="B1406">
        <v>7.9</v>
      </c>
      <c r="C1406">
        <v>8.1</v>
      </c>
      <c r="D1406">
        <v>6.5</v>
      </c>
      <c r="E1406">
        <v>8</v>
      </c>
      <c r="F1406">
        <v>7.2</v>
      </c>
      <c r="G1406">
        <v>6.2</v>
      </c>
      <c r="H1406">
        <v>5.3</v>
      </c>
      <c r="I1406">
        <v>8</v>
      </c>
      <c r="J1406">
        <v>8.1</v>
      </c>
      <c r="K1406">
        <v>3.9</v>
      </c>
      <c r="L1406" s="1"/>
    </row>
    <row r="1407" spans="1:12">
      <c r="A1407" t="s">
        <v>1455</v>
      </c>
      <c r="B1407">
        <v>7.2</v>
      </c>
      <c r="C1407">
        <v>7.7</v>
      </c>
      <c r="D1407">
        <v>7.2</v>
      </c>
      <c r="E1407">
        <v>7.7</v>
      </c>
      <c r="F1407">
        <v>7.6</v>
      </c>
      <c r="G1407">
        <v>8.1</v>
      </c>
      <c r="H1407">
        <v>6.4</v>
      </c>
      <c r="I1407">
        <v>6</v>
      </c>
      <c r="J1407">
        <v>6</v>
      </c>
      <c r="K1407">
        <v>4.4</v>
      </c>
      <c r="L1407" s="1"/>
    </row>
    <row r="1408" spans="1:12">
      <c r="A1408" t="s">
        <v>1456</v>
      </c>
      <c r="B1408">
        <v>8.4</v>
      </c>
      <c r="C1408">
        <v>7.5</v>
      </c>
      <c r="D1408">
        <v>6.6</v>
      </c>
      <c r="E1408">
        <v>7.7</v>
      </c>
      <c r="F1408">
        <v>7.4</v>
      </c>
      <c r="G1408">
        <v>7.1</v>
      </c>
      <c r="H1408">
        <v>5.4</v>
      </c>
      <c r="I1408">
        <v>5.1</v>
      </c>
      <c r="J1408">
        <v>5</v>
      </c>
      <c r="K1408">
        <v>5.4</v>
      </c>
      <c r="L1408" s="1"/>
    </row>
    <row r="1409" spans="1:12">
      <c r="A1409" t="s">
        <v>1457</v>
      </c>
      <c r="B1409">
        <v>7.5</v>
      </c>
      <c r="C1409">
        <v>6.8</v>
      </c>
      <c r="D1409">
        <v>6.4</v>
      </c>
      <c r="E1409">
        <v>8</v>
      </c>
      <c r="F1409">
        <v>8.2</v>
      </c>
      <c r="G1409">
        <v>7.3</v>
      </c>
      <c r="H1409">
        <v>6.1</v>
      </c>
      <c r="I1409">
        <v>6.1</v>
      </c>
      <c r="J1409">
        <v>8.7</v>
      </c>
      <c r="K1409">
        <v>3.1</v>
      </c>
      <c r="L1409" s="1"/>
    </row>
    <row r="1410" spans="1:12">
      <c r="A1410" t="s">
        <v>1458</v>
      </c>
      <c r="B1410">
        <v>8.1</v>
      </c>
      <c r="C1410">
        <v>7.9</v>
      </c>
      <c r="D1410">
        <v>7</v>
      </c>
      <c r="E1410">
        <v>7.1</v>
      </c>
      <c r="F1410">
        <v>6.6</v>
      </c>
      <c r="G1410">
        <v>7.2</v>
      </c>
      <c r="H1410">
        <v>7</v>
      </c>
      <c r="I1410">
        <v>6.7</v>
      </c>
      <c r="J1410">
        <v>7.4</v>
      </c>
      <c r="K1410">
        <v>5.1</v>
      </c>
      <c r="L1410" s="1"/>
    </row>
    <row r="1411" spans="1:12">
      <c r="A1411" t="s">
        <v>1459</v>
      </c>
      <c r="B1411">
        <v>7.6</v>
      </c>
      <c r="C1411">
        <v>6.8</v>
      </c>
      <c r="D1411">
        <v>7.6</v>
      </c>
      <c r="E1411">
        <v>8</v>
      </c>
      <c r="F1411">
        <v>6.7</v>
      </c>
      <c r="G1411">
        <v>7</v>
      </c>
      <c r="H1411">
        <v>7.3</v>
      </c>
      <c r="I1411">
        <v>5.9</v>
      </c>
      <c r="J1411">
        <v>7</v>
      </c>
      <c r="K1411">
        <v>4.1</v>
      </c>
      <c r="L1411" s="1"/>
    </row>
    <row r="1412" spans="1:12">
      <c r="A1412" t="s">
        <v>1460</v>
      </c>
      <c r="B1412">
        <v>7.7</v>
      </c>
      <c r="C1412">
        <v>7.1</v>
      </c>
      <c r="D1412">
        <v>7.5</v>
      </c>
      <c r="E1412">
        <v>7.8</v>
      </c>
      <c r="F1412">
        <v>8.2</v>
      </c>
      <c r="G1412">
        <v>9.1</v>
      </c>
      <c r="H1412">
        <v>6.5</v>
      </c>
      <c r="I1412">
        <v>5</v>
      </c>
      <c r="J1412">
        <v>5.9</v>
      </c>
      <c r="K1412">
        <v>6.1</v>
      </c>
      <c r="L1412" s="1"/>
    </row>
    <row r="1413" spans="1:12">
      <c r="A1413" t="s">
        <v>1461</v>
      </c>
      <c r="B1413">
        <v>7.7</v>
      </c>
      <c r="C1413">
        <v>7.2</v>
      </c>
      <c r="D1413">
        <v>8.1</v>
      </c>
      <c r="E1413">
        <v>7.1</v>
      </c>
      <c r="F1413">
        <v>5.9</v>
      </c>
      <c r="G1413">
        <v>7.7</v>
      </c>
      <c r="H1413">
        <v>7.6</v>
      </c>
      <c r="I1413">
        <v>6.7</v>
      </c>
      <c r="J1413">
        <v>6.6</v>
      </c>
      <c r="K1413">
        <v>5.9</v>
      </c>
      <c r="L1413" s="1"/>
    </row>
    <row r="1414" spans="1:12">
      <c r="A1414" t="s">
        <v>1462</v>
      </c>
      <c r="B1414">
        <v>8</v>
      </c>
      <c r="C1414">
        <v>6.8</v>
      </c>
      <c r="D1414">
        <v>7.5</v>
      </c>
      <c r="E1414">
        <v>7.4</v>
      </c>
      <c r="F1414">
        <v>6.6</v>
      </c>
      <c r="G1414">
        <v>6.3</v>
      </c>
      <c r="H1414">
        <v>7.2</v>
      </c>
      <c r="I1414">
        <v>6.4</v>
      </c>
      <c r="J1414">
        <v>6.3</v>
      </c>
      <c r="K1414">
        <v>4.3</v>
      </c>
      <c r="L1414" s="1"/>
    </row>
    <row r="1415" spans="1:12">
      <c r="A1415" t="s">
        <v>1463</v>
      </c>
      <c r="B1415">
        <v>8.4</v>
      </c>
      <c r="C1415">
        <v>7.9</v>
      </c>
      <c r="D1415">
        <v>7.3</v>
      </c>
      <c r="E1415">
        <v>7.6</v>
      </c>
      <c r="F1415">
        <v>6.5</v>
      </c>
      <c r="G1415">
        <v>7.1</v>
      </c>
      <c r="H1415">
        <v>5.5</v>
      </c>
      <c r="I1415">
        <v>6.9</v>
      </c>
      <c r="J1415">
        <v>6.1</v>
      </c>
      <c r="K1415">
        <v>4.2</v>
      </c>
      <c r="L1415" s="1"/>
    </row>
    <row r="1416" spans="1:12">
      <c r="A1416" t="s">
        <v>1464</v>
      </c>
      <c r="B1416">
        <v>8</v>
      </c>
      <c r="C1416">
        <v>7.6</v>
      </c>
      <c r="D1416">
        <v>7.9</v>
      </c>
      <c r="E1416">
        <v>7.1</v>
      </c>
      <c r="F1416">
        <v>6.4</v>
      </c>
      <c r="G1416">
        <v>6.3</v>
      </c>
      <c r="H1416">
        <v>6.6</v>
      </c>
      <c r="I1416">
        <v>6.4</v>
      </c>
      <c r="J1416">
        <v>6.4</v>
      </c>
      <c r="K1416">
        <v>3.4</v>
      </c>
      <c r="L1416" s="1"/>
    </row>
    <row r="1417" spans="1:12">
      <c r="A1417" t="s">
        <v>1465</v>
      </c>
      <c r="B1417">
        <v>7.7</v>
      </c>
      <c r="C1417">
        <v>8</v>
      </c>
      <c r="D1417">
        <v>7.2</v>
      </c>
      <c r="E1417">
        <v>7</v>
      </c>
      <c r="F1417">
        <v>7.5</v>
      </c>
      <c r="G1417">
        <v>6.6</v>
      </c>
      <c r="H1417">
        <v>7.7</v>
      </c>
      <c r="I1417">
        <v>6.2</v>
      </c>
      <c r="J1417">
        <v>7.7</v>
      </c>
      <c r="K1417">
        <v>4.6</v>
      </c>
      <c r="L1417" s="1"/>
    </row>
    <row r="1418" spans="1:12">
      <c r="A1418" t="s">
        <v>1466</v>
      </c>
      <c r="B1418">
        <v>7.9</v>
      </c>
      <c r="C1418">
        <v>7.6</v>
      </c>
      <c r="D1418">
        <v>8.4</v>
      </c>
      <c r="E1418">
        <v>7.9</v>
      </c>
      <c r="F1418">
        <v>7.7</v>
      </c>
      <c r="G1418">
        <v>6.5</v>
      </c>
      <c r="H1418">
        <v>5.5</v>
      </c>
      <c r="I1418">
        <v>5.8</v>
      </c>
      <c r="J1418">
        <v>6.3</v>
      </c>
      <c r="K1418">
        <v>6</v>
      </c>
      <c r="L1418" s="1"/>
    </row>
    <row r="1419" spans="1:12">
      <c r="A1419" t="s">
        <v>1467</v>
      </c>
      <c r="B1419">
        <v>8.2</v>
      </c>
      <c r="C1419">
        <v>7.2</v>
      </c>
      <c r="D1419">
        <v>7.5</v>
      </c>
      <c r="E1419">
        <v>7.7</v>
      </c>
      <c r="F1419">
        <v>6.2</v>
      </c>
      <c r="G1419">
        <v>5.7</v>
      </c>
      <c r="H1419">
        <v>7.3</v>
      </c>
      <c r="I1419">
        <v>7.1</v>
      </c>
      <c r="J1419">
        <v>5.8</v>
      </c>
      <c r="K1419">
        <v>4.4</v>
      </c>
      <c r="L1419" s="1"/>
    </row>
    <row r="1420" spans="1:12">
      <c r="A1420" t="s">
        <v>1468</v>
      </c>
      <c r="B1420">
        <v>6.4</v>
      </c>
      <c r="C1420">
        <v>7.2</v>
      </c>
      <c r="D1420">
        <v>8</v>
      </c>
      <c r="E1420">
        <v>7.5</v>
      </c>
      <c r="F1420">
        <v>6.9</v>
      </c>
      <c r="G1420">
        <v>7.4</v>
      </c>
      <c r="H1420">
        <v>7.4</v>
      </c>
      <c r="I1420">
        <v>8</v>
      </c>
      <c r="J1420">
        <v>5</v>
      </c>
      <c r="K1420">
        <v>5.2</v>
      </c>
      <c r="L1420" s="1"/>
    </row>
    <row r="1421" spans="1:12">
      <c r="A1421" t="s">
        <v>1469</v>
      </c>
      <c r="B1421">
        <v>7.9</v>
      </c>
      <c r="C1421">
        <v>7.6</v>
      </c>
      <c r="D1421">
        <v>7.8</v>
      </c>
      <c r="E1421">
        <v>5.9</v>
      </c>
      <c r="F1421">
        <v>7.3</v>
      </c>
      <c r="G1421">
        <v>6.5</v>
      </c>
      <c r="H1421">
        <v>5.6</v>
      </c>
      <c r="I1421">
        <v>5.6</v>
      </c>
      <c r="J1421">
        <v>7.6</v>
      </c>
      <c r="K1421">
        <v>4.4</v>
      </c>
      <c r="L1421" s="1"/>
    </row>
    <row r="1422" spans="1:12">
      <c r="A1422" t="s">
        <v>1470</v>
      </c>
      <c r="B1422">
        <v>7.5</v>
      </c>
      <c r="C1422">
        <v>7.5</v>
      </c>
      <c r="D1422">
        <v>6.9</v>
      </c>
      <c r="E1422">
        <v>7.1</v>
      </c>
      <c r="F1422">
        <v>7.6</v>
      </c>
      <c r="G1422">
        <v>6.2</v>
      </c>
      <c r="H1422">
        <v>5.8</v>
      </c>
      <c r="I1422">
        <v>6.7</v>
      </c>
      <c r="J1422">
        <v>5.9</v>
      </c>
      <c r="K1422">
        <v>5.3</v>
      </c>
      <c r="L1422" s="1"/>
    </row>
    <row r="1423" spans="1:12">
      <c r="A1423" t="s">
        <v>1471</v>
      </c>
      <c r="B1423">
        <v>7.6</v>
      </c>
      <c r="C1423">
        <v>8.4</v>
      </c>
      <c r="D1423">
        <v>6.3</v>
      </c>
      <c r="E1423">
        <v>7.3</v>
      </c>
      <c r="F1423">
        <v>7.6</v>
      </c>
      <c r="G1423">
        <v>5.9</v>
      </c>
      <c r="H1423">
        <v>8.4</v>
      </c>
      <c r="I1423">
        <v>5.6</v>
      </c>
      <c r="J1423">
        <v>5</v>
      </c>
      <c r="K1423">
        <v>6.1</v>
      </c>
      <c r="L1423" s="1"/>
    </row>
    <row r="1424" spans="1:12">
      <c r="A1424" t="s">
        <v>1472</v>
      </c>
      <c r="B1424">
        <v>7.7</v>
      </c>
      <c r="C1424">
        <v>7.9</v>
      </c>
      <c r="D1424">
        <v>7.2</v>
      </c>
      <c r="E1424">
        <v>7.8</v>
      </c>
      <c r="F1424">
        <v>7.5</v>
      </c>
      <c r="G1424">
        <v>8</v>
      </c>
      <c r="H1424">
        <v>5.9</v>
      </c>
      <c r="I1424">
        <v>7.7</v>
      </c>
      <c r="J1424">
        <v>7.8</v>
      </c>
      <c r="K1424">
        <v>5.5</v>
      </c>
      <c r="L1424" s="1"/>
    </row>
    <row r="1425" spans="1:12">
      <c r="A1425" t="s">
        <v>1473</v>
      </c>
      <c r="B1425">
        <v>7.6</v>
      </c>
      <c r="C1425">
        <v>7.6</v>
      </c>
      <c r="D1425">
        <v>7.7</v>
      </c>
      <c r="E1425">
        <v>7.6</v>
      </c>
      <c r="F1425">
        <v>6.3</v>
      </c>
      <c r="G1425">
        <v>7.1</v>
      </c>
      <c r="H1425">
        <v>7.2</v>
      </c>
      <c r="I1425">
        <v>6.6</v>
      </c>
      <c r="J1425">
        <v>6.4</v>
      </c>
      <c r="K1425">
        <v>6.3</v>
      </c>
      <c r="L1425" s="1"/>
    </row>
    <row r="1426" spans="1:12">
      <c r="A1426" t="s">
        <v>1474</v>
      </c>
      <c r="B1426">
        <v>7.3</v>
      </c>
      <c r="C1426">
        <v>7.9</v>
      </c>
      <c r="D1426">
        <v>7.7</v>
      </c>
      <c r="E1426">
        <v>7.8</v>
      </c>
      <c r="F1426">
        <v>5.2</v>
      </c>
      <c r="G1426">
        <v>6.3</v>
      </c>
      <c r="H1426">
        <v>7.2</v>
      </c>
      <c r="I1426">
        <v>7</v>
      </c>
      <c r="J1426">
        <v>7</v>
      </c>
      <c r="K1426">
        <v>6.6</v>
      </c>
      <c r="L1426" s="1"/>
    </row>
    <row r="1427" spans="1:12">
      <c r="A1427" t="s">
        <v>1475</v>
      </c>
      <c r="B1427">
        <v>7.4</v>
      </c>
      <c r="C1427">
        <v>7.5</v>
      </c>
      <c r="D1427">
        <v>7.5</v>
      </c>
      <c r="E1427">
        <v>7.6</v>
      </c>
      <c r="F1427">
        <v>6.3</v>
      </c>
      <c r="G1427">
        <v>6.1</v>
      </c>
      <c r="H1427">
        <v>7.3</v>
      </c>
      <c r="I1427">
        <v>7.8</v>
      </c>
      <c r="J1427">
        <v>5.3</v>
      </c>
      <c r="K1427">
        <v>7.7</v>
      </c>
      <c r="L1427" s="1"/>
    </row>
    <row r="1428" spans="1:12">
      <c r="A1428" t="s">
        <v>1476</v>
      </c>
      <c r="B1428">
        <v>7.5</v>
      </c>
      <c r="C1428">
        <v>8.8</v>
      </c>
      <c r="D1428">
        <v>7.6</v>
      </c>
      <c r="E1428">
        <v>7.9</v>
      </c>
      <c r="F1428">
        <v>7.8</v>
      </c>
      <c r="G1428">
        <v>7.3</v>
      </c>
      <c r="H1428">
        <v>5.6</v>
      </c>
      <c r="I1428">
        <v>6</v>
      </c>
      <c r="J1428">
        <v>5.8</v>
      </c>
      <c r="K1428">
        <v>6.4</v>
      </c>
      <c r="L1428" s="1"/>
    </row>
    <row r="1429" spans="1:12">
      <c r="A1429" t="s">
        <v>1477</v>
      </c>
      <c r="B1429">
        <v>8.5</v>
      </c>
      <c r="C1429">
        <v>7.9</v>
      </c>
      <c r="D1429">
        <v>7.2</v>
      </c>
      <c r="E1429">
        <v>6.9</v>
      </c>
      <c r="F1429">
        <v>7.5</v>
      </c>
      <c r="G1429">
        <v>7</v>
      </c>
      <c r="H1429">
        <v>7</v>
      </c>
      <c r="I1429">
        <v>6.7</v>
      </c>
      <c r="J1429">
        <v>6.7</v>
      </c>
      <c r="K1429">
        <v>5.5</v>
      </c>
      <c r="L1429" s="1"/>
    </row>
    <row r="1430" spans="1:12">
      <c r="A1430" t="s">
        <v>1478</v>
      </c>
      <c r="B1430">
        <v>7.1</v>
      </c>
      <c r="C1430">
        <v>7.8</v>
      </c>
      <c r="D1430">
        <v>7</v>
      </c>
      <c r="E1430">
        <v>7.4</v>
      </c>
      <c r="F1430">
        <v>7.1</v>
      </c>
      <c r="G1430">
        <v>8.2</v>
      </c>
      <c r="H1430">
        <v>5.9</v>
      </c>
      <c r="I1430">
        <v>5.5</v>
      </c>
      <c r="J1430">
        <v>6.2</v>
      </c>
      <c r="K1430">
        <v>6</v>
      </c>
      <c r="L1430" s="1"/>
    </row>
    <row r="1431" spans="1:12">
      <c r="A1431" t="s">
        <v>1479</v>
      </c>
      <c r="B1431">
        <v>6.8</v>
      </c>
      <c r="C1431">
        <v>8.3</v>
      </c>
      <c r="D1431">
        <v>7.6</v>
      </c>
      <c r="E1431">
        <v>7.5</v>
      </c>
      <c r="F1431">
        <v>7.5</v>
      </c>
      <c r="G1431">
        <v>7.4</v>
      </c>
      <c r="H1431">
        <v>7.2</v>
      </c>
      <c r="I1431">
        <v>6</v>
      </c>
      <c r="J1431">
        <v>4.1</v>
      </c>
      <c r="K1431">
        <v>5.2</v>
      </c>
      <c r="L1431" s="1"/>
    </row>
    <row r="1432" spans="1:12">
      <c r="A1432" t="s">
        <v>1480</v>
      </c>
      <c r="B1432">
        <v>8.1</v>
      </c>
      <c r="C1432">
        <v>8.3</v>
      </c>
      <c r="D1432">
        <v>7.9</v>
      </c>
      <c r="E1432">
        <v>7</v>
      </c>
      <c r="F1432">
        <v>6.6</v>
      </c>
      <c r="G1432">
        <v>6.2</v>
      </c>
      <c r="H1432">
        <v>6</v>
      </c>
      <c r="I1432">
        <v>7.7</v>
      </c>
      <c r="J1432">
        <v>6.6</v>
      </c>
      <c r="K1432">
        <v>3.5</v>
      </c>
      <c r="L1432" s="1"/>
    </row>
    <row r="1433" spans="1:12">
      <c r="A1433" t="s">
        <v>1481</v>
      </c>
      <c r="B1433">
        <v>8.2</v>
      </c>
      <c r="C1433">
        <v>7.2</v>
      </c>
      <c r="D1433">
        <v>7.1</v>
      </c>
      <c r="E1433">
        <v>6.9</v>
      </c>
      <c r="F1433">
        <v>6.6</v>
      </c>
      <c r="G1433">
        <v>6.5</v>
      </c>
      <c r="H1433">
        <v>7.1</v>
      </c>
      <c r="I1433">
        <v>7.7</v>
      </c>
      <c r="J1433">
        <v>7.9</v>
      </c>
      <c r="K1433">
        <v>5.3</v>
      </c>
      <c r="L1433" s="1"/>
    </row>
    <row r="1434" spans="1:12">
      <c r="A1434" t="s">
        <v>1482</v>
      </c>
      <c r="B1434">
        <v>7.2</v>
      </c>
      <c r="C1434">
        <v>6.8</v>
      </c>
      <c r="D1434">
        <v>7.9</v>
      </c>
      <c r="E1434">
        <v>8.2</v>
      </c>
      <c r="F1434">
        <v>7.2</v>
      </c>
      <c r="G1434">
        <v>7.6</v>
      </c>
      <c r="H1434">
        <v>8</v>
      </c>
      <c r="I1434">
        <v>6.5</v>
      </c>
      <c r="J1434">
        <v>5.7</v>
      </c>
      <c r="K1434">
        <v>4.5</v>
      </c>
      <c r="L1434" s="1"/>
    </row>
    <row r="1435" spans="1:12">
      <c r="A1435" t="s">
        <v>1483</v>
      </c>
      <c r="B1435">
        <v>7.6</v>
      </c>
      <c r="C1435">
        <v>8</v>
      </c>
      <c r="D1435">
        <v>6.5</v>
      </c>
      <c r="E1435">
        <v>8.1</v>
      </c>
      <c r="F1435">
        <v>6.1</v>
      </c>
      <c r="G1435">
        <v>6.4</v>
      </c>
      <c r="H1435">
        <v>5.6</v>
      </c>
      <c r="I1435">
        <v>6.5</v>
      </c>
      <c r="J1435">
        <v>6.5</v>
      </c>
      <c r="K1435">
        <v>6</v>
      </c>
      <c r="L1435" s="1"/>
    </row>
    <row r="1436" spans="1:12">
      <c r="A1436" t="s">
        <v>1484</v>
      </c>
      <c r="B1436">
        <v>8</v>
      </c>
      <c r="C1436">
        <v>8</v>
      </c>
      <c r="D1436">
        <v>8</v>
      </c>
      <c r="E1436">
        <v>6.9</v>
      </c>
      <c r="F1436">
        <v>7.6</v>
      </c>
      <c r="G1436">
        <v>5.3</v>
      </c>
      <c r="H1436">
        <v>6.6</v>
      </c>
      <c r="I1436">
        <v>7.1</v>
      </c>
      <c r="J1436">
        <v>7.8</v>
      </c>
      <c r="K1436">
        <v>5.5</v>
      </c>
      <c r="L1436" s="1"/>
    </row>
    <row r="1437" spans="1:12">
      <c r="A1437" t="s">
        <v>1485</v>
      </c>
      <c r="B1437">
        <v>9.5</v>
      </c>
      <c r="C1437">
        <v>8.2</v>
      </c>
      <c r="D1437">
        <v>8</v>
      </c>
      <c r="E1437">
        <v>8.3</v>
      </c>
      <c r="F1437">
        <v>8.7</v>
      </c>
      <c r="G1437">
        <v>8.1</v>
      </c>
      <c r="H1437">
        <v>7.5</v>
      </c>
      <c r="I1437">
        <v>7.9</v>
      </c>
      <c r="J1437">
        <v>7.2</v>
      </c>
      <c r="K1437">
        <v>4.9</v>
      </c>
      <c r="L1437" s="1"/>
    </row>
    <row r="1438" spans="1:12">
      <c r="A1438" t="s">
        <v>1486</v>
      </c>
      <c r="B1438">
        <v>8.9</v>
      </c>
      <c r="C1438">
        <v>9.1</v>
      </c>
      <c r="D1438">
        <v>8</v>
      </c>
      <c r="E1438">
        <v>8.6</v>
      </c>
      <c r="F1438">
        <v>8.9</v>
      </c>
      <c r="G1438">
        <v>8</v>
      </c>
      <c r="H1438">
        <v>7.2</v>
      </c>
      <c r="I1438">
        <v>7.6</v>
      </c>
      <c r="J1438">
        <v>8.6</v>
      </c>
      <c r="K1438">
        <v>7.5</v>
      </c>
      <c r="L1438" s="1"/>
    </row>
    <row r="1439" spans="1:12">
      <c r="A1439" t="s">
        <v>1487</v>
      </c>
      <c r="B1439">
        <v>9.2</v>
      </c>
      <c r="C1439">
        <v>8</v>
      </c>
      <c r="D1439">
        <v>9.4</v>
      </c>
      <c r="E1439">
        <v>8.3</v>
      </c>
      <c r="F1439">
        <v>7.9</v>
      </c>
      <c r="G1439">
        <v>7.6</v>
      </c>
      <c r="H1439">
        <v>7</v>
      </c>
      <c r="I1439">
        <v>7.2</v>
      </c>
      <c r="J1439">
        <v>6.1</v>
      </c>
      <c r="K1439">
        <v>5.8</v>
      </c>
      <c r="L1439" s="1"/>
    </row>
    <row r="1440" spans="1:12">
      <c r="A1440" t="s">
        <v>1488</v>
      </c>
      <c r="B1440">
        <v>8.9</v>
      </c>
      <c r="C1440">
        <v>8.5</v>
      </c>
      <c r="D1440">
        <v>9.2</v>
      </c>
      <c r="E1440">
        <v>8.4</v>
      </c>
      <c r="F1440">
        <v>7.9</v>
      </c>
      <c r="G1440">
        <v>7.1</v>
      </c>
      <c r="H1440">
        <v>7.4</v>
      </c>
      <c r="I1440">
        <v>6.9</v>
      </c>
      <c r="J1440">
        <v>8.7</v>
      </c>
      <c r="K1440">
        <v>6.5</v>
      </c>
      <c r="L1440" s="1"/>
    </row>
    <row r="1441" spans="1:12">
      <c r="A1441" t="s">
        <v>1489</v>
      </c>
      <c r="B1441">
        <v>9.3</v>
      </c>
      <c r="C1441">
        <v>9</v>
      </c>
      <c r="D1441">
        <v>9.1</v>
      </c>
      <c r="E1441">
        <v>8.8</v>
      </c>
      <c r="F1441">
        <v>7.6</v>
      </c>
      <c r="G1441">
        <v>9.1</v>
      </c>
      <c r="H1441">
        <v>7.8</v>
      </c>
      <c r="I1441">
        <v>7.9</v>
      </c>
      <c r="J1441">
        <v>7.6</v>
      </c>
      <c r="K1441">
        <v>6.6</v>
      </c>
      <c r="L1441" s="1"/>
    </row>
    <row r="1442" spans="1:12">
      <c r="A1442" t="s">
        <v>1490</v>
      </c>
      <c r="B1442">
        <v>9.7</v>
      </c>
      <c r="C1442">
        <v>9.3</v>
      </c>
      <c r="D1442">
        <v>9</v>
      </c>
      <c r="E1442">
        <v>8.9</v>
      </c>
      <c r="F1442">
        <v>8.6</v>
      </c>
      <c r="G1442">
        <v>6.7</v>
      </c>
      <c r="H1442">
        <v>8.2</v>
      </c>
      <c r="I1442">
        <v>7.5</v>
      </c>
      <c r="J1442">
        <v>6.4</v>
      </c>
      <c r="K1442">
        <v>7.4</v>
      </c>
      <c r="L1442" s="1"/>
    </row>
    <row r="1443" spans="1:12">
      <c r="A1443" t="s">
        <v>1491</v>
      </c>
      <c r="B1443">
        <v>7.4</v>
      </c>
      <c r="C1443">
        <v>7.5</v>
      </c>
      <c r="D1443">
        <v>7</v>
      </c>
      <c r="E1443">
        <v>7.7</v>
      </c>
      <c r="F1443">
        <v>6.3</v>
      </c>
      <c r="G1443">
        <v>6.1</v>
      </c>
      <c r="H1443">
        <v>6.3</v>
      </c>
      <c r="I1443">
        <v>5.6</v>
      </c>
      <c r="J1443">
        <v>6</v>
      </c>
      <c r="K1443">
        <v>6.1</v>
      </c>
      <c r="L1443" s="1"/>
    </row>
    <row r="1444" spans="1:12">
      <c r="A1444" t="s">
        <v>1492</v>
      </c>
      <c r="B1444">
        <v>8.3</v>
      </c>
      <c r="C1444">
        <v>7.8</v>
      </c>
      <c r="D1444">
        <v>7.5</v>
      </c>
      <c r="E1444">
        <v>7.7</v>
      </c>
      <c r="F1444">
        <v>6.2</v>
      </c>
      <c r="G1444">
        <v>6.4</v>
      </c>
      <c r="H1444">
        <v>5.2</v>
      </c>
      <c r="I1444">
        <v>7</v>
      </c>
      <c r="J1444">
        <v>7.4</v>
      </c>
      <c r="K1444">
        <v>6</v>
      </c>
      <c r="L1444" s="1"/>
    </row>
    <row r="1445" spans="1:12">
      <c r="A1445" t="s">
        <v>1493</v>
      </c>
      <c r="B1445">
        <v>7.7</v>
      </c>
      <c r="C1445">
        <v>7.3</v>
      </c>
      <c r="D1445">
        <v>7.6</v>
      </c>
      <c r="E1445">
        <v>6.7</v>
      </c>
      <c r="F1445">
        <v>6.6</v>
      </c>
      <c r="G1445">
        <v>6.1</v>
      </c>
      <c r="H1445">
        <v>7.2</v>
      </c>
      <c r="I1445">
        <v>6.2</v>
      </c>
      <c r="J1445">
        <v>6.8</v>
      </c>
      <c r="K1445">
        <v>4.6</v>
      </c>
      <c r="L1445" s="1"/>
    </row>
    <row r="1446" spans="1:12">
      <c r="A1446" t="s">
        <v>1494</v>
      </c>
      <c r="B1446">
        <v>8.4</v>
      </c>
      <c r="C1446">
        <v>7.2</v>
      </c>
      <c r="D1446">
        <v>7.7</v>
      </c>
      <c r="E1446">
        <v>8.6</v>
      </c>
      <c r="F1446">
        <v>8.5</v>
      </c>
      <c r="G1446">
        <v>8</v>
      </c>
      <c r="H1446">
        <v>8.9</v>
      </c>
      <c r="I1446">
        <v>5.1</v>
      </c>
      <c r="J1446">
        <v>6.5</v>
      </c>
      <c r="K1446">
        <v>7.1</v>
      </c>
      <c r="L1446" s="1"/>
    </row>
    <row r="1447" spans="1:12">
      <c r="A1447" t="s">
        <v>1495</v>
      </c>
      <c r="B1447">
        <v>8.6</v>
      </c>
      <c r="C1447">
        <v>7.5</v>
      </c>
      <c r="D1447">
        <v>7.7</v>
      </c>
      <c r="E1447">
        <v>8.5</v>
      </c>
      <c r="F1447">
        <v>7.8</v>
      </c>
      <c r="G1447">
        <v>6</v>
      </c>
      <c r="H1447">
        <v>6.5</v>
      </c>
      <c r="I1447">
        <v>5.5</v>
      </c>
      <c r="J1447">
        <v>6</v>
      </c>
      <c r="K1447">
        <v>7.2</v>
      </c>
      <c r="L1447" s="1"/>
    </row>
    <row r="1448" spans="1:12">
      <c r="A1448" t="s">
        <v>1496</v>
      </c>
      <c r="B1448">
        <v>7.9</v>
      </c>
      <c r="C1448">
        <v>7.3</v>
      </c>
      <c r="D1448">
        <v>7.6</v>
      </c>
      <c r="E1448">
        <v>7.2</v>
      </c>
      <c r="F1448">
        <v>7.5</v>
      </c>
      <c r="G1448">
        <v>6.9</v>
      </c>
      <c r="H1448">
        <v>6.5</v>
      </c>
      <c r="I1448">
        <v>6</v>
      </c>
      <c r="J1448">
        <v>7.1</v>
      </c>
      <c r="K1448">
        <v>6.4</v>
      </c>
      <c r="L1448" s="1"/>
    </row>
    <row r="1449" spans="1:12">
      <c r="A1449" t="s">
        <v>1497</v>
      </c>
      <c r="B1449">
        <v>7.5</v>
      </c>
      <c r="C1449">
        <v>7.3</v>
      </c>
      <c r="D1449">
        <v>7.9</v>
      </c>
      <c r="E1449">
        <v>6.2</v>
      </c>
      <c r="F1449">
        <v>7</v>
      </c>
      <c r="G1449">
        <v>5.3</v>
      </c>
      <c r="H1449">
        <v>5.1</v>
      </c>
      <c r="I1449">
        <v>6.5</v>
      </c>
      <c r="J1449">
        <v>6.9</v>
      </c>
      <c r="K1449">
        <v>5</v>
      </c>
      <c r="L1449" s="1"/>
    </row>
    <row r="1450" spans="1:12">
      <c r="A1450" t="s">
        <v>1498</v>
      </c>
      <c r="B1450">
        <v>7.7</v>
      </c>
      <c r="C1450">
        <v>7.5</v>
      </c>
      <c r="D1450">
        <v>7.4</v>
      </c>
      <c r="E1450">
        <v>6.4</v>
      </c>
      <c r="F1450">
        <v>6.9</v>
      </c>
      <c r="G1450">
        <v>6.7</v>
      </c>
      <c r="H1450">
        <v>6.9</v>
      </c>
      <c r="I1450">
        <v>6.9</v>
      </c>
      <c r="J1450">
        <v>6.7</v>
      </c>
      <c r="K1450">
        <v>4.6</v>
      </c>
      <c r="L1450" s="1"/>
    </row>
    <row r="1451" spans="1:12">
      <c r="A1451" t="s">
        <v>1499</v>
      </c>
      <c r="B1451">
        <v>7.1</v>
      </c>
      <c r="C1451">
        <v>7.3</v>
      </c>
      <c r="D1451">
        <v>7.4</v>
      </c>
      <c r="E1451">
        <v>7.1</v>
      </c>
      <c r="F1451">
        <v>6.6</v>
      </c>
      <c r="G1451">
        <v>7.2</v>
      </c>
      <c r="H1451">
        <v>6.4</v>
      </c>
      <c r="I1451">
        <v>6.9</v>
      </c>
      <c r="J1451">
        <v>6.2</v>
      </c>
      <c r="K1451">
        <v>7.2</v>
      </c>
      <c r="L1451" s="1"/>
    </row>
    <row r="1452" spans="1:12">
      <c r="A1452" t="s">
        <v>1500</v>
      </c>
      <c r="B1452">
        <v>8.9</v>
      </c>
      <c r="C1452">
        <v>7.2</v>
      </c>
      <c r="D1452">
        <v>7.3</v>
      </c>
      <c r="E1452">
        <v>7.2</v>
      </c>
      <c r="F1452">
        <v>7.9</v>
      </c>
      <c r="G1452">
        <v>6.6</v>
      </c>
      <c r="H1452">
        <v>7.3</v>
      </c>
      <c r="I1452">
        <v>5.8</v>
      </c>
      <c r="J1452">
        <v>5.9</v>
      </c>
      <c r="K1452">
        <v>5.9</v>
      </c>
      <c r="L1452" s="1"/>
    </row>
    <row r="1453" spans="1:12">
      <c r="A1453" t="s">
        <v>1501</v>
      </c>
      <c r="B1453">
        <v>7.8</v>
      </c>
      <c r="C1453">
        <v>7.7</v>
      </c>
      <c r="D1453">
        <v>8.3</v>
      </c>
      <c r="E1453">
        <v>7.2</v>
      </c>
      <c r="F1453">
        <v>7</v>
      </c>
      <c r="G1453">
        <v>7.3</v>
      </c>
      <c r="H1453">
        <v>6.8</v>
      </c>
      <c r="I1453">
        <v>5.3</v>
      </c>
      <c r="J1453">
        <v>5.1</v>
      </c>
      <c r="K1453">
        <v>5.9</v>
      </c>
      <c r="L1453" s="1"/>
    </row>
    <row r="1454" spans="1:12">
      <c r="A1454" t="s">
        <v>1502</v>
      </c>
      <c r="B1454">
        <v>8</v>
      </c>
      <c r="C1454">
        <v>9.1</v>
      </c>
      <c r="D1454">
        <v>7.6</v>
      </c>
      <c r="E1454">
        <v>6.9</v>
      </c>
      <c r="F1454">
        <v>7.3</v>
      </c>
      <c r="G1454">
        <v>7</v>
      </c>
      <c r="H1454">
        <v>7</v>
      </c>
      <c r="I1454">
        <v>6.7</v>
      </c>
      <c r="J1454">
        <v>6.6</v>
      </c>
      <c r="K1454">
        <v>6.4</v>
      </c>
      <c r="L1454" s="1"/>
    </row>
    <row r="1455" spans="1:12">
      <c r="A1455" t="s">
        <v>1503</v>
      </c>
      <c r="B1455">
        <v>7.9</v>
      </c>
      <c r="C1455">
        <v>8</v>
      </c>
      <c r="D1455">
        <v>7.5</v>
      </c>
      <c r="E1455">
        <v>7.1</v>
      </c>
      <c r="F1455">
        <v>8.2</v>
      </c>
      <c r="G1455">
        <v>7.6</v>
      </c>
      <c r="H1455">
        <v>5.6</v>
      </c>
      <c r="I1455">
        <v>6.7</v>
      </c>
      <c r="J1455">
        <v>6.8</v>
      </c>
      <c r="K1455">
        <v>3.9</v>
      </c>
      <c r="L1455" s="1"/>
    </row>
    <row r="1456" spans="1:12">
      <c r="A1456" t="s">
        <v>1504</v>
      </c>
      <c r="B1456">
        <v>8.2</v>
      </c>
      <c r="C1456">
        <v>7.8</v>
      </c>
      <c r="D1456">
        <v>7.8</v>
      </c>
      <c r="E1456">
        <v>8.1</v>
      </c>
      <c r="F1456">
        <v>7.4</v>
      </c>
      <c r="G1456">
        <v>7.5</v>
      </c>
      <c r="H1456">
        <v>7.5</v>
      </c>
      <c r="I1456">
        <v>6.7</v>
      </c>
      <c r="J1456">
        <v>6.9</v>
      </c>
      <c r="K1456">
        <v>5.2</v>
      </c>
      <c r="L1456" s="1"/>
    </row>
    <row r="1457" spans="1:12">
      <c r="A1457" t="s">
        <v>1505</v>
      </c>
      <c r="B1457">
        <v>7.8</v>
      </c>
      <c r="C1457">
        <v>7.8</v>
      </c>
      <c r="D1457">
        <v>7.1</v>
      </c>
      <c r="E1457">
        <v>7.8</v>
      </c>
      <c r="F1457">
        <v>7.4</v>
      </c>
      <c r="G1457">
        <v>6.6</v>
      </c>
      <c r="H1457">
        <v>7.7</v>
      </c>
      <c r="I1457">
        <v>7.3</v>
      </c>
      <c r="J1457">
        <v>5.1</v>
      </c>
      <c r="K1457">
        <v>4.2</v>
      </c>
      <c r="L1457" s="1"/>
    </row>
    <row r="1458" spans="1:12">
      <c r="A1458" t="s">
        <v>1506</v>
      </c>
      <c r="B1458">
        <v>8</v>
      </c>
      <c r="C1458">
        <v>8</v>
      </c>
      <c r="D1458">
        <v>7.8</v>
      </c>
      <c r="E1458">
        <v>7</v>
      </c>
      <c r="F1458">
        <v>6.8</v>
      </c>
      <c r="G1458">
        <v>8.7</v>
      </c>
      <c r="H1458">
        <v>5.3</v>
      </c>
      <c r="I1458">
        <v>6.8</v>
      </c>
      <c r="J1458">
        <v>6.7</v>
      </c>
      <c r="K1458">
        <v>8.7</v>
      </c>
      <c r="L1458" s="1"/>
    </row>
    <row r="1459" spans="1:12">
      <c r="A1459" t="s">
        <v>1507</v>
      </c>
      <c r="B1459">
        <v>8</v>
      </c>
      <c r="C1459">
        <v>7.4</v>
      </c>
      <c r="D1459">
        <v>6.6</v>
      </c>
      <c r="E1459">
        <v>7.6</v>
      </c>
      <c r="F1459">
        <v>6.5</v>
      </c>
      <c r="G1459">
        <v>7.7</v>
      </c>
      <c r="H1459">
        <v>6.7</v>
      </c>
      <c r="I1459">
        <v>6.6</v>
      </c>
      <c r="J1459">
        <v>6.4</v>
      </c>
      <c r="K1459">
        <v>6.5</v>
      </c>
      <c r="L1459" s="1"/>
    </row>
    <row r="1460" spans="1:12">
      <c r="A1460" t="s">
        <v>1508</v>
      </c>
      <c r="B1460">
        <v>7.7</v>
      </c>
      <c r="C1460">
        <v>7.3</v>
      </c>
      <c r="D1460">
        <v>6.8</v>
      </c>
      <c r="E1460">
        <v>6.9</v>
      </c>
      <c r="F1460">
        <v>7.4</v>
      </c>
      <c r="G1460">
        <v>7.3</v>
      </c>
      <c r="H1460">
        <v>7</v>
      </c>
      <c r="I1460">
        <v>5.8</v>
      </c>
      <c r="J1460">
        <v>5.4</v>
      </c>
      <c r="K1460">
        <v>6.1</v>
      </c>
      <c r="L1460" s="1"/>
    </row>
    <row r="1461" spans="1:12">
      <c r="A1461" t="s">
        <v>1509</v>
      </c>
      <c r="B1461">
        <v>6.7</v>
      </c>
      <c r="C1461">
        <v>8.1</v>
      </c>
      <c r="D1461">
        <v>8.4</v>
      </c>
      <c r="E1461">
        <v>6.8</v>
      </c>
      <c r="F1461">
        <v>6.4</v>
      </c>
      <c r="G1461">
        <v>7.2</v>
      </c>
      <c r="H1461">
        <v>7.7</v>
      </c>
      <c r="I1461">
        <v>6</v>
      </c>
      <c r="J1461">
        <v>5.7</v>
      </c>
      <c r="K1461">
        <v>5</v>
      </c>
      <c r="L1461" s="1"/>
    </row>
    <row r="1462" spans="1:12">
      <c r="A1462" t="s">
        <v>1510</v>
      </c>
      <c r="B1462">
        <v>8.3</v>
      </c>
      <c r="C1462">
        <v>8.1</v>
      </c>
      <c r="D1462">
        <v>7.4</v>
      </c>
      <c r="E1462">
        <v>8</v>
      </c>
      <c r="F1462">
        <v>6.9</v>
      </c>
      <c r="G1462">
        <v>7</v>
      </c>
      <c r="H1462">
        <v>5.4</v>
      </c>
      <c r="I1462">
        <v>6.4</v>
      </c>
      <c r="J1462">
        <v>6.7</v>
      </c>
      <c r="K1462">
        <v>6.1</v>
      </c>
      <c r="L1462" s="1"/>
    </row>
    <row r="1463" spans="1:12">
      <c r="A1463" t="s">
        <v>1511</v>
      </c>
      <c r="B1463">
        <v>7.6</v>
      </c>
      <c r="C1463">
        <v>7.8</v>
      </c>
      <c r="D1463">
        <v>7</v>
      </c>
      <c r="E1463">
        <v>7.7</v>
      </c>
      <c r="F1463">
        <v>6.5</v>
      </c>
      <c r="G1463">
        <v>6.9</v>
      </c>
      <c r="H1463">
        <v>7.5</v>
      </c>
      <c r="I1463">
        <v>6.8</v>
      </c>
      <c r="J1463">
        <v>4.3</v>
      </c>
      <c r="K1463">
        <v>7</v>
      </c>
      <c r="L1463" s="1"/>
    </row>
    <row r="1464" spans="1:12">
      <c r="A1464" t="s">
        <v>1512</v>
      </c>
      <c r="B1464">
        <v>7.5</v>
      </c>
      <c r="C1464">
        <v>7.6</v>
      </c>
      <c r="D1464">
        <v>7</v>
      </c>
      <c r="E1464">
        <v>7.6</v>
      </c>
      <c r="F1464">
        <v>7.6</v>
      </c>
      <c r="G1464">
        <v>6.1</v>
      </c>
      <c r="H1464">
        <v>7.3</v>
      </c>
      <c r="I1464">
        <v>6.5</v>
      </c>
      <c r="J1464">
        <v>4.4</v>
      </c>
      <c r="K1464">
        <v>6.4</v>
      </c>
      <c r="L1464" s="1"/>
    </row>
    <row r="1465" spans="1:12">
      <c r="A1465" t="s">
        <v>1513</v>
      </c>
      <c r="B1465">
        <v>9</v>
      </c>
      <c r="C1465">
        <v>6.7</v>
      </c>
      <c r="D1465">
        <v>7.6</v>
      </c>
      <c r="E1465">
        <v>7.2</v>
      </c>
      <c r="F1465">
        <v>6.5</v>
      </c>
      <c r="G1465">
        <v>6.8</v>
      </c>
      <c r="H1465">
        <v>5.8</v>
      </c>
      <c r="I1465">
        <v>7.2</v>
      </c>
      <c r="J1465">
        <v>5.6</v>
      </c>
      <c r="K1465">
        <v>5.8</v>
      </c>
      <c r="L1465" s="1"/>
    </row>
    <row r="1466" spans="1:12">
      <c r="A1466" t="s">
        <v>1514</v>
      </c>
      <c r="B1466">
        <v>7.8</v>
      </c>
      <c r="C1466">
        <v>7.9</v>
      </c>
      <c r="D1466">
        <v>8</v>
      </c>
      <c r="E1466">
        <v>7.7</v>
      </c>
      <c r="F1466">
        <v>6.8</v>
      </c>
      <c r="G1466">
        <v>7.1</v>
      </c>
      <c r="H1466">
        <v>5.5</v>
      </c>
      <c r="I1466">
        <v>6.8</v>
      </c>
      <c r="J1466">
        <v>6.6</v>
      </c>
      <c r="K1466">
        <v>6.7</v>
      </c>
      <c r="L1466" s="1"/>
    </row>
    <row r="1467" spans="1:12">
      <c r="A1467" t="s">
        <v>1515</v>
      </c>
      <c r="B1467">
        <v>8.7</v>
      </c>
      <c r="C1467">
        <v>7.4</v>
      </c>
      <c r="D1467">
        <v>7.7</v>
      </c>
      <c r="E1467">
        <v>8.3</v>
      </c>
      <c r="F1467">
        <v>7.2</v>
      </c>
      <c r="G1467">
        <v>6.7</v>
      </c>
      <c r="H1467">
        <v>6.2</v>
      </c>
      <c r="I1467">
        <v>8.3</v>
      </c>
      <c r="J1467">
        <v>7.5</v>
      </c>
      <c r="K1467">
        <v>7</v>
      </c>
      <c r="L1467" s="1"/>
    </row>
    <row r="1468" spans="1:12">
      <c r="A1468" t="s">
        <v>1516</v>
      </c>
      <c r="B1468">
        <v>7.6</v>
      </c>
      <c r="C1468">
        <v>7.5</v>
      </c>
      <c r="D1468">
        <v>6.7</v>
      </c>
      <c r="E1468">
        <v>7.5</v>
      </c>
      <c r="F1468">
        <v>7</v>
      </c>
      <c r="G1468">
        <v>8</v>
      </c>
      <c r="H1468">
        <v>6.7</v>
      </c>
      <c r="I1468">
        <v>5.5</v>
      </c>
      <c r="J1468">
        <v>6.4</v>
      </c>
      <c r="K1468">
        <v>6.7</v>
      </c>
      <c r="L1468" s="1"/>
    </row>
    <row r="1469" spans="1:12">
      <c r="A1469" t="s">
        <v>1517</v>
      </c>
      <c r="B1469">
        <v>7.9</v>
      </c>
      <c r="C1469">
        <v>7.4</v>
      </c>
      <c r="D1469">
        <v>7.3</v>
      </c>
      <c r="E1469">
        <v>7.2</v>
      </c>
      <c r="F1469">
        <v>7.4</v>
      </c>
      <c r="G1469">
        <v>6.9</v>
      </c>
      <c r="H1469">
        <v>6.3</v>
      </c>
      <c r="I1469">
        <v>6.8</v>
      </c>
      <c r="J1469">
        <v>5.3</v>
      </c>
      <c r="K1469">
        <v>4.4</v>
      </c>
      <c r="L1469" s="1"/>
    </row>
    <row r="1470" spans="1:12">
      <c r="A1470" t="s">
        <v>1518</v>
      </c>
      <c r="B1470">
        <v>7.5</v>
      </c>
      <c r="C1470">
        <v>8.6</v>
      </c>
      <c r="D1470">
        <v>7.3</v>
      </c>
      <c r="E1470">
        <v>7.2</v>
      </c>
      <c r="F1470">
        <v>7</v>
      </c>
      <c r="G1470">
        <v>4.4</v>
      </c>
      <c r="H1470">
        <v>6.7</v>
      </c>
      <c r="I1470">
        <v>7.9</v>
      </c>
      <c r="J1470">
        <v>7</v>
      </c>
      <c r="K1470">
        <v>3.7</v>
      </c>
      <c r="L1470" s="1"/>
    </row>
    <row r="1471" spans="1:12">
      <c r="A1471" t="s">
        <v>1519</v>
      </c>
      <c r="B1471">
        <v>7</v>
      </c>
      <c r="C1471">
        <v>7.4</v>
      </c>
      <c r="D1471">
        <v>8.1</v>
      </c>
      <c r="E1471">
        <v>6.4</v>
      </c>
      <c r="F1471">
        <v>8.7</v>
      </c>
      <c r="G1471">
        <v>6.4</v>
      </c>
      <c r="H1471">
        <v>7.6</v>
      </c>
      <c r="I1471">
        <v>6.3</v>
      </c>
      <c r="J1471">
        <v>6</v>
      </c>
      <c r="K1471">
        <v>6.5</v>
      </c>
      <c r="L1471" s="1"/>
    </row>
    <row r="1472" spans="1:12">
      <c r="A1472" t="s">
        <v>1520</v>
      </c>
      <c r="B1472">
        <v>7.8</v>
      </c>
      <c r="C1472">
        <v>7.7</v>
      </c>
      <c r="D1472">
        <v>7.5</v>
      </c>
      <c r="E1472">
        <v>7.6</v>
      </c>
      <c r="F1472">
        <v>5.5</v>
      </c>
      <c r="G1472">
        <v>7.5</v>
      </c>
      <c r="H1472">
        <v>6.1</v>
      </c>
      <c r="I1472">
        <v>5.6</v>
      </c>
      <c r="J1472">
        <v>6.1</v>
      </c>
      <c r="K1472">
        <v>8.2</v>
      </c>
      <c r="L1472" s="1"/>
    </row>
    <row r="1473" spans="1:12">
      <c r="A1473" t="s">
        <v>1521</v>
      </c>
      <c r="B1473">
        <v>7</v>
      </c>
      <c r="C1473">
        <v>7.9</v>
      </c>
      <c r="D1473">
        <v>7.3</v>
      </c>
      <c r="E1473">
        <v>7</v>
      </c>
      <c r="F1473">
        <v>6</v>
      </c>
      <c r="G1473">
        <v>7.9</v>
      </c>
      <c r="H1473">
        <v>8.4</v>
      </c>
      <c r="I1473">
        <v>6.3</v>
      </c>
      <c r="J1473">
        <v>5.4</v>
      </c>
      <c r="K1473">
        <v>5.7</v>
      </c>
      <c r="L1473" s="1"/>
    </row>
    <row r="1474" spans="1:12">
      <c r="A1474" t="s">
        <v>1522</v>
      </c>
      <c r="B1474">
        <v>8.1</v>
      </c>
      <c r="C1474">
        <v>8.3</v>
      </c>
      <c r="D1474">
        <v>6.9</v>
      </c>
      <c r="E1474">
        <v>7.5</v>
      </c>
      <c r="F1474">
        <v>6.4</v>
      </c>
      <c r="G1474">
        <v>7.6</v>
      </c>
      <c r="H1474">
        <v>7</v>
      </c>
      <c r="I1474">
        <v>5.9</v>
      </c>
      <c r="J1474">
        <v>7</v>
      </c>
      <c r="K1474">
        <v>6.1</v>
      </c>
      <c r="L1474" s="1"/>
    </row>
    <row r="1475" spans="1:12">
      <c r="A1475" t="s">
        <v>1523</v>
      </c>
      <c r="B1475">
        <v>7.6</v>
      </c>
      <c r="C1475">
        <v>7.1</v>
      </c>
      <c r="D1475">
        <v>6.8</v>
      </c>
      <c r="E1475">
        <v>6.4</v>
      </c>
      <c r="F1475">
        <v>7.6</v>
      </c>
      <c r="G1475">
        <v>7.8</v>
      </c>
      <c r="H1475">
        <v>5.9</v>
      </c>
      <c r="I1475">
        <v>7.7</v>
      </c>
      <c r="J1475">
        <v>5.8</v>
      </c>
      <c r="K1475">
        <v>5.1</v>
      </c>
      <c r="L1475" s="1"/>
    </row>
    <row r="1476" spans="1:12">
      <c r="A1476" t="s">
        <v>1524</v>
      </c>
      <c r="B1476">
        <v>8.8</v>
      </c>
      <c r="C1476">
        <v>7.9</v>
      </c>
      <c r="D1476">
        <v>7</v>
      </c>
      <c r="E1476">
        <v>7.7</v>
      </c>
      <c r="F1476">
        <v>7.3</v>
      </c>
      <c r="G1476">
        <v>8</v>
      </c>
      <c r="H1476">
        <v>6.5</v>
      </c>
      <c r="I1476">
        <v>6.5</v>
      </c>
      <c r="J1476">
        <v>5.4</v>
      </c>
      <c r="K1476">
        <v>6.1</v>
      </c>
      <c r="L1476" s="1"/>
    </row>
    <row r="1477" spans="1:12">
      <c r="A1477" t="s">
        <v>1525</v>
      </c>
      <c r="B1477">
        <v>8.6</v>
      </c>
      <c r="C1477">
        <v>7.6</v>
      </c>
      <c r="D1477">
        <v>7.5</v>
      </c>
      <c r="E1477">
        <v>7.4</v>
      </c>
      <c r="F1477">
        <v>8</v>
      </c>
      <c r="G1477">
        <v>6.9</v>
      </c>
      <c r="H1477">
        <v>6.9</v>
      </c>
      <c r="I1477">
        <v>5.7</v>
      </c>
      <c r="J1477">
        <v>6.6</v>
      </c>
      <c r="K1477">
        <v>5.9</v>
      </c>
      <c r="L1477" s="1"/>
    </row>
    <row r="1478" spans="1:12">
      <c r="A1478" t="s">
        <v>1526</v>
      </c>
      <c r="B1478">
        <v>7.4</v>
      </c>
      <c r="C1478">
        <v>8.1</v>
      </c>
      <c r="D1478">
        <v>8.8</v>
      </c>
      <c r="E1478">
        <v>8.1</v>
      </c>
      <c r="F1478">
        <v>7.2</v>
      </c>
      <c r="G1478">
        <v>7.1</v>
      </c>
      <c r="H1478">
        <v>7.7</v>
      </c>
      <c r="I1478">
        <v>6.2</v>
      </c>
      <c r="J1478">
        <v>6.1</v>
      </c>
      <c r="K1478">
        <v>5.1</v>
      </c>
      <c r="L1478" s="1"/>
    </row>
    <row r="1479" spans="1:12">
      <c r="A1479" t="s">
        <v>1527</v>
      </c>
      <c r="B1479">
        <v>8.2</v>
      </c>
      <c r="C1479">
        <v>7.3</v>
      </c>
      <c r="D1479">
        <v>7.5</v>
      </c>
      <c r="E1479">
        <v>8.2</v>
      </c>
      <c r="F1479">
        <v>7</v>
      </c>
      <c r="G1479">
        <v>6.1</v>
      </c>
      <c r="H1479">
        <v>6.4</v>
      </c>
      <c r="I1479">
        <v>7.2</v>
      </c>
      <c r="J1479">
        <v>6.2</v>
      </c>
      <c r="K1479">
        <v>4.6</v>
      </c>
      <c r="L1479" s="1"/>
    </row>
    <row r="1480" spans="1:12">
      <c r="A1480" t="s">
        <v>1528</v>
      </c>
      <c r="B1480">
        <v>7.9</v>
      </c>
      <c r="C1480">
        <v>8.1</v>
      </c>
      <c r="D1480">
        <v>7</v>
      </c>
      <c r="E1480">
        <v>6.3</v>
      </c>
      <c r="F1480">
        <v>7</v>
      </c>
      <c r="G1480">
        <v>6.4</v>
      </c>
      <c r="H1480">
        <v>5.4</v>
      </c>
      <c r="I1480">
        <v>6.2</v>
      </c>
      <c r="J1480">
        <v>6.9</v>
      </c>
      <c r="K1480">
        <v>6.8</v>
      </c>
      <c r="L1480" s="1"/>
    </row>
    <row r="1481" spans="1:12">
      <c r="A1481" t="s">
        <v>1529</v>
      </c>
      <c r="B1481">
        <v>8.2</v>
      </c>
      <c r="C1481">
        <v>6.4</v>
      </c>
      <c r="D1481">
        <v>6.8</v>
      </c>
      <c r="E1481">
        <v>7.5</v>
      </c>
      <c r="F1481">
        <v>6.7</v>
      </c>
      <c r="G1481">
        <v>6.3</v>
      </c>
      <c r="H1481">
        <v>6.1</v>
      </c>
      <c r="I1481">
        <v>5.7</v>
      </c>
      <c r="J1481">
        <v>4.1</v>
      </c>
      <c r="K1481">
        <v>6.7</v>
      </c>
      <c r="L1481" s="1"/>
    </row>
    <row r="1482" spans="1:12">
      <c r="A1482" t="s">
        <v>1530</v>
      </c>
      <c r="B1482">
        <v>7.3</v>
      </c>
      <c r="C1482">
        <v>8</v>
      </c>
      <c r="D1482">
        <v>7.1</v>
      </c>
      <c r="E1482">
        <v>7.4</v>
      </c>
      <c r="F1482">
        <v>6.8</v>
      </c>
      <c r="G1482">
        <v>8</v>
      </c>
      <c r="H1482">
        <v>7.2</v>
      </c>
      <c r="I1482">
        <v>6.3</v>
      </c>
      <c r="J1482">
        <v>6.8</v>
      </c>
      <c r="K1482">
        <v>3.6</v>
      </c>
      <c r="L1482" s="1"/>
    </row>
    <row r="1483" spans="1:12">
      <c r="A1483" t="s">
        <v>1531</v>
      </c>
      <c r="B1483">
        <v>7.7</v>
      </c>
      <c r="C1483">
        <v>8.7</v>
      </c>
      <c r="D1483">
        <v>7.9</v>
      </c>
      <c r="E1483">
        <v>7.2</v>
      </c>
      <c r="F1483">
        <v>7.9</v>
      </c>
      <c r="G1483">
        <v>7.3</v>
      </c>
      <c r="H1483">
        <v>6</v>
      </c>
      <c r="I1483">
        <v>7.7</v>
      </c>
      <c r="J1483">
        <v>7</v>
      </c>
      <c r="K1483">
        <v>5.7</v>
      </c>
      <c r="L1483" s="1"/>
    </row>
    <row r="1484" spans="1:12">
      <c r="A1484" t="s">
        <v>1532</v>
      </c>
      <c r="B1484">
        <v>8.4</v>
      </c>
      <c r="C1484">
        <v>8</v>
      </c>
      <c r="D1484">
        <v>8.4</v>
      </c>
      <c r="E1484">
        <v>7.4</v>
      </c>
      <c r="F1484">
        <v>7.1</v>
      </c>
      <c r="G1484">
        <v>6.2</v>
      </c>
      <c r="H1484">
        <v>6.8</v>
      </c>
      <c r="I1484">
        <v>6.1</v>
      </c>
      <c r="J1484">
        <v>4.4</v>
      </c>
      <c r="K1484">
        <v>6</v>
      </c>
      <c r="L1484" s="1"/>
    </row>
    <row r="1485" spans="1:12">
      <c r="A1485" t="s">
        <v>1533</v>
      </c>
      <c r="B1485">
        <v>8.4</v>
      </c>
      <c r="C1485">
        <v>7.9</v>
      </c>
      <c r="D1485">
        <v>6.5</v>
      </c>
      <c r="E1485">
        <v>7.6</v>
      </c>
      <c r="F1485">
        <v>6.7</v>
      </c>
      <c r="G1485">
        <v>7.2</v>
      </c>
      <c r="H1485">
        <v>7.4</v>
      </c>
      <c r="I1485">
        <v>7.9</v>
      </c>
      <c r="J1485">
        <v>6.5</v>
      </c>
      <c r="K1485">
        <v>5.8</v>
      </c>
      <c r="L1485" s="1"/>
    </row>
    <row r="1486" spans="1:12">
      <c r="A1486" t="s">
        <v>1534</v>
      </c>
      <c r="B1486">
        <v>8.2</v>
      </c>
      <c r="C1486">
        <v>8</v>
      </c>
      <c r="D1486">
        <v>8.3</v>
      </c>
      <c r="E1486">
        <v>7.1</v>
      </c>
      <c r="F1486">
        <v>7.1</v>
      </c>
      <c r="G1486">
        <v>7.3</v>
      </c>
      <c r="H1486">
        <v>7.1</v>
      </c>
      <c r="I1486">
        <v>4.5</v>
      </c>
      <c r="J1486">
        <v>6.3</v>
      </c>
      <c r="K1486">
        <v>5.2</v>
      </c>
      <c r="L1486" s="1"/>
    </row>
    <row r="1487" spans="1:12">
      <c r="A1487" t="s">
        <v>1535</v>
      </c>
      <c r="B1487">
        <v>7.5</v>
      </c>
      <c r="C1487">
        <v>8.1</v>
      </c>
      <c r="D1487">
        <v>7.3</v>
      </c>
      <c r="E1487">
        <v>7.5</v>
      </c>
      <c r="F1487">
        <v>7.3</v>
      </c>
      <c r="G1487">
        <v>8.2</v>
      </c>
      <c r="H1487">
        <v>6</v>
      </c>
      <c r="I1487">
        <v>5.7</v>
      </c>
      <c r="J1487">
        <v>7.2</v>
      </c>
      <c r="K1487">
        <v>5.8</v>
      </c>
      <c r="L1487" s="1"/>
    </row>
    <row r="1488" spans="1:12">
      <c r="A1488" t="s">
        <v>1536</v>
      </c>
      <c r="B1488">
        <v>8</v>
      </c>
      <c r="C1488">
        <v>7.4</v>
      </c>
      <c r="D1488">
        <v>7</v>
      </c>
      <c r="E1488">
        <v>7.7</v>
      </c>
      <c r="F1488">
        <v>7.2</v>
      </c>
      <c r="G1488">
        <v>7.3</v>
      </c>
      <c r="H1488">
        <v>6.6</v>
      </c>
      <c r="I1488">
        <v>6.5</v>
      </c>
      <c r="J1488">
        <v>6.4</v>
      </c>
      <c r="K1488">
        <v>7.1</v>
      </c>
      <c r="L1488" s="1"/>
    </row>
    <row r="1489" spans="1:12">
      <c r="A1489" t="s">
        <v>1537</v>
      </c>
      <c r="B1489">
        <v>7.7</v>
      </c>
      <c r="C1489">
        <v>8.1</v>
      </c>
      <c r="D1489">
        <v>7.2</v>
      </c>
      <c r="E1489">
        <v>7.5</v>
      </c>
      <c r="F1489">
        <v>7</v>
      </c>
      <c r="G1489">
        <v>7.3</v>
      </c>
      <c r="H1489">
        <v>6.8</v>
      </c>
      <c r="I1489">
        <v>6</v>
      </c>
      <c r="J1489">
        <v>5.8</v>
      </c>
      <c r="K1489">
        <v>6</v>
      </c>
      <c r="L1489" s="1"/>
    </row>
    <row r="1490" spans="1:12">
      <c r="A1490" t="s">
        <v>1538</v>
      </c>
      <c r="B1490">
        <v>8.4</v>
      </c>
      <c r="C1490">
        <v>7.3</v>
      </c>
      <c r="D1490">
        <v>7.9</v>
      </c>
      <c r="E1490">
        <v>6.8</v>
      </c>
      <c r="F1490">
        <v>8</v>
      </c>
      <c r="G1490">
        <v>6.5</v>
      </c>
      <c r="H1490">
        <v>6.7</v>
      </c>
      <c r="I1490">
        <v>6.7</v>
      </c>
      <c r="J1490">
        <v>5.6</v>
      </c>
      <c r="K1490">
        <v>7.3</v>
      </c>
      <c r="L1490" s="1"/>
    </row>
    <row r="1491" spans="1:12">
      <c r="A1491" t="s">
        <v>1539</v>
      </c>
      <c r="B1491">
        <v>7.9</v>
      </c>
      <c r="C1491">
        <v>7.4</v>
      </c>
      <c r="D1491">
        <v>8.5</v>
      </c>
      <c r="E1491">
        <v>7.5</v>
      </c>
      <c r="F1491">
        <v>7.1</v>
      </c>
      <c r="G1491">
        <v>8.5</v>
      </c>
      <c r="H1491">
        <v>7</v>
      </c>
      <c r="I1491">
        <v>5.7</v>
      </c>
      <c r="J1491">
        <v>6.2</v>
      </c>
      <c r="K1491">
        <v>6.8</v>
      </c>
      <c r="L1491" s="1"/>
    </row>
    <row r="1492" spans="1:12">
      <c r="A1492" t="s">
        <v>1540</v>
      </c>
      <c r="B1492">
        <v>8.1</v>
      </c>
      <c r="C1492">
        <v>6.9</v>
      </c>
      <c r="D1492">
        <v>6.8</v>
      </c>
      <c r="E1492">
        <v>6.5</v>
      </c>
      <c r="F1492">
        <v>7.7</v>
      </c>
      <c r="G1492">
        <v>6.7</v>
      </c>
      <c r="H1492">
        <v>5.9</v>
      </c>
      <c r="I1492">
        <v>6.3</v>
      </c>
      <c r="J1492">
        <v>5.9</v>
      </c>
      <c r="K1492">
        <v>6</v>
      </c>
      <c r="L1492" s="1"/>
    </row>
    <row r="1493" spans="1:12">
      <c r="A1493" t="s">
        <v>1541</v>
      </c>
      <c r="B1493">
        <v>7.5</v>
      </c>
      <c r="C1493">
        <v>7.9</v>
      </c>
      <c r="D1493">
        <v>8.4</v>
      </c>
      <c r="E1493">
        <v>6.6</v>
      </c>
      <c r="F1493">
        <v>6.6</v>
      </c>
      <c r="G1493">
        <v>6.7</v>
      </c>
      <c r="H1493">
        <v>6.1</v>
      </c>
      <c r="I1493">
        <v>7.6</v>
      </c>
      <c r="J1493">
        <v>5.6</v>
      </c>
      <c r="K1493">
        <v>6.9</v>
      </c>
      <c r="L1493" s="1"/>
    </row>
    <row r="1494" spans="1:12">
      <c r="A1494" t="s">
        <v>1542</v>
      </c>
      <c r="B1494">
        <v>7.8</v>
      </c>
      <c r="C1494">
        <v>8.5</v>
      </c>
      <c r="D1494">
        <v>7.6</v>
      </c>
      <c r="E1494">
        <v>8.5</v>
      </c>
      <c r="F1494">
        <v>6.9</v>
      </c>
      <c r="G1494">
        <v>8.3</v>
      </c>
      <c r="H1494">
        <v>5.7</v>
      </c>
      <c r="I1494">
        <v>7.5</v>
      </c>
      <c r="J1494">
        <v>4.7</v>
      </c>
      <c r="K1494">
        <v>5.5</v>
      </c>
      <c r="L1494" s="1"/>
    </row>
    <row r="1495" spans="1:12">
      <c r="A1495" t="s">
        <v>1543</v>
      </c>
      <c r="B1495">
        <v>7.4</v>
      </c>
      <c r="C1495">
        <v>6.8</v>
      </c>
      <c r="D1495">
        <v>7.9</v>
      </c>
      <c r="E1495">
        <v>7.2</v>
      </c>
      <c r="F1495">
        <v>6.4</v>
      </c>
      <c r="G1495">
        <v>7.4</v>
      </c>
      <c r="H1495">
        <v>5.9</v>
      </c>
      <c r="I1495">
        <v>5.3</v>
      </c>
      <c r="J1495">
        <v>6.9</v>
      </c>
      <c r="K1495">
        <v>5.2</v>
      </c>
      <c r="L1495" s="1"/>
    </row>
    <row r="1496" spans="1:12">
      <c r="A1496" t="s">
        <v>1544</v>
      </c>
      <c r="B1496">
        <v>7.9</v>
      </c>
      <c r="C1496">
        <v>7.7</v>
      </c>
      <c r="D1496">
        <v>7.4</v>
      </c>
      <c r="E1496">
        <v>7.5</v>
      </c>
      <c r="F1496">
        <v>7</v>
      </c>
      <c r="G1496">
        <v>8.2</v>
      </c>
      <c r="H1496">
        <v>6.7</v>
      </c>
      <c r="I1496">
        <v>6.7</v>
      </c>
      <c r="J1496">
        <v>5.9</v>
      </c>
      <c r="K1496">
        <v>5</v>
      </c>
      <c r="L1496" s="1"/>
    </row>
    <row r="1497" spans="1:12">
      <c r="A1497" t="s">
        <v>1545</v>
      </c>
      <c r="B1497">
        <v>7.9</v>
      </c>
      <c r="C1497">
        <v>8.2</v>
      </c>
      <c r="D1497">
        <v>8</v>
      </c>
      <c r="E1497">
        <v>8.1</v>
      </c>
      <c r="F1497">
        <v>7.8</v>
      </c>
      <c r="G1497">
        <v>8.1</v>
      </c>
      <c r="H1497">
        <v>7.2</v>
      </c>
      <c r="I1497">
        <v>6.8</v>
      </c>
      <c r="J1497">
        <v>6.7</v>
      </c>
      <c r="K1497">
        <v>6.4</v>
      </c>
      <c r="L1497" s="1"/>
    </row>
    <row r="1498" spans="1:12">
      <c r="A1498" t="s">
        <v>1546</v>
      </c>
      <c r="B1498">
        <v>8</v>
      </c>
      <c r="C1498">
        <v>8.3</v>
      </c>
      <c r="D1498">
        <v>7.8</v>
      </c>
      <c r="E1498">
        <v>7.6</v>
      </c>
      <c r="F1498">
        <v>6.7</v>
      </c>
      <c r="G1498">
        <v>6.5</v>
      </c>
      <c r="H1498">
        <v>7.4</v>
      </c>
      <c r="I1498">
        <v>7.1</v>
      </c>
      <c r="J1498">
        <v>7.1</v>
      </c>
      <c r="K1498">
        <v>4.9</v>
      </c>
      <c r="L1498" s="1"/>
    </row>
    <row r="1499" spans="1:12">
      <c r="A1499" t="s">
        <v>1547</v>
      </c>
      <c r="B1499">
        <v>8.1</v>
      </c>
      <c r="C1499">
        <v>7.4</v>
      </c>
      <c r="D1499">
        <v>7.6</v>
      </c>
      <c r="E1499">
        <v>6.3</v>
      </c>
      <c r="F1499">
        <v>7</v>
      </c>
      <c r="G1499">
        <v>6.4</v>
      </c>
      <c r="H1499">
        <v>7.8</v>
      </c>
      <c r="I1499">
        <v>8.4</v>
      </c>
      <c r="J1499">
        <v>5.4</v>
      </c>
      <c r="K1499">
        <v>5.9</v>
      </c>
      <c r="L1499" s="1"/>
    </row>
    <row r="1500" spans="1:12">
      <c r="A1500" t="s">
        <v>1548</v>
      </c>
      <c r="B1500">
        <v>7.8</v>
      </c>
      <c r="C1500">
        <v>7.7</v>
      </c>
      <c r="D1500">
        <v>7</v>
      </c>
      <c r="E1500">
        <v>6.6</v>
      </c>
      <c r="F1500">
        <v>7.1</v>
      </c>
      <c r="G1500">
        <v>7.3</v>
      </c>
      <c r="H1500">
        <v>7</v>
      </c>
      <c r="I1500">
        <v>7.5</v>
      </c>
      <c r="J1500">
        <v>5.3</v>
      </c>
      <c r="K1500">
        <v>4.2</v>
      </c>
      <c r="L1500" s="1"/>
    </row>
    <row r="1501" spans="1:12">
      <c r="A1501" t="s">
        <v>1549</v>
      </c>
      <c r="B1501">
        <v>7.9</v>
      </c>
      <c r="C1501">
        <v>8.6</v>
      </c>
      <c r="D1501">
        <v>7.6</v>
      </c>
      <c r="E1501">
        <v>6.8</v>
      </c>
      <c r="F1501">
        <v>7.6</v>
      </c>
      <c r="G1501">
        <v>7.1</v>
      </c>
      <c r="H1501">
        <v>6.4</v>
      </c>
      <c r="I1501">
        <v>6.2</v>
      </c>
      <c r="J1501">
        <v>5.5</v>
      </c>
      <c r="K1501">
        <v>5.6</v>
      </c>
      <c r="L1501" s="1"/>
    </row>
    <row r="1502" spans="1:12">
      <c r="A1502" t="s">
        <v>1550</v>
      </c>
      <c r="B1502">
        <v>7.9</v>
      </c>
      <c r="C1502">
        <v>7.5</v>
      </c>
      <c r="D1502">
        <v>7.4</v>
      </c>
      <c r="E1502">
        <v>7.3</v>
      </c>
      <c r="F1502">
        <v>6</v>
      </c>
      <c r="G1502">
        <v>6.2</v>
      </c>
      <c r="H1502">
        <v>7</v>
      </c>
      <c r="I1502">
        <v>6.3</v>
      </c>
      <c r="J1502">
        <v>6.5</v>
      </c>
      <c r="K1502">
        <v>6.4</v>
      </c>
      <c r="L1502" s="1"/>
    </row>
    <row r="1503" spans="1:12">
      <c r="A1503" t="s">
        <v>1551</v>
      </c>
      <c r="B1503">
        <v>7.8</v>
      </c>
      <c r="C1503">
        <v>7.9</v>
      </c>
      <c r="D1503">
        <v>7.7</v>
      </c>
      <c r="E1503">
        <v>8.2</v>
      </c>
      <c r="F1503">
        <v>7.3</v>
      </c>
      <c r="G1503">
        <v>6.4</v>
      </c>
      <c r="H1503">
        <v>6</v>
      </c>
      <c r="I1503">
        <v>6.8</v>
      </c>
      <c r="J1503">
        <v>7.2</v>
      </c>
      <c r="K1503">
        <v>4.2</v>
      </c>
      <c r="L1503" s="1"/>
    </row>
    <row r="1504" spans="1:12">
      <c r="A1504" t="s">
        <v>1552</v>
      </c>
      <c r="B1504">
        <v>8.2</v>
      </c>
      <c r="C1504">
        <v>7.4</v>
      </c>
      <c r="D1504">
        <v>7.6</v>
      </c>
      <c r="E1504">
        <v>7.3</v>
      </c>
      <c r="F1504">
        <v>7.7</v>
      </c>
      <c r="G1504">
        <v>7.6</v>
      </c>
      <c r="H1504">
        <v>6.5</v>
      </c>
      <c r="I1504">
        <v>5.1</v>
      </c>
      <c r="J1504">
        <v>7.7</v>
      </c>
      <c r="K1504">
        <v>4.8</v>
      </c>
      <c r="L1504" s="1"/>
    </row>
    <row r="1505" spans="1:12">
      <c r="A1505" t="s">
        <v>1553</v>
      </c>
      <c r="B1505">
        <v>7.4</v>
      </c>
      <c r="C1505">
        <v>7.7</v>
      </c>
      <c r="D1505">
        <v>7.3</v>
      </c>
      <c r="E1505">
        <v>7.1</v>
      </c>
      <c r="F1505">
        <v>7.8</v>
      </c>
      <c r="G1505">
        <v>7.2</v>
      </c>
      <c r="H1505">
        <v>7.5</v>
      </c>
      <c r="I1505">
        <v>6.9</v>
      </c>
      <c r="J1505">
        <v>6.8</v>
      </c>
      <c r="K1505">
        <v>7.2</v>
      </c>
      <c r="L1505" s="1"/>
    </row>
    <row r="1506" spans="1:12">
      <c r="A1506" t="s">
        <v>1554</v>
      </c>
      <c r="B1506">
        <v>8.4</v>
      </c>
      <c r="C1506">
        <v>7.2</v>
      </c>
      <c r="D1506">
        <v>6.7</v>
      </c>
      <c r="E1506">
        <v>7.1</v>
      </c>
      <c r="F1506">
        <v>8</v>
      </c>
      <c r="G1506">
        <v>7.1</v>
      </c>
      <c r="H1506">
        <v>7.1</v>
      </c>
      <c r="I1506">
        <v>5.9</v>
      </c>
      <c r="J1506">
        <v>6.4</v>
      </c>
      <c r="K1506">
        <v>5.1</v>
      </c>
      <c r="L1506" s="1"/>
    </row>
    <row r="1507" spans="1:12">
      <c r="A1507" t="s">
        <v>1555</v>
      </c>
      <c r="B1507">
        <v>8.2</v>
      </c>
      <c r="C1507">
        <v>7.2</v>
      </c>
      <c r="D1507">
        <v>7.6</v>
      </c>
      <c r="E1507">
        <v>7.1</v>
      </c>
      <c r="F1507">
        <v>6.6</v>
      </c>
      <c r="G1507">
        <v>6.4</v>
      </c>
      <c r="H1507">
        <v>6.3</v>
      </c>
      <c r="I1507">
        <v>6.3</v>
      </c>
      <c r="J1507">
        <v>6.4</v>
      </c>
      <c r="K1507">
        <v>5.6</v>
      </c>
      <c r="L1507" s="1"/>
    </row>
    <row r="1508" spans="1:12">
      <c r="A1508" t="s">
        <v>1556</v>
      </c>
      <c r="B1508">
        <v>7.4</v>
      </c>
      <c r="C1508">
        <v>7.1</v>
      </c>
      <c r="D1508">
        <v>7.6</v>
      </c>
      <c r="E1508">
        <v>6.7</v>
      </c>
      <c r="F1508">
        <v>6.3</v>
      </c>
      <c r="G1508">
        <v>7.4</v>
      </c>
      <c r="H1508">
        <v>7.2</v>
      </c>
      <c r="I1508">
        <v>6.8</v>
      </c>
      <c r="J1508">
        <v>8.2</v>
      </c>
      <c r="K1508">
        <v>4.9</v>
      </c>
      <c r="L1508" s="1"/>
    </row>
    <row r="1509" spans="1:12">
      <c r="A1509" t="s">
        <v>1557</v>
      </c>
      <c r="B1509">
        <v>8.3</v>
      </c>
      <c r="C1509">
        <v>7.2</v>
      </c>
      <c r="D1509">
        <v>8</v>
      </c>
      <c r="E1509">
        <v>7.1</v>
      </c>
      <c r="F1509">
        <v>7.6</v>
      </c>
      <c r="G1509">
        <v>7.5</v>
      </c>
      <c r="H1509">
        <v>8.7</v>
      </c>
      <c r="I1509">
        <v>7.3</v>
      </c>
      <c r="J1509">
        <v>6.1</v>
      </c>
      <c r="K1509">
        <v>4.5</v>
      </c>
      <c r="L1509" s="1"/>
    </row>
    <row r="1510" spans="1:12">
      <c r="A1510" t="s">
        <v>1558</v>
      </c>
      <c r="B1510">
        <v>8.1</v>
      </c>
      <c r="C1510">
        <v>8.4</v>
      </c>
      <c r="D1510">
        <v>7.4</v>
      </c>
      <c r="E1510">
        <v>8.2</v>
      </c>
      <c r="F1510">
        <v>6.1</v>
      </c>
      <c r="G1510">
        <v>5.9</v>
      </c>
      <c r="H1510">
        <v>7.7</v>
      </c>
      <c r="I1510">
        <v>5.6</v>
      </c>
      <c r="J1510">
        <v>5.6</v>
      </c>
      <c r="K1510">
        <v>6.7</v>
      </c>
      <c r="L1510" s="1"/>
    </row>
    <row r="1511" spans="1:12">
      <c r="A1511" t="s">
        <v>1559</v>
      </c>
      <c r="B1511">
        <v>8.8</v>
      </c>
      <c r="C1511">
        <v>7.7</v>
      </c>
      <c r="D1511">
        <v>7.7</v>
      </c>
      <c r="E1511">
        <v>8.2</v>
      </c>
      <c r="F1511">
        <v>6.8</v>
      </c>
      <c r="G1511">
        <v>6.1</v>
      </c>
      <c r="H1511">
        <v>6.7</v>
      </c>
      <c r="I1511">
        <v>4.9</v>
      </c>
      <c r="J1511">
        <v>7.7</v>
      </c>
      <c r="K1511">
        <v>7.2</v>
      </c>
      <c r="L1511" s="1"/>
    </row>
    <row r="1512" spans="1:12">
      <c r="A1512" t="s">
        <v>1560</v>
      </c>
      <c r="B1512">
        <v>8.7</v>
      </c>
      <c r="C1512">
        <v>7.9</v>
      </c>
      <c r="D1512">
        <v>8.6</v>
      </c>
      <c r="E1512">
        <v>6.8</v>
      </c>
      <c r="F1512">
        <v>7.1</v>
      </c>
      <c r="G1512">
        <v>7.1</v>
      </c>
      <c r="H1512">
        <v>6.5</v>
      </c>
      <c r="I1512">
        <v>8.1</v>
      </c>
      <c r="J1512">
        <v>4.3</v>
      </c>
      <c r="K1512">
        <v>4.8</v>
      </c>
      <c r="L1512" s="1"/>
    </row>
    <row r="1513" spans="1:12">
      <c r="A1513" t="s">
        <v>1561</v>
      </c>
      <c r="B1513">
        <v>8</v>
      </c>
      <c r="C1513">
        <v>8.2</v>
      </c>
      <c r="D1513">
        <v>7</v>
      </c>
      <c r="E1513">
        <v>7.9</v>
      </c>
      <c r="F1513">
        <v>8.4</v>
      </c>
      <c r="G1513">
        <v>6.8</v>
      </c>
      <c r="H1513">
        <v>6.6</v>
      </c>
      <c r="I1513">
        <v>5.6</v>
      </c>
      <c r="J1513">
        <v>4.6</v>
      </c>
      <c r="K1513">
        <v>5</v>
      </c>
      <c r="L1513" s="1"/>
    </row>
    <row r="1514" spans="1:12">
      <c r="A1514" t="s">
        <v>1562</v>
      </c>
      <c r="B1514">
        <v>8.2</v>
      </c>
      <c r="C1514">
        <v>7</v>
      </c>
      <c r="D1514">
        <v>6.9</v>
      </c>
      <c r="E1514">
        <v>8</v>
      </c>
      <c r="F1514">
        <v>7.2</v>
      </c>
      <c r="G1514">
        <v>6</v>
      </c>
      <c r="H1514">
        <v>6.5</v>
      </c>
      <c r="I1514">
        <v>7.3</v>
      </c>
      <c r="J1514">
        <v>6.7</v>
      </c>
      <c r="K1514">
        <v>7.4</v>
      </c>
      <c r="L1514" s="1"/>
    </row>
    <row r="1515" spans="1:12">
      <c r="A1515" t="s">
        <v>1563</v>
      </c>
      <c r="B1515">
        <v>7.9</v>
      </c>
      <c r="C1515">
        <v>8.2</v>
      </c>
      <c r="D1515">
        <v>9</v>
      </c>
      <c r="E1515">
        <v>7.9</v>
      </c>
      <c r="F1515">
        <v>7.4</v>
      </c>
      <c r="G1515">
        <v>6.7</v>
      </c>
      <c r="H1515">
        <v>7.8</v>
      </c>
      <c r="I1515">
        <v>7.5</v>
      </c>
      <c r="J1515">
        <v>5.6</v>
      </c>
      <c r="K1515">
        <v>5.7</v>
      </c>
      <c r="L1515" s="1"/>
    </row>
    <row r="1516" spans="1:12">
      <c r="A1516" t="s">
        <v>1564</v>
      </c>
      <c r="B1516">
        <v>9.1</v>
      </c>
      <c r="C1516">
        <v>8.8</v>
      </c>
      <c r="D1516">
        <v>7.8</v>
      </c>
      <c r="E1516">
        <v>6.9</v>
      </c>
      <c r="F1516">
        <v>6.5</v>
      </c>
      <c r="G1516">
        <v>7.3</v>
      </c>
      <c r="H1516">
        <v>7.4</v>
      </c>
      <c r="I1516">
        <v>6.4</v>
      </c>
      <c r="J1516">
        <v>6.9</v>
      </c>
      <c r="K1516">
        <v>6.5</v>
      </c>
      <c r="L1516" s="1"/>
    </row>
    <row r="1517" spans="1:12">
      <c r="A1517" t="s">
        <v>1565</v>
      </c>
      <c r="B1517">
        <v>7.4</v>
      </c>
      <c r="C1517">
        <v>6.9</v>
      </c>
      <c r="D1517">
        <v>7.7</v>
      </c>
      <c r="E1517">
        <v>6.6</v>
      </c>
      <c r="F1517">
        <v>7</v>
      </c>
      <c r="G1517">
        <v>6.9</v>
      </c>
      <c r="H1517">
        <v>6.2</v>
      </c>
      <c r="I1517">
        <v>7.1</v>
      </c>
      <c r="J1517">
        <v>7</v>
      </c>
      <c r="K1517">
        <v>5.4</v>
      </c>
      <c r="L1517" s="1"/>
    </row>
    <row r="1518" spans="1:12">
      <c r="A1518" t="s">
        <v>1566</v>
      </c>
      <c r="B1518">
        <v>7.6</v>
      </c>
      <c r="C1518">
        <v>8</v>
      </c>
      <c r="D1518">
        <v>7.3</v>
      </c>
      <c r="E1518">
        <v>6.2</v>
      </c>
      <c r="F1518">
        <v>7.5</v>
      </c>
      <c r="G1518">
        <v>6.6</v>
      </c>
      <c r="H1518">
        <v>6</v>
      </c>
      <c r="I1518">
        <v>7.5</v>
      </c>
      <c r="J1518">
        <v>5.4</v>
      </c>
      <c r="K1518">
        <v>6.8</v>
      </c>
      <c r="L1518" s="1"/>
    </row>
    <row r="1519" spans="1:12">
      <c r="A1519" t="s">
        <v>1567</v>
      </c>
      <c r="B1519">
        <v>6.8</v>
      </c>
      <c r="C1519">
        <v>7.8</v>
      </c>
      <c r="D1519">
        <v>7.6</v>
      </c>
      <c r="E1519">
        <v>7.1</v>
      </c>
      <c r="F1519">
        <v>6.4</v>
      </c>
      <c r="G1519">
        <v>7.7</v>
      </c>
      <c r="H1519">
        <v>6.6</v>
      </c>
      <c r="I1519">
        <v>7.2</v>
      </c>
      <c r="J1519">
        <v>6.3</v>
      </c>
      <c r="K1519">
        <v>4.9</v>
      </c>
      <c r="L1519" s="1"/>
    </row>
    <row r="1520" spans="1:12">
      <c r="A1520" t="s">
        <v>1568</v>
      </c>
      <c r="B1520">
        <v>7.9</v>
      </c>
      <c r="C1520">
        <v>6.7</v>
      </c>
      <c r="D1520">
        <v>6.6</v>
      </c>
      <c r="E1520">
        <v>7.7</v>
      </c>
      <c r="F1520">
        <v>6.3</v>
      </c>
      <c r="G1520">
        <v>8.1</v>
      </c>
      <c r="H1520">
        <v>6</v>
      </c>
      <c r="I1520">
        <v>5</v>
      </c>
      <c r="J1520">
        <v>5.5</v>
      </c>
      <c r="K1520">
        <v>3.7</v>
      </c>
      <c r="L1520" s="1"/>
    </row>
    <row r="1521" spans="1:12">
      <c r="A1521" t="s">
        <v>1569</v>
      </c>
      <c r="B1521">
        <v>7.7</v>
      </c>
      <c r="C1521">
        <v>7.8</v>
      </c>
      <c r="D1521">
        <v>7.6</v>
      </c>
      <c r="E1521">
        <v>7.1</v>
      </c>
      <c r="F1521">
        <v>6</v>
      </c>
      <c r="G1521">
        <v>6.3</v>
      </c>
      <c r="H1521">
        <v>8</v>
      </c>
      <c r="I1521">
        <v>4.5</v>
      </c>
      <c r="J1521">
        <v>6.3</v>
      </c>
      <c r="K1521">
        <v>5.1</v>
      </c>
      <c r="L1521" s="1"/>
    </row>
    <row r="1522" spans="1:12">
      <c r="A1522" t="s">
        <v>1570</v>
      </c>
      <c r="B1522">
        <v>7.5</v>
      </c>
      <c r="C1522">
        <v>7.6</v>
      </c>
      <c r="D1522">
        <v>6.9</v>
      </c>
      <c r="E1522">
        <v>7.5</v>
      </c>
      <c r="F1522">
        <v>6.6</v>
      </c>
      <c r="G1522">
        <v>6.7</v>
      </c>
      <c r="H1522">
        <v>6.4</v>
      </c>
      <c r="I1522">
        <v>6.8</v>
      </c>
      <c r="J1522">
        <v>6.3</v>
      </c>
      <c r="K1522">
        <v>5.2</v>
      </c>
      <c r="L1522" s="1"/>
    </row>
    <row r="1523" spans="1:12">
      <c r="A1523" t="s">
        <v>1571</v>
      </c>
      <c r="B1523">
        <v>7.1</v>
      </c>
      <c r="C1523">
        <v>6.9</v>
      </c>
      <c r="D1523">
        <v>7.9</v>
      </c>
      <c r="E1523">
        <v>7.3</v>
      </c>
      <c r="F1523">
        <v>7.2</v>
      </c>
      <c r="G1523">
        <v>7.2</v>
      </c>
      <c r="H1523">
        <v>6.4</v>
      </c>
      <c r="I1523">
        <v>6.1</v>
      </c>
      <c r="J1523">
        <v>5.7</v>
      </c>
      <c r="K1523">
        <v>6.8</v>
      </c>
      <c r="L1523" s="1"/>
    </row>
    <row r="1524" spans="1:12">
      <c r="A1524" t="s">
        <v>1572</v>
      </c>
      <c r="B1524">
        <v>7.8</v>
      </c>
      <c r="C1524">
        <v>7.4</v>
      </c>
      <c r="D1524">
        <v>7</v>
      </c>
      <c r="E1524">
        <v>6.9</v>
      </c>
      <c r="F1524">
        <v>7.7</v>
      </c>
      <c r="G1524">
        <v>6.5</v>
      </c>
      <c r="H1524">
        <v>5.5</v>
      </c>
      <c r="I1524">
        <v>8.5</v>
      </c>
      <c r="J1524">
        <v>5.6</v>
      </c>
      <c r="K1524">
        <v>5.8</v>
      </c>
      <c r="L1524" s="1"/>
    </row>
    <row r="1525" spans="1:12">
      <c r="A1525" t="s">
        <v>1573</v>
      </c>
      <c r="B1525">
        <v>7.6</v>
      </c>
      <c r="C1525">
        <v>7.8</v>
      </c>
      <c r="D1525">
        <v>7.3</v>
      </c>
      <c r="E1525">
        <v>6.4</v>
      </c>
      <c r="F1525">
        <v>6.4</v>
      </c>
      <c r="G1525">
        <v>7.2</v>
      </c>
      <c r="H1525">
        <v>7.4</v>
      </c>
      <c r="I1525">
        <v>7</v>
      </c>
      <c r="J1525">
        <v>6.3</v>
      </c>
      <c r="K1525">
        <v>6.7</v>
      </c>
      <c r="L1525" s="1"/>
    </row>
    <row r="1526" spans="1:12">
      <c r="A1526" t="s">
        <v>1574</v>
      </c>
      <c r="B1526">
        <v>7</v>
      </c>
      <c r="C1526">
        <v>7.9</v>
      </c>
      <c r="D1526">
        <v>7.4</v>
      </c>
      <c r="E1526">
        <v>7</v>
      </c>
      <c r="F1526">
        <v>6.2</v>
      </c>
      <c r="G1526">
        <v>7.3</v>
      </c>
      <c r="H1526">
        <v>8.7</v>
      </c>
      <c r="I1526">
        <v>5.7</v>
      </c>
      <c r="J1526">
        <v>6.9</v>
      </c>
      <c r="K1526">
        <v>6</v>
      </c>
      <c r="L1526" s="1"/>
    </row>
    <row r="1527" spans="1:12">
      <c r="A1527" t="s">
        <v>1575</v>
      </c>
      <c r="B1527">
        <v>8.1</v>
      </c>
      <c r="C1527">
        <v>8.1</v>
      </c>
      <c r="D1527">
        <v>7.7</v>
      </c>
      <c r="E1527">
        <v>7</v>
      </c>
      <c r="F1527">
        <v>6.7</v>
      </c>
      <c r="G1527">
        <v>6.3</v>
      </c>
      <c r="H1527">
        <v>6</v>
      </c>
      <c r="I1527">
        <v>8.1</v>
      </c>
      <c r="J1527">
        <v>6.6</v>
      </c>
      <c r="K1527">
        <v>5.2</v>
      </c>
      <c r="L1527" s="1"/>
    </row>
    <row r="1528" spans="1:12">
      <c r="A1528" t="s">
        <v>1576</v>
      </c>
      <c r="B1528">
        <v>8.1</v>
      </c>
      <c r="C1528">
        <v>7.2</v>
      </c>
      <c r="D1528">
        <v>7.6</v>
      </c>
      <c r="E1528">
        <v>7.8</v>
      </c>
      <c r="F1528">
        <v>7.6</v>
      </c>
      <c r="G1528">
        <v>6.9</v>
      </c>
      <c r="H1528">
        <v>6.4</v>
      </c>
      <c r="I1528">
        <v>6.7</v>
      </c>
      <c r="J1528">
        <v>7.4</v>
      </c>
      <c r="K1528">
        <v>5.7</v>
      </c>
      <c r="L1528" s="1"/>
    </row>
    <row r="1529" spans="1:12">
      <c r="A1529" t="s">
        <v>1577</v>
      </c>
      <c r="B1529">
        <v>8.7</v>
      </c>
      <c r="C1529">
        <v>8.1</v>
      </c>
      <c r="D1529">
        <v>6.9</v>
      </c>
      <c r="E1529">
        <v>6.4</v>
      </c>
      <c r="F1529">
        <v>7.8</v>
      </c>
      <c r="G1529">
        <v>6.3</v>
      </c>
      <c r="H1529">
        <v>6.2</v>
      </c>
      <c r="I1529">
        <v>6.2</v>
      </c>
      <c r="J1529">
        <v>6.9</v>
      </c>
      <c r="K1529">
        <v>5.3</v>
      </c>
      <c r="L1529" s="1"/>
    </row>
    <row r="1530" spans="1:12">
      <c r="A1530" t="s">
        <v>1578</v>
      </c>
      <c r="B1530">
        <v>8.2</v>
      </c>
      <c r="C1530">
        <v>7.8</v>
      </c>
      <c r="D1530">
        <v>7.6</v>
      </c>
      <c r="E1530">
        <v>7.1</v>
      </c>
      <c r="F1530">
        <v>6.2</v>
      </c>
      <c r="G1530">
        <v>6.8</v>
      </c>
      <c r="H1530">
        <v>7.8</v>
      </c>
      <c r="I1530">
        <v>6.1</v>
      </c>
      <c r="J1530">
        <v>6.3</v>
      </c>
      <c r="K1530">
        <v>6.6</v>
      </c>
      <c r="L1530" s="1"/>
    </row>
    <row r="1531" spans="1:12">
      <c r="A1531" t="s">
        <v>1579</v>
      </c>
      <c r="B1531">
        <v>7.5</v>
      </c>
      <c r="C1531">
        <v>7.2</v>
      </c>
      <c r="D1531">
        <v>7.9</v>
      </c>
      <c r="E1531">
        <v>7.4</v>
      </c>
      <c r="F1531">
        <v>7.6</v>
      </c>
      <c r="G1531">
        <v>7.1</v>
      </c>
      <c r="H1531">
        <v>6.5</v>
      </c>
      <c r="I1531">
        <v>6.6</v>
      </c>
      <c r="J1531">
        <v>5.9</v>
      </c>
      <c r="K1531">
        <v>5.7</v>
      </c>
      <c r="L1531" s="1"/>
    </row>
    <row r="1532" spans="1:12">
      <c r="A1532" t="s">
        <v>1580</v>
      </c>
      <c r="B1532">
        <v>8</v>
      </c>
      <c r="C1532">
        <v>7.1</v>
      </c>
      <c r="D1532">
        <v>7.4</v>
      </c>
      <c r="E1532">
        <v>7.9</v>
      </c>
      <c r="F1532">
        <v>7.1</v>
      </c>
      <c r="G1532">
        <v>6.1</v>
      </c>
      <c r="H1532">
        <v>6.2</v>
      </c>
      <c r="I1532">
        <v>6.1</v>
      </c>
      <c r="J1532">
        <v>6.8</v>
      </c>
      <c r="K1532">
        <v>5.5</v>
      </c>
      <c r="L1532" s="1"/>
    </row>
    <row r="1533" spans="1:12">
      <c r="A1533" t="s">
        <v>1581</v>
      </c>
      <c r="B1533">
        <v>7.4</v>
      </c>
      <c r="C1533">
        <v>7.4</v>
      </c>
      <c r="D1533">
        <v>6.7</v>
      </c>
      <c r="E1533">
        <v>7.8</v>
      </c>
      <c r="F1533">
        <v>7.4</v>
      </c>
      <c r="G1533">
        <v>6.4</v>
      </c>
      <c r="H1533">
        <v>6.3</v>
      </c>
      <c r="I1533">
        <v>5.4</v>
      </c>
      <c r="J1533">
        <v>5.5</v>
      </c>
      <c r="K1533">
        <v>6.1</v>
      </c>
      <c r="L1533" s="1"/>
    </row>
    <row r="1534" spans="1:12">
      <c r="A1534" t="s">
        <v>1582</v>
      </c>
      <c r="B1534">
        <v>8.1</v>
      </c>
      <c r="C1534">
        <v>6.7</v>
      </c>
      <c r="D1534">
        <v>6.4</v>
      </c>
      <c r="E1534">
        <v>6.5</v>
      </c>
      <c r="F1534">
        <v>8.1</v>
      </c>
      <c r="G1534">
        <v>6.3</v>
      </c>
      <c r="H1534">
        <v>7.2</v>
      </c>
      <c r="I1534">
        <v>7.2</v>
      </c>
      <c r="J1534">
        <v>5.1</v>
      </c>
      <c r="K1534">
        <v>6.1</v>
      </c>
      <c r="L1534" s="1"/>
    </row>
    <row r="1535" spans="1:12">
      <c r="A1535" t="s">
        <v>1583</v>
      </c>
      <c r="B1535">
        <v>7.5</v>
      </c>
      <c r="C1535">
        <v>7.4</v>
      </c>
      <c r="D1535">
        <v>7.4</v>
      </c>
      <c r="E1535">
        <v>7.1</v>
      </c>
      <c r="F1535">
        <v>6.1</v>
      </c>
      <c r="G1535">
        <v>6.9</v>
      </c>
      <c r="H1535">
        <v>6.7</v>
      </c>
      <c r="I1535">
        <v>6.1</v>
      </c>
      <c r="J1535">
        <v>7</v>
      </c>
      <c r="K1535">
        <v>6.1</v>
      </c>
      <c r="L1535" s="1"/>
    </row>
    <row r="1536" spans="1:12">
      <c r="A1536" t="s">
        <v>1584</v>
      </c>
      <c r="B1536">
        <v>7.8</v>
      </c>
      <c r="C1536">
        <v>6.9</v>
      </c>
      <c r="D1536">
        <v>6.9</v>
      </c>
      <c r="E1536">
        <v>7.3</v>
      </c>
      <c r="F1536">
        <v>6.8</v>
      </c>
      <c r="G1536">
        <v>7.6</v>
      </c>
      <c r="H1536">
        <v>6.8</v>
      </c>
      <c r="I1536">
        <v>5.5</v>
      </c>
      <c r="J1536">
        <v>7.1</v>
      </c>
      <c r="K1536">
        <v>5.4</v>
      </c>
      <c r="L1536" s="1"/>
    </row>
    <row r="1537" spans="1:12">
      <c r="A1537" t="s">
        <v>1585</v>
      </c>
      <c r="B1537">
        <v>7.4</v>
      </c>
      <c r="C1537">
        <v>7</v>
      </c>
      <c r="D1537">
        <v>7.5</v>
      </c>
      <c r="E1537">
        <v>7.6</v>
      </c>
      <c r="F1537">
        <v>6.2</v>
      </c>
      <c r="G1537">
        <v>6.2</v>
      </c>
      <c r="H1537">
        <v>7.2</v>
      </c>
      <c r="I1537">
        <v>6.7</v>
      </c>
      <c r="J1537">
        <v>6.2</v>
      </c>
      <c r="K1537">
        <v>6.9</v>
      </c>
      <c r="L1537" s="1"/>
    </row>
    <row r="1538" spans="1:12">
      <c r="A1538" t="s">
        <v>1586</v>
      </c>
      <c r="B1538">
        <v>6.9</v>
      </c>
      <c r="C1538">
        <v>7.5</v>
      </c>
      <c r="D1538">
        <v>7.7</v>
      </c>
      <c r="E1538">
        <v>7.5</v>
      </c>
      <c r="F1538">
        <v>6.4</v>
      </c>
      <c r="G1538">
        <v>6.4</v>
      </c>
      <c r="H1538">
        <v>6.7</v>
      </c>
      <c r="I1538">
        <v>6.6</v>
      </c>
      <c r="J1538">
        <v>5.8</v>
      </c>
      <c r="K1538">
        <v>5.6</v>
      </c>
      <c r="L1538" s="1"/>
    </row>
    <row r="1539" spans="1:12">
      <c r="A1539" t="s">
        <v>1587</v>
      </c>
      <c r="B1539">
        <v>7.6</v>
      </c>
      <c r="C1539">
        <v>7.5</v>
      </c>
      <c r="D1539">
        <v>7.4</v>
      </c>
      <c r="E1539">
        <v>7</v>
      </c>
      <c r="F1539">
        <v>7.2</v>
      </c>
      <c r="G1539">
        <v>5.9</v>
      </c>
      <c r="H1539">
        <v>5.4</v>
      </c>
      <c r="I1539">
        <v>7.1</v>
      </c>
      <c r="J1539">
        <v>5.9</v>
      </c>
      <c r="K1539">
        <v>5.6</v>
      </c>
      <c r="L1539" s="1"/>
    </row>
    <row r="1540" spans="1:12">
      <c r="A1540" t="s">
        <v>1588</v>
      </c>
      <c r="B1540">
        <v>7.5</v>
      </c>
      <c r="C1540">
        <v>7.1</v>
      </c>
      <c r="D1540">
        <v>7.8</v>
      </c>
      <c r="E1540">
        <v>6.9</v>
      </c>
      <c r="F1540">
        <v>7.8</v>
      </c>
      <c r="G1540">
        <v>6.7</v>
      </c>
      <c r="H1540">
        <v>8.3</v>
      </c>
      <c r="I1540">
        <v>5.9</v>
      </c>
      <c r="J1540">
        <v>7</v>
      </c>
      <c r="K1540">
        <v>6.1</v>
      </c>
      <c r="L1540" s="1"/>
    </row>
    <row r="1541" spans="1:12">
      <c r="A1541" t="s">
        <v>1589</v>
      </c>
      <c r="B1541">
        <v>8</v>
      </c>
      <c r="C1541">
        <v>7</v>
      </c>
      <c r="D1541">
        <v>6.4</v>
      </c>
      <c r="E1541">
        <v>7.4</v>
      </c>
      <c r="F1541">
        <v>6.1</v>
      </c>
      <c r="G1541">
        <v>5.9</v>
      </c>
      <c r="H1541">
        <v>6.1</v>
      </c>
      <c r="I1541">
        <v>6.2</v>
      </c>
      <c r="J1541">
        <v>5.9</v>
      </c>
      <c r="K1541">
        <v>4.9</v>
      </c>
      <c r="L1541" s="1"/>
    </row>
    <row r="1542" spans="1:12">
      <c r="A1542" t="s">
        <v>1590</v>
      </c>
      <c r="B1542">
        <v>8.4</v>
      </c>
      <c r="C1542">
        <v>7.8</v>
      </c>
      <c r="D1542">
        <v>7.3</v>
      </c>
      <c r="E1542">
        <v>7.3</v>
      </c>
      <c r="F1542">
        <v>6.4</v>
      </c>
      <c r="G1542">
        <v>5.7</v>
      </c>
      <c r="H1542">
        <v>7.1</v>
      </c>
      <c r="I1542">
        <v>5</v>
      </c>
      <c r="J1542">
        <v>4.7</v>
      </c>
      <c r="K1542">
        <v>6.3</v>
      </c>
      <c r="L1542" s="1"/>
    </row>
    <row r="1543" spans="1:12">
      <c r="A1543" t="s">
        <v>1591</v>
      </c>
      <c r="B1543">
        <v>7.5</v>
      </c>
      <c r="C1543">
        <v>8</v>
      </c>
      <c r="D1543">
        <v>7.3</v>
      </c>
      <c r="E1543">
        <v>7.7</v>
      </c>
      <c r="F1543">
        <v>7</v>
      </c>
      <c r="G1543">
        <v>6.6</v>
      </c>
      <c r="H1543">
        <v>6</v>
      </c>
      <c r="I1543">
        <v>8.3</v>
      </c>
      <c r="J1543">
        <v>5.7</v>
      </c>
      <c r="K1543">
        <v>5.7</v>
      </c>
      <c r="L1543" s="1"/>
    </row>
    <row r="1544" spans="1:12">
      <c r="A1544" t="s">
        <v>1592</v>
      </c>
      <c r="B1544">
        <v>7.8</v>
      </c>
      <c r="C1544">
        <v>6.9</v>
      </c>
      <c r="D1544">
        <v>7.5</v>
      </c>
      <c r="E1544">
        <v>6.2</v>
      </c>
      <c r="F1544">
        <v>6.7</v>
      </c>
      <c r="G1544">
        <v>7.3</v>
      </c>
      <c r="H1544">
        <v>7.7</v>
      </c>
      <c r="I1544">
        <v>6.6</v>
      </c>
      <c r="J1544">
        <v>6.4</v>
      </c>
      <c r="K1544">
        <v>4.9</v>
      </c>
      <c r="L1544" s="1"/>
    </row>
    <row r="1545" spans="1:12">
      <c r="A1545" t="s">
        <v>1593</v>
      </c>
      <c r="B1545">
        <v>7.7</v>
      </c>
      <c r="C1545">
        <v>7.9</v>
      </c>
      <c r="D1545">
        <v>8</v>
      </c>
      <c r="E1545">
        <v>7</v>
      </c>
      <c r="F1545">
        <v>5.6</v>
      </c>
      <c r="G1545">
        <v>7</v>
      </c>
      <c r="H1545">
        <v>7.6</v>
      </c>
      <c r="I1545">
        <v>6.6</v>
      </c>
      <c r="J1545">
        <v>6.5</v>
      </c>
      <c r="K1545">
        <v>7.1</v>
      </c>
      <c r="L1545" s="1"/>
    </row>
    <row r="1546" spans="1:12">
      <c r="A1546" t="s">
        <v>1594</v>
      </c>
      <c r="B1546">
        <v>7.3</v>
      </c>
      <c r="C1546">
        <v>8.5</v>
      </c>
      <c r="D1546">
        <v>7.3</v>
      </c>
      <c r="E1546">
        <v>7.2</v>
      </c>
      <c r="F1546">
        <v>7.8</v>
      </c>
      <c r="G1546">
        <v>6.9</v>
      </c>
      <c r="H1546">
        <v>6.3</v>
      </c>
      <c r="I1546">
        <v>6.5</v>
      </c>
      <c r="J1546">
        <v>7</v>
      </c>
      <c r="K1546">
        <v>5.2</v>
      </c>
      <c r="L1546" s="1"/>
    </row>
    <row r="1547" spans="1:12">
      <c r="A1547" t="s">
        <v>1595</v>
      </c>
      <c r="B1547">
        <v>8</v>
      </c>
      <c r="C1547">
        <v>7.3</v>
      </c>
      <c r="D1547">
        <v>7.5</v>
      </c>
      <c r="E1547">
        <v>6.8</v>
      </c>
      <c r="F1547">
        <v>6</v>
      </c>
      <c r="G1547">
        <v>7.4</v>
      </c>
      <c r="H1547">
        <v>6.3</v>
      </c>
      <c r="I1547">
        <v>6.9</v>
      </c>
      <c r="J1547">
        <v>6.2</v>
      </c>
      <c r="K1547">
        <v>3.3</v>
      </c>
      <c r="L1547" s="1"/>
    </row>
    <row r="1548" spans="1:12">
      <c r="A1548" t="s">
        <v>1596</v>
      </c>
      <c r="B1548">
        <v>8.3</v>
      </c>
      <c r="C1548">
        <v>7.6</v>
      </c>
      <c r="D1548">
        <v>8.7</v>
      </c>
      <c r="E1548">
        <v>7.2</v>
      </c>
      <c r="F1548">
        <v>7.4</v>
      </c>
      <c r="G1548">
        <v>6.4</v>
      </c>
      <c r="H1548">
        <v>5.9</v>
      </c>
      <c r="I1548">
        <v>6</v>
      </c>
      <c r="J1548">
        <v>7.1</v>
      </c>
      <c r="K1548">
        <v>4.8</v>
      </c>
      <c r="L1548" s="1"/>
    </row>
    <row r="1549" spans="1:12">
      <c r="A1549" t="s">
        <v>1597</v>
      </c>
      <c r="B1549">
        <v>8.6</v>
      </c>
      <c r="C1549">
        <v>7.3</v>
      </c>
      <c r="D1549">
        <v>7.6</v>
      </c>
      <c r="E1549">
        <v>6.6</v>
      </c>
      <c r="F1549">
        <v>8.8</v>
      </c>
      <c r="G1549">
        <v>7.6</v>
      </c>
      <c r="H1549">
        <v>6.1</v>
      </c>
      <c r="I1549">
        <v>6.1</v>
      </c>
      <c r="J1549">
        <v>6.9</v>
      </c>
      <c r="K1549">
        <v>6</v>
      </c>
      <c r="L1549" s="1"/>
    </row>
    <row r="1550" spans="1:12">
      <c r="A1550" t="s">
        <v>1598</v>
      </c>
      <c r="B1550">
        <v>7.6</v>
      </c>
      <c r="C1550">
        <v>7.2</v>
      </c>
      <c r="D1550">
        <v>6.9</v>
      </c>
      <c r="E1550">
        <v>7.1</v>
      </c>
      <c r="F1550">
        <v>7.5</v>
      </c>
      <c r="G1550">
        <v>5.9</v>
      </c>
      <c r="H1550">
        <v>7.6</v>
      </c>
      <c r="I1550">
        <v>6.2</v>
      </c>
      <c r="J1550">
        <v>6.1</v>
      </c>
      <c r="K1550">
        <v>6.1</v>
      </c>
      <c r="L1550" s="1"/>
    </row>
    <row r="1551" spans="1:12">
      <c r="A1551" t="s">
        <v>1599</v>
      </c>
      <c r="B1551">
        <v>7.5</v>
      </c>
      <c r="C1551">
        <v>7.7</v>
      </c>
      <c r="D1551">
        <v>6.4</v>
      </c>
      <c r="E1551">
        <v>7.3</v>
      </c>
      <c r="F1551">
        <v>6.9</v>
      </c>
      <c r="G1551">
        <v>6.9</v>
      </c>
      <c r="H1551">
        <v>6.3</v>
      </c>
      <c r="I1551">
        <v>7.4</v>
      </c>
      <c r="J1551">
        <v>7.1</v>
      </c>
      <c r="K1551">
        <v>5.5</v>
      </c>
      <c r="L1551" s="1"/>
    </row>
    <row r="1552" spans="1:12">
      <c r="A1552" t="s">
        <v>1600</v>
      </c>
      <c r="B1552">
        <v>6.4</v>
      </c>
      <c r="C1552">
        <v>8.1</v>
      </c>
      <c r="D1552">
        <v>7.8</v>
      </c>
      <c r="E1552">
        <v>7.4</v>
      </c>
      <c r="F1552">
        <v>7.7</v>
      </c>
      <c r="G1552">
        <v>6.5</v>
      </c>
      <c r="H1552">
        <v>8.2</v>
      </c>
      <c r="I1552">
        <v>7.3</v>
      </c>
      <c r="J1552">
        <v>6.5</v>
      </c>
      <c r="K1552">
        <v>4</v>
      </c>
      <c r="L1552" s="1"/>
    </row>
    <row r="1553" spans="1:12">
      <c r="A1553" t="s">
        <v>1601</v>
      </c>
      <c r="B1553">
        <v>7.7</v>
      </c>
      <c r="C1553">
        <v>7.3</v>
      </c>
      <c r="D1553">
        <v>7.6</v>
      </c>
      <c r="E1553">
        <v>7.4</v>
      </c>
      <c r="F1553">
        <v>6.4</v>
      </c>
      <c r="G1553">
        <v>6.1</v>
      </c>
      <c r="H1553">
        <v>5.8</v>
      </c>
      <c r="I1553">
        <v>5.3</v>
      </c>
      <c r="J1553">
        <v>6.2</v>
      </c>
      <c r="K1553">
        <v>4.9</v>
      </c>
      <c r="L1553" s="1"/>
    </row>
    <row r="1554" spans="1:12">
      <c r="A1554" t="s">
        <v>1602</v>
      </c>
      <c r="B1554">
        <v>8.1</v>
      </c>
      <c r="C1554">
        <v>7.9</v>
      </c>
      <c r="D1554">
        <v>7.5</v>
      </c>
      <c r="E1554">
        <v>8.2</v>
      </c>
      <c r="F1554">
        <v>6.6</v>
      </c>
      <c r="G1554">
        <v>8</v>
      </c>
      <c r="H1554">
        <v>6.5</v>
      </c>
      <c r="I1554">
        <v>6.8</v>
      </c>
      <c r="J1554">
        <v>5.4</v>
      </c>
      <c r="K1554">
        <v>4.9</v>
      </c>
      <c r="L1554" s="1"/>
    </row>
    <row r="1555" spans="1:12">
      <c r="A1555" t="s">
        <v>1603</v>
      </c>
      <c r="B1555">
        <v>7.1</v>
      </c>
      <c r="C1555">
        <v>7</v>
      </c>
      <c r="D1555">
        <v>7.9</v>
      </c>
      <c r="E1555">
        <v>7.6</v>
      </c>
      <c r="F1555">
        <v>7.2</v>
      </c>
      <c r="G1555">
        <v>6.9</v>
      </c>
      <c r="H1555">
        <v>6.4</v>
      </c>
      <c r="I1555">
        <v>6.8</v>
      </c>
      <c r="J1555">
        <v>6.2</v>
      </c>
      <c r="K1555">
        <v>5.9</v>
      </c>
      <c r="L1555" s="1"/>
    </row>
    <row r="1556" spans="1:12">
      <c r="A1556" t="s">
        <v>1604</v>
      </c>
      <c r="B1556">
        <v>7.4</v>
      </c>
      <c r="C1556">
        <v>7.7</v>
      </c>
      <c r="D1556">
        <v>8.7</v>
      </c>
      <c r="E1556">
        <v>8.1</v>
      </c>
      <c r="F1556">
        <v>6.1</v>
      </c>
      <c r="G1556">
        <v>7.6</v>
      </c>
      <c r="H1556">
        <v>7.5</v>
      </c>
      <c r="I1556">
        <v>6</v>
      </c>
      <c r="J1556">
        <v>7.2</v>
      </c>
      <c r="K1556">
        <v>7.4</v>
      </c>
      <c r="L1556" s="1"/>
    </row>
    <row r="1557" spans="1:12">
      <c r="A1557" t="s">
        <v>1605</v>
      </c>
      <c r="B1557">
        <v>8.3</v>
      </c>
      <c r="C1557">
        <v>7.1</v>
      </c>
      <c r="D1557">
        <v>7.4</v>
      </c>
      <c r="E1557">
        <v>6.2</v>
      </c>
      <c r="F1557">
        <v>7.3</v>
      </c>
      <c r="G1557">
        <v>6.7</v>
      </c>
      <c r="H1557">
        <v>7.4</v>
      </c>
      <c r="I1557">
        <v>6.1</v>
      </c>
      <c r="J1557">
        <v>5.8</v>
      </c>
      <c r="K1557">
        <v>6.1</v>
      </c>
      <c r="L1557" s="1"/>
    </row>
    <row r="1558" spans="1:12">
      <c r="A1558" t="s">
        <v>1606</v>
      </c>
      <c r="B1558">
        <v>7.5</v>
      </c>
      <c r="C1558">
        <v>7.3</v>
      </c>
      <c r="D1558">
        <v>7.9</v>
      </c>
      <c r="E1558">
        <v>6.1</v>
      </c>
      <c r="F1558">
        <v>7.2</v>
      </c>
      <c r="G1558">
        <v>6.2</v>
      </c>
      <c r="H1558">
        <v>6.6</v>
      </c>
      <c r="I1558">
        <v>5.6</v>
      </c>
      <c r="J1558">
        <v>6.9</v>
      </c>
      <c r="K1558">
        <v>4.6</v>
      </c>
      <c r="L1558" s="1"/>
    </row>
    <row r="1559" spans="1:12">
      <c r="A1559" t="s">
        <v>1607</v>
      </c>
      <c r="B1559">
        <v>7.6</v>
      </c>
      <c r="C1559">
        <v>6.9</v>
      </c>
      <c r="D1559">
        <v>7.9</v>
      </c>
      <c r="E1559">
        <v>6.9</v>
      </c>
      <c r="F1559">
        <v>6.4</v>
      </c>
      <c r="G1559">
        <v>6.6</v>
      </c>
      <c r="H1559">
        <v>6.4</v>
      </c>
      <c r="I1559">
        <v>6.1</v>
      </c>
      <c r="J1559">
        <v>6.5</v>
      </c>
      <c r="K1559">
        <v>5</v>
      </c>
      <c r="L1559" s="1"/>
    </row>
    <row r="1560" spans="1:12">
      <c r="A1560" t="s">
        <v>1608</v>
      </c>
      <c r="B1560">
        <v>7</v>
      </c>
      <c r="C1560">
        <v>7.5</v>
      </c>
      <c r="D1560">
        <v>7.2</v>
      </c>
      <c r="E1560">
        <v>7.7</v>
      </c>
      <c r="F1560">
        <v>6</v>
      </c>
      <c r="G1560">
        <v>5.9</v>
      </c>
      <c r="H1560">
        <v>7</v>
      </c>
      <c r="I1560">
        <v>5.8</v>
      </c>
      <c r="J1560">
        <v>5.2</v>
      </c>
      <c r="K1560">
        <v>5.5</v>
      </c>
      <c r="L1560" s="1"/>
    </row>
    <row r="1561" spans="1:12">
      <c r="A1561" t="s">
        <v>1609</v>
      </c>
      <c r="B1561">
        <v>8</v>
      </c>
      <c r="C1561">
        <v>7.5</v>
      </c>
      <c r="D1561">
        <v>7.6</v>
      </c>
      <c r="E1561">
        <v>7.2</v>
      </c>
      <c r="F1561">
        <v>6.6</v>
      </c>
      <c r="G1561">
        <v>7.6</v>
      </c>
      <c r="H1561">
        <v>5.1</v>
      </c>
      <c r="I1561">
        <v>7.6</v>
      </c>
      <c r="J1561">
        <v>5.7</v>
      </c>
      <c r="K1561">
        <v>4.7</v>
      </c>
      <c r="L1561" s="1"/>
    </row>
    <row r="1562" spans="1:12">
      <c r="A1562" t="s">
        <v>1610</v>
      </c>
      <c r="B1562">
        <v>7.4</v>
      </c>
      <c r="C1562">
        <v>8.1</v>
      </c>
      <c r="D1562">
        <v>7.7</v>
      </c>
      <c r="E1562">
        <v>6.6</v>
      </c>
      <c r="F1562">
        <v>7.1</v>
      </c>
      <c r="G1562">
        <v>6.9</v>
      </c>
      <c r="H1562">
        <v>6.5</v>
      </c>
      <c r="I1562">
        <v>6.2</v>
      </c>
      <c r="J1562">
        <v>5.9</v>
      </c>
      <c r="K1562">
        <v>7.7</v>
      </c>
      <c r="L1562" s="1"/>
    </row>
    <row r="1563" spans="1:12">
      <c r="A1563" t="s">
        <v>1611</v>
      </c>
      <c r="B1563">
        <v>7.1</v>
      </c>
      <c r="C1563">
        <v>7.7</v>
      </c>
      <c r="D1563">
        <v>7.5</v>
      </c>
      <c r="E1563">
        <v>6.6</v>
      </c>
      <c r="F1563">
        <v>6.1</v>
      </c>
      <c r="G1563">
        <v>6.9</v>
      </c>
      <c r="H1563">
        <v>7.7</v>
      </c>
      <c r="I1563">
        <v>6.3</v>
      </c>
      <c r="J1563">
        <v>7.9</v>
      </c>
      <c r="K1563">
        <v>6.2</v>
      </c>
      <c r="L1563" s="1"/>
    </row>
    <row r="1564" spans="1:12">
      <c r="A1564" t="s">
        <v>1612</v>
      </c>
      <c r="B1564">
        <v>7.7</v>
      </c>
      <c r="C1564">
        <v>7.1</v>
      </c>
      <c r="D1564">
        <v>7.8</v>
      </c>
      <c r="E1564">
        <v>7.2</v>
      </c>
      <c r="F1564">
        <v>7.2</v>
      </c>
      <c r="G1564">
        <v>7.1</v>
      </c>
      <c r="H1564">
        <v>6.4</v>
      </c>
      <c r="I1564">
        <v>4.8</v>
      </c>
      <c r="J1564">
        <v>6.2</v>
      </c>
      <c r="K1564">
        <v>6.4</v>
      </c>
      <c r="L1564" s="1"/>
    </row>
    <row r="1565" spans="1:12">
      <c r="A1565" t="s">
        <v>1613</v>
      </c>
      <c r="B1565">
        <v>8</v>
      </c>
      <c r="C1565">
        <v>7.5</v>
      </c>
      <c r="D1565">
        <v>7</v>
      </c>
      <c r="E1565">
        <v>6.8</v>
      </c>
      <c r="F1565">
        <v>7</v>
      </c>
      <c r="G1565">
        <v>5.6</v>
      </c>
      <c r="H1565">
        <v>6.6</v>
      </c>
      <c r="I1565">
        <v>6.5</v>
      </c>
      <c r="J1565">
        <v>5.3</v>
      </c>
      <c r="K1565">
        <v>5.5</v>
      </c>
      <c r="L1565" s="1"/>
    </row>
    <row r="1566" spans="1:12">
      <c r="A1566" t="s">
        <v>1614</v>
      </c>
      <c r="B1566">
        <v>7.8</v>
      </c>
      <c r="C1566">
        <v>7.5</v>
      </c>
      <c r="D1566">
        <v>6.5</v>
      </c>
      <c r="E1566">
        <v>7.6</v>
      </c>
      <c r="F1566">
        <v>6.5</v>
      </c>
      <c r="G1566">
        <v>5.9</v>
      </c>
      <c r="H1566">
        <v>7.3</v>
      </c>
      <c r="I1566">
        <v>6.7</v>
      </c>
      <c r="J1566">
        <v>5.4</v>
      </c>
      <c r="K1566">
        <v>6.4</v>
      </c>
      <c r="L1566" s="1"/>
    </row>
    <row r="1567" spans="1:12">
      <c r="A1567" t="s">
        <v>1615</v>
      </c>
      <c r="B1567">
        <v>7.3</v>
      </c>
      <c r="C1567">
        <v>8.5</v>
      </c>
      <c r="D1567">
        <v>6.3</v>
      </c>
      <c r="E1567">
        <v>7.4</v>
      </c>
      <c r="F1567">
        <v>5.9</v>
      </c>
      <c r="G1567">
        <v>6.8</v>
      </c>
      <c r="H1567">
        <v>6</v>
      </c>
      <c r="I1567">
        <v>6.4</v>
      </c>
      <c r="J1567">
        <v>6.5</v>
      </c>
      <c r="K1567">
        <v>5.6</v>
      </c>
      <c r="L1567" s="1"/>
    </row>
    <row r="1568" spans="1:12">
      <c r="A1568" t="s">
        <v>1616</v>
      </c>
      <c r="B1568">
        <v>7.3</v>
      </c>
      <c r="C1568">
        <v>7.5</v>
      </c>
      <c r="D1568">
        <v>6.8</v>
      </c>
      <c r="E1568">
        <v>5.5</v>
      </c>
      <c r="F1568">
        <v>6.7</v>
      </c>
      <c r="G1568">
        <v>6.5</v>
      </c>
      <c r="H1568">
        <v>6.1</v>
      </c>
      <c r="I1568">
        <v>7</v>
      </c>
      <c r="J1568">
        <v>6.1</v>
      </c>
      <c r="K1568">
        <v>5.9</v>
      </c>
      <c r="L1568" s="1"/>
    </row>
    <row r="1569" spans="1:12">
      <c r="A1569" t="s">
        <v>1617</v>
      </c>
      <c r="B1569">
        <v>7.4</v>
      </c>
      <c r="C1569">
        <v>7.6</v>
      </c>
      <c r="D1569">
        <v>7.4</v>
      </c>
      <c r="E1569">
        <v>7.4</v>
      </c>
      <c r="F1569">
        <v>7.9</v>
      </c>
      <c r="G1569">
        <v>5.3</v>
      </c>
      <c r="H1569">
        <v>6.4</v>
      </c>
      <c r="I1569">
        <v>7.1</v>
      </c>
      <c r="J1569">
        <v>6.7</v>
      </c>
      <c r="K1569">
        <v>5</v>
      </c>
      <c r="L1569" s="1"/>
    </row>
    <row r="1570" spans="1:12">
      <c r="A1570" t="s">
        <v>1618</v>
      </c>
      <c r="B1570">
        <v>7.2</v>
      </c>
      <c r="C1570">
        <v>7.2</v>
      </c>
      <c r="D1570">
        <v>7.4</v>
      </c>
      <c r="E1570">
        <v>6.6</v>
      </c>
      <c r="F1570">
        <v>5.9</v>
      </c>
      <c r="G1570">
        <v>6.4</v>
      </c>
      <c r="H1570">
        <v>6.5</v>
      </c>
      <c r="I1570">
        <v>5.8</v>
      </c>
      <c r="J1570">
        <v>6.3</v>
      </c>
      <c r="K1570">
        <v>7.1</v>
      </c>
      <c r="L1570" s="1"/>
    </row>
    <row r="1571" spans="1:12">
      <c r="A1571" t="s">
        <v>1619</v>
      </c>
      <c r="B1571">
        <v>7</v>
      </c>
      <c r="C1571">
        <v>7.4</v>
      </c>
      <c r="D1571">
        <v>7.7</v>
      </c>
      <c r="E1571">
        <v>8.3</v>
      </c>
      <c r="F1571">
        <v>6.5</v>
      </c>
      <c r="G1571">
        <v>6.1</v>
      </c>
      <c r="H1571">
        <v>6.3</v>
      </c>
      <c r="I1571">
        <v>7.2</v>
      </c>
      <c r="J1571">
        <v>7.4</v>
      </c>
      <c r="K1571">
        <v>5.3</v>
      </c>
      <c r="L1571" s="1"/>
    </row>
    <row r="1572" spans="1:12">
      <c r="A1572" t="s">
        <v>1620</v>
      </c>
      <c r="B1572">
        <v>7.6</v>
      </c>
      <c r="C1572">
        <v>8</v>
      </c>
      <c r="D1572">
        <v>7.8</v>
      </c>
      <c r="E1572">
        <v>7</v>
      </c>
      <c r="F1572">
        <v>6.4</v>
      </c>
      <c r="G1572">
        <v>7.6</v>
      </c>
      <c r="H1572">
        <v>7.7</v>
      </c>
      <c r="I1572">
        <v>7</v>
      </c>
      <c r="J1572">
        <v>5.5</v>
      </c>
      <c r="K1572">
        <v>5.8</v>
      </c>
      <c r="L1572" s="1"/>
    </row>
    <row r="1573" spans="1:12">
      <c r="A1573" t="s">
        <v>1621</v>
      </c>
      <c r="B1573">
        <v>8.5</v>
      </c>
      <c r="C1573">
        <v>9.3</v>
      </c>
      <c r="D1573">
        <v>8.4</v>
      </c>
      <c r="E1573">
        <v>9.6</v>
      </c>
      <c r="F1573">
        <v>9</v>
      </c>
      <c r="G1573">
        <v>8.6</v>
      </c>
      <c r="H1573">
        <v>7.3</v>
      </c>
      <c r="I1573">
        <v>8.4</v>
      </c>
      <c r="J1573">
        <v>7.5</v>
      </c>
      <c r="K1573">
        <v>6.9</v>
      </c>
      <c r="L1573" s="1"/>
    </row>
    <row r="1574" spans="1:12">
      <c r="A1574" t="s">
        <v>1622</v>
      </c>
      <c r="B1574">
        <v>8.6</v>
      </c>
      <c r="C1574">
        <v>9.4</v>
      </c>
      <c r="D1574">
        <v>9.8</v>
      </c>
      <c r="E1574">
        <v>7</v>
      </c>
      <c r="F1574">
        <v>7.4</v>
      </c>
      <c r="G1574">
        <v>7.6</v>
      </c>
      <c r="H1574">
        <v>8.6</v>
      </c>
      <c r="I1574">
        <v>8.5</v>
      </c>
      <c r="J1574">
        <v>7.6</v>
      </c>
      <c r="K1574">
        <v>7.5</v>
      </c>
      <c r="L1574" s="1"/>
    </row>
    <row r="1575" spans="1:12">
      <c r="A1575" t="s">
        <v>1623</v>
      </c>
      <c r="B1575">
        <v>8.6</v>
      </c>
      <c r="C1575">
        <v>8.5</v>
      </c>
      <c r="D1575">
        <v>9.2</v>
      </c>
      <c r="E1575">
        <v>8.1</v>
      </c>
      <c r="F1575">
        <v>6.6</v>
      </c>
      <c r="G1575">
        <v>7.6</v>
      </c>
      <c r="H1575">
        <v>7.7</v>
      </c>
      <c r="I1575">
        <v>7.6</v>
      </c>
      <c r="J1575">
        <v>6</v>
      </c>
      <c r="K1575">
        <v>4.4</v>
      </c>
      <c r="L1575" s="1"/>
    </row>
    <row r="1576" spans="1:12">
      <c r="A1576" t="s">
        <v>1624</v>
      </c>
      <c r="B1576">
        <v>8</v>
      </c>
      <c r="C1576">
        <v>9.1</v>
      </c>
      <c r="D1576">
        <v>8.7</v>
      </c>
      <c r="E1576">
        <v>8.6</v>
      </c>
      <c r="F1576">
        <v>8</v>
      </c>
      <c r="G1576">
        <v>7.7</v>
      </c>
      <c r="H1576">
        <v>5.3</v>
      </c>
      <c r="I1576">
        <v>5.4</v>
      </c>
      <c r="J1576">
        <v>7.5</v>
      </c>
      <c r="K1576">
        <v>5.3</v>
      </c>
      <c r="L1576" s="1"/>
    </row>
    <row r="1577" spans="1:12">
      <c r="A1577" t="s">
        <v>1625</v>
      </c>
      <c r="B1577">
        <v>8.7</v>
      </c>
      <c r="C1577">
        <v>8.3</v>
      </c>
      <c r="D1577">
        <v>8.6</v>
      </c>
      <c r="E1577">
        <v>7.8</v>
      </c>
      <c r="F1577">
        <v>7.4</v>
      </c>
      <c r="G1577">
        <v>8</v>
      </c>
      <c r="H1577">
        <v>8.6</v>
      </c>
      <c r="I1577">
        <v>5.8</v>
      </c>
      <c r="J1577">
        <v>9.1</v>
      </c>
      <c r="K1577">
        <v>6.5</v>
      </c>
      <c r="L1577" s="1"/>
    </row>
    <row r="1578" spans="1:12">
      <c r="A1578" t="s">
        <v>1626</v>
      </c>
      <c r="B1578">
        <v>8.9</v>
      </c>
      <c r="C1578">
        <v>7.7</v>
      </c>
      <c r="D1578">
        <v>8</v>
      </c>
      <c r="E1578">
        <v>9.3</v>
      </c>
      <c r="F1578">
        <v>8.9</v>
      </c>
      <c r="G1578">
        <v>8</v>
      </c>
      <c r="H1578">
        <v>7.8</v>
      </c>
      <c r="I1578">
        <v>9.1</v>
      </c>
      <c r="J1578">
        <v>8.2</v>
      </c>
      <c r="K1578">
        <v>6.3</v>
      </c>
      <c r="L1578" s="1"/>
    </row>
    <row r="1579" spans="1:12">
      <c r="A1579" t="s">
        <v>1627</v>
      </c>
      <c r="B1579">
        <v>9.1</v>
      </c>
      <c r="C1579">
        <v>8.2</v>
      </c>
      <c r="D1579">
        <v>8.4</v>
      </c>
      <c r="E1579">
        <v>8.1</v>
      </c>
      <c r="F1579">
        <v>7.7</v>
      </c>
      <c r="G1579">
        <v>9.5</v>
      </c>
      <c r="H1579">
        <v>6.3</v>
      </c>
      <c r="I1579">
        <v>9.1</v>
      </c>
      <c r="J1579">
        <v>6.9</v>
      </c>
      <c r="K1579">
        <v>6.2</v>
      </c>
      <c r="L1579" s="1"/>
    </row>
    <row r="1580" spans="1:12">
      <c r="A1580" t="s">
        <v>1628</v>
      </c>
      <c r="B1580">
        <v>8.8</v>
      </c>
      <c r="C1580">
        <v>9.2</v>
      </c>
      <c r="D1580">
        <v>8.7</v>
      </c>
      <c r="E1580">
        <v>7.8</v>
      </c>
      <c r="F1580">
        <v>7.4</v>
      </c>
      <c r="G1580">
        <v>6.7</v>
      </c>
      <c r="H1580">
        <v>7</v>
      </c>
      <c r="I1580">
        <v>7.6</v>
      </c>
      <c r="J1580">
        <v>8.2</v>
      </c>
      <c r="K1580">
        <v>7.7</v>
      </c>
      <c r="L1580" s="1"/>
    </row>
    <row r="1581" spans="1:12">
      <c r="A1581" t="s">
        <v>1629</v>
      </c>
      <c r="B1581">
        <v>6.8</v>
      </c>
      <c r="C1581">
        <v>7.6</v>
      </c>
      <c r="D1581">
        <v>6.5</v>
      </c>
      <c r="E1581">
        <v>6.7</v>
      </c>
      <c r="F1581">
        <v>6.9</v>
      </c>
      <c r="G1581">
        <v>6.5</v>
      </c>
      <c r="H1581">
        <v>6.3</v>
      </c>
      <c r="I1581">
        <v>5.3</v>
      </c>
      <c r="J1581">
        <v>6</v>
      </c>
      <c r="K1581">
        <v>6.4</v>
      </c>
      <c r="L1581" s="1"/>
    </row>
    <row r="1582" spans="1:12">
      <c r="A1582" t="s">
        <v>1630</v>
      </c>
      <c r="B1582">
        <v>7</v>
      </c>
      <c r="C1582">
        <v>8</v>
      </c>
      <c r="D1582">
        <v>7.8</v>
      </c>
      <c r="E1582">
        <v>7.2</v>
      </c>
      <c r="F1582">
        <v>6.7</v>
      </c>
      <c r="G1582">
        <v>6.6</v>
      </c>
      <c r="H1582">
        <v>7</v>
      </c>
      <c r="I1582">
        <v>6.1</v>
      </c>
      <c r="J1582">
        <v>7.9</v>
      </c>
      <c r="K1582">
        <v>3.4</v>
      </c>
      <c r="L1582" s="1"/>
    </row>
    <row r="1583" spans="1:12">
      <c r="A1583" t="s">
        <v>1631</v>
      </c>
      <c r="B1583">
        <v>8.1</v>
      </c>
      <c r="C1583">
        <v>7.8</v>
      </c>
      <c r="D1583">
        <v>7.3</v>
      </c>
      <c r="E1583">
        <v>6.9</v>
      </c>
      <c r="F1583">
        <v>7.2</v>
      </c>
      <c r="G1583">
        <v>6.5</v>
      </c>
      <c r="H1583">
        <v>6.4</v>
      </c>
      <c r="I1583">
        <v>7.3</v>
      </c>
      <c r="J1583">
        <v>5.4</v>
      </c>
      <c r="K1583">
        <v>5.6</v>
      </c>
      <c r="L1583" s="1"/>
    </row>
    <row r="1584" spans="1:12">
      <c r="A1584" t="s">
        <v>1632</v>
      </c>
      <c r="B1584">
        <v>7.8</v>
      </c>
      <c r="C1584">
        <v>7.5</v>
      </c>
      <c r="D1584">
        <v>8.6</v>
      </c>
      <c r="E1584">
        <v>6.3</v>
      </c>
      <c r="F1584">
        <v>7.1</v>
      </c>
      <c r="G1584">
        <v>5.2</v>
      </c>
      <c r="H1584">
        <v>7.5</v>
      </c>
      <c r="I1584">
        <v>6.4</v>
      </c>
      <c r="J1584">
        <v>6.4</v>
      </c>
      <c r="K1584">
        <v>6.7</v>
      </c>
      <c r="L1584" s="1"/>
    </row>
    <row r="1585" spans="1:12">
      <c r="A1585" t="s">
        <v>1633</v>
      </c>
      <c r="B1585">
        <v>7.5</v>
      </c>
      <c r="C1585">
        <v>7.2</v>
      </c>
      <c r="D1585">
        <v>7.9</v>
      </c>
      <c r="E1585">
        <v>7.5</v>
      </c>
      <c r="F1585">
        <v>7.1</v>
      </c>
      <c r="G1585">
        <v>6.1</v>
      </c>
      <c r="H1585">
        <v>6.3</v>
      </c>
      <c r="I1585">
        <v>5.9</v>
      </c>
      <c r="J1585">
        <v>6.4</v>
      </c>
      <c r="K1585">
        <v>6.5</v>
      </c>
      <c r="L1585" s="1"/>
    </row>
    <row r="1586" spans="1:12">
      <c r="A1586" t="s">
        <v>1634</v>
      </c>
      <c r="B1586">
        <v>7.3</v>
      </c>
      <c r="C1586">
        <v>6.9</v>
      </c>
      <c r="D1586">
        <v>7.7</v>
      </c>
      <c r="E1586">
        <v>7.9</v>
      </c>
      <c r="F1586">
        <v>4.9</v>
      </c>
      <c r="G1586">
        <v>7.5</v>
      </c>
      <c r="H1586">
        <v>6.4</v>
      </c>
      <c r="I1586">
        <v>6.8</v>
      </c>
      <c r="J1586">
        <v>5.9</v>
      </c>
      <c r="K1586">
        <v>6.4</v>
      </c>
      <c r="L1586" s="1"/>
    </row>
    <row r="1587" spans="1:12">
      <c r="A1587" t="s">
        <v>1635</v>
      </c>
      <c r="B1587">
        <v>7</v>
      </c>
      <c r="C1587">
        <v>6.7</v>
      </c>
      <c r="D1587">
        <v>8.1</v>
      </c>
      <c r="E1587">
        <v>8.5</v>
      </c>
      <c r="F1587">
        <v>6.3</v>
      </c>
      <c r="G1587">
        <v>6.2</v>
      </c>
      <c r="H1587">
        <v>6</v>
      </c>
      <c r="I1587">
        <v>6.6</v>
      </c>
      <c r="J1587">
        <v>6.9</v>
      </c>
      <c r="K1587">
        <v>6.5</v>
      </c>
      <c r="L1587" s="1"/>
    </row>
    <row r="1588" spans="1:12">
      <c r="A1588" t="s">
        <v>1636</v>
      </c>
      <c r="B1588">
        <v>7.5</v>
      </c>
      <c r="C1588">
        <v>8.8</v>
      </c>
      <c r="D1588">
        <v>8.2</v>
      </c>
      <c r="E1588">
        <v>5.8</v>
      </c>
      <c r="F1588">
        <v>7</v>
      </c>
      <c r="G1588">
        <v>7.6</v>
      </c>
      <c r="H1588">
        <v>6.6</v>
      </c>
      <c r="I1588">
        <v>6.6</v>
      </c>
      <c r="J1588">
        <v>7.2</v>
      </c>
      <c r="K1588">
        <v>6.3</v>
      </c>
      <c r="L1588" s="1"/>
    </row>
    <row r="1589" spans="1:12">
      <c r="A1589" t="s">
        <v>1637</v>
      </c>
      <c r="B1589">
        <v>7.2</v>
      </c>
      <c r="C1589">
        <v>7.3</v>
      </c>
      <c r="D1589">
        <v>7.4</v>
      </c>
      <c r="E1589">
        <v>6.9</v>
      </c>
      <c r="F1589">
        <v>5.8</v>
      </c>
      <c r="G1589">
        <v>7.4</v>
      </c>
      <c r="H1589">
        <v>6.9</v>
      </c>
      <c r="I1589">
        <v>6.1</v>
      </c>
      <c r="J1589">
        <v>7.6</v>
      </c>
      <c r="K1589">
        <v>7.1</v>
      </c>
      <c r="L1589" s="1"/>
    </row>
    <row r="1590" spans="1:12">
      <c r="A1590" t="s">
        <v>1638</v>
      </c>
      <c r="B1590">
        <v>7.2</v>
      </c>
      <c r="C1590">
        <v>7.1</v>
      </c>
      <c r="D1590">
        <v>6.8</v>
      </c>
      <c r="E1590">
        <v>7.9</v>
      </c>
      <c r="F1590">
        <v>6.1</v>
      </c>
      <c r="G1590">
        <v>6</v>
      </c>
      <c r="H1590">
        <v>5.4</v>
      </c>
      <c r="I1590">
        <v>6.6</v>
      </c>
      <c r="J1590">
        <v>6.4</v>
      </c>
      <c r="K1590">
        <v>6.3</v>
      </c>
      <c r="L1590" s="1"/>
    </row>
    <row r="1591" spans="1:12">
      <c r="A1591" t="s">
        <v>1639</v>
      </c>
      <c r="B1591">
        <v>7.4</v>
      </c>
      <c r="C1591">
        <v>7.1</v>
      </c>
      <c r="D1591">
        <v>7.3</v>
      </c>
      <c r="E1591">
        <v>7.6</v>
      </c>
      <c r="F1591">
        <v>8.6</v>
      </c>
      <c r="G1591">
        <v>7.1</v>
      </c>
      <c r="H1591">
        <v>6.5</v>
      </c>
      <c r="I1591">
        <v>5.2</v>
      </c>
      <c r="J1591">
        <v>5.7</v>
      </c>
      <c r="K1591">
        <v>6.9</v>
      </c>
      <c r="L1591" s="1"/>
    </row>
    <row r="1592" spans="1:12">
      <c r="A1592" t="s">
        <v>1640</v>
      </c>
      <c r="B1592">
        <v>7.9</v>
      </c>
      <c r="C1592">
        <v>8.1</v>
      </c>
      <c r="D1592">
        <v>6.8</v>
      </c>
      <c r="E1592">
        <v>6.4</v>
      </c>
      <c r="F1592">
        <v>4.8</v>
      </c>
      <c r="G1592">
        <v>8</v>
      </c>
      <c r="H1592">
        <v>7.1</v>
      </c>
      <c r="I1592">
        <v>6.5</v>
      </c>
      <c r="J1592">
        <v>4.5</v>
      </c>
      <c r="K1592">
        <v>6.3</v>
      </c>
      <c r="L1592" s="1"/>
    </row>
    <row r="1593" spans="1:12">
      <c r="A1593" t="s">
        <v>1641</v>
      </c>
      <c r="B1593">
        <v>7</v>
      </c>
      <c r="C1593">
        <v>6.8</v>
      </c>
      <c r="D1593">
        <v>7.5</v>
      </c>
      <c r="E1593">
        <v>7.3</v>
      </c>
      <c r="F1593">
        <v>7.2</v>
      </c>
      <c r="G1593">
        <v>6.7</v>
      </c>
      <c r="H1593">
        <v>7.7</v>
      </c>
      <c r="I1593">
        <v>5.1</v>
      </c>
      <c r="J1593">
        <v>6.9</v>
      </c>
      <c r="K1593">
        <v>6.2</v>
      </c>
      <c r="L1593" s="1"/>
    </row>
    <row r="1594" spans="1:12">
      <c r="A1594" t="s">
        <v>1642</v>
      </c>
      <c r="B1594">
        <v>7.4</v>
      </c>
      <c r="C1594">
        <v>7.9</v>
      </c>
      <c r="D1594">
        <v>7.2</v>
      </c>
      <c r="E1594">
        <v>6.7</v>
      </c>
      <c r="F1594">
        <v>6.9</v>
      </c>
      <c r="G1594">
        <v>6.7</v>
      </c>
      <c r="H1594">
        <v>5.7</v>
      </c>
      <c r="I1594">
        <v>7.5</v>
      </c>
      <c r="J1594">
        <v>7</v>
      </c>
      <c r="K1594">
        <v>4</v>
      </c>
      <c r="L1594" s="1"/>
    </row>
    <row r="1595" spans="1:12">
      <c r="A1595" t="s">
        <v>1643</v>
      </c>
      <c r="B1595">
        <v>7.5</v>
      </c>
      <c r="C1595">
        <v>7.4</v>
      </c>
      <c r="D1595">
        <v>6.3</v>
      </c>
      <c r="E1595">
        <v>6.9</v>
      </c>
      <c r="F1595">
        <v>7.6</v>
      </c>
      <c r="G1595">
        <v>6.5</v>
      </c>
      <c r="H1595">
        <v>6.5</v>
      </c>
      <c r="I1595">
        <v>5.8</v>
      </c>
      <c r="J1595">
        <v>6.8</v>
      </c>
      <c r="K1595">
        <v>6.7</v>
      </c>
      <c r="L1595" s="1"/>
    </row>
    <row r="1596" spans="1:12">
      <c r="A1596" t="s">
        <v>1644</v>
      </c>
      <c r="B1596">
        <v>7.5</v>
      </c>
      <c r="C1596">
        <v>7</v>
      </c>
      <c r="D1596">
        <v>7.5</v>
      </c>
      <c r="E1596">
        <v>7.1</v>
      </c>
      <c r="F1596">
        <v>6.4</v>
      </c>
      <c r="G1596">
        <v>6.5</v>
      </c>
      <c r="H1596">
        <v>5.4</v>
      </c>
      <c r="I1596">
        <v>5.9</v>
      </c>
      <c r="J1596">
        <v>6.5</v>
      </c>
      <c r="K1596">
        <v>6.1</v>
      </c>
      <c r="L1596" s="1"/>
    </row>
    <row r="1597" spans="1:12">
      <c r="A1597" t="s">
        <v>1645</v>
      </c>
      <c r="B1597">
        <v>7.7</v>
      </c>
      <c r="C1597">
        <v>7.3</v>
      </c>
      <c r="D1597">
        <v>7.6</v>
      </c>
      <c r="E1597">
        <v>7.1</v>
      </c>
      <c r="F1597">
        <v>6.4</v>
      </c>
      <c r="G1597">
        <v>6.3</v>
      </c>
      <c r="H1597">
        <v>7.8</v>
      </c>
      <c r="I1597">
        <v>6.8</v>
      </c>
      <c r="J1597">
        <v>4.7</v>
      </c>
      <c r="K1597">
        <v>6.2</v>
      </c>
      <c r="L1597" s="1"/>
    </row>
    <row r="1598" spans="1:12">
      <c r="A1598" t="s">
        <v>1646</v>
      </c>
      <c r="B1598">
        <v>7.9</v>
      </c>
      <c r="C1598">
        <v>7.6</v>
      </c>
      <c r="D1598">
        <v>7.6</v>
      </c>
      <c r="E1598">
        <v>7.1</v>
      </c>
      <c r="F1598">
        <v>7.8</v>
      </c>
      <c r="G1598">
        <v>7.1</v>
      </c>
      <c r="H1598">
        <v>5.3</v>
      </c>
      <c r="I1598">
        <v>5.1</v>
      </c>
      <c r="J1598">
        <v>6.1</v>
      </c>
      <c r="K1598">
        <v>5.4</v>
      </c>
      <c r="L1598" s="1"/>
    </row>
    <row r="1599" spans="1:12">
      <c r="A1599" t="s">
        <v>1647</v>
      </c>
      <c r="B1599">
        <v>7.8</v>
      </c>
      <c r="C1599">
        <v>7.7</v>
      </c>
      <c r="D1599">
        <v>6.9</v>
      </c>
      <c r="E1599">
        <v>7.2</v>
      </c>
      <c r="F1599">
        <v>7.4</v>
      </c>
      <c r="G1599">
        <v>6.2</v>
      </c>
      <c r="H1599">
        <v>7</v>
      </c>
      <c r="I1599">
        <v>7.1</v>
      </c>
      <c r="J1599">
        <v>6.2</v>
      </c>
      <c r="K1599">
        <v>5.6</v>
      </c>
      <c r="L1599" s="1"/>
    </row>
    <row r="1600" spans="1:12">
      <c r="A1600" t="s">
        <v>1648</v>
      </c>
      <c r="B1600">
        <v>7.3</v>
      </c>
      <c r="C1600">
        <v>7.2</v>
      </c>
      <c r="D1600">
        <v>7.3</v>
      </c>
      <c r="E1600">
        <v>6.8</v>
      </c>
      <c r="F1600">
        <v>6.9</v>
      </c>
      <c r="G1600">
        <v>5.6</v>
      </c>
      <c r="H1600">
        <v>5.8</v>
      </c>
      <c r="I1600">
        <v>5</v>
      </c>
      <c r="J1600">
        <v>6.6</v>
      </c>
      <c r="K1600">
        <v>4.8</v>
      </c>
      <c r="L1600" s="1"/>
    </row>
    <row r="1601" spans="1:12">
      <c r="A1601" t="s">
        <v>1649</v>
      </c>
      <c r="B1601">
        <v>7.7</v>
      </c>
      <c r="C1601">
        <v>6.9</v>
      </c>
      <c r="D1601">
        <v>7.5</v>
      </c>
      <c r="E1601">
        <v>7</v>
      </c>
      <c r="F1601">
        <v>6.8</v>
      </c>
      <c r="G1601">
        <v>5.8</v>
      </c>
      <c r="H1601">
        <v>6.1</v>
      </c>
      <c r="I1601">
        <v>6.6</v>
      </c>
      <c r="J1601">
        <v>5.9</v>
      </c>
      <c r="K1601">
        <v>6.6</v>
      </c>
      <c r="L1601" s="1"/>
    </row>
    <row r="1602" spans="1:12">
      <c r="A1602" t="s">
        <v>1650</v>
      </c>
      <c r="B1602">
        <v>8.3</v>
      </c>
      <c r="C1602">
        <v>8.4</v>
      </c>
      <c r="D1602">
        <v>7.6</v>
      </c>
      <c r="E1602">
        <v>7.1</v>
      </c>
      <c r="F1602">
        <v>7.5</v>
      </c>
      <c r="G1602">
        <v>7.8</v>
      </c>
      <c r="H1602">
        <v>6.9</v>
      </c>
      <c r="I1602">
        <v>6.6</v>
      </c>
      <c r="J1602">
        <v>7</v>
      </c>
      <c r="K1602">
        <v>3.9</v>
      </c>
      <c r="L1602" s="1"/>
    </row>
    <row r="1603" spans="1:12">
      <c r="A1603" t="s">
        <v>1651</v>
      </c>
      <c r="B1603">
        <v>7.5</v>
      </c>
      <c r="C1603">
        <v>7.3</v>
      </c>
      <c r="D1603">
        <v>7.8</v>
      </c>
      <c r="E1603">
        <v>7.1</v>
      </c>
      <c r="F1603">
        <v>6.8</v>
      </c>
      <c r="G1603">
        <v>5.3</v>
      </c>
      <c r="H1603">
        <v>6.4</v>
      </c>
      <c r="I1603">
        <v>6.9</v>
      </c>
      <c r="J1603">
        <v>6.2</v>
      </c>
      <c r="K1603">
        <v>5.1</v>
      </c>
      <c r="L1603" s="1"/>
    </row>
    <row r="1604" spans="1:12">
      <c r="A1604" t="s">
        <v>1652</v>
      </c>
      <c r="B1604">
        <v>7.5</v>
      </c>
      <c r="C1604">
        <v>6.6</v>
      </c>
      <c r="D1604">
        <v>6.7</v>
      </c>
      <c r="E1604">
        <v>7.2</v>
      </c>
      <c r="F1604">
        <v>6.1</v>
      </c>
      <c r="G1604">
        <v>6.1</v>
      </c>
      <c r="H1604">
        <v>5.5</v>
      </c>
      <c r="I1604">
        <v>6.9</v>
      </c>
      <c r="J1604">
        <v>5.5</v>
      </c>
      <c r="K1604">
        <v>6.6</v>
      </c>
      <c r="L1604" s="1"/>
    </row>
    <row r="1605" spans="1:12">
      <c r="A1605" t="s">
        <v>1653</v>
      </c>
      <c r="B1605">
        <v>7.8</v>
      </c>
      <c r="C1605">
        <v>7.5</v>
      </c>
      <c r="D1605">
        <v>6.4</v>
      </c>
      <c r="E1605">
        <v>6.8</v>
      </c>
      <c r="F1605">
        <v>6.5</v>
      </c>
      <c r="G1605">
        <v>7.3</v>
      </c>
      <c r="H1605">
        <v>7.1</v>
      </c>
      <c r="I1605">
        <v>7.3</v>
      </c>
      <c r="J1605">
        <v>6.1</v>
      </c>
      <c r="K1605">
        <v>5.7</v>
      </c>
      <c r="L1605" s="1"/>
    </row>
    <row r="1606" spans="1:12">
      <c r="A1606" t="s">
        <v>1654</v>
      </c>
      <c r="B1606">
        <v>7.5</v>
      </c>
      <c r="C1606">
        <v>7.4</v>
      </c>
      <c r="D1606">
        <v>7.8</v>
      </c>
      <c r="E1606">
        <v>7.5</v>
      </c>
      <c r="F1606">
        <v>6.3</v>
      </c>
      <c r="G1606">
        <v>6.4</v>
      </c>
      <c r="H1606">
        <v>6.2</v>
      </c>
      <c r="I1606">
        <v>6.4</v>
      </c>
      <c r="J1606">
        <v>6.3</v>
      </c>
      <c r="K1606">
        <v>6.1</v>
      </c>
      <c r="L1606" s="1"/>
    </row>
    <row r="1607" spans="1:12">
      <c r="A1607" t="s">
        <v>1655</v>
      </c>
      <c r="B1607">
        <v>7.4</v>
      </c>
      <c r="C1607">
        <v>7.7</v>
      </c>
      <c r="D1607">
        <v>7.1</v>
      </c>
      <c r="E1607">
        <v>7.4</v>
      </c>
      <c r="F1607">
        <v>7.2</v>
      </c>
      <c r="G1607">
        <v>6.5</v>
      </c>
      <c r="H1607">
        <v>7.1</v>
      </c>
      <c r="I1607">
        <v>7.5</v>
      </c>
      <c r="J1607">
        <v>5.6</v>
      </c>
      <c r="K1607">
        <v>4.4</v>
      </c>
      <c r="L1607" s="1"/>
    </row>
    <row r="1608" spans="1:12">
      <c r="A1608" t="s">
        <v>1656</v>
      </c>
      <c r="B1608">
        <v>7.6</v>
      </c>
      <c r="C1608">
        <v>7.1</v>
      </c>
      <c r="D1608">
        <v>7.8</v>
      </c>
      <c r="E1608">
        <v>7.3</v>
      </c>
      <c r="F1608">
        <v>7.2</v>
      </c>
      <c r="G1608">
        <v>6.6</v>
      </c>
      <c r="H1608">
        <v>6.8</v>
      </c>
      <c r="I1608">
        <v>6.4</v>
      </c>
      <c r="J1608">
        <v>6</v>
      </c>
      <c r="K1608">
        <v>5.7</v>
      </c>
      <c r="L1608" s="1"/>
    </row>
    <row r="1609" spans="1:12">
      <c r="A1609" t="s">
        <v>1657</v>
      </c>
      <c r="B1609">
        <v>7.1</v>
      </c>
      <c r="C1609">
        <v>7.6</v>
      </c>
      <c r="D1609">
        <v>8.1</v>
      </c>
      <c r="E1609">
        <v>7.7</v>
      </c>
      <c r="F1609">
        <v>6.5</v>
      </c>
      <c r="G1609">
        <v>6.9</v>
      </c>
      <c r="H1609">
        <v>5.3</v>
      </c>
      <c r="I1609">
        <v>5.6</v>
      </c>
      <c r="J1609">
        <v>6.3</v>
      </c>
      <c r="K1609">
        <v>6</v>
      </c>
      <c r="L1609" s="1"/>
    </row>
    <row r="1610" spans="1:12">
      <c r="A1610" t="s">
        <v>1658</v>
      </c>
      <c r="B1610">
        <v>7.9</v>
      </c>
      <c r="C1610">
        <v>7.1</v>
      </c>
      <c r="D1610">
        <v>8</v>
      </c>
      <c r="E1610">
        <v>7.4</v>
      </c>
      <c r="F1610">
        <v>7.2</v>
      </c>
      <c r="G1610">
        <v>6.2</v>
      </c>
      <c r="H1610">
        <v>5.2</v>
      </c>
      <c r="I1610">
        <v>7.5</v>
      </c>
      <c r="J1610">
        <v>6.1</v>
      </c>
      <c r="K1610">
        <v>6.4</v>
      </c>
      <c r="L1610" s="1"/>
    </row>
    <row r="1611" spans="1:12">
      <c r="A1611" t="s">
        <v>1659</v>
      </c>
      <c r="B1611">
        <v>7.9</v>
      </c>
      <c r="C1611">
        <v>7.4</v>
      </c>
      <c r="D1611">
        <v>7.1</v>
      </c>
      <c r="E1611">
        <v>6.1</v>
      </c>
      <c r="F1611">
        <v>6.3</v>
      </c>
      <c r="G1611">
        <v>6.4</v>
      </c>
      <c r="H1611">
        <v>6.6</v>
      </c>
      <c r="I1611">
        <v>5.2</v>
      </c>
      <c r="J1611">
        <v>6.1</v>
      </c>
      <c r="K1611">
        <v>5.1</v>
      </c>
      <c r="L1611" s="1"/>
    </row>
    <row r="1612" spans="1:12">
      <c r="A1612" t="s">
        <v>1660</v>
      </c>
      <c r="B1612">
        <v>7.3</v>
      </c>
      <c r="C1612">
        <v>7.3</v>
      </c>
      <c r="D1612">
        <v>7</v>
      </c>
      <c r="E1612">
        <v>7.2</v>
      </c>
      <c r="F1612">
        <v>6.8</v>
      </c>
      <c r="G1612">
        <v>7.3</v>
      </c>
      <c r="H1612">
        <v>6.4</v>
      </c>
      <c r="I1612">
        <v>7</v>
      </c>
      <c r="J1612">
        <v>6</v>
      </c>
      <c r="K1612">
        <v>6.7</v>
      </c>
      <c r="L1612" s="1"/>
    </row>
    <row r="1613" spans="1:12">
      <c r="A1613" t="s">
        <v>1661</v>
      </c>
      <c r="B1613">
        <v>7.6</v>
      </c>
      <c r="C1613">
        <v>7.9</v>
      </c>
      <c r="D1613">
        <v>7.2</v>
      </c>
      <c r="E1613">
        <v>6.8</v>
      </c>
      <c r="F1613">
        <v>8.3</v>
      </c>
      <c r="G1613">
        <v>6.8</v>
      </c>
      <c r="H1613">
        <v>7.2</v>
      </c>
      <c r="I1613">
        <v>6.5</v>
      </c>
      <c r="J1613">
        <v>6.7</v>
      </c>
      <c r="K1613">
        <v>5.9</v>
      </c>
      <c r="L1613" s="1"/>
    </row>
    <row r="1614" spans="1:12">
      <c r="A1614" t="s">
        <v>1662</v>
      </c>
      <c r="B1614">
        <v>8.4</v>
      </c>
      <c r="C1614">
        <v>6.7</v>
      </c>
      <c r="D1614">
        <v>7.1</v>
      </c>
      <c r="E1614">
        <v>7.9</v>
      </c>
      <c r="F1614">
        <v>7</v>
      </c>
      <c r="G1614">
        <v>7</v>
      </c>
      <c r="H1614">
        <v>6.9</v>
      </c>
      <c r="I1614">
        <v>8.1</v>
      </c>
      <c r="J1614">
        <v>6.6</v>
      </c>
      <c r="K1614">
        <v>6.9</v>
      </c>
      <c r="L1614" s="1"/>
    </row>
    <row r="1615" spans="1:12">
      <c r="A1615" t="s">
        <v>1663</v>
      </c>
      <c r="B1615">
        <v>7.8</v>
      </c>
      <c r="C1615">
        <v>7.9</v>
      </c>
      <c r="D1615">
        <v>7.5</v>
      </c>
      <c r="E1615">
        <v>6.1</v>
      </c>
      <c r="F1615">
        <v>5.9</v>
      </c>
      <c r="G1615">
        <v>6.8</v>
      </c>
      <c r="H1615">
        <v>7</v>
      </c>
      <c r="I1615">
        <v>6.6</v>
      </c>
      <c r="J1615">
        <v>6.3</v>
      </c>
      <c r="K1615">
        <v>3.9</v>
      </c>
      <c r="L1615" s="1"/>
    </row>
    <row r="1616" spans="1:12">
      <c r="A1616" t="s">
        <v>1664</v>
      </c>
      <c r="B1616">
        <v>7.3</v>
      </c>
      <c r="C1616">
        <v>7</v>
      </c>
      <c r="D1616">
        <v>8.3</v>
      </c>
      <c r="E1616">
        <v>8</v>
      </c>
      <c r="F1616">
        <v>8.1</v>
      </c>
      <c r="G1616">
        <v>6.3</v>
      </c>
      <c r="H1616">
        <v>8.3</v>
      </c>
      <c r="I1616">
        <v>6.8</v>
      </c>
      <c r="J1616">
        <v>6.8</v>
      </c>
      <c r="K1616">
        <v>4.8</v>
      </c>
      <c r="L1616" s="1"/>
    </row>
    <row r="1617" spans="1:12">
      <c r="A1617" t="s">
        <v>1665</v>
      </c>
      <c r="B1617">
        <v>7.3</v>
      </c>
      <c r="C1617">
        <v>7.8</v>
      </c>
      <c r="D1617">
        <v>7.5</v>
      </c>
      <c r="E1617">
        <v>6.9</v>
      </c>
      <c r="F1617">
        <v>7.7</v>
      </c>
      <c r="G1617">
        <v>7.5</v>
      </c>
      <c r="H1617">
        <v>5.2</v>
      </c>
      <c r="I1617">
        <v>6.7</v>
      </c>
      <c r="J1617">
        <v>7.8</v>
      </c>
      <c r="K1617">
        <v>7.1</v>
      </c>
      <c r="L1617" s="1"/>
    </row>
    <row r="1618" spans="1:12">
      <c r="A1618" t="s">
        <v>1666</v>
      </c>
      <c r="B1618">
        <v>7.9</v>
      </c>
      <c r="C1618">
        <v>7</v>
      </c>
      <c r="D1618">
        <v>7.5</v>
      </c>
      <c r="E1618">
        <v>8.3</v>
      </c>
      <c r="F1618">
        <v>6.5</v>
      </c>
      <c r="G1618">
        <v>6.9</v>
      </c>
      <c r="H1618">
        <v>7.1</v>
      </c>
      <c r="I1618">
        <v>6.1</v>
      </c>
      <c r="J1618">
        <v>6.2</v>
      </c>
      <c r="K1618">
        <v>5.8</v>
      </c>
      <c r="L1618" s="1"/>
    </row>
    <row r="1619" spans="1:12">
      <c r="A1619" t="s">
        <v>1667</v>
      </c>
      <c r="B1619">
        <v>7.5</v>
      </c>
      <c r="C1619">
        <v>6.6</v>
      </c>
      <c r="D1619">
        <v>8.4</v>
      </c>
      <c r="E1619">
        <v>6.4</v>
      </c>
      <c r="F1619">
        <v>6.7</v>
      </c>
      <c r="G1619">
        <v>8</v>
      </c>
      <c r="H1619">
        <v>4.1</v>
      </c>
      <c r="I1619">
        <v>6.8</v>
      </c>
      <c r="J1619">
        <v>8.7</v>
      </c>
      <c r="K1619">
        <v>5.5</v>
      </c>
      <c r="L1619" s="1"/>
    </row>
    <row r="1620" spans="1:12">
      <c r="A1620" t="s">
        <v>1668</v>
      </c>
      <c r="B1620">
        <v>7.8</v>
      </c>
      <c r="C1620">
        <v>7.5</v>
      </c>
      <c r="D1620">
        <v>7.3</v>
      </c>
      <c r="E1620">
        <v>7</v>
      </c>
      <c r="F1620">
        <v>6.4</v>
      </c>
      <c r="G1620">
        <v>6.8</v>
      </c>
      <c r="H1620">
        <v>6.9</v>
      </c>
      <c r="I1620">
        <v>6</v>
      </c>
      <c r="J1620">
        <v>6.7</v>
      </c>
      <c r="K1620">
        <v>5.7</v>
      </c>
      <c r="L1620" s="1"/>
    </row>
    <row r="1621" spans="1:12">
      <c r="A1621" t="s">
        <v>1669</v>
      </c>
      <c r="B1621">
        <v>7.8</v>
      </c>
      <c r="C1621">
        <v>7.4</v>
      </c>
      <c r="D1621">
        <v>7</v>
      </c>
      <c r="E1621">
        <v>7</v>
      </c>
      <c r="F1621">
        <v>7.8</v>
      </c>
      <c r="G1621">
        <v>6.3</v>
      </c>
      <c r="H1621">
        <v>7</v>
      </c>
      <c r="I1621">
        <v>7.1</v>
      </c>
      <c r="J1621">
        <v>5.9</v>
      </c>
      <c r="K1621">
        <v>7.1</v>
      </c>
      <c r="L1621" s="1"/>
    </row>
    <row r="1622" spans="1:12">
      <c r="A1622" t="s">
        <v>1670</v>
      </c>
      <c r="B1622">
        <v>8.6</v>
      </c>
      <c r="C1622">
        <v>7.7</v>
      </c>
      <c r="D1622">
        <v>7.4</v>
      </c>
      <c r="E1622">
        <v>6.3</v>
      </c>
      <c r="F1622">
        <v>6.5</v>
      </c>
      <c r="G1622">
        <v>7.9</v>
      </c>
      <c r="H1622">
        <v>6.4</v>
      </c>
      <c r="I1622">
        <v>5.1</v>
      </c>
      <c r="J1622">
        <v>3.8</v>
      </c>
      <c r="K1622">
        <v>4.5</v>
      </c>
      <c r="L1622" s="1"/>
    </row>
    <row r="1623" spans="1:12">
      <c r="A1623" t="s">
        <v>1671</v>
      </c>
      <c r="B1623">
        <v>6.9</v>
      </c>
      <c r="C1623">
        <v>7.6</v>
      </c>
      <c r="D1623">
        <v>7.9</v>
      </c>
      <c r="E1623">
        <v>7.7</v>
      </c>
      <c r="F1623">
        <v>6.2</v>
      </c>
      <c r="G1623">
        <v>5.7</v>
      </c>
      <c r="H1623">
        <v>6.7</v>
      </c>
      <c r="I1623">
        <v>5.5</v>
      </c>
      <c r="J1623">
        <v>6.7</v>
      </c>
      <c r="K1623">
        <v>3.7</v>
      </c>
      <c r="L1623" s="1"/>
    </row>
    <row r="1624" spans="1:12">
      <c r="A1624" t="s">
        <v>1672</v>
      </c>
      <c r="B1624">
        <v>7.4</v>
      </c>
      <c r="C1624">
        <v>7.5</v>
      </c>
      <c r="D1624">
        <v>7</v>
      </c>
      <c r="E1624">
        <v>8.1</v>
      </c>
      <c r="F1624">
        <v>6.5</v>
      </c>
      <c r="G1624">
        <v>5.5</v>
      </c>
      <c r="H1624">
        <v>6.7</v>
      </c>
      <c r="I1624">
        <v>4.3</v>
      </c>
      <c r="J1624">
        <v>6.3</v>
      </c>
      <c r="K1624">
        <v>4.9</v>
      </c>
      <c r="L1624" s="1"/>
    </row>
    <row r="1625" spans="1:12">
      <c r="A1625" t="s">
        <v>1673</v>
      </c>
      <c r="B1625">
        <v>8.2</v>
      </c>
      <c r="C1625">
        <v>7.1</v>
      </c>
      <c r="D1625">
        <v>7.1</v>
      </c>
      <c r="E1625">
        <v>6.5</v>
      </c>
      <c r="F1625">
        <v>6</v>
      </c>
      <c r="G1625">
        <v>7.6</v>
      </c>
      <c r="H1625">
        <v>6.6</v>
      </c>
      <c r="I1625">
        <v>6.5</v>
      </c>
      <c r="J1625">
        <v>6.4</v>
      </c>
      <c r="K1625">
        <v>4.9</v>
      </c>
      <c r="L1625" s="1"/>
    </row>
    <row r="1626" spans="1:12">
      <c r="A1626" t="s">
        <v>1674</v>
      </c>
      <c r="B1626">
        <v>7.1</v>
      </c>
      <c r="C1626">
        <v>7.7</v>
      </c>
      <c r="D1626">
        <v>7.2</v>
      </c>
      <c r="E1626">
        <v>7.2</v>
      </c>
      <c r="F1626">
        <v>6.9</v>
      </c>
      <c r="G1626">
        <v>8</v>
      </c>
      <c r="H1626">
        <v>6.2</v>
      </c>
      <c r="I1626">
        <v>7.3</v>
      </c>
      <c r="J1626">
        <v>5.4</v>
      </c>
      <c r="K1626">
        <v>6.1</v>
      </c>
      <c r="L1626" s="1"/>
    </row>
    <row r="1627" spans="1:12">
      <c r="A1627" t="s">
        <v>1675</v>
      </c>
      <c r="B1627">
        <v>7.5</v>
      </c>
      <c r="C1627">
        <v>7.8</v>
      </c>
      <c r="D1627">
        <v>7.1</v>
      </c>
      <c r="E1627">
        <v>6.7</v>
      </c>
      <c r="F1627">
        <v>8</v>
      </c>
      <c r="G1627">
        <v>7.4</v>
      </c>
      <c r="H1627">
        <v>6.8</v>
      </c>
      <c r="I1627">
        <v>5.8</v>
      </c>
      <c r="J1627">
        <v>5.4</v>
      </c>
      <c r="K1627">
        <v>6.3</v>
      </c>
      <c r="L1627" s="1"/>
    </row>
    <row r="1628" spans="1:12">
      <c r="A1628" t="s">
        <v>1676</v>
      </c>
      <c r="B1628">
        <v>7.4</v>
      </c>
      <c r="C1628">
        <v>7.3</v>
      </c>
      <c r="D1628">
        <v>6</v>
      </c>
      <c r="E1628">
        <v>7.8</v>
      </c>
      <c r="F1628">
        <v>7.3</v>
      </c>
      <c r="G1628">
        <v>7.9</v>
      </c>
      <c r="H1628">
        <v>7.4</v>
      </c>
      <c r="I1628">
        <v>7.7</v>
      </c>
      <c r="J1628">
        <v>6.7</v>
      </c>
      <c r="K1628">
        <v>7.4</v>
      </c>
      <c r="L1628" s="1"/>
    </row>
    <row r="1629" spans="1:12">
      <c r="A1629" t="s">
        <v>1677</v>
      </c>
      <c r="B1629">
        <v>8</v>
      </c>
      <c r="C1629">
        <v>6.8</v>
      </c>
      <c r="D1629">
        <v>7.7</v>
      </c>
      <c r="E1629">
        <v>6.8</v>
      </c>
      <c r="F1629">
        <v>6.6</v>
      </c>
      <c r="G1629">
        <v>6.6</v>
      </c>
      <c r="H1629">
        <v>6.4</v>
      </c>
      <c r="I1629">
        <v>5.8</v>
      </c>
      <c r="J1629">
        <v>4</v>
      </c>
      <c r="K1629">
        <v>5.3</v>
      </c>
      <c r="L1629" s="1"/>
    </row>
    <row r="1630" spans="1:12">
      <c r="A1630" t="s">
        <v>1678</v>
      </c>
      <c r="B1630">
        <v>7.4</v>
      </c>
      <c r="C1630">
        <v>7.7</v>
      </c>
      <c r="D1630">
        <v>7.5</v>
      </c>
      <c r="E1630">
        <v>6.4</v>
      </c>
      <c r="F1630">
        <v>7.4</v>
      </c>
      <c r="G1630">
        <v>7.7</v>
      </c>
      <c r="H1630">
        <v>7.4</v>
      </c>
      <c r="I1630">
        <v>7.1</v>
      </c>
      <c r="J1630">
        <v>6.1</v>
      </c>
      <c r="K1630">
        <v>5.5</v>
      </c>
      <c r="L1630" s="1"/>
    </row>
    <row r="1631" spans="1:12">
      <c r="A1631" t="s">
        <v>1679</v>
      </c>
      <c r="B1631">
        <v>7.1</v>
      </c>
      <c r="C1631">
        <v>7.2</v>
      </c>
      <c r="D1631">
        <v>8</v>
      </c>
      <c r="E1631">
        <v>6.5</v>
      </c>
      <c r="F1631">
        <v>7</v>
      </c>
      <c r="G1631">
        <v>7.2</v>
      </c>
      <c r="H1631">
        <v>6.5</v>
      </c>
      <c r="I1631">
        <v>6</v>
      </c>
      <c r="J1631">
        <v>5.8</v>
      </c>
      <c r="K1631">
        <v>5.1</v>
      </c>
      <c r="L1631" s="1"/>
    </row>
    <row r="1632" spans="1:12">
      <c r="A1632" t="s">
        <v>1680</v>
      </c>
      <c r="B1632">
        <v>8.1</v>
      </c>
      <c r="C1632">
        <v>7.4</v>
      </c>
      <c r="D1632">
        <v>7.9</v>
      </c>
      <c r="E1632">
        <v>6.9</v>
      </c>
      <c r="F1632">
        <v>5.1</v>
      </c>
      <c r="G1632">
        <v>6.9</v>
      </c>
      <c r="H1632">
        <v>6.5</v>
      </c>
      <c r="I1632">
        <v>6.1</v>
      </c>
      <c r="J1632">
        <v>5.2</v>
      </c>
      <c r="K1632">
        <v>7.4</v>
      </c>
      <c r="L1632" s="1"/>
    </row>
    <row r="1633" spans="1:12">
      <c r="A1633" t="s">
        <v>1681</v>
      </c>
      <c r="B1633">
        <v>7.7</v>
      </c>
      <c r="C1633">
        <v>7.3</v>
      </c>
      <c r="D1633">
        <v>7.3</v>
      </c>
      <c r="E1633">
        <v>6.9</v>
      </c>
      <c r="F1633">
        <v>8.5</v>
      </c>
      <c r="G1633">
        <v>6.2</v>
      </c>
      <c r="H1633">
        <v>6.3</v>
      </c>
      <c r="I1633">
        <v>6.4</v>
      </c>
      <c r="J1633">
        <v>5.6</v>
      </c>
      <c r="K1633">
        <v>5.8</v>
      </c>
      <c r="L1633" s="1"/>
    </row>
    <row r="1634" spans="1:12">
      <c r="A1634" t="s">
        <v>1682</v>
      </c>
      <c r="B1634">
        <v>7.9</v>
      </c>
      <c r="C1634">
        <v>7.8</v>
      </c>
      <c r="D1634">
        <v>7.4</v>
      </c>
      <c r="E1634">
        <v>7.1</v>
      </c>
      <c r="F1634">
        <v>6.8</v>
      </c>
      <c r="G1634">
        <v>7.9</v>
      </c>
      <c r="H1634">
        <v>6.1</v>
      </c>
      <c r="I1634">
        <v>6</v>
      </c>
      <c r="J1634">
        <v>5.7</v>
      </c>
      <c r="K1634">
        <v>5.1</v>
      </c>
      <c r="L1634" s="1"/>
    </row>
    <row r="1635" spans="1:12">
      <c r="A1635" t="s">
        <v>1683</v>
      </c>
      <c r="B1635">
        <v>8.4</v>
      </c>
      <c r="C1635">
        <v>8</v>
      </c>
      <c r="D1635">
        <v>7.5</v>
      </c>
      <c r="E1635">
        <v>7.9</v>
      </c>
      <c r="F1635">
        <v>7.7</v>
      </c>
      <c r="G1635">
        <v>6.6</v>
      </c>
      <c r="H1635">
        <v>6.7</v>
      </c>
      <c r="I1635">
        <v>6.2</v>
      </c>
      <c r="J1635">
        <v>5.1</v>
      </c>
      <c r="K1635">
        <v>8.6</v>
      </c>
      <c r="L1635" s="1"/>
    </row>
    <row r="1636" spans="1:12">
      <c r="A1636" t="s">
        <v>1684</v>
      </c>
      <c r="B1636">
        <v>7.9</v>
      </c>
      <c r="C1636">
        <v>7.3</v>
      </c>
      <c r="D1636">
        <v>7.8</v>
      </c>
      <c r="E1636">
        <v>7.1</v>
      </c>
      <c r="F1636">
        <v>7.8</v>
      </c>
      <c r="G1636">
        <v>5.7</v>
      </c>
      <c r="H1636">
        <v>6.1</v>
      </c>
      <c r="I1636">
        <v>6.9</v>
      </c>
      <c r="J1636">
        <v>5.6</v>
      </c>
      <c r="K1636">
        <v>5.1</v>
      </c>
      <c r="L1636" s="1"/>
    </row>
    <row r="1637" spans="1:12">
      <c r="A1637" t="s">
        <v>1685</v>
      </c>
      <c r="B1637">
        <v>7.7</v>
      </c>
      <c r="C1637">
        <v>7.3</v>
      </c>
      <c r="D1637">
        <v>7.1</v>
      </c>
      <c r="E1637">
        <v>7.8</v>
      </c>
      <c r="F1637">
        <v>7.5</v>
      </c>
      <c r="G1637">
        <v>7.8</v>
      </c>
      <c r="H1637">
        <v>7.9</v>
      </c>
      <c r="I1637">
        <v>5.4</v>
      </c>
      <c r="J1637">
        <v>6.1</v>
      </c>
      <c r="K1637">
        <v>5.4</v>
      </c>
      <c r="L1637" s="1"/>
    </row>
    <row r="1638" spans="1:12">
      <c r="A1638" t="s">
        <v>1686</v>
      </c>
      <c r="B1638">
        <v>7.1</v>
      </c>
      <c r="C1638">
        <v>6.3</v>
      </c>
      <c r="D1638">
        <v>7</v>
      </c>
      <c r="E1638">
        <v>7</v>
      </c>
      <c r="F1638">
        <v>7.3</v>
      </c>
      <c r="G1638">
        <v>6.6</v>
      </c>
      <c r="H1638">
        <v>7.2</v>
      </c>
      <c r="I1638">
        <v>6</v>
      </c>
      <c r="J1638">
        <v>5.3</v>
      </c>
      <c r="K1638">
        <v>6</v>
      </c>
      <c r="L1638" s="1"/>
    </row>
    <row r="1639" spans="1:12">
      <c r="A1639" t="s">
        <v>1687</v>
      </c>
      <c r="B1639">
        <v>7.7</v>
      </c>
      <c r="C1639">
        <v>7.4</v>
      </c>
      <c r="D1639">
        <v>7.8</v>
      </c>
      <c r="E1639">
        <v>6.6</v>
      </c>
      <c r="F1639">
        <v>6.3</v>
      </c>
      <c r="G1639">
        <v>6.4</v>
      </c>
      <c r="H1639">
        <v>6.5</v>
      </c>
      <c r="I1639">
        <v>5.8</v>
      </c>
      <c r="J1639">
        <v>5.8</v>
      </c>
      <c r="K1639">
        <v>6.7</v>
      </c>
      <c r="L1639" s="1"/>
    </row>
    <row r="1640" spans="1:12">
      <c r="A1640" t="s">
        <v>1688</v>
      </c>
      <c r="B1640">
        <v>8.1</v>
      </c>
      <c r="C1640">
        <v>8.9</v>
      </c>
      <c r="D1640">
        <v>6.3</v>
      </c>
      <c r="E1640">
        <v>6.7</v>
      </c>
      <c r="F1640">
        <v>7.3</v>
      </c>
      <c r="G1640">
        <v>6.2</v>
      </c>
      <c r="H1640">
        <v>6.3</v>
      </c>
      <c r="I1640">
        <v>6.9</v>
      </c>
      <c r="J1640">
        <v>7.4</v>
      </c>
      <c r="K1640">
        <v>6.5</v>
      </c>
      <c r="L1640" s="1"/>
    </row>
    <row r="1641" spans="1:12">
      <c r="A1641" t="s">
        <v>1689</v>
      </c>
      <c r="B1641">
        <v>7.8</v>
      </c>
      <c r="C1641">
        <v>7.8</v>
      </c>
      <c r="D1641">
        <v>6.6</v>
      </c>
      <c r="E1641">
        <v>8.1</v>
      </c>
      <c r="F1641">
        <v>7.6</v>
      </c>
      <c r="G1641">
        <v>4.8</v>
      </c>
      <c r="H1641">
        <v>7.6</v>
      </c>
      <c r="I1641">
        <v>8.1</v>
      </c>
      <c r="J1641">
        <v>5.9</v>
      </c>
      <c r="K1641">
        <v>7.1</v>
      </c>
      <c r="L1641" s="1"/>
    </row>
    <row r="1642" spans="1:12">
      <c r="A1642" t="s">
        <v>1690</v>
      </c>
      <c r="B1642">
        <v>7.6</v>
      </c>
      <c r="C1642">
        <v>7.9</v>
      </c>
      <c r="D1642">
        <v>6.4</v>
      </c>
      <c r="E1642">
        <v>7.5</v>
      </c>
      <c r="F1642">
        <v>6.9</v>
      </c>
      <c r="G1642">
        <v>6.4</v>
      </c>
      <c r="H1642">
        <v>6.9</v>
      </c>
      <c r="I1642">
        <v>6.6</v>
      </c>
      <c r="J1642">
        <v>5.3</v>
      </c>
      <c r="K1642">
        <v>8.3</v>
      </c>
      <c r="L1642" s="1"/>
    </row>
    <row r="1643" spans="1:12">
      <c r="A1643" t="s">
        <v>1691</v>
      </c>
      <c r="B1643">
        <v>7.8</v>
      </c>
      <c r="C1643">
        <v>7.4</v>
      </c>
      <c r="D1643">
        <v>7.6</v>
      </c>
      <c r="E1643">
        <v>6</v>
      </c>
      <c r="F1643">
        <v>8.2</v>
      </c>
      <c r="G1643">
        <v>6.2</v>
      </c>
      <c r="H1643">
        <v>5.5</v>
      </c>
      <c r="I1643">
        <v>6.2</v>
      </c>
      <c r="J1643">
        <v>7.1</v>
      </c>
      <c r="K1643">
        <v>4.7</v>
      </c>
      <c r="L1643" s="1"/>
    </row>
    <row r="1644" spans="1:12">
      <c r="A1644" t="s">
        <v>1692</v>
      </c>
      <c r="B1644">
        <v>7.2</v>
      </c>
      <c r="C1644">
        <v>7.1</v>
      </c>
      <c r="D1644">
        <v>7.2</v>
      </c>
      <c r="E1644">
        <v>8.1</v>
      </c>
      <c r="F1644">
        <v>7</v>
      </c>
      <c r="G1644">
        <v>5.8</v>
      </c>
      <c r="H1644">
        <v>7.6</v>
      </c>
      <c r="I1644">
        <v>7.4</v>
      </c>
      <c r="J1644">
        <v>6.4</v>
      </c>
      <c r="K1644">
        <v>4.7</v>
      </c>
      <c r="L1644" s="1"/>
    </row>
    <row r="1645" spans="1:12">
      <c r="A1645" t="s">
        <v>1693</v>
      </c>
      <c r="B1645">
        <v>8.2</v>
      </c>
      <c r="C1645">
        <v>7.7</v>
      </c>
      <c r="D1645">
        <v>7.7</v>
      </c>
      <c r="E1645">
        <v>7.7</v>
      </c>
      <c r="F1645">
        <v>7.2</v>
      </c>
      <c r="G1645">
        <v>6.5</v>
      </c>
      <c r="H1645">
        <v>6.1</v>
      </c>
      <c r="I1645">
        <v>6.8</v>
      </c>
      <c r="J1645">
        <v>6.6</v>
      </c>
      <c r="K1645">
        <v>6.2</v>
      </c>
      <c r="L1645" s="1"/>
    </row>
    <row r="1646" spans="1:12">
      <c r="A1646" t="s">
        <v>1694</v>
      </c>
      <c r="B1646">
        <v>7.6</v>
      </c>
      <c r="C1646">
        <v>7.9</v>
      </c>
      <c r="D1646">
        <v>7.5</v>
      </c>
      <c r="E1646">
        <v>7.3</v>
      </c>
      <c r="F1646">
        <v>6.6</v>
      </c>
      <c r="G1646">
        <v>6.1</v>
      </c>
      <c r="H1646">
        <v>6.3</v>
      </c>
      <c r="I1646">
        <v>8</v>
      </c>
      <c r="J1646">
        <v>5.3</v>
      </c>
      <c r="K1646">
        <v>6.2</v>
      </c>
      <c r="L1646" s="1"/>
    </row>
    <row r="1647" spans="1:12">
      <c r="A1647" t="s">
        <v>1695</v>
      </c>
      <c r="B1647">
        <v>6.6</v>
      </c>
      <c r="C1647">
        <v>8</v>
      </c>
      <c r="D1647">
        <v>7.9</v>
      </c>
      <c r="E1647">
        <v>6.9</v>
      </c>
      <c r="F1647">
        <v>7.2</v>
      </c>
      <c r="G1647">
        <v>7</v>
      </c>
      <c r="H1647">
        <v>5.8</v>
      </c>
      <c r="I1647">
        <v>5.5</v>
      </c>
      <c r="J1647">
        <v>6.2</v>
      </c>
      <c r="K1647">
        <v>5.7</v>
      </c>
      <c r="L1647" s="1"/>
    </row>
    <row r="1648" spans="1:12">
      <c r="A1648" t="s">
        <v>1696</v>
      </c>
      <c r="B1648">
        <v>7.6</v>
      </c>
      <c r="C1648">
        <v>7.7</v>
      </c>
      <c r="D1648">
        <v>8.1</v>
      </c>
      <c r="E1648">
        <v>7.5</v>
      </c>
      <c r="F1648">
        <v>6.9</v>
      </c>
      <c r="G1648">
        <v>5.1</v>
      </c>
      <c r="H1648">
        <v>6.4</v>
      </c>
      <c r="I1648">
        <v>7.2</v>
      </c>
      <c r="J1648">
        <v>7.7</v>
      </c>
      <c r="K1648">
        <v>4.9</v>
      </c>
      <c r="L1648" s="1"/>
    </row>
    <row r="1649" spans="1:12">
      <c r="A1649" t="s">
        <v>1697</v>
      </c>
      <c r="B1649">
        <v>8</v>
      </c>
      <c r="C1649">
        <v>7.1</v>
      </c>
      <c r="D1649">
        <v>7.4</v>
      </c>
      <c r="E1649">
        <v>7.4</v>
      </c>
      <c r="F1649">
        <v>5.5</v>
      </c>
      <c r="G1649">
        <v>6</v>
      </c>
      <c r="H1649">
        <v>7</v>
      </c>
      <c r="I1649">
        <v>6.7</v>
      </c>
      <c r="J1649">
        <v>6.6</v>
      </c>
      <c r="K1649">
        <v>4.7</v>
      </c>
      <c r="L1649" s="1"/>
    </row>
    <row r="1650" spans="1:12">
      <c r="A1650" t="s">
        <v>1698</v>
      </c>
      <c r="B1650">
        <v>7.6</v>
      </c>
      <c r="C1650">
        <v>7.1</v>
      </c>
      <c r="D1650">
        <v>7.7</v>
      </c>
      <c r="E1650">
        <v>7.7</v>
      </c>
      <c r="F1650">
        <v>6.9</v>
      </c>
      <c r="G1650">
        <v>6.3</v>
      </c>
      <c r="H1650">
        <v>6.2</v>
      </c>
      <c r="I1650">
        <v>6.8</v>
      </c>
      <c r="J1650">
        <v>6.2</v>
      </c>
      <c r="K1650">
        <v>5.9</v>
      </c>
      <c r="L1650" s="1"/>
    </row>
    <row r="1651" spans="1:12">
      <c r="A1651" t="s">
        <v>1699</v>
      </c>
      <c r="B1651">
        <v>8.3</v>
      </c>
      <c r="C1651">
        <v>8.6</v>
      </c>
      <c r="D1651">
        <v>8.3</v>
      </c>
      <c r="E1651">
        <v>7.5</v>
      </c>
      <c r="F1651">
        <v>7.8</v>
      </c>
      <c r="G1651">
        <v>5.4</v>
      </c>
      <c r="H1651">
        <v>5.6</v>
      </c>
      <c r="I1651">
        <v>7.3</v>
      </c>
      <c r="J1651">
        <v>7.4</v>
      </c>
      <c r="K1651">
        <v>5.5</v>
      </c>
      <c r="L1651" s="1"/>
    </row>
    <row r="1652" spans="1:12">
      <c r="A1652" t="s">
        <v>1700</v>
      </c>
      <c r="B1652">
        <v>7.2</v>
      </c>
      <c r="C1652">
        <v>8.3</v>
      </c>
      <c r="D1652">
        <v>7.3</v>
      </c>
      <c r="E1652">
        <v>7.9</v>
      </c>
      <c r="F1652">
        <v>7.4</v>
      </c>
      <c r="G1652">
        <v>7.1</v>
      </c>
      <c r="H1652">
        <v>7.3</v>
      </c>
      <c r="I1652">
        <v>6.7</v>
      </c>
      <c r="J1652">
        <v>6.3</v>
      </c>
      <c r="K1652">
        <v>5.8</v>
      </c>
      <c r="L1652" s="1"/>
    </row>
    <row r="1653" spans="1:12">
      <c r="A1653" t="s">
        <v>1701</v>
      </c>
      <c r="B1653">
        <v>7.6</v>
      </c>
      <c r="C1653">
        <v>7.4</v>
      </c>
      <c r="D1653">
        <v>7.2</v>
      </c>
      <c r="E1653">
        <v>9</v>
      </c>
      <c r="F1653">
        <v>8.4</v>
      </c>
      <c r="G1653">
        <v>8.3</v>
      </c>
      <c r="H1653">
        <v>7.7</v>
      </c>
      <c r="I1653">
        <v>6.4</v>
      </c>
      <c r="J1653">
        <v>6.2</v>
      </c>
      <c r="K1653">
        <v>6.3</v>
      </c>
      <c r="L1653" s="1"/>
    </row>
    <row r="1654" spans="1:12">
      <c r="A1654" t="s">
        <v>1702</v>
      </c>
      <c r="B1654">
        <v>7.5</v>
      </c>
      <c r="C1654">
        <v>8.3</v>
      </c>
      <c r="D1654">
        <v>9.3</v>
      </c>
      <c r="E1654">
        <v>7</v>
      </c>
      <c r="F1654">
        <v>7.2</v>
      </c>
      <c r="G1654">
        <v>6.1</v>
      </c>
      <c r="H1654">
        <v>6.3</v>
      </c>
      <c r="I1654">
        <v>6.3</v>
      </c>
      <c r="J1654">
        <v>6.9</v>
      </c>
      <c r="K1654">
        <v>5.3</v>
      </c>
      <c r="L1654" s="1"/>
    </row>
    <row r="1655" spans="1:12">
      <c r="A1655" t="s">
        <v>1703</v>
      </c>
      <c r="B1655">
        <v>8.7</v>
      </c>
      <c r="C1655">
        <v>8.4</v>
      </c>
      <c r="D1655">
        <v>8.5</v>
      </c>
      <c r="E1655">
        <v>8.5</v>
      </c>
      <c r="F1655">
        <v>7.8</v>
      </c>
      <c r="G1655">
        <v>6.1</v>
      </c>
      <c r="H1655">
        <v>7.2</v>
      </c>
      <c r="I1655">
        <v>7.8</v>
      </c>
      <c r="J1655">
        <v>5.9</v>
      </c>
      <c r="K1655">
        <v>6.9</v>
      </c>
      <c r="L1655" s="1"/>
    </row>
    <row r="1656" spans="1:12">
      <c r="A1656" t="s">
        <v>1704</v>
      </c>
      <c r="B1656">
        <v>7.6</v>
      </c>
      <c r="C1656">
        <v>7.5</v>
      </c>
      <c r="D1656">
        <v>7.9</v>
      </c>
      <c r="E1656">
        <v>6.8</v>
      </c>
      <c r="F1656">
        <v>6.6</v>
      </c>
      <c r="G1656">
        <v>7.5</v>
      </c>
      <c r="H1656">
        <v>6.3</v>
      </c>
      <c r="I1656">
        <v>7.1</v>
      </c>
      <c r="J1656">
        <v>5.7</v>
      </c>
      <c r="K1656">
        <v>5.8</v>
      </c>
      <c r="L1656" s="1"/>
    </row>
    <row r="1657" spans="1:12">
      <c r="A1657" t="s">
        <v>1705</v>
      </c>
      <c r="B1657">
        <v>8.1</v>
      </c>
      <c r="C1657">
        <v>8.7</v>
      </c>
      <c r="D1657">
        <v>7.9</v>
      </c>
      <c r="E1657">
        <v>8</v>
      </c>
      <c r="F1657">
        <v>7.1</v>
      </c>
      <c r="G1657">
        <v>7.4</v>
      </c>
      <c r="H1657">
        <v>7.7</v>
      </c>
      <c r="I1657">
        <v>6.9</v>
      </c>
      <c r="J1657">
        <v>5.6</v>
      </c>
      <c r="K1657">
        <v>7.2</v>
      </c>
      <c r="L1657" s="1"/>
    </row>
    <row r="1658" spans="1:12">
      <c r="A1658" t="s">
        <v>1706</v>
      </c>
      <c r="B1658">
        <v>7.4</v>
      </c>
      <c r="C1658">
        <v>8.5</v>
      </c>
      <c r="D1658">
        <v>7.3</v>
      </c>
      <c r="E1658">
        <v>7.6</v>
      </c>
      <c r="F1658">
        <v>7.9</v>
      </c>
      <c r="G1658">
        <v>7.9</v>
      </c>
      <c r="H1658">
        <v>7.3</v>
      </c>
      <c r="I1658">
        <v>7.9</v>
      </c>
      <c r="J1658">
        <v>4</v>
      </c>
      <c r="K1658">
        <v>7.4</v>
      </c>
      <c r="L1658" s="1"/>
    </row>
    <row r="1659" spans="1:12">
      <c r="A1659" t="s">
        <v>1707</v>
      </c>
      <c r="B1659">
        <v>8</v>
      </c>
      <c r="C1659">
        <v>7.9</v>
      </c>
      <c r="D1659">
        <v>7.6</v>
      </c>
      <c r="E1659">
        <v>8.4</v>
      </c>
      <c r="F1659">
        <v>8.4</v>
      </c>
      <c r="G1659">
        <v>7.6</v>
      </c>
      <c r="H1659">
        <v>7.5</v>
      </c>
      <c r="I1659">
        <v>5.5</v>
      </c>
      <c r="J1659">
        <v>7</v>
      </c>
      <c r="K1659">
        <v>6.5</v>
      </c>
      <c r="L1659" s="1"/>
    </row>
    <row r="1660" spans="1:12">
      <c r="A1660" t="s">
        <v>1708</v>
      </c>
      <c r="B1660">
        <v>7.7</v>
      </c>
      <c r="C1660">
        <v>7.2</v>
      </c>
      <c r="D1660">
        <v>8.1</v>
      </c>
      <c r="E1660">
        <v>7.8</v>
      </c>
      <c r="F1660">
        <v>7.5</v>
      </c>
      <c r="G1660">
        <v>7.3</v>
      </c>
      <c r="H1660">
        <v>6.5</v>
      </c>
      <c r="I1660">
        <v>6.5</v>
      </c>
      <c r="J1660">
        <v>4.6</v>
      </c>
      <c r="K1660">
        <v>6.4</v>
      </c>
      <c r="L1660" s="1"/>
    </row>
    <row r="1661" spans="1:12">
      <c r="A1661" t="s">
        <v>1709</v>
      </c>
      <c r="B1661">
        <v>7.9</v>
      </c>
      <c r="C1661">
        <v>8.4</v>
      </c>
      <c r="D1661">
        <v>8.1</v>
      </c>
      <c r="E1661">
        <v>7</v>
      </c>
      <c r="F1661">
        <v>5.9</v>
      </c>
      <c r="G1661">
        <v>6.6</v>
      </c>
      <c r="H1661">
        <v>7.5</v>
      </c>
      <c r="I1661">
        <v>5.2</v>
      </c>
      <c r="J1661">
        <v>5.7</v>
      </c>
      <c r="K1661">
        <v>5</v>
      </c>
      <c r="L1661" s="1"/>
    </row>
    <row r="1662" spans="1:12">
      <c r="A1662" t="s">
        <v>1710</v>
      </c>
      <c r="B1662">
        <v>6.7</v>
      </c>
      <c r="C1662">
        <v>7</v>
      </c>
      <c r="D1662">
        <v>7.1</v>
      </c>
      <c r="E1662">
        <v>7.2</v>
      </c>
      <c r="F1662">
        <v>7</v>
      </c>
      <c r="G1662">
        <v>5.9</v>
      </c>
      <c r="H1662">
        <v>5.7</v>
      </c>
      <c r="I1662">
        <v>6.2</v>
      </c>
      <c r="J1662">
        <v>6.5</v>
      </c>
      <c r="K1662">
        <v>4.8</v>
      </c>
      <c r="L1662" s="1"/>
    </row>
    <row r="1663" spans="1:12">
      <c r="A1663" t="s">
        <v>1711</v>
      </c>
      <c r="B1663">
        <v>8.1</v>
      </c>
      <c r="C1663">
        <v>7.6</v>
      </c>
      <c r="D1663">
        <v>6.5</v>
      </c>
      <c r="E1663">
        <v>7.7</v>
      </c>
      <c r="F1663">
        <v>7.6</v>
      </c>
      <c r="G1663">
        <v>7.3</v>
      </c>
      <c r="H1663">
        <v>6</v>
      </c>
      <c r="I1663">
        <v>7.4</v>
      </c>
      <c r="J1663">
        <v>7.9</v>
      </c>
      <c r="K1663">
        <v>5</v>
      </c>
      <c r="L1663" s="1"/>
    </row>
    <row r="1664" spans="1:12">
      <c r="A1664" t="s">
        <v>1712</v>
      </c>
      <c r="B1664">
        <v>7.9</v>
      </c>
      <c r="C1664">
        <v>7.4</v>
      </c>
      <c r="D1664">
        <v>7</v>
      </c>
      <c r="E1664">
        <v>7.8</v>
      </c>
      <c r="F1664">
        <v>6.4</v>
      </c>
      <c r="G1664">
        <v>7.8</v>
      </c>
      <c r="H1664">
        <v>6.5</v>
      </c>
      <c r="I1664">
        <v>7</v>
      </c>
      <c r="J1664">
        <v>7.7</v>
      </c>
      <c r="K1664">
        <v>6.1</v>
      </c>
      <c r="L1664" s="1"/>
    </row>
    <row r="1665" spans="1:12">
      <c r="A1665" t="s">
        <v>1713</v>
      </c>
      <c r="B1665">
        <v>7.3</v>
      </c>
      <c r="C1665">
        <v>7.2</v>
      </c>
      <c r="D1665">
        <v>7</v>
      </c>
      <c r="E1665">
        <v>6.7</v>
      </c>
      <c r="F1665">
        <v>7.9</v>
      </c>
      <c r="G1665">
        <v>6.6</v>
      </c>
      <c r="H1665">
        <v>6.1</v>
      </c>
      <c r="I1665">
        <v>5.8</v>
      </c>
      <c r="J1665">
        <v>5.6</v>
      </c>
      <c r="K1665">
        <v>4.1</v>
      </c>
      <c r="L1665" s="1"/>
    </row>
    <row r="1666" spans="1:12">
      <c r="A1666" t="s">
        <v>1714</v>
      </c>
      <c r="B1666">
        <v>7.7</v>
      </c>
      <c r="C1666">
        <v>7.7</v>
      </c>
      <c r="D1666">
        <v>7.8</v>
      </c>
      <c r="E1666">
        <v>7.3</v>
      </c>
      <c r="F1666">
        <v>7.2</v>
      </c>
      <c r="G1666">
        <v>5.8</v>
      </c>
      <c r="H1666">
        <v>7.6</v>
      </c>
      <c r="I1666">
        <v>7</v>
      </c>
      <c r="J1666">
        <v>5.7</v>
      </c>
      <c r="K1666">
        <v>3.5</v>
      </c>
      <c r="L1666" s="1"/>
    </row>
    <row r="1667" spans="1:12">
      <c r="A1667" t="s">
        <v>1715</v>
      </c>
      <c r="B1667">
        <v>7.6</v>
      </c>
      <c r="C1667">
        <v>8.1</v>
      </c>
      <c r="D1667">
        <v>7.8</v>
      </c>
      <c r="E1667">
        <v>6.9</v>
      </c>
      <c r="F1667">
        <v>7.8</v>
      </c>
      <c r="G1667">
        <v>6</v>
      </c>
      <c r="H1667">
        <v>7.1</v>
      </c>
      <c r="I1667">
        <v>5.4</v>
      </c>
      <c r="J1667">
        <v>6.1</v>
      </c>
      <c r="K1667">
        <v>5</v>
      </c>
      <c r="L1667" s="1"/>
    </row>
    <row r="1668" spans="1:12">
      <c r="A1668" t="s">
        <v>1716</v>
      </c>
      <c r="B1668">
        <v>7.6</v>
      </c>
      <c r="C1668">
        <v>6.8</v>
      </c>
      <c r="D1668">
        <v>6.6</v>
      </c>
      <c r="E1668">
        <v>6.4</v>
      </c>
      <c r="F1668">
        <v>8</v>
      </c>
      <c r="G1668">
        <v>8.4</v>
      </c>
      <c r="H1668">
        <v>5.9</v>
      </c>
      <c r="I1668">
        <v>6.6</v>
      </c>
      <c r="J1668">
        <v>6.2</v>
      </c>
      <c r="K1668">
        <v>7.2</v>
      </c>
      <c r="L1668" s="1"/>
    </row>
    <row r="1669" spans="1:12">
      <c r="A1669" t="s">
        <v>1717</v>
      </c>
      <c r="B1669">
        <v>6.1</v>
      </c>
      <c r="C1669">
        <v>6.9</v>
      </c>
      <c r="D1669">
        <v>7.9</v>
      </c>
      <c r="E1669">
        <v>8.1</v>
      </c>
      <c r="F1669">
        <v>6.6</v>
      </c>
      <c r="G1669">
        <v>6.5</v>
      </c>
      <c r="H1669">
        <v>7.4</v>
      </c>
      <c r="I1669">
        <v>6.1</v>
      </c>
      <c r="J1669">
        <v>5.1</v>
      </c>
      <c r="K1669">
        <v>7.1</v>
      </c>
      <c r="L1669" s="1"/>
    </row>
    <row r="1670" spans="1:12">
      <c r="A1670" t="s">
        <v>1718</v>
      </c>
      <c r="B1670">
        <v>7.7</v>
      </c>
      <c r="C1670">
        <v>7.5</v>
      </c>
      <c r="D1670">
        <v>6.6</v>
      </c>
      <c r="E1670">
        <v>6.8</v>
      </c>
      <c r="F1670">
        <v>6</v>
      </c>
      <c r="G1670">
        <v>6.6</v>
      </c>
      <c r="H1670">
        <v>5.9</v>
      </c>
      <c r="I1670">
        <v>6.7</v>
      </c>
      <c r="J1670">
        <v>6.1</v>
      </c>
      <c r="K1670">
        <v>6.6</v>
      </c>
      <c r="L1670" s="1"/>
    </row>
    <row r="1671" spans="1:12">
      <c r="A1671" t="s">
        <v>1719</v>
      </c>
      <c r="B1671">
        <v>7.4</v>
      </c>
      <c r="C1671">
        <v>6.7</v>
      </c>
      <c r="D1671">
        <v>7.8</v>
      </c>
      <c r="E1671">
        <v>7.3</v>
      </c>
      <c r="F1671">
        <v>6.4</v>
      </c>
      <c r="G1671">
        <v>6.3</v>
      </c>
      <c r="H1671">
        <v>6.9</v>
      </c>
      <c r="I1671">
        <v>4.9</v>
      </c>
      <c r="J1671">
        <v>5.9</v>
      </c>
      <c r="K1671">
        <v>5.3</v>
      </c>
      <c r="L1671" s="1"/>
    </row>
    <row r="1672" spans="1:12">
      <c r="A1672" t="s">
        <v>1720</v>
      </c>
      <c r="B1672">
        <v>6.9</v>
      </c>
      <c r="C1672">
        <v>6.8</v>
      </c>
      <c r="D1672">
        <v>7.2</v>
      </c>
      <c r="E1672">
        <v>7.7</v>
      </c>
      <c r="F1672">
        <v>6.1</v>
      </c>
      <c r="G1672">
        <v>6.4</v>
      </c>
      <c r="H1672">
        <v>8</v>
      </c>
      <c r="I1672">
        <v>6.2</v>
      </c>
      <c r="J1672">
        <v>6.1</v>
      </c>
      <c r="K1672">
        <v>5.2</v>
      </c>
      <c r="L1672" s="1"/>
    </row>
    <row r="1673" spans="1:12">
      <c r="A1673" t="s">
        <v>1721</v>
      </c>
      <c r="B1673">
        <v>8.6</v>
      </c>
      <c r="C1673">
        <v>6.5</v>
      </c>
      <c r="D1673">
        <v>7.3</v>
      </c>
      <c r="E1673">
        <v>7.2</v>
      </c>
      <c r="F1673">
        <v>5.9</v>
      </c>
      <c r="G1673">
        <v>7.2</v>
      </c>
      <c r="H1673">
        <v>7</v>
      </c>
      <c r="I1673">
        <v>4.5</v>
      </c>
      <c r="J1673">
        <v>5.9</v>
      </c>
      <c r="K1673">
        <v>6.7</v>
      </c>
      <c r="L1673" s="1"/>
    </row>
    <row r="1674" spans="1:12">
      <c r="A1674" t="s">
        <v>1722</v>
      </c>
      <c r="B1674">
        <v>7.4</v>
      </c>
      <c r="C1674">
        <v>7.1</v>
      </c>
      <c r="D1674">
        <v>7.6</v>
      </c>
      <c r="E1674">
        <v>7.4</v>
      </c>
      <c r="F1674">
        <v>6</v>
      </c>
      <c r="G1674">
        <v>7.2</v>
      </c>
      <c r="H1674">
        <v>7.5</v>
      </c>
      <c r="I1674">
        <v>7</v>
      </c>
      <c r="J1674">
        <v>6.6</v>
      </c>
      <c r="K1674">
        <v>4.1</v>
      </c>
      <c r="L1674" s="1"/>
    </row>
    <row r="1675" spans="1:12">
      <c r="A1675" t="s">
        <v>1723</v>
      </c>
      <c r="B1675">
        <v>7</v>
      </c>
      <c r="C1675">
        <v>7.1</v>
      </c>
      <c r="D1675">
        <v>6.3</v>
      </c>
      <c r="E1675">
        <v>7.2</v>
      </c>
      <c r="F1675">
        <v>6.8</v>
      </c>
      <c r="G1675">
        <v>6</v>
      </c>
      <c r="H1675">
        <v>6.1</v>
      </c>
      <c r="I1675">
        <v>5.6</v>
      </c>
      <c r="J1675">
        <v>6.8</v>
      </c>
      <c r="K1675">
        <v>3.7</v>
      </c>
      <c r="L1675" s="1"/>
    </row>
    <row r="1676" spans="1:12">
      <c r="A1676" t="s">
        <v>1724</v>
      </c>
      <c r="B1676">
        <v>6.8</v>
      </c>
      <c r="C1676">
        <v>7.1</v>
      </c>
      <c r="D1676">
        <v>7.1</v>
      </c>
      <c r="E1676">
        <v>6.5</v>
      </c>
      <c r="F1676">
        <v>7.4</v>
      </c>
      <c r="G1676">
        <v>7</v>
      </c>
      <c r="H1676">
        <v>6.2</v>
      </c>
      <c r="I1676">
        <v>6.2</v>
      </c>
      <c r="J1676">
        <v>5.4</v>
      </c>
      <c r="K1676">
        <v>5.4</v>
      </c>
      <c r="L1676" s="1"/>
    </row>
    <row r="1677" spans="1:12">
      <c r="A1677" t="s">
        <v>1725</v>
      </c>
      <c r="B1677">
        <v>7.5</v>
      </c>
      <c r="C1677">
        <v>7.5</v>
      </c>
      <c r="D1677">
        <v>6.7</v>
      </c>
      <c r="E1677">
        <v>6.7</v>
      </c>
      <c r="F1677">
        <v>6.2</v>
      </c>
      <c r="G1677">
        <v>5.8</v>
      </c>
      <c r="H1677">
        <v>7.1</v>
      </c>
      <c r="I1677">
        <v>6.7</v>
      </c>
      <c r="J1677">
        <v>5.5</v>
      </c>
      <c r="K1677">
        <v>6.4</v>
      </c>
      <c r="L1677" s="1"/>
    </row>
    <row r="1678" spans="1:12">
      <c r="A1678" t="s">
        <v>1726</v>
      </c>
      <c r="B1678">
        <v>7.1</v>
      </c>
      <c r="C1678">
        <v>6.9</v>
      </c>
      <c r="D1678">
        <v>7.3</v>
      </c>
      <c r="E1678">
        <v>7.4</v>
      </c>
      <c r="F1678">
        <v>7.4</v>
      </c>
      <c r="G1678">
        <v>7.3</v>
      </c>
      <c r="H1678">
        <v>7</v>
      </c>
      <c r="I1678">
        <v>6.4</v>
      </c>
      <c r="J1678">
        <v>7.8</v>
      </c>
      <c r="K1678">
        <v>5.9</v>
      </c>
      <c r="L1678" s="1"/>
    </row>
    <row r="1679" spans="1:12">
      <c r="A1679" t="s">
        <v>1727</v>
      </c>
      <c r="B1679">
        <v>6.9</v>
      </c>
      <c r="C1679">
        <v>7.3</v>
      </c>
      <c r="D1679">
        <v>6.1</v>
      </c>
      <c r="E1679">
        <v>6.5</v>
      </c>
      <c r="F1679">
        <v>7.1</v>
      </c>
      <c r="G1679">
        <v>6.8</v>
      </c>
      <c r="H1679">
        <v>7.1</v>
      </c>
      <c r="I1679">
        <v>5.2</v>
      </c>
      <c r="J1679">
        <v>6.6</v>
      </c>
      <c r="K1679">
        <v>6.5</v>
      </c>
      <c r="L1679" s="1"/>
    </row>
    <row r="1680" spans="1:12">
      <c r="A1680" t="s">
        <v>1728</v>
      </c>
      <c r="B1680">
        <v>7.3</v>
      </c>
      <c r="C1680">
        <v>7.3</v>
      </c>
      <c r="D1680">
        <v>7.7</v>
      </c>
      <c r="E1680">
        <v>7.2</v>
      </c>
      <c r="F1680">
        <v>6.8</v>
      </c>
      <c r="G1680">
        <v>6.6</v>
      </c>
      <c r="H1680">
        <v>4.2</v>
      </c>
      <c r="I1680">
        <v>6.2</v>
      </c>
      <c r="J1680">
        <v>6.7</v>
      </c>
      <c r="K1680">
        <v>5.2</v>
      </c>
      <c r="L1680" s="1"/>
    </row>
    <row r="1681" spans="1:12">
      <c r="A1681" t="s">
        <v>1729</v>
      </c>
      <c r="B1681">
        <v>7.2</v>
      </c>
      <c r="C1681">
        <v>7.5</v>
      </c>
      <c r="D1681">
        <v>7.2</v>
      </c>
      <c r="E1681">
        <v>7.1</v>
      </c>
      <c r="F1681">
        <v>5.8</v>
      </c>
      <c r="G1681">
        <v>6.7</v>
      </c>
      <c r="H1681">
        <v>7.4</v>
      </c>
      <c r="I1681">
        <v>5.8</v>
      </c>
      <c r="J1681">
        <v>6.8</v>
      </c>
      <c r="K1681">
        <v>4.6</v>
      </c>
      <c r="L1681" s="1"/>
    </row>
    <row r="1682" spans="1:12">
      <c r="A1682" t="s">
        <v>1730</v>
      </c>
      <c r="B1682">
        <v>7.3</v>
      </c>
      <c r="C1682">
        <v>6.8</v>
      </c>
      <c r="D1682">
        <v>7.2</v>
      </c>
      <c r="E1682">
        <v>6.7</v>
      </c>
      <c r="F1682">
        <v>7.8</v>
      </c>
      <c r="G1682">
        <v>7.4</v>
      </c>
      <c r="H1682">
        <v>6.4</v>
      </c>
      <c r="I1682">
        <v>6.7</v>
      </c>
      <c r="J1682">
        <v>6.6</v>
      </c>
      <c r="K1682">
        <v>6</v>
      </c>
      <c r="L1682" s="1"/>
    </row>
    <row r="1683" spans="1:12">
      <c r="A1683" t="s">
        <v>1731</v>
      </c>
      <c r="B1683">
        <v>7.6</v>
      </c>
      <c r="C1683">
        <v>6.8</v>
      </c>
      <c r="D1683">
        <v>6.3</v>
      </c>
      <c r="E1683">
        <v>6.8</v>
      </c>
      <c r="F1683">
        <v>8.1</v>
      </c>
      <c r="G1683">
        <v>6.3</v>
      </c>
      <c r="H1683">
        <v>6.2</v>
      </c>
      <c r="I1683">
        <v>6.1</v>
      </c>
      <c r="J1683">
        <v>5.9</v>
      </c>
      <c r="K1683">
        <v>5.2</v>
      </c>
      <c r="L1683" s="1"/>
    </row>
    <row r="1684" spans="1:12">
      <c r="A1684" t="s">
        <v>1732</v>
      </c>
      <c r="B1684">
        <v>7.7</v>
      </c>
      <c r="C1684">
        <v>6.5</v>
      </c>
      <c r="D1684">
        <v>7.6</v>
      </c>
      <c r="E1684">
        <v>6.3</v>
      </c>
      <c r="F1684">
        <v>6.2</v>
      </c>
      <c r="G1684">
        <v>7.1</v>
      </c>
      <c r="H1684">
        <v>4.9</v>
      </c>
      <c r="I1684">
        <v>7</v>
      </c>
      <c r="J1684">
        <v>5.7</v>
      </c>
      <c r="K1684">
        <v>5.3</v>
      </c>
      <c r="L1684" s="1"/>
    </row>
    <row r="1685" spans="1:12">
      <c r="A1685" t="s">
        <v>1733</v>
      </c>
      <c r="B1685">
        <v>6.8</v>
      </c>
      <c r="C1685">
        <v>7.6</v>
      </c>
      <c r="D1685">
        <v>7.5</v>
      </c>
      <c r="E1685">
        <v>6.9</v>
      </c>
      <c r="F1685">
        <v>6.1</v>
      </c>
      <c r="G1685">
        <v>6.3</v>
      </c>
      <c r="H1685">
        <v>5.7</v>
      </c>
      <c r="I1685">
        <v>6</v>
      </c>
      <c r="J1685">
        <v>5.8</v>
      </c>
      <c r="K1685">
        <v>5.4</v>
      </c>
      <c r="L1685" s="1"/>
    </row>
    <row r="1686" spans="1:12">
      <c r="A1686" t="s">
        <v>1734</v>
      </c>
      <c r="B1686">
        <v>7.3</v>
      </c>
      <c r="C1686">
        <v>8</v>
      </c>
      <c r="D1686">
        <v>6.7</v>
      </c>
      <c r="E1686">
        <v>6.1</v>
      </c>
      <c r="F1686">
        <v>7</v>
      </c>
      <c r="G1686">
        <v>6.7</v>
      </c>
      <c r="H1686">
        <v>7.7</v>
      </c>
      <c r="I1686">
        <v>7.5</v>
      </c>
      <c r="J1686">
        <v>6.8</v>
      </c>
      <c r="K1686">
        <v>5</v>
      </c>
      <c r="L1686" s="1"/>
    </row>
    <row r="1687" spans="1:12">
      <c r="A1687" t="s">
        <v>1735</v>
      </c>
      <c r="B1687">
        <v>6.8</v>
      </c>
      <c r="C1687">
        <v>6.3</v>
      </c>
      <c r="D1687">
        <v>7.5</v>
      </c>
      <c r="E1687">
        <v>7.2</v>
      </c>
      <c r="F1687">
        <v>5.4</v>
      </c>
      <c r="G1687">
        <v>6.2</v>
      </c>
      <c r="H1687">
        <v>6.4</v>
      </c>
      <c r="I1687">
        <v>5.6</v>
      </c>
      <c r="J1687">
        <v>6.3</v>
      </c>
      <c r="K1687">
        <v>6.1</v>
      </c>
      <c r="L1687" s="1"/>
    </row>
    <row r="1688" spans="1:12">
      <c r="A1688" t="s">
        <v>1736</v>
      </c>
      <c r="B1688">
        <v>6.7</v>
      </c>
      <c r="C1688">
        <v>7.4</v>
      </c>
      <c r="D1688">
        <v>7.1</v>
      </c>
      <c r="E1688">
        <v>7.6</v>
      </c>
      <c r="F1688">
        <v>7.1</v>
      </c>
      <c r="G1688">
        <v>7.1</v>
      </c>
      <c r="H1688">
        <v>7.3</v>
      </c>
      <c r="I1688">
        <v>5.7</v>
      </c>
      <c r="J1688">
        <v>5.2</v>
      </c>
      <c r="K1688">
        <v>6.5</v>
      </c>
      <c r="L1688" s="1"/>
    </row>
    <row r="1689" spans="1:12">
      <c r="A1689" t="s">
        <v>1737</v>
      </c>
      <c r="B1689">
        <v>7.1</v>
      </c>
      <c r="C1689">
        <v>7</v>
      </c>
      <c r="D1689">
        <v>7.3</v>
      </c>
      <c r="E1689">
        <v>6.5</v>
      </c>
      <c r="F1689">
        <v>6.9</v>
      </c>
      <c r="G1689">
        <v>6.4</v>
      </c>
      <c r="H1689">
        <v>6.2</v>
      </c>
      <c r="I1689">
        <v>5.3</v>
      </c>
      <c r="J1689">
        <v>5.4</v>
      </c>
      <c r="K1689">
        <v>6.2</v>
      </c>
      <c r="L1689" s="1"/>
    </row>
    <row r="1690" spans="1:12">
      <c r="A1690" t="s">
        <v>1738</v>
      </c>
      <c r="B1690">
        <v>6.8</v>
      </c>
      <c r="C1690">
        <v>6.8</v>
      </c>
      <c r="D1690">
        <v>7</v>
      </c>
      <c r="E1690">
        <v>8.1</v>
      </c>
      <c r="F1690">
        <v>6.4</v>
      </c>
      <c r="G1690">
        <v>6.4</v>
      </c>
      <c r="H1690">
        <v>6.5</v>
      </c>
      <c r="I1690">
        <v>6.3</v>
      </c>
      <c r="J1690">
        <v>6</v>
      </c>
      <c r="K1690">
        <v>5.6</v>
      </c>
      <c r="L1690" s="1"/>
    </row>
    <row r="1691" spans="1:12">
      <c r="A1691" t="s">
        <v>1739</v>
      </c>
      <c r="B1691">
        <v>6.6</v>
      </c>
      <c r="C1691">
        <v>6.4</v>
      </c>
      <c r="D1691">
        <v>6.8</v>
      </c>
      <c r="E1691">
        <v>6.9</v>
      </c>
      <c r="F1691">
        <v>6.7</v>
      </c>
      <c r="G1691">
        <v>6.6</v>
      </c>
      <c r="H1691">
        <v>5.7</v>
      </c>
      <c r="I1691">
        <v>7.2</v>
      </c>
      <c r="J1691">
        <v>6.8</v>
      </c>
      <c r="K1691">
        <v>6</v>
      </c>
      <c r="L1691" s="1"/>
    </row>
    <row r="1692" spans="1:12">
      <c r="A1692" t="s">
        <v>1740</v>
      </c>
      <c r="B1692">
        <v>8.1</v>
      </c>
      <c r="C1692">
        <v>8</v>
      </c>
      <c r="D1692">
        <v>7.2</v>
      </c>
      <c r="E1692">
        <v>6.8</v>
      </c>
      <c r="F1692">
        <v>6.1</v>
      </c>
      <c r="G1692">
        <v>6.1</v>
      </c>
      <c r="H1692">
        <v>3.9</v>
      </c>
      <c r="I1692">
        <v>6</v>
      </c>
      <c r="J1692">
        <v>5.4</v>
      </c>
      <c r="K1692">
        <v>5.9</v>
      </c>
      <c r="L1692" s="1"/>
    </row>
    <row r="1693" spans="1:12">
      <c r="A1693" t="s">
        <v>1741</v>
      </c>
      <c r="B1693">
        <v>7.4</v>
      </c>
      <c r="C1693">
        <v>6.9</v>
      </c>
      <c r="D1693">
        <v>7.2</v>
      </c>
      <c r="E1693">
        <v>6.3</v>
      </c>
      <c r="F1693">
        <v>7</v>
      </c>
      <c r="G1693">
        <v>7.2</v>
      </c>
      <c r="H1693">
        <v>6.7</v>
      </c>
      <c r="I1693">
        <v>5.5</v>
      </c>
      <c r="J1693">
        <v>5.6</v>
      </c>
      <c r="K1693">
        <v>6.9</v>
      </c>
      <c r="L1693" s="1"/>
    </row>
    <row r="1694" spans="1:12">
      <c r="A1694" t="s">
        <v>1742</v>
      </c>
      <c r="B1694">
        <v>7.9</v>
      </c>
      <c r="C1694">
        <v>7</v>
      </c>
      <c r="D1694">
        <v>7.1</v>
      </c>
      <c r="E1694">
        <v>6.1</v>
      </c>
      <c r="F1694">
        <v>7.2</v>
      </c>
      <c r="G1694">
        <v>7.1</v>
      </c>
      <c r="H1694">
        <v>7.2</v>
      </c>
      <c r="I1694">
        <v>4.7</v>
      </c>
      <c r="J1694">
        <v>6.4</v>
      </c>
      <c r="K1694">
        <v>3.7</v>
      </c>
      <c r="L1694" s="1"/>
    </row>
    <row r="1695" spans="1:12">
      <c r="A1695" t="s">
        <v>1743</v>
      </c>
      <c r="B1695">
        <v>7.6</v>
      </c>
      <c r="C1695">
        <v>7.4</v>
      </c>
      <c r="D1695">
        <v>6</v>
      </c>
      <c r="E1695">
        <v>6.5</v>
      </c>
      <c r="F1695">
        <v>6.2</v>
      </c>
      <c r="G1695">
        <v>6.4</v>
      </c>
      <c r="H1695">
        <v>6.9</v>
      </c>
      <c r="I1695">
        <v>7</v>
      </c>
      <c r="J1695">
        <v>4.8</v>
      </c>
      <c r="K1695">
        <v>6.9</v>
      </c>
      <c r="L1695" s="1"/>
    </row>
    <row r="1696" spans="1:12">
      <c r="A1696" t="s">
        <v>1744</v>
      </c>
      <c r="B1696">
        <v>8.1</v>
      </c>
      <c r="C1696">
        <v>7</v>
      </c>
      <c r="D1696">
        <v>7.6</v>
      </c>
      <c r="E1696">
        <v>7.3</v>
      </c>
      <c r="F1696">
        <v>6.9</v>
      </c>
      <c r="G1696">
        <v>6.5</v>
      </c>
      <c r="H1696">
        <v>5.1</v>
      </c>
      <c r="I1696">
        <v>4.5</v>
      </c>
      <c r="J1696">
        <v>5.1</v>
      </c>
      <c r="K1696">
        <v>3.5</v>
      </c>
      <c r="L1696" s="1"/>
    </row>
    <row r="1697" spans="1:12">
      <c r="A1697" t="s">
        <v>1745</v>
      </c>
      <c r="B1697">
        <v>8.3</v>
      </c>
      <c r="C1697">
        <v>7.1</v>
      </c>
      <c r="D1697">
        <v>6.6</v>
      </c>
      <c r="E1697">
        <v>7.4</v>
      </c>
      <c r="F1697">
        <v>6.7</v>
      </c>
      <c r="G1697">
        <v>5.9</v>
      </c>
      <c r="H1697">
        <v>6.1</v>
      </c>
      <c r="I1697">
        <v>6.1</v>
      </c>
      <c r="J1697">
        <v>6.7</v>
      </c>
      <c r="K1697">
        <v>5.8</v>
      </c>
      <c r="L1697" s="1"/>
    </row>
    <row r="1698" spans="1:12">
      <c r="A1698" t="s">
        <v>1746</v>
      </c>
      <c r="B1698">
        <v>6.4</v>
      </c>
      <c r="C1698">
        <v>7.5</v>
      </c>
      <c r="D1698">
        <v>8.1</v>
      </c>
      <c r="E1698">
        <v>7.5</v>
      </c>
      <c r="F1698">
        <v>7</v>
      </c>
      <c r="G1698">
        <v>7.2</v>
      </c>
      <c r="H1698">
        <v>8.3</v>
      </c>
      <c r="I1698">
        <v>6.4</v>
      </c>
      <c r="J1698">
        <v>6.8</v>
      </c>
      <c r="K1698">
        <v>4.9</v>
      </c>
      <c r="L1698" s="1"/>
    </row>
    <row r="1699" spans="1:12">
      <c r="A1699" t="s">
        <v>1747</v>
      </c>
      <c r="B1699">
        <v>6.9</v>
      </c>
      <c r="C1699">
        <v>7.2</v>
      </c>
      <c r="D1699">
        <v>7.1</v>
      </c>
      <c r="E1699">
        <v>5.9</v>
      </c>
      <c r="F1699">
        <v>5.9</v>
      </c>
      <c r="G1699">
        <v>5.3</v>
      </c>
      <c r="H1699">
        <v>6</v>
      </c>
      <c r="I1699">
        <v>6.5</v>
      </c>
      <c r="J1699">
        <v>5</v>
      </c>
      <c r="K1699">
        <v>5.1</v>
      </c>
      <c r="L1699" s="1"/>
    </row>
    <row r="1700" spans="1:12">
      <c r="A1700" t="s">
        <v>1748</v>
      </c>
      <c r="B1700">
        <v>6.9</v>
      </c>
      <c r="C1700">
        <v>7</v>
      </c>
      <c r="D1700">
        <v>6.8</v>
      </c>
      <c r="E1700">
        <v>8.2</v>
      </c>
      <c r="F1700">
        <v>6.1</v>
      </c>
      <c r="G1700">
        <v>6.9</v>
      </c>
      <c r="H1700">
        <v>6.6</v>
      </c>
      <c r="I1700">
        <v>6.3</v>
      </c>
      <c r="J1700">
        <v>6.7</v>
      </c>
      <c r="K1700">
        <v>5.8</v>
      </c>
      <c r="L1700" s="1"/>
    </row>
    <row r="1701" spans="1:12">
      <c r="A1701" t="s">
        <v>1749</v>
      </c>
      <c r="B1701">
        <v>7.6</v>
      </c>
      <c r="C1701">
        <v>6.6</v>
      </c>
      <c r="D1701">
        <v>7.4</v>
      </c>
      <c r="E1701">
        <v>6.9</v>
      </c>
      <c r="F1701">
        <v>7.9</v>
      </c>
      <c r="G1701">
        <v>6.5</v>
      </c>
      <c r="H1701">
        <v>6.6</v>
      </c>
      <c r="I1701">
        <v>6.9</v>
      </c>
      <c r="J1701">
        <v>6.4</v>
      </c>
      <c r="K1701">
        <v>7.1</v>
      </c>
      <c r="L1701" s="1"/>
    </row>
    <row r="1702" spans="1:12">
      <c r="A1702" t="s">
        <v>1750</v>
      </c>
      <c r="B1702">
        <v>7.8</v>
      </c>
      <c r="C1702">
        <v>8.3</v>
      </c>
      <c r="D1702">
        <v>7.7</v>
      </c>
      <c r="E1702">
        <v>7.7</v>
      </c>
      <c r="F1702">
        <v>6.5</v>
      </c>
      <c r="G1702">
        <v>7.1</v>
      </c>
      <c r="H1702">
        <v>8.2</v>
      </c>
      <c r="I1702">
        <v>7.7</v>
      </c>
      <c r="J1702">
        <v>6.9</v>
      </c>
      <c r="K1702">
        <v>6.2</v>
      </c>
      <c r="L1702" s="1"/>
    </row>
    <row r="1703" spans="1:12">
      <c r="A1703" t="s">
        <v>1751</v>
      </c>
      <c r="B1703">
        <v>8</v>
      </c>
      <c r="C1703">
        <v>8</v>
      </c>
      <c r="D1703">
        <v>6.9</v>
      </c>
      <c r="E1703">
        <v>8.3</v>
      </c>
      <c r="F1703">
        <v>6.4</v>
      </c>
      <c r="G1703">
        <v>7.5</v>
      </c>
      <c r="H1703">
        <v>7.5</v>
      </c>
      <c r="I1703">
        <v>6.3</v>
      </c>
      <c r="J1703">
        <v>6.3</v>
      </c>
      <c r="K1703">
        <v>5.7</v>
      </c>
      <c r="L1703" s="1"/>
    </row>
    <row r="1704" spans="1:12">
      <c r="A1704" t="s">
        <v>1752</v>
      </c>
      <c r="B1704">
        <v>7.6</v>
      </c>
      <c r="C1704">
        <v>8.1</v>
      </c>
      <c r="D1704">
        <v>8.2</v>
      </c>
      <c r="E1704">
        <v>7.8</v>
      </c>
      <c r="F1704">
        <v>8</v>
      </c>
      <c r="G1704">
        <v>7.9</v>
      </c>
      <c r="H1704">
        <v>7.2</v>
      </c>
      <c r="I1704">
        <v>7.5</v>
      </c>
      <c r="J1704">
        <v>6.1</v>
      </c>
      <c r="K1704">
        <v>4.4</v>
      </c>
      <c r="L1704" s="1"/>
    </row>
    <row r="1705" spans="1:12">
      <c r="A1705" t="s">
        <v>1753</v>
      </c>
      <c r="B1705">
        <v>7.8</v>
      </c>
      <c r="C1705">
        <v>8.5</v>
      </c>
      <c r="D1705">
        <v>8.5</v>
      </c>
      <c r="E1705">
        <v>8.8</v>
      </c>
      <c r="F1705">
        <v>6.8</v>
      </c>
      <c r="G1705">
        <v>6.7</v>
      </c>
      <c r="H1705">
        <v>7.3</v>
      </c>
      <c r="I1705">
        <v>7.4</v>
      </c>
      <c r="J1705">
        <v>6</v>
      </c>
      <c r="K1705">
        <v>5.9</v>
      </c>
      <c r="L1705" s="1"/>
    </row>
    <row r="1706" spans="1:12">
      <c r="A1706" t="s">
        <v>1754</v>
      </c>
      <c r="B1706">
        <v>7.8</v>
      </c>
      <c r="C1706">
        <v>7.6</v>
      </c>
      <c r="D1706">
        <v>7.9</v>
      </c>
      <c r="E1706">
        <v>7.8</v>
      </c>
      <c r="F1706">
        <v>7.6</v>
      </c>
      <c r="G1706">
        <v>8.2</v>
      </c>
      <c r="H1706">
        <v>7</v>
      </c>
      <c r="I1706">
        <v>6.7</v>
      </c>
      <c r="J1706">
        <v>7.8</v>
      </c>
      <c r="K1706">
        <v>6.6</v>
      </c>
      <c r="L1706" s="1"/>
    </row>
    <row r="1707" spans="1:12">
      <c r="A1707" t="s">
        <v>1755</v>
      </c>
      <c r="B1707">
        <v>8.4</v>
      </c>
      <c r="C1707">
        <v>8.1</v>
      </c>
      <c r="D1707">
        <v>8.8</v>
      </c>
      <c r="E1707">
        <v>7.6</v>
      </c>
      <c r="F1707">
        <v>7.1</v>
      </c>
      <c r="G1707">
        <v>6.1</v>
      </c>
      <c r="H1707">
        <v>7.3</v>
      </c>
      <c r="I1707">
        <v>5.2</v>
      </c>
      <c r="J1707">
        <v>6.7</v>
      </c>
      <c r="K1707">
        <v>7</v>
      </c>
      <c r="L1707" s="1"/>
    </row>
    <row r="1708" spans="1:12">
      <c r="A1708" t="s">
        <v>1756</v>
      </c>
      <c r="B1708">
        <v>8.1</v>
      </c>
      <c r="C1708">
        <v>8.1</v>
      </c>
      <c r="D1708">
        <v>8.6</v>
      </c>
      <c r="E1708">
        <v>7.8</v>
      </c>
      <c r="F1708">
        <v>7</v>
      </c>
      <c r="G1708">
        <v>6.7</v>
      </c>
      <c r="H1708">
        <v>6.8</v>
      </c>
      <c r="I1708">
        <v>7.8</v>
      </c>
      <c r="J1708">
        <v>7.1</v>
      </c>
      <c r="K1708">
        <v>6.4</v>
      </c>
      <c r="L1708" s="1"/>
    </row>
    <row r="1709" spans="1:12">
      <c r="A1709" t="s">
        <v>1757</v>
      </c>
      <c r="B1709">
        <v>7.8</v>
      </c>
      <c r="C1709">
        <v>8</v>
      </c>
      <c r="D1709">
        <v>6.7</v>
      </c>
      <c r="E1709">
        <v>7.3</v>
      </c>
      <c r="F1709">
        <v>6.8</v>
      </c>
      <c r="G1709">
        <v>7.8</v>
      </c>
      <c r="H1709">
        <v>7.8</v>
      </c>
      <c r="I1709">
        <v>6.1</v>
      </c>
      <c r="J1709">
        <v>6.3</v>
      </c>
      <c r="K1709">
        <v>5.8</v>
      </c>
      <c r="L1709" s="1"/>
    </row>
    <row r="1710" spans="1:12">
      <c r="A1710" t="s">
        <v>1758</v>
      </c>
      <c r="B1710">
        <v>7.7</v>
      </c>
      <c r="C1710">
        <v>7.5</v>
      </c>
      <c r="D1710">
        <v>8.6</v>
      </c>
      <c r="E1710">
        <v>6.4</v>
      </c>
      <c r="F1710">
        <v>7.2</v>
      </c>
      <c r="G1710">
        <v>7.3</v>
      </c>
      <c r="H1710">
        <v>7.4</v>
      </c>
      <c r="I1710">
        <v>6.9</v>
      </c>
      <c r="J1710">
        <v>7.7</v>
      </c>
      <c r="K1710">
        <v>6.4</v>
      </c>
      <c r="L1710" s="1"/>
    </row>
    <row r="1711" spans="1:12">
      <c r="A1711" t="s">
        <v>1759</v>
      </c>
      <c r="B1711">
        <v>8.9</v>
      </c>
      <c r="C1711">
        <v>8</v>
      </c>
      <c r="D1711">
        <v>6.9</v>
      </c>
      <c r="E1711">
        <v>8.1</v>
      </c>
      <c r="F1711">
        <v>6.3</v>
      </c>
      <c r="G1711">
        <v>5.7</v>
      </c>
      <c r="H1711">
        <v>7</v>
      </c>
      <c r="I1711">
        <v>7</v>
      </c>
      <c r="J1711">
        <v>7.4</v>
      </c>
      <c r="K1711">
        <v>5.1</v>
      </c>
      <c r="L1711" s="1"/>
    </row>
    <row r="1712" spans="1:12">
      <c r="A1712" t="s">
        <v>1760</v>
      </c>
      <c r="B1712">
        <v>8</v>
      </c>
      <c r="C1712">
        <v>7.7</v>
      </c>
      <c r="D1712">
        <v>8.8</v>
      </c>
      <c r="E1712">
        <v>7.8</v>
      </c>
      <c r="F1712">
        <v>6</v>
      </c>
      <c r="G1712">
        <v>8.1</v>
      </c>
      <c r="H1712">
        <v>7.6</v>
      </c>
      <c r="I1712">
        <v>7.9</v>
      </c>
      <c r="J1712">
        <v>7</v>
      </c>
      <c r="K1712">
        <v>5.3</v>
      </c>
      <c r="L1712" s="1"/>
    </row>
    <row r="1713" spans="1:12">
      <c r="A1713" t="s">
        <v>1761</v>
      </c>
      <c r="B1713">
        <v>7.5</v>
      </c>
      <c r="C1713">
        <v>8.1</v>
      </c>
      <c r="D1713">
        <v>7</v>
      </c>
      <c r="E1713">
        <v>7.6</v>
      </c>
      <c r="F1713">
        <v>7.3</v>
      </c>
      <c r="G1713">
        <v>8.2</v>
      </c>
      <c r="H1713">
        <v>7.1</v>
      </c>
      <c r="I1713">
        <v>6.6</v>
      </c>
      <c r="J1713">
        <v>7.9</v>
      </c>
      <c r="K1713">
        <v>5.8</v>
      </c>
      <c r="L1713" s="1"/>
    </row>
    <row r="1714" spans="1:12">
      <c r="A1714" t="s">
        <v>1762</v>
      </c>
      <c r="B1714">
        <v>8.1</v>
      </c>
      <c r="C1714">
        <v>8.1</v>
      </c>
      <c r="D1714">
        <v>7.3</v>
      </c>
      <c r="E1714">
        <v>7.9</v>
      </c>
      <c r="F1714">
        <v>7.7</v>
      </c>
      <c r="G1714">
        <v>7.5</v>
      </c>
      <c r="H1714">
        <v>8.1</v>
      </c>
      <c r="I1714">
        <v>5.1</v>
      </c>
      <c r="J1714">
        <v>5.9</v>
      </c>
      <c r="K1714">
        <v>5.1</v>
      </c>
      <c r="L1714" s="1"/>
    </row>
    <row r="1715" spans="1:12">
      <c r="A1715" t="s">
        <v>1763</v>
      </c>
      <c r="B1715">
        <v>9.3</v>
      </c>
      <c r="C1715">
        <v>7.4</v>
      </c>
      <c r="D1715">
        <v>7.1</v>
      </c>
      <c r="E1715">
        <v>7.4</v>
      </c>
      <c r="F1715">
        <v>6.3</v>
      </c>
      <c r="G1715">
        <v>6.9</v>
      </c>
      <c r="H1715">
        <v>5.9</v>
      </c>
      <c r="I1715">
        <v>6.9</v>
      </c>
      <c r="J1715">
        <v>7.9</v>
      </c>
      <c r="K1715">
        <v>4.8</v>
      </c>
      <c r="L1715" s="1"/>
    </row>
    <row r="1716" spans="1:12">
      <c r="A1716" t="s">
        <v>1764</v>
      </c>
      <c r="B1716">
        <v>7.5</v>
      </c>
      <c r="C1716">
        <v>9.1</v>
      </c>
      <c r="D1716">
        <v>8.7</v>
      </c>
      <c r="E1716">
        <v>8.5</v>
      </c>
      <c r="F1716">
        <v>7.4</v>
      </c>
      <c r="G1716">
        <v>7</v>
      </c>
      <c r="H1716">
        <v>7.1</v>
      </c>
      <c r="I1716">
        <v>5.9</v>
      </c>
      <c r="J1716">
        <v>6</v>
      </c>
      <c r="K1716">
        <v>7.1</v>
      </c>
      <c r="L1716" s="1"/>
    </row>
    <row r="1717" spans="1:12">
      <c r="A1717" t="s">
        <v>1765</v>
      </c>
      <c r="B1717">
        <v>8.6</v>
      </c>
      <c r="C1717">
        <v>7.1</v>
      </c>
      <c r="D1717">
        <v>7.1</v>
      </c>
      <c r="E1717">
        <v>7.9</v>
      </c>
      <c r="F1717">
        <v>7.3</v>
      </c>
      <c r="G1717">
        <v>6.7</v>
      </c>
      <c r="H1717">
        <v>6.3</v>
      </c>
      <c r="I1717">
        <v>7.2</v>
      </c>
      <c r="J1717">
        <v>6.2</v>
      </c>
      <c r="K1717">
        <v>5.9</v>
      </c>
      <c r="L1717" s="1"/>
    </row>
    <row r="1718" spans="1:12">
      <c r="A1718" t="s">
        <v>1766</v>
      </c>
      <c r="B1718">
        <v>8.5</v>
      </c>
      <c r="C1718">
        <v>8.4</v>
      </c>
      <c r="D1718">
        <v>6.9</v>
      </c>
      <c r="E1718">
        <v>8.2</v>
      </c>
      <c r="F1718">
        <v>8</v>
      </c>
      <c r="G1718">
        <v>6.6</v>
      </c>
      <c r="H1718">
        <v>5.2</v>
      </c>
      <c r="I1718">
        <v>8.4</v>
      </c>
      <c r="J1718">
        <v>7.3</v>
      </c>
      <c r="K1718">
        <v>7.1</v>
      </c>
      <c r="L1718" s="1"/>
    </row>
    <row r="1719" spans="1:12">
      <c r="A1719" t="s">
        <v>1767</v>
      </c>
      <c r="B1719">
        <v>7.7</v>
      </c>
      <c r="C1719">
        <v>8.2</v>
      </c>
      <c r="D1719">
        <v>7.5</v>
      </c>
      <c r="E1719">
        <v>8.4</v>
      </c>
      <c r="F1719">
        <v>6.7</v>
      </c>
      <c r="G1719">
        <v>7.4</v>
      </c>
      <c r="H1719">
        <v>7.3</v>
      </c>
      <c r="I1719">
        <v>7.7</v>
      </c>
      <c r="J1719">
        <v>5.7</v>
      </c>
      <c r="K1719">
        <v>5.3</v>
      </c>
      <c r="L1719" s="1"/>
    </row>
    <row r="1720" spans="1:12">
      <c r="A1720" t="s">
        <v>1768</v>
      </c>
      <c r="B1720">
        <v>9.2</v>
      </c>
      <c r="C1720">
        <v>8.2</v>
      </c>
      <c r="D1720">
        <v>7.4</v>
      </c>
      <c r="E1720">
        <v>7.6</v>
      </c>
      <c r="F1720">
        <v>5.7</v>
      </c>
      <c r="G1720">
        <v>6</v>
      </c>
      <c r="H1720">
        <v>7.1</v>
      </c>
      <c r="I1720">
        <v>6.3</v>
      </c>
      <c r="J1720">
        <v>5.8</v>
      </c>
      <c r="K1720">
        <v>7.3</v>
      </c>
      <c r="L1720" s="1"/>
    </row>
    <row r="1721" spans="1:12">
      <c r="A1721" t="s">
        <v>1769</v>
      </c>
      <c r="B1721">
        <v>8.2</v>
      </c>
      <c r="C1721">
        <v>8.9</v>
      </c>
      <c r="D1721">
        <v>7.5</v>
      </c>
      <c r="E1721">
        <v>7.4</v>
      </c>
      <c r="F1721">
        <v>7.7</v>
      </c>
      <c r="G1721">
        <v>6.9</v>
      </c>
      <c r="H1721">
        <v>8.1</v>
      </c>
      <c r="I1721">
        <v>5.5</v>
      </c>
      <c r="J1721">
        <v>7.1</v>
      </c>
      <c r="K1721">
        <v>7.2</v>
      </c>
      <c r="L1721" s="1"/>
    </row>
    <row r="1722" spans="1:12">
      <c r="A1722" t="s">
        <v>1770</v>
      </c>
      <c r="B1722">
        <v>8.1</v>
      </c>
      <c r="C1722">
        <v>7.7</v>
      </c>
      <c r="D1722">
        <v>7.9</v>
      </c>
      <c r="E1722">
        <v>7.7</v>
      </c>
      <c r="F1722">
        <v>7.4</v>
      </c>
      <c r="G1722">
        <v>6.7</v>
      </c>
      <c r="H1722">
        <v>7.7</v>
      </c>
      <c r="I1722">
        <v>8.5</v>
      </c>
      <c r="J1722">
        <v>7.7</v>
      </c>
      <c r="K1722">
        <v>5.9</v>
      </c>
      <c r="L1722" s="1"/>
    </row>
    <row r="1723" spans="1:12">
      <c r="A1723" t="s">
        <v>1771</v>
      </c>
      <c r="B1723">
        <v>7.9</v>
      </c>
      <c r="C1723">
        <v>8.2</v>
      </c>
      <c r="D1723">
        <v>9.1</v>
      </c>
      <c r="E1723">
        <v>7.1</v>
      </c>
      <c r="F1723">
        <v>6.4</v>
      </c>
      <c r="G1723">
        <v>6.2</v>
      </c>
      <c r="H1723">
        <v>5.5</v>
      </c>
      <c r="I1723">
        <v>7.6</v>
      </c>
      <c r="J1723">
        <v>5.8</v>
      </c>
      <c r="K1723">
        <v>7.2</v>
      </c>
      <c r="L1723" s="1"/>
    </row>
    <row r="1724" spans="1:12">
      <c r="A1724" t="s">
        <v>1772</v>
      </c>
      <c r="B1724">
        <v>8.8</v>
      </c>
      <c r="C1724">
        <v>6.9</v>
      </c>
      <c r="D1724">
        <v>8.2</v>
      </c>
      <c r="E1724">
        <v>7</v>
      </c>
      <c r="F1724">
        <v>8</v>
      </c>
      <c r="G1724">
        <v>7.3</v>
      </c>
      <c r="H1724">
        <v>6</v>
      </c>
      <c r="I1724">
        <v>5.4</v>
      </c>
      <c r="J1724">
        <v>5.1</v>
      </c>
      <c r="K1724">
        <v>7.9</v>
      </c>
      <c r="L1724" s="1"/>
    </row>
    <row r="1725" spans="1:12">
      <c r="A1725" t="s">
        <v>1773</v>
      </c>
      <c r="B1725">
        <v>8.2</v>
      </c>
      <c r="C1725">
        <v>7.6</v>
      </c>
      <c r="D1725">
        <v>6.2</v>
      </c>
      <c r="E1725">
        <v>8.1</v>
      </c>
      <c r="F1725">
        <v>7.8</v>
      </c>
      <c r="G1725">
        <v>6.9</v>
      </c>
      <c r="H1725">
        <v>7.8</v>
      </c>
      <c r="I1725">
        <v>9</v>
      </c>
      <c r="J1725">
        <v>8.6</v>
      </c>
      <c r="K1725">
        <v>6.2</v>
      </c>
      <c r="L1725" s="1"/>
    </row>
    <row r="1726" spans="1:12">
      <c r="A1726" t="s">
        <v>1774</v>
      </c>
      <c r="B1726">
        <v>8.3</v>
      </c>
      <c r="C1726">
        <v>7.2</v>
      </c>
      <c r="D1726">
        <v>7.9</v>
      </c>
      <c r="E1726">
        <v>7.8</v>
      </c>
      <c r="F1726">
        <v>8.1</v>
      </c>
      <c r="G1726">
        <v>7.2</v>
      </c>
      <c r="H1726">
        <v>6.2</v>
      </c>
      <c r="I1726">
        <v>7.8</v>
      </c>
      <c r="J1726">
        <v>5.8</v>
      </c>
      <c r="K1726">
        <v>6.9</v>
      </c>
      <c r="L1726" s="1"/>
    </row>
    <row r="1727" spans="1:12">
      <c r="A1727" t="s">
        <v>1775</v>
      </c>
      <c r="B1727">
        <v>9.3</v>
      </c>
      <c r="C1727">
        <v>7.3</v>
      </c>
      <c r="D1727">
        <v>8.1</v>
      </c>
      <c r="E1727">
        <v>7.2</v>
      </c>
      <c r="F1727">
        <v>7.8</v>
      </c>
      <c r="G1727">
        <v>7.2</v>
      </c>
      <c r="H1727">
        <v>5.5</v>
      </c>
      <c r="I1727">
        <v>5.9</v>
      </c>
      <c r="J1727">
        <v>4.6</v>
      </c>
      <c r="K1727">
        <v>4.6</v>
      </c>
      <c r="L1727" s="1"/>
    </row>
    <row r="1728" spans="1:12">
      <c r="A1728" t="s">
        <v>1776</v>
      </c>
      <c r="B1728">
        <v>7.8</v>
      </c>
      <c r="C1728">
        <v>8</v>
      </c>
      <c r="D1728">
        <v>8.5</v>
      </c>
      <c r="E1728">
        <v>7</v>
      </c>
      <c r="F1728">
        <v>8.6</v>
      </c>
      <c r="G1728">
        <v>7.4</v>
      </c>
      <c r="H1728">
        <v>5.6</v>
      </c>
      <c r="I1728">
        <v>6.3</v>
      </c>
      <c r="J1728">
        <v>4.9</v>
      </c>
      <c r="K1728">
        <v>5.6</v>
      </c>
      <c r="L1728" s="1"/>
    </row>
    <row r="1729" spans="1:12">
      <c r="A1729" t="s">
        <v>1777</v>
      </c>
      <c r="B1729">
        <v>8</v>
      </c>
      <c r="C1729">
        <v>7.7</v>
      </c>
      <c r="D1729">
        <v>7</v>
      </c>
      <c r="E1729">
        <v>7.8</v>
      </c>
      <c r="F1729">
        <v>5.8</v>
      </c>
      <c r="G1729">
        <v>6.5</v>
      </c>
      <c r="H1729">
        <v>6.6</v>
      </c>
      <c r="I1729">
        <v>6.8</v>
      </c>
      <c r="J1729">
        <v>7.8</v>
      </c>
      <c r="K1729">
        <v>5.7</v>
      </c>
      <c r="L1729" s="1"/>
    </row>
    <row r="1730" spans="1:12">
      <c r="A1730" t="s">
        <v>1778</v>
      </c>
      <c r="B1730">
        <v>7.8</v>
      </c>
      <c r="C1730">
        <v>8.5</v>
      </c>
      <c r="D1730">
        <v>7.5</v>
      </c>
      <c r="E1730">
        <v>8.8</v>
      </c>
      <c r="F1730">
        <v>7.2</v>
      </c>
      <c r="G1730">
        <v>5.2</v>
      </c>
      <c r="H1730">
        <v>6.4</v>
      </c>
      <c r="I1730">
        <v>5.1</v>
      </c>
      <c r="J1730">
        <v>6.8</v>
      </c>
      <c r="K1730">
        <v>4.6</v>
      </c>
      <c r="L1730" s="1"/>
    </row>
    <row r="1731" spans="1:12">
      <c r="A1731" t="s">
        <v>1779</v>
      </c>
      <c r="B1731">
        <v>8.3</v>
      </c>
      <c r="C1731">
        <v>7.4</v>
      </c>
      <c r="D1731">
        <v>8.5</v>
      </c>
      <c r="E1731">
        <v>7.2</v>
      </c>
      <c r="F1731">
        <v>7.3</v>
      </c>
      <c r="G1731">
        <v>6.1</v>
      </c>
      <c r="H1731">
        <v>7.2</v>
      </c>
      <c r="I1731">
        <v>7.4</v>
      </c>
      <c r="J1731">
        <v>5.8</v>
      </c>
      <c r="K1731">
        <v>8.1</v>
      </c>
      <c r="L1731" s="1"/>
    </row>
    <row r="1732" spans="1:12">
      <c r="A1732" t="s">
        <v>1780</v>
      </c>
      <c r="B1732">
        <v>7.6</v>
      </c>
      <c r="C1732">
        <v>7.9</v>
      </c>
      <c r="D1732">
        <v>8.2</v>
      </c>
      <c r="E1732">
        <v>8.5</v>
      </c>
      <c r="F1732">
        <v>8.1</v>
      </c>
      <c r="G1732">
        <v>6.9</v>
      </c>
      <c r="H1732">
        <v>6</v>
      </c>
      <c r="I1732">
        <v>7.7</v>
      </c>
      <c r="J1732">
        <v>6.3</v>
      </c>
      <c r="K1732">
        <v>5.8</v>
      </c>
      <c r="L1732" s="1"/>
    </row>
    <row r="1733" spans="1:12">
      <c r="A1733" t="s">
        <v>1781</v>
      </c>
      <c r="B1733">
        <v>8.3</v>
      </c>
      <c r="C1733">
        <v>9.1</v>
      </c>
      <c r="D1733">
        <v>8.9</v>
      </c>
      <c r="E1733">
        <v>7.3</v>
      </c>
      <c r="F1733">
        <v>7.3</v>
      </c>
      <c r="G1733">
        <v>7.5</v>
      </c>
      <c r="H1733">
        <v>6.5</v>
      </c>
      <c r="I1733">
        <v>6.8</v>
      </c>
      <c r="J1733">
        <v>6</v>
      </c>
      <c r="K1733">
        <v>7.6</v>
      </c>
      <c r="L1733" s="1"/>
    </row>
    <row r="1734" spans="1:12">
      <c r="A1734" t="s">
        <v>1782</v>
      </c>
      <c r="B1734">
        <v>7.8</v>
      </c>
      <c r="C1734">
        <v>7.2</v>
      </c>
      <c r="D1734">
        <v>8.2</v>
      </c>
      <c r="E1734">
        <v>8.3</v>
      </c>
      <c r="F1734">
        <v>7.3</v>
      </c>
      <c r="G1734">
        <v>8.1</v>
      </c>
      <c r="H1734">
        <v>7.1</v>
      </c>
      <c r="I1734">
        <v>7.3</v>
      </c>
      <c r="J1734">
        <v>7.3</v>
      </c>
      <c r="K1734">
        <v>6.5</v>
      </c>
      <c r="L1734" s="1"/>
    </row>
    <row r="1735" spans="1:12">
      <c r="A1735" t="s">
        <v>1783</v>
      </c>
      <c r="B1735">
        <v>8.2</v>
      </c>
      <c r="C1735">
        <v>8.1</v>
      </c>
      <c r="D1735">
        <v>7.4</v>
      </c>
      <c r="E1735">
        <v>6.8</v>
      </c>
      <c r="F1735">
        <v>7</v>
      </c>
      <c r="G1735">
        <v>7.6</v>
      </c>
      <c r="H1735">
        <v>6.8</v>
      </c>
      <c r="I1735">
        <v>8.5</v>
      </c>
      <c r="J1735">
        <v>6</v>
      </c>
      <c r="K1735">
        <v>5.9</v>
      </c>
      <c r="L1735" s="1"/>
    </row>
    <row r="1736" spans="1:12">
      <c r="A1736" t="s">
        <v>1784</v>
      </c>
      <c r="B1736">
        <v>8.3</v>
      </c>
      <c r="C1736">
        <v>7.9</v>
      </c>
      <c r="D1736">
        <v>7.3</v>
      </c>
      <c r="E1736">
        <v>8</v>
      </c>
      <c r="F1736">
        <v>6.3</v>
      </c>
      <c r="G1736">
        <v>6.9</v>
      </c>
      <c r="H1736">
        <v>7</v>
      </c>
      <c r="I1736">
        <v>8.1</v>
      </c>
      <c r="J1736">
        <v>6.1</v>
      </c>
      <c r="K1736">
        <v>6</v>
      </c>
      <c r="L1736" s="1"/>
    </row>
    <row r="1737" spans="1:12">
      <c r="A1737" t="s">
        <v>1785</v>
      </c>
      <c r="B1737">
        <v>7.7</v>
      </c>
      <c r="C1737">
        <v>8.2</v>
      </c>
      <c r="D1737">
        <v>7.2</v>
      </c>
      <c r="E1737">
        <v>7.1</v>
      </c>
      <c r="F1737">
        <v>8.2</v>
      </c>
      <c r="G1737">
        <v>7</v>
      </c>
      <c r="H1737">
        <v>5.8</v>
      </c>
      <c r="I1737">
        <v>7.1</v>
      </c>
      <c r="J1737">
        <v>5.1</v>
      </c>
      <c r="K1737">
        <v>4.9</v>
      </c>
      <c r="L1737" s="1"/>
    </row>
    <row r="1738" spans="1:12">
      <c r="A1738" t="s">
        <v>1786</v>
      </c>
      <c r="B1738">
        <v>8.5</v>
      </c>
      <c r="C1738">
        <v>8.9</v>
      </c>
      <c r="D1738">
        <v>8.6</v>
      </c>
      <c r="E1738">
        <v>6.3</v>
      </c>
      <c r="F1738">
        <v>8.7</v>
      </c>
      <c r="G1738">
        <v>6</v>
      </c>
      <c r="H1738">
        <v>6.4</v>
      </c>
      <c r="I1738">
        <v>6</v>
      </c>
      <c r="J1738">
        <v>6.6</v>
      </c>
      <c r="K1738">
        <v>7.3</v>
      </c>
      <c r="L1738" s="1"/>
    </row>
    <row r="1739" spans="1:12">
      <c r="A1739" t="s">
        <v>1787</v>
      </c>
      <c r="B1739">
        <v>8.2</v>
      </c>
      <c r="C1739">
        <v>7.7</v>
      </c>
      <c r="D1739">
        <v>9.1</v>
      </c>
      <c r="E1739">
        <v>7.1</v>
      </c>
      <c r="F1739">
        <v>8</v>
      </c>
      <c r="G1739">
        <v>7.1</v>
      </c>
      <c r="H1739">
        <v>7.9</v>
      </c>
      <c r="I1739">
        <v>6.9</v>
      </c>
      <c r="J1739">
        <v>6.3</v>
      </c>
      <c r="K1739">
        <v>6.1</v>
      </c>
      <c r="L1739" s="1"/>
    </row>
    <row r="1740" spans="1:12">
      <c r="A1740" t="s">
        <v>1788</v>
      </c>
      <c r="B1740">
        <v>8.6</v>
      </c>
      <c r="C1740">
        <v>7.2</v>
      </c>
      <c r="D1740">
        <v>7.5</v>
      </c>
      <c r="E1740">
        <v>6.4</v>
      </c>
      <c r="F1740">
        <v>7</v>
      </c>
      <c r="G1740">
        <v>5.5</v>
      </c>
      <c r="H1740">
        <v>5.8</v>
      </c>
      <c r="I1740">
        <v>5.6</v>
      </c>
      <c r="J1740">
        <v>7.5</v>
      </c>
      <c r="K1740">
        <v>4.7</v>
      </c>
      <c r="L1740" s="1"/>
    </row>
    <row r="1741" spans="1:12">
      <c r="A1741" t="s">
        <v>1789</v>
      </c>
      <c r="B1741">
        <v>8</v>
      </c>
      <c r="C1741">
        <v>8.8</v>
      </c>
      <c r="D1741">
        <v>7.1</v>
      </c>
      <c r="E1741">
        <v>7.6</v>
      </c>
      <c r="F1741">
        <v>6.8</v>
      </c>
      <c r="G1741">
        <v>5.9</v>
      </c>
      <c r="H1741">
        <v>7.7</v>
      </c>
      <c r="I1741">
        <v>5.9</v>
      </c>
      <c r="J1741">
        <v>5.8</v>
      </c>
      <c r="K1741">
        <v>3.2</v>
      </c>
      <c r="L1741" s="1"/>
    </row>
    <row r="1742" spans="1:12">
      <c r="A1742" t="s">
        <v>1790</v>
      </c>
      <c r="B1742">
        <v>8.2</v>
      </c>
      <c r="C1742">
        <v>8.6</v>
      </c>
      <c r="D1742">
        <v>8.1</v>
      </c>
      <c r="E1742">
        <v>8.1</v>
      </c>
      <c r="F1742">
        <v>7.6</v>
      </c>
      <c r="G1742">
        <v>7.2</v>
      </c>
      <c r="H1742">
        <v>6.5</v>
      </c>
      <c r="I1742">
        <v>6.6</v>
      </c>
      <c r="J1742">
        <v>7.5</v>
      </c>
      <c r="K1742">
        <v>5.2</v>
      </c>
      <c r="L1742" s="1"/>
    </row>
    <row r="1743" spans="1:12">
      <c r="A1743" t="s">
        <v>1791</v>
      </c>
      <c r="B1743">
        <v>7.1</v>
      </c>
      <c r="C1743">
        <v>6.8</v>
      </c>
      <c r="D1743">
        <v>7.5</v>
      </c>
      <c r="E1743">
        <v>6.8</v>
      </c>
      <c r="F1743">
        <v>6.1</v>
      </c>
      <c r="G1743">
        <v>7.1</v>
      </c>
      <c r="H1743">
        <v>5.4</v>
      </c>
      <c r="I1743">
        <v>5.8</v>
      </c>
      <c r="J1743">
        <v>6.1</v>
      </c>
      <c r="K1743">
        <v>6.7</v>
      </c>
      <c r="L1743" s="1"/>
    </row>
    <row r="1744" spans="1:12">
      <c r="A1744" t="s">
        <v>1792</v>
      </c>
      <c r="B1744">
        <v>7.1</v>
      </c>
      <c r="C1744">
        <v>7.4</v>
      </c>
      <c r="D1744">
        <v>6.6</v>
      </c>
      <c r="E1744">
        <v>6.6</v>
      </c>
      <c r="F1744">
        <v>7.3</v>
      </c>
      <c r="G1744">
        <v>7.2</v>
      </c>
      <c r="H1744">
        <v>6.8</v>
      </c>
      <c r="I1744">
        <v>5.9</v>
      </c>
      <c r="J1744">
        <v>4.6</v>
      </c>
      <c r="K1744">
        <v>6.4</v>
      </c>
      <c r="L1744" s="1"/>
    </row>
    <row r="1745" spans="1:12">
      <c r="A1745" t="s">
        <v>1793</v>
      </c>
      <c r="B1745">
        <v>7.1</v>
      </c>
      <c r="C1745">
        <v>7.4</v>
      </c>
      <c r="D1745">
        <v>7.4</v>
      </c>
      <c r="E1745">
        <v>6.7</v>
      </c>
      <c r="F1745">
        <v>5.8</v>
      </c>
      <c r="G1745">
        <v>7.4</v>
      </c>
      <c r="H1745">
        <v>5.1</v>
      </c>
      <c r="I1745">
        <v>6.7</v>
      </c>
      <c r="J1745">
        <v>4.6</v>
      </c>
      <c r="K1745">
        <v>5.8</v>
      </c>
      <c r="L1745" s="1"/>
    </row>
    <row r="1746" spans="1:12">
      <c r="A1746" t="s">
        <v>1794</v>
      </c>
      <c r="B1746">
        <v>8.3</v>
      </c>
      <c r="C1746">
        <v>7.1</v>
      </c>
      <c r="D1746">
        <v>7.4</v>
      </c>
      <c r="E1746">
        <v>7.7</v>
      </c>
      <c r="F1746">
        <v>6.8</v>
      </c>
      <c r="G1746">
        <v>5.5</v>
      </c>
      <c r="H1746">
        <v>5.8</v>
      </c>
      <c r="I1746">
        <v>5.6</v>
      </c>
      <c r="J1746">
        <v>5.9</v>
      </c>
      <c r="K1746">
        <v>3</v>
      </c>
      <c r="L1746" s="1"/>
    </row>
    <row r="1747" spans="1:12">
      <c r="A1747" t="s">
        <v>1795</v>
      </c>
      <c r="B1747">
        <v>7.4</v>
      </c>
      <c r="C1747">
        <v>7.5</v>
      </c>
      <c r="D1747">
        <v>7.9</v>
      </c>
      <c r="E1747">
        <v>6.6</v>
      </c>
      <c r="F1747">
        <v>7.1</v>
      </c>
      <c r="G1747">
        <v>5.9</v>
      </c>
      <c r="H1747">
        <v>6.6</v>
      </c>
      <c r="I1747">
        <v>5.1</v>
      </c>
      <c r="J1747">
        <v>3.8</v>
      </c>
      <c r="K1747">
        <v>6.3</v>
      </c>
      <c r="L1747" s="1"/>
    </row>
    <row r="1748" spans="1:12">
      <c r="A1748" t="s">
        <v>1796</v>
      </c>
      <c r="B1748">
        <v>7.7</v>
      </c>
      <c r="C1748">
        <v>7.6</v>
      </c>
      <c r="D1748">
        <v>7</v>
      </c>
      <c r="E1748">
        <v>6.6</v>
      </c>
      <c r="F1748">
        <v>8.1</v>
      </c>
      <c r="G1748">
        <v>6.8</v>
      </c>
      <c r="H1748">
        <v>6.1</v>
      </c>
      <c r="I1748">
        <v>6.2</v>
      </c>
      <c r="J1748">
        <v>6.6</v>
      </c>
      <c r="K1748">
        <v>6.2</v>
      </c>
      <c r="L1748" s="1"/>
    </row>
    <row r="1749" spans="1:12">
      <c r="A1749" t="s">
        <v>1797</v>
      </c>
      <c r="B1749">
        <v>7.9</v>
      </c>
      <c r="C1749">
        <v>5.6</v>
      </c>
      <c r="D1749">
        <v>6.6</v>
      </c>
      <c r="E1749">
        <v>7.3</v>
      </c>
      <c r="F1749">
        <v>6.8</v>
      </c>
      <c r="G1749">
        <v>7.7</v>
      </c>
      <c r="H1749">
        <v>7.7</v>
      </c>
      <c r="I1749">
        <v>5.2</v>
      </c>
      <c r="J1749">
        <v>6</v>
      </c>
      <c r="K1749">
        <v>8.5</v>
      </c>
      <c r="L1749" s="1"/>
    </row>
    <row r="1750" spans="1:12">
      <c r="A1750" t="s">
        <v>1798</v>
      </c>
      <c r="B1750">
        <v>7.6</v>
      </c>
      <c r="C1750">
        <v>7.6</v>
      </c>
      <c r="D1750">
        <v>7</v>
      </c>
      <c r="E1750">
        <v>6.2</v>
      </c>
      <c r="F1750">
        <v>7.7</v>
      </c>
      <c r="G1750">
        <v>8.1</v>
      </c>
      <c r="H1750">
        <v>5.6</v>
      </c>
      <c r="I1750">
        <v>5.7</v>
      </c>
      <c r="J1750">
        <v>6.9</v>
      </c>
      <c r="K1750">
        <v>6.9</v>
      </c>
      <c r="L1750" s="1"/>
    </row>
    <row r="1751" spans="1:12">
      <c r="A1751" t="s">
        <v>1799</v>
      </c>
      <c r="B1751">
        <v>7.1</v>
      </c>
      <c r="C1751">
        <v>7.9</v>
      </c>
      <c r="D1751">
        <v>7.1</v>
      </c>
      <c r="E1751">
        <v>7.6</v>
      </c>
      <c r="F1751">
        <v>6.5</v>
      </c>
      <c r="G1751">
        <v>8.3</v>
      </c>
      <c r="H1751">
        <v>6.1</v>
      </c>
      <c r="I1751">
        <v>7.1</v>
      </c>
      <c r="J1751">
        <v>5.6</v>
      </c>
      <c r="K1751">
        <v>7.8</v>
      </c>
      <c r="L1751" s="1"/>
    </row>
    <row r="1752" spans="1:12">
      <c r="A1752" t="s">
        <v>1800</v>
      </c>
      <c r="B1752">
        <v>7.5</v>
      </c>
      <c r="C1752">
        <v>7.2</v>
      </c>
      <c r="D1752">
        <v>7.4</v>
      </c>
      <c r="E1752">
        <v>7.5</v>
      </c>
      <c r="F1752">
        <v>7.5</v>
      </c>
      <c r="G1752">
        <v>5.6</v>
      </c>
      <c r="H1752">
        <v>6.4</v>
      </c>
      <c r="I1752">
        <v>6.3</v>
      </c>
      <c r="J1752">
        <v>5.4</v>
      </c>
      <c r="K1752">
        <v>6.9</v>
      </c>
      <c r="L1752" s="1"/>
    </row>
    <row r="1753" spans="1:12">
      <c r="A1753" t="s">
        <v>1801</v>
      </c>
      <c r="B1753">
        <v>7.9</v>
      </c>
      <c r="C1753">
        <v>6.8</v>
      </c>
      <c r="D1753">
        <v>8</v>
      </c>
      <c r="E1753">
        <v>7.5</v>
      </c>
      <c r="F1753">
        <v>6.6</v>
      </c>
      <c r="G1753">
        <v>6.6</v>
      </c>
      <c r="H1753">
        <v>5.1</v>
      </c>
      <c r="I1753">
        <v>5.9</v>
      </c>
      <c r="J1753">
        <v>8.1</v>
      </c>
      <c r="K1753">
        <v>5.7</v>
      </c>
      <c r="L1753" s="1"/>
    </row>
    <row r="1754" spans="1:12">
      <c r="A1754" t="s">
        <v>1802</v>
      </c>
      <c r="B1754">
        <v>6.9</v>
      </c>
      <c r="C1754">
        <v>7.8</v>
      </c>
      <c r="D1754">
        <v>6.3</v>
      </c>
      <c r="E1754">
        <v>6.6</v>
      </c>
      <c r="F1754">
        <v>6.3</v>
      </c>
      <c r="G1754">
        <v>8.4</v>
      </c>
      <c r="H1754">
        <v>5.7</v>
      </c>
      <c r="I1754">
        <v>6.6</v>
      </c>
      <c r="J1754">
        <v>4.5</v>
      </c>
      <c r="K1754">
        <v>3.4</v>
      </c>
      <c r="L1754" s="1"/>
    </row>
    <row r="1755" spans="1:12">
      <c r="A1755" t="s">
        <v>1803</v>
      </c>
      <c r="B1755">
        <v>7.6</v>
      </c>
      <c r="C1755">
        <v>6.7</v>
      </c>
      <c r="D1755">
        <v>6.9</v>
      </c>
      <c r="E1755">
        <v>7.2</v>
      </c>
      <c r="F1755">
        <v>7.1</v>
      </c>
      <c r="G1755">
        <v>6.4</v>
      </c>
      <c r="H1755">
        <v>5.8</v>
      </c>
      <c r="I1755">
        <v>6</v>
      </c>
      <c r="J1755">
        <v>4.8</v>
      </c>
      <c r="K1755">
        <v>3.7</v>
      </c>
      <c r="L1755" s="1"/>
    </row>
    <row r="1756" spans="1:12">
      <c r="A1756" t="s">
        <v>1804</v>
      </c>
      <c r="B1756">
        <v>7.1</v>
      </c>
      <c r="C1756">
        <v>6.5</v>
      </c>
      <c r="D1756">
        <v>7.6</v>
      </c>
      <c r="E1756">
        <v>6.8</v>
      </c>
      <c r="F1756">
        <v>6.5</v>
      </c>
      <c r="G1756">
        <v>6.5</v>
      </c>
      <c r="H1756">
        <v>5.5</v>
      </c>
      <c r="I1756">
        <v>5.7</v>
      </c>
      <c r="J1756">
        <v>5.3</v>
      </c>
      <c r="K1756">
        <v>5.6</v>
      </c>
      <c r="L1756" s="1"/>
    </row>
    <row r="1757" spans="1:12">
      <c r="A1757" t="s">
        <v>1805</v>
      </c>
      <c r="B1757">
        <v>7.6</v>
      </c>
      <c r="C1757">
        <v>7.1</v>
      </c>
      <c r="D1757">
        <v>6.9</v>
      </c>
      <c r="E1757">
        <v>7.2</v>
      </c>
      <c r="F1757">
        <v>6.5</v>
      </c>
      <c r="G1757">
        <v>6.4</v>
      </c>
      <c r="H1757">
        <v>6</v>
      </c>
      <c r="I1757">
        <v>4.3</v>
      </c>
      <c r="J1757">
        <v>6.4</v>
      </c>
      <c r="K1757">
        <v>3.9</v>
      </c>
      <c r="L1757" s="1"/>
    </row>
    <row r="1758" spans="1:12">
      <c r="A1758" t="s">
        <v>1806</v>
      </c>
      <c r="B1758">
        <v>7</v>
      </c>
      <c r="C1758">
        <v>6.9</v>
      </c>
      <c r="D1758">
        <v>7.3</v>
      </c>
      <c r="E1758">
        <v>6.2</v>
      </c>
      <c r="F1758">
        <v>6.7</v>
      </c>
      <c r="G1758">
        <v>6.4</v>
      </c>
      <c r="H1758">
        <v>5.9</v>
      </c>
      <c r="I1758">
        <v>7.8</v>
      </c>
      <c r="J1758">
        <v>6.4</v>
      </c>
      <c r="K1758">
        <v>4.6</v>
      </c>
      <c r="L1758" s="1"/>
    </row>
    <row r="1759" spans="1:12">
      <c r="A1759" t="s">
        <v>1807</v>
      </c>
      <c r="B1759">
        <v>7.2</v>
      </c>
      <c r="C1759">
        <v>7.2</v>
      </c>
      <c r="D1759">
        <v>7.3</v>
      </c>
      <c r="E1759">
        <v>7</v>
      </c>
      <c r="F1759">
        <v>6.6</v>
      </c>
      <c r="G1759">
        <v>6.6</v>
      </c>
      <c r="H1759">
        <v>5.9</v>
      </c>
      <c r="I1759">
        <v>5.4</v>
      </c>
      <c r="J1759">
        <v>6</v>
      </c>
      <c r="K1759">
        <v>6.1</v>
      </c>
      <c r="L1759" s="1"/>
    </row>
    <row r="1760" spans="1:12">
      <c r="A1760" t="s">
        <v>1808</v>
      </c>
      <c r="B1760">
        <v>8</v>
      </c>
      <c r="C1760">
        <v>7.2</v>
      </c>
      <c r="D1760">
        <v>7.8</v>
      </c>
      <c r="E1760">
        <v>6.5</v>
      </c>
      <c r="F1760">
        <v>6.8</v>
      </c>
      <c r="G1760">
        <v>6</v>
      </c>
      <c r="H1760">
        <v>6.9</v>
      </c>
      <c r="I1760">
        <v>4.4</v>
      </c>
      <c r="J1760">
        <v>8.2</v>
      </c>
      <c r="K1760">
        <v>5</v>
      </c>
      <c r="L1760" s="1"/>
    </row>
    <row r="1761" spans="1:12">
      <c r="A1761" t="s">
        <v>1809</v>
      </c>
      <c r="B1761">
        <v>7.2</v>
      </c>
      <c r="C1761">
        <v>6.6</v>
      </c>
      <c r="D1761">
        <v>7</v>
      </c>
      <c r="E1761">
        <v>7.2</v>
      </c>
      <c r="F1761">
        <v>7.1</v>
      </c>
      <c r="G1761">
        <v>6.2</v>
      </c>
      <c r="H1761">
        <v>5.1</v>
      </c>
      <c r="I1761">
        <v>7.3</v>
      </c>
      <c r="J1761">
        <v>4.8</v>
      </c>
      <c r="K1761">
        <v>7.2</v>
      </c>
      <c r="L1761" s="1"/>
    </row>
    <row r="1762" spans="1:12">
      <c r="A1762" t="s">
        <v>1810</v>
      </c>
      <c r="B1762">
        <v>7.8</v>
      </c>
      <c r="C1762">
        <v>7.8</v>
      </c>
      <c r="D1762">
        <v>6.9</v>
      </c>
      <c r="E1762">
        <v>7</v>
      </c>
      <c r="F1762">
        <v>8.4</v>
      </c>
      <c r="G1762">
        <v>6.1</v>
      </c>
      <c r="H1762">
        <v>5.8</v>
      </c>
      <c r="I1762">
        <v>7.1</v>
      </c>
      <c r="J1762">
        <v>6.7</v>
      </c>
      <c r="K1762">
        <v>6.4</v>
      </c>
      <c r="L1762" s="1"/>
    </row>
    <row r="1763" spans="1:12">
      <c r="A1763" t="s">
        <v>1811</v>
      </c>
      <c r="B1763">
        <v>7.8</v>
      </c>
      <c r="C1763">
        <v>7.7</v>
      </c>
      <c r="D1763">
        <v>7.7</v>
      </c>
      <c r="E1763">
        <v>7.2</v>
      </c>
      <c r="F1763">
        <v>4.9</v>
      </c>
      <c r="G1763">
        <v>7.2</v>
      </c>
      <c r="H1763">
        <v>6</v>
      </c>
      <c r="I1763">
        <v>5.7</v>
      </c>
      <c r="J1763">
        <v>4.4</v>
      </c>
      <c r="K1763">
        <v>7.4</v>
      </c>
      <c r="L1763" s="1"/>
    </row>
    <row r="1764" spans="1:12">
      <c r="A1764" t="s">
        <v>1812</v>
      </c>
      <c r="B1764">
        <v>7.9</v>
      </c>
      <c r="C1764">
        <v>7.2</v>
      </c>
      <c r="D1764">
        <v>6.9</v>
      </c>
      <c r="E1764">
        <v>7.1</v>
      </c>
      <c r="F1764">
        <v>7.9</v>
      </c>
      <c r="G1764">
        <v>7.1</v>
      </c>
      <c r="H1764">
        <v>8</v>
      </c>
      <c r="I1764">
        <v>6.6</v>
      </c>
      <c r="J1764">
        <v>6.3</v>
      </c>
      <c r="K1764">
        <v>4.9</v>
      </c>
      <c r="L1764" s="1"/>
    </row>
    <row r="1765" spans="1:12">
      <c r="A1765" t="s">
        <v>1813</v>
      </c>
      <c r="B1765">
        <v>7.6</v>
      </c>
      <c r="C1765">
        <v>7.7</v>
      </c>
      <c r="D1765">
        <v>6.7</v>
      </c>
      <c r="E1765">
        <v>6.9</v>
      </c>
      <c r="F1765">
        <v>6.8</v>
      </c>
      <c r="G1765">
        <v>7.9</v>
      </c>
      <c r="H1765">
        <v>4.9</v>
      </c>
      <c r="I1765">
        <v>5.8</v>
      </c>
      <c r="J1765">
        <v>6.6</v>
      </c>
      <c r="K1765">
        <v>6</v>
      </c>
      <c r="L1765" s="1"/>
    </row>
    <row r="1766" spans="1:12">
      <c r="A1766" t="s">
        <v>1814</v>
      </c>
      <c r="B1766">
        <v>7.4</v>
      </c>
      <c r="C1766">
        <v>7.7</v>
      </c>
      <c r="D1766">
        <v>6.9</v>
      </c>
      <c r="E1766">
        <v>6.9</v>
      </c>
      <c r="F1766">
        <v>7.2</v>
      </c>
      <c r="G1766">
        <v>6.2</v>
      </c>
      <c r="H1766">
        <v>7.2</v>
      </c>
      <c r="I1766">
        <v>6.4</v>
      </c>
      <c r="J1766">
        <v>5.5</v>
      </c>
      <c r="K1766">
        <v>5.4</v>
      </c>
      <c r="L1766" s="1"/>
    </row>
    <row r="1767" spans="1:12">
      <c r="A1767" t="s">
        <v>1815</v>
      </c>
      <c r="B1767">
        <v>7.7</v>
      </c>
      <c r="C1767">
        <v>7</v>
      </c>
      <c r="D1767">
        <v>6.9</v>
      </c>
      <c r="E1767">
        <v>6.3</v>
      </c>
      <c r="F1767">
        <v>6.5</v>
      </c>
      <c r="G1767">
        <v>5.5</v>
      </c>
      <c r="H1767">
        <v>5.9</v>
      </c>
      <c r="I1767">
        <v>6.9</v>
      </c>
      <c r="J1767">
        <v>5.6</v>
      </c>
      <c r="K1767">
        <v>4.8</v>
      </c>
      <c r="L1767" s="1"/>
    </row>
    <row r="1768" spans="1:12">
      <c r="A1768" t="s">
        <v>1816</v>
      </c>
      <c r="B1768">
        <v>7.3</v>
      </c>
      <c r="C1768">
        <v>7.4</v>
      </c>
      <c r="D1768">
        <v>5.9</v>
      </c>
      <c r="E1768">
        <v>6.2</v>
      </c>
      <c r="F1768">
        <v>7.7</v>
      </c>
      <c r="G1768">
        <v>7.1</v>
      </c>
      <c r="H1768">
        <v>6.2</v>
      </c>
      <c r="I1768">
        <v>5.8</v>
      </c>
      <c r="J1768">
        <v>5.8</v>
      </c>
      <c r="K1768">
        <v>4.1</v>
      </c>
      <c r="L1768" s="1"/>
    </row>
    <row r="1769" spans="1:12">
      <c r="A1769" t="s">
        <v>1817</v>
      </c>
      <c r="B1769">
        <v>7.7</v>
      </c>
      <c r="C1769">
        <v>7.3</v>
      </c>
      <c r="D1769">
        <v>7.4</v>
      </c>
      <c r="E1769">
        <v>7.2</v>
      </c>
      <c r="F1769">
        <v>6.5</v>
      </c>
      <c r="G1769">
        <v>6.1</v>
      </c>
      <c r="H1769">
        <v>5.1</v>
      </c>
      <c r="I1769">
        <v>4.7</v>
      </c>
      <c r="J1769">
        <v>5.5</v>
      </c>
      <c r="K1769">
        <v>4.2</v>
      </c>
      <c r="L1769" s="1"/>
    </row>
    <row r="1770" spans="1:12">
      <c r="A1770" t="s">
        <v>1818</v>
      </c>
      <c r="B1770">
        <v>7.7</v>
      </c>
      <c r="C1770">
        <v>7.2</v>
      </c>
      <c r="D1770">
        <v>7</v>
      </c>
      <c r="E1770">
        <v>7.8</v>
      </c>
      <c r="F1770">
        <v>6.8</v>
      </c>
      <c r="G1770">
        <v>7.2</v>
      </c>
      <c r="H1770">
        <v>6.8</v>
      </c>
      <c r="I1770">
        <v>6.5</v>
      </c>
      <c r="J1770">
        <v>4.8</v>
      </c>
      <c r="K1770">
        <v>4.5</v>
      </c>
      <c r="L1770" s="1"/>
    </row>
    <row r="1771" spans="1:12">
      <c r="A1771" t="s">
        <v>1819</v>
      </c>
      <c r="B1771">
        <v>7.5</v>
      </c>
      <c r="C1771">
        <v>7.3</v>
      </c>
      <c r="D1771">
        <v>7.3</v>
      </c>
      <c r="E1771">
        <v>7.5</v>
      </c>
      <c r="F1771">
        <v>6.6</v>
      </c>
      <c r="G1771">
        <v>6.2</v>
      </c>
      <c r="H1771">
        <v>7.4</v>
      </c>
      <c r="I1771">
        <v>6.4</v>
      </c>
      <c r="J1771">
        <v>7.5</v>
      </c>
      <c r="K1771">
        <v>6.3</v>
      </c>
      <c r="L1771" s="1"/>
    </row>
    <row r="1772" spans="1:12">
      <c r="A1772" t="s">
        <v>1820</v>
      </c>
      <c r="B1772">
        <v>7.2</v>
      </c>
      <c r="C1772">
        <v>7.6</v>
      </c>
      <c r="D1772">
        <v>8.1</v>
      </c>
      <c r="E1772">
        <v>6.1</v>
      </c>
      <c r="F1772">
        <v>5.5</v>
      </c>
      <c r="G1772">
        <v>5.2</v>
      </c>
      <c r="H1772">
        <v>6.9</v>
      </c>
      <c r="I1772">
        <v>6.1</v>
      </c>
      <c r="J1772">
        <v>6.2</v>
      </c>
      <c r="K1772">
        <v>4.9</v>
      </c>
      <c r="L1772" s="1"/>
    </row>
    <row r="1773" spans="1:12">
      <c r="A1773" t="s">
        <v>1821</v>
      </c>
      <c r="B1773">
        <v>7.7</v>
      </c>
      <c r="C1773">
        <v>8.3</v>
      </c>
      <c r="D1773">
        <v>7.2</v>
      </c>
      <c r="E1773">
        <v>6.6</v>
      </c>
      <c r="F1773">
        <v>5.6</v>
      </c>
      <c r="G1773">
        <v>6.6</v>
      </c>
      <c r="H1773">
        <v>6.1</v>
      </c>
      <c r="I1773">
        <v>4.8</v>
      </c>
      <c r="J1773">
        <v>5.8</v>
      </c>
      <c r="K1773">
        <v>5.2</v>
      </c>
      <c r="L1773" s="1"/>
    </row>
    <row r="1774" spans="1:12">
      <c r="A1774" t="s">
        <v>1822</v>
      </c>
      <c r="B1774">
        <v>8.2</v>
      </c>
      <c r="C1774">
        <v>7.3</v>
      </c>
      <c r="D1774">
        <v>7</v>
      </c>
      <c r="E1774">
        <v>7.5</v>
      </c>
      <c r="F1774">
        <v>6.5</v>
      </c>
      <c r="G1774">
        <v>6</v>
      </c>
      <c r="H1774">
        <v>6</v>
      </c>
      <c r="I1774">
        <v>6.2</v>
      </c>
      <c r="J1774">
        <v>6</v>
      </c>
      <c r="K1774">
        <v>3.6</v>
      </c>
      <c r="L1774" s="1"/>
    </row>
    <row r="1775" spans="1:12">
      <c r="A1775" t="s">
        <v>1823</v>
      </c>
      <c r="B1775">
        <v>7.4</v>
      </c>
      <c r="C1775">
        <v>7.4</v>
      </c>
      <c r="D1775">
        <v>7.2</v>
      </c>
      <c r="E1775">
        <v>7.9</v>
      </c>
      <c r="F1775">
        <v>7.5</v>
      </c>
      <c r="G1775">
        <v>7.2</v>
      </c>
      <c r="H1775">
        <v>6.2</v>
      </c>
      <c r="I1775">
        <v>6.9</v>
      </c>
      <c r="J1775">
        <v>6.5</v>
      </c>
      <c r="K1775">
        <v>6.7</v>
      </c>
      <c r="L1775" s="1"/>
    </row>
    <row r="1776" spans="1:12">
      <c r="A1776" t="s">
        <v>1824</v>
      </c>
      <c r="B1776">
        <v>7</v>
      </c>
      <c r="C1776">
        <v>7.1</v>
      </c>
      <c r="D1776">
        <v>8.7</v>
      </c>
      <c r="E1776">
        <v>6.7</v>
      </c>
      <c r="F1776">
        <v>6.4</v>
      </c>
      <c r="G1776">
        <v>7.1</v>
      </c>
      <c r="H1776">
        <v>5.3</v>
      </c>
      <c r="I1776">
        <v>7.3</v>
      </c>
      <c r="J1776">
        <v>6.2</v>
      </c>
      <c r="K1776">
        <v>7.5</v>
      </c>
      <c r="L1776" s="1"/>
    </row>
    <row r="1777" spans="1:12">
      <c r="A1777" t="s">
        <v>1825</v>
      </c>
      <c r="B1777">
        <v>7.3</v>
      </c>
      <c r="C1777">
        <v>6.8</v>
      </c>
      <c r="D1777">
        <v>7.1</v>
      </c>
      <c r="E1777">
        <v>6.5</v>
      </c>
      <c r="F1777">
        <v>6.6</v>
      </c>
      <c r="G1777">
        <v>6.4</v>
      </c>
      <c r="H1777">
        <v>6.2</v>
      </c>
      <c r="I1777">
        <v>5.5</v>
      </c>
      <c r="J1777">
        <v>5.7</v>
      </c>
      <c r="K1777">
        <v>6</v>
      </c>
      <c r="L1777" s="1"/>
    </row>
    <row r="1778" spans="1:12">
      <c r="A1778" t="s">
        <v>1826</v>
      </c>
      <c r="B1778">
        <v>7.3</v>
      </c>
      <c r="C1778">
        <v>7.3</v>
      </c>
      <c r="D1778">
        <v>6.8</v>
      </c>
      <c r="E1778">
        <v>6.4</v>
      </c>
      <c r="F1778">
        <v>7.9</v>
      </c>
      <c r="G1778">
        <v>6</v>
      </c>
      <c r="H1778">
        <v>5.9</v>
      </c>
      <c r="I1778">
        <v>5.2</v>
      </c>
      <c r="J1778">
        <v>5.5</v>
      </c>
      <c r="K1778">
        <v>5.2</v>
      </c>
      <c r="L1778" s="1"/>
    </row>
    <row r="1779" spans="1:12">
      <c r="A1779" t="s">
        <v>1827</v>
      </c>
      <c r="B1779">
        <v>8.2</v>
      </c>
      <c r="C1779">
        <v>7</v>
      </c>
      <c r="D1779">
        <v>8.2</v>
      </c>
      <c r="E1779">
        <v>6.7</v>
      </c>
      <c r="F1779">
        <v>6.1</v>
      </c>
      <c r="G1779">
        <v>6.8</v>
      </c>
      <c r="H1779">
        <v>6.5</v>
      </c>
      <c r="I1779">
        <v>6.1</v>
      </c>
      <c r="J1779">
        <v>7.8</v>
      </c>
      <c r="K1779">
        <v>6.9</v>
      </c>
      <c r="L1779" s="1"/>
    </row>
    <row r="1780" spans="1:12">
      <c r="A1780" t="s">
        <v>1828</v>
      </c>
      <c r="B1780">
        <v>7.8</v>
      </c>
      <c r="C1780">
        <v>8.4</v>
      </c>
      <c r="D1780">
        <v>7.3</v>
      </c>
      <c r="E1780">
        <v>6.9</v>
      </c>
      <c r="F1780">
        <v>6</v>
      </c>
      <c r="G1780">
        <v>7.8</v>
      </c>
      <c r="H1780">
        <v>7.5</v>
      </c>
      <c r="I1780">
        <v>6.4</v>
      </c>
      <c r="J1780">
        <v>6.2</v>
      </c>
      <c r="K1780">
        <v>8.5</v>
      </c>
      <c r="L1780" s="1"/>
    </row>
    <row r="1781" spans="1:12">
      <c r="A1781" t="s">
        <v>1829</v>
      </c>
      <c r="B1781">
        <v>8.6</v>
      </c>
      <c r="C1781">
        <v>8</v>
      </c>
      <c r="D1781">
        <v>9.3</v>
      </c>
      <c r="E1781">
        <v>8.4</v>
      </c>
      <c r="F1781">
        <v>7.5</v>
      </c>
      <c r="G1781">
        <v>8.6</v>
      </c>
      <c r="H1781">
        <v>8.9</v>
      </c>
      <c r="I1781">
        <v>7.5</v>
      </c>
      <c r="J1781">
        <v>7.3</v>
      </c>
      <c r="K1781">
        <v>4.7</v>
      </c>
      <c r="L1781" s="1"/>
    </row>
    <row r="1782" spans="1:12">
      <c r="A1782" t="s">
        <v>1830</v>
      </c>
      <c r="B1782">
        <v>9.3</v>
      </c>
      <c r="C1782">
        <v>8.1</v>
      </c>
      <c r="D1782">
        <v>8.4</v>
      </c>
      <c r="E1782">
        <v>9</v>
      </c>
      <c r="F1782">
        <v>8.7</v>
      </c>
      <c r="G1782">
        <v>8</v>
      </c>
      <c r="H1782">
        <v>7.1</v>
      </c>
      <c r="I1782">
        <v>6.7</v>
      </c>
      <c r="J1782">
        <v>5.4</v>
      </c>
      <c r="K1782">
        <v>7.4</v>
      </c>
      <c r="L1782" s="1"/>
    </row>
    <row r="1783" spans="1:12">
      <c r="A1783" t="s">
        <v>1831</v>
      </c>
      <c r="B1783">
        <v>8.9</v>
      </c>
      <c r="C1783">
        <v>8</v>
      </c>
      <c r="D1783">
        <v>7.1</v>
      </c>
      <c r="E1783">
        <v>8.2</v>
      </c>
      <c r="F1783">
        <v>9</v>
      </c>
      <c r="G1783">
        <v>8.1</v>
      </c>
      <c r="H1783">
        <v>6.9</v>
      </c>
      <c r="I1783">
        <v>7.4</v>
      </c>
      <c r="J1783">
        <v>6.2</v>
      </c>
      <c r="K1783">
        <v>6.2</v>
      </c>
      <c r="L1783" s="1"/>
    </row>
    <row r="1784" spans="1:12">
      <c r="A1784" t="s">
        <v>1832</v>
      </c>
      <c r="B1784">
        <v>8.9</v>
      </c>
      <c r="C1784">
        <v>9.1</v>
      </c>
      <c r="D1784">
        <v>8.9</v>
      </c>
      <c r="E1784">
        <v>8.2</v>
      </c>
      <c r="F1784">
        <v>7.7</v>
      </c>
      <c r="G1784">
        <v>7.9</v>
      </c>
      <c r="H1784">
        <v>6.7</v>
      </c>
      <c r="I1784">
        <v>8.2</v>
      </c>
      <c r="J1784">
        <v>8.4</v>
      </c>
      <c r="K1784">
        <v>5.2</v>
      </c>
      <c r="L1784" s="1"/>
    </row>
    <row r="1785" spans="1:12">
      <c r="A1785" t="s">
        <v>1833</v>
      </c>
      <c r="B1785">
        <v>8.9</v>
      </c>
      <c r="C1785">
        <v>8.7</v>
      </c>
      <c r="D1785">
        <v>7.6</v>
      </c>
      <c r="E1785">
        <v>7</v>
      </c>
      <c r="F1785">
        <v>6.8</v>
      </c>
      <c r="G1785">
        <v>8.1</v>
      </c>
      <c r="H1785">
        <v>6.8</v>
      </c>
      <c r="I1785">
        <v>6.6</v>
      </c>
      <c r="J1785">
        <v>8</v>
      </c>
      <c r="K1785">
        <v>6.5</v>
      </c>
      <c r="L1785" s="1"/>
    </row>
    <row r="1786" spans="1:12">
      <c r="A1786" t="s">
        <v>1834</v>
      </c>
      <c r="B1786">
        <v>7.7</v>
      </c>
      <c r="C1786">
        <v>6.7</v>
      </c>
      <c r="D1786">
        <v>7.6</v>
      </c>
      <c r="E1786">
        <v>7</v>
      </c>
      <c r="F1786">
        <v>6.3</v>
      </c>
      <c r="G1786">
        <v>6.8</v>
      </c>
      <c r="H1786">
        <v>6</v>
      </c>
      <c r="I1786">
        <v>7.6</v>
      </c>
      <c r="J1786">
        <v>5.5</v>
      </c>
      <c r="K1786">
        <v>6.1</v>
      </c>
      <c r="L1786" s="1"/>
    </row>
    <row r="1787" spans="1:12">
      <c r="A1787" t="s">
        <v>1835</v>
      </c>
      <c r="B1787">
        <v>7.6</v>
      </c>
      <c r="C1787">
        <v>6</v>
      </c>
      <c r="D1787">
        <v>7.4</v>
      </c>
      <c r="E1787">
        <v>7.1</v>
      </c>
      <c r="F1787">
        <v>6.6</v>
      </c>
      <c r="G1787">
        <v>6.4</v>
      </c>
      <c r="H1787">
        <v>6.5</v>
      </c>
      <c r="I1787">
        <v>5.7</v>
      </c>
      <c r="J1787">
        <v>5.5</v>
      </c>
      <c r="K1787">
        <v>5.6</v>
      </c>
      <c r="L1787" s="1"/>
    </row>
    <row r="1788" spans="1:12">
      <c r="A1788" t="s">
        <v>1836</v>
      </c>
      <c r="B1788">
        <v>7.3</v>
      </c>
      <c r="C1788">
        <v>6.8</v>
      </c>
      <c r="D1788">
        <v>6.7</v>
      </c>
      <c r="E1788">
        <v>6.8</v>
      </c>
      <c r="F1788">
        <v>6.7</v>
      </c>
      <c r="G1788">
        <v>6.5</v>
      </c>
      <c r="H1788">
        <v>6.2</v>
      </c>
      <c r="I1788">
        <v>6.9</v>
      </c>
      <c r="J1788">
        <v>6.7</v>
      </c>
      <c r="K1788">
        <v>6.3</v>
      </c>
      <c r="L1788" s="1"/>
    </row>
    <row r="1789" spans="1:12">
      <c r="A1789" t="s">
        <v>1837</v>
      </c>
      <c r="B1789">
        <v>6.8</v>
      </c>
      <c r="C1789">
        <v>7.1</v>
      </c>
      <c r="D1789">
        <v>7.5</v>
      </c>
      <c r="E1789">
        <v>6.8</v>
      </c>
      <c r="F1789">
        <v>7</v>
      </c>
      <c r="G1789">
        <v>6.3</v>
      </c>
      <c r="H1789">
        <v>6.5</v>
      </c>
      <c r="I1789">
        <v>6.3</v>
      </c>
      <c r="J1789">
        <v>4.9</v>
      </c>
      <c r="K1789">
        <v>3.5</v>
      </c>
      <c r="L1789" s="1"/>
    </row>
    <row r="1790" spans="1:12">
      <c r="A1790" t="s">
        <v>1838</v>
      </c>
      <c r="B1790">
        <v>7.1</v>
      </c>
      <c r="C1790">
        <v>7.4</v>
      </c>
      <c r="D1790">
        <v>6.6</v>
      </c>
      <c r="E1790">
        <v>6.3</v>
      </c>
      <c r="F1790">
        <v>6.1</v>
      </c>
      <c r="G1790">
        <v>5.4</v>
      </c>
      <c r="H1790">
        <v>4.2</v>
      </c>
      <c r="I1790">
        <v>5.6</v>
      </c>
      <c r="J1790">
        <v>6.6</v>
      </c>
      <c r="K1790">
        <v>4.8</v>
      </c>
      <c r="L1790" s="1"/>
    </row>
    <row r="1791" spans="1:12">
      <c r="A1791" t="s">
        <v>1839</v>
      </c>
      <c r="B1791">
        <v>8.1</v>
      </c>
      <c r="C1791">
        <v>7.7</v>
      </c>
      <c r="D1791">
        <v>7.2</v>
      </c>
      <c r="E1791">
        <v>7</v>
      </c>
      <c r="F1791">
        <v>7.5</v>
      </c>
      <c r="G1791">
        <v>5.7</v>
      </c>
      <c r="H1791">
        <v>5.9</v>
      </c>
      <c r="I1791">
        <v>8.2</v>
      </c>
      <c r="J1791">
        <v>6.5</v>
      </c>
      <c r="K1791">
        <v>4.4</v>
      </c>
      <c r="L1791" s="1"/>
    </row>
    <row r="1792" spans="1:12">
      <c r="A1792" t="s">
        <v>1840</v>
      </c>
      <c r="B1792">
        <v>7.3</v>
      </c>
      <c r="C1792">
        <v>7.4</v>
      </c>
      <c r="D1792">
        <v>6.6</v>
      </c>
      <c r="E1792">
        <v>6.4</v>
      </c>
      <c r="F1792">
        <v>5.3</v>
      </c>
      <c r="G1792">
        <v>5.9</v>
      </c>
      <c r="H1792">
        <v>6.1</v>
      </c>
      <c r="I1792">
        <v>5.5</v>
      </c>
      <c r="J1792">
        <v>6.1</v>
      </c>
      <c r="K1792">
        <v>6.1</v>
      </c>
      <c r="L1792" s="1"/>
    </row>
    <row r="1793" spans="1:12">
      <c r="A1793" t="s">
        <v>1841</v>
      </c>
      <c r="B1793">
        <v>7.3</v>
      </c>
      <c r="C1793">
        <v>7.3</v>
      </c>
      <c r="D1793">
        <v>7.1</v>
      </c>
      <c r="E1793">
        <v>6.8</v>
      </c>
      <c r="F1793">
        <v>6.8</v>
      </c>
      <c r="G1793">
        <v>6</v>
      </c>
      <c r="H1793">
        <v>7.4</v>
      </c>
      <c r="I1793">
        <v>5.7</v>
      </c>
      <c r="J1793">
        <v>6.5</v>
      </c>
      <c r="K1793">
        <v>5.8</v>
      </c>
      <c r="L1793" s="1"/>
    </row>
    <row r="1794" spans="1:12">
      <c r="A1794" t="s">
        <v>1842</v>
      </c>
      <c r="B1794">
        <v>7.9</v>
      </c>
      <c r="C1794">
        <v>7.4</v>
      </c>
      <c r="D1794">
        <v>7.4</v>
      </c>
      <c r="E1794">
        <v>6.6</v>
      </c>
      <c r="F1794">
        <v>6.7</v>
      </c>
      <c r="G1794">
        <v>6.1</v>
      </c>
      <c r="H1794">
        <v>7.1</v>
      </c>
      <c r="I1794">
        <v>6.1</v>
      </c>
      <c r="J1794">
        <v>7.5</v>
      </c>
      <c r="K1794">
        <v>6.6</v>
      </c>
      <c r="L1794" s="1"/>
    </row>
    <row r="1795" spans="1:12">
      <c r="A1795" t="s">
        <v>1843</v>
      </c>
      <c r="B1795">
        <v>8.1</v>
      </c>
      <c r="C1795">
        <v>6.7</v>
      </c>
      <c r="D1795">
        <v>8.2</v>
      </c>
      <c r="E1795">
        <v>6.7</v>
      </c>
      <c r="F1795">
        <v>6.2</v>
      </c>
      <c r="G1795">
        <v>6.7</v>
      </c>
      <c r="H1795">
        <v>7</v>
      </c>
      <c r="I1795">
        <v>4</v>
      </c>
      <c r="J1795">
        <v>5.7</v>
      </c>
      <c r="K1795">
        <v>6.6</v>
      </c>
      <c r="L1795" s="1"/>
    </row>
    <row r="1796" spans="1:12">
      <c r="A1796" t="s">
        <v>1844</v>
      </c>
      <c r="B1796">
        <v>6.8</v>
      </c>
      <c r="C1796">
        <v>7</v>
      </c>
      <c r="D1796">
        <v>7.3</v>
      </c>
      <c r="E1796">
        <v>7.7</v>
      </c>
      <c r="F1796">
        <v>7</v>
      </c>
      <c r="G1796">
        <v>5.8</v>
      </c>
      <c r="H1796">
        <v>8.3</v>
      </c>
      <c r="I1796">
        <v>7.7</v>
      </c>
      <c r="J1796">
        <v>5.9</v>
      </c>
      <c r="K1796">
        <v>5.2</v>
      </c>
      <c r="L1796" s="1"/>
    </row>
    <row r="1797" spans="1:12">
      <c r="A1797" t="s">
        <v>1845</v>
      </c>
      <c r="B1797">
        <v>7.4</v>
      </c>
      <c r="C1797">
        <v>7.5</v>
      </c>
      <c r="D1797">
        <v>7.2</v>
      </c>
      <c r="E1797">
        <v>7.3</v>
      </c>
      <c r="F1797">
        <v>7.7</v>
      </c>
      <c r="G1797">
        <v>6.1</v>
      </c>
      <c r="H1797">
        <v>6.1</v>
      </c>
      <c r="I1797">
        <v>7.2</v>
      </c>
      <c r="J1797">
        <v>5.6</v>
      </c>
      <c r="K1797">
        <v>4.7</v>
      </c>
      <c r="L1797" s="1"/>
    </row>
    <row r="1798" spans="1:12">
      <c r="A1798" t="s">
        <v>1846</v>
      </c>
      <c r="B1798">
        <v>7.2</v>
      </c>
      <c r="C1798">
        <v>8.1</v>
      </c>
      <c r="D1798">
        <v>7.3</v>
      </c>
      <c r="E1798">
        <v>5.8</v>
      </c>
      <c r="F1798">
        <v>6.4</v>
      </c>
      <c r="G1798">
        <v>5.3</v>
      </c>
      <c r="H1798">
        <v>4.5</v>
      </c>
      <c r="I1798">
        <v>5.9</v>
      </c>
      <c r="J1798">
        <v>5.8</v>
      </c>
      <c r="K1798">
        <v>6.1</v>
      </c>
      <c r="L1798" s="1"/>
    </row>
    <row r="1799" spans="1:12">
      <c r="A1799" t="s">
        <v>1847</v>
      </c>
      <c r="B1799">
        <v>6.9</v>
      </c>
      <c r="C1799">
        <v>7.6</v>
      </c>
      <c r="D1799">
        <v>7.8</v>
      </c>
      <c r="E1799">
        <v>7.2</v>
      </c>
      <c r="F1799">
        <v>6.1</v>
      </c>
      <c r="G1799">
        <v>6</v>
      </c>
      <c r="H1799">
        <v>7.3</v>
      </c>
      <c r="I1799">
        <v>5.9</v>
      </c>
      <c r="J1799">
        <v>5.4</v>
      </c>
      <c r="K1799">
        <v>7.8</v>
      </c>
      <c r="L1799" s="1"/>
    </row>
    <row r="1800" spans="1:12">
      <c r="A1800" t="s">
        <v>1848</v>
      </c>
      <c r="B1800">
        <v>7.3</v>
      </c>
      <c r="C1800">
        <v>6.9</v>
      </c>
      <c r="D1800">
        <v>7.3</v>
      </c>
      <c r="E1800">
        <v>7.6</v>
      </c>
      <c r="F1800">
        <v>6.6</v>
      </c>
      <c r="G1800">
        <v>7.3</v>
      </c>
      <c r="H1800">
        <v>7</v>
      </c>
      <c r="I1800">
        <v>6.6</v>
      </c>
      <c r="J1800">
        <v>6.2</v>
      </c>
      <c r="K1800">
        <v>5</v>
      </c>
      <c r="L1800" s="1"/>
    </row>
    <row r="1801" spans="1:12">
      <c r="A1801" t="s">
        <v>1849</v>
      </c>
      <c r="B1801">
        <v>8.1</v>
      </c>
      <c r="C1801">
        <v>7.2</v>
      </c>
      <c r="D1801">
        <v>6.8</v>
      </c>
      <c r="E1801">
        <v>7.5</v>
      </c>
      <c r="F1801">
        <v>8.3</v>
      </c>
      <c r="G1801">
        <v>7.3</v>
      </c>
      <c r="H1801">
        <v>6.3</v>
      </c>
      <c r="I1801">
        <v>5.4</v>
      </c>
      <c r="J1801">
        <v>4.9</v>
      </c>
      <c r="K1801">
        <v>6.9</v>
      </c>
      <c r="L1801" s="1"/>
    </row>
    <row r="1802" spans="1:12">
      <c r="A1802" t="s">
        <v>1850</v>
      </c>
      <c r="B1802">
        <v>8.1</v>
      </c>
      <c r="C1802">
        <v>7.8</v>
      </c>
      <c r="D1802">
        <v>7.4</v>
      </c>
      <c r="E1802">
        <v>6.6</v>
      </c>
      <c r="F1802">
        <v>7.6</v>
      </c>
      <c r="G1802">
        <v>6.7</v>
      </c>
      <c r="H1802">
        <v>8</v>
      </c>
      <c r="I1802">
        <v>6</v>
      </c>
      <c r="J1802">
        <v>7</v>
      </c>
      <c r="K1802">
        <v>4.9</v>
      </c>
      <c r="L1802" s="1"/>
    </row>
    <row r="1803" spans="1:12">
      <c r="A1803" t="s">
        <v>1851</v>
      </c>
      <c r="B1803">
        <v>7.3</v>
      </c>
      <c r="C1803">
        <v>6.9</v>
      </c>
      <c r="D1803">
        <v>7.4</v>
      </c>
      <c r="E1803">
        <v>7.4</v>
      </c>
      <c r="F1803">
        <v>6</v>
      </c>
      <c r="G1803">
        <v>6.3</v>
      </c>
      <c r="H1803">
        <v>6.1</v>
      </c>
      <c r="I1803">
        <v>6</v>
      </c>
      <c r="J1803">
        <v>6.7</v>
      </c>
      <c r="K1803">
        <v>5</v>
      </c>
      <c r="L1803" s="1"/>
    </row>
    <row r="1804" spans="1:12">
      <c r="A1804" t="s">
        <v>1852</v>
      </c>
      <c r="B1804">
        <v>8</v>
      </c>
      <c r="C1804">
        <v>6.8</v>
      </c>
      <c r="D1804">
        <v>7</v>
      </c>
      <c r="E1804">
        <v>7.1</v>
      </c>
      <c r="F1804">
        <v>7.6</v>
      </c>
      <c r="G1804">
        <v>6.7</v>
      </c>
      <c r="H1804">
        <v>6.3</v>
      </c>
      <c r="I1804">
        <v>5.3</v>
      </c>
      <c r="J1804">
        <v>6.6</v>
      </c>
      <c r="K1804">
        <v>7</v>
      </c>
      <c r="L1804" s="1"/>
    </row>
    <row r="1805" spans="1:12">
      <c r="A1805" t="s">
        <v>1853</v>
      </c>
      <c r="B1805">
        <v>7.1</v>
      </c>
      <c r="C1805">
        <v>7.1</v>
      </c>
      <c r="D1805">
        <v>7.9</v>
      </c>
      <c r="E1805">
        <v>7.4</v>
      </c>
      <c r="F1805">
        <v>6.2</v>
      </c>
      <c r="G1805">
        <v>7.2</v>
      </c>
      <c r="H1805">
        <v>7.5</v>
      </c>
      <c r="I1805">
        <v>7.5</v>
      </c>
      <c r="J1805">
        <v>5.3</v>
      </c>
      <c r="K1805">
        <v>6</v>
      </c>
      <c r="L1805" s="1"/>
    </row>
    <row r="1806" spans="1:12">
      <c r="A1806" t="s">
        <v>1854</v>
      </c>
      <c r="B1806">
        <v>6.4</v>
      </c>
      <c r="C1806">
        <v>8</v>
      </c>
      <c r="D1806">
        <v>6.6</v>
      </c>
      <c r="E1806">
        <v>6.8</v>
      </c>
      <c r="F1806">
        <v>8</v>
      </c>
      <c r="G1806">
        <v>6.9</v>
      </c>
      <c r="H1806">
        <v>7.9</v>
      </c>
      <c r="I1806">
        <v>6.6</v>
      </c>
      <c r="J1806">
        <v>4.9</v>
      </c>
      <c r="K1806">
        <v>5.6</v>
      </c>
      <c r="L1806" s="1"/>
    </row>
    <row r="1807" spans="1:12">
      <c r="A1807" t="s">
        <v>1855</v>
      </c>
      <c r="B1807">
        <v>6.9</v>
      </c>
      <c r="C1807">
        <v>7.5</v>
      </c>
      <c r="D1807">
        <v>6.8</v>
      </c>
      <c r="E1807">
        <v>8.5</v>
      </c>
      <c r="F1807">
        <v>8.5</v>
      </c>
      <c r="G1807">
        <v>6.6</v>
      </c>
      <c r="H1807">
        <v>7.1</v>
      </c>
      <c r="I1807">
        <v>5.9</v>
      </c>
      <c r="J1807">
        <v>6.2</v>
      </c>
      <c r="K1807">
        <v>7</v>
      </c>
      <c r="L1807" s="1"/>
    </row>
    <row r="1808" spans="1:12">
      <c r="A1808" t="s">
        <v>1856</v>
      </c>
      <c r="B1808">
        <v>7.6</v>
      </c>
      <c r="C1808">
        <v>7.9</v>
      </c>
      <c r="D1808">
        <v>6.6</v>
      </c>
      <c r="E1808">
        <v>8</v>
      </c>
      <c r="F1808">
        <v>7.5</v>
      </c>
      <c r="G1808">
        <v>6.6</v>
      </c>
      <c r="H1808">
        <v>7.6</v>
      </c>
      <c r="I1808">
        <v>6.1</v>
      </c>
      <c r="J1808">
        <v>5.7</v>
      </c>
      <c r="K1808">
        <v>4.6</v>
      </c>
      <c r="L1808" s="1"/>
    </row>
    <row r="1809" spans="1:12">
      <c r="A1809" t="s">
        <v>1857</v>
      </c>
      <c r="B1809">
        <v>7.5</v>
      </c>
      <c r="C1809">
        <v>7.5</v>
      </c>
      <c r="D1809">
        <v>7.6</v>
      </c>
      <c r="E1809">
        <v>6.6</v>
      </c>
      <c r="F1809">
        <v>6.3</v>
      </c>
      <c r="G1809">
        <v>7.4</v>
      </c>
      <c r="H1809">
        <v>6.9</v>
      </c>
      <c r="I1809">
        <v>7.7</v>
      </c>
      <c r="J1809">
        <v>6.2</v>
      </c>
      <c r="K1809">
        <v>5.8</v>
      </c>
      <c r="L1809" s="1"/>
    </row>
    <row r="1810" spans="1:12">
      <c r="A1810" t="s">
        <v>1858</v>
      </c>
      <c r="B1810">
        <v>7.5</v>
      </c>
      <c r="C1810">
        <v>7.4</v>
      </c>
      <c r="D1810">
        <v>7</v>
      </c>
      <c r="E1810">
        <v>6.6</v>
      </c>
      <c r="F1810">
        <v>6.5</v>
      </c>
      <c r="G1810">
        <v>6.9</v>
      </c>
      <c r="H1810">
        <v>6.9</v>
      </c>
      <c r="I1810">
        <v>7.3</v>
      </c>
      <c r="J1810">
        <v>6.6</v>
      </c>
      <c r="K1810">
        <v>5</v>
      </c>
      <c r="L1810" s="1"/>
    </row>
    <row r="1811" spans="1:12">
      <c r="A1811" t="s">
        <v>1859</v>
      </c>
      <c r="B1811">
        <v>7.9</v>
      </c>
      <c r="C1811">
        <v>7.4</v>
      </c>
      <c r="D1811">
        <v>7.4</v>
      </c>
      <c r="E1811">
        <v>7.4</v>
      </c>
      <c r="F1811">
        <v>5.9</v>
      </c>
      <c r="G1811">
        <v>6</v>
      </c>
      <c r="H1811">
        <v>7.9</v>
      </c>
      <c r="I1811">
        <v>4.9</v>
      </c>
      <c r="J1811">
        <v>7</v>
      </c>
      <c r="K1811">
        <v>6</v>
      </c>
      <c r="L1811" s="1"/>
    </row>
    <row r="1812" spans="1:12">
      <c r="A1812" t="s">
        <v>1860</v>
      </c>
      <c r="B1812">
        <v>7.3</v>
      </c>
      <c r="C1812">
        <v>7.6</v>
      </c>
      <c r="D1812">
        <v>8.2</v>
      </c>
      <c r="E1812">
        <v>6.7</v>
      </c>
      <c r="F1812">
        <v>8</v>
      </c>
      <c r="G1812">
        <v>6.8</v>
      </c>
      <c r="H1812">
        <v>4.9</v>
      </c>
      <c r="I1812">
        <v>5.8</v>
      </c>
      <c r="J1812">
        <v>6.2</v>
      </c>
      <c r="K1812">
        <v>4.5</v>
      </c>
      <c r="L1812" s="1"/>
    </row>
    <row r="1813" spans="1:12">
      <c r="A1813" t="s">
        <v>1861</v>
      </c>
      <c r="B1813">
        <v>7.5</v>
      </c>
      <c r="C1813">
        <v>7.3</v>
      </c>
      <c r="D1813">
        <v>6.5</v>
      </c>
      <c r="E1813">
        <v>7</v>
      </c>
      <c r="F1813">
        <v>6.2</v>
      </c>
      <c r="G1813">
        <v>7.3</v>
      </c>
      <c r="H1813">
        <v>6.4</v>
      </c>
      <c r="I1813">
        <v>6.4</v>
      </c>
      <c r="J1813">
        <v>5.2</v>
      </c>
      <c r="K1813">
        <v>4.7</v>
      </c>
      <c r="L1813" s="1"/>
    </row>
    <row r="1814" spans="1:12">
      <c r="A1814" t="s">
        <v>1862</v>
      </c>
      <c r="B1814">
        <v>7.8</v>
      </c>
      <c r="C1814">
        <v>7.9</v>
      </c>
      <c r="D1814">
        <v>7.9</v>
      </c>
      <c r="E1814">
        <v>7.5</v>
      </c>
      <c r="F1814">
        <v>7.4</v>
      </c>
      <c r="G1814">
        <v>7.5</v>
      </c>
      <c r="H1814">
        <v>4.7</v>
      </c>
      <c r="I1814">
        <v>6.2</v>
      </c>
      <c r="J1814">
        <v>6.9</v>
      </c>
      <c r="K1814">
        <v>6.5</v>
      </c>
      <c r="L1814" s="1"/>
    </row>
    <row r="1815" spans="1:12">
      <c r="A1815" t="s">
        <v>1863</v>
      </c>
      <c r="B1815">
        <v>7.4</v>
      </c>
      <c r="C1815">
        <v>7.3</v>
      </c>
      <c r="D1815">
        <v>6.7</v>
      </c>
      <c r="E1815">
        <v>6.6</v>
      </c>
      <c r="F1815">
        <v>6.4</v>
      </c>
      <c r="G1815">
        <v>6.9</v>
      </c>
      <c r="H1815">
        <v>8.5</v>
      </c>
      <c r="I1815">
        <v>6.1</v>
      </c>
      <c r="J1815">
        <v>5.9</v>
      </c>
      <c r="K1815">
        <v>6.5</v>
      </c>
      <c r="L1815" s="1"/>
    </row>
    <row r="1816" spans="1:12">
      <c r="A1816" t="s">
        <v>1864</v>
      </c>
      <c r="B1816">
        <v>7.9</v>
      </c>
      <c r="C1816">
        <v>7.1</v>
      </c>
      <c r="D1816">
        <v>7.2</v>
      </c>
      <c r="E1816">
        <v>6.8</v>
      </c>
      <c r="F1816">
        <v>7.1</v>
      </c>
      <c r="G1816">
        <v>7</v>
      </c>
      <c r="H1816">
        <v>5.9</v>
      </c>
      <c r="I1816">
        <v>6.7</v>
      </c>
      <c r="J1816">
        <v>6.1</v>
      </c>
      <c r="K1816">
        <v>6.7</v>
      </c>
      <c r="L1816" s="1"/>
    </row>
    <row r="1817" spans="1:12">
      <c r="A1817" t="s">
        <v>1865</v>
      </c>
      <c r="B1817">
        <v>6.9</v>
      </c>
      <c r="C1817">
        <v>6.7</v>
      </c>
      <c r="D1817">
        <v>7.3</v>
      </c>
      <c r="E1817">
        <v>7.1</v>
      </c>
      <c r="F1817">
        <v>6.8</v>
      </c>
      <c r="G1817">
        <v>5.4</v>
      </c>
      <c r="H1817">
        <v>7</v>
      </c>
      <c r="I1817">
        <v>6.7</v>
      </c>
      <c r="J1817">
        <v>5.6</v>
      </c>
      <c r="K1817">
        <v>5</v>
      </c>
      <c r="L1817" s="1"/>
    </row>
    <row r="1818" spans="1:12">
      <c r="A1818" t="s">
        <v>1866</v>
      </c>
      <c r="B1818">
        <v>7.5</v>
      </c>
      <c r="C1818">
        <v>6.5</v>
      </c>
      <c r="D1818">
        <v>6.5</v>
      </c>
      <c r="E1818">
        <v>6.3</v>
      </c>
      <c r="F1818">
        <v>6.9</v>
      </c>
      <c r="G1818">
        <v>8</v>
      </c>
      <c r="H1818">
        <v>4.6</v>
      </c>
      <c r="I1818">
        <v>6.5</v>
      </c>
      <c r="J1818">
        <v>5.6</v>
      </c>
      <c r="K1818">
        <v>6</v>
      </c>
      <c r="L1818" s="1"/>
    </row>
    <row r="1819" spans="1:12">
      <c r="A1819" t="s">
        <v>1867</v>
      </c>
      <c r="B1819">
        <v>7</v>
      </c>
      <c r="C1819">
        <v>8</v>
      </c>
      <c r="D1819">
        <v>7.5</v>
      </c>
      <c r="E1819">
        <v>7.4</v>
      </c>
      <c r="F1819">
        <v>6.7</v>
      </c>
      <c r="G1819">
        <v>6.3</v>
      </c>
      <c r="H1819">
        <v>7.3</v>
      </c>
      <c r="I1819">
        <v>7.6</v>
      </c>
      <c r="J1819">
        <v>6.9</v>
      </c>
      <c r="K1819">
        <v>4.1</v>
      </c>
      <c r="L1819" s="1"/>
    </row>
    <row r="1820" spans="1:12">
      <c r="A1820" t="s">
        <v>1868</v>
      </c>
      <c r="B1820">
        <v>7.2</v>
      </c>
      <c r="C1820">
        <v>7.3</v>
      </c>
      <c r="D1820">
        <v>7.6</v>
      </c>
      <c r="E1820">
        <v>6.5</v>
      </c>
      <c r="F1820">
        <v>7.8</v>
      </c>
      <c r="G1820">
        <v>7.7</v>
      </c>
      <c r="H1820">
        <v>7.2</v>
      </c>
      <c r="I1820">
        <v>6.7</v>
      </c>
      <c r="J1820">
        <v>4.6</v>
      </c>
      <c r="K1820">
        <v>6.7</v>
      </c>
      <c r="L1820" s="1"/>
    </row>
    <row r="1821" spans="1:12">
      <c r="A1821" t="s">
        <v>1869</v>
      </c>
      <c r="B1821">
        <v>7.6</v>
      </c>
      <c r="C1821">
        <v>7.6</v>
      </c>
      <c r="D1821">
        <v>7.5</v>
      </c>
      <c r="E1821">
        <v>6.9</v>
      </c>
      <c r="F1821">
        <v>6.6</v>
      </c>
      <c r="G1821">
        <v>6.5</v>
      </c>
      <c r="H1821">
        <v>5</v>
      </c>
      <c r="I1821">
        <v>6.3</v>
      </c>
      <c r="J1821">
        <v>6.1</v>
      </c>
      <c r="K1821">
        <v>5.9</v>
      </c>
      <c r="L1821" s="1"/>
    </row>
    <row r="1822" spans="1:12">
      <c r="A1822" t="s">
        <v>1870</v>
      </c>
      <c r="B1822">
        <v>6.8</v>
      </c>
      <c r="C1822">
        <v>7.4</v>
      </c>
      <c r="D1822">
        <v>7.6</v>
      </c>
      <c r="E1822">
        <v>6.5</v>
      </c>
      <c r="F1822">
        <v>7.4</v>
      </c>
      <c r="G1822">
        <v>7.3</v>
      </c>
      <c r="H1822">
        <v>5.5</v>
      </c>
      <c r="I1822">
        <v>6.1</v>
      </c>
      <c r="J1822">
        <v>7.7</v>
      </c>
      <c r="K1822">
        <v>5</v>
      </c>
      <c r="L1822" s="1"/>
    </row>
    <row r="1823" spans="1:12">
      <c r="A1823" t="s">
        <v>1871</v>
      </c>
      <c r="B1823">
        <v>7.4</v>
      </c>
      <c r="C1823">
        <v>7.4</v>
      </c>
      <c r="D1823">
        <v>7.3</v>
      </c>
      <c r="E1823">
        <v>7.1</v>
      </c>
      <c r="F1823">
        <v>6.5</v>
      </c>
      <c r="G1823">
        <v>6.8</v>
      </c>
      <c r="H1823">
        <v>6.1</v>
      </c>
      <c r="I1823">
        <v>6.2</v>
      </c>
      <c r="J1823">
        <v>6.1</v>
      </c>
      <c r="K1823">
        <v>6</v>
      </c>
      <c r="L1823" s="1"/>
    </row>
    <row r="1824" spans="1:12">
      <c r="A1824" t="s">
        <v>1872</v>
      </c>
      <c r="B1824">
        <v>8</v>
      </c>
      <c r="C1824">
        <v>7.6</v>
      </c>
      <c r="D1824">
        <v>7.5</v>
      </c>
      <c r="E1824">
        <v>6.9</v>
      </c>
      <c r="F1824">
        <v>6.8</v>
      </c>
      <c r="G1824">
        <v>7.2</v>
      </c>
      <c r="H1824">
        <v>7.2</v>
      </c>
      <c r="I1824">
        <v>5.8</v>
      </c>
      <c r="J1824">
        <v>5.6</v>
      </c>
      <c r="K1824">
        <v>2</v>
      </c>
      <c r="L1824" s="1"/>
    </row>
    <row r="1825" spans="1:12">
      <c r="A1825" t="s">
        <v>1873</v>
      </c>
      <c r="B1825">
        <v>7.2</v>
      </c>
      <c r="C1825">
        <v>7.6</v>
      </c>
      <c r="D1825">
        <v>8</v>
      </c>
      <c r="E1825">
        <v>7.6</v>
      </c>
      <c r="F1825">
        <v>7.9</v>
      </c>
      <c r="G1825">
        <v>7.6</v>
      </c>
      <c r="H1825">
        <v>6.7</v>
      </c>
      <c r="I1825">
        <v>7</v>
      </c>
      <c r="J1825">
        <v>6</v>
      </c>
      <c r="K1825">
        <v>5.7</v>
      </c>
      <c r="L1825" s="1"/>
    </row>
    <row r="1826" spans="1:12">
      <c r="A1826" t="s">
        <v>1874</v>
      </c>
      <c r="B1826">
        <v>7.7</v>
      </c>
      <c r="C1826">
        <v>7.2</v>
      </c>
      <c r="D1826">
        <v>6.4</v>
      </c>
      <c r="E1826">
        <v>6.5</v>
      </c>
      <c r="F1826">
        <v>7.5</v>
      </c>
      <c r="G1826">
        <v>4.9</v>
      </c>
      <c r="H1826">
        <v>5.5</v>
      </c>
      <c r="I1826">
        <v>5.6</v>
      </c>
      <c r="J1826">
        <v>4.4</v>
      </c>
      <c r="K1826">
        <v>6.6</v>
      </c>
      <c r="L1826" s="1"/>
    </row>
    <row r="1827" spans="1:12">
      <c r="A1827" t="s">
        <v>1875</v>
      </c>
      <c r="B1827">
        <v>7.3</v>
      </c>
      <c r="C1827">
        <v>7</v>
      </c>
      <c r="D1827">
        <v>7</v>
      </c>
      <c r="E1827">
        <v>6</v>
      </c>
      <c r="F1827">
        <v>7.5</v>
      </c>
      <c r="G1827">
        <v>6.7</v>
      </c>
      <c r="H1827">
        <v>6.6</v>
      </c>
      <c r="I1827">
        <v>6.1</v>
      </c>
      <c r="J1827">
        <v>6.9</v>
      </c>
      <c r="K1827">
        <v>5.4</v>
      </c>
      <c r="L1827" s="1"/>
    </row>
    <row r="1828" spans="1:12">
      <c r="A1828" t="s">
        <v>1876</v>
      </c>
      <c r="B1828">
        <v>7.7</v>
      </c>
      <c r="C1828">
        <v>7.3</v>
      </c>
      <c r="D1828">
        <v>6.6</v>
      </c>
      <c r="E1828">
        <v>6.1</v>
      </c>
      <c r="F1828">
        <v>5.3</v>
      </c>
      <c r="G1828">
        <v>7.7</v>
      </c>
      <c r="H1828">
        <v>5.7</v>
      </c>
      <c r="I1828">
        <v>6.6</v>
      </c>
      <c r="J1828">
        <v>5.6</v>
      </c>
      <c r="K1828">
        <v>4.3</v>
      </c>
      <c r="L1828" s="1"/>
    </row>
    <row r="1829" spans="1:12">
      <c r="A1829" t="s">
        <v>1877</v>
      </c>
      <c r="B1829">
        <v>7.7</v>
      </c>
      <c r="C1829">
        <v>7</v>
      </c>
      <c r="D1829">
        <v>7.3</v>
      </c>
      <c r="E1829">
        <v>7.6</v>
      </c>
      <c r="F1829">
        <v>6.4</v>
      </c>
      <c r="G1829">
        <v>7.5</v>
      </c>
      <c r="H1829">
        <v>7.1</v>
      </c>
      <c r="I1829">
        <v>6.8</v>
      </c>
      <c r="J1829">
        <v>7.1</v>
      </c>
      <c r="K1829">
        <v>4.2</v>
      </c>
      <c r="L1829" s="1"/>
    </row>
    <row r="1830" spans="1:12">
      <c r="A1830" t="s">
        <v>1878</v>
      </c>
      <c r="B1830">
        <v>7.5</v>
      </c>
      <c r="C1830">
        <v>7.3</v>
      </c>
      <c r="D1830">
        <v>6.6</v>
      </c>
      <c r="E1830">
        <v>7.2</v>
      </c>
      <c r="F1830">
        <v>6.8</v>
      </c>
      <c r="G1830">
        <v>6.6</v>
      </c>
      <c r="H1830">
        <v>6.3</v>
      </c>
      <c r="I1830">
        <v>5.2</v>
      </c>
      <c r="J1830">
        <v>4.7</v>
      </c>
      <c r="K1830">
        <v>6.8</v>
      </c>
      <c r="L1830" s="1"/>
    </row>
    <row r="1831" spans="1:12">
      <c r="A1831" t="s">
        <v>1879</v>
      </c>
      <c r="B1831">
        <v>7.4</v>
      </c>
      <c r="C1831">
        <v>7</v>
      </c>
      <c r="D1831">
        <v>7.2</v>
      </c>
      <c r="E1831">
        <v>6.2</v>
      </c>
      <c r="F1831">
        <v>7.2</v>
      </c>
      <c r="G1831">
        <v>7</v>
      </c>
      <c r="H1831">
        <v>7.3</v>
      </c>
      <c r="I1831">
        <v>5.8</v>
      </c>
      <c r="J1831">
        <v>5.5</v>
      </c>
      <c r="K1831">
        <v>5.7</v>
      </c>
      <c r="L1831" s="1"/>
    </row>
    <row r="1832" spans="1:12">
      <c r="A1832" t="s">
        <v>1880</v>
      </c>
      <c r="B1832">
        <v>7.9</v>
      </c>
      <c r="C1832">
        <v>7.2</v>
      </c>
      <c r="D1832">
        <v>6.5</v>
      </c>
      <c r="E1832">
        <v>7.3</v>
      </c>
      <c r="F1832">
        <v>7.7</v>
      </c>
      <c r="G1832">
        <v>7.1</v>
      </c>
      <c r="H1832">
        <v>6.7</v>
      </c>
      <c r="I1832">
        <v>7.2</v>
      </c>
      <c r="J1832">
        <v>5.7</v>
      </c>
      <c r="K1832">
        <v>4.8</v>
      </c>
      <c r="L1832" s="1"/>
    </row>
    <row r="1833" spans="1:12">
      <c r="A1833" t="s">
        <v>1881</v>
      </c>
      <c r="B1833">
        <v>7.2</v>
      </c>
      <c r="C1833">
        <v>7.6</v>
      </c>
      <c r="D1833">
        <v>7.6</v>
      </c>
      <c r="E1833">
        <v>6.4</v>
      </c>
      <c r="F1833">
        <v>5.9</v>
      </c>
      <c r="G1833">
        <v>6.4</v>
      </c>
      <c r="H1833">
        <v>6.3</v>
      </c>
      <c r="I1833">
        <v>6.9</v>
      </c>
      <c r="J1833">
        <v>4.7</v>
      </c>
      <c r="K1833">
        <v>6.1</v>
      </c>
      <c r="L1833" s="1"/>
    </row>
    <row r="1834" spans="1:12">
      <c r="A1834" t="s">
        <v>1882</v>
      </c>
      <c r="B1834">
        <v>7.7</v>
      </c>
      <c r="C1834">
        <v>7.3</v>
      </c>
      <c r="D1834">
        <v>7.3</v>
      </c>
      <c r="E1834">
        <v>7.1</v>
      </c>
      <c r="F1834">
        <v>7.5</v>
      </c>
      <c r="G1834">
        <v>7.3</v>
      </c>
      <c r="H1834">
        <v>5.9</v>
      </c>
      <c r="I1834">
        <v>6.9</v>
      </c>
      <c r="J1834">
        <v>6.2</v>
      </c>
      <c r="K1834">
        <v>6.8</v>
      </c>
      <c r="L1834" s="1"/>
    </row>
    <row r="1835" spans="1:12">
      <c r="A1835" t="s">
        <v>1883</v>
      </c>
      <c r="B1835">
        <v>8.5</v>
      </c>
      <c r="C1835">
        <v>8</v>
      </c>
      <c r="D1835">
        <v>7.4</v>
      </c>
      <c r="E1835">
        <v>8.4</v>
      </c>
      <c r="F1835">
        <v>7</v>
      </c>
      <c r="G1835">
        <v>7.4</v>
      </c>
      <c r="H1835">
        <v>7.4</v>
      </c>
      <c r="I1835">
        <v>5.6</v>
      </c>
      <c r="J1835">
        <v>6.5</v>
      </c>
      <c r="K1835">
        <v>7.3</v>
      </c>
      <c r="L1835" s="1"/>
    </row>
    <row r="1836" spans="1:12">
      <c r="A1836" t="s">
        <v>1884</v>
      </c>
      <c r="B1836">
        <v>8.4</v>
      </c>
      <c r="C1836">
        <v>7.5</v>
      </c>
      <c r="D1836">
        <v>7.9</v>
      </c>
      <c r="E1836">
        <v>7.6</v>
      </c>
      <c r="F1836">
        <v>6.3</v>
      </c>
      <c r="G1836">
        <v>8.3</v>
      </c>
      <c r="H1836">
        <v>6.2</v>
      </c>
      <c r="I1836">
        <v>5.2</v>
      </c>
      <c r="J1836">
        <v>7.1</v>
      </c>
      <c r="K1836">
        <v>7.7</v>
      </c>
      <c r="L1836" s="1"/>
    </row>
    <row r="1837" spans="1:12">
      <c r="A1837" t="s">
        <v>1885</v>
      </c>
      <c r="B1837">
        <v>7.1</v>
      </c>
      <c r="C1837">
        <v>7.3</v>
      </c>
      <c r="D1837">
        <v>7.6</v>
      </c>
      <c r="E1837">
        <v>6.5</v>
      </c>
      <c r="F1837">
        <v>6.4</v>
      </c>
      <c r="G1837">
        <v>6.9</v>
      </c>
      <c r="H1837">
        <v>6.3</v>
      </c>
      <c r="I1837">
        <v>6.5</v>
      </c>
      <c r="J1837">
        <v>7.5</v>
      </c>
      <c r="K1837">
        <v>7</v>
      </c>
      <c r="L1837" s="1"/>
    </row>
    <row r="1838" spans="1:12">
      <c r="A1838" t="s">
        <v>1886</v>
      </c>
      <c r="B1838">
        <v>7.9</v>
      </c>
      <c r="C1838">
        <v>7.8</v>
      </c>
      <c r="D1838">
        <v>6.7</v>
      </c>
      <c r="E1838">
        <v>7.5</v>
      </c>
      <c r="F1838">
        <v>7.2</v>
      </c>
      <c r="G1838">
        <v>6.7</v>
      </c>
      <c r="H1838">
        <v>7</v>
      </c>
      <c r="I1838">
        <v>6.7</v>
      </c>
      <c r="J1838">
        <v>7.8</v>
      </c>
      <c r="K1838">
        <v>4.5</v>
      </c>
      <c r="L1838" s="1"/>
    </row>
    <row r="1839" spans="1:12">
      <c r="A1839" t="s">
        <v>1887</v>
      </c>
      <c r="B1839">
        <v>7.5</v>
      </c>
      <c r="C1839">
        <v>7.5</v>
      </c>
      <c r="D1839">
        <v>7.2</v>
      </c>
      <c r="E1839">
        <v>7.7</v>
      </c>
      <c r="F1839">
        <v>6.9</v>
      </c>
      <c r="G1839">
        <v>4.9</v>
      </c>
      <c r="H1839">
        <v>7.3</v>
      </c>
      <c r="I1839">
        <v>6.4</v>
      </c>
      <c r="J1839">
        <v>7.4</v>
      </c>
      <c r="K1839">
        <v>4.7</v>
      </c>
      <c r="L1839" s="1"/>
    </row>
    <row r="1840" spans="1:12">
      <c r="A1840" t="s">
        <v>1888</v>
      </c>
      <c r="B1840">
        <v>7.5</v>
      </c>
      <c r="C1840">
        <v>8.1</v>
      </c>
      <c r="D1840">
        <v>7.3</v>
      </c>
      <c r="E1840">
        <v>8.4</v>
      </c>
      <c r="F1840">
        <v>6.1</v>
      </c>
      <c r="G1840">
        <v>7.4</v>
      </c>
      <c r="H1840">
        <v>6.5</v>
      </c>
      <c r="I1840">
        <v>5.6</v>
      </c>
      <c r="J1840">
        <v>6.6</v>
      </c>
      <c r="K1840">
        <v>4.6</v>
      </c>
      <c r="L1840" s="1"/>
    </row>
    <row r="1841" spans="1:12">
      <c r="A1841" t="s">
        <v>1889</v>
      </c>
      <c r="B1841">
        <v>8.2</v>
      </c>
      <c r="C1841">
        <v>7</v>
      </c>
      <c r="D1841">
        <v>7.2</v>
      </c>
      <c r="E1841">
        <v>7.8</v>
      </c>
      <c r="F1841">
        <v>7.6</v>
      </c>
      <c r="G1841">
        <v>6.8</v>
      </c>
      <c r="H1841">
        <v>6.8</v>
      </c>
      <c r="I1841">
        <v>7.5</v>
      </c>
      <c r="J1841">
        <v>6.7</v>
      </c>
      <c r="K1841">
        <v>6.1</v>
      </c>
      <c r="L1841" s="1"/>
    </row>
    <row r="1842" spans="1:12">
      <c r="A1842" t="s">
        <v>1890</v>
      </c>
      <c r="B1842">
        <v>8.3</v>
      </c>
      <c r="C1842">
        <v>8.9</v>
      </c>
      <c r="D1842">
        <v>7.2</v>
      </c>
      <c r="E1842">
        <v>6.4</v>
      </c>
      <c r="F1842">
        <v>7.2</v>
      </c>
      <c r="G1842">
        <v>7.7</v>
      </c>
      <c r="H1842">
        <v>6.2</v>
      </c>
      <c r="I1842">
        <v>6.8</v>
      </c>
      <c r="J1842">
        <v>4.7</v>
      </c>
      <c r="K1842">
        <v>5.7</v>
      </c>
      <c r="L1842" s="1"/>
    </row>
    <row r="1843" spans="1:12">
      <c r="A1843" t="s">
        <v>1891</v>
      </c>
      <c r="B1843">
        <v>7.3</v>
      </c>
      <c r="C1843">
        <v>7.5</v>
      </c>
      <c r="D1843">
        <v>7.7</v>
      </c>
      <c r="E1843">
        <v>7.9</v>
      </c>
      <c r="F1843">
        <v>7.1</v>
      </c>
      <c r="G1843">
        <v>6</v>
      </c>
      <c r="H1843">
        <v>7.2</v>
      </c>
      <c r="I1843">
        <v>6.2</v>
      </c>
      <c r="J1843">
        <v>6.3</v>
      </c>
      <c r="K1843">
        <v>4.8</v>
      </c>
      <c r="L1843" s="1"/>
    </row>
    <row r="1844" spans="1:12">
      <c r="A1844" t="s">
        <v>1892</v>
      </c>
      <c r="B1844">
        <v>9</v>
      </c>
      <c r="C1844">
        <v>7.5</v>
      </c>
      <c r="D1844">
        <v>7.9</v>
      </c>
      <c r="E1844">
        <v>8.5</v>
      </c>
      <c r="F1844">
        <v>6.9</v>
      </c>
      <c r="G1844">
        <v>6.5</v>
      </c>
      <c r="H1844">
        <v>6.1</v>
      </c>
      <c r="I1844">
        <v>7.3</v>
      </c>
      <c r="J1844">
        <v>6.2</v>
      </c>
      <c r="K1844">
        <v>7.3</v>
      </c>
      <c r="L1844" s="1"/>
    </row>
    <row r="1845" spans="1:12">
      <c r="A1845" t="s">
        <v>1893</v>
      </c>
      <c r="B1845">
        <v>8.1</v>
      </c>
      <c r="C1845">
        <v>7.9</v>
      </c>
      <c r="D1845">
        <v>7.9</v>
      </c>
      <c r="E1845">
        <v>7.5</v>
      </c>
      <c r="F1845">
        <v>7.1</v>
      </c>
      <c r="G1845">
        <v>7.5</v>
      </c>
      <c r="H1845">
        <v>6.4</v>
      </c>
      <c r="I1845">
        <v>6.5</v>
      </c>
      <c r="J1845">
        <v>7</v>
      </c>
      <c r="K1845">
        <v>6.4</v>
      </c>
      <c r="L1845" s="1"/>
    </row>
    <row r="1846" spans="1:12">
      <c r="A1846" t="s">
        <v>1894</v>
      </c>
      <c r="B1846">
        <v>8.6</v>
      </c>
      <c r="C1846">
        <v>7.5</v>
      </c>
      <c r="D1846">
        <v>7.5</v>
      </c>
      <c r="E1846">
        <v>7.2</v>
      </c>
      <c r="F1846">
        <v>7</v>
      </c>
      <c r="G1846">
        <v>5.8</v>
      </c>
      <c r="H1846">
        <v>7.2</v>
      </c>
      <c r="I1846">
        <v>7.2</v>
      </c>
      <c r="J1846">
        <v>6.9</v>
      </c>
      <c r="K1846">
        <v>3.2</v>
      </c>
      <c r="L1846" s="1"/>
    </row>
    <row r="1847" spans="1:12">
      <c r="A1847" t="s">
        <v>1895</v>
      </c>
      <c r="B1847">
        <v>7.9</v>
      </c>
      <c r="C1847">
        <v>7.7</v>
      </c>
      <c r="D1847">
        <v>7.2</v>
      </c>
      <c r="E1847">
        <v>7.1</v>
      </c>
      <c r="F1847">
        <v>7.9</v>
      </c>
      <c r="G1847">
        <v>8.2</v>
      </c>
      <c r="H1847">
        <v>6.1</v>
      </c>
      <c r="I1847">
        <v>5.9</v>
      </c>
      <c r="J1847">
        <v>5.2</v>
      </c>
      <c r="K1847">
        <v>6.8</v>
      </c>
      <c r="L1847" s="1"/>
    </row>
    <row r="1848" spans="1:12">
      <c r="A1848" t="s">
        <v>1896</v>
      </c>
      <c r="B1848">
        <v>9.9</v>
      </c>
      <c r="C1848">
        <v>8.2</v>
      </c>
      <c r="D1848">
        <v>8.1</v>
      </c>
      <c r="E1848">
        <v>7.8</v>
      </c>
      <c r="F1848">
        <v>8.1</v>
      </c>
      <c r="G1848">
        <v>7.8</v>
      </c>
      <c r="H1848">
        <v>8</v>
      </c>
      <c r="I1848">
        <v>7.1</v>
      </c>
      <c r="J1848">
        <v>7.5</v>
      </c>
      <c r="K1848">
        <v>7.7</v>
      </c>
      <c r="L1848" s="1"/>
    </row>
    <row r="1849" spans="1:12">
      <c r="A1849" t="s">
        <v>1897</v>
      </c>
      <c r="B1849">
        <v>8.9</v>
      </c>
      <c r="C1849">
        <v>8.8</v>
      </c>
      <c r="D1849">
        <v>8.9</v>
      </c>
      <c r="E1849">
        <v>7.4</v>
      </c>
      <c r="F1849">
        <v>9.1</v>
      </c>
      <c r="G1849">
        <v>9.8</v>
      </c>
      <c r="H1849">
        <v>6.9</v>
      </c>
      <c r="I1849">
        <v>7</v>
      </c>
      <c r="J1849">
        <v>6.7</v>
      </c>
      <c r="K1849">
        <v>7.4</v>
      </c>
      <c r="L1849" s="1"/>
    </row>
    <row r="1850" spans="1:12">
      <c r="A1850" t="s">
        <v>1898</v>
      </c>
      <c r="B1850">
        <v>8.4</v>
      </c>
      <c r="C1850">
        <v>9.4</v>
      </c>
      <c r="D1850">
        <v>9.4</v>
      </c>
      <c r="E1850">
        <v>8.4</v>
      </c>
      <c r="F1850">
        <v>6.2</v>
      </c>
      <c r="G1850">
        <v>7.8</v>
      </c>
      <c r="H1850">
        <v>7.6</v>
      </c>
      <c r="I1850">
        <v>7.8</v>
      </c>
      <c r="J1850">
        <v>6.8</v>
      </c>
      <c r="K1850">
        <v>5</v>
      </c>
      <c r="L1850" s="1"/>
    </row>
    <row r="1851" spans="1:12">
      <c r="A1851" t="s">
        <v>1899</v>
      </c>
      <c r="B1851">
        <v>9.7</v>
      </c>
      <c r="C1851">
        <v>7.6</v>
      </c>
      <c r="D1851">
        <v>9.5</v>
      </c>
      <c r="E1851">
        <v>8.8</v>
      </c>
      <c r="F1851">
        <v>9.1</v>
      </c>
      <c r="G1851">
        <v>7.7</v>
      </c>
      <c r="H1851">
        <v>8.8</v>
      </c>
      <c r="I1851">
        <v>7.4</v>
      </c>
      <c r="J1851">
        <v>8.2</v>
      </c>
      <c r="K1851">
        <v>6.7</v>
      </c>
      <c r="L1851" s="1"/>
    </row>
    <row r="1852" spans="1:12">
      <c r="A1852" t="s">
        <v>1900</v>
      </c>
      <c r="B1852">
        <v>8.1</v>
      </c>
      <c r="C1852">
        <v>7.4</v>
      </c>
      <c r="D1852">
        <v>7.2</v>
      </c>
      <c r="E1852">
        <v>7.6</v>
      </c>
      <c r="F1852">
        <v>8.3</v>
      </c>
      <c r="G1852">
        <v>7.7</v>
      </c>
      <c r="H1852">
        <v>7.5</v>
      </c>
      <c r="I1852">
        <v>7.2</v>
      </c>
      <c r="J1852">
        <v>6.2</v>
      </c>
      <c r="K1852">
        <v>4.9</v>
      </c>
      <c r="L1852" s="1"/>
    </row>
    <row r="1853" spans="1:12">
      <c r="A1853" t="s">
        <v>1901</v>
      </c>
      <c r="B1853">
        <v>8.2</v>
      </c>
      <c r="C1853">
        <v>6.7</v>
      </c>
      <c r="D1853">
        <v>7.6</v>
      </c>
      <c r="E1853">
        <v>7.7</v>
      </c>
      <c r="F1853">
        <v>7.2</v>
      </c>
      <c r="G1853">
        <v>6.2</v>
      </c>
      <c r="H1853">
        <v>7.2</v>
      </c>
      <c r="I1853">
        <v>6.4</v>
      </c>
      <c r="J1853">
        <v>7</v>
      </c>
      <c r="K1853">
        <v>7.2</v>
      </c>
      <c r="L1853" s="1"/>
    </row>
    <row r="1854" spans="1:12">
      <c r="A1854" t="s">
        <v>1902</v>
      </c>
      <c r="B1854">
        <v>7.5</v>
      </c>
      <c r="C1854">
        <v>7.8</v>
      </c>
      <c r="D1854">
        <v>8.5</v>
      </c>
      <c r="E1854">
        <v>7.3</v>
      </c>
      <c r="F1854">
        <v>7.9</v>
      </c>
      <c r="G1854">
        <v>7.2</v>
      </c>
      <c r="H1854">
        <v>6</v>
      </c>
      <c r="I1854">
        <v>3.6</v>
      </c>
      <c r="J1854">
        <v>5.3</v>
      </c>
      <c r="K1854">
        <v>7.2</v>
      </c>
      <c r="L1854" s="1"/>
    </row>
    <row r="1855" spans="1:12">
      <c r="A1855" t="s">
        <v>1903</v>
      </c>
      <c r="B1855">
        <v>7.3</v>
      </c>
      <c r="C1855">
        <v>7.2</v>
      </c>
      <c r="D1855">
        <v>7.5</v>
      </c>
      <c r="E1855">
        <v>7.7</v>
      </c>
      <c r="F1855">
        <v>7.5</v>
      </c>
      <c r="G1855">
        <v>6.4</v>
      </c>
      <c r="H1855">
        <v>6.2</v>
      </c>
      <c r="I1855">
        <v>6.3</v>
      </c>
      <c r="J1855">
        <v>5.8</v>
      </c>
      <c r="K1855">
        <v>5.7</v>
      </c>
      <c r="L1855" s="1"/>
    </row>
    <row r="1856" spans="1:12">
      <c r="A1856" t="s">
        <v>1904</v>
      </c>
      <c r="B1856">
        <v>7.2</v>
      </c>
      <c r="C1856">
        <v>7.9</v>
      </c>
      <c r="D1856">
        <v>7.9</v>
      </c>
      <c r="E1856">
        <v>7.6</v>
      </c>
      <c r="F1856">
        <v>7.2</v>
      </c>
      <c r="G1856">
        <v>6</v>
      </c>
      <c r="H1856">
        <v>5.9</v>
      </c>
      <c r="I1856">
        <v>8.2</v>
      </c>
      <c r="J1856">
        <v>6.3</v>
      </c>
      <c r="K1856">
        <v>8</v>
      </c>
      <c r="L1856" s="1"/>
    </row>
    <row r="1857" spans="1:12">
      <c r="A1857" t="s">
        <v>1905</v>
      </c>
      <c r="B1857">
        <v>7.8</v>
      </c>
      <c r="C1857">
        <v>7.4</v>
      </c>
      <c r="D1857">
        <v>6.9</v>
      </c>
      <c r="E1857">
        <v>7.2</v>
      </c>
      <c r="F1857">
        <v>6.1</v>
      </c>
      <c r="G1857">
        <v>7.6</v>
      </c>
      <c r="H1857">
        <v>7</v>
      </c>
      <c r="I1857">
        <v>6.4</v>
      </c>
      <c r="J1857">
        <v>8.4</v>
      </c>
      <c r="K1857">
        <v>6.7</v>
      </c>
      <c r="L1857" s="1"/>
    </row>
    <row r="1858" spans="1:12">
      <c r="A1858" t="s">
        <v>1906</v>
      </c>
      <c r="B1858">
        <v>8.3</v>
      </c>
      <c r="C1858">
        <v>7.9</v>
      </c>
      <c r="D1858">
        <v>7.5</v>
      </c>
      <c r="E1858">
        <v>8.8</v>
      </c>
      <c r="F1858">
        <v>7.3</v>
      </c>
      <c r="G1858">
        <v>6.1</v>
      </c>
      <c r="H1858">
        <v>7.7</v>
      </c>
      <c r="I1858">
        <v>5.8</v>
      </c>
      <c r="J1858">
        <v>6.2</v>
      </c>
      <c r="K1858">
        <v>4.7</v>
      </c>
      <c r="L1858" s="1"/>
    </row>
    <row r="1859" spans="1:12">
      <c r="A1859" t="s">
        <v>1907</v>
      </c>
      <c r="B1859">
        <v>7.6</v>
      </c>
      <c r="C1859">
        <v>7.6</v>
      </c>
      <c r="D1859">
        <v>7.8</v>
      </c>
      <c r="E1859">
        <v>7.1</v>
      </c>
      <c r="F1859">
        <v>7.8</v>
      </c>
      <c r="G1859">
        <v>6.3</v>
      </c>
      <c r="H1859">
        <v>5.3</v>
      </c>
      <c r="I1859">
        <v>7.2</v>
      </c>
      <c r="J1859">
        <v>7.1</v>
      </c>
      <c r="K1859">
        <v>6.5</v>
      </c>
      <c r="L1859" s="1"/>
    </row>
    <row r="1860" spans="1:12">
      <c r="A1860" t="s">
        <v>1908</v>
      </c>
      <c r="B1860">
        <v>7.8</v>
      </c>
      <c r="C1860">
        <v>7.8</v>
      </c>
      <c r="D1860">
        <v>7.6</v>
      </c>
      <c r="E1860">
        <v>7.3</v>
      </c>
      <c r="F1860">
        <v>7.3</v>
      </c>
      <c r="G1860">
        <v>7.2</v>
      </c>
      <c r="H1860">
        <v>6.2</v>
      </c>
      <c r="I1860">
        <v>6.9</v>
      </c>
      <c r="J1860">
        <v>5.9</v>
      </c>
      <c r="K1860">
        <v>6.5</v>
      </c>
      <c r="L1860" s="1"/>
    </row>
    <row r="1861" spans="1:12">
      <c r="A1861" t="s">
        <v>1909</v>
      </c>
      <c r="B1861">
        <v>8.9</v>
      </c>
      <c r="C1861">
        <v>8.2</v>
      </c>
      <c r="D1861">
        <v>6.4</v>
      </c>
      <c r="E1861">
        <v>7.6</v>
      </c>
      <c r="F1861">
        <v>5.9</v>
      </c>
      <c r="G1861">
        <v>6.6</v>
      </c>
      <c r="H1861">
        <v>6.6</v>
      </c>
      <c r="I1861">
        <v>6.8</v>
      </c>
      <c r="J1861">
        <v>7</v>
      </c>
      <c r="K1861">
        <v>8.4</v>
      </c>
      <c r="L1861" s="1"/>
    </row>
    <row r="1862" spans="1:12">
      <c r="A1862" t="s">
        <v>1910</v>
      </c>
      <c r="B1862">
        <v>8</v>
      </c>
      <c r="C1862">
        <v>7.7</v>
      </c>
      <c r="D1862">
        <v>7.8</v>
      </c>
      <c r="E1862">
        <v>7</v>
      </c>
      <c r="F1862">
        <v>7.1</v>
      </c>
      <c r="G1862">
        <v>6.8</v>
      </c>
      <c r="H1862">
        <v>5.7</v>
      </c>
      <c r="I1862">
        <v>6.9</v>
      </c>
      <c r="J1862">
        <v>6.4</v>
      </c>
      <c r="K1862">
        <v>6.8</v>
      </c>
      <c r="L1862" s="1"/>
    </row>
    <row r="1863" spans="1:12">
      <c r="A1863" t="s">
        <v>1911</v>
      </c>
      <c r="B1863">
        <v>7.8</v>
      </c>
      <c r="C1863">
        <v>6.7</v>
      </c>
      <c r="D1863">
        <v>8</v>
      </c>
      <c r="E1863">
        <v>7</v>
      </c>
      <c r="F1863">
        <v>6.8</v>
      </c>
      <c r="G1863">
        <v>8.3</v>
      </c>
      <c r="H1863">
        <v>7.1</v>
      </c>
      <c r="I1863">
        <v>6.4</v>
      </c>
      <c r="J1863">
        <v>4.8</v>
      </c>
      <c r="K1863">
        <v>5.2</v>
      </c>
      <c r="L1863" s="1"/>
    </row>
    <row r="1864" spans="1:12">
      <c r="A1864" t="s">
        <v>1912</v>
      </c>
      <c r="B1864">
        <v>7.3</v>
      </c>
      <c r="C1864">
        <v>7.1</v>
      </c>
      <c r="D1864">
        <v>7.4</v>
      </c>
      <c r="E1864">
        <v>8.4</v>
      </c>
      <c r="F1864">
        <v>6.5</v>
      </c>
      <c r="G1864">
        <v>6.3</v>
      </c>
      <c r="H1864">
        <v>7.4</v>
      </c>
      <c r="I1864">
        <v>5.6</v>
      </c>
      <c r="J1864">
        <v>7.1</v>
      </c>
      <c r="K1864">
        <v>3.4</v>
      </c>
      <c r="L1864" s="1"/>
    </row>
    <row r="1865" spans="1:12">
      <c r="A1865" t="s">
        <v>1913</v>
      </c>
      <c r="B1865">
        <v>7</v>
      </c>
      <c r="C1865">
        <v>7.1</v>
      </c>
      <c r="D1865">
        <v>8.3</v>
      </c>
      <c r="E1865">
        <v>6.5</v>
      </c>
      <c r="F1865">
        <v>7.6</v>
      </c>
      <c r="G1865">
        <v>7.8</v>
      </c>
      <c r="H1865">
        <v>5.7</v>
      </c>
      <c r="I1865">
        <v>5.4</v>
      </c>
      <c r="J1865">
        <v>7.4</v>
      </c>
      <c r="K1865">
        <v>4.3</v>
      </c>
      <c r="L1865" s="1"/>
    </row>
    <row r="1866" spans="1:12">
      <c r="A1866" t="s">
        <v>1914</v>
      </c>
      <c r="B1866">
        <v>7.7</v>
      </c>
      <c r="C1866">
        <v>6.8</v>
      </c>
      <c r="D1866">
        <v>7.7</v>
      </c>
      <c r="E1866">
        <v>6.8</v>
      </c>
      <c r="F1866">
        <v>7.6</v>
      </c>
      <c r="G1866">
        <v>6.7</v>
      </c>
      <c r="H1866">
        <v>6.6</v>
      </c>
      <c r="I1866">
        <v>5.7</v>
      </c>
      <c r="J1866">
        <v>7.5</v>
      </c>
      <c r="K1866">
        <v>6.4</v>
      </c>
      <c r="L1866" s="1"/>
    </row>
    <row r="1867" spans="1:12">
      <c r="A1867" t="s">
        <v>1915</v>
      </c>
      <c r="B1867">
        <v>7.4</v>
      </c>
      <c r="C1867">
        <v>7.8</v>
      </c>
      <c r="D1867">
        <v>8</v>
      </c>
      <c r="E1867">
        <v>7</v>
      </c>
      <c r="F1867">
        <v>6.2</v>
      </c>
      <c r="G1867">
        <v>7.3</v>
      </c>
      <c r="H1867">
        <v>5.9</v>
      </c>
      <c r="I1867">
        <v>5.1</v>
      </c>
      <c r="J1867">
        <v>7.9</v>
      </c>
      <c r="K1867">
        <v>6.5</v>
      </c>
      <c r="L1867" s="1"/>
    </row>
    <row r="1868" spans="1:12">
      <c r="A1868" t="s">
        <v>1916</v>
      </c>
      <c r="B1868">
        <v>8.5</v>
      </c>
      <c r="C1868">
        <v>8</v>
      </c>
      <c r="D1868">
        <v>7.2</v>
      </c>
      <c r="E1868">
        <v>7.3</v>
      </c>
      <c r="F1868">
        <v>6.8</v>
      </c>
      <c r="G1868">
        <v>6</v>
      </c>
      <c r="H1868">
        <v>7.3</v>
      </c>
      <c r="I1868">
        <v>6.4</v>
      </c>
      <c r="J1868">
        <v>4.9</v>
      </c>
      <c r="K1868">
        <v>7.3</v>
      </c>
      <c r="L1868" s="1"/>
    </row>
    <row r="1869" spans="1:12">
      <c r="A1869" t="s">
        <v>1917</v>
      </c>
      <c r="B1869">
        <v>8.2</v>
      </c>
      <c r="C1869">
        <v>7.1</v>
      </c>
      <c r="D1869">
        <v>7.5</v>
      </c>
      <c r="E1869">
        <v>7.3</v>
      </c>
      <c r="F1869">
        <v>7</v>
      </c>
      <c r="G1869">
        <v>6.4</v>
      </c>
      <c r="H1869">
        <v>7.3</v>
      </c>
      <c r="I1869">
        <v>7.2</v>
      </c>
      <c r="J1869">
        <v>7.2</v>
      </c>
      <c r="K1869">
        <v>6.6</v>
      </c>
      <c r="L1869" s="1"/>
    </row>
    <row r="1870" spans="1:12">
      <c r="A1870" t="s">
        <v>1918</v>
      </c>
      <c r="B1870">
        <v>7.9</v>
      </c>
      <c r="C1870">
        <v>7.4</v>
      </c>
      <c r="D1870">
        <v>6.6</v>
      </c>
      <c r="E1870">
        <v>6.9</v>
      </c>
      <c r="F1870">
        <v>7.4</v>
      </c>
      <c r="G1870">
        <v>5.9</v>
      </c>
      <c r="H1870">
        <v>5.8</v>
      </c>
      <c r="I1870">
        <v>6.7</v>
      </c>
      <c r="J1870">
        <v>7</v>
      </c>
      <c r="K1870">
        <v>7.5</v>
      </c>
      <c r="L1870" s="1"/>
    </row>
    <row r="1871" spans="1:12">
      <c r="A1871" t="s">
        <v>1919</v>
      </c>
      <c r="B1871">
        <v>7.5</v>
      </c>
      <c r="C1871">
        <v>8.3</v>
      </c>
      <c r="D1871">
        <v>6.7</v>
      </c>
      <c r="E1871">
        <v>7.7</v>
      </c>
      <c r="F1871">
        <v>5.8</v>
      </c>
      <c r="G1871">
        <v>8</v>
      </c>
      <c r="H1871">
        <v>6.6</v>
      </c>
      <c r="I1871">
        <v>7.9</v>
      </c>
      <c r="J1871">
        <v>7.1</v>
      </c>
      <c r="K1871">
        <v>7.1</v>
      </c>
      <c r="L1871" s="1"/>
    </row>
    <row r="1872" spans="1:12">
      <c r="A1872" t="s">
        <v>1920</v>
      </c>
      <c r="B1872">
        <v>8</v>
      </c>
      <c r="C1872">
        <v>8.2</v>
      </c>
      <c r="D1872">
        <v>7.3</v>
      </c>
      <c r="E1872">
        <v>7.2</v>
      </c>
      <c r="F1872">
        <v>7.4</v>
      </c>
      <c r="G1872">
        <v>7.2</v>
      </c>
      <c r="H1872">
        <v>7.7</v>
      </c>
      <c r="I1872">
        <v>7.3</v>
      </c>
      <c r="J1872">
        <v>7.2</v>
      </c>
      <c r="K1872">
        <v>6.5</v>
      </c>
      <c r="L1872" s="1"/>
    </row>
    <row r="1873" spans="1:12">
      <c r="A1873" t="s">
        <v>1921</v>
      </c>
      <c r="B1873">
        <v>7.7</v>
      </c>
      <c r="C1873">
        <v>8.3</v>
      </c>
      <c r="D1873">
        <v>7.3</v>
      </c>
      <c r="E1873">
        <v>8.4</v>
      </c>
      <c r="F1873">
        <v>8</v>
      </c>
      <c r="G1873">
        <v>7.4</v>
      </c>
      <c r="H1873">
        <v>7.1</v>
      </c>
      <c r="I1873">
        <v>5.5</v>
      </c>
      <c r="J1873">
        <v>7.2</v>
      </c>
      <c r="K1873">
        <v>5.3</v>
      </c>
      <c r="L1873" s="1"/>
    </row>
    <row r="1874" spans="1:12">
      <c r="A1874" t="s">
        <v>1922</v>
      </c>
      <c r="B1874">
        <v>8</v>
      </c>
      <c r="C1874">
        <v>8.2</v>
      </c>
      <c r="D1874">
        <v>7.3</v>
      </c>
      <c r="E1874">
        <v>8.3</v>
      </c>
      <c r="F1874">
        <v>6.2</v>
      </c>
      <c r="G1874">
        <v>6.4</v>
      </c>
      <c r="H1874">
        <v>7.3</v>
      </c>
      <c r="I1874">
        <v>4.7</v>
      </c>
      <c r="J1874">
        <v>6.8</v>
      </c>
      <c r="K1874">
        <v>6.5</v>
      </c>
      <c r="L1874" s="1"/>
    </row>
    <row r="1875" spans="1:12">
      <c r="A1875" t="s">
        <v>1923</v>
      </c>
      <c r="B1875">
        <v>8</v>
      </c>
      <c r="C1875">
        <v>8.6</v>
      </c>
      <c r="D1875">
        <v>8.4</v>
      </c>
      <c r="E1875">
        <v>7.5</v>
      </c>
      <c r="F1875">
        <v>7.3</v>
      </c>
      <c r="G1875">
        <v>7.1</v>
      </c>
      <c r="H1875">
        <v>6.7</v>
      </c>
      <c r="I1875">
        <v>5.1</v>
      </c>
      <c r="J1875">
        <v>5.8</v>
      </c>
      <c r="K1875">
        <v>6.4</v>
      </c>
      <c r="L1875" s="1"/>
    </row>
    <row r="1876" spans="1:12">
      <c r="A1876" t="s">
        <v>1924</v>
      </c>
      <c r="B1876">
        <v>7.7</v>
      </c>
      <c r="C1876">
        <v>7.9</v>
      </c>
      <c r="D1876">
        <v>7.4</v>
      </c>
      <c r="E1876">
        <v>8</v>
      </c>
      <c r="F1876">
        <v>8.3</v>
      </c>
      <c r="G1876">
        <v>5.4</v>
      </c>
      <c r="H1876">
        <v>6.8</v>
      </c>
      <c r="I1876">
        <v>5.4</v>
      </c>
      <c r="J1876">
        <v>5.4</v>
      </c>
      <c r="K1876">
        <v>4.6</v>
      </c>
      <c r="L1876" s="1"/>
    </row>
    <row r="1877" spans="1:12">
      <c r="A1877" t="s">
        <v>1925</v>
      </c>
      <c r="B1877">
        <v>7.9</v>
      </c>
      <c r="C1877">
        <v>8.5</v>
      </c>
      <c r="D1877">
        <v>6.8</v>
      </c>
      <c r="E1877">
        <v>6.9</v>
      </c>
      <c r="F1877">
        <v>7.7</v>
      </c>
      <c r="G1877">
        <v>7.3</v>
      </c>
      <c r="H1877">
        <v>7.3</v>
      </c>
      <c r="I1877">
        <v>6.5</v>
      </c>
      <c r="J1877">
        <v>7</v>
      </c>
      <c r="K1877">
        <v>4.9</v>
      </c>
      <c r="L1877" s="1"/>
    </row>
    <row r="1878" spans="1:12">
      <c r="A1878" t="s">
        <v>1926</v>
      </c>
      <c r="B1878">
        <v>8.5</v>
      </c>
      <c r="C1878">
        <v>7.7</v>
      </c>
      <c r="D1878">
        <v>8.1</v>
      </c>
      <c r="E1878">
        <v>6.7</v>
      </c>
      <c r="F1878">
        <v>6.8</v>
      </c>
      <c r="G1878">
        <v>6.7</v>
      </c>
      <c r="H1878">
        <v>6.3</v>
      </c>
      <c r="I1878">
        <v>6.9</v>
      </c>
      <c r="J1878">
        <v>7.3</v>
      </c>
      <c r="K1878">
        <v>8.4</v>
      </c>
      <c r="L1878" s="1"/>
    </row>
    <row r="1879" spans="1:12">
      <c r="A1879" t="s">
        <v>1927</v>
      </c>
      <c r="B1879">
        <v>7.5</v>
      </c>
      <c r="C1879">
        <v>6.9</v>
      </c>
      <c r="D1879">
        <v>7.3</v>
      </c>
      <c r="E1879">
        <v>7</v>
      </c>
      <c r="F1879">
        <v>7.6</v>
      </c>
      <c r="G1879">
        <v>6.1</v>
      </c>
      <c r="H1879">
        <v>5.7</v>
      </c>
      <c r="I1879">
        <v>6.1</v>
      </c>
      <c r="J1879">
        <v>6.6</v>
      </c>
      <c r="K1879">
        <v>6.7</v>
      </c>
      <c r="L1879" s="1"/>
    </row>
    <row r="1880" spans="1:12">
      <c r="A1880" t="s">
        <v>1928</v>
      </c>
      <c r="B1880">
        <v>7.9</v>
      </c>
      <c r="C1880">
        <v>8.7</v>
      </c>
      <c r="D1880">
        <v>6.7</v>
      </c>
      <c r="E1880">
        <v>7.7</v>
      </c>
      <c r="F1880">
        <v>8.6</v>
      </c>
      <c r="G1880">
        <v>6.6</v>
      </c>
      <c r="H1880">
        <v>6.7</v>
      </c>
      <c r="I1880">
        <v>6.9</v>
      </c>
      <c r="J1880">
        <v>4.6</v>
      </c>
      <c r="K1880">
        <v>6</v>
      </c>
      <c r="L1880" s="1"/>
    </row>
    <row r="1881" spans="1:12">
      <c r="A1881" t="s">
        <v>1929</v>
      </c>
      <c r="B1881">
        <v>7.8</v>
      </c>
      <c r="C1881">
        <v>7.6</v>
      </c>
      <c r="D1881">
        <v>7.1</v>
      </c>
      <c r="E1881">
        <v>7.1</v>
      </c>
      <c r="F1881">
        <v>7.5</v>
      </c>
      <c r="G1881">
        <v>7.6</v>
      </c>
      <c r="H1881">
        <v>7.3</v>
      </c>
      <c r="I1881">
        <v>6.8</v>
      </c>
      <c r="J1881">
        <v>6.8</v>
      </c>
      <c r="K1881">
        <v>6.2</v>
      </c>
      <c r="L1881" s="1"/>
    </row>
    <row r="1882" spans="1:12">
      <c r="A1882" t="s">
        <v>1930</v>
      </c>
      <c r="B1882">
        <v>8.8</v>
      </c>
      <c r="C1882">
        <v>7.4</v>
      </c>
      <c r="D1882">
        <v>7.8</v>
      </c>
      <c r="E1882">
        <v>7.6</v>
      </c>
      <c r="F1882">
        <v>6.2</v>
      </c>
      <c r="G1882">
        <v>6.4</v>
      </c>
      <c r="H1882">
        <v>7.3</v>
      </c>
      <c r="I1882">
        <v>7.1</v>
      </c>
      <c r="J1882">
        <v>5.7</v>
      </c>
      <c r="K1882">
        <v>7</v>
      </c>
      <c r="L1882" s="1"/>
    </row>
    <row r="1883" spans="1:12">
      <c r="A1883" t="s">
        <v>1931</v>
      </c>
      <c r="B1883">
        <v>8</v>
      </c>
      <c r="C1883">
        <v>8.3</v>
      </c>
      <c r="D1883">
        <v>6.7</v>
      </c>
      <c r="E1883">
        <v>6.9</v>
      </c>
      <c r="F1883">
        <v>6.5</v>
      </c>
      <c r="G1883">
        <v>7.4</v>
      </c>
      <c r="H1883">
        <v>7.3</v>
      </c>
      <c r="I1883">
        <v>5.1</v>
      </c>
      <c r="J1883">
        <v>4.6</v>
      </c>
      <c r="K1883">
        <v>5.1</v>
      </c>
      <c r="L1883" s="1"/>
    </row>
    <row r="1884" spans="1:12">
      <c r="A1884" t="s">
        <v>1932</v>
      </c>
      <c r="B1884">
        <v>8.1</v>
      </c>
      <c r="C1884">
        <v>8.2</v>
      </c>
      <c r="D1884">
        <v>8.2</v>
      </c>
      <c r="E1884">
        <v>7.8</v>
      </c>
      <c r="F1884">
        <v>7.7</v>
      </c>
      <c r="G1884">
        <v>6.7</v>
      </c>
      <c r="H1884">
        <v>7</v>
      </c>
      <c r="I1884">
        <v>6.7</v>
      </c>
      <c r="J1884">
        <v>7</v>
      </c>
      <c r="K1884">
        <v>7.3</v>
      </c>
      <c r="L1884" s="1"/>
    </row>
    <row r="1885" spans="1:12">
      <c r="A1885" t="s">
        <v>1933</v>
      </c>
      <c r="B1885">
        <v>8.3</v>
      </c>
      <c r="C1885">
        <v>7.5</v>
      </c>
      <c r="D1885">
        <v>7.4</v>
      </c>
      <c r="E1885">
        <v>7.3</v>
      </c>
      <c r="F1885">
        <v>7.9</v>
      </c>
      <c r="G1885">
        <v>6</v>
      </c>
      <c r="H1885">
        <v>7.3</v>
      </c>
      <c r="I1885">
        <v>6.5</v>
      </c>
      <c r="J1885">
        <v>5.8</v>
      </c>
      <c r="K1885">
        <v>6.2</v>
      </c>
      <c r="L1885" s="1"/>
    </row>
    <row r="1886" spans="1:12">
      <c r="A1886" t="s">
        <v>1934</v>
      </c>
      <c r="B1886">
        <v>7.9</v>
      </c>
      <c r="C1886">
        <v>7.4</v>
      </c>
      <c r="D1886">
        <v>8.2</v>
      </c>
      <c r="E1886">
        <v>8</v>
      </c>
      <c r="F1886">
        <v>7.4</v>
      </c>
      <c r="G1886">
        <v>6.8</v>
      </c>
      <c r="H1886">
        <v>8.7</v>
      </c>
      <c r="I1886">
        <v>5.7</v>
      </c>
      <c r="J1886">
        <v>5.3</v>
      </c>
      <c r="K1886">
        <v>4.9</v>
      </c>
      <c r="L1886" s="1"/>
    </row>
    <row r="1887" spans="1:12">
      <c r="A1887" t="s">
        <v>1935</v>
      </c>
      <c r="B1887">
        <v>7.6</v>
      </c>
      <c r="C1887">
        <v>7.8</v>
      </c>
      <c r="D1887">
        <v>7.2</v>
      </c>
      <c r="E1887">
        <v>7.7</v>
      </c>
      <c r="F1887">
        <v>8.4</v>
      </c>
      <c r="G1887">
        <v>7.2</v>
      </c>
      <c r="H1887">
        <v>8</v>
      </c>
      <c r="I1887">
        <v>6.7</v>
      </c>
      <c r="J1887">
        <v>7.3</v>
      </c>
      <c r="K1887">
        <v>7.6</v>
      </c>
      <c r="L1887" s="1"/>
    </row>
    <row r="1888" spans="1:12">
      <c r="A1888" t="s">
        <v>1936</v>
      </c>
      <c r="B1888">
        <v>8.5</v>
      </c>
      <c r="C1888">
        <v>7.6</v>
      </c>
      <c r="D1888">
        <v>8.1</v>
      </c>
      <c r="E1888">
        <v>8.1</v>
      </c>
      <c r="F1888">
        <v>7.3</v>
      </c>
      <c r="G1888">
        <v>7.8</v>
      </c>
      <c r="H1888">
        <v>5.4</v>
      </c>
      <c r="I1888">
        <v>8.1</v>
      </c>
      <c r="J1888">
        <v>5.9</v>
      </c>
      <c r="K1888">
        <v>5.8</v>
      </c>
      <c r="L1888" s="1"/>
    </row>
    <row r="1889" spans="1:12">
      <c r="A1889" t="s">
        <v>1937</v>
      </c>
      <c r="B1889">
        <v>7.3</v>
      </c>
      <c r="C1889">
        <v>6.4</v>
      </c>
      <c r="D1889">
        <v>6.5</v>
      </c>
      <c r="E1889">
        <v>6.8</v>
      </c>
      <c r="F1889">
        <v>6.5</v>
      </c>
      <c r="G1889">
        <v>5.7</v>
      </c>
      <c r="H1889">
        <v>5.8</v>
      </c>
      <c r="I1889">
        <v>5.5</v>
      </c>
      <c r="J1889">
        <v>4.5</v>
      </c>
      <c r="K1889">
        <v>7.3</v>
      </c>
      <c r="L1889" s="1"/>
    </row>
    <row r="1890" spans="1:12">
      <c r="A1890" t="s">
        <v>1938</v>
      </c>
      <c r="B1890">
        <v>6.7</v>
      </c>
      <c r="C1890">
        <v>6.8</v>
      </c>
      <c r="D1890">
        <v>7.2</v>
      </c>
      <c r="E1890">
        <v>5.9</v>
      </c>
      <c r="F1890">
        <v>6.5</v>
      </c>
      <c r="G1890">
        <v>5.5</v>
      </c>
      <c r="H1890">
        <v>5.9</v>
      </c>
      <c r="I1890">
        <v>5.6</v>
      </c>
      <c r="J1890">
        <v>5.9</v>
      </c>
      <c r="K1890">
        <v>6.4</v>
      </c>
      <c r="L1890" s="1"/>
    </row>
    <row r="1891" spans="1:12">
      <c r="A1891" t="s">
        <v>1939</v>
      </c>
      <c r="B1891">
        <v>7</v>
      </c>
      <c r="C1891">
        <v>7</v>
      </c>
      <c r="D1891">
        <v>7.4</v>
      </c>
      <c r="E1891">
        <v>6.9</v>
      </c>
      <c r="F1891">
        <v>5.6</v>
      </c>
      <c r="G1891">
        <v>6</v>
      </c>
      <c r="H1891">
        <v>6.6</v>
      </c>
      <c r="I1891">
        <v>5.9</v>
      </c>
      <c r="J1891">
        <v>5.3</v>
      </c>
      <c r="K1891">
        <v>4.3</v>
      </c>
      <c r="L1891" s="1"/>
    </row>
    <row r="1892" spans="1:12">
      <c r="A1892" t="s">
        <v>1940</v>
      </c>
      <c r="B1892">
        <v>6.4</v>
      </c>
      <c r="C1892">
        <v>7.1</v>
      </c>
      <c r="D1892">
        <v>5.4</v>
      </c>
      <c r="E1892">
        <v>6.8</v>
      </c>
      <c r="F1892">
        <v>6.7</v>
      </c>
      <c r="G1892">
        <v>6</v>
      </c>
      <c r="H1892">
        <v>5.8</v>
      </c>
      <c r="I1892">
        <v>6.3</v>
      </c>
      <c r="J1892">
        <v>6.3</v>
      </c>
      <c r="K1892">
        <v>2.9</v>
      </c>
      <c r="L1892" s="1"/>
    </row>
    <row r="1893" spans="1:12">
      <c r="A1893" t="s">
        <v>1941</v>
      </c>
      <c r="B1893">
        <v>7.3</v>
      </c>
      <c r="C1893">
        <v>7.4</v>
      </c>
      <c r="D1893">
        <v>7.4</v>
      </c>
      <c r="E1893">
        <v>6.4</v>
      </c>
      <c r="F1893">
        <v>6.2</v>
      </c>
      <c r="G1893">
        <v>5.7</v>
      </c>
      <c r="H1893">
        <v>5.4</v>
      </c>
      <c r="I1893">
        <v>4.9</v>
      </c>
      <c r="J1893">
        <v>6.2</v>
      </c>
      <c r="K1893">
        <v>3.5</v>
      </c>
      <c r="L1893" s="1"/>
    </row>
    <row r="1894" spans="1:12">
      <c r="A1894" t="s">
        <v>1942</v>
      </c>
      <c r="B1894">
        <v>6.4</v>
      </c>
      <c r="C1894">
        <v>6.8</v>
      </c>
      <c r="D1894">
        <v>6.8</v>
      </c>
      <c r="E1894">
        <v>6.8</v>
      </c>
      <c r="F1894">
        <v>5.9</v>
      </c>
      <c r="G1894">
        <v>6.4</v>
      </c>
      <c r="H1894">
        <v>5.3</v>
      </c>
      <c r="I1894">
        <v>5.8</v>
      </c>
      <c r="J1894">
        <v>6</v>
      </c>
      <c r="K1894">
        <v>5.1</v>
      </c>
      <c r="L1894" s="1"/>
    </row>
    <row r="1895" spans="1:12">
      <c r="A1895" t="s">
        <v>1943</v>
      </c>
      <c r="B1895">
        <v>7.2</v>
      </c>
      <c r="C1895">
        <v>6.2</v>
      </c>
      <c r="D1895">
        <v>7.1</v>
      </c>
      <c r="E1895">
        <v>6.6</v>
      </c>
      <c r="F1895">
        <v>7</v>
      </c>
      <c r="G1895">
        <v>6.3</v>
      </c>
      <c r="H1895">
        <v>7</v>
      </c>
      <c r="I1895">
        <v>5.4</v>
      </c>
      <c r="J1895">
        <v>4.2</v>
      </c>
      <c r="K1895">
        <v>7.5</v>
      </c>
      <c r="L1895" s="1"/>
    </row>
    <row r="1896" spans="1:12">
      <c r="A1896" t="s">
        <v>1944</v>
      </c>
      <c r="B1896">
        <v>7.2</v>
      </c>
      <c r="C1896">
        <v>5.9</v>
      </c>
      <c r="D1896">
        <v>5.7</v>
      </c>
      <c r="E1896">
        <v>7.2</v>
      </c>
      <c r="F1896">
        <v>5.8</v>
      </c>
      <c r="G1896">
        <v>5.7</v>
      </c>
      <c r="H1896">
        <v>6.8</v>
      </c>
      <c r="I1896">
        <v>5.6</v>
      </c>
      <c r="J1896">
        <v>6.2</v>
      </c>
      <c r="K1896">
        <v>5.7</v>
      </c>
      <c r="L1896" s="1"/>
    </row>
    <row r="1897" spans="1:12">
      <c r="A1897" t="s">
        <v>1945</v>
      </c>
      <c r="B1897">
        <v>7</v>
      </c>
      <c r="C1897">
        <v>6.7</v>
      </c>
      <c r="D1897">
        <v>7.1</v>
      </c>
      <c r="E1897">
        <v>6.3</v>
      </c>
      <c r="F1897">
        <v>7.2</v>
      </c>
      <c r="G1897">
        <v>6.5</v>
      </c>
      <c r="H1897">
        <v>6.7</v>
      </c>
      <c r="I1897">
        <v>5.5</v>
      </c>
      <c r="J1897">
        <v>5.2</v>
      </c>
      <c r="K1897">
        <v>4.7</v>
      </c>
      <c r="L1897" s="1"/>
    </row>
    <row r="1898" spans="1:12">
      <c r="A1898" t="s">
        <v>1946</v>
      </c>
      <c r="B1898">
        <v>7.9</v>
      </c>
      <c r="C1898">
        <v>6.9</v>
      </c>
      <c r="D1898">
        <v>6.6</v>
      </c>
      <c r="E1898">
        <v>6.6</v>
      </c>
      <c r="F1898">
        <v>6.5</v>
      </c>
      <c r="G1898">
        <v>6.1</v>
      </c>
      <c r="H1898">
        <v>6.8</v>
      </c>
      <c r="I1898">
        <v>6.6</v>
      </c>
      <c r="J1898">
        <v>5.1</v>
      </c>
      <c r="K1898">
        <v>4.8</v>
      </c>
      <c r="L1898" s="1"/>
    </row>
    <row r="1899" spans="1:12">
      <c r="A1899" t="s">
        <v>1947</v>
      </c>
      <c r="B1899">
        <v>7.2</v>
      </c>
      <c r="C1899">
        <v>7.1</v>
      </c>
      <c r="D1899">
        <v>7</v>
      </c>
      <c r="E1899">
        <v>6.5</v>
      </c>
      <c r="F1899">
        <v>6</v>
      </c>
      <c r="G1899">
        <v>6.2</v>
      </c>
      <c r="H1899">
        <v>4.6</v>
      </c>
      <c r="I1899">
        <v>5.3</v>
      </c>
      <c r="J1899">
        <v>5.4</v>
      </c>
      <c r="K1899">
        <v>5.1</v>
      </c>
      <c r="L1899" s="1"/>
    </row>
    <row r="1900" spans="1:12">
      <c r="A1900" t="s">
        <v>1948</v>
      </c>
      <c r="B1900">
        <v>7.4</v>
      </c>
      <c r="C1900">
        <v>7.5</v>
      </c>
      <c r="D1900">
        <v>7.1</v>
      </c>
      <c r="E1900">
        <v>6.5</v>
      </c>
      <c r="F1900">
        <v>6.1</v>
      </c>
      <c r="G1900">
        <v>6.2</v>
      </c>
      <c r="H1900">
        <v>6.9</v>
      </c>
      <c r="I1900">
        <v>4.6</v>
      </c>
      <c r="J1900">
        <v>3.7</v>
      </c>
      <c r="K1900">
        <v>5.3</v>
      </c>
      <c r="L1900" s="1"/>
    </row>
    <row r="1901" spans="1:12">
      <c r="A1901" t="s">
        <v>1949</v>
      </c>
      <c r="B1901">
        <v>7</v>
      </c>
      <c r="C1901">
        <v>6.9</v>
      </c>
      <c r="D1901">
        <v>7.1</v>
      </c>
      <c r="E1901">
        <v>6.6</v>
      </c>
      <c r="F1901">
        <v>4.8</v>
      </c>
      <c r="G1901">
        <v>5.4</v>
      </c>
      <c r="H1901">
        <v>6</v>
      </c>
      <c r="I1901">
        <v>4.9</v>
      </c>
      <c r="J1901">
        <v>6</v>
      </c>
      <c r="K1901">
        <v>5.4</v>
      </c>
      <c r="L1901" s="1"/>
    </row>
    <row r="1902" spans="1:12">
      <c r="A1902" t="s">
        <v>1950</v>
      </c>
      <c r="B1902">
        <v>7.7</v>
      </c>
      <c r="C1902">
        <v>6.9</v>
      </c>
      <c r="D1902">
        <v>6.9</v>
      </c>
      <c r="E1902">
        <v>6</v>
      </c>
      <c r="F1902">
        <v>6.5</v>
      </c>
      <c r="G1902">
        <v>7</v>
      </c>
      <c r="H1902">
        <v>5.6</v>
      </c>
      <c r="I1902">
        <v>5.9</v>
      </c>
      <c r="J1902">
        <v>4.4</v>
      </c>
      <c r="K1902">
        <v>6.8</v>
      </c>
      <c r="L1902" s="1"/>
    </row>
    <row r="1903" spans="1:12">
      <c r="A1903" t="s">
        <v>1951</v>
      </c>
      <c r="B1903">
        <v>6.9</v>
      </c>
      <c r="C1903">
        <v>6.6</v>
      </c>
      <c r="D1903">
        <v>7.9</v>
      </c>
      <c r="E1903">
        <v>6.4</v>
      </c>
      <c r="F1903">
        <v>6.7</v>
      </c>
      <c r="G1903">
        <v>6.6</v>
      </c>
      <c r="H1903">
        <v>7.3</v>
      </c>
      <c r="I1903">
        <v>6.4</v>
      </c>
      <c r="J1903">
        <v>5.5</v>
      </c>
      <c r="K1903">
        <v>6</v>
      </c>
      <c r="L1903" s="1"/>
    </row>
    <row r="1904" spans="1:12">
      <c r="A1904" t="s">
        <v>1952</v>
      </c>
      <c r="B1904">
        <v>7.3</v>
      </c>
      <c r="C1904">
        <v>7.3</v>
      </c>
      <c r="D1904">
        <v>6.8</v>
      </c>
      <c r="E1904">
        <v>5.6</v>
      </c>
      <c r="F1904">
        <v>6.6</v>
      </c>
      <c r="G1904">
        <v>5.9</v>
      </c>
      <c r="H1904">
        <v>5.2</v>
      </c>
      <c r="I1904">
        <v>5.2</v>
      </c>
      <c r="J1904">
        <v>3.4</v>
      </c>
      <c r="K1904">
        <v>5.1</v>
      </c>
      <c r="L1904" s="1"/>
    </row>
    <row r="1905" spans="1:12">
      <c r="A1905" t="s">
        <v>1953</v>
      </c>
      <c r="B1905">
        <v>7.1</v>
      </c>
      <c r="C1905">
        <v>6.6</v>
      </c>
      <c r="D1905">
        <v>6.5</v>
      </c>
      <c r="E1905">
        <v>6.2</v>
      </c>
      <c r="F1905">
        <v>6.4</v>
      </c>
      <c r="G1905">
        <v>5.3</v>
      </c>
      <c r="H1905">
        <v>5.1</v>
      </c>
      <c r="I1905">
        <v>4.7</v>
      </c>
      <c r="J1905">
        <v>5.7</v>
      </c>
      <c r="K1905">
        <v>4.5</v>
      </c>
      <c r="L1905" s="1"/>
    </row>
    <row r="1906" spans="1:12">
      <c r="A1906" t="s">
        <v>1954</v>
      </c>
      <c r="B1906">
        <v>7.2</v>
      </c>
      <c r="C1906">
        <v>7.3</v>
      </c>
      <c r="D1906">
        <v>6.4</v>
      </c>
      <c r="E1906">
        <v>6.5</v>
      </c>
      <c r="F1906">
        <v>6.4</v>
      </c>
      <c r="G1906">
        <v>5.5</v>
      </c>
      <c r="H1906">
        <v>6.5</v>
      </c>
      <c r="I1906">
        <v>5.3</v>
      </c>
      <c r="J1906">
        <v>5.2</v>
      </c>
      <c r="K1906">
        <v>4.6</v>
      </c>
      <c r="L1906" s="1"/>
    </row>
    <row r="1907" spans="1:12">
      <c r="A1907" t="s">
        <v>1955</v>
      </c>
      <c r="B1907">
        <v>6.4</v>
      </c>
      <c r="C1907">
        <v>6.6</v>
      </c>
      <c r="D1907">
        <v>6.2</v>
      </c>
      <c r="E1907">
        <v>6.5</v>
      </c>
      <c r="F1907">
        <v>6.2</v>
      </c>
      <c r="G1907">
        <v>5.7</v>
      </c>
      <c r="H1907">
        <v>5</v>
      </c>
      <c r="I1907">
        <v>5.5</v>
      </c>
      <c r="J1907">
        <v>5.1</v>
      </c>
      <c r="K1907">
        <v>4.7</v>
      </c>
      <c r="L1907" s="1"/>
    </row>
    <row r="1908" spans="1:12">
      <c r="A1908" t="s">
        <v>1956</v>
      </c>
      <c r="B1908">
        <v>6.9</v>
      </c>
      <c r="C1908">
        <v>6.8</v>
      </c>
      <c r="D1908">
        <v>7.7</v>
      </c>
      <c r="E1908">
        <v>6.7</v>
      </c>
      <c r="F1908">
        <v>6</v>
      </c>
      <c r="G1908">
        <v>5.4</v>
      </c>
      <c r="H1908">
        <v>6.3</v>
      </c>
      <c r="I1908">
        <v>6.2</v>
      </c>
      <c r="J1908">
        <v>5.2</v>
      </c>
      <c r="K1908">
        <v>5</v>
      </c>
      <c r="L1908" s="1"/>
    </row>
    <row r="1909" spans="1:12">
      <c r="A1909" t="s">
        <v>1957</v>
      </c>
      <c r="B1909">
        <v>6.7</v>
      </c>
      <c r="C1909">
        <v>6.9</v>
      </c>
      <c r="D1909">
        <v>6.7</v>
      </c>
      <c r="E1909">
        <v>6.3</v>
      </c>
      <c r="F1909">
        <v>6.6</v>
      </c>
      <c r="G1909">
        <v>6.7</v>
      </c>
      <c r="H1909">
        <v>4.3</v>
      </c>
      <c r="I1909">
        <v>4.8</v>
      </c>
      <c r="J1909">
        <v>4.8</v>
      </c>
      <c r="K1909">
        <v>3.3</v>
      </c>
      <c r="L1909" s="1"/>
    </row>
    <row r="1910" spans="1:12">
      <c r="A1910" t="s">
        <v>1958</v>
      </c>
      <c r="B1910">
        <v>7.1</v>
      </c>
      <c r="C1910">
        <v>7.1</v>
      </c>
      <c r="D1910">
        <v>7</v>
      </c>
      <c r="E1910">
        <v>5.9</v>
      </c>
      <c r="F1910">
        <v>6.5</v>
      </c>
      <c r="G1910">
        <v>6.6</v>
      </c>
      <c r="H1910">
        <v>5.8</v>
      </c>
      <c r="I1910">
        <v>6</v>
      </c>
      <c r="J1910">
        <v>6.4</v>
      </c>
      <c r="K1910">
        <v>5.7</v>
      </c>
      <c r="L1910" s="1"/>
    </row>
    <row r="1911" spans="1:12">
      <c r="A1911" t="s">
        <v>1959</v>
      </c>
      <c r="B1911">
        <v>6.9</v>
      </c>
      <c r="C1911">
        <v>7.3</v>
      </c>
      <c r="D1911">
        <v>7.2</v>
      </c>
      <c r="E1911">
        <v>7</v>
      </c>
      <c r="F1911">
        <v>7.2</v>
      </c>
      <c r="G1911">
        <v>5</v>
      </c>
      <c r="H1911">
        <v>6.4</v>
      </c>
      <c r="I1911">
        <v>7.2</v>
      </c>
      <c r="J1911">
        <v>5.8</v>
      </c>
      <c r="K1911">
        <v>5.6</v>
      </c>
      <c r="L1911" s="1"/>
    </row>
    <row r="1912" spans="1:12">
      <c r="A1912" t="s">
        <v>1960</v>
      </c>
      <c r="B1912">
        <v>6.7</v>
      </c>
      <c r="C1912">
        <v>7</v>
      </c>
      <c r="D1912">
        <v>6.9</v>
      </c>
      <c r="E1912">
        <v>6.8</v>
      </c>
      <c r="F1912">
        <v>6.4</v>
      </c>
      <c r="G1912">
        <v>6.1</v>
      </c>
      <c r="H1912">
        <v>5.4</v>
      </c>
      <c r="I1912">
        <v>5.1</v>
      </c>
      <c r="J1912">
        <v>6</v>
      </c>
      <c r="K1912">
        <v>5.7</v>
      </c>
      <c r="L1912" s="1"/>
    </row>
    <row r="1913" spans="1:12">
      <c r="A1913" t="s">
        <v>1961</v>
      </c>
      <c r="B1913">
        <v>7</v>
      </c>
      <c r="C1913">
        <v>6.2</v>
      </c>
      <c r="D1913">
        <v>6.9</v>
      </c>
      <c r="E1913">
        <v>5.8</v>
      </c>
      <c r="F1913">
        <v>6.2</v>
      </c>
      <c r="G1913">
        <v>5.9</v>
      </c>
      <c r="H1913">
        <v>5.5</v>
      </c>
      <c r="I1913">
        <v>4.6</v>
      </c>
      <c r="J1913">
        <v>2.9</v>
      </c>
      <c r="K1913">
        <v>4.8</v>
      </c>
      <c r="L1913" s="1"/>
    </row>
    <row r="1914" spans="1:12">
      <c r="A1914" t="s">
        <v>1962</v>
      </c>
      <c r="B1914">
        <v>6.8</v>
      </c>
      <c r="C1914">
        <v>6.6</v>
      </c>
      <c r="D1914">
        <v>6.4</v>
      </c>
      <c r="E1914">
        <v>6.8</v>
      </c>
      <c r="F1914">
        <v>7.2</v>
      </c>
      <c r="G1914">
        <v>5.8</v>
      </c>
      <c r="H1914">
        <v>6.4</v>
      </c>
      <c r="I1914">
        <v>6.4</v>
      </c>
      <c r="J1914">
        <v>5</v>
      </c>
      <c r="K1914">
        <v>4.8</v>
      </c>
      <c r="L1914" s="1"/>
    </row>
    <row r="1915" spans="1:12">
      <c r="A1915" t="s">
        <v>1963</v>
      </c>
      <c r="B1915">
        <v>7</v>
      </c>
      <c r="C1915">
        <v>6.6</v>
      </c>
      <c r="D1915">
        <v>6.4</v>
      </c>
      <c r="E1915">
        <v>6.6</v>
      </c>
      <c r="F1915">
        <v>6.1</v>
      </c>
      <c r="G1915">
        <v>6</v>
      </c>
      <c r="H1915">
        <v>4.7</v>
      </c>
      <c r="I1915">
        <v>5.3</v>
      </c>
      <c r="J1915">
        <v>4.4</v>
      </c>
      <c r="K1915">
        <v>4.8</v>
      </c>
      <c r="L1915" s="1"/>
    </row>
    <row r="1916" spans="1:12">
      <c r="A1916" t="s">
        <v>1964</v>
      </c>
      <c r="B1916">
        <v>6.9</v>
      </c>
      <c r="C1916">
        <v>6.5</v>
      </c>
      <c r="D1916">
        <v>6.2</v>
      </c>
      <c r="E1916">
        <v>6.4</v>
      </c>
      <c r="F1916">
        <v>6.7</v>
      </c>
      <c r="G1916">
        <v>6.1</v>
      </c>
      <c r="H1916">
        <v>6</v>
      </c>
      <c r="I1916">
        <v>5.4</v>
      </c>
      <c r="J1916">
        <v>6</v>
      </c>
      <c r="K1916">
        <v>6.3</v>
      </c>
      <c r="L1916" s="1"/>
    </row>
    <row r="1917" spans="1:12">
      <c r="A1917" t="s">
        <v>1965</v>
      </c>
      <c r="B1917">
        <v>6.3</v>
      </c>
      <c r="C1917">
        <v>6.3</v>
      </c>
      <c r="D1917">
        <v>6.4</v>
      </c>
      <c r="E1917">
        <v>5.7</v>
      </c>
      <c r="F1917">
        <v>6.2</v>
      </c>
      <c r="G1917">
        <v>7.1</v>
      </c>
      <c r="H1917">
        <v>5.6</v>
      </c>
      <c r="I1917">
        <v>5.1</v>
      </c>
      <c r="J1917">
        <v>6.8</v>
      </c>
      <c r="K1917">
        <v>4.4</v>
      </c>
      <c r="L1917" s="1"/>
    </row>
    <row r="1918" spans="1:12">
      <c r="A1918" t="s">
        <v>1966</v>
      </c>
      <c r="B1918">
        <v>7.2</v>
      </c>
      <c r="C1918">
        <v>6.5</v>
      </c>
      <c r="D1918">
        <v>7.5</v>
      </c>
      <c r="E1918">
        <v>6.3</v>
      </c>
      <c r="F1918">
        <v>6.5</v>
      </c>
      <c r="G1918">
        <v>6</v>
      </c>
      <c r="H1918">
        <v>7.6</v>
      </c>
      <c r="I1918">
        <v>4.5</v>
      </c>
      <c r="J1918">
        <v>4.5</v>
      </c>
      <c r="K1918">
        <v>3</v>
      </c>
      <c r="L1918" s="1"/>
    </row>
    <row r="1919" spans="1:12">
      <c r="A1919" t="s">
        <v>1967</v>
      </c>
      <c r="B1919">
        <v>7.4</v>
      </c>
      <c r="C1919">
        <v>6.9</v>
      </c>
      <c r="D1919">
        <v>7.4</v>
      </c>
      <c r="E1919">
        <v>6.3</v>
      </c>
      <c r="F1919">
        <v>6.1</v>
      </c>
      <c r="G1919">
        <v>5.8</v>
      </c>
      <c r="H1919">
        <v>6.6</v>
      </c>
      <c r="I1919">
        <v>6.4</v>
      </c>
      <c r="J1919">
        <v>6.9</v>
      </c>
      <c r="K1919">
        <v>4.7</v>
      </c>
      <c r="L1919" s="1"/>
    </row>
    <row r="1920" spans="1:12">
      <c r="A1920" t="s">
        <v>1968</v>
      </c>
      <c r="B1920">
        <v>7.1</v>
      </c>
      <c r="C1920">
        <v>6.2</v>
      </c>
      <c r="D1920">
        <v>7.2</v>
      </c>
      <c r="E1920">
        <v>6.4</v>
      </c>
      <c r="F1920">
        <v>6.1</v>
      </c>
      <c r="G1920">
        <v>6.9</v>
      </c>
      <c r="H1920">
        <v>6.3</v>
      </c>
      <c r="I1920">
        <v>5.5</v>
      </c>
      <c r="J1920">
        <v>5.7</v>
      </c>
      <c r="K1920">
        <v>4.2</v>
      </c>
      <c r="L1920" s="1"/>
    </row>
    <row r="1921" spans="1:12">
      <c r="A1921" t="s">
        <v>1969</v>
      </c>
      <c r="B1921">
        <v>6.8</v>
      </c>
      <c r="C1921">
        <v>7.8</v>
      </c>
      <c r="D1921">
        <v>6.3</v>
      </c>
      <c r="E1921">
        <v>6.6</v>
      </c>
      <c r="F1921">
        <v>5.5</v>
      </c>
      <c r="G1921">
        <v>5.4</v>
      </c>
      <c r="H1921">
        <v>5.2</v>
      </c>
      <c r="I1921">
        <v>5.5</v>
      </c>
      <c r="J1921">
        <v>5.1</v>
      </c>
      <c r="K1921">
        <v>4.3</v>
      </c>
      <c r="L1921" s="1"/>
    </row>
    <row r="1922" spans="1:12">
      <c r="A1922" t="s">
        <v>1970</v>
      </c>
      <c r="B1922">
        <v>7.1</v>
      </c>
      <c r="C1922">
        <v>6.1</v>
      </c>
      <c r="D1922">
        <v>7.3</v>
      </c>
      <c r="E1922">
        <v>7.2</v>
      </c>
      <c r="F1922">
        <v>7</v>
      </c>
      <c r="G1922">
        <v>6.4</v>
      </c>
      <c r="H1922">
        <v>5.5</v>
      </c>
      <c r="I1922">
        <v>4.7</v>
      </c>
      <c r="J1922">
        <v>3.3</v>
      </c>
      <c r="K1922">
        <v>3.7</v>
      </c>
      <c r="L1922" s="1"/>
    </row>
    <row r="1923" spans="1:12">
      <c r="A1923" t="s">
        <v>1971</v>
      </c>
      <c r="B1923">
        <v>7.2</v>
      </c>
      <c r="C1923">
        <v>6.7</v>
      </c>
      <c r="D1923">
        <v>7.4</v>
      </c>
      <c r="E1923">
        <v>6.7</v>
      </c>
      <c r="F1923">
        <v>5.6</v>
      </c>
      <c r="G1923">
        <v>6.2</v>
      </c>
      <c r="H1923">
        <v>6.1</v>
      </c>
      <c r="I1923">
        <v>5.6</v>
      </c>
      <c r="J1923">
        <v>6.9</v>
      </c>
      <c r="K1923">
        <v>3.7</v>
      </c>
      <c r="L1923" s="1"/>
    </row>
    <row r="1924" spans="1:12">
      <c r="A1924" t="s">
        <v>1972</v>
      </c>
      <c r="B1924">
        <v>6.2</v>
      </c>
      <c r="C1924">
        <v>7.3</v>
      </c>
      <c r="D1924">
        <v>6.6</v>
      </c>
      <c r="E1924">
        <v>6.9</v>
      </c>
      <c r="F1924">
        <v>5.4</v>
      </c>
      <c r="G1924">
        <v>6.9</v>
      </c>
      <c r="H1924">
        <v>5.4</v>
      </c>
      <c r="I1924">
        <v>5.8</v>
      </c>
      <c r="J1924">
        <v>4.9</v>
      </c>
      <c r="K1924">
        <v>4.9</v>
      </c>
      <c r="L1924" s="1"/>
    </row>
    <row r="1925" spans="1:12">
      <c r="A1925" t="s">
        <v>1973</v>
      </c>
      <c r="B1925">
        <v>6.3</v>
      </c>
      <c r="C1925">
        <v>6.6</v>
      </c>
      <c r="D1925">
        <v>5.7</v>
      </c>
      <c r="E1925">
        <v>6.1</v>
      </c>
      <c r="F1925">
        <v>6.6</v>
      </c>
      <c r="G1925">
        <v>6.9</v>
      </c>
      <c r="H1925">
        <v>6.7</v>
      </c>
      <c r="I1925">
        <v>6.7</v>
      </c>
      <c r="J1925">
        <v>7</v>
      </c>
      <c r="K1925">
        <v>4.9</v>
      </c>
      <c r="L1925" s="1"/>
    </row>
    <row r="1926" spans="1:12">
      <c r="A1926" t="s">
        <v>1974</v>
      </c>
      <c r="B1926">
        <v>6.4</v>
      </c>
      <c r="C1926">
        <v>7.6</v>
      </c>
      <c r="D1926">
        <v>7</v>
      </c>
      <c r="E1926">
        <v>5.2</v>
      </c>
      <c r="F1926">
        <v>5.7</v>
      </c>
      <c r="G1926">
        <v>5.8</v>
      </c>
      <c r="H1926">
        <v>4.6</v>
      </c>
      <c r="I1926">
        <v>5.3</v>
      </c>
      <c r="J1926">
        <v>5.9</v>
      </c>
      <c r="K1926">
        <v>4.3</v>
      </c>
      <c r="L1926" s="1"/>
    </row>
    <row r="1927" spans="1:12">
      <c r="A1927" t="s">
        <v>1975</v>
      </c>
      <c r="B1927">
        <v>7.1</v>
      </c>
      <c r="C1927">
        <v>6.5</v>
      </c>
      <c r="D1927">
        <v>6.1</v>
      </c>
      <c r="E1927">
        <v>6</v>
      </c>
      <c r="F1927">
        <v>6.2</v>
      </c>
      <c r="G1927">
        <v>6.1</v>
      </c>
      <c r="H1927">
        <v>5.1</v>
      </c>
      <c r="I1927">
        <v>5.3</v>
      </c>
      <c r="J1927">
        <v>5.5</v>
      </c>
      <c r="K1927">
        <v>2</v>
      </c>
      <c r="L1927" s="1"/>
    </row>
    <row r="1928" spans="1:12">
      <c r="A1928" t="s">
        <v>1976</v>
      </c>
      <c r="B1928">
        <v>6.7</v>
      </c>
      <c r="C1928">
        <v>7</v>
      </c>
      <c r="D1928">
        <v>6.8</v>
      </c>
      <c r="E1928">
        <v>5.5</v>
      </c>
      <c r="F1928">
        <v>6.2</v>
      </c>
      <c r="G1928">
        <v>6.4</v>
      </c>
      <c r="H1928">
        <v>5.2</v>
      </c>
      <c r="I1928">
        <v>6.6</v>
      </c>
      <c r="J1928">
        <v>6.6</v>
      </c>
      <c r="K1928">
        <v>5.2</v>
      </c>
      <c r="L1928" s="1"/>
    </row>
    <row r="1929" spans="1:12">
      <c r="A1929" t="s">
        <v>1977</v>
      </c>
      <c r="B1929">
        <v>7.3</v>
      </c>
      <c r="C1929">
        <v>6.7</v>
      </c>
      <c r="D1929">
        <v>5.9</v>
      </c>
      <c r="E1929">
        <v>6.9</v>
      </c>
      <c r="F1929">
        <v>5.5</v>
      </c>
      <c r="G1929">
        <v>5.5</v>
      </c>
      <c r="H1929">
        <v>6.6</v>
      </c>
      <c r="I1929">
        <v>6</v>
      </c>
      <c r="J1929">
        <v>5.5</v>
      </c>
      <c r="K1929">
        <v>4.6</v>
      </c>
      <c r="L1929" s="1"/>
    </row>
    <row r="1930" spans="1:12">
      <c r="A1930" t="s">
        <v>1978</v>
      </c>
      <c r="B1930">
        <v>7.1</v>
      </c>
      <c r="C1930">
        <v>7.5</v>
      </c>
      <c r="D1930">
        <v>6.6</v>
      </c>
      <c r="E1930">
        <v>6.4</v>
      </c>
      <c r="F1930">
        <v>5.8</v>
      </c>
      <c r="G1930">
        <v>6.2</v>
      </c>
      <c r="H1930">
        <v>7</v>
      </c>
      <c r="I1930">
        <v>4.7</v>
      </c>
      <c r="J1930">
        <v>5.7</v>
      </c>
      <c r="K1930">
        <v>5.4</v>
      </c>
      <c r="L1930" s="1"/>
    </row>
    <row r="1931" spans="1:12">
      <c r="A1931" t="s">
        <v>1979</v>
      </c>
      <c r="B1931">
        <v>7</v>
      </c>
      <c r="C1931">
        <v>6.9</v>
      </c>
      <c r="D1931">
        <v>6.6</v>
      </c>
      <c r="E1931">
        <v>7.5</v>
      </c>
      <c r="F1931">
        <v>5.7</v>
      </c>
      <c r="G1931">
        <v>6.5</v>
      </c>
      <c r="H1931">
        <v>6</v>
      </c>
      <c r="I1931">
        <v>6.8</v>
      </c>
      <c r="J1931">
        <v>6.5</v>
      </c>
      <c r="K1931">
        <v>5.3</v>
      </c>
      <c r="L1931" s="1"/>
    </row>
    <row r="1932" spans="1:12">
      <c r="A1932" t="s">
        <v>1980</v>
      </c>
      <c r="B1932">
        <v>6.7</v>
      </c>
      <c r="C1932">
        <v>7.3</v>
      </c>
      <c r="D1932">
        <v>6.2</v>
      </c>
      <c r="E1932">
        <v>6.1</v>
      </c>
      <c r="F1932">
        <v>6.3</v>
      </c>
      <c r="G1932">
        <v>5.5</v>
      </c>
      <c r="H1932">
        <v>5.7</v>
      </c>
      <c r="I1932">
        <v>4.8</v>
      </c>
      <c r="J1932">
        <v>4.7</v>
      </c>
      <c r="K1932">
        <v>5</v>
      </c>
      <c r="L1932" s="1"/>
    </row>
    <row r="1933" spans="1:12">
      <c r="A1933" t="s">
        <v>1981</v>
      </c>
      <c r="B1933">
        <v>6.9</v>
      </c>
      <c r="C1933">
        <v>6.6</v>
      </c>
      <c r="D1933">
        <v>6.7</v>
      </c>
      <c r="E1933">
        <v>6.5</v>
      </c>
      <c r="F1933">
        <v>6.9</v>
      </c>
      <c r="G1933">
        <v>6.1</v>
      </c>
      <c r="H1933">
        <v>6.1</v>
      </c>
      <c r="I1933">
        <v>6.3</v>
      </c>
      <c r="J1933">
        <v>5.4</v>
      </c>
      <c r="K1933">
        <v>5.2</v>
      </c>
      <c r="L1933" s="1"/>
    </row>
    <row r="1934" spans="1:12">
      <c r="A1934" t="s">
        <v>1982</v>
      </c>
      <c r="B1934">
        <v>6.8</v>
      </c>
      <c r="C1934">
        <v>7</v>
      </c>
      <c r="D1934">
        <v>6.5</v>
      </c>
      <c r="E1934">
        <v>6.7</v>
      </c>
      <c r="F1934">
        <v>6.3</v>
      </c>
      <c r="G1934">
        <v>5.9</v>
      </c>
      <c r="H1934">
        <v>6.4</v>
      </c>
      <c r="I1934">
        <v>6</v>
      </c>
      <c r="J1934">
        <v>5</v>
      </c>
      <c r="K1934">
        <v>6</v>
      </c>
      <c r="L1934" s="1"/>
    </row>
    <row r="1935" spans="1:12">
      <c r="A1935" t="s">
        <v>1983</v>
      </c>
      <c r="B1935">
        <v>6.6</v>
      </c>
      <c r="C1935">
        <v>6.7</v>
      </c>
      <c r="D1935">
        <v>6.3</v>
      </c>
      <c r="E1935">
        <v>7.1</v>
      </c>
      <c r="F1935">
        <v>6.5</v>
      </c>
      <c r="G1935">
        <v>7.4</v>
      </c>
      <c r="H1935">
        <v>7.1</v>
      </c>
      <c r="I1935">
        <v>5.5</v>
      </c>
      <c r="J1935">
        <v>6</v>
      </c>
      <c r="K1935">
        <v>3.2</v>
      </c>
      <c r="L1935" s="1"/>
    </row>
    <row r="1936" spans="1:12">
      <c r="A1936" t="s">
        <v>1984</v>
      </c>
      <c r="B1936">
        <v>7.3</v>
      </c>
      <c r="C1936">
        <v>6.5</v>
      </c>
      <c r="D1936">
        <v>6.5</v>
      </c>
      <c r="E1936">
        <v>6.1</v>
      </c>
      <c r="F1936">
        <v>6.9</v>
      </c>
      <c r="G1936">
        <v>6.6</v>
      </c>
      <c r="H1936">
        <v>5.9</v>
      </c>
      <c r="I1936">
        <v>6.2</v>
      </c>
      <c r="J1936">
        <v>5.3</v>
      </c>
      <c r="K1936">
        <v>5.8</v>
      </c>
      <c r="L1936" s="1"/>
    </row>
    <row r="1937" spans="1:12">
      <c r="A1937" t="s">
        <v>1985</v>
      </c>
      <c r="B1937">
        <v>7.1</v>
      </c>
      <c r="C1937">
        <v>6.5</v>
      </c>
      <c r="D1937">
        <v>6.6</v>
      </c>
      <c r="E1937">
        <v>7.9</v>
      </c>
      <c r="F1937">
        <v>6</v>
      </c>
      <c r="G1937">
        <v>6.9</v>
      </c>
      <c r="H1937">
        <v>7.3</v>
      </c>
      <c r="I1937">
        <v>5.8</v>
      </c>
      <c r="J1937">
        <v>5.1</v>
      </c>
      <c r="K1937">
        <v>5.6</v>
      </c>
      <c r="L1937" s="1"/>
    </row>
    <row r="1938" spans="1:12">
      <c r="A1938" t="s">
        <v>1986</v>
      </c>
      <c r="B1938">
        <v>6.5</v>
      </c>
      <c r="C1938">
        <v>6.8</v>
      </c>
      <c r="D1938">
        <v>7</v>
      </c>
      <c r="E1938">
        <v>6.2</v>
      </c>
      <c r="F1938">
        <v>5.7</v>
      </c>
      <c r="G1938">
        <v>6.6</v>
      </c>
      <c r="H1938">
        <v>5.1</v>
      </c>
      <c r="I1938">
        <v>6.3</v>
      </c>
      <c r="J1938">
        <v>6.8</v>
      </c>
      <c r="K1938">
        <v>5.6</v>
      </c>
      <c r="L1938" s="1"/>
    </row>
    <row r="1939" spans="1:12">
      <c r="A1939" t="s">
        <v>1987</v>
      </c>
      <c r="B1939">
        <v>7.6</v>
      </c>
      <c r="C1939">
        <v>6.6</v>
      </c>
      <c r="D1939">
        <v>7.5</v>
      </c>
      <c r="E1939">
        <v>5.9</v>
      </c>
      <c r="F1939">
        <v>7.7</v>
      </c>
      <c r="G1939">
        <v>6.7</v>
      </c>
      <c r="H1939">
        <v>6.5</v>
      </c>
      <c r="I1939">
        <v>5.7</v>
      </c>
      <c r="J1939">
        <v>6.9</v>
      </c>
      <c r="K1939">
        <v>5.9</v>
      </c>
      <c r="L1939" s="1"/>
    </row>
    <row r="1940" spans="1:12">
      <c r="A1940" t="s">
        <v>1988</v>
      </c>
      <c r="B1940">
        <v>8.3</v>
      </c>
      <c r="C1940">
        <v>7.9</v>
      </c>
      <c r="D1940">
        <v>7.2</v>
      </c>
      <c r="E1940">
        <v>7.1</v>
      </c>
      <c r="F1940">
        <v>7.3</v>
      </c>
      <c r="G1940">
        <v>6.3</v>
      </c>
      <c r="H1940">
        <v>5.9</v>
      </c>
      <c r="I1940">
        <v>7.6</v>
      </c>
      <c r="J1940">
        <v>6.7</v>
      </c>
      <c r="K1940">
        <v>7.3</v>
      </c>
      <c r="L1940" s="1"/>
    </row>
    <row r="1941" spans="1:12">
      <c r="A1941" t="s">
        <v>1989</v>
      </c>
      <c r="B1941">
        <v>8.9</v>
      </c>
      <c r="C1941">
        <v>7</v>
      </c>
      <c r="D1941">
        <v>6.7</v>
      </c>
      <c r="E1941">
        <v>8.2</v>
      </c>
      <c r="F1941">
        <v>7.2</v>
      </c>
      <c r="G1941">
        <v>7.1</v>
      </c>
      <c r="H1941">
        <v>6.1</v>
      </c>
      <c r="I1941">
        <v>7.4</v>
      </c>
      <c r="J1941">
        <v>6</v>
      </c>
      <c r="K1941">
        <v>5.8</v>
      </c>
      <c r="L1941" s="1"/>
    </row>
    <row r="1942" spans="1:12">
      <c r="A1942" t="s">
        <v>1990</v>
      </c>
      <c r="B1942">
        <v>7.5</v>
      </c>
      <c r="C1942">
        <v>8.1</v>
      </c>
      <c r="D1942">
        <v>7.8</v>
      </c>
      <c r="E1942">
        <v>6.9</v>
      </c>
      <c r="F1942">
        <v>6.4</v>
      </c>
      <c r="G1942">
        <v>7.1</v>
      </c>
      <c r="H1942">
        <v>7.4</v>
      </c>
      <c r="I1942">
        <v>6.8</v>
      </c>
      <c r="J1942">
        <v>4.1</v>
      </c>
      <c r="K1942">
        <v>7.2</v>
      </c>
      <c r="L1942" s="1"/>
    </row>
    <row r="1943" spans="1:12">
      <c r="A1943" t="s">
        <v>1991</v>
      </c>
      <c r="B1943">
        <v>8.5</v>
      </c>
      <c r="C1943">
        <v>7.5</v>
      </c>
      <c r="D1943">
        <v>7.2</v>
      </c>
      <c r="E1943">
        <v>7.7</v>
      </c>
      <c r="F1943">
        <v>7.4</v>
      </c>
      <c r="G1943">
        <v>7.3</v>
      </c>
      <c r="H1943">
        <v>6.6</v>
      </c>
      <c r="I1943">
        <v>6.9</v>
      </c>
      <c r="J1943">
        <v>6</v>
      </c>
      <c r="K1943">
        <v>5.2</v>
      </c>
      <c r="L1943" s="1"/>
    </row>
    <row r="1944" spans="1:12">
      <c r="A1944" t="s">
        <v>1992</v>
      </c>
      <c r="B1944">
        <v>8.5</v>
      </c>
      <c r="C1944">
        <v>8.1</v>
      </c>
      <c r="D1944">
        <v>7.5</v>
      </c>
      <c r="E1944">
        <v>8.7</v>
      </c>
      <c r="F1944">
        <v>8.4</v>
      </c>
      <c r="G1944">
        <v>6.7</v>
      </c>
      <c r="H1944">
        <v>7.2</v>
      </c>
      <c r="I1944">
        <v>6.6</v>
      </c>
      <c r="J1944">
        <v>8.5</v>
      </c>
      <c r="K1944">
        <v>6.3</v>
      </c>
      <c r="L1944" s="1"/>
    </row>
    <row r="1945" spans="1:12">
      <c r="A1945" t="s">
        <v>1993</v>
      </c>
      <c r="B1945">
        <v>7.9</v>
      </c>
      <c r="C1945">
        <v>8.5</v>
      </c>
      <c r="D1945">
        <v>7.2</v>
      </c>
      <c r="E1945">
        <v>7.7</v>
      </c>
      <c r="F1945">
        <v>7.3</v>
      </c>
      <c r="G1945">
        <v>7.5</v>
      </c>
      <c r="H1945">
        <v>7.2</v>
      </c>
      <c r="I1945">
        <v>4.4</v>
      </c>
      <c r="J1945">
        <v>6.1</v>
      </c>
      <c r="K1945">
        <v>3.6</v>
      </c>
      <c r="L1945" s="1"/>
    </row>
    <row r="1946" spans="1:12">
      <c r="A1946" t="s">
        <v>1994</v>
      </c>
      <c r="B1946">
        <v>8.2</v>
      </c>
      <c r="C1946">
        <v>7.7</v>
      </c>
      <c r="D1946">
        <v>7.6</v>
      </c>
      <c r="E1946">
        <v>7.5</v>
      </c>
      <c r="F1946">
        <v>5.8</v>
      </c>
      <c r="G1946">
        <v>7.8</v>
      </c>
      <c r="H1946">
        <v>7.9</v>
      </c>
      <c r="I1946">
        <v>7.5</v>
      </c>
      <c r="J1946">
        <v>6.6</v>
      </c>
      <c r="K1946">
        <v>4.2</v>
      </c>
      <c r="L1946" s="1"/>
    </row>
    <row r="1947" spans="1:12">
      <c r="A1947" t="s">
        <v>1995</v>
      </c>
      <c r="B1947">
        <v>7.8</v>
      </c>
      <c r="C1947">
        <v>7.6</v>
      </c>
      <c r="D1947">
        <v>8.2</v>
      </c>
      <c r="E1947">
        <v>7.7</v>
      </c>
      <c r="F1947">
        <v>8.2</v>
      </c>
      <c r="G1947">
        <v>7</v>
      </c>
      <c r="H1947">
        <v>4.9</v>
      </c>
      <c r="I1947">
        <v>7.9</v>
      </c>
      <c r="J1947">
        <v>6.8</v>
      </c>
      <c r="K1947">
        <v>4.6</v>
      </c>
      <c r="L1947" s="1"/>
    </row>
    <row r="1948" spans="1:12">
      <c r="A1948" t="s">
        <v>1996</v>
      </c>
      <c r="B1948">
        <v>5.8</v>
      </c>
      <c r="C1948">
        <v>6.7</v>
      </c>
      <c r="D1948">
        <v>6.5</v>
      </c>
      <c r="E1948">
        <v>6.5</v>
      </c>
      <c r="F1948">
        <v>6.8</v>
      </c>
      <c r="G1948">
        <v>6.4</v>
      </c>
      <c r="H1948">
        <v>5.6</v>
      </c>
      <c r="I1948">
        <v>5.1</v>
      </c>
      <c r="J1948">
        <v>4.8</v>
      </c>
      <c r="K1948">
        <v>4.6</v>
      </c>
      <c r="L1948" s="1"/>
    </row>
    <row r="1949" spans="1:12">
      <c r="A1949" t="s">
        <v>1997</v>
      </c>
      <c r="B1949">
        <v>6.5</v>
      </c>
      <c r="C1949">
        <v>7.2</v>
      </c>
      <c r="D1949">
        <v>6.9</v>
      </c>
      <c r="E1949">
        <v>6.2</v>
      </c>
      <c r="F1949">
        <v>6.6</v>
      </c>
      <c r="G1949">
        <v>6.7</v>
      </c>
      <c r="H1949">
        <v>4</v>
      </c>
      <c r="I1949">
        <v>5.8</v>
      </c>
      <c r="J1949">
        <v>6.5</v>
      </c>
      <c r="K1949">
        <v>7.1</v>
      </c>
      <c r="L1949" s="1"/>
    </row>
    <row r="1950" spans="1:12">
      <c r="A1950" t="s">
        <v>1998</v>
      </c>
      <c r="B1950">
        <v>6.1</v>
      </c>
      <c r="C1950">
        <v>6.7</v>
      </c>
      <c r="D1950">
        <v>7.2</v>
      </c>
      <c r="E1950">
        <v>7.6</v>
      </c>
      <c r="F1950">
        <v>5.2</v>
      </c>
      <c r="G1950">
        <v>6.1</v>
      </c>
      <c r="H1950">
        <v>5.7</v>
      </c>
      <c r="I1950">
        <v>5.8</v>
      </c>
      <c r="J1950">
        <v>6.7</v>
      </c>
      <c r="K1950">
        <v>4.7</v>
      </c>
      <c r="L1950" s="1"/>
    </row>
    <row r="1951" spans="1:12">
      <c r="A1951" t="s">
        <v>1999</v>
      </c>
      <c r="B1951">
        <v>7.7</v>
      </c>
      <c r="C1951">
        <v>6.9</v>
      </c>
      <c r="D1951">
        <v>6</v>
      </c>
      <c r="E1951">
        <v>6.4</v>
      </c>
      <c r="F1951">
        <v>6.9</v>
      </c>
      <c r="G1951">
        <v>5.4</v>
      </c>
      <c r="H1951">
        <v>4.4</v>
      </c>
      <c r="I1951">
        <v>5.6</v>
      </c>
      <c r="J1951">
        <v>5.1</v>
      </c>
      <c r="K1951">
        <v>4.7</v>
      </c>
      <c r="L1951" s="1"/>
    </row>
    <row r="1952" spans="1:12">
      <c r="A1952" t="s">
        <v>2000</v>
      </c>
      <c r="B1952">
        <v>6.9</v>
      </c>
      <c r="C1952">
        <v>7.5</v>
      </c>
      <c r="D1952">
        <v>6.3</v>
      </c>
      <c r="E1952">
        <v>6.5</v>
      </c>
      <c r="F1952">
        <v>5.7</v>
      </c>
      <c r="G1952">
        <v>5.5</v>
      </c>
      <c r="H1952">
        <v>6.6</v>
      </c>
      <c r="I1952">
        <v>5.4</v>
      </c>
      <c r="J1952">
        <v>7.1</v>
      </c>
      <c r="K1952">
        <v>6.8</v>
      </c>
      <c r="L1952" s="1"/>
    </row>
    <row r="1953" spans="1:12">
      <c r="A1953" t="s">
        <v>2001</v>
      </c>
      <c r="B1953">
        <v>7.3</v>
      </c>
      <c r="C1953">
        <v>6.2</v>
      </c>
      <c r="D1953">
        <v>6.9</v>
      </c>
      <c r="E1953">
        <v>6.9</v>
      </c>
      <c r="F1953">
        <v>7.8</v>
      </c>
      <c r="G1953">
        <v>6.6</v>
      </c>
      <c r="H1953">
        <v>5</v>
      </c>
      <c r="I1953">
        <v>6.5</v>
      </c>
      <c r="J1953">
        <v>5</v>
      </c>
      <c r="K1953">
        <v>5</v>
      </c>
      <c r="L1953" s="1"/>
    </row>
    <row r="1954" spans="1:12">
      <c r="A1954" t="s">
        <v>2002</v>
      </c>
      <c r="B1954">
        <v>6.4</v>
      </c>
      <c r="C1954">
        <v>6.8</v>
      </c>
      <c r="D1954">
        <v>6.8</v>
      </c>
      <c r="E1954">
        <v>6.1</v>
      </c>
      <c r="F1954">
        <v>6.5</v>
      </c>
      <c r="G1954">
        <v>6.4</v>
      </c>
      <c r="H1954">
        <v>6.2</v>
      </c>
      <c r="I1954">
        <v>5.6</v>
      </c>
      <c r="J1954">
        <v>5.8</v>
      </c>
      <c r="K1954">
        <v>3.1</v>
      </c>
      <c r="L1954" s="1"/>
    </row>
    <row r="1955" spans="1:12">
      <c r="A1955" t="s">
        <v>2003</v>
      </c>
      <c r="B1955">
        <v>6.9</v>
      </c>
      <c r="C1955">
        <v>6.8</v>
      </c>
      <c r="D1955">
        <v>7.2</v>
      </c>
      <c r="E1955">
        <v>6</v>
      </c>
      <c r="F1955">
        <v>5.5</v>
      </c>
      <c r="G1955">
        <v>4.9</v>
      </c>
      <c r="H1955">
        <v>7.9</v>
      </c>
      <c r="I1955">
        <v>4.9</v>
      </c>
      <c r="J1955">
        <v>6.1</v>
      </c>
      <c r="K1955">
        <v>5.5</v>
      </c>
      <c r="L1955" s="1"/>
    </row>
    <row r="1956" spans="1:12">
      <c r="A1956" t="s">
        <v>2004</v>
      </c>
      <c r="B1956">
        <v>7.2</v>
      </c>
      <c r="C1956">
        <v>6.2</v>
      </c>
      <c r="D1956">
        <v>6.1</v>
      </c>
      <c r="E1956">
        <v>6.4</v>
      </c>
      <c r="F1956">
        <v>6.4</v>
      </c>
      <c r="G1956">
        <v>5.8</v>
      </c>
      <c r="H1956">
        <v>5.8</v>
      </c>
      <c r="I1956">
        <v>5.9</v>
      </c>
      <c r="J1956">
        <v>4</v>
      </c>
      <c r="K1956">
        <v>5.6</v>
      </c>
      <c r="L1956" s="1"/>
    </row>
    <row r="1957" spans="1:12">
      <c r="A1957" t="s">
        <v>2005</v>
      </c>
      <c r="B1957">
        <v>6.5</v>
      </c>
      <c r="C1957">
        <v>6.4</v>
      </c>
      <c r="D1957">
        <v>6.6</v>
      </c>
      <c r="E1957">
        <v>6.5</v>
      </c>
      <c r="F1957">
        <v>6.4</v>
      </c>
      <c r="G1957">
        <v>6.4</v>
      </c>
      <c r="H1957">
        <v>6.4</v>
      </c>
      <c r="I1957">
        <v>5.9</v>
      </c>
      <c r="J1957">
        <v>5.2</v>
      </c>
      <c r="K1957">
        <v>4.8</v>
      </c>
      <c r="L1957" s="1"/>
    </row>
    <row r="1958" spans="1:12">
      <c r="A1958" t="s">
        <v>2006</v>
      </c>
      <c r="B1958">
        <v>6.9</v>
      </c>
      <c r="C1958">
        <v>7.6</v>
      </c>
      <c r="D1958">
        <v>6.4</v>
      </c>
      <c r="E1958">
        <v>6.5</v>
      </c>
      <c r="F1958">
        <v>4.4</v>
      </c>
      <c r="G1958">
        <v>5.8</v>
      </c>
      <c r="H1958">
        <v>5</v>
      </c>
      <c r="I1958">
        <v>6.1</v>
      </c>
      <c r="J1958">
        <v>6.9</v>
      </c>
      <c r="K1958">
        <v>5.9</v>
      </c>
      <c r="L1958" s="1"/>
    </row>
    <row r="1959" spans="1:12">
      <c r="A1959" t="s">
        <v>2007</v>
      </c>
      <c r="B1959">
        <v>7.5</v>
      </c>
      <c r="C1959">
        <v>7</v>
      </c>
      <c r="D1959">
        <v>6.3</v>
      </c>
      <c r="E1959">
        <v>7.2</v>
      </c>
      <c r="F1959">
        <v>6.8</v>
      </c>
      <c r="G1959">
        <v>4.7</v>
      </c>
      <c r="H1959">
        <v>6</v>
      </c>
      <c r="I1959">
        <v>6</v>
      </c>
      <c r="J1959">
        <v>3.9</v>
      </c>
      <c r="K1959">
        <v>3.9</v>
      </c>
      <c r="L1959" s="1"/>
    </row>
    <row r="1960" spans="1:12">
      <c r="A1960" t="s">
        <v>2008</v>
      </c>
      <c r="B1960">
        <v>7.4</v>
      </c>
      <c r="C1960">
        <v>6.8</v>
      </c>
      <c r="D1960">
        <v>5.7</v>
      </c>
      <c r="E1960">
        <v>5.8</v>
      </c>
      <c r="F1960">
        <v>6.7</v>
      </c>
      <c r="G1960">
        <v>5.8</v>
      </c>
      <c r="H1960">
        <v>6.4</v>
      </c>
      <c r="I1960">
        <v>6.3</v>
      </c>
      <c r="J1960">
        <v>5.6</v>
      </c>
      <c r="K1960">
        <v>5</v>
      </c>
      <c r="L1960" s="1"/>
    </row>
    <row r="1961" spans="1:12">
      <c r="A1961" t="s">
        <v>2009</v>
      </c>
      <c r="B1961">
        <v>6.1</v>
      </c>
      <c r="C1961">
        <v>6.7</v>
      </c>
      <c r="D1961">
        <v>7.5</v>
      </c>
      <c r="E1961">
        <v>6.1</v>
      </c>
      <c r="F1961">
        <v>6.2</v>
      </c>
      <c r="G1961">
        <v>6.2</v>
      </c>
      <c r="H1961">
        <v>4.6</v>
      </c>
      <c r="I1961">
        <v>4.7</v>
      </c>
      <c r="J1961">
        <v>5.6</v>
      </c>
      <c r="K1961">
        <v>3.9</v>
      </c>
      <c r="L1961" s="1"/>
    </row>
    <row r="1962" spans="1:12">
      <c r="A1962" t="s">
        <v>2010</v>
      </c>
      <c r="B1962">
        <v>6.4</v>
      </c>
      <c r="C1962">
        <v>6.8</v>
      </c>
      <c r="D1962">
        <v>6.4</v>
      </c>
      <c r="E1962">
        <v>7.5</v>
      </c>
      <c r="F1962">
        <v>6.4</v>
      </c>
      <c r="G1962">
        <v>4.8</v>
      </c>
      <c r="H1962">
        <v>6.2</v>
      </c>
      <c r="I1962">
        <v>5.7</v>
      </c>
      <c r="J1962">
        <v>4.6</v>
      </c>
      <c r="K1962">
        <v>5.3</v>
      </c>
      <c r="L1962" s="1"/>
    </row>
    <row r="1963" spans="1:12">
      <c r="A1963" t="s">
        <v>2011</v>
      </c>
      <c r="B1963">
        <v>6.3</v>
      </c>
      <c r="C1963">
        <v>7.6</v>
      </c>
      <c r="D1963">
        <v>6.8</v>
      </c>
      <c r="E1963">
        <v>6.8</v>
      </c>
      <c r="F1963">
        <v>6.1</v>
      </c>
      <c r="G1963">
        <v>6.4</v>
      </c>
      <c r="H1963">
        <v>5.3</v>
      </c>
      <c r="I1963">
        <v>5.7</v>
      </c>
      <c r="J1963">
        <v>5.5</v>
      </c>
      <c r="K1963">
        <v>3.3</v>
      </c>
      <c r="L1963" s="1"/>
    </row>
    <row r="1964" spans="1:12">
      <c r="A1964" t="s">
        <v>2012</v>
      </c>
      <c r="B1964">
        <v>7.5</v>
      </c>
      <c r="C1964">
        <v>6</v>
      </c>
      <c r="D1964">
        <v>6.7</v>
      </c>
      <c r="E1964">
        <v>6.5</v>
      </c>
      <c r="F1964">
        <v>7.3</v>
      </c>
      <c r="G1964">
        <v>7.2</v>
      </c>
      <c r="H1964">
        <v>5.5</v>
      </c>
      <c r="I1964">
        <v>5.7</v>
      </c>
      <c r="J1964">
        <v>4.4</v>
      </c>
      <c r="K1964">
        <v>5.3</v>
      </c>
      <c r="L1964" s="1"/>
    </row>
    <row r="1965" spans="1:12">
      <c r="A1965" t="s">
        <v>2013</v>
      </c>
      <c r="B1965">
        <v>6.7</v>
      </c>
      <c r="C1965">
        <v>6.2</v>
      </c>
      <c r="D1965">
        <v>6.2</v>
      </c>
      <c r="E1965">
        <v>6.1</v>
      </c>
      <c r="F1965">
        <v>6</v>
      </c>
      <c r="G1965">
        <v>4.8</v>
      </c>
      <c r="H1965">
        <v>5.8</v>
      </c>
      <c r="I1965">
        <v>4.6</v>
      </c>
      <c r="J1965">
        <v>5.8</v>
      </c>
      <c r="K1965">
        <v>4.4</v>
      </c>
      <c r="L1965" s="1"/>
    </row>
    <row r="1966" spans="1:12">
      <c r="A1966" t="s">
        <v>2014</v>
      </c>
      <c r="B1966">
        <v>6.9</v>
      </c>
      <c r="C1966">
        <v>6.7</v>
      </c>
      <c r="D1966">
        <v>7.2</v>
      </c>
      <c r="E1966">
        <v>6.3</v>
      </c>
      <c r="F1966">
        <v>6.4</v>
      </c>
      <c r="G1966">
        <v>6.5</v>
      </c>
      <c r="H1966">
        <v>5.9</v>
      </c>
      <c r="I1966">
        <v>4.3</v>
      </c>
      <c r="J1966">
        <v>3.7</v>
      </c>
      <c r="K1966">
        <v>4.6</v>
      </c>
      <c r="L1966" s="1"/>
    </row>
    <row r="1967" spans="1:12">
      <c r="A1967" t="s">
        <v>2015</v>
      </c>
      <c r="B1967">
        <v>7.3</v>
      </c>
      <c r="C1967">
        <v>7</v>
      </c>
      <c r="D1967">
        <v>6.1</v>
      </c>
      <c r="E1967">
        <v>5.8</v>
      </c>
      <c r="F1967">
        <v>5.6</v>
      </c>
      <c r="G1967">
        <v>7</v>
      </c>
      <c r="H1967">
        <v>6.3</v>
      </c>
      <c r="I1967">
        <v>5.7</v>
      </c>
      <c r="J1967">
        <v>4.8</v>
      </c>
      <c r="K1967">
        <v>4.7</v>
      </c>
      <c r="L1967" s="1"/>
    </row>
    <row r="1968" spans="1:12">
      <c r="A1968" t="s">
        <v>2016</v>
      </c>
      <c r="B1968">
        <v>7.3</v>
      </c>
      <c r="C1968">
        <v>7.5</v>
      </c>
      <c r="D1968">
        <v>6.8</v>
      </c>
      <c r="E1968">
        <v>6.7</v>
      </c>
      <c r="F1968">
        <v>6.4</v>
      </c>
      <c r="G1968">
        <v>5.6</v>
      </c>
      <c r="H1968">
        <v>7.4</v>
      </c>
      <c r="I1968">
        <v>5.2</v>
      </c>
      <c r="J1968">
        <v>6.3</v>
      </c>
      <c r="K1968">
        <v>4.8</v>
      </c>
      <c r="L1968" s="1"/>
    </row>
    <row r="1969" spans="1:12">
      <c r="A1969" t="s">
        <v>2017</v>
      </c>
      <c r="B1969">
        <v>6.6</v>
      </c>
      <c r="C1969">
        <v>8</v>
      </c>
      <c r="D1969">
        <v>6.9</v>
      </c>
      <c r="E1969">
        <v>7</v>
      </c>
      <c r="F1969">
        <v>6.3</v>
      </c>
      <c r="G1969">
        <v>6.6</v>
      </c>
      <c r="H1969">
        <v>6.2</v>
      </c>
      <c r="I1969">
        <v>5.7</v>
      </c>
      <c r="J1969">
        <v>6.1</v>
      </c>
      <c r="K1969">
        <v>4.4</v>
      </c>
      <c r="L1969" s="1"/>
    </row>
    <row r="1970" spans="1:12">
      <c r="A1970" t="s">
        <v>2018</v>
      </c>
      <c r="B1970">
        <v>6.8</v>
      </c>
      <c r="C1970">
        <v>6.9</v>
      </c>
      <c r="D1970">
        <v>6.1</v>
      </c>
      <c r="E1970">
        <v>6.4</v>
      </c>
      <c r="F1970">
        <v>5.6</v>
      </c>
      <c r="G1970">
        <v>5.4</v>
      </c>
      <c r="H1970">
        <v>6.4</v>
      </c>
      <c r="I1970">
        <v>5.3</v>
      </c>
      <c r="J1970">
        <v>5.1</v>
      </c>
      <c r="K1970">
        <v>4.7</v>
      </c>
      <c r="L1970" s="1"/>
    </row>
    <row r="1971" spans="1:12">
      <c r="A1971" t="s">
        <v>2019</v>
      </c>
      <c r="B1971">
        <v>6.4</v>
      </c>
      <c r="C1971">
        <v>6.5</v>
      </c>
      <c r="D1971">
        <v>7</v>
      </c>
      <c r="E1971">
        <v>6.7</v>
      </c>
      <c r="F1971">
        <v>6.2</v>
      </c>
      <c r="G1971">
        <v>6.1</v>
      </c>
      <c r="H1971">
        <v>5.6</v>
      </c>
      <c r="I1971">
        <v>6.4</v>
      </c>
      <c r="J1971">
        <v>6.7</v>
      </c>
      <c r="K1971">
        <v>6.2</v>
      </c>
      <c r="L1971" s="1"/>
    </row>
    <row r="1972" spans="1:12">
      <c r="A1972" t="s">
        <v>2020</v>
      </c>
      <c r="B1972">
        <v>7.2</v>
      </c>
      <c r="C1972">
        <v>7.1</v>
      </c>
      <c r="D1972">
        <v>5.8</v>
      </c>
      <c r="E1972">
        <v>6.2</v>
      </c>
      <c r="F1972">
        <v>6</v>
      </c>
      <c r="G1972">
        <v>5.3</v>
      </c>
      <c r="H1972">
        <v>5.5</v>
      </c>
      <c r="I1972">
        <v>6.2</v>
      </c>
      <c r="J1972">
        <v>5.1</v>
      </c>
      <c r="K1972">
        <v>5.6</v>
      </c>
      <c r="L1972" s="1"/>
    </row>
    <row r="1973" spans="1:12">
      <c r="A1973" t="s">
        <v>2021</v>
      </c>
      <c r="B1973">
        <v>7</v>
      </c>
      <c r="C1973">
        <v>6.4</v>
      </c>
      <c r="D1973">
        <v>7.1</v>
      </c>
      <c r="E1973">
        <v>6.5</v>
      </c>
      <c r="F1973">
        <v>6.2</v>
      </c>
      <c r="G1973">
        <v>6.3</v>
      </c>
      <c r="H1973">
        <v>5.8</v>
      </c>
      <c r="I1973">
        <v>6.8</v>
      </c>
      <c r="J1973">
        <v>6.1</v>
      </c>
      <c r="K1973">
        <v>3.9</v>
      </c>
      <c r="L1973" s="1"/>
    </row>
    <row r="1974" spans="1:12">
      <c r="A1974" t="s">
        <v>2022</v>
      </c>
      <c r="B1974">
        <v>6.8</v>
      </c>
      <c r="C1974">
        <v>6.9</v>
      </c>
      <c r="D1974">
        <v>7.8</v>
      </c>
      <c r="E1974">
        <v>6.4</v>
      </c>
      <c r="F1974">
        <v>5.8</v>
      </c>
      <c r="G1974">
        <v>7.4</v>
      </c>
      <c r="H1974">
        <v>5.9</v>
      </c>
      <c r="I1974">
        <v>4.9</v>
      </c>
      <c r="J1974">
        <v>4.1</v>
      </c>
      <c r="K1974">
        <v>4.2</v>
      </c>
      <c r="L1974" s="1"/>
    </row>
    <row r="1975" spans="1:12">
      <c r="A1975" t="s">
        <v>2023</v>
      </c>
      <c r="B1975">
        <v>7.3</v>
      </c>
      <c r="C1975">
        <v>7.4</v>
      </c>
      <c r="D1975">
        <v>6.6</v>
      </c>
      <c r="E1975">
        <v>6.4</v>
      </c>
      <c r="F1975">
        <v>7.2</v>
      </c>
      <c r="G1975">
        <v>6.1</v>
      </c>
      <c r="H1975">
        <v>5.8</v>
      </c>
      <c r="I1975">
        <v>6</v>
      </c>
      <c r="J1975">
        <v>7.6</v>
      </c>
      <c r="K1975">
        <v>5.3</v>
      </c>
      <c r="L1975" s="1"/>
    </row>
    <row r="1976" spans="1:12">
      <c r="A1976" t="s">
        <v>2024</v>
      </c>
      <c r="B1976">
        <v>6.6</v>
      </c>
      <c r="C1976">
        <v>6.3</v>
      </c>
      <c r="D1976">
        <v>6.8</v>
      </c>
      <c r="E1976">
        <v>6.9</v>
      </c>
      <c r="F1976">
        <v>6.2</v>
      </c>
      <c r="G1976">
        <v>7</v>
      </c>
      <c r="H1976">
        <v>7</v>
      </c>
      <c r="I1976">
        <v>5.5</v>
      </c>
      <c r="J1976">
        <v>4.9</v>
      </c>
      <c r="K1976">
        <v>3</v>
      </c>
      <c r="L1976" s="1"/>
    </row>
    <row r="1977" spans="1:12">
      <c r="A1977" t="s">
        <v>2025</v>
      </c>
      <c r="B1977">
        <v>6.8</v>
      </c>
      <c r="C1977">
        <v>6.8</v>
      </c>
      <c r="D1977">
        <v>6.2</v>
      </c>
      <c r="E1977">
        <v>7</v>
      </c>
      <c r="F1977">
        <v>6.1</v>
      </c>
      <c r="G1977">
        <v>6.3</v>
      </c>
      <c r="H1977">
        <v>6.6</v>
      </c>
      <c r="I1977">
        <v>6.1</v>
      </c>
      <c r="J1977">
        <v>7.7</v>
      </c>
      <c r="K1977">
        <v>6.5</v>
      </c>
      <c r="L1977" s="1"/>
    </row>
    <row r="1978" spans="1:12">
      <c r="A1978" t="s">
        <v>2026</v>
      </c>
      <c r="B1978">
        <v>6.6</v>
      </c>
      <c r="C1978">
        <v>6.8</v>
      </c>
      <c r="D1978">
        <v>6.6</v>
      </c>
      <c r="E1978">
        <v>6.9</v>
      </c>
      <c r="F1978">
        <v>6.8</v>
      </c>
      <c r="G1978">
        <v>6.1</v>
      </c>
      <c r="H1978">
        <v>5.2</v>
      </c>
      <c r="I1978">
        <v>5.2</v>
      </c>
      <c r="J1978">
        <v>6.9</v>
      </c>
      <c r="K1978">
        <v>4.9</v>
      </c>
      <c r="L1978" s="1"/>
    </row>
    <row r="1979" spans="1:12">
      <c r="A1979" t="s">
        <v>2027</v>
      </c>
      <c r="B1979">
        <v>6.7</v>
      </c>
      <c r="C1979">
        <v>6.5</v>
      </c>
      <c r="D1979">
        <v>5.9</v>
      </c>
      <c r="E1979">
        <v>6.3</v>
      </c>
      <c r="F1979">
        <v>6.5</v>
      </c>
      <c r="G1979">
        <v>6</v>
      </c>
      <c r="H1979">
        <v>6</v>
      </c>
      <c r="I1979">
        <v>5.1</v>
      </c>
      <c r="J1979">
        <v>5.5</v>
      </c>
      <c r="K1979">
        <v>5.9</v>
      </c>
      <c r="L1979" s="1"/>
    </row>
    <row r="1980" spans="1:12">
      <c r="A1980" t="s">
        <v>2028</v>
      </c>
      <c r="B1980">
        <v>6.9</v>
      </c>
      <c r="C1980">
        <v>6.3</v>
      </c>
      <c r="D1980">
        <v>7</v>
      </c>
      <c r="E1980">
        <v>6.6</v>
      </c>
      <c r="F1980">
        <v>7.1</v>
      </c>
      <c r="G1980">
        <v>6.1</v>
      </c>
      <c r="H1980">
        <v>5.8</v>
      </c>
      <c r="I1980">
        <v>6.9</v>
      </c>
      <c r="J1980">
        <v>5.8</v>
      </c>
      <c r="K1980">
        <v>4</v>
      </c>
      <c r="L1980" s="1"/>
    </row>
    <row r="1981" spans="1:12">
      <c r="A1981" t="s">
        <v>2029</v>
      </c>
      <c r="B1981">
        <v>6.5</v>
      </c>
      <c r="C1981">
        <v>6</v>
      </c>
      <c r="D1981">
        <v>7.1</v>
      </c>
      <c r="E1981">
        <v>6.5</v>
      </c>
      <c r="F1981">
        <v>6.6</v>
      </c>
      <c r="G1981">
        <v>7.2</v>
      </c>
      <c r="H1981">
        <v>6.3</v>
      </c>
      <c r="I1981">
        <v>5.3</v>
      </c>
      <c r="J1981">
        <v>5.9</v>
      </c>
      <c r="K1981">
        <v>6.6</v>
      </c>
      <c r="L1981" s="1"/>
    </row>
    <row r="1982" spans="1:12">
      <c r="A1982" t="s">
        <v>2030</v>
      </c>
      <c r="B1982">
        <v>6.5</v>
      </c>
      <c r="C1982">
        <v>7.3</v>
      </c>
      <c r="D1982">
        <v>6.5</v>
      </c>
      <c r="E1982">
        <v>6.2</v>
      </c>
      <c r="F1982">
        <v>6.4</v>
      </c>
      <c r="G1982">
        <v>7.4</v>
      </c>
      <c r="H1982">
        <v>5.7</v>
      </c>
      <c r="I1982">
        <v>5.9</v>
      </c>
      <c r="J1982">
        <v>6.6</v>
      </c>
      <c r="K1982">
        <v>5.8</v>
      </c>
      <c r="L1982" s="1"/>
    </row>
    <row r="1983" spans="1:12">
      <c r="A1983" t="s">
        <v>2031</v>
      </c>
      <c r="B1983">
        <v>8.1</v>
      </c>
      <c r="C1983">
        <v>6.7</v>
      </c>
      <c r="D1983">
        <v>7.7</v>
      </c>
      <c r="E1983">
        <v>6.3</v>
      </c>
      <c r="F1983">
        <v>6.4</v>
      </c>
      <c r="G1983">
        <v>5.7</v>
      </c>
      <c r="H1983">
        <v>5.4</v>
      </c>
      <c r="I1983">
        <v>5.3</v>
      </c>
      <c r="J1983">
        <v>5</v>
      </c>
      <c r="K1983">
        <v>5.2</v>
      </c>
      <c r="L1983" s="1"/>
    </row>
    <row r="1984" spans="1:12">
      <c r="A1984" t="s">
        <v>2032</v>
      </c>
      <c r="B1984">
        <v>7.2</v>
      </c>
      <c r="C1984">
        <v>6.1</v>
      </c>
      <c r="D1984">
        <v>7.4</v>
      </c>
      <c r="E1984">
        <v>5.6</v>
      </c>
      <c r="F1984">
        <v>6.3</v>
      </c>
      <c r="G1984">
        <v>5.4</v>
      </c>
      <c r="H1984">
        <v>6.9</v>
      </c>
      <c r="I1984">
        <v>6.5</v>
      </c>
      <c r="J1984">
        <v>5.7</v>
      </c>
      <c r="K1984">
        <v>4.4</v>
      </c>
      <c r="L1984" s="1"/>
    </row>
    <row r="1985" spans="1:12">
      <c r="A1985" t="s">
        <v>2033</v>
      </c>
      <c r="B1985">
        <v>6.7</v>
      </c>
      <c r="C1985">
        <v>6.5</v>
      </c>
      <c r="D1985">
        <v>7.3</v>
      </c>
      <c r="E1985">
        <v>6.3</v>
      </c>
      <c r="F1985">
        <v>6.6</v>
      </c>
      <c r="G1985">
        <v>4.8</v>
      </c>
      <c r="H1985">
        <v>4.4</v>
      </c>
      <c r="I1985">
        <v>6</v>
      </c>
      <c r="J1985">
        <v>5</v>
      </c>
      <c r="K1985">
        <v>7.5</v>
      </c>
      <c r="L1985" s="1"/>
    </row>
    <row r="1986" spans="1:12">
      <c r="A1986" t="s">
        <v>2034</v>
      </c>
      <c r="B1986">
        <v>6.2</v>
      </c>
      <c r="C1986">
        <v>6.3</v>
      </c>
      <c r="D1986">
        <v>7.8</v>
      </c>
      <c r="E1986">
        <v>6.6</v>
      </c>
      <c r="F1986">
        <v>7</v>
      </c>
      <c r="G1986">
        <v>7</v>
      </c>
      <c r="H1986">
        <v>6.7</v>
      </c>
      <c r="I1986">
        <v>4.4</v>
      </c>
      <c r="J1986">
        <v>4.6</v>
      </c>
      <c r="K1986">
        <v>5.6</v>
      </c>
      <c r="L1986" s="1"/>
    </row>
    <row r="1987" spans="1:12">
      <c r="A1987" t="s">
        <v>2035</v>
      </c>
      <c r="B1987">
        <v>6.8</v>
      </c>
      <c r="C1987">
        <v>7.3</v>
      </c>
      <c r="D1987">
        <v>5.7</v>
      </c>
      <c r="E1987">
        <v>6.1</v>
      </c>
      <c r="F1987">
        <v>7.1</v>
      </c>
      <c r="G1987">
        <v>6.8</v>
      </c>
      <c r="H1987">
        <v>5.3</v>
      </c>
      <c r="I1987">
        <v>5.2</v>
      </c>
      <c r="J1987">
        <v>5.5</v>
      </c>
      <c r="K1987">
        <v>5.2</v>
      </c>
      <c r="L1987" s="1"/>
    </row>
    <row r="1988" spans="1:12">
      <c r="A1988" t="s">
        <v>2036</v>
      </c>
      <c r="B1988">
        <v>6.8</v>
      </c>
      <c r="C1988">
        <v>6.5</v>
      </c>
      <c r="D1988">
        <v>6.4</v>
      </c>
      <c r="E1988">
        <v>7</v>
      </c>
      <c r="F1988">
        <v>6.3</v>
      </c>
      <c r="G1988">
        <v>5.1</v>
      </c>
      <c r="H1988">
        <v>7.1</v>
      </c>
      <c r="I1988">
        <v>6.7</v>
      </c>
      <c r="J1988">
        <v>6</v>
      </c>
      <c r="K1988">
        <v>3.5</v>
      </c>
      <c r="L1988" s="1"/>
    </row>
    <row r="1989" spans="1:12">
      <c r="A1989" t="s">
        <v>2037</v>
      </c>
      <c r="B1989">
        <v>6</v>
      </c>
      <c r="C1989">
        <v>6.9</v>
      </c>
      <c r="D1989">
        <v>5.4</v>
      </c>
      <c r="E1989">
        <v>6.8</v>
      </c>
      <c r="F1989">
        <v>6</v>
      </c>
      <c r="G1989">
        <v>7.4</v>
      </c>
      <c r="H1989">
        <v>5.4</v>
      </c>
      <c r="I1989">
        <v>6.6</v>
      </c>
      <c r="J1989">
        <v>4.7</v>
      </c>
      <c r="K1989">
        <v>3.7</v>
      </c>
      <c r="L1989" s="1"/>
    </row>
    <row r="1990" spans="1:12">
      <c r="A1990" t="s">
        <v>2038</v>
      </c>
      <c r="B1990">
        <v>7.4</v>
      </c>
      <c r="C1990">
        <v>6.6</v>
      </c>
      <c r="D1990">
        <v>7</v>
      </c>
      <c r="E1990">
        <v>6.1</v>
      </c>
      <c r="F1990">
        <v>6.6</v>
      </c>
      <c r="G1990">
        <v>6.3</v>
      </c>
      <c r="H1990">
        <v>6.2</v>
      </c>
      <c r="I1990">
        <v>7.1</v>
      </c>
      <c r="J1990">
        <v>6.4</v>
      </c>
      <c r="K1990">
        <v>4.2</v>
      </c>
      <c r="L1990" s="1"/>
    </row>
    <row r="1991" spans="1:12">
      <c r="A1991" t="s">
        <v>2039</v>
      </c>
      <c r="B1991">
        <v>7.1</v>
      </c>
      <c r="C1991">
        <v>6</v>
      </c>
      <c r="D1991">
        <v>5.6</v>
      </c>
      <c r="E1991">
        <v>7.1</v>
      </c>
      <c r="F1991">
        <v>7.3</v>
      </c>
      <c r="G1991">
        <v>6.9</v>
      </c>
      <c r="H1991">
        <v>4.7</v>
      </c>
      <c r="I1991">
        <v>6.7</v>
      </c>
      <c r="J1991">
        <v>4.9</v>
      </c>
      <c r="K1991">
        <v>6.6</v>
      </c>
      <c r="L1991" s="1"/>
    </row>
    <row r="1992" spans="1:12">
      <c r="A1992" t="s">
        <v>2040</v>
      </c>
      <c r="B1992">
        <v>7.2</v>
      </c>
      <c r="C1992">
        <v>6.9</v>
      </c>
      <c r="D1992">
        <v>7.1</v>
      </c>
      <c r="E1992">
        <v>6.7</v>
      </c>
      <c r="F1992">
        <v>6.8</v>
      </c>
      <c r="G1992">
        <v>6.1</v>
      </c>
      <c r="H1992">
        <v>5.9</v>
      </c>
      <c r="I1992">
        <v>6.7</v>
      </c>
      <c r="J1992">
        <v>5.1</v>
      </c>
      <c r="K1992">
        <v>4.9</v>
      </c>
      <c r="L1992" s="1"/>
    </row>
    <row r="1993" spans="1:12">
      <c r="A1993" t="s">
        <v>2041</v>
      </c>
      <c r="B1993">
        <v>6.5</v>
      </c>
      <c r="C1993">
        <v>5.9</v>
      </c>
      <c r="D1993">
        <v>6.4</v>
      </c>
      <c r="E1993">
        <v>7</v>
      </c>
      <c r="F1993">
        <v>6.6</v>
      </c>
      <c r="G1993">
        <v>6.4</v>
      </c>
      <c r="H1993">
        <v>7.9</v>
      </c>
      <c r="I1993">
        <v>5.4</v>
      </c>
      <c r="J1993">
        <v>5</v>
      </c>
      <c r="K1993">
        <v>4.7</v>
      </c>
      <c r="L1993" s="1"/>
    </row>
    <row r="1994" spans="1:12">
      <c r="A1994" t="s">
        <v>2042</v>
      </c>
      <c r="B1994">
        <v>7</v>
      </c>
      <c r="C1994">
        <v>7.4</v>
      </c>
      <c r="D1994">
        <v>7.6</v>
      </c>
      <c r="E1994">
        <v>6.6</v>
      </c>
      <c r="F1994">
        <v>6.2</v>
      </c>
      <c r="G1994">
        <v>5.4</v>
      </c>
      <c r="H1994">
        <v>7.2</v>
      </c>
      <c r="I1994">
        <v>4.9</v>
      </c>
      <c r="J1994">
        <v>5.4</v>
      </c>
      <c r="K1994">
        <v>4.7</v>
      </c>
      <c r="L1994" s="1"/>
    </row>
    <row r="1995" spans="1:12">
      <c r="A1995" t="s">
        <v>2043</v>
      </c>
      <c r="B1995">
        <v>7.6</v>
      </c>
      <c r="C1995">
        <v>7.1</v>
      </c>
      <c r="D1995">
        <v>6.2</v>
      </c>
      <c r="E1995">
        <v>7.2</v>
      </c>
      <c r="F1995">
        <v>5.4</v>
      </c>
      <c r="G1995">
        <v>5.6</v>
      </c>
      <c r="H1995">
        <v>7.2</v>
      </c>
      <c r="I1995">
        <v>5.3</v>
      </c>
      <c r="J1995">
        <v>3.8</v>
      </c>
      <c r="K1995">
        <v>5.8</v>
      </c>
      <c r="L1995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成绩</vt:lpstr>
      <vt:lpstr>成绩分析1</vt:lpstr>
      <vt:lpstr>成绩分析2</vt:lpstr>
      <vt:lpstr>透视分析</vt:lpstr>
      <vt:lpstr>专业代码</vt:lpstr>
      <vt:lpstr>成绩(原始备份)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</dc:creator>
  <cp:lastModifiedBy>超呆萌的小黑老师</cp:lastModifiedBy>
  <dcterms:created xsi:type="dcterms:W3CDTF">2021-03-26T13:53:00Z</dcterms:created>
  <dcterms:modified xsi:type="dcterms:W3CDTF">2023-10-20T04:09:13Z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